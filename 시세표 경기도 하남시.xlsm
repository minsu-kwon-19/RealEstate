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'단지추출_가격표용'!$A$3:$U$183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69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하남시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8" t="inlineStr">
        <is>
          <t>감이동 감일한라비발디</t>
        </is>
      </c>
      <c r="B4" s="79" t="inlineStr">
        <is>
          <t>19.06.</t>
        </is>
      </c>
      <c r="C4" s="129" t="n">
        <v>934</v>
      </c>
      <c r="D4" s="130" t="n">
        <v>101.6</v>
      </c>
      <c r="E4" s="131" t="n">
        <v>31</v>
      </c>
      <c r="F4" s="130" t="n">
        <v>74.90000000000001</v>
      </c>
      <c r="G4" s="17" t="n">
        <v>23</v>
      </c>
      <c r="H4" s="132" t="n">
        <v>169</v>
      </c>
      <c r="I4" s="133" t="n">
        <v>102000</v>
      </c>
      <c r="J4" s="133" t="inlineStr">
        <is>
          <t>고</t>
        </is>
      </c>
      <c r="K4" s="133" t="n">
        <v>59000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101A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8" t="inlineStr">
        <is>
          <t>감이동 감일한라비발디</t>
        </is>
      </c>
      <c r="B5" s="79" t="inlineStr">
        <is>
          <t>19.06.</t>
        </is>
      </c>
      <c r="C5" s="129" t="n">
        <v>934</v>
      </c>
      <c r="D5" s="130" t="n">
        <v>115.1</v>
      </c>
      <c r="E5" s="131" t="n">
        <v>35</v>
      </c>
      <c r="F5" s="130" t="n">
        <v>84.90000000000001</v>
      </c>
      <c r="G5" s="17" t="n">
        <v>26</v>
      </c>
      <c r="H5" s="132" t="n">
        <v>592</v>
      </c>
      <c r="I5" s="133" t="n">
        <v>106000</v>
      </c>
      <c r="J5" s="133" t="inlineStr">
        <is>
          <t>중</t>
        </is>
      </c>
      <c r="K5" s="133" t="n">
        <v>56000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115A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8" t="inlineStr">
        <is>
          <t>감이동 감일한라비발디</t>
        </is>
      </c>
      <c r="B6" s="79" t="inlineStr">
        <is>
          <t>19.06.</t>
        </is>
      </c>
      <c r="C6" s="129" t="n">
        <v>934</v>
      </c>
      <c r="D6" s="130" t="n">
        <v>115.1</v>
      </c>
      <c r="E6" s="131" t="n">
        <v>35</v>
      </c>
      <c r="F6" s="130" t="n">
        <v>84.90000000000001</v>
      </c>
      <c r="G6" s="17" t="n">
        <v>26</v>
      </c>
      <c r="H6" s="132" t="n">
        <v>173</v>
      </c>
      <c r="I6" s="133" t="n">
        <v>106000</v>
      </c>
      <c r="J6" s="133" t="inlineStr">
        <is>
          <t>중</t>
        </is>
      </c>
      <c r="K6" s="133" t="n">
        <v>56000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115B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8" t="inlineStr">
        <is>
          <t>감이동 더샵포웰시티</t>
        </is>
      </c>
      <c r="B7" s="79" t="inlineStr">
        <is>
          <t>21.01.</t>
        </is>
      </c>
      <c r="C7" s="129" t="n">
        <v>881</v>
      </c>
      <c r="D7" s="130" t="n">
        <v>116.5</v>
      </c>
      <c r="E7" s="131" t="n">
        <v>35</v>
      </c>
      <c r="F7" s="130" t="n">
        <v>90.8</v>
      </c>
      <c r="G7" s="17" t="n">
        <v>27</v>
      </c>
      <c r="H7" s="132" t="n">
        <v>450</v>
      </c>
      <c r="I7" s="133" t="n">
        <v>138000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8" t="inlineStr">
        <is>
          <t>감이동 더샵포웰시티</t>
        </is>
      </c>
      <c r="B8" s="79" t="inlineStr">
        <is>
          <t>21.01.</t>
        </is>
      </c>
      <c r="C8" s="129" t="n">
        <v>881</v>
      </c>
      <c r="D8" s="130" t="n">
        <v>127.7</v>
      </c>
      <c r="E8" s="131" t="n">
        <v>39</v>
      </c>
      <c r="F8" s="130" t="n">
        <v>99.59999999999999</v>
      </c>
      <c r="G8" s="17" t="n">
        <v>30</v>
      </c>
      <c r="H8" s="132" t="n">
        <v>332</v>
      </c>
      <c r="I8" s="133" t="n">
        <v>150000</v>
      </c>
      <c r="J8" s="133" t="inlineStr">
        <is>
          <t>13</t>
        </is>
      </c>
      <c r="K8" s="133" t="n">
        <v>92000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127A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8" t="inlineStr">
        <is>
          <t>감이동 더샵포웰시티</t>
        </is>
      </c>
      <c r="B9" s="79" t="inlineStr">
        <is>
          <t>21.01.</t>
        </is>
      </c>
      <c r="C9" s="129" t="n">
        <v>881</v>
      </c>
      <c r="D9" s="130" t="n">
        <v>128</v>
      </c>
      <c r="E9" s="131" t="n">
        <v>39</v>
      </c>
      <c r="F9" s="130" t="n">
        <v>99.40000000000001</v>
      </c>
      <c r="G9" s="17" t="n">
        <v>30</v>
      </c>
      <c r="H9" s="132" t="n">
        <v>84</v>
      </c>
      <c r="I9" s="133" t="n">
        <v>170000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8" t="inlineStr">
        <is>
          <t>감이동 더샵포웰시티</t>
        </is>
      </c>
      <c r="B10" s="79" t="inlineStr">
        <is>
          <t>21.01.</t>
        </is>
      </c>
      <c r="C10" s="129" t="n">
        <v>881</v>
      </c>
      <c r="D10" s="130" t="n">
        <v>162.8</v>
      </c>
      <c r="E10" s="131" t="n">
        <v>49</v>
      </c>
      <c r="F10" s="130" t="n">
        <v>125.9</v>
      </c>
      <c r="G10" s="17" t="n">
        <v>38</v>
      </c>
      <c r="H10" s="132" t="n">
        <v>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3</v>
      </c>
      <c r="S10" s="120" t="inlineStr">
        <is>
          <t>계</t>
        </is>
      </c>
      <c r="T10" s="5" t="n">
        <v>162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8" t="inlineStr">
        <is>
          <t>감이동 더샵포웰시티</t>
        </is>
      </c>
      <c r="B11" s="79" t="inlineStr">
        <is>
          <t>21.01.</t>
        </is>
      </c>
      <c r="C11" s="129" t="n">
        <v>881</v>
      </c>
      <c r="D11" s="130" t="n">
        <v>200</v>
      </c>
      <c r="E11" s="131" t="n">
        <v>60</v>
      </c>
      <c r="F11" s="130" t="n">
        <v>152.5</v>
      </c>
      <c r="G11" s="17" t="n">
        <v>46</v>
      </c>
      <c r="H11" s="132" t="n">
        <v>8</v>
      </c>
      <c r="I11" s="133" t="n">
        <v>320000</v>
      </c>
      <c r="J11" s="133" t="inlineStr">
        <is>
          <t>21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3</v>
      </c>
      <c r="S11" s="120" t="inlineStr">
        <is>
          <t>계</t>
        </is>
      </c>
      <c r="T11" s="5" t="n">
        <v>199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8" t="inlineStr">
        <is>
          <t>감이동 하남감일한양수자인</t>
        </is>
      </c>
      <c r="B12" s="79" t="inlineStr">
        <is>
          <t>22.09.</t>
        </is>
      </c>
      <c r="C12" s="129" t="n">
        <v>512</v>
      </c>
      <c r="D12" s="130" t="n">
        <v>112.8</v>
      </c>
      <c r="E12" s="131" t="n">
        <v>34</v>
      </c>
      <c r="F12" s="130" t="n">
        <v>84.59999999999999</v>
      </c>
      <c r="G12" s="17" t="n">
        <v>26</v>
      </c>
      <c r="H12" s="132" t="n">
        <v>512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8" t="inlineStr">
        <is>
          <t>감이동 감일푸르지오마크베르</t>
        </is>
      </c>
      <c r="B13" s="79" t="inlineStr">
        <is>
          <t>23.06.</t>
        </is>
      </c>
      <c r="C13" s="129" t="n">
        <v>496</v>
      </c>
      <c r="D13" s="130" t="n">
        <v>109.7</v>
      </c>
      <c r="E13" s="131" t="n">
        <v>33</v>
      </c>
      <c r="F13" s="130" t="n">
        <v>84.90000000000001</v>
      </c>
      <c r="G13" s="17" t="n">
        <v>26</v>
      </c>
      <c r="H13" s="132" t="n">
        <v>203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8" t="inlineStr">
        <is>
          <t>감이동 감일푸르지오마크베르</t>
        </is>
      </c>
      <c r="B14" s="79" t="inlineStr">
        <is>
          <t>23.06.</t>
        </is>
      </c>
      <c r="C14" s="129" t="n">
        <v>496</v>
      </c>
      <c r="D14" s="130" t="n">
        <v>109.9</v>
      </c>
      <c r="E14" s="131" t="n">
        <v>33</v>
      </c>
      <c r="F14" s="130" t="n">
        <v>84.90000000000001</v>
      </c>
      <c r="G14" s="17" t="n">
        <v>26</v>
      </c>
      <c r="H14" s="132" t="n">
        <v>127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8" t="inlineStr">
        <is>
          <t>감이동 감일푸르지오마크베르</t>
        </is>
      </c>
      <c r="B15" s="79" t="inlineStr">
        <is>
          <t>23.06.</t>
        </is>
      </c>
      <c r="C15" s="129" t="n">
        <v>496</v>
      </c>
      <c r="D15" s="130" t="n">
        <v>146.6</v>
      </c>
      <c r="E15" s="131" t="n">
        <v>44</v>
      </c>
      <c r="F15" s="130" t="n">
        <v>114.9</v>
      </c>
      <c r="G15" s="17" t="n">
        <v>35</v>
      </c>
      <c r="H15" s="132" t="n">
        <v>115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146A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8" t="inlineStr">
        <is>
          <t>감이동 감일푸르지오마크베르</t>
        </is>
      </c>
      <c r="B16" s="79" t="inlineStr">
        <is>
          <t>23.06.</t>
        </is>
      </c>
      <c r="C16" s="129" t="n">
        <v>496</v>
      </c>
      <c r="D16" s="130" t="n">
        <v>146.1</v>
      </c>
      <c r="E16" s="131" t="n">
        <v>44</v>
      </c>
      <c r="F16" s="130" t="n">
        <v>114.8</v>
      </c>
      <c r="G16" s="17" t="n">
        <v>35</v>
      </c>
      <c r="H16" s="132" t="n">
        <v>51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146B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8" t="inlineStr">
        <is>
          <t>감이동 포웰시티푸르지오라포레</t>
        </is>
      </c>
      <c r="B17" s="79" t="inlineStr">
        <is>
          <t>21.02.</t>
        </is>
      </c>
      <c r="C17" s="129" t="n">
        <v>790</v>
      </c>
      <c r="D17" s="130" t="n">
        <v>116.3</v>
      </c>
      <c r="E17" s="131" t="n">
        <v>35</v>
      </c>
      <c r="F17" s="130" t="n">
        <v>90.8</v>
      </c>
      <c r="G17" s="17" t="n">
        <v>27</v>
      </c>
      <c r="H17" s="132" t="n">
        <v>86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116A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8" t="inlineStr">
        <is>
          <t>감이동 포웰시티푸르지오라포레</t>
        </is>
      </c>
      <c r="B18" s="79" t="inlineStr">
        <is>
          <t>21.02.</t>
        </is>
      </c>
      <c r="C18" s="129" t="n">
        <v>790</v>
      </c>
      <c r="D18" s="130" t="n">
        <v>117.7</v>
      </c>
      <c r="E18" s="131" t="n">
        <v>36</v>
      </c>
      <c r="F18" s="130" t="n">
        <v>90.2</v>
      </c>
      <c r="G18" s="17" t="n">
        <v>27</v>
      </c>
      <c r="H18" s="132" t="n">
        <v>173</v>
      </c>
      <c r="I18" s="133" t="n">
        <v>155000</v>
      </c>
      <c r="J18" s="133" t="inlineStr">
        <is>
          <t>중</t>
        </is>
      </c>
      <c r="K18" s="133" t="n">
        <v>75000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117B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8" t="inlineStr">
        <is>
          <t>감이동 포웰시티푸르지오라포레</t>
        </is>
      </c>
      <c r="B19" s="79" t="inlineStr">
        <is>
          <t>21.02.</t>
        </is>
      </c>
      <c r="C19" s="129" t="n">
        <v>790</v>
      </c>
      <c r="D19" s="130" t="n">
        <v>118.7</v>
      </c>
      <c r="E19" s="131" t="n">
        <v>36</v>
      </c>
      <c r="F19" s="130" t="n">
        <v>90.59999999999999</v>
      </c>
      <c r="G19" s="17" t="n">
        <v>27</v>
      </c>
      <c r="H19" s="132" t="n">
        <v>4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118T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8" t="inlineStr">
        <is>
          <t>감이동 포웰시티푸르지오라포레</t>
        </is>
      </c>
      <c r="B20" s="79" t="inlineStr">
        <is>
          <t>21.02.</t>
        </is>
      </c>
      <c r="C20" s="129" t="n">
        <v>790</v>
      </c>
      <c r="D20" s="130" t="n">
        <v>127.5</v>
      </c>
      <c r="E20" s="131" t="n">
        <v>39</v>
      </c>
      <c r="F20" s="130" t="n">
        <v>99.59999999999999</v>
      </c>
      <c r="G20" s="17" t="n">
        <v>30</v>
      </c>
      <c r="H20" s="132" t="n">
        <v>414</v>
      </c>
      <c r="I20" s="133" t="n">
        <v>170000</v>
      </c>
      <c r="J20" s="133" t="inlineStr">
        <is>
          <t>22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127A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8" t="inlineStr">
        <is>
          <t>감이동 포웰시티푸르지오라포레</t>
        </is>
      </c>
      <c r="B21" s="79" t="inlineStr">
        <is>
          <t>21.02.</t>
        </is>
      </c>
      <c r="C21" s="129" t="n">
        <v>790</v>
      </c>
      <c r="D21" s="130" t="n">
        <v>127.8</v>
      </c>
      <c r="E21" s="131" t="n">
        <v>39</v>
      </c>
      <c r="F21" s="130" t="n">
        <v>99.40000000000001</v>
      </c>
      <c r="G21" s="17" t="n">
        <v>30</v>
      </c>
      <c r="H21" s="132" t="n">
        <v>111</v>
      </c>
      <c r="I21" s="133" t="n">
        <v>160000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127B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8" t="inlineStr">
        <is>
          <t>감이동 포웰시티푸르지오라포레</t>
        </is>
      </c>
      <c r="B22" s="79" t="inlineStr">
        <is>
          <t>21.02.</t>
        </is>
      </c>
      <c r="C22" s="129" t="n">
        <v>790</v>
      </c>
      <c r="D22" s="130" t="n">
        <v>199.6</v>
      </c>
      <c r="E22" s="131" t="n">
        <v>60</v>
      </c>
      <c r="F22" s="130" t="n">
        <v>152.5</v>
      </c>
      <c r="G22" s="17" t="n">
        <v>46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3</v>
      </c>
      <c r="S22" s="120" t="inlineStr">
        <is>
          <t>계</t>
        </is>
      </c>
      <c r="T22" s="5" t="n">
        <v>199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8" t="inlineStr">
        <is>
          <t>감이동 감일에코앤e편한세상</t>
        </is>
      </c>
      <c r="B23" s="79" t="inlineStr">
        <is>
          <t>21.10.</t>
        </is>
      </c>
      <c r="C23" s="129" t="n">
        <v>866</v>
      </c>
      <c r="D23" s="130" t="n">
        <v>100.6</v>
      </c>
      <c r="E23" s="131" t="n">
        <v>30</v>
      </c>
      <c r="F23" s="130" t="n">
        <v>78</v>
      </c>
      <c r="G23" s="17" t="n">
        <v>24</v>
      </c>
      <c r="H23" s="132" t="n">
        <v>163</v>
      </c>
      <c r="I23" s="133" t="n"/>
      <c r="J23" s="133" t="n"/>
      <c r="K23" s="133" t="n">
        <v>60000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8" t="inlineStr">
        <is>
          <t>감이동 감일에코앤e편한세상</t>
        </is>
      </c>
      <c r="B24" s="79" t="inlineStr">
        <is>
          <t>21.10.</t>
        </is>
      </c>
      <c r="C24" s="129" t="n">
        <v>866</v>
      </c>
      <c r="D24" s="130" t="n">
        <v>102.4</v>
      </c>
      <c r="E24" s="131" t="n">
        <v>31</v>
      </c>
      <c r="F24" s="130" t="n">
        <v>78</v>
      </c>
      <c r="G24" s="17" t="n">
        <v>24</v>
      </c>
      <c r="H24" s="132" t="n">
        <v>169</v>
      </c>
      <c r="I24" s="133" t="n"/>
      <c r="J24" s="133" t="n"/>
      <c r="K24" s="133" t="n">
        <v>57000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8" t="inlineStr">
        <is>
          <t>감이동 감일에코앤e편한세상</t>
        </is>
      </c>
      <c r="B25" s="79" t="inlineStr">
        <is>
          <t>21.10.</t>
        </is>
      </c>
      <c r="C25" s="129" t="n">
        <v>866</v>
      </c>
      <c r="D25" s="130" t="n">
        <v>109.6</v>
      </c>
      <c r="E25" s="131" t="n">
        <v>33</v>
      </c>
      <c r="F25" s="130" t="n">
        <v>85</v>
      </c>
      <c r="G25" s="17" t="n">
        <v>26</v>
      </c>
      <c r="H25" s="132" t="n">
        <v>531</v>
      </c>
      <c r="I25" s="133" t="n"/>
      <c r="J25" s="133" t="n"/>
      <c r="K25" s="133" t="n">
        <v>60000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109A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8" t="inlineStr">
        <is>
          <t>감이동 감일에코앤e편한세상</t>
        </is>
      </c>
      <c r="B26" s="79" t="inlineStr">
        <is>
          <t>21.10.</t>
        </is>
      </c>
      <c r="C26" s="129" t="n">
        <v>866</v>
      </c>
      <c r="D26" s="130" t="n">
        <v>112.5</v>
      </c>
      <c r="E26" s="131" t="n">
        <v>34</v>
      </c>
      <c r="F26" s="130" t="n">
        <v>85</v>
      </c>
      <c r="G26" s="17" t="n">
        <v>26</v>
      </c>
      <c r="H26" s="132" t="n">
        <v>3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2</v>
      </c>
      <c r="S26" s="120" t="inlineStr">
        <is>
          <t>계</t>
        </is>
      </c>
      <c r="T26" s="5" t="inlineStr">
        <is>
          <t>112B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8" t="inlineStr">
        <is>
          <t>감이동 하남감일A7</t>
        </is>
      </c>
      <c r="B27" s="79" t="inlineStr">
        <is>
          <t>22.08.</t>
        </is>
      </c>
      <c r="C27" s="129" t="n">
        <v>510</v>
      </c>
      <c r="D27" s="130" t="n">
        <v>66.3</v>
      </c>
      <c r="E27" s="131" t="n">
        <v>20</v>
      </c>
      <c r="F27" s="130" t="n">
        <v>46.9</v>
      </c>
      <c r="G27" s="17" t="n">
        <v>14</v>
      </c>
      <c r="H27" s="132" t="n">
        <v>204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66A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8" t="inlineStr">
        <is>
          <t>감이동 하남감일A7</t>
        </is>
      </c>
      <c r="B28" s="79" t="inlineStr">
        <is>
          <t>22.08.</t>
        </is>
      </c>
      <c r="C28" s="129" t="n">
        <v>510</v>
      </c>
      <c r="D28" s="130" t="n">
        <v>66</v>
      </c>
      <c r="E28" s="131" t="n">
        <v>20</v>
      </c>
      <c r="F28" s="130" t="n">
        <v>46.7</v>
      </c>
      <c r="G28" s="17" t="n">
        <v>14</v>
      </c>
      <c r="H28" s="132" t="n">
        <v>21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66B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8" t="inlineStr">
        <is>
          <t>감이동 하남감일A7</t>
        </is>
      </c>
      <c r="B29" s="79" t="inlineStr">
        <is>
          <t>22.08.</t>
        </is>
      </c>
      <c r="C29" s="129" t="n">
        <v>510</v>
      </c>
      <c r="D29" s="130" t="n">
        <v>78.3</v>
      </c>
      <c r="E29" s="131" t="n">
        <v>24</v>
      </c>
      <c r="F29" s="130" t="n">
        <v>55.4</v>
      </c>
      <c r="G29" s="17" t="n">
        <v>17</v>
      </c>
      <c r="H29" s="132" t="n">
        <v>285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2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8" t="inlineStr">
        <is>
          <t>감이동 하남감일스윗시티 B3블록</t>
        </is>
      </c>
      <c r="B30" s="79" t="inlineStr">
        <is>
          <t>21.10.</t>
        </is>
      </c>
      <c r="C30" s="129" t="n">
        <v>578</v>
      </c>
      <c r="D30" s="130" t="n">
        <v>99.5</v>
      </c>
      <c r="E30" s="131" t="n">
        <v>30</v>
      </c>
      <c r="F30" s="130" t="n">
        <v>74.7</v>
      </c>
      <c r="G30" s="17" t="n">
        <v>23</v>
      </c>
      <c r="H30" s="132" t="n">
        <v>174</v>
      </c>
      <c r="I30" s="133" t="n"/>
      <c r="J30" s="133" t="n"/>
      <c r="K30" s="133" t="n">
        <v>53000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99A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8" t="inlineStr">
        <is>
          <t>감이동 하남감일스윗시티 B3블록</t>
        </is>
      </c>
      <c r="B31" s="79" t="inlineStr">
        <is>
          <t>21.10.</t>
        </is>
      </c>
      <c r="C31" s="129" t="n">
        <v>578</v>
      </c>
      <c r="D31" s="130" t="n">
        <v>113.1</v>
      </c>
      <c r="E31" s="131" t="n">
        <v>34</v>
      </c>
      <c r="F31" s="130" t="n">
        <v>84.90000000000001</v>
      </c>
      <c r="G31" s="17" t="n">
        <v>26</v>
      </c>
      <c r="H31" s="132" t="n">
        <v>239</v>
      </c>
      <c r="I31" s="133" t="n"/>
      <c r="J31" s="133" t="n"/>
      <c r="K31" s="133" t="n">
        <v>67000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8" t="inlineStr">
        <is>
          <t>감이동 하남감일스윗시티 B3블록</t>
        </is>
      </c>
      <c r="B32" s="79" t="inlineStr">
        <is>
          <t>21.10.</t>
        </is>
      </c>
      <c r="C32" s="129" t="n">
        <v>578</v>
      </c>
      <c r="D32" s="130" t="n">
        <v>113.1</v>
      </c>
      <c r="E32" s="131" t="n">
        <v>34</v>
      </c>
      <c r="F32" s="130" t="n">
        <v>84.90000000000001</v>
      </c>
      <c r="G32" s="17" t="n">
        <v>26</v>
      </c>
      <c r="H32" s="132" t="n">
        <v>86</v>
      </c>
      <c r="I32" s="133" t="n"/>
      <c r="J32" s="133" t="n"/>
      <c r="K32" s="133" t="n">
        <v>67000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8" t="inlineStr">
        <is>
          <t>감이동 하남감일스윗시티 B3블록</t>
        </is>
      </c>
      <c r="B33" s="79" t="inlineStr">
        <is>
          <t>21.10.</t>
        </is>
      </c>
      <c r="C33" s="129" t="n">
        <v>578</v>
      </c>
      <c r="D33" s="130" t="n">
        <v>113.2</v>
      </c>
      <c r="E33" s="131" t="n">
        <v>34</v>
      </c>
      <c r="F33" s="130" t="n">
        <v>85</v>
      </c>
      <c r="G33" s="17" t="n">
        <v>26</v>
      </c>
      <c r="H33" s="132" t="n">
        <v>79</v>
      </c>
      <c r="I33" s="133" t="n"/>
      <c r="J33" s="133" t="n"/>
      <c r="K33" s="133" t="n">
        <v>60000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8" t="inlineStr">
        <is>
          <t>감이동 하남감일스윗시티 B4블록</t>
        </is>
      </c>
      <c r="B34" s="79" t="inlineStr">
        <is>
          <t>21.10.</t>
        </is>
      </c>
      <c r="C34" s="129" t="n">
        <v>595</v>
      </c>
      <c r="D34" s="130" t="n">
        <v>100.1</v>
      </c>
      <c r="E34" s="131" t="n">
        <v>30</v>
      </c>
      <c r="F34" s="130" t="n">
        <v>74.7</v>
      </c>
      <c r="G34" s="17" t="n">
        <v>23</v>
      </c>
      <c r="H34" s="132" t="n">
        <v>165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8" t="inlineStr">
        <is>
          <t>감이동 하남감일스윗시티 B4블록</t>
        </is>
      </c>
      <c r="B35" s="79" t="inlineStr">
        <is>
          <t>21.10.</t>
        </is>
      </c>
      <c r="C35" s="129" t="n">
        <v>595</v>
      </c>
      <c r="D35" s="130" t="n">
        <v>113.7</v>
      </c>
      <c r="E35" s="131" t="n">
        <v>34</v>
      </c>
      <c r="F35" s="130" t="n">
        <v>84.90000000000001</v>
      </c>
      <c r="G35" s="17" t="n">
        <v>26</v>
      </c>
      <c r="H35" s="132" t="n">
        <v>270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113A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8" t="inlineStr">
        <is>
          <t>감이동 하남감일스윗시티 B4블록</t>
        </is>
      </c>
      <c r="B36" s="79" t="inlineStr">
        <is>
          <t>21.10.</t>
        </is>
      </c>
      <c r="C36" s="129" t="n">
        <v>595</v>
      </c>
      <c r="D36" s="130" t="n">
        <v>113.7</v>
      </c>
      <c r="E36" s="131" t="n">
        <v>34</v>
      </c>
      <c r="F36" s="130" t="n">
        <v>84.90000000000001</v>
      </c>
      <c r="G36" s="17" t="n">
        <v>26</v>
      </c>
      <c r="H36" s="132" t="n">
        <v>84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8" t="inlineStr">
        <is>
          <t>감이동 하남감일스윗시티 B4블록</t>
        </is>
      </c>
      <c r="B37" s="79" t="inlineStr">
        <is>
          <t>21.10.</t>
        </is>
      </c>
      <c r="C37" s="129" t="n">
        <v>595</v>
      </c>
      <c r="D37" s="130" t="n">
        <v>113.8</v>
      </c>
      <c r="E37" s="131" t="n">
        <v>34</v>
      </c>
      <c r="F37" s="130" t="n">
        <v>85</v>
      </c>
      <c r="G37" s="17" t="n">
        <v>26</v>
      </c>
      <c r="H37" s="132" t="n">
        <v>76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8" t="inlineStr">
        <is>
          <t>감이동 힐스테이트포웰시티</t>
        </is>
      </c>
      <c r="B38" s="79" t="inlineStr">
        <is>
          <t>20.11.</t>
        </is>
      </c>
      <c r="C38" s="129" t="n">
        <v>932</v>
      </c>
      <c r="D38" s="130" t="n">
        <v>97.90000000000001</v>
      </c>
      <c r="E38" s="131" t="n">
        <v>30</v>
      </c>
      <c r="F38" s="130" t="n">
        <v>73.8</v>
      </c>
      <c r="G38" s="17" t="n">
        <v>22</v>
      </c>
      <c r="H38" s="132" t="n">
        <v>470</v>
      </c>
      <c r="I38" s="133" t="n">
        <v>109000</v>
      </c>
      <c r="J38" s="133" t="inlineStr">
        <is>
          <t>5</t>
        </is>
      </c>
      <c r="K38" s="133" t="n">
        <v>54000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97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8" t="inlineStr">
        <is>
          <t>감이동 힐스테이트포웰시티</t>
        </is>
      </c>
      <c r="B39" s="79" t="inlineStr">
        <is>
          <t>20.11.</t>
        </is>
      </c>
      <c r="C39" s="129" t="n">
        <v>932</v>
      </c>
      <c r="D39" s="130" t="n">
        <v>111.3</v>
      </c>
      <c r="E39" s="131" t="n">
        <v>34</v>
      </c>
      <c r="F39" s="130" t="n">
        <v>84.40000000000001</v>
      </c>
      <c r="G39" s="17" t="n">
        <v>26</v>
      </c>
      <c r="H39" s="132" t="n">
        <v>462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111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8" t="inlineStr">
        <is>
          <t>감이동 감일센트레빌</t>
        </is>
      </c>
      <c r="B40" s="79" t="inlineStr">
        <is>
          <t>20.03.</t>
        </is>
      </c>
      <c r="C40" s="129" t="n">
        <v>589</v>
      </c>
      <c r="D40" s="130" t="n">
        <v>71.5</v>
      </c>
      <c r="E40" s="131" t="n">
        <v>22</v>
      </c>
      <c r="F40" s="130" t="n">
        <v>51.8</v>
      </c>
      <c r="G40" s="17" t="n">
        <v>16</v>
      </c>
      <c r="H40" s="132" t="n">
        <v>99</v>
      </c>
      <c r="I40" s="133" t="n">
        <v>85000</v>
      </c>
      <c r="J40" s="133" t="inlineStr">
        <is>
          <t>중</t>
        </is>
      </c>
      <c r="K40" s="133" t="n">
        <v>47000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71A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8" t="inlineStr">
        <is>
          <t>감이동 감일센트레빌</t>
        </is>
      </c>
      <c r="B41" s="79" t="inlineStr">
        <is>
          <t>20.03.</t>
        </is>
      </c>
      <c r="C41" s="129" t="n">
        <v>589</v>
      </c>
      <c r="D41" s="130" t="n">
        <v>82.8</v>
      </c>
      <c r="E41" s="131" t="n">
        <v>25</v>
      </c>
      <c r="F41" s="130" t="n">
        <v>59.9</v>
      </c>
      <c r="G41" s="17" t="n">
        <v>18</v>
      </c>
      <c r="H41" s="132" t="n">
        <v>135</v>
      </c>
      <c r="I41" s="133" t="n">
        <v>90000</v>
      </c>
      <c r="J41" s="133" t="inlineStr">
        <is>
          <t>중</t>
        </is>
      </c>
      <c r="K41" s="133" t="n">
        <v>53000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82B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8" t="inlineStr">
        <is>
          <t>감이동 감일센트레빌</t>
        </is>
      </c>
      <c r="B42" s="79" t="inlineStr">
        <is>
          <t>20.03.</t>
        </is>
      </c>
      <c r="C42" s="129" t="n">
        <v>589</v>
      </c>
      <c r="D42" s="130" t="n">
        <v>82.7</v>
      </c>
      <c r="E42" s="131" t="n">
        <v>25</v>
      </c>
      <c r="F42" s="130" t="n">
        <v>59.9</v>
      </c>
      <c r="G42" s="17" t="n">
        <v>18</v>
      </c>
      <c r="H42" s="132" t="n">
        <v>50</v>
      </c>
      <c r="I42" s="133" t="n">
        <v>89000</v>
      </c>
      <c r="J42" s="133" t="inlineStr">
        <is>
          <t>중</t>
        </is>
      </c>
      <c r="K42" s="133" t="n">
        <v>50000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82A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8" t="inlineStr">
        <is>
          <t>감이동 감일센트레빌</t>
        </is>
      </c>
      <c r="B43" s="79" t="inlineStr">
        <is>
          <t>20.03.</t>
        </is>
      </c>
      <c r="C43" s="129" t="n">
        <v>589</v>
      </c>
      <c r="D43" s="130" t="n">
        <v>103.4</v>
      </c>
      <c r="E43" s="131" t="n">
        <v>31</v>
      </c>
      <c r="F43" s="130" t="n">
        <v>74.8</v>
      </c>
      <c r="G43" s="17" t="n">
        <v>23</v>
      </c>
      <c r="H43" s="132" t="n">
        <v>149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8" t="inlineStr">
        <is>
          <t>감이동 감일센트레빌</t>
        </is>
      </c>
      <c r="B44" s="79" t="inlineStr">
        <is>
          <t>20.03.</t>
        </is>
      </c>
      <c r="C44" s="129" t="n">
        <v>589</v>
      </c>
      <c r="D44" s="130" t="n">
        <v>117.1</v>
      </c>
      <c r="E44" s="131" t="n">
        <v>35</v>
      </c>
      <c r="F44" s="130" t="n">
        <v>84.8</v>
      </c>
      <c r="G44" s="17" t="n">
        <v>26</v>
      </c>
      <c r="H44" s="132" t="n">
        <v>156</v>
      </c>
      <c r="I44" s="133" t="n">
        <v>120000</v>
      </c>
      <c r="J44" s="133" t="inlineStr">
        <is>
          <t>16</t>
        </is>
      </c>
      <c r="K44" s="133" t="n">
        <v>61000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8" t="inlineStr">
        <is>
          <t>감일동 하남감일스윗시티(B1블록)</t>
        </is>
      </c>
      <c r="B45" s="79" t="inlineStr">
        <is>
          <t>21.05.</t>
        </is>
      </c>
      <c r="C45" s="129" t="n">
        <v>684</v>
      </c>
      <c r="D45" s="130" t="n">
        <v>103.2</v>
      </c>
      <c r="E45" s="131" t="n">
        <v>31</v>
      </c>
      <c r="F45" s="130" t="n">
        <v>74.90000000000001</v>
      </c>
      <c r="G45" s="17" t="n">
        <v>23</v>
      </c>
      <c r="H45" s="132" t="n">
        <v>74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103H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8" t="inlineStr">
        <is>
          <t>감일동 하남감일스윗시티(B1블록)</t>
        </is>
      </c>
      <c r="B46" s="79" t="inlineStr">
        <is>
          <t>21.05.</t>
        </is>
      </c>
      <c r="C46" s="129" t="n">
        <v>684</v>
      </c>
      <c r="D46" s="130" t="n">
        <v>117</v>
      </c>
      <c r="E46" s="131" t="n">
        <v>35</v>
      </c>
      <c r="F46" s="130" t="n">
        <v>84.90000000000001</v>
      </c>
      <c r="G46" s="17" t="n">
        <v>26</v>
      </c>
      <c r="H46" s="132" t="n">
        <v>136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116D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8" t="inlineStr">
        <is>
          <t>덕풍동 한솔리치빌2단지</t>
        </is>
      </c>
      <c r="B47" s="79" t="inlineStr">
        <is>
          <t>02.12.</t>
        </is>
      </c>
      <c r="C47" s="129" t="n">
        <v>347</v>
      </c>
      <c r="D47" s="130" t="n">
        <v>88.2</v>
      </c>
      <c r="E47" s="131" t="n">
        <v>27</v>
      </c>
      <c r="F47" s="130" t="n">
        <v>59.6</v>
      </c>
      <c r="G47" s="17" t="n">
        <v>18</v>
      </c>
      <c r="H47" s="132" t="n">
        <v>25</v>
      </c>
      <c r="I47" s="133" t="n">
        <v>59000</v>
      </c>
      <c r="J47" s="133" t="inlineStr">
        <is>
          <t>중</t>
        </is>
      </c>
      <c r="K47" s="133" t="n">
        <v>41000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88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8" t="inlineStr">
        <is>
          <t>덕풍동 한솔리치빌2단지</t>
        </is>
      </c>
      <c r="B48" s="79" t="inlineStr">
        <is>
          <t>02.12.</t>
        </is>
      </c>
      <c r="C48" s="129" t="n">
        <v>347</v>
      </c>
      <c r="D48" s="130" t="n">
        <v>114.2</v>
      </c>
      <c r="E48" s="131" t="n">
        <v>35</v>
      </c>
      <c r="F48" s="130" t="n">
        <v>84.40000000000001</v>
      </c>
      <c r="G48" s="17" t="n">
        <v>26</v>
      </c>
      <c r="H48" s="132" t="n">
        <v>322</v>
      </c>
      <c r="I48" s="133" t="n">
        <v>65000</v>
      </c>
      <c r="J48" s="133" t="inlineStr">
        <is>
          <t>10</t>
        </is>
      </c>
      <c r="K48" s="133" t="n">
        <v>47000</v>
      </c>
      <c r="L48" s="133" t="inlineStr">
        <is>
          <t>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114B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8" t="inlineStr">
        <is>
          <t>덕풍동 벽산블루밍</t>
        </is>
      </c>
      <c r="B49" s="79" t="inlineStr">
        <is>
          <t>07.04.</t>
        </is>
      </c>
      <c r="C49" s="129" t="n">
        <v>696</v>
      </c>
      <c r="D49" s="130" t="n">
        <v>80.8</v>
      </c>
      <c r="E49" s="131" t="n">
        <v>24</v>
      </c>
      <c r="F49" s="130" t="n">
        <v>59.9</v>
      </c>
      <c r="G49" s="17" t="n">
        <v>18</v>
      </c>
      <c r="H49" s="132" t="n">
        <v>232</v>
      </c>
      <c r="I49" s="133" t="n">
        <v>73000</v>
      </c>
      <c r="J49" s="133" t="inlineStr">
        <is>
          <t>6</t>
        </is>
      </c>
      <c r="K49" s="133" t="n">
        <v>48000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8" t="inlineStr">
        <is>
          <t>덕풍동 벽산블루밍</t>
        </is>
      </c>
      <c r="B50" s="79" t="inlineStr">
        <is>
          <t>07.04.</t>
        </is>
      </c>
      <c r="C50" s="129" t="n">
        <v>696</v>
      </c>
      <c r="D50" s="130" t="n">
        <v>107.5</v>
      </c>
      <c r="E50" s="131" t="n">
        <v>33</v>
      </c>
      <c r="F50" s="130" t="n">
        <v>85</v>
      </c>
      <c r="G50" s="17" t="n">
        <v>26</v>
      </c>
      <c r="H50" s="132" t="n">
        <v>464</v>
      </c>
      <c r="I50" s="133" t="n">
        <v>75000</v>
      </c>
      <c r="J50" s="133" t="inlineStr">
        <is>
          <t>8</t>
        </is>
      </c>
      <c r="K50" s="133" t="n">
        <v>58000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107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8" t="inlineStr">
        <is>
          <t>덕풍동 하남덕풍역파크어울림</t>
        </is>
      </c>
      <c r="B51" s="79" t="inlineStr">
        <is>
          <t>19.04.</t>
        </is>
      </c>
      <c r="C51" s="129" t="n">
        <v>383</v>
      </c>
      <c r="D51" s="130" t="n">
        <v>84.90000000000001</v>
      </c>
      <c r="E51" s="131" t="n">
        <v>26</v>
      </c>
      <c r="F51" s="130" t="n">
        <v>60</v>
      </c>
      <c r="G51" s="17" t="n">
        <v>18</v>
      </c>
      <c r="H51" s="132" t="n">
        <v>344</v>
      </c>
      <c r="I51" s="133" t="n">
        <v>69000</v>
      </c>
      <c r="J51" s="133" t="inlineStr">
        <is>
          <t>고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8" t="inlineStr">
        <is>
          <t>덕풍동 하남덕풍역파크어울림</t>
        </is>
      </c>
      <c r="B52" s="79" t="inlineStr">
        <is>
          <t>19.04.</t>
        </is>
      </c>
      <c r="C52" s="129" t="n">
        <v>383</v>
      </c>
      <c r="D52" s="130" t="n">
        <v>84.7</v>
      </c>
      <c r="E52" s="131" t="n">
        <v>26</v>
      </c>
      <c r="F52" s="130" t="n">
        <v>60</v>
      </c>
      <c r="G52" s="17" t="n">
        <v>18</v>
      </c>
      <c r="H52" s="132" t="n">
        <v>39</v>
      </c>
      <c r="I52" s="133" t="n">
        <v>70000</v>
      </c>
      <c r="J52" s="133" t="inlineStr">
        <is>
          <t>고</t>
        </is>
      </c>
      <c r="K52" s="133" t="n">
        <v>50000</v>
      </c>
      <c r="L52" s="133" t="inlineStr">
        <is>
          <t>17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84B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8" t="inlineStr">
        <is>
          <t>덕풍동 덕풍쌍용</t>
        </is>
      </c>
      <c r="B53" s="79" t="inlineStr">
        <is>
          <t>98.01.</t>
        </is>
      </c>
      <c r="C53" s="129" t="n">
        <v>585</v>
      </c>
      <c r="D53" s="130" t="n">
        <v>74.5</v>
      </c>
      <c r="E53" s="131" t="n">
        <v>23</v>
      </c>
      <c r="F53" s="130" t="n">
        <v>59.8</v>
      </c>
      <c r="G53" s="17" t="n">
        <v>18</v>
      </c>
      <c r="H53" s="132" t="n">
        <v>168</v>
      </c>
      <c r="I53" s="133" t="n">
        <v>58000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74A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8" t="inlineStr">
        <is>
          <t>덕풍동 덕풍쌍용</t>
        </is>
      </c>
      <c r="B54" s="79" t="inlineStr">
        <is>
          <t>98.01.</t>
        </is>
      </c>
      <c r="C54" s="129" t="n">
        <v>585</v>
      </c>
      <c r="D54" s="130" t="n">
        <v>74.5</v>
      </c>
      <c r="E54" s="131" t="n">
        <v>23</v>
      </c>
      <c r="F54" s="130" t="n">
        <v>59.8</v>
      </c>
      <c r="G54" s="17" t="n">
        <v>18</v>
      </c>
      <c r="H54" s="132" t="n">
        <v>69</v>
      </c>
      <c r="I54" s="133" t="n">
        <v>58000</v>
      </c>
      <c r="J54" s="133" t="inlineStr">
        <is>
          <t>고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inlineStr">
        <is>
          <t>74B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8" t="inlineStr">
        <is>
          <t>덕풍동 덕풍쌍용</t>
        </is>
      </c>
      <c r="B55" s="79" t="inlineStr">
        <is>
          <t>98.01.</t>
        </is>
      </c>
      <c r="C55" s="129" t="n">
        <v>585</v>
      </c>
      <c r="D55" s="130" t="n">
        <v>105.8</v>
      </c>
      <c r="E55" s="131" t="n">
        <v>32</v>
      </c>
      <c r="F55" s="130" t="n">
        <v>85</v>
      </c>
      <c r="G55" s="17" t="n">
        <v>26</v>
      </c>
      <c r="H55" s="132" t="n">
        <v>207</v>
      </c>
      <c r="I55" s="133" t="n">
        <v>67000</v>
      </c>
      <c r="J55" s="133" t="inlineStr">
        <is>
          <t>5</t>
        </is>
      </c>
      <c r="K55" s="133" t="n">
        <v>46000</v>
      </c>
      <c r="L55" s="133" t="inlineStr">
        <is>
          <t>14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8" t="inlineStr">
        <is>
          <t>덕풍동 덕풍쌍용</t>
        </is>
      </c>
      <c r="B56" s="79" t="inlineStr">
        <is>
          <t>98.01.</t>
        </is>
      </c>
      <c r="C56" s="129" t="n">
        <v>585</v>
      </c>
      <c r="D56" s="130" t="n">
        <v>143.2</v>
      </c>
      <c r="E56" s="131" t="n">
        <v>43</v>
      </c>
      <c r="F56" s="130" t="n">
        <v>115</v>
      </c>
      <c r="G56" s="17" t="n">
        <v>35</v>
      </c>
      <c r="H56" s="132" t="n">
        <v>141</v>
      </c>
      <c r="I56" s="133" t="n">
        <v>76000</v>
      </c>
      <c r="J56" s="133" t="inlineStr">
        <is>
          <t>15</t>
        </is>
      </c>
      <c r="K56" s="133" t="n">
        <v>50000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143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8" t="inlineStr">
        <is>
          <t>덕풍동 라인</t>
        </is>
      </c>
      <c r="B57" s="79" t="inlineStr">
        <is>
          <t>97.04.</t>
        </is>
      </c>
      <c r="C57" s="129" t="n">
        <v>352</v>
      </c>
      <c r="D57" s="130" t="n">
        <v>83.09999999999999</v>
      </c>
      <c r="E57" s="131" t="n">
        <v>25</v>
      </c>
      <c r="F57" s="130" t="n">
        <v>59.4</v>
      </c>
      <c r="G57" s="17" t="n">
        <v>18</v>
      </c>
      <c r="H57" s="132" t="n">
        <v>176</v>
      </c>
      <c r="I57" s="133" t="n">
        <v>60000</v>
      </c>
      <c r="J57" s="133" t="inlineStr">
        <is>
          <t>10</t>
        </is>
      </c>
      <c r="K57" s="133" t="n">
        <v>41000</v>
      </c>
      <c r="L57" s="133" t="inlineStr">
        <is>
          <t>10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복</t>
        </is>
      </c>
      <c r="T57" s="5" t="n">
        <v>83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8" t="inlineStr">
        <is>
          <t>덕풍동 라인</t>
        </is>
      </c>
      <c r="B58" s="79" t="inlineStr">
        <is>
          <t>97.04.</t>
        </is>
      </c>
      <c r="C58" s="129" t="n">
        <v>352</v>
      </c>
      <c r="D58" s="130" t="n">
        <v>107</v>
      </c>
      <c r="E58" s="131" t="n">
        <v>32</v>
      </c>
      <c r="F58" s="130" t="n">
        <v>84.7</v>
      </c>
      <c r="G58" s="17" t="n">
        <v>26</v>
      </c>
      <c r="H58" s="132" t="n">
        <v>176</v>
      </c>
      <c r="I58" s="133" t="n">
        <v>67000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8" t="inlineStr">
        <is>
          <t>덕풍동 대동피렌체</t>
        </is>
      </c>
      <c r="B59" s="79" t="inlineStr">
        <is>
          <t>05.01.</t>
        </is>
      </c>
      <c r="C59" s="129" t="n">
        <v>232</v>
      </c>
      <c r="D59" s="130" t="n">
        <v>34.2</v>
      </c>
      <c r="E59" s="131" t="n">
        <v>10</v>
      </c>
      <c r="F59" s="130" t="n">
        <v>25.6</v>
      </c>
      <c r="G59" s="17" t="n">
        <v>8</v>
      </c>
      <c r="H59" s="132" t="n">
        <v>8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34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8" t="inlineStr">
        <is>
          <t>덕풍동 대동피렌체</t>
        </is>
      </c>
      <c r="B60" s="79" t="inlineStr">
        <is>
          <t>05.01.</t>
        </is>
      </c>
      <c r="C60" s="129" t="n">
        <v>232</v>
      </c>
      <c r="D60" s="130" t="n">
        <v>40.1</v>
      </c>
      <c r="E60" s="131" t="n">
        <v>12</v>
      </c>
      <c r="F60" s="130" t="n">
        <v>30</v>
      </c>
      <c r="G60" s="17" t="n">
        <v>9</v>
      </c>
      <c r="H60" s="132" t="n">
        <v>12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inlineStr">
        <is>
          <t>40A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8" t="inlineStr">
        <is>
          <t>덕풍동 대동피렌체</t>
        </is>
      </c>
      <c r="B61" s="79" t="inlineStr">
        <is>
          <t>05.01.</t>
        </is>
      </c>
      <c r="C61" s="129" t="n">
        <v>232</v>
      </c>
      <c r="D61" s="130" t="n">
        <v>41.1</v>
      </c>
      <c r="E61" s="131" t="n">
        <v>12</v>
      </c>
      <c r="F61" s="130" t="n">
        <v>30.8</v>
      </c>
      <c r="G61" s="17" t="n">
        <v>9</v>
      </c>
      <c r="H61" s="132" t="n">
        <v>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inlineStr">
        <is>
          <t>41B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8" t="inlineStr">
        <is>
          <t>덕풍동 대동피렌체</t>
        </is>
      </c>
      <c r="B62" s="79" t="inlineStr">
        <is>
          <t>05.01.</t>
        </is>
      </c>
      <c r="C62" s="129" t="n">
        <v>232</v>
      </c>
      <c r="D62" s="130" t="n">
        <v>42.7</v>
      </c>
      <c r="E62" s="131" t="n">
        <v>13</v>
      </c>
      <c r="F62" s="130" t="n">
        <v>32</v>
      </c>
      <c r="G62" s="17" t="n">
        <v>10</v>
      </c>
      <c r="H62" s="132" t="n">
        <v>195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2</v>
      </c>
      <c r="R62" s="120" t="n">
        <v>1</v>
      </c>
      <c r="S62" s="120" t="inlineStr">
        <is>
          <t>복</t>
        </is>
      </c>
      <c r="T62" s="5" t="n">
        <v>42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8" t="inlineStr">
        <is>
          <t>덕풍동 대동피렌체</t>
        </is>
      </c>
      <c r="B63" s="79" t="inlineStr">
        <is>
          <t>05.01.</t>
        </is>
      </c>
      <c r="C63" s="129" t="n">
        <v>232</v>
      </c>
      <c r="D63" s="130" t="n">
        <v>60.9</v>
      </c>
      <c r="E63" s="131" t="n">
        <v>18</v>
      </c>
      <c r="F63" s="130" t="n">
        <v>45.6</v>
      </c>
      <c r="G63" s="17" t="n">
        <v>14</v>
      </c>
      <c r="H63" s="132" t="n">
        <v>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n">
        <v>60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8" t="inlineStr">
        <is>
          <t>덕풍동 덕풍현대</t>
        </is>
      </c>
      <c r="B64" s="79" t="inlineStr">
        <is>
          <t>97.12.</t>
        </is>
      </c>
      <c r="C64" s="129" t="n">
        <v>555</v>
      </c>
      <c r="D64" s="130" t="n">
        <v>81.7</v>
      </c>
      <c r="E64" s="131" t="n">
        <v>25</v>
      </c>
      <c r="F64" s="130" t="n">
        <v>59.9</v>
      </c>
      <c r="G64" s="17" t="n">
        <v>18</v>
      </c>
      <c r="H64" s="132" t="n">
        <v>202</v>
      </c>
      <c r="I64" s="133" t="n">
        <v>51000</v>
      </c>
      <c r="J64" s="133" t="inlineStr">
        <is>
          <t>9</t>
        </is>
      </c>
      <c r="K64" s="133" t="n">
        <v>40000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복</t>
        </is>
      </c>
      <c r="T64" s="5" t="n">
        <v>81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8" t="inlineStr">
        <is>
          <t>덕풍동 덕풍현대</t>
        </is>
      </c>
      <c r="B65" s="79" t="inlineStr">
        <is>
          <t>97.12.</t>
        </is>
      </c>
      <c r="C65" s="129" t="n">
        <v>555</v>
      </c>
      <c r="D65" s="130" t="n">
        <v>108.6</v>
      </c>
      <c r="E65" s="131" t="n">
        <v>33</v>
      </c>
      <c r="F65" s="130" t="n">
        <v>84.8</v>
      </c>
      <c r="G65" s="17" t="n">
        <v>26</v>
      </c>
      <c r="H65" s="132" t="n">
        <v>353</v>
      </c>
      <c r="I65" s="133" t="n">
        <v>61000</v>
      </c>
      <c r="J65" s="133" t="inlineStr">
        <is>
          <t>5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복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8" t="inlineStr">
        <is>
          <t>덕풍동 덕풍서해</t>
        </is>
      </c>
      <c r="B66" s="79" t="inlineStr">
        <is>
          <t>96.04.</t>
        </is>
      </c>
      <c r="C66" s="129" t="n">
        <v>423</v>
      </c>
      <c r="D66" s="130" t="n">
        <v>80.40000000000001</v>
      </c>
      <c r="E66" s="131" t="n">
        <v>24</v>
      </c>
      <c r="F66" s="130" t="n">
        <v>59</v>
      </c>
      <c r="G66" s="17" t="n">
        <v>18</v>
      </c>
      <c r="H66" s="132" t="n">
        <v>213</v>
      </c>
      <c r="I66" s="133" t="n">
        <v>52000</v>
      </c>
      <c r="J66" s="133" t="inlineStr">
        <is>
          <t>6</t>
        </is>
      </c>
      <c r="K66" s="133" t="n">
        <v>35000</v>
      </c>
      <c r="L66" s="133" t="inlineStr">
        <is>
          <t>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2</v>
      </c>
      <c r="R66" s="120" t="n">
        <v>1</v>
      </c>
      <c r="S66" s="120" t="inlineStr">
        <is>
          <t>복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8" t="inlineStr">
        <is>
          <t>덕풍동 덕풍서해</t>
        </is>
      </c>
      <c r="B67" s="79" t="inlineStr">
        <is>
          <t>96.04.</t>
        </is>
      </c>
      <c r="C67" s="129" t="n">
        <v>423</v>
      </c>
      <c r="D67" s="130" t="n">
        <v>105.2</v>
      </c>
      <c r="E67" s="131" t="n">
        <v>32</v>
      </c>
      <c r="F67" s="130" t="n">
        <v>84.90000000000001</v>
      </c>
      <c r="G67" s="17" t="n">
        <v>26</v>
      </c>
      <c r="H67" s="132" t="n">
        <v>174</v>
      </c>
      <c r="I67" s="133" t="n">
        <v>61000</v>
      </c>
      <c r="J67" s="133" t="inlineStr">
        <is>
          <t>13</t>
        </is>
      </c>
      <c r="K67" s="133" t="n">
        <v>50000</v>
      </c>
      <c r="L67" s="133" t="inlineStr">
        <is>
          <t>중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105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8" t="inlineStr">
        <is>
          <t>덕풍동 덕풍서해</t>
        </is>
      </c>
      <c r="B68" s="79" t="inlineStr">
        <is>
          <t>96.04.</t>
        </is>
      </c>
      <c r="C68" s="129" t="n">
        <v>423</v>
      </c>
      <c r="D68" s="130" t="n">
        <v>124</v>
      </c>
      <c r="E68" s="131" t="n">
        <v>38</v>
      </c>
      <c r="F68" s="130" t="n">
        <v>103</v>
      </c>
      <c r="G68" s="17" t="n">
        <v>31</v>
      </c>
      <c r="H68" s="132" t="n">
        <v>36</v>
      </c>
      <c r="I68" s="133" t="n">
        <v>70000</v>
      </c>
      <c r="J68" s="133" t="inlineStr">
        <is>
          <t>중</t>
        </is>
      </c>
      <c r="K68" s="133" t="n">
        <v>45000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124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8" t="inlineStr">
        <is>
          <t>덕풍동 하남풍산아이파크1단지</t>
        </is>
      </c>
      <c r="B69" s="79" t="inlineStr">
        <is>
          <t>08.07.</t>
        </is>
      </c>
      <c r="C69" s="129" t="n">
        <v>686</v>
      </c>
      <c r="D69" s="130" t="n">
        <v>109.7</v>
      </c>
      <c r="E69" s="131" t="n">
        <v>33</v>
      </c>
      <c r="F69" s="130" t="n">
        <v>85</v>
      </c>
      <c r="G69" s="17" t="n">
        <v>26</v>
      </c>
      <c r="H69" s="132" t="n">
        <v>57</v>
      </c>
      <c r="I69" s="133" t="n">
        <v>103000</v>
      </c>
      <c r="J69" s="133" t="inlineStr">
        <is>
          <t>6</t>
        </is>
      </c>
      <c r="K69" s="133" t="n">
        <v>68000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109E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8" t="inlineStr">
        <is>
          <t>덕풍동 하남풍산아이파크1단지</t>
        </is>
      </c>
      <c r="B70" s="79" t="inlineStr">
        <is>
          <t>08.07.</t>
        </is>
      </c>
      <c r="C70" s="129" t="n">
        <v>686</v>
      </c>
      <c r="D70" s="130" t="n">
        <v>111.6</v>
      </c>
      <c r="E70" s="131" t="n">
        <v>34</v>
      </c>
      <c r="F70" s="130" t="n">
        <v>85</v>
      </c>
      <c r="G70" s="17" t="n">
        <v>26</v>
      </c>
      <c r="H70" s="132" t="n">
        <v>136</v>
      </c>
      <c r="I70" s="133" t="n">
        <v>95000</v>
      </c>
      <c r="J70" s="133" t="inlineStr">
        <is>
          <t>중</t>
        </is>
      </c>
      <c r="K70" s="133" t="n">
        <v>58000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복</t>
        </is>
      </c>
      <c r="T70" s="5" t="inlineStr">
        <is>
          <t>111D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8" t="inlineStr">
        <is>
          <t>덕풍동 하남풍산아이파크1단지</t>
        </is>
      </c>
      <c r="B71" s="79" t="inlineStr">
        <is>
          <t>08.07.</t>
        </is>
      </c>
      <c r="C71" s="129" t="n">
        <v>686</v>
      </c>
      <c r="D71" s="130" t="n">
        <v>112.2</v>
      </c>
      <c r="E71" s="131" t="n">
        <v>34</v>
      </c>
      <c r="F71" s="130" t="n">
        <v>85</v>
      </c>
      <c r="G71" s="17" t="n">
        <v>26</v>
      </c>
      <c r="H71" s="132" t="n">
        <v>180</v>
      </c>
      <c r="I71" s="133" t="n">
        <v>100000</v>
      </c>
      <c r="J71" s="133" t="inlineStr">
        <is>
          <t>중</t>
        </is>
      </c>
      <c r="K71" s="133" t="n">
        <v>58000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8" t="inlineStr">
        <is>
          <t>덕풍동 하남풍산아이파크1단지</t>
        </is>
      </c>
      <c r="B72" s="79" t="inlineStr">
        <is>
          <t>08.07.</t>
        </is>
      </c>
      <c r="C72" s="129" t="n">
        <v>686</v>
      </c>
      <c r="D72" s="130" t="n">
        <v>112.2</v>
      </c>
      <c r="E72" s="131" t="n">
        <v>34</v>
      </c>
      <c r="F72" s="130" t="n">
        <v>85</v>
      </c>
      <c r="G72" s="17" t="n">
        <v>26</v>
      </c>
      <c r="H72" s="132" t="n">
        <v>158</v>
      </c>
      <c r="I72" s="133" t="n">
        <v>100000</v>
      </c>
      <c r="J72" s="133" t="inlineStr">
        <is>
          <t>중</t>
        </is>
      </c>
      <c r="K72" s="133" t="n">
        <v>58000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복</t>
        </is>
      </c>
      <c r="T72" s="5" t="inlineStr">
        <is>
          <t>112C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8" t="inlineStr">
        <is>
          <t>덕풍동 하남풍산아이파크1단지</t>
        </is>
      </c>
      <c r="B73" s="79" t="inlineStr">
        <is>
          <t>08.07.</t>
        </is>
      </c>
      <c r="C73" s="129" t="n">
        <v>686</v>
      </c>
      <c r="D73" s="130" t="n">
        <v>112.4</v>
      </c>
      <c r="E73" s="131" t="n">
        <v>34</v>
      </c>
      <c r="F73" s="130" t="n">
        <v>84.90000000000001</v>
      </c>
      <c r="G73" s="17" t="n">
        <v>26</v>
      </c>
      <c r="H73" s="132" t="n">
        <v>57</v>
      </c>
      <c r="I73" s="133" t="n">
        <v>102000</v>
      </c>
      <c r="J73" s="133" t="inlineStr">
        <is>
          <t>6</t>
        </is>
      </c>
      <c r="K73" s="133" t="n">
        <v>57000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112B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8" t="inlineStr">
        <is>
          <t>덕풍동 하남풍산아이파크1단지</t>
        </is>
      </c>
      <c r="B74" s="79" t="inlineStr">
        <is>
          <t>08.07.</t>
        </is>
      </c>
      <c r="C74" s="129" t="n">
        <v>686</v>
      </c>
      <c r="D74" s="130" t="n">
        <v>128.3</v>
      </c>
      <c r="E74" s="131" t="n">
        <v>39</v>
      </c>
      <c r="F74" s="130" t="n">
        <v>100.9</v>
      </c>
      <c r="G74" s="17" t="n">
        <v>31</v>
      </c>
      <c r="H74" s="132" t="n">
        <v>92</v>
      </c>
      <c r="I74" s="133" t="n">
        <v>119500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128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8" t="inlineStr">
        <is>
          <t>덕풍동 하남풍산아이파크1단지</t>
        </is>
      </c>
      <c r="B75" s="79" t="inlineStr">
        <is>
          <t>08.07.</t>
        </is>
      </c>
      <c r="C75" s="129" t="n">
        <v>686</v>
      </c>
      <c r="D75" s="130" t="n">
        <v>134.2</v>
      </c>
      <c r="E75" s="131" t="n">
        <v>41</v>
      </c>
      <c r="F75" s="130" t="n">
        <v>101.7</v>
      </c>
      <c r="G75" s="17" t="n">
        <v>31</v>
      </c>
      <c r="H75" s="132" t="n">
        <v>6</v>
      </c>
      <c r="I75" s="133" t="n">
        <v>170000</v>
      </c>
      <c r="J75" s="133" t="inlineStr">
        <is>
          <t>15</t>
        </is>
      </c>
      <c r="K75" s="133" t="n">
        <v>90000</v>
      </c>
      <c r="L75" s="133" t="inlineStr">
        <is>
          <t>15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복</t>
        </is>
      </c>
      <c r="T75" s="5" t="n">
        <v>134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8" t="inlineStr">
        <is>
          <t>덕풍동 진모루마을현대</t>
        </is>
      </c>
      <c r="B76" s="79" t="inlineStr">
        <is>
          <t>00.12.</t>
        </is>
      </c>
      <c r="C76" s="129" t="n">
        <v>387</v>
      </c>
      <c r="D76" s="130" t="n">
        <v>77.3</v>
      </c>
      <c r="E76" s="131" t="n">
        <v>23</v>
      </c>
      <c r="F76" s="130" t="n">
        <v>59.8</v>
      </c>
      <c r="G76" s="17" t="n">
        <v>18</v>
      </c>
      <c r="H76" s="132" t="n">
        <v>21</v>
      </c>
      <c r="I76" s="133" t="n">
        <v>76000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inlineStr">
        <is>
          <t>77A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8" t="inlineStr">
        <is>
          <t>덕풍동 진모루마을현대</t>
        </is>
      </c>
      <c r="B77" s="79" t="inlineStr">
        <is>
          <t>00.12.</t>
        </is>
      </c>
      <c r="C77" s="129" t="n">
        <v>387</v>
      </c>
      <c r="D77" s="130" t="n">
        <v>77.59999999999999</v>
      </c>
      <c r="E77" s="131" t="n">
        <v>23</v>
      </c>
      <c r="F77" s="130" t="n">
        <v>60</v>
      </c>
      <c r="G77" s="17" t="n">
        <v>18</v>
      </c>
      <c r="H77" s="132" t="n">
        <v>18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inlineStr">
        <is>
          <t>77B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8" t="inlineStr">
        <is>
          <t>덕풍동 진모루마을현대</t>
        </is>
      </c>
      <c r="B78" s="79" t="inlineStr">
        <is>
          <t>00.12.</t>
        </is>
      </c>
      <c r="C78" s="129" t="n">
        <v>387</v>
      </c>
      <c r="D78" s="130" t="n">
        <v>109.9</v>
      </c>
      <c r="E78" s="131" t="n">
        <v>33</v>
      </c>
      <c r="F78" s="130" t="n">
        <v>85</v>
      </c>
      <c r="G78" s="17" t="n">
        <v>26</v>
      </c>
      <c r="H78" s="132" t="n">
        <v>308</v>
      </c>
      <c r="I78" s="133" t="n">
        <v>78000</v>
      </c>
      <c r="J78" s="133" t="inlineStr">
        <is>
          <t>6</t>
        </is>
      </c>
      <c r="K78" s="133" t="n">
        <v>43000</v>
      </c>
      <c r="L78" s="133" t="inlineStr">
        <is>
          <t>6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109A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8" t="inlineStr">
        <is>
          <t>덕풍동 진모루마을현대</t>
        </is>
      </c>
      <c r="B79" s="79" t="inlineStr">
        <is>
          <t>00.12.</t>
        </is>
      </c>
      <c r="C79" s="129" t="n">
        <v>387</v>
      </c>
      <c r="D79" s="130" t="n">
        <v>109.9</v>
      </c>
      <c r="E79" s="131" t="n">
        <v>33</v>
      </c>
      <c r="F79" s="130" t="n">
        <v>85</v>
      </c>
      <c r="G79" s="17" t="n">
        <v>26</v>
      </c>
      <c r="H79" s="132" t="n">
        <v>25</v>
      </c>
      <c r="I79" s="133" t="n">
        <v>78000</v>
      </c>
      <c r="J79" s="133" t="inlineStr">
        <is>
          <t>6</t>
        </is>
      </c>
      <c r="K79" s="133" t="n">
        <v>43000</v>
      </c>
      <c r="L79" s="133" t="inlineStr">
        <is>
          <t>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109B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8" t="inlineStr">
        <is>
          <t>덕풍동 진모루마을현대</t>
        </is>
      </c>
      <c r="B80" s="79" t="inlineStr">
        <is>
          <t>00.12.</t>
        </is>
      </c>
      <c r="C80" s="129" t="n">
        <v>387</v>
      </c>
      <c r="D80" s="130" t="n">
        <v>109.7</v>
      </c>
      <c r="E80" s="131" t="n">
        <v>33</v>
      </c>
      <c r="F80" s="130" t="n">
        <v>84.8</v>
      </c>
      <c r="G80" s="17" t="n">
        <v>26</v>
      </c>
      <c r="H80" s="132" t="n">
        <v>15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109C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8" t="inlineStr">
        <is>
          <t>덕풍동 한솔리치빌1단지</t>
        </is>
      </c>
      <c r="B81" s="79" t="inlineStr">
        <is>
          <t>02.12.</t>
        </is>
      </c>
      <c r="C81" s="129" t="n">
        <v>747</v>
      </c>
      <c r="D81" s="130" t="n">
        <v>115.8</v>
      </c>
      <c r="E81" s="131" t="n">
        <v>35</v>
      </c>
      <c r="F81" s="130" t="n">
        <v>84.8</v>
      </c>
      <c r="G81" s="17" t="n">
        <v>26</v>
      </c>
      <c r="H81" s="132" t="n">
        <v>747</v>
      </c>
      <c r="I81" s="133" t="n">
        <v>65000</v>
      </c>
      <c r="J81" s="133" t="inlineStr">
        <is>
          <t>9</t>
        </is>
      </c>
      <c r="K81" s="133" t="n">
        <v>45000</v>
      </c>
      <c r="L81" s="133" t="inlineStr">
        <is>
          <t>17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115A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8" t="inlineStr">
        <is>
          <t>덕풍동 한솔리치빌3단지</t>
        </is>
      </c>
      <c r="B82" s="79" t="inlineStr">
        <is>
          <t>05.01.</t>
        </is>
      </c>
      <c r="C82" s="129" t="n">
        <v>283</v>
      </c>
      <c r="D82" s="130" t="n">
        <v>81.8</v>
      </c>
      <c r="E82" s="131" t="n">
        <v>25</v>
      </c>
      <c r="F82" s="130" t="n">
        <v>60</v>
      </c>
      <c r="G82" s="17" t="n">
        <v>18</v>
      </c>
      <c r="H82" s="132" t="n">
        <v>20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81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8" t="inlineStr">
        <is>
          <t>덕풍동 한솔리치빌3단지</t>
        </is>
      </c>
      <c r="B83" s="79" t="inlineStr">
        <is>
          <t>05.01.</t>
        </is>
      </c>
      <c r="C83" s="129" t="n">
        <v>283</v>
      </c>
      <c r="D83" s="130" t="n">
        <v>110</v>
      </c>
      <c r="E83" s="131" t="n">
        <v>33</v>
      </c>
      <c r="F83" s="130" t="n">
        <v>85</v>
      </c>
      <c r="G83" s="17" t="n">
        <v>26</v>
      </c>
      <c r="H83" s="132" t="n">
        <v>236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8" t="inlineStr">
        <is>
          <t>덕풍동 한솔리치빌3단지</t>
        </is>
      </c>
      <c r="B84" s="79" t="inlineStr">
        <is>
          <t>05.01.</t>
        </is>
      </c>
      <c r="C84" s="129" t="n">
        <v>283</v>
      </c>
      <c r="D84" s="130" t="n">
        <v>110.3</v>
      </c>
      <c r="E84" s="131" t="n">
        <v>33</v>
      </c>
      <c r="F84" s="130" t="n">
        <v>84.8</v>
      </c>
      <c r="G84" s="17" t="n">
        <v>26</v>
      </c>
      <c r="H84" s="132" t="n">
        <v>19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110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8" t="inlineStr">
        <is>
          <t>덕풍동 한솔리치빌3단지</t>
        </is>
      </c>
      <c r="B85" s="79" t="inlineStr">
        <is>
          <t>05.01.</t>
        </is>
      </c>
      <c r="C85" s="129" t="n">
        <v>283</v>
      </c>
      <c r="D85" s="130" t="n">
        <v>150.3</v>
      </c>
      <c r="E85" s="131" t="n">
        <v>45</v>
      </c>
      <c r="F85" s="130" t="n">
        <v>118.6</v>
      </c>
      <c r="G85" s="17" t="n">
        <v>36</v>
      </c>
      <c r="H85" s="132" t="n">
        <v>8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4</v>
      </c>
      <c r="R85" s="120" t="n">
        <v>2</v>
      </c>
      <c r="S85" s="120" t="inlineStr">
        <is>
          <t>계</t>
        </is>
      </c>
      <c r="T85" s="5" t="n">
        <v>150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8" t="inlineStr">
        <is>
          <t>덕풍동 하남더샵센트럴뷰</t>
        </is>
      </c>
      <c r="B86" s="79" t="inlineStr">
        <is>
          <t>16.08.</t>
        </is>
      </c>
      <c r="C86" s="129" t="n">
        <v>672</v>
      </c>
      <c r="D86" s="130" t="n">
        <v>111.3</v>
      </c>
      <c r="E86" s="131" t="n">
        <v>34</v>
      </c>
      <c r="F86" s="130" t="n">
        <v>84.90000000000001</v>
      </c>
      <c r="G86" s="17" t="n">
        <v>26</v>
      </c>
      <c r="H86" s="132" t="n">
        <v>415</v>
      </c>
      <c r="I86" s="133" t="n">
        <v>95000</v>
      </c>
      <c r="J86" s="133" t="inlineStr">
        <is>
          <t>고</t>
        </is>
      </c>
      <c r="K86" s="133" t="n">
        <v>60000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8" t="inlineStr">
        <is>
          <t>덕풍동 하남더샵센트럴뷰</t>
        </is>
      </c>
      <c r="B87" s="79" t="inlineStr">
        <is>
          <t>16.08.</t>
        </is>
      </c>
      <c r="C87" s="129" t="n">
        <v>672</v>
      </c>
      <c r="D87" s="130" t="n">
        <v>111.3</v>
      </c>
      <c r="E87" s="131" t="n">
        <v>34</v>
      </c>
      <c r="F87" s="130" t="n">
        <v>84.90000000000001</v>
      </c>
      <c r="G87" s="17" t="n">
        <v>26</v>
      </c>
      <c r="H87" s="132" t="n">
        <v>33</v>
      </c>
      <c r="I87" s="133" t="n">
        <v>95000</v>
      </c>
      <c r="J87" s="133" t="inlineStr">
        <is>
          <t>고</t>
        </is>
      </c>
      <c r="K87" s="133" t="n">
        <v>60000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111D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8" t="inlineStr">
        <is>
          <t>덕풍동 하남더샵센트럴뷰</t>
        </is>
      </c>
      <c r="B88" s="79" t="inlineStr">
        <is>
          <t>16.08.</t>
        </is>
      </c>
      <c r="C88" s="129" t="n">
        <v>672</v>
      </c>
      <c r="D88" s="130" t="n">
        <v>112.3</v>
      </c>
      <c r="E88" s="131" t="n">
        <v>34</v>
      </c>
      <c r="F88" s="130" t="n">
        <v>84.3</v>
      </c>
      <c r="G88" s="17" t="n">
        <v>26</v>
      </c>
      <c r="H88" s="132" t="n">
        <v>132</v>
      </c>
      <c r="I88" s="133" t="n">
        <v>95000</v>
      </c>
      <c r="J88" s="133" t="inlineStr">
        <is>
          <t>12</t>
        </is>
      </c>
      <c r="K88" s="133" t="n">
        <v>65000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112B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8" t="inlineStr">
        <is>
          <t>덕풍동 하남더샵센트럴뷰</t>
        </is>
      </c>
      <c r="B89" s="79" t="inlineStr">
        <is>
          <t>16.08.</t>
        </is>
      </c>
      <c r="C89" s="129" t="n">
        <v>672</v>
      </c>
      <c r="D89" s="130" t="n">
        <v>112.2</v>
      </c>
      <c r="E89" s="131" t="n">
        <v>34</v>
      </c>
      <c r="F89" s="130" t="n">
        <v>84.59999999999999</v>
      </c>
      <c r="G89" s="17" t="n">
        <v>26</v>
      </c>
      <c r="H89" s="132" t="n">
        <v>92</v>
      </c>
      <c r="I89" s="133" t="n">
        <v>105000</v>
      </c>
      <c r="J89" s="133" t="inlineStr">
        <is>
          <t>중</t>
        </is>
      </c>
      <c r="K89" s="133" t="n">
        <v>63000</v>
      </c>
      <c r="L89" s="133" t="inlineStr">
        <is>
          <t>중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112C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8" t="inlineStr">
        <is>
          <t>덕풍동 하남한솔솔파크</t>
        </is>
      </c>
      <c r="B90" s="79" t="inlineStr">
        <is>
          <t>06.06.</t>
        </is>
      </c>
      <c r="C90" s="129" t="n">
        <v>616</v>
      </c>
      <c r="D90" s="130" t="n">
        <v>109.7</v>
      </c>
      <c r="E90" s="131" t="n">
        <v>33</v>
      </c>
      <c r="F90" s="130" t="n">
        <v>85</v>
      </c>
      <c r="G90" s="17" t="n">
        <v>26</v>
      </c>
      <c r="H90" s="132" t="n">
        <v>597</v>
      </c>
      <c r="I90" s="133" t="n">
        <v>78000</v>
      </c>
      <c r="J90" s="133" t="inlineStr">
        <is>
          <t>고</t>
        </is>
      </c>
      <c r="K90" s="133" t="n">
        <v>55000</v>
      </c>
      <c r="L90" s="133" t="inlineStr">
        <is>
          <t>15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8" t="inlineStr">
        <is>
          <t>덕풍동 하남한솔솔파크</t>
        </is>
      </c>
      <c r="B91" s="79" t="inlineStr">
        <is>
          <t>06.06.</t>
        </is>
      </c>
      <c r="C91" s="129" t="n">
        <v>616</v>
      </c>
      <c r="D91" s="130" t="n">
        <v>145.6</v>
      </c>
      <c r="E91" s="131" t="n">
        <v>44</v>
      </c>
      <c r="F91" s="130" t="n">
        <v>115.7</v>
      </c>
      <c r="G91" s="17" t="n">
        <v>35</v>
      </c>
      <c r="H91" s="132" t="n">
        <v>19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8" t="inlineStr">
        <is>
          <t>덕풍동 동원베네스트</t>
        </is>
      </c>
      <c r="B92" s="79" t="inlineStr">
        <is>
          <t>08.05.</t>
        </is>
      </c>
      <c r="C92" s="129" t="n">
        <v>217</v>
      </c>
      <c r="D92" s="130" t="n">
        <v>108.1</v>
      </c>
      <c r="E92" s="131" t="n">
        <v>33</v>
      </c>
      <c r="F92" s="130" t="n">
        <v>85</v>
      </c>
      <c r="G92" s="17" t="n">
        <v>26</v>
      </c>
      <c r="H92" s="132" t="n">
        <v>217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108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8" t="inlineStr">
        <is>
          <t>덕풍동 KCC스위첸</t>
        </is>
      </c>
      <c r="B93" s="79" t="inlineStr">
        <is>
          <t>06.02.</t>
        </is>
      </c>
      <c r="C93" s="129" t="n">
        <v>244</v>
      </c>
      <c r="D93" s="130" t="n">
        <v>107.9</v>
      </c>
      <c r="E93" s="131" t="n">
        <v>33</v>
      </c>
      <c r="F93" s="130" t="n">
        <v>85</v>
      </c>
      <c r="G93" s="17" t="n">
        <v>26</v>
      </c>
      <c r="H93" s="132" t="n">
        <v>213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107A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8" t="inlineStr">
        <is>
          <t>덕풍동 KCC스위첸</t>
        </is>
      </c>
      <c r="B94" s="79" t="inlineStr">
        <is>
          <t>06.02.</t>
        </is>
      </c>
      <c r="C94" s="129" t="n">
        <v>244</v>
      </c>
      <c r="D94" s="130" t="n">
        <v>107.9</v>
      </c>
      <c r="E94" s="131" t="n">
        <v>33</v>
      </c>
      <c r="F94" s="130" t="n">
        <v>85</v>
      </c>
      <c r="G94" s="17" t="n">
        <v>26</v>
      </c>
      <c r="H94" s="132" t="n">
        <v>19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107B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8" t="inlineStr">
        <is>
          <t>덕풍동 KCC스위첸</t>
        </is>
      </c>
      <c r="B95" s="79" t="inlineStr">
        <is>
          <t>06.02.</t>
        </is>
      </c>
      <c r="C95" s="129" t="n">
        <v>244</v>
      </c>
      <c r="D95" s="130" t="n">
        <v>112</v>
      </c>
      <c r="E95" s="131" t="n">
        <v>34</v>
      </c>
      <c r="F95" s="130" t="n">
        <v>84.90000000000001</v>
      </c>
      <c r="G95" s="17" t="n">
        <v>26</v>
      </c>
      <c r="H95" s="132" t="n">
        <v>12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112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8" t="inlineStr">
        <is>
          <t>덕풍동 삼부르네상스</t>
        </is>
      </c>
      <c r="B96" s="79" t="inlineStr">
        <is>
          <t>08.08.</t>
        </is>
      </c>
      <c r="C96" s="129" t="n">
        <v>471</v>
      </c>
      <c r="D96" s="130" t="n">
        <v>128.5</v>
      </c>
      <c r="E96" s="131" t="n">
        <v>39</v>
      </c>
      <c r="F96" s="130" t="n">
        <v>102</v>
      </c>
      <c r="G96" s="17" t="n">
        <v>31</v>
      </c>
      <c r="H96" s="132" t="n">
        <v>224</v>
      </c>
      <c r="I96" s="133" t="n">
        <v>120000</v>
      </c>
      <c r="J96" s="133" t="inlineStr">
        <is>
          <t>11</t>
        </is>
      </c>
      <c r="K96" s="133" t="n">
        <v>71000</v>
      </c>
      <c r="L96" s="133" t="inlineStr">
        <is>
          <t>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inlineStr">
        <is>
          <t>128A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8" t="inlineStr">
        <is>
          <t>덕풍동 삼부르네상스</t>
        </is>
      </c>
      <c r="B97" s="79" t="inlineStr">
        <is>
          <t>08.08.</t>
        </is>
      </c>
      <c r="C97" s="129" t="n">
        <v>471</v>
      </c>
      <c r="D97" s="130" t="n">
        <v>128.5</v>
      </c>
      <c r="E97" s="131" t="n">
        <v>39</v>
      </c>
      <c r="F97" s="130" t="n">
        <v>102</v>
      </c>
      <c r="G97" s="17" t="n">
        <v>31</v>
      </c>
      <c r="H97" s="132" t="n">
        <v>104</v>
      </c>
      <c r="I97" s="133" t="n">
        <v>120000</v>
      </c>
      <c r="J97" s="133" t="inlineStr">
        <is>
          <t>11</t>
        </is>
      </c>
      <c r="K97" s="133" t="n">
        <v>71000</v>
      </c>
      <c r="L97" s="133" t="inlineStr">
        <is>
          <t>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inlineStr">
        <is>
          <t>128D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8" t="inlineStr">
        <is>
          <t>덕풍동 삼부르네상스</t>
        </is>
      </c>
      <c r="B98" s="79" t="inlineStr">
        <is>
          <t>08.08.</t>
        </is>
      </c>
      <c r="C98" s="129" t="n">
        <v>471</v>
      </c>
      <c r="D98" s="130" t="n">
        <v>128.3</v>
      </c>
      <c r="E98" s="131" t="n">
        <v>39</v>
      </c>
      <c r="F98" s="130" t="n">
        <v>102</v>
      </c>
      <c r="G98" s="17" t="n">
        <v>31</v>
      </c>
      <c r="H98" s="132" t="n">
        <v>103</v>
      </c>
      <c r="I98" s="133" t="n">
        <v>105000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inlineStr">
        <is>
          <t>128C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8" t="inlineStr">
        <is>
          <t>덕풍동 삼부르네상스</t>
        </is>
      </c>
      <c r="B99" s="79" t="inlineStr">
        <is>
          <t>08.08.</t>
        </is>
      </c>
      <c r="C99" s="129" t="n">
        <v>471</v>
      </c>
      <c r="D99" s="130" t="n">
        <v>128.4</v>
      </c>
      <c r="E99" s="131" t="n">
        <v>39</v>
      </c>
      <c r="F99" s="130" t="n">
        <v>102</v>
      </c>
      <c r="G99" s="17" t="n">
        <v>31</v>
      </c>
      <c r="H99" s="132" t="n">
        <v>40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128B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8" t="inlineStr">
        <is>
          <t>덕풍동 하남자이</t>
        </is>
      </c>
      <c r="B100" s="79" t="inlineStr">
        <is>
          <t>06.04.</t>
        </is>
      </c>
      <c r="C100" s="129" t="n">
        <v>875</v>
      </c>
      <c r="D100" s="130" t="n">
        <v>78.5</v>
      </c>
      <c r="E100" s="131" t="n">
        <v>24</v>
      </c>
      <c r="F100" s="130" t="n">
        <v>60</v>
      </c>
      <c r="G100" s="17" t="n">
        <v>18</v>
      </c>
      <c r="H100" s="132" t="n">
        <v>80</v>
      </c>
      <c r="I100" s="133" t="n">
        <v>65000</v>
      </c>
      <c r="J100" s="133" t="inlineStr">
        <is>
          <t>12</t>
        </is>
      </c>
      <c r="K100" s="133" t="n">
        <v>45000</v>
      </c>
      <c r="L100" s="133" t="inlineStr">
        <is>
          <t>7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78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8" t="inlineStr">
        <is>
          <t>덕풍동 하남자이</t>
        </is>
      </c>
      <c r="B101" s="79" t="inlineStr">
        <is>
          <t>06.04.</t>
        </is>
      </c>
      <c r="C101" s="129" t="n">
        <v>875</v>
      </c>
      <c r="D101" s="130" t="n">
        <v>81.3</v>
      </c>
      <c r="E101" s="131" t="n">
        <v>25</v>
      </c>
      <c r="F101" s="130" t="n">
        <v>60</v>
      </c>
      <c r="G101" s="17" t="n">
        <v>18</v>
      </c>
      <c r="H101" s="132" t="n">
        <v>104</v>
      </c>
      <c r="I101" s="133" t="n">
        <v>65000</v>
      </c>
      <c r="J101" s="133" t="inlineStr">
        <is>
          <t>21</t>
        </is>
      </c>
      <c r="K101" s="133" t="n">
        <v>45000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81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8" t="inlineStr">
        <is>
          <t>덕풍동 하남자이</t>
        </is>
      </c>
      <c r="B102" s="79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73000</v>
      </c>
      <c r="J102" s="133" t="inlineStr">
        <is>
          <t>12</t>
        </is>
      </c>
      <c r="K102" s="133" t="n">
        <v>50000</v>
      </c>
      <c r="L102" s="133" t="inlineStr">
        <is>
          <t>18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107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8" t="inlineStr">
        <is>
          <t>덕풍동 하남자이</t>
        </is>
      </c>
      <c r="B103" s="79" t="inlineStr">
        <is>
          <t>06.04.</t>
        </is>
      </c>
      <c r="C103" s="129" t="n">
        <v>875</v>
      </c>
      <c r="D103" s="130" t="n">
        <v>154.9</v>
      </c>
      <c r="E103" s="131" t="n">
        <v>47</v>
      </c>
      <c r="F103" s="130" t="n">
        <v>125.1</v>
      </c>
      <c r="G103" s="17" t="n">
        <v>38</v>
      </c>
      <c r="H103" s="132" t="n">
        <v>98</v>
      </c>
      <c r="I103" s="133" t="n">
        <v>84000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154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8" t="inlineStr">
        <is>
          <t>덕풍동 한솔리치빌5단지</t>
        </is>
      </c>
      <c r="B104" s="79" t="inlineStr">
        <is>
          <t>06.02.</t>
        </is>
      </c>
      <c r="C104" s="129" t="n">
        <v>268</v>
      </c>
      <c r="D104" s="130" t="n">
        <v>82.5</v>
      </c>
      <c r="E104" s="131" t="n">
        <v>25</v>
      </c>
      <c r="F104" s="130" t="n">
        <v>60</v>
      </c>
      <c r="G104" s="17" t="n">
        <v>18</v>
      </c>
      <c r="H104" s="132" t="n">
        <v>40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82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8" t="inlineStr">
        <is>
          <t>덕풍동 한솔리치빌5단지</t>
        </is>
      </c>
      <c r="B105" s="79" t="inlineStr">
        <is>
          <t>06.02.</t>
        </is>
      </c>
      <c r="C105" s="129" t="n">
        <v>268</v>
      </c>
      <c r="D105" s="130" t="n">
        <v>109.8</v>
      </c>
      <c r="E105" s="131" t="n">
        <v>33</v>
      </c>
      <c r="F105" s="130" t="n">
        <v>84.90000000000001</v>
      </c>
      <c r="G105" s="17" t="n">
        <v>26</v>
      </c>
      <c r="H105" s="132" t="n">
        <v>18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109B</t>
        </is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8" t="inlineStr">
        <is>
          <t>덕풍동 한솔리치빌5단지</t>
        </is>
      </c>
      <c r="B106" s="79" t="inlineStr">
        <is>
          <t>06.02.</t>
        </is>
      </c>
      <c r="C106" s="129" t="n">
        <v>268</v>
      </c>
      <c r="D106" s="130" t="n">
        <v>110.1</v>
      </c>
      <c r="E106" s="131" t="n">
        <v>33</v>
      </c>
      <c r="F106" s="130" t="n">
        <v>85</v>
      </c>
      <c r="G106" s="17" t="n">
        <v>26</v>
      </c>
      <c r="H106" s="132" t="n">
        <v>210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110A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8" t="inlineStr">
        <is>
          <t>덕풍동 더샵하남에디피스</t>
        </is>
      </c>
      <c r="B107" s="79" t="inlineStr">
        <is>
          <t>24.03.</t>
        </is>
      </c>
      <c r="C107" s="129" t="n">
        <v>980</v>
      </c>
      <c r="D107" s="130" t="n">
        <v>56</v>
      </c>
      <c r="E107" s="131" t="n">
        <v>17</v>
      </c>
      <c r="F107" s="130" t="n">
        <v>39.5</v>
      </c>
      <c r="G107" s="17" t="n">
        <v>12</v>
      </c>
      <c r="H107" s="132" t="n">
        <v>2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계</t>
        </is>
      </c>
      <c r="T107" s="5" t="inlineStr">
        <is>
          <t>55B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8" t="inlineStr">
        <is>
          <t>덕풍동 더샵하남에디피스</t>
        </is>
      </c>
      <c r="B108" s="79" t="inlineStr">
        <is>
          <t>24.03.</t>
        </is>
      </c>
      <c r="C108" s="129" t="n">
        <v>980</v>
      </c>
      <c r="D108" s="130" t="n">
        <v>56.1</v>
      </c>
      <c r="E108" s="131" t="n">
        <v>17</v>
      </c>
      <c r="F108" s="130" t="n">
        <v>39.4</v>
      </c>
      <c r="G108" s="17" t="n">
        <v>12</v>
      </c>
      <c r="H108" s="132" t="n">
        <v>10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1</v>
      </c>
      <c r="R108" s="120" t="n">
        <v>1</v>
      </c>
      <c r="S108" s="120" t="inlineStr">
        <is>
          <t>계</t>
        </is>
      </c>
      <c r="T108" s="5" t="inlineStr">
        <is>
          <t>56A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8" t="inlineStr">
        <is>
          <t>덕풍동 더샵하남에디피스</t>
        </is>
      </c>
      <c r="B109" s="79" t="inlineStr">
        <is>
          <t>24.03.</t>
        </is>
      </c>
      <c r="C109" s="129" t="n">
        <v>980</v>
      </c>
      <c r="D109" s="130" t="n">
        <v>69.40000000000001</v>
      </c>
      <c r="E109" s="131" t="n">
        <v>21</v>
      </c>
      <c r="F109" s="130" t="n">
        <v>50.2</v>
      </c>
      <c r="G109" s="17" t="n">
        <v>15</v>
      </c>
      <c r="H109" s="132" t="n">
        <v>12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n">
        <v>69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8" t="inlineStr">
        <is>
          <t>덕풍동 더샵하남에디피스</t>
        </is>
      </c>
      <c r="B110" s="79" t="inlineStr">
        <is>
          <t>24.03.</t>
        </is>
      </c>
      <c r="C110" s="129" t="n">
        <v>980</v>
      </c>
      <c r="D110" s="130" t="n">
        <v>79.40000000000001</v>
      </c>
      <c r="E110" s="131" t="n">
        <v>24</v>
      </c>
      <c r="F110" s="130" t="n">
        <v>60</v>
      </c>
      <c r="G110" s="17" t="n">
        <v>18</v>
      </c>
      <c r="H110" s="132" t="n">
        <v>408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inlineStr">
        <is>
          <t>79A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8" t="inlineStr">
        <is>
          <t>덕풍동 더샵하남에디피스</t>
        </is>
      </c>
      <c r="B111" s="79" t="inlineStr">
        <is>
          <t>24.03.</t>
        </is>
      </c>
      <c r="C111" s="129" t="n">
        <v>980</v>
      </c>
      <c r="D111" s="130" t="n">
        <v>79.7</v>
      </c>
      <c r="E111" s="131" t="n">
        <v>24</v>
      </c>
      <c r="F111" s="130" t="n">
        <v>59.9</v>
      </c>
      <c r="G111" s="17" t="n">
        <v>18</v>
      </c>
      <c r="H111" s="132" t="n">
        <v>118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8" t="inlineStr">
        <is>
          <t>덕풍동 더샵하남에디피스</t>
        </is>
      </c>
      <c r="B112" s="79" t="inlineStr">
        <is>
          <t>24.03.</t>
        </is>
      </c>
      <c r="C112" s="129" t="n">
        <v>980</v>
      </c>
      <c r="D112" s="130" t="n">
        <v>99.09999999999999</v>
      </c>
      <c r="E112" s="131" t="n">
        <v>30</v>
      </c>
      <c r="F112" s="130" t="n">
        <v>74.59999999999999</v>
      </c>
      <c r="G112" s="17" t="n">
        <v>23</v>
      </c>
      <c r="H112" s="132" t="n">
        <v>139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99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8" t="inlineStr">
        <is>
          <t>덕풍동 더샵하남에디피스</t>
        </is>
      </c>
      <c r="B113" s="79" t="inlineStr">
        <is>
          <t>24.03.</t>
        </is>
      </c>
      <c r="C113" s="129" t="n">
        <v>980</v>
      </c>
      <c r="D113" s="130" t="n">
        <v>109.7</v>
      </c>
      <c r="E113" s="131" t="n">
        <v>33</v>
      </c>
      <c r="F113" s="130" t="n">
        <v>84.90000000000001</v>
      </c>
      <c r="G113" s="17" t="n">
        <v>26</v>
      </c>
      <c r="H113" s="132" t="n">
        <v>241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8" t="inlineStr">
        <is>
          <t>덕풍동 하남풍산아이파크5단지</t>
        </is>
      </c>
      <c r="B114" s="79" t="inlineStr">
        <is>
          <t>08.07.</t>
        </is>
      </c>
      <c r="C114" s="129" t="n">
        <v>365</v>
      </c>
      <c r="D114" s="130" t="n">
        <v>109.6</v>
      </c>
      <c r="E114" s="131" t="n">
        <v>33</v>
      </c>
      <c r="F114" s="130" t="n">
        <v>85</v>
      </c>
      <c r="G114" s="17" t="n">
        <v>26</v>
      </c>
      <c r="H114" s="132" t="n">
        <v>41</v>
      </c>
      <c r="I114" s="133" t="n">
        <v>110000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109E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8" t="inlineStr">
        <is>
          <t>덕풍동 하남풍산아이파크5단지</t>
        </is>
      </c>
      <c r="B115" s="79" t="inlineStr">
        <is>
          <t>08.07.</t>
        </is>
      </c>
      <c r="C115" s="129" t="n">
        <v>365</v>
      </c>
      <c r="D115" s="130" t="n">
        <v>110.9</v>
      </c>
      <c r="E115" s="131" t="n">
        <v>34</v>
      </c>
      <c r="F115" s="130" t="n">
        <v>85</v>
      </c>
      <c r="G115" s="17" t="n">
        <v>26</v>
      </c>
      <c r="H115" s="132" t="n">
        <v>78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복</t>
        </is>
      </c>
      <c r="T115" s="5" t="inlineStr">
        <is>
          <t>110C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8" t="inlineStr">
        <is>
          <t>덕풍동 하남풍산아이파크5단지</t>
        </is>
      </c>
      <c r="B116" s="79" t="inlineStr">
        <is>
          <t>08.07.</t>
        </is>
      </c>
      <c r="C116" s="129" t="n">
        <v>365</v>
      </c>
      <c r="D116" s="130" t="n">
        <v>110.2</v>
      </c>
      <c r="E116" s="131" t="n">
        <v>33</v>
      </c>
      <c r="F116" s="130" t="n">
        <v>85</v>
      </c>
      <c r="G116" s="17" t="n">
        <v>26</v>
      </c>
      <c r="H116" s="132" t="n">
        <v>74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복</t>
        </is>
      </c>
      <c r="T116" s="5" t="inlineStr">
        <is>
          <t>110D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8" t="inlineStr">
        <is>
          <t>덕풍동 하남풍산아이파크5단지</t>
        </is>
      </c>
      <c r="B117" s="79" t="inlineStr">
        <is>
          <t>08.07.</t>
        </is>
      </c>
      <c r="C117" s="129" t="n">
        <v>365</v>
      </c>
      <c r="D117" s="130" t="n">
        <v>111.8</v>
      </c>
      <c r="E117" s="131" t="n">
        <v>34</v>
      </c>
      <c r="F117" s="130" t="n">
        <v>85</v>
      </c>
      <c r="G117" s="17" t="n">
        <v>26</v>
      </c>
      <c r="H117" s="132" t="n">
        <v>131</v>
      </c>
      <c r="I117" s="133" t="n">
        <v>98000</v>
      </c>
      <c r="J117" s="133" t="inlineStr">
        <is>
          <t>5</t>
        </is>
      </c>
      <c r="K117" s="133" t="n">
        <v>60000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inlineStr">
        <is>
          <t>111A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8" t="inlineStr">
        <is>
          <t>덕풍동 하남풍산아이파크5단지</t>
        </is>
      </c>
      <c r="B118" s="79" t="inlineStr">
        <is>
          <t>08.07.</t>
        </is>
      </c>
      <c r="C118" s="129" t="n">
        <v>365</v>
      </c>
      <c r="D118" s="130" t="n">
        <v>112.3</v>
      </c>
      <c r="E118" s="131" t="n">
        <v>34</v>
      </c>
      <c r="F118" s="130" t="n">
        <v>84.90000000000001</v>
      </c>
      <c r="G118" s="17" t="n">
        <v>26</v>
      </c>
      <c r="H118" s="132" t="n">
        <v>41</v>
      </c>
      <c r="I118" s="133" t="n">
        <v>105000</v>
      </c>
      <c r="J118" s="133" t="inlineStr">
        <is>
          <t>고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112B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8" t="inlineStr">
        <is>
          <t>망월동 미사강변사랑으로부영</t>
        </is>
      </c>
      <c r="B119" s="79" t="inlineStr">
        <is>
          <t>17.10.</t>
        </is>
      </c>
      <c r="C119" s="129" t="n">
        <v>1104</v>
      </c>
      <c r="D119" s="130" t="n">
        <v>84.5</v>
      </c>
      <c r="E119" s="131" t="n">
        <v>26</v>
      </c>
      <c r="F119" s="130" t="n">
        <v>60.9</v>
      </c>
      <c r="G119" s="17" t="n">
        <v>18</v>
      </c>
      <c r="H119" s="132" t="n">
        <v>196</v>
      </c>
      <c r="I119" s="133" t="n">
        <v>82000</v>
      </c>
      <c r="J119" s="133" t="inlineStr">
        <is>
          <t>중</t>
        </is>
      </c>
      <c r="K119" s="133" t="n">
        <v>55000</v>
      </c>
      <c r="L119" s="133" t="inlineStr">
        <is>
          <t>중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84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8" t="inlineStr">
        <is>
          <t>망월동 미사강변사랑으로부영</t>
        </is>
      </c>
      <c r="B120" s="79" t="inlineStr">
        <is>
          <t>17.10.</t>
        </is>
      </c>
      <c r="C120" s="129" t="n">
        <v>1104</v>
      </c>
      <c r="D120" s="130" t="n">
        <v>113.8</v>
      </c>
      <c r="E120" s="131" t="n">
        <v>34</v>
      </c>
      <c r="F120" s="130" t="n">
        <v>85</v>
      </c>
      <c r="G120" s="17" t="n">
        <v>26</v>
      </c>
      <c r="H120" s="132" t="n">
        <v>452</v>
      </c>
      <c r="I120" s="133" t="n">
        <v>100000</v>
      </c>
      <c r="J120" s="133" t="inlineStr">
        <is>
          <t>18</t>
        </is>
      </c>
      <c r="K120" s="133" t="n">
        <v>55000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113A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8" t="inlineStr">
        <is>
          <t>망월동 미사강변사랑으로부영</t>
        </is>
      </c>
      <c r="B121" s="79" t="inlineStr">
        <is>
          <t>17.10.</t>
        </is>
      </c>
      <c r="C121" s="129" t="n">
        <v>1104</v>
      </c>
      <c r="D121" s="130" t="n">
        <v>113.5</v>
      </c>
      <c r="E121" s="131" t="n">
        <v>34</v>
      </c>
      <c r="F121" s="130" t="n">
        <v>85</v>
      </c>
      <c r="G121" s="17" t="n">
        <v>26</v>
      </c>
      <c r="H121" s="132" t="n">
        <v>230</v>
      </c>
      <c r="I121" s="133" t="n">
        <v>100000</v>
      </c>
      <c r="J121" s="133" t="inlineStr">
        <is>
          <t>중</t>
        </is>
      </c>
      <c r="K121" s="133" t="n">
        <v>61000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113B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8" t="inlineStr">
        <is>
          <t>망월동 미사강변사랑으로부영</t>
        </is>
      </c>
      <c r="B122" s="79" t="inlineStr">
        <is>
          <t>17.10.</t>
        </is>
      </c>
      <c r="C122" s="129" t="n">
        <v>1104</v>
      </c>
      <c r="D122" s="130" t="n">
        <v>113.7</v>
      </c>
      <c r="E122" s="131" t="n">
        <v>34</v>
      </c>
      <c r="F122" s="130" t="n">
        <v>85</v>
      </c>
      <c r="G122" s="17" t="n">
        <v>26</v>
      </c>
      <c r="H122" s="132" t="n">
        <v>226</v>
      </c>
      <c r="I122" s="133" t="n">
        <v>92000</v>
      </c>
      <c r="J122" s="133" t="inlineStr">
        <is>
          <t>21</t>
        </is>
      </c>
      <c r="K122" s="133" t="n">
        <v>56000</v>
      </c>
      <c r="L122" s="133" t="inlineStr">
        <is>
          <t>고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113C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8" t="inlineStr">
        <is>
          <t>망월동 미사강변센텀팰리스</t>
        </is>
      </c>
      <c r="B123" s="79" t="inlineStr">
        <is>
          <t>16.07.</t>
        </is>
      </c>
      <c r="C123" s="129" t="n">
        <v>1455</v>
      </c>
      <c r="D123" s="130" t="n">
        <v>98.3</v>
      </c>
      <c r="E123" s="131" t="n">
        <v>30</v>
      </c>
      <c r="F123" s="130" t="n">
        <v>74.90000000000001</v>
      </c>
      <c r="G123" s="17" t="n">
        <v>23</v>
      </c>
      <c r="H123" s="132" t="n">
        <v>249</v>
      </c>
      <c r="I123" s="133" t="n">
        <v>90000</v>
      </c>
      <c r="J123" s="133" t="inlineStr">
        <is>
          <t>5</t>
        </is>
      </c>
      <c r="K123" s="133" t="n">
        <v>55000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98A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8" t="inlineStr">
        <is>
          <t>망월동 미사강변센텀팰리스</t>
        </is>
      </c>
      <c r="B124" s="79" t="inlineStr">
        <is>
          <t>16.07.</t>
        </is>
      </c>
      <c r="C124" s="129" t="n">
        <v>1455</v>
      </c>
      <c r="D124" s="130" t="n">
        <v>98.40000000000001</v>
      </c>
      <c r="E124" s="131" t="n">
        <v>30</v>
      </c>
      <c r="F124" s="130" t="n">
        <v>74.90000000000001</v>
      </c>
      <c r="G124" s="17" t="n">
        <v>23</v>
      </c>
      <c r="H124" s="132" t="n">
        <v>100</v>
      </c>
      <c r="I124" s="133" t="n">
        <v>96000</v>
      </c>
      <c r="J124" s="133" t="inlineStr">
        <is>
          <t>11</t>
        </is>
      </c>
      <c r="K124" s="133" t="n">
        <v>62000</v>
      </c>
      <c r="L124" s="133" t="inlineStr">
        <is>
          <t>고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98C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8" t="inlineStr">
        <is>
          <t>망월동 미사강변센텀팰리스</t>
        </is>
      </c>
      <c r="B125" s="79" t="inlineStr">
        <is>
          <t>16.07.</t>
        </is>
      </c>
      <c r="C125" s="129" t="n">
        <v>1455</v>
      </c>
      <c r="D125" s="130" t="n">
        <v>98.40000000000001</v>
      </c>
      <c r="E125" s="131" t="n">
        <v>30</v>
      </c>
      <c r="F125" s="130" t="n">
        <v>74.90000000000001</v>
      </c>
      <c r="G125" s="17" t="n">
        <v>23</v>
      </c>
      <c r="H125" s="132" t="n">
        <v>65</v>
      </c>
      <c r="I125" s="133" t="n">
        <v>96000</v>
      </c>
      <c r="J125" s="133" t="inlineStr">
        <is>
          <t>11</t>
        </is>
      </c>
      <c r="K125" s="133" t="n">
        <v>62000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98B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8" t="inlineStr">
        <is>
          <t>망월동 미사강변센텀팰리스</t>
        </is>
      </c>
      <c r="B126" s="79" t="inlineStr">
        <is>
          <t>16.07.</t>
        </is>
      </c>
      <c r="C126" s="129" t="n">
        <v>1455</v>
      </c>
      <c r="D126" s="130" t="n">
        <v>98.3</v>
      </c>
      <c r="E126" s="131" t="n">
        <v>30</v>
      </c>
      <c r="F126" s="130" t="n">
        <v>74.90000000000001</v>
      </c>
      <c r="G126" s="17" t="n">
        <v>23</v>
      </c>
      <c r="H126" s="132" t="n">
        <v>44</v>
      </c>
      <c r="I126" s="133" t="n">
        <v>90000</v>
      </c>
      <c r="J126" s="133" t="inlineStr">
        <is>
          <t>5</t>
        </is>
      </c>
      <c r="K126" s="133" t="n">
        <v>55000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inlineStr">
        <is>
          <t>98AN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8" t="inlineStr">
        <is>
          <t>망월동 미사강변센텀팰리스</t>
        </is>
      </c>
      <c r="B127" s="79" t="inlineStr">
        <is>
          <t>16.07.</t>
        </is>
      </c>
      <c r="C127" s="129" t="n">
        <v>1455</v>
      </c>
      <c r="D127" s="130" t="n">
        <v>111.2</v>
      </c>
      <c r="E127" s="131" t="n">
        <v>34</v>
      </c>
      <c r="F127" s="130" t="n">
        <v>84.7</v>
      </c>
      <c r="G127" s="17" t="n">
        <v>26</v>
      </c>
      <c r="H127" s="132" t="n">
        <v>502</v>
      </c>
      <c r="I127" s="133" t="n">
        <v>95000</v>
      </c>
      <c r="J127" s="133" t="inlineStr">
        <is>
          <t>5</t>
        </is>
      </c>
      <c r="K127" s="133" t="n">
        <v>55000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111B1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8" t="inlineStr">
        <is>
          <t>망월동 미사강변센텀팰리스</t>
        </is>
      </c>
      <c r="B128" s="79" t="inlineStr">
        <is>
          <t>16.07.</t>
        </is>
      </c>
      <c r="C128" s="129" t="n">
        <v>1455</v>
      </c>
      <c r="D128" s="130" t="n">
        <v>111.6</v>
      </c>
      <c r="E128" s="131" t="n">
        <v>34</v>
      </c>
      <c r="F128" s="130" t="n">
        <v>85</v>
      </c>
      <c r="G128" s="17" t="n">
        <v>26</v>
      </c>
      <c r="H128" s="132" t="n">
        <v>202</v>
      </c>
      <c r="I128" s="133" t="n">
        <v>100000</v>
      </c>
      <c r="J128" s="133" t="inlineStr">
        <is>
          <t>5</t>
        </is>
      </c>
      <c r="K128" s="133" t="n">
        <v>58000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111C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8" t="inlineStr">
        <is>
          <t>망월동 미사강변센텀팰리스</t>
        </is>
      </c>
      <c r="B129" s="79" t="inlineStr">
        <is>
          <t>16.07.</t>
        </is>
      </c>
      <c r="C129" s="129" t="n">
        <v>1455</v>
      </c>
      <c r="D129" s="130" t="n">
        <v>111.4</v>
      </c>
      <c r="E129" s="131" t="n">
        <v>34</v>
      </c>
      <c r="F129" s="130" t="n">
        <v>84.90000000000001</v>
      </c>
      <c r="G129" s="17" t="n">
        <v>26</v>
      </c>
      <c r="H129" s="132" t="n">
        <v>174</v>
      </c>
      <c r="I129" s="133" t="n">
        <v>100000</v>
      </c>
      <c r="J129" s="133" t="inlineStr">
        <is>
          <t>고</t>
        </is>
      </c>
      <c r="K129" s="133" t="n">
        <v>55600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111B3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8" t="inlineStr">
        <is>
          <t>망월동 미사강변센텀팰리스</t>
        </is>
      </c>
      <c r="B130" s="79" t="inlineStr">
        <is>
          <t>16.07.</t>
        </is>
      </c>
      <c r="C130" s="129" t="n">
        <v>1455</v>
      </c>
      <c r="D130" s="130" t="n">
        <v>111.4</v>
      </c>
      <c r="E130" s="131" t="n">
        <v>34</v>
      </c>
      <c r="F130" s="130" t="n">
        <v>84.90000000000001</v>
      </c>
      <c r="G130" s="17" t="n">
        <v>26</v>
      </c>
      <c r="H130" s="132" t="n">
        <v>52</v>
      </c>
      <c r="I130" s="133" t="n">
        <v>100000</v>
      </c>
      <c r="J130" s="133" t="inlineStr">
        <is>
          <t>고</t>
        </is>
      </c>
      <c r="K130" s="133" t="n">
        <v>55600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111B2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8" t="inlineStr">
        <is>
          <t>망월동 미사강변센텀팰리스</t>
        </is>
      </c>
      <c r="B131" s="79" t="inlineStr">
        <is>
          <t>16.07.</t>
        </is>
      </c>
      <c r="C131" s="129" t="n">
        <v>1455</v>
      </c>
      <c r="D131" s="130" t="n">
        <v>111.6</v>
      </c>
      <c r="E131" s="131" t="n">
        <v>34</v>
      </c>
      <c r="F131" s="130" t="n">
        <v>85</v>
      </c>
      <c r="G131" s="17" t="n">
        <v>26</v>
      </c>
      <c r="H131" s="132" t="n">
        <v>35</v>
      </c>
      <c r="I131" s="133" t="n">
        <v>100000</v>
      </c>
      <c r="J131" s="133" t="inlineStr">
        <is>
          <t>5</t>
        </is>
      </c>
      <c r="K131" s="133" t="n">
        <v>58000</v>
      </c>
      <c r="L131" s="133" t="inlineStr">
        <is>
          <t>13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111A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8" t="inlineStr">
        <is>
          <t>망월동 미사강변센텀팰리스</t>
        </is>
      </c>
      <c r="B132" s="79" t="inlineStr">
        <is>
          <t>16.07.</t>
        </is>
      </c>
      <c r="C132" s="129" t="n">
        <v>1455</v>
      </c>
      <c r="D132" s="130" t="n">
        <v>111.6</v>
      </c>
      <c r="E132" s="131" t="n">
        <v>34</v>
      </c>
      <c r="F132" s="130" t="n">
        <v>85</v>
      </c>
      <c r="G132" s="17" t="n">
        <v>26</v>
      </c>
      <c r="H132" s="132" t="n">
        <v>32</v>
      </c>
      <c r="I132" s="133" t="n">
        <v>100000</v>
      </c>
      <c r="J132" s="133" t="inlineStr">
        <is>
          <t>5</t>
        </is>
      </c>
      <c r="K132" s="133" t="n">
        <v>58000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111AN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8" t="inlineStr">
        <is>
          <t>망월동 미사강변하우스디더레이크</t>
        </is>
      </c>
      <c r="B133" s="79" t="inlineStr">
        <is>
          <t>16.05.</t>
        </is>
      </c>
      <c r="C133" s="129" t="n">
        <v>821</v>
      </c>
      <c r="D133" s="130" t="n">
        <v>99</v>
      </c>
      <c r="E133" s="131" t="n">
        <v>30</v>
      </c>
      <c r="F133" s="130" t="n">
        <v>74.90000000000001</v>
      </c>
      <c r="G133" s="17" t="n">
        <v>23</v>
      </c>
      <c r="H133" s="132" t="n">
        <v>192</v>
      </c>
      <c r="I133" s="133" t="n">
        <v>90000</v>
      </c>
      <c r="J133" s="133" t="inlineStr">
        <is>
          <t>고</t>
        </is>
      </c>
      <c r="K133" s="133" t="n">
        <v>55000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98A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8" t="inlineStr">
        <is>
          <t>망월동 미사강변하우스디더레이크</t>
        </is>
      </c>
      <c r="B134" s="79" t="inlineStr">
        <is>
          <t>16.05.</t>
        </is>
      </c>
      <c r="C134" s="129" t="n">
        <v>821</v>
      </c>
      <c r="D134" s="130" t="n">
        <v>99</v>
      </c>
      <c r="E134" s="131" t="n">
        <v>30</v>
      </c>
      <c r="F134" s="130" t="n">
        <v>74.90000000000001</v>
      </c>
      <c r="G134" s="17" t="n">
        <v>23</v>
      </c>
      <c r="H134" s="132" t="n">
        <v>27</v>
      </c>
      <c r="I134" s="133" t="n">
        <v>90000</v>
      </c>
      <c r="J134" s="133" t="inlineStr">
        <is>
          <t>고</t>
        </is>
      </c>
      <c r="K134" s="133" t="n">
        <v>55000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98AN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8" t="inlineStr">
        <is>
          <t>망월동 미사강변하우스디더레이크</t>
        </is>
      </c>
      <c r="B135" s="79" t="inlineStr">
        <is>
          <t>16.05.</t>
        </is>
      </c>
      <c r="C135" s="129" t="n">
        <v>821</v>
      </c>
      <c r="D135" s="130" t="n">
        <v>99.09999999999999</v>
      </c>
      <c r="E135" s="131" t="n">
        <v>30</v>
      </c>
      <c r="F135" s="130" t="n">
        <v>74.90000000000001</v>
      </c>
      <c r="G135" s="17" t="n">
        <v>23</v>
      </c>
      <c r="H135" s="132" t="n">
        <v>30</v>
      </c>
      <c r="I135" s="133" t="n">
        <v>105000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99B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8" t="inlineStr">
        <is>
          <t>망월동 미사강변하우스디더레이크</t>
        </is>
      </c>
      <c r="B136" s="79" t="inlineStr">
        <is>
          <t>16.05.</t>
        </is>
      </c>
      <c r="C136" s="129" t="n">
        <v>821</v>
      </c>
      <c r="D136" s="130" t="n">
        <v>112</v>
      </c>
      <c r="E136" s="131" t="n">
        <v>34</v>
      </c>
      <c r="F136" s="130" t="n">
        <v>84.7</v>
      </c>
      <c r="G136" s="17" t="n">
        <v>26</v>
      </c>
      <c r="H136" s="132" t="n">
        <v>62</v>
      </c>
      <c r="I136" s="133" t="n">
        <v>102000</v>
      </c>
      <c r="J136" s="133" t="inlineStr">
        <is>
          <t>고</t>
        </is>
      </c>
      <c r="K136" s="133" t="n">
        <v>60000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111B1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8" t="inlineStr">
        <is>
          <t>망월동 미사강변하우스디더레이크</t>
        </is>
      </c>
      <c r="B137" s="79" t="inlineStr">
        <is>
          <t>16.05.</t>
        </is>
      </c>
      <c r="C137" s="129" t="n">
        <v>821</v>
      </c>
      <c r="D137" s="130" t="n">
        <v>112.4</v>
      </c>
      <c r="E137" s="131" t="n">
        <v>34</v>
      </c>
      <c r="F137" s="130" t="n">
        <v>85</v>
      </c>
      <c r="G137" s="17" t="n">
        <v>26</v>
      </c>
      <c r="H137" s="132" t="n">
        <v>198</v>
      </c>
      <c r="I137" s="133" t="n">
        <v>107000</v>
      </c>
      <c r="J137" s="133" t="inlineStr">
        <is>
          <t>6</t>
        </is>
      </c>
      <c r="K137" s="133" t="n">
        <v>70000</v>
      </c>
      <c r="L137" s="133" t="inlineStr">
        <is>
          <t>고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112C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8" t="inlineStr">
        <is>
          <t>망월동 미사강변하우스디더레이크</t>
        </is>
      </c>
      <c r="B138" s="79" t="inlineStr">
        <is>
          <t>16.05.</t>
        </is>
      </c>
      <c r="C138" s="129" t="n">
        <v>821</v>
      </c>
      <c r="D138" s="130" t="n">
        <v>112.2</v>
      </c>
      <c r="E138" s="131" t="n">
        <v>34</v>
      </c>
      <c r="F138" s="130" t="n">
        <v>84.90000000000001</v>
      </c>
      <c r="G138" s="17" t="n">
        <v>26</v>
      </c>
      <c r="H138" s="132" t="n">
        <v>143</v>
      </c>
      <c r="I138" s="133" t="n">
        <v>110000</v>
      </c>
      <c r="J138" s="133" t="inlineStr">
        <is>
          <t>중</t>
        </is>
      </c>
      <c r="K138" s="133" t="n">
        <v>65000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112B2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8" t="inlineStr">
        <is>
          <t>망월동 미사강변하우스디더레이크</t>
        </is>
      </c>
      <c r="B139" s="79" t="inlineStr">
        <is>
          <t>16.05.</t>
        </is>
      </c>
      <c r="C139" s="129" t="n">
        <v>821</v>
      </c>
      <c r="D139" s="130" t="n">
        <v>112.2</v>
      </c>
      <c r="E139" s="131" t="n">
        <v>34</v>
      </c>
      <c r="F139" s="130" t="n">
        <v>84.90000000000001</v>
      </c>
      <c r="G139" s="17" t="n">
        <v>26</v>
      </c>
      <c r="H139" s="132" t="n">
        <v>99</v>
      </c>
      <c r="I139" s="133" t="n">
        <v>110000</v>
      </c>
      <c r="J139" s="133" t="inlineStr">
        <is>
          <t>중</t>
        </is>
      </c>
      <c r="K139" s="133" t="n">
        <v>65000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112B3</t>
        </is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8" t="inlineStr">
        <is>
          <t>망월동 미사강변하우스디더레이크</t>
        </is>
      </c>
      <c r="B140" s="79" t="inlineStr">
        <is>
          <t>16.05.</t>
        </is>
      </c>
      <c r="C140" s="129" t="n">
        <v>821</v>
      </c>
      <c r="D140" s="130" t="n">
        <v>112.4</v>
      </c>
      <c r="E140" s="131" t="n">
        <v>34</v>
      </c>
      <c r="F140" s="130" t="n">
        <v>85</v>
      </c>
      <c r="G140" s="17" t="n">
        <v>26</v>
      </c>
      <c r="H140" s="132" t="n">
        <v>50</v>
      </c>
      <c r="I140" s="133" t="n">
        <v>107000</v>
      </c>
      <c r="J140" s="133" t="inlineStr">
        <is>
          <t>6</t>
        </is>
      </c>
      <c r="K140" s="133" t="n">
        <v>70000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112A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8" t="inlineStr">
        <is>
          <t>망월동 미사강변하우스디더레이크</t>
        </is>
      </c>
      <c r="B141" s="79" t="inlineStr">
        <is>
          <t>16.05.</t>
        </is>
      </c>
      <c r="C141" s="129" t="n">
        <v>821</v>
      </c>
      <c r="D141" s="130" t="n">
        <v>112.4</v>
      </c>
      <c r="E141" s="131" t="n">
        <v>34</v>
      </c>
      <c r="F141" s="130" t="n">
        <v>85</v>
      </c>
      <c r="G141" s="17" t="n">
        <v>26</v>
      </c>
      <c r="H141" s="132" t="n">
        <v>20</v>
      </c>
      <c r="I141" s="133" t="n">
        <v>107000</v>
      </c>
      <c r="J141" s="133" t="inlineStr">
        <is>
          <t>6</t>
        </is>
      </c>
      <c r="K141" s="133" t="n">
        <v>70000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112AN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8" t="inlineStr">
        <is>
          <t>망월동 미사강변도시16단지</t>
        </is>
      </c>
      <c r="B142" s="79" t="inlineStr">
        <is>
          <t>15.10.</t>
        </is>
      </c>
      <c r="C142" s="129" t="n">
        <v>620</v>
      </c>
      <c r="D142" s="130" t="n">
        <v>73.90000000000001</v>
      </c>
      <c r="E142" s="131" t="n">
        <v>22</v>
      </c>
      <c r="F142" s="130" t="n">
        <v>51.7</v>
      </c>
      <c r="G142" s="17" t="n">
        <v>16</v>
      </c>
      <c r="H142" s="132" t="n">
        <v>14</v>
      </c>
      <c r="I142" s="133" t="n">
        <v>65000</v>
      </c>
      <c r="J142" s="133" t="inlineStr">
        <is>
          <t>9</t>
        </is>
      </c>
      <c r="K142" s="133" t="n">
        <v>40000</v>
      </c>
      <c r="L142" s="133" t="inlineStr">
        <is>
          <t>15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계</t>
        </is>
      </c>
      <c r="T142" s="5" t="inlineStr">
        <is>
          <t>73A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8" t="inlineStr">
        <is>
          <t>망월동 미사강변도시16단지</t>
        </is>
      </c>
      <c r="B143" s="79" t="inlineStr">
        <is>
          <t>15.10.</t>
        </is>
      </c>
      <c r="C143" s="129" t="n">
        <v>620</v>
      </c>
      <c r="D143" s="130" t="n">
        <v>73.90000000000001</v>
      </c>
      <c r="E143" s="131" t="n">
        <v>22</v>
      </c>
      <c r="F143" s="130" t="n">
        <v>51.7</v>
      </c>
      <c r="G143" s="17" t="n">
        <v>16</v>
      </c>
      <c r="H143" s="132" t="n">
        <v>6</v>
      </c>
      <c r="I143" s="133" t="n">
        <v>65000</v>
      </c>
      <c r="J143" s="133" t="inlineStr">
        <is>
          <t>9</t>
        </is>
      </c>
      <c r="K143" s="133" t="n">
        <v>40000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2</v>
      </c>
      <c r="R143" s="120" t="n">
        <v>1</v>
      </c>
      <c r="S143" s="120" t="inlineStr">
        <is>
          <t>계</t>
        </is>
      </c>
      <c r="T143" s="5" t="inlineStr">
        <is>
          <t>73B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8" t="inlineStr">
        <is>
          <t>망월동 미사강변도시16단지</t>
        </is>
      </c>
      <c r="B144" s="79" t="inlineStr">
        <is>
          <t>15.10.</t>
        </is>
      </c>
      <c r="C144" s="129" t="n">
        <v>620</v>
      </c>
      <c r="D144" s="130" t="n">
        <v>74.2</v>
      </c>
      <c r="E144" s="131" t="n">
        <v>22</v>
      </c>
      <c r="F144" s="130" t="n">
        <v>51.9</v>
      </c>
      <c r="G144" s="17" t="n">
        <v>16</v>
      </c>
      <c r="H144" s="132" t="n">
        <v>3</v>
      </c>
      <c r="I144" s="133" t="n">
        <v>73000</v>
      </c>
      <c r="J144" s="133" t="inlineStr">
        <is>
          <t>5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계</t>
        </is>
      </c>
      <c r="T144" s="5" t="inlineStr">
        <is>
          <t>74C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8" t="inlineStr">
        <is>
          <t>망월동 미사강변도시16단지</t>
        </is>
      </c>
      <c r="B145" s="79" t="inlineStr">
        <is>
          <t>15.10.</t>
        </is>
      </c>
      <c r="C145" s="129" t="n">
        <v>620</v>
      </c>
      <c r="D145" s="130" t="n">
        <v>84.8</v>
      </c>
      <c r="E145" s="131" t="n">
        <v>26</v>
      </c>
      <c r="F145" s="130" t="n">
        <v>59.3</v>
      </c>
      <c r="G145" s="17" t="n">
        <v>18</v>
      </c>
      <c r="H145" s="132" t="n">
        <v>3</v>
      </c>
      <c r="I145" s="133" t="n">
        <v>80000</v>
      </c>
      <c r="J145" s="133" t="inlineStr">
        <is>
          <t>17</t>
        </is>
      </c>
      <c r="K145" s="133" t="n">
        <v>59000</v>
      </c>
      <c r="L145" s="133" t="inlineStr">
        <is>
          <t>중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84B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8" t="inlineStr">
        <is>
          <t>망월동 미사강변도시16단지</t>
        </is>
      </c>
      <c r="B146" s="79" t="inlineStr">
        <is>
          <t>15.10.</t>
        </is>
      </c>
      <c r="C146" s="129" t="n">
        <v>620</v>
      </c>
      <c r="D146" s="130" t="n">
        <v>85.40000000000001</v>
      </c>
      <c r="E146" s="131" t="n">
        <v>26</v>
      </c>
      <c r="F146" s="130" t="n">
        <v>59.7</v>
      </c>
      <c r="G146" s="17" t="n">
        <v>18</v>
      </c>
      <c r="H146" s="132" t="n">
        <v>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85A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8" t="inlineStr">
        <is>
          <t>망월동 미사강변루나리움</t>
        </is>
      </c>
      <c r="B147" s="79" t="inlineStr">
        <is>
          <t>15.09.</t>
        </is>
      </c>
      <c r="C147" s="129" t="n">
        <v>1164</v>
      </c>
      <c r="D147" s="130" t="n">
        <v>79.3</v>
      </c>
      <c r="E147" s="131" t="n">
        <v>24</v>
      </c>
      <c r="F147" s="130" t="n">
        <v>59.9</v>
      </c>
      <c r="G147" s="17" t="n">
        <v>18</v>
      </c>
      <c r="H147" s="132" t="n">
        <v>261</v>
      </c>
      <c r="I147" s="133" t="n">
        <v>80000</v>
      </c>
      <c r="J147" s="133" t="inlineStr">
        <is>
          <t>중</t>
        </is>
      </c>
      <c r="K147" s="133" t="n">
        <v>50000</v>
      </c>
      <c r="L147" s="133" t="inlineStr">
        <is>
          <t>고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79A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8" t="inlineStr">
        <is>
          <t>망월동 미사강변루나리움</t>
        </is>
      </c>
      <c r="B148" s="79" t="inlineStr">
        <is>
          <t>15.09.</t>
        </is>
      </c>
      <c r="C148" s="129" t="n">
        <v>1164</v>
      </c>
      <c r="D148" s="130" t="n">
        <v>79.3</v>
      </c>
      <c r="E148" s="131" t="n">
        <v>24</v>
      </c>
      <c r="F148" s="130" t="n">
        <v>59.8</v>
      </c>
      <c r="G148" s="17" t="n">
        <v>18</v>
      </c>
      <c r="H148" s="132" t="n">
        <v>78</v>
      </c>
      <c r="I148" s="133" t="n">
        <v>80000</v>
      </c>
      <c r="J148" s="133" t="inlineStr">
        <is>
          <t>고</t>
        </is>
      </c>
      <c r="K148" s="133" t="n">
        <v>52000</v>
      </c>
      <c r="L148" s="133" t="inlineStr">
        <is>
          <t>23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8" t="inlineStr">
        <is>
          <t>망월동 미사강변루나리움</t>
        </is>
      </c>
      <c r="B149" s="79" t="inlineStr">
        <is>
          <t>15.09.</t>
        </is>
      </c>
      <c r="C149" s="129" t="n">
        <v>1164</v>
      </c>
      <c r="D149" s="130" t="n">
        <v>79.3</v>
      </c>
      <c r="E149" s="131" t="n">
        <v>24</v>
      </c>
      <c r="F149" s="130" t="n">
        <v>59.8</v>
      </c>
      <c r="G149" s="17" t="n">
        <v>18</v>
      </c>
      <c r="H149" s="132" t="n">
        <v>29</v>
      </c>
      <c r="I149" s="133" t="n">
        <v>80000</v>
      </c>
      <c r="J149" s="133" t="inlineStr">
        <is>
          <t>고</t>
        </is>
      </c>
      <c r="K149" s="133" t="n">
        <v>52000</v>
      </c>
      <c r="L149" s="133" t="inlineStr">
        <is>
          <t>23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79BN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8" t="inlineStr">
        <is>
          <t>망월동 미사강변루나리움</t>
        </is>
      </c>
      <c r="B150" s="79" t="inlineStr">
        <is>
          <t>15.09.</t>
        </is>
      </c>
      <c r="C150" s="129" t="n">
        <v>1164</v>
      </c>
      <c r="D150" s="130" t="n">
        <v>99.09999999999999</v>
      </c>
      <c r="E150" s="131" t="n">
        <v>30</v>
      </c>
      <c r="F150" s="130" t="n">
        <v>74.8</v>
      </c>
      <c r="G150" s="17" t="n">
        <v>23</v>
      </c>
      <c r="H150" s="132" t="n">
        <v>159</v>
      </c>
      <c r="I150" s="133" t="n">
        <v>93000</v>
      </c>
      <c r="J150" s="133" t="inlineStr">
        <is>
          <t>중</t>
        </is>
      </c>
      <c r="K150" s="133" t="n">
        <v>55000</v>
      </c>
      <c r="L150" s="133" t="inlineStr">
        <is>
          <t>고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inlineStr">
        <is>
          <t>99A1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8" t="inlineStr">
        <is>
          <t>망월동 미사강변루나리움</t>
        </is>
      </c>
      <c r="B151" s="79" t="inlineStr">
        <is>
          <t>15.09.</t>
        </is>
      </c>
      <c r="C151" s="129" t="n">
        <v>1164</v>
      </c>
      <c r="D151" s="130" t="n">
        <v>99.09999999999999</v>
      </c>
      <c r="E151" s="131" t="n">
        <v>30</v>
      </c>
      <c r="F151" s="130" t="n">
        <v>74.8</v>
      </c>
      <c r="G151" s="17" t="n">
        <v>23</v>
      </c>
      <c r="H151" s="132" t="n">
        <v>29</v>
      </c>
      <c r="I151" s="133" t="n">
        <v>93000</v>
      </c>
      <c r="J151" s="133" t="inlineStr">
        <is>
          <t>중</t>
        </is>
      </c>
      <c r="K151" s="133" t="n">
        <v>55000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99A1N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8" t="inlineStr">
        <is>
          <t>망월동 미사강변루나리움</t>
        </is>
      </c>
      <c r="B152" s="79" t="inlineStr">
        <is>
          <t>15.09.</t>
        </is>
      </c>
      <c r="C152" s="129" t="n">
        <v>1164</v>
      </c>
      <c r="D152" s="130" t="n">
        <v>99.09999999999999</v>
      </c>
      <c r="E152" s="131" t="n">
        <v>30</v>
      </c>
      <c r="F152" s="130" t="n">
        <v>74.8</v>
      </c>
      <c r="G152" s="17" t="n">
        <v>23</v>
      </c>
      <c r="H152" s="132" t="n">
        <v>24</v>
      </c>
      <c r="I152" s="133" t="n">
        <v>93000</v>
      </c>
      <c r="J152" s="133" t="inlineStr">
        <is>
          <t>중</t>
        </is>
      </c>
      <c r="K152" s="133" t="n">
        <v>55000</v>
      </c>
      <c r="L152" s="133" t="inlineStr">
        <is>
          <t>고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inlineStr">
        <is>
          <t>99A2</t>
        </is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8" t="inlineStr">
        <is>
          <t>망월동 미사강변루나리움</t>
        </is>
      </c>
      <c r="B153" s="79" t="inlineStr">
        <is>
          <t>15.09.</t>
        </is>
      </c>
      <c r="C153" s="129" t="n">
        <v>1164</v>
      </c>
      <c r="D153" s="130" t="n">
        <v>112.6</v>
      </c>
      <c r="E153" s="131" t="n">
        <v>34</v>
      </c>
      <c r="F153" s="130" t="n">
        <v>85</v>
      </c>
      <c r="G153" s="17" t="n">
        <v>26</v>
      </c>
      <c r="H153" s="132" t="n">
        <v>331</v>
      </c>
      <c r="I153" s="133" t="n">
        <v>100000</v>
      </c>
      <c r="J153" s="133" t="inlineStr">
        <is>
          <t>9</t>
        </is>
      </c>
      <c r="K153" s="133" t="n">
        <v>60000</v>
      </c>
      <c r="L153" s="133" t="inlineStr">
        <is>
          <t>중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inlineStr">
        <is>
          <t>112B1</t>
        </is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8" t="inlineStr">
        <is>
          <t>망월동 미사강변루나리움</t>
        </is>
      </c>
      <c r="B154" s="79" t="inlineStr">
        <is>
          <t>15.09.</t>
        </is>
      </c>
      <c r="C154" s="129" t="n">
        <v>1164</v>
      </c>
      <c r="D154" s="130" t="n">
        <v>112.6</v>
      </c>
      <c r="E154" s="131" t="n">
        <v>34</v>
      </c>
      <c r="F154" s="130" t="n">
        <v>85</v>
      </c>
      <c r="G154" s="17" t="n">
        <v>26</v>
      </c>
      <c r="H154" s="132" t="n">
        <v>87</v>
      </c>
      <c r="I154" s="133" t="n">
        <v>100000</v>
      </c>
      <c r="J154" s="133" t="inlineStr">
        <is>
          <t>9</t>
        </is>
      </c>
      <c r="K154" s="133" t="n">
        <v>60000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112B2</t>
        </is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8" t="inlineStr">
        <is>
          <t>망월동 미사강변루나리움</t>
        </is>
      </c>
      <c r="B155" s="79" t="inlineStr">
        <is>
          <t>15.09.</t>
        </is>
      </c>
      <c r="C155" s="129" t="n">
        <v>1164</v>
      </c>
      <c r="D155" s="130" t="n">
        <v>112.5</v>
      </c>
      <c r="E155" s="131" t="n">
        <v>34</v>
      </c>
      <c r="F155" s="130" t="n">
        <v>85</v>
      </c>
      <c r="G155" s="17" t="n">
        <v>26</v>
      </c>
      <c r="H155" s="132" t="n">
        <v>87</v>
      </c>
      <c r="I155" s="133" t="n">
        <v>120000</v>
      </c>
      <c r="J155" s="133" t="inlineStr">
        <is>
          <t>고</t>
        </is>
      </c>
      <c r="K155" s="133" t="n">
        <v>60000</v>
      </c>
      <c r="L155" s="133" t="inlineStr">
        <is>
          <t>고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112B3</t>
        </is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8" t="inlineStr">
        <is>
          <t>망월동 미사강변루나리움</t>
        </is>
      </c>
      <c r="B156" s="79" t="inlineStr">
        <is>
          <t>15.09.</t>
        </is>
      </c>
      <c r="C156" s="129" t="n">
        <v>1164</v>
      </c>
      <c r="D156" s="130" t="n">
        <v>112.6</v>
      </c>
      <c r="E156" s="131" t="n">
        <v>34</v>
      </c>
      <c r="F156" s="130" t="n">
        <v>85</v>
      </c>
      <c r="G156" s="17" t="n">
        <v>26</v>
      </c>
      <c r="H156" s="132" t="n">
        <v>52</v>
      </c>
      <c r="I156" s="133" t="n">
        <v>100000</v>
      </c>
      <c r="J156" s="133" t="inlineStr">
        <is>
          <t>9</t>
        </is>
      </c>
      <c r="K156" s="133" t="n">
        <v>60000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112A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8" t="inlineStr">
        <is>
          <t>망월동 미사강변루나리움</t>
        </is>
      </c>
      <c r="B157" s="79" t="inlineStr">
        <is>
          <t>15.09.</t>
        </is>
      </c>
      <c r="C157" s="129" t="n">
        <v>1164</v>
      </c>
      <c r="D157" s="130" t="n">
        <v>112.6</v>
      </c>
      <c r="E157" s="131" t="n">
        <v>34</v>
      </c>
      <c r="F157" s="130" t="n">
        <v>85</v>
      </c>
      <c r="G157" s="17" t="n">
        <v>26</v>
      </c>
      <c r="H157" s="132" t="n">
        <v>27</v>
      </c>
      <c r="I157" s="133" t="n">
        <v>100000</v>
      </c>
      <c r="J157" s="133" t="inlineStr">
        <is>
          <t>9</t>
        </is>
      </c>
      <c r="K157" s="133" t="n">
        <v>60000</v>
      </c>
      <c r="L157" s="133" t="inlineStr">
        <is>
          <t>중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112B1N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8" t="inlineStr">
        <is>
          <t>망월동 미사강변푸르지오</t>
        </is>
      </c>
      <c r="B158" s="79" t="inlineStr">
        <is>
          <t>16.04.</t>
        </is>
      </c>
      <c r="C158" s="129" t="n">
        <v>1188</v>
      </c>
      <c r="D158" s="130" t="n">
        <v>97.7</v>
      </c>
      <c r="E158" s="131" t="n">
        <v>30</v>
      </c>
      <c r="F158" s="130" t="n">
        <v>74.90000000000001</v>
      </c>
      <c r="G158" s="17" t="n">
        <v>23</v>
      </c>
      <c r="H158" s="132" t="n">
        <v>67</v>
      </c>
      <c r="I158" s="133" t="n">
        <v>115000</v>
      </c>
      <c r="J158" s="133" t="inlineStr">
        <is>
          <t>중</t>
        </is>
      </c>
      <c r="K158" s="133" t="n">
        <v>67000</v>
      </c>
      <c r="L158" s="133" t="inlineStr">
        <is>
          <t>중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97A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8" t="inlineStr">
        <is>
          <t>망월동 미사강변푸르지오</t>
        </is>
      </c>
      <c r="B159" s="79" t="inlineStr">
        <is>
          <t>16.04.</t>
        </is>
      </c>
      <c r="C159" s="129" t="n">
        <v>1188</v>
      </c>
      <c r="D159" s="130" t="n">
        <v>97.7</v>
      </c>
      <c r="E159" s="131" t="n">
        <v>30</v>
      </c>
      <c r="F159" s="130" t="n">
        <v>75</v>
      </c>
      <c r="G159" s="17" t="n">
        <v>23</v>
      </c>
      <c r="H159" s="132" t="n">
        <v>54</v>
      </c>
      <c r="I159" s="133" t="n">
        <v>115000</v>
      </c>
      <c r="J159" s="133" t="inlineStr">
        <is>
          <t>중</t>
        </is>
      </c>
      <c r="K159" s="133" t="n">
        <v>68000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97B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8" t="inlineStr">
        <is>
          <t>망월동 미사강변푸르지오</t>
        </is>
      </c>
      <c r="B160" s="79" t="inlineStr">
        <is>
          <t>16.04.</t>
        </is>
      </c>
      <c r="C160" s="129" t="n">
        <v>1188</v>
      </c>
      <c r="D160" s="130" t="n">
        <v>98.59999999999999</v>
      </c>
      <c r="E160" s="131" t="n">
        <v>30</v>
      </c>
      <c r="F160" s="130" t="n">
        <v>75</v>
      </c>
      <c r="G160" s="17" t="n">
        <v>23</v>
      </c>
      <c r="H160" s="132" t="n">
        <v>56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98C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8" t="inlineStr">
        <is>
          <t>망월동 미사강변푸르지오</t>
        </is>
      </c>
      <c r="B161" s="79" t="inlineStr">
        <is>
          <t>16.04.</t>
        </is>
      </c>
      <c r="C161" s="129" t="n">
        <v>1188</v>
      </c>
      <c r="D161" s="130" t="n">
        <v>99.09999999999999</v>
      </c>
      <c r="E161" s="131" t="n">
        <v>30</v>
      </c>
      <c r="F161" s="130" t="n">
        <v>75</v>
      </c>
      <c r="G161" s="17" t="n">
        <v>23</v>
      </c>
      <c r="H161" s="132" t="n">
        <v>20</v>
      </c>
      <c r="I161" s="133" t="n">
        <v>110000</v>
      </c>
      <c r="J161" s="133" t="inlineStr">
        <is>
          <t>고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99D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8" t="inlineStr">
        <is>
          <t>망월동 미사강변푸르지오</t>
        </is>
      </c>
      <c r="B162" s="79" t="inlineStr">
        <is>
          <t>16.04.</t>
        </is>
      </c>
      <c r="C162" s="129" t="n">
        <v>1188</v>
      </c>
      <c r="D162" s="130" t="n">
        <v>111.8</v>
      </c>
      <c r="E162" s="131" t="n">
        <v>34</v>
      </c>
      <c r="F162" s="130" t="n">
        <v>85</v>
      </c>
      <c r="G162" s="17" t="n">
        <v>26</v>
      </c>
      <c r="H162" s="132" t="n">
        <v>592</v>
      </c>
      <c r="I162" s="133" t="n">
        <v>117500</v>
      </c>
      <c r="J162" s="133" t="inlineStr">
        <is>
          <t>중</t>
        </is>
      </c>
      <c r="K162" s="133" t="n">
        <v>65000</v>
      </c>
      <c r="L162" s="133" t="inlineStr">
        <is>
          <t>중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111A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8" t="inlineStr">
        <is>
          <t>망월동 미사강변푸르지오</t>
        </is>
      </c>
      <c r="B163" s="79" t="inlineStr">
        <is>
          <t>16.04.</t>
        </is>
      </c>
      <c r="C163" s="129" t="n">
        <v>1188</v>
      </c>
      <c r="D163" s="130" t="n">
        <v>111.6</v>
      </c>
      <c r="E163" s="131" t="n">
        <v>34</v>
      </c>
      <c r="F163" s="130" t="n">
        <v>85</v>
      </c>
      <c r="G163" s="17" t="n">
        <v>26</v>
      </c>
      <c r="H163" s="132" t="n">
        <v>300</v>
      </c>
      <c r="I163" s="133" t="n">
        <v>122000</v>
      </c>
      <c r="J163" s="133" t="inlineStr">
        <is>
          <t>15</t>
        </is>
      </c>
      <c r="K163" s="133" t="n">
        <v>64000</v>
      </c>
      <c r="L163" s="133" t="inlineStr">
        <is>
          <t>중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8" t="inlineStr">
        <is>
          <t>망월동 미사강변푸르지오</t>
        </is>
      </c>
      <c r="B164" s="79" t="inlineStr">
        <is>
          <t>16.04.</t>
        </is>
      </c>
      <c r="C164" s="129" t="n">
        <v>1188</v>
      </c>
      <c r="D164" s="130" t="n">
        <v>112.3</v>
      </c>
      <c r="E164" s="131" t="n">
        <v>34</v>
      </c>
      <c r="F164" s="130" t="n">
        <v>85</v>
      </c>
      <c r="G164" s="17" t="n">
        <v>26</v>
      </c>
      <c r="H164" s="132" t="n">
        <v>99</v>
      </c>
      <c r="I164" s="133" t="n">
        <v>130000</v>
      </c>
      <c r="J164" s="133" t="inlineStr">
        <is>
          <t>고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112C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8" t="inlineStr">
        <is>
          <t>망월동 미사강변한신휴플러스</t>
        </is>
      </c>
      <c r="B165" s="79" t="inlineStr">
        <is>
          <t>15.01.</t>
        </is>
      </c>
      <c r="C165" s="129" t="n">
        <v>763</v>
      </c>
      <c r="D165" s="130" t="n">
        <v>98.90000000000001</v>
      </c>
      <c r="E165" s="131" t="n">
        <v>30</v>
      </c>
      <c r="F165" s="130" t="n">
        <v>74.59999999999999</v>
      </c>
      <c r="G165" s="17" t="n">
        <v>23</v>
      </c>
      <c r="H165" s="132" t="n">
        <v>240</v>
      </c>
      <c r="I165" s="133" t="n">
        <v>86000</v>
      </c>
      <c r="J165" s="133" t="inlineStr">
        <is>
          <t>고</t>
        </is>
      </c>
      <c r="K165" s="133" t="n">
        <v>50000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98A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8" t="inlineStr">
        <is>
          <t>망월동 미사강변한신휴플러스</t>
        </is>
      </c>
      <c r="B166" s="79" t="inlineStr">
        <is>
          <t>15.01.</t>
        </is>
      </c>
      <c r="C166" s="129" t="n">
        <v>763</v>
      </c>
      <c r="D166" s="130" t="n">
        <v>98.90000000000001</v>
      </c>
      <c r="E166" s="131" t="n">
        <v>30</v>
      </c>
      <c r="F166" s="130" t="n">
        <v>74.59999999999999</v>
      </c>
      <c r="G166" s="17" t="n">
        <v>23</v>
      </c>
      <c r="H166" s="132" t="n">
        <v>20</v>
      </c>
      <c r="I166" s="133" t="n">
        <v>86000</v>
      </c>
      <c r="J166" s="133" t="inlineStr">
        <is>
          <t>고</t>
        </is>
      </c>
      <c r="K166" s="133" t="n">
        <v>50000</v>
      </c>
      <c r="L166" s="133" t="inlineStr">
        <is>
          <t>중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98AN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8" t="inlineStr">
        <is>
          <t>망월동 미사강변한신휴플러스</t>
        </is>
      </c>
      <c r="B167" s="79" t="inlineStr">
        <is>
          <t>15.01.</t>
        </is>
      </c>
      <c r="C167" s="129" t="n">
        <v>763</v>
      </c>
      <c r="D167" s="130" t="n">
        <v>112.7</v>
      </c>
      <c r="E167" s="131" t="n">
        <v>34</v>
      </c>
      <c r="F167" s="130" t="n">
        <v>85</v>
      </c>
      <c r="G167" s="17" t="n">
        <v>26</v>
      </c>
      <c r="H167" s="132" t="n">
        <v>192</v>
      </c>
      <c r="I167" s="133" t="n">
        <v>88000</v>
      </c>
      <c r="J167" s="133" t="inlineStr">
        <is>
          <t>중</t>
        </is>
      </c>
      <c r="K167" s="133" t="n">
        <v>53000</v>
      </c>
      <c r="L167" s="133" t="inlineStr">
        <is>
          <t>고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112B1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8" t="inlineStr">
        <is>
          <t>망월동 미사강변한신휴플러스</t>
        </is>
      </c>
      <c r="B168" s="79" t="inlineStr">
        <is>
          <t>15.01.</t>
        </is>
      </c>
      <c r="C168" s="129" t="n">
        <v>763</v>
      </c>
      <c r="D168" s="130" t="n">
        <v>112.6</v>
      </c>
      <c r="E168" s="131" t="n">
        <v>34</v>
      </c>
      <c r="F168" s="130" t="n">
        <v>84.90000000000001</v>
      </c>
      <c r="G168" s="17" t="n">
        <v>26</v>
      </c>
      <c r="H168" s="132" t="n">
        <v>115</v>
      </c>
      <c r="I168" s="133" t="n">
        <v>90000</v>
      </c>
      <c r="J168" s="133" t="inlineStr">
        <is>
          <t>중</t>
        </is>
      </c>
      <c r="K168" s="133" t="n">
        <v>52000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112B2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8" t="inlineStr">
        <is>
          <t>망월동 미사강변한신휴플러스</t>
        </is>
      </c>
      <c r="B169" s="79" t="inlineStr">
        <is>
          <t>15.01.</t>
        </is>
      </c>
      <c r="C169" s="129" t="n">
        <v>763</v>
      </c>
      <c r="D169" s="130" t="n">
        <v>112.3</v>
      </c>
      <c r="E169" s="131" t="n">
        <v>34</v>
      </c>
      <c r="F169" s="130" t="n">
        <v>84.7</v>
      </c>
      <c r="G169" s="17" t="n">
        <v>26</v>
      </c>
      <c r="H169" s="132" t="n">
        <v>88</v>
      </c>
      <c r="I169" s="133" t="n">
        <v>108000</v>
      </c>
      <c r="J169" s="133" t="inlineStr">
        <is>
          <t>11</t>
        </is>
      </c>
      <c r="K169" s="133" t="n">
        <v>53000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112C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8" t="inlineStr">
        <is>
          <t>망월동 미사강변한신휴플러스</t>
        </is>
      </c>
      <c r="B170" s="79" t="inlineStr">
        <is>
          <t>15.01.</t>
        </is>
      </c>
      <c r="C170" s="129" t="n">
        <v>763</v>
      </c>
      <c r="D170" s="130" t="n">
        <v>112.6</v>
      </c>
      <c r="E170" s="131" t="n">
        <v>34</v>
      </c>
      <c r="F170" s="130" t="n">
        <v>85</v>
      </c>
      <c r="G170" s="17" t="n">
        <v>26</v>
      </c>
      <c r="H170" s="132" t="n">
        <v>76</v>
      </c>
      <c r="I170" s="133" t="n">
        <v>90000</v>
      </c>
      <c r="J170" s="133" t="inlineStr">
        <is>
          <t>6</t>
        </is>
      </c>
      <c r="K170" s="133" t="n">
        <v>54000</v>
      </c>
      <c r="L170" s="133" t="inlineStr">
        <is>
          <t>14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112B3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8" t="inlineStr">
        <is>
          <t>망월동 미사강변한신휴플러스</t>
        </is>
      </c>
      <c r="B171" s="79" t="inlineStr">
        <is>
          <t>15.01.</t>
        </is>
      </c>
      <c r="C171" s="129" t="n">
        <v>763</v>
      </c>
      <c r="D171" s="130" t="n">
        <v>112.7</v>
      </c>
      <c r="E171" s="131" t="n">
        <v>34</v>
      </c>
      <c r="F171" s="130" t="n">
        <v>85</v>
      </c>
      <c r="G171" s="17" t="n">
        <v>26</v>
      </c>
      <c r="H171" s="132" t="n">
        <v>20</v>
      </c>
      <c r="I171" s="133" t="n">
        <v>88000</v>
      </c>
      <c r="J171" s="133" t="inlineStr">
        <is>
          <t>중</t>
        </is>
      </c>
      <c r="K171" s="133" t="n">
        <v>53000</v>
      </c>
      <c r="L171" s="133" t="inlineStr">
        <is>
          <t>고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112B1N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8" t="inlineStr">
        <is>
          <t>망월동 미사강변한신휴플러스</t>
        </is>
      </c>
      <c r="B172" s="79" t="inlineStr">
        <is>
          <t>15.01.</t>
        </is>
      </c>
      <c r="C172" s="129" t="n">
        <v>763</v>
      </c>
      <c r="D172" s="130" t="n">
        <v>112.6</v>
      </c>
      <c r="E172" s="131" t="n">
        <v>34</v>
      </c>
      <c r="F172" s="130" t="n">
        <v>85</v>
      </c>
      <c r="G172" s="17" t="n">
        <v>26</v>
      </c>
      <c r="H172" s="132" t="n">
        <v>12</v>
      </c>
      <c r="I172" s="133" t="n">
        <v>90000</v>
      </c>
      <c r="J172" s="133" t="inlineStr">
        <is>
          <t>6</t>
        </is>
      </c>
      <c r="K172" s="133" t="n">
        <v>54000</v>
      </c>
      <c r="L172" s="133" t="inlineStr">
        <is>
          <t>14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112B3N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8" t="inlineStr">
        <is>
          <t>망월동 미사강변골든센트로</t>
        </is>
      </c>
      <c r="B173" s="79" t="inlineStr">
        <is>
          <t>14.12.</t>
        </is>
      </c>
      <c r="C173" s="129" t="n">
        <v>1541</v>
      </c>
      <c r="D173" s="130" t="n">
        <v>82</v>
      </c>
      <c r="E173" s="131" t="n">
        <v>25</v>
      </c>
      <c r="F173" s="130" t="n">
        <v>59.6</v>
      </c>
      <c r="G173" s="17" t="n">
        <v>18</v>
      </c>
      <c r="H173" s="132" t="n">
        <v>75</v>
      </c>
      <c r="I173" s="133" t="n">
        <v>89000</v>
      </c>
      <c r="J173" s="133" t="inlineStr">
        <is>
          <t>5</t>
        </is>
      </c>
      <c r="K173" s="133" t="n">
        <v>55000</v>
      </c>
      <c r="L173" s="133" t="inlineStr">
        <is>
          <t>중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inlineStr">
        <is>
          <t>81B1</t>
        </is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8" t="inlineStr">
        <is>
          <t>망월동 미사강변골든센트로</t>
        </is>
      </c>
      <c r="B174" s="79" t="inlineStr">
        <is>
          <t>14.12.</t>
        </is>
      </c>
      <c r="C174" s="129" t="n">
        <v>1541</v>
      </c>
      <c r="D174" s="130" t="n">
        <v>82</v>
      </c>
      <c r="E174" s="131" t="n">
        <v>25</v>
      </c>
      <c r="F174" s="130" t="n">
        <v>59.6</v>
      </c>
      <c r="G174" s="17" t="n">
        <v>18</v>
      </c>
      <c r="H174" s="132" t="n">
        <v>26</v>
      </c>
      <c r="I174" s="133" t="n">
        <v>89000</v>
      </c>
      <c r="J174" s="133" t="inlineStr">
        <is>
          <t>5</t>
        </is>
      </c>
      <c r="K174" s="133" t="n">
        <v>55000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81B3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8" t="inlineStr">
        <is>
          <t>망월동 미사강변골든센트로</t>
        </is>
      </c>
      <c r="B175" s="79" t="inlineStr">
        <is>
          <t>14.12.</t>
        </is>
      </c>
      <c r="C175" s="129" t="n">
        <v>1541</v>
      </c>
      <c r="D175" s="130" t="n">
        <v>82</v>
      </c>
      <c r="E175" s="131" t="n">
        <v>25</v>
      </c>
      <c r="F175" s="130" t="n">
        <v>59.6</v>
      </c>
      <c r="G175" s="17" t="n">
        <v>18</v>
      </c>
      <c r="H175" s="132" t="n">
        <v>23</v>
      </c>
      <c r="I175" s="133" t="n">
        <v>89000</v>
      </c>
      <c r="J175" s="133" t="inlineStr">
        <is>
          <t>5</t>
        </is>
      </c>
      <c r="K175" s="133" t="n">
        <v>55000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81B1N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8" t="inlineStr">
        <is>
          <t>망월동 미사강변골든센트로</t>
        </is>
      </c>
      <c r="B176" s="79" t="inlineStr">
        <is>
          <t>14.12.</t>
        </is>
      </c>
      <c r="C176" s="129" t="n">
        <v>1541</v>
      </c>
      <c r="D176" s="130" t="n">
        <v>82</v>
      </c>
      <c r="E176" s="131" t="n">
        <v>25</v>
      </c>
      <c r="F176" s="130" t="n">
        <v>59.6</v>
      </c>
      <c r="G176" s="17" t="n">
        <v>18</v>
      </c>
      <c r="H176" s="132" t="n">
        <v>18</v>
      </c>
      <c r="I176" s="133" t="n">
        <v>89000</v>
      </c>
      <c r="J176" s="133" t="inlineStr">
        <is>
          <t>5</t>
        </is>
      </c>
      <c r="K176" s="133" t="n">
        <v>55000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81C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8" t="inlineStr">
        <is>
          <t>망월동 미사강변골든센트로</t>
        </is>
      </c>
      <c r="B177" s="79" t="inlineStr">
        <is>
          <t>14.12.</t>
        </is>
      </c>
      <c r="C177" s="129" t="n">
        <v>1541</v>
      </c>
      <c r="D177" s="130" t="n">
        <v>82.5</v>
      </c>
      <c r="E177" s="131" t="n">
        <v>25</v>
      </c>
      <c r="F177" s="130" t="n">
        <v>60</v>
      </c>
      <c r="G177" s="17" t="n">
        <v>18</v>
      </c>
      <c r="H177" s="132" t="n">
        <v>438</v>
      </c>
      <c r="I177" s="133" t="n">
        <v>85000</v>
      </c>
      <c r="J177" s="133" t="inlineStr">
        <is>
          <t>고</t>
        </is>
      </c>
      <c r="K177" s="133" t="n">
        <v>52000</v>
      </c>
      <c r="L177" s="133" t="inlineStr">
        <is>
          <t>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8" t="inlineStr">
        <is>
          <t>망월동 미사강변골든센트로</t>
        </is>
      </c>
      <c r="B178" s="79" t="inlineStr">
        <is>
          <t>14.12.</t>
        </is>
      </c>
      <c r="C178" s="129" t="n">
        <v>1541</v>
      </c>
      <c r="D178" s="130" t="n">
        <v>82.3</v>
      </c>
      <c r="E178" s="131" t="n">
        <v>25</v>
      </c>
      <c r="F178" s="130" t="n">
        <v>59.8</v>
      </c>
      <c r="G178" s="17" t="n">
        <v>18</v>
      </c>
      <c r="H178" s="132" t="n">
        <v>49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82B2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8" t="inlineStr">
        <is>
          <t>망월동 미사강변골든센트로</t>
        </is>
      </c>
      <c r="B179" s="79" t="inlineStr">
        <is>
          <t>14.12.</t>
        </is>
      </c>
      <c r="C179" s="129" t="n">
        <v>1541</v>
      </c>
      <c r="D179" s="130" t="n">
        <v>103.1</v>
      </c>
      <c r="E179" s="131" t="n">
        <v>31</v>
      </c>
      <c r="F179" s="130" t="n">
        <v>75</v>
      </c>
      <c r="G179" s="17" t="n">
        <v>23</v>
      </c>
      <c r="H179" s="132" t="n">
        <v>236</v>
      </c>
      <c r="I179" s="133" t="n">
        <v>97000</v>
      </c>
      <c r="J179" s="133" t="inlineStr">
        <is>
          <t>17</t>
        </is>
      </c>
      <c r="K179" s="133" t="n">
        <v>55000</v>
      </c>
      <c r="L179" s="133" t="inlineStr">
        <is>
          <t>29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103A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8" t="inlineStr">
        <is>
          <t>망월동 미사강변골든센트로</t>
        </is>
      </c>
      <c r="B180" s="79" t="inlineStr">
        <is>
          <t>14.12.</t>
        </is>
      </c>
      <c r="C180" s="129" t="n">
        <v>1541</v>
      </c>
      <c r="D180" s="130" t="n">
        <v>103.1</v>
      </c>
      <c r="E180" s="131" t="n">
        <v>31</v>
      </c>
      <c r="F180" s="130" t="n">
        <v>75</v>
      </c>
      <c r="G180" s="17" t="n">
        <v>23</v>
      </c>
      <c r="H180" s="132" t="n">
        <v>29</v>
      </c>
      <c r="I180" s="133" t="n">
        <v>97000</v>
      </c>
      <c r="J180" s="133" t="inlineStr">
        <is>
          <t>17</t>
        </is>
      </c>
      <c r="K180" s="133" t="n">
        <v>55000</v>
      </c>
      <c r="L180" s="133" t="inlineStr">
        <is>
          <t>29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103AN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8" t="inlineStr">
        <is>
          <t>망월동 미사강변골든센트로</t>
        </is>
      </c>
      <c r="B181" s="79" t="inlineStr">
        <is>
          <t>14.12.</t>
        </is>
      </c>
      <c r="C181" s="129" t="n">
        <v>1541</v>
      </c>
      <c r="D181" s="130" t="n">
        <v>116.4</v>
      </c>
      <c r="E181" s="131" t="n">
        <v>35</v>
      </c>
      <c r="F181" s="130" t="n">
        <v>84.59999999999999</v>
      </c>
      <c r="G181" s="17" t="n">
        <v>26</v>
      </c>
      <c r="H181" s="132" t="n">
        <v>149</v>
      </c>
      <c r="I181" s="133" t="n">
        <v>105000</v>
      </c>
      <c r="J181" s="133" t="inlineStr">
        <is>
          <t>12</t>
        </is>
      </c>
      <c r="K181" s="133" t="n">
        <v>60000</v>
      </c>
      <c r="L181" s="133" t="inlineStr">
        <is>
          <t>12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116B1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8" t="inlineStr">
        <is>
          <t>망월동 미사강변골든센트로</t>
        </is>
      </c>
      <c r="B182" s="79" t="inlineStr">
        <is>
          <t>14.12.</t>
        </is>
      </c>
      <c r="C182" s="129" t="n">
        <v>1541</v>
      </c>
      <c r="D182" s="130" t="n">
        <v>116.9</v>
      </c>
      <c r="E182" s="131" t="n">
        <v>35</v>
      </c>
      <c r="F182" s="130" t="n">
        <v>85</v>
      </c>
      <c r="G182" s="17" t="n">
        <v>26</v>
      </c>
      <c r="H182" s="132" t="n">
        <v>133</v>
      </c>
      <c r="I182" s="133" t="n">
        <v>110000</v>
      </c>
      <c r="J182" s="133" t="inlineStr">
        <is>
          <t>10</t>
        </is>
      </c>
      <c r="K182" s="133" t="n">
        <v>65000</v>
      </c>
      <c r="L182" s="133" t="inlineStr">
        <is>
          <t>19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116B3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8" t="inlineStr">
        <is>
          <t>망월동 미사강변골든센트로</t>
        </is>
      </c>
      <c r="B183" s="79" t="inlineStr">
        <is>
          <t>14.12.</t>
        </is>
      </c>
      <c r="C183" s="129" t="n">
        <v>1541</v>
      </c>
      <c r="D183" s="130" t="n">
        <v>116.7</v>
      </c>
      <c r="E183" s="131" t="n">
        <v>35</v>
      </c>
      <c r="F183" s="130" t="n">
        <v>84.90000000000001</v>
      </c>
      <c r="G183" s="17" t="n">
        <v>26</v>
      </c>
      <c r="H183" s="132" t="n">
        <v>116</v>
      </c>
      <c r="I183" s="133" t="n">
        <v>105000</v>
      </c>
      <c r="J183" s="133" t="inlineStr">
        <is>
          <t>6</t>
        </is>
      </c>
      <c r="K183" s="133" t="n">
        <v>65000</v>
      </c>
      <c r="L183" s="133" t="inlineStr">
        <is>
          <t>14</t>
        </is>
      </c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116B2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8" t="inlineStr">
        <is>
          <t>망월동 미사강변골든센트로</t>
        </is>
      </c>
      <c r="B184" s="79" t="inlineStr">
        <is>
          <t>14.12.</t>
        </is>
      </c>
      <c r="C184" s="129" t="n">
        <v>1541</v>
      </c>
      <c r="D184" s="130" t="n">
        <v>116.7</v>
      </c>
      <c r="E184" s="131" t="n">
        <v>35</v>
      </c>
      <c r="F184" s="130" t="n">
        <v>84.8</v>
      </c>
      <c r="G184" s="17" t="n">
        <v>26</v>
      </c>
      <c r="H184" s="132" t="n">
        <v>116</v>
      </c>
      <c r="I184" s="133" t="n">
        <v>105000</v>
      </c>
      <c r="J184" s="133" t="inlineStr">
        <is>
          <t>8</t>
        </is>
      </c>
      <c r="K184" s="133" t="n">
        <v>58000</v>
      </c>
      <c r="L184" s="133" t="inlineStr">
        <is>
          <t>12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116C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8" t="inlineStr">
        <is>
          <t>망월동 미사강변골든센트로</t>
        </is>
      </c>
      <c r="B185" s="79" t="inlineStr">
        <is>
          <t>14.12.</t>
        </is>
      </c>
      <c r="C185" s="129" t="n">
        <v>1541</v>
      </c>
      <c r="D185" s="130" t="n">
        <v>116.6</v>
      </c>
      <c r="E185" s="131" t="n">
        <v>35</v>
      </c>
      <c r="F185" s="130" t="n">
        <v>84.8</v>
      </c>
      <c r="G185" s="17" t="n">
        <v>26</v>
      </c>
      <c r="H185" s="132" t="n">
        <v>105</v>
      </c>
      <c r="I185" s="133" t="n">
        <v>119000</v>
      </c>
      <c r="J185" s="133" t="inlineStr">
        <is>
          <t>22</t>
        </is>
      </c>
      <c r="K185" s="133" t="n">
        <v>58000</v>
      </c>
      <c r="L185" s="133" t="inlineStr">
        <is>
          <t>12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116A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8" t="inlineStr">
        <is>
          <t>망월동 미사강변골든센트로</t>
        </is>
      </c>
      <c r="B186" s="79" t="inlineStr">
        <is>
          <t>14.12.</t>
        </is>
      </c>
      <c r="C186" s="129" t="n">
        <v>1541</v>
      </c>
      <c r="D186" s="130" t="n">
        <v>116.6</v>
      </c>
      <c r="E186" s="131" t="n">
        <v>35</v>
      </c>
      <c r="F186" s="130" t="n">
        <v>84.8</v>
      </c>
      <c r="G186" s="17" t="n">
        <v>26</v>
      </c>
      <c r="H186" s="132" t="n">
        <v>28</v>
      </c>
      <c r="I186" s="133" t="n">
        <v>119000</v>
      </c>
      <c r="J186" s="133" t="inlineStr">
        <is>
          <t>22</t>
        </is>
      </c>
      <c r="K186" s="133" t="n">
        <v>58000</v>
      </c>
      <c r="L186" s="133" t="inlineStr">
        <is>
          <t>12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116AN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8" t="inlineStr">
        <is>
          <t>망월동 미사강변파밀리에</t>
        </is>
      </c>
      <c r="B187" s="79" t="inlineStr">
        <is>
          <t>14.06.</t>
        </is>
      </c>
      <c r="C187" s="129" t="n">
        <v>976</v>
      </c>
      <c r="D187" s="130" t="n">
        <v>80</v>
      </c>
      <c r="E187" s="131" t="n">
        <v>24</v>
      </c>
      <c r="F187" s="130" t="n">
        <v>59.9</v>
      </c>
      <c r="G187" s="17" t="n">
        <v>18</v>
      </c>
      <c r="H187" s="132" t="n">
        <v>150</v>
      </c>
      <c r="I187" s="133" t="n">
        <v>85000</v>
      </c>
      <c r="J187" s="133" t="inlineStr">
        <is>
          <t>15</t>
        </is>
      </c>
      <c r="K187" s="133" t="n">
        <v>55000</v>
      </c>
      <c r="L187" s="133" t="inlineStr">
        <is>
          <t>고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80B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8" t="inlineStr">
        <is>
          <t>망월동 미사강변파밀리에</t>
        </is>
      </c>
      <c r="B188" s="79" t="inlineStr">
        <is>
          <t>14.06.</t>
        </is>
      </c>
      <c r="C188" s="129" t="n">
        <v>976</v>
      </c>
      <c r="D188" s="130" t="n">
        <v>80.09999999999999</v>
      </c>
      <c r="E188" s="131" t="n">
        <v>24</v>
      </c>
      <c r="F188" s="130" t="n">
        <v>60</v>
      </c>
      <c r="G188" s="17" t="n">
        <v>18</v>
      </c>
      <c r="H188" s="132" t="n">
        <v>148</v>
      </c>
      <c r="I188" s="133" t="n">
        <v>88000</v>
      </c>
      <c r="J188" s="133" t="inlineStr">
        <is>
          <t>5</t>
        </is>
      </c>
      <c r="K188" s="133" t="n">
        <v>52000</v>
      </c>
      <c r="L188" s="133" t="inlineStr">
        <is>
          <t>고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80A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8" t="inlineStr">
        <is>
          <t>망월동 미사강변파밀리에</t>
        </is>
      </c>
      <c r="B189" s="79" t="inlineStr">
        <is>
          <t>14.06.</t>
        </is>
      </c>
      <c r="C189" s="129" t="n">
        <v>976</v>
      </c>
      <c r="D189" s="130" t="n">
        <v>99.90000000000001</v>
      </c>
      <c r="E189" s="131" t="n">
        <v>30</v>
      </c>
      <c r="F189" s="130" t="n">
        <v>74.8</v>
      </c>
      <c r="G189" s="17" t="n">
        <v>23</v>
      </c>
      <c r="H189" s="132" t="n">
        <v>183</v>
      </c>
      <c r="I189" s="133" t="n">
        <v>101000</v>
      </c>
      <c r="J189" s="133" t="inlineStr">
        <is>
          <t>8</t>
        </is>
      </c>
      <c r="K189" s="133" t="n">
        <v>58000</v>
      </c>
      <c r="L189" s="133" t="inlineStr">
        <is>
          <t>중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99A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8" t="inlineStr">
        <is>
          <t>망월동 미사강변파밀리에</t>
        </is>
      </c>
      <c r="B190" s="79" t="inlineStr">
        <is>
          <t>14.06.</t>
        </is>
      </c>
      <c r="C190" s="129" t="n">
        <v>976</v>
      </c>
      <c r="D190" s="130" t="n">
        <v>113.4</v>
      </c>
      <c r="E190" s="131" t="n">
        <v>34</v>
      </c>
      <c r="F190" s="130" t="n">
        <v>85</v>
      </c>
      <c r="G190" s="17" t="n">
        <v>26</v>
      </c>
      <c r="H190" s="132" t="n">
        <v>208</v>
      </c>
      <c r="I190" s="133" t="n">
        <v>105000</v>
      </c>
      <c r="J190" s="133" t="inlineStr">
        <is>
          <t>중</t>
        </is>
      </c>
      <c r="K190" s="133" t="n">
        <v>62000</v>
      </c>
      <c r="L190" s="133" t="inlineStr">
        <is>
          <t>고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inlineStr">
        <is>
          <t>113B2</t>
        </is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8" t="inlineStr">
        <is>
          <t>망월동 미사강변파밀리에</t>
        </is>
      </c>
      <c r="B191" s="79" t="inlineStr">
        <is>
          <t>14.06.</t>
        </is>
      </c>
      <c r="C191" s="129" t="n">
        <v>976</v>
      </c>
      <c r="D191" s="130" t="n">
        <v>113.2</v>
      </c>
      <c r="E191" s="131" t="n">
        <v>34</v>
      </c>
      <c r="F191" s="130" t="n">
        <v>84.8</v>
      </c>
      <c r="G191" s="17" t="n">
        <v>26</v>
      </c>
      <c r="H191" s="132" t="n">
        <v>191</v>
      </c>
      <c r="I191" s="133" t="n">
        <v>108000</v>
      </c>
      <c r="J191" s="133" t="inlineStr">
        <is>
          <t>14</t>
        </is>
      </c>
      <c r="K191" s="133" t="n">
        <v>66000</v>
      </c>
      <c r="L191" s="133" t="inlineStr">
        <is>
          <t>27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113B1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8" t="inlineStr">
        <is>
          <t>망월동 미사강변파밀리에</t>
        </is>
      </c>
      <c r="B192" s="79" t="inlineStr">
        <is>
          <t>14.06.</t>
        </is>
      </c>
      <c r="C192" s="129" t="n">
        <v>976</v>
      </c>
      <c r="D192" s="130" t="n">
        <v>113.3</v>
      </c>
      <c r="E192" s="131" t="n">
        <v>34</v>
      </c>
      <c r="F192" s="130" t="n">
        <v>84.90000000000001</v>
      </c>
      <c r="G192" s="17" t="n">
        <v>26</v>
      </c>
      <c r="H192" s="132" t="n">
        <v>96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113C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8" t="inlineStr">
        <is>
          <t>망월동 미사강변도시8단지스타힐스</t>
        </is>
      </c>
      <c r="B193" s="79" t="inlineStr">
        <is>
          <t>16.11.</t>
        </is>
      </c>
      <c r="C193" s="129" t="n">
        <v>1389</v>
      </c>
      <c r="D193" s="130" t="n">
        <v>71.40000000000001</v>
      </c>
      <c r="E193" s="131" t="n">
        <v>22</v>
      </c>
      <c r="F193" s="130" t="n">
        <v>51.7</v>
      </c>
      <c r="G193" s="17" t="n">
        <v>16</v>
      </c>
      <c r="H193" s="132" t="n">
        <v>273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2</v>
      </c>
      <c r="R193" s="120" t="n">
        <v>1</v>
      </c>
      <c r="S193" s="120" t="inlineStr">
        <is>
          <t>계</t>
        </is>
      </c>
      <c r="T193" s="5" t="inlineStr">
        <is>
          <t>71A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8" t="inlineStr">
        <is>
          <t>망월동 미사강변도시8단지스타힐스</t>
        </is>
      </c>
      <c r="B194" s="79" t="inlineStr">
        <is>
          <t>16.11.</t>
        </is>
      </c>
      <c r="C194" s="129" t="n">
        <v>1389</v>
      </c>
      <c r="D194" s="130" t="n">
        <v>71.5</v>
      </c>
      <c r="E194" s="131" t="n">
        <v>22</v>
      </c>
      <c r="F194" s="130" t="n">
        <v>51.9</v>
      </c>
      <c r="G194" s="17" t="n">
        <v>16</v>
      </c>
      <c r="H194" s="132" t="n">
        <v>61</v>
      </c>
      <c r="I194" s="133" t="n">
        <v>83000</v>
      </c>
      <c r="J194" s="133" t="inlineStr">
        <is>
          <t>9</t>
        </is>
      </c>
      <c r="K194" s="133" t="n">
        <v>45000</v>
      </c>
      <c r="L194" s="133" t="inlineStr">
        <is>
          <t>11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2</v>
      </c>
      <c r="R194" s="120" t="n">
        <v>1</v>
      </c>
      <c r="S194" s="120" t="inlineStr">
        <is>
          <t>계</t>
        </is>
      </c>
      <c r="T194" s="5" t="inlineStr">
        <is>
          <t>71B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8" t="inlineStr">
        <is>
          <t>망월동 미사강변도시8단지스타힐스</t>
        </is>
      </c>
      <c r="B195" s="79" t="inlineStr">
        <is>
          <t>16.11.</t>
        </is>
      </c>
      <c r="C195" s="129" t="n">
        <v>1389</v>
      </c>
      <c r="D195" s="130" t="n">
        <v>71.3</v>
      </c>
      <c r="E195" s="131" t="n">
        <v>22</v>
      </c>
      <c r="F195" s="130" t="n">
        <v>51.7</v>
      </c>
      <c r="G195" s="17" t="n">
        <v>16</v>
      </c>
      <c r="H195" s="132" t="n">
        <v>61</v>
      </c>
      <c r="I195" s="133" t="n">
        <v>75000</v>
      </c>
      <c r="J195" s="133" t="inlineStr">
        <is>
          <t>7</t>
        </is>
      </c>
      <c r="K195" s="133" t="n">
        <v>46000</v>
      </c>
      <c r="L195" s="133" t="inlineStr">
        <is>
          <t>고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2</v>
      </c>
      <c r="R195" s="120" t="n">
        <v>1</v>
      </c>
      <c r="S195" s="120" t="inlineStr">
        <is>
          <t>계</t>
        </is>
      </c>
      <c r="T195" s="5" t="inlineStr">
        <is>
          <t>71C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8" t="inlineStr">
        <is>
          <t>망월동 미사강변도시8단지스타힐스</t>
        </is>
      </c>
      <c r="B196" s="79" t="inlineStr">
        <is>
          <t>16.11.</t>
        </is>
      </c>
      <c r="C196" s="129" t="n">
        <v>1389</v>
      </c>
      <c r="D196" s="130" t="n">
        <v>82.5</v>
      </c>
      <c r="E196" s="131" t="n">
        <v>25</v>
      </c>
      <c r="F196" s="130" t="n">
        <v>59.8</v>
      </c>
      <c r="G196" s="17" t="n">
        <v>18</v>
      </c>
      <c r="H196" s="132" t="n">
        <v>193</v>
      </c>
      <c r="I196" s="133" t="n">
        <v>89000</v>
      </c>
      <c r="J196" s="133" t="inlineStr">
        <is>
          <t>17</t>
        </is>
      </c>
      <c r="K196" s="133" t="n">
        <v>53000</v>
      </c>
      <c r="L196" s="133" t="inlineStr">
        <is>
          <t>고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82A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8" t="inlineStr">
        <is>
          <t>망월동 미사강변도시8단지스타힐스</t>
        </is>
      </c>
      <c r="B197" s="79" t="inlineStr">
        <is>
          <t>16.11.</t>
        </is>
      </c>
      <c r="C197" s="129" t="n">
        <v>1389</v>
      </c>
      <c r="D197" s="130" t="n">
        <v>82.5</v>
      </c>
      <c r="E197" s="131" t="n">
        <v>25</v>
      </c>
      <c r="F197" s="130" t="n">
        <v>59.8</v>
      </c>
      <c r="G197" s="17" t="n">
        <v>18</v>
      </c>
      <c r="H197" s="132" t="n">
        <v>70</v>
      </c>
      <c r="I197" s="133" t="n">
        <v>89000</v>
      </c>
      <c r="J197" s="133" t="inlineStr">
        <is>
          <t>17</t>
        </is>
      </c>
      <c r="K197" s="133" t="n">
        <v>53000</v>
      </c>
      <c r="L197" s="133" t="inlineStr">
        <is>
          <t>고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82B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8" t="inlineStr">
        <is>
          <t>망월동 미사강변도시8단지스타힐스</t>
        </is>
      </c>
      <c r="B198" s="79" t="inlineStr">
        <is>
          <t>16.11.</t>
        </is>
      </c>
      <c r="C198" s="129" t="n">
        <v>1389</v>
      </c>
      <c r="D198" s="130" t="n">
        <v>82.3</v>
      </c>
      <c r="E198" s="131" t="n">
        <v>25</v>
      </c>
      <c r="F198" s="130" t="n">
        <v>59.7</v>
      </c>
      <c r="G198" s="17" t="n">
        <v>18</v>
      </c>
      <c r="H198" s="132" t="n">
        <v>17</v>
      </c>
      <c r="I198" s="133" t="n">
        <v>93000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82A1</t>
        </is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8" t="inlineStr">
        <is>
          <t>망월동 미사강변도시8단지스타힐스</t>
        </is>
      </c>
      <c r="B199" s="79" t="inlineStr">
        <is>
          <t>16.11.</t>
        </is>
      </c>
      <c r="C199" s="129" t="n">
        <v>1389</v>
      </c>
      <c r="D199" s="130" t="n">
        <v>103.4</v>
      </c>
      <c r="E199" s="131" t="n">
        <v>31</v>
      </c>
      <c r="F199" s="130" t="n">
        <v>75</v>
      </c>
      <c r="G199" s="17" t="n">
        <v>23</v>
      </c>
      <c r="H199" s="132" t="n">
        <v>272</v>
      </c>
      <c r="I199" s="133" t="n">
        <v>100000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103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8" t="inlineStr">
        <is>
          <t>망월동 미사강변도시8단지스타힐스</t>
        </is>
      </c>
      <c r="B200" s="79" t="inlineStr">
        <is>
          <t>16.11.</t>
        </is>
      </c>
      <c r="C200" s="129" t="n">
        <v>1389</v>
      </c>
      <c r="D200" s="130" t="n">
        <v>117.1</v>
      </c>
      <c r="E200" s="131" t="n">
        <v>35</v>
      </c>
      <c r="F200" s="130" t="n">
        <v>84.90000000000001</v>
      </c>
      <c r="G200" s="17" t="n">
        <v>26</v>
      </c>
      <c r="H200" s="132" t="n">
        <v>358</v>
      </c>
      <c r="I200" s="133" t="n">
        <v>104000</v>
      </c>
      <c r="J200" s="133" t="inlineStr">
        <is>
          <t>9</t>
        </is>
      </c>
      <c r="K200" s="133" t="n">
        <v>63000</v>
      </c>
      <c r="L200" s="133" t="inlineStr">
        <is>
          <t>17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117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8" t="inlineStr">
        <is>
          <t>망월동 미사강변도시8단지스타힐스</t>
        </is>
      </c>
      <c r="B201" s="79" t="inlineStr">
        <is>
          <t>16.11.</t>
        </is>
      </c>
      <c r="C201" s="129" t="n">
        <v>1389</v>
      </c>
      <c r="D201" s="130" t="n">
        <v>117.2</v>
      </c>
      <c r="E201" s="131" t="n">
        <v>35</v>
      </c>
      <c r="F201" s="130" t="n">
        <v>84.90000000000001</v>
      </c>
      <c r="G201" s="17" t="n">
        <v>26</v>
      </c>
      <c r="H201" s="132" t="n">
        <v>84</v>
      </c>
      <c r="I201" s="133" t="n">
        <v>106000</v>
      </c>
      <c r="J201" s="133" t="inlineStr">
        <is>
          <t>고</t>
        </is>
      </c>
      <c r="K201" s="133" t="n">
        <v>58000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117B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8" t="inlineStr">
        <is>
          <t>망월동 미사강변호반써밋</t>
        </is>
      </c>
      <c r="B202" s="79" t="inlineStr">
        <is>
          <t>19.06.</t>
        </is>
      </c>
      <c r="C202" s="129" t="n">
        <v>846</v>
      </c>
      <c r="D202" s="130" t="n">
        <v>131.6</v>
      </c>
      <c r="E202" s="131" t="n">
        <v>40</v>
      </c>
      <c r="F202" s="130" t="n">
        <v>99.90000000000001</v>
      </c>
      <c r="G202" s="17" t="n">
        <v>30</v>
      </c>
      <c r="H202" s="132" t="n">
        <v>490</v>
      </c>
      <c r="I202" s="133" t="n">
        <v>130000</v>
      </c>
      <c r="J202" s="133" t="inlineStr">
        <is>
          <t>29</t>
        </is>
      </c>
      <c r="K202" s="133" t="n">
        <v>80000</v>
      </c>
      <c r="L202" s="133" t="inlineStr">
        <is>
          <t>중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inlineStr">
        <is>
          <t>131A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8" t="inlineStr">
        <is>
          <t>망월동 미사강변호반써밋</t>
        </is>
      </c>
      <c r="B203" s="79" t="inlineStr">
        <is>
          <t>19.06.</t>
        </is>
      </c>
      <c r="C203" s="129" t="n">
        <v>846</v>
      </c>
      <c r="D203" s="130" t="n">
        <v>131.8</v>
      </c>
      <c r="E203" s="131" t="n">
        <v>40</v>
      </c>
      <c r="F203" s="130" t="n">
        <v>99.5</v>
      </c>
      <c r="G203" s="17" t="n">
        <v>30</v>
      </c>
      <c r="H203" s="132" t="n">
        <v>108</v>
      </c>
      <c r="I203" s="133" t="n">
        <v>125000</v>
      </c>
      <c r="J203" s="133" t="inlineStr">
        <is>
          <t>중</t>
        </is>
      </c>
      <c r="K203" s="133" t="n">
        <v>80000</v>
      </c>
      <c r="L203" s="133" t="inlineStr">
        <is>
          <t>중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inlineStr">
        <is>
          <t>131C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8" t="inlineStr">
        <is>
          <t>망월동 미사강변호반써밋</t>
        </is>
      </c>
      <c r="B204" s="79" t="inlineStr">
        <is>
          <t>19.06.</t>
        </is>
      </c>
      <c r="C204" s="129" t="n">
        <v>846</v>
      </c>
      <c r="D204" s="130" t="n">
        <v>132.2</v>
      </c>
      <c r="E204" s="131" t="n">
        <v>40</v>
      </c>
      <c r="F204" s="130" t="n">
        <v>99.2</v>
      </c>
      <c r="G204" s="17" t="n">
        <v>30</v>
      </c>
      <c r="H204" s="132" t="n">
        <v>244</v>
      </c>
      <c r="I204" s="133" t="n">
        <v>130000</v>
      </c>
      <c r="J204" s="133" t="inlineStr">
        <is>
          <t>5</t>
        </is>
      </c>
      <c r="K204" s="133" t="n">
        <v>80000</v>
      </c>
      <c r="L204" s="133" t="inlineStr">
        <is>
          <t>중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inlineStr">
        <is>
          <t>132B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8" t="inlineStr">
        <is>
          <t>망월동 미사강변호반써밋</t>
        </is>
      </c>
      <c r="B205" s="79" t="inlineStr">
        <is>
          <t>19.06.</t>
        </is>
      </c>
      <c r="C205" s="129" t="n">
        <v>846</v>
      </c>
      <c r="D205" s="130" t="n">
        <v>197</v>
      </c>
      <c r="E205" s="131" t="n">
        <v>60</v>
      </c>
      <c r="F205" s="130" t="n">
        <v>147.2</v>
      </c>
      <c r="G205" s="17" t="n">
        <v>45</v>
      </c>
      <c r="H205" s="132" t="n">
        <v>1</v>
      </c>
      <c r="I205" s="133" t="n">
        <v>370000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5</v>
      </c>
      <c r="R205" s="120" t="n">
        <v>3</v>
      </c>
      <c r="S205" s="120" t="inlineStr">
        <is>
          <t>계</t>
        </is>
      </c>
      <c r="T205" s="5" t="inlineStr">
        <is>
          <t>196A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8" t="inlineStr">
        <is>
          <t>망월동 미사강변호반써밋</t>
        </is>
      </c>
      <c r="B206" s="79" t="inlineStr">
        <is>
          <t>19.06.</t>
        </is>
      </c>
      <c r="C206" s="129" t="n">
        <v>846</v>
      </c>
      <c r="D206" s="130" t="n">
        <v>199.7</v>
      </c>
      <c r="E206" s="131" t="n">
        <v>60</v>
      </c>
      <c r="F206" s="130" t="n">
        <v>149.3</v>
      </c>
      <c r="G206" s="17" t="n">
        <v>45</v>
      </c>
      <c r="H206" s="132" t="n">
        <v>1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3</v>
      </c>
      <c r="S206" s="120" t="inlineStr">
        <is>
          <t>계</t>
        </is>
      </c>
      <c r="T206" s="5" t="inlineStr">
        <is>
          <t>199B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8" t="inlineStr">
        <is>
          <t>망월동 미사강변호반써밋</t>
        </is>
      </c>
      <c r="B207" s="79" t="inlineStr">
        <is>
          <t>19.06.</t>
        </is>
      </c>
      <c r="C207" s="129" t="n">
        <v>846</v>
      </c>
      <c r="D207" s="130" t="n">
        <v>205.6</v>
      </c>
      <c r="E207" s="131" t="n">
        <v>62</v>
      </c>
      <c r="F207" s="130" t="n">
        <v>154.2</v>
      </c>
      <c r="G207" s="17" t="n">
        <v>47</v>
      </c>
      <c r="H207" s="132" t="n">
        <v>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5</v>
      </c>
      <c r="R207" s="120" t="n">
        <v>3</v>
      </c>
      <c r="S207" s="120" t="inlineStr">
        <is>
          <t>계</t>
        </is>
      </c>
      <c r="T207" s="5" t="n">
        <v>205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8" t="inlineStr">
        <is>
          <t>망월동 미사역파라곤</t>
        </is>
      </c>
      <c r="B208" s="79" t="inlineStr">
        <is>
          <t>21.07.</t>
        </is>
      </c>
      <c r="C208" s="129" t="n">
        <v>925</v>
      </c>
      <c r="D208" s="130" t="n">
        <v>129.2</v>
      </c>
      <c r="E208" s="131" t="n">
        <v>39</v>
      </c>
      <c r="F208" s="130" t="n">
        <v>102.9</v>
      </c>
      <c r="G208" s="17" t="n">
        <v>31</v>
      </c>
      <c r="H208" s="132" t="n">
        <v>462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129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8" t="inlineStr">
        <is>
          <t>망월동 미사역파라곤</t>
        </is>
      </c>
      <c r="B209" s="79" t="inlineStr">
        <is>
          <t>21.07.</t>
        </is>
      </c>
      <c r="C209" s="129" t="n">
        <v>925</v>
      </c>
      <c r="D209" s="130" t="n">
        <v>135.5</v>
      </c>
      <c r="E209" s="131" t="n">
        <v>41</v>
      </c>
      <c r="F209" s="130" t="n">
        <v>107.7</v>
      </c>
      <c r="G209" s="17" t="n">
        <v>33</v>
      </c>
      <c r="H209" s="132" t="n">
        <v>229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135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8" t="inlineStr">
        <is>
          <t>망월동 미사역파라곤</t>
        </is>
      </c>
      <c r="B210" s="79" t="inlineStr">
        <is>
          <t>21.07.</t>
        </is>
      </c>
      <c r="C210" s="129" t="n">
        <v>925</v>
      </c>
      <c r="D210" s="130" t="n">
        <v>147.1</v>
      </c>
      <c r="E210" s="131" t="n">
        <v>44</v>
      </c>
      <c r="F210" s="130" t="n">
        <v>117</v>
      </c>
      <c r="G210" s="17" t="n">
        <v>35</v>
      </c>
      <c r="H210" s="132" t="n">
        <v>232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8" t="inlineStr">
        <is>
          <t>망월동 미사역파라곤</t>
        </is>
      </c>
      <c r="B211" s="79" t="inlineStr">
        <is>
          <t>21.07.</t>
        </is>
      </c>
      <c r="C211" s="129" t="n">
        <v>925</v>
      </c>
      <c r="D211" s="130" t="n">
        <v>244.6</v>
      </c>
      <c r="E211" s="131" t="n">
        <v>74</v>
      </c>
      <c r="F211" s="130" t="n">
        <v>195.6</v>
      </c>
      <c r="G211" s="17" t="n">
        <v>59</v>
      </c>
      <c r="H211" s="132" t="n">
        <v>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3</v>
      </c>
      <c r="S211" s="120" t="inlineStr">
        <is>
          <t>계</t>
        </is>
      </c>
      <c r="T211" s="5" t="n">
        <v>244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8" t="inlineStr">
        <is>
          <t>망월동 미사강변도시12단지</t>
        </is>
      </c>
      <c r="B212" s="79" t="inlineStr">
        <is>
          <t>15.07.</t>
        </is>
      </c>
      <c r="C212" s="129" t="n">
        <v>664</v>
      </c>
      <c r="D212" s="130" t="n">
        <v>98.5</v>
      </c>
      <c r="E212" s="131" t="n">
        <v>30</v>
      </c>
      <c r="F212" s="130" t="n">
        <v>75</v>
      </c>
      <c r="G212" s="17" t="n">
        <v>23</v>
      </c>
      <c r="H212" s="132" t="n">
        <v>331</v>
      </c>
      <c r="I212" s="133" t="n">
        <v>90000</v>
      </c>
      <c r="J212" s="133" t="inlineStr">
        <is>
          <t>중</t>
        </is>
      </c>
      <c r="K212" s="133" t="n">
        <v>55000</v>
      </c>
      <c r="L212" s="133" t="inlineStr">
        <is>
          <t>중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98A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8" t="inlineStr">
        <is>
          <t>망월동 미사강변도시12단지</t>
        </is>
      </c>
      <c r="B213" s="79" t="inlineStr">
        <is>
          <t>15.07.</t>
        </is>
      </c>
      <c r="C213" s="129" t="n">
        <v>664</v>
      </c>
      <c r="D213" s="130" t="n">
        <v>111.6</v>
      </c>
      <c r="E213" s="131" t="n">
        <v>34</v>
      </c>
      <c r="F213" s="130" t="n">
        <v>84.90000000000001</v>
      </c>
      <c r="G213" s="17" t="n">
        <v>26</v>
      </c>
      <c r="H213" s="132" t="n">
        <v>285</v>
      </c>
      <c r="I213" s="133" t="n">
        <v>101000</v>
      </c>
      <c r="J213" s="133" t="inlineStr">
        <is>
          <t>중</t>
        </is>
      </c>
      <c r="K213" s="133" t="n">
        <v>60000</v>
      </c>
      <c r="L213" s="133" t="inlineStr">
        <is>
          <t>20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111B2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8" t="inlineStr">
        <is>
          <t>망월동 미사강변도시12단지</t>
        </is>
      </c>
      <c r="B214" s="79" t="inlineStr">
        <is>
          <t>15.07.</t>
        </is>
      </c>
      <c r="C214" s="129" t="n">
        <v>664</v>
      </c>
      <c r="D214" s="130" t="n">
        <v>111.4</v>
      </c>
      <c r="E214" s="131" t="n">
        <v>34</v>
      </c>
      <c r="F214" s="130" t="n">
        <v>84.8</v>
      </c>
      <c r="G214" s="17" t="n">
        <v>26</v>
      </c>
      <c r="H214" s="132" t="n">
        <v>48</v>
      </c>
      <c r="I214" s="133" t="n">
        <v>101000</v>
      </c>
      <c r="J214" s="133" t="inlineStr">
        <is>
          <t>8</t>
        </is>
      </c>
      <c r="K214" s="133" t="n">
        <v>60000</v>
      </c>
      <c r="L214" s="133" t="inlineStr">
        <is>
          <t>8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111B1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8" t="inlineStr">
        <is>
          <t>선동 리버나인</t>
        </is>
      </c>
      <c r="B215" s="79" t="inlineStr">
        <is>
          <t>14.07.</t>
        </is>
      </c>
      <c r="C215" s="129" t="n">
        <v>712</v>
      </c>
      <c r="D215" s="130" t="n">
        <v>99.90000000000001</v>
      </c>
      <c r="E215" s="131" t="n">
        <v>30</v>
      </c>
      <c r="F215" s="130" t="n">
        <v>75</v>
      </c>
      <c r="G215" s="17" t="n">
        <v>23</v>
      </c>
      <c r="H215" s="132" t="n">
        <v>132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99B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8" t="inlineStr">
        <is>
          <t>선동 리버나인</t>
        </is>
      </c>
      <c r="B216" s="79" t="inlineStr">
        <is>
          <t>14.07.</t>
        </is>
      </c>
      <c r="C216" s="129" t="n">
        <v>712</v>
      </c>
      <c r="D216" s="130" t="n">
        <v>99.90000000000001</v>
      </c>
      <c r="E216" s="131" t="n">
        <v>30</v>
      </c>
      <c r="F216" s="130" t="n">
        <v>75</v>
      </c>
      <c r="G216" s="17" t="n">
        <v>23</v>
      </c>
      <c r="H216" s="132" t="n">
        <v>64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99A1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8" t="inlineStr">
        <is>
          <t>선동 리버나인</t>
        </is>
      </c>
      <c r="B217" s="79" t="inlineStr">
        <is>
          <t>14.07.</t>
        </is>
      </c>
      <c r="C217" s="129" t="n">
        <v>712</v>
      </c>
      <c r="D217" s="130" t="n">
        <v>99.90000000000001</v>
      </c>
      <c r="E217" s="131" t="n">
        <v>30</v>
      </c>
      <c r="F217" s="130" t="n">
        <v>75</v>
      </c>
      <c r="G217" s="17" t="n">
        <v>23</v>
      </c>
      <c r="H217" s="132" t="n">
        <v>18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inlineStr">
        <is>
          <t>99A2</t>
        </is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8" t="inlineStr">
        <is>
          <t>선동 리버나인</t>
        </is>
      </c>
      <c r="B218" s="79" t="inlineStr">
        <is>
          <t>14.07.</t>
        </is>
      </c>
      <c r="C218" s="129" t="n">
        <v>712</v>
      </c>
      <c r="D218" s="130" t="n">
        <v>99.90000000000001</v>
      </c>
      <c r="E218" s="131" t="n">
        <v>30</v>
      </c>
      <c r="F218" s="130" t="n">
        <v>75</v>
      </c>
      <c r="G218" s="17" t="n">
        <v>23</v>
      </c>
      <c r="H218" s="132" t="n">
        <v>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99BN</t>
        </is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8" t="inlineStr">
        <is>
          <t>선동 리버나인</t>
        </is>
      </c>
      <c r="B219" s="79" t="inlineStr">
        <is>
          <t>14.07.</t>
        </is>
      </c>
      <c r="C219" s="129" t="n">
        <v>712</v>
      </c>
      <c r="D219" s="130" t="n">
        <v>113.2</v>
      </c>
      <c r="E219" s="131" t="n">
        <v>34</v>
      </c>
      <c r="F219" s="130" t="n">
        <v>85</v>
      </c>
      <c r="G219" s="17" t="n">
        <v>26</v>
      </c>
      <c r="H219" s="132" t="n">
        <v>238</v>
      </c>
      <c r="I219" s="133" t="n">
        <v>98000</v>
      </c>
      <c r="J219" s="133" t="inlineStr">
        <is>
          <t>고</t>
        </is>
      </c>
      <c r="K219" s="133" t="n">
        <v>52000</v>
      </c>
      <c r="L219" s="133" t="inlineStr">
        <is>
          <t>고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113B</t>
        </is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8" t="inlineStr">
        <is>
          <t>선동 리버나인</t>
        </is>
      </c>
      <c r="B220" s="79" t="inlineStr">
        <is>
          <t>14.07.</t>
        </is>
      </c>
      <c r="C220" s="129" t="n">
        <v>712</v>
      </c>
      <c r="D220" s="130" t="n">
        <v>113.1</v>
      </c>
      <c r="E220" s="131" t="n">
        <v>34</v>
      </c>
      <c r="F220" s="130" t="n">
        <v>84.90000000000001</v>
      </c>
      <c r="G220" s="17" t="n">
        <v>26</v>
      </c>
      <c r="H220" s="132" t="n">
        <v>168</v>
      </c>
      <c r="I220" s="133" t="n">
        <v>99000</v>
      </c>
      <c r="J220" s="133" t="inlineStr">
        <is>
          <t>중</t>
        </is>
      </c>
      <c r="K220" s="133" t="n">
        <v>60000</v>
      </c>
      <c r="L220" s="133" t="inlineStr">
        <is>
          <t>중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inlineStr">
        <is>
          <t>113C</t>
        </is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8" t="inlineStr">
        <is>
          <t>선동 리버나인</t>
        </is>
      </c>
      <c r="B221" s="79" t="inlineStr">
        <is>
          <t>14.07.</t>
        </is>
      </c>
      <c r="C221" s="129" t="n">
        <v>712</v>
      </c>
      <c r="D221" s="130" t="n">
        <v>113.1</v>
      </c>
      <c r="E221" s="131" t="n">
        <v>34</v>
      </c>
      <c r="F221" s="130" t="n">
        <v>84.90000000000001</v>
      </c>
      <c r="G221" s="17" t="n">
        <v>26</v>
      </c>
      <c r="H221" s="132" t="n">
        <v>49</v>
      </c>
      <c r="I221" s="133" t="n">
        <v>99000</v>
      </c>
      <c r="J221" s="133" t="inlineStr">
        <is>
          <t>중</t>
        </is>
      </c>
      <c r="K221" s="133" t="n">
        <v>60000</v>
      </c>
      <c r="L221" s="133" t="inlineStr">
        <is>
          <t>중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113A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8" t="inlineStr">
        <is>
          <t>선동 리버나인</t>
        </is>
      </c>
      <c r="B222" s="79" t="inlineStr">
        <is>
          <t>14.07.</t>
        </is>
      </c>
      <c r="C222" s="129" t="n">
        <v>712</v>
      </c>
      <c r="D222" s="130" t="n">
        <v>113.2</v>
      </c>
      <c r="E222" s="131" t="n">
        <v>34</v>
      </c>
      <c r="F222" s="130" t="n">
        <v>85</v>
      </c>
      <c r="G222" s="17" t="n">
        <v>26</v>
      </c>
      <c r="H222" s="132" t="n">
        <v>28</v>
      </c>
      <c r="I222" s="133" t="n">
        <v>98000</v>
      </c>
      <c r="J222" s="133" t="inlineStr">
        <is>
          <t>고</t>
        </is>
      </c>
      <c r="K222" s="133" t="n">
        <v>52000</v>
      </c>
      <c r="L222" s="133" t="inlineStr">
        <is>
          <t>고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113BN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8" t="inlineStr">
        <is>
          <t>선동 미사강변리버뷰자이</t>
        </is>
      </c>
      <c r="B223" s="79" t="inlineStr">
        <is>
          <t>17.08.</t>
        </is>
      </c>
      <c r="C223" s="129" t="n">
        <v>555</v>
      </c>
      <c r="D223" s="130" t="n">
        <v>118.6</v>
      </c>
      <c r="E223" s="131" t="n">
        <v>36</v>
      </c>
      <c r="F223" s="130" t="n">
        <v>91.59999999999999</v>
      </c>
      <c r="G223" s="17" t="n">
        <v>28</v>
      </c>
      <c r="H223" s="132" t="n">
        <v>139</v>
      </c>
      <c r="I223" s="133" t="n">
        <v>125000</v>
      </c>
      <c r="J223" s="133" t="inlineStr">
        <is>
          <t>중</t>
        </is>
      </c>
      <c r="K223" s="133" t="n">
        <v>63000</v>
      </c>
      <c r="L223" s="133" t="inlineStr">
        <is>
          <t>중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118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8" t="inlineStr">
        <is>
          <t>선동 미사강변리버뷰자이</t>
        </is>
      </c>
      <c r="B224" s="79" t="inlineStr">
        <is>
          <t>17.08.</t>
        </is>
      </c>
      <c r="C224" s="129" t="n">
        <v>555</v>
      </c>
      <c r="D224" s="130" t="n">
        <v>125.4</v>
      </c>
      <c r="E224" s="131" t="n">
        <v>38</v>
      </c>
      <c r="F224" s="130" t="n">
        <v>98.59999999999999</v>
      </c>
      <c r="G224" s="17" t="n">
        <v>30</v>
      </c>
      <c r="H224" s="132" t="n">
        <v>131</v>
      </c>
      <c r="I224" s="133" t="n">
        <v>119000</v>
      </c>
      <c r="J224" s="133" t="inlineStr">
        <is>
          <t>10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inlineStr">
        <is>
          <t>125A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8" t="inlineStr">
        <is>
          <t>선동 미사강변리버뷰자이</t>
        </is>
      </c>
      <c r="B225" s="79" t="inlineStr">
        <is>
          <t>17.08.</t>
        </is>
      </c>
      <c r="C225" s="129" t="n">
        <v>555</v>
      </c>
      <c r="D225" s="130" t="n">
        <v>125.6</v>
      </c>
      <c r="E225" s="131" t="n">
        <v>38</v>
      </c>
      <c r="F225" s="130" t="n">
        <v>98.5</v>
      </c>
      <c r="G225" s="17" t="n">
        <v>30</v>
      </c>
      <c r="H225" s="132" t="n">
        <v>56</v>
      </c>
      <c r="I225" s="133" t="n">
        <v>120000</v>
      </c>
      <c r="J225" s="133" t="inlineStr">
        <is>
          <t>중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inlineStr">
        <is>
          <t>125B</t>
        </is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8" t="inlineStr">
        <is>
          <t>선동 미사강변리버뷰자이</t>
        </is>
      </c>
      <c r="B226" s="79" t="inlineStr">
        <is>
          <t>17.08.</t>
        </is>
      </c>
      <c r="C226" s="129" t="n">
        <v>555</v>
      </c>
      <c r="D226" s="130" t="n">
        <v>125.5</v>
      </c>
      <c r="E226" s="131" t="n">
        <v>38</v>
      </c>
      <c r="F226" s="130" t="n">
        <v>98</v>
      </c>
      <c r="G226" s="17" t="n">
        <v>30</v>
      </c>
      <c r="H226" s="132" t="n">
        <v>52</v>
      </c>
      <c r="I226" s="133" t="n">
        <v>130000</v>
      </c>
      <c r="J226" s="133" t="inlineStr">
        <is>
          <t>중</t>
        </is>
      </c>
      <c r="K226" s="133" t="n">
        <v>75000</v>
      </c>
      <c r="L226" s="133" t="inlineStr">
        <is>
          <t>고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inlineStr">
        <is>
          <t>125C</t>
        </is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8" t="inlineStr">
        <is>
          <t>선동 미사강변리버뷰자이</t>
        </is>
      </c>
      <c r="B227" s="79" t="inlineStr">
        <is>
          <t>17.08.</t>
        </is>
      </c>
      <c r="C227" s="129" t="n">
        <v>555</v>
      </c>
      <c r="D227" s="130" t="n">
        <v>131.2</v>
      </c>
      <c r="E227" s="131" t="n">
        <v>40</v>
      </c>
      <c r="F227" s="130" t="n">
        <v>102.8</v>
      </c>
      <c r="G227" s="17" t="n">
        <v>31</v>
      </c>
      <c r="H227" s="132" t="n">
        <v>44</v>
      </c>
      <c r="I227" s="133" t="n">
        <v>143000</v>
      </c>
      <c r="J227" s="133" t="inlineStr">
        <is>
          <t>고</t>
        </is>
      </c>
      <c r="K227" s="133" t="n">
        <v>85000</v>
      </c>
      <c r="L227" s="133" t="inlineStr">
        <is>
          <t>중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inlineStr">
        <is>
          <t>131C</t>
        </is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8" t="inlineStr">
        <is>
          <t>선동 미사강변리버뷰자이</t>
        </is>
      </c>
      <c r="B228" s="79" t="inlineStr">
        <is>
          <t>17.08.</t>
        </is>
      </c>
      <c r="C228" s="129" t="n">
        <v>555</v>
      </c>
      <c r="D228" s="130" t="n">
        <v>131.2</v>
      </c>
      <c r="E228" s="131" t="n">
        <v>40</v>
      </c>
      <c r="F228" s="130" t="n">
        <v>102.8</v>
      </c>
      <c r="G228" s="17" t="n">
        <v>31</v>
      </c>
      <c r="H228" s="132" t="n">
        <v>40</v>
      </c>
      <c r="I228" s="133" t="n">
        <v>143000</v>
      </c>
      <c r="J228" s="133" t="inlineStr">
        <is>
          <t>고</t>
        </is>
      </c>
      <c r="K228" s="133" t="n">
        <v>85000</v>
      </c>
      <c r="L228" s="133" t="inlineStr">
        <is>
          <t>중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4</v>
      </c>
      <c r="R228" s="120" t="n">
        <v>2</v>
      </c>
      <c r="S228" s="120" t="inlineStr">
        <is>
          <t>계</t>
        </is>
      </c>
      <c r="T228" s="5" t="inlineStr">
        <is>
          <t>131B</t>
        </is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8" t="inlineStr">
        <is>
          <t>선동 미사강변리버뷰자이</t>
        </is>
      </c>
      <c r="B229" s="79" t="inlineStr">
        <is>
          <t>17.08.</t>
        </is>
      </c>
      <c r="C229" s="129" t="n">
        <v>555</v>
      </c>
      <c r="D229" s="130" t="n">
        <v>132.2</v>
      </c>
      <c r="E229" s="131" t="n">
        <v>40</v>
      </c>
      <c r="F229" s="130" t="n">
        <v>102</v>
      </c>
      <c r="G229" s="17" t="n">
        <v>31</v>
      </c>
      <c r="H229" s="132" t="n">
        <v>83</v>
      </c>
      <c r="I229" s="133" t="n">
        <v>150000</v>
      </c>
      <c r="J229" s="133" t="inlineStr">
        <is>
          <t>고</t>
        </is>
      </c>
      <c r="K229" s="133" t="n">
        <v>74000</v>
      </c>
      <c r="L229" s="133" t="inlineStr">
        <is>
          <t>고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4</v>
      </c>
      <c r="R229" s="120" t="n">
        <v>2</v>
      </c>
      <c r="S229" s="120" t="inlineStr">
        <is>
          <t>계</t>
        </is>
      </c>
      <c r="T229" s="5" t="inlineStr">
        <is>
          <t>132A</t>
        </is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8" t="inlineStr">
        <is>
          <t>선동 미사강변리버뷰자이</t>
        </is>
      </c>
      <c r="B230" s="79" t="inlineStr">
        <is>
          <t>17.08.</t>
        </is>
      </c>
      <c r="C230" s="129" t="n">
        <v>555</v>
      </c>
      <c r="D230" s="130" t="n">
        <v>166.9</v>
      </c>
      <c r="E230" s="131" t="n">
        <v>50</v>
      </c>
      <c r="F230" s="130" t="n">
        <v>128.7</v>
      </c>
      <c r="G230" s="17" t="n">
        <v>39</v>
      </c>
      <c r="H230" s="132" t="n">
        <v>2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166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8" t="inlineStr">
        <is>
          <t>선동 미사강변리버뷰자이</t>
        </is>
      </c>
      <c r="B231" s="79" t="inlineStr">
        <is>
          <t>17.08.</t>
        </is>
      </c>
      <c r="C231" s="129" t="n">
        <v>555</v>
      </c>
      <c r="D231" s="130" t="n">
        <v>171.7</v>
      </c>
      <c r="E231" s="131" t="n">
        <v>52</v>
      </c>
      <c r="F231" s="130" t="n">
        <v>132.5</v>
      </c>
      <c r="G231" s="17" t="n">
        <v>40</v>
      </c>
      <c r="H231" s="132" t="n">
        <v>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5</v>
      </c>
      <c r="R231" s="120" t="n">
        <v>3</v>
      </c>
      <c r="S231" s="120" t="inlineStr">
        <is>
          <t>계</t>
        </is>
      </c>
      <c r="T231" s="5" t="inlineStr">
        <is>
          <t>171A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8" t="inlineStr">
        <is>
          <t>선동 미사강변리버뷰자이</t>
        </is>
      </c>
      <c r="B232" s="79" t="inlineStr">
        <is>
          <t>17.08.</t>
        </is>
      </c>
      <c r="C232" s="129" t="n">
        <v>555</v>
      </c>
      <c r="D232" s="130" t="n">
        <v>171.8</v>
      </c>
      <c r="E232" s="131" t="n">
        <v>52</v>
      </c>
      <c r="F232" s="130" t="n">
        <v>132.4</v>
      </c>
      <c r="G232" s="17" t="n">
        <v>40</v>
      </c>
      <c r="H232" s="132" t="n">
        <v>3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5</v>
      </c>
      <c r="R232" s="120" t="n">
        <v>3</v>
      </c>
      <c r="S232" s="120" t="inlineStr">
        <is>
          <t>계</t>
        </is>
      </c>
      <c r="T232" s="5" t="inlineStr">
        <is>
          <t>171B</t>
        </is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8" t="inlineStr">
        <is>
          <t>선동 미사강변리버뷰자이</t>
        </is>
      </c>
      <c r="B233" s="79" t="inlineStr">
        <is>
          <t>17.08.</t>
        </is>
      </c>
      <c r="C233" s="129" t="n">
        <v>555</v>
      </c>
      <c r="D233" s="130" t="n">
        <v>171.3</v>
      </c>
      <c r="E233" s="131" t="n">
        <v>52</v>
      </c>
      <c r="F233" s="130" t="n">
        <v>132.5</v>
      </c>
      <c r="G233" s="17" t="n">
        <v>40</v>
      </c>
      <c r="H233" s="132" t="n">
        <v>2</v>
      </c>
      <c r="I233" s="133" t="n">
        <v>300000</v>
      </c>
      <c r="J233" s="133" t="inlineStr">
        <is>
          <t>고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5</v>
      </c>
      <c r="R233" s="120" t="n">
        <v>3</v>
      </c>
      <c r="S233" s="120" t="inlineStr">
        <is>
          <t>계</t>
        </is>
      </c>
      <c r="T233" s="5" t="inlineStr">
        <is>
          <t>171C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8" t="inlineStr">
        <is>
          <t>선동 미사강변더샵리버포레</t>
        </is>
      </c>
      <c r="B234" s="79" t="inlineStr">
        <is>
          <t>16.07.</t>
        </is>
      </c>
      <c r="C234" s="129" t="n">
        <v>875</v>
      </c>
      <c r="D234" s="130" t="n">
        <v>115.8</v>
      </c>
      <c r="E234" s="131" t="n">
        <v>35</v>
      </c>
      <c r="F234" s="130" t="n">
        <v>89.7</v>
      </c>
      <c r="G234" s="17" t="n">
        <v>27</v>
      </c>
      <c r="H234" s="132" t="n">
        <v>297</v>
      </c>
      <c r="I234" s="133" t="n">
        <v>108000</v>
      </c>
      <c r="J234" s="133" t="inlineStr">
        <is>
          <t>15</t>
        </is>
      </c>
      <c r="K234" s="133" t="n">
        <v>73000</v>
      </c>
      <c r="L234" s="133" t="inlineStr">
        <is>
          <t>고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115B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8" t="inlineStr">
        <is>
          <t>선동 미사강변더샵리버포레</t>
        </is>
      </c>
      <c r="B235" s="79" t="inlineStr">
        <is>
          <t>16.07.</t>
        </is>
      </c>
      <c r="C235" s="129" t="n">
        <v>875</v>
      </c>
      <c r="D235" s="130" t="n">
        <v>117</v>
      </c>
      <c r="E235" s="131" t="n">
        <v>35</v>
      </c>
      <c r="F235" s="130" t="n">
        <v>89.90000000000001</v>
      </c>
      <c r="G235" s="17" t="n">
        <v>27</v>
      </c>
      <c r="H235" s="132" t="n">
        <v>80</v>
      </c>
      <c r="I235" s="133" t="n">
        <v>125000</v>
      </c>
      <c r="J235" s="133" t="inlineStr">
        <is>
          <t>26</t>
        </is>
      </c>
      <c r="K235" s="133" t="n">
        <v>70000</v>
      </c>
      <c r="L235" s="133" t="inlineStr">
        <is>
          <t>26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inlineStr">
        <is>
          <t>116A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8" t="inlineStr">
        <is>
          <t>선동 미사강변더샵리버포레</t>
        </is>
      </c>
      <c r="B236" s="79" t="inlineStr">
        <is>
          <t>16.07.</t>
        </is>
      </c>
      <c r="C236" s="129" t="n">
        <v>875</v>
      </c>
      <c r="D236" s="130" t="n">
        <v>126</v>
      </c>
      <c r="E236" s="131" t="n">
        <v>38</v>
      </c>
      <c r="F236" s="130" t="n">
        <v>98.8</v>
      </c>
      <c r="G236" s="17" t="n">
        <v>30</v>
      </c>
      <c r="H236" s="132" t="n">
        <v>112</v>
      </c>
      <c r="I236" s="133" t="n">
        <v>153000</v>
      </c>
      <c r="J236" s="133" t="inlineStr">
        <is>
          <t>15</t>
        </is>
      </c>
      <c r="K236" s="133" t="n">
        <v>90000</v>
      </c>
      <c r="L236" s="133" t="inlineStr">
        <is>
          <t>15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4</v>
      </c>
      <c r="R236" s="120" t="n">
        <v>2</v>
      </c>
      <c r="S236" s="120" t="inlineStr">
        <is>
          <t>계</t>
        </is>
      </c>
      <c r="T236" s="5" t="inlineStr">
        <is>
          <t>125D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8" t="inlineStr">
        <is>
          <t>선동 미사강변더샵리버포레</t>
        </is>
      </c>
      <c r="B237" s="79" t="inlineStr">
        <is>
          <t>16.07.</t>
        </is>
      </c>
      <c r="C237" s="129" t="n">
        <v>875</v>
      </c>
      <c r="D237" s="130" t="n">
        <v>126.4</v>
      </c>
      <c r="E237" s="131" t="n">
        <v>38</v>
      </c>
      <c r="F237" s="130" t="n">
        <v>99</v>
      </c>
      <c r="G237" s="17" t="n">
        <v>30</v>
      </c>
      <c r="H237" s="132" t="n">
        <v>56</v>
      </c>
      <c r="I237" s="133" t="n">
        <v>153000</v>
      </c>
      <c r="J237" s="133" t="inlineStr">
        <is>
          <t>고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inlineStr">
        <is>
          <t>126C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8" t="inlineStr">
        <is>
          <t>선동 미사강변더샵리버포레</t>
        </is>
      </c>
      <c r="B238" s="79" t="inlineStr">
        <is>
          <t>16.07.</t>
        </is>
      </c>
      <c r="C238" s="129" t="n">
        <v>875</v>
      </c>
      <c r="D238" s="130" t="n">
        <v>127.4</v>
      </c>
      <c r="E238" s="131" t="n">
        <v>39</v>
      </c>
      <c r="F238" s="130" t="n">
        <v>98.5</v>
      </c>
      <c r="G238" s="17" t="n">
        <v>30</v>
      </c>
      <c r="H238" s="132" t="n">
        <v>84</v>
      </c>
      <c r="I238" s="133" t="n">
        <v>135000</v>
      </c>
      <c r="J238" s="133" t="inlineStr">
        <is>
          <t>중</t>
        </is>
      </c>
      <c r="K238" s="133" t="n">
        <v>80000</v>
      </c>
      <c r="L238" s="133" t="inlineStr">
        <is>
          <t>중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inlineStr">
        <is>
          <t>127B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8" t="inlineStr">
        <is>
          <t>선동 미사강변더샵리버포레</t>
        </is>
      </c>
      <c r="B239" s="79" t="inlineStr">
        <is>
          <t>16.07.</t>
        </is>
      </c>
      <c r="C239" s="129" t="n">
        <v>875</v>
      </c>
      <c r="D239" s="130" t="n">
        <v>128.7</v>
      </c>
      <c r="E239" s="131" t="n">
        <v>39</v>
      </c>
      <c r="F239" s="130" t="n">
        <v>98.7</v>
      </c>
      <c r="G239" s="17" t="n">
        <v>30</v>
      </c>
      <c r="H239" s="132" t="n">
        <v>135</v>
      </c>
      <c r="I239" s="133" t="n">
        <v>135000</v>
      </c>
      <c r="J239" s="133" t="inlineStr">
        <is>
          <t>6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4</v>
      </c>
      <c r="R239" s="120" t="n">
        <v>2</v>
      </c>
      <c r="S239" s="120" t="inlineStr">
        <is>
          <t>계</t>
        </is>
      </c>
      <c r="T239" s="5" t="inlineStr">
        <is>
          <t>128A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8" t="inlineStr">
        <is>
          <t>선동 미사강변더샵리버포레</t>
        </is>
      </c>
      <c r="B240" s="79" t="inlineStr">
        <is>
          <t>16.07.</t>
        </is>
      </c>
      <c r="C240" s="129" t="n">
        <v>875</v>
      </c>
      <c r="D240" s="130" t="n">
        <v>141.1</v>
      </c>
      <c r="E240" s="131" t="n">
        <v>43</v>
      </c>
      <c r="F240" s="130" t="n">
        <v>112.9</v>
      </c>
      <c r="G240" s="17" t="n">
        <v>34</v>
      </c>
      <c r="H240" s="132" t="n">
        <v>56</v>
      </c>
      <c r="I240" s="133" t="n">
        <v>160000</v>
      </c>
      <c r="J240" s="133" t="inlineStr">
        <is>
          <t>중</t>
        </is>
      </c>
      <c r="K240" s="133" t="n">
        <v>90000</v>
      </c>
      <c r="L240" s="133" t="inlineStr">
        <is>
          <t>18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4</v>
      </c>
      <c r="R240" s="120" t="n">
        <v>2</v>
      </c>
      <c r="S240" s="120" t="inlineStr">
        <is>
          <t>계</t>
        </is>
      </c>
      <c r="T240" s="5" t="inlineStr">
        <is>
          <t>141A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8" t="inlineStr">
        <is>
          <t>선동 미사강변더샵리버포레</t>
        </is>
      </c>
      <c r="B241" s="79" t="inlineStr">
        <is>
          <t>16.07.</t>
        </is>
      </c>
      <c r="C241" s="129" t="n">
        <v>875</v>
      </c>
      <c r="D241" s="130" t="n">
        <v>141.3</v>
      </c>
      <c r="E241" s="131" t="n">
        <v>43</v>
      </c>
      <c r="F241" s="130" t="n">
        <v>112.9</v>
      </c>
      <c r="G241" s="17" t="n">
        <v>34</v>
      </c>
      <c r="H241" s="132" t="n">
        <v>55</v>
      </c>
      <c r="I241" s="133" t="n">
        <v>190000</v>
      </c>
      <c r="J241" s="133" t="inlineStr">
        <is>
          <t>고</t>
        </is>
      </c>
      <c r="K241" s="133" t="n">
        <v>80000</v>
      </c>
      <c r="L241" s="133" t="inlineStr">
        <is>
          <t>25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inlineStr">
        <is>
          <t>141B</t>
        </is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8" t="inlineStr">
        <is>
          <t>선동 미사강변센트리버</t>
        </is>
      </c>
      <c r="B242" s="79" t="inlineStr">
        <is>
          <t>16.09.</t>
        </is>
      </c>
      <c r="C242" s="129" t="n">
        <v>1145</v>
      </c>
      <c r="D242" s="130" t="n">
        <v>81.40000000000001</v>
      </c>
      <c r="E242" s="131" t="n">
        <v>25</v>
      </c>
      <c r="F242" s="130" t="n">
        <v>59.9</v>
      </c>
      <c r="G242" s="17" t="n">
        <v>18</v>
      </c>
      <c r="H242" s="132" t="n">
        <v>196</v>
      </c>
      <c r="I242" s="133" t="n">
        <v>85000</v>
      </c>
      <c r="J242" s="133" t="inlineStr">
        <is>
          <t>고</t>
        </is>
      </c>
      <c r="K242" s="133" t="n">
        <v>54500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81A</t>
        </is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8" t="inlineStr">
        <is>
          <t>선동 미사강변센트리버</t>
        </is>
      </c>
      <c r="B243" s="79" t="inlineStr">
        <is>
          <t>16.09.</t>
        </is>
      </c>
      <c r="C243" s="129" t="n">
        <v>1145</v>
      </c>
      <c r="D243" s="130" t="n">
        <v>81.5</v>
      </c>
      <c r="E243" s="131" t="n">
        <v>25</v>
      </c>
      <c r="F243" s="130" t="n">
        <v>60</v>
      </c>
      <c r="G243" s="17" t="n">
        <v>18</v>
      </c>
      <c r="H243" s="132" t="n">
        <v>83</v>
      </c>
      <c r="I243" s="133" t="n">
        <v>85000</v>
      </c>
      <c r="J243" s="133" t="inlineStr">
        <is>
          <t>8</t>
        </is>
      </c>
      <c r="K243" s="133" t="n">
        <v>58000</v>
      </c>
      <c r="L243" s="133" t="inlineStr">
        <is>
          <t>고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81B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8" t="inlineStr">
        <is>
          <t>선동 미사강변센트리버</t>
        </is>
      </c>
      <c r="B244" s="79" t="inlineStr">
        <is>
          <t>16.09.</t>
        </is>
      </c>
      <c r="C244" s="129" t="n">
        <v>1145</v>
      </c>
      <c r="D244" s="130" t="n">
        <v>81.2</v>
      </c>
      <c r="E244" s="131" t="n">
        <v>25</v>
      </c>
      <c r="F244" s="130" t="n">
        <v>59.8</v>
      </c>
      <c r="G244" s="17" t="n">
        <v>18</v>
      </c>
      <c r="H244" s="132" t="n">
        <v>37</v>
      </c>
      <c r="I244" s="133" t="n">
        <v>90000</v>
      </c>
      <c r="J244" s="133" t="inlineStr">
        <is>
          <t>고</t>
        </is>
      </c>
      <c r="K244" s="133" t="n">
        <v>57000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81C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8" t="inlineStr">
        <is>
          <t>선동 미사강변센트리버</t>
        </is>
      </c>
      <c r="B245" s="79" t="inlineStr">
        <is>
          <t>16.09.</t>
        </is>
      </c>
      <c r="C245" s="129" t="n">
        <v>1145</v>
      </c>
      <c r="D245" s="130" t="n">
        <v>81.3</v>
      </c>
      <c r="E245" s="131" t="n">
        <v>25</v>
      </c>
      <c r="F245" s="130" t="n">
        <v>59.8</v>
      </c>
      <c r="G245" s="17" t="n">
        <v>18</v>
      </c>
      <c r="H245" s="132" t="n">
        <v>33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81A1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8" t="inlineStr">
        <is>
          <t>선동 미사강변센트리버</t>
        </is>
      </c>
      <c r="B246" s="79" t="inlineStr">
        <is>
          <t>16.09.</t>
        </is>
      </c>
      <c r="C246" s="129" t="n">
        <v>1145</v>
      </c>
      <c r="D246" s="130" t="n">
        <v>101.8</v>
      </c>
      <c r="E246" s="131" t="n">
        <v>31</v>
      </c>
      <c r="F246" s="130" t="n">
        <v>74.90000000000001</v>
      </c>
      <c r="G246" s="17" t="n">
        <v>23</v>
      </c>
      <c r="H246" s="132" t="n">
        <v>196</v>
      </c>
      <c r="I246" s="133" t="n">
        <v>92000</v>
      </c>
      <c r="J246" s="133" t="inlineStr">
        <is>
          <t>9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101A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8" t="inlineStr">
        <is>
          <t>선동 미사강변센트리버</t>
        </is>
      </c>
      <c r="B247" s="79" t="inlineStr">
        <is>
          <t>16.09.</t>
        </is>
      </c>
      <c r="C247" s="129" t="n">
        <v>1145</v>
      </c>
      <c r="D247" s="130" t="n">
        <v>101.9</v>
      </c>
      <c r="E247" s="131" t="n">
        <v>31</v>
      </c>
      <c r="F247" s="130" t="n">
        <v>75</v>
      </c>
      <c r="G247" s="17" t="n">
        <v>23</v>
      </c>
      <c r="H247" s="132" t="n">
        <v>46</v>
      </c>
      <c r="I247" s="133" t="n">
        <v>90000</v>
      </c>
      <c r="J247" s="133" t="inlineStr">
        <is>
          <t>13</t>
        </is>
      </c>
      <c r="K247" s="133" t="n">
        <v>60000</v>
      </c>
      <c r="L247" s="133" t="inlineStr">
        <is>
          <t>고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101B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8" t="inlineStr">
        <is>
          <t>선동 미사강변센트리버</t>
        </is>
      </c>
      <c r="B248" s="79" t="inlineStr">
        <is>
          <t>16.09.</t>
        </is>
      </c>
      <c r="C248" s="129" t="n">
        <v>1145</v>
      </c>
      <c r="D248" s="130" t="n">
        <v>101.8</v>
      </c>
      <c r="E248" s="131" t="n">
        <v>31</v>
      </c>
      <c r="F248" s="130" t="n">
        <v>75</v>
      </c>
      <c r="G248" s="17" t="n">
        <v>23</v>
      </c>
      <c r="H248" s="132" t="n">
        <v>20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101C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8" t="inlineStr">
        <is>
          <t>선동 미사강변센트리버</t>
        </is>
      </c>
      <c r="B249" s="79" t="inlineStr">
        <is>
          <t>16.09.</t>
        </is>
      </c>
      <c r="C249" s="129" t="n">
        <v>1145</v>
      </c>
      <c r="D249" s="130" t="n">
        <v>115.3</v>
      </c>
      <c r="E249" s="131" t="n">
        <v>35</v>
      </c>
      <c r="F249" s="130" t="n">
        <v>84.90000000000001</v>
      </c>
      <c r="G249" s="17" t="n">
        <v>26</v>
      </c>
      <c r="H249" s="132" t="n">
        <v>206</v>
      </c>
      <c r="I249" s="133" t="n">
        <v>108000</v>
      </c>
      <c r="J249" s="133" t="inlineStr">
        <is>
          <t>고</t>
        </is>
      </c>
      <c r="K249" s="133" t="n">
        <v>63000</v>
      </c>
      <c r="L249" s="133" t="inlineStr">
        <is>
          <t>중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115C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8" t="inlineStr">
        <is>
          <t>선동 미사강변센트리버</t>
        </is>
      </c>
      <c r="B250" s="79" t="inlineStr">
        <is>
          <t>16.09.</t>
        </is>
      </c>
      <c r="C250" s="129" t="n">
        <v>1145</v>
      </c>
      <c r="D250" s="130" t="n">
        <v>115.4</v>
      </c>
      <c r="E250" s="131" t="n">
        <v>35</v>
      </c>
      <c r="F250" s="130" t="n">
        <v>84.90000000000001</v>
      </c>
      <c r="G250" s="17" t="n">
        <v>26</v>
      </c>
      <c r="H250" s="132" t="n">
        <v>156</v>
      </c>
      <c r="I250" s="133" t="n">
        <v>103000</v>
      </c>
      <c r="J250" s="133" t="inlineStr">
        <is>
          <t>고</t>
        </is>
      </c>
      <c r="K250" s="133" t="n">
        <v>60000</v>
      </c>
      <c r="L250" s="133" t="inlineStr">
        <is>
          <t>중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115B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8" t="inlineStr">
        <is>
          <t>선동 미사강변센트리버</t>
        </is>
      </c>
      <c r="B251" s="79" t="inlineStr">
        <is>
          <t>16.09.</t>
        </is>
      </c>
      <c r="C251" s="129" t="n">
        <v>1145</v>
      </c>
      <c r="D251" s="130" t="n">
        <v>115.2</v>
      </c>
      <c r="E251" s="131" t="n">
        <v>35</v>
      </c>
      <c r="F251" s="130" t="n">
        <v>84.8</v>
      </c>
      <c r="G251" s="17" t="n">
        <v>26</v>
      </c>
      <c r="H251" s="132" t="n">
        <v>87</v>
      </c>
      <c r="I251" s="133" t="n">
        <v>102000</v>
      </c>
      <c r="J251" s="133" t="inlineStr">
        <is>
          <t>18</t>
        </is>
      </c>
      <c r="K251" s="133" t="n">
        <v>60000</v>
      </c>
      <c r="L251" s="133" t="inlineStr">
        <is>
          <t>고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115A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8" t="inlineStr">
        <is>
          <t>선동 미사강변센트리버</t>
        </is>
      </c>
      <c r="B252" s="79" t="inlineStr">
        <is>
          <t>16.09.</t>
        </is>
      </c>
      <c r="C252" s="129" t="n">
        <v>1145</v>
      </c>
      <c r="D252" s="130" t="n">
        <v>115.4</v>
      </c>
      <c r="E252" s="131" t="n">
        <v>35</v>
      </c>
      <c r="F252" s="130" t="n">
        <v>84.90000000000001</v>
      </c>
      <c r="G252" s="17" t="n">
        <v>26</v>
      </c>
      <c r="H252" s="132" t="n">
        <v>85</v>
      </c>
      <c r="I252" s="133" t="n">
        <v>103000</v>
      </c>
      <c r="J252" s="133" t="inlineStr">
        <is>
          <t>고</t>
        </is>
      </c>
      <c r="K252" s="133" t="n">
        <v>60000</v>
      </c>
      <c r="L252" s="133" t="inlineStr">
        <is>
          <t>중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inlineStr">
        <is>
          <t>115D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8" t="inlineStr">
        <is>
          <t>선동 미사강변푸르지오2차</t>
        </is>
      </c>
      <c r="B253" s="79" t="inlineStr">
        <is>
          <t>16.09.</t>
        </is>
      </c>
      <c r="C253" s="129" t="n">
        <v>1066</v>
      </c>
      <c r="D253" s="130" t="n">
        <v>121.6</v>
      </c>
      <c r="E253" s="131" t="n">
        <v>37</v>
      </c>
      <c r="F253" s="130" t="n">
        <v>93.90000000000001</v>
      </c>
      <c r="G253" s="17" t="n">
        <v>28</v>
      </c>
      <c r="H253" s="132" t="n">
        <v>257</v>
      </c>
      <c r="I253" s="133" t="n">
        <v>115000</v>
      </c>
      <c r="J253" s="133" t="inlineStr">
        <is>
          <t>중</t>
        </is>
      </c>
      <c r="K253" s="133" t="n">
        <v>65000</v>
      </c>
      <c r="L253" s="133" t="inlineStr">
        <is>
          <t>15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121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8" t="inlineStr">
        <is>
          <t>선동 미사강변푸르지오2차</t>
        </is>
      </c>
      <c r="B254" s="79" t="inlineStr">
        <is>
          <t>16.09.</t>
        </is>
      </c>
      <c r="C254" s="129" t="n">
        <v>1066</v>
      </c>
      <c r="D254" s="130" t="n">
        <v>131.5</v>
      </c>
      <c r="E254" s="131" t="n">
        <v>40</v>
      </c>
      <c r="F254" s="130" t="n">
        <v>101.8</v>
      </c>
      <c r="G254" s="17" t="n">
        <v>31</v>
      </c>
      <c r="H254" s="132" t="n">
        <v>365</v>
      </c>
      <c r="I254" s="133" t="n">
        <v>145000</v>
      </c>
      <c r="J254" s="133" t="inlineStr">
        <is>
          <t>고</t>
        </is>
      </c>
      <c r="K254" s="133" t="n">
        <v>85000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inlineStr">
        <is>
          <t>131A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8" t="inlineStr">
        <is>
          <t>선동 미사강변푸르지오2차</t>
        </is>
      </c>
      <c r="B255" s="79" t="inlineStr">
        <is>
          <t>16.09.</t>
        </is>
      </c>
      <c r="C255" s="129" t="n">
        <v>1066</v>
      </c>
      <c r="D255" s="130" t="n">
        <v>131.8</v>
      </c>
      <c r="E255" s="131" t="n">
        <v>40</v>
      </c>
      <c r="F255" s="130" t="n">
        <v>101.9</v>
      </c>
      <c r="G255" s="17" t="n">
        <v>31</v>
      </c>
      <c r="H255" s="132" t="n">
        <v>135</v>
      </c>
      <c r="I255" s="133" t="n">
        <v>150000</v>
      </c>
      <c r="J255" s="133" t="inlineStr">
        <is>
          <t>9</t>
        </is>
      </c>
      <c r="K255" s="133" t="n">
        <v>70000</v>
      </c>
      <c r="L255" s="133" t="inlineStr">
        <is>
          <t>고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inlineStr">
        <is>
          <t>131C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8" t="inlineStr">
        <is>
          <t>선동 미사강변푸르지오2차</t>
        </is>
      </c>
      <c r="B256" s="79" t="inlineStr">
        <is>
          <t>16.09.</t>
        </is>
      </c>
      <c r="C256" s="129" t="n">
        <v>1066</v>
      </c>
      <c r="D256" s="130" t="n">
        <v>131.4</v>
      </c>
      <c r="E256" s="131" t="n">
        <v>40</v>
      </c>
      <c r="F256" s="130" t="n">
        <v>101.9</v>
      </c>
      <c r="G256" s="17" t="n">
        <v>31</v>
      </c>
      <c r="H256" s="132" t="n">
        <v>38</v>
      </c>
      <c r="I256" s="133" t="n">
        <v>180000</v>
      </c>
      <c r="J256" s="133" t="inlineStr">
        <is>
          <t>고</t>
        </is>
      </c>
      <c r="K256" s="133" t="n">
        <v>80000</v>
      </c>
      <c r="L256" s="133" t="inlineStr">
        <is>
          <t>14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2</v>
      </c>
      <c r="S256" s="120" t="inlineStr">
        <is>
          <t>계</t>
        </is>
      </c>
      <c r="T256" s="5" t="inlineStr">
        <is>
          <t>131E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8" t="inlineStr">
        <is>
          <t>선동 미사강변푸르지오2차</t>
        </is>
      </c>
      <c r="B257" s="79" t="inlineStr">
        <is>
          <t>16.09.</t>
        </is>
      </c>
      <c r="C257" s="129" t="n">
        <v>1066</v>
      </c>
      <c r="D257" s="130" t="n">
        <v>131.4</v>
      </c>
      <c r="E257" s="131" t="n">
        <v>40</v>
      </c>
      <c r="F257" s="130" t="n">
        <v>101.9</v>
      </c>
      <c r="G257" s="17" t="n">
        <v>31</v>
      </c>
      <c r="H257" s="132" t="n">
        <v>18</v>
      </c>
      <c r="I257" s="133" t="n">
        <v>180000</v>
      </c>
      <c r="J257" s="133" t="inlineStr">
        <is>
          <t>고</t>
        </is>
      </c>
      <c r="K257" s="133" t="n">
        <v>80000</v>
      </c>
      <c r="L257" s="133" t="inlineStr">
        <is>
          <t>14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inlineStr">
        <is>
          <t>131D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8" t="inlineStr">
        <is>
          <t>선동 미사강변푸르지오2차</t>
        </is>
      </c>
      <c r="B258" s="79" t="inlineStr">
        <is>
          <t>16.09.</t>
        </is>
      </c>
      <c r="C258" s="129" t="n">
        <v>1066</v>
      </c>
      <c r="D258" s="130" t="n">
        <v>132.1</v>
      </c>
      <c r="E258" s="131" t="n">
        <v>40</v>
      </c>
      <c r="F258" s="130" t="n">
        <v>101.9</v>
      </c>
      <c r="G258" s="17" t="n">
        <v>31</v>
      </c>
      <c r="H258" s="132" t="n">
        <v>249</v>
      </c>
      <c r="I258" s="133" t="n">
        <v>140000</v>
      </c>
      <c r="J258" s="133" t="inlineStr">
        <is>
          <t>6</t>
        </is>
      </c>
      <c r="K258" s="133" t="n">
        <v>90000</v>
      </c>
      <c r="L258" s="133" t="inlineStr">
        <is>
          <t>8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계</t>
        </is>
      </c>
      <c r="T258" s="5" t="inlineStr">
        <is>
          <t>132B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8" t="inlineStr">
        <is>
          <t>선동 미사강변푸르지오2차</t>
        </is>
      </c>
      <c r="B259" s="79" t="inlineStr">
        <is>
          <t>16.09.</t>
        </is>
      </c>
      <c r="C259" s="129" t="n">
        <v>1066</v>
      </c>
      <c r="D259" s="130" t="n">
        <v>151</v>
      </c>
      <c r="E259" s="131" t="n">
        <v>46</v>
      </c>
      <c r="F259" s="130" t="n">
        <v>114.3</v>
      </c>
      <c r="G259" s="17" t="n">
        <v>35</v>
      </c>
      <c r="H259" s="132" t="n">
        <v>2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4</v>
      </c>
      <c r="R259" s="120" t="n">
        <v>2</v>
      </c>
      <c r="S259" s="120" t="inlineStr">
        <is>
          <t>계</t>
        </is>
      </c>
      <c r="T259" s="5" t="inlineStr">
        <is>
          <t>150A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8" t="inlineStr">
        <is>
          <t>선동 미사강변푸르지오2차</t>
        </is>
      </c>
      <c r="B260" s="79" t="inlineStr">
        <is>
          <t>16.09.</t>
        </is>
      </c>
      <c r="C260" s="129" t="n">
        <v>1066</v>
      </c>
      <c r="D260" s="130" t="n">
        <v>152.1</v>
      </c>
      <c r="E260" s="131" t="n">
        <v>46</v>
      </c>
      <c r="F260" s="130" t="n">
        <v>114.2</v>
      </c>
      <c r="G260" s="17" t="n">
        <v>35</v>
      </c>
      <c r="H260" s="132" t="n">
        <v>2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4</v>
      </c>
      <c r="R260" s="120" t="n">
        <v>2</v>
      </c>
      <c r="S260" s="120" t="inlineStr">
        <is>
          <t>계</t>
        </is>
      </c>
      <c r="T260" s="5" t="inlineStr">
        <is>
          <t>152B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8" t="inlineStr">
        <is>
          <t>선동 리버스위트칸타빌</t>
        </is>
      </c>
      <c r="B261" s="79" t="inlineStr">
        <is>
          <t>18.05.</t>
        </is>
      </c>
      <c r="C261" s="129" t="n">
        <v>550</v>
      </c>
      <c r="D261" s="130" t="n">
        <v>118.3</v>
      </c>
      <c r="E261" s="131" t="n">
        <v>36</v>
      </c>
      <c r="F261" s="130" t="n">
        <v>92.5</v>
      </c>
      <c r="G261" s="17" t="n">
        <v>28</v>
      </c>
      <c r="H261" s="132" t="n">
        <v>135</v>
      </c>
      <c r="I261" s="133" t="n">
        <v>114000</v>
      </c>
      <c r="J261" s="133" t="inlineStr">
        <is>
          <t>6</t>
        </is>
      </c>
      <c r="K261" s="133" t="n">
        <v>60000</v>
      </c>
      <c r="L261" s="133" t="inlineStr">
        <is>
          <t>고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118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8" t="inlineStr">
        <is>
          <t>선동 리버스위트칸타빌</t>
        </is>
      </c>
      <c r="B262" s="79" t="inlineStr">
        <is>
          <t>18.05.</t>
        </is>
      </c>
      <c r="C262" s="129" t="n">
        <v>550</v>
      </c>
      <c r="D262" s="130" t="n">
        <v>118.3</v>
      </c>
      <c r="E262" s="131" t="n">
        <v>36</v>
      </c>
      <c r="F262" s="130" t="n">
        <v>92.5</v>
      </c>
      <c r="G262" s="17" t="n">
        <v>28</v>
      </c>
      <c r="H262" s="132" t="n">
        <v>4</v>
      </c>
      <c r="I262" s="133" t="n">
        <v>114000</v>
      </c>
      <c r="J262" s="133" t="inlineStr">
        <is>
          <t>6</t>
        </is>
      </c>
      <c r="K262" s="133" t="n">
        <v>60000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inlineStr">
        <is>
          <t>118T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8" t="inlineStr">
        <is>
          <t>선동 리버스위트칸타빌</t>
        </is>
      </c>
      <c r="B263" s="79" t="inlineStr">
        <is>
          <t>18.05.</t>
        </is>
      </c>
      <c r="C263" s="129" t="n">
        <v>550</v>
      </c>
      <c r="D263" s="130" t="n">
        <v>122.5</v>
      </c>
      <c r="E263" s="131" t="n">
        <v>37</v>
      </c>
      <c r="F263" s="130" t="n">
        <v>95.40000000000001</v>
      </c>
      <c r="G263" s="17" t="n">
        <v>29</v>
      </c>
      <c r="H263" s="132" t="n">
        <v>131</v>
      </c>
      <c r="I263" s="133" t="n">
        <v>126000</v>
      </c>
      <c r="J263" s="133" t="inlineStr">
        <is>
          <t>중</t>
        </is>
      </c>
      <c r="K263" s="133" t="n">
        <v>75000</v>
      </c>
      <c r="L263" s="133" t="inlineStr">
        <is>
          <t>중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4</v>
      </c>
      <c r="R263" s="120" t="n">
        <v>2</v>
      </c>
      <c r="S263" s="120" t="inlineStr">
        <is>
          <t>계</t>
        </is>
      </c>
      <c r="T263" s="5" t="n">
        <v>122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8" t="inlineStr">
        <is>
          <t>선동 리버스위트칸타빌</t>
        </is>
      </c>
      <c r="B264" s="79" t="inlineStr">
        <is>
          <t>18.05.</t>
        </is>
      </c>
      <c r="C264" s="129" t="n">
        <v>550</v>
      </c>
      <c r="D264" s="130" t="n">
        <v>125.8</v>
      </c>
      <c r="E264" s="131" t="n">
        <v>38</v>
      </c>
      <c r="F264" s="130" t="n">
        <v>97.7</v>
      </c>
      <c r="G264" s="17" t="n">
        <v>30</v>
      </c>
      <c r="H264" s="132" t="n">
        <v>81</v>
      </c>
      <c r="I264" s="133" t="n">
        <v>142000</v>
      </c>
      <c r="J264" s="133" t="inlineStr">
        <is>
          <t>고</t>
        </is>
      </c>
      <c r="K264" s="133" t="n">
        <v>76000</v>
      </c>
      <c r="L264" s="133" t="inlineStr">
        <is>
          <t>22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4</v>
      </c>
      <c r="R264" s="120" t="n">
        <v>2</v>
      </c>
      <c r="S264" s="120" t="inlineStr">
        <is>
          <t>계</t>
        </is>
      </c>
      <c r="T264" s="5" t="n">
        <v>125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8" t="inlineStr">
        <is>
          <t>선동 리버스위트칸타빌</t>
        </is>
      </c>
      <c r="B265" s="79" t="inlineStr">
        <is>
          <t>18.05.</t>
        </is>
      </c>
      <c r="C265" s="129" t="n">
        <v>550</v>
      </c>
      <c r="D265" s="130" t="n">
        <v>125.8</v>
      </c>
      <c r="E265" s="131" t="n">
        <v>38</v>
      </c>
      <c r="F265" s="130" t="n">
        <v>97.7</v>
      </c>
      <c r="G265" s="17" t="n">
        <v>30</v>
      </c>
      <c r="H265" s="132" t="n">
        <v>3</v>
      </c>
      <c r="I265" s="133" t="n">
        <v>142000</v>
      </c>
      <c r="J265" s="133" t="inlineStr">
        <is>
          <t>고</t>
        </is>
      </c>
      <c r="K265" s="133" t="n">
        <v>76000</v>
      </c>
      <c r="L265" s="133" t="inlineStr">
        <is>
          <t>22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4</v>
      </c>
      <c r="R265" s="120" t="n">
        <v>2</v>
      </c>
      <c r="S265" s="120" t="inlineStr">
        <is>
          <t>계</t>
        </is>
      </c>
      <c r="T265" s="5" t="inlineStr">
        <is>
          <t>125T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8" t="inlineStr">
        <is>
          <t>선동 리버스위트칸타빌</t>
        </is>
      </c>
      <c r="B266" s="79" t="inlineStr">
        <is>
          <t>18.05.</t>
        </is>
      </c>
      <c r="C266" s="129" t="n">
        <v>550</v>
      </c>
      <c r="D266" s="130" t="n">
        <v>130.7</v>
      </c>
      <c r="E266" s="131" t="n">
        <v>40</v>
      </c>
      <c r="F266" s="130" t="n">
        <v>102.5</v>
      </c>
      <c r="G266" s="17" t="n">
        <v>31</v>
      </c>
      <c r="H266" s="132" t="n">
        <v>176</v>
      </c>
      <c r="I266" s="133" t="n">
        <v>130000</v>
      </c>
      <c r="J266" s="133" t="inlineStr">
        <is>
          <t>10</t>
        </is>
      </c>
      <c r="K266" s="133" t="n">
        <v>75000</v>
      </c>
      <c r="L266" s="133" t="inlineStr">
        <is>
          <t>중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4</v>
      </c>
      <c r="R266" s="120" t="n">
        <v>2</v>
      </c>
      <c r="S266" s="120" t="inlineStr">
        <is>
          <t>계</t>
        </is>
      </c>
      <c r="T266" s="5" t="n">
        <v>130</v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8" t="inlineStr">
        <is>
          <t>선동 리버스위트칸타빌</t>
        </is>
      </c>
      <c r="B267" s="79" t="inlineStr">
        <is>
          <t>18.05.</t>
        </is>
      </c>
      <c r="C267" s="129" t="n">
        <v>550</v>
      </c>
      <c r="D267" s="130" t="n">
        <v>130.7</v>
      </c>
      <c r="E267" s="131" t="n">
        <v>40</v>
      </c>
      <c r="F267" s="130" t="n">
        <v>102.5</v>
      </c>
      <c r="G267" s="17" t="n">
        <v>31</v>
      </c>
      <c r="H267" s="132" t="n">
        <v>5</v>
      </c>
      <c r="I267" s="133" t="n">
        <v>130000</v>
      </c>
      <c r="J267" s="133" t="inlineStr">
        <is>
          <t>10</t>
        </is>
      </c>
      <c r="K267" s="133" t="n">
        <v>75000</v>
      </c>
      <c r="L267" s="133" t="inlineStr">
        <is>
          <t>중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inlineStr">
        <is>
          <t>130T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8" t="inlineStr">
        <is>
          <t>선동 리버스위트칸타빌</t>
        </is>
      </c>
      <c r="B268" s="79" t="inlineStr">
        <is>
          <t>18.05.</t>
        </is>
      </c>
      <c r="C268" s="129" t="n">
        <v>550</v>
      </c>
      <c r="D268" s="130" t="n">
        <v>164.2</v>
      </c>
      <c r="E268" s="131" t="n">
        <v>50</v>
      </c>
      <c r="F268" s="130" t="n">
        <v>126.7</v>
      </c>
      <c r="G268" s="17" t="n">
        <v>38</v>
      </c>
      <c r="H268" s="132" t="n">
        <v>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3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8" t="inlineStr">
        <is>
          <t>선동 리버스위트칸타빌</t>
        </is>
      </c>
      <c r="B269" s="79" t="inlineStr">
        <is>
          <t>18.05.</t>
        </is>
      </c>
      <c r="C269" s="129" t="n">
        <v>550</v>
      </c>
      <c r="D269" s="130" t="n">
        <v>180.1</v>
      </c>
      <c r="E269" s="131" t="n">
        <v>54</v>
      </c>
      <c r="F269" s="130" t="n">
        <v>138.8</v>
      </c>
      <c r="G269" s="17" t="n">
        <v>42</v>
      </c>
      <c r="H269" s="132" t="n">
        <v>3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5</v>
      </c>
      <c r="R269" s="120" t="n">
        <v>3</v>
      </c>
      <c r="S269" s="120" t="inlineStr">
        <is>
          <t>계</t>
        </is>
      </c>
      <c r="T269" s="5" t="n">
        <v>180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8" t="inlineStr">
        <is>
          <t>선동 리버스위트칸타빌</t>
        </is>
      </c>
      <c r="B270" s="79" t="inlineStr">
        <is>
          <t>18.05.</t>
        </is>
      </c>
      <c r="C270" s="129" t="n">
        <v>550</v>
      </c>
      <c r="D270" s="130" t="n">
        <v>185.6</v>
      </c>
      <c r="E270" s="131" t="n">
        <v>56</v>
      </c>
      <c r="F270" s="130" t="n">
        <v>143.7</v>
      </c>
      <c r="G270" s="17" t="n">
        <v>43</v>
      </c>
      <c r="H270" s="132" t="n">
        <v>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5</v>
      </c>
      <c r="R270" s="120" t="n">
        <v>3</v>
      </c>
      <c r="S270" s="120" t="inlineStr">
        <is>
          <t>계</t>
        </is>
      </c>
      <c r="T270" s="5" t="n">
        <v>185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8" t="inlineStr">
        <is>
          <t>선동 미사강변도시베라체</t>
        </is>
      </c>
      <c r="B271" s="79" t="inlineStr">
        <is>
          <t>15.05.</t>
        </is>
      </c>
      <c r="C271" s="129" t="n">
        <v>615</v>
      </c>
      <c r="D271" s="130" t="n">
        <v>97</v>
      </c>
      <c r="E271" s="131" t="n">
        <v>29</v>
      </c>
      <c r="F271" s="130" t="n">
        <v>74.90000000000001</v>
      </c>
      <c r="G271" s="17" t="n">
        <v>23</v>
      </c>
      <c r="H271" s="132" t="n">
        <v>162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97A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8" t="inlineStr">
        <is>
          <t>선동 미사강변도시베라체</t>
        </is>
      </c>
      <c r="B272" s="79" t="inlineStr">
        <is>
          <t>15.05.</t>
        </is>
      </c>
      <c r="C272" s="129" t="n">
        <v>615</v>
      </c>
      <c r="D272" s="130" t="n">
        <v>97</v>
      </c>
      <c r="E272" s="131" t="n">
        <v>29</v>
      </c>
      <c r="F272" s="130" t="n">
        <v>74.90000000000001</v>
      </c>
      <c r="G272" s="17" t="n">
        <v>23</v>
      </c>
      <c r="H272" s="132" t="n">
        <v>20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inlineStr">
        <is>
          <t>97AN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8" t="inlineStr">
        <is>
          <t>선동 미사강변도시베라체</t>
        </is>
      </c>
      <c r="B273" s="79" t="inlineStr">
        <is>
          <t>15.05.</t>
        </is>
      </c>
      <c r="C273" s="129" t="n">
        <v>615</v>
      </c>
      <c r="D273" s="130" t="n">
        <v>110</v>
      </c>
      <c r="E273" s="131" t="n">
        <v>33</v>
      </c>
      <c r="F273" s="130" t="n">
        <v>84.8</v>
      </c>
      <c r="G273" s="17" t="n">
        <v>26</v>
      </c>
      <c r="H273" s="132" t="n">
        <v>47</v>
      </c>
      <c r="I273" s="133" t="n">
        <v>110000</v>
      </c>
      <c r="J273" s="133" t="inlineStr">
        <is>
          <t>중</t>
        </is>
      </c>
      <c r="K273" s="133" t="n">
        <v>59000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2</v>
      </c>
      <c r="S273" s="120" t="inlineStr">
        <is>
          <t>계</t>
        </is>
      </c>
      <c r="T273" s="5" t="inlineStr">
        <is>
          <t>109A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8" t="inlineStr">
        <is>
          <t>선동 미사강변도시베라체</t>
        </is>
      </c>
      <c r="B274" s="79" t="inlineStr">
        <is>
          <t>15.05.</t>
        </is>
      </c>
      <c r="C274" s="129" t="n">
        <v>615</v>
      </c>
      <c r="D274" s="130" t="n">
        <v>110</v>
      </c>
      <c r="E274" s="131" t="n">
        <v>33</v>
      </c>
      <c r="F274" s="130" t="n">
        <v>84.90000000000001</v>
      </c>
      <c r="G274" s="17" t="n">
        <v>26</v>
      </c>
      <c r="H274" s="132" t="n">
        <v>366</v>
      </c>
      <c r="I274" s="133" t="n">
        <v>90000</v>
      </c>
      <c r="J274" s="133" t="inlineStr">
        <is>
          <t>13</t>
        </is>
      </c>
      <c r="K274" s="133" t="n">
        <v>56000</v>
      </c>
      <c r="L274" s="133" t="inlineStr">
        <is>
          <t>고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2</v>
      </c>
      <c r="S274" s="120" t="inlineStr">
        <is>
          <t>계</t>
        </is>
      </c>
      <c r="T274" s="5" t="inlineStr">
        <is>
          <t>110B2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8" t="inlineStr">
        <is>
          <t>선동 미사강변도시베라체</t>
        </is>
      </c>
      <c r="B275" s="79" t="inlineStr">
        <is>
          <t>15.05.</t>
        </is>
      </c>
      <c r="C275" s="129" t="n">
        <v>615</v>
      </c>
      <c r="D275" s="130" t="n">
        <v>110</v>
      </c>
      <c r="E275" s="131" t="n">
        <v>33</v>
      </c>
      <c r="F275" s="130" t="n">
        <v>84.90000000000001</v>
      </c>
      <c r="G275" s="17" t="n">
        <v>26</v>
      </c>
      <c r="H275" s="132" t="n">
        <v>20</v>
      </c>
      <c r="I275" s="133" t="n">
        <v>90000</v>
      </c>
      <c r="J275" s="133" t="inlineStr">
        <is>
          <t>13</t>
        </is>
      </c>
      <c r="K275" s="133" t="n">
        <v>56000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110B2N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8" t="inlineStr">
        <is>
          <t>신장동 에코타운1단지</t>
        </is>
      </c>
      <c r="B276" s="79" t="inlineStr">
        <is>
          <t>04.11.</t>
        </is>
      </c>
      <c r="C276" s="129" t="n">
        <v>525</v>
      </c>
      <c r="D276" s="130" t="n">
        <v>77</v>
      </c>
      <c r="E276" s="131" t="n">
        <v>23</v>
      </c>
      <c r="F276" s="130" t="n">
        <v>57.4</v>
      </c>
      <c r="G276" s="17" t="n">
        <v>17</v>
      </c>
      <c r="H276" s="132" t="n">
        <v>397</v>
      </c>
      <c r="I276" s="133" t="n">
        <v>71500</v>
      </c>
      <c r="J276" s="133" t="inlineStr">
        <is>
          <t>중</t>
        </is>
      </c>
      <c r="K276" s="133" t="n">
        <v>45000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1</v>
      </c>
      <c r="S276" s="120" t="inlineStr">
        <is>
          <t>복</t>
        </is>
      </c>
      <c r="T276" s="5" t="inlineStr">
        <is>
          <t>77A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8" t="inlineStr">
        <is>
          <t>신장동 에코타운1단지</t>
        </is>
      </c>
      <c r="B277" s="79" t="inlineStr">
        <is>
          <t>04.11.</t>
        </is>
      </c>
      <c r="C277" s="129" t="n">
        <v>525</v>
      </c>
      <c r="D277" s="130" t="n">
        <v>77</v>
      </c>
      <c r="E277" s="131" t="n">
        <v>23</v>
      </c>
      <c r="F277" s="130" t="n">
        <v>58.1</v>
      </c>
      <c r="G277" s="17" t="n">
        <v>18</v>
      </c>
      <c r="H277" s="132" t="n">
        <v>128</v>
      </c>
      <c r="I277" s="133" t="n">
        <v>75000</v>
      </c>
      <c r="J277" s="133" t="inlineStr">
        <is>
          <t>18</t>
        </is>
      </c>
      <c r="K277" s="133" t="n">
        <v>45000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복</t>
        </is>
      </c>
      <c r="T277" s="5" t="inlineStr">
        <is>
          <t>77B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8" t="inlineStr">
        <is>
          <t>신장동 대명강변타운</t>
        </is>
      </c>
      <c r="B278" s="79" t="inlineStr">
        <is>
          <t>07.08.</t>
        </is>
      </c>
      <c r="C278" s="129" t="n">
        <v>1369</v>
      </c>
      <c r="D278" s="130" t="n">
        <v>93.40000000000001</v>
      </c>
      <c r="E278" s="131" t="n">
        <v>28</v>
      </c>
      <c r="F278" s="130" t="n">
        <v>68.09999999999999</v>
      </c>
      <c r="G278" s="17" t="n">
        <v>21</v>
      </c>
      <c r="H278" s="132" t="n">
        <v>142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93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8" t="inlineStr">
        <is>
          <t>신장동 대명강변타운</t>
        </is>
      </c>
      <c r="B279" s="79" t="inlineStr">
        <is>
          <t>07.08.</t>
        </is>
      </c>
      <c r="C279" s="129" t="n">
        <v>1369</v>
      </c>
      <c r="D279" s="130" t="n">
        <v>111.6</v>
      </c>
      <c r="E279" s="131" t="n">
        <v>34</v>
      </c>
      <c r="F279" s="130" t="n">
        <v>84.8</v>
      </c>
      <c r="G279" s="17" t="n">
        <v>26</v>
      </c>
      <c r="H279" s="132" t="n">
        <v>1227</v>
      </c>
      <c r="I279" s="133" t="n">
        <v>79000</v>
      </c>
      <c r="J279" s="133" t="inlineStr">
        <is>
          <t>중</t>
        </is>
      </c>
      <c r="K279" s="133" t="n">
        <v>50000</v>
      </c>
      <c r="L279" s="133" t="inlineStr">
        <is>
          <t>24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111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8" t="inlineStr">
        <is>
          <t>신장동 벽산블루밍더클래식</t>
        </is>
      </c>
      <c r="B280" s="79" t="inlineStr">
        <is>
          <t>10.08.</t>
        </is>
      </c>
      <c r="C280" s="129" t="n">
        <v>220</v>
      </c>
      <c r="D280" s="130" t="n">
        <v>113.4</v>
      </c>
      <c r="E280" s="131" t="n">
        <v>34</v>
      </c>
      <c r="F280" s="130" t="n">
        <v>82.8</v>
      </c>
      <c r="G280" s="17" t="n">
        <v>25</v>
      </c>
      <c r="H280" s="132" t="n">
        <v>73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2</v>
      </c>
      <c r="R280" s="120" t="n">
        <v>2</v>
      </c>
      <c r="S280" s="120" t="inlineStr">
        <is>
          <t>계</t>
        </is>
      </c>
      <c r="T280" s="5" t="inlineStr">
        <is>
          <t>113A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8" t="inlineStr">
        <is>
          <t>신장동 벽산블루밍더클래식</t>
        </is>
      </c>
      <c r="B281" s="79" t="inlineStr">
        <is>
          <t>10.08.</t>
        </is>
      </c>
      <c r="C281" s="129" t="n">
        <v>220</v>
      </c>
      <c r="D281" s="130" t="n">
        <v>115.1</v>
      </c>
      <c r="E281" s="131" t="n">
        <v>35</v>
      </c>
      <c r="F281" s="130" t="n">
        <v>84.2</v>
      </c>
      <c r="G281" s="17" t="n">
        <v>25</v>
      </c>
      <c r="H281" s="132" t="n">
        <v>75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2</v>
      </c>
      <c r="R281" s="120" t="n">
        <v>2</v>
      </c>
      <c r="S281" s="120" t="inlineStr">
        <is>
          <t>계</t>
        </is>
      </c>
      <c r="T281" s="5" t="inlineStr">
        <is>
          <t>115B</t>
        </is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8" t="inlineStr">
        <is>
          <t>신장동 벽산블루밍더클래식</t>
        </is>
      </c>
      <c r="B282" s="79" t="inlineStr">
        <is>
          <t>10.08.</t>
        </is>
      </c>
      <c r="C282" s="129" t="n">
        <v>220</v>
      </c>
      <c r="D282" s="130" t="n">
        <v>116.6</v>
      </c>
      <c r="E282" s="131" t="n">
        <v>35</v>
      </c>
      <c r="F282" s="130" t="n">
        <v>84.90000000000001</v>
      </c>
      <c r="G282" s="17" t="n">
        <v>26</v>
      </c>
      <c r="H282" s="132" t="n">
        <v>18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2</v>
      </c>
      <c r="R282" s="120" t="n">
        <v>2</v>
      </c>
      <c r="S282" s="120" t="inlineStr">
        <is>
          <t>계</t>
        </is>
      </c>
      <c r="T282" s="5" t="inlineStr">
        <is>
          <t>116C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8" t="inlineStr">
        <is>
          <t>신장동 벽산블루밍더클래식</t>
        </is>
      </c>
      <c r="B283" s="79" t="inlineStr">
        <is>
          <t>10.08.</t>
        </is>
      </c>
      <c r="C283" s="129" t="n">
        <v>220</v>
      </c>
      <c r="D283" s="130" t="n">
        <v>116.6</v>
      </c>
      <c r="E283" s="131" t="n">
        <v>35</v>
      </c>
      <c r="F283" s="130" t="n">
        <v>84.90000000000001</v>
      </c>
      <c r="G283" s="17" t="n">
        <v>26</v>
      </c>
      <c r="H283" s="132" t="n">
        <v>18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inlineStr">
        <is>
          <t>116C-1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8" t="inlineStr">
        <is>
          <t>신장동 벽산블루밍더클래식</t>
        </is>
      </c>
      <c r="B284" s="79" t="inlineStr">
        <is>
          <t>10.08.</t>
        </is>
      </c>
      <c r="C284" s="129" t="n">
        <v>220</v>
      </c>
      <c r="D284" s="130" t="n">
        <v>126.9</v>
      </c>
      <c r="E284" s="131" t="n">
        <v>38</v>
      </c>
      <c r="F284" s="130" t="n">
        <v>92.09999999999999</v>
      </c>
      <c r="G284" s="17" t="n">
        <v>28</v>
      </c>
      <c r="H284" s="132" t="n">
        <v>18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126D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8" t="inlineStr">
        <is>
          <t>신장동 벽산블루밍더클래식</t>
        </is>
      </c>
      <c r="B285" s="79" t="inlineStr">
        <is>
          <t>10.08.</t>
        </is>
      </c>
      <c r="C285" s="129" t="n">
        <v>220</v>
      </c>
      <c r="D285" s="130" t="n">
        <v>126.9</v>
      </c>
      <c r="E285" s="131" t="n">
        <v>38</v>
      </c>
      <c r="F285" s="130" t="n">
        <v>92.3</v>
      </c>
      <c r="G285" s="17" t="n">
        <v>28</v>
      </c>
      <c r="H285" s="132" t="n">
        <v>18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126D-1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8" t="inlineStr">
        <is>
          <t>신장동 하남유시티대명루첸리버파크</t>
        </is>
      </c>
      <c r="B286" s="79" t="inlineStr">
        <is>
          <t>18.09.</t>
        </is>
      </c>
      <c r="C286" s="129" t="n">
        <v>854</v>
      </c>
      <c r="D286" s="130" t="n">
        <v>100.5</v>
      </c>
      <c r="E286" s="131" t="n">
        <v>30</v>
      </c>
      <c r="F286" s="130" t="n">
        <v>74.3</v>
      </c>
      <c r="G286" s="17" t="n">
        <v>22</v>
      </c>
      <c r="H286" s="132" t="n">
        <v>764</v>
      </c>
      <c r="I286" s="133" t="n">
        <v>87000</v>
      </c>
      <c r="J286" s="133" t="inlineStr">
        <is>
          <t>중</t>
        </is>
      </c>
      <c r="K286" s="133" t="n">
        <v>55000</v>
      </c>
      <c r="L286" s="133" t="inlineStr">
        <is>
          <t>중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100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8" t="inlineStr">
        <is>
          <t>신장동 하남유시티대명루첸리버파크</t>
        </is>
      </c>
      <c r="B287" s="79" t="inlineStr">
        <is>
          <t>18.09.</t>
        </is>
      </c>
      <c r="C287" s="129" t="n">
        <v>854</v>
      </c>
      <c r="D287" s="130" t="n">
        <v>100.8</v>
      </c>
      <c r="E287" s="131" t="n">
        <v>31</v>
      </c>
      <c r="F287" s="130" t="n">
        <v>74.40000000000001</v>
      </c>
      <c r="G287" s="17" t="n">
        <v>22</v>
      </c>
      <c r="H287" s="132" t="n">
        <v>90</v>
      </c>
      <c r="I287" s="133" t="n">
        <v>90000</v>
      </c>
      <c r="J287" s="133" t="inlineStr">
        <is>
          <t>고</t>
        </is>
      </c>
      <c r="K287" s="133" t="n">
        <v>62000</v>
      </c>
      <c r="L287" s="133" t="inlineStr">
        <is>
          <t>중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100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8" t="inlineStr">
        <is>
          <t>신장동 백조현대</t>
        </is>
      </c>
      <c r="B288" s="79" t="inlineStr">
        <is>
          <t>94.07.</t>
        </is>
      </c>
      <c r="C288" s="129" t="n">
        <v>880</v>
      </c>
      <c r="D288" s="130" t="n">
        <v>68.2</v>
      </c>
      <c r="E288" s="131" t="n">
        <v>21</v>
      </c>
      <c r="F288" s="130" t="n">
        <v>50</v>
      </c>
      <c r="G288" s="17" t="n">
        <v>15</v>
      </c>
      <c r="H288" s="132" t="n">
        <v>880</v>
      </c>
      <c r="I288" s="133" t="n">
        <v>51000</v>
      </c>
      <c r="J288" s="133" t="inlineStr">
        <is>
          <t>고</t>
        </is>
      </c>
      <c r="K288" s="133" t="n">
        <v>33600</v>
      </c>
      <c r="L288" s="133" t="inlineStr">
        <is>
          <t>14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2</v>
      </c>
      <c r="R288" s="120" t="n">
        <v>1</v>
      </c>
      <c r="S288" s="120" t="inlineStr">
        <is>
          <t>계</t>
        </is>
      </c>
      <c r="T288" s="5" t="n">
        <v>68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8" t="inlineStr">
        <is>
          <t>신장동 백송한신</t>
        </is>
      </c>
      <c r="B289" s="79" t="inlineStr">
        <is>
          <t>94.06.</t>
        </is>
      </c>
      <c r="C289" s="129" t="n">
        <v>641</v>
      </c>
      <c r="D289" s="130" t="n">
        <v>67.40000000000001</v>
      </c>
      <c r="E289" s="131" t="n">
        <v>20</v>
      </c>
      <c r="F289" s="130" t="n">
        <v>50</v>
      </c>
      <c r="G289" s="17" t="n">
        <v>15</v>
      </c>
      <c r="H289" s="132" t="n">
        <v>641</v>
      </c>
      <c r="I289" s="133" t="n">
        <v>54000</v>
      </c>
      <c r="J289" s="133" t="inlineStr">
        <is>
          <t>11</t>
        </is>
      </c>
      <c r="K289" s="133" t="n">
        <v>30000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2</v>
      </c>
      <c r="R289" s="120" t="n">
        <v>1</v>
      </c>
      <c r="S289" s="120" t="inlineStr">
        <is>
          <t>복</t>
        </is>
      </c>
      <c r="T289" s="5" t="n">
        <v>67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8" t="inlineStr">
        <is>
          <t>신장동 성원상떼빌</t>
        </is>
      </c>
      <c r="B290" s="79" t="inlineStr">
        <is>
          <t>03.11.</t>
        </is>
      </c>
      <c r="C290" s="129" t="n">
        <v>234</v>
      </c>
      <c r="D290" s="130" t="n">
        <v>31.1</v>
      </c>
      <c r="E290" s="131" t="n">
        <v>9</v>
      </c>
      <c r="F290" s="130" t="n">
        <v>20.1</v>
      </c>
      <c r="G290" s="17" t="n">
        <v>6</v>
      </c>
      <c r="H290" s="132" t="n">
        <v>2</v>
      </c>
      <c r="I290" s="133" t="n"/>
      <c r="J290" s="133" t="n"/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2</v>
      </c>
      <c r="R290" s="120" t="n">
        <v>1</v>
      </c>
      <c r="S290" s="120" t="inlineStr">
        <is>
          <t>계</t>
        </is>
      </c>
      <c r="T290" s="5" t="n">
        <v>31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8" t="inlineStr">
        <is>
          <t>신장동 성원상떼빌</t>
        </is>
      </c>
      <c r="B291" s="79" t="inlineStr">
        <is>
          <t>03.11.</t>
        </is>
      </c>
      <c r="C291" s="129" t="n">
        <v>234</v>
      </c>
      <c r="D291" s="130" t="n">
        <v>36.7</v>
      </c>
      <c r="E291" s="131" t="n">
        <v>11</v>
      </c>
      <c r="F291" s="130" t="n">
        <v>23.8</v>
      </c>
      <c r="G291" s="17" t="n">
        <v>7</v>
      </c>
      <c r="H291" s="132" t="n">
        <v>2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1</v>
      </c>
      <c r="R291" s="120" t="n">
        <v>1</v>
      </c>
      <c r="S291" s="120" t="inlineStr">
        <is>
          <t>계</t>
        </is>
      </c>
      <c r="T291" s="5" t="inlineStr">
        <is>
          <t>36Aa</t>
        </is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8" t="inlineStr">
        <is>
          <t>신장동 성원상떼빌</t>
        </is>
      </c>
      <c r="B292" s="79" t="inlineStr">
        <is>
          <t>03.11.</t>
        </is>
      </c>
      <c r="C292" s="129" t="n">
        <v>234</v>
      </c>
      <c r="D292" s="130" t="n">
        <v>38.7</v>
      </c>
      <c r="E292" s="131" t="n">
        <v>12</v>
      </c>
      <c r="F292" s="130" t="n">
        <v>25.1</v>
      </c>
      <c r="G292" s="17" t="n">
        <v>8</v>
      </c>
      <c r="H292" s="132" t="n">
        <v>3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1</v>
      </c>
      <c r="R292" s="120" t="n">
        <v>1</v>
      </c>
      <c r="S292" s="120" t="inlineStr">
        <is>
          <t>계</t>
        </is>
      </c>
      <c r="T292" s="5" t="inlineStr">
        <is>
          <t>38B</t>
        </is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8" t="inlineStr">
        <is>
          <t>신장동 성원상떼빌</t>
        </is>
      </c>
      <c r="B293" s="79" t="inlineStr">
        <is>
          <t>03.11.</t>
        </is>
      </c>
      <c r="C293" s="129" t="n">
        <v>234</v>
      </c>
      <c r="D293" s="130" t="n">
        <v>39.8</v>
      </c>
      <c r="E293" s="131" t="n">
        <v>12</v>
      </c>
      <c r="F293" s="130" t="n">
        <v>25.7</v>
      </c>
      <c r="G293" s="17" t="n">
        <v>8</v>
      </c>
      <c r="H293" s="132" t="n">
        <v>36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1</v>
      </c>
      <c r="R293" s="120" t="n">
        <v>1</v>
      </c>
      <c r="S293" s="120" t="inlineStr">
        <is>
          <t>계</t>
        </is>
      </c>
      <c r="T293" s="5" t="inlineStr">
        <is>
          <t>39A</t>
        </is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8" t="inlineStr">
        <is>
          <t>신장동 성원상떼빌</t>
        </is>
      </c>
      <c r="B294" s="79" t="inlineStr">
        <is>
          <t>03.11.</t>
        </is>
      </c>
      <c r="C294" s="129" t="n">
        <v>234</v>
      </c>
      <c r="D294" s="130" t="n">
        <v>42.4</v>
      </c>
      <c r="E294" s="131" t="n">
        <v>13</v>
      </c>
      <c r="F294" s="130" t="n">
        <v>27.5</v>
      </c>
      <c r="G294" s="17" t="n">
        <v>8</v>
      </c>
      <c r="H294" s="132" t="n">
        <v>3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1</v>
      </c>
      <c r="R294" s="120" t="n">
        <v>1</v>
      </c>
      <c r="S294" s="120" t="inlineStr">
        <is>
          <t>계</t>
        </is>
      </c>
      <c r="T294" s="5" t="n">
        <v>42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8" t="inlineStr">
        <is>
          <t>신장동 성원상떼빌</t>
        </is>
      </c>
      <c r="B295" s="79" t="inlineStr">
        <is>
          <t>03.11.</t>
        </is>
      </c>
      <c r="C295" s="129" t="n">
        <v>234</v>
      </c>
      <c r="D295" s="130" t="n">
        <v>45.8</v>
      </c>
      <c r="E295" s="131" t="n">
        <v>14</v>
      </c>
      <c r="F295" s="130" t="n">
        <v>29.6</v>
      </c>
      <c r="G295" s="17" t="n">
        <v>9</v>
      </c>
      <c r="H295" s="132" t="n">
        <v>2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45Ca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8" t="inlineStr">
        <is>
          <t>신장동 성원상떼빌</t>
        </is>
      </c>
      <c r="B296" s="79" t="inlineStr">
        <is>
          <t>03.11.</t>
        </is>
      </c>
      <c r="C296" s="129" t="n">
        <v>234</v>
      </c>
      <c r="D296" s="130" t="n">
        <v>45.8</v>
      </c>
      <c r="E296" s="131" t="n">
        <v>14</v>
      </c>
      <c r="F296" s="130" t="n">
        <v>29.6</v>
      </c>
      <c r="G296" s="17" t="n">
        <v>9</v>
      </c>
      <c r="H296" s="132" t="n">
        <v>1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45C1a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8" t="inlineStr">
        <is>
          <t>신장동 성원상떼빌</t>
        </is>
      </c>
      <c r="B297" s="79" t="inlineStr">
        <is>
          <t>03.11.</t>
        </is>
      </c>
      <c r="C297" s="129" t="n">
        <v>234</v>
      </c>
      <c r="D297" s="130" t="n">
        <v>47</v>
      </c>
      <c r="E297" s="131" t="n">
        <v>14</v>
      </c>
      <c r="F297" s="130" t="n">
        <v>30.4</v>
      </c>
      <c r="G297" s="17" t="n">
        <v>9</v>
      </c>
      <c r="H297" s="132" t="n">
        <v>14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2</v>
      </c>
      <c r="R297" s="120" t="n">
        <v>1</v>
      </c>
      <c r="S297" s="120" t="inlineStr">
        <is>
          <t>계</t>
        </is>
      </c>
      <c r="T297" s="5" t="n">
        <v>46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8" t="inlineStr">
        <is>
          <t>신장동 성원상떼빌</t>
        </is>
      </c>
      <c r="B298" s="79" t="inlineStr">
        <is>
          <t>03.11.</t>
        </is>
      </c>
      <c r="C298" s="129" t="n">
        <v>234</v>
      </c>
      <c r="D298" s="130" t="n">
        <v>52.8</v>
      </c>
      <c r="E298" s="131" t="n">
        <v>16</v>
      </c>
      <c r="F298" s="130" t="n">
        <v>34.2</v>
      </c>
      <c r="G298" s="17" t="n">
        <v>10</v>
      </c>
      <c r="H298" s="132" t="n">
        <v>15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2</v>
      </c>
      <c r="R298" s="120" t="n">
        <v>1</v>
      </c>
      <c r="S298" s="120" t="inlineStr">
        <is>
          <t>계</t>
        </is>
      </c>
      <c r="T298" s="5" t="n">
        <v>52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8" t="inlineStr">
        <is>
          <t>신장동 성원상떼빌</t>
        </is>
      </c>
      <c r="B299" s="79" t="inlineStr">
        <is>
          <t>03.11.</t>
        </is>
      </c>
      <c r="C299" s="129" t="n">
        <v>234</v>
      </c>
      <c r="D299" s="130" t="n">
        <v>53</v>
      </c>
      <c r="E299" s="131" t="n">
        <v>16</v>
      </c>
      <c r="F299" s="130" t="n">
        <v>34.3</v>
      </c>
      <c r="G299" s="17" t="n">
        <v>10</v>
      </c>
      <c r="H299" s="132" t="n">
        <v>2</v>
      </c>
      <c r="I299" s="133" t="n"/>
      <c r="J299" s="133" t="n"/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2</v>
      </c>
      <c r="R299" s="120" t="n">
        <v>1</v>
      </c>
      <c r="S299" s="120" t="inlineStr">
        <is>
          <t>계</t>
        </is>
      </c>
      <c r="T299" s="5" t="inlineStr">
        <is>
          <t>53A1a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8" t="inlineStr">
        <is>
          <t>신장동 성원상떼빌</t>
        </is>
      </c>
      <c r="B300" s="79" t="inlineStr">
        <is>
          <t>03.11.</t>
        </is>
      </c>
      <c r="C300" s="129" t="n">
        <v>234</v>
      </c>
      <c r="D300" s="130" t="n">
        <v>54.2</v>
      </c>
      <c r="E300" s="131" t="n">
        <v>16</v>
      </c>
      <c r="F300" s="130" t="n">
        <v>35.1</v>
      </c>
      <c r="G300" s="17" t="n">
        <v>11</v>
      </c>
      <c r="H300" s="132" t="n">
        <v>47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계</t>
        </is>
      </c>
      <c r="T300" s="5" t="inlineStr">
        <is>
          <t>54A4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8" t="inlineStr">
        <is>
          <t>신장동 성원상떼빌</t>
        </is>
      </c>
      <c r="B301" s="79" t="inlineStr">
        <is>
          <t>03.11.</t>
        </is>
      </c>
      <c r="C301" s="129" t="n">
        <v>234</v>
      </c>
      <c r="D301" s="130" t="n">
        <v>56.6</v>
      </c>
      <c r="E301" s="131" t="n">
        <v>17</v>
      </c>
      <c r="F301" s="130" t="n">
        <v>36.7</v>
      </c>
      <c r="G301" s="17" t="n">
        <v>11</v>
      </c>
      <c r="H301" s="132" t="n">
        <v>7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2</v>
      </c>
      <c r="R301" s="120" t="n">
        <v>1</v>
      </c>
      <c r="S301" s="120" t="inlineStr">
        <is>
          <t>계</t>
        </is>
      </c>
      <c r="T301" s="5" t="n">
        <v>56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8" t="inlineStr">
        <is>
          <t>신장동 성원상떼빌</t>
        </is>
      </c>
      <c r="B302" s="79" t="inlineStr">
        <is>
          <t>03.11.</t>
        </is>
      </c>
      <c r="C302" s="129" t="n">
        <v>234</v>
      </c>
      <c r="D302" s="130" t="n">
        <v>65.7</v>
      </c>
      <c r="E302" s="131" t="n">
        <v>20</v>
      </c>
      <c r="F302" s="130" t="n">
        <v>42.5</v>
      </c>
      <c r="G302" s="17" t="n">
        <v>13</v>
      </c>
      <c r="H302" s="132" t="n">
        <v>7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2</v>
      </c>
      <c r="R302" s="120" t="n">
        <v>1</v>
      </c>
      <c r="S302" s="120" t="inlineStr">
        <is>
          <t>계</t>
        </is>
      </c>
      <c r="T302" s="5" t="n">
        <v>65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8" t="inlineStr">
        <is>
          <t>신장동 성원상떼빌</t>
        </is>
      </c>
      <c r="B303" s="79" t="inlineStr">
        <is>
          <t>03.11.</t>
        </is>
      </c>
      <c r="C303" s="129" t="n">
        <v>234</v>
      </c>
      <c r="D303" s="130" t="n">
        <v>91.59999999999999</v>
      </c>
      <c r="E303" s="131" t="n">
        <v>28</v>
      </c>
      <c r="F303" s="130" t="n">
        <v>59.3</v>
      </c>
      <c r="G303" s="17" t="n">
        <v>18</v>
      </c>
      <c r="H303" s="132" t="n">
        <v>43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3</v>
      </c>
      <c r="R303" s="120" t="n">
        <v>1</v>
      </c>
      <c r="S303" s="120" t="inlineStr">
        <is>
          <t>계</t>
        </is>
      </c>
      <c r="T303" s="5" t="n">
        <v>91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8" t="inlineStr">
        <is>
          <t>신장동 성원상떼빌</t>
        </is>
      </c>
      <c r="B304" s="79" t="inlineStr">
        <is>
          <t>03.11.</t>
        </is>
      </c>
      <c r="C304" s="129" t="n">
        <v>234</v>
      </c>
      <c r="D304" s="130" t="n">
        <v>115</v>
      </c>
      <c r="E304" s="131" t="n">
        <v>35</v>
      </c>
      <c r="F304" s="130" t="n">
        <v>74.40000000000001</v>
      </c>
      <c r="G304" s="17" t="n">
        <v>23</v>
      </c>
      <c r="H304" s="132" t="n">
        <v>49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n">
        <v>114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8" t="inlineStr">
        <is>
          <t>신장동 성원상떼빌</t>
        </is>
      </c>
      <c r="B305" s="79" t="inlineStr">
        <is>
          <t>03.11.</t>
        </is>
      </c>
      <c r="C305" s="129" t="n">
        <v>234</v>
      </c>
      <c r="D305" s="130" t="n">
        <v>137.2</v>
      </c>
      <c r="E305" s="131" t="n">
        <v>41</v>
      </c>
      <c r="F305" s="130" t="n">
        <v>88.90000000000001</v>
      </c>
      <c r="G305" s="17" t="n">
        <v>27</v>
      </c>
      <c r="H305" s="132" t="n">
        <v>1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4</v>
      </c>
      <c r="R305" s="120" t="n">
        <v>2</v>
      </c>
      <c r="S305" s="120" t="inlineStr">
        <is>
          <t>계</t>
        </is>
      </c>
      <c r="T305" s="5" t="inlineStr">
        <is>
          <t>137D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8" t="inlineStr">
        <is>
          <t>신장동 하남신장현대홈타운</t>
        </is>
      </c>
      <c r="B306" s="79" t="inlineStr">
        <is>
          <t>04.04.</t>
        </is>
      </c>
      <c r="C306" s="129" t="n">
        <v>212</v>
      </c>
      <c r="D306" s="130" t="n">
        <v>75.59999999999999</v>
      </c>
      <c r="E306" s="131" t="n">
        <v>23</v>
      </c>
      <c r="F306" s="130" t="n">
        <v>56.4</v>
      </c>
      <c r="G306" s="17" t="n">
        <v>17</v>
      </c>
      <c r="H306" s="132" t="n">
        <v>42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1</v>
      </c>
      <c r="S306" s="120" t="inlineStr">
        <is>
          <t>계</t>
        </is>
      </c>
      <c r="T306" s="5" t="n">
        <v>75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8" t="inlineStr">
        <is>
          <t>신장동 하남신장현대홈타운</t>
        </is>
      </c>
      <c r="B307" s="79" t="inlineStr">
        <is>
          <t>04.04.</t>
        </is>
      </c>
      <c r="C307" s="129" t="n">
        <v>212</v>
      </c>
      <c r="D307" s="130" t="n">
        <v>101.2</v>
      </c>
      <c r="E307" s="131" t="n">
        <v>31</v>
      </c>
      <c r="F307" s="130" t="n">
        <v>80.59999999999999</v>
      </c>
      <c r="G307" s="17" t="n">
        <v>24</v>
      </c>
      <c r="H307" s="132" t="n">
        <v>170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n">
        <v>101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8" t="inlineStr">
        <is>
          <t>신장동 에코타운3단지</t>
        </is>
      </c>
      <c r="B308" s="79" t="inlineStr">
        <is>
          <t>04.11.</t>
        </is>
      </c>
      <c r="C308" s="129" t="n">
        <v>594</v>
      </c>
      <c r="D308" s="130" t="n">
        <v>125.9</v>
      </c>
      <c r="E308" s="131" t="n">
        <v>38</v>
      </c>
      <c r="F308" s="130" t="n">
        <v>98.59999999999999</v>
      </c>
      <c r="G308" s="17" t="n">
        <v>30</v>
      </c>
      <c r="H308" s="132" t="n">
        <v>88</v>
      </c>
      <c r="I308" s="133" t="n">
        <v>100000</v>
      </c>
      <c r="J308" s="133" t="inlineStr">
        <is>
          <t>중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125B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8" t="inlineStr">
        <is>
          <t>신장동 에코타운3단지</t>
        </is>
      </c>
      <c r="B309" s="79" t="inlineStr">
        <is>
          <t>04.11.</t>
        </is>
      </c>
      <c r="C309" s="129" t="n">
        <v>594</v>
      </c>
      <c r="D309" s="130" t="n">
        <v>126.5</v>
      </c>
      <c r="E309" s="131" t="n">
        <v>38</v>
      </c>
      <c r="F309" s="130" t="n">
        <v>98.59999999999999</v>
      </c>
      <c r="G309" s="17" t="n">
        <v>30</v>
      </c>
      <c r="H309" s="132" t="n">
        <v>149</v>
      </c>
      <c r="I309" s="133" t="n">
        <v>95000</v>
      </c>
      <c r="J309" s="133" t="inlineStr">
        <is>
          <t>중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126A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8" t="inlineStr">
        <is>
          <t>신장동 에코타운3단지</t>
        </is>
      </c>
      <c r="B310" s="79" t="inlineStr">
        <is>
          <t>04.11.</t>
        </is>
      </c>
      <c r="C310" s="129" t="n">
        <v>594</v>
      </c>
      <c r="D310" s="130" t="n">
        <v>128</v>
      </c>
      <c r="E310" s="131" t="n">
        <v>39</v>
      </c>
      <c r="F310" s="130" t="n">
        <v>98.8</v>
      </c>
      <c r="G310" s="17" t="n">
        <v>30</v>
      </c>
      <c r="H310" s="132" t="n">
        <v>66</v>
      </c>
      <c r="I310" s="133" t="n">
        <v>90000</v>
      </c>
      <c r="J310" s="133" t="inlineStr">
        <is>
          <t>고</t>
        </is>
      </c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128C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8" t="inlineStr">
        <is>
          <t>신장동 에코타운3단지</t>
        </is>
      </c>
      <c r="B311" s="79" t="inlineStr">
        <is>
          <t>04.11.</t>
        </is>
      </c>
      <c r="C311" s="129" t="n">
        <v>594</v>
      </c>
      <c r="D311" s="130" t="n">
        <v>131.4</v>
      </c>
      <c r="E311" s="131" t="n">
        <v>40</v>
      </c>
      <c r="F311" s="130" t="n">
        <v>102</v>
      </c>
      <c r="G311" s="17" t="n">
        <v>31</v>
      </c>
      <c r="H311" s="132" t="n">
        <v>17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131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8" t="inlineStr">
        <is>
          <t>신장동 에코타운3단지</t>
        </is>
      </c>
      <c r="B312" s="79" t="inlineStr">
        <is>
          <t>04.11.</t>
        </is>
      </c>
      <c r="C312" s="129" t="n">
        <v>594</v>
      </c>
      <c r="D312" s="130" t="n">
        <v>156.9</v>
      </c>
      <c r="E312" s="131" t="n">
        <v>47</v>
      </c>
      <c r="F312" s="130" t="n">
        <v>126.8</v>
      </c>
      <c r="G312" s="17" t="n">
        <v>38</v>
      </c>
      <c r="H312" s="132" t="n">
        <v>112</v>
      </c>
      <c r="I312" s="133" t="n">
        <v>110000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계</t>
        </is>
      </c>
      <c r="T312" s="5" t="inlineStr">
        <is>
          <t>156A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8" t="inlineStr">
        <is>
          <t>신장동 에코타운3단지</t>
        </is>
      </c>
      <c r="B313" s="79" t="inlineStr">
        <is>
          <t>04.11.</t>
        </is>
      </c>
      <c r="C313" s="129" t="n">
        <v>594</v>
      </c>
      <c r="D313" s="130" t="n">
        <v>156.9</v>
      </c>
      <c r="E313" s="131" t="n">
        <v>47</v>
      </c>
      <c r="F313" s="130" t="n">
        <v>126.8</v>
      </c>
      <c r="G313" s="17" t="n">
        <v>38</v>
      </c>
      <c r="H313" s="132" t="n">
        <v>42</v>
      </c>
      <c r="I313" s="133" t="n">
        <v>110000</v>
      </c>
      <c r="J313" s="133" t="inlineStr">
        <is>
          <t>중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156C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8" t="inlineStr">
        <is>
          <t>신장동 에코타운3단지</t>
        </is>
      </c>
      <c r="B314" s="79" t="inlineStr">
        <is>
          <t>04.11.</t>
        </is>
      </c>
      <c r="C314" s="129" t="n">
        <v>594</v>
      </c>
      <c r="D314" s="130" t="n">
        <v>156.9</v>
      </c>
      <c r="E314" s="131" t="n">
        <v>47</v>
      </c>
      <c r="F314" s="130" t="n">
        <v>126.8</v>
      </c>
      <c r="G314" s="17" t="n">
        <v>38</v>
      </c>
      <c r="H314" s="132" t="n">
        <v>39</v>
      </c>
      <c r="I314" s="133" t="n">
        <v>110000</v>
      </c>
      <c r="J314" s="133" t="inlineStr">
        <is>
          <t>중</t>
        </is>
      </c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4</v>
      </c>
      <c r="R314" s="120" t="n">
        <v>2</v>
      </c>
      <c r="S314" s="120" t="inlineStr">
        <is>
          <t>계</t>
        </is>
      </c>
      <c r="T314" s="5" t="inlineStr">
        <is>
          <t>156B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8" t="inlineStr">
        <is>
          <t>신장동 에코타운3단지</t>
        </is>
      </c>
      <c r="B315" s="79" t="inlineStr">
        <is>
          <t>04.11.</t>
        </is>
      </c>
      <c r="C315" s="129" t="n">
        <v>594</v>
      </c>
      <c r="D315" s="130" t="n">
        <v>158.7</v>
      </c>
      <c r="E315" s="131" t="n">
        <v>48</v>
      </c>
      <c r="F315" s="130" t="n">
        <v>124.2</v>
      </c>
      <c r="G315" s="17" t="n">
        <v>38</v>
      </c>
      <c r="H315" s="132" t="n">
        <v>81</v>
      </c>
      <c r="I315" s="133" t="n">
        <v>110000</v>
      </c>
      <c r="J315" s="133" t="inlineStr">
        <is>
          <t>고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4</v>
      </c>
      <c r="R315" s="120" t="n">
        <v>2</v>
      </c>
      <c r="S315" s="120" t="inlineStr">
        <is>
          <t>계</t>
        </is>
      </c>
      <c r="T315" s="5" t="inlineStr">
        <is>
          <t>158D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8" t="inlineStr">
        <is>
          <t>신장동 에코타운2단지</t>
        </is>
      </c>
      <c r="B316" s="79" t="inlineStr">
        <is>
          <t>04.11.</t>
        </is>
      </c>
      <c r="C316" s="129" t="n">
        <v>488</v>
      </c>
      <c r="D316" s="130" t="n">
        <v>111.3</v>
      </c>
      <c r="E316" s="131" t="n">
        <v>34</v>
      </c>
      <c r="F316" s="130" t="n">
        <v>83.7</v>
      </c>
      <c r="G316" s="17" t="n">
        <v>25</v>
      </c>
      <c r="H316" s="132" t="n">
        <v>360</v>
      </c>
      <c r="I316" s="133" t="n">
        <v>90000</v>
      </c>
      <c r="J316" s="133" t="inlineStr">
        <is>
          <t>21</t>
        </is>
      </c>
      <c r="K316" s="133" t="n">
        <v>52000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2</v>
      </c>
      <c r="S316" s="120" t="inlineStr">
        <is>
          <t>계</t>
        </is>
      </c>
      <c r="T316" s="5" t="inlineStr">
        <is>
          <t>111A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8" t="inlineStr">
        <is>
          <t>신장동 에코타운2단지</t>
        </is>
      </c>
      <c r="B317" s="79" t="inlineStr">
        <is>
          <t>04.11.</t>
        </is>
      </c>
      <c r="C317" s="129" t="n">
        <v>488</v>
      </c>
      <c r="D317" s="130" t="n">
        <v>111.2</v>
      </c>
      <c r="E317" s="131" t="n">
        <v>34</v>
      </c>
      <c r="F317" s="130" t="n">
        <v>83.7</v>
      </c>
      <c r="G317" s="17" t="n">
        <v>25</v>
      </c>
      <c r="H317" s="132" t="n">
        <v>44</v>
      </c>
      <c r="I317" s="133" t="n">
        <v>95000</v>
      </c>
      <c r="J317" s="133" t="inlineStr">
        <is>
          <t>20</t>
        </is>
      </c>
      <c r="K317" s="133" t="n">
        <v>60000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111C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8" t="inlineStr">
        <is>
          <t>신장동 에코타운2단지</t>
        </is>
      </c>
      <c r="B318" s="79" t="inlineStr">
        <is>
          <t>04.11.</t>
        </is>
      </c>
      <c r="C318" s="129" t="n">
        <v>488</v>
      </c>
      <c r="D318" s="130" t="n">
        <v>111.3</v>
      </c>
      <c r="E318" s="131" t="n">
        <v>34</v>
      </c>
      <c r="F318" s="130" t="n">
        <v>83.7</v>
      </c>
      <c r="G318" s="17" t="n">
        <v>25</v>
      </c>
      <c r="H318" s="132" t="n">
        <v>22</v>
      </c>
      <c r="I318" s="133" t="n">
        <v>90000</v>
      </c>
      <c r="J318" s="133" t="inlineStr">
        <is>
          <t>21</t>
        </is>
      </c>
      <c r="K318" s="133" t="n">
        <v>52000</v>
      </c>
      <c r="L318" s="133" t="inlineStr">
        <is>
          <t>고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111B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8" t="inlineStr">
        <is>
          <t>신장동 에코타운2단지</t>
        </is>
      </c>
      <c r="B319" s="79" t="inlineStr">
        <is>
          <t>04.11.</t>
        </is>
      </c>
      <c r="C319" s="129" t="n">
        <v>488</v>
      </c>
      <c r="D319" s="130" t="n">
        <v>112</v>
      </c>
      <c r="E319" s="131" t="n">
        <v>34</v>
      </c>
      <c r="F319" s="130" t="n">
        <v>83</v>
      </c>
      <c r="G319" s="17" t="n">
        <v>25</v>
      </c>
      <c r="H319" s="132" t="n">
        <v>62</v>
      </c>
      <c r="I319" s="133" t="n">
        <v>91000</v>
      </c>
      <c r="J319" s="133" t="inlineStr">
        <is>
          <t>22</t>
        </is>
      </c>
      <c r="K319" s="133" t="n">
        <v>53000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8" t="inlineStr">
        <is>
          <t>신장동 호반써밋에듀파크</t>
        </is>
      </c>
      <c r="B320" s="79" t="inlineStr">
        <is>
          <t>21.08.</t>
        </is>
      </c>
      <c r="C320" s="129" t="n">
        <v>999</v>
      </c>
      <c r="D320" s="130" t="n">
        <v>81.8</v>
      </c>
      <c r="E320" s="131" t="n">
        <v>25</v>
      </c>
      <c r="F320" s="130" t="n">
        <v>59.9</v>
      </c>
      <c r="G320" s="17" t="n">
        <v>18</v>
      </c>
      <c r="H320" s="132" t="n">
        <v>335</v>
      </c>
      <c r="I320" s="133" t="n">
        <v>90000</v>
      </c>
      <c r="J320" s="133" t="inlineStr">
        <is>
          <t>고</t>
        </is>
      </c>
      <c r="K320" s="133" t="n">
        <v>57000</v>
      </c>
      <c r="L320" s="133" t="inlineStr">
        <is>
          <t>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81A-1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8" t="inlineStr">
        <is>
          <t>신장동 호반써밋에듀파크</t>
        </is>
      </c>
      <c r="B321" s="79" t="inlineStr">
        <is>
          <t>21.08.</t>
        </is>
      </c>
      <c r="C321" s="129" t="n">
        <v>999</v>
      </c>
      <c r="D321" s="130" t="n">
        <v>81.40000000000001</v>
      </c>
      <c r="E321" s="131" t="n">
        <v>25</v>
      </c>
      <c r="F321" s="130" t="n">
        <v>59.6</v>
      </c>
      <c r="G321" s="17" t="n">
        <v>18</v>
      </c>
      <c r="H321" s="132" t="n">
        <v>290</v>
      </c>
      <c r="I321" s="133" t="n"/>
      <c r="J321" s="133" t="n"/>
      <c r="K321" s="133" t="n">
        <v>58000</v>
      </c>
      <c r="L321" s="133" t="inlineStr">
        <is>
          <t>고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2</v>
      </c>
      <c r="S321" s="120" t="inlineStr">
        <is>
          <t>계</t>
        </is>
      </c>
      <c r="T321" s="5" t="inlineStr">
        <is>
          <t>81A</t>
        </is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8" t="inlineStr">
        <is>
          <t>신장동 호반써밋에듀파크</t>
        </is>
      </c>
      <c r="B322" s="79" t="inlineStr">
        <is>
          <t>21.08.</t>
        </is>
      </c>
      <c r="C322" s="129" t="n">
        <v>999</v>
      </c>
      <c r="D322" s="130" t="n">
        <v>81.8</v>
      </c>
      <c r="E322" s="131" t="n">
        <v>25</v>
      </c>
      <c r="F322" s="130" t="n">
        <v>59.9</v>
      </c>
      <c r="G322" s="17" t="n">
        <v>18</v>
      </c>
      <c r="H322" s="132" t="n">
        <v>118</v>
      </c>
      <c r="I322" s="133" t="n">
        <v>90000</v>
      </c>
      <c r="J322" s="133" t="inlineStr">
        <is>
          <t>고</t>
        </is>
      </c>
      <c r="K322" s="133" t="n">
        <v>57000</v>
      </c>
      <c r="L322" s="133" t="inlineStr">
        <is>
          <t>6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81A-2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8" t="inlineStr">
        <is>
          <t>신장동 호반써밋에듀파크</t>
        </is>
      </c>
      <c r="B323" s="79" t="inlineStr">
        <is>
          <t>21.08.</t>
        </is>
      </c>
      <c r="C323" s="129" t="n">
        <v>999</v>
      </c>
      <c r="D323" s="130" t="n">
        <v>82.8</v>
      </c>
      <c r="E323" s="131" t="n">
        <v>25</v>
      </c>
      <c r="F323" s="130" t="n">
        <v>59.9</v>
      </c>
      <c r="G323" s="17" t="n">
        <v>18</v>
      </c>
      <c r="H323" s="132" t="n">
        <v>110</v>
      </c>
      <c r="I323" s="133" t="n"/>
      <c r="J323" s="133" t="n"/>
      <c r="K323" s="133" t="n">
        <v>63000</v>
      </c>
      <c r="L323" s="133" t="inlineStr">
        <is>
          <t>중</t>
        </is>
      </c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82C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8" t="inlineStr">
        <is>
          <t>신장동 호반써밋에듀파크</t>
        </is>
      </c>
      <c r="B324" s="79" t="inlineStr">
        <is>
          <t>21.08.</t>
        </is>
      </c>
      <c r="C324" s="129" t="n">
        <v>999</v>
      </c>
      <c r="D324" s="130" t="n">
        <v>83.59999999999999</v>
      </c>
      <c r="E324" s="131" t="n">
        <v>25</v>
      </c>
      <c r="F324" s="130" t="n">
        <v>60</v>
      </c>
      <c r="G324" s="17" t="n">
        <v>18</v>
      </c>
      <c r="H324" s="132" t="n">
        <v>146</v>
      </c>
      <c r="I324" s="133" t="n"/>
      <c r="J324" s="133" t="n"/>
      <c r="K324" s="133" t="n">
        <v>58000</v>
      </c>
      <c r="L324" s="133" t="inlineStr">
        <is>
          <t>21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inlineStr">
        <is>
          <t>83B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8" t="inlineStr">
        <is>
          <t>신장동 하남유니온시티에일린의뜰</t>
        </is>
      </c>
      <c r="B325" s="79" t="inlineStr">
        <is>
          <t>17.08.</t>
        </is>
      </c>
      <c r="C325" s="129" t="n">
        <v>754</v>
      </c>
      <c r="D325" s="130" t="n">
        <v>98.7</v>
      </c>
      <c r="E325" s="131" t="n">
        <v>30</v>
      </c>
      <c r="F325" s="130" t="n">
        <v>75</v>
      </c>
      <c r="G325" s="17" t="n">
        <v>23</v>
      </c>
      <c r="H325" s="132" t="n">
        <v>190</v>
      </c>
      <c r="I325" s="133" t="n">
        <v>92000</v>
      </c>
      <c r="J325" s="133" t="inlineStr">
        <is>
          <t>9</t>
        </is>
      </c>
      <c r="K325" s="133" t="n">
        <v>60000</v>
      </c>
      <c r="L325" s="133" t="inlineStr">
        <is>
          <t>16</t>
        </is>
      </c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2</v>
      </c>
      <c r="S325" s="120" t="inlineStr">
        <is>
          <t>계</t>
        </is>
      </c>
      <c r="T325" s="5" t="n">
        <v>98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8" t="inlineStr">
        <is>
          <t>신장동 하남유니온시티에일린의뜰</t>
        </is>
      </c>
      <c r="B326" s="79" t="inlineStr">
        <is>
          <t>17.08.</t>
        </is>
      </c>
      <c r="C326" s="129" t="n">
        <v>754</v>
      </c>
      <c r="D326" s="130" t="n">
        <v>111.7</v>
      </c>
      <c r="E326" s="131" t="n">
        <v>34</v>
      </c>
      <c r="F326" s="130" t="n">
        <v>85</v>
      </c>
      <c r="G326" s="17" t="n">
        <v>26</v>
      </c>
      <c r="H326" s="132" t="n">
        <v>187</v>
      </c>
      <c r="I326" s="133" t="n">
        <v>113000</v>
      </c>
      <c r="J326" s="133" t="inlineStr">
        <is>
          <t>10</t>
        </is>
      </c>
      <c r="K326" s="133" t="n">
        <v>70000</v>
      </c>
      <c r="L326" s="133" t="inlineStr">
        <is>
          <t>8</t>
        </is>
      </c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inlineStr">
        <is>
          <t>111B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8" t="inlineStr">
        <is>
          <t>신장동 하남유니온시티에일린의뜰</t>
        </is>
      </c>
      <c r="B327" s="79" t="inlineStr">
        <is>
          <t>17.08.</t>
        </is>
      </c>
      <c r="C327" s="129" t="n">
        <v>754</v>
      </c>
      <c r="D327" s="130" t="n">
        <v>112</v>
      </c>
      <c r="E327" s="131" t="n">
        <v>34</v>
      </c>
      <c r="F327" s="130" t="n">
        <v>85</v>
      </c>
      <c r="G327" s="17" t="n">
        <v>26</v>
      </c>
      <c r="H327" s="132" t="n">
        <v>189</v>
      </c>
      <c r="I327" s="133" t="n">
        <v>113000</v>
      </c>
      <c r="J327" s="133" t="inlineStr">
        <is>
          <t>고</t>
        </is>
      </c>
      <c r="K327" s="133" t="n">
        <v>71000</v>
      </c>
      <c r="L327" s="133" t="inlineStr">
        <is>
          <t>21</t>
        </is>
      </c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112C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8" t="inlineStr">
        <is>
          <t>신장동 하남유니온시티에일린의뜰</t>
        </is>
      </c>
      <c r="B328" s="79" t="inlineStr">
        <is>
          <t>17.08.</t>
        </is>
      </c>
      <c r="C328" s="129" t="n">
        <v>754</v>
      </c>
      <c r="D328" s="130" t="n">
        <v>112.2</v>
      </c>
      <c r="E328" s="131" t="n">
        <v>34</v>
      </c>
      <c r="F328" s="130" t="n">
        <v>85</v>
      </c>
      <c r="G328" s="17" t="n">
        <v>26</v>
      </c>
      <c r="H328" s="132" t="n">
        <v>188</v>
      </c>
      <c r="I328" s="133" t="n">
        <v>105000</v>
      </c>
      <c r="J328" s="133" t="inlineStr">
        <is>
          <t>고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112A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8" t="inlineStr">
        <is>
          <t>신장동 한국</t>
        </is>
      </c>
      <c r="B329" s="79" t="inlineStr">
        <is>
          <t>96.08.</t>
        </is>
      </c>
      <c r="C329" s="129" t="n">
        <v>848</v>
      </c>
      <c r="D329" s="130" t="n">
        <v>60.9</v>
      </c>
      <c r="E329" s="131" t="n">
        <v>18</v>
      </c>
      <c r="F329" s="130" t="n">
        <v>44.6</v>
      </c>
      <c r="G329" s="17" t="n">
        <v>13</v>
      </c>
      <c r="H329" s="132" t="n">
        <v>128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2</v>
      </c>
      <c r="R329" s="120" t="n">
        <v>1</v>
      </c>
      <c r="S329" s="120" t="inlineStr">
        <is>
          <t>복</t>
        </is>
      </c>
      <c r="T329" s="5" t="n">
        <v>60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8" t="inlineStr">
        <is>
          <t>신장동 한국</t>
        </is>
      </c>
      <c r="B330" s="79" t="inlineStr">
        <is>
          <t>96.08.</t>
        </is>
      </c>
      <c r="C330" s="129" t="n">
        <v>848</v>
      </c>
      <c r="D330" s="130" t="n">
        <v>78</v>
      </c>
      <c r="E330" s="131" t="n">
        <v>24</v>
      </c>
      <c r="F330" s="130" t="n">
        <v>59.9</v>
      </c>
      <c r="G330" s="17" t="n">
        <v>18</v>
      </c>
      <c r="H330" s="132" t="n">
        <v>720</v>
      </c>
      <c r="I330" s="133" t="n">
        <v>65000</v>
      </c>
      <c r="J330" s="133" t="inlineStr">
        <is>
          <t>11</t>
        </is>
      </c>
      <c r="K330" s="133" t="n">
        <v>40000</v>
      </c>
      <c r="L330" s="133" t="inlineStr">
        <is>
          <t>19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78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8" t="inlineStr">
        <is>
          <t>신장동 더우개마을동일</t>
        </is>
      </c>
      <c r="B331" s="79" t="inlineStr">
        <is>
          <t>99.09.</t>
        </is>
      </c>
      <c r="C331" s="129" t="n">
        <v>438</v>
      </c>
      <c r="D331" s="130" t="n">
        <v>64</v>
      </c>
      <c r="E331" s="131" t="n">
        <v>19</v>
      </c>
      <c r="F331" s="130" t="n">
        <v>45</v>
      </c>
      <c r="G331" s="17" t="n">
        <v>14</v>
      </c>
      <c r="H331" s="132" t="n">
        <v>51</v>
      </c>
      <c r="I331" s="133" t="n">
        <v>55000</v>
      </c>
      <c r="J331" s="133" t="inlineStr">
        <is>
          <t>11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63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8" t="inlineStr">
        <is>
          <t>신장동 더우개마을동일</t>
        </is>
      </c>
      <c r="B332" s="79" t="inlineStr">
        <is>
          <t>99.09.</t>
        </is>
      </c>
      <c r="C332" s="129" t="n">
        <v>438</v>
      </c>
      <c r="D332" s="130" t="n">
        <v>79</v>
      </c>
      <c r="E332" s="131" t="n">
        <v>24</v>
      </c>
      <c r="F332" s="130" t="n">
        <v>60</v>
      </c>
      <c r="G332" s="17" t="n">
        <v>18</v>
      </c>
      <c r="H332" s="132" t="n">
        <v>80</v>
      </c>
      <c r="I332" s="133" t="n">
        <v>68000</v>
      </c>
      <c r="J332" s="133" t="inlineStr">
        <is>
          <t>19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1</v>
      </c>
      <c r="S332" s="120" t="inlineStr">
        <is>
          <t>계</t>
        </is>
      </c>
      <c r="T332" s="5" t="n">
        <v>78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8" t="inlineStr">
        <is>
          <t>신장동 더우개마을동일</t>
        </is>
      </c>
      <c r="B333" s="79" t="inlineStr">
        <is>
          <t>99.09.</t>
        </is>
      </c>
      <c r="C333" s="129" t="n">
        <v>438</v>
      </c>
      <c r="D333" s="130" t="n">
        <v>106.3</v>
      </c>
      <c r="E333" s="131" t="n">
        <v>32</v>
      </c>
      <c r="F333" s="130" t="n">
        <v>84.90000000000001</v>
      </c>
      <c r="G333" s="17" t="n">
        <v>26</v>
      </c>
      <c r="H333" s="132" t="n">
        <v>147</v>
      </c>
      <c r="I333" s="133" t="n">
        <v>75000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n">
        <v>106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8" t="inlineStr">
        <is>
          <t>신장동 더우개마을동일</t>
        </is>
      </c>
      <c r="B334" s="79" t="inlineStr">
        <is>
          <t>99.09.</t>
        </is>
      </c>
      <c r="C334" s="129" t="n">
        <v>438</v>
      </c>
      <c r="D334" s="130" t="n">
        <v>158.5</v>
      </c>
      <c r="E334" s="131" t="n">
        <v>48</v>
      </c>
      <c r="F334" s="130" t="n">
        <v>134.2</v>
      </c>
      <c r="G334" s="17" t="n">
        <v>41</v>
      </c>
      <c r="H334" s="132" t="n">
        <v>80</v>
      </c>
      <c r="I334" s="133" t="n">
        <v>90000</v>
      </c>
      <c r="J334" s="133" t="inlineStr">
        <is>
          <t>8</t>
        </is>
      </c>
      <c r="K334" s="133" t="n">
        <v>65000</v>
      </c>
      <c r="L334" s="133" t="inlineStr">
        <is>
          <t>8</t>
        </is>
      </c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4</v>
      </c>
      <c r="R334" s="120" t="n">
        <v>2</v>
      </c>
      <c r="S334" s="120" t="inlineStr">
        <is>
          <t>계</t>
        </is>
      </c>
      <c r="T334" s="5" t="n">
        <v>158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8" t="inlineStr">
        <is>
          <t>신장동 더우개마을동일</t>
        </is>
      </c>
      <c r="B335" s="79" t="inlineStr">
        <is>
          <t>99.09.</t>
        </is>
      </c>
      <c r="C335" s="129" t="n">
        <v>438</v>
      </c>
      <c r="D335" s="130" t="n">
        <v>204.7</v>
      </c>
      <c r="E335" s="131" t="n">
        <v>62</v>
      </c>
      <c r="F335" s="130" t="n">
        <v>168.7</v>
      </c>
      <c r="G335" s="17" t="n">
        <v>51</v>
      </c>
      <c r="H335" s="132" t="n">
        <v>40</v>
      </c>
      <c r="I335" s="133" t="n">
        <v>110000</v>
      </c>
      <c r="J335" s="133" t="inlineStr">
        <is>
          <t>중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4</v>
      </c>
      <c r="R335" s="120" t="n">
        <v>2</v>
      </c>
      <c r="S335" s="120" t="inlineStr">
        <is>
          <t>계</t>
        </is>
      </c>
      <c r="T335" s="5" t="n">
        <v>204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8" t="inlineStr">
        <is>
          <t>신장동 더우개마을동일</t>
        </is>
      </c>
      <c r="B336" s="79" t="inlineStr">
        <is>
          <t>99.09.</t>
        </is>
      </c>
      <c r="C336" s="129" t="n">
        <v>438</v>
      </c>
      <c r="D336" s="130" t="n">
        <v>219.7</v>
      </c>
      <c r="E336" s="131" t="n">
        <v>66</v>
      </c>
      <c r="F336" s="130" t="n">
        <v>181.6</v>
      </c>
      <c r="G336" s="17" t="n">
        <v>55</v>
      </c>
      <c r="H336" s="132" t="n">
        <v>40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4</v>
      </c>
      <c r="R336" s="120" t="n">
        <v>2</v>
      </c>
      <c r="S336" s="120" t="inlineStr">
        <is>
          <t>계</t>
        </is>
      </c>
      <c r="T336" s="5" t="n">
        <v>219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8" t="inlineStr">
        <is>
          <t>창우동 은행</t>
        </is>
      </c>
      <c r="B337" s="79" t="inlineStr">
        <is>
          <t>94.05.</t>
        </is>
      </c>
      <c r="C337" s="129" t="n">
        <v>1360</v>
      </c>
      <c r="D337" s="130" t="n">
        <v>124.5</v>
      </c>
      <c r="E337" s="131" t="n">
        <v>38</v>
      </c>
      <c r="F337" s="130" t="n">
        <v>102</v>
      </c>
      <c r="G337" s="17" t="n">
        <v>31</v>
      </c>
      <c r="H337" s="132" t="n">
        <v>400</v>
      </c>
      <c r="I337" s="133" t="n">
        <v>90000</v>
      </c>
      <c r="J337" s="133" t="inlineStr">
        <is>
          <t>11</t>
        </is>
      </c>
      <c r="K337" s="133" t="n">
        <v>58000</v>
      </c>
      <c r="L337" s="133" t="inlineStr">
        <is>
          <t>중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4</v>
      </c>
      <c r="R337" s="120" t="n">
        <v>2</v>
      </c>
      <c r="S337" s="120" t="inlineStr">
        <is>
          <t>계</t>
        </is>
      </c>
      <c r="T337" s="5" t="inlineStr">
        <is>
          <t>124A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8" t="inlineStr">
        <is>
          <t>창우동 은행</t>
        </is>
      </c>
      <c r="B338" s="79" t="inlineStr">
        <is>
          <t>94.05.</t>
        </is>
      </c>
      <c r="C338" s="129" t="n">
        <v>1360</v>
      </c>
      <c r="D338" s="130" t="n">
        <v>124.5</v>
      </c>
      <c r="E338" s="131" t="n">
        <v>38</v>
      </c>
      <c r="F338" s="130" t="n">
        <v>102</v>
      </c>
      <c r="G338" s="17" t="n">
        <v>31</v>
      </c>
      <c r="H338" s="132" t="n">
        <v>400</v>
      </c>
      <c r="I338" s="133" t="n">
        <v>90000</v>
      </c>
      <c r="J338" s="133" t="inlineStr">
        <is>
          <t>11</t>
        </is>
      </c>
      <c r="K338" s="133" t="n">
        <v>58000</v>
      </c>
      <c r="L338" s="133" t="inlineStr">
        <is>
          <t>중</t>
        </is>
      </c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inlineStr">
        <is>
          <t>124B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8" t="inlineStr">
        <is>
          <t>창우동 은행</t>
        </is>
      </c>
      <c r="B339" s="79" t="inlineStr">
        <is>
          <t>94.05.</t>
        </is>
      </c>
      <c r="C339" s="129" t="n">
        <v>1360</v>
      </c>
      <c r="D339" s="130" t="n">
        <v>159</v>
      </c>
      <c r="E339" s="131" t="n">
        <v>48</v>
      </c>
      <c r="F339" s="130" t="n">
        <v>135</v>
      </c>
      <c r="G339" s="17" t="n">
        <v>41</v>
      </c>
      <c r="H339" s="132" t="n">
        <v>280</v>
      </c>
      <c r="I339" s="133" t="n">
        <v>105000</v>
      </c>
      <c r="J339" s="133" t="inlineStr">
        <is>
          <t>12</t>
        </is>
      </c>
      <c r="K339" s="133" t="n">
        <v>70000</v>
      </c>
      <c r="L339" s="133" t="inlineStr">
        <is>
          <t>중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8" t="inlineStr">
        <is>
          <t>창우동 은행</t>
        </is>
      </c>
      <c r="B340" s="79" t="inlineStr">
        <is>
          <t>94.05.</t>
        </is>
      </c>
      <c r="C340" s="129" t="n">
        <v>1360</v>
      </c>
      <c r="D340" s="130" t="n">
        <v>158.9</v>
      </c>
      <c r="E340" s="131" t="n">
        <v>48</v>
      </c>
      <c r="F340" s="130" t="n">
        <v>135</v>
      </c>
      <c r="G340" s="17" t="n">
        <v>41</v>
      </c>
      <c r="H340" s="132" t="n">
        <v>280</v>
      </c>
      <c r="I340" s="133" t="n">
        <v>105000</v>
      </c>
      <c r="J340" s="133" t="inlineStr">
        <is>
          <t>고</t>
        </is>
      </c>
      <c r="K340" s="133" t="n">
        <v>65000</v>
      </c>
      <c r="L340" s="133" t="inlineStr">
        <is>
          <t>18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158B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8" t="inlineStr">
        <is>
          <t>창우동 부영</t>
        </is>
      </c>
      <c r="B341" s="79" t="inlineStr">
        <is>
          <t>94.12.</t>
        </is>
      </c>
      <c r="C341" s="129" t="n">
        <v>2055</v>
      </c>
      <c r="D341" s="130" t="n">
        <v>67.40000000000001</v>
      </c>
      <c r="E341" s="131" t="n">
        <v>20</v>
      </c>
      <c r="F341" s="130" t="n">
        <v>49.6</v>
      </c>
      <c r="G341" s="17" t="n">
        <v>15</v>
      </c>
      <c r="H341" s="132" t="n">
        <v>1140</v>
      </c>
      <c r="I341" s="133" t="n">
        <v>57000</v>
      </c>
      <c r="J341" s="133" t="inlineStr">
        <is>
          <t>12</t>
        </is>
      </c>
      <c r="K341" s="133" t="n">
        <v>33000</v>
      </c>
      <c r="L341" s="133" t="inlineStr">
        <is>
          <t>11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복</t>
        </is>
      </c>
      <c r="T341" s="5" t="n">
        <v>67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8" t="inlineStr">
        <is>
          <t>창우동 부영</t>
        </is>
      </c>
      <c r="B342" s="79" t="inlineStr">
        <is>
          <t>94.12.</t>
        </is>
      </c>
      <c r="C342" s="129" t="n">
        <v>2055</v>
      </c>
      <c r="D342" s="130" t="n">
        <v>81.59999999999999</v>
      </c>
      <c r="E342" s="131" t="n">
        <v>25</v>
      </c>
      <c r="F342" s="130" t="n">
        <v>60</v>
      </c>
      <c r="G342" s="17" t="n">
        <v>18</v>
      </c>
      <c r="H342" s="132" t="n">
        <v>915</v>
      </c>
      <c r="I342" s="133" t="n">
        <v>67000</v>
      </c>
      <c r="J342" s="133" t="inlineStr">
        <is>
          <t>9</t>
        </is>
      </c>
      <c r="K342" s="133" t="n">
        <v>37000</v>
      </c>
      <c r="L342" s="133" t="inlineStr">
        <is>
          <t>11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복</t>
        </is>
      </c>
      <c r="T342" s="5" t="n">
        <v>81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8" t="inlineStr">
        <is>
          <t>창우동 꿈동산신안</t>
        </is>
      </c>
      <c r="B343" s="79" t="inlineStr">
        <is>
          <t>94.12.</t>
        </is>
      </c>
      <c r="C343" s="129" t="n">
        <v>1704</v>
      </c>
      <c r="D343" s="130" t="n">
        <v>107.7</v>
      </c>
      <c r="E343" s="131" t="n">
        <v>33</v>
      </c>
      <c r="F343" s="130" t="n">
        <v>85</v>
      </c>
      <c r="G343" s="17" t="n">
        <v>26</v>
      </c>
      <c r="H343" s="132" t="n">
        <v>1206</v>
      </c>
      <c r="I343" s="133" t="n">
        <v>70000</v>
      </c>
      <c r="J343" s="133" t="inlineStr">
        <is>
          <t>중</t>
        </is>
      </c>
      <c r="K343" s="133" t="n">
        <v>50000</v>
      </c>
      <c r="L343" s="133" t="inlineStr">
        <is>
          <t>10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107S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8" t="inlineStr">
        <is>
          <t>창우동 꿈동산신안</t>
        </is>
      </c>
      <c r="B344" s="79" t="inlineStr">
        <is>
          <t>94.12.</t>
        </is>
      </c>
      <c r="C344" s="129" t="n">
        <v>1704</v>
      </c>
      <c r="D344" s="130" t="n">
        <v>107.7</v>
      </c>
      <c r="E344" s="131" t="n">
        <v>33</v>
      </c>
      <c r="F344" s="130" t="n">
        <v>84.90000000000001</v>
      </c>
      <c r="G344" s="17" t="n">
        <v>26</v>
      </c>
      <c r="H344" s="132" t="n">
        <v>498</v>
      </c>
      <c r="I344" s="133" t="n">
        <v>75000</v>
      </c>
      <c r="J344" s="133" t="inlineStr">
        <is>
          <t>17</t>
        </is>
      </c>
      <c r="K344" s="133" t="n">
        <v>53000</v>
      </c>
      <c r="L344" s="133" t="inlineStr">
        <is>
          <t>12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n">
        <v>107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8" t="inlineStr">
        <is>
          <t>풍산동 미사강변센트럴풍경채</t>
        </is>
      </c>
      <c r="B345" s="79" t="inlineStr">
        <is>
          <t>19.01.</t>
        </is>
      </c>
      <c r="C345" s="129" t="n">
        <v>726</v>
      </c>
      <c r="D345" s="130" t="n">
        <v>109.2</v>
      </c>
      <c r="E345" s="131" t="n">
        <v>33</v>
      </c>
      <c r="F345" s="130" t="n">
        <v>84.90000000000001</v>
      </c>
      <c r="G345" s="17" t="n">
        <v>26</v>
      </c>
      <c r="H345" s="132" t="n">
        <v>388</v>
      </c>
      <c r="I345" s="133" t="n">
        <v>107000</v>
      </c>
      <c r="J345" s="133" t="inlineStr">
        <is>
          <t>고</t>
        </is>
      </c>
      <c r="K345" s="133" t="n">
        <v>50000</v>
      </c>
      <c r="L345" s="133" t="inlineStr">
        <is>
          <t>26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109A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8" t="inlineStr">
        <is>
          <t>풍산동 미사강변센트럴풍경채</t>
        </is>
      </c>
      <c r="B346" s="79" t="inlineStr">
        <is>
          <t>19.01.</t>
        </is>
      </c>
      <c r="C346" s="129" t="n">
        <v>726</v>
      </c>
      <c r="D346" s="130" t="n">
        <v>123.3</v>
      </c>
      <c r="E346" s="131" t="n">
        <v>37</v>
      </c>
      <c r="F346" s="130" t="n">
        <v>97.3</v>
      </c>
      <c r="G346" s="17" t="n">
        <v>29</v>
      </c>
      <c r="H346" s="132" t="n">
        <v>229</v>
      </c>
      <c r="I346" s="133" t="n">
        <v>125000</v>
      </c>
      <c r="J346" s="133" t="inlineStr">
        <is>
          <t>16</t>
        </is>
      </c>
      <c r="K346" s="133" t="n">
        <v>80000</v>
      </c>
      <c r="L346" s="133" t="inlineStr">
        <is>
          <t>중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123A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8" t="inlineStr">
        <is>
          <t>풍산동 미사강변센트럴풍경채</t>
        </is>
      </c>
      <c r="B347" s="79" t="inlineStr">
        <is>
          <t>19.01.</t>
        </is>
      </c>
      <c r="C347" s="129" t="n">
        <v>726</v>
      </c>
      <c r="D347" s="130" t="n">
        <v>124.3</v>
      </c>
      <c r="E347" s="131" t="n">
        <v>38</v>
      </c>
      <c r="F347" s="130" t="n">
        <v>97.7</v>
      </c>
      <c r="G347" s="17" t="n">
        <v>30</v>
      </c>
      <c r="H347" s="132" t="n">
        <v>109</v>
      </c>
      <c r="I347" s="133" t="n">
        <v>120000</v>
      </c>
      <c r="J347" s="133" t="inlineStr">
        <is>
          <t>25</t>
        </is>
      </c>
      <c r="K347" s="133" t="n">
        <v>80000</v>
      </c>
      <c r="L347" s="133" t="inlineStr">
        <is>
          <t>중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124B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8" t="inlineStr">
        <is>
          <t>풍산동 미사강변동일하이빌</t>
        </is>
      </c>
      <c r="B348" s="79" t="inlineStr">
        <is>
          <t>18.02.</t>
        </is>
      </c>
      <c r="C348" s="129" t="n">
        <v>655</v>
      </c>
      <c r="D348" s="130" t="n">
        <v>81.2</v>
      </c>
      <c r="E348" s="131" t="n">
        <v>25</v>
      </c>
      <c r="F348" s="130" t="n">
        <v>59.9</v>
      </c>
      <c r="G348" s="17" t="n">
        <v>18</v>
      </c>
      <c r="H348" s="132" t="n">
        <v>260</v>
      </c>
      <c r="I348" s="133" t="n">
        <v>87000</v>
      </c>
      <c r="J348" s="133" t="inlineStr">
        <is>
          <t>6</t>
        </is>
      </c>
      <c r="K348" s="133" t="n">
        <v>53000</v>
      </c>
      <c r="L348" s="133" t="inlineStr">
        <is>
          <t>중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inlineStr">
        <is>
          <t>81A</t>
        </is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8" t="inlineStr">
        <is>
          <t>풍산동 미사강변동일하이빌</t>
        </is>
      </c>
      <c r="B349" s="79" t="inlineStr">
        <is>
          <t>18.02.</t>
        </is>
      </c>
      <c r="C349" s="129" t="n">
        <v>655</v>
      </c>
      <c r="D349" s="130" t="n">
        <v>81.2</v>
      </c>
      <c r="E349" s="131" t="n">
        <v>25</v>
      </c>
      <c r="F349" s="130" t="n">
        <v>59.9</v>
      </c>
      <c r="G349" s="17" t="n">
        <v>18</v>
      </c>
      <c r="H349" s="132" t="n">
        <v>20</v>
      </c>
      <c r="I349" s="133" t="n">
        <v>87000</v>
      </c>
      <c r="J349" s="133" t="inlineStr">
        <is>
          <t>6</t>
        </is>
      </c>
      <c r="K349" s="133" t="n">
        <v>53000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81B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8" t="inlineStr">
        <is>
          <t>풍산동 미사강변동일하이빌</t>
        </is>
      </c>
      <c r="B350" s="79" t="inlineStr">
        <is>
          <t>18.02.</t>
        </is>
      </c>
      <c r="C350" s="129" t="n">
        <v>655</v>
      </c>
      <c r="D350" s="130" t="n">
        <v>101.6</v>
      </c>
      <c r="E350" s="131" t="n">
        <v>31</v>
      </c>
      <c r="F350" s="130" t="n">
        <v>74.90000000000001</v>
      </c>
      <c r="G350" s="17" t="n">
        <v>23</v>
      </c>
      <c r="H350" s="132" t="n">
        <v>72</v>
      </c>
      <c r="I350" s="133" t="n">
        <v>110000</v>
      </c>
      <c r="J350" s="133" t="inlineStr">
        <is>
          <t>고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inlineStr">
        <is>
          <t>101A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8" t="inlineStr">
        <is>
          <t>풍산동 미사강변동일하이빌</t>
        </is>
      </c>
      <c r="B351" s="79" t="inlineStr">
        <is>
          <t>18.02.</t>
        </is>
      </c>
      <c r="C351" s="129" t="n">
        <v>655</v>
      </c>
      <c r="D351" s="130" t="n">
        <v>101.7</v>
      </c>
      <c r="E351" s="131" t="n">
        <v>31</v>
      </c>
      <c r="F351" s="130" t="n">
        <v>75</v>
      </c>
      <c r="G351" s="17" t="n">
        <v>23</v>
      </c>
      <c r="H351" s="132" t="n">
        <v>54</v>
      </c>
      <c r="I351" s="133" t="n">
        <v>102000</v>
      </c>
      <c r="J351" s="133" t="inlineStr">
        <is>
          <t>22</t>
        </is>
      </c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inlineStr">
        <is>
          <t>101B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8" t="inlineStr">
        <is>
          <t>풍산동 미사강변동일하이빌</t>
        </is>
      </c>
      <c r="B352" s="79" t="inlineStr">
        <is>
          <t>18.02.</t>
        </is>
      </c>
      <c r="C352" s="129" t="n">
        <v>655</v>
      </c>
      <c r="D352" s="130" t="n">
        <v>115.2</v>
      </c>
      <c r="E352" s="131" t="n">
        <v>35</v>
      </c>
      <c r="F352" s="130" t="n">
        <v>85</v>
      </c>
      <c r="G352" s="17" t="n">
        <v>26</v>
      </c>
      <c r="H352" s="132" t="n">
        <v>176</v>
      </c>
      <c r="I352" s="133" t="n">
        <v>95000</v>
      </c>
      <c r="J352" s="133" t="inlineStr">
        <is>
          <t>18</t>
        </is>
      </c>
      <c r="K352" s="133" t="n">
        <v>65000</v>
      </c>
      <c r="L352" s="133" t="inlineStr">
        <is>
          <t>18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inlineStr">
        <is>
          <t>115A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8" t="inlineStr">
        <is>
          <t>풍산동 미사강변동일하이빌</t>
        </is>
      </c>
      <c r="B353" s="79" t="inlineStr">
        <is>
          <t>18.02.</t>
        </is>
      </c>
      <c r="C353" s="129" t="n">
        <v>655</v>
      </c>
      <c r="D353" s="130" t="n">
        <v>115.2</v>
      </c>
      <c r="E353" s="131" t="n">
        <v>35</v>
      </c>
      <c r="F353" s="130" t="n">
        <v>84.90000000000001</v>
      </c>
      <c r="G353" s="17" t="n">
        <v>26</v>
      </c>
      <c r="H353" s="132" t="n">
        <v>73</v>
      </c>
      <c r="I353" s="133" t="n">
        <v>108000</v>
      </c>
      <c r="J353" s="133" t="inlineStr">
        <is>
          <t>중</t>
        </is>
      </c>
      <c r="K353" s="133" t="n">
        <v>65000</v>
      </c>
      <c r="L353" s="133" t="inlineStr">
        <is>
          <t>9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inlineStr">
        <is>
          <t>115B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8" t="inlineStr">
        <is>
          <t>풍산동 미사강변동원로얄듀크</t>
        </is>
      </c>
      <c r="B354" s="79" t="inlineStr">
        <is>
          <t>16.04.</t>
        </is>
      </c>
      <c r="C354" s="129" t="n">
        <v>808</v>
      </c>
      <c r="D354" s="130" t="n">
        <v>99.90000000000001</v>
      </c>
      <c r="E354" s="131" t="n">
        <v>30</v>
      </c>
      <c r="F354" s="130" t="n">
        <v>74.7</v>
      </c>
      <c r="G354" s="17" t="n">
        <v>23</v>
      </c>
      <c r="H354" s="132" t="n">
        <v>208</v>
      </c>
      <c r="I354" s="133" t="n">
        <v>95000</v>
      </c>
      <c r="J354" s="133" t="inlineStr">
        <is>
          <t>고</t>
        </is>
      </c>
      <c r="K354" s="133" t="n">
        <v>60000</v>
      </c>
      <c r="L354" s="133" t="inlineStr">
        <is>
          <t>16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99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8" t="inlineStr">
        <is>
          <t>풍산동 미사강변동원로얄듀크</t>
        </is>
      </c>
      <c r="B355" s="79" t="inlineStr">
        <is>
          <t>16.04.</t>
        </is>
      </c>
      <c r="C355" s="129" t="n">
        <v>808</v>
      </c>
      <c r="D355" s="130" t="n">
        <v>112.5</v>
      </c>
      <c r="E355" s="131" t="n">
        <v>34</v>
      </c>
      <c r="F355" s="130" t="n">
        <v>84.40000000000001</v>
      </c>
      <c r="G355" s="17" t="n">
        <v>26</v>
      </c>
      <c r="H355" s="132" t="n">
        <v>599</v>
      </c>
      <c r="I355" s="133" t="n">
        <v>100000</v>
      </c>
      <c r="J355" s="133" t="inlineStr">
        <is>
          <t>중</t>
        </is>
      </c>
      <c r="K355" s="133" t="n">
        <v>60000</v>
      </c>
      <c r="L355" s="133" t="inlineStr">
        <is>
          <t>6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112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8" t="inlineStr">
        <is>
          <t>풍산동 미사강변동원로얄듀크</t>
        </is>
      </c>
      <c r="B356" s="79" t="inlineStr">
        <is>
          <t>16.04.</t>
        </is>
      </c>
      <c r="C356" s="129" t="n">
        <v>808</v>
      </c>
      <c r="D356" s="130" t="n">
        <v>112.5</v>
      </c>
      <c r="E356" s="131" t="n">
        <v>34</v>
      </c>
      <c r="F356" s="130" t="n">
        <v>84.40000000000001</v>
      </c>
      <c r="G356" s="17" t="n">
        <v>26</v>
      </c>
      <c r="H356" s="132" t="n">
        <v>1</v>
      </c>
      <c r="I356" s="133" t="n">
        <v>100000</v>
      </c>
      <c r="J356" s="133" t="inlineStr">
        <is>
          <t>중</t>
        </is>
      </c>
      <c r="K356" s="133" t="n">
        <v>60000</v>
      </c>
      <c r="L356" s="133" t="inlineStr">
        <is>
          <t>6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2</v>
      </c>
      <c r="S356" s="120" t="inlineStr">
        <is>
          <t>계</t>
        </is>
      </c>
      <c r="T356" s="5" t="inlineStr">
        <is>
          <t>112A</t>
        </is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8" t="inlineStr">
        <is>
          <t>풍산동 신안인스빌</t>
        </is>
      </c>
      <c r="B357" s="79" t="inlineStr">
        <is>
          <t>19.01.</t>
        </is>
      </c>
      <c r="C357" s="129" t="n">
        <v>734</v>
      </c>
      <c r="D357" s="130" t="n">
        <v>110.6</v>
      </c>
      <c r="E357" s="131" t="n">
        <v>33</v>
      </c>
      <c r="F357" s="130" t="n">
        <v>84.3</v>
      </c>
      <c r="G357" s="17" t="n">
        <v>26</v>
      </c>
      <c r="H357" s="132" t="n">
        <v>390</v>
      </c>
      <c r="I357" s="133" t="n">
        <v>107000</v>
      </c>
      <c r="J357" s="133" t="inlineStr">
        <is>
          <t>중</t>
        </is>
      </c>
      <c r="K357" s="133" t="n">
        <v>70000</v>
      </c>
      <c r="L357" s="133" t="inlineStr">
        <is>
          <t>19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110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8" t="inlineStr">
        <is>
          <t>풍산동 신안인스빌</t>
        </is>
      </c>
      <c r="B358" s="79" t="inlineStr">
        <is>
          <t>19.01.</t>
        </is>
      </c>
      <c r="C358" s="129" t="n">
        <v>734</v>
      </c>
      <c r="D358" s="130" t="n">
        <v>121.5</v>
      </c>
      <c r="E358" s="131" t="n">
        <v>37</v>
      </c>
      <c r="F358" s="130" t="n">
        <v>93</v>
      </c>
      <c r="G358" s="17" t="n">
        <v>28</v>
      </c>
      <c r="H358" s="132" t="n">
        <v>241</v>
      </c>
      <c r="I358" s="133" t="n">
        <v>102000</v>
      </c>
      <c r="J358" s="133" t="inlineStr">
        <is>
          <t>12</t>
        </is>
      </c>
      <c r="K358" s="133" t="n">
        <v>75000</v>
      </c>
      <c r="L358" s="133" t="inlineStr">
        <is>
          <t>18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2</v>
      </c>
      <c r="S358" s="120" t="inlineStr">
        <is>
          <t>계</t>
        </is>
      </c>
      <c r="T358" s="5" t="inlineStr">
        <is>
          <t>121A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8" t="inlineStr">
        <is>
          <t>풍산동 신안인스빌</t>
        </is>
      </c>
      <c r="B359" s="79" t="inlineStr">
        <is>
          <t>19.01.</t>
        </is>
      </c>
      <c r="C359" s="129" t="n">
        <v>734</v>
      </c>
      <c r="D359" s="130" t="n">
        <v>122.2</v>
      </c>
      <c r="E359" s="131" t="n">
        <v>37</v>
      </c>
      <c r="F359" s="130" t="n">
        <v>93</v>
      </c>
      <c r="G359" s="17" t="n">
        <v>28</v>
      </c>
      <c r="H359" s="132" t="n">
        <v>103</v>
      </c>
      <c r="I359" s="133" t="n">
        <v>118000</v>
      </c>
      <c r="J359" s="133" t="inlineStr">
        <is>
          <t>고</t>
        </is>
      </c>
      <c r="K359" s="133" t="n">
        <v>75000</v>
      </c>
      <c r="L359" s="133" t="inlineStr">
        <is>
          <t>고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3</v>
      </c>
      <c r="R359" s="120" t="n">
        <v>2</v>
      </c>
      <c r="S359" s="120" t="inlineStr">
        <is>
          <t>계</t>
        </is>
      </c>
      <c r="T359" s="5" t="inlineStr">
        <is>
          <t>122B</t>
        </is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8" t="inlineStr">
        <is>
          <t>풍산동 e편한세상미사</t>
        </is>
      </c>
      <c r="B360" s="79" t="inlineStr">
        <is>
          <t>18.06.</t>
        </is>
      </c>
      <c r="C360" s="129" t="n">
        <v>652</v>
      </c>
      <c r="D360" s="130" t="n">
        <v>94.09999999999999</v>
      </c>
      <c r="E360" s="131" t="n">
        <v>28</v>
      </c>
      <c r="F360" s="130" t="n">
        <v>69.90000000000001</v>
      </c>
      <c r="G360" s="17" t="n">
        <v>21</v>
      </c>
      <c r="H360" s="132" t="n">
        <v>145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3</v>
      </c>
      <c r="R360" s="120" t="n">
        <v>2</v>
      </c>
      <c r="S360" s="120" t="inlineStr">
        <is>
          <t>계</t>
        </is>
      </c>
      <c r="T360" s="5" t="n">
        <v>94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8" t="inlineStr">
        <is>
          <t>풍산동 e편한세상미사</t>
        </is>
      </c>
      <c r="B361" s="79" t="inlineStr">
        <is>
          <t>18.06.</t>
        </is>
      </c>
      <c r="C361" s="129" t="n">
        <v>652</v>
      </c>
      <c r="D361" s="130" t="n">
        <v>112.9</v>
      </c>
      <c r="E361" s="131" t="n">
        <v>34</v>
      </c>
      <c r="F361" s="130" t="n">
        <v>84.90000000000001</v>
      </c>
      <c r="G361" s="17" t="n">
        <v>26</v>
      </c>
      <c r="H361" s="132" t="n">
        <v>507</v>
      </c>
      <c r="I361" s="133" t="n">
        <v>100000</v>
      </c>
      <c r="J361" s="133" t="inlineStr">
        <is>
          <t>19</t>
        </is>
      </c>
      <c r="K361" s="133" t="n">
        <v>65000</v>
      </c>
      <c r="L361" s="133" t="inlineStr">
        <is>
          <t>고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n">
        <v>112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8" t="inlineStr">
        <is>
          <t>풍산동 미사강변더샵센트럴포레</t>
        </is>
      </c>
      <c r="B362" s="79" t="inlineStr">
        <is>
          <t>17.10.</t>
        </is>
      </c>
      <c r="C362" s="129" t="n">
        <v>487</v>
      </c>
      <c r="D362" s="130" t="n">
        <v>96.09999999999999</v>
      </c>
      <c r="E362" s="131" t="n">
        <v>29</v>
      </c>
      <c r="F362" s="130" t="n">
        <v>73</v>
      </c>
      <c r="G362" s="17" t="n">
        <v>22</v>
      </c>
      <c r="H362" s="132" t="n">
        <v>48</v>
      </c>
      <c r="I362" s="133" t="n">
        <v>110000</v>
      </c>
      <c r="J362" s="133" t="inlineStr">
        <is>
          <t>18</t>
        </is>
      </c>
      <c r="K362" s="133" t="n">
        <v>65000</v>
      </c>
      <c r="L362" s="133" t="inlineStr">
        <is>
          <t>중</t>
        </is>
      </c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3</v>
      </c>
      <c r="R362" s="120" t="n">
        <v>2</v>
      </c>
      <c r="S362" s="120" t="inlineStr">
        <is>
          <t>계</t>
        </is>
      </c>
      <c r="T362" s="5" t="inlineStr">
        <is>
          <t>96A</t>
        </is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8" t="inlineStr">
        <is>
          <t>풍산동 미사강변더샵센트럴포레</t>
        </is>
      </c>
      <c r="B363" s="79" t="inlineStr">
        <is>
          <t>17.10.</t>
        </is>
      </c>
      <c r="C363" s="129" t="n">
        <v>487</v>
      </c>
      <c r="D363" s="130" t="n">
        <v>96.7</v>
      </c>
      <c r="E363" s="131" t="n">
        <v>29</v>
      </c>
      <c r="F363" s="130" t="n">
        <v>73.09999999999999</v>
      </c>
      <c r="G363" s="17" t="n">
        <v>22</v>
      </c>
      <c r="H363" s="132" t="n">
        <v>25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96B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8" t="inlineStr">
        <is>
          <t>풍산동 미사강변더샵센트럴포레</t>
        </is>
      </c>
      <c r="B364" s="79" t="inlineStr">
        <is>
          <t>17.10.</t>
        </is>
      </c>
      <c r="C364" s="129" t="n">
        <v>487</v>
      </c>
      <c r="D364" s="130" t="n">
        <v>110.4</v>
      </c>
      <c r="E364" s="131" t="n">
        <v>33</v>
      </c>
      <c r="F364" s="130" t="n">
        <v>84</v>
      </c>
      <c r="G364" s="17" t="n">
        <v>25</v>
      </c>
      <c r="H364" s="132" t="n">
        <v>128</v>
      </c>
      <c r="I364" s="133" t="n">
        <v>110000</v>
      </c>
      <c r="J364" s="133" t="inlineStr">
        <is>
          <t>고</t>
        </is>
      </c>
      <c r="K364" s="133" t="n">
        <v>70000</v>
      </c>
      <c r="L364" s="133" t="inlineStr">
        <is>
          <t>고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inlineStr">
        <is>
          <t>110A</t>
        </is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8" t="inlineStr">
        <is>
          <t>풍산동 미사강변더샵센트럴포레</t>
        </is>
      </c>
      <c r="B365" s="79" t="inlineStr">
        <is>
          <t>17.10.</t>
        </is>
      </c>
      <c r="C365" s="129" t="n">
        <v>487</v>
      </c>
      <c r="D365" s="130" t="n">
        <v>110.5</v>
      </c>
      <c r="E365" s="131" t="n">
        <v>33</v>
      </c>
      <c r="F365" s="130" t="n">
        <v>84.09999999999999</v>
      </c>
      <c r="G365" s="17" t="n">
        <v>25</v>
      </c>
      <c r="H365" s="132" t="n">
        <v>58</v>
      </c>
      <c r="I365" s="133" t="n">
        <v>130000</v>
      </c>
      <c r="J365" s="133" t="inlineStr">
        <is>
          <t>고</t>
        </is>
      </c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110B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8" t="inlineStr">
        <is>
          <t>풍산동 미사강변더샵센트럴포레</t>
        </is>
      </c>
      <c r="B366" s="79" t="inlineStr">
        <is>
          <t>17.10.</t>
        </is>
      </c>
      <c r="C366" s="129" t="n">
        <v>487</v>
      </c>
      <c r="D366" s="130" t="n">
        <v>122.4</v>
      </c>
      <c r="E366" s="131" t="n">
        <v>37</v>
      </c>
      <c r="F366" s="130" t="n">
        <v>93.09999999999999</v>
      </c>
      <c r="G366" s="17" t="n">
        <v>28</v>
      </c>
      <c r="H366" s="132" t="n">
        <v>58</v>
      </c>
      <c r="I366" s="133" t="n">
        <v>120000</v>
      </c>
      <c r="J366" s="133" t="inlineStr">
        <is>
          <t>고</t>
        </is>
      </c>
      <c r="K366" s="133" t="n">
        <v>80000</v>
      </c>
      <c r="L366" s="133" t="inlineStr">
        <is>
          <t>11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4</v>
      </c>
      <c r="R366" s="120" t="n">
        <v>2</v>
      </c>
      <c r="S366" s="120" t="inlineStr">
        <is>
          <t>계</t>
        </is>
      </c>
      <c r="T366" s="5" t="inlineStr">
        <is>
          <t>122B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8" t="inlineStr">
        <is>
          <t>풍산동 미사강변더샵센트럴포레</t>
        </is>
      </c>
      <c r="B367" s="79" t="inlineStr">
        <is>
          <t>17.10.</t>
        </is>
      </c>
      <c r="C367" s="129" t="n">
        <v>487</v>
      </c>
      <c r="D367" s="130" t="n">
        <v>122.5</v>
      </c>
      <c r="E367" s="131" t="n">
        <v>37</v>
      </c>
      <c r="F367" s="130" t="n">
        <v>93.40000000000001</v>
      </c>
      <c r="G367" s="17" t="n">
        <v>28</v>
      </c>
      <c r="H367" s="132" t="n">
        <v>58</v>
      </c>
      <c r="I367" s="133" t="n">
        <v>125000</v>
      </c>
      <c r="J367" s="133" t="inlineStr">
        <is>
          <t>고</t>
        </is>
      </c>
      <c r="K367" s="133" t="n">
        <v>79000</v>
      </c>
      <c r="L367" s="133" t="inlineStr">
        <is>
          <t>중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4</v>
      </c>
      <c r="R367" s="120" t="n">
        <v>2</v>
      </c>
      <c r="S367" s="120" t="inlineStr">
        <is>
          <t>계</t>
        </is>
      </c>
      <c r="T367" s="5" t="inlineStr">
        <is>
          <t>122C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8" t="inlineStr">
        <is>
          <t>풍산동 미사강변더샵센트럴포레</t>
        </is>
      </c>
      <c r="B368" s="79" t="inlineStr">
        <is>
          <t>17.10.</t>
        </is>
      </c>
      <c r="C368" s="129" t="n">
        <v>487</v>
      </c>
      <c r="D368" s="130" t="n">
        <v>122.3</v>
      </c>
      <c r="E368" s="131" t="n">
        <v>37</v>
      </c>
      <c r="F368" s="130" t="n">
        <v>93.2</v>
      </c>
      <c r="G368" s="17" t="n">
        <v>28</v>
      </c>
      <c r="H368" s="132" t="n">
        <v>56</v>
      </c>
      <c r="I368" s="133" t="n">
        <v>120000</v>
      </c>
      <c r="J368" s="133" t="inlineStr">
        <is>
          <t>12</t>
        </is>
      </c>
      <c r="K368" s="133" t="n">
        <v>80000</v>
      </c>
      <c r="L368" s="133" t="inlineStr">
        <is>
          <t>9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4</v>
      </c>
      <c r="R368" s="120" t="n">
        <v>2</v>
      </c>
      <c r="S368" s="120" t="inlineStr">
        <is>
          <t>계</t>
        </is>
      </c>
      <c r="T368" s="5" t="inlineStr">
        <is>
          <t>122A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8" t="inlineStr">
        <is>
          <t>풍산동 미사강변더샵센트럴포레</t>
        </is>
      </c>
      <c r="B369" s="79" t="inlineStr">
        <is>
          <t>17.10.</t>
        </is>
      </c>
      <c r="C369" s="129" t="n">
        <v>487</v>
      </c>
      <c r="D369" s="130" t="n">
        <v>132.4</v>
      </c>
      <c r="E369" s="131" t="n">
        <v>40</v>
      </c>
      <c r="F369" s="130" t="n">
        <v>101.8</v>
      </c>
      <c r="G369" s="17" t="n">
        <v>31</v>
      </c>
      <c r="H369" s="132" t="n">
        <v>56</v>
      </c>
      <c r="I369" s="133" t="n">
        <v>145000</v>
      </c>
      <c r="J369" s="133" t="inlineStr">
        <is>
          <t>27</t>
        </is>
      </c>
      <c r="K369" s="133" t="n">
        <v>66000</v>
      </c>
      <c r="L369" s="133" t="inlineStr">
        <is>
          <t>19</t>
        </is>
      </c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132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8" t="inlineStr">
        <is>
          <t>풍산동 하남힐즈파크푸르지오1단지</t>
        </is>
      </c>
      <c r="B370" s="79" t="inlineStr">
        <is>
          <t>20.04.</t>
        </is>
      </c>
      <c r="C370" s="129" t="n">
        <v>404</v>
      </c>
      <c r="D370" s="130" t="n">
        <v>75.59999999999999</v>
      </c>
      <c r="E370" s="131" t="n">
        <v>23</v>
      </c>
      <c r="F370" s="130" t="n">
        <v>52.3</v>
      </c>
      <c r="G370" s="17" t="n">
        <v>16</v>
      </c>
      <c r="H370" s="132" t="n">
        <v>110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3</v>
      </c>
      <c r="R370" s="120" t="n">
        <v>1</v>
      </c>
      <c r="S370" s="120" t="inlineStr">
        <is>
          <t>계</t>
        </is>
      </c>
      <c r="T370" s="5" t="n">
        <v>75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8" t="inlineStr">
        <is>
          <t>풍산동 하남힐즈파크푸르지오1단지</t>
        </is>
      </c>
      <c r="B371" s="79" t="inlineStr">
        <is>
          <t>20.04.</t>
        </is>
      </c>
      <c r="C371" s="129" t="n">
        <v>404</v>
      </c>
      <c r="D371" s="130" t="n">
        <v>80.8</v>
      </c>
      <c r="E371" s="131" t="n">
        <v>24</v>
      </c>
      <c r="F371" s="130" t="n">
        <v>59.8</v>
      </c>
      <c r="G371" s="17" t="n">
        <v>18</v>
      </c>
      <c r="H371" s="132" t="n">
        <v>183</v>
      </c>
      <c r="I371" s="133" t="n">
        <v>80000</v>
      </c>
      <c r="J371" s="133" t="inlineStr">
        <is>
          <t>중</t>
        </is>
      </c>
      <c r="K371" s="133" t="n">
        <v>49000</v>
      </c>
      <c r="L371" s="133" t="inlineStr">
        <is>
          <t>중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3</v>
      </c>
      <c r="R371" s="120" t="n">
        <v>2</v>
      </c>
      <c r="S371" s="120" t="inlineStr">
        <is>
          <t>계</t>
        </is>
      </c>
      <c r="T371" s="5" t="inlineStr">
        <is>
          <t>80A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8" t="inlineStr">
        <is>
          <t>풍산동 하남힐즈파크푸르지오1단지</t>
        </is>
      </c>
      <c r="B372" s="79" t="inlineStr">
        <is>
          <t>20.04.</t>
        </is>
      </c>
      <c r="C372" s="129" t="n">
        <v>404</v>
      </c>
      <c r="D372" s="130" t="n">
        <v>80.5</v>
      </c>
      <c r="E372" s="131" t="n">
        <v>24</v>
      </c>
      <c r="F372" s="130" t="n">
        <v>59.7</v>
      </c>
      <c r="G372" s="17" t="n">
        <v>18</v>
      </c>
      <c r="H372" s="132" t="n">
        <v>111</v>
      </c>
      <c r="I372" s="133" t="n">
        <v>76000</v>
      </c>
      <c r="J372" s="133" t="inlineStr">
        <is>
          <t>중</t>
        </is>
      </c>
      <c r="K372" s="133" t="n">
        <v>47000</v>
      </c>
      <c r="L372" s="133" t="inlineStr">
        <is>
          <t>중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2</v>
      </c>
      <c r="S372" s="120" t="inlineStr">
        <is>
          <t>계</t>
        </is>
      </c>
      <c r="T372" s="5" t="inlineStr">
        <is>
          <t>80B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8" t="inlineStr">
        <is>
          <t>풍산동 하남힐즈파크푸르지오3단지</t>
        </is>
      </c>
      <c r="B373" s="79" t="inlineStr">
        <is>
          <t>18.09.</t>
        </is>
      </c>
      <c r="C373" s="129" t="n">
        <v>358</v>
      </c>
      <c r="D373" s="130" t="n">
        <v>128.5</v>
      </c>
      <c r="E373" s="131" t="n">
        <v>39</v>
      </c>
      <c r="F373" s="130" t="n">
        <v>99</v>
      </c>
      <c r="G373" s="17" t="n">
        <v>30</v>
      </c>
      <c r="H373" s="132" t="n">
        <v>294</v>
      </c>
      <c r="I373" s="133" t="n">
        <v>95000</v>
      </c>
      <c r="J373" s="133" t="inlineStr">
        <is>
          <t>중</t>
        </is>
      </c>
      <c r="K373" s="133" t="n">
        <v>65000</v>
      </c>
      <c r="L373" s="133" t="inlineStr">
        <is>
          <t>고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4</v>
      </c>
      <c r="R373" s="120" t="n">
        <v>2</v>
      </c>
      <c r="S373" s="120" t="inlineStr">
        <is>
          <t>계</t>
        </is>
      </c>
      <c r="T373" s="5" t="inlineStr">
        <is>
          <t>128A</t>
        </is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8" t="inlineStr">
        <is>
          <t>풍산동 하남힐즈파크푸르지오3단지</t>
        </is>
      </c>
      <c r="B374" s="79" t="inlineStr">
        <is>
          <t>18.09.</t>
        </is>
      </c>
      <c r="C374" s="129" t="n">
        <v>358</v>
      </c>
      <c r="D374" s="130" t="n">
        <v>129.3</v>
      </c>
      <c r="E374" s="131" t="n">
        <v>39</v>
      </c>
      <c r="F374" s="130" t="n">
        <v>98.59999999999999</v>
      </c>
      <c r="G374" s="17" t="n">
        <v>30</v>
      </c>
      <c r="H374" s="132" t="n">
        <v>61</v>
      </c>
      <c r="I374" s="133" t="n">
        <v>103000</v>
      </c>
      <c r="J374" s="133" t="inlineStr">
        <is>
          <t>중</t>
        </is>
      </c>
      <c r="K374" s="133" t="n">
        <v>63000</v>
      </c>
      <c r="L374" s="133" t="inlineStr">
        <is>
          <t>고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4</v>
      </c>
      <c r="R374" s="120" t="n">
        <v>2</v>
      </c>
      <c r="S374" s="120" t="inlineStr">
        <is>
          <t>계</t>
        </is>
      </c>
      <c r="T374" s="5" t="inlineStr">
        <is>
          <t>129B</t>
        </is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8" t="inlineStr">
        <is>
          <t>풍산동 하남힐즈파크푸르지오3단지</t>
        </is>
      </c>
      <c r="B375" s="79" t="inlineStr">
        <is>
          <t>18.09.</t>
        </is>
      </c>
      <c r="C375" s="129" t="n">
        <v>358</v>
      </c>
      <c r="D375" s="130" t="n">
        <v>187.6</v>
      </c>
      <c r="E375" s="131" t="n">
        <v>57</v>
      </c>
      <c r="F375" s="130" t="n">
        <v>141.9</v>
      </c>
      <c r="G375" s="17" t="n">
        <v>43</v>
      </c>
      <c r="H375" s="132" t="n">
        <v>3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4</v>
      </c>
      <c r="R375" s="120" t="n">
        <v>3</v>
      </c>
      <c r="S375" s="120" t="inlineStr">
        <is>
          <t>계</t>
        </is>
      </c>
      <c r="T375" s="5" t="n">
        <v>187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8" t="inlineStr">
        <is>
          <t>풍산동 하남힐즈파크푸르지오2단지</t>
        </is>
      </c>
      <c r="B376" s="79" t="inlineStr">
        <is>
          <t>18.09.</t>
        </is>
      </c>
      <c r="C376" s="129" t="n">
        <v>456</v>
      </c>
      <c r="D376" s="130" t="n">
        <v>80.7</v>
      </c>
      <c r="E376" s="131" t="n">
        <v>24</v>
      </c>
      <c r="F376" s="130" t="n">
        <v>59.7</v>
      </c>
      <c r="G376" s="17" t="n">
        <v>18</v>
      </c>
      <c r="H376" s="132" t="n">
        <v>133</v>
      </c>
      <c r="I376" s="133" t="n">
        <v>82000</v>
      </c>
      <c r="J376" s="133" t="inlineStr">
        <is>
          <t>20</t>
        </is>
      </c>
      <c r="K376" s="133" t="n">
        <v>45000</v>
      </c>
      <c r="L376" s="133" t="inlineStr">
        <is>
          <t>고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2</v>
      </c>
      <c r="S376" s="120" t="inlineStr">
        <is>
          <t>계</t>
        </is>
      </c>
      <c r="T376" s="5" t="n">
        <v>80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8" t="inlineStr">
        <is>
          <t>풍산동 하남힐즈파크푸르지오2단지</t>
        </is>
      </c>
      <c r="B377" s="79" t="inlineStr">
        <is>
          <t>18.09.</t>
        </is>
      </c>
      <c r="C377" s="129" t="n">
        <v>456</v>
      </c>
      <c r="D377" s="130" t="n">
        <v>112.4</v>
      </c>
      <c r="E377" s="131" t="n">
        <v>34</v>
      </c>
      <c r="F377" s="130" t="n">
        <v>84.8</v>
      </c>
      <c r="G377" s="17" t="n">
        <v>26</v>
      </c>
      <c r="H377" s="132" t="n">
        <v>215</v>
      </c>
      <c r="I377" s="133" t="n">
        <v>92000</v>
      </c>
      <c r="J377" s="133" t="inlineStr">
        <is>
          <t>13</t>
        </is>
      </c>
      <c r="K377" s="133" t="n">
        <v>60000</v>
      </c>
      <c r="L377" s="133" t="inlineStr">
        <is>
          <t>13</t>
        </is>
      </c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4</v>
      </c>
      <c r="R377" s="120" t="n">
        <v>2</v>
      </c>
      <c r="S377" s="120" t="inlineStr">
        <is>
          <t>계</t>
        </is>
      </c>
      <c r="T377" s="5" t="inlineStr">
        <is>
          <t>112A</t>
        </is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8" t="inlineStr">
        <is>
          <t>풍산동 하남힐즈파크푸르지오2단지</t>
        </is>
      </c>
      <c r="B378" s="79" t="inlineStr">
        <is>
          <t>18.09.</t>
        </is>
      </c>
      <c r="C378" s="129" t="n">
        <v>456</v>
      </c>
      <c r="D378" s="130" t="n">
        <v>113.6</v>
      </c>
      <c r="E378" s="131" t="n">
        <v>34</v>
      </c>
      <c r="F378" s="130" t="n">
        <v>84.09999999999999</v>
      </c>
      <c r="G378" s="17" t="n">
        <v>25</v>
      </c>
      <c r="H378" s="132" t="n">
        <v>108</v>
      </c>
      <c r="I378" s="133" t="n">
        <v>92000</v>
      </c>
      <c r="J378" s="133" t="inlineStr">
        <is>
          <t>고</t>
        </is>
      </c>
      <c r="K378" s="133" t="n">
        <v>65000</v>
      </c>
      <c r="L378" s="133" t="inlineStr">
        <is>
          <t>고</t>
        </is>
      </c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2</v>
      </c>
      <c r="S378" s="120" t="inlineStr">
        <is>
          <t>계</t>
        </is>
      </c>
      <c r="T378" s="5" t="inlineStr">
        <is>
          <t>113B</t>
        </is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8" t="inlineStr">
        <is>
          <t>풍산동 미사강변센트럴자이</t>
        </is>
      </c>
      <c r="B379" s="79" t="inlineStr">
        <is>
          <t>17.02.</t>
        </is>
      </c>
      <c r="C379" s="129" t="n">
        <v>1222</v>
      </c>
      <c r="D379" s="130" t="n">
        <v>117.9</v>
      </c>
      <c r="E379" s="131" t="n">
        <v>36</v>
      </c>
      <c r="F379" s="130" t="n">
        <v>91.40000000000001</v>
      </c>
      <c r="G379" s="17" t="n">
        <v>28</v>
      </c>
      <c r="H379" s="132" t="n">
        <v>273</v>
      </c>
      <c r="I379" s="133" t="n">
        <v>123000</v>
      </c>
      <c r="J379" s="133" t="inlineStr">
        <is>
          <t>23</t>
        </is>
      </c>
      <c r="K379" s="133" t="n">
        <v>75000</v>
      </c>
      <c r="L379" s="133" t="inlineStr">
        <is>
          <t>23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2</v>
      </c>
      <c r="S379" s="120" t="inlineStr">
        <is>
          <t>계</t>
        </is>
      </c>
      <c r="T379" s="5" t="n">
        <v>117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8" t="inlineStr">
        <is>
          <t>풍산동 미사강변센트럴자이</t>
        </is>
      </c>
      <c r="B380" s="79" t="inlineStr">
        <is>
          <t>17.02.</t>
        </is>
      </c>
      <c r="C380" s="129" t="n">
        <v>1222</v>
      </c>
      <c r="D380" s="130" t="n">
        <v>123.5</v>
      </c>
      <c r="E380" s="131" t="n">
        <v>37</v>
      </c>
      <c r="F380" s="130" t="n">
        <v>97</v>
      </c>
      <c r="G380" s="17" t="n">
        <v>29</v>
      </c>
      <c r="H380" s="132" t="n">
        <v>380</v>
      </c>
      <c r="I380" s="133" t="n">
        <v>131000</v>
      </c>
      <c r="J380" s="133" t="inlineStr">
        <is>
          <t>중</t>
        </is>
      </c>
      <c r="K380" s="133" t="n">
        <v>90000</v>
      </c>
      <c r="L380" s="133" t="inlineStr">
        <is>
          <t>26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2</v>
      </c>
      <c r="S380" s="120" t="inlineStr">
        <is>
          <t>계</t>
        </is>
      </c>
      <c r="T380" s="5" t="inlineStr">
        <is>
          <t>123A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8" t="inlineStr">
        <is>
          <t>풍산동 미사강변센트럴자이</t>
        </is>
      </c>
      <c r="B381" s="79" t="inlineStr">
        <is>
          <t>17.02.</t>
        </is>
      </c>
      <c r="C381" s="129" t="n">
        <v>1222</v>
      </c>
      <c r="D381" s="130" t="n">
        <v>123.4</v>
      </c>
      <c r="E381" s="131" t="n">
        <v>37</v>
      </c>
      <c r="F381" s="130" t="n">
        <v>96.40000000000001</v>
      </c>
      <c r="G381" s="17" t="n">
        <v>29</v>
      </c>
      <c r="H381" s="132" t="n">
        <v>279</v>
      </c>
      <c r="I381" s="133" t="n">
        <v>127000</v>
      </c>
      <c r="J381" s="133" t="inlineStr">
        <is>
          <t>중</t>
        </is>
      </c>
      <c r="K381" s="133" t="n">
        <v>80000</v>
      </c>
      <c r="L381" s="133" t="inlineStr">
        <is>
          <t>6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4</v>
      </c>
      <c r="R381" s="120" t="n">
        <v>2</v>
      </c>
      <c r="S381" s="120" t="inlineStr">
        <is>
          <t>계</t>
        </is>
      </c>
      <c r="T381" s="5" t="inlineStr">
        <is>
          <t>123C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8" t="inlineStr">
        <is>
          <t>풍산동 미사강변센트럴자이</t>
        </is>
      </c>
      <c r="B382" s="79" t="inlineStr">
        <is>
          <t>17.02.</t>
        </is>
      </c>
      <c r="C382" s="129" t="n">
        <v>1222</v>
      </c>
      <c r="D382" s="130" t="n">
        <v>123.6</v>
      </c>
      <c r="E382" s="131" t="n">
        <v>37</v>
      </c>
      <c r="F382" s="130" t="n">
        <v>96.8</v>
      </c>
      <c r="G382" s="17" t="n">
        <v>29</v>
      </c>
      <c r="H382" s="132" t="n">
        <v>139</v>
      </c>
      <c r="I382" s="133" t="n">
        <v>145000</v>
      </c>
      <c r="J382" s="133" t="inlineStr">
        <is>
          <t>25</t>
        </is>
      </c>
      <c r="K382" s="133" t="n">
        <v>74000</v>
      </c>
      <c r="L382" s="133" t="inlineStr">
        <is>
          <t>중</t>
        </is>
      </c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4</v>
      </c>
      <c r="R382" s="120" t="n">
        <v>2</v>
      </c>
      <c r="S382" s="120" t="inlineStr">
        <is>
          <t>계</t>
        </is>
      </c>
      <c r="T382" s="5" t="inlineStr">
        <is>
          <t>123B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8" t="inlineStr">
        <is>
          <t>풍산동 미사강변센트럴자이</t>
        </is>
      </c>
      <c r="B383" s="79" t="inlineStr">
        <is>
          <t>17.02.</t>
        </is>
      </c>
      <c r="C383" s="129" t="n">
        <v>1222</v>
      </c>
      <c r="D383" s="130" t="n">
        <v>130.1</v>
      </c>
      <c r="E383" s="131" t="n">
        <v>39</v>
      </c>
      <c r="F383" s="130" t="n">
        <v>101.8</v>
      </c>
      <c r="G383" s="17" t="n">
        <v>31</v>
      </c>
      <c r="H383" s="132" t="n">
        <v>135</v>
      </c>
      <c r="I383" s="133" t="n">
        <v>153000</v>
      </c>
      <c r="J383" s="133" t="inlineStr">
        <is>
          <t>중</t>
        </is>
      </c>
      <c r="K383" s="133" t="n">
        <v>88000</v>
      </c>
      <c r="L383" s="133" t="inlineStr">
        <is>
          <t>고</t>
        </is>
      </c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5</v>
      </c>
      <c r="R383" s="120" t="n">
        <v>2</v>
      </c>
      <c r="S383" s="120" t="inlineStr">
        <is>
          <t>계</t>
        </is>
      </c>
      <c r="T383" s="5" t="n">
        <v>130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8" t="inlineStr">
        <is>
          <t>풍산동 미사강변센트럴자이</t>
        </is>
      </c>
      <c r="B384" s="79" t="inlineStr">
        <is>
          <t>17.02.</t>
        </is>
      </c>
      <c r="C384" s="129" t="n">
        <v>1222</v>
      </c>
      <c r="D384" s="130" t="n">
        <v>171.8</v>
      </c>
      <c r="E384" s="131" t="n">
        <v>52</v>
      </c>
      <c r="F384" s="130" t="n">
        <v>132.9</v>
      </c>
      <c r="G384" s="17" t="n">
        <v>40</v>
      </c>
      <c r="H384" s="132" t="n">
        <v>10</v>
      </c>
      <c r="I384" s="133" t="n">
        <v>260000</v>
      </c>
      <c r="J384" s="133" t="inlineStr">
        <is>
          <t>29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5</v>
      </c>
      <c r="R384" s="120" t="n">
        <v>3</v>
      </c>
      <c r="S384" s="120" t="inlineStr">
        <is>
          <t>계</t>
        </is>
      </c>
      <c r="T384" s="5" t="inlineStr">
        <is>
          <t>171A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8" t="inlineStr">
        <is>
          <t>풍산동 미사강변센트럴자이</t>
        </is>
      </c>
      <c r="B385" s="79" t="inlineStr">
        <is>
          <t>17.02.</t>
        </is>
      </c>
      <c r="C385" s="129" t="n">
        <v>1222</v>
      </c>
      <c r="D385" s="130" t="n">
        <v>171</v>
      </c>
      <c r="E385" s="131" t="n">
        <v>52</v>
      </c>
      <c r="F385" s="130" t="n">
        <v>132.3</v>
      </c>
      <c r="G385" s="17" t="n">
        <v>40</v>
      </c>
      <c r="H385" s="132" t="n">
        <v>4</v>
      </c>
      <c r="I385" s="133" t="n"/>
      <c r="J385" s="133" t="n"/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5</v>
      </c>
      <c r="R385" s="120" t="n">
        <v>3</v>
      </c>
      <c r="S385" s="120" t="inlineStr">
        <is>
          <t>계</t>
        </is>
      </c>
      <c r="T385" s="5" t="inlineStr">
        <is>
          <t>171C</t>
        </is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8" t="inlineStr">
        <is>
          <t>풍산동 미사강변센트럴자이</t>
        </is>
      </c>
      <c r="B386" s="79" t="inlineStr">
        <is>
          <t>17.02.</t>
        </is>
      </c>
      <c r="C386" s="129" t="n">
        <v>1222</v>
      </c>
      <c r="D386" s="130" t="n">
        <v>171.8</v>
      </c>
      <c r="E386" s="131" t="n">
        <v>52</v>
      </c>
      <c r="F386" s="130" t="n">
        <v>132.8</v>
      </c>
      <c r="G386" s="17" t="n">
        <v>40</v>
      </c>
      <c r="H386" s="132" t="n">
        <v>2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5</v>
      </c>
      <c r="R386" s="120" t="n">
        <v>3</v>
      </c>
      <c r="S386" s="120" t="inlineStr">
        <is>
          <t>계</t>
        </is>
      </c>
      <c r="T386" s="5" t="inlineStr">
        <is>
          <t>171B</t>
        </is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8" t="inlineStr">
        <is>
          <t>학암동 위례포레자이</t>
        </is>
      </c>
      <c r="B387" s="79" t="inlineStr">
        <is>
          <t>21.04.</t>
        </is>
      </c>
      <c r="C387" s="129" t="n">
        <v>558</v>
      </c>
      <c r="D387" s="130" t="n">
        <v>119.7</v>
      </c>
      <c r="E387" s="131" t="n">
        <v>36</v>
      </c>
      <c r="F387" s="130" t="n">
        <v>96</v>
      </c>
      <c r="G387" s="17" t="n">
        <v>29</v>
      </c>
      <c r="H387" s="132" t="n">
        <v>78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119A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8" t="inlineStr">
        <is>
          <t>학암동 위례포레자이</t>
        </is>
      </c>
      <c r="B388" s="79" t="inlineStr">
        <is>
          <t>21.04.</t>
        </is>
      </c>
      <c r="C388" s="129" t="n">
        <v>558</v>
      </c>
      <c r="D388" s="130" t="n">
        <v>120.3</v>
      </c>
      <c r="E388" s="131" t="n">
        <v>36</v>
      </c>
      <c r="F388" s="130" t="n">
        <v>95.90000000000001</v>
      </c>
      <c r="G388" s="17" t="n">
        <v>29</v>
      </c>
      <c r="H388" s="132" t="n">
        <v>43</v>
      </c>
      <c r="I388" s="133" t="n"/>
      <c r="J388" s="133" t="n"/>
      <c r="K388" s="133" t="n">
        <v>74900</v>
      </c>
      <c r="L388" s="133" t="inlineStr">
        <is>
          <t>9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3</v>
      </c>
      <c r="R388" s="120" t="n">
        <v>2</v>
      </c>
      <c r="S388" s="120" t="inlineStr">
        <is>
          <t>계</t>
        </is>
      </c>
      <c r="T388" s="5" t="inlineStr">
        <is>
          <t>120B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8" t="inlineStr">
        <is>
          <t>학암동 위례포레자이</t>
        </is>
      </c>
      <c r="B389" s="79" t="inlineStr">
        <is>
          <t>21.04.</t>
        </is>
      </c>
      <c r="C389" s="129" t="n">
        <v>558</v>
      </c>
      <c r="D389" s="130" t="n">
        <v>126.9</v>
      </c>
      <c r="E389" s="131" t="n">
        <v>38</v>
      </c>
      <c r="F389" s="130" t="n">
        <v>101.8</v>
      </c>
      <c r="G389" s="17" t="n">
        <v>31</v>
      </c>
      <c r="H389" s="132" t="n">
        <v>239</v>
      </c>
      <c r="I389" s="133" t="n"/>
      <c r="J389" s="133" t="n"/>
      <c r="K389" s="133" t="n">
        <v>95000</v>
      </c>
      <c r="L389" s="133" t="inlineStr">
        <is>
          <t>15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126A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8" t="inlineStr">
        <is>
          <t>학암동 위례포레자이</t>
        </is>
      </c>
      <c r="B390" s="79" t="inlineStr">
        <is>
          <t>21.04.</t>
        </is>
      </c>
      <c r="C390" s="129" t="n">
        <v>558</v>
      </c>
      <c r="D390" s="130" t="n">
        <v>126.3</v>
      </c>
      <c r="E390" s="131" t="n">
        <v>38</v>
      </c>
      <c r="F390" s="130" t="n">
        <v>101.5</v>
      </c>
      <c r="G390" s="17" t="n">
        <v>31</v>
      </c>
      <c r="H390" s="132" t="n">
        <v>163</v>
      </c>
      <c r="I390" s="133" t="n"/>
      <c r="J390" s="133" t="n"/>
      <c r="K390" s="133" t="n">
        <v>78000</v>
      </c>
      <c r="L390" s="133" t="inlineStr">
        <is>
          <t>10</t>
        </is>
      </c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inlineStr">
        <is>
          <t>126B</t>
        </is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8" t="inlineStr">
        <is>
          <t>학암동 위례포레자이</t>
        </is>
      </c>
      <c r="B391" s="79" t="inlineStr">
        <is>
          <t>21.04.</t>
        </is>
      </c>
      <c r="C391" s="129" t="n">
        <v>558</v>
      </c>
      <c r="D391" s="130" t="n">
        <v>136.8</v>
      </c>
      <c r="E391" s="131" t="n">
        <v>41</v>
      </c>
      <c r="F391" s="130" t="n">
        <v>108.8</v>
      </c>
      <c r="G391" s="17" t="n">
        <v>33</v>
      </c>
      <c r="H391" s="132" t="n">
        <v>3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4</v>
      </c>
      <c r="R391" s="120" t="n">
        <v>2</v>
      </c>
      <c r="S391" s="120" t="inlineStr">
        <is>
          <t>계</t>
        </is>
      </c>
      <c r="T391" s="5" t="inlineStr">
        <is>
          <t>136T</t>
        </is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8" t="inlineStr">
        <is>
          <t>학암동 위례포레자이</t>
        </is>
      </c>
      <c r="B392" s="79" t="inlineStr">
        <is>
          <t>21.04.</t>
        </is>
      </c>
      <c r="C392" s="129" t="n">
        <v>558</v>
      </c>
      <c r="D392" s="130" t="n">
        <v>163.2</v>
      </c>
      <c r="E392" s="131" t="n">
        <v>49</v>
      </c>
      <c r="F392" s="130" t="n">
        <v>131.9</v>
      </c>
      <c r="G392" s="17" t="n">
        <v>40</v>
      </c>
      <c r="H392" s="132" t="n">
        <v>32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4</v>
      </c>
      <c r="R392" s="120" t="n">
        <v>2</v>
      </c>
      <c r="S392" s="120" t="inlineStr">
        <is>
          <t>계</t>
        </is>
      </c>
      <c r="T392" s="5" t="n">
        <v>163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8" t="inlineStr">
        <is>
          <t>학암동 위례A3-3a블럭</t>
        </is>
      </c>
      <c r="B393" s="79" t="inlineStr">
        <is>
          <t>23.06.</t>
        </is>
      </c>
      <c r="C393" s="129" t="n">
        <v>411</v>
      </c>
      <c r="D393" s="130" t="n">
        <v>71.8</v>
      </c>
      <c r="E393" s="131" t="n">
        <v>22</v>
      </c>
      <c r="F393" s="130" t="n">
        <v>52</v>
      </c>
      <c r="G393" s="17" t="n">
        <v>16</v>
      </c>
      <c r="H393" s="132" t="n">
        <v>107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2</v>
      </c>
      <c r="R393" s="120" t="n">
        <v>2</v>
      </c>
      <c r="S393" s="120" t="inlineStr">
        <is>
          <t>계</t>
        </is>
      </c>
      <c r="T393" s="5" t="n">
        <v>71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8" t="inlineStr">
        <is>
          <t>학암동 위례A3-3a블럭</t>
        </is>
      </c>
      <c r="B394" s="79" t="inlineStr">
        <is>
          <t>23.06.</t>
        </is>
      </c>
      <c r="C394" s="129" t="n">
        <v>411</v>
      </c>
      <c r="D394" s="130" t="n">
        <v>82.5</v>
      </c>
      <c r="E394" s="131" t="n">
        <v>25</v>
      </c>
      <c r="F394" s="130" t="n">
        <v>59.8</v>
      </c>
      <c r="G394" s="17" t="n">
        <v>18</v>
      </c>
      <c r="H394" s="132" t="n">
        <v>106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3</v>
      </c>
      <c r="R394" s="120" t="n">
        <v>2</v>
      </c>
      <c r="S394" s="120" t="inlineStr">
        <is>
          <t>계</t>
        </is>
      </c>
      <c r="T394" s="5" t="inlineStr">
        <is>
          <t>82A</t>
        </is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8" t="inlineStr">
        <is>
          <t>학암동 위례A3-3a블럭</t>
        </is>
      </c>
      <c r="B395" s="79" t="inlineStr">
        <is>
          <t>23.06.</t>
        </is>
      </c>
      <c r="C395" s="129" t="n">
        <v>411</v>
      </c>
      <c r="D395" s="130" t="n">
        <v>82.8</v>
      </c>
      <c r="E395" s="131" t="n">
        <v>25</v>
      </c>
      <c r="F395" s="130" t="n">
        <v>60</v>
      </c>
      <c r="G395" s="17" t="n">
        <v>18</v>
      </c>
      <c r="H395" s="132" t="n">
        <v>84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inlineStr">
        <is>
          <t>82B</t>
        </is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8" t="inlineStr">
        <is>
          <t>학암동 위례A3-3a블럭</t>
        </is>
      </c>
      <c r="B396" s="79" t="inlineStr">
        <is>
          <t>23.06.</t>
        </is>
      </c>
      <c r="C396" s="129" t="n">
        <v>411</v>
      </c>
      <c r="D396" s="130" t="n">
        <v>82.7</v>
      </c>
      <c r="E396" s="131" t="n">
        <v>25</v>
      </c>
      <c r="F396" s="130" t="n">
        <v>59.9</v>
      </c>
      <c r="G396" s="17" t="n">
        <v>18</v>
      </c>
      <c r="H396" s="132" t="n">
        <v>37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3</v>
      </c>
      <c r="R396" s="120" t="n">
        <v>2</v>
      </c>
      <c r="S396" s="120" t="inlineStr">
        <is>
          <t>계</t>
        </is>
      </c>
      <c r="T396" s="5" t="inlineStr">
        <is>
          <t>82D</t>
        </is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8" t="inlineStr">
        <is>
          <t>학암동 위례A3-3a블럭</t>
        </is>
      </c>
      <c r="B397" s="79" t="inlineStr">
        <is>
          <t>23.06.</t>
        </is>
      </c>
      <c r="C397" s="129" t="n">
        <v>411</v>
      </c>
      <c r="D397" s="130" t="n">
        <v>82.40000000000001</v>
      </c>
      <c r="E397" s="131" t="n">
        <v>25</v>
      </c>
      <c r="F397" s="130" t="n">
        <v>59.7</v>
      </c>
      <c r="G397" s="17" t="n">
        <v>18</v>
      </c>
      <c r="H397" s="132" t="n">
        <v>2</v>
      </c>
      <c r="I397" s="133" t="n"/>
      <c r="J397" s="133" t="n"/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3</v>
      </c>
      <c r="R397" s="120" t="n">
        <v>2</v>
      </c>
      <c r="S397" s="120" t="inlineStr">
        <is>
          <t>계</t>
        </is>
      </c>
      <c r="T397" s="5" t="inlineStr">
        <is>
          <t>82C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8" t="inlineStr">
        <is>
          <t>학암동 위례그린파크푸르지오</t>
        </is>
      </c>
      <c r="B398" s="79" t="inlineStr">
        <is>
          <t>16.01.</t>
        </is>
      </c>
      <c r="C398" s="129" t="n">
        <v>972</v>
      </c>
      <c r="D398" s="130" t="n">
        <v>131</v>
      </c>
      <c r="E398" s="131" t="n">
        <v>40</v>
      </c>
      <c r="F398" s="130" t="n">
        <v>101.1</v>
      </c>
      <c r="G398" s="17" t="n">
        <v>31</v>
      </c>
      <c r="H398" s="132" t="n">
        <v>495</v>
      </c>
      <c r="I398" s="133" t="n">
        <v>152000</v>
      </c>
      <c r="J398" s="133" t="inlineStr">
        <is>
          <t>고</t>
        </is>
      </c>
      <c r="K398" s="133" t="n">
        <v>75000</v>
      </c>
      <c r="L398" s="133" t="inlineStr">
        <is>
          <t>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4</v>
      </c>
      <c r="R398" s="120" t="n">
        <v>2</v>
      </c>
      <c r="S398" s="120" t="inlineStr">
        <is>
          <t>계</t>
        </is>
      </c>
      <c r="T398" s="5" t="inlineStr">
        <is>
          <t>130A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8" t="inlineStr">
        <is>
          <t>학암동 위례그린파크푸르지오</t>
        </is>
      </c>
      <c r="B399" s="79" t="inlineStr">
        <is>
          <t>16.01.</t>
        </is>
      </c>
      <c r="C399" s="129" t="n">
        <v>972</v>
      </c>
      <c r="D399" s="130" t="n">
        <v>130.9</v>
      </c>
      <c r="E399" s="131" t="n">
        <v>40</v>
      </c>
      <c r="F399" s="130" t="n">
        <v>101.9</v>
      </c>
      <c r="G399" s="17" t="n">
        <v>31</v>
      </c>
      <c r="H399" s="132" t="n">
        <v>238</v>
      </c>
      <c r="I399" s="133" t="n">
        <v>165000</v>
      </c>
      <c r="J399" s="133" t="inlineStr">
        <is>
          <t>중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4</v>
      </c>
      <c r="R399" s="120" t="n">
        <v>2</v>
      </c>
      <c r="S399" s="120" t="inlineStr">
        <is>
          <t>계</t>
        </is>
      </c>
      <c r="T399" s="5" t="inlineStr">
        <is>
          <t>130C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8" t="inlineStr">
        <is>
          <t>학암동 위례그린파크푸르지오</t>
        </is>
      </c>
      <c r="B400" s="79" t="inlineStr">
        <is>
          <t>16.01.</t>
        </is>
      </c>
      <c r="C400" s="129" t="n">
        <v>972</v>
      </c>
      <c r="D400" s="130" t="n">
        <v>131.8</v>
      </c>
      <c r="E400" s="131" t="n">
        <v>40</v>
      </c>
      <c r="F400" s="130" t="n">
        <v>102</v>
      </c>
      <c r="G400" s="17" t="n">
        <v>31</v>
      </c>
      <c r="H400" s="132" t="n">
        <v>124</v>
      </c>
      <c r="I400" s="133" t="n">
        <v>143000</v>
      </c>
      <c r="J400" s="133" t="inlineStr">
        <is>
          <t>14</t>
        </is>
      </c>
      <c r="K400" s="133" t="n">
        <v>75000</v>
      </c>
      <c r="L400" s="133" t="inlineStr">
        <is>
          <t>14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4</v>
      </c>
      <c r="R400" s="120" t="n">
        <v>2</v>
      </c>
      <c r="S400" s="120" t="inlineStr">
        <is>
          <t>계</t>
        </is>
      </c>
      <c r="T400" s="5" t="inlineStr">
        <is>
          <t>131B</t>
        </is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8" t="inlineStr">
        <is>
          <t>학암동 위례그린파크푸르지오</t>
        </is>
      </c>
      <c r="B401" s="79" t="inlineStr">
        <is>
          <t>16.01.</t>
        </is>
      </c>
      <c r="C401" s="129" t="n">
        <v>972</v>
      </c>
      <c r="D401" s="130" t="n">
        <v>131.7</v>
      </c>
      <c r="E401" s="131" t="n">
        <v>40</v>
      </c>
      <c r="F401" s="130" t="n">
        <v>101.9</v>
      </c>
      <c r="G401" s="17" t="n">
        <v>31</v>
      </c>
      <c r="H401" s="132" t="n">
        <v>106</v>
      </c>
      <c r="I401" s="133" t="n">
        <v>165000</v>
      </c>
      <c r="J401" s="133" t="inlineStr">
        <is>
          <t>18</t>
        </is>
      </c>
      <c r="K401" s="133" t="n"/>
      <c r="L401" s="133" t="n"/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4</v>
      </c>
      <c r="R401" s="120" t="n">
        <v>2</v>
      </c>
      <c r="S401" s="120" t="inlineStr">
        <is>
          <t>계</t>
        </is>
      </c>
      <c r="T401" s="5" t="inlineStr">
        <is>
          <t>131D</t>
        </is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8" t="inlineStr">
        <is>
          <t>학암동 위례그린파크푸르지오</t>
        </is>
      </c>
      <c r="B402" s="79" t="inlineStr">
        <is>
          <t>16.01.</t>
        </is>
      </c>
      <c r="C402" s="129" t="n">
        <v>972</v>
      </c>
      <c r="D402" s="130" t="n">
        <v>150.6</v>
      </c>
      <c r="E402" s="131" t="n">
        <v>46</v>
      </c>
      <c r="F402" s="130" t="n">
        <v>113.9</v>
      </c>
      <c r="G402" s="17" t="n">
        <v>34</v>
      </c>
      <c r="H402" s="132" t="n">
        <v>5</v>
      </c>
      <c r="I402" s="133" t="n"/>
      <c r="J402" s="133" t="n"/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4</v>
      </c>
      <c r="R402" s="120" t="n">
        <v>3</v>
      </c>
      <c r="S402" s="120" t="inlineStr">
        <is>
          <t>계</t>
        </is>
      </c>
      <c r="T402" s="5" t="inlineStr">
        <is>
          <t>150PA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8" t="inlineStr">
        <is>
          <t>학암동 위례그린파크푸르지오</t>
        </is>
      </c>
      <c r="B403" s="79" t="inlineStr">
        <is>
          <t>16.01.</t>
        </is>
      </c>
      <c r="C403" s="129" t="n">
        <v>972</v>
      </c>
      <c r="D403" s="130" t="n">
        <v>151.1</v>
      </c>
      <c r="E403" s="131" t="n">
        <v>46</v>
      </c>
      <c r="F403" s="130" t="n">
        <v>114</v>
      </c>
      <c r="G403" s="17" t="n">
        <v>34</v>
      </c>
      <c r="H403" s="132" t="n">
        <v>4</v>
      </c>
      <c r="I403" s="133" t="n"/>
      <c r="J403" s="133" t="n"/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4</v>
      </c>
      <c r="R403" s="120" t="n">
        <v>3</v>
      </c>
      <c r="S403" s="120" t="inlineStr">
        <is>
          <t>계</t>
        </is>
      </c>
      <c r="T403" s="5" t="inlineStr">
        <is>
          <t>151PB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8" t="inlineStr">
        <is>
          <t>학암동 위례신도시중흥S-클래스</t>
        </is>
      </c>
      <c r="B404" s="79" t="inlineStr">
        <is>
          <t>22.10.</t>
        </is>
      </c>
      <c r="C404" s="129" t="n">
        <v>475</v>
      </c>
      <c r="D404" s="130" t="n">
        <v>126.4</v>
      </c>
      <c r="E404" s="131" t="n">
        <v>38</v>
      </c>
      <c r="F404" s="130" t="n">
        <v>101.9</v>
      </c>
      <c r="G404" s="17" t="n">
        <v>31</v>
      </c>
      <c r="H404" s="132" t="n">
        <v>248</v>
      </c>
      <c r="I404" s="133" t="n"/>
      <c r="J404" s="133" t="n"/>
      <c r="K404" s="133" t="n"/>
      <c r="L404" s="133" t="n"/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4</v>
      </c>
      <c r="R404" s="120" t="n">
        <v>2</v>
      </c>
      <c r="S404" s="120" t="inlineStr">
        <is>
          <t>계</t>
        </is>
      </c>
      <c r="T404" s="5" t="inlineStr">
        <is>
          <t>126A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8" t="inlineStr">
        <is>
          <t>학암동 위례신도시중흥S-클래스</t>
        </is>
      </c>
      <c r="B405" s="79" t="inlineStr">
        <is>
          <t>22.10.</t>
        </is>
      </c>
      <c r="C405" s="129" t="n">
        <v>475</v>
      </c>
      <c r="D405" s="130" t="n">
        <v>126.7</v>
      </c>
      <c r="E405" s="131" t="n">
        <v>38</v>
      </c>
      <c r="F405" s="130" t="n">
        <v>101.7</v>
      </c>
      <c r="G405" s="17" t="n">
        <v>31</v>
      </c>
      <c r="H405" s="132" t="n">
        <v>88</v>
      </c>
      <c r="I405" s="133" t="n"/>
      <c r="J405" s="133" t="n"/>
      <c r="K405" s="133" t="n"/>
      <c r="L405" s="133" t="n"/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126B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8" t="inlineStr">
        <is>
          <t>학암동 위례신도시중흥S-클래스</t>
        </is>
      </c>
      <c r="B406" s="79" t="inlineStr">
        <is>
          <t>22.10.</t>
        </is>
      </c>
      <c r="C406" s="129" t="n">
        <v>475</v>
      </c>
      <c r="D406" s="130" t="n">
        <v>127.4</v>
      </c>
      <c r="E406" s="131" t="n">
        <v>39</v>
      </c>
      <c r="F406" s="130" t="n">
        <v>101.8</v>
      </c>
      <c r="G406" s="17" t="n">
        <v>31</v>
      </c>
      <c r="H406" s="132" t="n">
        <v>45</v>
      </c>
      <c r="I406" s="133" t="n"/>
      <c r="J406" s="133" t="n"/>
      <c r="K406" s="133" t="n"/>
      <c r="L406" s="133" t="n"/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127C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8" t="inlineStr">
        <is>
          <t>학암동 위례신도시중흥S-클래스</t>
        </is>
      </c>
      <c r="B407" s="79" t="inlineStr">
        <is>
          <t>22.10.</t>
        </is>
      </c>
      <c r="C407" s="129" t="n">
        <v>475</v>
      </c>
      <c r="D407" s="130" t="n">
        <v>161.5</v>
      </c>
      <c r="E407" s="131" t="n">
        <v>49</v>
      </c>
      <c r="F407" s="130" t="n">
        <v>130.5</v>
      </c>
      <c r="G407" s="17" t="n">
        <v>39</v>
      </c>
      <c r="H407" s="132" t="n">
        <v>76</v>
      </c>
      <c r="I407" s="133" t="n"/>
      <c r="J407" s="133" t="n"/>
      <c r="K407" s="133" t="n"/>
      <c r="L407" s="133" t="n"/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4</v>
      </c>
      <c r="R407" s="120" t="n">
        <v>2</v>
      </c>
      <c r="S407" s="120" t="inlineStr">
        <is>
          <t>계</t>
        </is>
      </c>
      <c r="T407" s="5" t="n">
        <v>161</v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8" t="inlineStr">
        <is>
          <t>학암동 위례신도시중흥S-클래스</t>
        </is>
      </c>
      <c r="B408" s="79" t="inlineStr">
        <is>
          <t>22.10.</t>
        </is>
      </c>
      <c r="C408" s="129" t="n">
        <v>475</v>
      </c>
      <c r="D408" s="130" t="n">
        <v>180.4</v>
      </c>
      <c r="E408" s="131" t="n">
        <v>55</v>
      </c>
      <c r="F408" s="130" t="n">
        <v>145.9</v>
      </c>
      <c r="G408" s="17" t="n">
        <v>44</v>
      </c>
      <c r="H408" s="132" t="n">
        <v>8</v>
      </c>
      <c r="I408" s="133" t="n"/>
      <c r="J408" s="133" t="n"/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180T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8" t="inlineStr">
        <is>
          <t>학암동 위례신도시중흥S-클래스</t>
        </is>
      </c>
      <c r="B409" s="79" t="inlineStr">
        <is>
          <t>22.10.</t>
        </is>
      </c>
      <c r="C409" s="129" t="n">
        <v>475</v>
      </c>
      <c r="D409" s="130" t="n">
        <v>214.7</v>
      </c>
      <c r="E409" s="131" t="n">
        <v>65</v>
      </c>
      <c r="F409" s="130" t="n">
        <v>172.5</v>
      </c>
      <c r="G409" s="17" t="n">
        <v>52</v>
      </c>
      <c r="H409" s="132" t="n">
        <v>2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5</v>
      </c>
      <c r="R409" s="120" t="n">
        <v>3</v>
      </c>
      <c r="S409" s="120" t="inlineStr">
        <is>
          <t>계</t>
        </is>
      </c>
      <c r="T409" s="5" t="inlineStr">
        <is>
          <t>214P</t>
        </is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2" customFormat="1" customHeight="1" s="37">
      <c r="A410" s="78" t="inlineStr">
        <is>
          <t>학암동 위례신도시중흥S-클래스</t>
        </is>
      </c>
      <c r="B410" s="79" t="inlineStr">
        <is>
          <t>22.10.</t>
        </is>
      </c>
      <c r="C410" s="129" t="n">
        <v>475</v>
      </c>
      <c r="D410" s="130" t="n">
        <v>293.1</v>
      </c>
      <c r="E410" s="131" t="n">
        <v>89</v>
      </c>
      <c r="F410" s="130" t="n">
        <v>237</v>
      </c>
      <c r="G410" s="17" t="n">
        <v>72</v>
      </c>
      <c r="H410" s="132" t="n">
        <v>8</v>
      </c>
      <c r="I410" s="133" t="n"/>
      <c r="J410" s="133" t="n"/>
      <c r="K410" s="133" t="n"/>
      <c r="L410" s="133" t="n"/>
      <c r="M410" s="134">
        <f>I410-K410</f>
        <v/>
      </c>
      <c r="N410" s="4">
        <f>IF(ISERROR(K410/I410),"",K410/I410)</f>
        <v/>
      </c>
      <c r="O410" s="135">
        <f>I410/E410</f>
        <v/>
      </c>
      <c r="P410" s="135">
        <f>K410/E410</f>
        <v/>
      </c>
      <c r="Q410" s="120" t="n">
        <v>6</v>
      </c>
      <c r="R410" s="120" t="n">
        <v>4</v>
      </c>
      <c r="S410" s="120" t="inlineStr">
        <is>
          <t>계</t>
        </is>
      </c>
      <c r="T410" s="5" t="inlineStr">
        <is>
          <t>293T</t>
        </is>
      </c>
      <c r="U410" s="9" t="n"/>
      <c r="W410" s="130">
        <f>D410</f>
        <v/>
      </c>
      <c r="X410" s="131">
        <f>E410</f>
        <v/>
      </c>
      <c r="Y410" s="136">
        <f>H410</f>
        <v/>
      </c>
      <c r="Z410" s="134">
        <f>I410</f>
        <v/>
      </c>
      <c r="AA410" s="134">
        <f>K410</f>
        <v/>
      </c>
      <c r="AB410" s="134">
        <f>M410</f>
        <v/>
      </c>
      <c r="AC410" s="4">
        <f>N410</f>
        <v/>
      </c>
      <c r="AD410" s="135">
        <f>O410</f>
        <v/>
      </c>
      <c r="AE410" s="120">
        <f>S410</f>
        <v/>
      </c>
      <c r="AF410" s="120">
        <f>Q410&amp;"/"&amp;R410</f>
        <v/>
      </c>
      <c r="AH410" s="20">
        <f>IF(A410="","",A410)</f>
        <v/>
      </c>
      <c r="AI410" s="131">
        <f>IF(E410="","",E410)</f>
        <v/>
      </c>
      <c r="AJ410" s="120">
        <f>IF(AI410="","",$AJ$2)</f>
        <v/>
      </c>
      <c r="AK410" s="120" t="inlineStr">
        <is>
          <t>A</t>
        </is>
      </c>
      <c r="AL410" s="120" t="inlineStr">
        <is>
          <t>A+</t>
        </is>
      </c>
      <c r="AM410" s="120" t="inlineStr">
        <is>
          <t>B+</t>
        </is>
      </c>
      <c r="AN410" s="120">
        <f>IF(AI410="","",$AN$2)</f>
        <v/>
      </c>
      <c r="AO410" s="120">
        <f>IF(N410="","",IF(N410&gt;=$AO$1/100,"O","X"))</f>
        <v/>
      </c>
      <c r="AP410" s="120">
        <f>IF(I410="","",IF(I410&lt;=$AP$1,"O","X"))</f>
        <v/>
      </c>
      <c r="AQ410" s="120">
        <f>IF(O410="","",IF(O410&lt;=$AQ$1,"O","X"))</f>
        <v/>
      </c>
      <c r="AR410" s="120">
        <f>IF(M410="","",IF(M410&lt;=$AR$1,"O","X"))</f>
        <v/>
      </c>
      <c r="AS410" s="120" t="inlineStr">
        <is>
          <t>X</t>
        </is>
      </c>
      <c r="AT410" s="120">
        <f>IF(OR(F410="",AI410=""),"",IF(AND((F410&lt;=85),(AI410&gt;=15)),"O","X"))</f>
        <v/>
      </c>
      <c r="AU410" s="120">
        <f>IF(C410="","",IF(C410&gt;=$AU$1,"O","X"))</f>
        <v/>
      </c>
      <c r="AV410" s="120">
        <f>IF(AO410="","",IF(AND(AO410="O",AP410="O",AR410="O",AT410="O",AU410="O"),"후보","X"))</f>
        <v/>
      </c>
    </row>
    <row r="411" ht="12" customFormat="1" customHeight="1" s="37">
      <c r="A411" s="78" t="inlineStr">
        <is>
          <t>학암동 플로리체위례</t>
        </is>
      </c>
      <c r="B411" s="79" t="inlineStr">
        <is>
          <t>15.10.</t>
        </is>
      </c>
      <c r="C411" s="129" t="n">
        <v>970</v>
      </c>
      <c r="D411" s="130" t="n">
        <v>124.7</v>
      </c>
      <c r="E411" s="131" t="n">
        <v>38</v>
      </c>
      <c r="F411" s="130" t="n">
        <v>96</v>
      </c>
      <c r="G411" s="17" t="n">
        <v>29</v>
      </c>
      <c r="H411" s="132" t="n">
        <v>132</v>
      </c>
      <c r="I411" s="133" t="n">
        <v>170000</v>
      </c>
      <c r="J411" s="133" t="inlineStr">
        <is>
          <t>중</t>
        </is>
      </c>
      <c r="K411" s="133" t="n"/>
      <c r="L411" s="133" t="n"/>
      <c r="M411" s="134">
        <f>I411-K411</f>
        <v/>
      </c>
      <c r="N411" s="4">
        <f>IF(ISERROR(K411/I411),"",K411/I411)</f>
        <v/>
      </c>
      <c r="O411" s="135">
        <f>I411/E411</f>
        <v/>
      </c>
      <c r="P411" s="135">
        <f>K411/E411</f>
        <v/>
      </c>
      <c r="Q411" s="120" t="n">
        <v>3</v>
      </c>
      <c r="R411" s="120" t="n">
        <v>2</v>
      </c>
      <c r="S411" s="120" t="inlineStr">
        <is>
          <t>계</t>
        </is>
      </c>
      <c r="T411" s="5" t="inlineStr">
        <is>
          <t>124A</t>
        </is>
      </c>
      <c r="U411" s="9" t="n"/>
      <c r="W411" s="130">
        <f>D411</f>
        <v/>
      </c>
      <c r="X411" s="131">
        <f>E411</f>
        <v/>
      </c>
      <c r="Y411" s="136">
        <f>H411</f>
        <v/>
      </c>
      <c r="Z411" s="134">
        <f>I411</f>
        <v/>
      </c>
      <c r="AA411" s="134">
        <f>K411</f>
        <v/>
      </c>
      <c r="AB411" s="134">
        <f>M411</f>
        <v/>
      </c>
      <c r="AC411" s="4">
        <f>N411</f>
        <v/>
      </c>
      <c r="AD411" s="135">
        <f>O411</f>
        <v/>
      </c>
      <c r="AE411" s="120">
        <f>S411</f>
        <v/>
      </c>
      <c r="AF411" s="120">
        <f>Q411&amp;"/"&amp;R411</f>
        <v/>
      </c>
      <c r="AH411" s="20">
        <f>IF(A411="","",A411)</f>
        <v/>
      </c>
      <c r="AI411" s="131">
        <f>IF(E411="","",E411)</f>
        <v/>
      </c>
      <c r="AJ411" s="120">
        <f>IF(AI411="","",$AJ$2)</f>
        <v/>
      </c>
      <c r="AK411" s="120" t="inlineStr">
        <is>
          <t>A</t>
        </is>
      </c>
      <c r="AL411" s="120" t="inlineStr">
        <is>
          <t>A+</t>
        </is>
      </c>
      <c r="AM411" s="120" t="inlineStr">
        <is>
          <t>B+</t>
        </is>
      </c>
      <c r="AN411" s="120">
        <f>IF(AI411="","",$AN$2)</f>
        <v/>
      </c>
      <c r="AO411" s="120">
        <f>IF(N411="","",IF(N411&gt;=$AO$1/100,"O","X"))</f>
        <v/>
      </c>
      <c r="AP411" s="120">
        <f>IF(I411="","",IF(I411&lt;=$AP$1,"O","X"))</f>
        <v/>
      </c>
      <c r="AQ411" s="120">
        <f>IF(O411="","",IF(O411&lt;=$AQ$1,"O","X"))</f>
        <v/>
      </c>
      <c r="AR411" s="120">
        <f>IF(M411="","",IF(M411&lt;=$AR$1,"O","X"))</f>
        <v/>
      </c>
      <c r="AS411" s="120" t="inlineStr">
        <is>
          <t>X</t>
        </is>
      </c>
      <c r="AT411" s="120">
        <f>IF(OR(F411="",AI411=""),"",IF(AND((F411&lt;=85),(AI411&gt;=15)),"O","X"))</f>
        <v/>
      </c>
      <c r="AU411" s="120">
        <f>IF(C411="","",IF(C411&gt;=$AU$1,"O","X"))</f>
        <v/>
      </c>
      <c r="AV411" s="120">
        <f>IF(AO411="","",IF(AND(AO411="O",AP411="O",AR411="O",AT411="O",AU411="O"),"후보","X"))</f>
        <v/>
      </c>
    </row>
    <row r="412" ht="12" customFormat="1" customHeight="1" s="37">
      <c r="A412" s="78" t="inlineStr">
        <is>
          <t>학암동 플로리체위례</t>
        </is>
      </c>
      <c r="B412" s="79" t="inlineStr">
        <is>
          <t>15.10.</t>
        </is>
      </c>
      <c r="C412" s="129" t="n">
        <v>970</v>
      </c>
      <c r="D412" s="130" t="n">
        <v>124.1</v>
      </c>
      <c r="E412" s="131" t="n">
        <v>38</v>
      </c>
      <c r="F412" s="130" t="n">
        <v>96</v>
      </c>
      <c r="G412" s="17" t="n">
        <v>29</v>
      </c>
      <c r="H412" s="132" t="n">
        <v>132</v>
      </c>
      <c r="I412" s="133" t="n">
        <v>165000</v>
      </c>
      <c r="J412" s="133" t="inlineStr">
        <is>
          <t>중</t>
        </is>
      </c>
      <c r="K412" s="133" t="n">
        <v>78000</v>
      </c>
      <c r="L412" s="133" t="inlineStr">
        <is>
          <t>고</t>
        </is>
      </c>
      <c r="M412" s="134">
        <f>I412-K412</f>
        <v/>
      </c>
      <c r="N412" s="4">
        <f>IF(ISERROR(K412/I412),"",K412/I412)</f>
        <v/>
      </c>
      <c r="O412" s="135">
        <f>I412/E412</f>
        <v/>
      </c>
      <c r="P412" s="135">
        <f>K412/E412</f>
        <v/>
      </c>
      <c r="Q412" s="120" t="n">
        <v>3</v>
      </c>
      <c r="R412" s="120" t="n">
        <v>2</v>
      </c>
      <c r="S412" s="120" t="inlineStr">
        <is>
          <t>계</t>
        </is>
      </c>
      <c r="T412" s="5" t="inlineStr">
        <is>
          <t>124D</t>
        </is>
      </c>
      <c r="U412" s="9" t="n"/>
      <c r="W412" s="130">
        <f>D412</f>
        <v/>
      </c>
      <c r="X412" s="131">
        <f>E412</f>
        <v/>
      </c>
      <c r="Y412" s="136">
        <f>H412</f>
        <v/>
      </c>
      <c r="Z412" s="134">
        <f>I412</f>
        <v/>
      </c>
      <c r="AA412" s="134">
        <f>K412</f>
        <v/>
      </c>
      <c r="AB412" s="134">
        <f>M412</f>
        <v/>
      </c>
      <c r="AC412" s="4">
        <f>N412</f>
        <v/>
      </c>
      <c r="AD412" s="135">
        <f>O412</f>
        <v/>
      </c>
      <c r="AE412" s="120">
        <f>S412</f>
        <v/>
      </c>
      <c r="AF412" s="120">
        <f>Q412&amp;"/"&amp;R412</f>
        <v/>
      </c>
      <c r="AH412" s="20">
        <f>IF(A412="","",A412)</f>
        <v/>
      </c>
      <c r="AI412" s="131">
        <f>IF(E412="","",E412)</f>
        <v/>
      </c>
      <c r="AJ412" s="120">
        <f>IF(AI412="","",$AJ$2)</f>
        <v/>
      </c>
      <c r="AK412" s="120" t="inlineStr">
        <is>
          <t>A</t>
        </is>
      </c>
      <c r="AL412" s="120" t="inlineStr">
        <is>
          <t>A+</t>
        </is>
      </c>
      <c r="AM412" s="120" t="inlineStr">
        <is>
          <t>B+</t>
        </is>
      </c>
      <c r="AN412" s="120">
        <f>IF(AI412="","",$AN$2)</f>
        <v/>
      </c>
      <c r="AO412" s="120">
        <f>IF(N412="","",IF(N412&gt;=$AO$1/100,"O","X"))</f>
        <v/>
      </c>
      <c r="AP412" s="120">
        <f>IF(I412="","",IF(I412&lt;=$AP$1,"O","X"))</f>
        <v/>
      </c>
      <c r="AQ412" s="120">
        <f>IF(O412="","",IF(O412&lt;=$AQ$1,"O","X"))</f>
        <v/>
      </c>
      <c r="AR412" s="120">
        <f>IF(M412="","",IF(M412&lt;=$AR$1,"O","X"))</f>
        <v/>
      </c>
      <c r="AS412" s="120" t="inlineStr">
        <is>
          <t>X</t>
        </is>
      </c>
      <c r="AT412" s="120">
        <f>IF(OR(F412="",AI412=""),"",IF(AND((F412&lt;=85),(AI412&gt;=15)),"O","X"))</f>
        <v/>
      </c>
      <c r="AU412" s="120">
        <f>IF(C412="","",IF(C412&gt;=$AU$1,"O","X"))</f>
        <v/>
      </c>
      <c r="AV412" s="120">
        <f>IF(AO412="","",IF(AND(AO412="O",AP412="O",AR412="O",AT412="O",AU412="O"),"후보","X"))</f>
        <v/>
      </c>
    </row>
    <row r="413" ht="12" customFormat="1" customHeight="1" s="37">
      <c r="A413" s="78" t="inlineStr">
        <is>
          <t>학암동 플로리체위례</t>
        </is>
      </c>
      <c r="B413" s="79" t="inlineStr">
        <is>
          <t>15.10.</t>
        </is>
      </c>
      <c r="C413" s="129" t="n">
        <v>970</v>
      </c>
      <c r="D413" s="130" t="n">
        <v>124.4</v>
      </c>
      <c r="E413" s="131" t="n">
        <v>38</v>
      </c>
      <c r="F413" s="130" t="n">
        <v>96</v>
      </c>
      <c r="G413" s="17" t="n">
        <v>29</v>
      </c>
      <c r="H413" s="132" t="n">
        <v>95</v>
      </c>
      <c r="I413" s="133" t="n">
        <v>160000</v>
      </c>
      <c r="J413" s="133" t="inlineStr">
        <is>
          <t>11</t>
        </is>
      </c>
      <c r="K413" s="133" t="n"/>
      <c r="L413" s="133" t="n"/>
      <c r="M413" s="134">
        <f>I413-K413</f>
        <v/>
      </c>
      <c r="N413" s="4">
        <f>IF(ISERROR(K413/I413),"",K413/I413)</f>
        <v/>
      </c>
      <c r="O413" s="135">
        <f>I413/E413</f>
        <v/>
      </c>
      <c r="P413" s="135">
        <f>K413/E413</f>
        <v/>
      </c>
      <c r="Q413" s="120" t="n">
        <v>3</v>
      </c>
      <c r="R413" s="120" t="n">
        <v>2</v>
      </c>
      <c r="S413" s="120" t="inlineStr">
        <is>
          <t>계</t>
        </is>
      </c>
      <c r="T413" s="5" t="inlineStr">
        <is>
          <t>124C</t>
        </is>
      </c>
      <c r="U413" s="9" t="n"/>
      <c r="W413" s="130">
        <f>D413</f>
        <v/>
      </c>
      <c r="X413" s="131">
        <f>E413</f>
        <v/>
      </c>
      <c r="Y413" s="136">
        <f>H413</f>
        <v/>
      </c>
      <c r="Z413" s="134">
        <f>I413</f>
        <v/>
      </c>
      <c r="AA413" s="134">
        <f>K413</f>
        <v/>
      </c>
      <c r="AB413" s="134">
        <f>M413</f>
        <v/>
      </c>
      <c r="AC413" s="4">
        <f>N413</f>
        <v/>
      </c>
      <c r="AD413" s="135">
        <f>O413</f>
        <v/>
      </c>
      <c r="AE413" s="120">
        <f>S413</f>
        <v/>
      </c>
      <c r="AF413" s="120">
        <f>Q413&amp;"/"&amp;R413</f>
        <v/>
      </c>
      <c r="AH413" s="20">
        <f>IF(A413="","",A413)</f>
        <v/>
      </c>
      <c r="AI413" s="131">
        <f>IF(E413="","",E413)</f>
        <v/>
      </c>
      <c r="AJ413" s="120">
        <f>IF(AI413="","",$AJ$2)</f>
        <v/>
      </c>
      <c r="AK413" s="120" t="inlineStr">
        <is>
          <t>A</t>
        </is>
      </c>
      <c r="AL413" s="120" t="inlineStr">
        <is>
          <t>A+</t>
        </is>
      </c>
      <c r="AM413" s="120" t="inlineStr">
        <is>
          <t>B+</t>
        </is>
      </c>
      <c r="AN413" s="120">
        <f>IF(AI413="","",$AN$2)</f>
        <v/>
      </c>
      <c r="AO413" s="120">
        <f>IF(N413="","",IF(N413&gt;=$AO$1/100,"O","X"))</f>
        <v/>
      </c>
      <c r="AP413" s="120">
        <f>IF(I413="","",IF(I413&lt;=$AP$1,"O","X"))</f>
        <v/>
      </c>
      <c r="AQ413" s="120">
        <f>IF(O413="","",IF(O413&lt;=$AQ$1,"O","X"))</f>
        <v/>
      </c>
      <c r="AR413" s="120">
        <f>IF(M413="","",IF(M413&lt;=$AR$1,"O","X"))</f>
        <v/>
      </c>
      <c r="AS413" s="120" t="inlineStr">
        <is>
          <t>X</t>
        </is>
      </c>
      <c r="AT413" s="120">
        <f>IF(OR(F413="",AI413=""),"",IF(AND((F413&lt;=85),(AI413&gt;=15)),"O","X"))</f>
        <v/>
      </c>
      <c r="AU413" s="120">
        <f>IF(C413="","",IF(C413&gt;=$AU$1,"O","X"))</f>
        <v/>
      </c>
      <c r="AV413" s="120">
        <f>IF(AO413="","",IF(AND(AO413="O",AP413="O",AR413="O",AT413="O",AU413="O"),"후보","X"))</f>
        <v/>
      </c>
    </row>
    <row r="414" ht="12" customFormat="1" customHeight="1" s="37">
      <c r="A414" s="78" t="inlineStr">
        <is>
          <t>학암동 플로리체위례</t>
        </is>
      </c>
      <c r="B414" s="79" t="inlineStr">
        <is>
          <t>15.10.</t>
        </is>
      </c>
      <c r="C414" s="129" t="n">
        <v>970</v>
      </c>
      <c r="D414" s="130" t="n">
        <v>125.2</v>
      </c>
      <c r="E414" s="131" t="n">
        <v>38</v>
      </c>
      <c r="F414" s="130" t="n">
        <v>96</v>
      </c>
      <c r="G414" s="17" t="n">
        <v>29</v>
      </c>
      <c r="H414" s="132" t="n">
        <v>243</v>
      </c>
      <c r="I414" s="133" t="n">
        <v>159000</v>
      </c>
      <c r="J414" s="133" t="inlineStr">
        <is>
          <t>18</t>
        </is>
      </c>
      <c r="K414" s="133" t="n">
        <v>78000</v>
      </c>
      <c r="L414" s="133" t="inlineStr">
        <is>
          <t>12</t>
        </is>
      </c>
      <c r="M414" s="134">
        <f>I414-K414</f>
        <v/>
      </c>
      <c r="N414" s="4">
        <f>IF(ISERROR(K414/I414),"",K414/I414)</f>
        <v/>
      </c>
      <c r="O414" s="135">
        <f>I414/E414</f>
        <v/>
      </c>
      <c r="P414" s="135">
        <f>K414/E414</f>
        <v/>
      </c>
      <c r="Q414" s="120" t="n">
        <v>3</v>
      </c>
      <c r="R414" s="120" t="n">
        <v>2</v>
      </c>
      <c r="S414" s="120" t="inlineStr">
        <is>
          <t>계</t>
        </is>
      </c>
      <c r="T414" s="5" t="inlineStr">
        <is>
          <t>125B</t>
        </is>
      </c>
      <c r="U414" s="9" t="n"/>
      <c r="W414" s="130">
        <f>D414</f>
        <v/>
      </c>
      <c r="X414" s="131">
        <f>E414</f>
        <v/>
      </c>
      <c r="Y414" s="136">
        <f>H414</f>
        <v/>
      </c>
      <c r="Z414" s="134">
        <f>I414</f>
        <v/>
      </c>
      <c r="AA414" s="134">
        <f>K414</f>
        <v/>
      </c>
      <c r="AB414" s="134">
        <f>M414</f>
        <v/>
      </c>
      <c r="AC414" s="4">
        <f>N414</f>
        <v/>
      </c>
      <c r="AD414" s="135">
        <f>O414</f>
        <v/>
      </c>
      <c r="AE414" s="120">
        <f>S414</f>
        <v/>
      </c>
      <c r="AF414" s="120">
        <f>Q414&amp;"/"&amp;R414</f>
        <v/>
      </c>
      <c r="AH414" s="20">
        <f>IF(A414="","",A414)</f>
        <v/>
      </c>
      <c r="AI414" s="131">
        <f>IF(E414="","",E414)</f>
        <v/>
      </c>
      <c r="AJ414" s="120">
        <f>IF(AI414="","",$AJ$2)</f>
        <v/>
      </c>
      <c r="AK414" s="120" t="inlineStr">
        <is>
          <t>A</t>
        </is>
      </c>
      <c r="AL414" s="120" t="inlineStr">
        <is>
          <t>A+</t>
        </is>
      </c>
      <c r="AM414" s="120" t="inlineStr">
        <is>
          <t>B+</t>
        </is>
      </c>
      <c r="AN414" s="120">
        <f>IF(AI414="","",$AN$2)</f>
        <v/>
      </c>
      <c r="AO414" s="120">
        <f>IF(N414="","",IF(N414&gt;=$AO$1/100,"O","X"))</f>
        <v/>
      </c>
      <c r="AP414" s="120">
        <f>IF(I414="","",IF(I414&lt;=$AP$1,"O","X"))</f>
        <v/>
      </c>
      <c r="AQ414" s="120">
        <f>IF(O414="","",IF(O414&lt;=$AQ$1,"O","X"))</f>
        <v/>
      </c>
      <c r="AR414" s="120">
        <f>IF(M414="","",IF(M414&lt;=$AR$1,"O","X"))</f>
        <v/>
      </c>
      <c r="AS414" s="120" t="inlineStr">
        <is>
          <t>X</t>
        </is>
      </c>
      <c r="AT414" s="120">
        <f>IF(OR(F414="",AI414=""),"",IF(AND((F414&lt;=85),(AI414&gt;=15)),"O","X"))</f>
        <v/>
      </c>
      <c r="AU414" s="120">
        <f>IF(C414="","",IF(C414&gt;=$AU$1,"O","X"))</f>
        <v/>
      </c>
      <c r="AV414" s="120">
        <f>IF(AO414="","",IF(AND(AO414="O",AP414="O",AR414="O",AT414="O",AU414="O"),"후보","X"))</f>
        <v/>
      </c>
    </row>
    <row r="415" ht="12" customFormat="1" customHeight="1" s="37">
      <c r="A415" s="78" t="inlineStr">
        <is>
          <t>학암동 플로리체위례</t>
        </is>
      </c>
      <c r="B415" s="79" t="inlineStr">
        <is>
          <t>15.10.</t>
        </is>
      </c>
      <c r="C415" s="129" t="n">
        <v>970</v>
      </c>
      <c r="D415" s="130" t="n">
        <v>132.2</v>
      </c>
      <c r="E415" s="131" t="n">
        <v>40</v>
      </c>
      <c r="F415" s="130" t="n">
        <v>102</v>
      </c>
      <c r="G415" s="17" t="n">
        <v>31</v>
      </c>
      <c r="H415" s="132" t="n">
        <v>368</v>
      </c>
      <c r="I415" s="133" t="n">
        <v>165000</v>
      </c>
      <c r="J415" s="133" t="inlineStr">
        <is>
          <t>고</t>
        </is>
      </c>
      <c r="K415" s="133" t="n">
        <v>85000</v>
      </c>
      <c r="L415" s="133" t="inlineStr">
        <is>
          <t>6</t>
        </is>
      </c>
      <c r="M415" s="134">
        <f>I415-K415</f>
        <v/>
      </c>
      <c r="N415" s="4">
        <f>IF(ISERROR(K415/I415),"",K415/I415)</f>
        <v/>
      </c>
      <c r="O415" s="135">
        <f>I415/E415</f>
        <v/>
      </c>
      <c r="P415" s="135">
        <f>K415/E415</f>
        <v/>
      </c>
      <c r="Q415" s="120" t="n">
        <v>4</v>
      </c>
      <c r="R415" s="120" t="n">
        <v>2</v>
      </c>
      <c r="S415" s="120" t="inlineStr">
        <is>
          <t>계</t>
        </is>
      </c>
      <c r="T415" s="5" t="n">
        <v>132</v>
      </c>
      <c r="U415" s="9" t="n"/>
      <c r="W415" s="130">
        <f>D415</f>
        <v/>
      </c>
      <c r="X415" s="131">
        <f>E415</f>
        <v/>
      </c>
      <c r="Y415" s="136">
        <f>H415</f>
        <v/>
      </c>
      <c r="Z415" s="134">
        <f>I415</f>
        <v/>
      </c>
      <c r="AA415" s="134">
        <f>K415</f>
        <v/>
      </c>
      <c r="AB415" s="134">
        <f>M415</f>
        <v/>
      </c>
      <c r="AC415" s="4">
        <f>N415</f>
        <v/>
      </c>
      <c r="AD415" s="135">
        <f>O415</f>
        <v/>
      </c>
      <c r="AE415" s="120">
        <f>S415</f>
        <v/>
      </c>
      <c r="AF415" s="120">
        <f>Q415&amp;"/"&amp;R415</f>
        <v/>
      </c>
      <c r="AH415" s="20">
        <f>IF(A415="","",A415)</f>
        <v/>
      </c>
      <c r="AI415" s="131">
        <f>IF(E415="","",E415)</f>
        <v/>
      </c>
      <c r="AJ415" s="120">
        <f>IF(AI415="","",$AJ$2)</f>
        <v/>
      </c>
      <c r="AK415" s="120" t="inlineStr">
        <is>
          <t>A</t>
        </is>
      </c>
      <c r="AL415" s="120" t="inlineStr">
        <is>
          <t>A+</t>
        </is>
      </c>
      <c r="AM415" s="120" t="inlineStr">
        <is>
          <t>B+</t>
        </is>
      </c>
      <c r="AN415" s="120">
        <f>IF(AI415="","",$AN$2)</f>
        <v/>
      </c>
      <c r="AO415" s="120">
        <f>IF(N415="","",IF(N415&gt;=$AO$1/100,"O","X"))</f>
        <v/>
      </c>
      <c r="AP415" s="120">
        <f>IF(I415="","",IF(I415&lt;=$AP$1,"O","X"))</f>
        <v/>
      </c>
      <c r="AQ415" s="120">
        <f>IF(O415="","",IF(O415&lt;=$AQ$1,"O","X"))</f>
        <v/>
      </c>
      <c r="AR415" s="120">
        <f>IF(M415="","",IF(M415&lt;=$AR$1,"O","X"))</f>
        <v/>
      </c>
      <c r="AS415" s="120" t="inlineStr">
        <is>
          <t>X</t>
        </is>
      </c>
      <c r="AT415" s="120">
        <f>IF(OR(F415="",AI415=""),"",IF(AND((F415&lt;=85),(AI415&gt;=15)),"O","X"))</f>
        <v/>
      </c>
      <c r="AU415" s="120">
        <f>IF(C415="","",IF(C415&gt;=$AU$1,"O","X"))</f>
        <v/>
      </c>
      <c r="AV415" s="120">
        <f>IF(AO415="","",IF(AND(AO415="O",AP415="O",AR415="O",AT415="O",AU415="O"),"후보","X"))</f>
        <v/>
      </c>
    </row>
    <row r="416" ht="12" customFormat="1" customHeight="1" s="37">
      <c r="A416" s="78" t="inlineStr">
        <is>
          <t>학암동 위례신도시엠코타운센트로엘</t>
        </is>
      </c>
      <c r="B416" s="79" t="inlineStr">
        <is>
          <t>16.06.</t>
        </is>
      </c>
      <c r="C416" s="129" t="n">
        <v>673</v>
      </c>
      <c r="D416" s="130" t="n">
        <v>124.5</v>
      </c>
      <c r="E416" s="131" t="n">
        <v>38</v>
      </c>
      <c r="F416" s="130" t="n">
        <v>95.40000000000001</v>
      </c>
      <c r="G416" s="17" t="n">
        <v>29</v>
      </c>
      <c r="H416" s="132" t="n">
        <v>161</v>
      </c>
      <c r="I416" s="133" t="n">
        <v>168000</v>
      </c>
      <c r="J416" s="133" t="inlineStr">
        <is>
          <t>7</t>
        </is>
      </c>
      <c r="K416" s="133" t="n">
        <v>90000</v>
      </c>
      <c r="L416" s="133" t="inlineStr">
        <is>
          <t>고</t>
        </is>
      </c>
      <c r="M416" s="134">
        <f>I416-K416</f>
        <v/>
      </c>
      <c r="N416" s="4">
        <f>IF(ISERROR(K416/I416),"",K416/I416)</f>
        <v/>
      </c>
      <c r="O416" s="135">
        <f>I416/E416</f>
        <v/>
      </c>
      <c r="P416" s="135">
        <f>K416/E416</f>
        <v/>
      </c>
      <c r="Q416" s="120" t="n">
        <v>3</v>
      </c>
      <c r="R416" s="120" t="n">
        <v>2</v>
      </c>
      <c r="S416" s="120" t="inlineStr">
        <is>
          <t>계</t>
        </is>
      </c>
      <c r="T416" s="5" t="n">
        <v>124</v>
      </c>
      <c r="U416" s="9" t="n"/>
      <c r="W416" s="130">
        <f>D416</f>
        <v/>
      </c>
      <c r="X416" s="131">
        <f>E416</f>
        <v/>
      </c>
      <c r="Y416" s="136">
        <f>H416</f>
        <v/>
      </c>
      <c r="Z416" s="134">
        <f>I416</f>
        <v/>
      </c>
      <c r="AA416" s="134">
        <f>K416</f>
        <v/>
      </c>
      <c r="AB416" s="134">
        <f>M416</f>
        <v/>
      </c>
      <c r="AC416" s="4">
        <f>N416</f>
        <v/>
      </c>
      <c r="AD416" s="135">
        <f>O416</f>
        <v/>
      </c>
      <c r="AE416" s="120">
        <f>S416</f>
        <v/>
      </c>
      <c r="AF416" s="120">
        <f>Q416&amp;"/"&amp;R416</f>
        <v/>
      </c>
      <c r="AH416" s="20">
        <f>IF(A416="","",A416)</f>
        <v/>
      </c>
      <c r="AI416" s="131">
        <f>IF(E416="","",E416)</f>
        <v/>
      </c>
      <c r="AJ416" s="120">
        <f>IF(AI416="","",$AJ$2)</f>
        <v/>
      </c>
      <c r="AK416" s="120" t="inlineStr">
        <is>
          <t>A</t>
        </is>
      </c>
      <c r="AL416" s="120" t="inlineStr">
        <is>
          <t>A+</t>
        </is>
      </c>
      <c r="AM416" s="120" t="inlineStr">
        <is>
          <t>B+</t>
        </is>
      </c>
      <c r="AN416" s="120">
        <f>IF(AI416="","",$AN$2)</f>
        <v/>
      </c>
      <c r="AO416" s="120">
        <f>IF(N416="","",IF(N416&gt;=$AO$1/100,"O","X"))</f>
        <v/>
      </c>
      <c r="AP416" s="120">
        <f>IF(I416="","",IF(I416&lt;=$AP$1,"O","X"))</f>
        <v/>
      </c>
      <c r="AQ416" s="120">
        <f>IF(O416="","",IF(O416&lt;=$AQ$1,"O","X"))</f>
        <v/>
      </c>
      <c r="AR416" s="120">
        <f>IF(M416="","",IF(M416&lt;=$AR$1,"O","X"))</f>
        <v/>
      </c>
      <c r="AS416" s="120" t="inlineStr">
        <is>
          <t>X</t>
        </is>
      </c>
      <c r="AT416" s="120">
        <f>IF(OR(F416="",AI416=""),"",IF(AND((F416&lt;=85),(AI416&gt;=15)),"O","X"))</f>
        <v/>
      </c>
      <c r="AU416" s="120">
        <f>IF(C416="","",IF(C416&gt;=$AU$1,"O","X"))</f>
        <v/>
      </c>
      <c r="AV416" s="120">
        <f>IF(AO416="","",IF(AND(AO416="O",AP416="O",AR416="O",AT416="O",AU416="O"),"후보","X"))</f>
        <v/>
      </c>
    </row>
    <row r="417" ht="12" customFormat="1" customHeight="1" s="37">
      <c r="A417" s="78" t="inlineStr">
        <is>
          <t>학암동 위례신도시엠코타운센트로엘</t>
        </is>
      </c>
      <c r="B417" s="79" t="inlineStr">
        <is>
          <t>16.06.</t>
        </is>
      </c>
      <c r="C417" s="129" t="n">
        <v>673</v>
      </c>
      <c r="D417" s="130" t="n">
        <v>128.5</v>
      </c>
      <c r="E417" s="131" t="n">
        <v>39</v>
      </c>
      <c r="F417" s="130" t="n">
        <v>98.8</v>
      </c>
      <c r="G417" s="17" t="n">
        <v>30</v>
      </c>
      <c r="H417" s="132" t="n">
        <v>265</v>
      </c>
      <c r="I417" s="133" t="n">
        <v>173000</v>
      </c>
      <c r="J417" s="133" t="inlineStr">
        <is>
          <t>중</t>
        </is>
      </c>
      <c r="K417" s="133" t="n">
        <v>95000</v>
      </c>
      <c r="L417" s="133" t="inlineStr">
        <is>
          <t>고</t>
        </is>
      </c>
      <c r="M417" s="134">
        <f>I417-K417</f>
        <v/>
      </c>
      <c r="N417" s="4">
        <f>IF(ISERROR(K417/I417),"",K417/I417)</f>
        <v/>
      </c>
      <c r="O417" s="135">
        <f>I417/E417</f>
        <v/>
      </c>
      <c r="P417" s="135">
        <f>K417/E417</f>
        <v/>
      </c>
      <c r="Q417" s="120" t="n">
        <v>4</v>
      </c>
      <c r="R417" s="120" t="n">
        <v>2</v>
      </c>
      <c r="S417" s="120" t="inlineStr">
        <is>
          <t>계</t>
        </is>
      </c>
      <c r="T417" s="5" t="inlineStr">
        <is>
          <t>128B</t>
        </is>
      </c>
      <c r="U417" s="9" t="n"/>
      <c r="W417" s="130">
        <f>D417</f>
        <v/>
      </c>
      <c r="X417" s="131">
        <f>E417</f>
        <v/>
      </c>
      <c r="Y417" s="136">
        <f>H417</f>
        <v/>
      </c>
      <c r="Z417" s="134">
        <f>I417</f>
        <v/>
      </c>
      <c r="AA417" s="134">
        <f>K417</f>
        <v/>
      </c>
      <c r="AB417" s="134">
        <f>M417</f>
        <v/>
      </c>
      <c r="AC417" s="4">
        <f>N417</f>
        <v/>
      </c>
      <c r="AD417" s="135">
        <f>O417</f>
        <v/>
      </c>
      <c r="AE417" s="120">
        <f>S417</f>
        <v/>
      </c>
      <c r="AF417" s="120">
        <f>Q417&amp;"/"&amp;R417</f>
        <v/>
      </c>
      <c r="AH417" s="20">
        <f>IF(A417="","",A417)</f>
        <v/>
      </c>
      <c r="AI417" s="131">
        <f>IF(E417="","",E417)</f>
        <v/>
      </c>
      <c r="AJ417" s="120">
        <f>IF(AI417="","",$AJ$2)</f>
        <v/>
      </c>
      <c r="AK417" s="120" t="inlineStr">
        <is>
          <t>A</t>
        </is>
      </c>
      <c r="AL417" s="120" t="inlineStr">
        <is>
          <t>A+</t>
        </is>
      </c>
      <c r="AM417" s="120" t="inlineStr">
        <is>
          <t>B+</t>
        </is>
      </c>
      <c r="AN417" s="120">
        <f>IF(AI417="","",$AN$2)</f>
        <v/>
      </c>
      <c r="AO417" s="120">
        <f>IF(N417="","",IF(N417&gt;=$AO$1/100,"O","X"))</f>
        <v/>
      </c>
      <c r="AP417" s="120">
        <f>IF(I417="","",IF(I417&lt;=$AP$1,"O","X"))</f>
        <v/>
      </c>
      <c r="AQ417" s="120">
        <f>IF(O417="","",IF(O417&lt;=$AQ$1,"O","X"))</f>
        <v/>
      </c>
      <c r="AR417" s="120">
        <f>IF(M417="","",IF(M417&lt;=$AR$1,"O","X"))</f>
        <v/>
      </c>
      <c r="AS417" s="120" t="inlineStr">
        <is>
          <t>X</t>
        </is>
      </c>
      <c r="AT417" s="120">
        <f>IF(OR(F417="",AI417=""),"",IF(AND((F417&lt;=85),(AI417&gt;=15)),"O","X"))</f>
        <v/>
      </c>
      <c r="AU417" s="120">
        <f>IF(C417="","",IF(C417&gt;=$AU$1,"O","X"))</f>
        <v/>
      </c>
      <c r="AV417" s="120">
        <f>IF(AO417="","",IF(AND(AO417="O",AP417="O",AR417="O",AT417="O",AU417="O"),"후보","X"))</f>
        <v/>
      </c>
    </row>
    <row r="418" ht="12" customFormat="1" customHeight="1" s="37">
      <c r="A418" s="78" t="inlineStr">
        <is>
          <t>학암동 위례신도시엠코타운센트로엘</t>
        </is>
      </c>
      <c r="B418" s="79" t="inlineStr">
        <is>
          <t>16.06.</t>
        </is>
      </c>
      <c r="C418" s="129" t="n">
        <v>673</v>
      </c>
      <c r="D418" s="130" t="n">
        <v>128</v>
      </c>
      <c r="E418" s="131" t="n">
        <v>39</v>
      </c>
      <c r="F418" s="130" t="n">
        <v>98.8</v>
      </c>
      <c r="G418" s="17" t="n">
        <v>30</v>
      </c>
      <c r="H418" s="132" t="n">
        <v>247</v>
      </c>
      <c r="I418" s="133" t="n">
        <v>175000</v>
      </c>
      <c r="J418" s="133" t="inlineStr">
        <is>
          <t>중</t>
        </is>
      </c>
      <c r="K418" s="133" t="n">
        <v>90000</v>
      </c>
      <c r="L418" s="133" t="inlineStr">
        <is>
          <t>중</t>
        </is>
      </c>
      <c r="M418" s="134">
        <f>I418-K418</f>
        <v/>
      </c>
      <c r="N418" s="4">
        <f>IF(ISERROR(K418/I418),"",K418/I418)</f>
        <v/>
      </c>
      <c r="O418" s="135">
        <f>I418/E418</f>
        <v/>
      </c>
      <c r="P418" s="135">
        <f>K418/E418</f>
        <v/>
      </c>
      <c r="Q418" s="120" t="n">
        <v>4</v>
      </c>
      <c r="R418" s="120" t="n">
        <v>2</v>
      </c>
      <c r="S418" s="120" t="inlineStr">
        <is>
          <t>계</t>
        </is>
      </c>
      <c r="T418" s="5" t="inlineStr">
        <is>
          <t>128A</t>
        </is>
      </c>
      <c r="U418" s="9" t="n"/>
      <c r="W418" s="130">
        <f>D418</f>
        <v/>
      </c>
      <c r="X418" s="131">
        <f>E418</f>
        <v/>
      </c>
      <c r="Y418" s="136">
        <f>H418</f>
        <v/>
      </c>
      <c r="Z418" s="134">
        <f>I418</f>
        <v/>
      </c>
      <c r="AA418" s="134">
        <f>K418</f>
        <v/>
      </c>
      <c r="AB418" s="134">
        <f>M418</f>
        <v/>
      </c>
      <c r="AC418" s="4">
        <f>N418</f>
        <v/>
      </c>
      <c r="AD418" s="135">
        <f>O418</f>
        <v/>
      </c>
      <c r="AE418" s="120">
        <f>S418</f>
        <v/>
      </c>
      <c r="AF418" s="120">
        <f>Q418&amp;"/"&amp;R418</f>
        <v/>
      </c>
      <c r="AH418" s="20">
        <f>IF(A418="","",A418)</f>
        <v/>
      </c>
      <c r="AI418" s="131">
        <f>IF(E418="","",E418)</f>
        <v/>
      </c>
      <c r="AJ418" s="120">
        <f>IF(AI418="","",$AJ$2)</f>
        <v/>
      </c>
      <c r="AK418" s="120" t="inlineStr">
        <is>
          <t>A</t>
        </is>
      </c>
      <c r="AL418" s="120" t="inlineStr">
        <is>
          <t>A+</t>
        </is>
      </c>
      <c r="AM418" s="120" t="inlineStr">
        <is>
          <t>B+</t>
        </is>
      </c>
      <c r="AN418" s="120">
        <f>IF(AI418="","",$AN$2)</f>
        <v/>
      </c>
      <c r="AO418" s="120">
        <f>IF(N418="","",IF(N418&gt;=$AO$1/100,"O","X"))</f>
        <v/>
      </c>
      <c r="AP418" s="120">
        <f>IF(I418="","",IF(I418&lt;=$AP$1,"O","X"))</f>
        <v/>
      </c>
      <c r="AQ418" s="120">
        <f>IF(O418="","",IF(O418&lt;=$AQ$1,"O","X"))</f>
        <v/>
      </c>
      <c r="AR418" s="120">
        <f>IF(M418="","",IF(M418&lt;=$AR$1,"O","X"))</f>
        <v/>
      </c>
      <c r="AS418" s="120" t="inlineStr">
        <is>
          <t>X</t>
        </is>
      </c>
      <c r="AT418" s="120">
        <f>IF(OR(F418="",AI418=""),"",IF(AND((F418&lt;=85),(AI418&gt;=15)),"O","X"))</f>
        <v/>
      </c>
      <c r="AU418" s="120">
        <f>IF(C418="","",IF(C418&gt;=$AU$1,"O","X"))</f>
        <v/>
      </c>
      <c r="AV418" s="120">
        <f>IF(AO418="","",IF(AND(AO418="O",AP418="O",AR418="O",AT418="O",AU418="O"),"후보","X"))</f>
        <v/>
      </c>
    </row>
    <row r="419" ht="12" customFormat="1" customHeight="1" s="37">
      <c r="A419" s="78" t="inlineStr">
        <is>
          <t>학암동 LH위례포엘리움</t>
        </is>
      </c>
      <c r="B419" s="79" t="inlineStr">
        <is>
          <t>21.09.</t>
        </is>
      </c>
      <c r="C419" s="129" t="n">
        <v>508</v>
      </c>
      <c r="D419" s="130" t="n">
        <v>68.59999999999999</v>
      </c>
      <c r="E419" s="131" t="n">
        <v>21</v>
      </c>
      <c r="F419" s="130" t="n">
        <v>46.9</v>
      </c>
      <c r="G419" s="17" t="n">
        <v>14</v>
      </c>
      <c r="H419" s="132" t="n">
        <v>115</v>
      </c>
      <c r="I419" s="133" t="n"/>
      <c r="J419" s="133" t="n"/>
      <c r="K419" s="133" t="n"/>
      <c r="L419" s="133" t="n"/>
      <c r="M419" s="134">
        <f>I419-K419</f>
        <v/>
      </c>
      <c r="N419" s="4">
        <f>IF(ISERROR(K419/I419),"",K419/I419)</f>
        <v/>
      </c>
      <c r="O419" s="135">
        <f>I419/E419</f>
        <v/>
      </c>
      <c r="P419" s="135">
        <f>K419/E419</f>
        <v/>
      </c>
      <c r="Q419" s="120" t="n">
        <v>2</v>
      </c>
      <c r="R419" s="120" t="n">
        <v>1</v>
      </c>
      <c r="S419" s="120" t="inlineStr">
        <is>
          <t>계</t>
        </is>
      </c>
      <c r="T419" s="5" t="inlineStr">
        <is>
          <t>68A</t>
        </is>
      </c>
      <c r="U419" s="9" t="n"/>
      <c r="W419" s="130">
        <f>D419</f>
        <v/>
      </c>
      <c r="X419" s="131">
        <f>E419</f>
        <v/>
      </c>
      <c r="Y419" s="136">
        <f>H419</f>
        <v/>
      </c>
      <c r="Z419" s="134">
        <f>I419</f>
        <v/>
      </c>
      <c r="AA419" s="134">
        <f>K419</f>
        <v/>
      </c>
      <c r="AB419" s="134">
        <f>M419</f>
        <v/>
      </c>
      <c r="AC419" s="4">
        <f>N419</f>
        <v/>
      </c>
      <c r="AD419" s="135">
        <f>O419</f>
        <v/>
      </c>
      <c r="AE419" s="120">
        <f>S419</f>
        <v/>
      </c>
      <c r="AF419" s="120">
        <f>Q419&amp;"/"&amp;R419</f>
        <v/>
      </c>
      <c r="AH419" s="20">
        <f>IF(A419="","",A419)</f>
        <v/>
      </c>
      <c r="AI419" s="131">
        <f>IF(E419="","",E419)</f>
        <v/>
      </c>
      <c r="AJ419" s="120">
        <f>IF(AI419="","",$AJ$2)</f>
        <v/>
      </c>
      <c r="AK419" s="120" t="inlineStr">
        <is>
          <t>A</t>
        </is>
      </c>
      <c r="AL419" s="120" t="inlineStr">
        <is>
          <t>A+</t>
        </is>
      </c>
      <c r="AM419" s="120" t="inlineStr">
        <is>
          <t>B+</t>
        </is>
      </c>
      <c r="AN419" s="120">
        <f>IF(AI419="","",$AN$2)</f>
        <v/>
      </c>
      <c r="AO419" s="120">
        <f>IF(N419="","",IF(N419&gt;=$AO$1/100,"O","X"))</f>
        <v/>
      </c>
      <c r="AP419" s="120">
        <f>IF(I419="","",IF(I419&lt;=$AP$1,"O","X"))</f>
        <v/>
      </c>
      <c r="AQ419" s="120">
        <f>IF(O419="","",IF(O419&lt;=$AQ$1,"O","X"))</f>
        <v/>
      </c>
      <c r="AR419" s="120">
        <f>IF(M419="","",IF(M419&lt;=$AR$1,"O","X"))</f>
        <v/>
      </c>
      <c r="AS419" s="120" t="inlineStr">
        <is>
          <t>X</t>
        </is>
      </c>
      <c r="AT419" s="120">
        <f>IF(OR(F419="",AI419=""),"",IF(AND((F419&lt;=85),(AI419&gt;=15)),"O","X"))</f>
        <v/>
      </c>
      <c r="AU419" s="120">
        <f>IF(C419="","",IF(C419&gt;=$AU$1,"O","X"))</f>
        <v/>
      </c>
      <c r="AV419" s="120">
        <f>IF(AO419="","",IF(AND(AO419="O",AP419="O",AR419="O",AT419="O",AU419="O"),"후보","X"))</f>
        <v/>
      </c>
    </row>
    <row r="420" ht="12" customFormat="1" customHeight="1" s="37">
      <c r="A420" s="78" t="inlineStr">
        <is>
          <t>학암동 LH위례포엘리움</t>
        </is>
      </c>
      <c r="B420" s="79" t="inlineStr">
        <is>
          <t>21.09.</t>
        </is>
      </c>
      <c r="C420" s="129" t="n">
        <v>508</v>
      </c>
      <c r="D420" s="130" t="n">
        <v>68.5</v>
      </c>
      <c r="E420" s="131" t="n">
        <v>21</v>
      </c>
      <c r="F420" s="130" t="n">
        <v>46.8</v>
      </c>
      <c r="G420" s="17" t="n">
        <v>14</v>
      </c>
      <c r="H420" s="132" t="n">
        <v>68</v>
      </c>
      <c r="I420" s="133" t="n"/>
      <c r="J420" s="133" t="n"/>
      <c r="K420" s="133" t="n"/>
      <c r="L420" s="133" t="n"/>
      <c r="M420" s="134">
        <f>I420-K420</f>
        <v/>
      </c>
      <c r="N420" s="4">
        <f>IF(ISERROR(K420/I420),"",K420/I420)</f>
        <v/>
      </c>
      <c r="O420" s="135">
        <f>I420/E420</f>
        <v/>
      </c>
      <c r="P420" s="135">
        <f>K420/E420</f>
        <v/>
      </c>
      <c r="Q420" s="120" t="n">
        <v>2</v>
      </c>
      <c r="R420" s="120" t="n">
        <v>1</v>
      </c>
      <c r="S420" s="120" t="inlineStr">
        <is>
          <t>계</t>
        </is>
      </c>
      <c r="T420" s="5" t="inlineStr">
        <is>
          <t>68B</t>
        </is>
      </c>
      <c r="U420" s="9" t="n"/>
      <c r="W420" s="130">
        <f>D420</f>
        <v/>
      </c>
      <c r="X420" s="131">
        <f>E420</f>
        <v/>
      </c>
      <c r="Y420" s="136">
        <f>H420</f>
        <v/>
      </c>
      <c r="Z420" s="134">
        <f>I420</f>
        <v/>
      </c>
      <c r="AA420" s="134">
        <f>K420</f>
        <v/>
      </c>
      <c r="AB420" s="134">
        <f>M420</f>
        <v/>
      </c>
      <c r="AC420" s="4">
        <f>N420</f>
        <v/>
      </c>
      <c r="AD420" s="135">
        <f>O420</f>
        <v/>
      </c>
      <c r="AE420" s="120">
        <f>S420</f>
        <v/>
      </c>
      <c r="AF420" s="120">
        <f>Q420&amp;"/"&amp;R420</f>
        <v/>
      </c>
      <c r="AH420" s="20">
        <f>IF(A420="","",A420)</f>
        <v/>
      </c>
      <c r="AI420" s="131">
        <f>IF(E420="","",E420)</f>
        <v/>
      </c>
      <c r="AJ420" s="120">
        <f>IF(AI420="","",$AJ$2)</f>
        <v/>
      </c>
      <c r="AK420" s="120" t="inlineStr">
        <is>
          <t>A</t>
        </is>
      </c>
      <c r="AL420" s="120" t="inlineStr">
        <is>
          <t>A+</t>
        </is>
      </c>
      <c r="AM420" s="120" t="inlineStr">
        <is>
          <t>B+</t>
        </is>
      </c>
      <c r="AN420" s="120">
        <f>IF(AI420="","",$AN$2)</f>
        <v/>
      </c>
      <c r="AO420" s="120">
        <f>IF(N420="","",IF(N420&gt;=$AO$1/100,"O","X"))</f>
        <v/>
      </c>
      <c r="AP420" s="120">
        <f>IF(I420="","",IF(I420&lt;=$AP$1,"O","X"))</f>
        <v/>
      </c>
      <c r="AQ420" s="120">
        <f>IF(O420="","",IF(O420&lt;=$AQ$1,"O","X"))</f>
        <v/>
      </c>
      <c r="AR420" s="120">
        <f>IF(M420="","",IF(M420&lt;=$AR$1,"O","X"))</f>
        <v/>
      </c>
      <c r="AS420" s="120" t="inlineStr">
        <is>
          <t>X</t>
        </is>
      </c>
      <c r="AT420" s="120">
        <f>IF(OR(F420="",AI420=""),"",IF(AND((F420&lt;=85),(AI420&gt;=15)),"O","X"))</f>
        <v/>
      </c>
      <c r="AU420" s="120">
        <f>IF(C420="","",IF(C420&gt;=$AU$1,"O","X"))</f>
        <v/>
      </c>
      <c r="AV420" s="120">
        <f>IF(AO420="","",IF(AND(AO420="O",AP420="O",AR420="O",AT420="O",AU420="O"),"후보","X"))</f>
        <v/>
      </c>
    </row>
    <row r="421" ht="12" customFormat="1" customHeight="1" s="37">
      <c r="A421" s="78" t="inlineStr">
        <is>
          <t>학암동 LH위례포엘리움</t>
        </is>
      </c>
      <c r="B421" s="79" t="inlineStr">
        <is>
          <t>21.09.</t>
        </is>
      </c>
      <c r="C421" s="129" t="n">
        <v>508</v>
      </c>
      <c r="D421" s="130" t="n">
        <v>68.40000000000001</v>
      </c>
      <c r="E421" s="131" t="n">
        <v>21</v>
      </c>
      <c r="F421" s="130" t="n">
        <v>46.8</v>
      </c>
      <c r="G421" s="17" t="n">
        <v>14</v>
      </c>
      <c r="H421" s="132" t="n">
        <v>14</v>
      </c>
      <c r="I421" s="133" t="n"/>
      <c r="J421" s="133" t="n"/>
      <c r="K421" s="133" t="n"/>
      <c r="L421" s="133" t="n"/>
      <c r="M421" s="134">
        <f>I421-K421</f>
        <v/>
      </c>
      <c r="N421" s="4">
        <f>IF(ISERROR(K421/I421),"",K421/I421)</f>
        <v/>
      </c>
      <c r="O421" s="135">
        <f>I421/E421</f>
        <v/>
      </c>
      <c r="P421" s="135">
        <f>K421/E421</f>
        <v/>
      </c>
      <c r="Q421" s="120" t="n">
        <v>2</v>
      </c>
      <c r="R421" s="120" t="n">
        <v>1</v>
      </c>
      <c r="S421" s="120" t="inlineStr">
        <is>
          <t>계</t>
        </is>
      </c>
      <c r="T421" s="5" t="inlineStr">
        <is>
          <t>68B-1</t>
        </is>
      </c>
      <c r="U421" s="9" t="n"/>
      <c r="W421" s="130">
        <f>D421</f>
        <v/>
      </c>
      <c r="X421" s="131">
        <f>E421</f>
        <v/>
      </c>
      <c r="Y421" s="136">
        <f>H421</f>
        <v/>
      </c>
      <c r="Z421" s="134">
        <f>I421</f>
        <v/>
      </c>
      <c r="AA421" s="134">
        <f>K421</f>
        <v/>
      </c>
      <c r="AB421" s="134">
        <f>M421</f>
        <v/>
      </c>
      <c r="AC421" s="4">
        <f>N421</f>
        <v/>
      </c>
      <c r="AD421" s="135">
        <f>O421</f>
        <v/>
      </c>
      <c r="AE421" s="120">
        <f>S421</f>
        <v/>
      </c>
      <c r="AF421" s="120">
        <f>Q421&amp;"/"&amp;R421</f>
        <v/>
      </c>
      <c r="AH421" s="20">
        <f>IF(A421="","",A421)</f>
        <v/>
      </c>
      <c r="AI421" s="131">
        <f>IF(E421="","",E421)</f>
        <v/>
      </c>
      <c r="AJ421" s="120">
        <f>IF(AI421="","",$AJ$2)</f>
        <v/>
      </c>
      <c r="AK421" s="120" t="inlineStr">
        <is>
          <t>A</t>
        </is>
      </c>
      <c r="AL421" s="120" t="inlineStr">
        <is>
          <t>A+</t>
        </is>
      </c>
      <c r="AM421" s="120" t="inlineStr">
        <is>
          <t>B+</t>
        </is>
      </c>
      <c r="AN421" s="120">
        <f>IF(AI421="","",$AN$2)</f>
        <v/>
      </c>
      <c r="AO421" s="120">
        <f>IF(N421="","",IF(N421&gt;=$AO$1/100,"O","X"))</f>
        <v/>
      </c>
      <c r="AP421" s="120">
        <f>IF(I421="","",IF(I421&lt;=$AP$1,"O","X"))</f>
        <v/>
      </c>
      <c r="AQ421" s="120">
        <f>IF(O421="","",IF(O421&lt;=$AQ$1,"O","X"))</f>
        <v/>
      </c>
      <c r="AR421" s="120">
        <f>IF(M421="","",IF(M421&lt;=$AR$1,"O","X"))</f>
        <v/>
      </c>
      <c r="AS421" s="120" t="inlineStr">
        <is>
          <t>X</t>
        </is>
      </c>
      <c r="AT421" s="120">
        <f>IF(OR(F421="",AI421=""),"",IF(AND((F421&lt;=85),(AI421&gt;=15)),"O","X"))</f>
        <v/>
      </c>
      <c r="AU421" s="120">
        <f>IF(C421="","",IF(C421&gt;=$AU$1,"O","X"))</f>
        <v/>
      </c>
      <c r="AV421" s="120">
        <f>IF(AO421="","",IF(AND(AO421="O",AP421="O",AR421="O",AT421="O",AU421="O"),"후보","X"))</f>
        <v/>
      </c>
    </row>
    <row r="422" ht="12" customFormat="1" customHeight="1" s="37">
      <c r="A422" s="78" t="inlineStr">
        <is>
          <t>학암동 LH위례포엘리움</t>
        </is>
      </c>
      <c r="B422" s="79" t="inlineStr">
        <is>
          <t>21.09.</t>
        </is>
      </c>
      <c r="C422" s="129" t="n">
        <v>508</v>
      </c>
      <c r="D422" s="130" t="n">
        <v>68.59999999999999</v>
      </c>
      <c r="E422" s="131" t="n">
        <v>21</v>
      </c>
      <c r="F422" s="130" t="n">
        <v>46.9</v>
      </c>
      <c r="G422" s="17" t="n">
        <v>14</v>
      </c>
      <c r="H422" s="132" t="n">
        <v>12</v>
      </c>
      <c r="I422" s="133" t="n"/>
      <c r="J422" s="133" t="n"/>
      <c r="K422" s="133" t="n"/>
      <c r="L422" s="133" t="n"/>
      <c r="M422" s="134">
        <f>I422-K422</f>
        <v/>
      </c>
      <c r="N422" s="4">
        <f>IF(ISERROR(K422/I422),"",K422/I422)</f>
        <v/>
      </c>
      <c r="O422" s="135">
        <f>I422/E422</f>
        <v/>
      </c>
      <c r="P422" s="135">
        <f>K422/E422</f>
        <v/>
      </c>
      <c r="Q422" s="120" t="n">
        <v>2</v>
      </c>
      <c r="R422" s="120" t="n">
        <v>1</v>
      </c>
      <c r="S422" s="120" t="inlineStr">
        <is>
          <t>계</t>
        </is>
      </c>
      <c r="T422" s="5" t="inlineStr">
        <is>
          <t>68A-1</t>
        </is>
      </c>
      <c r="U422" s="9" t="n"/>
      <c r="W422" s="130">
        <f>D422</f>
        <v/>
      </c>
      <c r="X422" s="131">
        <f>E422</f>
        <v/>
      </c>
      <c r="Y422" s="136">
        <f>H422</f>
        <v/>
      </c>
      <c r="Z422" s="134">
        <f>I422</f>
        <v/>
      </c>
      <c r="AA422" s="134">
        <f>K422</f>
        <v/>
      </c>
      <c r="AB422" s="134">
        <f>M422</f>
        <v/>
      </c>
      <c r="AC422" s="4">
        <f>N422</f>
        <v/>
      </c>
      <c r="AD422" s="135">
        <f>O422</f>
        <v/>
      </c>
      <c r="AE422" s="120">
        <f>S422</f>
        <v/>
      </c>
      <c r="AF422" s="120">
        <f>Q422&amp;"/"&amp;R422</f>
        <v/>
      </c>
      <c r="AH422" s="20">
        <f>IF(A422="","",A422)</f>
        <v/>
      </c>
      <c r="AI422" s="131">
        <f>IF(E422="","",E422)</f>
        <v/>
      </c>
      <c r="AJ422" s="120">
        <f>IF(AI422="","",$AJ$2)</f>
        <v/>
      </c>
      <c r="AK422" s="120" t="inlineStr">
        <is>
          <t>A</t>
        </is>
      </c>
      <c r="AL422" s="120" t="inlineStr">
        <is>
          <t>A+</t>
        </is>
      </c>
      <c r="AM422" s="120" t="inlineStr">
        <is>
          <t>B+</t>
        </is>
      </c>
      <c r="AN422" s="120">
        <f>IF(AI422="","",$AN$2)</f>
        <v/>
      </c>
      <c r="AO422" s="120">
        <f>IF(N422="","",IF(N422&gt;=$AO$1/100,"O","X"))</f>
        <v/>
      </c>
      <c r="AP422" s="120">
        <f>IF(I422="","",IF(I422&lt;=$AP$1,"O","X"))</f>
        <v/>
      </c>
      <c r="AQ422" s="120">
        <f>IF(O422="","",IF(O422&lt;=$AQ$1,"O","X"))</f>
        <v/>
      </c>
      <c r="AR422" s="120">
        <f>IF(M422="","",IF(M422&lt;=$AR$1,"O","X"))</f>
        <v/>
      </c>
      <c r="AS422" s="120" t="inlineStr">
        <is>
          <t>X</t>
        </is>
      </c>
      <c r="AT422" s="120">
        <f>IF(OR(F422="",AI422=""),"",IF(AND((F422&lt;=85),(AI422&gt;=15)),"O","X"))</f>
        <v/>
      </c>
      <c r="AU422" s="120">
        <f>IF(C422="","",IF(C422&gt;=$AU$1,"O","X"))</f>
        <v/>
      </c>
      <c r="AV422" s="120">
        <f>IF(AO422="","",IF(AND(AO422="O",AP422="O",AR422="O",AT422="O",AU422="O"),"후보","X"))</f>
        <v/>
      </c>
    </row>
    <row r="423" ht="12" customFormat="1" customHeight="1" s="37">
      <c r="A423" s="78" t="inlineStr">
        <is>
          <t>학암동 LH위례포엘리움</t>
        </is>
      </c>
      <c r="B423" s="79" t="inlineStr">
        <is>
          <t>21.09.</t>
        </is>
      </c>
      <c r="C423" s="129" t="n">
        <v>508</v>
      </c>
      <c r="D423" s="130" t="n">
        <v>81.8</v>
      </c>
      <c r="E423" s="131" t="n">
        <v>25</v>
      </c>
      <c r="F423" s="130" t="n">
        <v>56</v>
      </c>
      <c r="G423" s="17" t="n">
        <v>17</v>
      </c>
      <c r="H423" s="132" t="n">
        <v>70</v>
      </c>
      <c r="I423" s="133" t="n"/>
      <c r="J423" s="133" t="n"/>
      <c r="K423" s="133" t="n"/>
      <c r="L423" s="133" t="n"/>
      <c r="M423" s="134">
        <f>I423-K423</f>
        <v/>
      </c>
      <c r="N423" s="4">
        <f>IF(ISERROR(K423/I423),"",K423/I423)</f>
        <v/>
      </c>
      <c r="O423" s="135">
        <f>I423/E423</f>
        <v/>
      </c>
      <c r="P423" s="135">
        <f>K423/E423</f>
        <v/>
      </c>
      <c r="Q423" s="120" t="n">
        <v>2</v>
      </c>
      <c r="R423" s="120" t="n">
        <v>2</v>
      </c>
      <c r="S423" s="120" t="inlineStr">
        <is>
          <t>계</t>
        </is>
      </c>
      <c r="T423" s="5" t="inlineStr">
        <is>
          <t>81A</t>
        </is>
      </c>
      <c r="U423" s="9" t="n"/>
      <c r="W423" s="130">
        <f>D423</f>
        <v/>
      </c>
      <c r="X423" s="131">
        <f>E423</f>
        <v/>
      </c>
      <c r="Y423" s="136">
        <f>H423</f>
        <v/>
      </c>
      <c r="Z423" s="134">
        <f>I423</f>
        <v/>
      </c>
      <c r="AA423" s="134">
        <f>K423</f>
        <v/>
      </c>
      <c r="AB423" s="134">
        <f>M423</f>
        <v/>
      </c>
      <c r="AC423" s="4">
        <f>N423</f>
        <v/>
      </c>
      <c r="AD423" s="135">
        <f>O423</f>
        <v/>
      </c>
      <c r="AE423" s="120">
        <f>S423</f>
        <v/>
      </c>
      <c r="AF423" s="120">
        <f>Q423&amp;"/"&amp;R423</f>
        <v/>
      </c>
      <c r="AH423" s="20">
        <f>IF(A423="","",A423)</f>
        <v/>
      </c>
      <c r="AI423" s="131">
        <f>IF(E423="","",E423)</f>
        <v/>
      </c>
      <c r="AJ423" s="120">
        <f>IF(AI423="","",$AJ$2)</f>
        <v/>
      </c>
      <c r="AK423" s="120" t="inlineStr">
        <is>
          <t>A</t>
        </is>
      </c>
      <c r="AL423" s="120" t="inlineStr">
        <is>
          <t>A+</t>
        </is>
      </c>
      <c r="AM423" s="120" t="inlineStr">
        <is>
          <t>B+</t>
        </is>
      </c>
      <c r="AN423" s="120">
        <f>IF(AI423="","",$AN$2)</f>
        <v/>
      </c>
      <c r="AO423" s="120">
        <f>IF(N423="","",IF(N423&gt;=$AO$1/100,"O","X"))</f>
        <v/>
      </c>
      <c r="AP423" s="120">
        <f>IF(I423="","",IF(I423&lt;=$AP$1,"O","X"))</f>
        <v/>
      </c>
      <c r="AQ423" s="120">
        <f>IF(O423="","",IF(O423&lt;=$AQ$1,"O","X"))</f>
        <v/>
      </c>
      <c r="AR423" s="120">
        <f>IF(M423="","",IF(M423&lt;=$AR$1,"O","X"))</f>
        <v/>
      </c>
      <c r="AS423" s="120" t="inlineStr">
        <is>
          <t>X</t>
        </is>
      </c>
      <c r="AT423" s="120">
        <f>IF(OR(F423="",AI423=""),"",IF(AND((F423&lt;=85),(AI423&gt;=15)),"O","X"))</f>
        <v/>
      </c>
      <c r="AU423" s="120">
        <f>IF(C423="","",IF(C423&gt;=$AU$1,"O","X"))</f>
        <v/>
      </c>
      <c r="AV423" s="120">
        <f>IF(AO423="","",IF(AND(AO423="O",AP423="O",AR423="O",AT423="O",AU423="O"),"후보","X"))</f>
        <v/>
      </c>
    </row>
    <row r="424" ht="12" customFormat="1" customHeight="1" s="37">
      <c r="A424" s="78" t="inlineStr">
        <is>
          <t>학암동 LH위례포엘리움</t>
        </is>
      </c>
      <c r="B424" s="79" t="inlineStr">
        <is>
          <t>21.09.</t>
        </is>
      </c>
      <c r="C424" s="129" t="n">
        <v>508</v>
      </c>
      <c r="D424" s="130" t="n">
        <v>81.8</v>
      </c>
      <c r="E424" s="131" t="n">
        <v>25</v>
      </c>
      <c r="F424" s="130" t="n">
        <v>56</v>
      </c>
      <c r="G424" s="17" t="n">
        <v>17</v>
      </c>
      <c r="H424" s="132" t="n">
        <v>45</v>
      </c>
      <c r="I424" s="133" t="n"/>
      <c r="J424" s="133" t="n"/>
      <c r="K424" s="133" t="n"/>
      <c r="L424" s="133" t="n"/>
      <c r="M424" s="134">
        <f>I424-K424</f>
        <v/>
      </c>
      <c r="N424" s="4">
        <f>IF(ISERROR(K424/I424),"",K424/I424)</f>
        <v/>
      </c>
      <c r="O424" s="135">
        <f>I424/E424</f>
        <v/>
      </c>
      <c r="P424" s="135">
        <f>K424/E424</f>
        <v/>
      </c>
      <c r="Q424" s="120" t="n">
        <v>2</v>
      </c>
      <c r="R424" s="120" t="n">
        <v>2</v>
      </c>
      <c r="S424" s="120" t="inlineStr">
        <is>
          <t>계</t>
        </is>
      </c>
      <c r="T424" s="5" t="inlineStr">
        <is>
          <t>81B</t>
        </is>
      </c>
      <c r="U424" s="9" t="n"/>
      <c r="W424" s="130">
        <f>D424</f>
        <v/>
      </c>
      <c r="X424" s="131">
        <f>E424</f>
        <v/>
      </c>
      <c r="Y424" s="136">
        <f>H424</f>
        <v/>
      </c>
      <c r="Z424" s="134">
        <f>I424</f>
        <v/>
      </c>
      <c r="AA424" s="134">
        <f>K424</f>
        <v/>
      </c>
      <c r="AB424" s="134">
        <f>M424</f>
        <v/>
      </c>
      <c r="AC424" s="4">
        <f>N424</f>
        <v/>
      </c>
      <c r="AD424" s="135">
        <f>O424</f>
        <v/>
      </c>
      <c r="AE424" s="120">
        <f>S424</f>
        <v/>
      </c>
      <c r="AF424" s="120">
        <f>Q424&amp;"/"&amp;R424</f>
        <v/>
      </c>
      <c r="AH424" s="20">
        <f>IF(A424="","",A424)</f>
        <v/>
      </c>
      <c r="AI424" s="131">
        <f>IF(E424="","",E424)</f>
        <v/>
      </c>
      <c r="AJ424" s="120">
        <f>IF(AI424="","",$AJ$2)</f>
        <v/>
      </c>
      <c r="AK424" s="120" t="inlineStr">
        <is>
          <t>A</t>
        </is>
      </c>
      <c r="AL424" s="120" t="inlineStr">
        <is>
          <t>A+</t>
        </is>
      </c>
      <c r="AM424" s="120" t="inlineStr">
        <is>
          <t>B+</t>
        </is>
      </c>
      <c r="AN424" s="120">
        <f>IF(AI424="","",$AN$2)</f>
        <v/>
      </c>
      <c r="AO424" s="120">
        <f>IF(N424="","",IF(N424&gt;=$AO$1/100,"O","X"))</f>
        <v/>
      </c>
      <c r="AP424" s="120">
        <f>IF(I424="","",IF(I424&lt;=$AP$1,"O","X"))</f>
        <v/>
      </c>
      <c r="AQ424" s="120">
        <f>IF(O424="","",IF(O424&lt;=$AQ$1,"O","X"))</f>
        <v/>
      </c>
      <c r="AR424" s="120">
        <f>IF(M424="","",IF(M424&lt;=$AR$1,"O","X"))</f>
        <v/>
      </c>
      <c r="AS424" s="120" t="inlineStr">
        <is>
          <t>X</t>
        </is>
      </c>
      <c r="AT424" s="120">
        <f>IF(OR(F424="",AI424=""),"",IF(AND((F424&lt;=85),(AI424&gt;=15)),"O","X"))</f>
        <v/>
      </c>
      <c r="AU424" s="120">
        <f>IF(C424="","",IF(C424&gt;=$AU$1,"O","X"))</f>
        <v/>
      </c>
      <c r="AV424" s="120">
        <f>IF(AO424="","",IF(AND(AO424="O",AP424="O",AR424="O",AT424="O",AU424="O"),"후보","X"))</f>
        <v/>
      </c>
    </row>
    <row r="425" ht="12" customFormat="1" customHeight="1" s="37">
      <c r="A425" s="78" t="inlineStr">
        <is>
          <t>학암동 LH위례포엘리움</t>
        </is>
      </c>
      <c r="B425" s="79" t="inlineStr">
        <is>
          <t>21.09.</t>
        </is>
      </c>
      <c r="C425" s="129" t="n">
        <v>508</v>
      </c>
      <c r="D425" s="130" t="n">
        <v>81.8</v>
      </c>
      <c r="E425" s="131" t="n">
        <v>25</v>
      </c>
      <c r="F425" s="130" t="n">
        <v>56</v>
      </c>
      <c r="G425" s="17" t="n">
        <v>17</v>
      </c>
      <c r="H425" s="132" t="n">
        <v>12</v>
      </c>
      <c r="I425" s="133" t="n"/>
      <c r="J425" s="133" t="n"/>
      <c r="K425" s="133" t="n"/>
      <c r="L425" s="133" t="n"/>
      <c r="M425" s="134">
        <f>I425-K425</f>
        <v/>
      </c>
      <c r="N425" s="4">
        <f>IF(ISERROR(K425/I425),"",K425/I425)</f>
        <v/>
      </c>
      <c r="O425" s="135">
        <f>I425/E425</f>
        <v/>
      </c>
      <c r="P425" s="135">
        <f>K425/E425</f>
        <v/>
      </c>
      <c r="Q425" s="120" t="n">
        <v>2</v>
      </c>
      <c r="R425" s="120" t="n">
        <v>2</v>
      </c>
      <c r="S425" s="120" t="inlineStr">
        <is>
          <t>계</t>
        </is>
      </c>
      <c r="T425" s="5" t="inlineStr">
        <is>
          <t>81B-1</t>
        </is>
      </c>
      <c r="U425" s="9" t="n"/>
      <c r="W425" s="130">
        <f>D425</f>
        <v/>
      </c>
      <c r="X425" s="131">
        <f>E425</f>
        <v/>
      </c>
      <c r="Y425" s="136">
        <f>H425</f>
        <v/>
      </c>
      <c r="Z425" s="134">
        <f>I425</f>
        <v/>
      </c>
      <c r="AA425" s="134">
        <f>K425</f>
        <v/>
      </c>
      <c r="AB425" s="134">
        <f>M425</f>
        <v/>
      </c>
      <c r="AC425" s="4">
        <f>N425</f>
        <v/>
      </c>
      <c r="AD425" s="135">
        <f>O425</f>
        <v/>
      </c>
      <c r="AE425" s="120">
        <f>S425</f>
        <v/>
      </c>
      <c r="AF425" s="120">
        <f>Q425&amp;"/"&amp;R425</f>
        <v/>
      </c>
      <c r="AH425" s="20">
        <f>IF(A425="","",A425)</f>
        <v/>
      </c>
      <c r="AI425" s="131">
        <f>IF(E425="","",E425)</f>
        <v/>
      </c>
      <c r="AJ425" s="120">
        <f>IF(AI425="","",$AJ$2)</f>
        <v/>
      </c>
      <c r="AK425" s="120" t="inlineStr">
        <is>
          <t>A</t>
        </is>
      </c>
      <c r="AL425" s="120" t="inlineStr">
        <is>
          <t>A+</t>
        </is>
      </c>
      <c r="AM425" s="120" t="inlineStr">
        <is>
          <t>B+</t>
        </is>
      </c>
      <c r="AN425" s="120">
        <f>IF(AI425="","",$AN$2)</f>
        <v/>
      </c>
      <c r="AO425" s="120">
        <f>IF(N425="","",IF(N425&gt;=$AO$1/100,"O","X"))</f>
        <v/>
      </c>
      <c r="AP425" s="120">
        <f>IF(I425="","",IF(I425&lt;=$AP$1,"O","X"))</f>
        <v/>
      </c>
      <c r="AQ425" s="120">
        <f>IF(O425="","",IF(O425&lt;=$AQ$1,"O","X"))</f>
        <v/>
      </c>
      <c r="AR425" s="120">
        <f>IF(M425="","",IF(M425&lt;=$AR$1,"O","X"))</f>
        <v/>
      </c>
      <c r="AS425" s="120" t="inlineStr">
        <is>
          <t>X</t>
        </is>
      </c>
      <c r="AT425" s="120">
        <f>IF(OR(F425="",AI425=""),"",IF(AND((F425&lt;=85),(AI425&gt;=15)),"O","X"))</f>
        <v/>
      </c>
      <c r="AU425" s="120">
        <f>IF(C425="","",IF(C425&gt;=$AU$1,"O","X"))</f>
        <v/>
      </c>
      <c r="AV425" s="120">
        <f>IF(AO425="","",IF(AND(AO425="O",AP425="O",AR425="O",AT425="O",AU425="O"),"후보","X"))</f>
        <v/>
      </c>
    </row>
    <row r="426" ht="12" customFormat="1" customHeight="1" s="37">
      <c r="A426" s="78" t="inlineStr">
        <is>
          <t>학암동 LH위례포엘리움</t>
        </is>
      </c>
      <c r="B426" s="79" t="inlineStr">
        <is>
          <t>21.09.</t>
        </is>
      </c>
      <c r="C426" s="129" t="n">
        <v>508</v>
      </c>
      <c r="D426" s="130" t="n">
        <v>81.8</v>
      </c>
      <c r="E426" s="131" t="n">
        <v>25</v>
      </c>
      <c r="F426" s="130" t="n">
        <v>56</v>
      </c>
      <c r="G426" s="17" t="n">
        <v>17</v>
      </c>
      <c r="H426" s="132" t="n">
        <v>9</v>
      </c>
      <c r="I426" s="133" t="n"/>
      <c r="J426" s="133" t="n"/>
      <c r="K426" s="133" t="n"/>
      <c r="L426" s="133" t="n"/>
      <c r="M426" s="134">
        <f>I426-K426</f>
        <v/>
      </c>
      <c r="N426" s="4">
        <f>IF(ISERROR(K426/I426),"",K426/I426)</f>
        <v/>
      </c>
      <c r="O426" s="135">
        <f>I426/E426</f>
        <v/>
      </c>
      <c r="P426" s="135">
        <f>K426/E426</f>
        <v/>
      </c>
      <c r="Q426" s="120" t="n">
        <v>2</v>
      </c>
      <c r="R426" s="120" t="n">
        <v>2</v>
      </c>
      <c r="S426" s="120" t="inlineStr">
        <is>
          <t>계</t>
        </is>
      </c>
      <c r="T426" s="5" t="inlineStr">
        <is>
          <t>81A-1</t>
        </is>
      </c>
      <c r="U426" s="9" t="n"/>
      <c r="W426" s="130">
        <f>D426</f>
        <v/>
      </c>
      <c r="X426" s="131">
        <f>E426</f>
        <v/>
      </c>
      <c r="Y426" s="136">
        <f>H426</f>
        <v/>
      </c>
      <c r="Z426" s="134">
        <f>I426</f>
        <v/>
      </c>
      <c r="AA426" s="134">
        <f>K426</f>
        <v/>
      </c>
      <c r="AB426" s="134">
        <f>M426</f>
        <v/>
      </c>
      <c r="AC426" s="4">
        <f>N426</f>
        <v/>
      </c>
      <c r="AD426" s="135">
        <f>O426</f>
        <v/>
      </c>
      <c r="AE426" s="120">
        <f>S426</f>
        <v/>
      </c>
      <c r="AF426" s="120">
        <f>Q426&amp;"/"&amp;R426</f>
        <v/>
      </c>
      <c r="AH426" s="20">
        <f>IF(A426="","",A426)</f>
        <v/>
      </c>
      <c r="AI426" s="131">
        <f>IF(E426="","",E426)</f>
        <v/>
      </c>
      <c r="AJ426" s="120">
        <f>IF(AI426="","",$AJ$2)</f>
        <v/>
      </c>
      <c r="AK426" s="120" t="inlineStr">
        <is>
          <t>A</t>
        </is>
      </c>
      <c r="AL426" s="120" t="inlineStr">
        <is>
          <t>A+</t>
        </is>
      </c>
      <c r="AM426" s="120" t="inlineStr">
        <is>
          <t>B+</t>
        </is>
      </c>
      <c r="AN426" s="120">
        <f>IF(AI426="","",$AN$2)</f>
        <v/>
      </c>
      <c r="AO426" s="120">
        <f>IF(N426="","",IF(N426&gt;=$AO$1/100,"O","X"))</f>
        <v/>
      </c>
      <c r="AP426" s="120">
        <f>IF(I426="","",IF(I426&lt;=$AP$1,"O","X"))</f>
        <v/>
      </c>
      <c r="AQ426" s="120">
        <f>IF(O426="","",IF(O426&lt;=$AQ$1,"O","X"))</f>
        <v/>
      </c>
      <c r="AR426" s="120">
        <f>IF(M426="","",IF(M426&lt;=$AR$1,"O","X"))</f>
        <v/>
      </c>
      <c r="AS426" s="120" t="inlineStr">
        <is>
          <t>X</t>
        </is>
      </c>
      <c r="AT426" s="120">
        <f>IF(OR(F426="",AI426=""),"",IF(AND((F426&lt;=85),(AI426&gt;=15)),"O","X"))</f>
        <v/>
      </c>
      <c r="AU426" s="120">
        <f>IF(C426="","",IF(C426&gt;=$AU$1,"O","X"))</f>
        <v/>
      </c>
      <c r="AV426" s="120">
        <f>IF(AO426="","",IF(AND(AO426="O",AP426="O",AR426="O",AT426="O",AU426="O"),"후보","X"))</f>
        <v/>
      </c>
    </row>
    <row r="427" ht="12" customFormat="1" customHeight="1" s="37">
      <c r="A427" s="78" t="inlineStr">
        <is>
          <t>학암동 위례신도시신안인스빌아스트로</t>
        </is>
      </c>
      <c r="B427" s="79" t="inlineStr">
        <is>
          <t>17.02.</t>
        </is>
      </c>
      <c r="C427" s="129" t="n">
        <v>694</v>
      </c>
      <c r="D427" s="130" t="n">
        <v>123.8</v>
      </c>
      <c r="E427" s="131" t="n">
        <v>37</v>
      </c>
      <c r="F427" s="130" t="n">
        <v>97</v>
      </c>
      <c r="G427" s="17" t="n">
        <v>29</v>
      </c>
      <c r="H427" s="132" t="n">
        <v>273</v>
      </c>
      <c r="I427" s="133" t="n">
        <v>165000</v>
      </c>
      <c r="J427" s="133" t="inlineStr">
        <is>
          <t>10</t>
        </is>
      </c>
      <c r="K427" s="133" t="n">
        <v>75000</v>
      </c>
      <c r="L427" s="133" t="inlineStr">
        <is>
          <t>고</t>
        </is>
      </c>
      <c r="M427" s="134">
        <f>I427-K427</f>
        <v/>
      </c>
      <c r="N427" s="4">
        <f>IF(ISERROR(K427/I427),"",K427/I427)</f>
        <v/>
      </c>
      <c r="O427" s="135">
        <f>I427/E427</f>
        <v/>
      </c>
      <c r="P427" s="135">
        <f>K427/E427</f>
        <v/>
      </c>
      <c r="Q427" s="120" t="n">
        <v>4</v>
      </c>
      <c r="R427" s="120" t="n">
        <v>2</v>
      </c>
      <c r="S427" s="120" t="inlineStr">
        <is>
          <t>계</t>
        </is>
      </c>
      <c r="T427" s="5" t="inlineStr">
        <is>
          <t>123A</t>
        </is>
      </c>
      <c r="U427" s="9" t="n"/>
      <c r="W427" s="130">
        <f>D427</f>
        <v/>
      </c>
      <c r="X427" s="131">
        <f>E427</f>
        <v/>
      </c>
      <c r="Y427" s="136">
        <f>H427</f>
        <v/>
      </c>
      <c r="Z427" s="134">
        <f>I427</f>
        <v/>
      </c>
      <c r="AA427" s="134">
        <f>K427</f>
        <v/>
      </c>
      <c r="AB427" s="134">
        <f>M427</f>
        <v/>
      </c>
      <c r="AC427" s="4">
        <f>N427</f>
        <v/>
      </c>
      <c r="AD427" s="135">
        <f>O427</f>
        <v/>
      </c>
      <c r="AE427" s="120">
        <f>S427</f>
        <v/>
      </c>
      <c r="AF427" s="120">
        <f>Q427&amp;"/"&amp;R427</f>
        <v/>
      </c>
      <c r="AH427" s="20">
        <f>IF(A427="","",A427)</f>
        <v/>
      </c>
      <c r="AI427" s="131">
        <f>IF(E427="","",E427)</f>
        <v/>
      </c>
      <c r="AJ427" s="120">
        <f>IF(AI427="","",$AJ$2)</f>
        <v/>
      </c>
      <c r="AK427" s="120" t="inlineStr">
        <is>
          <t>A</t>
        </is>
      </c>
      <c r="AL427" s="120" t="inlineStr">
        <is>
          <t>A+</t>
        </is>
      </c>
      <c r="AM427" s="120" t="inlineStr">
        <is>
          <t>B+</t>
        </is>
      </c>
      <c r="AN427" s="120">
        <f>IF(AI427="","",$AN$2)</f>
        <v/>
      </c>
      <c r="AO427" s="120">
        <f>IF(N427="","",IF(N427&gt;=$AO$1/100,"O","X"))</f>
        <v/>
      </c>
      <c r="AP427" s="120">
        <f>IF(I427="","",IF(I427&lt;=$AP$1,"O","X"))</f>
        <v/>
      </c>
      <c r="AQ427" s="120">
        <f>IF(O427="","",IF(O427&lt;=$AQ$1,"O","X"))</f>
        <v/>
      </c>
      <c r="AR427" s="120">
        <f>IF(M427="","",IF(M427&lt;=$AR$1,"O","X"))</f>
        <v/>
      </c>
      <c r="AS427" s="120" t="inlineStr">
        <is>
          <t>X</t>
        </is>
      </c>
      <c r="AT427" s="120">
        <f>IF(OR(F427="",AI427=""),"",IF(AND((F427&lt;=85),(AI427&gt;=15)),"O","X"))</f>
        <v/>
      </c>
      <c r="AU427" s="120">
        <f>IF(C427="","",IF(C427&gt;=$AU$1,"O","X"))</f>
        <v/>
      </c>
      <c r="AV427" s="120">
        <f>IF(AO427="","",IF(AND(AO427="O",AP427="O",AR427="O",AT427="O",AU427="O"),"후보","X"))</f>
        <v/>
      </c>
    </row>
    <row r="428" ht="12" customFormat="1" customHeight="1" s="37">
      <c r="A428" s="78" t="inlineStr">
        <is>
          <t>학암동 위례신도시신안인스빌아스트로</t>
        </is>
      </c>
      <c r="B428" s="79" t="inlineStr">
        <is>
          <t>17.02.</t>
        </is>
      </c>
      <c r="C428" s="129" t="n">
        <v>694</v>
      </c>
      <c r="D428" s="130" t="n">
        <v>124.7</v>
      </c>
      <c r="E428" s="131" t="n">
        <v>38</v>
      </c>
      <c r="F428" s="130" t="n">
        <v>96.90000000000001</v>
      </c>
      <c r="G428" s="17" t="n">
        <v>29</v>
      </c>
      <c r="H428" s="132" t="n">
        <v>197</v>
      </c>
      <c r="I428" s="133" t="n">
        <v>160000</v>
      </c>
      <c r="J428" s="133" t="inlineStr">
        <is>
          <t>중</t>
        </is>
      </c>
      <c r="K428" s="133" t="n">
        <v>80000</v>
      </c>
      <c r="L428" s="133" t="inlineStr">
        <is>
          <t>12</t>
        </is>
      </c>
      <c r="M428" s="134">
        <f>I428-K428</f>
        <v/>
      </c>
      <c r="N428" s="4">
        <f>IF(ISERROR(K428/I428),"",K428/I428)</f>
        <v/>
      </c>
      <c r="O428" s="135">
        <f>I428/E428</f>
        <v/>
      </c>
      <c r="P428" s="135">
        <f>K428/E428</f>
        <v/>
      </c>
      <c r="Q428" s="120" t="n">
        <v>4</v>
      </c>
      <c r="R428" s="120" t="n">
        <v>2</v>
      </c>
      <c r="S428" s="120" t="inlineStr">
        <is>
          <t>계</t>
        </is>
      </c>
      <c r="T428" s="5" t="inlineStr">
        <is>
          <t>124B</t>
        </is>
      </c>
      <c r="U428" s="9" t="n"/>
      <c r="W428" s="130">
        <f>D428</f>
        <v/>
      </c>
      <c r="X428" s="131">
        <f>E428</f>
        <v/>
      </c>
      <c r="Y428" s="136">
        <f>H428</f>
        <v/>
      </c>
      <c r="Z428" s="134">
        <f>I428</f>
        <v/>
      </c>
      <c r="AA428" s="134">
        <f>K428</f>
        <v/>
      </c>
      <c r="AB428" s="134">
        <f>M428</f>
        <v/>
      </c>
      <c r="AC428" s="4">
        <f>N428</f>
        <v/>
      </c>
      <c r="AD428" s="135">
        <f>O428</f>
        <v/>
      </c>
      <c r="AE428" s="120">
        <f>S428</f>
        <v/>
      </c>
      <c r="AF428" s="120">
        <f>Q428&amp;"/"&amp;R428</f>
        <v/>
      </c>
      <c r="AH428" s="20">
        <f>IF(A428="","",A428)</f>
        <v/>
      </c>
      <c r="AI428" s="131">
        <f>IF(E428="","",E428)</f>
        <v/>
      </c>
      <c r="AJ428" s="120">
        <f>IF(AI428="","",$AJ$2)</f>
        <v/>
      </c>
      <c r="AK428" s="120" t="inlineStr">
        <is>
          <t>A</t>
        </is>
      </c>
      <c r="AL428" s="120" t="inlineStr">
        <is>
          <t>A+</t>
        </is>
      </c>
      <c r="AM428" s="120" t="inlineStr">
        <is>
          <t>B+</t>
        </is>
      </c>
      <c r="AN428" s="120">
        <f>IF(AI428="","",$AN$2)</f>
        <v/>
      </c>
      <c r="AO428" s="120">
        <f>IF(N428="","",IF(N428&gt;=$AO$1/100,"O","X"))</f>
        <v/>
      </c>
      <c r="AP428" s="120">
        <f>IF(I428="","",IF(I428&lt;=$AP$1,"O","X"))</f>
        <v/>
      </c>
      <c r="AQ428" s="120">
        <f>IF(O428="","",IF(O428&lt;=$AQ$1,"O","X"))</f>
        <v/>
      </c>
      <c r="AR428" s="120">
        <f>IF(M428="","",IF(M428&lt;=$AR$1,"O","X"))</f>
        <v/>
      </c>
      <c r="AS428" s="120" t="inlineStr">
        <is>
          <t>X</t>
        </is>
      </c>
      <c r="AT428" s="120">
        <f>IF(OR(F428="",AI428=""),"",IF(AND((F428&lt;=85),(AI428&gt;=15)),"O","X"))</f>
        <v/>
      </c>
      <c r="AU428" s="120">
        <f>IF(C428="","",IF(C428&gt;=$AU$1,"O","X"))</f>
        <v/>
      </c>
      <c r="AV428" s="120">
        <f>IF(AO428="","",IF(AND(AO428="O",AP428="O",AR428="O",AT428="O",AU428="O"),"후보","X"))</f>
        <v/>
      </c>
    </row>
    <row r="429" ht="12" customFormat="1" customHeight="1" s="37">
      <c r="A429" s="78" t="inlineStr">
        <is>
          <t>학암동 위례신도시신안인스빌아스트로</t>
        </is>
      </c>
      <c r="B429" s="79" t="inlineStr">
        <is>
          <t>17.02.</t>
        </is>
      </c>
      <c r="C429" s="129" t="n">
        <v>694</v>
      </c>
      <c r="D429" s="130" t="n">
        <v>131.3</v>
      </c>
      <c r="E429" s="131" t="n">
        <v>40</v>
      </c>
      <c r="F429" s="130" t="n">
        <v>101.2</v>
      </c>
      <c r="G429" s="17" t="n">
        <v>31</v>
      </c>
      <c r="H429" s="132" t="n">
        <v>149</v>
      </c>
      <c r="I429" s="133" t="n">
        <v>180000</v>
      </c>
      <c r="J429" s="133" t="inlineStr">
        <is>
          <t>고</t>
        </is>
      </c>
      <c r="K429" s="133" t="n">
        <v>97000</v>
      </c>
      <c r="L429" s="133" t="inlineStr">
        <is>
          <t>고</t>
        </is>
      </c>
      <c r="M429" s="134">
        <f>I429-K429</f>
        <v/>
      </c>
      <c r="N429" s="4">
        <f>IF(ISERROR(K429/I429),"",K429/I429)</f>
        <v/>
      </c>
      <c r="O429" s="135">
        <f>I429/E429</f>
        <v/>
      </c>
      <c r="P429" s="135">
        <f>K429/E429</f>
        <v/>
      </c>
      <c r="Q429" s="120" t="n">
        <v>4</v>
      </c>
      <c r="R429" s="120" t="n">
        <v>2</v>
      </c>
      <c r="S429" s="120" t="inlineStr">
        <is>
          <t>계</t>
        </is>
      </c>
      <c r="T429" s="5" t="inlineStr">
        <is>
          <t>131A</t>
        </is>
      </c>
      <c r="U429" s="9" t="n"/>
      <c r="W429" s="130">
        <f>D429</f>
        <v/>
      </c>
      <c r="X429" s="131">
        <f>E429</f>
        <v/>
      </c>
      <c r="Y429" s="136">
        <f>H429</f>
        <v/>
      </c>
      <c r="Z429" s="134">
        <f>I429</f>
        <v/>
      </c>
      <c r="AA429" s="134">
        <f>K429</f>
        <v/>
      </c>
      <c r="AB429" s="134">
        <f>M429</f>
        <v/>
      </c>
      <c r="AC429" s="4">
        <f>N429</f>
        <v/>
      </c>
      <c r="AD429" s="135">
        <f>O429</f>
        <v/>
      </c>
      <c r="AE429" s="120">
        <f>S429</f>
        <v/>
      </c>
      <c r="AF429" s="120">
        <f>Q429&amp;"/"&amp;R429</f>
        <v/>
      </c>
      <c r="AH429" s="20">
        <f>IF(A429="","",A429)</f>
        <v/>
      </c>
      <c r="AI429" s="131">
        <f>IF(E429="","",E429)</f>
        <v/>
      </c>
      <c r="AJ429" s="120">
        <f>IF(AI429="","",$AJ$2)</f>
        <v/>
      </c>
      <c r="AK429" s="120" t="inlineStr">
        <is>
          <t>A</t>
        </is>
      </c>
      <c r="AL429" s="120" t="inlineStr">
        <is>
          <t>A+</t>
        </is>
      </c>
      <c r="AM429" s="120" t="inlineStr">
        <is>
          <t>B+</t>
        </is>
      </c>
      <c r="AN429" s="120">
        <f>IF(AI429="","",$AN$2)</f>
        <v/>
      </c>
      <c r="AO429" s="120">
        <f>IF(N429="","",IF(N429&gt;=$AO$1/100,"O","X"))</f>
        <v/>
      </c>
      <c r="AP429" s="120">
        <f>IF(I429="","",IF(I429&lt;=$AP$1,"O","X"))</f>
        <v/>
      </c>
      <c r="AQ429" s="120">
        <f>IF(O429="","",IF(O429&lt;=$AQ$1,"O","X"))</f>
        <v/>
      </c>
      <c r="AR429" s="120">
        <f>IF(M429="","",IF(M429&lt;=$AR$1,"O","X"))</f>
        <v/>
      </c>
      <c r="AS429" s="120" t="inlineStr">
        <is>
          <t>X</t>
        </is>
      </c>
      <c r="AT429" s="120">
        <f>IF(OR(F429="",AI429=""),"",IF(AND((F429&lt;=85),(AI429&gt;=15)),"O","X"))</f>
        <v/>
      </c>
      <c r="AU429" s="120">
        <f>IF(C429="","",IF(C429&gt;=$AU$1,"O","X"))</f>
        <v/>
      </c>
      <c r="AV429" s="120">
        <f>IF(AO429="","",IF(AND(AO429="O",AP429="O",AR429="O",AT429="O",AU429="O"),"후보","X"))</f>
        <v/>
      </c>
    </row>
    <row r="430" ht="12" customFormat="1" customHeight="1" s="37">
      <c r="A430" s="78" t="inlineStr">
        <is>
          <t>학암동 위례신도시신안인스빌아스트로</t>
        </is>
      </c>
      <c r="B430" s="79" t="inlineStr">
        <is>
          <t>17.02.</t>
        </is>
      </c>
      <c r="C430" s="129" t="n">
        <v>694</v>
      </c>
      <c r="D430" s="130" t="n">
        <v>131.2</v>
      </c>
      <c r="E430" s="131" t="n">
        <v>40</v>
      </c>
      <c r="F430" s="130" t="n">
        <v>101.7</v>
      </c>
      <c r="G430" s="17" t="n">
        <v>31</v>
      </c>
      <c r="H430" s="132" t="n">
        <v>75</v>
      </c>
      <c r="I430" s="133" t="n">
        <v>200000</v>
      </c>
      <c r="J430" s="133" t="inlineStr">
        <is>
          <t>5</t>
        </is>
      </c>
      <c r="K430" s="133" t="n">
        <v>90000</v>
      </c>
      <c r="L430" s="133" t="inlineStr">
        <is>
          <t>중</t>
        </is>
      </c>
      <c r="M430" s="134">
        <f>I430-K430</f>
        <v/>
      </c>
      <c r="N430" s="4">
        <f>IF(ISERROR(K430/I430),"",K430/I430)</f>
        <v/>
      </c>
      <c r="O430" s="135">
        <f>I430/E430</f>
        <v/>
      </c>
      <c r="P430" s="135">
        <f>K430/E430</f>
        <v/>
      </c>
      <c r="Q430" s="120" t="n">
        <v>4</v>
      </c>
      <c r="R430" s="120" t="n">
        <v>2</v>
      </c>
      <c r="S430" s="120" t="inlineStr">
        <is>
          <t>계</t>
        </is>
      </c>
      <c r="T430" s="5" t="inlineStr">
        <is>
          <t>131B</t>
        </is>
      </c>
      <c r="U430" s="9" t="n"/>
      <c r="W430" s="130">
        <f>D430</f>
        <v/>
      </c>
      <c r="X430" s="131">
        <f>E430</f>
        <v/>
      </c>
      <c r="Y430" s="136">
        <f>H430</f>
        <v/>
      </c>
      <c r="Z430" s="134">
        <f>I430</f>
        <v/>
      </c>
      <c r="AA430" s="134">
        <f>K430</f>
        <v/>
      </c>
      <c r="AB430" s="134">
        <f>M430</f>
        <v/>
      </c>
      <c r="AC430" s="4">
        <f>N430</f>
        <v/>
      </c>
      <c r="AD430" s="135">
        <f>O430</f>
        <v/>
      </c>
      <c r="AE430" s="120">
        <f>S430</f>
        <v/>
      </c>
      <c r="AF430" s="120">
        <f>Q430&amp;"/"&amp;R430</f>
        <v/>
      </c>
      <c r="AH430" s="20">
        <f>IF(A430="","",A430)</f>
        <v/>
      </c>
      <c r="AI430" s="131">
        <f>IF(E430="","",E430)</f>
        <v/>
      </c>
      <c r="AJ430" s="120">
        <f>IF(AI430="","",$AJ$2)</f>
        <v/>
      </c>
      <c r="AK430" s="120" t="inlineStr">
        <is>
          <t>A</t>
        </is>
      </c>
      <c r="AL430" s="120" t="inlineStr">
        <is>
          <t>A+</t>
        </is>
      </c>
      <c r="AM430" s="120" t="inlineStr">
        <is>
          <t>B+</t>
        </is>
      </c>
      <c r="AN430" s="120">
        <f>IF(AI430="","",$AN$2)</f>
        <v/>
      </c>
      <c r="AO430" s="120">
        <f>IF(N430="","",IF(N430&gt;=$AO$1/100,"O","X"))</f>
        <v/>
      </c>
      <c r="AP430" s="120">
        <f>IF(I430="","",IF(I430&lt;=$AP$1,"O","X"))</f>
        <v/>
      </c>
      <c r="AQ430" s="120">
        <f>IF(O430="","",IF(O430&lt;=$AQ$1,"O","X"))</f>
        <v/>
      </c>
      <c r="AR430" s="120">
        <f>IF(M430="","",IF(M430&lt;=$AR$1,"O","X"))</f>
        <v/>
      </c>
      <c r="AS430" s="120" t="inlineStr">
        <is>
          <t>X</t>
        </is>
      </c>
      <c r="AT430" s="120">
        <f>IF(OR(F430="",AI430=""),"",IF(AND((F430&lt;=85),(AI430&gt;=15)),"O","X"))</f>
        <v/>
      </c>
      <c r="AU430" s="120">
        <f>IF(C430="","",IF(C430&gt;=$AU$1,"O","X"))</f>
        <v/>
      </c>
      <c r="AV430" s="120">
        <f>IF(AO430="","",IF(AND(AO430="O",AP430="O",AR430="O",AT430="O",AU430="O"),"후보","X"))</f>
        <v/>
      </c>
    </row>
    <row r="431" ht="12" customFormat="1" customHeight="1" s="37">
      <c r="A431" s="78" t="inlineStr">
        <is>
          <t>학암동 힐스테이트센트럴위례</t>
        </is>
      </c>
      <c r="B431" s="79" t="inlineStr">
        <is>
          <t>21.05.</t>
        </is>
      </c>
      <c r="C431" s="129" t="n">
        <v>1078</v>
      </c>
      <c r="D431" s="130" t="n">
        <v>116.2</v>
      </c>
      <c r="E431" s="131" t="n">
        <v>35</v>
      </c>
      <c r="F431" s="130" t="n">
        <v>92.40000000000001</v>
      </c>
      <c r="G431" s="17" t="n">
        <v>28</v>
      </c>
      <c r="H431" s="132" t="n">
        <v>167</v>
      </c>
      <c r="I431" s="133" t="n"/>
      <c r="J431" s="133" t="n"/>
      <c r="K431" s="133" t="n">
        <v>80000</v>
      </c>
      <c r="L431" s="133" t="inlineStr">
        <is>
          <t>중</t>
        </is>
      </c>
      <c r="M431" s="134">
        <f>I431-K431</f>
        <v/>
      </c>
      <c r="N431" s="4">
        <f>IF(ISERROR(K431/I431),"",K431/I431)</f>
        <v/>
      </c>
      <c r="O431" s="135">
        <f>I431/E431</f>
        <v/>
      </c>
      <c r="P431" s="135">
        <f>K431/E431</f>
        <v/>
      </c>
      <c r="Q431" s="120" t="n">
        <v>3</v>
      </c>
      <c r="R431" s="120" t="n">
        <v>2</v>
      </c>
      <c r="S431" s="120" t="inlineStr">
        <is>
          <t>계</t>
        </is>
      </c>
      <c r="T431" s="5" t="n">
        <v>116</v>
      </c>
      <c r="U431" s="9" t="n"/>
      <c r="W431" s="130">
        <f>D431</f>
        <v/>
      </c>
      <c r="X431" s="131">
        <f>E431</f>
        <v/>
      </c>
      <c r="Y431" s="136">
        <f>H431</f>
        <v/>
      </c>
      <c r="Z431" s="134">
        <f>I431</f>
        <v/>
      </c>
      <c r="AA431" s="134">
        <f>K431</f>
        <v/>
      </c>
      <c r="AB431" s="134">
        <f>M431</f>
        <v/>
      </c>
      <c r="AC431" s="4">
        <f>N431</f>
        <v/>
      </c>
      <c r="AD431" s="135">
        <f>O431</f>
        <v/>
      </c>
      <c r="AE431" s="120">
        <f>S431</f>
        <v/>
      </c>
      <c r="AF431" s="120">
        <f>Q431&amp;"/"&amp;R431</f>
        <v/>
      </c>
      <c r="AH431" s="20">
        <f>IF(A431="","",A431)</f>
        <v/>
      </c>
      <c r="AI431" s="131">
        <f>IF(E431="","",E431)</f>
        <v/>
      </c>
      <c r="AJ431" s="120">
        <f>IF(AI431="","",$AJ$2)</f>
        <v/>
      </c>
      <c r="AK431" s="120" t="inlineStr">
        <is>
          <t>A</t>
        </is>
      </c>
      <c r="AL431" s="120" t="inlineStr">
        <is>
          <t>A+</t>
        </is>
      </c>
      <c r="AM431" s="120" t="inlineStr">
        <is>
          <t>B+</t>
        </is>
      </c>
      <c r="AN431" s="120">
        <f>IF(AI431="","",$AN$2)</f>
        <v/>
      </c>
      <c r="AO431" s="120">
        <f>IF(N431="","",IF(N431&gt;=$AO$1/100,"O","X"))</f>
        <v/>
      </c>
      <c r="AP431" s="120">
        <f>IF(I431="","",IF(I431&lt;=$AP$1,"O","X"))</f>
        <v/>
      </c>
      <c r="AQ431" s="120">
        <f>IF(O431="","",IF(O431&lt;=$AQ$1,"O","X"))</f>
        <v/>
      </c>
      <c r="AR431" s="120">
        <f>IF(M431="","",IF(M431&lt;=$AR$1,"O","X"))</f>
        <v/>
      </c>
      <c r="AS431" s="120" t="inlineStr">
        <is>
          <t>X</t>
        </is>
      </c>
      <c r="AT431" s="120">
        <f>IF(OR(F431="",AI431=""),"",IF(AND((F431&lt;=85),(AI431&gt;=15)),"O","X"))</f>
        <v/>
      </c>
      <c r="AU431" s="120">
        <f>IF(C431="","",IF(C431&gt;=$AU$1,"O","X"))</f>
        <v/>
      </c>
      <c r="AV431" s="120">
        <f>IF(AO431="","",IF(AND(AO431="O",AP431="O",AR431="O",AT431="O",AU431="O"),"후보","X"))</f>
        <v/>
      </c>
    </row>
    <row r="432" ht="12" customFormat="1" customHeight="1" s="37">
      <c r="A432" s="78" t="inlineStr">
        <is>
          <t>학암동 힐스테이트센트럴위례</t>
        </is>
      </c>
      <c r="B432" s="79" t="inlineStr">
        <is>
          <t>21.05.</t>
        </is>
      </c>
      <c r="C432" s="129" t="n">
        <v>1078</v>
      </c>
      <c r="D432" s="130" t="n">
        <v>126.3</v>
      </c>
      <c r="E432" s="131" t="n">
        <v>38</v>
      </c>
      <c r="F432" s="130" t="n">
        <v>98.7</v>
      </c>
      <c r="G432" s="17" t="n">
        <v>30</v>
      </c>
      <c r="H432" s="132" t="n">
        <v>192</v>
      </c>
      <c r="I432" s="133" t="n"/>
      <c r="J432" s="133" t="n"/>
      <c r="K432" s="133" t="n">
        <v>70000</v>
      </c>
      <c r="L432" s="133" t="inlineStr">
        <is>
          <t>중</t>
        </is>
      </c>
      <c r="M432" s="134">
        <f>I432-K432</f>
        <v/>
      </c>
      <c r="N432" s="4">
        <f>IF(ISERROR(K432/I432),"",K432/I432)</f>
        <v/>
      </c>
      <c r="O432" s="135">
        <f>I432/E432</f>
        <v/>
      </c>
      <c r="P432" s="135">
        <f>K432/E432</f>
        <v/>
      </c>
      <c r="Q432" s="120" t="n">
        <v>3</v>
      </c>
      <c r="R432" s="120" t="n">
        <v>2</v>
      </c>
      <c r="S432" s="120" t="inlineStr">
        <is>
          <t>계</t>
        </is>
      </c>
      <c r="T432" s="5" t="n">
        <v>126</v>
      </c>
      <c r="U432" s="9" t="n"/>
      <c r="W432" s="130">
        <f>D432</f>
        <v/>
      </c>
      <c r="X432" s="131">
        <f>E432</f>
        <v/>
      </c>
      <c r="Y432" s="136">
        <f>H432</f>
        <v/>
      </c>
      <c r="Z432" s="134">
        <f>I432</f>
        <v/>
      </c>
      <c r="AA432" s="134">
        <f>K432</f>
        <v/>
      </c>
      <c r="AB432" s="134">
        <f>M432</f>
        <v/>
      </c>
      <c r="AC432" s="4">
        <f>N432</f>
        <v/>
      </c>
      <c r="AD432" s="135">
        <f>O432</f>
        <v/>
      </c>
      <c r="AE432" s="120">
        <f>S432</f>
        <v/>
      </c>
      <c r="AF432" s="120">
        <f>Q432&amp;"/"&amp;R432</f>
        <v/>
      </c>
      <c r="AH432" s="20">
        <f>IF(A432="","",A432)</f>
        <v/>
      </c>
      <c r="AI432" s="131">
        <f>IF(E432="","",E432)</f>
        <v/>
      </c>
      <c r="AJ432" s="120">
        <f>IF(AI432="","",$AJ$2)</f>
        <v/>
      </c>
      <c r="AK432" s="120" t="inlineStr">
        <is>
          <t>A</t>
        </is>
      </c>
      <c r="AL432" s="120" t="inlineStr">
        <is>
          <t>A+</t>
        </is>
      </c>
      <c r="AM432" s="120" t="inlineStr">
        <is>
          <t>B+</t>
        </is>
      </c>
      <c r="AN432" s="120">
        <f>IF(AI432="","",$AN$2)</f>
        <v/>
      </c>
      <c r="AO432" s="120">
        <f>IF(N432="","",IF(N432&gt;=$AO$1/100,"O","X"))</f>
        <v/>
      </c>
      <c r="AP432" s="120">
        <f>IF(I432="","",IF(I432&lt;=$AP$1,"O","X"))</f>
        <v/>
      </c>
      <c r="AQ432" s="120">
        <f>IF(O432="","",IF(O432&lt;=$AQ$1,"O","X"))</f>
        <v/>
      </c>
      <c r="AR432" s="120">
        <f>IF(M432="","",IF(M432&lt;=$AR$1,"O","X"))</f>
        <v/>
      </c>
      <c r="AS432" s="120" t="inlineStr">
        <is>
          <t>X</t>
        </is>
      </c>
      <c r="AT432" s="120">
        <f>IF(OR(F432="",AI432=""),"",IF(AND((F432&lt;=85),(AI432&gt;=15)),"O","X"))</f>
        <v/>
      </c>
      <c r="AU432" s="120">
        <f>IF(C432="","",IF(C432&gt;=$AU$1,"O","X"))</f>
        <v/>
      </c>
      <c r="AV432" s="120">
        <f>IF(AO432="","",IF(AND(AO432="O",AP432="O",AR432="O",AT432="O",AU432="O"),"후보","X"))</f>
        <v/>
      </c>
    </row>
    <row r="433" ht="12" customFormat="1" customHeight="1" s="37">
      <c r="A433" s="78" t="inlineStr">
        <is>
          <t>학암동 힐스테이트센트럴위례</t>
        </is>
      </c>
      <c r="B433" s="79" t="inlineStr">
        <is>
          <t>21.05.</t>
        </is>
      </c>
      <c r="C433" s="129" t="n">
        <v>1078</v>
      </c>
      <c r="D433" s="130" t="n">
        <v>130.1</v>
      </c>
      <c r="E433" s="131" t="n">
        <v>39</v>
      </c>
      <c r="F433" s="130" t="n">
        <v>102.6</v>
      </c>
      <c r="G433" s="17" t="n">
        <v>31</v>
      </c>
      <c r="H433" s="132" t="n">
        <v>719</v>
      </c>
      <c r="I433" s="133" t="n"/>
      <c r="J433" s="133" t="n"/>
      <c r="K433" s="133" t="n"/>
      <c r="L433" s="133" t="n"/>
      <c r="M433" s="134">
        <f>I433-K433</f>
        <v/>
      </c>
      <c r="N433" s="4">
        <f>IF(ISERROR(K433/I433),"",K433/I433)</f>
        <v/>
      </c>
      <c r="O433" s="135">
        <f>I433/E433</f>
        <v/>
      </c>
      <c r="P433" s="135">
        <f>K433/E433</f>
        <v/>
      </c>
      <c r="Q433" s="120" t="n">
        <v>4</v>
      </c>
      <c r="R433" s="120" t="n">
        <v>2</v>
      </c>
      <c r="S433" s="120" t="inlineStr">
        <is>
          <t>계</t>
        </is>
      </c>
      <c r="T433" s="5" t="n">
        <v>130</v>
      </c>
      <c r="U433" s="9" t="n"/>
      <c r="W433" s="130">
        <f>D433</f>
        <v/>
      </c>
      <c r="X433" s="131">
        <f>E433</f>
        <v/>
      </c>
      <c r="Y433" s="136">
        <f>H433</f>
        <v/>
      </c>
      <c r="Z433" s="134">
        <f>I433</f>
        <v/>
      </c>
      <c r="AA433" s="134">
        <f>K433</f>
        <v/>
      </c>
      <c r="AB433" s="134">
        <f>M433</f>
        <v/>
      </c>
      <c r="AC433" s="4">
        <f>N433</f>
        <v/>
      </c>
      <c r="AD433" s="135">
        <f>O433</f>
        <v/>
      </c>
      <c r="AE433" s="120">
        <f>S433</f>
        <v/>
      </c>
      <c r="AF433" s="120">
        <f>Q433&amp;"/"&amp;R433</f>
        <v/>
      </c>
      <c r="AH433" s="20">
        <f>IF(A433="","",A433)</f>
        <v/>
      </c>
      <c r="AI433" s="131">
        <f>IF(E433="","",E433)</f>
        <v/>
      </c>
      <c r="AJ433" s="120">
        <f>IF(AI433="","",$AJ$2)</f>
        <v/>
      </c>
      <c r="AK433" s="120" t="inlineStr">
        <is>
          <t>A</t>
        </is>
      </c>
      <c r="AL433" s="120" t="inlineStr">
        <is>
          <t>A+</t>
        </is>
      </c>
      <c r="AM433" s="120" t="inlineStr">
        <is>
          <t>B+</t>
        </is>
      </c>
      <c r="AN433" s="120">
        <f>IF(AI433="","",$AN$2)</f>
        <v/>
      </c>
      <c r="AO433" s="120">
        <f>IF(N433="","",IF(N433&gt;=$AO$1/100,"O","X"))</f>
        <v/>
      </c>
      <c r="AP433" s="120">
        <f>IF(I433="","",IF(I433&lt;=$AP$1,"O","X"))</f>
        <v/>
      </c>
      <c r="AQ433" s="120">
        <f>IF(O433="","",IF(O433&lt;=$AQ$1,"O","X"))</f>
        <v/>
      </c>
      <c r="AR433" s="120">
        <f>IF(M433="","",IF(M433&lt;=$AR$1,"O","X"))</f>
        <v/>
      </c>
      <c r="AS433" s="120" t="inlineStr">
        <is>
          <t>X</t>
        </is>
      </c>
      <c r="AT433" s="120">
        <f>IF(OR(F433="",AI433=""),"",IF(AND((F433&lt;=85),(AI433&gt;=15)),"O","X"))</f>
        <v/>
      </c>
      <c r="AU433" s="120">
        <f>IF(C433="","",IF(C433&gt;=$AU$1,"O","X"))</f>
        <v/>
      </c>
      <c r="AV433" s="120">
        <f>IF(AO433="","",IF(AND(AO433="O",AP433="O",AR433="O",AT433="O",AU433="O"),"후보","X"))</f>
        <v/>
      </c>
    </row>
    <row r="434" ht="12" customFormat="1" customHeight="1" s="37">
      <c r="A434" s="78" t="inlineStr">
        <is>
          <t>학암동 위례신도시우미린2차</t>
        </is>
      </c>
      <c r="B434" s="79" t="inlineStr">
        <is>
          <t>22.12.</t>
        </is>
      </c>
      <c r="C434" s="129" t="n">
        <v>420</v>
      </c>
      <c r="D434" s="130" t="n">
        <v>113.9</v>
      </c>
      <c r="E434" s="131" t="n">
        <v>34</v>
      </c>
      <c r="F434" s="130" t="n">
        <v>90.40000000000001</v>
      </c>
      <c r="G434" s="17" t="n">
        <v>27</v>
      </c>
      <c r="H434" s="132" t="n">
        <v>47</v>
      </c>
      <c r="I434" s="133" t="n"/>
      <c r="J434" s="133" t="n"/>
      <c r="K434" s="133" t="n"/>
      <c r="L434" s="133" t="n"/>
      <c r="M434" s="134">
        <f>I434-K434</f>
        <v/>
      </c>
      <c r="N434" s="4">
        <f>IF(ISERROR(K434/I434),"",K434/I434)</f>
        <v/>
      </c>
      <c r="O434" s="135">
        <f>I434/E434</f>
        <v/>
      </c>
      <c r="P434" s="135">
        <f>K434/E434</f>
        <v/>
      </c>
      <c r="Q434" s="120" t="n">
        <v>4</v>
      </c>
      <c r="R434" s="120" t="n">
        <v>2</v>
      </c>
      <c r="S434" s="120" t="inlineStr">
        <is>
          <t>계</t>
        </is>
      </c>
      <c r="T434" s="5" t="inlineStr">
        <is>
          <t>113A</t>
        </is>
      </c>
      <c r="U434" s="9" t="n"/>
      <c r="W434" s="130">
        <f>D434</f>
        <v/>
      </c>
      <c r="X434" s="131">
        <f>E434</f>
        <v/>
      </c>
      <c r="Y434" s="136">
        <f>H434</f>
        <v/>
      </c>
      <c r="Z434" s="134">
        <f>I434</f>
        <v/>
      </c>
      <c r="AA434" s="134">
        <f>K434</f>
        <v/>
      </c>
      <c r="AB434" s="134">
        <f>M434</f>
        <v/>
      </c>
      <c r="AC434" s="4">
        <f>N434</f>
        <v/>
      </c>
      <c r="AD434" s="135">
        <f>O434</f>
        <v/>
      </c>
      <c r="AE434" s="120">
        <f>S434</f>
        <v/>
      </c>
      <c r="AF434" s="120">
        <f>Q434&amp;"/"&amp;R434</f>
        <v/>
      </c>
      <c r="AH434" s="20">
        <f>IF(A434="","",A434)</f>
        <v/>
      </c>
      <c r="AI434" s="131">
        <f>IF(E434="","",E434)</f>
        <v/>
      </c>
      <c r="AJ434" s="120">
        <f>IF(AI434="","",$AJ$2)</f>
        <v/>
      </c>
      <c r="AK434" s="120" t="inlineStr">
        <is>
          <t>A</t>
        </is>
      </c>
      <c r="AL434" s="120" t="inlineStr">
        <is>
          <t>A+</t>
        </is>
      </c>
      <c r="AM434" s="120" t="inlineStr">
        <is>
          <t>B+</t>
        </is>
      </c>
      <c r="AN434" s="120">
        <f>IF(AI434="","",$AN$2)</f>
        <v/>
      </c>
      <c r="AO434" s="120">
        <f>IF(N434="","",IF(N434&gt;=$AO$1/100,"O","X"))</f>
        <v/>
      </c>
      <c r="AP434" s="120">
        <f>IF(I434="","",IF(I434&lt;=$AP$1,"O","X"))</f>
        <v/>
      </c>
      <c r="AQ434" s="120">
        <f>IF(O434="","",IF(O434&lt;=$AQ$1,"O","X"))</f>
        <v/>
      </c>
      <c r="AR434" s="120">
        <f>IF(M434="","",IF(M434&lt;=$AR$1,"O","X"))</f>
        <v/>
      </c>
      <c r="AS434" s="120" t="inlineStr">
        <is>
          <t>X</t>
        </is>
      </c>
      <c r="AT434" s="120">
        <f>IF(OR(F434="",AI434=""),"",IF(AND((F434&lt;=85),(AI434&gt;=15)),"O","X"))</f>
        <v/>
      </c>
      <c r="AU434" s="120">
        <f>IF(C434="","",IF(C434&gt;=$AU$1,"O","X"))</f>
        <v/>
      </c>
      <c r="AV434" s="120">
        <f>IF(AO434="","",IF(AND(AO434="O",AP434="O",AR434="O",AT434="O",AU434="O"),"후보","X"))</f>
        <v/>
      </c>
    </row>
    <row r="435" ht="12" customFormat="1" customHeight="1" s="37">
      <c r="A435" s="78" t="inlineStr">
        <is>
          <t>학암동 위례신도시우미린2차</t>
        </is>
      </c>
      <c r="B435" s="79" t="inlineStr">
        <is>
          <t>22.12.</t>
        </is>
      </c>
      <c r="C435" s="129" t="n">
        <v>420</v>
      </c>
      <c r="D435" s="130" t="n">
        <v>128.2</v>
      </c>
      <c r="E435" s="131" t="n">
        <v>39</v>
      </c>
      <c r="F435" s="130" t="n">
        <v>102.2</v>
      </c>
      <c r="G435" s="17" t="n">
        <v>31</v>
      </c>
      <c r="H435" s="132" t="n">
        <v>163</v>
      </c>
      <c r="I435" s="133" t="n"/>
      <c r="J435" s="133" t="n"/>
      <c r="K435" s="133" t="n"/>
      <c r="L435" s="133" t="n"/>
      <c r="M435" s="134">
        <f>I435-K435</f>
        <v/>
      </c>
      <c r="N435" s="4">
        <f>IF(ISERROR(K435/I435),"",K435/I435)</f>
        <v/>
      </c>
      <c r="O435" s="135">
        <f>I435/E435</f>
        <v/>
      </c>
      <c r="P435" s="135">
        <f>K435/E435</f>
        <v/>
      </c>
      <c r="Q435" s="120" t="n">
        <v>4</v>
      </c>
      <c r="R435" s="120" t="n">
        <v>2</v>
      </c>
      <c r="S435" s="120" t="inlineStr">
        <is>
          <t>계</t>
        </is>
      </c>
      <c r="T435" s="5" t="inlineStr">
        <is>
          <t>128A</t>
        </is>
      </c>
      <c r="U435" s="9" t="n"/>
      <c r="W435" s="130">
        <f>D435</f>
        <v/>
      </c>
      <c r="X435" s="131">
        <f>E435</f>
        <v/>
      </c>
      <c r="Y435" s="136">
        <f>H435</f>
        <v/>
      </c>
      <c r="Z435" s="134">
        <f>I435</f>
        <v/>
      </c>
      <c r="AA435" s="134">
        <f>K435</f>
        <v/>
      </c>
      <c r="AB435" s="134">
        <f>M435</f>
        <v/>
      </c>
      <c r="AC435" s="4">
        <f>N435</f>
        <v/>
      </c>
      <c r="AD435" s="135">
        <f>O435</f>
        <v/>
      </c>
      <c r="AE435" s="120">
        <f>S435</f>
        <v/>
      </c>
      <c r="AF435" s="120">
        <f>Q435&amp;"/"&amp;R435</f>
        <v/>
      </c>
      <c r="AH435" s="20">
        <f>IF(A435="","",A435)</f>
        <v/>
      </c>
      <c r="AI435" s="131">
        <f>IF(E435="","",E435)</f>
        <v/>
      </c>
      <c r="AJ435" s="120">
        <f>IF(AI435="","",$AJ$2)</f>
        <v/>
      </c>
      <c r="AK435" s="120" t="inlineStr">
        <is>
          <t>A</t>
        </is>
      </c>
      <c r="AL435" s="120" t="inlineStr">
        <is>
          <t>A+</t>
        </is>
      </c>
      <c r="AM435" s="120" t="inlineStr">
        <is>
          <t>B+</t>
        </is>
      </c>
      <c r="AN435" s="120">
        <f>IF(AI435="","",$AN$2)</f>
        <v/>
      </c>
      <c r="AO435" s="120">
        <f>IF(N435="","",IF(N435&gt;=$AO$1/100,"O","X"))</f>
        <v/>
      </c>
      <c r="AP435" s="120">
        <f>IF(I435="","",IF(I435&lt;=$AP$1,"O","X"))</f>
        <v/>
      </c>
      <c r="AQ435" s="120">
        <f>IF(O435="","",IF(O435&lt;=$AQ$1,"O","X"))</f>
        <v/>
      </c>
      <c r="AR435" s="120">
        <f>IF(M435="","",IF(M435&lt;=$AR$1,"O","X"))</f>
        <v/>
      </c>
      <c r="AS435" s="120" t="inlineStr">
        <is>
          <t>X</t>
        </is>
      </c>
      <c r="AT435" s="120">
        <f>IF(OR(F435="",AI435=""),"",IF(AND((F435&lt;=85),(AI435&gt;=15)),"O","X"))</f>
        <v/>
      </c>
      <c r="AU435" s="120">
        <f>IF(C435="","",IF(C435&gt;=$AU$1,"O","X"))</f>
        <v/>
      </c>
      <c r="AV435" s="120">
        <f>IF(AO435="","",IF(AND(AO435="O",AP435="O",AR435="O",AT435="O",AU435="O"),"후보","X"))</f>
        <v/>
      </c>
    </row>
    <row r="436" ht="12" customFormat="1" customHeight="1" s="37">
      <c r="A436" s="78" t="inlineStr">
        <is>
          <t>학암동 위례신도시우미린2차</t>
        </is>
      </c>
      <c r="B436" s="79" t="inlineStr">
        <is>
          <t>22.12.</t>
        </is>
      </c>
      <c r="C436" s="129" t="n">
        <v>420</v>
      </c>
      <c r="D436" s="130" t="n">
        <v>129.9</v>
      </c>
      <c r="E436" s="131" t="n">
        <v>39</v>
      </c>
      <c r="F436" s="130" t="n">
        <v>102.5</v>
      </c>
      <c r="G436" s="17" t="n">
        <v>31</v>
      </c>
      <c r="H436" s="132" t="n">
        <v>66</v>
      </c>
      <c r="I436" s="133" t="n"/>
      <c r="J436" s="133" t="n"/>
      <c r="K436" s="133" t="n"/>
      <c r="L436" s="133" t="n"/>
      <c r="M436" s="134">
        <f>I436-K436</f>
        <v/>
      </c>
      <c r="N436" s="4">
        <f>IF(ISERROR(K436/I436),"",K436/I436)</f>
        <v/>
      </c>
      <c r="O436" s="135">
        <f>I436/E436</f>
        <v/>
      </c>
      <c r="P436" s="135">
        <f>K436/E436</f>
        <v/>
      </c>
      <c r="Q436" s="120" t="n">
        <v>4</v>
      </c>
      <c r="R436" s="120" t="n">
        <v>2</v>
      </c>
      <c r="S436" s="120" t="inlineStr">
        <is>
          <t>계</t>
        </is>
      </c>
      <c r="T436" s="5" t="inlineStr">
        <is>
          <t>129B</t>
        </is>
      </c>
      <c r="U436" s="9" t="n"/>
      <c r="W436" s="130">
        <f>D436</f>
        <v/>
      </c>
      <c r="X436" s="131">
        <f>E436</f>
        <v/>
      </c>
      <c r="Y436" s="136">
        <f>H436</f>
        <v/>
      </c>
      <c r="Z436" s="134">
        <f>I436</f>
        <v/>
      </c>
      <c r="AA436" s="134">
        <f>K436</f>
        <v/>
      </c>
      <c r="AB436" s="134">
        <f>M436</f>
        <v/>
      </c>
      <c r="AC436" s="4">
        <f>N436</f>
        <v/>
      </c>
      <c r="AD436" s="135">
        <f>O436</f>
        <v/>
      </c>
      <c r="AE436" s="120">
        <f>S436</f>
        <v/>
      </c>
      <c r="AF436" s="120">
        <f>Q436&amp;"/"&amp;R436</f>
        <v/>
      </c>
      <c r="AH436" s="20">
        <f>IF(A436="","",A436)</f>
        <v/>
      </c>
      <c r="AI436" s="131">
        <f>IF(E436="","",E436)</f>
        <v/>
      </c>
      <c r="AJ436" s="120">
        <f>IF(AI436="","",$AJ$2)</f>
        <v/>
      </c>
      <c r="AK436" s="120" t="inlineStr">
        <is>
          <t>A</t>
        </is>
      </c>
      <c r="AL436" s="120" t="inlineStr">
        <is>
          <t>A+</t>
        </is>
      </c>
      <c r="AM436" s="120" t="inlineStr">
        <is>
          <t>B+</t>
        </is>
      </c>
      <c r="AN436" s="120">
        <f>IF(AI436="","",$AN$2)</f>
        <v/>
      </c>
      <c r="AO436" s="120">
        <f>IF(N436="","",IF(N436&gt;=$AO$1/100,"O","X"))</f>
        <v/>
      </c>
      <c r="AP436" s="120">
        <f>IF(I436="","",IF(I436&lt;=$AP$1,"O","X"))</f>
        <v/>
      </c>
      <c r="AQ436" s="120">
        <f>IF(O436="","",IF(O436&lt;=$AQ$1,"O","X"))</f>
        <v/>
      </c>
      <c r="AR436" s="120">
        <f>IF(M436="","",IF(M436&lt;=$AR$1,"O","X"))</f>
        <v/>
      </c>
      <c r="AS436" s="120" t="inlineStr">
        <is>
          <t>X</t>
        </is>
      </c>
      <c r="AT436" s="120">
        <f>IF(OR(F436="",AI436=""),"",IF(AND((F436&lt;=85),(AI436&gt;=15)),"O","X"))</f>
        <v/>
      </c>
      <c r="AU436" s="120">
        <f>IF(C436="","",IF(C436&gt;=$AU$1,"O","X"))</f>
        <v/>
      </c>
      <c r="AV436" s="120">
        <f>IF(AO436="","",IF(AND(AO436="O",AP436="O",AR436="O",AT436="O",AU436="O"),"후보","X"))</f>
        <v/>
      </c>
    </row>
    <row r="437" ht="12" customFormat="1" customHeight="1" s="37">
      <c r="A437" s="78" t="inlineStr">
        <is>
          <t>학암동 위례신도시우미린2차</t>
        </is>
      </c>
      <c r="B437" s="79" t="inlineStr">
        <is>
          <t>22.12.</t>
        </is>
      </c>
      <c r="C437" s="129" t="n">
        <v>420</v>
      </c>
      <c r="D437" s="130" t="n">
        <v>149.3</v>
      </c>
      <c r="E437" s="131" t="n">
        <v>45</v>
      </c>
      <c r="F437" s="130" t="n">
        <v>119.3</v>
      </c>
      <c r="G437" s="17" t="n">
        <v>36</v>
      </c>
      <c r="H437" s="132" t="n">
        <v>144</v>
      </c>
      <c r="I437" s="133" t="n"/>
      <c r="J437" s="133" t="n"/>
      <c r="K437" s="133" t="n"/>
      <c r="L437" s="133" t="n"/>
      <c r="M437" s="134">
        <f>I437-K437</f>
        <v/>
      </c>
      <c r="N437" s="4">
        <f>IF(ISERROR(K437/I437),"",K437/I437)</f>
        <v/>
      </c>
      <c r="O437" s="135">
        <f>I437/E437</f>
        <v/>
      </c>
      <c r="P437" s="135">
        <f>K437/E437</f>
        <v/>
      </c>
      <c r="Q437" s="120" t="n">
        <v>4</v>
      </c>
      <c r="R437" s="120" t="n">
        <v>2</v>
      </c>
      <c r="S437" s="120" t="inlineStr">
        <is>
          <t>계</t>
        </is>
      </c>
      <c r="T437" s="5" t="inlineStr">
        <is>
          <t>149A</t>
        </is>
      </c>
      <c r="U437" s="9" t="n"/>
      <c r="W437" s="130">
        <f>D437</f>
        <v/>
      </c>
      <c r="X437" s="131">
        <f>E437</f>
        <v/>
      </c>
      <c r="Y437" s="136">
        <f>H437</f>
        <v/>
      </c>
      <c r="Z437" s="134">
        <f>I437</f>
        <v/>
      </c>
      <c r="AA437" s="134">
        <f>K437</f>
        <v/>
      </c>
      <c r="AB437" s="134">
        <f>M437</f>
        <v/>
      </c>
      <c r="AC437" s="4">
        <f>N437</f>
        <v/>
      </c>
      <c r="AD437" s="135">
        <f>O437</f>
        <v/>
      </c>
      <c r="AE437" s="120">
        <f>S437</f>
        <v/>
      </c>
      <c r="AF437" s="120">
        <f>Q437&amp;"/"&amp;R437</f>
        <v/>
      </c>
      <c r="AH437" s="20">
        <f>IF(A437="","",A437)</f>
        <v/>
      </c>
      <c r="AI437" s="131">
        <f>IF(E437="","",E437)</f>
        <v/>
      </c>
      <c r="AJ437" s="120">
        <f>IF(AI437="","",$AJ$2)</f>
        <v/>
      </c>
      <c r="AK437" s="120" t="inlineStr">
        <is>
          <t>A</t>
        </is>
      </c>
      <c r="AL437" s="120" t="inlineStr">
        <is>
          <t>A+</t>
        </is>
      </c>
      <c r="AM437" s="120" t="inlineStr">
        <is>
          <t>B+</t>
        </is>
      </c>
      <c r="AN437" s="120">
        <f>IF(AI437="","",$AN$2)</f>
        <v/>
      </c>
      <c r="AO437" s="120">
        <f>IF(N437="","",IF(N437&gt;=$AO$1/100,"O","X"))</f>
        <v/>
      </c>
      <c r="AP437" s="120">
        <f>IF(I437="","",IF(I437&lt;=$AP$1,"O","X"))</f>
        <v/>
      </c>
      <c r="AQ437" s="120">
        <f>IF(O437="","",IF(O437&lt;=$AQ$1,"O","X"))</f>
        <v/>
      </c>
      <c r="AR437" s="120">
        <f>IF(M437="","",IF(M437&lt;=$AR$1,"O","X"))</f>
        <v/>
      </c>
      <c r="AS437" s="120" t="inlineStr">
        <is>
          <t>X</t>
        </is>
      </c>
      <c r="AT437" s="120">
        <f>IF(OR(F437="",AI437=""),"",IF(AND((F437&lt;=85),(AI437&gt;=15)),"O","X"))</f>
        <v/>
      </c>
      <c r="AU437" s="120">
        <f>IF(C437="","",IF(C437&gt;=$AU$1,"O","X"))</f>
        <v/>
      </c>
      <c r="AV437" s="120">
        <f>IF(AO437="","",IF(AND(AO437="O",AP437="O",AR437="O",AT437="O",AU437="O"),"후보","X"))</f>
        <v/>
      </c>
    </row>
    <row r="438" ht="12" customFormat="1" customHeight="1" s="37">
      <c r="A438" s="78" t="inlineStr">
        <is>
          <t>학암동 위례신도시우미린1차</t>
        </is>
      </c>
      <c r="B438" s="79" t="inlineStr">
        <is>
          <t>22.01.</t>
        </is>
      </c>
      <c r="C438" s="129" t="n">
        <v>875</v>
      </c>
      <c r="D438" s="130" t="n">
        <v>130.2</v>
      </c>
      <c r="E438" s="131" t="n">
        <v>39</v>
      </c>
      <c r="F438" s="130" t="n">
        <v>102.2</v>
      </c>
      <c r="G438" s="17" t="n">
        <v>31</v>
      </c>
      <c r="H438" s="132" t="n">
        <v>248</v>
      </c>
      <c r="I438" s="133" t="n"/>
      <c r="J438" s="133" t="n"/>
      <c r="K438" s="133" t="n"/>
      <c r="L438" s="133" t="n"/>
      <c r="M438" s="134">
        <f>I438-K438</f>
        <v/>
      </c>
      <c r="N438" s="4">
        <f>IF(ISERROR(K438/I438),"",K438/I438)</f>
        <v/>
      </c>
      <c r="O438" s="135">
        <f>I438/E438</f>
        <v/>
      </c>
      <c r="P438" s="135">
        <f>K438/E438</f>
        <v/>
      </c>
      <c r="Q438" s="120" t="n">
        <v>4</v>
      </c>
      <c r="R438" s="120" t="n">
        <v>2</v>
      </c>
      <c r="S438" s="120" t="inlineStr">
        <is>
          <t>계</t>
        </is>
      </c>
      <c r="T438" s="5" t="inlineStr">
        <is>
          <t>130A</t>
        </is>
      </c>
      <c r="U438" s="9" t="n"/>
      <c r="W438" s="130">
        <f>D438</f>
        <v/>
      </c>
      <c r="X438" s="131">
        <f>E438</f>
        <v/>
      </c>
      <c r="Y438" s="136">
        <f>H438</f>
        <v/>
      </c>
      <c r="Z438" s="134">
        <f>I438</f>
        <v/>
      </c>
      <c r="AA438" s="134">
        <f>K438</f>
        <v/>
      </c>
      <c r="AB438" s="134">
        <f>M438</f>
        <v/>
      </c>
      <c r="AC438" s="4">
        <f>N438</f>
        <v/>
      </c>
      <c r="AD438" s="135">
        <f>O438</f>
        <v/>
      </c>
      <c r="AE438" s="120">
        <f>S438</f>
        <v/>
      </c>
      <c r="AF438" s="120">
        <f>Q438&amp;"/"&amp;R438</f>
        <v/>
      </c>
      <c r="AH438" s="20">
        <f>IF(A438="","",A438)</f>
        <v/>
      </c>
      <c r="AI438" s="131">
        <f>IF(E438="","",E438)</f>
        <v/>
      </c>
      <c r="AJ438" s="120">
        <f>IF(AI438="","",$AJ$2)</f>
        <v/>
      </c>
      <c r="AK438" s="120" t="inlineStr">
        <is>
          <t>A</t>
        </is>
      </c>
      <c r="AL438" s="120" t="inlineStr">
        <is>
          <t>A+</t>
        </is>
      </c>
      <c r="AM438" s="120" t="inlineStr">
        <is>
          <t>B+</t>
        </is>
      </c>
      <c r="AN438" s="120">
        <f>IF(AI438="","",$AN$2)</f>
        <v/>
      </c>
      <c r="AO438" s="120">
        <f>IF(N438="","",IF(N438&gt;=$AO$1/100,"O","X"))</f>
        <v/>
      </c>
      <c r="AP438" s="120">
        <f>IF(I438="","",IF(I438&lt;=$AP$1,"O","X"))</f>
        <v/>
      </c>
      <c r="AQ438" s="120">
        <f>IF(O438="","",IF(O438&lt;=$AQ$1,"O","X"))</f>
        <v/>
      </c>
      <c r="AR438" s="120">
        <f>IF(M438="","",IF(M438&lt;=$AR$1,"O","X"))</f>
        <v/>
      </c>
      <c r="AS438" s="120" t="inlineStr">
        <is>
          <t>X</t>
        </is>
      </c>
      <c r="AT438" s="120">
        <f>IF(OR(F438="",AI438=""),"",IF(AND((F438&lt;=85),(AI438&gt;=15)),"O","X"))</f>
        <v/>
      </c>
      <c r="AU438" s="120">
        <f>IF(C438="","",IF(C438&gt;=$AU$1,"O","X"))</f>
        <v/>
      </c>
      <c r="AV438" s="120">
        <f>IF(AO438="","",IF(AND(AO438="O",AP438="O",AR438="O",AT438="O",AU438="O"),"후보","X"))</f>
        <v/>
      </c>
    </row>
    <row r="439" ht="12" customFormat="1" customHeight="1" s="37">
      <c r="A439" s="78" t="inlineStr">
        <is>
          <t>학암동 위례신도시우미린1차</t>
        </is>
      </c>
      <c r="B439" s="79" t="inlineStr">
        <is>
          <t>22.01.</t>
        </is>
      </c>
      <c r="C439" s="129" t="n">
        <v>875</v>
      </c>
      <c r="D439" s="130" t="n">
        <v>130</v>
      </c>
      <c r="E439" s="131" t="n">
        <v>39</v>
      </c>
      <c r="F439" s="130" t="n">
        <v>102.1</v>
      </c>
      <c r="G439" s="17" t="n">
        <v>31</v>
      </c>
      <c r="H439" s="132" t="n">
        <v>171</v>
      </c>
      <c r="I439" s="133" t="n"/>
      <c r="J439" s="133" t="n"/>
      <c r="K439" s="133" t="n"/>
      <c r="L439" s="133" t="n"/>
      <c r="M439" s="134">
        <f>I439-K439</f>
        <v/>
      </c>
      <c r="N439" s="4">
        <f>IF(ISERROR(K439/I439),"",K439/I439)</f>
        <v/>
      </c>
      <c r="O439" s="135">
        <f>I439/E439</f>
        <v/>
      </c>
      <c r="P439" s="135">
        <f>K439/E439</f>
        <v/>
      </c>
      <c r="Q439" s="120" t="n">
        <v>4</v>
      </c>
      <c r="R439" s="120" t="n">
        <v>2</v>
      </c>
      <c r="S439" s="120" t="inlineStr">
        <is>
          <t>계</t>
        </is>
      </c>
      <c r="T439" s="5" t="inlineStr">
        <is>
          <t>130A1</t>
        </is>
      </c>
      <c r="U439" s="9" t="n"/>
      <c r="W439" s="130">
        <f>D439</f>
        <v/>
      </c>
      <c r="X439" s="131">
        <f>E439</f>
        <v/>
      </c>
      <c r="Y439" s="136">
        <f>H439</f>
        <v/>
      </c>
      <c r="Z439" s="134">
        <f>I439</f>
        <v/>
      </c>
      <c r="AA439" s="134">
        <f>K439</f>
        <v/>
      </c>
      <c r="AB439" s="134">
        <f>M439</f>
        <v/>
      </c>
      <c r="AC439" s="4">
        <f>N439</f>
        <v/>
      </c>
      <c r="AD439" s="135">
        <f>O439</f>
        <v/>
      </c>
      <c r="AE439" s="120">
        <f>S439</f>
        <v/>
      </c>
      <c r="AF439" s="120">
        <f>Q439&amp;"/"&amp;R439</f>
        <v/>
      </c>
      <c r="AH439" s="20">
        <f>IF(A439="","",A439)</f>
        <v/>
      </c>
      <c r="AI439" s="131">
        <f>IF(E439="","",E439)</f>
        <v/>
      </c>
      <c r="AJ439" s="120">
        <f>IF(AI439="","",$AJ$2)</f>
        <v/>
      </c>
      <c r="AK439" s="120" t="inlineStr">
        <is>
          <t>A</t>
        </is>
      </c>
      <c r="AL439" s="120" t="inlineStr">
        <is>
          <t>A+</t>
        </is>
      </c>
      <c r="AM439" s="120" t="inlineStr">
        <is>
          <t>B+</t>
        </is>
      </c>
      <c r="AN439" s="120">
        <f>IF(AI439="","",$AN$2)</f>
        <v/>
      </c>
      <c r="AO439" s="120">
        <f>IF(N439="","",IF(N439&gt;=$AO$1/100,"O","X"))</f>
        <v/>
      </c>
      <c r="AP439" s="120">
        <f>IF(I439="","",IF(I439&lt;=$AP$1,"O","X"))</f>
        <v/>
      </c>
      <c r="AQ439" s="120">
        <f>IF(O439="","",IF(O439&lt;=$AQ$1,"O","X"))</f>
        <v/>
      </c>
      <c r="AR439" s="120">
        <f>IF(M439="","",IF(M439&lt;=$AR$1,"O","X"))</f>
        <v/>
      </c>
      <c r="AS439" s="120" t="inlineStr">
        <is>
          <t>X</t>
        </is>
      </c>
      <c r="AT439" s="120">
        <f>IF(OR(F439="",AI439=""),"",IF(AND((F439&lt;=85),(AI439&gt;=15)),"O","X"))</f>
        <v/>
      </c>
      <c r="AU439" s="120">
        <f>IF(C439="","",IF(C439&gt;=$AU$1,"O","X"))</f>
        <v/>
      </c>
      <c r="AV439" s="120">
        <f>IF(AO439="","",IF(AND(AO439="O",AP439="O",AR439="O",AT439="O",AU439="O"),"후보","X"))</f>
        <v/>
      </c>
    </row>
    <row r="440" ht="12" customFormat="1" customHeight="1" s="37">
      <c r="A440" s="78" t="inlineStr">
        <is>
          <t>학암동 위례신도시우미린1차</t>
        </is>
      </c>
      <c r="B440" s="79" t="inlineStr">
        <is>
          <t>22.01.</t>
        </is>
      </c>
      <c r="C440" s="129" t="n">
        <v>875</v>
      </c>
      <c r="D440" s="130" t="n">
        <v>130.4</v>
      </c>
      <c r="E440" s="131" t="n">
        <v>39</v>
      </c>
      <c r="F440" s="130" t="n">
        <v>102.4</v>
      </c>
      <c r="G440" s="17" t="n">
        <v>31</v>
      </c>
      <c r="H440" s="132" t="n">
        <v>10</v>
      </c>
      <c r="I440" s="133" t="n"/>
      <c r="J440" s="133" t="n"/>
      <c r="K440" s="133" t="n"/>
      <c r="L440" s="133" t="n"/>
      <c r="M440" s="134">
        <f>I440-K440</f>
        <v/>
      </c>
      <c r="N440" s="4">
        <f>IF(ISERROR(K440/I440),"",K440/I440)</f>
        <v/>
      </c>
      <c r="O440" s="135">
        <f>I440/E440</f>
        <v/>
      </c>
      <c r="P440" s="135">
        <f>K440/E440</f>
        <v/>
      </c>
      <c r="Q440" s="120" t="n">
        <v>4</v>
      </c>
      <c r="R440" s="120" t="n">
        <v>2</v>
      </c>
      <c r="S440" s="120" t="inlineStr">
        <is>
          <t>계</t>
        </is>
      </c>
      <c r="T440" s="5" t="inlineStr">
        <is>
          <t>130A2</t>
        </is>
      </c>
      <c r="U440" s="9" t="n"/>
      <c r="W440" s="130">
        <f>D440</f>
        <v/>
      </c>
      <c r="X440" s="131">
        <f>E440</f>
        <v/>
      </c>
      <c r="Y440" s="136">
        <f>H440</f>
        <v/>
      </c>
      <c r="Z440" s="134">
        <f>I440</f>
        <v/>
      </c>
      <c r="AA440" s="134">
        <f>K440</f>
        <v/>
      </c>
      <c r="AB440" s="134">
        <f>M440</f>
        <v/>
      </c>
      <c r="AC440" s="4">
        <f>N440</f>
        <v/>
      </c>
      <c r="AD440" s="135">
        <f>O440</f>
        <v/>
      </c>
      <c r="AE440" s="120">
        <f>S440</f>
        <v/>
      </c>
      <c r="AF440" s="120">
        <f>Q440&amp;"/"&amp;R440</f>
        <v/>
      </c>
      <c r="AH440" s="20">
        <f>IF(A440="","",A440)</f>
        <v/>
      </c>
      <c r="AI440" s="131">
        <f>IF(E440="","",E440)</f>
        <v/>
      </c>
      <c r="AJ440" s="120">
        <f>IF(AI440="","",$AJ$2)</f>
        <v/>
      </c>
      <c r="AK440" s="120" t="inlineStr">
        <is>
          <t>A</t>
        </is>
      </c>
      <c r="AL440" s="120" t="inlineStr">
        <is>
          <t>A+</t>
        </is>
      </c>
      <c r="AM440" s="120" t="inlineStr">
        <is>
          <t>B+</t>
        </is>
      </c>
      <c r="AN440" s="120">
        <f>IF(AI440="","",$AN$2)</f>
        <v/>
      </c>
      <c r="AO440" s="120">
        <f>IF(N440="","",IF(N440&gt;=$AO$1/100,"O","X"))</f>
        <v/>
      </c>
      <c r="AP440" s="120">
        <f>IF(I440="","",IF(I440&lt;=$AP$1,"O","X"))</f>
        <v/>
      </c>
      <c r="AQ440" s="120">
        <f>IF(O440="","",IF(O440&lt;=$AQ$1,"O","X"))</f>
        <v/>
      </c>
      <c r="AR440" s="120">
        <f>IF(M440="","",IF(M440&lt;=$AR$1,"O","X"))</f>
        <v/>
      </c>
      <c r="AS440" s="120" t="inlineStr">
        <is>
          <t>X</t>
        </is>
      </c>
      <c r="AT440" s="120">
        <f>IF(OR(F440="",AI440=""),"",IF(AND((F440&lt;=85),(AI440&gt;=15)),"O","X"))</f>
        <v/>
      </c>
      <c r="AU440" s="120">
        <f>IF(C440="","",IF(C440&gt;=$AU$1,"O","X"))</f>
        <v/>
      </c>
      <c r="AV440" s="120">
        <f>IF(AO440="","",IF(AND(AO440="O",AP440="O",AR440="O",AT440="O",AU440="O"),"후보","X"))</f>
        <v/>
      </c>
    </row>
    <row r="441" ht="12" customFormat="1" customHeight="1" s="37">
      <c r="A441" s="78" t="inlineStr">
        <is>
          <t>학암동 위례신도시우미린1차</t>
        </is>
      </c>
      <c r="B441" s="79" t="inlineStr">
        <is>
          <t>22.01.</t>
        </is>
      </c>
      <c r="C441" s="129" t="n">
        <v>875</v>
      </c>
      <c r="D441" s="130" t="n">
        <v>131.1</v>
      </c>
      <c r="E441" s="131" t="n">
        <v>40</v>
      </c>
      <c r="F441" s="130" t="n">
        <v>102.2</v>
      </c>
      <c r="G441" s="17" t="n">
        <v>31</v>
      </c>
      <c r="H441" s="132" t="n">
        <v>172</v>
      </c>
      <c r="I441" s="133" t="n"/>
      <c r="J441" s="133" t="n"/>
      <c r="K441" s="133" t="n"/>
      <c r="L441" s="133" t="n"/>
      <c r="M441" s="134">
        <f>I441-K441</f>
        <v/>
      </c>
      <c r="N441" s="4">
        <f>IF(ISERROR(K441/I441),"",K441/I441)</f>
        <v/>
      </c>
      <c r="O441" s="135">
        <f>I441/E441</f>
        <v/>
      </c>
      <c r="P441" s="135">
        <f>K441/E441</f>
        <v/>
      </c>
      <c r="Q441" s="120" t="n">
        <v>4</v>
      </c>
      <c r="R441" s="120" t="n">
        <v>2</v>
      </c>
      <c r="S441" s="120" t="inlineStr">
        <is>
          <t>계</t>
        </is>
      </c>
      <c r="T441" s="5" t="inlineStr">
        <is>
          <t>131C</t>
        </is>
      </c>
      <c r="U441" s="9" t="n"/>
      <c r="W441" s="130">
        <f>D441</f>
        <v/>
      </c>
      <c r="X441" s="131">
        <f>E441</f>
        <v/>
      </c>
      <c r="Y441" s="136">
        <f>H441</f>
        <v/>
      </c>
      <c r="Z441" s="134">
        <f>I441</f>
        <v/>
      </c>
      <c r="AA441" s="134">
        <f>K441</f>
        <v/>
      </c>
      <c r="AB441" s="134">
        <f>M441</f>
        <v/>
      </c>
      <c r="AC441" s="4">
        <f>N441</f>
        <v/>
      </c>
      <c r="AD441" s="135">
        <f>O441</f>
        <v/>
      </c>
      <c r="AE441" s="120">
        <f>S441</f>
        <v/>
      </c>
      <c r="AF441" s="120">
        <f>Q441&amp;"/"&amp;R441</f>
        <v/>
      </c>
      <c r="AH441" s="20">
        <f>IF(A441="","",A441)</f>
        <v/>
      </c>
      <c r="AI441" s="131">
        <f>IF(E441="","",E441)</f>
        <v/>
      </c>
      <c r="AJ441" s="120">
        <f>IF(AI441="","",$AJ$2)</f>
        <v/>
      </c>
      <c r="AK441" s="120" t="inlineStr">
        <is>
          <t>A</t>
        </is>
      </c>
      <c r="AL441" s="120" t="inlineStr">
        <is>
          <t>A+</t>
        </is>
      </c>
      <c r="AM441" s="120" t="inlineStr">
        <is>
          <t>B+</t>
        </is>
      </c>
      <c r="AN441" s="120">
        <f>IF(AI441="","",$AN$2)</f>
        <v/>
      </c>
      <c r="AO441" s="120">
        <f>IF(N441="","",IF(N441&gt;=$AO$1/100,"O","X"))</f>
        <v/>
      </c>
      <c r="AP441" s="120">
        <f>IF(I441="","",IF(I441&lt;=$AP$1,"O","X"))</f>
        <v/>
      </c>
      <c r="AQ441" s="120">
        <f>IF(O441="","",IF(O441&lt;=$AQ$1,"O","X"))</f>
        <v/>
      </c>
      <c r="AR441" s="120">
        <f>IF(M441="","",IF(M441&lt;=$AR$1,"O","X"))</f>
        <v/>
      </c>
      <c r="AS441" s="120" t="inlineStr">
        <is>
          <t>X</t>
        </is>
      </c>
      <c r="AT441" s="120">
        <f>IF(OR(F441="",AI441=""),"",IF(AND((F441&lt;=85),(AI441&gt;=15)),"O","X"))</f>
        <v/>
      </c>
      <c r="AU441" s="120">
        <f>IF(C441="","",IF(C441&gt;=$AU$1,"O","X"))</f>
        <v/>
      </c>
      <c r="AV441" s="120">
        <f>IF(AO441="","",IF(AND(AO441="O",AP441="O",AR441="O",AT441="O",AU441="O"),"후보","X"))</f>
        <v/>
      </c>
    </row>
    <row r="442" ht="12" customFormat="1" customHeight="1" s="37">
      <c r="A442" s="78" t="inlineStr">
        <is>
          <t>학암동 위례신도시우미린1차</t>
        </is>
      </c>
      <c r="B442" s="79" t="inlineStr">
        <is>
          <t>22.01.</t>
        </is>
      </c>
      <c r="C442" s="129" t="n">
        <v>875</v>
      </c>
      <c r="D442" s="130" t="n">
        <v>132</v>
      </c>
      <c r="E442" s="131" t="n">
        <v>40</v>
      </c>
      <c r="F442" s="130" t="n">
        <v>102.2</v>
      </c>
      <c r="G442" s="17" t="n">
        <v>31</v>
      </c>
      <c r="H442" s="132" t="n">
        <v>77</v>
      </c>
      <c r="I442" s="133" t="n"/>
      <c r="J442" s="133" t="n"/>
      <c r="K442" s="133" t="n"/>
      <c r="L442" s="133" t="n"/>
      <c r="M442" s="134">
        <f>I442-K442</f>
        <v/>
      </c>
      <c r="N442" s="4">
        <f>IF(ISERROR(K442/I442),"",K442/I442)</f>
        <v/>
      </c>
      <c r="O442" s="135">
        <f>I442/E442</f>
        <v/>
      </c>
      <c r="P442" s="135">
        <f>K442/E442</f>
        <v/>
      </c>
      <c r="Q442" s="120" t="n">
        <v>4</v>
      </c>
      <c r="R442" s="120" t="n">
        <v>2</v>
      </c>
      <c r="S442" s="120" t="inlineStr">
        <is>
          <t>계</t>
        </is>
      </c>
      <c r="T442" s="5" t="inlineStr">
        <is>
          <t>131B</t>
        </is>
      </c>
      <c r="U442" s="9" t="n"/>
      <c r="W442" s="130">
        <f>D442</f>
        <v/>
      </c>
      <c r="X442" s="131">
        <f>E442</f>
        <v/>
      </c>
      <c r="Y442" s="136">
        <f>H442</f>
        <v/>
      </c>
      <c r="Z442" s="134">
        <f>I442</f>
        <v/>
      </c>
      <c r="AA442" s="134">
        <f>K442</f>
        <v/>
      </c>
      <c r="AB442" s="134">
        <f>M442</f>
        <v/>
      </c>
      <c r="AC442" s="4">
        <f>N442</f>
        <v/>
      </c>
      <c r="AD442" s="135">
        <f>O442</f>
        <v/>
      </c>
      <c r="AE442" s="120">
        <f>S442</f>
        <v/>
      </c>
      <c r="AF442" s="120">
        <f>Q442&amp;"/"&amp;R442</f>
        <v/>
      </c>
      <c r="AH442" s="20">
        <f>IF(A442="","",A442)</f>
        <v/>
      </c>
      <c r="AI442" s="131">
        <f>IF(E442="","",E442)</f>
        <v/>
      </c>
      <c r="AJ442" s="120">
        <f>IF(AI442="","",$AJ$2)</f>
        <v/>
      </c>
      <c r="AK442" s="120" t="inlineStr">
        <is>
          <t>A</t>
        </is>
      </c>
      <c r="AL442" s="120" t="inlineStr">
        <is>
          <t>A+</t>
        </is>
      </c>
      <c r="AM442" s="120" t="inlineStr">
        <is>
          <t>B+</t>
        </is>
      </c>
      <c r="AN442" s="120">
        <f>IF(AI442="","",$AN$2)</f>
        <v/>
      </c>
      <c r="AO442" s="120">
        <f>IF(N442="","",IF(N442&gt;=$AO$1/100,"O","X"))</f>
        <v/>
      </c>
      <c r="AP442" s="120">
        <f>IF(I442="","",IF(I442&lt;=$AP$1,"O","X"))</f>
        <v/>
      </c>
      <c r="AQ442" s="120">
        <f>IF(O442="","",IF(O442&lt;=$AQ$1,"O","X"))</f>
        <v/>
      </c>
      <c r="AR442" s="120">
        <f>IF(M442="","",IF(M442&lt;=$AR$1,"O","X"))</f>
        <v/>
      </c>
      <c r="AS442" s="120" t="inlineStr">
        <is>
          <t>X</t>
        </is>
      </c>
      <c r="AT442" s="120">
        <f>IF(OR(F442="",AI442=""),"",IF(AND((F442&lt;=85),(AI442&gt;=15)),"O","X"))</f>
        <v/>
      </c>
      <c r="AU442" s="120">
        <f>IF(C442="","",IF(C442&gt;=$AU$1,"O","X"))</f>
        <v/>
      </c>
      <c r="AV442" s="120">
        <f>IF(AO442="","",IF(AND(AO442="O",AP442="O",AR442="O",AT442="O",AU442="O"),"후보","X"))</f>
        <v/>
      </c>
    </row>
    <row r="443" ht="12" customFormat="1" customHeight="1" s="37">
      <c r="A443" s="78" t="inlineStr">
        <is>
          <t>학암동 위례신도시우미린1차</t>
        </is>
      </c>
      <c r="B443" s="79" t="inlineStr">
        <is>
          <t>22.01.</t>
        </is>
      </c>
      <c r="C443" s="129" t="n">
        <v>875</v>
      </c>
      <c r="D443" s="130" t="n">
        <v>131.9</v>
      </c>
      <c r="E443" s="131" t="n">
        <v>40</v>
      </c>
      <c r="F443" s="130" t="n">
        <v>102.5</v>
      </c>
      <c r="G443" s="17" t="n">
        <v>31</v>
      </c>
      <c r="H443" s="132" t="n">
        <v>15</v>
      </c>
      <c r="I443" s="133" t="n"/>
      <c r="J443" s="133" t="n"/>
      <c r="K443" s="133" t="n"/>
      <c r="L443" s="133" t="n"/>
      <c r="M443" s="134">
        <f>I443-K443</f>
        <v/>
      </c>
      <c r="N443" s="4">
        <f>IF(ISERROR(K443/I443),"",K443/I443)</f>
        <v/>
      </c>
      <c r="O443" s="135">
        <f>I443/E443</f>
        <v/>
      </c>
      <c r="P443" s="135">
        <f>K443/E443</f>
        <v/>
      </c>
      <c r="Q443" s="120" t="n">
        <v>4</v>
      </c>
      <c r="R443" s="120" t="n">
        <v>2</v>
      </c>
      <c r="S443" s="120" t="inlineStr">
        <is>
          <t>계</t>
        </is>
      </c>
      <c r="T443" s="5" t="inlineStr">
        <is>
          <t>131D</t>
        </is>
      </c>
      <c r="U443" s="9" t="n"/>
      <c r="W443" s="130">
        <f>D443</f>
        <v/>
      </c>
      <c r="X443" s="131">
        <f>E443</f>
        <v/>
      </c>
      <c r="Y443" s="136">
        <f>H443</f>
        <v/>
      </c>
      <c r="Z443" s="134">
        <f>I443</f>
        <v/>
      </c>
      <c r="AA443" s="134">
        <f>K443</f>
        <v/>
      </c>
      <c r="AB443" s="134">
        <f>M443</f>
        <v/>
      </c>
      <c r="AC443" s="4">
        <f>N443</f>
        <v/>
      </c>
      <c r="AD443" s="135">
        <f>O443</f>
        <v/>
      </c>
      <c r="AE443" s="120">
        <f>S443</f>
        <v/>
      </c>
      <c r="AF443" s="120">
        <f>Q443&amp;"/"&amp;R443</f>
        <v/>
      </c>
      <c r="AH443" s="20">
        <f>IF(A443="","",A443)</f>
        <v/>
      </c>
      <c r="AI443" s="131">
        <f>IF(E443="","",E443)</f>
        <v/>
      </c>
      <c r="AJ443" s="120">
        <f>IF(AI443="","",$AJ$2)</f>
        <v/>
      </c>
      <c r="AK443" s="120" t="inlineStr">
        <is>
          <t>A</t>
        </is>
      </c>
      <c r="AL443" s="120" t="inlineStr">
        <is>
          <t>A+</t>
        </is>
      </c>
      <c r="AM443" s="120" t="inlineStr">
        <is>
          <t>B+</t>
        </is>
      </c>
      <c r="AN443" s="120">
        <f>IF(AI443="","",$AN$2)</f>
        <v/>
      </c>
      <c r="AO443" s="120">
        <f>IF(N443="","",IF(N443&gt;=$AO$1/100,"O","X"))</f>
        <v/>
      </c>
      <c r="AP443" s="120">
        <f>IF(I443="","",IF(I443&lt;=$AP$1,"O","X"))</f>
        <v/>
      </c>
      <c r="AQ443" s="120">
        <f>IF(O443="","",IF(O443&lt;=$AQ$1,"O","X"))</f>
        <v/>
      </c>
      <c r="AR443" s="120">
        <f>IF(M443="","",IF(M443&lt;=$AR$1,"O","X"))</f>
        <v/>
      </c>
      <c r="AS443" s="120" t="inlineStr">
        <is>
          <t>X</t>
        </is>
      </c>
      <c r="AT443" s="120">
        <f>IF(OR(F443="",AI443=""),"",IF(AND((F443&lt;=85),(AI443&gt;=15)),"O","X"))</f>
        <v/>
      </c>
      <c r="AU443" s="120">
        <f>IF(C443="","",IF(C443&gt;=$AU$1,"O","X"))</f>
        <v/>
      </c>
      <c r="AV443" s="120">
        <f>IF(AO443="","",IF(AND(AO443="O",AP443="O",AR443="O",AT443="O",AU443="O"),"후보","X"))</f>
        <v/>
      </c>
    </row>
    <row r="444" ht="12" customFormat="1" customHeight="1" s="37">
      <c r="A444" s="78" t="inlineStr">
        <is>
          <t>학암동 위례신도시우미린1차</t>
        </is>
      </c>
      <c r="B444" s="79" t="inlineStr">
        <is>
          <t>22.01.</t>
        </is>
      </c>
      <c r="C444" s="129" t="n">
        <v>875</v>
      </c>
      <c r="D444" s="130" t="n">
        <v>144</v>
      </c>
      <c r="E444" s="131" t="n">
        <v>44</v>
      </c>
      <c r="F444" s="130" t="n">
        <v>113.1</v>
      </c>
      <c r="G444" s="17" t="n">
        <v>34</v>
      </c>
      <c r="H444" s="132" t="n">
        <v>163</v>
      </c>
      <c r="I444" s="133" t="n"/>
      <c r="J444" s="133" t="n"/>
      <c r="K444" s="133" t="n"/>
      <c r="L444" s="133" t="n"/>
      <c r="M444" s="134">
        <f>I444-K444</f>
        <v/>
      </c>
      <c r="N444" s="4">
        <f>IF(ISERROR(K444/I444),"",K444/I444)</f>
        <v/>
      </c>
      <c r="O444" s="135">
        <f>I444/E444</f>
        <v/>
      </c>
      <c r="P444" s="135">
        <f>K444/E444</f>
        <v/>
      </c>
      <c r="Q444" s="120" t="n">
        <v>4</v>
      </c>
      <c r="R444" s="120" t="n">
        <v>2</v>
      </c>
      <c r="S444" s="120" t="inlineStr">
        <is>
          <t>계</t>
        </is>
      </c>
      <c r="T444" s="5" t="inlineStr">
        <is>
          <t>144A</t>
        </is>
      </c>
      <c r="U444" s="9" t="n"/>
      <c r="W444" s="130">
        <f>D444</f>
        <v/>
      </c>
      <c r="X444" s="131">
        <f>E444</f>
        <v/>
      </c>
      <c r="Y444" s="136">
        <f>H444</f>
        <v/>
      </c>
      <c r="Z444" s="134">
        <f>I444</f>
        <v/>
      </c>
      <c r="AA444" s="134">
        <f>K444</f>
        <v/>
      </c>
      <c r="AB444" s="134">
        <f>M444</f>
        <v/>
      </c>
      <c r="AC444" s="4">
        <f>N444</f>
        <v/>
      </c>
      <c r="AD444" s="135">
        <f>O444</f>
        <v/>
      </c>
      <c r="AE444" s="120">
        <f>S444</f>
        <v/>
      </c>
      <c r="AF444" s="120">
        <f>Q444&amp;"/"&amp;R444</f>
        <v/>
      </c>
      <c r="AH444" s="20">
        <f>IF(A444="","",A444)</f>
        <v/>
      </c>
      <c r="AI444" s="131">
        <f>IF(E444="","",E444)</f>
        <v/>
      </c>
      <c r="AJ444" s="120">
        <f>IF(AI444="","",$AJ$2)</f>
        <v/>
      </c>
      <c r="AK444" s="120" t="inlineStr">
        <is>
          <t>A</t>
        </is>
      </c>
      <c r="AL444" s="120" t="inlineStr">
        <is>
          <t>A+</t>
        </is>
      </c>
      <c r="AM444" s="120" t="inlineStr">
        <is>
          <t>B+</t>
        </is>
      </c>
      <c r="AN444" s="120">
        <f>IF(AI444="","",$AN$2)</f>
        <v/>
      </c>
      <c r="AO444" s="120">
        <f>IF(N444="","",IF(N444&gt;=$AO$1/100,"O","X"))</f>
        <v/>
      </c>
      <c r="AP444" s="120">
        <f>IF(I444="","",IF(I444&lt;=$AP$1,"O","X"))</f>
        <v/>
      </c>
      <c r="AQ444" s="120">
        <f>IF(O444="","",IF(O444&lt;=$AQ$1,"O","X"))</f>
        <v/>
      </c>
      <c r="AR444" s="120">
        <f>IF(M444="","",IF(M444&lt;=$AR$1,"O","X"))</f>
        <v/>
      </c>
      <c r="AS444" s="120" t="inlineStr">
        <is>
          <t>X</t>
        </is>
      </c>
      <c r="AT444" s="120">
        <f>IF(OR(F444="",AI444=""),"",IF(AND((F444&lt;=85),(AI444&gt;=15)),"O","X"))</f>
        <v/>
      </c>
      <c r="AU444" s="120">
        <f>IF(C444="","",IF(C444&gt;=$AU$1,"O","X"))</f>
        <v/>
      </c>
      <c r="AV444" s="120">
        <f>IF(AO444="","",IF(AND(AO444="O",AP444="O",AR444="O",AT444="O",AU444="O"),"후보","X"))</f>
        <v/>
      </c>
    </row>
    <row r="445" ht="12" customFormat="1" customHeight="1" s="37">
      <c r="A445" s="78" t="inlineStr">
        <is>
          <t>학암동 위례신도시우미린1차</t>
        </is>
      </c>
      <c r="B445" s="79" t="inlineStr">
        <is>
          <t>22.01.</t>
        </is>
      </c>
      <c r="C445" s="129" t="n">
        <v>875</v>
      </c>
      <c r="D445" s="130" t="n">
        <v>144.9</v>
      </c>
      <c r="E445" s="131" t="n">
        <v>44</v>
      </c>
      <c r="F445" s="130" t="n">
        <v>113.6</v>
      </c>
      <c r="G445" s="17" t="n">
        <v>34</v>
      </c>
      <c r="H445" s="132" t="n">
        <v>14</v>
      </c>
      <c r="I445" s="133" t="n"/>
      <c r="J445" s="133" t="n"/>
      <c r="K445" s="133" t="n"/>
      <c r="L445" s="133" t="n"/>
      <c r="M445" s="134">
        <f>I445-K445</f>
        <v/>
      </c>
      <c r="N445" s="4">
        <f>IF(ISERROR(K445/I445),"",K445/I445)</f>
        <v/>
      </c>
      <c r="O445" s="135">
        <f>I445/E445</f>
        <v/>
      </c>
      <c r="P445" s="135">
        <f>K445/E445</f>
        <v/>
      </c>
      <c r="Q445" s="120" t="n">
        <v>4</v>
      </c>
      <c r="R445" s="120" t="n">
        <v>2</v>
      </c>
      <c r="S445" s="120" t="inlineStr">
        <is>
          <t>계</t>
        </is>
      </c>
      <c r="T445" s="5" t="inlineStr">
        <is>
          <t>144A1</t>
        </is>
      </c>
      <c r="U445" s="9" t="n"/>
      <c r="W445" s="130">
        <f>D445</f>
        <v/>
      </c>
      <c r="X445" s="131">
        <f>E445</f>
        <v/>
      </c>
      <c r="Y445" s="136">
        <f>H445</f>
        <v/>
      </c>
      <c r="Z445" s="134">
        <f>I445</f>
        <v/>
      </c>
      <c r="AA445" s="134">
        <f>K445</f>
        <v/>
      </c>
      <c r="AB445" s="134">
        <f>M445</f>
        <v/>
      </c>
      <c r="AC445" s="4">
        <f>N445</f>
        <v/>
      </c>
      <c r="AD445" s="135">
        <f>O445</f>
        <v/>
      </c>
      <c r="AE445" s="120">
        <f>S445</f>
        <v/>
      </c>
      <c r="AF445" s="120">
        <f>Q445&amp;"/"&amp;R445</f>
        <v/>
      </c>
      <c r="AH445" s="20">
        <f>IF(A445="","",A445)</f>
        <v/>
      </c>
      <c r="AI445" s="131">
        <f>IF(E445="","",E445)</f>
        <v/>
      </c>
      <c r="AJ445" s="120">
        <f>IF(AI445="","",$AJ$2)</f>
        <v/>
      </c>
      <c r="AK445" s="120" t="inlineStr">
        <is>
          <t>A</t>
        </is>
      </c>
      <c r="AL445" s="120" t="inlineStr">
        <is>
          <t>A+</t>
        </is>
      </c>
      <c r="AM445" s="120" t="inlineStr">
        <is>
          <t>B+</t>
        </is>
      </c>
      <c r="AN445" s="120">
        <f>IF(AI445="","",$AN$2)</f>
        <v/>
      </c>
      <c r="AO445" s="120">
        <f>IF(N445="","",IF(N445&gt;=$AO$1/100,"O","X"))</f>
        <v/>
      </c>
      <c r="AP445" s="120">
        <f>IF(I445="","",IF(I445&lt;=$AP$1,"O","X"))</f>
        <v/>
      </c>
      <c r="AQ445" s="120">
        <f>IF(O445="","",IF(O445&lt;=$AQ$1,"O","X"))</f>
        <v/>
      </c>
      <c r="AR445" s="120">
        <f>IF(M445="","",IF(M445&lt;=$AR$1,"O","X"))</f>
        <v/>
      </c>
      <c r="AS445" s="120" t="inlineStr">
        <is>
          <t>X</t>
        </is>
      </c>
      <c r="AT445" s="120">
        <f>IF(OR(F445="",AI445=""),"",IF(AND((F445&lt;=85),(AI445&gt;=15)),"O","X"))</f>
        <v/>
      </c>
      <c r="AU445" s="120">
        <f>IF(C445="","",IF(C445&gt;=$AU$1,"O","X"))</f>
        <v/>
      </c>
      <c r="AV445" s="120">
        <f>IF(AO445="","",IF(AND(AO445="O",AP445="O",AR445="O",AT445="O",AU445="O"),"후보","X"))</f>
        <v/>
      </c>
    </row>
    <row r="446" ht="12" customFormat="1" customHeight="1" s="37">
      <c r="A446" s="78" t="inlineStr">
        <is>
          <t>학암동 위례신도시우미린1차</t>
        </is>
      </c>
      <c r="B446" s="79" t="inlineStr">
        <is>
          <t>22.01.</t>
        </is>
      </c>
      <c r="C446" s="129" t="n">
        <v>875</v>
      </c>
      <c r="D446" s="130" t="n">
        <v>144.9</v>
      </c>
      <c r="E446" s="131" t="n">
        <v>44</v>
      </c>
      <c r="F446" s="130" t="n">
        <v>114.9</v>
      </c>
      <c r="G446" s="17" t="n">
        <v>35</v>
      </c>
      <c r="H446" s="132" t="n">
        <v>5</v>
      </c>
      <c r="I446" s="133" t="n"/>
      <c r="J446" s="133" t="n"/>
      <c r="K446" s="133" t="n"/>
      <c r="L446" s="133" t="n"/>
      <c r="M446" s="134">
        <f>I446-K446</f>
        <v/>
      </c>
      <c r="N446" s="4">
        <f>IF(ISERROR(K446/I446),"",K446/I446)</f>
        <v/>
      </c>
      <c r="O446" s="135">
        <f>I446/E446</f>
        <v/>
      </c>
      <c r="P446" s="135">
        <f>K446/E446</f>
        <v/>
      </c>
      <c r="Q446" s="120" t="n">
        <v>4</v>
      </c>
      <c r="R446" s="120" t="n">
        <v>2</v>
      </c>
      <c r="S446" s="120" t="inlineStr">
        <is>
          <t>계</t>
        </is>
      </c>
      <c r="T446" s="5" t="inlineStr">
        <is>
          <t>144T</t>
        </is>
      </c>
      <c r="U446" s="9" t="n"/>
      <c r="W446" s="130">
        <f>D446</f>
        <v/>
      </c>
      <c r="X446" s="131">
        <f>E446</f>
        <v/>
      </c>
      <c r="Y446" s="136">
        <f>H446</f>
        <v/>
      </c>
      <c r="Z446" s="134">
        <f>I446</f>
        <v/>
      </c>
      <c r="AA446" s="134">
        <f>K446</f>
        <v/>
      </c>
      <c r="AB446" s="134">
        <f>M446</f>
        <v/>
      </c>
      <c r="AC446" s="4">
        <f>N446</f>
        <v/>
      </c>
      <c r="AD446" s="135">
        <f>O446</f>
        <v/>
      </c>
      <c r="AE446" s="120">
        <f>S446</f>
        <v/>
      </c>
      <c r="AF446" s="120">
        <f>Q446&amp;"/"&amp;R446</f>
        <v/>
      </c>
      <c r="AH446" s="20">
        <f>IF(A446="","",A446)</f>
        <v/>
      </c>
      <c r="AI446" s="131">
        <f>IF(E446="","",E446)</f>
        <v/>
      </c>
      <c r="AJ446" s="120">
        <f>IF(AI446="","",$AJ$2)</f>
        <v/>
      </c>
      <c r="AK446" s="120" t="inlineStr">
        <is>
          <t>A</t>
        </is>
      </c>
      <c r="AL446" s="120" t="inlineStr">
        <is>
          <t>A+</t>
        </is>
      </c>
      <c r="AM446" s="120" t="inlineStr">
        <is>
          <t>B+</t>
        </is>
      </c>
      <c r="AN446" s="120">
        <f>IF(AI446="","",$AN$2)</f>
        <v/>
      </c>
      <c r="AO446" s="120">
        <f>IF(N446="","",IF(N446&gt;=$AO$1/100,"O","X"))</f>
        <v/>
      </c>
      <c r="AP446" s="120">
        <f>IF(I446="","",IF(I446&lt;=$AP$1,"O","X"))</f>
        <v/>
      </c>
      <c r="AQ446" s="120">
        <f>IF(O446="","",IF(O446&lt;=$AQ$1,"O","X"))</f>
        <v/>
      </c>
      <c r="AR446" s="120">
        <f>IF(M446="","",IF(M446&lt;=$AR$1,"O","X"))</f>
        <v/>
      </c>
      <c r="AS446" s="120" t="inlineStr">
        <is>
          <t>X</t>
        </is>
      </c>
      <c r="AT446" s="120">
        <f>IF(OR(F446="",AI446=""),"",IF(AND((F446&lt;=85),(AI446&gt;=15)),"O","X"))</f>
        <v/>
      </c>
      <c r="AU446" s="120">
        <f>IF(C446="","",IF(C446&gt;=$AU$1,"O","X"))</f>
        <v/>
      </c>
      <c r="AV446" s="120">
        <f>IF(AO446="","",IF(AND(AO446="O",AP446="O",AR446="O",AT446="O",AU446="O"),"후보","X"))</f>
        <v/>
      </c>
    </row>
    <row r="447" ht="12" customFormat="1" customHeight="1" s="37">
      <c r="A447" s="78" t="inlineStr">
        <is>
          <t>학암동 위례롯데캐슬</t>
        </is>
      </c>
      <c r="B447" s="79" t="inlineStr">
        <is>
          <t>16.01.</t>
        </is>
      </c>
      <c r="C447" s="129" t="n">
        <v>1673</v>
      </c>
      <c r="D447" s="130" t="n">
        <v>101.5</v>
      </c>
      <c r="E447" s="131" t="n">
        <v>31</v>
      </c>
      <c r="F447" s="130" t="n">
        <v>75.5</v>
      </c>
      <c r="G447" s="17" t="n">
        <v>23</v>
      </c>
      <c r="H447" s="132" t="n">
        <v>292</v>
      </c>
      <c r="I447" s="133" t="n">
        <v>122000</v>
      </c>
      <c r="J447" s="133" t="inlineStr">
        <is>
          <t>15</t>
        </is>
      </c>
      <c r="K447" s="133" t="n">
        <v>63000</v>
      </c>
      <c r="L447" s="133" t="inlineStr">
        <is>
          <t>중</t>
        </is>
      </c>
      <c r="M447" s="134">
        <f>I447-K447</f>
        <v/>
      </c>
      <c r="N447" s="4">
        <f>IF(ISERROR(K447/I447),"",K447/I447)</f>
        <v/>
      </c>
      <c r="O447" s="135">
        <f>I447/E447</f>
        <v/>
      </c>
      <c r="P447" s="135">
        <f>K447/E447</f>
        <v/>
      </c>
      <c r="Q447" s="120" t="n">
        <v>3</v>
      </c>
      <c r="R447" s="120" t="n">
        <v>2</v>
      </c>
      <c r="S447" s="120" t="inlineStr">
        <is>
          <t>계</t>
        </is>
      </c>
      <c r="T447" s="5" t="inlineStr">
        <is>
          <t>101B</t>
        </is>
      </c>
      <c r="U447" s="9" t="n"/>
      <c r="W447" s="130">
        <f>D447</f>
        <v/>
      </c>
      <c r="X447" s="131">
        <f>E447</f>
        <v/>
      </c>
      <c r="Y447" s="136">
        <f>H447</f>
        <v/>
      </c>
      <c r="Z447" s="134">
        <f>I447</f>
        <v/>
      </c>
      <c r="AA447" s="134">
        <f>K447</f>
        <v/>
      </c>
      <c r="AB447" s="134">
        <f>M447</f>
        <v/>
      </c>
      <c r="AC447" s="4">
        <f>N447</f>
        <v/>
      </c>
      <c r="AD447" s="135">
        <f>O447</f>
        <v/>
      </c>
      <c r="AE447" s="120">
        <f>S447</f>
        <v/>
      </c>
      <c r="AF447" s="120">
        <f>Q447&amp;"/"&amp;R447</f>
        <v/>
      </c>
      <c r="AH447" s="20">
        <f>IF(A447="","",A447)</f>
        <v/>
      </c>
      <c r="AI447" s="131">
        <f>IF(E447="","",E447)</f>
        <v/>
      </c>
      <c r="AJ447" s="120">
        <f>IF(AI447="","",$AJ$2)</f>
        <v/>
      </c>
      <c r="AK447" s="120" t="inlineStr">
        <is>
          <t>A</t>
        </is>
      </c>
      <c r="AL447" s="120" t="inlineStr">
        <is>
          <t>A+</t>
        </is>
      </c>
      <c r="AM447" s="120" t="inlineStr">
        <is>
          <t>B+</t>
        </is>
      </c>
      <c r="AN447" s="120">
        <f>IF(AI447="","",$AN$2)</f>
        <v/>
      </c>
      <c r="AO447" s="120">
        <f>IF(N447="","",IF(N447&gt;=$AO$1/100,"O","X"))</f>
        <v/>
      </c>
      <c r="AP447" s="120">
        <f>IF(I447="","",IF(I447&lt;=$AP$1,"O","X"))</f>
        <v/>
      </c>
      <c r="AQ447" s="120">
        <f>IF(O447="","",IF(O447&lt;=$AQ$1,"O","X"))</f>
        <v/>
      </c>
      <c r="AR447" s="120">
        <f>IF(M447="","",IF(M447&lt;=$AR$1,"O","X"))</f>
        <v/>
      </c>
      <c r="AS447" s="120" t="inlineStr">
        <is>
          <t>X</t>
        </is>
      </c>
      <c r="AT447" s="120">
        <f>IF(OR(F447="",AI447=""),"",IF(AND((F447&lt;=85),(AI447&gt;=15)),"O","X"))</f>
        <v/>
      </c>
      <c r="AU447" s="120">
        <f>IF(C447="","",IF(C447&gt;=$AU$1,"O","X"))</f>
        <v/>
      </c>
      <c r="AV447" s="120">
        <f>IF(AO447="","",IF(AND(AO447="O",AP447="O",AR447="O",AT447="O",AU447="O"),"후보","X"))</f>
        <v/>
      </c>
    </row>
    <row r="448" ht="12" customFormat="1" customHeight="1" s="37">
      <c r="A448" s="78" t="inlineStr">
        <is>
          <t>학암동 위례롯데캐슬</t>
        </is>
      </c>
      <c r="B448" s="79" t="inlineStr">
        <is>
          <t>16.01.</t>
        </is>
      </c>
      <c r="C448" s="129" t="n">
        <v>1673</v>
      </c>
      <c r="D448" s="130" t="n">
        <v>101.5</v>
      </c>
      <c r="E448" s="131" t="n">
        <v>31</v>
      </c>
      <c r="F448" s="130" t="n">
        <v>75.5</v>
      </c>
      <c r="G448" s="17" t="n">
        <v>23</v>
      </c>
      <c r="H448" s="132" t="n">
        <v>92</v>
      </c>
      <c r="I448" s="133" t="n">
        <v>122000</v>
      </c>
      <c r="J448" s="133" t="inlineStr">
        <is>
          <t>15</t>
        </is>
      </c>
      <c r="K448" s="133" t="n">
        <v>63000</v>
      </c>
      <c r="L448" s="133" t="inlineStr">
        <is>
          <t>중</t>
        </is>
      </c>
      <c r="M448" s="134">
        <f>I448-K448</f>
        <v/>
      </c>
      <c r="N448" s="4">
        <f>IF(ISERROR(K448/I448),"",K448/I448)</f>
        <v/>
      </c>
      <c r="O448" s="135">
        <f>I448/E448</f>
        <v/>
      </c>
      <c r="P448" s="135">
        <f>K448/E448</f>
        <v/>
      </c>
      <c r="Q448" s="120" t="n">
        <v>3</v>
      </c>
      <c r="R448" s="120" t="n">
        <v>2</v>
      </c>
      <c r="S448" s="120" t="inlineStr">
        <is>
          <t>계</t>
        </is>
      </c>
      <c r="T448" s="5" t="inlineStr">
        <is>
          <t>101A</t>
        </is>
      </c>
      <c r="U448" s="9" t="n"/>
      <c r="W448" s="130">
        <f>D448</f>
        <v/>
      </c>
      <c r="X448" s="131">
        <f>E448</f>
        <v/>
      </c>
      <c r="Y448" s="136">
        <f>H448</f>
        <v/>
      </c>
      <c r="Z448" s="134">
        <f>I448</f>
        <v/>
      </c>
      <c r="AA448" s="134">
        <f>K448</f>
        <v/>
      </c>
      <c r="AB448" s="134">
        <f>M448</f>
        <v/>
      </c>
      <c r="AC448" s="4">
        <f>N448</f>
        <v/>
      </c>
      <c r="AD448" s="135">
        <f>O448</f>
        <v/>
      </c>
      <c r="AE448" s="120">
        <f>S448</f>
        <v/>
      </c>
      <c r="AF448" s="120">
        <f>Q448&amp;"/"&amp;R448</f>
        <v/>
      </c>
      <c r="AH448" s="20">
        <f>IF(A448="","",A448)</f>
        <v/>
      </c>
      <c r="AI448" s="131">
        <f>IF(E448="","",E448)</f>
        <v/>
      </c>
      <c r="AJ448" s="120">
        <f>IF(AI448="","",$AJ$2)</f>
        <v/>
      </c>
      <c r="AK448" s="120" t="inlineStr">
        <is>
          <t>A</t>
        </is>
      </c>
      <c r="AL448" s="120" t="inlineStr">
        <is>
          <t>A+</t>
        </is>
      </c>
      <c r="AM448" s="120" t="inlineStr">
        <is>
          <t>B+</t>
        </is>
      </c>
      <c r="AN448" s="120">
        <f>IF(AI448="","",$AN$2)</f>
        <v/>
      </c>
      <c r="AO448" s="120">
        <f>IF(N448="","",IF(N448&gt;=$AO$1/100,"O","X"))</f>
        <v/>
      </c>
      <c r="AP448" s="120">
        <f>IF(I448="","",IF(I448&lt;=$AP$1,"O","X"))</f>
        <v/>
      </c>
      <c r="AQ448" s="120">
        <f>IF(O448="","",IF(O448&lt;=$AQ$1,"O","X"))</f>
        <v/>
      </c>
      <c r="AR448" s="120">
        <f>IF(M448="","",IF(M448&lt;=$AR$1,"O","X"))</f>
        <v/>
      </c>
      <c r="AS448" s="120" t="inlineStr">
        <is>
          <t>X</t>
        </is>
      </c>
      <c r="AT448" s="120">
        <f>IF(OR(F448="",AI448=""),"",IF(AND((F448&lt;=85),(AI448&gt;=15)),"O","X"))</f>
        <v/>
      </c>
      <c r="AU448" s="120">
        <f>IF(C448="","",IF(C448&gt;=$AU$1,"O","X"))</f>
        <v/>
      </c>
      <c r="AV448" s="120">
        <f>IF(AO448="","",IF(AND(AO448="O",AP448="O",AR448="O",AT448="O",AU448="O"),"후보","X"))</f>
        <v/>
      </c>
    </row>
    <row r="449" ht="12" customFormat="1" customHeight="1" s="37">
      <c r="A449" s="78" t="inlineStr">
        <is>
          <t>학암동 위례롯데캐슬</t>
        </is>
      </c>
      <c r="B449" s="79" t="inlineStr">
        <is>
          <t>16.01.</t>
        </is>
      </c>
      <c r="C449" s="129" t="n">
        <v>1673</v>
      </c>
      <c r="D449" s="130" t="n">
        <v>101.5</v>
      </c>
      <c r="E449" s="131" t="n">
        <v>31</v>
      </c>
      <c r="F449" s="130" t="n">
        <v>75.5</v>
      </c>
      <c r="G449" s="17" t="n">
        <v>23</v>
      </c>
      <c r="H449" s="132" t="n">
        <v>54</v>
      </c>
      <c r="I449" s="133" t="n">
        <v>122000</v>
      </c>
      <c r="J449" s="133" t="inlineStr">
        <is>
          <t>15</t>
        </is>
      </c>
      <c r="K449" s="133" t="n">
        <v>63000</v>
      </c>
      <c r="L449" s="133" t="inlineStr">
        <is>
          <t>중</t>
        </is>
      </c>
      <c r="M449" s="134">
        <f>I449-K449</f>
        <v/>
      </c>
      <c r="N449" s="4">
        <f>IF(ISERROR(K449/I449),"",K449/I449)</f>
        <v/>
      </c>
      <c r="O449" s="135">
        <f>I449/E449</f>
        <v/>
      </c>
      <c r="P449" s="135">
        <f>K449/E449</f>
        <v/>
      </c>
      <c r="Q449" s="120" t="n">
        <v>3</v>
      </c>
      <c r="R449" s="120" t="n">
        <v>2</v>
      </c>
      <c r="S449" s="120" t="inlineStr">
        <is>
          <t>계</t>
        </is>
      </c>
      <c r="T449" s="5" t="inlineStr">
        <is>
          <t>101C</t>
        </is>
      </c>
      <c r="U449" s="9" t="n"/>
      <c r="W449" s="130">
        <f>D449</f>
        <v/>
      </c>
      <c r="X449" s="131">
        <f>E449</f>
        <v/>
      </c>
      <c r="Y449" s="136">
        <f>H449</f>
        <v/>
      </c>
      <c r="Z449" s="134">
        <f>I449</f>
        <v/>
      </c>
      <c r="AA449" s="134">
        <f>K449</f>
        <v/>
      </c>
      <c r="AB449" s="134">
        <f>M449</f>
        <v/>
      </c>
      <c r="AC449" s="4">
        <f>N449</f>
        <v/>
      </c>
      <c r="AD449" s="135">
        <f>O449</f>
        <v/>
      </c>
      <c r="AE449" s="120">
        <f>S449</f>
        <v/>
      </c>
      <c r="AF449" s="120">
        <f>Q449&amp;"/"&amp;R449</f>
        <v/>
      </c>
      <c r="AH449" s="20">
        <f>IF(A449="","",A449)</f>
        <v/>
      </c>
      <c r="AI449" s="131">
        <f>IF(E449="","",E449)</f>
        <v/>
      </c>
      <c r="AJ449" s="120">
        <f>IF(AI449="","",$AJ$2)</f>
        <v/>
      </c>
      <c r="AK449" s="120" t="inlineStr">
        <is>
          <t>A</t>
        </is>
      </c>
      <c r="AL449" s="120" t="inlineStr">
        <is>
          <t>A+</t>
        </is>
      </c>
      <c r="AM449" s="120" t="inlineStr">
        <is>
          <t>B+</t>
        </is>
      </c>
      <c r="AN449" s="120">
        <f>IF(AI449="","",$AN$2)</f>
        <v/>
      </c>
      <c r="AO449" s="120">
        <f>IF(N449="","",IF(N449&gt;=$AO$1/100,"O","X"))</f>
        <v/>
      </c>
      <c r="AP449" s="120">
        <f>IF(I449="","",IF(I449&lt;=$AP$1,"O","X"))</f>
        <v/>
      </c>
      <c r="AQ449" s="120">
        <f>IF(O449="","",IF(O449&lt;=$AQ$1,"O","X"))</f>
        <v/>
      </c>
      <c r="AR449" s="120">
        <f>IF(M449="","",IF(M449&lt;=$AR$1,"O","X"))</f>
        <v/>
      </c>
      <c r="AS449" s="120" t="inlineStr">
        <is>
          <t>X</t>
        </is>
      </c>
      <c r="AT449" s="120">
        <f>IF(OR(F449="",AI449=""),"",IF(AND((F449&lt;=85),(AI449&gt;=15)),"O","X"))</f>
        <v/>
      </c>
      <c r="AU449" s="120">
        <f>IF(C449="","",IF(C449&gt;=$AU$1,"O","X"))</f>
        <v/>
      </c>
      <c r="AV449" s="120">
        <f>IF(AO449="","",IF(AND(AO449="O",AP449="O",AR449="O",AT449="O",AU449="O"),"후보","X"))</f>
        <v/>
      </c>
    </row>
    <row r="450" ht="12" customFormat="1" customHeight="1" s="37">
      <c r="A450" s="78" t="inlineStr">
        <is>
          <t>학암동 위례롯데캐슬</t>
        </is>
      </c>
      <c r="B450" s="79" t="inlineStr">
        <is>
          <t>16.01.</t>
        </is>
      </c>
      <c r="C450" s="129" t="n">
        <v>1673</v>
      </c>
      <c r="D450" s="130" t="n">
        <v>114.2</v>
      </c>
      <c r="E450" s="131" t="n">
        <v>35</v>
      </c>
      <c r="F450" s="130" t="n">
        <v>85</v>
      </c>
      <c r="G450" s="17" t="n">
        <v>26</v>
      </c>
      <c r="H450" s="132" t="n">
        <v>699</v>
      </c>
      <c r="I450" s="133" t="n">
        <v>130000</v>
      </c>
      <c r="J450" s="133" t="inlineStr">
        <is>
          <t>고</t>
        </is>
      </c>
      <c r="K450" s="133" t="n">
        <v>60000</v>
      </c>
      <c r="L450" s="133" t="inlineStr">
        <is>
          <t>중</t>
        </is>
      </c>
      <c r="M450" s="134">
        <f>I450-K450</f>
        <v/>
      </c>
      <c r="N450" s="4">
        <f>IF(ISERROR(K450/I450),"",K450/I450)</f>
        <v/>
      </c>
      <c r="O450" s="135">
        <f>I450/E450</f>
        <v/>
      </c>
      <c r="P450" s="135">
        <f>K450/E450</f>
        <v/>
      </c>
      <c r="Q450" s="120" t="n">
        <v>3</v>
      </c>
      <c r="R450" s="120" t="n">
        <v>2</v>
      </c>
      <c r="S450" s="120" t="inlineStr">
        <is>
          <t>계</t>
        </is>
      </c>
      <c r="T450" s="5" t="inlineStr">
        <is>
          <t>114A</t>
        </is>
      </c>
      <c r="U450" s="9" t="n"/>
      <c r="W450" s="130">
        <f>D450</f>
        <v/>
      </c>
      <c r="X450" s="131">
        <f>E450</f>
        <v/>
      </c>
      <c r="Y450" s="136">
        <f>H450</f>
        <v/>
      </c>
      <c r="Z450" s="134">
        <f>I450</f>
        <v/>
      </c>
      <c r="AA450" s="134">
        <f>K450</f>
        <v/>
      </c>
      <c r="AB450" s="134">
        <f>M450</f>
        <v/>
      </c>
      <c r="AC450" s="4">
        <f>N450</f>
        <v/>
      </c>
      <c r="AD450" s="135">
        <f>O450</f>
        <v/>
      </c>
      <c r="AE450" s="120">
        <f>S450</f>
        <v/>
      </c>
      <c r="AF450" s="120">
        <f>Q450&amp;"/"&amp;R450</f>
        <v/>
      </c>
      <c r="AH450" s="20">
        <f>IF(A450="","",A450)</f>
        <v/>
      </c>
      <c r="AI450" s="131">
        <f>IF(E450="","",E450)</f>
        <v/>
      </c>
      <c r="AJ450" s="120">
        <f>IF(AI450="","",$AJ$2)</f>
        <v/>
      </c>
      <c r="AK450" s="120" t="inlineStr">
        <is>
          <t>A</t>
        </is>
      </c>
      <c r="AL450" s="120" t="inlineStr">
        <is>
          <t>A+</t>
        </is>
      </c>
      <c r="AM450" s="120" t="inlineStr">
        <is>
          <t>B+</t>
        </is>
      </c>
      <c r="AN450" s="120">
        <f>IF(AI450="","",$AN$2)</f>
        <v/>
      </c>
      <c r="AO450" s="120">
        <f>IF(N450="","",IF(N450&gt;=$AO$1/100,"O","X"))</f>
        <v/>
      </c>
      <c r="AP450" s="120">
        <f>IF(I450="","",IF(I450&lt;=$AP$1,"O","X"))</f>
        <v/>
      </c>
      <c r="AQ450" s="120">
        <f>IF(O450="","",IF(O450&lt;=$AQ$1,"O","X"))</f>
        <v/>
      </c>
      <c r="AR450" s="120">
        <f>IF(M450="","",IF(M450&lt;=$AR$1,"O","X"))</f>
        <v/>
      </c>
      <c r="AS450" s="120" t="inlineStr">
        <is>
          <t>X</t>
        </is>
      </c>
      <c r="AT450" s="120">
        <f>IF(OR(F450="",AI450=""),"",IF(AND((F450&lt;=85),(AI450&gt;=15)),"O","X"))</f>
        <v/>
      </c>
      <c r="AU450" s="120">
        <f>IF(C450="","",IF(C450&gt;=$AU$1,"O","X"))</f>
        <v/>
      </c>
      <c r="AV450" s="120">
        <f>IF(AO450="","",IF(AND(AO450="O",AP450="O",AR450="O",AT450="O",AU450="O"),"후보","X"))</f>
        <v/>
      </c>
    </row>
    <row r="451" ht="12" customFormat="1" customHeight="1" s="37">
      <c r="A451" s="78" t="inlineStr">
        <is>
          <t>학암동 위례롯데캐슬</t>
        </is>
      </c>
      <c r="B451" s="79" t="inlineStr">
        <is>
          <t>16.01.</t>
        </is>
      </c>
      <c r="C451" s="129" t="n">
        <v>1673</v>
      </c>
      <c r="D451" s="130" t="n">
        <v>114.2</v>
      </c>
      <c r="E451" s="131" t="n">
        <v>35</v>
      </c>
      <c r="F451" s="130" t="n">
        <v>85</v>
      </c>
      <c r="G451" s="17" t="n">
        <v>26</v>
      </c>
      <c r="H451" s="132" t="n">
        <v>482</v>
      </c>
      <c r="I451" s="133" t="n">
        <v>130000</v>
      </c>
      <c r="J451" s="133" t="inlineStr">
        <is>
          <t>고</t>
        </is>
      </c>
      <c r="K451" s="133" t="n">
        <v>60000</v>
      </c>
      <c r="L451" s="133" t="inlineStr">
        <is>
          <t>중</t>
        </is>
      </c>
      <c r="M451" s="134">
        <f>I451-K451</f>
        <v/>
      </c>
      <c r="N451" s="4">
        <f>IF(ISERROR(K451/I451),"",K451/I451)</f>
        <v/>
      </c>
      <c r="O451" s="135">
        <f>I451/E451</f>
        <v/>
      </c>
      <c r="P451" s="135">
        <f>K451/E451</f>
        <v/>
      </c>
      <c r="Q451" s="120" t="n">
        <v>3</v>
      </c>
      <c r="R451" s="120" t="n">
        <v>2</v>
      </c>
      <c r="S451" s="120" t="inlineStr">
        <is>
          <t>계</t>
        </is>
      </c>
      <c r="T451" s="5" t="inlineStr">
        <is>
          <t>114B</t>
        </is>
      </c>
      <c r="U451" s="9" t="n"/>
      <c r="W451" s="130">
        <f>D451</f>
        <v/>
      </c>
      <c r="X451" s="131">
        <f>E451</f>
        <v/>
      </c>
      <c r="Y451" s="136">
        <f>H451</f>
        <v/>
      </c>
      <c r="Z451" s="134">
        <f>I451</f>
        <v/>
      </c>
      <c r="AA451" s="134">
        <f>K451</f>
        <v/>
      </c>
      <c r="AB451" s="134">
        <f>M451</f>
        <v/>
      </c>
      <c r="AC451" s="4">
        <f>N451</f>
        <v/>
      </c>
      <c r="AD451" s="135">
        <f>O451</f>
        <v/>
      </c>
      <c r="AE451" s="120">
        <f>S451</f>
        <v/>
      </c>
      <c r="AF451" s="120">
        <f>Q451&amp;"/"&amp;R451</f>
        <v/>
      </c>
      <c r="AH451" s="20">
        <f>IF(A451="","",A451)</f>
        <v/>
      </c>
      <c r="AI451" s="131">
        <f>IF(E451="","",E451)</f>
        <v/>
      </c>
      <c r="AJ451" s="120">
        <f>IF(AI451="","",$AJ$2)</f>
        <v/>
      </c>
      <c r="AK451" s="120" t="inlineStr">
        <is>
          <t>A</t>
        </is>
      </c>
      <c r="AL451" s="120" t="inlineStr">
        <is>
          <t>A+</t>
        </is>
      </c>
      <c r="AM451" s="120" t="inlineStr">
        <is>
          <t>B+</t>
        </is>
      </c>
      <c r="AN451" s="120">
        <f>IF(AI451="","",$AN$2)</f>
        <v/>
      </c>
      <c r="AO451" s="120">
        <f>IF(N451="","",IF(N451&gt;=$AO$1/100,"O","X"))</f>
        <v/>
      </c>
      <c r="AP451" s="120">
        <f>IF(I451="","",IF(I451&lt;=$AP$1,"O","X"))</f>
        <v/>
      </c>
      <c r="AQ451" s="120">
        <f>IF(O451="","",IF(O451&lt;=$AQ$1,"O","X"))</f>
        <v/>
      </c>
      <c r="AR451" s="120">
        <f>IF(M451="","",IF(M451&lt;=$AR$1,"O","X"))</f>
        <v/>
      </c>
      <c r="AS451" s="120" t="inlineStr">
        <is>
          <t>X</t>
        </is>
      </c>
      <c r="AT451" s="120">
        <f>IF(OR(F451="",AI451=""),"",IF(AND((F451&lt;=85),(AI451&gt;=15)),"O","X"))</f>
        <v/>
      </c>
      <c r="AU451" s="120">
        <f>IF(C451="","",IF(C451&gt;=$AU$1,"O","X"))</f>
        <v/>
      </c>
      <c r="AV451" s="120">
        <f>IF(AO451="","",IF(AND(AO451="O",AP451="O",AR451="O",AT451="O",AU451="O"),"후보","X"))</f>
        <v/>
      </c>
    </row>
    <row r="452" ht="12" customFormat="1" customHeight="1" s="37">
      <c r="A452" s="78" t="inlineStr">
        <is>
          <t>학암동 위례롯데캐슬</t>
        </is>
      </c>
      <c r="B452" s="79" t="inlineStr">
        <is>
          <t>16.01.</t>
        </is>
      </c>
      <c r="C452" s="129" t="n">
        <v>1673</v>
      </c>
      <c r="D452" s="130" t="n">
        <v>114.2</v>
      </c>
      <c r="E452" s="131" t="n">
        <v>35</v>
      </c>
      <c r="F452" s="130" t="n">
        <v>85</v>
      </c>
      <c r="G452" s="17" t="n">
        <v>26</v>
      </c>
      <c r="H452" s="132" t="n">
        <v>54</v>
      </c>
      <c r="I452" s="133" t="n">
        <v>130000</v>
      </c>
      <c r="J452" s="133" t="inlineStr">
        <is>
          <t>고</t>
        </is>
      </c>
      <c r="K452" s="133" t="n">
        <v>60000</v>
      </c>
      <c r="L452" s="133" t="inlineStr">
        <is>
          <t>중</t>
        </is>
      </c>
      <c r="M452" s="134">
        <f>I452-K452</f>
        <v/>
      </c>
      <c r="N452" s="4">
        <f>IF(ISERROR(K452/I452),"",K452/I452)</f>
        <v/>
      </c>
      <c r="O452" s="135">
        <f>I452/E452</f>
        <v/>
      </c>
      <c r="P452" s="135">
        <f>K452/E452</f>
        <v/>
      </c>
      <c r="Q452" s="120" t="n">
        <v>3</v>
      </c>
      <c r="R452" s="120" t="n">
        <v>2</v>
      </c>
      <c r="S452" s="120" t="inlineStr">
        <is>
          <t>계</t>
        </is>
      </c>
      <c r="T452" s="5" t="inlineStr">
        <is>
          <t>114C</t>
        </is>
      </c>
      <c r="U452" s="9" t="n"/>
      <c r="W452" s="130">
        <f>D452</f>
        <v/>
      </c>
      <c r="X452" s="131">
        <f>E452</f>
        <v/>
      </c>
      <c r="Y452" s="136">
        <f>H452</f>
        <v/>
      </c>
      <c r="Z452" s="134">
        <f>I452</f>
        <v/>
      </c>
      <c r="AA452" s="134">
        <f>K452</f>
        <v/>
      </c>
      <c r="AB452" s="134">
        <f>M452</f>
        <v/>
      </c>
      <c r="AC452" s="4">
        <f>N452</f>
        <v/>
      </c>
      <c r="AD452" s="135">
        <f>O452</f>
        <v/>
      </c>
      <c r="AE452" s="120">
        <f>S452</f>
        <v/>
      </c>
      <c r="AF452" s="120">
        <f>Q452&amp;"/"&amp;R452</f>
        <v/>
      </c>
      <c r="AH452" s="20">
        <f>IF(A452="","",A452)</f>
        <v/>
      </c>
      <c r="AI452" s="131">
        <f>IF(E452="","",E452)</f>
        <v/>
      </c>
      <c r="AJ452" s="120">
        <f>IF(AI452="","",$AJ$2)</f>
        <v/>
      </c>
      <c r="AK452" s="120" t="inlineStr">
        <is>
          <t>A</t>
        </is>
      </c>
      <c r="AL452" s="120" t="inlineStr">
        <is>
          <t>A+</t>
        </is>
      </c>
      <c r="AM452" s="120" t="inlineStr">
        <is>
          <t>B+</t>
        </is>
      </c>
      <c r="AN452" s="120">
        <f>IF(AI452="","",$AN$2)</f>
        <v/>
      </c>
      <c r="AO452" s="120">
        <f>IF(N452="","",IF(N452&gt;=$AO$1/100,"O","X"))</f>
        <v/>
      </c>
      <c r="AP452" s="120">
        <f>IF(I452="","",IF(I452&lt;=$AP$1,"O","X"))</f>
        <v/>
      </c>
      <c r="AQ452" s="120">
        <f>IF(O452="","",IF(O452&lt;=$AQ$1,"O","X"))</f>
        <v/>
      </c>
      <c r="AR452" s="120">
        <f>IF(M452="","",IF(M452&lt;=$AR$1,"O","X"))</f>
        <v/>
      </c>
      <c r="AS452" s="120" t="inlineStr">
        <is>
          <t>X</t>
        </is>
      </c>
      <c r="AT452" s="120">
        <f>IF(OR(F452="",AI452=""),"",IF(AND((F452&lt;=85),(AI452&gt;=15)),"O","X"))</f>
        <v/>
      </c>
      <c r="AU452" s="120">
        <f>IF(C452="","",IF(C452&gt;=$AU$1,"O","X"))</f>
        <v/>
      </c>
      <c r="AV452" s="120">
        <f>IF(AO452="","",IF(AND(AO452="O",AP452="O",AR452="O",AT452="O",AU452="O"),"후보","X"))</f>
        <v/>
      </c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39" t="n">
        <v>0</v>
      </c>
      <c r="BC466" s="139" t="n">
        <v>0</v>
      </c>
      <c r="BD466" s="139" t="n">
        <v>0</v>
      </c>
      <c r="BE466" s="139" t="n">
        <v>0</v>
      </c>
      <c r="BF466" s="139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726" operator="lessThan" dxfId="2">
      <formula>15.1</formula>
    </cfRule>
    <cfRule type="cellIs" priority="85727" operator="lessThan" dxfId="16908">
      <formula>18.1</formula>
    </cfRule>
    <cfRule type="cellIs" priority="85728" operator="lessThan" dxfId="16907">
      <formula>21.1</formula>
    </cfRule>
    <cfRule type="cellIs" priority="85729" operator="lessThan" dxfId="16906">
      <formula>24.1</formula>
    </cfRule>
    <cfRule type="cellIs" priority="85730" operator="lessThan" dxfId="1">
      <formula>30</formula>
    </cfRule>
    <cfRule type="cellIs" priority="85731" operator="lessThan" dxfId="16904">
      <formula>34.1</formula>
    </cfRule>
  </conditionalFormatting>
  <conditionalFormatting sqref="Z3">
    <cfRule type="colorScale" priority="857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723" operator="greaterThan" dxfId="17">
      <formula>0.9</formula>
    </cfRule>
    <cfRule type="cellIs" priority="85724" operator="greaterThan" dxfId="16">
      <formula>0.85</formula>
    </cfRule>
  </conditionalFormatting>
  <conditionalFormatting sqref="N2">
    <cfRule type="cellIs" priority="85721" operator="greaterThan" dxfId="17">
      <formula>0.9</formula>
    </cfRule>
    <cfRule type="cellIs" priority="85722" operator="greaterThan" dxfId="16">
      <formula>0.85</formula>
    </cfRule>
  </conditionalFormatting>
  <conditionalFormatting sqref="AV4">
    <cfRule type="expression" priority="8081" dxfId="23">
      <formula>AV4="X"</formula>
    </cfRule>
    <cfRule type="expression" priority="8082" dxfId="22">
      <formula>AV4="후보"</formula>
    </cfRule>
  </conditionalFormatting>
  <conditionalFormatting sqref="AC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">
    <cfRule type="expression" priority="8073" dxfId="3">
      <formula>AND(IF(OR($Q4=1,$Q4=2),1,0),IF($X4&lt;=20,1,0))</formula>
    </cfRule>
    <cfRule type="expression" priority="8074" dxfId="2">
      <formula>AND(IF($Q4=2,1,0),IF($X4&lt;30,1,0))</formula>
    </cfRule>
    <cfRule type="expression" priority="8075" dxfId="1">
      <formula>AND(IF($Q4=3,1,0),IF($X4&lt;30,1,0))</formula>
    </cfRule>
    <cfRule type="expression" priority="8076" dxfId="0">
      <formula>AND(IF($Q4=3,1,IF($Q4=4,1,0)),IF($F4&lt;=85,1,0))</formula>
    </cfRule>
  </conditionalFormatting>
  <conditionalFormatting sqref="X4">
    <cfRule type="expression" priority="8069" dxfId="3">
      <formula>AND(IF(OR($Q4=1,$Q4=2),1,0),IF($X4&lt;=20,1,0))</formula>
    </cfRule>
    <cfRule type="expression" priority="8070" dxfId="2">
      <formula>AND(IF($Q4=2,1,0),IF($X4&lt;30,1,0))</formula>
    </cfRule>
    <cfRule type="expression" priority="8071" dxfId="1">
      <formula>AND(IF($Q4=3,1,0),IF($X4&lt;30,1,0))</formula>
    </cfRule>
    <cfRule type="expression" priority="8072" dxfId="0">
      <formula>AND(IF($Q4=3,1,IF($Q4=4,1,0)),IF($F4&lt;=85,1,0))</formula>
    </cfRule>
  </conditionalFormatting>
  <conditionalFormatting sqref="AI4">
    <cfRule type="expression" priority="8065" dxfId="3">
      <formula>AND(IF(OR($Q4=1,$Q4=2),1,0),IF($X4&lt;=20,1,0))</formula>
    </cfRule>
    <cfRule type="expression" priority="8066" dxfId="2">
      <formula>AND(IF($Q4=2,1,0),IF($X4&lt;30,1,0))</formula>
    </cfRule>
    <cfRule type="expression" priority="8067" dxfId="1">
      <formula>AND(IF($Q4=3,1,0),IF($X4&lt;30,1,0))</formula>
    </cfRule>
    <cfRule type="expression" priority="8068" dxfId="0">
      <formula>AND(IF($Q4=3,1,IF($Q4=4,1,0)),IF($F4&lt;=85,1,0))</formula>
    </cfRule>
  </conditionalFormatting>
  <conditionalFormatting sqref="AV5">
    <cfRule type="expression" priority="8063" dxfId="23">
      <formula>AV5="X"</formula>
    </cfRule>
    <cfRule type="expression" priority="8064" dxfId="22">
      <formula>AV5="후보"</formula>
    </cfRule>
  </conditionalFormatting>
  <conditionalFormatting sqref="AC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">
    <cfRule type="expression" priority="8055" dxfId="3">
      <formula>AND(IF(OR($Q5=1,$Q5=2),1,0),IF($X5&lt;=20,1,0))</formula>
    </cfRule>
    <cfRule type="expression" priority="8056" dxfId="2">
      <formula>AND(IF($Q5=2,1,0),IF($X5&lt;30,1,0))</formula>
    </cfRule>
    <cfRule type="expression" priority="8057" dxfId="1">
      <formula>AND(IF($Q5=3,1,0),IF($X5&lt;30,1,0))</formula>
    </cfRule>
    <cfRule type="expression" priority="8058" dxfId="0">
      <formula>AND(IF($Q5=3,1,IF($Q5=4,1,0)),IF($F5&lt;=85,1,0))</formula>
    </cfRule>
  </conditionalFormatting>
  <conditionalFormatting sqref="X5">
    <cfRule type="expression" priority="8051" dxfId="3">
      <formula>AND(IF(OR($Q5=1,$Q5=2),1,0),IF($X5&lt;=20,1,0))</formula>
    </cfRule>
    <cfRule type="expression" priority="8052" dxfId="2">
      <formula>AND(IF($Q5=2,1,0),IF($X5&lt;30,1,0))</formula>
    </cfRule>
    <cfRule type="expression" priority="8053" dxfId="1">
      <formula>AND(IF($Q5=3,1,0),IF($X5&lt;30,1,0))</formula>
    </cfRule>
    <cfRule type="expression" priority="8054" dxfId="0">
      <formula>AND(IF($Q5=3,1,IF($Q5=4,1,0)),IF($F5&lt;=85,1,0))</formula>
    </cfRule>
  </conditionalFormatting>
  <conditionalFormatting sqref="AI5">
    <cfRule type="expression" priority="8047" dxfId="3">
      <formula>AND(IF(OR($Q5=1,$Q5=2),1,0),IF($X5&lt;=20,1,0))</formula>
    </cfRule>
    <cfRule type="expression" priority="8048" dxfId="2">
      <formula>AND(IF($Q5=2,1,0),IF($X5&lt;30,1,0))</formula>
    </cfRule>
    <cfRule type="expression" priority="8049" dxfId="1">
      <formula>AND(IF($Q5=3,1,0),IF($X5&lt;30,1,0))</formula>
    </cfRule>
    <cfRule type="expression" priority="8050" dxfId="0">
      <formula>AND(IF($Q5=3,1,IF($Q5=4,1,0)),IF($F5&lt;=85,1,0))</formula>
    </cfRule>
  </conditionalFormatting>
  <conditionalFormatting sqref="AV6">
    <cfRule type="expression" priority="8045" dxfId="23">
      <formula>AV6="X"</formula>
    </cfRule>
    <cfRule type="expression" priority="8046" dxfId="22">
      <formula>AV6="후보"</formula>
    </cfRule>
  </conditionalFormatting>
  <conditionalFormatting sqref="AC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">
    <cfRule type="expression" priority="8037" dxfId="3">
      <formula>AND(IF(OR($Q6=1,$Q6=2),1,0),IF($X6&lt;=20,1,0))</formula>
    </cfRule>
    <cfRule type="expression" priority="8038" dxfId="2">
      <formula>AND(IF($Q6=2,1,0),IF($X6&lt;30,1,0))</formula>
    </cfRule>
    <cfRule type="expression" priority="8039" dxfId="1">
      <formula>AND(IF($Q6=3,1,0),IF($X6&lt;30,1,0))</formula>
    </cfRule>
    <cfRule type="expression" priority="8040" dxfId="0">
      <formula>AND(IF($Q6=3,1,IF($Q6=4,1,0)),IF($F6&lt;=85,1,0))</formula>
    </cfRule>
  </conditionalFormatting>
  <conditionalFormatting sqref="X6">
    <cfRule type="expression" priority="8033" dxfId="3">
      <formula>AND(IF(OR($Q6=1,$Q6=2),1,0),IF($X6&lt;=20,1,0))</formula>
    </cfRule>
    <cfRule type="expression" priority="8034" dxfId="2">
      <formula>AND(IF($Q6=2,1,0),IF($X6&lt;30,1,0))</formula>
    </cfRule>
    <cfRule type="expression" priority="8035" dxfId="1">
      <formula>AND(IF($Q6=3,1,0),IF($X6&lt;30,1,0))</formula>
    </cfRule>
    <cfRule type="expression" priority="8036" dxfId="0">
      <formula>AND(IF($Q6=3,1,IF($Q6=4,1,0)),IF($F6&lt;=85,1,0))</formula>
    </cfRule>
  </conditionalFormatting>
  <conditionalFormatting sqref="AI6">
    <cfRule type="expression" priority="8029" dxfId="3">
      <formula>AND(IF(OR($Q6=1,$Q6=2),1,0),IF($X6&lt;=20,1,0))</formula>
    </cfRule>
    <cfRule type="expression" priority="8030" dxfId="2">
      <formula>AND(IF($Q6=2,1,0),IF($X6&lt;30,1,0))</formula>
    </cfRule>
    <cfRule type="expression" priority="8031" dxfId="1">
      <formula>AND(IF($Q6=3,1,0),IF($X6&lt;30,1,0))</formula>
    </cfRule>
    <cfRule type="expression" priority="8032" dxfId="0">
      <formula>AND(IF($Q6=3,1,IF($Q6=4,1,0)),IF($F6&lt;=85,1,0))</formula>
    </cfRule>
  </conditionalFormatting>
  <conditionalFormatting sqref="AV7">
    <cfRule type="expression" priority="8027" dxfId="23">
      <formula>AV7="X"</formula>
    </cfRule>
    <cfRule type="expression" priority="8028" dxfId="22">
      <formula>AV7="후보"</formula>
    </cfRule>
  </conditionalFormatting>
  <conditionalFormatting sqref="AC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7">
    <cfRule type="expression" priority="8019" dxfId="3">
      <formula>AND(IF(OR($Q7=1,$Q7=2),1,0),IF($X7&lt;=20,1,0))</formula>
    </cfRule>
    <cfRule type="expression" priority="8020" dxfId="2">
      <formula>AND(IF($Q7=2,1,0),IF($X7&lt;30,1,0))</formula>
    </cfRule>
    <cfRule type="expression" priority="8021" dxfId="1">
      <formula>AND(IF($Q7=3,1,0),IF($X7&lt;30,1,0))</formula>
    </cfRule>
    <cfRule type="expression" priority="8022" dxfId="0">
      <formula>AND(IF($Q7=3,1,IF($Q7=4,1,0)),IF($F7&lt;=85,1,0))</formula>
    </cfRule>
  </conditionalFormatting>
  <conditionalFormatting sqref="X7">
    <cfRule type="expression" priority="8015" dxfId="3">
      <formula>AND(IF(OR($Q7=1,$Q7=2),1,0),IF($X7&lt;=20,1,0))</formula>
    </cfRule>
    <cfRule type="expression" priority="8016" dxfId="2">
      <formula>AND(IF($Q7=2,1,0),IF($X7&lt;30,1,0))</formula>
    </cfRule>
    <cfRule type="expression" priority="8017" dxfId="1">
      <formula>AND(IF($Q7=3,1,0),IF($X7&lt;30,1,0))</formula>
    </cfRule>
    <cfRule type="expression" priority="8018" dxfId="0">
      <formula>AND(IF($Q7=3,1,IF($Q7=4,1,0)),IF($F7&lt;=85,1,0))</formula>
    </cfRule>
  </conditionalFormatting>
  <conditionalFormatting sqref="AI7">
    <cfRule type="expression" priority="8011" dxfId="3">
      <formula>AND(IF(OR($Q7=1,$Q7=2),1,0),IF($X7&lt;=20,1,0))</formula>
    </cfRule>
    <cfRule type="expression" priority="8012" dxfId="2">
      <formula>AND(IF($Q7=2,1,0),IF($X7&lt;30,1,0))</formula>
    </cfRule>
    <cfRule type="expression" priority="8013" dxfId="1">
      <formula>AND(IF($Q7=3,1,0),IF($X7&lt;30,1,0))</formula>
    </cfRule>
    <cfRule type="expression" priority="8014" dxfId="0">
      <formula>AND(IF($Q7=3,1,IF($Q7=4,1,0)),IF($F7&lt;=85,1,0))</formula>
    </cfRule>
  </conditionalFormatting>
  <conditionalFormatting sqref="AV8">
    <cfRule type="expression" priority="8009" dxfId="23">
      <formula>AV8="X"</formula>
    </cfRule>
    <cfRule type="expression" priority="8010" dxfId="22">
      <formula>AV8="후보"</formula>
    </cfRule>
  </conditionalFormatting>
  <conditionalFormatting sqref="AC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8">
    <cfRule type="expression" priority="8001" dxfId="3">
      <formula>AND(IF(OR($Q8=1,$Q8=2),1,0),IF($X8&lt;=20,1,0))</formula>
    </cfRule>
    <cfRule type="expression" priority="8002" dxfId="2">
      <formula>AND(IF($Q8=2,1,0),IF($X8&lt;30,1,0))</formula>
    </cfRule>
    <cfRule type="expression" priority="8003" dxfId="1">
      <formula>AND(IF($Q8=3,1,0),IF($X8&lt;30,1,0))</formula>
    </cfRule>
    <cfRule type="expression" priority="8004" dxfId="0">
      <formula>AND(IF($Q8=3,1,IF($Q8=4,1,0)),IF($F8&lt;=85,1,0))</formula>
    </cfRule>
  </conditionalFormatting>
  <conditionalFormatting sqref="X8">
    <cfRule type="expression" priority="7997" dxfId="3">
      <formula>AND(IF(OR($Q8=1,$Q8=2),1,0),IF($X8&lt;=20,1,0))</formula>
    </cfRule>
    <cfRule type="expression" priority="7998" dxfId="2">
      <formula>AND(IF($Q8=2,1,0),IF($X8&lt;30,1,0))</formula>
    </cfRule>
    <cfRule type="expression" priority="7999" dxfId="1">
      <formula>AND(IF($Q8=3,1,0),IF($X8&lt;30,1,0))</formula>
    </cfRule>
    <cfRule type="expression" priority="8000" dxfId="0">
      <formula>AND(IF($Q8=3,1,IF($Q8=4,1,0)),IF($F8&lt;=85,1,0))</formula>
    </cfRule>
  </conditionalFormatting>
  <conditionalFormatting sqref="AI8">
    <cfRule type="expression" priority="7993" dxfId="3">
      <formula>AND(IF(OR($Q8=1,$Q8=2),1,0),IF($X8&lt;=20,1,0))</formula>
    </cfRule>
    <cfRule type="expression" priority="7994" dxfId="2">
      <formula>AND(IF($Q8=2,1,0),IF($X8&lt;30,1,0))</formula>
    </cfRule>
    <cfRule type="expression" priority="7995" dxfId="1">
      <formula>AND(IF($Q8=3,1,0),IF($X8&lt;30,1,0))</formula>
    </cfRule>
    <cfRule type="expression" priority="7996" dxfId="0">
      <formula>AND(IF($Q8=3,1,IF($Q8=4,1,0)),IF($F8&lt;=85,1,0))</formula>
    </cfRule>
  </conditionalFormatting>
  <conditionalFormatting sqref="AV9">
    <cfRule type="expression" priority="7991" dxfId="23">
      <formula>AV9="X"</formula>
    </cfRule>
    <cfRule type="expression" priority="7992" dxfId="22">
      <formula>AV9="후보"</formula>
    </cfRule>
  </conditionalFormatting>
  <conditionalFormatting sqref="AC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">
    <cfRule type="expression" priority="7983" dxfId="3">
      <formula>AND(IF(OR($Q9=1,$Q9=2),1,0),IF($X9&lt;=20,1,0))</formula>
    </cfRule>
    <cfRule type="expression" priority="7984" dxfId="2">
      <formula>AND(IF($Q9=2,1,0),IF($X9&lt;30,1,0))</formula>
    </cfRule>
    <cfRule type="expression" priority="7985" dxfId="1">
      <formula>AND(IF($Q9=3,1,0),IF($X9&lt;30,1,0))</formula>
    </cfRule>
    <cfRule type="expression" priority="7986" dxfId="0">
      <formula>AND(IF($Q9=3,1,IF($Q9=4,1,0)),IF($F9&lt;=85,1,0))</formula>
    </cfRule>
  </conditionalFormatting>
  <conditionalFormatting sqref="X9">
    <cfRule type="expression" priority="7979" dxfId="3">
      <formula>AND(IF(OR($Q9=1,$Q9=2),1,0),IF($X9&lt;=20,1,0))</formula>
    </cfRule>
    <cfRule type="expression" priority="7980" dxfId="2">
      <formula>AND(IF($Q9=2,1,0),IF($X9&lt;30,1,0))</formula>
    </cfRule>
    <cfRule type="expression" priority="7981" dxfId="1">
      <formula>AND(IF($Q9=3,1,0),IF($X9&lt;30,1,0))</formula>
    </cfRule>
    <cfRule type="expression" priority="7982" dxfId="0">
      <formula>AND(IF($Q9=3,1,IF($Q9=4,1,0)),IF($F9&lt;=85,1,0))</formula>
    </cfRule>
  </conditionalFormatting>
  <conditionalFormatting sqref="AI9">
    <cfRule type="expression" priority="7975" dxfId="3">
      <formula>AND(IF(OR($Q9=1,$Q9=2),1,0),IF($X9&lt;=20,1,0))</formula>
    </cfRule>
    <cfRule type="expression" priority="7976" dxfId="2">
      <formula>AND(IF($Q9=2,1,0),IF($X9&lt;30,1,0))</formula>
    </cfRule>
    <cfRule type="expression" priority="7977" dxfId="1">
      <formula>AND(IF($Q9=3,1,0),IF($X9&lt;30,1,0))</formula>
    </cfRule>
    <cfRule type="expression" priority="7978" dxfId="0">
      <formula>AND(IF($Q9=3,1,IF($Q9=4,1,0)),IF($F9&lt;=85,1,0))</formula>
    </cfRule>
  </conditionalFormatting>
  <conditionalFormatting sqref="AV10">
    <cfRule type="expression" priority="7973" dxfId="23">
      <formula>AV10="X"</formula>
    </cfRule>
    <cfRule type="expression" priority="7974" dxfId="22">
      <formula>AV10="후보"</formula>
    </cfRule>
  </conditionalFormatting>
  <conditionalFormatting sqref="AC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0">
    <cfRule type="expression" priority="7965" dxfId="3">
      <formula>AND(IF(OR($Q10=1,$Q10=2),1,0),IF($X10&lt;=20,1,0))</formula>
    </cfRule>
    <cfRule type="expression" priority="7966" dxfId="2">
      <formula>AND(IF($Q10=2,1,0),IF($X10&lt;30,1,0))</formula>
    </cfRule>
    <cfRule type="expression" priority="7967" dxfId="1">
      <formula>AND(IF($Q10=3,1,0),IF($X10&lt;30,1,0))</formula>
    </cfRule>
    <cfRule type="expression" priority="7968" dxfId="0">
      <formula>AND(IF($Q10=3,1,IF($Q10=4,1,0)),IF($F10&lt;=85,1,0))</formula>
    </cfRule>
  </conditionalFormatting>
  <conditionalFormatting sqref="X10">
    <cfRule type="expression" priority="7961" dxfId="3">
      <formula>AND(IF(OR($Q10=1,$Q10=2),1,0),IF($X10&lt;=20,1,0))</formula>
    </cfRule>
    <cfRule type="expression" priority="7962" dxfId="2">
      <formula>AND(IF($Q10=2,1,0),IF($X10&lt;30,1,0))</formula>
    </cfRule>
    <cfRule type="expression" priority="7963" dxfId="1">
      <formula>AND(IF($Q10=3,1,0),IF($X10&lt;30,1,0))</formula>
    </cfRule>
    <cfRule type="expression" priority="7964" dxfId="0">
      <formula>AND(IF($Q10=3,1,IF($Q10=4,1,0)),IF($F10&lt;=85,1,0))</formula>
    </cfRule>
  </conditionalFormatting>
  <conditionalFormatting sqref="AI10">
    <cfRule type="expression" priority="7957" dxfId="3">
      <formula>AND(IF(OR($Q10=1,$Q10=2),1,0),IF($X10&lt;=20,1,0))</formula>
    </cfRule>
    <cfRule type="expression" priority="7958" dxfId="2">
      <formula>AND(IF($Q10=2,1,0),IF($X10&lt;30,1,0))</formula>
    </cfRule>
    <cfRule type="expression" priority="7959" dxfId="1">
      <formula>AND(IF($Q10=3,1,0),IF($X10&lt;30,1,0))</formula>
    </cfRule>
    <cfRule type="expression" priority="7960" dxfId="0">
      <formula>AND(IF($Q10=3,1,IF($Q10=4,1,0)),IF($F10&lt;=85,1,0))</formula>
    </cfRule>
  </conditionalFormatting>
  <conditionalFormatting sqref="AV11">
    <cfRule type="expression" priority="7955" dxfId="23">
      <formula>AV11="X"</formula>
    </cfRule>
    <cfRule type="expression" priority="7956" dxfId="22">
      <formula>AV11="후보"</formula>
    </cfRule>
  </conditionalFormatting>
  <conditionalFormatting sqref="AC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1">
    <cfRule type="expression" priority="7947" dxfId="3">
      <formula>AND(IF(OR($Q11=1,$Q11=2),1,0),IF($X11&lt;=20,1,0))</formula>
    </cfRule>
    <cfRule type="expression" priority="7948" dxfId="2">
      <formula>AND(IF($Q11=2,1,0),IF($X11&lt;30,1,0))</formula>
    </cfRule>
    <cfRule type="expression" priority="7949" dxfId="1">
      <formula>AND(IF($Q11=3,1,0),IF($X11&lt;30,1,0))</formula>
    </cfRule>
    <cfRule type="expression" priority="7950" dxfId="0">
      <formula>AND(IF($Q11=3,1,IF($Q11=4,1,0)),IF($F11&lt;=85,1,0))</formula>
    </cfRule>
  </conditionalFormatting>
  <conditionalFormatting sqref="X11">
    <cfRule type="expression" priority="7943" dxfId="3">
      <formula>AND(IF(OR($Q11=1,$Q11=2),1,0),IF($X11&lt;=20,1,0))</formula>
    </cfRule>
    <cfRule type="expression" priority="7944" dxfId="2">
      <formula>AND(IF($Q11=2,1,0),IF($X11&lt;30,1,0))</formula>
    </cfRule>
    <cfRule type="expression" priority="7945" dxfId="1">
      <formula>AND(IF($Q11=3,1,0),IF($X11&lt;30,1,0))</formula>
    </cfRule>
    <cfRule type="expression" priority="7946" dxfId="0">
      <formula>AND(IF($Q11=3,1,IF($Q11=4,1,0)),IF($F11&lt;=85,1,0))</formula>
    </cfRule>
  </conditionalFormatting>
  <conditionalFormatting sqref="AI11">
    <cfRule type="expression" priority="7939" dxfId="3">
      <formula>AND(IF(OR($Q11=1,$Q11=2),1,0),IF($X11&lt;=20,1,0))</formula>
    </cfRule>
    <cfRule type="expression" priority="7940" dxfId="2">
      <formula>AND(IF($Q11=2,1,0),IF($X11&lt;30,1,0))</formula>
    </cfRule>
    <cfRule type="expression" priority="7941" dxfId="1">
      <formula>AND(IF($Q11=3,1,0),IF($X11&lt;30,1,0))</formula>
    </cfRule>
    <cfRule type="expression" priority="7942" dxfId="0">
      <formula>AND(IF($Q11=3,1,IF($Q11=4,1,0)),IF($F11&lt;=85,1,0))</formula>
    </cfRule>
  </conditionalFormatting>
  <conditionalFormatting sqref="AV12">
    <cfRule type="expression" priority="7937" dxfId="23">
      <formula>AV12="X"</formula>
    </cfRule>
    <cfRule type="expression" priority="7938" dxfId="22">
      <formula>AV12="후보"</formula>
    </cfRule>
  </conditionalFormatting>
  <conditionalFormatting sqref="AC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">
    <cfRule type="expression" priority="7929" dxfId="3">
      <formula>AND(IF(OR($Q12=1,$Q12=2),1,0),IF($X12&lt;=20,1,0))</formula>
    </cfRule>
    <cfRule type="expression" priority="7930" dxfId="2">
      <formula>AND(IF($Q12=2,1,0),IF($X12&lt;30,1,0))</formula>
    </cfRule>
    <cfRule type="expression" priority="7931" dxfId="1">
      <formula>AND(IF($Q12=3,1,0),IF($X12&lt;30,1,0))</formula>
    </cfRule>
    <cfRule type="expression" priority="7932" dxfId="0">
      <formula>AND(IF($Q12=3,1,IF($Q12=4,1,0)),IF($F12&lt;=85,1,0))</formula>
    </cfRule>
  </conditionalFormatting>
  <conditionalFormatting sqref="X12">
    <cfRule type="expression" priority="7925" dxfId="3">
      <formula>AND(IF(OR($Q12=1,$Q12=2),1,0),IF($X12&lt;=20,1,0))</formula>
    </cfRule>
    <cfRule type="expression" priority="7926" dxfId="2">
      <formula>AND(IF($Q12=2,1,0),IF($X12&lt;30,1,0))</formula>
    </cfRule>
    <cfRule type="expression" priority="7927" dxfId="1">
      <formula>AND(IF($Q12=3,1,0),IF($X12&lt;30,1,0))</formula>
    </cfRule>
    <cfRule type="expression" priority="7928" dxfId="0">
      <formula>AND(IF($Q12=3,1,IF($Q12=4,1,0)),IF($F12&lt;=85,1,0))</formula>
    </cfRule>
  </conditionalFormatting>
  <conditionalFormatting sqref="AI12">
    <cfRule type="expression" priority="7921" dxfId="3">
      <formula>AND(IF(OR($Q12=1,$Q12=2),1,0),IF($X12&lt;=20,1,0))</formula>
    </cfRule>
    <cfRule type="expression" priority="7922" dxfId="2">
      <formula>AND(IF($Q12=2,1,0),IF($X12&lt;30,1,0))</formula>
    </cfRule>
    <cfRule type="expression" priority="7923" dxfId="1">
      <formula>AND(IF($Q12=3,1,0),IF($X12&lt;30,1,0))</formula>
    </cfRule>
    <cfRule type="expression" priority="7924" dxfId="0">
      <formula>AND(IF($Q12=3,1,IF($Q12=4,1,0)),IF($F12&lt;=85,1,0))</formula>
    </cfRule>
  </conditionalFormatting>
  <conditionalFormatting sqref="AV13">
    <cfRule type="expression" priority="7919" dxfId="23">
      <formula>AV13="X"</formula>
    </cfRule>
    <cfRule type="expression" priority="7920" dxfId="22">
      <formula>AV13="후보"</formula>
    </cfRule>
  </conditionalFormatting>
  <conditionalFormatting sqref="AC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3">
    <cfRule type="expression" priority="7911" dxfId="3">
      <formula>AND(IF(OR($Q13=1,$Q13=2),1,0),IF($X13&lt;=20,1,0))</formula>
    </cfRule>
    <cfRule type="expression" priority="7912" dxfId="2">
      <formula>AND(IF($Q13=2,1,0),IF($X13&lt;30,1,0))</formula>
    </cfRule>
    <cfRule type="expression" priority="7913" dxfId="1">
      <formula>AND(IF($Q13=3,1,0),IF($X13&lt;30,1,0))</formula>
    </cfRule>
    <cfRule type="expression" priority="7914" dxfId="0">
      <formula>AND(IF($Q13=3,1,IF($Q13=4,1,0)),IF($F13&lt;=85,1,0))</formula>
    </cfRule>
  </conditionalFormatting>
  <conditionalFormatting sqref="X13">
    <cfRule type="expression" priority="7907" dxfId="3">
      <formula>AND(IF(OR($Q13=1,$Q13=2),1,0),IF($X13&lt;=20,1,0))</formula>
    </cfRule>
    <cfRule type="expression" priority="7908" dxfId="2">
      <formula>AND(IF($Q13=2,1,0),IF($X13&lt;30,1,0))</formula>
    </cfRule>
    <cfRule type="expression" priority="7909" dxfId="1">
      <formula>AND(IF($Q13=3,1,0),IF($X13&lt;30,1,0))</formula>
    </cfRule>
    <cfRule type="expression" priority="7910" dxfId="0">
      <formula>AND(IF($Q13=3,1,IF($Q13=4,1,0)),IF($F13&lt;=85,1,0))</formula>
    </cfRule>
  </conditionalFormatting>
  <conditionalFormatting sqref="AI13">
    <cfRule type="expression" priority="7903" dxfId="3">
      <formula>AND(IF(OR($Q13=1,$Q13=2),1,0),IF($X13&lt;=20,1,0))</formula>
    </cfRule>
    <cfRule type="expression" priority="7904" dxfId="2">
      <formula>AND(IF($Q13=2,1,0),IF($X13&lt;30,1,0))</formula>
    </cfRule>
    <cfRule type="expression" priority="7905" dxfId="1">
      <formula>AND(IF($Q13=3,1,0),IF($X13&lt;30,1,0))</formula>
    </cfRule>
    <cfRule type="expression" priority="7906" dxfId="0">
      <formula>AND(IF($Q13=3,1,IF($Q13=4,1,0)),IF($F13&lt;=85,1,0))</formula>
    </cfRule>
  </conditionalFormatting>
  <conditionalFormatting sqref="AV14">
    <cfRule type="expression" priority="7901" dxfId="23">
      <formula>AV14="X"</formula>
    </cfRule>
    <cfRule type="expression" priority="7902" dxfId="22">
      <formula>AV14="후보"</formula>
    </cfRule>
  </conditionalFormatting>
  <conditionalFormatting sqref="AC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4">
    <cfRule type="expression" priority="7893" dxfId="3">
      <formula>AND(IF(OR($Q14=1,$Q14=2),1,0),IF($X14&lt;=20,1,0))</formula>
    </cfRule>
    <cfRule type="expression" priority="7894" dxfId="2">
      <formula>AND(IF($Q14=2,1,0),IF($X14&lt;30,1,0))</formula>
    </cfRule>
    <cfRule type="expression" priority="7895" dxfId="1">
      <formula>AND(IF($Q14=3,1,0),IF($X14&lt;30,1,0))</formula>
    </cfRule>
    <cfRule type="expression" priority="7896" dxfId="0">
      <formula>AND(IF($Q14=3,1,IF($Q14=4,1,0)),IF($F14&lt;=85,1,0))</formula>
    </cfRule>
  </conditionalFormatting>
  <conditionalFormatting sqref="X14">
    <cfRule type="expression" priority="7889" dxfId="3">
      <formula>AND(IF(OR($Q14=1,$Q14=2),1,0),IF($X14&lt;=20,1,0))</formula>
    </cfRule>
    <cfRule type="expression" priority="7890" dxfId="2">
      <formula>AND(IF($Q14=2,1,0),IF($X14&lt;30,1,0))</formula>
    </cfRule>
    <cfRule type="expression" priority="7891" dxfId="1">
      <formula>AND(IF($Q14=3,1,0),IF($X14&lt;30,1,0))</formula>
    </cfRule>
    <cfRule type="expression" priority="7892" dxfId="0">
      <formula>AND(IF($Q14=3,1,IF($Q14=4,1,0)),IF($F14&lt;=85,1,0))</formula>
    </cfRule>
  </conditionalFormatting>
  <conditionalFormatting sqref="AI14">
    <cfRule type="expression" priority="7885" dxfId="3">
      <formula>AND(IF(OR($Q14=1,$Q14=2),1,0),IF($X14&lt;=20,1,0))</formula>
    </cfRule>
    <cfRule type="expression" priority="7886" dxfId="2">
      <formula>AND(IF($Q14=2,1,0),IF($X14&lt;30,1,0))</formula>
    </cfRule>
    <cfRule type="expression" priority="7887" dxfId="1">
      <formula>AND(IF($Q14=3,1,0),IF($X14&lt;30,1,0))</formula>
    </cfRule>
    <cfRule type="expression" priority="7888" dxfId="0">
      <formula>AND(IF($Q14=3,1,IF($Q14=4,1,0)),IF($F14&lt;=85,1,0))</formula>
    </cfRule>
  </conditionalFormatting>
  <conditionalFormatting sqref="AV15">
    <cfRule type="expression" priority="7883" dxfId="23">
      <formula>AV15="X"</formula>
    </cfRule>
    <cfRule type="expression" priority="7884" dxfId="22">
      <formula>AV15="후보"</formula>
    </cfRule>
  </conditionalFormatting>
  <conditionalFormatting sqref="AC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5">
    <cfRule type="expression" priority="7875" dxfId="3">
      <formula>AND(IF(OR($Q15=1,$Q15=2),1,0),IF($X15&lt;=20,1,0))</formula>
    </cfRule>
    <cfRule type="expression" priority="7876" dxfId="2">
      <formula>AND(IF($Q15=2,1,0),IF($X15&lt;30,1,0))</formula>
    </cfRule>
    <cfRule type="expression" priority="7877" dxfId="1">
      <formula>AND(IF($Q15=3,1,0),IF($X15&lt;30,1,0))</formula>
    </cfRule>
    <cfRule type="expression" priority="7878" dxfId="0">
      <formula>AND(IF($Q15=3,1,IF($Q15=4,1,0)),IF($F15&lt;=85,1,0))</formula>
    </cfRule>
  </conditionalFormatting>
  <conditionalFormatting sqref="X15">
    <cfRule type="expression" priority="7871" dxfId="3">
      <formula>AND(IF(OR($Q15=1,$Q15=2),1,0),IF($X15&lt;=20,1,0))</formula>
    </cfRule>
    <cfRule type="expression" priority="7872" dxfId="2">
      <formula>AND(IF($Q15=2,1,0),IF($X15&lt;30,1,0))</formula>
    </cfRule>
    <cfRule type="expression" priority="7873" dxfId="1">
      <formula>AND(IF($Q15=3,1,0),IF($X15&lt;30,1,0))</formula>
    </cfRule>
    <cfRule type="expression" priority="7874" dxfId="0">
      <formula>AND(IF($Q15=3,1,IF($Q15=4,1,0)),IF($F15&lt;=85,1,0))</formula>
    </cfRule>
  </conditionalFormatting>
  <conditionalFormatting sqref="AI15">
    <cfRule type="expression" priority="7867" dxfId="3">
      <formula>AND(IF(OR($Q15=1,$Q15=2),1,0),IF($X15&lt;=20,1,0))</formula>
    </cfRule>
    <cfRule type="expression" priority="7868" dxfId="2">
      <formula>AND(IF($Q15=2,1,0),IF($X15&lt;30,1,0))</formula>
    </cfRule>
    <cfRule type="expression" priority="7869" dxfId="1">
      <formula>AND(IF($Q15=3,1,0),IF($X15&lt;30,1,0))</formula>
    </cfRule>
    <cfRule type="expression" priority="7870" dxfId="0">
      <formula>AND(IF($Q15=3,1,IF($Q15=4,1,0)),IF($F15&lt;=85,1,0))</formula>
    </cfRule>
  </conditionalFormatting>
  <conditionalFormatting sqref="AV16">
    <cfRule type="expression" priority="7865" dxfId="23">
      <formula>AV16="X"</formula>
    </cfRule>
    <cfRule type="expression" priority="7866" dxfId="22">
      <formula>AV16="후보"</formula>
    </cfRule>
  </conditionalFormatting>
  <conditionalFormatting sqref="AC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">
    <cfRule type="expression" priority="7857" dxfId="3">
      <formula>AND(IF(OR($Q16=1,$Q16=2),1,0),IF($X16&lt;=20,1,0))</formula>
    </cfRule>
    <cfRule type="expression" priority="7858" dxfId="2">
      <formula>AND(IF($Q16=2,1,0),IF($X16&lt;30,1,0))</formula>
    </cfRule>
    <cfRule type="expression" priority="7859" dxfId="1">
      <formula>AND(IF($Q16=3,1,0),IF($X16&lt;30,1,0))</formula>
    </cfRule>
    <cfRule type="expression" priority="7860" dxfId="0">
      <formula>AND(IF($Q16=3,1,IF($Q16=4,1,0)),IF($F16&lt;=85,1,0))</formula>
    </cfRule>
  </conditionalFormatting>
  <conditionalFormatting sqref="X16">
    <cfRule type="expression" priority="7853" dxfId="3">
      <formula>AND(IF(OR($Q16=1,$Q16=2),1,0),IF($X16&lt;=20,1,0))</formula>
    </cfRule>
    <cfRule type="expression" priority="7854" dxfId="2">
      <formula>AND(IF($Q16=2,1,0),IF($X16&lt;30,1,0))</formula>
    </cfRule>
    <cfRule type="expression" priority="7855" dxfId="1">
      <formula>AND(IF($Q16=3,1,0),IF($X16&lt;30,1,0))</formula>
    </cfRule>
    <cfRule type="expression" priority="7856" dxfId="0">
      <formula>AND(IF($Q16=3,1,IF($Q16=4,1,0)),IF($F16&lt;=85,1,0))</formula>
    </cfRule>
  </conditionalFormatting>
  <conditionalFormatting sqref="AI16">
    <cfRule type="expression" priority="7849" dxfId="3">
      <formula>AND(IF(OR($Q16=1,$Q16=2),1,0),IF($X16&lt;=20,1,0))</formula>
    </cfRule>
    <cfRule type="expression" priority="7850" dxfId="2">
      <formula>AND(IF($Q16=2,1,0),IF($X16&lt;30,1,0))</formula>
    </cfRule>
    <cfRule type="expression" priority="7851" dxfId="1">
      <formula>AND(IF($Q16=3,1,0),IF($X16&lt;30,1,0))</formula>
    </cfRule>
    <cfRule type="expression" priority="7852" dxfId="0">
      <formula>AND(IF($Q16=3,1,IF($Q16=4,1,0)),IF($F16&lt;=85,1,0))</formula>
    </cfRule>
  </conditionalFormatting>
  <conditionalFormatting sqref="AV17">
    <cfRule type="expression" priority="7847" dxfId="23">
      <formula>AV17="X"</formula>
    </cfRule>
    <cfRule type="expression" priority="7848" dxfId="22">
      <formula>AV17="후보"</formula>
    </cfRule>
  </conditionalFormatting>
  <conditionalFormatting sqref="AC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7">
    <cfRule type="expression" priority="7839" dxfId="3">
      <formula>AND(IF(OR($Q17=1,$Q17=2),1,0),IF($X17&lt;=20,1,0))</formula>
    </cfRule>
    <cfRule type="expression" priority="7840" dxfId="2">
      <formula>AND(IF($Q17=2,1,0),IF($X17&lt;30,1,0))</formula>
    </cfRule>
    <cfRule type="expression" priority="7841" dxfId="1">
      <formula>AND(IF($Q17=3,1,0),IF($X17&lt;30,1,0))</formula>
    </cfRule>
    <cfRule type="expression" priority="7842" dxfId="0">
      <formula>AND(IF($Q17=3,1,IF($Q17=4,1,0)),IF($F17&lt;=85,1,0))</formula>
    </cfRule>
  </conditionalFormatting>
  <conditionalFormatting sqref="X17">
    <cfRule type="expression" priority="7835" dxfId="3">
      <formula>AND(IF(OR($Q17=1,$Q17=2),1,0),IF($X17&lt;=20,1,0))</formula>
    </cfRule>
    <cfRule type="expression" priority="7836" dxfId="2">
      <formula>AND(IF($Q17=2,1,0),IF($X17&lt;30,1,0))</formula>
    </cfRule>
    <cfRule type="expression" priority="7837" dxfId="1">
      <formula>AND(IF($Q17=3,1,0),IF($X17&lt;30,1,0))</formula>
    </cfRule>
    <cfRule type="expression" priority="7838" dxfId="0">
      <formula>AND(IF($Q17=3,1,IF($Q17=4,1,0)),IF($F17&lt;=85,1,0))</formula>
    </cfRule>
  </conditionalFormatting>
  <conditionalFormatting sqref="AI17">
    <cfRule type="expression" priority="7831" dxfId="3">
      <formula>AND(IF(OR($Q17=1,$Q17=2),1,0),IF($X17&lt;=20,1,0))</formula>
    </cfRule>
    <cfRule type="expression" priority="7832" dxfId="2">
      <formula>AND(IF($Q17=2,1,0),IF($X17&lt;30,1,0))</formula>
    </cfRule>
    <cfRule type="expression" priority="7833" dxfId="1">
      <formula>AND(IF($Q17=3,1,0),IF($X17&lt;30,1,0))</formula>
    </cfRule>
    <cfRule type="expression" priority="7834" dxfId="0">
      <formula>AND(IF($Q17=3,1,IF($Q17=4,1,0)),IF($F17&lt;=85,1,0))</formula>
    </cfRule>
  </conditionalFormatting>
  <conditionalFormatting sqref="AV18">
    <cfRule type="expression" priority="7829" dxfId="23">
      <formula>AV18="X"</formula>
    </cfRule>
    <cfRule type="expression" priority="7830" dxfId="22">
      <formula>AV18="후보"</formula>
    </cfRule>
  </conditionalFormatting>
  <conditionalFormatting sqref="AC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">
    <cfRule type="expression" priority="7821" dxfId="3">
      <formula>AND(IF(OR($Q18=1,$Q18=2),1,0),IF($X18&lt;=20,1,0))</formula>
    </cfRule>
    <cfRule type="expression" priority="7822" dxfId="2">
      <formula>AND(IF($Q18=2,1,0),IF($X18&lt;30,1,0))</formula>
    </cfRule>
    <cfRule type="expression" priority="7823" dxfId="1">
      <formula>AND(IF($Q18=3,1,0),IF($X18&lt;30,1,0))</formula>
    </cfRule>
    <cfRule type="expression" priority="7824" dxfId="0">
      <formula>AND(IF($Q18=3,1,IF($Q18=4,1,0)),IF($F18&lt;=85,1,0))</formula>
    </cfRule>
  </conditionalFormatting>
  <conditionalFormatting sqref="X18">
    <cfRule type="expression" priority="7817" dxfId="3">
      <formula>AND(IF(OR($Q18=1,$Q18=2),1,0),IF($X18&lt;=20,1,0))</formula>
    </cfRule>
    <cfRule type="expression" priority="7818" dxfId="2">
      <formula>AND(IF($Q18=2,1,0),IF($X18&lt;30,1,0))</formula>
    </cfRule>
    <cfRule type="expression" priority="7819" dxfId="1">
      <formula>AND(IF($Q18=3,1,0),IF($X18&lt;30,1,0))</formula>
    </cfRule>
    <cfRule type="expression" priority="7820" dxfId="0">
      <formula>AND(IF($Q18=3,1,IF($Q18=4,1,0)),IF($F18&lt;=85,1,0))</formula>
    </cfRule>
  </conditionalFormatting>
  <conditionalFormatting sqref="AI18">
    <cfRule type="expression" priority="7813" dxfId="3">
      <formula>AND(IF(OR($Q18=1,$Q18=2),1,0),IF($X18&lt;=20,1,0))</formula>
    </cfRule>
    <cfRule type="expression" priority="7814" dxfId="2">
      <formula>AND(IF($Q18=2,1,0),IF($X18&lt;30,1,0))</formula>
    </cfRule>
    <cfRule type="expression" priority="7815" dxfId="1">
      <formula>AND(IF($Q18=3,1,0),IF($X18&lt;30,1,0))</formula>
    </cfRule>
    <cfRule type="expression" priority="7816" dxfId="0">
      <formula>AND(IF($Q18=3,1,IF($Q18=4,1,0)),IF($F18&lt;=85,1,0))</formula>
    </cfRule>
  </conditionalFormatting>
  <conditionalFormatting sqref="AV19">
    <cfRule type="expression" priority="7811" dxfId="23">
      <formula>AV19="X"</formula>
    </cfRule>
    <cfRule type="expression" priority="7812" dxfId="22">
      <formula>AV19="후보"</formula>
    </cfRule>
  </conditionalFormatting>
  <conditionalFormatting sqref="AC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9">
    <cfRule type="expression" priority="7803" dxfId="3">
      <formula>AND(IF(OR($Q19=1,$Q19=2),1,0),IF($X19&lt;=20,1,0))</formula>
    </cfRule>
    <cfRule type="expression" priority="7804" dxfId="2">
      <formula>AND(IF($Q19=2,1,0),IF($X19&lt;30,1,0))</formula>
    </cfRule>
    <cfRule type="expression" priority="7805" dxfId="1">
      <formula>AND(IF($Q19=3,1,0),IF($X19&lt;30,1,0))</formula>
    </cfRule>
    <cfRule type="expression" priority="7806" dxfId="0">
      <formula>AND(IF($Q19=3,1,IF($Q19=4,1,0)),IF($F19&lt;=85,1,0))</formula>
    </cfRule>
  </conditionalFormatting>
  <conditionalFormatting sqref="X19">
    <cfRule type="expression" priority="7799" dxfId="3">
      <formula>AND(IF(OR($Q19=1,$Q19=2),1,0),IF($X19&lt;=20,1,0))</formula>
    </cfRule>
    <cfRule type="expression" priority="7800" dxfId="2">
      <formula>AND(IF($Q19=2,1,0),IF($X19&lt;30,1,0))</formula>
    </cfRule>
    <cfRule type="expression" priority="7801" dxfId="1">
      <formula>AND(IF($Q19=3,1,0),IF($X19&lt;30,1,0))</formula>
    </cfRule>
    <cfRule type="expression" priority="7802" dxfId="0">
      <formula>AND(IF($Q19=3,1,IF($Q19=4,1,0)),IF($F19&lt;=85,1,0))</formula>
    </cfRule>
  </conditionalFormatting>
  <conditionalFormatting sqref="AI19">
    <cfRule type="expression" priority="7795" dxfId="3">
      <formula>AND(IF(OR($Q19=1,$Q19=2),1,0),IF($X19&lt;=20,1,0))</formula>
    </cfRule>
    <cfRule type="expression" priority="7796" dxfId="2">
      <formula>AND(IF($Q19=2,1,0),IF($X19&lt;30,1,0))</formula>
    </cfRule>
    <cfRule type="expression" priority="7797" dxfId="1">
      <formula>AND(IF($Q19=3,1,0),IF($X19&lt;30,1,0))</formula>
    </cfRule>
    <cfRule type="expression" priority="7798" dxfId="0">
      <formula>AND(IF($Q19=3,1,IF($Q19=4,1,0)),IF($F19&lt;=85,1,0))</formula>
    </cfRule>
  </conditionalFormatting>
  <conditionalFormatting sqref="AV20">
    <cfRule type="expression" priority="7793" dxfId="23">
      <formula>AV20="X"</formula>
    </cfRule>
    <cfRule type="expression" priority="7794" dxfId="22">
      <formula>AV20="후보"</formula>
    </cfRule>
  </conditionalFormatting>
  <conditionalFormatting sqref="AC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0">
    <cfRule type="expression" priority="7785" dxfId="3">
      <formula>AND(IF(OR($Q20=1,$Q20=2),1,0),IF($X20&lt;=20,1,0))</formula>
    </cfRule>
    <cfRule type="expression" priority="7786" dxfId="2">
      <formula>AND(IF($Q20=2,1,0),IF($X20&lt;30,1,0))</formula>
    </cfRule>
    <cfRule type="expression" priority="7787" dxfId="1">
      <formula>AND(IF($Q20=3,1,0),IF($X20&lt;30,1,0))</formula>
    </cfRule>
    <cfRule type="expression" priority="7788" dxfId="0">
      <formula>AND(IF($Q20=3,1,IF($Q20=4,1,0)),IF($F20&lt;=85,1,0))</formula>
    </cfRule>
  </conditionalFormatting>
  <conditionalFormatting sqref="X20">
    <cfRule type="expression" priority="7781" dxfId="3">
      <formula>AND(IF(OR($Q20=1,$Q20=2),1,0),IF($X20&lt;=20,1,0))</formula>
    </cfRule>
    <cfRule type="expression" priority="7782" dxfId="2">
      <formula>AND(IF($Q20=2,1,0),IF($X20&lt;30,1,0))</formula>
    </cfRule>
    <cfRule type="expression" priority="7783" dxfId="1">
      <formula>AND(IF($Q20=3,1,0),IF($X20&lt;30,1,0))</formula>
    </cfRule>
    <cfRule type="expression" priority="7784" dxfId="0">
      <formula>AND(IF($Q20=3,1,IF($Q20=4,1,0)),IF($F20&lt;=85,1,0))</formula>
    </cfRule>
  </conditionalFormatting>
  <conditionalFormatting sqref="AI20">
    <cfRule type="expression" priority="7777" dxfId="3">
      <formula>AND(IF(OR($Q20=1,$Q20=2),1,0),IF($X20&lt;=20,1,0))</formula>
    </cfRule>
    <cfRule type="expression" priority="7778" dxfId="2">
      <formula>AND(IF($Q20=2,1,0),IF($X20&lt;30,1,0))</formula>
    </cfRule>
    <cfRule type="expression" priority="7779" dxfId="1">
      <formula>AND(IF($Q20=3,1,0),IF($X20&lt;30,1,0))</formula>
    </cfRule>
    <cfRule type="expression" priority="7780" dxfId="0">
      <formula>AND(IF($Q20=3,1,IF($Q20=4,1,0)),IF($F20&lt;=85,1,0))</formula>
    </cfRule>
  </conditionalFormatting>
  <conditionalFormatting sqref="AV21">
    <cfRule type="expression" priority="7775" dxfId="23">
      <formula>AV21="X"</formula>
    </cfRule>
    <cfRule type="expression" priority="7776" dxfId="22">
      <formula>AV21="후보"</formula>
    </cfRule>
  </conditionalFormatting>
  <conditionalFormatting sqref="AC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">
    <cfRule type="expression" priority="7767" dxfId="3">
      <formula>AND(IF(OR($Q21=1,$Q21=2),1,0),IF($X21&lt;=20,1,0))</formula>
    </cfRule>
    <cfRule type="expression" priority="7768" dxfId="2">
      <formula>AND(IF($Q21=2,1,0),IF($X21&lt;30,1,0))</formula>
    </cfRule>
    <cfRule type="expression" priority="7769" dxfId="1">
      <formula>AND(IF($Q21=3,1,0),IF($X21&lt;30,1,0))</formula>
    </cfRule>
    <cfRule type="expression" priority="7770" dxfId="0">
      <formula>AND(IF($Q21=3,1,IF($Q21=4,1,0)),IF($F21&lt;=85,1,0))</formula>
    </cfRule>
  </conditionalFormatting>
  <conditionalFormatting sqref="X21">
    <cfRule type="expression" priority="7763" dxfId="3">
      <formula>AND(IF(OR($Q21=1,$Q21=2),1,0),IF($X21&lt;=20,1,0))</formula>
    </cfRule>
    <cfRule type="expression" priority="7764" dxfId="2">
      <formula>AND(IF($Q21=2,1,0),IF($X21&lt;30,1,0))</formula>
    </cfRule>
    <cfRule type="expression" priority="7765" dxfId="1">
      <formula>AND(IF($Q21=3,1,0),IF($X21&lt;30,1,0))</formula>
    </cfRule>
    <cfRule type="expression" priority="7766" dxfId="0">
      <formula>AND(IF($Q21=3,1,IF($Q21=4,1,0)),IF($F21&lt;=85,1,0))</formula>
    </cfRule>
  </conditionalFormatting>
  <conditionalFormatting sqref="AI21">
    <cfRule type="expression" priority="7759" dxfId="3">
      <formula>AND(IF(OR($Q21=1,$Q21=2),1,0),IF($X21&lt;=20,1,0))</formula>
    </cfRule>
    <cfRule type="expression" priority="7760" dxfId="2">
      <formula>AND(IF($Q21=2,1,0),IF($X21&lt;30,1,0))</formula>
    </cfRule>
    <cfRule type="expression" priority="7761" dxfId="1">
      <formula>AND(IF($Q21=3,1,0),IF($X21&lt;30,1,0))</formula>
    </cfRule>
    <cfRule type="expression" priority="7762" dxfId="0">
      <formula>AND(IF($Q21=3,1,IF($Q21=4,1,0)),IF($F21&lt;=85,1,0))</formula>
    </cfRule>
  </conditionalFormatting>
  <conditionalFormatting sqref="AV22">
    <cfRule type="expression" priority="7757" dxfId="23">
      <formula>AV22="X"</formula>
    </cfRule>
    <cfRule type="expression" priority="7758" dxfId="22">
      <formula>AV22="후보"</formula>
    </cfRule>
  </conditionalFormatting>
  <conditionalFormatting sqref="AC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">
    <cfRule type="expression" priority="7749" dxfId="3">
      <formula>AND(IF(OR($Q22=1,$Q22=2),1,0),IF($X22&lt;=20,1,0))</formula>
    </cfRule>
    <cfRule type="expression" priority="7750" dxfId="2">
      <formula>AND(IF($Q22=2,1,0),IF($X22&lt;30,1,0))</formula>
    </cfRule>
    <cfRule type="expression" priority="7751" dxfId="1">
      <formula>AND(IF($Q22=3,1,0),IF($X22&lt;30,1,0))</formula>
    </cfRule>
    <cfRule type="expression" priority="7752" dxfId="0">
      <formula>AND(IF($Q22=3,1,IF($Q22=4,1,0)),IF($F22&lt;=85,1,0))</formula>
    </cfRule>
  </conditionalFormatting>
  <conditionalFormatting sqref="X22">
    <cfRule type="expression" priority="7745" dxfId="3">
      <formula>AND(IF(OR($Q22=1,$Q22=2),1,0),IF($X22&lt;=20,1,0))</formula>
    </cfRule>
    <cfRule type="expression" priority="7746" dxfId="2">
      <formula>AND(IF($Q22=2,1,0),IF($X22&lt;30,1,0))</formula>
    </cfRule>
    <cfRule type="expression" priority="7747" dxfId="1">
      <formula>AND(IF($Q22=3,1,0),IF($X22&lt;30,1,0))</formula>
    </cfRule>
    <cfRule type="expression" priority="7748" dxfId="0">
      <formula>AND(IF($Q22=3,1,IF($Q22=4,1,0)),IF($F22&lt;=85,1,0))</formula>
    </cfRule>
  </conditionalFormatting>
  <conditionalFormatting sqref="AI22">
    <cfRule type="expression" priority="7741" dxfId="3">
      <formula>AND(IF(OR($Q22=1,$Q22=2),1,0),IF($X22&lt;=20,1,0))</formula>
    </cfRule>
    <cfRule type="expression" priority="7742" dxfId="2">
      <formula>AND(IF($Q22=2,1,0),IF($X22&lt;30,1,0))</formula>
    </cfRule>
    <cfRule type="expression" priority="7743" dxfId="1">
      <formula>AND(IF($Q22=3,1,0),IF($X22&lt;30,1,0))</formula>
    </cfRule>
    <cfRule type="expression" priority="7744" dxfId="0">
      <formula>AND(IF($Q22=3,1,IF($Q22=4,1,0)),IF($F22&lt;=85,1,0))</formula>
    </cfRule>
  </conditionalFormatting>
  <conditionalFormatting sqref="AV23">
    <cfRule type="expression" priority="7739" dxfId="23">
      <formula>AV23="X"</formula>
    </cfRule>
    <cfRule type="expression" priority="7740" dxfId="22">
      <formula>AV23="후보"</formula>
    </cfRule>
  </conditionalFormatting>
  <conditionalFormatting sqref="AC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3">
    <cfRule type="expression" priority="7731" dxfId="3">
      <formula>AND(IF(OR($Q23=1,$Q23=2),1,0),IF($X23&lt;=20,1,0))</formula>
    </cfRule>
    <cfRule type="expression" priority="7732" dxfId="2">
      <formula>AND(IF($Q23=2,1,0),IF($X23&lt;30,1,0))</formula>
    </cfRule>
    <cfRule type="expression" priority="7733" dxfId="1">
      <formula>AND(IF($Q23=3,1,0),IF($X23&lt;30,1,0))</formula>
    </cfRule>
    <cfRule type="expression" priority="7734" dxfId="0">
      <formula>AND(IF($Q23=3,1,IF($Q23=4,1,0)),IF($F23&lt;=85,1,0))</formula>
    </cfRule>
  </conditionalFormatting>
  <conditionalFormatting sqref="X23">
    <cfRule type="expression" priority="7727" dxfId="3">
      <formula>AND(IF(OR($Q23=1,$Q23=2),1,0),IF($X23&lt;=20,1,0))</formula>
    </cfRule>
    <cfRule type="expression" priority="7728" dxfId="2">
      <formula>AND(IF($Q23=2,1,0),IF($X23&lt;30,1,0))</formula>
    </cfRule>
    <cfRule type="expression" priority="7729" dxfId="1">
      <formula>AND(IF($Q23=3,1,0),IF($X23&lt;30,1,0))</formula>
    </cfRule>
    <cfRule type="expression" priority="7730" dxfId="0">
      <formula>AND(IF($Q23=3,1,IF($Q23=4,1,0)),IF($F23&lt;=85,1,0))</formula>
    </cfRule>
  </conditionalFormatting>
  <conditionalFormatting sqref="AI23">
    <cfRule type="expression" priority="7723" dxfId="3">
      <formula>AND(IF(OR($Q23=1,$Q23=2),1,0),IF($X23&lt;=20,1,0))</formula>
    </cfRule>
    <cfRule type="expression" priority="7724" dxfId="2">
      <formula>AND(IF($Q23=2,1,0),IF($X23&lt;30,1,0))</formula>
    </cfRule>
    <cfRule type="expression" priority="7725" dxfId="1">
      <formula>AND(IF($Q23=3,1,0),IF($X23&lt;30,1,0))</formula>
    </cfRule>
    <cfRule type="expression" priority="7726" dxfId="0">
      <formula>AND(IF($Q23=3,1,IF($Q23=4,1,0)),IF($F23&lt;=85,1,0))</formula>
    </cfRule>
  </conditionalFormatting>
  <conditionalFormatting sqref="AV24">
    <cfRule type="expression" priority="7721" dxfId="23">
      <formula>AV24="X"</formula>
    </cfRule>
    <cfRule type="expression" priority="7722" dxfId="22">
      <formula>AV24="후보"</formula>
    </cfRule>
  </conditionalFormatting>
  <conditionalFormatting sqref="AC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4">
    <cfRule type="expression" priority="7713" dxfId="3">
      <formula>AND(IF(OR($Q24=1,$Q24=2),1,0),IF($X24&lt;=20,1,0))</formula>
    </cfRule>
    <cfRule type="expression" priority="7714" dxfId="2">
      <formula>AND(IF($Q24=2,1,0),IF($X24&lt;30,1,0))</formula>
    </cfRule>
    <cfRule type="expression" priority="7715" dxfId="1">
      <formula>AND(IF($Q24=3,1,0),IF($X24&lt;30,1,0))</formula>
    </cfRule>
    <cfRule type="expression" priority="7716" dxfId="0">
      <formula>AND(IF($Q24=3,1,IF($Q24=4,1,0)),IF($F24&lt;=85,1,0))</formula>
    </cfRule>
  </conditionalFormatting>
  <conditionalFormatting sqref="X24">
    <cfRule type="expression" priority="7709" dxfId="3">
      <formula>AND(IF(OR($Q24=1,$Q24=2),1,0),IF($X24&lt;=20,1,0))</formula>
    </cfRule>
    <cfRule type="expression" priority="7710" dxfId="2">
      <formula>AND(IF($Q24=2,1,0),IF($X24&lt;30,1,0))</formula>
    </cfRule>
    <cfRule type="expression" priority="7711" dxfId="1">
      <formula>AND(IF($Q24=3,1,0),IF($X24&lt;30,1,0))</formula>
    </cfRule>
    <cfRule type="expression" priority="7712" dxfId="0">
      <formula>AND(IF($Q24=3,1,IF($Q24=4,1,0)),IF($F24&lt;=85,1,0))</formula>
    </cfRule>
  </conditionalFormatting>
  <conditionalFormatting sqref="AI24">
    <cfRule type="expression" priority="7705" dxfId="3">
      <formula>AND(IF(OR($Q24=1,$Q24=2),1,0),IF($X24&lt;=20,1,0))</formula>
    </cfRule>
    <cfRule type="expression" priority="7706" dxfId="2">
      <formula>AND(IF($Q24=2,1,0),IF($X24&lt;30,1,0))</formula>
    </cfRule>
    <cfRule type="expression" priority="7707" dxfId="1">
      <formula>AND(IF($Q24=3,1,0),IF($X24&lt;30,1,0))</formula>
    </cfRule>
    <cfRule type="expression" priority="7708" dxfId="0">
      <formula>AND(IF($Q24=3,1,IF($Q24=4,1,0)),IF($F24&lt;=85,1,0))</formula>
    </cfRule>
  </conditionalFormatting>
  <conditionalFormatting sqref="AV25">
    <cfRule type="expression" priority="7703" dxfId="23">
      <formula>AV25="X"</formula>
    </cfRule>
    <cfRule type="expression" priority="7704" dxfId="22">
      <formula>AV25="후보"</formula>
    </cfRule>
  </conditionalFormatting>
  <conditionalFormatting sqref="AC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5">
    <cfRule type="expression" priority="7695" dxfId="3">
      <formula>AND(IF(OR($Q25=1,$Q25=2),1,0),IF($X25&lt;=20,1,0))</formula>
    </cfRule>
    <cfRule type="expression" priority="7696" dxfId="2">
      <formula>AND(IF($Q25=2,1,0),IF($X25&lt;30,1,0))</formula>
    </cfRule>
    <cfRule type="expression" priority="7697" dxfId="1">
      <formula>AND(IF($Q25=3,1,0),IF($X25&lt;30,1,0))</formula>
    </cfRule>
    <cfRule type="expression" priority="7698" dxfId="0">
      <formula>AND(IF($Q25=3,1,IF($Q25=4,1,0)),IF($F25&lt;=85,1,0))</formula>
    </cfRule>
  </conditionalFormatting>
  <conditionalFormatting sqref="X25">
    <cfRule type="expression" priority="7691" dxfId="3">
      <formula>AND(IF(OR($Q25=1,$Q25=2),1,0),IF($X25&lt;=20,1,0))</formula>
    </cfRule>
    <cfRule type="expression" priority="7692" dxfId="2">
      <formula>AND(IF($Q25=2,1,0),IF($X25&lt;30,1,0))</formula>
    </cfRule>
    <cfRule type="expression" priority="7693" dxfId="1">
      <formula>AND(IF($Q25=3,1,0),IF($X25&lt;30,1,0))</formula>
    </cfRule>
    <cfRule type="expression" priority="7694" dxfId="0">
      <formula>AND(IF($Q25=3,1,IF($Q25=4,1,0)),IF($F25&lt;=85,1,0))</formula>
    </cfRule>
  </conditionalFormatting>
  <conditionalFormatting sqref="AI25">
    <cfRule type="expression" priority="7687" dxfId="3">
      <formula>AND(IF(OR($Q25=1,$Q25=2),1,0),IF($X25&lt;=20,1,0))</formula>
    </cfRule>
    <cfRule type="expression" priority="7688" dxfId="2">
      <formula>AND(IF($Q25=2,1,0),IF($X25&lt;30,1,0))</formula>
    </cfRule>
    <cfRule type="expression" priority="7689" dxfId="1">
      <formula>AND(IF($Q25=3,1,0),IF($X25&lt;30,1,0))</formula>
    </cfRule>
    <cfRule type="expression" priority="7690" dxfId="0">
      <formula>AND(IF($Q25=3,1,IF($Q25=4,1,0)),IF($F25&lt;=85,1,0))</formula>
    </cfRule>
  </conditionalFormatting>
  <conditionalFormatting sqref="AV26">
    <cfRule type="expression" priority="7685" dxfId="23">
      <formula>AV26="X"</formula>
    </cfRule>
    <cfRule type="expression" priority="7686" dxfId="22">
      <formula>AV26="후보"</formula>
    </cfRule>
  </conditionalFormatting>
  <conditionalFormatting sqref="AC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6">
    <cfRule type="expression" priority="7677" dxfId="3">
      <formula>AND(IF(OR($Q26=1,$Q26=2),1,0),IF($X26&lt;=20,1,0))</formula>
    </cfRule>
    <cfRule type="expression" priority="7678" dxfId="2">
      <formula>AND(IF($Q26=2,1,0),IF($X26&lt;30,1,0))</formula>
    </cfRule>
    <cfRule type="expression" priority="7679" dxfId="1">
      <formula>AND(IF($Q26=3,1,0),IF($X26&lt;30,1,0))</formula>
    </cfRule>
    <cfRule type="expression" priority="7680" dxfId="0">
      <formula>AND(IF($Q26=3,1,IF($Q26=4,1,0)),IF($F26&lt;=85,1,0))</formula>
    </cfRule>
  </conditionalFormatting>
  <conditionalFormatting sqref="X26">
    <cfRule type="expression" priority="7673" dxfId="3">
      <formula>AND(IF(OR($Q26=1,$Q26=2),1,0),IF($X26&lt;=20,1,0))</formula>
    </cfRule>
    <cfRule type="expression" priority="7674" dxfId="2">
      <formula>AND(IF($Q26=2,1,0),IF($X26&lt;30,1,0))</formula>
    </cfRule>
    <cfRule type="expression" priority="7675" dxfId="1">
      <formula>AND(IF($Q26=3,1,0),IF($X26&lt;30,1,0))</formula>
    </cfRule>
    <cfRule type="expression" priority="7676" dxfId="0">
      <formula>AND(IF($Q26=3,1,IF($Q26=4,1,0)),IF($F26&lt;=85,1,0))</formula>
    </cfRule>
  </conditionalFormatting>
  <conditionalFormatting sqref="AI26">
    <cfRule type="expression" priority="7669" dxfId="3">
      <formula>AND(IF(OR($Q26=1,$Q26=2),1,0),IF($X26&lt;=20,1,0))</formula>
    </cfRule>
    <cfRule type="expression" priority="7670" dxfId="2">
      <formula>AND(IF($Q26=2,1,0),IF($X26&lt;30,1,0))</formula>
    </cfRule>
    <cfRule type="expression" priority="7671" dxfId="1">
      <formula>AND(IF($Q26=3,1,0),IF($X26&lt;30,1,0))</formula>
    </cfRule>
    <cfRule type="expression" priority="7672" dxfId="0">
      <formula>AND(IF($Q26=3,1,IF($Q26=4,1,0)),IF($F26&lt;=85,1,0))</formula>
    </cfRule>
  </conditionalFormatting>
  <conditionalFormatting sqref="AV27">
    <cfRule type="expression" priority="7667" dxfId="23">
      <formula>AV27="X"</formula>
    </cfRule>
    <cfRule type="expression" priority="7668" dxfId="22">
      <formula>AV27="후보"</formula>
    </cfRule>
  </conditionalFormatting>
  <conditionalFormatting sqref="AC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7">
    <cfRule type="expression" priority="7659" dxfId="3">
      <formula>AND(IF(OR($Q27=1,$Q27=2),1,0),IF($X27&lt;=20,1,0))</formula>
    </cfRule>
    <cfRule type="expression" priority="7660" dxfId="2">
      <formula>AND(IF($Q27=2,1,0),IF($X27&lt;30,1,0))</formula>
    </cfRule>
    <cfRule type="expression" priority="7661" dxfId="1">
      <formula>AND(IF($Q27=3,1,0),IF($X27&lt;30,1,0))</formula>
    </cfRule>
    <cfRule type="expression" priority="7662" dxfId="0">
      <formula>AND(IF($Q27=3,1,IF($Q27=4,1,0)),IF($F27&lt;=85,1,0))</formula>
    </cfRule>
  </conditionalFormatting>
  <conditionalFormatting sqref="X27">
    <cfRule type="expression" priority="7655" dxfId="3">
      <formula>AND(IF(OR($Q27=1,$Q27=2),1,0),IF($X27&lt;=20,1,0))</formula>
    </cfRule>
    <cfRule type="expression" priority="7656" dxfId="2">
      <formula>AND(IF($Q27=2,1,0),IF($X27&lt;30,1,0))</formula>
    </cfRule>
    <cfRule type="expression" priority="7657" dxfId="1">
      <formula>AND(IF($Q27=3,1,0),IF($X27&lt;30,1,0))</formula>
    </cfRule>
    <cfRule type="expression" priority="7658" dxfId="0">
      <formula>AND(IF($Q27=3,1,IF($Q27=4,1,0)),IF($F27&lt;=85,1,0))</formula>
    </cfRule>
  </conditionalFormatting>
  <conditionalFormatting sqref="AI27">
    <cfRule type="expression" priority="7651" dxfId="3">
      <formula>AND(IF(OR($Q27=1,$Q27=2),1,0),IF($X27&lt;=20,1,0))</formula>
    </cfRule>
    <cfRule type="expression" priority="7652" dxfId="2">
      <formula>AND(IF($Q27=2,1,0),IF($X27&lt;30,1,0))</formula>
    </cfRule>
    <cfRule type="expression" priority="7653" dxfId="1">
      <formula>AND(IF($Q27=3,1,0),IF($X27&lt;30,1,0))</formula>
    </cfRule>
    <cfRule type="expression" priority="7654" dxfId="0">
      <formula>AND(IF($Q27=3,1,IF($Q27=4,1,0)),IF($F27&lt;=85,1,0))</formula>
    </cfRule>
  </conditionalFormatting>
  <conditionalFormatting sqref="AV28">
    <cfRule type="expression" priority="7649" dxfId="23">
      <formula>AV28="X"</formula>
    </cfRule>
    <cfRule type="expression" priority="7650" dxfId="22">
      <formula>AV28="후보"</formula>
    </cfRule>
  </conditionalFormatting>
  <conditionalFormatting sqref="AC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8">
    <cfRule type="expression" priority="7641" dxfId="3">
      <formula>AND(IF(OR($Q28=1,$Q28=2),1,0),IF($X28&lt;=20,1,0))</formula>
    </cfRule>
    <cfRule type="expression" priority="7642" dxfId="2">
      <formula>AND(IF($Q28=2,1,0),IF($X28&lt;30,1,0))</formula>
    </cfRule>
    <cfRule type="expression" priority="7643" dxfId="1">
      <formula>AND(IF($Q28=3,1,0),IF($X28&lt;30,1,0))</formula>
    </cfRule>
    <cfRule type="expression" priority="7644" dxfId="0">
      <formula>AND(IF($Q28=3,1,IF($Q28=4,1,0)),IF($F28&lt;=85,1,0))</formula>
    </cfRule>
  </conditionalFormatting>
  <conditionalFormatting sqref="X28">
    <cfRule type="expression" priority="7637" dxfId="3">
      <formula>AND(IF(OR($Q28=1,$Q28=2),1,0),IF($X28&lt;=20,1,0))</formula>
    </cfRule>
    <cfRule type="expression" priority="7638" dxfId="2">
      <formula>AND(IF($Q28=2,1,0),IF($X28&lt;30,1,0))</formula>
    </cfRule>
    <cfRule type="expression" priority="7639" dxfId="1">
      <formula>AND(IF($Q28=3,1,0),IF($X28&lt;30,1,0))</formula>
    </cfRule>
    <cfRule type="expression" priority="7640" dxfId="0">
      <formula>AND(IF($Q28=3,1,IF($Q28=4,1,0)),IF($F28&lt;=85,1,0))</formula>
    </cfRule>
  </conditionalFormatting>
  <conditionalFormatting sqref="AI28">
    <cfRule type="expression" priority="7633" dxfId="3">
      <formula>AND(IF(OR($Q28=1,$Q28=2),1,0),IF($X28&lt;=20,1,0))</formula>
    </cfRule>
    <cfRule type="expression" priority="7634" dxfId="2">
      <formula>AND(IF($Q28=2,1,0),IF($X28&lt;30,1,0))</formula>
    </cfRule>
    <cfRule type="expression" priority="7635" dxfId="1">
      <formula>AND(IF($Q28=3,1,0),IF($X28&lt;30,1,0))</formula>
    </cfRule>
    <cfRule type="expression" priority="7636" dxfId="0">
      <formula>AND(IF($Q28=3,1,IF($Q28=4,1,0)),IF($F28&lt;=85,1,0))</formula>
    </cfRule>
  </conditionalFormatting>
  <conditionalFormatting sqref="AV29">
    <cfRule type="expression" priority="7631" dxfId="23">
      <formula>AV29="X"</formula>
    </cfRule>
    <cfRule type="expression" priority="7632" dxfId="22">
      <formula>AV29="후보"</formula>
    </cfRule>
  </conditionalFormatting>
  <conditionalFormatting sqref="AC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">
    <cfRule type="expression" priority="7623" dxfId="3">
      <formula>AND(IF(OR($Q29=1,$Q29=2),1,0),IF($X29&lt;=20,1,0))</formula>
    </cfRule>
    <cfRule type="expression" priority="7624" dxfId="2">
      <formula>AND(IF($Q29=2,1,0),IF($X29&lt;30,1,0))</formula>
    </cfRule>
    <cfRule type="expression" priority="7625" dxfId="1">
      <formula>AND(IF($Q29=3,1,0),IF($X29&lt;30,1,0))</formula>
    </cfRule>
    <cfRule type="expression" priority="7626" dxfId="0">
      <formula>AND(IF($Q29=3,1,IF($Q29=4,1,0)),IF($F29&lt;=85,1,0))</formula>
    </cfRule>
  </conditionalFormatting>
  <conditionalFormatting sqref="X29">
    <cfRule type="expression" priority="7619" dxfId="3">
      <formula>AND(IF(OR($Q29=1,$Q29=2),1,0),IF($X29&lt;=20,1,0))</formula>
    </cfRule>
    <cfRule type="expression" priority="7620" dxfId="2">
      <formula>AND(IF($Q29=2,1,0),IF($X29&lt;30,1,0))</formula>
    </cfRule>
    <cfRule type="expression" priority="7621" dxfId="1">
      <formula>AND(IF($Q29=3,1,0),IF($X29&lt;30,1,0))</formula>
    </cfRule>
    <cfRule type="expression" priority="7622" dxfId="0">
      <formula>AND(IF($Q29=3,1,IF($Q29=4,1,0)),IF($F29&lt;=85,1,0))</formula>
    </cfRule>
  </conditionalFormatting>
  <conditionalFormatting sqref="AI29">
    <cfRule type="expression" priority="7615" dxfId="3">
      <formula>AND(IF(OR($Q29=1,$Q29=2),1,0),IF($X29&lt;=20,1,0))</formula>
    </cfRule>
    <cfRule type="expression" priority="7616" dxfId="2">
      <formula>AND(IF($Q29=2,1,0),IF($X29&lt;30,1,0))</formula>
    </cfRule>
    <cfRule type="expression" priority="7617" dxfId="1">
      <formula>AND(IF($Q29=3,1,0),IF($X29&lt;30,1,0))</formula>
    </cfRule>
    <cfRule type="expression" priority="7618" dxfId="0">
      <formula>AND(IF($Q29=3,1,IF($Q29=4,1,0)),IF($F29&lt;=85,1,0))</formula>
    </cfRule>
  </conditionalFormatting>
  <conditionalFormatting sqref="AV30">
    <cfRule type="expression" priority="7613" dxfId="23">
      <formula>AV30="X"</formula>
    </cfRule>
    <cfRule type="expression" priority="7614" dxfId="22">
      <formula>AV30="후보"</formula>
    </cfRule>
  </conditionalFormatting>
  <conditionalFormatting sqref="AC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">
    <cfRule type="expression" priority="7605" dxfId="3">
      <formula>AND(IF(OR($Q30=1,$Q30=2),1,0),IF($X30&lt;=20,1,0))</formula>
    </cfRule>
    <cfRule type="expression" priority="7606" dxfId="2">
      <formula>AND(IF($Q30=2,1,0),IF($X30&lt;30,1,0))</formula>
    </cfRule>
    <cfRule type="expression" priority="7607" dxfId="1">
      <formula>AND(IF($Q30=3,1,0),IF($X30&lt;30,1,0))</formula>
    </cfRule>
    <cfRule type="expression" priority="7608" dxfId="0">
      <formula>AND(IF($Q30=3,1,IF($Q30=4,1,0)),IF($F30&lt;=85,1,0))</formula>
    </cfRule>
  </conditionalFormatting>
  <conditionalFormatting sqref="X30">
    <cfRule type="expression" priority="7601" dxfId="3">
      <formula>AND(IF(OR($Q30=1,$Q30=2),1,0),IF($X30&lt;=20,1,0))</formula>
    </cfRule>
    <cfRule type="expression" priority="7602" dxfId="2">
      <formula>AND(IF($Q30=2,1,0),IF($X30&lt;30,1,0))</formula>
    </cfRule>
    <cfRule type="expression" priority="7603" dxfId="1">
      <formula>AND(IF($Q30=3,1,0),IF($X30&lt;30,1,0))</formula>
    </cfRule>
    <cfRule type="expression" priority="7604" dxfId="0">
      <formula>AND(IF($Q30=3,1,IF($Q30=4,1,0)),IF($F30&lt;=85,1,0))</formula>
    </cfRule>
  </conditionalFormatting>
  <conditionalFormatting sqref="AI30">
    <cfRule type="expression" priority="7597" dxfId="3">
      <formula>AND(IF(OR($Q30=1,$Q30=2),1,0),IF($X30&lt;=20,1,0))</formula>
    </cfRule>
    <cfRule type="expression" priority="7598" dxfId="2">
      <formula>AND(IF($Q30=2,1,0),IF($X30&lt;30,1,0))</formula>
    </cfRule>
    <cfRule type="expression" priority="7599" dxfId="1">
      <formula>AND(IF($Q30=3,1,0),IF($X30&lt;30,1,0))</formula>
    </cfRule>
    <cfRule type="expression" priority="7600" dxfId="0">
      <formula>AND(IF($Q30=3,1,IF($Q30=4,1,0)),IF($F30&lt;=85,1,0))</formula>
    </cfRule>
  </conditionalFormatting>
  <conditionalFormatting sqref="AV31">
    <cfRule type="expression" priority="7595" dxfId="23">
      <formula>AV31="X"</formula>
    </cfRule>
    <cfRule type="expression" priority="7596" dxfId="22">
      <formula>AV31="후보"</formula>
    </cfRule>
  </conditionalFormatting>
  <conditionalFormatting sqref="AC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1">
    <cfRule type="expression" priority="7587" dxfId="3">
      <formula>AND(IF(OR($Q31=1,$Q31=2),1,0),IF($X31&lt;=20,1,0))</formula>
    </cfRule>
    <cfRule type="expression" priority="7588" dxfId="2">
      <formula>AND(IF($Q31=2,1,0),IF($X31&lt;30,1,0))</formula>
    </cfRule>
    <cfRule type="expression" priority="7589" dxfId="1">
      <formula>AND(IF($Q31=3,1,0),IF($X31&lt;30,1,0))</formula>
    </cfRule>
    <cfRule type="expression" priority="7590" dxfId="0">
      <formula>AND(IF($Q31=3,1,IF($Q31=4,1,0)),IF($F31&lt;=85,1,0))</formula>
    </cfRule>
  </conditionalFormatting>
  <conditionalFormatting sqref="X31">
    <cfRule type="expression" priority="7583" dxfId="3">
      <formula>AND(IF(OR($Q31=1,$Q31=2),1,0),IF($X31&lt;=20,1,0))</formula>
    </cfRule>
    <cfRule type="expression" priority="7584" dxfId="2">
      <formula>AND(IF($Q31=2,1,0),IF($X31&lt;30,1,0))</formula>
    </cfRule>
    <cfRule type="expression" priority="7585" dxfId="1">
      <formula>AND(IF($Q31=3,1,0),IF($X31&lt;30,1,0))</formula>
    </cfRule>
    <cfRule type="expression" priority="7586" dxfId="0">
      <formula>AND(IF($Q31=3,1,IF($Q31=4,1,0)),IF($F31&lt;=85,1,0))</formula>
    </cfRule>
  </conditionalFormatting>
  <conditionalFormatting sqref="AI31">
    <cfRule type="expression" priority="7579" dxfId="3">
      <formula>AND(IF(OR($Q31=1,$Q31=2),1,0),IF($X31&lt;=20,1,0))</formula>
    </cfRule>
    <cfRule type="expression" priority="7580" dxfId="2">
      <formula>AND(IF($Q31=2,1,0),IF($X31&lt;30,1,0))</formula>
    </cfRule>
    <cfRule type="expression" priority="7581" dxfId="1">
      <formula>AND(IF($Q31=3,1,0),IF($X31&lt;30,1,0))</formula>
    </cfRule>
    <cfRule type="expression" priority="7582" dxfId="0">
      <formula>AND(IF($Q31=3,1,IF($Q31=4,1,0)),IF($F31&lt;=85,1,0))</formula>
    </cfRule>
  </conditionalFormatting>
  <conditionalFormatting sqref="AV32">
    <cfRule type="expression" priority="7577" dxfId="23">
      <formula>AV32="X"</formula>
    </cfRule>
    <cfRule type="expression" priority="7578" dxfId="22">
      <formula>AV32="후보"</formula>
    </cfRule>
  </conditionalFormatting>
  <conditionalFormatting sqref="AC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">
    <cfRule type="expression" priority="7569" dxfId="3">
      <formula>AND(IF(OR($Q32=1,$Q32=2),1,0),IF($X32&lt;=20,1,0))</formula>
    </cfRule>
    <cfRule type="expression" priority="7570" dxfId="2">
      <formula>AND(IF($Q32=2,1,0),IF($X32&lt;30,1,0))</formula>
    </cfRule>
    <cfRule type="expression" priority="7571" dxfId="1">
      <formula>AND(IF($Q32=3,1,0),IF($X32&lt;30,1,0))</formula>
    </cfRule>
    <cfRule type="expression" priority="7572" dxfId="0">
      <formula>AND(IF($Q32=3,1,IF($Q32=4,1,0)),IF($F32&lt;=85,1,0))</formula>
    </cfRule>
  </conditionalFormatting>
  <conditionalFormatting sqref="X32">
    <cfRule type="expression" priority="7565" dxfId="3">
      <formula>AND(IF(OR($Q32=1,$Q32=2),1,0),IF($X32&lt;=20,1,0))</formula>
    </cfRule>
    <cfRule type="expression" priority="7566" dxfId="2">
      <formula>AND(IF($Q32=2,1,0),IF($X32&lt;30,1,0))</formula>
    </cfRule>
    <cfRule type="expression" priority="7567" dxfId="1">
      <formula>AND(IF($Q32=3,1,0),IF($X32&lt;30,1,0))</formula>
    </cfRule>
    <cfRule type="expression" priority="7568" dxfId="0">
      <formula>AND(IF($Q32=3,1,IF($Q32=4,1,0)),IF($F32&lt;=85,1,0))</formula>
    </cfRule>
  </conditionalFormatting>
  <conditionalFormatting sqref="AI32">
    <cfRule type="expression" priority="7561" dxfId="3">
      <formula>AND(IF(OR($Q32=1,$Q32=2),1,0),IF($X32&lt;=20,1,0))</formula>
    </cfRule>
    <cfRule type="expression" priority="7562" dxfId="2">
      <formula>AND(IF($Q32=2,1,0),IF($X32&lt;30,1,0))</formula>
    </cfRule>
    <cfRule type="expression" priority="7563" dxfId="1">
      <formula>AND(IF($Q32=3,1,0),IF($X32&lt;30,1,0))</formula>
    </cfRule>
    <cfRule type="expression" priority="7564" dxfId="0">
      <formula>AND(IF($Q32=3,1,IF($Q32=4,1,0)),IF($F32&lt;=85,1,0))</formula>
    </cfRule>
  </conditionalFormatting>
  <conditionalFormatting sqref="AV33">
    <cfRule type="expression" priority="7559" dxfId="23">
      <formula>AV33="X"</formula>
    </cfRule>
    <cfRule type="expression" priority="7560" dxfId="22">
      <formula>AV33="후보"</formula>
    </cfRule>
  </conditionalFormatting>
  <conditionalFormatting sqref="AC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">
    <cfRule type="expression" priority="7551" dxfId="3">
      <formula>AND(IF(OR($Q33=1,$Q33=2),1,0),IF($X33&lt;=20,1,0))</formula>
    </cfRule>
    <cfRule type="expression" priority="7552" dxfId="2">
      <formula>AND(IF($Q33=2,1,0),IF($X33&lt;30,1,0))</formula>
    </cfRule>
    <cfRule type="expression" priority="7553" dxfId="1">
      <formula>AND(IF($Q33=3,1,0),IF($X33&lt;30,1,0))</formula>
    </cfRule>
    <cfRule type="expression" priority="7554" dxfId="0">
      <formula>AND(IF($Q33=3,1,IF($Q33=4,1,0)),IF($F33&lt;=85,1,0))</formula>
    </cfRule>
  </conditionalFormatting>
  <conditionalFormatting sqref="X33">
    <cfRule type="expression" priority="7547" dxfId="3">
      <formula>AND(IF(OR($Q33=1,$Q33=2),1,0),IF($X33&lt;=20,1,0))</formula>
    </cfRule>
    <cfRule type="expression" priority="7548" dxfId="2">
      <formula>AND(IF($Q33=2,1,0),IF($X33&lt;30,1,0))</formula>
    </cfRule>
    <cfRule type="expression" priority="7549" dxfId="1">
      <formula>AND(IF($Q33=3,1,0),IF($X33&lt;30,1,0))</formula>
    </cfRule>
    <cfRule type="expression" priority="7550" dxfId="0">
      <formula>AND(IF($Q33=3,1,IF($Q33=4,1,0)),IF($F33&lt;=85,1,0))</formula>
    </cfRule>
  </conditionalFormatting>
  <conditionalFormatting sqref="AI33">
    <cfRule type="expression" priority="7543" dxfId="3">
      <formula>AND(IF(OR($Q33=1,$Q33=2),1,0),IF($X33&lt;=20,1,0))</formula>
    </cfRule>
    <cfRule type="expression" priority="7544" dxfId="2">
      <formula>AND(IF($Q33=2,1,0),IF($X33&lt;30,1,0))</formula>
    </cfRule>
    <cfRule type="expression" priority="7545" dxfId="1">
      <formula>AND(IF($Q33=3,1,0),IF($X33&lt;30,1,0))</formula>
    </cfRule>
    <cfRule type="expression" priority="7546" dxfId="0">
      <formula>AND(IF($Q33=3,1,IF($Q33=4,1,0)),IF($F33&lt;=85,1,0))</formula>
    </cfRule>
  </conditionalFormatting>
  <conditionalFormatting sqref="AV34">
    <cfRule type="expression" priority="7541" dxfId="23">
      <formula>AV34="X"</formula>
    </cfRule>
    <cfRule type="expression" priority="7542" dxfId="22">
      <formula>AV34="후보"</formula>
    </cfRule>
  </conditionalFormatting>
  <conditionalFormatting sqref="AC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4">
    <cfRule type="expression" priority="7533" dxfId="3">
      <formula>AND(IF(OR($Q34=1,$Q34=2),1,0),IF($X34&lt;=20,1,0))</formula>
    </cfRule>
    <cfRule type="expression" priority="7534" dxfId="2">
      <formula>AND(IF($Q34=2,1,0),IF($X34&lt;30,1,0))</formula>
    </cfRule>
    <cfRule type="expression" priority="7535" dxfId="1">
      <formula>AND(IF($Q34=3,1,0),IF($X34&lt;30,1,0))</formula>
    </cfRule>
    <cfRule type="expression" priority="7536" dxfId="0">
      <formula>AND(IF($Q34=3,1,IF($Q34=4,1,0)),IF($F34&lt;=85,1,0))</formula>
    </cfRule>
  </conditionalFormatting>
  <conditionalFormatting sqref="X34">
    <cfRule type="expression" priority="7529" dxfId="3">
      <formula>AND(IF(OR($Q34=1,$Q34=2),1,0),IF($X34&lt;=20,1,0))</formula>
    </cfRule>
    <cfRule type="expression" priority="7530" dxfId="2">
      <formula>AND(IF($Q34=2,1,0),IF($X34&lt;30,1,0))</formula>
    </cfRule>
    <cfRule type="expression" priority="7531" dxfId="1">
      <formula>AND(IF($Q34=3,1,0),IF($X34&lt;30,1,0))</formula>
    </cfRule>
    <cfRule type="expression" priority="7532" dxfId="0">
      <formula>AND(IF($Q34=3,1,IF($Q34=4,1,0)),IF($F34&lt;=85,1,0))</formula>
    </cfRule>
  </conditionalFormatting>
  <conditionalFormatting sqref="AI34">
    <cfRule type="expression" priority="7525" dxfId="3">
      <formula>AND(IF(OR($Q34=1,$Q34=2),1,0),IF($X34&lt;=20,1,0))</formula>
    </cfRule>
    <cfRule type="expression" priority="7526" dxfId="2">
      <formula>AND(IF($Q34=2,1,0),IF($X34&lt;30,1,0))</formula>
    </cfRule>
    <cfRule type="expression" priority="7527" dxfId="1">
      <formula>AND(IF($Q34=3,1,0),IF($X34&lt;30,1,0))</formula>
    </cfRule>
    <cfRule type="expression" priority="7528" dxfId="0">
      <formula>AND(IF($Q34=3,1,IF($Q34=4,1,0)),IF($F34&lt;=85,1,0))</formula>
    </cfRule>
  </conditionalFormatting>
  <conditionalFormatting sqref="AV35">
    <cfRule type="expression" priority="7523" dxfId="23">
      <formula>AV35="X"</formula>
    </cfRule>
    <cfRule type="expression" priority="7524" dxfId="22">
      <formula>AV35="후보"</formula>
    </cfRule>
  </conditionalFormatting>
  <conditionalFormatting sqref="AC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5">
    <cfRule type="expression" priority="7515" dxfId="3">
      <formula>AND(IF(OR($Q35=1,$Q35=2),1,0),IF($X35&lt;=20,1,0))</formula>
    </cfRule>
    <cfRule type="expression" priority="7516" dxfId="2">
      <formula>AND(IF($Q35=2,1,0),IF($X35&lt;30,1,0))</formula>
    </cfRule>
    <cfRule type="expression" priority="7517" dxfId="1">
      <formula>AND(IF($Q35=3,1,0),IF($X35&lt;30,1,0))</formula>
    </cfRule>
    <cfRule type="expression" priority="7518" dxfId="0">
      <formula>AND(IF($Q35=3,1,IF($Q35=4,1,0)),IF($F35&lt;=85,1,0))</formula>
    </cfRule>
  </conditionalFormatting>
  <conditionalFormatting sqref="X35">
    <cfRule type="expression" priority="7511" dxfId="3">
      <formula>AND(IF(OR($Q35=1,$Q35=2),1,0),IF($X35&lt;=20,1,0))</formula>
    </cfRule>
    <cfRule type="expression" priority="7512" dxfId="2">
      <formula>AND(IF($Q35=2,1,0),IF($X35&lt;30,1,0))</formula>
    </cfRule>
    <cfRule type="expression" priority="7513" dxfId="1">
      <formula>AND(IF($Q35=3,1,0),IF($X35&lt;30,1,0))</formula>
    </cfRule>
    <cfRule type="expression" priority="7514" dxfId="0">
      <formula>AND(IF($Q35=3,1,IF($Q35=4,1,0)),IF($F35&lt;=85,1,0))</formula>
    </cfRule>
  </conditionalFormatting>
  <conditionalFormatting sqref="AI35">
    <cfRule type="expression" priority="7507" dxfId="3">
      <formula>AND(IF(OR($Q35=1,$Q35=2),1,0),IF($X35&lt;=20,1,0))</formula>
    </cfRule>
    <cfRule type="expression" priority="7508" dxfId="2">
      <formula>AND(IF($Q35=2,1,0),IF($X35&lt;30,1,0))</formula>
    </cfRule>
    <cfRule type="expression" priority="7509" dxfId="1">
      <formula>AND(IF($Q35=3,1,0),IF($X35&lt;30,1,0))</formula>
    </cfRule>
    <cfRule type="expression" priority="7510" dxfId="0">
      <formula>AND(IF($Q35=3,1,IF($Q35=4,1,0)),IF($F35&lt;=85,1,0))</formula>
    </cfRule>
  </conditionalFormatting>
  <conditionalFormatting sqref="AV36">
    <cfRule type="expression" priority="7505" dxfId="23">
      <formula>AV36="X"</formula>
    </cfRule>
    <cfRule type="expression" priority="7506" dxfId="22">
      <formula>AV36="후보"</formula>
    </cfRule>
  </conditionalFormatting>
  <conditionalFormatting sqref="AC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6">
    <cfRule type="expression" priority="7497" dxfId="3">
      <formula>AND(IF(OR($Q36=1,$Q36=2),1,0),IF($X36&lt;=20,1,0))</formula>
    </cfRule>
    <cfRule type="expression" priority="7498" dxfId="2">
      <formula>AND(IF($Q36=2,1,0),IF($X36&lt;30,1,0))</formula>
    </cfRule>
    <cfRule type="expression" priority="7499" dxfId="1">
      <formula>AND(IF($Q36=3,1,0),IF($X36&lt;30,1,0))</formula>
    </cfRule>
    <cfRule type="expression" priority="7500" dxfId="0">
      <formula>AND(IF($Q36=3,1,IF($Q36=4,1,0)),IF($F36&lt;=85,1,0))</formula>
    </cfRule>
  </conditionalFormatting>
  <conditionalFormatting sqref="X36">
    <cfRule type="expression" priority="7493" dxfId="3">
      <formula>AND(IF(OR($Q36=1,$Q36=2),1,0),IF($X36&lt;=20,1,0))</formula>
    </cfRule>
    <cfRule type="expression" priority="7494" dxfId="2">
      <formula>AND(IF($Q36=2,1,0),IF($X36&lt;30,1,0))</formula>
    </cfRule>
    <cfRule type="expression" priority="7495" dxfId="1">
      <formula>AND(IF($Q36=3,1,0),IF($X36&lt;30,1,0))</formula>
    </cfRule>
    <cfRule type="expression" priority="7496" dxfId="0">
      <formula>AND(IF($Q36=3,1,IF($Q36=4,1,0)),IF($F36&lt;=85,1,0))</formula>
    </cfRule>
  </conditionalFormatting>
  <conditionalFormatting sqref="AI36">
    <cfRule type="expression" priority="7489" dxfId="3">
      <formula>AND(IF(OR($Q36=1,$Q36=2),1,0),IF($X36&lt;=20,1,0))</formula>
    </cfRule>
    <cfRule type="expression" priority="7490" dxfId="2">
      <formula>AND(IF($Q36=2,1,0),IF($X36&lt;30,1,0))</formula>
    </cfRule>
    <cfRule type="expression" priority="7491" dxfId="1">
      <formula>AND(IF($Q36=3,1,0),IF($X36&lt;30,1,0))</formula>
    </cfRule>
    <cfRule type="expression" priority="7492" dxfId="0">
      <formula>AND(IF($Q36=3,1,IF($Q36=4,1,0)),IF($F36&lt;=85,1,0))</formula>
    </cfRule>
  </conditionalFormatting>
  <conditionalFormatting sqref="AV37">
    <cfRule type="expression" priority="7487" dxfId="23">
      <formula>AV37="X"</formula>
    </cfRule>
    <cfRule type="expression" priority="7488" dxfId="22">
      <formula>AV37="후보"</formula>
    </cfRule>
  </conditionalFormatting>
  <conditionalFormatting sqref="AC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7">
    <cfRule type="expression" priority="7479" dxfId="3">
      <formula>AND(IF(OR($Q37=1,$Q37=2),1,0),IF($X37&lt;=20,1,0))</formula>
    </cfRule>
    <cfRule type="expression" priority="7480" dxfId="2">
      <formula>AND(IF($Q37=2,1,0),IF($X37&lt;30,1,0))</formula>
    </cfRule>
    <cfRule type="expression" priority="7481" dxfId="1">
      <formula>AND(IF($Q37=3,1,0),IF($X37&lt;30,1,0))</formula>
    </cfRule>
    <cfRule type="expression" priority="7482" dxfId="0">
      <formula>AND(IF($Q37=3,1,IF($Q37=4,1,0)),IF($F37&lt;=85,1,0))</formula>
    </cfRule>
  </conditionalFormatting>
  <conditionalFormatting sqref="X37">
    <cfRule type="expression" priority="7475" dxfId="3">
      <formula>AND(IF(OR($Q37=1,$Q37=2),1,0),IF($X37&lt;=20,1,0))</formula>
    </cfRule>
    <cfRule type="expression" priority="7476" dxfId="2">
      <formula>AND(IF($Q37=2,1,0),IF($X37&lt;30,1,0))</formula>
    </cfRule>
    <cfRule type="expression" priority="7477" dxfId="1">
      <formula>AND(IF($Q37=3,1,0),IF($X37&lt;30,1,0))</formula>
    </cfRule>
    <cfRule type="expression" priority="7478" dxfId="0">
      <formula>AND(IF($Q37=3,1,IF($Q37=4,1,0)),IF($F37&lt;=85,1,0))</formula>
    </cfRule>
  </conditionalFormatting>
  <conditionalFormatting sqref="AI37">
    <cfRule type="expression" priority="7471" dxfId="3">
      <formula>AND(IF(OR($Q37=1,$Q37=2),1,0),IF($X37&lt;=20,1,0))</formula>
    </cfRule>
    <cfRule type="expression" priority="7472" dxfId="2">
      <formula>AND(IF($Q37=2,1,0),IF($X37&lt;30,1,0))</formula>
    </cfRule>
    <cfRule type="expression" priority="7473" dxfId="1">
      <formula>AND(IF($Q37=3,1,0),IF($X37&lt;30,1,0))</formula>
    </cfRule>
    <cfRule type="expression" priority="7474" dxfId="0">
      <formula>AND(IF($Q37=3,1,IF($Q37=4,1,0)),IF($F37&lt;=85,1,0))</formula>
    </cfRule>
  </conditionalFormatting>
  <conditionalFormatting sqref="AV38">
    <cfRule type="expression" priority="7469" dxfId="23">
      <formula>AV38="X"</formula>
    </cfRule>
    <cfRule type="expression" priority="7470" dxfId="22">
      <formula>AV38="후보"</formula>
    </cfRule>
  </conditionalFormatting>
  <conditionalFormatting sqref="AC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8">
    <cfRule type="expression" priority="7461" dxfId="3">
      <formula>AND(IF(OR($Q38=1,$Q38=2),1,0),IF($X38&lt;=20,1,0))</formula>
    </cfRule>
    <cfRule type="expression" priority="7462" dxfId="2">
      <formula>AND(IF($Q38=2,1,0),IF($X38&lt;30,1,0))</formula>
    </cfRule>
    <cfRule type="expression" priority="7463" dxfId="1">
      <formula>AND(IF($Q38=3,1,0),IF($X38&lt;30,1,0))</formula>
    </cfRule>
    <cfRule type="expression" priority="7464" dxfId="0">
      <formula>AND(IF($Q38=3,1,IF($Q38=4,1,0)),IF($F38&lt;=85,1,0))</formula>
    </cfRule>
  </conditionalFormatting>
  <conditionalFormatting sqref="X38">
    <cfRule type="expression" priority="7457" dxfId="3">
      <formula>AND(IF(OR($Q38=1,$Q38=2),1,0),IF($X38&lt;=20,1,0))</formula>
    </cfRule>
    <cfRule type="expression" priority="7458" dxfId="2">
      <formula>AND(IF($Q38=2,1,0),IF($X38&lt;30,1,0))</formula>
    </cfRule>
    <cfRule type="expression" priority="7459" dxfId="1">
      <formula>AND(IF($Q38=3,1,0),IF($X38&lt;30,1,0))</formula>
    </cfRule>
    <cfRule type="expression" priority="7460" dxfId="0">
      <formula>AND(IF($Q38=3,1,IF($Q38=4,1,0)),IF($F38&lt;=85,1,0))</formula>
    </cfRule>
  </conditionalFormatting>
  <conditionalFormatting sqref="AI38">
    <cfRule type="expression" priority="7453" dxfId="3">
      <formula>AND(IF(OR($Q38=1,$Q38=2),1,0),IF($X38&lt;=20,1,0))</formula>
    </cfRule>
    <cfRule type="expression" priority="7454" dxfId="2">
      <formula>AND(IF($Q38=2,1,0),IF($X38&lt;30,1,0))</formula>
    </cfRule>
    <cfRule type="expression" priority="7455" dxfId="1">
      <formula>AND(IF($Q38=3,1,0),IF($X38&lt;30,1,0))</formula>
    </cfRule>
    <cfRule type="expression" priority="7456" dxfId="0">
      <formula>AND(IF($Q38=3,1,IF($Q38=4,1,0)),IF($F38&lt;=85,1,0))</formula>
    </cfRule>
  </conditionalFormatting>
  <conditionalFormatting sqref="AV39">
    <cfRule type="expression" priority="7451" dxfId="23">
      <formula>AV39="X"</formula>
    </cfRule>
    <cfRule type="expression" priority="7452" dxfId="22">
      <formula>AV39="후보"</formula>
    </cfRule>
  </conditionalFormatting>
  <conditionalFormatting sqref="AC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9">
    <cfRule type="expression" priority="7443" dxfId="3">
      <formula>AND(IF(OR($Q39=1,$Q39=2),1,0),IF($X39&lt;=20,1,0))</formula>
    </cfRule>
    <cfRule type="expression" priority="7444" dxfId="2">
      <formula>AND(IF($Q39=2,1,0),IF($X39&lt;30,1,0))</formula>
    </cfRule>
    <cfRule type="expression" priority="7445" dxfId="1">
      <formula>AND(IF($Q39=3,1,0),IF($X39&lt;30,1,0))</formula>
    </cfRule>
    <cfRule type="expression" priority="7446" dxfId="0">
      <formula>AND(IF($Q39=3,1,IF($Q39=4,1,0)),IF($F39&lt;=85,1,0))</formula>
    </cfRule>
  </conditionalFormatting>
  <conditionalFormatting sqref="X39">
    <cfRule type="expression" priority="7439" dxfId="3">
      <formula>AND(IF(OR($Q39=1,$Q39=2),1,0),IF($X39&lt;=20,1,0))</formula>
    </cfRule>
    <cfRule type="expression" priority="7440" dxfId="2">
      <formula>AND(IF($Q39=2,1,0),IF($X39&lt;30,1,0))</formula>
    </cfRule>
    <cfRule type="expression" priority="7441" dxfId="1">
      <formula>AND(IF($Q39=3,1,0),IF($X39&lt;30,1,0))</formula>
    </cfRule>
    <cfRule type="expression" priority="7442" dxfId="0">
      <formula>AND(IF($Q39=3,1,IF($Q39=4,1,0)),IF($F39&lt;=85,1,0))</formula>
    </cfRule>
  </conditionalFormatting>
  <conditionalFormatting sqref="AI39">
    <cfRule type="expression" priority="7435" dxfId="3">
      <formula>AND(IF(OR($Q39=1,$Q39=2),1,0),IF($X39&lt;=20,1,0))</formula>
    </cfRule>
    <cfRule type="expression" priority="7436" dxfId="2">
      <formula>AND(IF($Q39=2,1,0),IF($X39&lt;30,1,0))</formula>
    </cfRule>
    <cfRule type="expression" priority="7437" dxfId="1">
      <formula>AND(IF($Q39=3,1,0),IF($X39&lt;30,1,0))</formula>
    </cfRule>
    <cfRule type="expression" priority="7438" dxfId="0">
      <formula>AND(IF($Q39=3,1,IF($Q39=4,1,0)),IF($F39&lt;=85,1,0))</formula>
    </cfRule>
  </conditionalFormatting>
  <conditionalFormatting sqref="AV40">
    <cfRule type="expression" priority="7433" dxfId="23">
      <formula>AV40="X"</formula>
    </cfRule>
    <cfRule type="expression" priority="7434" dxfId="22">
      <formula>AV40="후보"</formula>
    </cfRule>
  </conditionalFormatting>
  <conditionalFormatting sqref="AC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0">
    <cfRule type="expression" priority="7425" dxfId="3">
      <formula>AND(IF(OR($Q40=1,$Q40=2),1,0),IF($X40&lt;=20,1,0))</formula>
    </cfRule>
    <cfRule type="expression" priority="7426" dxfId="2">
      <formula>AND(IF($Q40=2,1,0),IF($X40&lt;30,1,0))</formula>
    </cfRule>
    <cfRule type="expression" priority="7427" dxfId="1">
      <formula>AND(IF($Q40=3,1,0),IF($X40&lt;30,1,0))</formula>
    </cfRule>
    <cfRule type="expression" priority="7428" dxfId="0">
      <formula>AND(IF($Q40=3,1,IF($Q40=4,1,0)),IF($F40&lt;=85,1,0))</formula>
    </cfRule>
  </conditionalFormatting>
  <conditionalFormatting sqref="X40">
    <cfRule type="expression" priority="7421" dxfId="3">
      <formula>AND(IF(OR($Q40=1,$Q40=2),1,0),IF($X40&lt;=20,1,0))</formula>
    </cfRule>
    <cfRule type="expression" priority="7422" dxfId="2">
      <formula>AND(IF($Q40=2,1,0),IF($X40&lt;30,1,0))</formula>
    </cfRule>
    <cfRule type="expression" priority="7423" dxfId="1">
      <formula>AND(IF($Q40=3,1,0),IF($X40&lt;30,1,0))</formula>
    </cfRule>
    <cfRule type="expression" priority="7424" dxfId="0">
      <formula>AND(IF($Q40=3,1,IF($Q40=4,1,0)),IF($F40&lt;=85,1,0))</formula>
    </cfRule>
  </conditionalFormatting>
  <conditionalFormatting sqref="AI40">
    <cfRule type="expression" priority="7417" dxfId="3">
      <formula>AND(IF(OR($Q40=1,$Q40=2),1,0),IF($X40&lt;=20,1,0))</formula>
    </cfRule>
    <cfRule type="expression" priority="7418" dxfId="2">
      <formula>AND(IF($Q40=2,1,0),IF($X40&lt;30,1,0))</formula>
    </cfRule>
    <cfRule type="expression" priority="7419" dxfId="1">
      <formula>AND(IF($Q40=3,1,0),IF($X40&lt;30,1,0))</formula>
    </cfRule>
    <cfRule type="expression" priority="7420" dxfId="0">
      <formula>AND(IF($Q40=3,1,IF($Q40=4,1,0)),IF($F40&lt;=85,1,0))</formula>
    </cfRule>
  </conditionalFormatting>
  <conditionalFormatting sqref="AV41">
    <cfRule type="expression" priority="7415" dxfId="23">
      <formula>AV41="X"</formula>
    </cfRule>
    <cfRule type="expression" priority="7416" dxfId="22">
      <formula>AV41="후보"</formula>
    </cfRule>
  </conditionalFormatting>
  <conditionalFormatting sqref="AC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1">
    <cfRule type="expression" priority="7407" dxfId="3">
      <formula>AND(IF(OR($Q41=1,$Q41=2),1,0),IF($X41&lt;=20,1,0))</formula>
    </cfRule>
    <cfRule type="expression" priority="7408" dxfId="2">
      <formula>AND(IF($Q41=2,1,0),IF($X41&lt;30,1,0))</formula>
    </cfRule>
    <cfRule type="expression" priority="7409" dxfId="1">
      <formula>AND(IF($Q41=3,1,0),IF($X41&lt;30,1,0))</formula>
    </cfRule>
    <cfRule type="expression" priority="7410" dxfId="0">
      <formula>AND(IF($Q41=3,1,IF($Q41=4,1,0)),IF($F41&lt;=85,1,0))</formula>
    </cfRule>
  </conditionalFormatting>
  <conditionalFormatting sqref="X41">
    <cfRule type="expression" priority="7403" dxfId="3">
      <formula>AND(IF(OR($Q41=1,$Q41=2),1,0),IF($X41&lt;=20,1,0))</formula>
    </cfRule>
    <cfRule type="expression" priority="7404" dxfId="2">
      <formula>AND(IF($Q41=2,1,0),IF($X41&lt;30,1,0))</formula>
    </cfRule>
    <cfRule type="expression" priority="7405" dxfId="1">
      <formula>AND(IF($Q41=3,1,0),IF($X41&lt;30,1,0))</formula>
    </cfRule>
    <cfRule type="expression" priority="7406" dxfId="0">
      <formula>AND(IF($Q41=3,1,IF($Q41=4,1,0)),IF($F41&lt;=85,1,0))</formula>
    </cfRule>
  </conditionalFormatting>
  <conditionalFormatting sqref="AI41">
    <cfRule type="expression" priority="7399" dxfId="3">
      <formula>AND(IF(OR($Q41=1,$Q41=2),1,0),IF($X41&lt;=20,1,0))</formula>
    </cfRule>
    <cfRule type="expression" priority="7400" dxfId="2">
      <formula>AND(IF($Q41=2,1,0),IF($X41&lt;30,1,0))</formula>
    </cfRule>
    <cfRule type="expression" priority="7401" dxfId="1">
      <formula>AND(IF($Q41=3,1,0),IF($X41&lt;30,1,0))</formula>
    </cfRule>
    <cfRule type="expression" priority="7402" dxfId="0">
      <formula>AND(IF($Q41=3,1,IF($Q41=4,1,0)),IF($F41&lt;=85,1,0))</formula>
    </cfRule>
  </conditionalFormatting>
  <conditionalFormatting sqref="AV42">
    <cfRule type="expression" priority="7397" dxfId="23">
      <formula>AV42="X"</formula>
    </cfRule>
    <cfRule type="expression" priority="7398" dxfId="22">
      <formula>AV42="후보"</formula>
    </cfRule>
  </conditionalFormatting>
  <conditionalFormatting sqref="AC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2">
    <cfRule type="expression" priority="7389" dxfId="3">
      <formula>AND(IF(OR($Q42=1,$Q42=2),1,0),IF($X42&lt;=20,1,0))</formula>
    </cfRule>
    <cfRule type="expression" priority="7390" dxfId="2">
      <formula>AND(IF($Q42=2,1,0),IF($X42&lt;30,1,0))</formula>
    </cfRule>
    <cfRule type="expression" priority="7391" dxfId="1">
      <formula>AND(IF($Q42=3,1,0),IF($X42&lt;30,1,0))</formula>
    </cfRule>
    <cfRule type="expression" priority="7392" dxfId="0">
      <formula>AND(IF($Q42=3,1,IF($Q42=4,1,0)),IF($F42&lt;=85,1,0))</formula>
    </cfRule>
  </conditionalFormatting>
  <conditionalFormatting sqref="X42">
    <cfRule type="expression" priority="7385" dxfId="3">
      <formula>AND(IF(OR($Q42=1,$Q42=2),1,0),IF($X42&lt;=20,1,0))</formula>
    </cfRule>
    <cfRule type="expression" priority="7386" dxfId="2">
      <formula>AND(IF($Q42=2,1,0),IF($X42&lt;30,1,0))</formula>
    </cfRule>
    <cfRule type="expression" priority="7387" dxfId="1">
      <formula>AND(IF($Q42=3,1,0),IF($X42&lt;30,1,0))</formula>
    </cfRule>
    <cfRule type="expression" priority="7388" dxfId="0">
      <formula>AND(IF($Q42=3,1,IF($Q42=4,1,0)),IF($F42&lt;=85,1,0))</formula>
    </cfRule>
  </conditionalFormatting>
  <conditionalFormatting sqref="AI42">
    <cfRule type="expression" priority="7381" dxfId="3">
      <formula>AND(IF(OR($Q42=1,$Q42=2),1,0),IF($X42&lt;=20,1,0))</formula>
    </cfRule>
    <cfRule type="expression" priority="7382" dxfId="2">
      <formula>AND(IF($Q42=2,1,0),IF($X42&lt;30,1,0))</formula>
    </cfRule>
    <cfRule type="expression" priority="7383" dxfId="1">
      <formula>AND(IF($Q42=3,1,0),IF($X42&lt;30,1,0))</formula>
    </cfRule>
    <cfRule type="expression" priority="7384" dxfId="0">
      <formula>AND(IF($Q42=3,1,IF($Q42=4,1,0)),IF($F42&lt;=85,1,0))</formula>
    </cfRule>
  </conditionalFormatting>
  <conditionalFormatting sqref="AV43">
    <cfRule type="expression" priority="7379" dxfId="23">
      <formula>AV43="X"</formula>
    </cfRule>
    <cfRule type="expression" priority="7380" dxfId="22">
      <formula>AV43="후보"</formula>
    </cfRule>
  </conditionalFormatting>
  <conditionalFormatting sqref="AC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3">
    <cfRule type="expression" priority="7371" dxfId="3">
      <formula>AND(IF(OR($Q43=1,$Q43=2),1,0),IF($X43&lt;=20,1,0))</formula>
    </cfRule>
    <cfRule type="expression" priority="7372" dxfId="2">
      <formula>AND(IF($Q43=2,1,0),IF($X43&lt;30,1,0))</formula>
    </cfRule>
    <cfRule type="expression" priority="7373" dxfId="1">
      <formula>AND(IF($Q43=3,1,0),IF($X43&lt;30,1,0))</formula>
    </cfRule>
    <cfRule type="expression" priority="7374" dxfId="0">
      <formula>AND(IF($Q43=3,1,IF($Q43=4,1,0)),IF($F43&lt;=85,1,0))</formula>
    </cfRule>
  </conditionalFormatting>
  <conditionalFormatting sqref="X43">
    <cfRule type="expression" priority="7367" dxfId="3">
      <formula>AND(IF(OR($Q43=1,$Q43=2),1,0),IF($X43&lt;=20,1,0))</formula>
    </cfRule>
    <cfRule type="expression" priority="7368" dxfId="2">
      <formula>AND(IF($Q43=2,1,0),IF($X43&lt;30,1,0))</formula>
    </cfRule>
    <cfRule type="expression" priority="7369" dxfId="1">
      <formula>AND(IF($Q43=3,1,0),IF($X43&lt;30,1,0))</formula>
    </cfRule>
    <cfRule type="expression" priority="7370" dxfId="0">
      <formula>AND(IF($Q43=3,1,IF($Q43=4,1,0)),IF($F43&lt;=85,1,0))</formula>
    </cfRule>
  </conditionalFormatting>
  <conditionalFormatting sqref="AI43">
    <cfRule type="expression" priority="7363" dxfId="3">
      <formula>AND(IF(OR($Q43=1,$Q43=2),1,0),IF($X43&lt;=20,1,0))</formula>
    </cfRule>
    <cfRule type="expression" priority="7364" dxfId="2">
      <formula>AND(IF($Q43=2,1,0),IF($X43&lt;30,1,0))</formula>
    </cfRule>
    <cfRule type="expression" priority="7365" dxfId="1">
      <formula>AND(IF($Q43=3,1,0),IF($X43&lt;30,1,0))</formula>
    </cfRule>
    <cfRule type="expression" priority="7366" dxfId="0">
      <formula>AND(IF($Q43=3,1,IF($Q43=4,1,0)),IF($F43&lt;=85,1,0))</formula>
    </cfRule>
  </conditionalFormatting>
  <conditionalFormatting sqref="AV44">
    <cfRule type="expression" priority="7361" dxfId="23">
      <formula>AV44="X"</formula>
    </cfRule>
    <cfRule type="expression" priority="7362" dxfId="22">
      <formula>AV44="후보"</formula>
    </cfRule>
  </conditionalFormatting>
  <conditionalFormatting sqref="AC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4">
    <cfRule type="expression" priority="7353" dxfId="3">
      <formula>AND(IF(OR($Q44=1,$Q44=2),1,0),IF($X44&lt;=20,1,0))</formula>
    </cfRule>
    <cfRule type="expression" priority="7354" dxfId="2">
      <formula>AND(IF($Q44=2,1,0),IF($X44&lt;30,1,0))</formula>
    </cfRule>
    <cfRule type="expression" priority="7355" dxfId="1">
      <formula>AND(IF($Q44=3,1,0),IF($X44&lt;30,1,0))</formula>
    </cfRule>
    <cfRule type="expression" priority="7356" dxfId="0">
      <formula>AND(IF($Q44=3,1,IF($Q44=4,1,0)),IF($F44&lt;=85,1,0))</formula>
    </cfRule>
  </conditionalFormatting>
  <conditionalFormatting sqref="X44">
    <cfRule type="expression" priority="7349" dxfId="3">
      <formula>AND(IF(OR($Q44=1,$Q44=2),1,0),IF($X44&lt;=20,1,0))</formula>
    </cfRule>
    <cfRule type="expression" priority="7350" dxfId="2">
      <formula>AND(IF($Q44=2,1,0),IF($X44&lt;30,1,0))</formula>
    </cfRule>
    <cfRule type="expression" priority="7351" dxfId="1">
      <formula>AND(IF($Q44=3,1,0),IF($X44&lt;30,1,0))</formula>
    </cfRule>
    <cfRule type="expression" priority="7352" dxfId="0">
      <formula>AND(IF($Q44=3,1,IF($Q44=4,1,0)),IF($F44&lt;=85,1,0))</formula>
    </cfRule>
  </conditionalFormatting>
  <conditionalFormatting sqref="AI44">
    <cfRule type="expression" priority="7345" dxfId="3">
      <formula>AND(IF(OR($Q44=1,$Q44=2),1,0),IF($X44&lt;=20,1,0))</formula>
    </cfRule>
    <cfRule type="expression" priority="7346" dxfId="2">
      <formula>AND(IF($Q44=2,1,0),IF($X44&lt;30,1,0))</formula>
    </cfRule>
    <cfRule type="expression" priority="7347" dxfId="1">
      <formula>AND(IF($Q44=3,1,0),IF($X44&lt;30,1,0))</formula>
    </cfRule>
    <cfRule type="expression" priority="7348" dxfId="0">
      <formula>AND(IF($Q44=3,1,IF($Q44=4,1,0)),IF($F44&lt;=85,1,0))</formula>
    </cfRule>
  </conditionalFormatting>
  <conditionalFormatting sqref="AV45">
    <cfRule type="expression" priority="7343" dxfId="23">
      <formula>AV45="X"</formula>
    </cfRule>
    <cfRule type="expression" priority="7344" dxfId="22">
      <formula>AV45="후보"</formula>
    </cfRule>
  </conditionalFormatting>
  <conditionalFormatting sqref="AC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5">
    <cfRule type="expression" priority="7335" dxfId="3">
      <formula>AND(IF(OR($Q45=1,$Q45=2),1,0),IF($X45&lt;=20,1,0))</formula>
    </cfRule>
    <cfRule type="expression" priority="7336" dxfId="2">
      <formula>AND(IF($Q45=2,1,0),IF($X45&lt;30,1,0))</formula>
    </cfRule>
    <cfRule type="expression" priority="7337" dxfId="1">
      <formula>AND(IF($Q45=3,1,0),IF($X45&lt;30,1,0))</formula>
    </cfRule>
    <cfRule type="expression" priority="7338" dxfId="0">
      <formula>AND(IF($Q45=3,1,IF($Q45=4,1,0)),IF($F45&lt;=85,1,0))</formula>
    </cfRule>
  </conditionalFormatting>
  <conditionalFormatting sqref="X45">
    <cfRule type="expression" priority="7331" dxfId="3">
      <formula>AND(IF(OR($Q45=1,$Q45=2),1,0),IF($X45&lt;=20,1,0))</formula>
    </cfRule>
    <cfRule type="expression" priority="7332" dxfId="2">
      <formula>AND(IF($Q45=2,1,0),IF($X45&lt;30,1,0))</formula>
    </cfRule>
    <cfRule type="expression" priority="7333" dxfId="1">
      <formula>AND(IF($Q45=3,1,0),IF($X45&lt;30,1,0))</formula>
    </cfRule>
    <cfRule type="expression" priority="7334" dxfId="0">
      <formula>AND(IF($Q45=3,1,IF($Q45=4,1,0)),IF($F45&lt;=85,1,0))</formula>
    </cfRule>
  </conditionalFormatting>
  <conditionalFormatting sqref="AI45">
    <cfRule type="expression" priority="7327" dxfId="3">
      <formula>AND(IF(OR($Q45=1,$Q45=2),1,0),IF($X45&lt;=20,1,0))</formula>
    </cfRule>
    <cfRule type="expression" priority="7328" dxfId="2">
      <formula>AND(IF($Q45=2,1,0),IF($X45&lt;30,1,0))</formula>
    </cfRule>
    <cfRule type="expression" priority="7329" dxfId="1">
      <formula>AND(IF($Q45=3,1,0),IF($X45&lt;30,1,0))</formula>
    </cfRule>
    <cfRule type="expression" priority="7330" dxfId="0">
      <formula>AND(IF($Q45=3,1,IF($Q45=4,1,0)),IF($F45&lt;=85,1,0))</formula>
    </cfRule>
  </conditionalFormatting>
  <conditionalFormatting sqref="AV46">
    <cfRule type="expression" priority="7325" dxfId="23">
      <formula>AV46="X"</formula>
    </cfRule>
    <cfRule type="expression" priority="7326" dxfId="22">
      <formula>AV46="후보"</formula>
    </cfRule>
  </conditionalFormatting>
  <conditionalFormatting sqref="AC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">
    <cfRule type="expression" priority="7317" dxfId="3">
      <formula>AND(IF(OR($Q46=1,$Q46=2),1,0),IF($X46&lt;=20,1,0))</formula>
    </cfRule>
    <cfRule type="expression" priority="7318" dxfId="2">
      <formula>AND(IF($Q46=2,1,0),IF($X46&lt;30,1,0))</formula>
    </cfRule>
    <cfRule type="expression" priority="7319" dxfId="1">
      <formula>AND(IF($Q46=3,1,0),IF($X46&lt;30,1,0))</formula>
    </cfRule>
    <cfRule type="expression" priority="7320" dxfId="0">
      <formula>AND(IF($Q46=3,1,IF($Q46=4,1,0)),IF($F46&lt;=85,1,0))</formula>
    </cfRule>
  </conditionalFormatting>
  <conditionalFormatting sqref="X46">
    <cfRule type="expression" priority="7313" dxfId="3">
      <formula>AND(IF(OR($Q46=1,$Q46=2),1,0),IF($X46&lt;=20,1,0))</formula>
    </cfRule>
    <cfRule type="expression" priority="7314" dxfId="2">
      <formula>AND(IF($Q46=2,1,0),IF($X46&lt;30,1,0))</formula>
    </cfRule>
    <cfRule type="expression" priority="7315" dxfId="1">
      <formula>AND(IF($Q46=3,1,0),IF($X46&lt;30,1,0))</formula>
    </cfRule>
    <cfRule type="expression" priority="7316" dxfId="0">
      <formula>AND(IF($Q46=3,1,IF($Q46=4,1,0)),IF($F46&lt;=85,1,0))</formula>
    </cfRule>
  </conditionalFormatting>
  <conditionalFormatting sqref="AI46">
    <cfRule type="expression" priority="7309" dxfId="3">
      <formula>AND(IF(OR($Q46=1,$Q46=2),1,0),IF($X46&lt;=20,1,0))</formula>
    </cfRule>
    <cfRule type="expression" priority="7310" dxfId="2">
      <formula>AND(IF($Q46=2,1,0),IF($X46&lt;30,1,0))</formula>
    </cfRule>
    <cfRule type="expression" priority="7311" dxfId="1">
      <formula>AND(IF($Q46=3,1,0),IF($X46&lt;30,1,0))</formula>
    </cfRule>
    <cfRule type="expression" priority="7312" dxfId="0">
      <formula>AND(IF($Q46=3,1,IF($Q46=4,1,0)),IF($F46&lt;=85,1,0))</formula>
    </cfRule>
  </conditionalFormatting>
  <conditionalFormatting sqref="AV47">
    <cfRule type="expression" priority="7307" dxfId="23">
      <formula>AV47="X"</formula>
    </cfRule>
    <cfRule type="expression" priority="7308" dxfId="22">
      <formula>AV47="후보"</formula>
    </cfRule>
  </conditionalFormatting>
  <conditionalFormatting sqref="AC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7">
    <cfRule type="expression" priority="7299" dxfId="3">
      <formula>AND(IF(OR($Q47=1,$Q47=2),1,0),IF($X47&lt;=20,1,0))</formula>
    </cfRule>
    <cfRule type="expression" priority="7300" dxfId="2">
      <formula>AND(IF($Q47=2,1,0),IF($X47&lt;30,1,0))</formula>
    </cfRule>
    <cfRule type="expression" priority="7301" dxfId="1">
      <formula>AND(IF($Q47=3,1,0),IF($X47&lt;30,1,0))</formula>
    </cfRule>
    <cfRule type="expression" priority="7302" dxfId="0">
      <formula>AND(IF($Q47=3,1,IF($Q47=4,1,0)),IF($F47&lt;=85,1,0))</formula>
    </cfRule>
  </conditionalFormatting>
  <conditionalFormatting sqref="X47">
    <cfRule type="expression" priority="7295" dxfId="3">
      <formula>AND(IF(OR($Q47=1,$Q47=2),1,0),IF($X47&lt;=20,1,0))</formula>
    </cfRule>
    <cfRule type="expression" priority="7296" dxfId="2">
      <formula>AND(IF($Q47=2,1,0),IF($X47&lt;30,1,0))</formula>
    </cfRule>
    <cfRule type="expression" priority="7297" dxfId="1">
      <formula>AND(IF($Q47=3,1,0),IF($X47&lt;30,1,0))</formula>
    </cfRule>
    <cfRule type="expression" priority="7298" dxfId="0">
      <formula>AND(IF($Q47=3,1,IF($Q47=4,1,0)),IF($F47&lt;=85,1,0))</formula>
    </cfRule>
  </conditionalFormatting>
  <conditionalFormatting sqref="AI47">
    <cfRule type="expression" priority="7291" dxfId="3">
      <formula>AND(IF(OR($Q47=1,$Q47=2),1,0),IF($X47&lt;=20,1,0))</formula>
    </cfRule>
    <cfRule type="expression" priority="7292" dxfId="2">
      <formula>AND(IF($Q47=2,1,0),IF($X47&lt;30,1,0))</formula>
    </cfRule>
    <cfRule type="expression" priority="7293" dxfId="1">
      <formula>AND(IF($Q47=3,1,0),IF($X47&lt;30,1,0))</formula>
    </cfRule>
    <cfRule type="expression" priority="7294" dxfId="0">
      <formula>AND(IF($Q47=3,1,IF($Q47=4,1,0)),IF($F47&lt;=85,1,0))</formula>
    </cfRule>
  </conditionalFormatting>
  <conditionalFormatting sqref="AV48">
    <cfRule type="expression" priority="7289" dxfId="23">
      <formula>AV48="X"</formula>
    </cfRule>
    <cfRule type="expression" priority="7290" dxfId="22">
      <formula>AV48="후보"</formula>
    </cfRule>
  </conditionalFormatting>
  <conditionalFormatting sqref="AC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8">
    <cfRule type="expression" priority="7281" dxfId="3">
      <formula>AND(IF(OR($Q48=1,$Q48=2),1,0),IF($X48&lt;=20,1,0))</formula>
    </cfRule>
    <cfRule type="expression" priority="7282" dxfId="2">
      <formula>AND(IF($Q48=2,1,0),IF($X48&lt;30,1,0))</formula>
    </cfRule>
    <cfRule type="expression" priority="7283" dxfId="1">
      <formula>AND(IF($Q48=3,1,0),IF($X48&lt;30,1,0))</formula>
    </cfRule>
    <cfRule type="expression" priority="7284" dxfId="0">
      <formula>AND(IF($Q48=3,1,IF($Q48=4,1,0)),IF($F48&lt;=85,1,0))</formula>
    </cfRule>
  </conditionalFormatting>
  <conditionalFormatting sqref="X48">
    <cfRule type="expression" priority="7277" dxfId="3">
      <formula>AND(IF(OR($Q48=1,$Q48=2),1,0),IF($X48&lt;=20,1,0))</formula>
    </cfRule>
    <cfRule type="expression" priority="7278" dxfId="2">
      <formula>AND(IF($Q48=2,1,0),IF($X48&lt;30,1,0))</formula>
    </cfRule>
    <cfRule type="expression" priority="7279" dxfId="1">
      <formula>AND(IF($Q48=3,1,0),IF($X48&lt;30,1,0))</formula>
    </cfRule>
    <cfRule type="expression" priority="7280" dxfId="0">
      <formula>AND(IF($Q48=3,1,IF($Q48=4,1,0)),IF($F48&lt;=85,1,0))</formula>
    </cfRule>
  </conditionalFormatting>
  <conditionalFormatting sqref="AI48">
    <cfRule type="expression" priority="7273" dxfId="3">
      <formula>AND(IF(OR($Q48=1,$Q48=2),1,0),IF($X48&lt;=20,1,0))</formula>
    </cfRule>
    <cfRule type="expression" priority="7274" dxfId="2">
      <formula>AND(IF($Q48=2,1,0),IF($X48&lt;30,1,0))</formula>
    </cfRule>
    <cfRule type="expression" priority="7275" dxfId="1">
      <formula>AND(IF($Q48=3,1,0),IF($X48&lt;30,1,0))</formula>
    </cfRule>
    <cfRule type="expression" priority="7276" dxfId="0">
      <formula>AND(IF($Q48=3,1,IF($Q48=4,1,0)),IF($F48&lt;=85,1,0))</formula>
    </cfRule>
  </conditionalFormatting>
  <conditionalFormatting sqref="AV49">
    <cfRule type="expression" priority="7271" dxfId="23">
      <formula>AV49="X"</formula>
    </cfRule>
    <cfRule type="expression" priority="7272" dxfId="22">
      <formula>AV49="후보"</formula>
    </cfRule>
  </conditionalFormatting>
  <conditionalFormatting sqref="AC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9">
    <cfRule type="expression" priority="7263" dxfId="3">
      <formula>AND(IF(OR($Q49=1,$Q49=2),1,0),IF($X49&lt;=20,1,0))</formula>
    </cfRule>
    <cfRule type="expression" priority="7264" dxfId="2">
      <formula>AND(IF($Q49=2,1,0),IF($X49&lt;30,1,0))</formula>
    </cfRule>
    <cfRule type="expression" priority="7265" dxfId="1">
      <formula>AND(IF($Q49=3,1,0),IF($X49&lt;30,1,0))</formula>
    </cfRule>
    <cfRule type="expression" priority="7266" dxfId="0">
      <formula>AND(IF($Q49=3,1,IF($Q49=4,1,0)),IF($F49&lt;=85,1,0))</formula>
    </cfRule>
  </conditionalFormatting>
  <conditionalFormatting sqref="X49">
    <cfRule type="expression" priority="7259" dxfId="3">
      <formula>AND(IF(OR($Q49=1,$Q49=2),1,0),IF($X49&lt;=20,1,0))</formula>
    </cfRule>
    <cfRule type="expression" priority="7260" dxfId="2">
      <formula>AND(IF($Q49=2,1,0),IF($X49&lt;30,1,0))</formula>
    </cfRule>
    <cfRule type="expression" priority="7261" dxfId="1">
      <formula>AND(IF($Q49=3,1,0),IF($X49&lt;30,1,0))</formula>
    </cfRule>
    <cfRule type="expression" priority="7262" dxfId="0">
      <formula>AND(IF($Q49=3,1,IF($Q49=4,1,0)),IF($F49&lt;=85,1,0))</formula>
    </cfRule>
  </conditionalFormatting>
  <conditionalFormatting sqref="AI49">
    <cfRule type="expression" priority="7255" dxfId="3">
      <formula>AND(IF(OR($Q49=1,$Q49=2),1,0),IF($X49&lt;=20,1,0))</formula>
    </cfRule>
    <cfRule type="expression" priority="7256" dxfId="2">
      <formula>AND(IF($Q49=2,1,0),IF($X49&lt;30,1,0))</formula>
    </cfRule>
    <cfRule type="expression" priority="7257" dxfId="1">
      <formula>AND(IF($Q49=3,1,0),IF($X49&lt;30,1,0))</formula>
    </cfRule>
    <cfRule type="expression" priority="7258" dxfId="0">
      <formula>AND(IF($Q49=3,1,IF($Q49=4,1,0)),IF($F49&lt;=85,1,0))</formula>
    </cfRule>
  </conditionalFormatting>
  <conditionalFormatting sqref="AV50">
    <cfRule type="expression" priority="7253" dxfId="23">
      <formula>AV50="X"</formula>
    </cfRule>
    <cfRule type="expression" priority="7254" dxfId="22">
      <formula>AV50="후보"</formula>
    </cfRule>
  </conditionalFormatting>
  <conditionalFormatting sqref="AC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0">
    <cfRule type="expression" priority="7245" dxfId="3">
      <formula>AND(IF(OR($Q50=1,$Q50=2),1,0),IF($X50&lt;=20,1,0))</formula>
    </cfRule>
    <cfRule type="expression" priority="7246" dxfId="2">
      <formula>AND(IF($Q50=2,1,0),IF($X50&lt;30,1,0))</formula>
    </cfRule>
    <cfRule type="expression" priority="7247" dxfId="1">
      <formula>AND(IF($Q50=3,1,0),IF($X50&lt;30,1,0))</formula>
    </cfRule>
    <cfRule type="expression" priority="7248" dxfId="0">
      <formula>AND(IF($Q50=3,1,IF($Q50=4,1,0)),IF($F50&lt;=85,1,0))</formula>
    </cfRule>
  </conditionalFormatting>
  <conditionalFormatting sqref="X50">
    <cfRule type="expression" priority="7241" dxfId="3">
      <formula>AND(IF(OR($Q50=1,$Q50=2),1,0),IF($X50&lt;=20,1,0))</formula>
    </cfRule>
    <cfRule type="expression" priority="7242" dxfId="2">
      <formula>AND(IF($Q50=2,1,0),IF($X50&lt;30,1,0))</formula>
    </cfRule>
    <cfRule type="expression" priority="7243" dxfId="1">
      <formula>AND(IF($Q50=3,1,0),IF($X50&lt;30,1,0))</formula>
    </cfRule>
    <cfRule type="expression" priority="7244" dxfId="0">
      <formula>AND(IF($Q50=3,1,IF($Q50=4,1,0)),IF($F50&lt;=85,1,0))</formula>
    </cfRule>
  </conditionalFormatting>
  <conditionalFormatting sqref="AI50">
    <cfRule type="expression" priority="7237" dxfId="3">
      <formula>AND(IF(OR($Q50=1,$Q50=2),1,0),IF($X50&lt;=20,1,0))</formula>
    </cfRule>
    <cfRule type="expression" priority="7238" dxfId="2">
      <formula>AND(IF($Q50=2,1,0),IF($X50&lt;30,1,0))</formula>
    </cfRule>
    <cfRule type="expression" priority="7239" dxfId="1">
      <formula>AND(IF($Q50=3,1,0),IF($X50&lt;30,1,0))</formula>
    </cfRule>
    <cfRule type="expression" priority="7240" dxfId="0">
      <formula>AND(IF($Q50=3,1,IF($Q50=4,1,0)),IF($F50&lt;=85,1,0))</formula>
    </cfRule>
  </conditionalFormatting>
  <conditionalFormatting sqref="AV51">
    <cfRule type="expression" priority="7235" dxfId="23">
      <formula>AV51="X"</formula>
    </cfRule>
    <cfRule type="expression" priority="7236" dxfId="22">
      <formula>AV51="후보"</formula>
    </cfRule>
  </conditionalFormatting>
  <conditionalFormatting sqref="AC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1">
    <cfRule type="expression" priority="7227" dxfId="3">
      <formula>AND(IF(OR($Q51=1,$Q51=2),1,0),IF($X51&lt;=20,1,0))</formula>
    </cfRule>
    <cfRule type="expression" priority="7228" dxfId="2">
      <formula>AND(IF($Q51=2,1,0),IF($X51&lt;30,1,0))</formula>
    </cfRule>
    <cfRule type="expression" priority="7229" dxfId="1">
      <formula>AND(IF($Q51=3,1,0),IF($X51&lt;30,1,0))</formula>
    </cfRule>
    <cfRule type="expression" priority="7230" dxfId="0">
      <formula>AND(IF($Q51=3,1,IF($Q51=4,1,0)),IF($F51&lt;=85,1,0))</formula>
    </cfRule>
  </conditionalFormatting>
  <conditionalFormatting sqref="X51">
    <cfRule type="expression" priority="7223" dxfId="3">
      <formula>AND(IF(OR($Q51=1,$Q51=2),1,0),IF($X51&lt;=20,1,0))</formula>
    </cfRule>
    <cfRule type="expression" priority="7224" dxfId="2">
      <formula>AND(IF($Q51=2,1,0),IF($X51&lt;30,1,0))</formula>
    </cfRule>
    <cfRule type="expression" priority="7225" dxfId="1">
      <formula>AND(IF($Q51=3,1,0),IF($X51&lt;30,1,0))</formula>
    </cfRule>
    <cfRule type="expression" priority="7226" dxfId="0">
      <formula>AND(IF($Q51=3,1,IF($Q51=4,1,0)),IF($F51&lt;=85,1,0))</formula>
    </cfRule>
  </conditionalFormatting>
  <conditionalFormatting sqref="AI51">
    <cfRule type="expression" priority="7219" dxfId="3">
      <formula>AND(IF(OR($Q51=1,$Q51=2),1,0),IF($X51&lt;=20,1,0))</formula>
    </cfRule>
    <cfRule type="expression" priority="7220" dxfId="2">
      <formula>AND(IF($Q51=2,1,0),IF($X51&lt;30,1,0))</formula>
    </cfRule>
    <cfRule type="expression" priority="7221" dxfId="1">
      <formula>AND(IF($Q51=3,1,0),IF($X51&lt;30,1,0))</formula>
    </cfRule>
    <cfRule type="expression" priority="7222" dxfId="0">
      <formula>AND(IF($Q51=3,1,IF($Q51=4,1,0)),IF($F51&lt;=85,1,0))</formula>
    </cfRule>
  </conditionalFormatting>
  <conditionalFormatting sqref="AV52">
    <cfRule type="expression" priority="7217" dxfId="23">
      <formula>AV52="X"</formula>
    </cfRule>
    <cfRule type="expression" priority="7218" dxfId="22">
      <formula>AV52="후보"</formula>
    </cfRule>
  </conditionalFormatting>
  <conditionalFormatting sqref="AC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2">
    <cfRule type="expression" priority="7209" dxfId="3">
      <formula>AND(IF(OR($Q52=1,$Q52=2),1,0),IF($X52&lt;=20,1,0))</formula>
    </cfRule>
    <cfRule type="expression" priority="7210" dxfId="2">
      <formula>AND(IF($Q52=2,1,0),IF($X52&lt;30,1,0))</formula>
    </cfRule>
    <cfRule type="expression" priority="7211" dxfId="1">
      <formula>AND(IF($Q52=3,1,0),IF($X52&lt;30,1,0))</formula>
    </cfRule>
    <cfRule type="expression" priority="7212" dxfId="0">
      <formula>AND(IF($Q52=3,1,IF($Q52=4,1,0)),IF($F52&lt;=85,1,0))</formula>
    </cfRule>
  </conditionalFormatting>
  <conditionalFormatting sqref="X52">
    <cfRule type="expression" priority="7205" dxfId="3">
      <formula>AND(IF(OR($Q52=1,$Q52=2),1,0),IF($X52&lt;=20,1,0))</formula>
    </cfRule>
    <cfRule type="expression" priority="7206" dxfId="2">
      <formula>AND(IF($Q52=2,1,0),IF($X52&lt;30,1,0))</formula>
    </cfRule>
    <cfRule type="expression" priority="7207" dxfId="1">
      <formula>AND(IF($Q52=3,1,0),IF($X52&lt;30,1,0))</formula>
    </cfRule>
    <cfRule type="expression" priority="7208" dxfId="0">
      <formula>AND(IF($Q52=3,1,IF($Q52=4,1,0)),IF($F52&lt;=85,1,0))</formula>
    </cfRule>
  </conditionalFormatting>
  <conditionalFormatting sqref="AI52">
    <cfRule type="expression" priority="7201" dxfId="3">
      <formula>AND(IF(OR($Q52=1,$Q52=2),1,0),IF($X52&lt;=20,1,0))</formula>
    </cfRule>
    <cfRule type="expression" priority="7202" dxfId="2">
      <formula>AND(IF($Q52=2,1,0),IF($X52&lt;30,1,0))</formula>
    </cfRule>
    <cfRule type="expression" priority="7203" dxfId="1">
      <formula>AND(IF($Q52=3,1,0),IF($X52&lt;30,1,0))</formula>
    </cfRule>
    <cfRule type="expression" priority="7204" dxfId="0">
      <formula>AND(IF($Q52=3,1,IF($Q52=4,1,0)),IF($F52&lt;=85,1,0))</formula>
    </cfRule>
  </conditionalFormatting>
  <conditionalFormatting sqref="AV53">
    <cfRule type="expression" priority="7199" dxfId="23">
      <formula>AV53="X"</formula>
    </cfRule>
    <cfRule type="expression" priority="7200" dxfId="22">
      <formula>AV53="후보"</formula>
    </cfRule>
  </conditionalFormatting>
  <conditionalFormatting sqref="AC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3">
    <cfRule type="expression" priority="7191" dxfId="3">
      <formula>AND(IF(OR($Q53=1,$Q53=2),1,0),IF($X53&lt;=20,1,0))</formula>
    </cfRule>
    <cfRule type="expression" priority="7192" dxfId="2">
      <formula>AND(IF($Q53=2,1,0),IF($X53&lt;30,1,0))</formula>
    </cfRule>
    <cfRule type="expression" priority="7193" dxfId="1">
      <formula>AND(IF($Q53=3,1,0),IF($X53&lt;30,1,0))</formula>
    </cfRule>
    <cfRule type="expression" priority="7194" dxfId="0">
      <formula>AND(IF($Q53=3,1,IF($Q53=4,1,0)),IF($F53&lt;=85,1,0))</formula>
    </cfRule>
  </conditionalFormatting>
  <conditionalFormatting sqref="X53">
    <cfRule type="expression" priority="7187" dxfId="3">
      <formula>AND(IF(OR($Q53=1,$Q53=2),1,0),IF($X53&lt;=20,1,0))</formula>
    </cfRule>
    <cfRule type="expression" priority="7188" dxfId="2">
      <formula>AND(IF($Q53=2,1,0),IF($X53&lt;30,1,0))</formula>
    </cfRule>
    <cfRule type="expression" priority="7189" dxfId="1">
      <formula>AND(IF($Q53=3,1,0),IF($X53&lt;30,1,0))</formula>
    </cfRule>
    <cfRule type="expression" priority="7190" dxfId="0">
      <formula>AND(IF($Q53=3,1,IF($Q53=4,1,0)),IF($F53&lt;=85,1,0))</formula>
    </cfRule>
  </conditionalFormatting>
  <conditionalFormatting sqref="AI53">
    <cfRule type="expression" priority="7183" dxfId="3">
      <formula>AND(IF(OR($Q53=1,$Q53=2),1,0),IF($X53&lt;=20,1,0))</formula>
    </cfRule>
    <cfRule type="expression" priority="7184" dxfId="2">
      <formula>AND(IF($Q53=2,1,0),IF($X53&lt;30,1,0))</formula>
    </cfRule>
    <cfRule type="expression" priority="7185" dxfId="1">
      <formula>AND(IF($Q53=3,1,0),IF($X53&lt;30,1,0))</formula>
    </cfRule>
    <cfRule type="expression" priority="7186" dxfId="0">
      <formula>AND(IF($Q53=3,1,IF($Q53=4,1,0)),IF($F53&lt;=85,1,0))</formula>
    </cfRule>
  </conditionalFormatting>
  <conditionalFormatting sqref="AV54">
    <cfRule type="expression" priority="7181" dxfId="23">
      <formula>AV54="X"</formula>
    </cfRule>
    <cfRule type="expression" priority="7182" dxfId="22">
      <formula>AV54="후보"</formula>
    </cfRule>
  </conditionalFormatting>
  <conditionalFormatting sqref="AC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4">
    <cfRule type="expression" priority="7173" dxfId="3">
      <formula>AND(IF(OR($Q54=1,$Q54=2),1,0),IF($X54&lt;=20,1,0))</formula>
    </cfRule>
    <cfRule type="expression" priority="7174" dxfId="2">
      <formula>AND(IF($Q54=2,1,0),IF($X54&lt;30,1,0))</formula>
    </cfRule>
    <cfRule type="expression" priority="7175" dxfId="1">
      <formula>AND(IF($Q54=3,1,0),IF($X54&lt;30,1,0))</formula>
    </cfRule>
    <cfRule type="expression" priority="7176" dxfId="0">
      <formula>AND(IF($Q54=3,1,IF($Q54=4,1,0)),IF($F54&lt;=85,1,0))</formula>
    </cfRule>
  </conditionalFormatting>
  <conditionalFormatting sqref="X54">
    <cfRule type="expression" priority="7169" dxfId="3">
      <formula>AND(IF(OR($Q54=1,$Q54=2),1,0),IF($X54&lt;=20,1,0))</formula>
    </cfRule>
    <cfRule type="expression" priority="7170" dxfId="2">
      <formula>AND(IF($Q54=2,1,0),IF($X54&lt;30,1,0))</formula>
    </cfRule>
    <cfRule type="expression" priority="7171" dxfId="1">
      <formula>AND(IF($Q54=3,1,0),IF($X54&lt;30,1,0))</formula>
    </cfRule>
    <cfRule type="expression" priority="7172" dxfId="0">
      <formula>AND(IF($Q54=3,1,IF($Q54=4,1,0)),IF($F54&lt;=85,1,0))</formula>
    </cfRule>
  </conditionalFormatting>
  <conditionalFormatting sqref="AI54">
    <cfRule type="expression" priority="7165" dxfId="3">
      <formula>AND(IF(OR($Q54=1,$Q54=2),1,0),IF($X54&lt;=20,1,0))</formula>
    </cfRule>
    <cfRule type="expression" priority="7166" dxfId="2">
      <formula>AND(IF($Q54=2,1,0),IF($X54&lt;30,1,0))</formula>
    </cfRule>
    <cfRule type="expression" priority="7167" dxfId="1">
      <formula>AND(IF($Q54=3,1,0),IF($X54&lt;30,1,0))</formula>
    </cfRule>
    <cfRule type="expression" priority="7168" dxfId="0">
      <formula>AND(IF($Q54=3,1,IF($Q54=4,1,0)),IF($F54&lt;=85,1,0))</formula>
    </cfRule>
  </conditionalFormatting>
  <conditionalFormatting sqref="AV55">
    <cfRule type="expression" priority="7163" dxfId="23">
      <formula>AV55="X"</formula>
    </cfRule>
    <cfRule type="expression" priority="7164" dxfId="22">
      <formula>AV55="후보"</formula>
    </cfRule>
  </conditionalFormatting>
  <conditionalFormatting sqref="AC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5">
    <cfRule type="expression" priority="7155" dxfId="3">
      <formula>AND(IF(OR($Q55=1,$Q55=2),1,0),IF($X55&lt;=20,1,0))</formula>
    </cfRule>
    <cfRule type="expression" priority="7156" dxfId="2">
      <formula>AND(IF($Q55=2,1,0),IF($X55&lt;30,1,0))</formula>
    </cfRule>
    <cfRule type="expression" priority="7157" dxfId="1">
      <formula>AND(IF($Q55=3,1,0),IF($X55&lt;30,1,0))</formula>
    </cfRule>
    <cfRule type="expression" priority="7158" dxfId="0">
      <formula>AND(IF($Q55=3,1,IF($Q55=4,1,0)),IF($F55&lt;=85,1,0))</formula>
    </cfRule>
  </conditionalFormatting>
  <conditionalFormatting sqref="X55">
    <cfRule type="expression" priority="7151" dxfId="3">
      <formula>AND(IF(OR($Q55=1,$Q55=2),1,0),IF($X55&lt;=20,1,0))</formula>
    </cfRule>
    <cfRule type="expression" priority="7152" dxfId="2">
      <formula>AND(IF($Q55=2,1,0),IF($X55&lt;30,1,0))</formula>
    </cfRule>
    <cfRule type="expression" priority="7153" dxfId="1">
      <formula>AND(IF($Q55=3,1,0),IF($X55&lt;30,1,0))</formula>
    </cfRule>
    <cfRule type="expression" priority="7154" dxfId="0">
      <formula>AND(IF($Q55=3,1,IF($Q55=4,1,0)),IF($F55&lt;=85,1,0))</formula>
    </cfRule>
  </conditionalFormatting>
  <conditionalFormatting sqref="AI55">
    <cfRule type="expression" priority="7147" dxfId="3">
      <formula>AND(IF(OR($Q55=1,$Q55=2),1,0),IF($X55&lt;=20,1,0))</formula>
    </cfRule>
    <cfRule type="expression" priority="7148" dxfId="2">
      <formula>AND(IF($Q55=2,1,0),IF($X55&lt;30,1,0))</formula>
    </cfRule>
    <cfRule type="expression" priority="7149" dxfId="1">
      <formula>AND(IF($Q55=3,1,0),IF($X55&lt;30,1,0))</formula>
    </cfRule>
    <cfRule type="expression" priority="7150" dxfId="0">
      <formula>AND(IF($Q55=3,1,IF($Q55=4,1,0)),IF($F55&lt;=85,1,0))</formula>
    </cfRule>
  </conditionalFormatting>
  <conditionalFormatting sqref="AV56">
    <cfRule type="expression" priority="7145" dxfId="23">
      <formula>AV56="X"</formula>
    </cfRule>
    <cfRule type="expression" priority="7146" dxfId="22">
      <formula>AV56="후보"</formula>
    </cfRule>
  </conditionalFormatting>
  <conditionalFormatting sqref="AC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6">
    <cfRule type="expression" priority="7137" dxfId="3">
      <formula>AND(IF(OR($Q56=1,$Q56=2),1,0),IF($X56&lt;=20,1,0))</formula>
    </cfRule>
    <cfRule type="expression" priority="7138" dxfId="2">
      <formula>AND(IF($Q56=2,1,0),IF($X56&lt;30,1,0))</formula>
    </cfRule>
    <cfRule type="expression" priority="7139" dxfId="1">
      <formula>AND(IF($Q56=3,1,0),IF($X56&lt;30,1,0))</formula>
    </cfRule>
    <cfRule type="expression" priority="7140" dxfId="0">
      <formula>AND(IF($Q56=3,1,IF($Q56=4,1,0)),IF($F56&lt;=85,1,0))</formula>
    </cfRule>
  </conditionalFormatting>
  <conditionalFormatting sqref="X56">
    <cfRule type="expression" priority="7133" dxfId="3">
      <formula>AND(IF(OR($Q56=1,$Q56=2),1,0),IF($X56&lt;=20,1,0))</formula>
    </cfRule>
    <cfRule type="expression" priority="7134" dxfId="2">
      <formula>AND(IF($Q56=2,1,0),IF($X56&lt;30,1,0))</formula>
    </cfRule>
    <cfRule type="expression" priority="7135" dxfId="1">
      <formula>AND(IF($Q56=3,1,0),IF($X56&lt;30,1,0))</formula>
    </cfRule>
    <cfRule type="expression" priority="7136" dxfId="0">
      <formula>AND(IF($Q56=3,1,IF($Q56=4,1,0)),IF($F56&lt;=85,1,0))</formula>
    </cfRule>
  </conditionalFormatting>
  <conditionalFormatting sqref="AI56">
    <cfRule type="expression" priority="7129" dxfId="3">
      <formula>AND(IF(OR($Q56=1,$Q56=2),1,0),IF($X56&lt;=20,1,0))</formula>
    </cfRule>
    <cfRule type="expression" priority="7130" dxfId="2">
      <formula>AND(IF($Q56=2,1,0),IF($X56&lt;30,1,0))</formula>
    </cfRule>
    <cfRule type="expression" priority="7131" dxfId="1">
      <formula>AND(IF($Q56=3,1,0),IF($X56&lt;30,1,0))</formula>
    </cfRule>
    <cfRule type="expression" priority="7132" dxfId="0">
      <formula>AND(IF($Q56=3,1,IF($Q56=4,1,0)),IF($F56&lt;=85,1,0))</formula>
    </cfRule>
  </conditionalFormatting>
  <conditionalFormatting sqref="AV57">
    <cfRule type="expression" priority="7127" dxfId="23">
      <formula>AV57="X"</formula>
    </cfRule>
    <cfRule type="expression" priority="7128" dxfId="22">
      <formula>AV57="후보"</formula>
    </cfRule>
  </conditionalFormatting>
  <conditionalFormatting sqref="AC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7">
    <cfRule type="expression" priority="7119" dxfId="3">
      <formula>AND(IF(OR($Q57=1,$Q57=2),1,0),IF($X57&lt;=20,1,0))</formula>
    </cfRule>
    <cfRule type="expression" priority="7120" dxfId="2">
      <formula>AND(IF($Q57=2,1,0),IF($X57&lt;30,1,0))</formula>
    </cfRule>
    <cfRule type="expression" priority="7121" dxfId="1">
      <formula>AND(IF($Q57=3,1,0),IF($X57&lt;30,1,0))</formula>
    </cfRule>
    <cfRule type="expression" priority="7122" dxfId="0">
      <formula>AND(IF($Q57=3,1,IF($Q57=4,1,0)),IF($F57&lt;=85,1,0))</formula>
    </cfRule>
  </conditionalFormatting>
  <conditionalFormatting sqref="X57">
    <cfRule type="expression" priority="7115" dxfId="3">
      <formula>AND(IF(OR($Q57=1,$Q57=2),1,0),IF($X57&lt;=20,1,0))</formula>
    </cfRule>
    <cfRule type="expression" priority="7116" dxfId="2">
      <formula>AND(IF($Q57=2,1,0),IF($X57&lt;30,1,0))</formula>
    </cfRule>
    <cfRule type="expression" priority="7117" dxfId="1">
      <formula>AND(IF($Q57=3,1,0),IF($X57&lt;30,1,0))</formula>
    </cfRule>
    <cfRule type="expression" priority="7118" dxfId="0">
      <formula>AND(IF($Q57=3,1,IF($Q57=4,1,0)),IF($F57&lt;=85,1,0))</formula>
    </cfRule>
  </conditionalFormatting>
  <conditionalFormatting sqref="AI57">
    <cfRule type="expression" priority="7111" dxfId="3">
      <formula>AND(IF(OR($Q57=1,$Q57=2),1,0),IF($X57&lt;=20,1,0))</formula>
    </cfRule>
    <cfRule type="expression" priority="7112" dxfId="2">
      <formula>AND(IF($Q57=2,1,0),IF($X57&lt;30,1,0))</formula>
    </cfRule>
    <cfRule type="expression" priority="7113" dxfId="1">
      <formula>AND(IF($Q57=3,1,0),IF($X57&lt;30,1,0))</formula>
    </cfRule>
    <cfRule type="expression" priority="7114" dxfId="0">
      <formula>AND(IF($Q57=3,1,IF($Q57=4,1,0)),IF($F57&lt;=85,1,0))</formula>
    </cfRule>
  </conditionalFormatting>
  <conditionalFormatting sqref="AV58">
    <cfRule type="expression" priority="7109" dxfId="23">
      <formula>AV58="X"</formula>
    </cfRule>
    <cfRule type="expression" priority="7110" dxfId="22">
      <formula>AV58="후보"</formula>
    </cfRule>
  </conditionalFormatting>
  <conditionalFormatting sqref="AC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">
    <cfRule type="expression" priority="7101" dxfId="3">
      <formula>AND(IF(OR($Q58=1,$Q58=2),1,0),IF($X58&lt;=20,1,0))</formula>
    </cfRule>
    <cfRule type="expression" priority="7102" dxfId="2">
      <formula>AND(IF($Q58=2,1,0),IF($X58&lt;30,1,0))</formula>
    </cfRule>
    <cfRule type="expression" priority="7103" dxfId="1">
      <formula>AND(IF($Q58=3,1,0),IF($X58&lt;30,1,0))</formula>
    </cfRule>
    <cfRule type="expression" priority="7104" dxfId="0">
      <formula>AND(IF($Q58=3,1,IF($Q58=4,1,0)),IF($F58&lt;=85,1,0))</formula>
    </cfRule>
  </conditionalFormatting>
  <conditionalFormatting sqref="X58">
    <cfRule type="expression" priority="7097" dxfId="3">
      <formula>AND(IF(OR($Q58=1,$Q58=2),1,0),IF($X58&lt;=20,1,0))</formula>
    </cfRule>
    <cfRule type="expression" priority="7098" dxfId="2">
      <formula>AND(IF($Q58=2,1,0),IF($X58&lt;30,1,0))</formula>
    </cfRule>
    <cfRule type="expression" priority="7099" dxfId="1">
      <formula>AND(IF($Q58=3,1,0),IF($X58&lt;30,1,0))</formula>
    </cfRule>
    <cfRule type="expression" priority="7100" dxfId="0">
      <formula>AND(IF($Q58=3,1,IF($Q58=4,1,0)),IF($F58&lt;=85,1,0))</formula>
    </cfRule>
  </conditionalFormatting>
  <conditionalFormatting sqref="AI58">
    <cfRule type="expression" priority="7093" dxfId="3">
      <formula>AND(IF(OR($Q58=1,$Q58=2),1,0),IF($X58&lt;=20,1,0))</formula>
    </cfRule>
    <cfRule type="expression" priority="7094" dxfId="2">
      <formula>AND(IF($Q58=2,1,0),IF($X58&lt;30,1,0))</formula>
    </cfRule>
    <cfRule type="expression" priority="7095" dxfId="1">
      <formula>AND(IF($Q58=3,1,0),IF($X58&lt;30,1,0))</formula>
    </cfRule>
    <cfRule type="expression" priority="7096" dxfId="0">
      <formula>AND(IF($Q58=3,1,IF($Q58=4,1,0)),IF($F58&lt;=85,1,0))</formula>
    </cfRule>
  </conditionalFormatting>
  <conditionalFormatting sqref="AV59">
    <cfRule type="expression" priority="7091" dxfId="23">
      <formula>AV59="X"</formula>
    </cfRule>
    <cfRule type="expression" priority="7092" dxfId="22">
      <formula>AV59="후보"</formula>
    </cfRule>
  </conditionalFormatting>
  <conditionalFormatting sqref="AC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9">
    <cfRule type="expression" priority="7083" dxfId="3">
      <formula>AND(IF(OR($Q59=1,$Q59=2),1,0),IF($X59&lt;=20,1,0))</formula>
    </cfRule>
    <cfRule type="expression" priority="7084" dxfId="2">
      <formula>AND(IF($Q59=2,1,0),IF($X59&lt;30,1,0))</formula>
    </cfRule>
    <cfRule type="expression" priority="7085" dxfId="1">
      <formula>AND(IF($Q59=3,1,0),IF($X59&lt;30,1,0))</formula>
    </cfRule>
    <cfRule type="expression" priority="7086" dxfId="0">
      <formula>AND(IF($Q59=3,1,IF($Q59=4,1,0)),IF($F59&lt;=85,1,0))</formula>
    </cfRule>
  </conditionalFormatting>
  <conditionalFormatting sqref="X59">
    <cfRule type="expression" priority="7079" dxfId="3">
      <formula>AND(IF(OR($Q59=1,$Q59=2),1,0),IF($X59&lt;=20,1,0))</formula>
    </cfRule>
    <cfRule type="expression" priority="7080" dxfId="2">
      <formula>AND(IF($Q59=2,1,0),IF($X59&lt;30,1,0))</formula>
    </cfRule>
    <cfRule type="expression" priority="7081" dxfId="1">
      <formula>AND(IF($Q59=3,1,0),IF($X59&lt;30,1,0))</formula>
    </cfRule>
    <cfRule type="expression" priority="7082" dxfId="0">
      <formula>AND(IF($Q59=3,1,IF($Q59=4,1,0)),IF($F59&lt;=85,1,0))</formula>
    </cfRule>
  </conditionalFormatting>
  <conditionalFormatting sqref="AI59">
    <cfRule type="expression" priority="7075" dxfId="3">
      <formula>AND(IF(OR($Q59=1,$Q59=2),1,0),IF($X59&lt;=20,1,0))</formula>
    </cfRule>
    <cfRule type="expression" priority="7076" dxfId="2">
      <formula>AND(IF($Q59=2,1,0),IF($X59&lt;30,1,0))</formula>
    </cfRule>
    <cfRule type="expression" priority="7077" dxfId="1">
      <formula>AND(IF($Q59=3,1,0),IF($X59&lt;30,1,0))</formula>
    </cfRule>
    <cfRule type="expression" priority="7078" dxfId="0">
      <formula>AND(IF($Q59=3,1,IF($Q59=4,1,0)),IF($F59&lt;=85,1,0))</formula>
    </cfRule>
  </conditionalFormatting>
  <conditionalFormatting sqref="AV60">
    <cfRule type="expression" priority="7073" dxfId="23">
      <formula>AV60="X"</formula>
    </cfRule>
    <cfRule type="expression" priority="7074" dxfId="22">
      <formula>AV60="후보"</formula>
    </cfRule>
  </conditionalFormatting>
  <conditionalFormatting sqref="AC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0">
    <cfRule type="expression" priority="7065" dxfId="3">
      <formula>AND(IF(OR($Q60=1,$Q60=2),1,0),IF($X60&lt;=20,1,0))</formula>
    </cfRule>
    <cfRule type="expression" priority="7066" dxfId="2">
      <formula>AND(IF($Q60=2,1,0),IF($X60&lt;30,1,0))</formula>
    </cfRule>
    <cfRule type="expression" priority="7067" dxfId="1">
      <formula>AND(IF($Q60=3,1,0),IF($X60&lt;30,1,0))</formula>
    </cfRule>
    <cfRule type="expression" priority="7068" dxfId="0">
      <formula>AND(IF($Q60=3,1,IF($Q60=4,1,0)),IF($F60&lt;=85,1,0))</formula>
    </cfRule>
  </conditionalFormatting>
  <conditionalFormatting sqref="X60">
    <cfRule type="expression" priority="7061" dxfId="3">
      <formula>AND(IF(OR($Q60=1,$Q60=2),1,0),IF($X60&lt;=20,1,0))</formula>
    </cfRule>
    <cfRule type="expression" priority="7062" dxfId="2">
      <formula>AND(IF($Q60=2,1,0),IF($X60&lt;30,1,0))</formula>
    </cfRule>
    <cfRule type="expression" priority="7063" dxfId="1">
      <formula>AND(IF($Q60=3,1,0),IF($X60&lt;30,1,0))</formula>
    </cfRule>
    <cfRule type="expression" priority="7064" dxfId="0">
      <formula>AND(IF($Q60=3,1,IF($Q60=4,1,0)),IF($F60&lt;=85,1,0))</formula>
    </cfRule>
  </conditionalFormatting>
  <conditionalFormatting sqref="AI60">
    <cfRule type="expression" priority="7057" dxfId="3">
      <formula>AND(IF(OR($Q60=1,$Q60=2),1,0),IF($X60&lt;=20,1,0))</formula>
    </cfRule>
    <cfRule type="expression" priority="7058" dxfId="2">
      <formula>AND(IF($Q60=2,1,0),IF($X60&lt;30,1,0))</formula>
    </cfRule>
    <cfRule type="expression" priority="7059" dxfId="1">
      <formula>AND(IF($Q60=3,1,0),IF($X60&lt;30,1,0))</formula>
    </cfRule>
    <cfRule type="expression" priority="7060" dxfId="0">
      <formula>AND(IF($Q60=3,1,IF($Q60=4,1,0)),IF($F60&lt;=85,1,0))</formula>
    </cfRule>
  </conditionalFormatting>
  <conditionalFormatting sqref="AV61">
    <cfRule type="expression" priority="7055" dxfId="23">
      <formula>AV61="X"</formula>
    </cfRule>
    <cfRule type="expression" priority="7056" dxfId="22">
      <formula>AV61="후보"</formula>
    </cfRule>
  </conditionalFormatting>
  <conditionalFormatting sqref="AC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1">
    <cfRule type="expression" priority="7047" dxfId="3">
      <formula>AND(IF(OR($Q61=1,$Q61=2),1,0),IF($X61&lt;=20,1,0))</formula>
    </cfRule>
    <cfRule type="expression" priority="7048" dxfId="2">
      <formula>AND(IF($Q61=2,1,0),IF($X61&lt;30,1,0))</formula>
    </cfRule>
    <cfRule type="expression" priority="7049" dxfId="1">
      <formula>AND(IF($Q61=3,1,0),IF($X61&lt;30,1,0))</formula>
    </cfRule>
    <cfRule type="expression" priority="7050" dxfId="0">
      <formula>AND(IF($Q61=3,1,IF($Q61=4,1,0)),IF($F61&lt;=85,1,0))</formula>
    </cfRule>
  </conditionalFormatting>
  <conditionalFormatting sqref="X61">
    <cfRule type="expression" priority="7043" dxfId="3">
      <formula>AND(IF(OR($Q61=1,$Q61=2),1,0),IF($X61&lt;=20,1,0))</formula>
    </cfRule>
    <cfRule type="expression" priority="7044" dxfId="2">
      <formula>AND(IF($Q61=2,1,0),IF($X61&lt;30,1,0))</formula>
    </cfRule>
    <cfRule type="expression" priority="7045" dxfId="1">
      <formula>AND(IF($Q61=3,1,0),IF($X61&lt;30,1,0))</formula>
    </cfRule>
    <cfRule type="expression" priority="7046" dxfId="0">
      <formula>AND(IF($Q61=3,1,IF($Q61=4,1,0)),IF($F61&lt;=85,1,0))</formula>
    </cfRule>
  </conditionalFormatting>
  <conditionalFormatting sqref="AI61">
    <cfRule type="expression" priority="7039" dxfId="3">
      <formula>AND(IF(OR($Q61=1,$Q61=2),1,0),IF($X61&lt;=20,1,0))</formula>
    </cfRule>
    <cfRule type="expression" priority="7040" dxfId="2">
      <formula>AND(IF($Q61=2,1,0),IF($X61&lt;30,1,0))</formula>
    </cfRule>
    <cfRule type="expression" priority="7041" dxfId="1">
      <formula>AND(IF($Q61=3,1,0),IF($X61&lt;30,1,0))</formula>
    </cfRule>
    <cfRule type="expression" priority="7042" dxfId="0">
      <formula>AND(IF($Q61=3,1,IF($Q61=4,1,0)),IF($F61&lt;=85,1,0))</formula>
    </cfRule>
  </conditionalFormatting>
  <conditionalFormatting sqref="AV62">
    <cfRule type="expression" priority="7037" dxfId="23">
      <formula>AV62="X"</formula>
    </cfRule>
    <cfRule type="expression" priority="7038" dxfId="22">
      <formula>AV62="후보"</formula>
    </cfRule>
  </conditionalFormatting>
  <conditionalFormatting sqref="AC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2">
    <cfRule type="expression" priority="7029" dxfId="3">
      <formula>AND(IF(OR($Q62=1,$Q62=2),1,0),IF($X62&lt;=20,1,0))</formula>
    </cfRule>
    <cfRule type="expression" priority="7030" dxfId="2">
      <formula>AND(IF($Q62=2,1,0),IF($X62&lt;30,1,0))</formula>
    </cfRule>
    <cfRule type="expression" priority="7031" dxfId="1">
      <formula>AND(IF($Q62=3,1,0),IF($X62&lt;30,1,0))</formula>
    </cfRule>
    <cfRule type="expression" priority="7032" dxfId="0">
      <formula>AND(IF($Q62=3,1,IF($Q62=4,1,0)),IF($F62&lt;=85,1,0))</formula>
    </cfRule>
  </conditionalFormatting>
  <conditionalFormatting sqref="X62">
    <cfRule type="expression" priority="7025" dxfId="3">
      <formula>AND(IF(OR($Q62=1,$Q62=2),1,0),IF($X62&lt;=20,1,0))</formula>
    </cfRule>
    <cfRule type="expression" priority="7026" dxfId="2">
      <formula>AND(IF($Q62=2,1,0),IF($X62&lt;30,1,0))</formula>
    </cfRule>
    <cfRule type="expression" priority="7027" dxfId="1">
      <formula>AND(IF($Q62=3,1,0),IF($X62&lt;30,1,0))</formula>
    </cfRule>
    <cfRule type="expression" priority="7028" dxfId="0">
      <formula>AND(IF($Q62=3,1,IF($Q62=4,1,0)),IF($F62&lt;=85,1,0))</formula>
    </cfRule>
  </conditionalFormatting>
  <conditionalFormatting sqref="AI62">
    <cfRule type="expression" priority="7021" dxfId="3">
      <formula>AND(IF(OR($Q62=1,$Q62=2),1,0),IF($X62&lt;=20,1,0))</formula>
    </cfRule>
    <cfRule type="expression" priority="7022" dxfId="2">
      <formula>AND(IF($Q62=2,1,0),IF($X62&lt;30,1,0))</formula>
    </cfRule>
    <cfRule type="expression" priority="7023" dxfId="1">
      <formula>AND(IF($Q62=3,1,0),IF($X62&lt;30,1,0))</formula>
    </cfRule>
    <cfRule type="expression" priority="7024" dxfId="0">
      <formula>AND(IF($Q62=3,1,IF($Q62=4,1,0)),IF($F62&lt;=85,1,0))</formula>
    </cfRule>
  </conditionalFormatting>
  <conditionalFormatting sqref="AV63">
    <cfRule type="expression" priority="7019" dxfId="23">
      <formula>AV63="X"</formula>
    </cfRule>
    <cfRule type="expression" priority="7020" dxfId="22">
      <formula>AV63="후보"</formula>
    </cfRule>
  </conditionalFormatting>
  <conditionalFormatting sqref="AC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3">
    <cfRule type="expression" priority="7011" dxfId="3">
      <formula>AND(IF(OR($Q63=1,$Q63=2),1,0),IF($X63&lt;=20,1,0))</formula>
    </cfRule>
    <cfRule type="expression" priority="7012" dxfId="2">
      <formula>AND(IF($Q63=2,1,0),IF($X63&lt;30,1,0))</formula>
    </cfRule>
    <cfRule type="expression" priority="7013" dxfId="1">
      <formula>AND(IF($Q63=3,1,0),IF($X63&lt;30,1,0))</formula>
    </cfRule>
    <cfRule type="expression" priority="7014" dxfId="0">
      <formula>AND(IF($Q63=3,1,IF($Q63=4,1,0)),IF($F63&lt;=85,1,0))</formula>
    </cfRule>
  </conditionalFormatting>
  <conditionalFormatting sqref="X63">
    <cfRule type="expression" priority="7007" dxfId="3">
      <formula>AND(IF(OR($Q63=1,$Q63=2),1,0),IF($X63&lt;=20,1,0))</formula>
    </cfRule>
    <cfRule type="expression" priority="7008" dxfId="2">
      <formula>AND(IF($Q63=2,1,0),IF($X63&lt;30,1,0))</formula>
    </cfRule>
    <cfRule type="expression" priority="7009" dxfId="1">
      <formula>AND(IF($Q63=3,1,0),IF($X63&lt;30,1,0))</formula>
    </cfRule>
    <cfRule type="expression" priority="7010" dxfId="0">
      <formula>AND(IF($Q63=3,1,IF($Q63=4,1,0)),IF($F63&lt;=85,1,0))</formula>
    </cfRule>
  </conditionalFormatting>
  <conditionalFormatting sqref="AI63">
    <cfRule type="expression" priority="7003" dxfId="3">
      <formula>AND(IF(OR($Q63=1,$Q63=2),1,0),IF($X63&lt;=20,1,0))</formula>
    </cfRule>
    <cfRule type="expression" priority="7004" dxfId="2">
      <formula>AND(IF($Q63=2,1,0),IF($X63&lt;30,1,0))</formula>
    </cfRule>
    <cfRule type="expression" priority="7005" dxfId="1">
      <formula>AND(IF($Q63=3,1,0),IF($X63&lt;30,1,0))</formula>
    </cfRule>
    <cfRule type="expression" priority="7006" dxfId="0">
      <formula>AND(IF($Q63=3,1,IF($Q63=4,1,0)),IF($F63&lt;=85,1,0))</formula>
    </cfRule>
  </conditionalFormatting>
  <conditionalFormatting sqref="AV64">
    <cfRule type="expression" priority="7001" dxfId="23">
      <formula>AV64="X"</formula>
    </cfRule>
    <cfRule type="expression" priority="7002" dxfId="22">
      <formula>AV64="후보"</formula>
    </cfRule>
  </conditionalFormatting>
  <conditionalFormatting sqref="AC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4">
    <cfRule type="expression" priority="6993" dxfId="3">
      <formula>AND(IF(OR($Q64=1,$Q64=2),1,0),IF($X64&lt;=20,1,0))</formula>
    </cfRule>
    <cfRule type="expression" priority="6994" dxfId="2">
      <formula>AND(IF($Q64=2,1,0),IF($X64&lt;30,1,0))</formula>
    </cfRule>
    <cfRule type="expression" priority="6995" dxfId="1">
      <formula>AND(IF($Q64=3,1,0),IF($X64&lt;30,1,0))</formula>
    </cfRule>
    <cfRule type="expression" priority="6996" dxfId="0">
      <formula>AND(IF($Q64=3,1,IF($Q64=4,1,0)),IF($F64&lt;=85,1,0))</formula>
    </cfRule>
  </conditionalFormatting>
  <conditionalFormatting sqref="X64">
    <cfRule type="expression" priority="6989" dxfId="3">
      <formula>AND(IF(OR($Q64=1,$Q64=2),1,0),IF($X64&lt;=20,1,0))</formula>
    </cfRule>
    <cfRule type="expression" priority="6990" dxfId="2">
      <formula>AND(IF($Q64=2,1,0),IF($X64&lt;30,1,0))</formula>
    </cfRule>
    <cfRule type="expression" priority="6991" dxfId="1">
      <formula>AND(IF($Q64=3,1,0),IF($X64&lt;30,1,0))</formula>
    </cfRule>
    <cfRule type="expression" priority="6992" dxfId="0">
      <formula>AND(IF($Q64=3,1,IF($Q64=4,1,0)),IF($F64&lt;=85,1,0))</formula>
    </cfRule>
  </conditionalFormatting>
  <conditionalFormatting sqref="AI64">
    <cfRule type="expression" priority="6985" dxfId="3">
      <formula>AND(IF(OR($Q64=1,$Q64=2),1,0),IF($X64&lt;=20,1,0))</formula>
    </cfRule>
    <cfRule type="expression" priority="6986" dxfId="2">
      <formula>AND(IF($Q64=2,1,0),IF($X64&lt;30,1,0))</formula>
    </cfRule>
    <cfRule type="expression" priority="6987" dxfId="1">
      <formula>AND(IF($Q64=3,1,0),IF($X64&lt;30,1,0))</formula>
    </cfRule>
    <cfRule type="expression" priority="6988" dxfId="0">
      <formula>AND(IF($Q64=3,1,IF($Q64=4,1,0)),IF($F64&lt;=85,1,0))</formula>
    </cfRule>
  </conditionalFormatting>
  <conditionalFormatting sqref="AV65">
    <cfRule type="expression" priority="6983" dxfId="23">
      <formula>AV65="X"</formula>
    </cfRule>
    <cfRule type="expression" priority="6984" dxfId="22">
      <formula>AV65="후보"</formula>
    </cfRule>
  </conditionalFormatting>
  <conditionalFormatting sqref="AC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5">
    <cfRule type="expression" priority="6975" dxfId="3">
      <formula>AND(IF(OR($Q65=1,$Q65=2),1,0),IF($X65&lt;=20,1,0))</formula>
    </cfRule>
    <cfRule type="expression" priority="6976" dxfId="2">
      <formula>AND(IF($Q65=2,1,0),IF($X65&lt;30,1,0))</formula>
    </cfRule>
    <cfRule type="expression" priority="6977" dxfId="1">
      <formula>AND(IF($Q65=3,1,0),IF($X65&lt;30,1,0))</formula>
    </cfRule>
    <cfRule type="expression" priority="6978" dxfId="0">
      <formula>AND(IF($Q65=3,1,IF($Q65=4,1,0)),IF($F65&lt;=85,1,0))</formula>
    </cfRule>
  </conditionalFormatting>
  <conditionalFormatting sqref="X65">
    <cfRule type="expression" priority="6971" dxfId="3">
      <formula>AND(IF(OR($Q65=1,$Q65=2),1,0),IF($X65&lt;=20,1,0))</formula>
    </cfRule>
    <cfRule type="expression" priority="6972" dxfId="2">
      <formula>AND(IF($Q65=2,1,0),IF($X65&lt;30,1,0))</formula>
    </cfRule>
    <cfRule type="expression" priority="6973" dxfId="1">
      <formula>AND(IF($Q65=3,1,0),IF($X65&lt;30,1,0))</formula>
    </cfRule>
    <cfRule type="expression" priority="6974" dxfId="0">
      <formula>AND(IF($Q65=3,1,IF($Q65=4,1,0)),IF($F65&lt;=85,1,0))</formula>
    </cfRule>
  </conditionalFormatting>
  <conditionalFormatting sqref="AI65">
    <cfRule type="expression" priority="6967" dxfId="3">
      <formula>AND(IF(OR($Q65=1,$Q65=2),1,0),IF($X65&lt;=20,1,0))</formula>
    </cfRule>
    <cfRule type="expression" priority="6968" dxfId="2">
      <formula>AND(IF($Q65=2,1,0),IF($X65&lt;30,1,0))</formula>
    </cfRule>
    <cfRule type="expression" priority="6969" dxfId="1">
      <formula>AND(IF($Q65=3,1,0),IF($X65&lt;30,1,0))</formula>
    </cfRule>
    <cfRule type="expression" priority="6970" dxfId="0">
      <formula>AND(IF($Q65=3,1,IF($Q65=4,1,0)),IF($F65&lt;=85,1,0))</formula>
    </cfRule>
  </conditionalFormatting>
  <conditionalFormatting sqref="AV66">
    <cfRule type="expression" priority="6965" dxfId="23">
      <formula>AV66="X"</formula>
    </cfRule>
    <cfRule type="expression" priority="6966" dxfId="22">
      <formula>AV66="후보"</formula>
    </cfRule>
  </conditionalFormatting>
  <conditionalFormatting sqref="AC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6">
    <cfRule type="expression" priority="6957" dxfId="3">
      <formula>AND(IF(OR($Q66=1,$Q66=2),1,0),IF($X66&lt;=20,1,0))</formula>
    </cfRule>
    <cfRule type="expression" priority="6958" dxfId="2">
      <formula>AND(IF($Q66=2,1,0),IF($X66&lt;30,1,0))</formula>
    </cfRule>
    <cfRule type="expression" priority="6959" dxfId="1">
      <formula>AND(IF($Q66=3,1,0),IF($X66&lt;30,1,0))</formula>
    </cfRule>
    <cfRule type="expression" priority="6960" dxfId="0">
      <formula>AND(IF($Q66=3,1,IF($Q66=4,1,0)),IF($F66&lt;=85,1,0))</formula>
    </cfRule>
  </conditionalFormatting>
  <conditionalFormatting sqref="X66">
    <cfRule type="expression" priority="6953" dxfId="3">
      <formula>AND(IF(OR($Q66=1,$Q66=2),1,0),IF($X66&lt;=20,1,0))</formula>
    </cfRule>
    <cfRule type="expression" priority="6954" dxfId="2">
      <formula>AND(IF($Q66=2,1,0),IF($X66&lt;30,1,0))</formula>
    </cfRule>
    <cfRule type="expression" priority="6955" dxfId="1">
      <formula>AND(IF($Q66=3,1,0),IF($X66&lt;30,1,0))</formula>
    </cfRule>
    <cfRule type="expression" priority="6956" dxfId="0">
      <formula>AND(IF($Q66=3,1,IF($Q66=4,1,0)),IF($F66&lt;=85,1,0))</formula>
    </cfRule>
  </conditionalFormatting>
  <conditionalFormatting sqref="AI66">
    <cfRule type="expression" priority="6949" dxfId="3">
      <formula>AND(IF(OR($Q66=1,$Q66=2),1,0),IF($X66&lt;=20,1,0))</formula>
    </cfRule>
    <cfRule type="expression" priority="6950" dxfId="2">
      <formula>AND(IF($Q66=2,1,0),IF($X66&lt;30,1,0))</formula>
    </cfRule>
    <cfRule type="expression" priority="6951" dxfId="1">
      <formula>AND(IF($Q66=3,1,0),IF($X66&lt;30,1,0))</formula>
    </cfRule>
    <cfRule type="expression" priority="6952" dxfId="0">
      <formula>AND(IF($Q66=3,1,IF($Q66=4,1,0)),IF($F66&lt;=85,1,0))</formula>
    </cfRule>
  </conditionalFormatting>
  <conditionalFormatting sqref="AV67">
    <cfRule type="expression" priority="6947" dxfId="23">
      <formula>AV67="X"</formula>
    </cfRule>
    <cfRule type="expression" priority="6948" dxfId="22">
      <formula>AV67="후보"</formula>
    </cfRule>
  </conditionalFormatting>
  <conditionalFormatting sqref="AC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">
    <cfRule type="expression" priority="6939" dxfId="3">
      <formula>AND(IF(OR($Q67=1,$Q67=2),1,0),IF($X67&lt;=20,1,0))</formula>
    </cfRule>
    <cfRule type="expression" priority="6940" dxfId="2">
      <formula>AND(IF($Q67=2,1,0),IF($X67&lt;30,1,0))</formula>
    </cfRule>
    <cfRule type="expression" priority="6941" dxfId="1">
      <formula>AND(IF($Q67=3,1,0),IF($X67&lt;30,1,0))</formula>
    </cfRule>
    <cfRule type="expression" priority="6942" dxfId="0">
      <formula>AND(IF($Q67=3,1,IF($Q67=4,1,0)),IF($F67&lt;=85,1,0))</formula>
    </cfRule>
  </conditionalFormatting>
  <conditionalFormatting sqref="X67">
    <cfRule type="expression" priority="6935" dxfId="3">
      <formula>AND(IF(OR($Q67=1,$Q67=2),1,0),IF($X67&lt;=20,1,0))</formula>
    </cfRule>
    <cfRule type="expression" priority="6936" dxfId="2">
      <formula>AND(IF($Q67=2,1,0),IF($X67&lt;30,1,0))</formula>
    </cfRule>
    <cfRule type="expression" priority="6937" dxfId="1">
      <formula>AND(IF($Q67=3,1,0),IF($X67&lt;30,1,0))</formula>
    </cfRule>
    <cfRule type="expression" priority="6938" dxfId="0">
      <formula>AND(IF($Q67=3,1,IF($Q67=4,1,0)),IF($F67&lt;=85,1,0))</formula>
    </cfRule>
  </conditionalFormatting>
  <conditionalFormatting sqref="AI67">
    <cfRule type="expression" priority="6931" dxfId="3">
      <formula>AND(IF(OR($Q67=1,$Q67=2),1,0),IF($X67&lt;=20,1,0))</formula>
    </cfRule>
    <cfRule type="expression" priority="6932" dxfId="2">
      <formula>AND(IF($Q67=2,1,0),IF($X67&lt;30,1,0))</formula>
    </cfRule>
    <cfRule type="expression" priority="6933" dxfId="1">
      <formula>AND(IF($Q67=3,1,0),IF($X67&lt;30,1,0))</formula>
    </cfRule>
    <cfRule type="expression" priority="6934" dxfId="0">
      <formula>AND(IF($Q67=3,1,IF($Q67=4,1,0)),IF($F67&lt;=85,1,0))</formula>
    </cfRule>
  </conditionalFormatting>
  <conditionalFormatting sqref="AV68">
    <cfRule type="expression" priority="6929" dxfId="23">
      <formula>AV68="X"</formula>
    </cfRule>
    <cfRule type="expression" priority="6930" dxfId="22">
      <formula>AV68="후보"</formula>
    </cfRule>
  </conditionalFormatting>
  <conditionalFormatting sqref="AC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8">
    <cfRule type="expression" priority="6921" dxfId="3">
      <formula>AND(IF(OR($Q68=1,$Q68=2),1,0),IF($X68&lt;=20,1,0))</formula>
    </cfRule>
    <cfRule type="expression" priority="6922" dxfId="2">
      <formula>AND(IF($Q68=2,1,0),IF($X68&lt;30,1,0))</formula>
    </cfRule>
    <cfRule type="expression" priority="6923" dxfId="1">
      <formula>AND(IF($Q68=3,1,0),IF($X68&lt;30,1,0))</formula>
    </cfRule>
    <cfRule type="expression" priority="6924" dxfId="0">
      <formula>AND(IF($Q68=3,1,IF($Q68=4,1,0)),IF($F68&lt;=85,1,0))</formula>
    </cfRule>
  </conditionalFormatting>
  <conditionalFormatting sqref="X68">
    <cfRule type="expression" priority="6917" dxfId="3">
      <formula>AND(IF(OR($Q68=1,$Q68=2),1,0),IF($X68&lt;=20,1,0))</formula>
    </cfRule>
    <cfRule type="expression" priority="6918" dxfId="2">
      <formula>AND(IF($Q68=2,1,0),IF($X68&lt;30,1,0))</formula>
    </cfRule>
    <cfRule type="expression" priority="6919" dxfId="1">
      <formula>AND(IF($Q68=3,1,0),IF($X68&lt;30,1,0))</formula>
    </cfRule>
    <cfRule type="expression" priority="6920" dxfId="0">
      <formula>AND(IF($Q68=3,1,IF($Q68=4,1,0)),IF($F68&lt;=85,1,0))</formula>
    </cfRule>
  </conditionalFormatting>
  <conditionalFormatting sqref="AI68">
    <cfRule type="expression" priority="6913" dxfId="3">
      <formula>AND(IF(OR($Q68=1,$Q68=2),1,0),IF($X68&lt;=20,1,0))</formula>
    </cfRule>
    <cfRule type="expression" priority="6914" dxfId="2">
      <formula>AND(IF($Q68=2,1,0),IF($X68&lt;30,1,0))</formula>
    </cfRule>
    <cfRule type="expression" priority="6915" dxfId="1">
      <formula>AND(IF($Q68=3,1,0),IF($X68&lt;30,1,0))</formula>
    </cfRule>
    <cfRule type="expression" priority="6916" dxfId="0">
      <formula>AND(IF($Q68=3,1,IF($Q68=4,1,0)),IF($F68&lt;=85,1,0))</formula>
    </cfRule>
  </conditionalFormatting>
  <conditionalFormatting sqref="AV69">
    <cfRule type="expression" priority="6911" dxfId="23">
      <formula>AV69="X"</formula>
    </cfRule>
    <cfRule type="expression" priority="6912" dxfId="22">
      <formula>AV69="후보"</formula>
    </cfRule>
  </conditionalFormatting>
  <conditionalFormatting sqref="AC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9">
    <cfRule type="expression" priority="6903" dxfId="3">
      <formula>AND(IF(OR($Q69=1,$Q69=2),1,0),IF($X69&lt;=20,1,0))</formula>
    </cfRule>
    <cfRule type="expression" priority="6904" dxfId="2">
      <formula>AND(IF($Q69=2,1,0),IF($X69&lt;30,1,0))</formula>
    </cfRule>
    <cfRule type="expression" priority="6905" dxfId="1">
      <formula>AND(IF($Q69=3,1,0),IF($X69&lt;30,1,0))</formula>
    </cfRule>
    <cfRule type="expression" priority="6906" dxfId="0">
      <formula>AND(IF($Q69=3,1,IF($Q69=4,1,0)),IF($F69&lt;=85,1,0))</formula>
    </cfRule>
  </conditionalFormatting>
  <conditionalFormatting sqref="X69">
    <cfRule type="expression" priority="6899" dxfId="3">
      <formula>AND(IF(OR($Q69=1,$Q69=2),1,0),IF($X69&lt;=20,1,0))</formula>
    </cfRule>
    <cfRule type="expression" priority="6900" dxfId="2">
      <formula>AND(IF($Q69=2,1,0),IF($X69&lt;30,1,0))</formula>
    </cfRule>
    <cfRule type="expression" priority="6901" dxfId="1">
      <formula>AND(IF($Q69=3,1,0),IF($X69&lt;30,1,0))</formula>
    </cfRule>
    <cfRule type="expression" priority="6902" dxfId="0">
      <formula>AND(IF($Q69=3,1,IF($Q69=4,1,0)),IF($F69&lt;=85,1,0))</formula>
    </cfRule>
  </conditionalFormatting>
  <conditionalFormatting sqref="AI69">
    <cfRule type="expression" priority="6895" dxfId="3">
      <formula>AND(IF(OR($Q69=1,$Q69=2),1,0),IF($X69&lt;=20,1,0))</formula>
    </cfRule>
    <cfRule type="expression" priority="6896" dxfId="2">
      <formula>AND(IF($Q69=2,1,0),IF($X69&lt;30,1,0))</formula>
    </cfRule>
    <cfRule type="expression" priority="6897" dxfId="1">
      <formula>AND(IF($Q69=3,1,0),IF($X69&lt;30,1,0))</formula>
    </cfRule>
    <cfRule type="expression" priority="6898" dxfId="0">
      <formula>AND(IF($Q69=3,1,IF($Q69=4,1,0)),IF($F69&lt;=85,1,0))</formula>
    </cfRule>
  </conditionalFormatting>
  <conditionalFormatting sqref="AV70">
    <cfRule type="expression" priority="6893" dxfId="23">
      <formula>AV70="X"</formula>
    </cfRule>
    <cfRule type="expression" priority="6894" dxfId="22">
      <formula>AV70="후보"</formula>
    </cfRule>
  </conditionalFormatting>
  <conditionalFormatting sqref="AC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70">
    <cfRule type="expression" priority="6885" dxfId="3">
      <formula>AND(IF(OR($Q70=1,$Q70=2),1,0),IF($X70&lt;=20,1,0))</formula>
    </cfRule>
    <cfRule type="expression" priority="6886" dxfId="2">
      <formula>AND(IF($Q70=2,1,0),IF($X70&lt;30,1,0))</formula>
    </cfRule>
    <cfRule type="expression" priority="6887" dxfId="1">
      <formula>AND(IF($Q70=3,1,0),IF($X70&lt;30,1,0))</formula>
    </cfRule>
    <cfRule type="expression" priority="6888" dxfId="0">
      <formula>AND(IF($Q70=3,1,IF($Q70=4,1,0)),IF($F70&lt;=85,1,0))</formula>
    </cfRule>
  </conditionalFormatting>
  <conditionalFormatting sqref="X70">
    <cfRule type="expression" priority="6881" dxfId="3">
      <formula>AND(IF(OR($Q70=1,$Q70=2),1,0),IF($X70&lt;=20,1,0))</formula>
    </cfRule>
    <cfRule type="expression" priority="6882" dxfId="2">
      <formula>AND(IF($Q70=2,1,0),IF($X70&lt;30,1,0))</formula>
    </cfRule>
    <cfRule type="expression" priority="6883" dxfId="1">
      <formula>AND(IF($Q70=3,1,0),IF($X70&lt;30,1,0))</formula>
    </cfRule>
    <cfRule type="expression" priority="6884" dxfId="0">
      <formula>AND(IF($Q70=3,1,IF($Q70=4,1,0)),IF($F70&lt;=85,1,0))</formula>
    </cfRule>
  </conditionalFormatting>
  <conditionalFormatting sqref="AI70">
    <cfRule type="expression" priority="6877" dxfId="3">
      <formula>AND(IF(OR($Q70=1,$Q70=2),1,0),IF($X70&lt;=20,1,0))</formula>
    </cfRule>
    <cfRule type="expression" priority="6878" dxfId="2">
      <formula>AND(IF($Q70=2,1,0),IF($X70&lt;30,1,0))</formula>
    </cfRule>
    <cfRule type="expression" priority="6879" dxfId="1">
      <formula>AND(IF($Q70=3,1,0),IF($X70&lt;30,1,0))</formula>
    </cfRule>
    <cfRule type="expression" priority="6880" dxfId="0">
      <formula>AND(IF($Q70=3,1,IF($Q70=4,1,0)),IF($F70&lt;=85,1,0))</formula>
    </cfRule>
  </conditionalFormatting>
  <conditionalFormatting sqref="AV71">
    <cfRule type="expression" priority="6875" dxfId="23">
      <formula>AV71="X"</formula>
    </cfRule>
    <cfRule type="expression" priority="6876" dxfId="22">
      <formula>AV71="후보"</formula>
    </cfRule>
  </conditionalFormatting>
  <conditionalFormatting sqref="AC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71">
    <cfRule type="expression" priority="6867" dxfId="3">
      <formula>AND(IF(OR($Q71=1,$Q71=2),1,0),IF($X71&lt;=20,1,0))</formula>
    </cfRule>
    <cfRule type="expression" priority="6868" dxfId="2">
      <formula>AND(IF($Q71=2,1,0),IF($X71&lt;30,1,0))</formula>
    </cfRule>
    <cfRule type="expression" priority="6869" dxfId="1">
      <formula>AND(IF($Q71=3,1,0),IF($X71&lt;30,1,0))</formula>
    </cfRule>
    <cfRule type="expression" priority="6870" dxfId="0">
      <formula>AND(IF($Q71=3,1,IF($Q71=4,1,0)),IF($F71&lt;=85,1,0))</formula>
    </cfRule>
  </conditionalFormatting>
  <conditionalFormatting sqref="X71">
    <cfRule type="expression" priority="6863" dxfId="3">
      <formula>AND(IF(OR($Q71=1,$Q71=2),1,0),IF($X71&lt;=20,1,0))</formula>
    </cfRule>
    <cfRule type="expression" priority="6864" dxfId="2">
      <formula>AND(IF($Q71=2,1,0),IF($X71&lt;30,1,0))</formula>
    </cfRule>
    <cfRule type="expression" priority="6865" dxfId="1">
      <formula>AND(IF($Q71=3,1,0),IF($X71&lt;30,1,0))</formula>
    </cfRule>
    <cfRule type="expression" priority="6866" dxfId="0">
      <formula>AND(IF($Q71=3,1,IF($Q71=4,1,0)),IF($F71&lt;=85,1,0))</formula>
    </cfRule>
  </conditionalFormatting>
  <conditionalFormatting sqref="AI71">
    <cfRule type="expression" priority="6859" dxfId="3">
      <formula>AND(IF(OR($Q71=1,$Q71=2),1,0),IF($X71&lt;=20,1,0))</formula>
    </cfRule>
    <cfRule type="expression" priority="6860" dxfId="2">
      <formula>AND(IF($Q71=2,1,0),IF($X71&lt;30,1,0))</formula>
    </cfRule>
    <cfRule type="expression" priority="6861" dxfId="1">
      <formula>AND(IF($Q71=3,1,0),IF($X71&lt;30,1,0))</formula>
    </cfRule>
    <cfRule type="expression" priority="6862" dxfId="0">
      <formula>AND(IF($Q71=3,1,IF($Q71=4,1,0)),IF($F71&lt;=85,1,0))</formula>
    </cfRule>
  </conditionalFormatting>
  <conditionalFormatting sqref="AV72">
    <cfRule type="expression" priority="6857" dxfId="23">
      <formula>AV72="X"</formula>
    </cfRule>
    <cfRule type="expression" priority="6858" dxfId="22">
      <formula>AV72="후보"</formula>
    </cfRule>
  </conditionalFormatting>
  <conditionalFormatting sqref="AC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72">
    <cfRule type="expression" priority="6849" dxfId="3">
      <formula>AND(IF(OR($Q72=1,$Q72=2),1,0),IF($X72&lt;=20,1,0))</formula>
    </cfRule>
    <cfRule type="expression" priority="6850" dxfId="2">
      <formula>AND(IF($Q72=2,1,0),IF($X72&lt;30,1,0))</formula>
    </cfRule>
    <cfRule type="expression" priority="6851" dxfId="1">
      <formula>AND(IF($Q72=3,1,0),IF($X72&lt;30,1,0))</formula>
    </cfRule>
    <cfRule type="expression" priority="6852" dxfId="0">
      <formula>AND(IF($Q72=3,1,IF($Q72=4,1,0)),IF($F72&lt;=85,1,0))</formula>
    </cfRule>
  </conditionalFormatting>
  <conditionalFormatting sqref="X72">
    <cfRule type="expression" priority="6845" dxfId="3">
      <formula>AND(IF(OR($Q72=1,$Q72=2),1,0),IF($X72&lt;=20,1,0))</formula>
    </cfRule>
    <cfRule type="expression" priority="6846" dxfId="2">
      <formula>AND(IF($Q72=2,1,0),IF($X72&lt;30,1,0))</formula>
    </cfRule>
    <cfRule type="expression" priority="6847" dxfId="1">
      <formula>AND(IF($Q72=3,1,0),IF($X72&lt;30,1,0))</formula>
    </cfRule>
    <cfRule type="expression" priority="6848" dxfId="0">
      <formula>AND(IF($Q72=3,1,IF($Q72=4,1,0)),IF($F72&lt;=85,1,0))</formula>
    </cfRule>
  </conditionalFormatting>
  <conditionalFormatting sqref="AI72">
    <cfRule type="expression" priority="6841" dxfId="3">
      <formula>AND(IF(OR($Q72=1,$Q72=2),1,0),IF($X72&lt;=20,1,0))</formula>
    </cfRule>
    <cfRule type="expression" priority="6842" dxfId="2">
      <formula>AND(IF($Q72=2,1,0),IF($X72&lt;30,1,0))</formula>
    </cfRule>
    <cfRule type="expression" priority="6843" dxfId="1">
      <formula>AND(IF($Q72=3,1,0),IF($X72&lt;30,1,0))</formula>
    </cfRule>
    <cfRule type="expression" priority="6844" dxfId="0">
      <formula>AND(IF($Q72=3,1,IF($Q72=4,1,0)),IF($F72&lt;=85,1,0))</formula>
    </cfRule>
  </conditionalFormatting>
  <conditionalFormatting sqref="AV73">
    <cfRule type="expression" priority="6839" dxfId="23">
      <formula>AV73="X"</formula>
    </cfRule>
    <cfRule type="expression" priority="6840" dxfId="22">
      <formula>AV73="후보"</formula>
    </cfRule>
  </conditionalFormatting>
  <conditionalFormatting sqref="AC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73">
    <cfRule type="expression" priority="6831" dxfId="3">
      <formula>AND(IF(OR($Q73=1,$Q73=2),1,0),IF($X73&lt;=20,1,0))</formula>
    </cfRule>
    <cfRule type="expression" priority="6832" dxfId="2">
      <formula>AND(IF($Q73=2,1,0),IF($X73&lt;30,1,0))</formula>
    </cfRule>
    <cfRule type="expression" priority="6833" dxfId="1">
      <formula>AND(IF($Q73=3,1,0),IF($X73&lt;30,1,0))</formula>
    </cfRule>
    <cfRule type="expression" priority="6834" dxfId="0">
      <formula>AND(IF($Q73=3,1,IF($Q73=4,1,0)),IF($F73&lt;=85,1,0))</formula>
    </cfRule>
  </conditionalFormatting>
  <conditionalFormatting sqref="X73">
    <cfRule type="expression" priority="6827" dxfId="3">
      <formula>AND(IF(OR($Q73=1,$Q73=2),1,0),IF($X73&lt;=20,1,0))</formula>
    </cfRule>
    <cfRule type="expression" priority="6828" dxfId="2">
      <formula>AND(IF($Q73=2,1,0),IF($X73&lt;30,1,0))</formula>
    </cfRule>
    <cfRule type="expression" priority="6829" dxfId="1">
      <formula>AND(IF($Q73=3,1,0),IF($X73&lt;30,1,0))</formula>
    </cfRule>
    <cfRule type="expression" priority="6830" dxfId="0">
      <formula>AND(IF($Q73=3,1,IF($Q73=4,1,0)),IF($F73&lt;=85,1,0))</formula>
    </cfRule>
  </conditionalFormatting>
  <conditionalFormatting sqref="AI73">
    <cfRule type="expression" priority="6823" dxfId="3">
      <formula>AND(IF(OR($Q73=1,$Q73=2),1,0),IF($X73&lt;=20,1,0))</formula>
    </cfRule>
    <cfRule type="expression" priority="6824" dxfId="2">
      <formula>AND(IF($Q73=2,1,0),IF($X73&lt;30,1,0))</formula>
    </cfRule>
    <cfRule type="expression" priority="6825" dxfId="1">
      <formula>AND(IF($Q73=3,1,0),IF($X73&lt;30,1,0))</formula>
    </cfRule>
    <cfRule type="expression" priority="6826" dxfId="0">
      <formula>AND(IF($Q73=3,1,IF($Q73=4,1,0)),IF($F73&lt;=85,1,0))</formula>
    </cfRule>
  </conditionalFormatting>
  <conditionalFormatting sqref="AV74">
    <cfRule type="expression" priority="6821" dxfId="23">
      <formula>AV74="X"</formula>
    </cfRule>
    <cfRule type="expression" priority="6822" dxfId="22">
      <formula>AV74="후보"</formula>
    </cfRule>
  </conditionalFormatting>
  <conditionalFormatting sqref="AC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74">
    <cfRule type="expression" priority="6813" dxfId="3">
      <formula>AND(IF(OR($Q74=1,$Q74=2),1,0),IF($X74&lt;=20,1,0))</formula>
    </cfRule>
    <cfRule type="expression" priority="6814" dxfId="2">
      <formula>AND(IF($Q74=2,1,0),IF($X74&lt;30,1,0))</formula>
    </cfRule>
    <cfRule type="expression" priority="6815" dxfId="1">
      <formula>AND(IF($Q74=3,1,0),IF($X74&lt;30,1,0))</formula>
    </cfRule>
    <cfRule type="expression" priority="6816" dxfId="0">
      <formula>AND(IF($Q74=3,1,IF($Q74=4,1,0)),IF($F74&lt;=85,1,0))</formula>
    </cfRule>
  </conditionalFormatting>
  <conditionalFormatting sqref="X74">
    <cfRule type="expression" priority="6809" dxfId="3">
      <formula>AND(IF(OR($Q74=1,$Q74=2),1,0),IF($X74&lt;=20,1,0))</formula>
    </cfRule>
    <cfRule type="expression" priority="6810" dxfId="2">
      <formula>AND(IF($Q74=2,1,0),IF($X74&lt;30,1,0))</formula>
    </cfRule>
    <cfRule type="expression" priority="6811" dxfId="1">
      <formula>AND(IF($Q74=3,1,0),IF($X74&lt;30,1,0))</formula>
    </cfRule>
    <cfRule type="expression" priority="6812" dxfId="0">
      <formula>AND(IF($Q74=3,1,IF($Q74=4,1,0)),IF($F74&lt;=85,1,0))</formula>
    </cfRule>
  </conditionalFormatting>
  <conditionalFormatting sqref="AI74">
    <cfRule type="expression" priority="6805" dxfId="3">
      <formula>AND(IF(OR($Q74=1,$Q74=2),1,0),IF($X74&lt;=20,1,0))</formula>
    </cfRule>
    <cfRule type="expression" priority="6806" dxfId="2">
      <formula>AND(IF($Q74=2,1,0),IF($X74&lt;30,1,0))</formula>
    </cfRule>
    <cfRule type="expression" priority="6807" dxfId="1">
      <formula>AND(IF($Q74=3,1,0),IF($X74&lt;30,1,0))</formula>
    </cfRule>
    <cfRule type="expression" priority="6808" dxfId="0">
      <formula>AND(IF($Q74=3,1,IF($Q74=4,1,0)),IF($F74&lt;=85,1,0))</formula>
    </cfRule>
  </conditionalFormatting>
  <conditionalFormatting sqref="AV75">
    <cfRule type="expression" priority="6803" dxfId="23">
      <formula>AV75="X"</formula>
    </cfRule>
    <cfRule type="expression" priority="6804" dxfId="22">
      <formula>AV75="후보"</formula>
    </cfRule>
  </conditionalFormatting>
  <conditionalFormatting sqref="AC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75">
    <cfRule type="expression" priority="6795" dxfId="3">
      <formula>AND(IF(OR($Q75=1,$Q75=2),1,0),IF($X75&lt;=20,1,0))</formula>
    </cfRule>
    <cfRule type="expression" priority="6796" dxfId="2">
      <formula>AND(IF($Q75=2,1,0),IF($X75&lt;30,1,0))</formula>
    </cfRule>
    <cfRule type="expression" priority="6797" dxfId="1">
      <formula>AND(IF($Q75=3,1,0),IF($X75&lt;30,1,0))</formula>
    </cfRule>
    <cfRule type="expression" priority="6798" dxfId="0">
      <formula>AND(IF($Q75=3,1,IF($Q75=4,1,0)),IF($F75&lt;=85,1,0))</formula>
    </cfRule>
  </conditionalFormatting>
  <conditionalFormatting sqref="X75">
    <cfRule type="expression" priority="6791" dxfId="3">
      <formula>AND(IF(OR($Q75=1,$Q75=2),1,0),IF($X75&lt;=20,1,0))</formula>
    </cfRule>
    <cfRule type="expression" priority="6792" dxfId="2">
      <formula>AND(IF($Q75=2,1,0),IF($X75&lt;30,1,0))</formula>
    </cfRule>
    <cfRule type="expression" priority="6793" dxfId="1">
      <formula>AND(IF($Q75=3,1,0),IF($X75&lt;30,1,0))</formula>
    </cfRule>
    <cfRule type="expression" priority="6794" dxfId="0">
      <formula>AND(IF($Q75=3,1,IF($Q75=4,1,0)),IF($F75&lt;=85,1,0))</formula>
    </cfRule>
  </conditionalFormatting>
  <conditionalFormatting sqref="AI75">
    <cfRule type="expression" priority="6787" dxfId="3">
      <formula>AND(IF(OR($Q75=1,$Q75=2),1,0),IF($X75&lt;=20,1,0))</formula>
    </cfRule>
    <cfRule type="expression" priority="6788" dxfId="2">
      <formula>AND(IF($Q75=2,1,0),IF($X75&lt;30,1,0))</formula>
    </cfRule>
    <cfRule type="expression" priority="6789" dxfId="1">
      <formula>AND(IF($Q75=3,1,0),IF($X75&lt;30,1,0))</formula>
    </cfRule>
    <cfRule type="expression" priority="6790" dxfId="0">
      <formula>AND(IF($Q75=3,1,IF($Q75=4,1,0)),IF($F75&lt;=85,1,0))</formula>
    </cfRule>
  </conditionalFormatting>
  <conditionalFormatting sqref="AV76">
    <cfRule type="expression" priority="6785" dxfId="23">
      <formula>AV76="X"</formula>
    </cfRule>
    <cfRule type="expression" priority="6786" dxfId="22">
      <formula>AV76="후보"</formula>
    </cfRule>
  </conditionalFormatting>
  <conditionalFormatting sqref="AC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76">
    <cfRule type="expression" priority="6777" dxfId="3">
      <formula>AND(IF(OR($Q76=1,$Q76=2),1,0),IF($X76&lt;=20,1,0))</formula>
    </cfRule>
    <cfRule type="expression" priority="6778" dxfId="2">
      <formula>AND(IF($Q76=2,1,0),IF($X76&lt;30,1,0))</formula>
    </cfRule>
    <cfRule type="expression" priority="6779" dxfId="1">
      <formula>AND(IF($Q76=3,1,0),IF($X76&lt;30,1,0))</formula>
    </cfRule>
    <cfRule type="expression" priority="6780" dxfId="0">
      <formula>AND(IF($Q76=3,1,IF($Q76=4,1,0)),IF($F76&lt;=85,1,0))</formula>
    </cfRule>
  </conditionalFormatting>
  <conditionalFormatting sqref="X76">
    <cfRule type="expression" priority="6773" dxfId="3">
      <formula>AND(IF(OR($Q76=1,$Q76=2),1,0),IF($X76&lt;=20,1,0))</formula>
    </cfRule>
    <cfRule type="expression" priority="6774" dxfId="2">
      <formula>AND(IF($Q76=2,1,0),IF($X76&lt;30,1,0))</formula>
    </cfRule>
    <cfRule type="expression" priority="6775" dxfId="1">
      <formula>AND(IF($Q76=3,1,0),IF($X76&lt;30,1,0))</formula>
    </cfRule>
    <cfRule type="expression" priority="6776" dxfId="0">
      <formula>AND(IF($Q76=3,1,IF($Q76=4,1,0)),IF($F76&lt;=85,1,0))</formula>
    </cfRule>
  </conditionalFormatting>
  <conditionalFormatting sqref="AI76">
    <cfRule type="expression" priority="6769" dxfId="3">
      <formula>AND(IF(OR($Q76=1,$Q76=2),1,0),IF($X76&lt;=20,1,0))</formula>
    </cfRule>
    <cfRule type="expression" priority="6770" dxfId="2">
      <formula>AND(IF($Q76=2,1,0),IF($X76&lt;30,1,0))</formula>
    </cfRule>
    <cfRule type="expression" priority="6771" dxfId="1">
      <formula>AND(IF($Q76=3,1,0),IF($X76&lt;30,1,0))</formula>
    </cfRule>
    <cfRule type="expression" priority="6772" dxfId="0">
      <formula>AND(IF($Q76=3,1,IF($Q76=4,1,0)),IF($F76&lt;=85,1,0))</formula>
    </cfRule>
  </conditionalFormatting>
  <conditionalFormatting sqref="AV77">
    <cfRule type="expression" priority="6767" dxfId="23">
      <formula>AV77="X"</formula>
    </cfRule>
    <cfRule type="expression" priority="6768" dxfId="22">
      <formula>AV77="후보"</formula>
    </cfRule>
  </conditionalFormatting>
  <conditionalFormatting sqref="AC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77">
    <cfRule type="expression" priority="6759" dxfId="3">
      <formula>AND(IF(OR($Q77=1,$Q77=2),1,0),IF($X77&lt;=20,1,0))</formula>
    </cfRule>
    <cfRule type="expression" priority="6760" dxfId="2">
      <formula>AND(IF($Q77=2,1,0),IF($X77&lt;30,1,0))</formula>
    </cfRule>
    <cfRule type="expression" priority="6761" dxfId="1">
      <formula>AND(IF($Q77=3,1,0),IF($X77&lt;30,1,0))</formula>
    </cfRule>
    <cfRule type="expression" priority="6762" dxfId="0">
      <formula>AND(IF($Q77=3,1,IF($Q77=4,1,0)),IF($F77&lt;=85,1,0))</formula>
    </cfRule>
  </conditionalFormatting>
  <conditionalFormatting sqref="X77">
    <cfRule type="expression" priority="6755" dxfId="3">
      <formula>AND(IF(OR($Q77=1,$Q77=2),1,0),IF($X77&lt;=20,1,0))</formula>
    </cfRule>
    <cfRule type="expression" priority="6756" dxfId="2">
      <formula>AND(IF($Q77=2,1,0),IF($X77&lt;30,1,0))</formula>
    </cfRule>
    <cfRule type="expression" priority="6757" dxfId="1">
      <formula>AND(IF($Q77=3,1,0),IF($X77&lt;30,1,0))</formula>
    </cfRule>
    <cfRule type="expression" priority="6758" dxfId="0">
      <formula>AND(IF($Q77=3,1,IF($Q77=4,1,0)),IF($F77&lt;=85,1,0))</formula>
    </cfRule>
  </conditionalFormatting>
  <conditionalFormatting sqref="AI77">
    <cfRule type="expression" priority="6751" dxfId="3">
      <formula>AND(IF(OR($Q77=1,$Q77=2),1,0),IF($X77&lt;=20,1,0))</formula>
    </cfRule>
    <cfRule type="expression" priority="6752" dxfId="2">
      <formula>AND(IF($Q77=2,1,0),IF($X77&lt;30,1,0))</formula>
    </cfRule>
    <cfRule type="expression" priority="6753" dxfId="1">
      <formula>AND(IF($Q77=3,1,0),IF($X77&lt;30,1,0))</formula>
    </cfRule>
    <cfRule type="expression" priority="6754" dxfId="0">
      <formula>AND(IF($Q77=3,1,IF($Q77=4,1,0)),IF($F77&lt;=85,1,0))</formula>
    </cfRule>
  </conditionalFormatting>
  <conditionalFormatting sqref="AV78">
    <cfRule type="expression" priority="6749" dxfId="23">
      <formula>AV78="X"</formula>
    </cfRule>
    <cfRule type="expression" priority="6750" dxfId="22">
      <formula>AV78="후보"</formula>
    </cfRule>
  </conditionalFormatting>
  <conditionalFormatting sqref="AC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78">
    <cfRule type="expression" priority="6741" dxfId="3">
      <formula>AND(IF(OR($Q78=1,$Q78=2),1,0),IF($X78&lt;=20,1,0))</formula>
    </cfRule>
    <cfRule type="expression" priority="6742" dxfId="2">
      <formula>AND(IF($Q78=2,1,0),IF($X78&lt;30,1,0))</formula>
    </cfRule>
    <cfRule type="expression" priority="6743" dxfId="1">
      <formula>AND(IF($Q78=3,1,0),IF($X78&lt;30,1,0))</formula>
    </cfRule>
    <cfRule type="expression" priority="6744" dxfId="0">
      <formula>AND(IF($Q78=3,1,IF($Q78=4,1,0)),IF($F78&lt;=85,1,0))</formula>
    </cfRule>
  </conditionalFormatting>
  <conditionalFormatting sqref="X78">
    <cfRule type="expression" priority="6737" dxfId="3">
      <formula>AND(IF(OR($Q78=1,$Q78=2),1,0),IF($X78&lt;=20,1,0))</formula>
    </cfRule>
    <cfRule type="expression" priority="6738" dxfId="2">
      <formula>AND(IF($Q78=2,1,0),IF($X78&lt;30,1,0))</formula>
    </cfRule>
    <cfRule type="expression" priority="6739" dxfId="1">
      <formula>AND(IF($Q78=3,1,0),IF($X78&lt;30,1,0))</formula>
    </cfRule>
    <cfRule type="expression" priority="6740" dxfId="0">
      <formula>AND(IF($Q78=3,1,IF($Q78=4,1,0)),IF($F78&lt;=85,1,0))</formula>
    </cfRule>
  </conditionalFormatting>
  <conditionalFormatting sqref="AI78">
    <cfRule type="expression" priority="6733" dxfId="3">
      <formula>AND(IF(OR($Q78=1,$Q78=2),1,0),IF($X78&lt;=20,1,0))</formula>
    </cfRule>
    <cfRule type="expression" priority="6734" dxfId="2">
      <formula>AND(IF($Q78=2,1,0),IF($X78&lt;30,1,0))</formula>
    </cfRule>
    <cfRule type="expression" priority="6735" dxfId="1">
      <formula>AND(IF($Q78=3,1,0),IF($X78&lt;30,1,0))</formula>
    </cfRule>
    <cfRule type="expression" priority="6736" dxfId="0">
      <formula>AND(IF($Q78=3,1,IF($Q78=4,1,0)),IF($F78&lt;=85,1,0))</formula>
    </cfRule>
  </conditionalFormatting>
  <conditionalFormatting sqref="AV79">
    <cfRule type="expression" priority="6731" dxfId="23">
      <formula>AV79="X"</formula>
    </cfRule>
    <cfRule type="expression" priority="6732" dxfId="22">
      <formula>AV79="후보"</formula>
    </cfRule>
  </conditionalFormatting>
  <conditionalFormatting sqref="AC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79">
    <cfRule type="expression" priority="6723" dxfId="3">
      <formula>AND(IF(OR($Q79=1,$Q79=2),1,0),IF($X79&lt;=20,1,0))</formula>
    </cfRule>
    <cfRule type="expression" priority="6724" dxfId="2">
      <formula>AND(IF($Q79=2,1,0),IF($X79&lt;30,1,0))</formula>
    </cfRule>
    <cfRule type="expression" priority="6725" dxfId="1">
      <formula>AND(IF($Q79=3,1,0),IF($X79&lt;30,1,0))</formula>
    </cfRule>
    <cfRule type="expression" priority="6726" dxfId="0">
      <formula>AND(IF($Q79=3,1,IF($Q79=4,1,0)),IF($F79&lt;=85,1,0))</formula>
    </cfRule>
  </conditionalFormatting>
  <conditionalFormatting sqref="X79">
    <cfRule type="expression" priority="6719" dxfId="3">
      <formula>AND(IF(OR($Q79=1,$Q79=2),1,0),IF($X79&lt;=20,1,0))</formula>
    </cfRule>
    <cfRule type="expression" priority="6720" dxfId="2">
      <formula>AND(IF($Q79=2,1,0),IF($X79&lt;30,1,0))</formula>
    </cfRule>
    <cfRule type="expression" priority="6721" dxfId="1">
      <formula>AND(IF($Q79=3,1,0),IF($X79&lt;30,1,0))</formula>
    </cfRule>
    <cfRule type="expression" priority="6722" dxfId="0">
      <formula>AND(IF($Q79=3,1,IF($Q79=4,1,0)),IF($F79&lt;=85,1,0))</formula>
    </cfRule>
  </conditionalFormatting>
  <conditionalFormatting sqref="AI79">
    <cfRule type="expression" priority="6715" dxfId="3">
      <formula>AND(IF(OR($Q79=1,$Q79=2),1,0),IF($X79&lt;=20,1,0))</formula>
    </cfRule>
    <cfRule type="expression" priority="6716" dxfId="2">
      <formula>AND(IF($Q79=2,1,0),IF($X79&lt;30,1,0))</formula>
    </cfRule>
    <cfRule type="expression" priority="6717" dxfId="1">
      <formula>AND(IF($Q79=3,1,0),IF($X79&lt;30,1,0))</formula>
    </cfRule>
    <cfRule type="expression" priority="6718" dxfId="0">
      <formula>AND(IF($Q79=3,1,IF($Q79=4,1,0)),IF($F79&lt;=85,1,0))</formula>
    </cfRule>
  </conditionalFormatting>
  <conditionalFormatting sqref="AV80">
    <cfRule type="expression" priority="6713" dxfId="23">
      <formula>AV80="X"</formula>
    </cfRule>
    <cfRule type="expression" priority="6714" dxfId="22">
      <formula>AV80="후보"</formula>
    </cfRule>
  </conditionalFormatting>
  <conditionalFormatting sqref="AC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80">
    <cfRule type="expression" priority="6705" dxfId="3">
      <formula>AND(IF(OR($Q80=1,$Q80=2),1,0),IF($X80&lt;=20,1,0))</formula>
    </cfRule>
    <cfRule type="expression" priority="6706" dxfId="2">
      <formula>AND(IF($Q80=2,1,0),IF($X80&lt;30,1,0))</formula>
    </cfRule>
    <cfRule type="expression" priority="6707" dxfId="1">
      <formula>AND(IF($Q80=3,1,0),IF($X80&lt;30,1,0))</formula>
    </cfRule>
    <cfRule type="expression" priority="6708" dxfId="0">
      <formula>AND(IF($Q80=3,1,IF($Q80=4,1,0)),IF($F80&lt;=85,1,0))</formula>
    </cfRule>
  </conditionalFormatting>
  <conditionalFormatting sqref="X80">
    <cfRule type="expression" priority="6701" dxfId="3">
      <formula>AND(IF(OR($Q80=1,$Q80=2),1,0),IF($X80&lt;=20,1,0))</formula>
    </cfRule>
    <cfRule type="expression" priority="6702" dxfId="2">
      <formula>AND(IF($Q80=2,1,0),IF($X80&lt;30,1,0))</formula>
    </cfRule>
    <cfRule type="expression" priority="6703" dxfId="1">
      <formula>AND(IF($Q80=3,1,0),IF($X80&lt;30,1,0))</formula>
    </cfRule>
    <cfRule type="expression" priority="6704" dxfId="0">
      <formula>AND(IF($Q80=3,1,IF($Q80=4,1,0)),IF($F80&lt;=85,1,0))</formula>
    </cfRule>
  </conditionalFormatting>
  <conditionalFormatting sqref="AI80">
    <cfRule type="expression" priority="6697" dxfId="3">
      <formula>AND(IF(OR($Q80=1,$Q80=2),1,0),IF($X80&lt;=20,1,0))</formula>
    </cfRule>
    <cfRule type="expression" priority="6698" dxfId="2">
      <formula>AND(IF($Q80=2,1,0),IF($X80&lt;30,1,0))</formula>
    </cfRule>
    <cfRule type="expression" priority="6699" dxfId="1">
      <formula>AND(IF($Q80=3,1,0),IF($X80&lt;30,1,0))</formula>
    </cfRule>
    <cfRule type="expression" priority="6700" dxfId="0">
      <formula>AND(IF($Q80=3,1,IF($Q80=4,1,0)),IF($F80&lt;=85,1,0))</formula>
    </cfRule>
  </conditionalFormatting>
  <conditionalFormatting sqref="AV81">
    <cfRule type="expression" priority="6695" dxfId="23">
      <formula>AV81="X"</formula>
    </cfRule>
    <cfRule type="expression" priority="6696" dxfId="22">
      <formula>AV81="후보"</formula>
    </cfRule>
  </conditionalFormatting>
  <conditionalFormatting sqref="AC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81">
    <cfRule type="expression" priority="6687" dxfId="3">
      <formula>AND(IF(OR($Q81=1,$Q81=2),1,0),IF($X81&lt;=20,1,0))</formula>
    </cfRule>
    <cfRule type="expression" priority="6688" dxfId="2">
      <formula>AND(IF($Q81=2,1,0),IF($X81&lt;30,1,0))</formula>
    </cfRule>
    <cfRule type="expression" priority="6689" dxfId="1">
      <formula>AND(IF($Q81=3,1,0),IF($X81&lt;30,1,0))</formula>
    </cfRule>
    <cfRule type="expression" priority="6690" dxfId="0">
      <formula>AND(IF($Q81=3,1,IF($Q81=4,1,0)),IF($F81&lt;=85,1,0))</formula>
    </cfRule>
  </conditionalFormatting>
  <conditionalFormatting sqref="X81">
    <cfRule type="expression" priority="6683" dxfId="3">
      <formula>AND(IF(OR($Q81=1,$Q81=2),1,0),IF($X81&lt;=20,1,0))</formula>
    </cfRule>
    <cfRule type="expression" priority="6684" dxfId="2">
      <formula>AND(IF($Q81=2,1,0),IF($X81&lt;30,1,0))</formula>
    </cfRule>
    <cfRule type="expression" priority="6685" dxfId="1">
      <formula>AND(IF($Q81=3,1,0),IF($X81&lt;30,1,0))</formula>
    </cfRule>
    <cfRule type="expression" priority="6686" dxfId="0">
      <formula>AND(IF($Q81=3,1,IF($Q81=4,1,0)),IF($F81&lt;=85,1,0))</formula>
    </cfRule>
  </conditionalFormatting>
  <conditionalFormatting sqref="AI81">
    <cfRule type="expression" priority="6679" dxfId="3">
      <formula>AND(IF(OR($Q81=1,$Q81=2),1,0),IF($X81&lt;=20,1,0))</formula>
    </cfRule>
    <cfRule type="expression" priority="6680" dxfId="2">
      <formula>AND(IF($Q81=2,1,0),IF($X81&lt;30,1,0))</formula>
    </cfRule>
    <cfRule type="expression" priority="6681" dxfId="1">
      <formula>AND(IF($Q81=3,1,0),IF($X81&lt;30,1,0))</formula>
    </cfRule>
    <cfRule type="expression" priority="6682" dxfId="0">
      <formula>AND(IF($Q81=3,1,IF($Q81=4,1,0)),IF($F81&lt;=85,1,0))</formula>
    </cfRule>
  </conditionalFormatting>
  <conditionalFormatting sqref="AV82">
    <cfRule type="expression" priority="6677" dxfId="23">
      <formula>AV82="X"</formula>
    </cfRule>
    <cfRule type="expression" priority="6678" dxfId="22">
      <formula>AV82="후보"</formula>
    </cfRule>
  </conditionalFormatting>
  <conditionalFormatting sqref="AC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82">
    <cfRule type="expression" priority="6669" dxfId="3">
      <formula>AND(IF(OR($Q82=1,$Q82=2),1,0),IF($X82&lt;=20,1,0))</formula>
    </cfRule>
    <cfRule type="expression" priority="6670" dxfId="2">
      <formula>AND(IF($Q82=2,1,0),IF($X82&lt;30,1,0))</formula>
    </cfRule>
    <cfRule type="expression" priority="6671" dxfId="1">
      <formula>AND(IF($Q82=3,1,0),IF($X82&lt;30,1,0))</formula>
    </cfRule>
    <cfRule type="expression" priority="6672" dxfId="0">
      <formula>AND(IF($Q82=3,1,IF($Q82=4,1,0)),IF($F82&lt;=85,1,0))</formula>
    </cfRule>
  </conditionalFormatting>
  <conditionalFormatting sqref="X82">
    <cfRule type="expression" priority="6665" dxfId="3">
      <formula>AND(IF(OR($Q82=1,$Q82=2),1,0),IF($X82&lt;=20,1,0))</formula>
    </cfRule>
    <cfRule type="expression" priority="6666" dxfId="2">
      <formula>AND(IF($Q82=2,1,0),IF($X82&lt;30,1,0))</formula>
    </cfRule>
    <cfRule type="expression" priority="6667" dxfId="1">
      <formula>AND(IF($Q82=3,1,0),IF($X82&lt;30,1,0))</formula>
    </cfRule>
    <cfRule type="expression" priority="6668" dxfId="0">
      <formula>AND(IF($Q82=3,1,IF($Q82=4,1,0)),IF($F82&lt;=85,1,0))</formula>
    </cfRule>
  </conditionalFormatting>
  <conditionalFormatting sqref="AI82">
    <cfRule type="expression" priority="6661" dxfId="3">
      <formula>AND(IF(OR($Q82=1,$Q82=2),1,0),IF($X82&lt;=20,1,0))</formula>
    </cfRule>
    <cfRule type="expression" priority="6662" dxfId="2">
      <formula>AND(IF($Q82=2,1,0),IF($X82&lt;30,1,0))</formula>
    </cfRule>
    <cfRule type="expression" priority="6663" dxfId="1">
      <formula>AND(IF($Q82=3,1,0),IF($X82&lt;30,1,0))</formula>
    </cfRule>
    <cfRule type="expression" priority="6664" dxfId="0">
      <formula>AND(IF($Q82=3,1,IF($Q82=4,1,0)),IF($F82&lt;=85,1,0))</formula>
    </cfRule>
  </conditionalFormatting>
  <conditionalFormatting sqref="AV83">
    <cfRule type="expression" priority="6659" dxfId="23">
      <formula>AV83="X"</formula>
    </cfRule>
    <cfRule type="expression" priority="6660" dxfId="22">
      <formula>AV83="후보"</formula>
    </cfRule>
  </conditionalFormatting>
  <conditionalFormatting sqref="AC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83">
    <cfRule type="expression" priority="6651" dxfId="3">
      <formula>AND(IF(OR($Q83=1,$Q83=2),1,0),IF($X83&lt;=20,1,0))</formula>
    </cfRule>
    <cfRule type="expression" priority="6652" dxfId="2">
      <formula>AND(IF($Q83=2,1,0),IF($X83&lt;30,1,0))</formula>
    </cfRule>
    <cfRule type="expression" priority="6653" dxfId="1">
      <formula>AND(IF($Q83=3,1,0),IF($X83&lt;30,1,0))</formula>
    </cfRule>
    <cfRule type="expression" priority="6654" dxfId="0">
      <formula>AND(IF($Q83=3,1,IF($Q83=4,1,0)),IF($F83&lt;=85,1,0))</formula>
    </cfRule>
  </conditionalFormatting>
  <conditionalFormatting sqref="X83">
    <cfRule type="expression" priority="6647" dxfId="3">
      <formula>AND(IF(OR($Q83=1,$Q83=2),1,0),IF($X83&lt;=20,1,0))</formula>
    </cfRule>
    <cfRule type="expression" priority="6648" dxfId="2">
      <formula>AND(IF($Q83=2,1,0),IF($X83&lt;30,1,0))</formula>
    </cfRule>
    <cfRule type="expression" priority="6649" dxfId="1">
      <formula>AND(IF($Q83=3,1,0),IF($X83&lt;30,1,0))</formula>
    </cfRule>
    <cfRule type="expression" priority="6650" dxfId="0">
      <formula>AND(IF($Q83=3,1,IF($Q83=4,1,0)),IF($F83&lt;=85,1,0))</formula>
    </cfRule>
  </conditionalFormatting>
  <conditionalFormatting sqref="AI83">
    <cfRule type="expression" priority="6643" dxfId="3">
      <formula>AND(IF(OR($Q83=1,$Q83=2),1,0),IF($X83&lt;=20,1,0))</formula>
    </cfRule>
    <cfRule type="expression" priority="6644" dxfId="2">
      <formula>AND(IF($Q83=2,1,0),IF($X83&lt;30,1,0))</formula>
    </cfRule>
    <cfRule type="expression" priority="6645" dxfId="1">
      <formula>AND(IF($Q83=3,1,0),IF($X83&lt;30,1,0))</formula>
    </cfRule>
    <cfRule type="expression" priority="6646" dxfId="0">
      <formula>AND(IF($Q83=3,1,IF($Q83=4,1,0)),IF($F83&lt;=85,1,0))</formula>
    </cfRule>
  </conditionalFormatting>
  <conditionalFormatting sqref="AV84">
    <cfRule type="expression" priority="6641" dxfId="23">
      <formula>AV84="X"</formula>
    </cfRule>
    <cfRule type="expression" priority="6642" dxfId="22">
      <formula>AV84="후보"</formula>
    </cfRule>
  </conditionalFormatting>
  <conditionalFormatting sqref="AC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84">
    <cfRule type="expression" priority="6633" dxfId="3">
      <formula>AND(IF(OR($Q84=1,$Q84=2),1,0),IF($X84&lt;=20,1,0))</formula>
    </cfRule>
    <cfRule type="expression" priority="6634" dxfId="2">
      <formula>AND(IF($Q84=2,1,0),IF($X84&lt;30,1,0))</formula>
    </cfRule>
    <cfRule type="expression" priority="6635" dxfId="1">
      <formula>AND(IF($Q84=3,1,0),IF($X84&lt;30,1,0))</formula>
    </cfRule>
    <cfRule type="expression" priority="6636" dxfId="0">
      <formula>AND(IF($Q84=3,1,IF($Q84=4,1,0)),IF($F84&lt;=85,1,0))</formula>
    </cfRule>
  </conditionalFormatting>
  <conditionalFormatting sqref="X84">
    <cfRule type="expression" priority="6629" dxfId="3">
      <formula>AND(IF(OR($Q84=1,$Q84=2),1,0),IF($X84&lt;=20,1,0))</formula>
    </cfRule>
    <cfRule type="expression" priority="6630" dxfId="2">
      <formula>AND(IF($Q84=2,1,0),IF($X84&lt;30,1,0))</formula>
    </cfRule>
    <cfRule type="expression" priority="6631" dxfId="1">
      <formula>AND(IF($Q84=3,1,0),IF($X84&lt;30,1,0))</formula>
    </cfRule>
    <cfRule type="expression" priority="6632" dxfId="0">
      <formula>AND(IF($Q84=3,1,IF($Q84=4,1,0)),IF($F84&lt;=85,1,0))</formula>
    </cfRule>
  </conditionalFormatting>
  <conditionalFormatting sqref="AI84">
    <cfRule type="expression" priority="6625" dxfId="3">
      <formula>AND(IF(OR($Q84=1,$Q84=2),1,0),IF($X84&lt;=20,1,0))</formula>
    </cfRule>
    <cfRule type="expression" priority="6626" dxfId="2">
      <formula>AND(IF($Q84=2,1,0),IF($X84&lt;30,1,0))</formula>
    </cfRule>
    <cfRule type="expression" priority="6627" dxfId="1">
      <formula>AND(IF($Q84=3,1,0),IF($X84&lt;30,1,0))</formula>
    </cfRule>
    <cfRule type="expression" priority="6628" dxfId="0">
      <formula>AND(IF($Q84=3,1,IF($Q84=4,1,0)),IF($F84&lt;=85,1,0))</formula>
    </cfRule>
  </conditionalFormatting>
  <conditionalFormatting sqref="AV85">
    <cfRule type="expression" priority="6623" dxfId="23">
      <formula>AV85="X"</formula>
    </cfRule>
    <cfRule type="expression" priority="6624" dxfId="22">
      <formula>AV85="후보"</formula>
    </cfRule>
  </conditionalFormatting>
  <conditionalFormatting sqref="AC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85">
    <cfRule type="expression" priority="6615" dxfId="3">
      <formula>AND(IF(OR($Q85=1,$Q85=2),1,0),IF($X85&lt;=20,1,0))</formula>
    </cfRule>
    <cfRule type="expression" priority="6616" dxfId="2">
      <formula>AND(IF($Q85=2,1,0),IF($X85&lt;30,1,0))</formula>
    </cfRule>
    <cfRule type="expression" priority="6617" dxfId="1">
      <formula>AND(IF($Q85=3,1,0),IF($X85&lt;30,1,0))</formula>
    </cfRule>
    <cfRule type="expression" priority="6618" dxfId="0">
      <formula>AND(IF($Q85=3,1,IF($Q85=4,1,0)),IF($F85&lt;=85,1,0))</formula>
    </cfRule>
  </conditionalFormatting>
  <conditionalFormatting sqref="X85">
    <cfRule type="expression" priority="6611" dxfId="3">
      <formula>AND(IF(OR($Q85=1,$Q85=2),1,0),IF($X85&lt;=20,1,0))</formula>
    </cfRule>
    <cfRule type="expression" priority="6612" dxfId="2">
      <formula>AND(IF($Q85=2,1,0),IF($X85&lt;30,1,0))</formula>
    </cfRule>
    <cfRule type="expression" priority="6613" dxfId="1">
      <formula>AND(IF($Q85=3,1,0),IF($X85&lt;30,1,0))</formula>
    </cfRule>
    <cfRule type="expression" priority="6614" dxfId="0">
      <formula>AND(IF($Q85=3,1,IF($Q85=4,1,0)),IF($F85&lt;=85,1,0))</formula>
    </cfRule>
  </conditionalFormatting>
  <conditionalFormatting sqref="AI85">
    <cfRule type="expression" priority="6607" dxfId="3">
      <formula>AND(IF(OR($Q85=1,$Q85=2),1,0),IF($X85&lt;=20,1,0))</formula>
    </cfRule>
    <cfRule type="expression" priority="6608" dxfId="2">
      <formula>AND(IF($Q85=2,1,0),IF($X85&lt;30,1,0))</formula>
    </cfRule>
    <cfRule type="expression" priority="6609" dxfId="1">
      <formula>AND(IF($Q85=3,1,0),IF($X85&lt;30,1,0))</formula>
    </cfRule>
    <cfRule type="expression" priority="6610" dxfId="0">
      <formula>AND(IF($Q85=3,1,IF($Q85=4,1,0)),IF($F85&lt;=85,1,0))</formula>
    </cfRule>
  </conditionalFormatting>
  <conditionalFormatting sqref="AV86">
    <cfRule type="expression" priority="6605" dxfId="23">
      <formula>AV86="X"</formula>
    </cfRule>
    <cfRule type="expression" priority="6606" dxfId="22">
      <formula>AV86="후보"</formula>
    </cfRule>
  </conditionalFormatting>
  <conditionalFormatting sqref="AC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86">
    <cfRule type="expression" priority="6597" dxfId="3">
      <formula>AND(IF(OR($Q86=1,$Q86=2),1,0),IF($X86&lt;=20,1,0))</formula>
    </cfRule>
    <cfRule type="expression" priority="6598" dxfId="2">
      <formula>AND(IF($Q86=2,1,0),IF($X86&lt;30,1,0))</formula>
    </cfRule>
    <cfRule type="expression" priority="6599" dxfId="1">
      <formula>AND(IF($Q86=3,1,0),IF($X86&lt;30,1,0))</formula>
    </cfRule>
    <cfRule type="expression" priority="6600" dxfId="0">
      <formula>AND(IF($Q86=3,1,IF($Q86=4,1,0)),IF($F86&lt;=85,1,0))</formula>
    </cfRule>
  </conditionalFormatting>
  <conditionalFormatting sqref="X86">
    <cfRule type="expression" priority="6593" dxfId="3">
      <formula>AND(IF(OR($Q86=1,$Q86=2),1,0),IF($X86&lt;=20,1,0))</formula>
    </cfRule>
    <cfRule type="expression" priority="6594" dxfId="2">
      <formula>AND(IF($Q86=2,1,0),IF($X86&lt;30,1,0))</formula>
    </cfRule>
    <cfRule type="expression" priority="6595" dxfId="1">
      <formula>AND(IF($Q86=3,1,0),IF($X86&lt;30,1,0))</formula>
    </cfRule>
    <cfRule type="expression" priority="6596" dxfId="0">
      <formula>AND(IF($Q86=3,1,IF($Q86=4,1,0)),IF($F86&lt;=85,1,0))</formula>
    </cfRule>
  </conditionalFormatting>
  <conditionalFormatting sqref="AI86">
    <cfRule type="expression" priority="6589" dxfId="3">
      <formula>AND(IF(OR($Q86=1,$Q86=2),1,0),IF($X86&lt;=20,1,0))</formula>
    </cfRule>
    <cfRule type="expression" priority="6590" dxfId="2">
      <formula>AND(IF($Q86=2,1,0),IF($X86&lt;30,1,0))</formula>
    </cfRule>
    <cfRule type="expression" priority="6591" dxfId="1">
      <formula>AND(IF($Q86=3,1,0),IF($X86&lt;30,1,0))</formula>
    </cfRule>
    <cfRule type="expression" priority="6592" dxfId="0">
      <formula>AND(IF($Q86=3,1,IF($Q86=4,1,0)),IF($F86&lt;=85,1,0))</formula>
    </cfRule>
  </conditionalFormatting>
  <conditionalFormatting sqref="AV87">
    <cfRule type="expression" priority="6587" dxfId="23">
      <formula>AV87="X"</formula>
    </cfRule>
    <cfRule type="expression" priority="6588" dxfId="22">
      <formula>AV87="후보"</formula>
    </cfRule>
  </conditionalFormatting>
  <conditionalFormatting sqref="AC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87">
    <cfRule type="expression" priority="6579" dxfId="3">
      <formula>AND(IF(OR($Q87=1,$Q87=2),1,0),IF($X87&lt;=20,1,0))</formula>
    </cfRule>
    <cfRule type="expression" priority="6580" dxfId="2">
      <formula>AND(IF($Q87=2,1,0),IF($X87&lt;30,1,0))</formula>
    </cfRule>
    <cfRule type="expression" priority="6581" dxfId="1">
      <formula>AND(IF($Q87=3,1,0),IF($X87&lt;30,1,0))</formula>
    </cfRule>
    <cfRule type="expression" priority="6582" dxfId="0">
      <formula>AND(IF($Q87=3,1,IF($Q87=4,1,0)),IF($F87&lt;=85,1,0))</formula>
    </cfRule>
  </conditionalFormatting>
  <conditionalFormatting sqref="X87">
    <cfRule type="expression" priority="6575" dxfId="3">
      <formula>AND(IF(OR($Q87=1,$Q87=2),1,0),IF($X87&lt;=20,1,0))</formula>
    </cfRule>
    <cfRule type="expression" priority="6576" dxfId="2">
      <formula>AND(IF($Q87=2,1,0),IF($X87&lt;30,1,0))</formula>
    </cfRule>
    <cfRule type="expression" priority="6577" dxfId="1">
      <formula>AND(IF($Q87=3,1,0),IF($X87&lt;30,1,0))</formula>
    </cfRule>
    <cfRule type="expression" priority="6578" dxfId="0">
      <formula>AND(IF($Q87=3,1,IF($Q87=4,1,0)),IF($F87&lt;=85,1,0))</formula>
    </cfRule>
  </conditionalFormatting>
  <conditionalFormatting sqref="AI87">
    <cfRule type="expression" priority="6571" dxfId="3">
      <formula>AND(IF(OR($Q87=1,$Q87=2),1,0),IF($X87&lt;=20,1,0))</formula>
    </cfRule>
    <cfRule type="expression" priority="6572" dxfId="2">
      <formula>AND(IF($Q87=2,1,0),IF($X87&lt;30,1,0))</formula>
    </cfRule>
    <cfRule type="expression" priority="6573" dxfId="1">
      <formula>AND(IF($Q87=3,1,0),IF($X87&lt;30,1,0))</formula>
    </cfRule>
    <cfRule type="expression" priority="6574" dxfId="0">
      <formula>AND(IF($Q87=3,1,IF($Q87=4,1,0)),IF($F87&lt;=85,1,0))</formula>
    </cfRule>
  </conditionalFormatting>
  <conditionalFormatting sqref="AV88">
    <cfRule type="expression" priority="6569" dxfId="23">
      <formula>AV88="X"</formula>
    </cfRule>
    <cfRule type="expression" priority="6570" dxfId="22">
      <formula>AV88="후보"</formula>
    </cfRule>
  </conditionalFormatting>
  <conditionalFormatting sqref="AC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88">
    <cfRule type="expression" priority="6561" dxfId="3">
      <formula>AND(IF(OR($Q88=1,$Q88=2),1,0),IF($X88&lt;=20,1,0))</formula>
    </cfRule>
    <cfRule type="expression" priority="6562" dxfId="2">
      <formula>AND(IF($Q88=2,1,0),IF($X88&lt;30,1,0))</formula>
    </cfRule>
    <cfRule type="expression" priority="6563" dxfId="1">
      <formula>AND(IF($Q88=3,1,0),IF($X88&lt;30,1,0))</formula>
    </cfRule>
    <cfRule type="expression" priority="6564" dxfId="0">
      <formula>AND(IF($Q88=3,1,IF($Q88=4,1,0)),IF($F88&lt;=85,1,0))</formula>
    </cfRule>
  </conditionalFormatting>
  <conditionalFormatting sqref="X88">
    <cfRule type="expression" priority="6557" dxfId="3">
      <formula>AND(IF(OR($Q88=1,$Q88=2),1,0),IF($X88&lt;=20,1,0))</formula>
    </cfRule>
    <cfRule type="expression" priority="6558" dxfId="2">
      <formula>AND(IF($Q88=2,1,0),IF($X88&lt;30,1,0))</formula>
    </cfRule>
    <cfRule type="expression" priority="6559" dxfId="1">
      <formula>AND(IF($Q88=3,1,0),IF($X88&lt;30,1,0))</formula>
    </cfRule>
    <cfRule type="expression" priority="6560" dxfId="0">
      <formula>AND(IF($Q88=3,1,IF($Q88=4,1,0)),IF($F88&lt;=85,1,0))</formula>
    </cfRule>
  </conditionalFormatting>
  <conditionalFormatting sqref="AI88">
    <cfRule type="expression" priority="6553" dxfId="3">
      <formula>AND(IF(OR($Q88=1,$Q88=2),1,0),IF($X88&lt;=20,1,0))</formula>
    </cfRule>
    <cfRule type="expression" priority="6554" dxfId="2">
      <formula>AND(IF($Q88=2,1,0),IF($X88&lt;30,1,0))</formula>
    </cfRule>
    <cfRule type="expression" priority="6555" dxfId="1">
      <formula>AND(IF($Q88=3,1,0),IF($X88&lt;30,1,0))</formula>
    </cfRule>
    <cfRule type="expression" priority="6556" dxfId="0">
      <formula>AND(IF($Q88=3,1,IF($Q88=4,1,0)),IF($F88&lt;=85,1,0))</formula>
    </cfRule>
  </conditionalFormatting>
  <conditionalFormatting sqref="AV89">
    <cfRule type="expression" priority="6551" dxfId="23">
      <formula>AV89="X"</formula>
    </cfRule>
    <cfRule type="expression" priority="6552" dxfId="22">
      <formula>AV89="후보"</formula>
    </cfRule>
  </conditionalFormatting>
  <conditionalFormatting sqref="AC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89">
    <cfRule type="expression" priority="6543" dxfId="3">
      <formula>AND(IF(OR($Q89=1,$Q89=2),1,0),IF($X89&lt;=20,1,0))</formula>
    </cfRule>
    <cfRule type="expression" priority="6544" dxfId="2">
      <formula>AND(IF($Q89=2,1,0),IF($X89&lt;30,1,0))</formula>
    </cfRule>
    <cfRule type="expression" priority="6545" dxfId="1">
      <formula>AND(IF($Q89=3,1,0),IF($X89&lt;30,1,0))</formula>
    </cfRule>
    <cfRule type="expression" priority="6546" dxfId="0">
      <formula>AND(IF($Q89=3,1,IF($Q89=4,1,0)),IF($F89&lt;=85,1,0))</formula>
    </cfRule>
  </conditionalFormatting>
  <conditionalFormatting sqref="X89">
    <cfRule type="expression" priority="6539" dxfId="3">
      <formula>AND(IF(OR($Q89=1,$Q89=2),1,0),IF($X89&lt;=20,1,0))</formula>
    </cfRule>
    <cfRule type="expression" priority="6540" dxfId="2">
      <formula>AND(IF($Q89=2,1,0),IF($X89&lt;30,1,0))</formula>
    </cfRule>
    <cfRule type="expression" priority="6541" dxfId="1">
      <formula>AND(IF($Q89=3,1,0),IF($X89&lt;30,1,0))</formula>
    </cfRule>
    <cfRule type="expression" priority="6542" dxfId="0">
      <formula>AND(IF($Q89=3,1,IF($Q89=4,1,0)),IF($F89&lt;=85,1,0))</formula>
    </cfRule>
  </conditionalFormatting>
  <conditionalFormatting sqref="AI89">
    <cfRule type="expression" priority="6535" dxfId="3">
      <formula>AND(IF(OR($Q89=1,$Q89=2),1,0),IF($X89&lt;=20,1,0))</formula>
    </cfRule>
    <cfRule type="expression" priority="6536" dxfId="2">
      <formula>AND(IF($Q89=2,1,0),IF($X89&lt;30,1,0))</formula>
    </cfRule>
    <cfRule type="expression" priority="6537" dxfId="1">
      <formula>AND(IF($Q89=3,1,0),IF($X89&lt;30,1,0))</formula>
    </cfRule>
    <cfRule type="expression" priority="6538" dxfId="0">
      <formula>AND(IF($Q89=3,1,IF($Q89=4,1,0)),IF($F89&lt;=85,1,0))</formula>
    </cfRule>
  </conditionalFormatting>
  <conditionalFormatting sqref="AV90">
    <cfRule type="expression" priority="6533" dxfId="23">
      <formula>AV90="X"</formula>
    </cfRule>
    <cfRule type="expression" priority="6534" dxfId="22">
      <formula>AV90="후보"</formula>
    </cfRule>
  </conditionalFormatting>
  <conditionalFormatting sqref="AC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90">
    <cfRule type="expression" priority="6525" dxfId="3">
      <formula>AND(IF(OR($Q90=1,$Q90=2),1,0),IF($X90&lt;=20,1,0))</formula>
    </cfRule>
    <cfRule type="expression" priority="6526" dxfId="2">
      <formula>AND(IF($Q90=2,1,0),IF($X90&lt;30,1,0))</formula>
    </cfRule>
    <cfRule type="expression" priority="6527" dxfId="1">
      <formula>AND(IF($Q90=3,1,0),IF($X90&lt;30,1,0))</formula>
    </cfRule>
    <cfRule type="expression" priority="6528" dxfId="0">
      <formula>AND(IF($Q90=3,1,IF($Q90=4,1,0)),IF($F90&lt;=85,1,0))</formula>
    </cfRule>
  </conditionalFormatting>
  <conditionalFormatting sqref="X90">
    <cfRule type="expression" priority="6521" dxfId="3">
      <formula>AND(IF(OR($Q90=1,$Q90=2),1,0),IF($X90&lt;=20,1,0))</formula>
    </cfRule>
    <cfRule type="expression" priority="6522" dxfId="2">
      <formula>AND(IF($Q90=2,1,0),IF($X90&lt;30,1,0))</formula>
    </cfRule>
    <cfRule type="expression" priority="6523" dxfId="1">
      <formula>AND(IF($Q90=3,1,0),IF($X90&lt;30,1,0))</formula>
    </cfRule>
    <cfRule type="expression" priority="6524" dxfId="0">
      <formula>AND(IF($Q90=3,1,IF($Q90=4,1,0)),IF($F90&lt;=85,1,0))</formula>
    </cfRule>
  </conditionalFormatting>
  <conditionalFormatting sqref="AI90">
    <cfRule type="expression" priority="6517" dxfId="3">
      <formula>AND(IF(OR($Q90=1,$Q90=2),1,0),IF($X90&lt;=20,1,0))</formula>
    </cfRule>
    <cfRule type="expression" priority="6518" dxfId="2">
      <formula>AND(IF($Q90=2,1,0),IF($X90&lt;30,1,0))</formula>
    </cfRule>
    <cfRule type="expression" priority="6519" dxfId="1">
      <formula>AND(IF($Q90=3,1,0),IF($X90&lt;30,1,0))</formula>
    </cfRule>
    <cfRule type="expression" priority="6520" dxfId="0">
      <formula>AND(IF($Q90=3,1,IF($Q90=4,1,0)),IF($F90&lt;=85,1,0))</formula>
    </cfRule>
  </conditionalFormatting>
  <conditionalFormatting sqref="AV91">
    <cfRule type="expression" priority="6515" dxfId="23">
      <formula>AV91="X"</formula>
    </cfRule>
    <cfRule type="expression" priority="6516" dxfId="22">
      <formula>AV91="후보"</formula>
    </cfRule>
  </conditionalFormatting>
  <conditionalFormatting sqref="AC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91">
    <cfRule type="expression" priority="6507" dxfId="3">
      <formula>AND(IF(OR($Q91=1,$Q91=2),1,0),IF($X91&lt;=20,1,0))</formula>
    </cfRule>
    <cfRule type="expression" priority="6508" dxfId="2">
      <formula>AND(IF($Q91=2,1,0),IF($X91&lt;30,1,0))</formula>
    </cfRule>
    <cfRule type="expression" priority="6509" dxfId="1">
      <formula>AND(IF($Q91=3,1,0),IF($X91&lt;30,1,0))</formula>
    </cfRule>
    <cfRule type="expression" priority="6510" dxfId="0">
      <formula>AND(IF($Q91=3,1,IF($Q91=4,1,0)),IF($F91&lt;=85,1,0))</formula>
    </cfRule>
  </conditionalFormatting>
  <conditionalFormatting sqref="X91">
    <cfRule type="expression" priority="6503" dxfId="3">
      <formula>AND(IF(OR($Q91=1,$Q91=2),1,0),IF($X91&lt;=20,1,0))</formula>
    </cfRule>
    <cfRule type="expression" priority="6504" dxfId="2">
      <formula>AND(IF($Q91=2,1,0),IF($X91&lt;30,1,0))</formula>
    </cfRule>
    <cfRule type="expression" priority="6505" dxfId="1">
      <formula>AND(IF($Q91=3,1,0),IF($X91&lt;30,1,0))</formula>
    </cfRule>
    <cfRule type="expression" priority="6506" dxfId="0">
      <formula>AND(IF($Q91=3,1,IF($Q91=4,1,0)),IF($F91&lt;=85,1,0))</formula>
    </cfRule>
  </conditionalFormatting>
  <conditionalFormatting sqref="AI91">
    <cfRule type="expression" priority="6499" dxfId="3">
      <formula>AND(IF(OR($Q91=1,$Q91=2),1,0),IF($X91&lt;=20,1,0))</formula>
    </cfRule>
    <cfRule type="expression" priority="6500" dxfId="2">
      <formula>AND(IF($Q91=2,1,0),IF($X91&lt;30,1,0))</formula>
    </cfRule>
    <cfRule type="expression" priority="6501" dxfId="1">
      <formula>AND(IF($Q91=3,1,0),IF($X91&lt;30,1,0))</formula>
    </cfRule>
    <cfRule type="expression" priority="6502" dxfId="0">
      <formula>AND(IF($Q91=3,1,IF($Q91=4,1,0)),IF($F91&lt;=85,1,0))</formula>
    </cfRule>
  </conditionalFormatting>
  <conditionalFormatting sqref="AV92">
    <cfRule type="expression" priority="6497" dxfId="23">
      <formula>AV92="X"</formula>
    </cfRule>
    <cfRule type="expression" priority="6498" dxfId="22">
      <formula>AV92="후보"</formula>
    </cfRule>
  </conditionalFormatting>
  <conditionalFormatting sqref="AC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2">
    <cfRule type="expression" priority="6489" dxfId="3">
      <formula>AND(IF(OR($Q92=1,$Q92=2),1,0),IF($X92&lt;=20,1,0))</formula>
    </cfRule>
    <cfRule type="expression" priority="6490" dxfId="2">
      <formula>AND(IF($Q92=2,1,0),IF($X92&lt;30,1,0))</formula>
    </cfRule>
    <cfRule type="expression" priority="6491" dxfId="1">
      <formula>AND(IF($Q92=3,1,0),IF($X92&lt;30,1,0))</formula>
    </cfRule>
    <cfRule type="expression" priority="6492" dxfId="0">
      <formula>AND(IF($Q92=3,1,IF($Q92=4,1,0)),IF($F92&lt;=85,1,0))</formula>
    </cfRule>
  </conditionalFormatting>
  <conditionalFormatting sqref="X92">
    <cfRule type="expression" priority="6485" dxfId="3">
      <formula>AND(IF(OR($Q92=1,$Q92=2),1,0),IF($X92&lt;=20,1,0))</formula>
    </cfRule>
    <cfRule type="expression" priority="6486" dxfId="2">
      <formula>AND(IF($Q92=2,1,0),IF($X92&lt;30,1,0))</formula>
    </cfRule>
    <cfRule type="expression" priority="6487" dxfId="1">
      <formula>AND(IF($Q92=3,1,0),IF($X92&lt;30,1,0))</formula>
    </cfRule>
    <cfRule type="expression" priority="6488" dxfId="0">
      <formula>AND(IF($Q92=3,1,IF($Q92=4,1,0)),IF($F92&lt;=85,1,0))</formula>
    </cfRule>
  </conditionalFormatting>
  <conditionalFormatting sqref="AI92">
    <cfRule type="expression" priority="6481" dxfId="3">
      <formula>AND(IF(OR($Q92=1,$Q92=2),1,0),IF($X92&lt;=20,1,0))</formula>
    </cfRule>
    <cfRule type="expression" priority="6482" dxfId="2">
      <formula>AND(IF($Q92=2,1,0),IF($X92&lt;30,1,0))</formula>
    </cfRule>
    <cfRule type="expression" priority="6483" dxfId="1">
      <formula>AND(IF($Q92=3,1,0),IF($X92&lt;30,1,0))</formula>
    </cfRule>
    <cfRule type="expression" priority="6484" dxfId="0">
      <formula>AND(IF($Q92=3,1,IF($Q92=4,1,0)),IF($F92&lt;=85,1,0))</formula>
    </cfRule>
  </conditionalFormatting>
  <conditionalFormatting sqref="AV93">
    <cfRule type="expression" priority="6479" dxfId="23">
      <formula>AV93="X"</formula>
    </cfRule>
    <cfRule type="expression" priority="6480" dxfId="22">
      <formula>AV93="후보"</formula>
    </cfRule>
  </conditionalFormatting>
  <conditionalFormatting sqref="AC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93">
    <cfRule type="expression" priority="6471" dxfId="3">
      <formula>AND(IF(OR($Q93=1,$Q93=2),1,0),IF($X93&lt;=20,1,0))</formula>
    </cfRule>
    <cfRule type="expression" priority="6472" dxfId="2">
      <formula>AND(IF($Q93=2,1,0),IF($X93&lt;30,1,0))</formula>
    </cfRule>
    <cfRule type="expression" priority="6473" dxfId="1">
      <formula>AND(IF($Q93=3,1,0),IF($X93&lt;30,1,0))</formula>
    </cfRule>
    <cfRule type="expression" priority="6474" dxfId="0">
      <formula>AND(IF($Q93=3,1,IF($Q93=4,1,0)),IF($F93&lt;=85,1,0))</formula>
    </cfRule>
  </conditionalFormatting>
  <conditionalFormatting sqref="X93">
    <cfRule type="expression" priority="6467" dxfId="3">
      <formula>AND(IF(OR($Q93=1,$Q93=2),1,0),IF($X93&lt;=20,1,0))</formula>
    </cfRule>
    <cfRule type="expression" priority="6468" dxfId="2">
      <formula>AND(IF($Q93=2,1,0),IF($X93&lt;30,1,0))</formula>
    </cfRule>
    <cfRule type="expression" priority="6469" dxfId="1">
      <formula>AND(IF($Q93=3,1,0),IF($X93&lt;30,1,0))</formula>
    </cfRule>
    <cfRule type="expression" priority="6470" dxfId="0">
      <formula>AND(IF($Q93=3,1,IF($Q93=4,1,0)),IF($F93&lt;=85,1,0))</formula>
    </cfRule>
  </conditionalFormatting>
  <conditionalFormatting sqref="AI93">
    <cfRule type="expression" priority="6463" dxfId="3">
      <formula>AND(IF(OR($Q93=1,$Q93=2),1,0),IF($X93&lt;=20,1,0))</formula>
    </cfRule>
    <cfRule type="expression" priority="6464" dxfId="2">
      <formula>AND(IF($Q93=2,1,0),IF($X93&lt;30,1,0))</formula>
    </cfRule>
    <cfRule type="expression" priority="6465" dxfId="1">
      <formula>AND(IF($Q93=3,1,0),IF($X93&lt;30,1,0))</formula>
    </cfRule>
    <cfRule type="expression" priority="6466" dxfId="0">
      <formula>AND(IF($Q93=3,1,IF($Q93=4,1,0)),IF($F93&lt;=85,1,0))</formula>
    </cfRule>
  </conditionalFormatting>
  <conditionalFormatting sqref="AV94">
    <cfRule type="expression" priority="6461" dxfId="23">
      <formula>AV94="X"</formula>
    </cfRule>
    <cfRule type="expression" priority="6462" dxfId="22">
      <formula>AV94="후보"</formula>
    </cfRule>
  </conditionalFormatting>
  <conditionalFormatting sqref="AC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94">
    <cfRule type="expression" priority="6453" dxfId="3">
      <formula>AND(IF(OR($Q94=1,$Q94=2),1,0),IF($X94&lt;=20,1,0))</formula>
    </cfRule>
    <cfRule type="expression" priority="6454" dxfId="2">
      <formula>AND(IF($Q94=2,1,0),IF($X94&lt;30,1,0))</formula>
    </cfRule>
    <cfRule type="expression" priority="6455" dxfId="1">
      <formula>AND(IF($Q94=3,1,0),IF($X94&lt;30,1,0))</formula>
    </cfRule>
    <cfRule type="expression" priority="6456" dxfId="0">
      <formula>AND(IF($Q94=3,1,IF($Q94=4,1,0)),IF($F94&lt;=85,1,0))</formula>
    </cfRule>
  </conditionalFormatting>
  <conditionalFormatting sqref="X94">
    <cfRule type="expression" priority="6449" dxfId="3">
      <formula>AND(IF(OR($Q94=1,$Q94=2),1,0),IF($X94&lt;=20,1,0))</formula>
    </cfRule>
    <cfRule type="expression" priority="6450" dxfId="2">
      <formula>AND(IF($Q94=2,1,0),IF($X94&lt;30,1,0))</formula>
    </cfRule>
    <cfRule type="expression" priority="6451" dxfId="1">
      <formula>AND(IF($Q94=3,1,0),IF($X94&lt;30,1,0))</formula>
    </cfRule>
    <cfRule type="expression" priority="6452" dxfId="0">
      <formula>AND(IF($Q94=3,1,IF($Q94=4,1,0)),IF($F94&lt;=85,1,0))</formula>
    </cfRule>
  </conditionalFormatting>
  <conditionalFormatting sqref="AI94">
    <cfRule type="expression" priority="6445" dxfId="3">
      <formula>AND(IF(OR($Q94=1,$Q94=2),1,0),IF($X94&lt;=20,1,0))</formula>
    </cfRule>
    <cfRule type="expression" priority="6446" dxfId="2">
      <formula>AND(IF($Q94=2,1,0),IF($X94&lt;30,1,0))</formula>
    </cfRule>
    <cfRule type="expression" priority="6447" dxfId="1">
      <formula>AND(IF($Q94=3,1,0),IF($X94&lt;30,1,0))</formula>
    </cfRule>
    <cfRule type="expression" priority="6448" dxfId="0">
      <formula>AND(IF($Q94=3,1,IF($Q94=4,1,0)),IF($F94&lt;=85,1,0))</formula>
    </cfRule>
  </conditionalFormatting>
  <conditionalFormatting sqref="AV95">
    <cfRule type="expression" priority="6443" dxfId="23">
      <formula>AV95="X"</formula>
    </cfRule>
    <cfRule type="expression" priority="6444" dxfId="22">
      <formula>AV95="후보"</formula>
    </cfRule>
  </conditionalFormatting>
  <conditionalFormatting sqref="AC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95">
    <cfRule type="expression" priority="6435" dxfId="3">
      <formula>AND(IF(OR($Q95=1,$Q95=2),1,0),IF($X95&lt;=20,1,0))</formula>
    </cfRule>
    <cfRule type="expression" priority="6436" dxfId="2">
      <formula>AND(IF($Q95=2,1,0),IF($X95&lt;30,1,0))</formula>
    </cfRule>
    <cfRule type="expression" priority="6437" dxfId="1">
      <formula>AND(IF($Q95=3,1,0),IF($X95&lt;30,1,0))</formula>
    </cfRule>
    <cfRule type="expression" priority="6438" dxfId="0">
      <formula>AND(IF($Q95=3,1,IF($Q95=4,1,0)),IF($F95&lt;=85,1,0))</formula>
    </cfRule>
  </conditionalFormatting>
  <conditionalFormatting sqref="X95">
    <cfRule type="expression" priority="6431" dxfId="3">
      <formula>AND(IF(OR($Q95=1,$Q95=2),1,0),IF($X95&lt;=20,1,0))</formula>
    </cfRule>
    <cfRule type="expression" priority="6432" dxfId="2">
      <formula>AND(IF($Q95=2,1,0),IF($X95&lt;30,1,0))</formula>
    </cfRule>
    <cfRule type="expression" priority="6433" dxfId="1">
      <formula>AND(IF($Q95=3,1,0),IF($X95&lt;30,1,0))</formula>
    </cfRule>
    <cfRule type="expression" priority="6434" dxfId="0">
      <formula>AND(IF($Q95=3,1,IF($Q95=4,1,0)),IF($F95&lt;=85,1,0))</formula>
    </cfRule>
  </conditionalFormatting>
  <conditionalFormatting sqref="AI95">
    <cfRule type="expression" priority="6427" dxfId="3">
      <formula>AND(IF(OR($Q95=1,$Q95=2),1,0),IF($X95&lt;=20,1,0))</formula>
    </cfRule>
    <cfRule type="expression" priority="6428" dxfId="2">
      <formula>AND(IF($Q95=2,1,0),IF($X95&lt;30,1,0))</formula>
    </cfRule>
    <cfRule type="expression" priority="6429" dxfId="1">
      <formula>AND(IF($Q95=3,1,0),IF($X95&lt;30,1,0))</formula>
    </cfRule>
    <cfRule type="expression" priority="6430" dxfId="0">
      <formula>AND(IF($Q95=3,1,IF($Q95=4,1,0)),IF($F95&lt;=85,1,0))</formula>
    </cfRule>
  </conditionalFormatting>
  <conditionalFormatting sqref="AV96">
    <cfRule type="expression" priority="6425" dxfId="23">
      <formula>AV96="X"</formula>
    </cfRule>
    <cfRule type="expression" priority="6426" dxfId="22">
      <formula>AV96="후보"</formula>
    </cfRule>
  </conditionalFormatting>
  <conditionalFormatting sqref="AC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96">
    <cfRule type="expression" priority="6417" dxfId="3">
      <formula>AND(IF(OR($Q96=1,$Q96=2),1,0),IF($X96&lt;=20,1,0))</formula>
    </cfRule>
    <cfRule type="expression" priority="6418" dxfId="2">
      <formula>AND(IF($Q96=2,1,0),IF($X96&lt;30,1,0))</formula>
    </cfRule>
    <cfRule type="expression" priority="6419" dxfId="1">
      <formula>AND(IF($Q96=3,1,0),IF($X96&lt;30,1,0))</formula>
    </cfRule>
    <cfRule type="expression" priority="6420" dxfId="0">
      <formula>AND(IF($Q96=3,1,IF($Q96=4,1,0)),IF($F96&lt;=85,1,0))</formula>
    </cfRule>
  </conditionalFormatting>
  <conditionalFormatting sqref="X96">
    <cfRule type="expression" priority="6413" dxfId="3">
      <formula>AND(IF(OR($Q96=1,$Q96=2),1,0),IF($X96&lt;=20,1,0))</formula>
    </cfRule>
    <cfRule type="expression" priority="6414" dxfId="2">
      <formula>AND(IF($Q96=2,1,0),IF($X96&lt;30,1,0))</formula>
    </cfRule>
    <cfRule type="expression" priority="6415" dxfId="1">
      <formula>AND(IF($Q96=3,1,0),IF($X96&lt;30,1,0))</formula>
    </cfRule>
    <cfRule type="expression" priority="6416" dxfId="0">
      <formula>AND(IF($Q96=3,1,IF($Q96=4,1,0)),IF($F96&lt;=85,1,0))</formula>
    </cfRule>
  </conditionalFormatting>
  <conditionalFormatting sqref="AI96">
    <cfRule type="expression" priority="6409" dxfId="3">
      <formula>AND(IF(OR($Q96=1,$Q96=2),1,0),IF($X96&lt;=20,1,0))</formula>
    </cfRule>
    <cfRule type="expression" priority="6410" dxfId="2">
      <formula>AND(IF($Q96=2,1,0),IF($X96&lt;30,1,0))</formula>
    </cfRule>
    <cfRule type="expression" priority="6411" dxfId="1">
      <formula>AND(IF($Q96=3,1,0),IF($X96&lt;30,1,0))</formula>
    </cfRule>
    <cfRule type="expression" priority="6412" dxfId="0">
      <formula>AND(IF($Q96=3,1,IF($Q96=4,1,0)),IF($F96&lt;=85,1,0))</formula>
    </cfRule>
  </conditionalFormatting>
  <conditionalFormatting sqref="AV97">
    <cfRule type="expression" priority="6407" dxfId="23">
      <formula>AV97="X"</formula>
    </cfRule>
    <cfRule type="expression" priority="6408" dxfId="22">
      <formula>AV97="후보"</formula>
    </cfRule>
  </conditionalFormatting>
  <conditionalFormatting sqref="AC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97">
    <cfRule type="expression" priority="6399" dxfId="3">
      <formula>AND(IF(OR($Q97=1,$Q97=2),1,0),IF($X97&lt;=20,1,0))</formula>
    </cfRule>
    <cfRule type="expression" priority="6400" dxfId="2">
      <formula>AND(IF($Q97=2,1,0),IF($X97&lt;30,1,0))</formula>
    </cfRule>
    <cfRule type="expression" priority="6401" dxfId="1">
      <formula>AND(IF($Q97=3,1,0),IF($X97&lt;30,1,0))</formula>
    </cfRule>
    <cfRule type="expression" priority="6402" dxfId="0">
      <formula>AND(IF($Q97=3,1,IF($Q97=4,1,0)),IF($F97&lt;=85,1,0))</formula>
    </cfRule>
  </conditionalFormatting>
  <conditionalFormatting sqref="X97">
    <cfRule type="expression" priority="6395" dxfId="3">
      <formula>AND(IF(OR($Q97=1,$Q97=2),1,0),IF($X97&lt;=20,1,0))</formula>
    </cfRule>
    <cfRule type="expression" priority="6396" dxfId="2">
      <formula>AND(IF($Q97=2,1,0),IF($X97&lt;30,1,0))</formula>
    </cfRule>
    <cfRule type="expression" priority="6397" dxfId="1">
      <formula>AND(IF($Q97=3,1,0),IF($X97&lt;30,1,0))</formula>
    </cfRule>
    <cfRule type="expression" priority="6398" dxfId="0">
      <formula>AND(IF($Q97=3,1,IF($Q97=4,1,0)),IF($F97&lt;=85,1,0))</formula>
    </cfRule>
  </conditionalFormatting>
  <conditionalFormatting sqref="AI97">
    <cfRule type="expression" priority="6391" dxfId="3">
      <formula>AND(IF(OR($Q97=1,$Q97=2),1,0),IF($X97&lt;=20,1,0))</formula>
    </cfRule>
    <cfRule type="expression" priority="6392" dxfId="2">
      <formula>AND(IF($Q97=2,1,0),IF($X97&lt;30,1,0))</formula>
    </cfRule>
    <cfRule type="expression" priority="6393" dxfId="1">
      <formula>AND(IF($Q97=3,1,0),IF($X97&lt;30,1,0))</formula>
    </cfRule>
    <cfRule type="expression" priority="6394" dxfId="0">
      <formula>AND(IF($Q97=3,1,IF($Q97=4,1,0)),IF($F97&lt;=85,1,0))</formula>
    </cfRule>
  </conditionalFormatting>
  <conditionalFormatting sqref="AV98">
    <cfRule type="expression" priority="6389" dxfId="23">
      <formula>AV98="X"</formula>
    </cfRule>
    <cfRule type="expression" priority="6390" dxfId="22">
      <formula>AV98="후보"</formula>
    </cfRule>
  </conditionalFormatting>
  <conditionalFormatting sqref="AC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98">
    <cfRule type="expression" priority="6381" dxfId="3">
      <formula>AND(IF(OR($Q98=1,$Q98=2),1,0),IF($X98&lt;=20,1,0))</formula>
    </cfRule>
    <cfRule type="expression" priority="6382" dxfId="2">
      <formula>AND(IF($Q98=2,1,0),IF($X98&lt;30,1,0))</formula>
    </cfRule>
    <cfRule type="expression" priority="6383" dxfId="1">
      <formula>AND(IF($Q98=3,1,0),IF($X98&lt;30,1,0))</formula>
    </cfRule>
    <cfRule type="expression" priority="6384" dxfId="0">
      <formula>AND(IF($Q98=3,1,IF($Q98=4,1,0)),IF($F98&lt;=85,1,0))</formula>
    </cfRule>
  </conditionalFormatting>
  <conditionalFormatting sqref="X98">
    <cfRule type="expression" priority="6377" dxfId="3">
      <formula>AND(IF(OR($Q98=1,$Q98=2),1,0),IF($X98&lt;=20,1,0))</formula>
    </cfRule>
    <cfRule type="expression" priority="6378" dxfId="2">
      <formula>AND(IF($Q98=2,1,0),IF($X98&lt;30,1,0))</formula>
    </cfRule>
    <cfRule type="expression" priority="6379" dxfId="1">
      <formula>AND(IF($Q98=3,1,0),IF($X98&lt;30,1,0))</formula>
    </cfRule>
    <cfRule type="expression" priority="6380" dxfId="0">
      <formula>AND(IF($Q98=3,1,IF($Q98=4,1,0)),IF($F98&lt;=85,1,0))</formula>
    </cfRule>
  </conditionalFormatting>
  <conditionalFormatting sqref="AI98">
    <cfRule type="expression" priority="6373" dxfId="3">
      <formula>AND(IF(OR($Q98=1,$Q98=2),1,0),IF($X98&lt;=20,1,0))</formula>
    </cfRule>
    <cfRule type="expression" priority="6374" dxfId="2">
      <formula>AND(IF($Q98=2,1,0),IF($X98&lt;30,1,0))</formula>
    </cfRule>
    <cfRule type="expression" priority="6375" dxfId="1">
      <formula>AND(IF($Q98=3,1,0),IF($X98&lt;30,1,0))</formula>
    </cfRule>
    <cfRule type="expression" priority="6376" dxfId="0">
      <formula>AND(IF($Q98=3,1,IF($Q98=4,1,0)),IF($F98&lt;=85,1,0))</formula>
    </cfRule>
  </conditionalFormatting>
  <conditionalFormatting sqref="AV99">
    <cfRule type="expression" priority="6371" dxfId="23">
      <formula>AV99="X"</formula>
    </cfRule>
    <cfRule type="expression" priority="6372" dxfId="22">
      <formula>AV99="후보"</formula>
    </cfRule>
  </conditionalFormatting>
  <conditionalFormatting sqref="AC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99">
    <cfRule type="expression" priority="6363" dxfId="3">
      <formula>AND(IF(OR($Q99=1,$Q99=2),1,0),IF($X99&lt;=20,1,0))</formula>
    </cfRule>
    <cfRule type="expression" priority="6364" dxfId="2">
      <formula>AND(IF($Q99=2,1,0),IF($X99&lt;30,1,0))</formula>
    </cfRule>
    <cfRule type="expression" priority="6365" dxfId="1">
      <formula>AND(IF($Q99=3,1,0),IF($X99&lt;30,1,0))</formula>
    </cfRule>
    <cfRule type="expression" priority="6366" dxfId="0">
      <formula>AND(IF($Q99=3,1,IF($Q99=4,1,0)),IF($F99&lt;=85,1,0))</formula>
    </cfRule>
  </conditionalFormatting>
  <conditionalFormatting sqref="X99">
    <cfRule type="expression" priority="6359" dxfId="3">
      <formula>AND(IF(OR($Q99=1,$Q99=2),1,0),IF($X99&lt;=20,1,0))</formula>
    </cfRule>
    <cfRule type="expression" priority="6360" dxfId="2">
      <formula>AND(IF($Q99=2,1,0),IF($X99&lt;30,1,0))</formula>
    </cfRule>
    <cfRule type="expression" priority="6361" dxfId="1">
      <formula>AND(IF($Q99=3,1,0),IF($X99&lt;30,1,0))</formula>
    </cfRule>
    <cfRule type="expression" priority="6362" dxfId="0">
      <formula>AND(IF($Q99=3,1,IF($Q99=4,1,0)),IF($F99&lt;=85,1,0))</formula>
    </cfRule>
  </conditionalFormatting>
  <conditionalFormatting sqref="AI99">
    <cfRule type="expression" priority="6355" dxfId="3">
      <formula>AND(IF(OR($Q99=1,$Q99=2),1,0),IF($X99&lt;=20,1,0))</formula>
    </cfRule>
    <cfRule type="expression" priority="6356" dxfId="2">
      <formula>AND(IF($Q99=2,1,0),IF($X99&lt;30,1,0))</formula>
    </cfRule>
    <cfRule type="expression" priority="6357" dxfId="1">
      <formula>AND(IF($Q99=3,1,0),IF($X99&lt;30,1,0))</formula>
    </cfRule>
    <cfRule type="expression" priority="6358" dxfId="0">
      <formula>AND(IF($Q99=3,1,IF($Q99=4,1,0)),IF($F99&lt;=85,1,0))</formula>
    </cfRule>
  </conditionalFormatting>
  <conditionalFormatting sqref="AV100">
    <cfRule type="expression" priority="6353" dxfId="23">
      <formula>AV100="X"</formula>
    </cfRule>
    <cfRule type="expression" priority="6354" dxfId="22">
      <formula>AV100="후보"</formula>
    </cfRule>
  </conditionalFormatting>
  <conditionalFormatting sqref="AC1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00">
    <cfRule type="expression" priority="6345" dxfId="3">
      <formula>AND(IF(OR($Q100=1,$Q100=2),1,0),IF($X100&lt;=20,1,0))</formula>
    </cfRule>
    <cfRule type="expression" priority="6346" dxfId="2">
      <formula>AND(IF($Q100=2,1,0),IF($X100&lt;30,1,0))</formula>
    </cfRule>
    <cfRule type="expression" priority="6347" dxfId="1">
      <formula>AND(IF($Q100=3,1,0),IF($X100&lt;30,1,0))</formula>
    </cfRule>
    <cfRule type="expression" priority="6348" dxfId="0">
      <formula>AND(IF($Q100=3,1,IF($Q100=4,1,0)),IF($F100&lt;=85,1,0))</formula>
    </cfRule>
  </conditionalFormatting>
  <conditionalFormatting sqref="X100">
    <cfRule type="expression" priority="6341" dxfId="3">
      <formula>AND(IF(OR($Q100=1,$Q100=2),1,0),IF($X100&lt;=20,1,0))</formula>
    </cfRule>
    <cfRule type="expression" priority="6342" dxfId="2">
      <formula>AND(IF($Q100=2,1,0),IF($X100&lt;30,1,0))</formula>
    </cfRule>
    <cfRule type="expression" priority="6343" dxfId="1">
      <formula>AND(IF($Q100=3,1,0),IF($X100&lt;30,1,0))</formula>
    </cfRule>
    <cfRule type="expression" priority="6344" dxfId="0">
      <formula>AND(IF($Q100=3,1,IF($Q100=4,1,0)),IF($F100&lt;=85,1,0))</formula>
    </cfRule>
  </conditionalFormatting>
  <conditionalFormatting sqref="AI100">
    <cfRule type="expression" priority="6337" dxfId="3">
      <formula>AND(IF(OR($Q100=1,$Q100=2),1,0),IF($X100&lt;=20,1,0))</formula>
    </cfRule>
    <cfRule type="expression" priority="6338" dxfId="2">
      <formula>AND(IF($Q100=2,1,0),IF($X100&lt;30,1,0))</formula>
    </cfRule>
    <cfRule type="expression" priority="6339" dxfId="1">
      <formula>AND(IF($Q100=3,1,0),IF($X100&lt;30,1,0))</formula>
    </cfRule>
    <cfRule type="expression" priority="6340" dxfId="0">
      <formula>AND(IF($Q100=3,1,IF($Q100=4,1,0)),IF($F100&lt;=85,1,0))</formula>
    </cfRule>
  </conditionalFormatting>
  <conditionalFormatting sqref="AV101">
    <cfRule type="expression" priority="6335" dxfId="23">
      <formula>AV101="X"</formula>
    </cfRule>
    <cfRule type="expression" priority="6336" dxfId="22">
      <formula>AV101="후보"</formula>
    </cfRule>
  </conditionalFormatting>
  <conditionalFormatting sqref="AC1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01">
    <cfRule type="expression" priority="6327" dxfId="3">
      <formula>AND(IF(OR($Q101=1,$Q101=2),1,0),IF($X101&lt;=20,1,0))</formula>
    </cfRule>
    <cfRule type="expression" priority="6328" dxfId="2">
      <formula>AND(IF($Q101=2,1,0),IF($X101&lt;30,1,0))</formula>
    </cfRule>
    <cfRule type="expression" priority="6329" dxfId="1">
      <formula>AND(IF($Q101=3,1,0),IF($X101&lt;30,1,0))</formula>
    </cfRule>
    <cfRule type="expression" priority="6330" dxfId="0">
      <formula>AND(IF($Q101=3,1,IF($Q101=4,1,0)),IF($F101&lt;=85,1,0))</formula>
    </cfRule>
  </conditionalFormatting>
  <conditionalFormatting sqref="X101">
    <cfRule type="expression" priority="6323" dxfId="3">
      <formula>AND(IF(OR($Q101=1,$Q101=2),1,0),IF($X101&lt;=20,1,0))</formula>
    </cfRule>
    <cfRule type="expression" priority="6324" dxfId="2">
      <formula>AND(IF($Q101=2,1,0),IF($X101&lt;30,1,0))</formula>
    </cfRule>
    <cfRule type="expression" priority="6325" dxfId="1">
      <formula>AND(IF($Q101=3,1,0),IF($X101&lt;30,1,0))</formula>
    </cfRule>
    <cfRule type="expression" priority="6326" dxfId="0">
      <formula>AND(IF($Q101=3,1,IF($Q101=4,1,0)),IF($F101&lt;=85,1,0))</formula>
    </cfRule>
  </conditionalFormatting>
  <conditionalFormatting sqref="AI101">
    <cfRule type="expression" priority="6319" dxfId="3">
      <formula>AND(IF(OR($Q101=1,$Q101=2),1,0),IF($X101&lt;=20,1,0))</formula>
    </cfRule>
    <cfRule type="expression" priority="6320" dxfId="2">
      <formula>AND(IF($Q101=2,1,0),IF($X101&lt;30,1,0))</formula>
    </cfRule>
    <cfRule type="expression" priority="6321" dxfId="1">
      <formula>AND(IF($Q101=3,1,0),IF($X101&lt;30,1,0))</formula>
    </cfRule>
    <cfRule type="expression" priority="6322" dxfId="0">
      <formula>AND(IF($Q101=3,1,IF($Q101=4,1,0)),IF($F101&lt;=85,1,0))</formula>
    </cfRule>
  </conditionalFormatting>
  <conditionalFormatting sqref="AV102">
    <cfRule type="expression" priority="6317" dxfId="23">
      <formula>AV102="X"</formula>
    </cfRule>
    <cfRule type="expression" priority="6318" dxfId="22">
      <formula>AV102="후보"</formula>
    </cfRule>
  </conditionalFormatting>
  <conditionalFormatting sqref="AC1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02">
    <cfRule type="expression" priority="6309" dxfId="3">
      <formula>AND(IF(OR($Q102=1,$Q102=2),1,0),IF($X102&lt;=20,1,0))</formula>
    </cfRule>
    <cfRule type="expression" priority="6310" dxfId="2">
      <formula>AND(IF($Q102=2,1,0),IF($X102&lt;30,1,0))</formula>
    </cfRule>
    <cfRule type="expression" priority="6311" dxfId="1">
      <formula>AND(IF($Q102=3,1,0),IF($X102&lt;30,1,0))</formula>
    </cfRule>
    <cfRule type="expression" priority="6312" dxfId="0">
      <formula>AND(IF($Q102=3,1,IF($Q102=4,1,0)),IF($F102&lt;=85,1,0))</formula>
    </cfRule>
  </conditionalFormatting>
  <conditionalFormatting sqref="X102">
    <cfRule type="expression" priority="6305" dxfId="3">
      <formula>AND(IF(OR($Q102=1,$Q102=2),1,0),IF($X102&lt;=20,1,0))</formula>
    </cfRule>
    <cfRule type="expression" priority="6306" dxfId="2">
      <formula>AND(IF($Q102=2,1,0),IF($X102&lt;30,1,0))</formula>
    </cfRule>
    <cfRule type="expression" priority="6307" dxfId="1">
      <formula>AND(IF($Q102=3,1,0),IF($X102&lt;30,1,0))</formula>
    </cfRule>
    <cfRule type="expression" priority="6308" dxfId="0">
      <formula>AND(IF($Q102=3,1,IF($Q102=4,1,0)),IF($F102&lt;=85,1,0))</formula>
    </cfRule>
  </conditionalFormatting>
  <conditionalFormatting sqref="AI102">
    <cfRule type="expression" priority="6301" dxfId="3">
      <formula>AND(IF(OR($Q102=1,$Q102=2),1,0),IF($X102&lt;=20,1,0))</formula>
    </cfRule>
    <cfRule type="expression" priority="6302" dxfId="2">
      <formula>AND(IF($Q102=2,1,0),IF($X102&lt;30,1,0))</formula>
    </cfRule>
    <cfRule type="expression" priority="6303" dxfId="1">
      <formula>AND(IF($Q102=3,1,0),IF($X102&lt;30,1,0))</formula>
    </cfRule>
    <cfRule type="expression" priority="6304" dxfId="0">
      <formula>AND(IF($Q102=3,1,IF($Q102=4,1,0)),IF($F102&lt;=85,1,0))</formula>
    </cfRule>
  </conditionalFormatting>
  <conditionalFormatting sqref="AV103">
    <cfRule type="expression" priority="6299" dxfId="23">
      <formula>AV103="X"</formula>
    </cfRule>
    <cfRule type="expression" priority="6300" dxfId="22">
      <formula>AV103="후보"</formula>
    </cfRule>
  </conditionalFormatting>
  <conditionalFormatting sqref="AC1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03">
    <cfRule type="expression" priority="6291" dxfId="3">
      <formula>AND(IF(OR($Q103=1,$Q103=2),1,0),IF($X103&lt;=20,1,0))</formula>
    </cfRule>
    <cfRule type="expression" priority="6292" dxfId="2">
      <formula>AND(IF($Q103=2,1,0),IF($X103&lt;30,1,0))</formula>
    </cfRule>
    <cfRule type="expression" priority="6293" dxfId="1">
      <formula>AND(IF($Q103=3,1,0),IF($X103&lt;30,1,0))</formula>
    </cfRule>
    <cfRule type="expression" priority="6294" dxfId="0">
      <formula>AND(IF($Q103=3,1,IF($Q103=4,1,0)),IF($F103&lt;=85,1,0))</formula>
    </cfRule>
  </conditionalFormatting>
  <conditionalFormatting sqref="X103">
    <cfRule type="expression" priority="6287" dxfId="3">
      <formula>AND(IF(OR($Q103=1,$Q103=2),1,0),IF($X103&lt;=20,1,0))</formula>
    </cfRule>
    <cfRule type="expression" priority="6288" dxfId="2">
      <formula>AND(IF($Q103=2,1,0),IF($X103&lt;30,1,0))</formula>
    </cfRule>
    <cfRule type="expression" priority="6289" dxfId="1">
      <formula>AND(IF($Q103=3,1,0),IF($X103&lt;30,1,0))</formula>
    </cfRule>
    <cfRule type="expression" priority="6290" dxfId="0">
      <formula>AND(IF($Q103=3,1,IF($Q103=4,1,0)),IF($F103&lt;=85,1,0))</formula>
    </cfRule>
  </conditionalFormatting>
  <conditionalFormatting sqref="AI103">
    <cfRule type="expression" priority="6283" dxfId="3">
      <formula>AND(IF(OR($Q103=1,$Q103=2),1,0),IF($X103&lt;=20,1,0))</formula>
    </cfRule>
    <cfRule type="expression" priority="6284" dxfId="2">
      <formula>AND(IF($Q103=2,1,0),IF($X103&lt;30,1,0))</formula>
    </cfRule>
    <cfRule type="expression" priority="6285" dxfId="1">
      <formula>AND(IF($Q103=3,1,0),IF($X103&lt;30,1,0))</formula>
    </cfRule>
    <cfRule type="expression" priority="6286" dxfId="0">
      <formula>AND(IF($Q103=3,1,IF($Q103=4,1,0)),IF($F103&lt;=85,1,0))</formula>
    </cfRule>
  </conditionalFormatting>
  <conditionalFormatting sqref="AV104">
    <cfRule type="expression" priority="6281" dxfId="23">
      <formula>AV104="X"</formula>
    </cfRule>
    <cfRule type="expression" priority="6282" dxfId="22">
      <formula>AV104="후보"</formula>
    </cfRule>
  </conditionalFormatting>
  <conditionalFormatting sqref="AC1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04">
    <cfRule type="expression" priority="6273" dxfId="3">
      <formula>AND(IF(OR($Q104=1,$Q104=2),1,0),IF($X104&lt;=20,1,0))</formula>
    </cfRule>
    <cfRule type="expression" priority="6274" dxfId="2">
      <formula>AND(IF($Q104=2,1,0),IF($X104&lt;30,1,0))</formula>
    </cfRule>
    <cfRule type="expression" priority="6275" dxfId="1">
      <formula>AND(IF($Q104=3,1,0),IF($X104&lt;30,1,0))</formula>
    </cfRule>
    <cfRule type="expression" priority="6276" dxfId="0">
      <formula>AND(IF($Q104=3,1,IF($Q104=4,1,0)),IF($F104&lt;=85,1,0))</formula>
    </cfRule>
  </conditionalFormatting>
  <conditionalFormatting sqref="X104">
    <cfRule type="expression" priority="6269" dxfId="3">
      <formula>AND(IF(OR($Q104=1,$Q104=2),1,0),IF($X104&lt;=20,1,0))</formula>
    </cfRule>
    <cfRule type="expression" priority="6270" dxfId="2">
      <formula>AND(IF($Q104=2,1,0),IF($X104&lt;30,1,0))</formula>
    </cfRule>
    <cfRule type="expression" priority="6271" dxfId="1">
      <formula>AND(IF($Q104=3,1,0),IF($X104&lt;30,1,0))</formula>
    </cfRule>
    <cfRule type="expression" priority="6272" dxfId="0">
      <formula>AND(IF($Q104=3,1,IF($Q104=4,1,0)),IF($F104&lt;=85,1,0))</formula>
    </cfRule>
  </conditionalFormatting>
  <conditionalFormatting sqref="AI104">
    <cfRule type="expression" priority="6265" dxfId="3">
      <formula>AND(IF(OR($Q104=1,$Q104=2),1,0),IF($X104&lt;=20,1,0))</formula>
    </cfRule>
    <cfRule type="expression" priority="6266" dxfId="2">
      <formula>AND(IF($Q104=2,1,0),IF($X104&lt;30,1,0))</formula>
    </cfRule>
    <cfRule type="expression" priority="6267" dxfId="1">
      <formula>AND(IF($Q104=3,1,0),IF($X104&lt;30,1,0))</formula>
    </cfRule>
    <cfRule type="expression" priority="6268" dxfId="0">
      <formula>AND(IF($Q104=3,1,IF($Q104=4,1,0)),IF($F104&lt;=85,1,0))</formula>
    </cfRule>
  </conditionalFormatting>
  <conditionalFormatting sqref="AV105">
    <cfRule type="expression" priority="6263" dxfId="23">
      <formula>AV105="X"</formula>
    </cfRule>
    <cfRule type="expression" priority="6264" dxfId="22">
      <formula>AV105="후보"</formula>
    </cfRule>
  </conditionalFormatting>
  <conditionalFormatting sqref="AC1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05">
    <cfRule type="expression" priority="6255" dxfId="3">
      <formula>AND(IF(OR($Q105=1,$Q105=2),1,0),IF($X105&lt;=20,1,0))</formula>
    </cfRule>
    <cfRule type="expression" priority="6256" dxfId="2">
      <formula>AND(IF($Q105=2,1,0),IF($X105&lt;30,1,0))</formula>
    </cfRule>
    <cfRule type="expression" priority="6257" dxfId="1">
      <formula>AND(IF($Q105=3,1,0),IF($X105&lt;30,1,0))</formula>
    </cfRule>
    <cfRule type="expression" priority="6258" dxfId="0">
      <formula>AND(IF($Q105=3,1,IF($Q105=4,1,0)),IF($F105&lt;=85,1,0))</formula>
    </cfRule>
  </conditionalFormatting>
  <conditionalFormatting sqref="X105">
    <cfRule type="expression" priority="6251" dxfId="3">
      <formula>AND(IF(OR($Q105=1,$Q105=2),1,0),IF($X105&lt;=20,1,0))</formula>
    </cfRule>
    <cfRule type="expression" priority="6252" dxfId="2">
      <formula>AND(IF($Q105=2,1,0),IF($X105&lt;30,1,0))</formula>
    </cfRule>
    <cfRule type="expression" priority="6253" dxfId="1">
      <formula>AND(IF($Q105=3,1,0),IF($X105&lt;30,1,0))</formula>
    </cfRule>
    <cfRule type="expression" priority="6254" dxfId="0">
      <formula>AND(IF($Q105=3,1,IF($Q105=4,1,0)),IF($F105&lt;=85,1,0))</formula>
    </cfRule>
  </conditionalFormatting>
  <conditionalFormatting sqref="AI105">
    <cfRule type="expression" priority="6247" dxfId="3">
      <formula>AND(IF(OR($Q105=1,$Q105=2),1,0),IF($X105&lt;=20,1,0))</formula>
    </cfRule>
    <cfRule type="expression" priority="6248" dxfId="2">
      <formula>AND(IF($Q105=2,1,0),IF($X105&lt;30,1,0))</formula>
    </cfRule>
    <cfRule type="expression" priority="6249" dxfId="1">
      <formula>AND(IF($Q105=3,1,0),IF($X105&lt;30,1,0))</formula>
    </cfRule>
    <cfRule type="expression" priority="6250" dxfId="0">
      <formula>AND(IF($Q105=3,1,IF($Q105=4,1,0)),IF($F105&lt;=85,1,0))</formula>
    </cfRule>
  </conditionalFormatting>
  <conditionalFormatting sqref="AV106">
    <cfRule type="expression" priority="6245" dxfId="23">
      <formula>AV106="X"</formula>
    </cfRule>
    <cfRule type="expression" priority="6246" dxfId="22">
      <formula>AV106="후보"</formula>
    </cfRule>
  </conditionalFormatting>
  <conditionalFormatting sqref="AC1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06">
    <cfRule type="expression" priority="6237" dxfId="3">
      <formula>AND(IF(OR($Q106=1,$Q106=2),1,0),IF($X106&lt;=20,1,0))</formula>
    </cfRule>
    <cfRule type="expression" priority="6238" dxfId="2">
      <formula>AND(IF($Q106=2,1,0),IF($X106&lt;30,1,0))</formula>
    </cfRule>
    <cfRule type="expression" priority="6239" dxfId="1">
      <formula>AND(IF($Q106=3,1,0),IF($X106&lt;30,1,0))</formula>
    </cfRule>
    <cfRule type="expression" priority="6240" dxfId="0">
      <formula>AND(IF($Q106=3,1,IF($Q106=4,1,0)),IF($F106&lt;=85,1,0))</formula>
    </cfRule>
  </conditionalFormatting>
  <conditionalFormatting sqref="X106">
    <cfRule type="expression" priority="6233" dxfId="3">
      <formula>AND(IF(OR($Q106=1,$Q106=2),1,0),IF($X106&lt;=20,1,0))</formula>
    </cfRule>
    <cfRule type="expression" priority="6234" dxfId="2">
      <formula>AND(IF($Q106=2,1,0),IF($X106&lt;30,1,0))</formula>
    </cfRule>
    <cfRule type="expression" priority="6235" dxfId="1">
      <formula>AND(IF($Q106=3,1,0),IF($X106&lt;30,1,0))</formula>
    </cfRule>
    <cfRule type="expression" priority="6236" dxfId="0">
      <formula>AND(IF($Q106=3,1,IF($Q106=4,1,0)),IF($F106&lt;=85,1,0))</formula>
    </cfRule>
  </conditionalFormatting>
  <conditionalFormatting sqref="AI106">
    <cfRule type="expression" priority="6229" dxfId="3">
      <formula>AND(IF(OR($Q106=1,$Q106=2),1,0),IF($X106&lt;=20,1,0))</formula>
    </cfRule>
    <cfRule type="expression" priority="6230" dxfId="2">
      <formula>AND(IF($Q106=2,1,0),IF($X106&lt;30,1,0))</formula>
    </cfRule>
    <cfRule type="expression" priority="6231" dxfId="1">
      <formula>AND(IF($Q106=3,1,0),IF($X106&lt;30,1,0))</formula>
    </cfRule>
    <cfRule type="expression" priority="6232" dxfId="0">
      <formula>AND(IF($Q106=3,1,IF($Q106=4,1,0)),IF($F106&lt;=85,1,0))</formula>
    </cfRule>
  </conditionalFormatting>
  <conditionalFormatting sqref="AV107">
    <cfRule type="expression" priority="6227" dxfId="23">
      <formula>AV107="X"</formula>
    </cfRule>
    <cfRule type="expression" priority="6228" dxfId="22">
      <formula>AV107="후보"</formula>
    </cfRule>
  </conditionalFormatting>
  <conditionalFormatting sqref="AC1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07">
    <cfRule type="expression" priority="6219" dxfId="3">
      <formula>AND(IF(OR($Q107=1,$Q107=2),1,0),IF($X107&lt;=20,1,0))</formula>
    </cfRule>
    <cfRule type="expression" priority="6220" dxfId="2">
      <formula>AND(IF($Q107=2,1,0),IF($X107&lt;30,1,0))</formula>
    </cfRule>
    <cfRule type="expression" priority="6221" dxfId="1">
      <formula>AND(IF($Q107=3,1,0),IF($X107&lt;30,1,0))</formula>
    </cfRule>
    <cfRule type="expression" priority="6222" dxfId="0">
      <formula>AND(IF($Q107=3,1,IF($Q107=4,1,0)),IF($F107&lt;=85,1,0))</formula>
    </cfRule>
  </conditionalFormatting>
  <conditionalFormatting sqref="X107">
    <cfRule type="expression" priority="6215" dxfId="3">
      <formula>AND(IF(OR($Q107=1,$Q107=2),1,0),IF($X107&lt;=20,1,0))</formula>
    </cfRule>
    <cfRule type="expression" priority="6216" dxfId="2">
      <formula>AND(IF($Q107=2,1,0),IF($X107&lt;30,1,0))</formula>
    </cfRule>
    <cfRule type="expression" priority="6217" dxfId="1">
      <formula>AND(IF($Q107=3,1,0),IF($X107&lt;30,1,0))</formula>
    </cfRule>
    <cfRule type="expression" priority="6218" dxfId="0">
      <formula>AND(IF($Q107=3,1,IF($Q107=4,1,0)),IF($F107&lt;=85,1,0))</formula>
    </cfRule>
  </conditionalFormatting>
  <conditionalFormatting sqref="AI107">
    <cfRule type="expression" priority="6211" dxfId="3">
      <formula>AND(IF(OR($Q107=1,$Q107=2),1,0),IF($X107&lt;=20,1,0))</formula>
    </cfRule>
    <cfRule type="expression" priority="6212" dxfId="2">
      <formula>AND(IF($Q107=2,1,0),IF($X107&lt;30,1,0))</formula>
    </cfRule>
    <cfRule type="expression" priority="6213" dxfId="1">
      <formula>AND(IF($Q107=3,1,0),IF($X107&lt;30,1,0))</formula>
    </cfRule>
    <cfRule type="expression" priority="6214" dxfId="0">
      <formula>AND(IF($Q107=3,1,IF($Q107=4,1,0)),IF($F107&lt;=85,1,0))</formula>
    </cfRule>
  </conditionalFormatting>
  <conditionalFormatting sqref="AV108">
    <cfRule type="expression" priority="6209" dxfId="23">
      <formula>AV108="X"</formula>
    </cfRule>
    <cfRule type="expression" priority="6210" dxfId="22">
      <formula>AV108="후보"</formula>
    </cfRule>
  </conditionalFormatting>
  <conditionalFormatting sqref="AC1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8">
    <cfRule type="expression" priority="6201" dxfId="3">
      <formula>AND(IF(OR($Q108=1,$Q108=2),1,0),IF($X108&lt;=20,1,0))</formula>
    </cfRule>
    <cfRule type="expression" priority="6202" dxfId="2">
      <formula>AND(IF($Q108=2,1,0),IF($X108&lt;30,1,0))</formula>
    </cfRule>
    <cfRule type="expression" priority="6203" dxfId="1">
      <formula>AND(IF($Q108=3,1,0),IF($X108&lt;30,1,0))</formula>
    </cfRule>
    <cfRule type="expression" priority="6204" dxfId="0">
      <formula>AND(IF($Q108=3,1,IF($Q108=4,1,0)),IF($F108&lt;=85,1,0))</formula>
    </cfRule>
  </conditionalFormatting>
  <conditionalFormatting sqref="X108">
    <cfRule type="expression" priority="6197" dxfId="3">
      <formula>AND(IF(OR($Q108=1,$Q108=2),1,0),IF($X108&lt;=20,1,0))</formula>
    </cfRule>
    <cfRule type="expression" priority="6198" dxfId="2">
      <formula>AND(IF($Q108=2,1,0),IF($X108&lt;30,1,0))</formula>
    </cfRule>
    <cfRule type="expression" priority="6199" dxfId="1">
      <formula>AND(IF($Q108=3,1,0),IF($X108&lt;30,1,0))</formula>
    </cfRule>
    <cfRule type="expression" priority="6200" dxfId="0">
      <formula>AND(IF($Q108=3,1,IF($Q108=4,1,0)),IF($F108&lt;=85,1,0))</formula>
    </cfRule>
  </conditionalFormatting>
  <conditionalFormatting sqref="AI108">
    <cfRule type="expression" priority="6193" dxfId="3">
      <formula>AND(IF(OR($Q108=1,$Q108=2),1,0),IF($X108&lt;=20,1,0))</formula>
    </cfRule>
    <cfRule type="expression" priority="6194" dxfId="2">
      <formula>AND(IF($Q108=2,1,0),IF($X108&lt;30,1,0))</formula>
    </cfRule>
    <cfRule type="expression" priority="6195" dxfId="1">
      <formula>AND(IF($Q108=3,1,0),IF($X108&lt;30,1,0))</formula>
    </cfRule>
    <cfRule type="expression" priority="6196" dxfId="0">
      <formula>AND(IF($Q108=3,1,IF($Q108=4,1,0)),IF($F108&lt;=85,1,0))</formula>
    </cfRule>
  </conditionalFormatting>
  <conditionalFormatting sqref="AV109">
    <cfRule type="expression" priority="6191" dxfId="23">
      <formula>AV109="X"</formula>
    </cfRule>
    <cfRule type="expression" priority="6192" dxfId="22">
      <formula>AV109="후보"</formula>
    </cfRule>
  </conditionalFormatting>
  <conditionalFormatting sqref="AC1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09">
    <cfRule type="expression" priority="6183" dxfId="3">
      <formula>AND(IF(OR($Q109=1,$Q109=2),1,0),IF($X109&lt;=20,1,0))</formula>
    </cfRule>
    <cfRule type="expression" priority="6184" dxfId="2">
      <formula>AND(IF($Q109=2,1,0),IF($X109&lt;30,1,0))</formula>
    </cfRule>
    <cfRule type="expression" priority="6185" dxfId="1">
      <formula>AND(IF($Q109=3,1,0),IF($X109&lt;30,1,0))</formula>
    </cfRule>
    <cfRule type="expression" priority="6186" dxfId="0">
      <formula>AND(IF($Q109=3,1,IF($Q109=4,1,0)),IF($F109&lt;=85,1,0))</formula>
    </cfRule>
  </conditionalFormatting>
  <conditionalFormatting sqref="X109">
    <cfRule type="expression" priority="6179" dxfId="3">
      <formula>AND(IF(OR($Q109=1,$Q109=2),1,0),IF($X109&lt;=20,1,0))</formula>
    </cfRule>
    <cfRule type="expression" priority="6180" dxfId="2">
      <formula>AND(IF($Q109=2,1,0),IF($X109&lt;30,1,0))</formula>
    </cfRule>
    <cfRule type="expression" priority="6181" dxfId="1">
      <formula>AND(IF($Q109=3,1,0),IF($X109&lt;30,1,0))</formula>
    </cfRule>
    <cfRule type="expression" priority="6182" dxfId="0">
      <formula>AND(IF($Q109=3,1,IF($Q109=4,1,0)),IF($F109&lt;=85,1,0))</formula>
    </cfRule>
  </conditionalFormatting>
  <conditionalFormatting sqref="AI109">
    <cfRule type="expression" priority="6175" dxfId="3">
      <formula>AND(IF(OR($Q109=1,$Q109=2),1,0),IF($X109&lt;=20,1,0))</formula>
    </cfRule>
    <cfRule type="expression" priority="6176" dxfId="2">
      <formula>AND(IF($Q109=2,1,0),IF($X109&lt;30,1,0))</formula>
    </cfRule>
    <cfRule type="expression" priority="6177" dxfId="1">
      <formula>AND(IF($Q109=3,1,0),IF($X109&lt;30,1,0))</formula>
    </cfRule>
    <cfRule type="expression" priority="6178" dxfId="0">
      <formula>AND(IF($Q109=3,1,IF($Q109=4,1,0)),IF($F109&lt;=85,1,0))</formula>
    </cfRule>
  </conditionalFormatting>
  <conditionalFormatting sqref="AV110">
    <cfRule type="expression" priority="6173" dxfId="23">
      <formula>AV110="X"</formula>
    </cfRule>
    <cfRule type="expression" priority="6174" dxfId="22">
      <formula>AV110="후보"</formula>
    </cfRule>
  </conditionalFormatting>
  <conditionalFormatting sqref="AC1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10">
    <cfRule type="expression" priority="6165" dxfId="3">
      <formula>AND(IF(OR($Q110=1,$Q110=2),1,0),IF($X110&lt;=20,1,0))</formula>
    </cfRule>
    <cfRule type="expression" priority="6166" dxfId="2">
      <formula>AND(IF($Q110=2,1,0),IF($X110&lt;30,1,0))</formula>
    </cfRule>
    <cfRule type="expression" priority="6167" dxfId="1">
      <formula>AND(IF($Q110=3,1,0),IF($X110&lt;30,1,0))</formula>
    </cfRule>
    <cfRule type="expression" priority="6168" dxfId="0">
      <formula>AND(IF($Q110=3,1,IF($Q110=4,1,0)),IF($F110&lt;=85,1,0))</formula>
    </cfRule>
  </conditionalFormatting>
  <conditionalFormatting sqref="X110">
    <cfRule type="expression" priority="6161" dxfId="3">
      <formula>AND(IF(OR($Q110=1,$Q110=2),1,0),IF($X110&lt;=20,1,0))</formula>
    </cfRule>
    <cfRule type="expression" priority="6162" dxfId="2">
      <formula>AND(IF($Q110=2,1,0),IF($X110&lt;30,1,0))</formula>
    </cfRule>
    <cfRule type="expression" priority="6163" dxfId="1">
      <formula>AND(IF($Q110=3,1,0),IF($X110&lt;30,1,0))</formula>
    </cfRule>
    <cfRule type="expression" priority="6164" dxfId="0">
      <formula>AND(IF($Q110=3,1,IF($Q110=4,1,0)),IF($F110&lt;=85,1,0))</formula>
    </cfRule>
  </conditionalFormatting>
  <conditionalFormatting sqref="AI110">
    <cfRule type="expression" priority="6157" dxfId="3">
      <formula>AND(IF(OR($Q110=1,$Q110=2),1,0),IF($X110&lt;=20,1,0))</formula>
    </cfRule>
    <cfRule type="expression" priority="6158" dxfId="2">
      <formula>AND(IF($Q110=2,1,0),IF($X110&lt;30,1,0))</formula>
    </cfRule>
    <cfRule type="expression" priority="6159" dxfId="1">
      <formula>AND(IF($Q110=3,1,0),IF($X110&lt;30,1,0))</formula>
    </cfRule>
    <cfRule type="expression" priority="6160" dxfId="0">
      <formula>AND(IF($Q110=3,1,IF($Q110=4,1,0)),IF($F110&lt;=85,1,0))</formula>
    </cfRule>
  </conditionalFormatting>
  <conditionalFormatting sqref="AV111">
    <cfRule type="expression" priority="6155" dxfId="23">
      <formula>AV111="X"</formula>
    </cfRule>
    <cfRule type="expression" priority="6156" dxfId="22">
      <formula>AV111="후보"</formula>
    </cfRule>
  </conditionalFormatting>
  <conditionalFormatting sqref="AC1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11">
    <cfRule type="expression" priority="6147" dxfId="3">
      <formula>AND(IF(OR($Q111=1,$Q111=2),1,0),IF($X111&lt;=20,1,0))</formula>
    </cfRule>
    <cfRule type="expression" priority="6148" dxfId="2">
      <formula>AND(IF($Q111=2,1,0),IF($X111&lt;30,1,0))</formula>
    </cfRule>
    <cfRule type="expression" priority="6149" dxfId="1">
      <formula>AND(IF($Q111=3,1,0),IF($X111&lt;30,1,0))</formula>
    </cfRule>
    <cfRule type="expression" priority="6150" dxfId="0">
      <formula>AND(IF($Q111=3,1,IF($Q111=4,1,0)),IF($F111&lt;=85,1,0))</formula>
    </cfRule>
  </conditionalFormatting>
  <conditionalFormatting sqref="X111">
    <cfRule type="expression" priority="6143" dxfId="3">
      <formula>AND(IF(OR($Q111=1,$Q111=2),1,0),IF($X111&lt;=20,1,0))</formula>
    </cfRule>
    <cfRule type="expression" priority="6144" dxfId="2">
      <formula>AND(IF($Q111=2,1,0),IF($X111&lt;30,1,0))</formula>
    </cfRule>
    <cfRule type="expression" priority="6145" dxfId="1">
      <formula>AND(IF($Q111=3,1,0),IF($X111&lt;30,1,0))</formula>
    </cfRule>
    <cfRule type="expression" priority="6146" dxfId="0">
      <formula>AND(IF($Q111=3,1,IF($Q111=4,1,0)),IF($F111&lt;=85,1,0))</formula>
    </cfRule>
  </conditionalFormatting>
  <conditionalFormatting sqref="AI111">
    <cfRule type="expression" priority="6139" dxfId="3">
      <formula>AND(IF(OR($Q111=1,$Q111=2),1,0),IF($X111&lt;=20,1,0))</formula>
    </cfRule>
    <cfRule type="expression" priority="6140" dxfId="2">
      <formula>AND(IF($Q111=2,1,0),IF($X111&lt;30,1,0))</formula>
    </cfRule>
    <cfRule type="expression" priority="6141" dxfId="1">
      <formula>AND(IF($Q111=3,1,0),IF($X111&lt;30,1,0))</formula>
    </cfRule>
    <cfRule type="expression" priority="6142" dxfId="0">
      <formula>AND(IF($Q111=3,1,IF($Q111=4,1,0)),IF($F111&lt;=85,1,0))</formula>
    </cfRule>
  </conditionalFormatting>
  <conditionalFormatting sqref="AV112">
    <cfRule type="expression" priority="6137" dxfId="23">
      <formula>AV112="X"</formula>
    </cfRule>
    <cfRule type="expression" priority="6138" dxfId="22">
      <formula>AV112="후보"</formula>
    </cfRule>
  </conditionalFormatting>
  <conditionalFormatting sqref="AC1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12">
    <cfRule type="expression" priority="6129" dxfId="3">
      <formula>AND(IF(OR($Q112=1,$Q112=2),1,0),IF($X112&lt;=20,1,0))</formula>
    </cfRule>
    <cfRule type="expression" priority="6130" dxfId="2">
      <formula>AND(IF($Q112=2,1,0),IF($X112&lt;30,1,0))</formula>
    </cfRule>
    <cfRule type="expression" priority="6131" dxfId="1">
      <formula>AND(IF($Q112=3,1,0),IF($X112&lt;30,1,0))</formula>
    </cfRule>
    <cfRule type="expression" priority="6132" dxfId="0">
      <formula>AND(IF($Q112=3,1,IF($Q112=4,1,0)),IF($F112&lt;=85,1,0))</formula>
    </cfRule>
  </conditionalFormatting>
  <conditionalFormatting sqref="X112">
    <cfRule type="expression" priority="6125" dxfId="3">
      <formula>AND(IF(OR($Q112=1,$Q112=2),1,0),IF($X112&lt;=20,1,0))</formula>
    </cfRule>
    <cfRule type="expression" priority="6126" dxfId="2">
      <formula>AND(IF($Q112=2,1,0),IF($X112&lt;30,1,0))</formula>
    </cfRule>
    <cfRule type="expression" priority="6127" dxfId="1">
      <formula>AND(IF($Q112=3,1,0),IF($X112&lt;30,1,0))</formula>
    </cfRule>
    <cfRule type="expression" priority="6128" dxfId="0">
      <formula>AND(IF($Q112=3,1,IF($Q112=4,1,0)),IF($F112&lt;=85,1,0))</formula>
    </cfRule>
  </conditionalFormatting>
  <conditionalFormatting sqref="AI112">
    <cfRule type="expression" priority="6121" dxfId="3">
      <formula>AND(IF(OR($Q112=1,$Q112=2),1,0),IF($X112&lt;=20,1,0))</formula>
    </cfRule>
    <cfRule type="expression" priority="6122" dxfId="2">
      <formula>AND(IF($Q112=2,1,0),IF($X112&lt;30,1,0))</formula>
    </cfRule>
    <cfRule type="expression" priority="6123" dxfId="1">
      <formula>AND(IF($Q112=3,1,0),IF($X112&lt;30,1,0))</formula>
    </cfRule>
    <cfRule type="expression" priority="6124" dxfId="0">
      <formula>AND(IF($Q112=3,1,IF($Q112=4,1,0)),IF($F112&lt;=85,1,0))</formula>
    </cfRule>
  </conditionalFormatting>
  <conditionalFormatting sqref="AV113">
    <cfRule type="expression" priority="6119" dxfId="23">
      <formula>AV113="X"</formula>
    </cfRule>
    <cfRule type="expression" priority="6120" dxfId="22">
      <formula>AV113="후보"</formula>
    </cfRule>
  </conditionalFormatting>
  <conditionalFormatting sqref="AC1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13">
    <cfRule type="expression" priority="6111" dxfId="3">
      <formula>AND(IF(OR($Q113=1,$Q113=2),1,0),IF($X113&lt;=20,1,0))</formula>
    </cfRule>
    <cfRule type="expression" priority="6112" dxfId="2">
      <formula>AND(IF($Q113=2,1,0),IF($X113&lt;30,1,0))</formula>
    </cfRule>
    <cfRule type="expression" priority="6113" dxfId="1">
      <formula>AND(IF($Q113=3,1,0),IF($X113&lt;30,1,0))</formula>
    </cfRule>
    <cfRule type="expression" priority="6114" dxfId="0">
      <formula>AND(IF($Q113=3,1,IF($Q113=4,1,0)),IF($F113&lt;=85,1,0))</formula>
    </cfRule>
  </conditionalFormatting>
  <conditionalFormatting sqref="X113">
    <cfRule type="expression" priority="6107" dxfId="3">
      <formula>AND(IF(OR($Q113=1,$Q113=2),1,0),IF($X113&lt;=20,1,0))</formula>
    </cfRule>
    <cfRule type="expression" priority="6108" dxfId="2">
      <formula>AND(IF($Q113=2,1,0),IF($X113&lt;30,1,0))</formula>
    </cfRule>
    <cfRule type="expression" priority="6109" dxfId="1">
      <formula>AND(IF($Q113=3,1,0),IF($X113&lt;30,1,0))</formula>
    </cfRule>
    <cfRule type="expression" priority="6110" dxfId="0">
      <formula>AND(IF($Q113=3,1,IF($Q113=4,1,0)),IF($F113&lt;=85,1,0))</formula>
    </cfRule>
  </conditionalFormatting>
  <conditionalFormatting sqref="AI113">
    <cfRule type="expression" priority="6103" dxfId="3">
      <formula>AND(IF(OR($Q113=1,$Q113=2),1,0),IF($X113&lt;=20,1,0))</formula>
    </cfRule>
    <cfRule type="expression" priority="6104" dxfId="2">
      <formula>AND(IF($Q113=2,1,0),IF($X113&lt;30,1,0))</formula>
    </cfRule>
    <cfRule type="expression" priority="6105" dxfId="1">
      <formula>AND(IF($Q113=3,1,0),IF($X113&lt;30,1,0))</formula>
    </cfRule>
    <cfRule type="expression" priority="6106" dxfId="0">
      <formula>AND(IF($Q113=3,1,IF($Q113=4,1,0)),IF($F113&lt;=85,1,0))</formula>
    </cfRule>
  </conditionalFormatting>
  <conditionalFormatting sqref="AV114">
    <cfRule type="expression" priority="6101" dxfId="23">
      <formula>AV114="X"</formula>
    </cfRule>
    <cfRule type="expression" priority="6102" dxfId="22">
      <formula>AV114="후보"</formula>
    </cfRule>
  </conditionalFormatting>
  <conditionalFormatting sqref="AC1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14">
    <cfRule type="expression" priority="6093" dxfId="3">
      <formula>AND(IF(OR($Q114=1,$Q114=2),1,0),IF($X114&lt;=20,1,0))</formula>
    </cfRule>
    <cfRule type="expression" priority="6094" dxfId="2">
      <formula>AND(IF($Q114=2,1,0),IF($X114&lt;30,1,0))</formula>
    </cfRule>
    <cfRule type="expression" priority="6095" dxfId="1">
      <formula>AND(IF($Q114=3,1,0),IF($X114&lt;30,1,0))</formula>
    </cfRule>
    <cfRule type="expression" priority="6096" dxfId="0">
      <formula>AND(IF($Q114=3,1,IF($Q114=4,1,0)),IF($F114&lt;=85,1,0))</formula>
    </cfRule>
  </conditionalFormatting>
  <conditionalFormatting sqref="X114">
    <cfRule type="expression" priority="6089" dxfId="3">
      <formula>AND(IF(OR($Q114=1,$Q114=2),1,0),IF($X114&lt;=20,1,0))</formula>
    </cfRule>
    <cfRule type="expression" priority="6090" dxfId="2">
      <formula>AND(IF($Q114=2,1,0),IF($X114&lt;30,1,0))</formula>
    </cfRule>
    <cfRule type="expression" priority="6091" dxfId="1">
      <formula>AND(IF($Q114=3,1,0),IF($X114&lt;30,1,0))</formula>
    </cfRule>
    <cfRule type="expression" priority="6092" dxfId="0">
      <formula>AND(IF($Q114=3,1,IF($Q114=4,1,0)),IF($F114&lt;=85,1,0))</formula>
    </cfRule>
  </conditionalFormatting>
  <conditionalFormatting sqref="AI114">
    <cfRule type="expression" priority="6085" dxfId="3">
      <formula>AND(IF(OR($Q114=1,$Q114=2),1,0),IF($X114&lt;=20,1,0))</formula>
    </cfRule>
    <cfRule type="expression" priority="6086" dxfId="2">
      <formula>AND(IF($Q114=2,1,0),IF($X114&lt;30,1,0))</formula>
    </cfRule>
    <cfRule type="expression" priority="6087" dxfId="1">
      <formula>AND(IF($Q114=3,1,0),IF($X114&lt;30,1,0))</formula>
    </cfRule>
    <cfRule type="expression" priority="6088" dxfId="0">
      <formula>AND(IF($Q114=3,1,IF($Q114=4,1,0)),IF($F114&lt;=85,1,0))</formula>
    </cfRule>
  </conditionalFormatting>
  <conditionalFormatting sqref="AV115">
    <cfRule type="expression" priority="6083" dxfId="23">
      <formula>AV115="X"</formula>
    </cfRule>
    <cfRule type="expression" priority="6084" dxfId="22">
      <formula>AV115="후보"</formula>
    </cfRule>
  </conditionalFormatting>
  <conditionalFormatting sqref="AC1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15">
    <cfRule type="expression" priority="6075" dxfId="3">
      <formula>AND(IF(OR($Q115=1,$Q115=2),1,0),IF($X115&lt;=20,1,0))</formula>
    </cfRule>
    <cfRule type="expression" priority="6076" dxfId="2">
      <formula>AND(IF($Q115=2,1,0),IF($X115&lt;30,1,0))</formula>
    </cfRule>
    <cfRule type="expression" priority="6077" dxfId="1">
      <formula>AND(IF($Q115=3,1,0),IF($X115&lt;30,1,0))</formula>
    </cfRule>
    <cfRule type="expression" priority="6078" dxfId="0">
      <formula>AND(IF($Q115=3,1,IF($Q115=4,1,0)),IF($F115&lt;=85,1,0))</formula>
    </cfRule>
  </conditionalFormatting>
  <conditionalFormatting sqref="X115">
    <cfRule type="expression" priority="6071" dxfId="3">
      <formula>AND(IF(OR($Q115=1,$Q115=2),1,0),IF($X115&lt;=20,1,0))</formula>
    </cfRule>
    <cfRule type="expression" priority="6072" dxfId="2">
      <formula>AND(IF($Q115=2,1,0),IF($X115&lt;30,1,0))</formula>
    </cfRule>
    <cfRule type="expression" priority="6073" dxfId="1">
      <formula>AND(IF($Q115=3,1,0),IF($X115&lt;30,1,0))</formula>
    </cfRule>
    <cfRule type="expression" priority="6074" dxfId="0">
      <formula>AND(IF($Q115=3,1,IF($Q115=4,1,0)),IF($F115&lt;=85,1,0))</formula>
    </cfRule>
  </conditionalFormatting>
  <conditionalFormatting sqref="AI115">
    <cfRule type="expression" priority="6067" dxfId="3">
      <formula>AND(IF(OR($Q115=1,$Q115=2),1,0),IF($X115&lt;=20,1,0))</formula>
    </cfRule>
    <cfRule type="expression" priority="6068" dxfId="2">
      <formula>AND(IF($Q115=2,1,0),IF($X115&lt;30,1,0))</formula>
    </cfRule>
    <cfRule type="expression" priority="6069" dxfId="1">
      <formula>AND(IF($Q115=3,1,0),IF($X115&lt;30,1,0))</formula>
    </cfRule>
    <cfRule type="expression" priority="6070" dxfId="0">
      <formula>AND(IF($Q115=3,1,IF($Q115=4,1,0)),IF($F115&lt;=85,1,0))</formula>
    </cfRule>
  </conditionalFormatting>
  <conditionalFormatting sqref="AV116">
    <cfRule type="expression" priority="6065" dxfId="23">
      <formula>AV116="X"</formula>
    </cfRule>
    <cfRule type="expression" priority="6066" dxfId="22">
      <formula>AV116="후보"</formula>
    </cfRule>
  </conditionalFormatting>
  <conditionalFormatting sqref="AC1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16">
    <cfRule type="expression" priority="6057" dxfId="3">
      <formula>AND(IF(OR($Q116=1,$Q116=2),1,0),IF($X116&lt;=20,1,0))</formula>
    </cfRule>
    <cfRule type="expression" priority="6058" dxfId="2">
      <formula>AND(IF($Q116=2,1,0),IF($X116&lt;30,1,0))</formula>
    </cfRule>
    <cfRule type="expression" priority="6059" dxfId="1">
      <formula>AND(IF($Q116=3,1,0),IF($X116&lt;30,1,0))</formula>
    </cfRule>
    <cfRule type="expression" priority="6060" dxfId="0">
      <formula>AND(IF($Q116=3,1,IF($Q116=4,1,0)),IF($F116&lt;=85,1,0))</formula>
    </cfRule>
  </conditionalFormatting>
  <conditionalFormatting sqref="X116">
    <cfRule type="expression" priority="6053" dxfId="3">
      <formula>AND(IF(OR($Q116=1,$Q116=2),1,0),IF($X116&lt;=20,1,0))</formula>
    </cfRule>
    <cfRule type="expression" priority="6054" dxfId="2">
      <formula>AND(IF($Q116=2,1,0),IF($X116&lt;30,1,0))</formula>
    </cfRule>
    <cfRule type="expression" priority="6055" dxfId="1">
      <formula>AND(IF($Q116=3,1,0),IF($X116&lt;30,1,0))</formula>
    </cfRule>
    <cfRule type="expression" priority="6056" dxfId="0">
      <formula>AND(IF($Q116=3,1,IF($Q116=4,1,0)),IF($F116&lt;=85,1,0))</formula>
    </cfRule>
  </conditionalFormatting>
  <conditionalFormatting sqref="AI116">
    <cfRule type="expression" priority="6049" dxfId="3">
      <formula>AND(IF(OR($Q116=1,$Q116=2),1,0),IF($X116&lt;=20,1,0))</formula>
    </cfRule>
    <cfRule type="expression" priority="6050" dxfId="2">
      <formula>AND(IF($Q116=2,1,0),IF($X116&lt;30,1,0))</formula>
    </cfRule>
    <cfRule type="expression" priority="6051" dxfId="1">
      <formula>AND(IF($Q116=3,1,0),IF($X116&lt;30,1,0))</formula>
    </cfRule>
    <cfRule type="expression" priority="6052" dxfId="0">
      <formula>AND(IF($Q116=3,1,IF($Q116=4,1,0)),IF($F116&lt;=85,1,0))</formula>
    </cfRule>
  </conditionalFormatting>
  <conditionalFormatting sqref="AV117">
    <cfRule type="expression" priority="6047" dxfId="23">
      <formula>AV117="X"</formula>
    </cfRule>
    <cfRule type="expression" priority="6048" dxfId="22">
      <formula>AV117="후보"</formula>
    </cfRule>
  </conditionalFormatting>
  <conditionalFormatting sqref="AC1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17">
    <cfRule type="expression" priority="6039" dxfId="3">
      <formula>AND(IF(OR($Q117=1,$Q117=2),1,0),IF($X117&lt;=20,1,0))</formula>
    </cfRule>
    <cfRule type="expression" priority="6040" dxfId="2">
      <formula>AND(IF($Q117=2,1,0),IF($X117&lt;30,1,0))</formula>
    </cfRule>
    <cfRule type="expression" priority="6041" dxfId="1">
      <formula>AND(IF($Q117=3,1,0),IF($X117&lt;30,1,0))</formula>
    </cfRule>
    <cfRule type="expression" priority="6042" dxfId="0">
      <formula>AND(IF($Q117=3,1,IF($Q117=4,1,0)),IF($F117&lt;=85,1,0))</formula>
    </cfRule>
  </conditionalFormatting>
  <conditionalFormatting sqref="X117">
    <cfRule type="expression" priority="6035" dxfId="3">
      <formula>AND(IF(OR($Q117=1,$Q117=2),1,0),IF($X117&lt;=20,1,0))</formula>
    </cfRule>
    <cfRule type="expression" priority="6036" dxfId="2">
      <formula>AND(IF($Q117=2,1,0),IF($X117&lt;30,1,0))</formula>
    </cfRule>
    <cfRule type="expression" priority="6037" dxfId="1">
      <formula>AND(IF($Q117=3,1,0),IF($X117&lt;30,1,0))</formula>
    </cfRule>
    <cfRule type="expression" priority="6038" dxfId="0">
      <formula>AND(IF($Q117=3,1,IF($Q117=4,1,0)),IF($F117&lt;=85,1,0))</formula>
    </cfRule>
  </conditionalFormatting>
  <conditionalFormatting sqref="AI117">
    <cfRule type="expression" priority="6031" dxfId="3">
      <formula>AND(IF(OR($Q117=1,$Q117=2),1,0),IF($X117&lt;=20,1,0))</formula>
    </cfRule>
    <cfRule type="expression" priority="6032" dxfId="2">
      <formula>AND(IF($Q117=2,1,0),IF($X117&lt;30,1,0))</formula>
    </cfRule>
    <cfRule type="expression" priority="6033" dxfId="1">
      <formula>AND(IF($Q117=3,1,0),IF($X117&lt;30,1,0))</formula>
    </cfRule>
    <cfRule type="expression" priority="6034" dxfId="0">
      <formula>AND(IF($Q117=3,1,IF($Q117=4,1,0)),IF($F117&lt;=85,1,0))</formula>
    </cfRule>
  </conditionalFormatting>
  <conditionalFormatting sqref="AV118">
    <cfRule type="expression" priority="6029" dxfId="23">
      <formula>AV118="X"</formula>
    </cfRule>
    <cfRule type="expression" priority="6030" dxfId="22">
      <formula>AV118="후보"</formula>
    </cfRule>
  </conditionalFormatting>
  <conditionalFormatting sqref="AC1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18">
    <cfRule type="expression" priority="6021" dxfId="3">
      <formula>AND(IF(OR($Q118=1,$Q118=2),1,0),IF($X118&lt;=20,1,0))</formula>
    </cfRule>
    <cfRule type="expression" priority="6022" dxfId="2">
      <formula>AND(IF($Q118=2,1,0),IF($X118&lt;30,1,0))</formula>
    </cfRule>
    <cfRule type="expression" priority="6023" dxfId="1">
      <formula>AND(IF($Q118=3,1,0),IF($X118&lt;30,1,0))</formula>
    </cfRule>
    <cfRule type="expression" priority="6024" dxfId="0">
      <formula>AND(IF($Q118=3,1,IF($Q118=4,1,0)),IF($F118&lt;=85,1,0))</formula>
    </cfRule>
  </conditionalFormatting>
  <conditionalFormatting sqref="X118">
    <cfRule type="expression" priority="6017" dxfId="3">
      <formula>AND(IF(OR($Q118=1,$Q118=2),1,0),IF($X118&lt;=20,1,0))</formula>
    </cfRule>
    <cfRule type="expression" priority="6018" dxfId="2">
      <formula>AND(IF($Q118=2,1,0),IF($X118&lt;30,1,0))</formula>
    </cfRule>
    <cfRule type="expression" priority="6019" dxfId="1">
      <formula>AND(IF($Q118=3,1,0),IF($X118&lt;30,1,0))</formula>
    </cfRule>
    <cfRule type="expression" priority="6020" dxfId="0">
      <formula>AND(IF($Q118=3,1,IF($Q118=4,1,0)),IF($F118&lt;=85,1,0))</formula>
    </cfRule>
  </conditionalFormatting>
  <conditionalFormatting sqref="AI118">
    <cfRule type="expression" priority="6013" dxfId="3">
      <formula>AND(IF(OR($Q118=1,$Q118=2),1,0),IF($X118&lt;=20,1,0))</formula>
    </cfRule>
    <cfRule type="expression" priority="6014" dxfId="2">
      <formula>AND(IF($Q118=2,1,0),IF($X118&lt;30,1,0))</formula>
    </cfRule>
    <cfRule type="expression" priority="6015" dxfId="1">
      <formula>AND(IF($Q118=3,1,0),IF($X118&lt;30,1,0))</formula>
    </cfRule>
    <cfRule type="expression" priority="6016" dxfId="0">
      <formula>AND(IF($Q118=3,1,IF($Q118=4,1,0)),IF($F118&lt;=85,1,0))</formula>
    </cfRule>
  </conditionalFormatting>
  <conditionalFormatting sqref="AV119">
    <cfRule type="expression" priority="6011" dxfId="23">
      <formula>AV119="X"</formula>
    </cfRule>
    <cfRule type="expression" priority="6012" dxfId="22">
      <formula>AV119="후보"</formula>
    </cfRule>
  </conditionalFormatting>
  <conditionalFormatting sqref="AC1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19">
    <cfRule type="expression" priority="6003" dxfId="3">
      <formula>AND(IF(OR($Q119=1,$Q119=2),1,0),IF($X119&lt;=20,1,0))</formula>
    </cfRule>
    <cfRule type="expression" priority="6004" dxfId="2">
      <formula>AND(IF($Q119=2,1,0),IF($X119&lt;30,1,0))</formula>
    </cfRule>
    <cfRule type="expression" priority="6005" dxfId="1">
      <formula>AND(IF($Q119=3,1,0),IF($X119&lt;30,1,0))</formula>
    </cfRule>
    <cfRule type="expression" priority="6006" dxfId="0">
      <formula>AND(IF($Q119=3,1,IF($Q119=4,1,0)),IF($F119&lt;=85,1,0))</formula>
    </cfRule>
  </conditionalFormatting>
  <conditionalFormatting sqref="X119">
    <cfRule type="expression" priority="5999" dxfId="3">
      <formula>AND(IF(OR($Q119=1,$Q119=2),1,0),IF($X119&lt;=20,1,0))</formula>
    </cfRule>
    <cfRule type="expression" priority="6000" dxfId="2">
      <formula>AND(IF($Q119=2,1,0),IF($X119&lt;30,1,0))</formula>
    </cfRule>
    <cfRule type="expression" priority="6001" dxfId="1">
      <formula>AND(IF($Q119=3,1,0),IF($X119&lt;30,1,0))</formula>
    </cfRule>
    <cfRule type="expression" priority="6002" dxfId="0">
      <formula>AND(IF($Q119=3,1,IF($Q119=4,1,0)),IF($F119&lt;=85,1,0))</formula>
    </cfRule>
  </conditionalFormatting>
  <conditionalFormatting sqref="AI119">
    <cfRule type="expression" priority="5995" dxfId="3">
      <formula>AND(IF(OR($Q119=1,$Q119=2),1,0),IF($X119&lt;=20,1,0))</formula>
    </cfRule>
    <cfRule type="expression" priority="5996" dxfId="2">
      <formula>AND(IF($Q119=2,1,0),IF($X119&lt;30,1,0))</formula>
    </cfRule>
    <cfRule type="expression" priority="5997" dxfId="1">
      <formula>AND(IF($Q119=3,1,0),IF($X119&lt;30,1,0))</formula>
    </cfRule>
    <cfRule type="expression" priority="5998" dxfId="0">
      <formula>AND(IF($Q119=3,1,IF($Q119=4,1,0)),IF($F119&lt;=85,1,0))</formula>
    </cfRule>
  </conditionalFormatting>
  <conditionalFormatting sqref="AV120">
    <cfRule type="expression" priority="5993" dxfId="23">
      <formula>AV120="X"</formula>
    </cfRule>
    <cfRule type="expression" priority="5994" dxfId="22">
      <formula>AV120="후보"</formula>
    </cfRule>
  </conditionalFormatting>
  <conditionalFormatting sqref="AC1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20">
    <cfRule type="expression" priority="5985" dxfId="3">
      <formula>AND(IF(OR($Q120=1,$Q120=2),1,0),IF($X120&lt;=20,1,0))</formula>
    </cfRule>
    <cfRule type="expression" priority="5986" dxfId="2">
      <formula>AND(IF($Q120=2,1,0),IF($X120&lt;30,1,0))</formula>
    </cfRule>
    <cfRule type="expression" priority="5987" dxfId="1">
      <formula>AND(IF($Q120=3,1,0),IF($X120&lt;30,1,0))</formula>
    </cfRule>
    <cfRule type="expression" priority="5988" dxfId="0">
      <formula>AND(IF($Q120=3,1,IF($Q120=4,1,0)),IF($F120&lt;=85,1,0))</formula>
    </cfRule>
  </conditionalFormatting>
  <conditionalFormatting sqref="X120">
    <cfRule type="expression" priority="5981" dxfId="3">
      <formula>AND(IF(OR($Q120=1,$Q120=2),1,0),IF($X120&lt;=20,1,0))</formula>
    </cfRule>
    <cfRule type="expression" priority="5982" dxfId="2">
      <formula>AND(IF($Q120=2,1,0),IF($X120&lt;30,1,0))</formula>
    </cfRule>
    <cfRule type="expression" priority="5983" dxfId="1">
      <formula>AND(IF($Q120=3,1,0),IF($X120&lt;30,1,0))</formula>
    </cfRule>
    <cfRule type="expression" priority="5984" dxfId="0">
      <formula>AND(IF($Q120=3,1,IF($Q120=4,1,0)),IF($F120&lt;=85,1,0))</formula>
    </cfRule>
  </conditionalFormatting>
  <conditionalFormatting sqref="AI120">
    <cfRule type="expression" priority="5977" dxfId="3">
      <formula>AND(IF(OR($Q120=1,$Q120=2),1,0),IF($X120&lt;=20,1,0))</formula>
    </cfRule>
    <cfRule type="expression" priority="5978" dxfId="2">
      <formula>AND(IF($Q120=2,1,0),IF($X120&lt;30,1,0))</formula>
    </cfRule>
    <cfRule type="expression" priority="5979" dxfId="1">
      <formula>AND(IF($Q120=3,1,0),IF($X120&lt;30,1,0))</formula>
    </cfRule>
    <cfRule type="expression" priority="5980" dxfId="0">
      <formula>AND(IF($Q120=3,1,IF($Q120=4,1,0)),IF($F120&lt;=85,1,0))</formula>
    </cfRule>
  </conditionalFormatting>
  <conditionalFormatting sqref="AV121">
    <cfRule type="expression" priority="5975" dxfId="23">
      <formula>AV121="X"</formula>
    </cfRule>
    <cfRule type="expression" priority="5976" dxfId="22">
      <formula>AV121="후보"</formula>
    </cfRule>
  </conditionalFormatting>
  <conditionalFormatting sqref="AC1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21">
    <cfRule type="expression" priority="5967" dxfId="3">
      <formula>AND(IF(OR($Q121=1,$Q121=2),1,0),IF($X121&lt;=20,1,0))</formula>
    </cfRule>
    <cfRule type="expression" priority="5968" dxfId="2">
      <formula>AND(IF($Q121=2,1,0),IF($X121&lt;30,1,0))</formula>
    </cfRule>
    <cfRule type="expression" priority="5969" dxfId="1">
      <formula>AND(IF($Q121=3,1,0),IF($X121&lt;30,1,0))</formula>
    </cfRule>
    <cfRule type="expression" priority="5970" dxfId="0">
      <formula>AND(IF($Q121=3,1,IF($Q121=4,1,0)),IF($F121&lt;=85,1,0))</formula>
    </cfRule>
  </conditionalFormatting>
  <conditionalFormatting sqref="X121">
    <cfRule type="expression" priority="5963" dxfId="3">
      <formula>AND(IF(OR($Q121=1,$Q121=2),1,0),IF($X121&lt;=20,1,0))</formula>
    </cfRule>
    <cfRule type="expression" priority="5964" dxfId="2">
      <formula>AND(IF($Q121=2,1,0),IF($X121&lt;30,1,0))</formula>
    </cfRule>
    <cfRule type="expression" priority="5965" dxfId="1">
      <formula>AND(IF($Q121=3,1,0),IF($X121&lt;30,1,0))</formula>
    </cfRule>
    <cfRule type="expression" priority="5966" dxfId="0">
      <formula>AND(IF($Q121=3,1,IF($Q121=4,1,0)),IF($F121&lt;=85,1,0))</formula>
    </cfRule>
  </conditionalFormatting>
  <conditionalFormatting sqref="AI121">
    <cfRule type="expression" priority="5959" dxfId="3">
      <formula>AND(IF(OR($Q121=1,$Q121=2),1,0),IF($X121&lt;=20,1,0))</formula>
    </cfRule>
    <cfRule type="expression" priority="5960" dxfId="2">
      <formula>AND(IF($Q121=2,1,0),IF($X121&lt;30,1,0))</formula>
    </cfRule>
    <cfRule type="expression" priority="5961" dxfId="1">
      <formula>AND(IF($Q121=3,1,0),IF($X121&lt;30,1,0))</formula>
    </cfRule>
    <cfRule type="expression" priority="5962" dxfId="0">
      <formula>AND(IF($Q121=3,1,IF($Q121=4,1,0)),IF($F121&lt;=85,1,0))</formula>
    </cfRule>
  </conditionalFormatting>
  <conditionalFormatting sqref="AV122">
    <cfRule type="expression" priority="5957" dxfId="23">
      <formula>AV122="X"</formula>
    </cfRule>
    <cfRule type="expression" priority="5958" dxfId="22">
      <formula>AV122="후보"</formula>
    </cfRule>
  </conditionalFormatting>
  <conditionalFormatting sqref="AC1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22">
    <cfRule type="expression" priority="5949" dxfId="3">
      <formula>AND(IF(OR($Q122=1,$Q122=2),1,0),IF($X122&lt;=20,1,0))</formula>
    </cfRule>
    <cfRule type="expression" priority="5950" dxfId="2">
      <formula>AND(IF($Q122=2,1,0),IF($X122&lt;30,1,0))</formula>
    </cfRule>
    <cfRule type="expression" priority="5951" dxfId="1">
      <formula>AND(IF($Q122=3,1,0),IF($X122&lt;30,1,0))</formula>
    </cfRule>
    <cfRule type="expression" priority="5952" dxfId="0">
      <formula>AND(IF($Q122=3,1,IF($Q122=4,1,0)),IF($F122&lt;=85,1,0))</formula>
    </cfRule>
  </conditionalFormatting>
  <conditionalFormatting sqref="X122">
    <cfRule type="expression" priority="5945" dxfId="3">
      <formula>AND(IF(OR($Q122=1,$Q122=2),1,0),IF($X122&lt;=20,1,0))</formula>
    </cfRule>
    <cfRule type="expression" priority="5946" dxfId="2">
      <formula>AND(IF($Q122=2,1,0),IF($X122&lt;30,1,0))</formula>
    </cfRule>
    <cfRule type="expression" priority="5947" dxfId="1">
      <formula>AND(IF($Q122=3,1,0),IF($X122&lt;30,1,0))</formula>
    </cfRule>
    <cfRule type="expression" priority="5948" dxfId="0">
      <formula>AND(IF($Q122=3,1,IF($Q122=4,1,0)),IF($F122&lt;=85,1,0))</formula>
    </cfRule>
  </conditionalFormatting>
  <conditionalFormatting sqref="AI122">
    <cfRule type="expression" priority="5941" dxfId="3">
      <formula>AND(IF(OR($Q122=1,$Q122=2),1,0),IF($X122&lt;=20,1,0))</formula>
    </cfRule>
    <cfRule type="expression" priority="5942" dxfId="2">
      <formula>AND(IF($Q122=2,1,0),IF($X122&lt;30,1,0))</formula>
    </cfRule>
    <cfRule type="expression" priority="5943" dxfId="1">
      <formula>AND(IF($Q122=3,1,0),IF($X122&lt;30,1,0))</formula>
    </cfRule>
    <cfRule type="expression" priority="5944" dxfId="0">
      <formula>AND(IF($Q122=3,1,IF($Q122=4,1,0)),IF($F122&lt;=85,1,0))</formula>
    </cfRule>
  </conditionalFormatting>
  <conditionalFormatting sqref="AV123">
    <cfRule type="expression" priority="5939" dxfId="23">
      <formula>AV123="X"</formula>
    </cfRule>
    <cfRule type="expression" priority="5940" dxfId="22">
      <formula>AV123="후보"</formula>
    </cfRule>
  </conditionalFormatting>
  <conditionalFormatting sqref="AC1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23">
    <cfRule type="expression" priority="5931" dxfId="3">
      <formula>AND(IF(OR($Q123=1,$Q123=2),1,0),IF($X123&lt;=20,1,0))</formula>
    </cfRule>
    <cfRule type="expression" priority="5932" dxfId="2">
      <formula>AND(IF($Q123=2,1,0),IF($X123&lt;30,1,0))</formula>
    </cfRule>
    <cfRule type="expression" priority="5933" dxfId="1">
      <formula>AND(IF($Q123=3,1,0),IF($X123&lt;30,1,0))</formula>
    </cfRule>
    <cfRule type="expression" priority="5934" dxfId="0">
      <formula>AND(IF($Q123=3,1,IF($Q123=4,1,0)),IF($F123&lt;=85,1,0))</formula>
    </cfRule>
  </conditionalFormatting>
  <conditionalFormatting sqref="X123">
    <cfRule type="expression" priority="5927" dxfId="3">
      <formula>AND(IF(OR($Q123=1,$Q123=2),1,0),IF($X123&lt;=20,1,0))</formula>
    </cfRule>
    <cfRule type="expression" priority="5928" dxfId="2">
      <formula>AND(IF($Q123=2,1,0),IF($X123&lt;30,1,0))</formula>
    </cfRule>
    <cfRule type="expression" priority="5929" dxfId="1">
      <formula>AND(IF($Q123=3,1,0),IF($X123&lt;30,1,0))</formula>
    </cfRule>
    <cfRule type="expression" priority="5930" dxfId="0">
      <formula>AND(IF($Q123=3,1,IF($Q123=4,1,0)),IF($F123&lt;=85,1,0))</formula>
    </cfRule>
  </conditionalFormatting>
  <conditionalFormatting sqref="AI123">
    <cfRule type="expression" priority="5923" dxfId="3">
      <formula>AND(IF(OR($Q123=1,$Q123=2),1,0),IF($X123&lt;=20,1,0))</formula>
    </cfRule>
    <cfRule type="expression" priority="5924" dxfId="2">
      <formula>AND(IF($Q123=2,1,0),IF($X123&lt;30,1,0))</formula>
    </cfRule>
    <cfRule type="expression" priority="5925" dxfId="1">
      <formula>AND(IF($Q123=3,1,0),IF($X123&lt;30,1,0))</formula>
    </cfRule>
    <cfRule type="expression" priority="5926" dxfId="0">
      <formula>AND(IF($Q123=3,1,IF($Q123=4,1,0)),IF($F123&lt;=85,1,0))</formula>
    </cfRule>
  </conditionalFormatting>
  <conditionalFormatting sqref="AV124">
    <cfRule type="expression" priority="5921" dxfId="23">
      <formula>AV124="X"</formula>
    </cfRule>
    <cfRule type="expression" priority="5922" dxfId="22">
      <formula>AV124="후보"</formula>
    </cfRule>
  </conditionalFormatting>
  <conditionalFormatting sqref="AC1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24">
    <cfRule type="expression" priority="5913" dxfId="3">
      <formula>AND(IF(OR($Q124=1,$Q124=2),1,0),IF($X124&lt;=20,1,0))</formula>
    </cfRule>
    <cfRule type="expression" priority="5914" dxfId="2">
      <formula>AND(IF($Q124=2,1,0),IF($X124&lt;30,1,0))</formula>
    </cfRule>
    <cfRule type="expression" priority="5915" dxfId="1">
      <formula>AND(IF($Q124=3,1,0),IF($X124&lt;30,1,0))</formula>
    </cfRule>
    <cfRule type="expression" priority="5916" dxfId="0">
      <formula>AND(IF($Q124=3,1,IF($Q124=4,1,0)),IF($F124&lt;=85,1,0))</formula>
    </cfRule>
  </conditionalFormatting>
  <conditionalFormatting sqref="X124">
    <cfRule type="expression" priority="5909" dxfId="3">
      <formula>AND(IF(OR($Q124=1,$Q124=2),1,0),IF($X124&lt;=20,1,0))</formula>
    </cfRule>
    <cfRule type="expression" priority="5910" dxfId="2">
      <formula>AND(IF($Q124=2,1,0),IF($X124&lt;30,1,0))</formula>
    </cfRule>
    <cfRule type="expression" priority="5911" dxfId="1">
      <formula>AND(IF($Q124=3,1,0),IF($X124&lt;30,1,0))</formula>
    </cfRule>
    <cfRule type="expression" priority="5912" dxfId="0">
      <formula>AND(IF($Q124=3,1,IF($Q124=4,1,0)),IF($F124&lt;=85,1,0))</formula>
    </cfRule>
  </conditionalFormatting>
  <conditionalFormatting sqref="AI124">
    <cfRule type="expression" priority="5905" dxfId="3">
      <formula>AND(IF(OR($Q124=1,$Q124=2),1,0),IF($X124&lt;=20,1,0))</formula>
    </cfRule>
    <cfRule type="expression" priority="5906" dxfId="2">
      <formula>AND(IF($Q124=2,1,0),IF($X124&lt;30,1,0))</formula>
    </cfRule>
    <cfRule type="expression" priority="5907" dxfId="1">
      <formula>AND(IF($Q124=3,1,0),IF($X124&lt;30,1,0))</formula>
    </cfRule>
    <cfRule type="expression" priority="5908" dxfId="0">
      <formula>AND(IF($Q124=3,1,IF($Q124=4,1,0)),IF($F124&lt;=85,1,0))</formula>
    </cfRule>
  </conditionalFormatting>
  <conditionalFormatting sqref="AV125">
    <cfRule type="expression" priority="5903" dxfId="23">
      <formula>AV125="X"</formula>
    </cfRule>
    <cfRule type="expression" priority="5904" dxfId="22">
      <formula>AV125="후보"</formula>
    </cfRule>
  </conditionalFormatting>
  <conditionalFormatting sqref="AC1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25">
    <cfRule type="expression" priority="5895" dxfId="3">
      <formula>AND(IF(OR($Q125=1,$Q125=2),1,0),IF($X125&lt;=20,1,0))</formula>
    </cfRule>
    <cfRule type="expression" priority="5896" dxfId="2">
      <formula>AND(IF($Q125=2,1,0),IF($X125&lt;30,1,0))</formula>
    </cfRule>
    <cfRule type="expression" priority="5897" dxfId="1">
      <formula>AND(IF($Q125=3,1,0),IF($X125&lt;30,1,0))</formula>
    </cfRule>
    <cfRule type="expression" priority="5898" dxfId="0">
      <formula>AND(IF($Q125=3,1,IF($Q125=4,1,0)),IF($F125&lt;=85,1,0))</formula>
    </cfRule>
  </conditionalFormatting>
  <conditionalFormatting sqref="X125">
    <cfRule type="expression" priority="5891" dxfId="3">
      <formula>AND(IF(OR($Q125=1,$Q125=2),1,0),IF($X125&lt;=20,1,0))</formula>
    </cfRule>
    <cfRule type="expression" priority="5892" dxfId="2">
      <formula>AND(IF($Q125=2,1,0),IF($X125&lt;30,1,0))</formula>
    </cfRule>
    <cfRule type="expression" priority="5893" dxfId="1">
      <formula>AND(IF($Q125=3,1,0),IF($X125&lt;30,1,0))</formula>
    </cfRule>
    <cfRule type="expression" priority="5894" dxfId="0">
      <formula>AND(IF($Q125=3,1,IF($Q125=4,1,0)),IF($F125&lt;=85,1,0))</formula>
    </cfRule>
  </conditionalFormatting>
  <conditionalFormatting sqref="AI125">
    <cfRule type="expression" priority="5887" dxfId="3">
      <formula>AND(IF(OR($Q125=1,$Q125=2),1,0),IF($X125&lt;=20,1,0))</formula>
    </cfRule>
    <cfRule type="expression" priority="5888" dxfId="2">
      <formula>AND(IF($Q125=2,1,0),IF($X125&lt;30,1,0))</formula>
    </cfRule>
    <cfRule type="expression" priority="5889" dxfId="1">
      <formula>AND(IF($Q125=3,1,0),IF($X125&lt;30,1,0))</formula>
    </cfRule>
    <cfRule type="expression" priority="5890" dxfId="0">
      <formula>AND(IF($Q125=3,1,IF($Q125=4,1,0)),IF($F125&lt;=85,1,0))</formula>
    </cfRule>
  </conditionalFormatting>
  <conditionalFormatting sqref="AV126">
    <cfRule type="expression" priority="5885" dxfId="23">
      <formula>AV126="X"</formula>
    </cfRule>
    <cfRule type="expression" priority="5886" dxfId="22">
      <formula>AV126="후보"</formula>
    </cfRule>
  </conditionalFormatting>
  <conditionalFormatting sqref="AC1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26">
    <cfRule type="expression" priority="5877" dxfId="3">
      <formula>AND(IF(OR($Q126=1,$Q126=2),1,0),IF($X126&lt;=20,1,0))</formula>
    </cfRule>
    <cfRule type="expression" priority="5878" dxfId="2">
      <formula>AND(IF($Q126=2,1,0),IF($X126&lt;30,1,0))</formula>
    </cfRule>
    <cfRule type="expression" priority="5879" dxfId="1">
      <formula>AND(IF($Q126=3,1,0),IF($X126&lt;30,1,0))</formula>
    </cfRule>
    <cfRule type="expression" priority="5880" dxfId="0">
      <formula>AND(IF($Q126=3,1,IF($Q126=4,1,0)),IF($F126&lt;=85,1,0))</formula>
    </cfRule>
  </conditionalFormatting>
  <conditionalFormatting sqref="X126">
    <cfRule type="expression" priority="5873" dxfId="3">
      <formula>AND(IF(OR($Q126=1,$Q126=2),1,0),IF($X126&lt;=20,1,0))</formula>
    </cfRule>
    <cfRule type="expression" priority="5874" dxfId="2">
      <formula>AND(IF($Q126=2,1,0),IF($X126&lt;30,1,0))</formula>
    </cfRule>
    <cfRule type="expression" priority="5875" dxfId="1">
      <formula>AND(IF($Q126=3,1,0),IF($X126&lt;30,1,0))</formula>
    </cfRule>
    <cfRule type="expression" priority="5876" dxfId="0">
      <formula>AND(IF($Q126=3,1,IF($Q126=4,1,0)),IF($F126&lt;=85,1,0))</formula>
    </cfRule>
  </conditionalFormatting>
  <conditionalFormatting sqref="AI126">
    <cfRule type="expression" priority="5869" dxfId="3">
      <formula>AND(IF(OR($Q126=1,$Q126=2),1,0),IF($X126&lt;=20,1,0))</formula>
    </cfRule>
    <cfRule type="expression" priority="5870" dxfId="2">
      <formula>AND(IF($Q126=2,1,0),IF($X126&lt;30,1,0))</formula>
    </cfRule>
    <cfRule type="expression" priority="5871" dxfId="1">
      <formula>AND(IF($Q126=3,1,0),IF($X126&lt;30,1,0))</formula>
    </cfRule>
    <cfRule type="expression" priority="5872" dxfId="0">
      <formula>AND(IF($Q126=3,1,IF($Q126=4,1,0)),IF($F126&lt;=85,1,0))</formula>
    </cfRule>
  </conditionalFormatting>
  <conditionalFormatting sqref="AV127">
    <cfRule type="expression" priority="5867" dxfId="23">
      <formula>AV127="X"</formula>
    </cfRule>
    <cfRule type="expression" priority="5868" dxfId="22">
      <formula>AV127="후보"</formula>
    </cfRule>
  </conditionalFormatting>
  <conditionalFormatting sqref="AC1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27">
    <cfRule type="expression" priority="5859" dxfId="3">
      <formula>AND(IF(OR($Q127=1,$Q127=2),1,0),IF($X127&lt;=20,1,0))</formula>
    </cfRule>
    <cfRule type="expression" priority="5860" dxfId="2">
      <formula>AND(IF($Q127=2,1,0),IF($X127&lt;30,1,0))</formula>
    </cfRule>
    <cfRule type="expression" priority="5861" dxfId="1">
      <formula>AND(IF($Q127=3,1,0),IF($X127&lt;30,1,0))</formula>
    </cfRule>
    <cfRule type="expression" priority="5862" dxfId="0">
      <formula>AND(IF($Q127=3,1,IF($Q127=4,1,0)),IF($F127&lt;=85,1,0))</formula>
    </cfRule>
  </conditionalFormatting>
  <conditionalFormatting sqref="X127">
    <cfRule type="expression" priority="5855" dxfId="3">
      <formula>AND(IF(OR($Q127=1,$Q127=2),1,0),IF($X127&lt;=20,1,0))</formula>
    </cfRule>
    <cfRule type="expression" priority="5856" dxfId="2">
      <formula>AND(IF($Q127=2,1,0),IF($X127&lt;30,1,0))</formula>
    </cfRule>
    <cfRule type="expression" priority="5857" dxfId="1">
      <formula>AND(IF($Q127=3,1,0),IF($X127&lt;30,1,0))</formula>
    </cfRule>
    <cfRule type="expression" priority="5858" dxfId="0">
      <formula>AND(IF($Q127=3,1,IF($Q127=4,1,0)),IF($F127&lt;=85,1,0))</formula>
    </cfRule>
  </conditionalFormatting>
  <conditionalFormatting sqref="AI127">
    <cfRule type="expression" priority="5851" dxfId="3">
      <formula>AND(IF(OR($Q127=1,$Q127=2),1,0),IF($X127&lt;=20,1,0))</formula>
    </cfRule>
    <cfRule type="expression" priority="5852" dxfId="2">
      <formula>AND(IF($Q127=2,1,0),IF($X127&lt;30,1,0))</formula>
    </cfRule>
    <cfRule type="expression" priority="5853" dxfId="1">
      <formula>AND(IF($Q127=3,1,0),IF($X127&lt;30,1,0))</formula>
    </cfRule>
    <cfRule type="expression" priority="5854" dxfId="0">
      <formula>AND(IF($Q127=3,1,IF($Q127=4,1,0)),IF($F127&lt;=85,1,0))</formula>
    </cfRule>
  </conditionalFormatting>
  <conditionalFormatting sqref="AV128">
    <cfRule type="expression" priority="5849" dxfId="23">
      <formula>AV128="X"</formula>
    </cfRule>
    <cfRule type="expression" priority="5850" dxfId="22">
      <formula>AV128="후보"</formula>
    </cfRule>
  </conditionalFormatting>
  <conditionalFormatting sqref="AC1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28">
    <cfRule type="expression" priority="5841" dxfId="3">
      <formula>AND(IF(OR($Q128=1,$Q128=2),1,0),IF($X128&lt;=20,1,0))</formula>
    </cfRule>
    <cfRule type="expression" priority="5842" dxfId="2">
      <formula>AND(IF($Q128=2,1,0),IF($X128&lt;30,1,0))</formula>
    </cfRule>
    <cfRule type="expression" priority="5843" dxfId="1">
      <formula>AND(IF($Q128=3,1,0),IF($X128&lt;30,1,0))</formula>
    </cfRule>
    <cfRule type="expression" priority="5844" dxfId="0">
      <formula>AND(IF($Q128=3,1,IF($Q128=4,1,0)),IF($F128&lt;=85,1,0))</formula>
    </cfRule>
  </conditionalFormatting>
  <conditionalFormatting sqref="X128">
    <cfRule type="expression" priority="5837" dxfId="3">
      <formula>AND(IF(OR($Q128=1,$Q128=2),1,0),IF($X128&lt;=20,1,0))</formula>
    </cfRule>
    <cfRule type="expression" priority="5838" dxfId="2">
      <formula>AND(IF($Q128=2,1,0),IF($X128&lt;30,1,0))</formula>
    </cfRule>
    <cfRule type="expression" priority="5839" dxfId="1">
      <formula>AND(IF($Q128=3,1,0),IF($X128&lt;30,1,0))</formula>
    </cfRule>
    <cfRule type="expression" priority="5840" dxfId="0">
      <formula>AND(IF($Q128=3,1,IF($Q128=4,1,0)),IF($F128&lt;=85,1,0))</formula>
    </cfRule>
  </conditionalFormatting>
  <conditionalFormatting sqref="AI128">
    <cfRule type="expression" priority="5833" dxfId="3">
      <formula>AND(IF(OR($Q128=1,$Q128=2),1,0),IF($X128&lt;=20,1,0))</formula>
    </cfRule>
    <cfRule type="expression" priority="5834" dxfId="2">
      <formula>AND(IF($Q128=2,1,0),IF($X128&lt;30,1,0))</formula>
    </cfRule>
    <cfRule type="expression" priority="5835" dxfId="1">
      <formula>AND(IF($Q128=3,1,0),IF($X128&lt;30,1,0))</formula>
    </cfRule>
    <cfRule type="expression" priority="5836" dxfId="0">
      <formula>AND(IF($Q128=3,1,IF($Q128=4,1,0)),IF($F128&lt;=85,1,0))</formula>
    </cfRule>
  </conditionalFormatting>
  <conditionalFormatting sqref="AV129">
    <cfRule type="expression" priority="5831" dxfId="23">
      <formula>AV129="X"</formula>
    </cfRule>
    <cfRule type="expression" priority="5832" dxfId="22">
      <formula>AV129="후보"</formula>
    </cfRule>
  </conditionalFormatting>
  <conditionalFormatting sqref="AC1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29">
    <cfRule type="expression" priority="5823" dxfId="3">
      <formula>AND(IF(OR($Q129=1,$Q129=2),1,0),IF($X129&lt;=20,1,0))</formula>
    </cfRule>
    <cfRule type="expression" priority="5824" dxfId="2">
      <formula>AND(IF($Q129=2,1,0),IF($X129&lt;30,1,0))</formula>
    </cfRule>
    <cfRule type="expression" priority="5825" dxfId="1">
      <formula>AND(IF($Q129=3,1,0),IF($X129&lt;30,1,0))</formula>
    </cfRule>
    <cfRule type="expression" priority="5826" dxfId="0">
      <formula>AND(IF($Q129=3,1,IF($Q129=4,1,0)),IF($F129&lt;=85,1,0))</formula>
    </cfRule>
  </conditionalFormatting>
  <conditionalFormatting sqref="X129">
    <cfRule type="expression" priority="5819" dxfId="3">
      <formula>AND(IF(OR($Q129=1,$Q129=2),1,0),IF($X129&lt;=20,1,0))</formula>
    </cfRule>
    <cfRule type="expression" priority="5820" dxfId="2">
      <formula>AND(IF($Q129=2,1,0),IF($X129&lt;30,1,0))</formula>
    </cfRule>
    <cfRule type="expression" priority="5821" dxfId="1">
      <formula>AND(IF($Q129=3,1,0),IF($X129&lt;30,1,0))</formula>
    </cfRule>
    <cfRule type="expression" priority="5822" dxfId="0">
      <formula>AND(IF($Q129=3,1,IF($Q129=4,1,0)),IF($F129&lt;=85,1,0))</formula>
    </cfRule>
  </conditionalFormatting>
  <conditionalFormatting sqref="AI129">
    <cfRule type="expression" priority="5815" dxfId="3">
      <formula>AND(IF(OR($Q129=1,$Q129=2),1,0),IF($X129&lt;=20,1,0))</formula>
    </cfRule>
    <cfRule type="expression" priority="5816" dxfId="2">
      <formula>AND(IF($Q129=2,1,0),IF($X129&lt;30,1,0))</formula>
    </cfRule>
    <cfRule type="expression" priority="5817" dxfId="1">
      <formula>AND(IF($Q129=3,1,0),IF($X129&lt;30,1,0))</formula>
    </cfRule>
    <cfRule type="expression" priority="5818" dxfId="0">
      <formula>AND(IF($Q129=3,1,IF($Q129=4,1,0)),IF($F129&lt;=85,1,0))</formula>
    </cfRule>
  </conditionalFormatting>
  <conditionalFormatting sqref="AV130">
    <cfRule type="expression" priority="5813" dxfId="23">
      <formula>AV130="X"</formula>
    </cfRule>
    <cfRule type="expression" priority="5814" dxfId="22">
      <formula>AV130="후보"</formula>
    </cfRule>
  </conditionalFormatting>
  <conditionalFormatting sqref="AC1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30">
    <cfRule type="expression" priority="5805" dxfId="3">
      <formula>AND(IF(OR($Q130=1,$Q130=2),1,0),IF($X130&lt;=20,1,0))</formula>
    </cfRule>
    <cfRule type="expression" priority="5806" dxfId="2">
      <formula>AND(IF($Q130=2,1,0),IF($X130&lt;30,1,0))</formula>
    </cfRule>
    <cfRule type="expression" priority="5807" dxfId="1">
      <formula>AND(IF($Q130=3,1,0),IF($X130&lt;30,1,0))</formula>
    </cfRule>
    <cfRule type="expression" priority="5808" dxfId="0">
      <formula>AND(IF($Q130=3,1,IF($Q130=4,1,0)),IF($F130&lt;=85,1,0))</formula>
    </cfRule>
  </conditionalFormatting>
  <conditionalFormatting sqref="X130">
    <cfRule type="expression" priority="5801" dxfId="3">
      <formula>AND(IF(OR($Q130=1,$Q130=2),1,0),IF($X130&lt;=20,1,0))</formula>
    </cfRule>
    <cfRule type="expression" priority="5802" dxfId="2">
      <formula>AND(IF($Q130=2,1,0),IF($X130&lt;30,1,0))</formula>
    </cfRule>
    <cfRule type="expression" priority="5803" dxfId="1">
      <formula>AND(IF($Q130=3,1,0),IF($X130&lt;30,1,0))</formula>
    </cfRule>
    <cfRule type="expression" priority="5804" dxfId="0">
      <formula>AND(IF($Q130=3,1,IF($Q130=4,1,0)),IF($F130&lt;=85,1,0))</formula>
    </cfRule>
  </conditionalFormatting>
  <conditionalFormatting sqref="AI130">
    <cfRule type="expression" priority="5797" dxfId="3">
      <formula>AND(IF(OR($Q130=1,$Q130=2),1,0),IF($X130&lt;=20,1,0))</formula>
    </cfRule>
    <cfRule type="expression" priority="5798" dxfId="2">
      <formula>AND(IF($Q130=2,1,0),IF($X130&lt;30,1,0))</formula>
    </cfRule>
    <cfRule type="expression" priority="5799" dxfId="1">
      <formula>AND(IF($Q130=3,1,0),IF($X130&lt;30,1,0))</formula>
    </cfRule>
    <cfRule type="expression" priority="5800" dxfId="0">
      <formula>AND(IF($Q130=3,1,IF($Q130=4,1,0)),IF($F130&lt;=85,1,0))</formula>
    </cfRule>
  </conditionalFormatting>
  <conditionalFormatting sqref="AV131">
    <cfRule type="expression" priority="5795" dxfId="23">
      <formula>AV131="X"</formula>
    </cfRule>
    <cfRule type="expression" priority="5796" dxfId="22">
      <formula>AV131="후보"</formula>
    </cfRule>
  </conditionalFormatting>
  <conditionalFormatting sqref="AC1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31">
    <cfRule type="expression" priority="5787" dxfId="3">
      <formula>AND(IF(OR($Q131=1,$Q131=2),1,0),IF($X131&lt;=20,1,0))</formula>
    </cfRule>
    <cfRule type="expression" priority="5788" dxfId="2">
      <formula>AND(IF($Q131=2,1,0),IF($X131&lt;30,1,0))</formula>
    </cfRule>
    <cfRule type="expression" priority="5789" dxfId="1">
      <formula>AND(IF($Q131=3,1,0),IF($X131&lt;30,1,0))</formula>
    </cfRule>
    <cfRule type="expression" priority="5790" dxfId="0">
      <formula>AND(IF($Q131=3,1,IF($Q131=4,1,0)),IF($F131&lt;=85,1,0))</formula>
    </cfRule>
  </conditionalFormatting>
  <conditionalFormatting sqref="X131">
    <cfRule type="expression" priority="5783" dxfId="3">
      <formula>AND(IF(OR($Q131=1,$Q131=2),1,0),IF($X131&lt;=20,1,0))</formula>
    </cfRule>
    <cfRule type="expression" priority="5784" dxfId="2">
      <formula>AND(IF($Q131=2,1,0),IF($X131&lt;30,1,0))</formula>
    </cfRule>
    <cfRule type="expression" priority="5785" dxfId="1">
      <formula>AND(IF($Q131=3,1,0),IF($X131&lt;30,1,0))</formula>
    </cfRule>
    <cfRule type="expression" priority="5786" dxfId="0">
      <formula>AND(IF($Q131=3,1,IF($Q131=4,1,0)),IF($F131&lt;=85,1,0))</formula>
    </cfRule>
  </conditionalFormatting>
  <conditionalFormatting sqref="AI131">
    <cfRule type="expression" priority="5779" dxfId="3">
      <formula>AND(IF(OR($Q131=1,$Q131=2),1,0),IF($X131&lt;=20,1,0))</formula>
    </cfRule>
    <cfRule type="expression" priority="5780" dxfId="2">
      <formula>AND(IF($Q131=2,1,0),IF($X131&lt;30,1,0))</formula>
    </cfRule>
    <cfRule type="expression" priority="5781" dxfId="1">
      <formula>AND(IF($Q131=3,1,0),IF($X131&lt;30,1,0))</formula>
    </cfRule>
    <cfRule type="expression" priority="5782" dxfId="0">
      <formula>AND(IF($Q131=3,1,IF($Q131=4,1,0)),IF($F131&lt;=85,1,0))</formula>
    </cfRule>
  </conditionalFormatting>
  <conditionalFormatting sqref="AV132">
    <cfRule type="expression" priority="5777" dxfId="23">
      <formula>AV132="X"</formula>
    </cfRule>
    <cfRule type="expression" priority="5778" dxfId="22">
      <formula>AV132="후보"</formula>
    </cfRule>
  </conditionalFormatting>
  <conditionalFormatting sqref="AC1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32">
    <cfRule type="expression" priority="5769" dxfId="3">
      <formula>AND(IF(OR($Q132=1,$Q132=2),1,0),IF($X132&lt;=20,1,0))</formula>
    </cfRule>
    <cfRule type="expression" priority="5770" dxfId="2">
      <formula>AND(IF($Q132=2,1,0),IF($X132&lt;30,1,0))</formula>
    </cfRule>
    <cfRule type="expression" priority="5771" dxfId="1">
      <formula>AND(IF($Q132=3,1,0),IF($X132&lt;30,1,0))</formula>
    </cfRule>
    <cfRule type="expression" priority="5772" dxfId="0">
      <formula>AND(IF($Q132=3,1,IF($Q132=4,1,0)),IF($F132&lt;=85,1,0))</formula>
    </cfRule>
  </conditionalFormatting>
  <conditionalFormatting sqref="X132">
    <cfRule type="expression" priority="5765" dxfId="3">
      <formula>AND(IF(OR($Q132=1,$Q132=2),1,0),IF($X132&lt;=20,1,0))</formula>
    </cfRule>
    <cfRule type="expression" priority="5766" dxfId="2">
      <formula>AND(IF($Q132=2,1,0),IF($X132&lt;30,1,0))</formula>
    </cfRule>
    <cfRule type="expression" priority="5767" dxfId="1">
      <formula>AND(IF($Q132=3,1,0),IF($X132&lt;30,1,0))</formula>
    </cfRule>
    <cfRule type="expression" priority="5768" dxfId="0">
      <formula>AND(IF($Q132=3,1,IF($Q132=4,1,0)),IF($F132&lt;=85,1,0))</formula>
    </cfRule>
  </conditionalFormatting>
  <conditionalFormatting sqref="AI132">
    <cfRule type="expression" priority="5761" dxfId="3">
      <formula>AND(IF(OR($Q132=1,$Q132=2),1,0),IF($X132&lt;=20,1,0))</formula>
    </cfRule>
    <cfRule type="expression" priority="5762" dxfId="2">
      <formula>AND(IF($Q132=2,1,0),IF($X132&lt;30,1,0))</formula>
    </cfRule>
    <cfRule type="expression" priority="5763" dxfId="1">
      <formula>AND(IF($Q132=3,1,0),IF($X132&lt;30,1,0))</formula>
    </cfRule>
    <cfRule type="expression" priority="5764" dxfId="0">
      <formula>AND(IF($Q132=3,1,IF($Q132=4,1,0)),IF($F132&lt;=85,1,0))</formula>
    </cfRule>
  </conditionalFormatting>
  <conditionalFormatting sqref="AV133">
    <cfRule type="expression" priority="5759" dxfId="23">
      <formula>AV133="X"</formula>
    </cfRule>
    <cfRule type="expression" priority="5760" dxfId="22">
      <formula>AV133="후보"</formula>
    </cfRule>
  </conditionalFormatting>
  <conditionalFormatting sqref="AC1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33">
    <cfRule type="expression" priority="5751" dxfId="3">
      <formula>AND(IF(OR($Q133=1,$Q133=2),1,0),IF($X133&lt;=20,1,0))</formula>
    </cfRule>
    <cfRule type="expression" priority="5752" dxfId="2">
      <formula>AND(IF($Q133=2,1,0),IF($X133&lt;30,1,0))</formula>
    </cfRule>
    <cfRule type="expression" priority="5753" dxfId="1">
      <formula>AND(IF($Q133=3,1,0),IF($X133&lt;30,1,0))</formula>
    </cfRule>
    <cfRule type="expression" priority="5754" dxfId="0">
      <formula>AND(IF($Q133=3,1,IF($Q133=4,1,0)),IF($F133&lt;=85,1,0))</formula>
    </cfRule>
  </conditionalFormatting>
  <conditionalFormatting sqref="X133">
    <cfRule type="expression" priority="5747" dxfId="3">
      <formula>AND(IF(OR($Q133=1,$Q133=2),1,0),IF($X133&lt;=20,1,0))</formula>
    </cfRule>
    <cfRule type="expression" priority="5748" dxfId="2">
      <formula>AND(IF($Q133=2,1,0),IF($X133&lt;30,1,0))</formula>
    </cfRule>
    <cfRule type="expression" priority="5749" dxfId="1">
      <formula>AND(IF($Q133=3,1,0),IF($X133&lt;30,1,0))</formula>
    </cfRule>
    <cfRule type="expression" priority="5750" dxfId="0">
      <formula>AND(IF($Q133=3,1,IF($Q133=4,1,0)),IF($F133&lt;=85,1,0))</formula>
    </cfRule>
  </conditionalFormatting>
  <conditionalFormatting sqref="AI133">
    <cfRule type="expression" priority="5743" dxfId="3">
      <formula>AND(IF(OR($Q133=1,$Q133=2),1,0),IF($X133&lt;=20,1,0))</formula>
    </cfRule>
    <cfRule type="expression" priority="5744" dxfId="2">
      <formula>AND(IF($Q133=2,1,0),IF($X133&lt;30,1,0))</formula>
    </cfRule>
    <cfRule type="expression" priority="5745" dxfId="1">
      <formula>AND(IF($Q133=3,1,0),IF($X133&lt;30,1,0))</formula>
    </cfRule>
    <cfRule type="expression" priority="5746" dxfId="0">
      <formula>AND(IF($Q133=3,1,IF($Q133=4,1,0)),IF($F133&lt;=85,1,0))</formula>
    </cfRule>
  </conditionalFormatting>
  <conditionalFormatting sqref="AV134">
    <cfRule type="expression" priority="5741" dxfId="23">
      <formula>AV134="X"</formula>
    </cfRule>
    <cfRule type="expression" priority="5742" dxfId="22">
      <formula>AV134="후보"</formula>
    </cfRule>
  </conditionalFormatting>
  <conditionalFormatting sqref="AC1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34">
    <cfRule type="expression" priority="5733" dxfId="3">
      <formula>AND(IF(OR($Q134=1,$Q134=2),1,0),IF($X134&lt;=20,1,0))</formula>
    </cfRule>
    <cfRule type="expression" priority="5734" dxfId="2">
      <formula>AND(IF($Q134=2,1,0),IF($X134&lt;30,1,0))</formula>
    </cfRule>
    <cfRule type="expression" priority="5735" dxfId="1">
      <formula>AND(IF($Q134=3,1,0),IF($X134&lt;30,1,0))</formula>
    </cfRule>
    <cfRule type="expression" priority="5736" dxfId="0">
      <formula>AND(IF($Q134=3,1,IF($Q134=4,1,0)),IF($F134&lt;=85,1,0))</formula>
    </cfRule>
  </conditionalFormatting>
  <conditionalFormatting sqref="X134">
    <cfRule type="expression" priority="5729" dxfId="3">
      <formula>AND(IF(OR($Q134=1,$Q134=2),1,0),IF($X134&lt;=20,1,0))</formula>
    </cfRule>
    <cfRule type="expression" priority="5730" dxfId="2">
      <formula>AND(IF($Q134=2,1,0),IF($X134&lt;30,1,0))</formula>
    </cfRule>
    <cfRule type="expression" priority="5731" dxfId="1">
      <formula>AND(IF($Q134=3,1,0),IF($X134&lt;30,1,0))</formula>
    </cfRule>
    <cfRule type="expression" priority="5732" dxfId="0">
      <formula>AND(IF($Q134=3,1,IF($Q134=4,1,0)),IF($F134&lt;=85,1,0))</formula>
    </cfRule>
  </conditionalFormatting>
  <conditionalFormatting sqref="AI134">
    <cfRule type="expression" priority="5725" dxfId="3">
      <formula>AND(IF(OR($Q134=1,$Q134=2),1,0),IF($X134&lt;=20,1,0))</formula>
    </cfRule>
    <cfRule type="expression" priority="5726" dxfId="2">
      <formula>AND(IF($Q134=2,1,0),IF($X134&lt;30,1,0))</formula>
    </cfRule>
    <cfRule type="expression" priority="5727" dxfId="1">
      <formula>AND(IF($Q134=3,1,0),IF($X134&lt;30,1,0))</formula>
    </cfRule>
    <cfRule type="expression" priority="5728" dxfId="0">
      <formula>AND(IF($Q134=3,1,IF($Q134=4,1,0)),IF($F134&lt;=85,1,0))</formula>
    </cfRule>
  </conditionalFormatting>
  <conditionalFormatting sqref="AV135">
    <cfRule type="expression" priority="5723" dxfId="23">
      <formula>AV135="X"</formula>
    </cfRule>
    <cfRule type="expression" priority="5724" dxfId="22">
      <formula>AV135="후보"</formula>
    </cfRule>
  </conditionalFormatting>
  <conditionalFormatting sqref="AC1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35">
    <cfRule type="expression" priority="5715" dxfId="3">
      <formula>AND(IF(OR($Q135=1,$Q135=2),1,0),IF($X135&lt;=20,1,0))</formula>
    </cfRule>
    <cfRule type="expression" priority="5716" dxfId="2">
      <formula>AND(IF($Q135=2,1,0),IF($X135&lt;30,1,0))</formula>
    </cfRule>
    <cfRule type="expression" priority="5717" dxfId="1">
      <formula>AND(IF($Q135=3,1,0),IF($X135&lt;30,1,0))</formula>
    </cfRule>
    <cfRule type="expression" priority="5718" dxfId="0">
      <formula>AND(IF($Q135=3,1,IF($Q135=4,1,0)),IF($F135&lt;=85,1,0))</formula>
    </cfRule>
  </conditionalFormatting>
  <conditionalFormatting sqref="X135">
    <cfRule type="expression" priority="5711" dxfId="3">
      <formula>AND(IF(OR($Q135=1,$Q135=2),1,0),IF($X135&lt;=20,1,0))</formula>
    </cfRule>
    <cfRule type="expression" priority="5712" dxfId="2">
      <formula>AND(IF($Q135=2,1,0),IF($X135&lt;30,1,0))</formula>
    </cfRule>
    <cfRule type="expression" priority="5713" dxfId="1">
      <formula>AND(IF($Q135=3,1,0),IF($X135&lt;30,1,0))</formula>
    </cfRule>
    <cfRule type="expression" priority="5714" dxfId="0">
      <formula>AND(IF($Q135=3,1,IF($Q135=4,1,0)),IF($F135&lt;=85,1,0))</formula>
    </cfRule>
  </conditionalFormatting>
  <conditionalFormatting sqref="AI135">
    <cfRule type="expression" priority="5707" dxfId="3">
      <formula>AND(IF(OR($Q135=1,$Q135=2),1,0),IF($X135&lt;=20,1,0))</formula>
    </cfRule>
    <cfRule type="expression" priority="5708" dxfId="2">
      <formula>AND(IF($Q135=2,1,0),IF($X135&lt;30,1,0))</formula>
    </cfRule>
    <cfRule type="expression" priority="5709" dxfId="1">
      <formula>AND(IF($Q135=3,1,0),IF($X135&lt;30,1,0))</formula>
    </cfRule>
    <cfRule type="expression" priority="5710" dxfId="0">
      <formula>AND(IF($Q135=3,1,IF($Q135=4,1,0)),IF($F135&lt;=85,1,0))</formula>
    </cfRule>
  </conditionalFormatting>
  <conditionalFormatting sqref="AV136">
    <cfRule type="expression" priority="5705" dxfId="23">
      <formula>AV136="X"</formula>
    </cfRule>
    <cfRule type="expression" priority="5706" dxfId="22">
      <formula>AV136="후보"</formula>
    </cfRule>
  </conditionalFormatting>
  <conditionalFormatting sqref="AC1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36">
    <cfRule type="expression" priority="5697" dxfId="3">
      <formula>AND(IF(OR($Q136=1,$Q136=2),1,0),IF($X136&lt;=20,1,0))</formula>
    </cfRule>
    <cfRule type="expression" priority="5698" dxfId="2">
      <formula>AND(IF($Q136=2,1,0),IF($X136&lt;30,1,0))</formula>
    </cfRule>
    <cfRule type="expression" priority="5699" dxfId="1">
      <formula>AND(IF($Q136=3,1,0),IF($X136&lt;30,1,0))</formula>
    </cfRule>
    <cfRule type="expression" priority="5700" dxfId="0">
      <formula>AND(IF($Q136=3,1,IF($Q136=4,1,0)),IF($F136&lt;=85,1,0))</formula>
    </cfRule>
  </conditionalFormatting>
  <conditionalFormatting sqref="X136">
    <cfRule type="expression" priority="5693" dxfId="3">
      <formula>AND(IF(OR($Q136=1,$Q136=2),1,0),IF($X136&lt;=20,1,0))</formula>
    </cfRule>
    <cfRule type="expression" priority="5694" dxfId="2">
      <formula>AND(IF($Q136=2,1,0),IF($X136&lt;30,1,0))</formula>
    </cfRule>
    <cfRule type="expression" priority="5695" dxfId="1">
      <formula>AND(IF($Q136=3,1,0),IF($X136&lt;30,1,0))</formula>
    </cfRule>
    <cfRule type="expression" priority="5696" dxfId="0">
      <formula>AND(IF($Q136=3,1,IF($Q136=4,1,0)),IF($F136&lt;=85,1,0))</formula>
    </cfRule>
  </conditionalFormatting>
  <conditionalFormatting sqref="AI136">
    <cfRule type="expression" priority="5689" dxfId="3">
      <formula>AND(IF(OR($Q136=1,$Q136=2),1,0),IF($X136&lt;=20,1,0))</formula>
    </cfRule>
    <cfRule type="expression" priority="5690" dxfId="2">
      <formula>AND(IF($Q136=2,1,0),IF($X136&lt;30,1,0))</formula>
    </cfRule>
    <cfRule type="expression" priority="5691" dxfId="1">
      <formula>AND(IF($Q136=3,1,0),IF($X136&lt;30,1,0))</formula>
    </cfRule>
    <cfRule type="expression" priority="5692" dxfId="0">
      <formula>AND(IF($Q136=3,1,IF($Q136=4,1,0)),IF($F136&lt;=85,1,0))</formula>
    </cfRule>
  </conditionalFormatting>
  <conditionalFormatting sqref="AV137">
    <cfRule type="expression" priority="5687" dxfId="23">
      <formula>AV137="X"</formula>
    </cfRule>
    <cfRule type="expression" priority="5688" dxfId="22">
      <formula>AV137="후보"</formula>
    </cfRule>
  </conditionalFormatting>
  <conditionalFormatting sqref="AC1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37">
    <cfRule type="expression" priority="5679" dxfId="3">
      <formula>AND(IF(OR($Q137=1,$Q137=2),1,0),IF($X137&lt;=20,1,0))</formula>
    </cfRule>
    <cfRule type="expression" priority="5680" dxfId="2">
      <formula>AND(IF($Q137=2,1,0),IF($X137&lt;30,1,0))</formula>
    </cfRule>
    <cfRule type="expression" priority="5681" dxfId="1">
      <formula>AND(IF($Q137=3,1,0),IF($X137&lt;30,1,0))</formula>
    </cfRule>
    <cfRule type="expression" priority="5682" dxfId="0">
      <formula>AND(IF($Q137=3,1,IF($Q137=4,1,0)),IF($F137&lt;=85,1,0))</formula>
    </cfRule>
  </conditionalFormatting>
  <conditionalFormatting sqref="X137">
    <cfRule type="expression" priority="5675" dxfId="3">
      <formula>AND(IF(OR($Q137=1,$Q137=2),1,0),IF($X137&lt;=20,1,0))</formula>
    </cfRule>
    <cfRule type="expression" priority="5676" dxfId="2">
      <formula>AND(IF($Q137=2,1,0),IF($X137&lt;30,1,0))</formula>
    </cfRule>
    <cfRule type="expression" priority="5677" dxfId="1">
      <formula>AND(IF($Q137=3,1,0),IF($X137&lt;30,1,0))</formula>
    </cfRule>
    <cfRule type="expression" priority="5678" dxfId="0">
      <formula>AND(IF($Q137=3,1,IF($Q137=4,1,0)),IF($F137&lt;=85,1,0))</formula>
    </cfRule>
  </conditionalFormatting>
  <conditionalFormatting sqref="AI137">
    <cfRule type="expression" priority="5671" dxfId="3">
      <formula>AND(IF(OR($Q137=1,$Q137=2),1,0),IF($X137&lt;=20,1,0))</formula>
    </cfRule>
    <cfRule type="expression" priority="5672" dxfId="2">
      <formula>AND(IF($Q137=2,1,0),IF($X137&lt;30,1,0))</formula>
    </cfRule>
    <cfRule type="expression" priority="5673" dxfId="1">
      <formula>AND(IF($Q137=3,1,0),IF($X137&lt;30,1,0))</formula>
    </cfRule>
    <cfRule type="expression" priority="5674" dxfId="0">
      <formula>AND(IF($Q137=3,1,IF($Q137=4,1,0)),IF($F137&lt;=85,1,0))</formula>
    </cfRule>
  </conditionalFormatting>
  <conditionalFormatting sqref="AV138">
    <cfRule type="expression" priority="5669" dxfId="23">
      <formula>AV138="X"</formula>
    </cfRule>
    <cfRule type="expression" priority="5670" dxfId="22">
      <formula>AV138="후보"</formula>
    </cfRule>
  </conditionalFormatting>
  <conditionalFormatting sqref="AC1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38">
    <cfRule type="expression" priority="5661" dxfId="3">
      <formula>AND(IF(OR($Q138=1,$Q138=2),1,0),IF($X138&lt;=20,1,0))</formula>
    </cfRule>
    <cfRule type="expression" priority="5662" dxfId="2">
      <formula>AND(IF($Q138=2,1,0),IF($X138&lt;30,1,0))</formula>
    </cfRule>
    <cfRule type="expression" priority="5663" dxfId="1">
      <formula>AND(IF($Q138=3,1,0),IF($X138&lt;30,1,0))</formula>
    </cfRule>
    <cfRule type="expression" priority="5664" dxfId="0">
      <formula>AND(IF($Q138=3,1,IF($Q138=4,1,0)),IF($F138&lt;=85,1,0))</formula>
    </cfRule>
  </conditionalFormatting>
  <conditionalFormatting sqref="X138">
    <cfRule type="expression" priority="5657" dxfId="3">
      <formula>AND(IF(OR($Q138=1,$Q138=2),1,0),IF($X138&lt;=20,1,0))</formula>
    </cfRule>
    <cfRule type="expression" priority="5658" dxfId="2">
      <formula>AND(IF($Q138=2,1,0),IF($X138&lt;30,1,0))</formula>
    </cfRule>
    <cfRule type="expression" priority="5659" dxfId="1">
      <formula>AND(IF($Q138=3,1,0),IF($X138&lt;30,1,0))</formula>
    </cfRule>
    <cfRule type="expression" priority="5660" dxfId="0">
      <formula>AND(IF($Q138=3,1,IF($Q138=4,1,0)),IF($F138&lt;=85,1,0))</formula>
    </cfRule>
  </conditionalFormatting>
  <conditionalFormatting sqref="AI138">
    <cfRule type="expression" priority="5653" dxfId="3">
      <formula>AND(IF(OR($Q138=1,$Q138=2),1,0),IF($X138&lt;=20,1,0))</formula>
    </cfRule>
    <cfRule type="expression" priority="5654" dxfId="2">
      <formula>AND(IF($Q138=2,1,0),IF($X138&lt;30,1,0))</formula>
    </cfRule>
    <cfRule type="expression" priority="5655" dxfId="1">
      <formula>AND(IF($Q138=3,1,0),IF($X138&lt;30,1,0))</formula>
    </cfRule>
    <cfRule type="expression" priority="5656" dxfId="0">
      <formula>AND(IF($Q138=3,1,IF($Q138=4,1,0)),IF($F138&lt;=85,1,0))</formula>
    </cfRule>
  </conditionalFormatting>
  <conditionalFormatting sqref="AV139">
    <cfRule type="expression" priority="5651" dxfId="23">
      <formula>AV139="X"</formula>
    </cfRule>
    <cfRule type="expression" priority="5652" dxfId="22">
      <formula>AV139="후보"</formula>
    </cfRule>
  </conditionalFormatting>
  <conditionalFormatting sqref="AC1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39">
    <cfRule type="expression" priority="5643" dxfId="3">
      <formula>AND(IF(OR($Q139=1,$Q139=2),1,0),IF($X139&lt;=20,1,0))</formula>
    </cfRule>
    <cfRule type="expression" priority="5644" dxfId="2">
      <formula>AND(IF($Q139=2,1,0),IF($X139&lt;30,1,0))</formula>
    </cfRule>
    <cfRule type="expression" priority="5645" dxfId="1">
      <formula>AND(IF($Q139=3,1,0),IF($X139&lt;30,1,0))</formula>
    </cfRule>
    <cfRule type="expression" priority="5646" dxfId="0">
      <formula>AND(IF($Q139=3,1,IF($Q139=4,1,0)),IF($F139&lt;=85,1,0))</formula>
    </cfRule>
  </conditionalFormatting>
  <conditionalFormatting sqref="X139">
    <cfRule type="expression" priority="5639" dxfId="3">
      <formula>AND(IF(OR($Q139=1,$Q139=2),1,0),IF($X139&lt;=20,1,0))</formula>
    </cfRule>
    <cfRule type="expression" priority="5640" dxfId="2">
      <formula>AND(IF($Q139=2,1,0),IF($X139&lt;30,1,0))</formula>
    </cfRule>
    <cfRule type="expression" priority="5641" dxfId="1">
      <formula>AND(IF($Q139=3,1,0),IF($X139&lt;30,1,0))</formula>
    </cfRule>
    <cfRule type="expression" priority="5642" dxfId="0">
      <formula>AND(IF($Q139=3,1,IF($Q139=4,1,0)),IF($F139&lt;=85,1,0))</formula>
    </cfRule>
  </conditionalFormatting>
  <conditionalFormatting sqref="AI139">
    <cfRule type="expression" priority="5635" dxfId="3">
      <formula>AND(IF(OR($Q139=1,$Q139=2),1,0),IF($X139&lt;=20,1,0))</formula>
    </cfRule>
    <cfRule type="expression" priority="5636" dxfId="2">
      <formula>AND(IF($Q139=2,1,0),IF($X139&lt;30,1,0))</formula>
    </cfRule>
    <cfRule type="expression" priority="5637" dxfId="1">
      <formula>AND(IF($Q139=3,1,0),IF($X139&lt;30,1,0))</formula>
    </cfRule>
    <cfRule type="expression" priority="5638" dxfId="0">
      <formula>AND(IF($Q139=3,1,IF($Q139=4,1,0)),IF($F139&lt;=85,1,0))</formula>
    </cfRule>
  </conditionalFormatting>
  <conditionalFormatting sqref="AV140">
    <cfRule type="expression" priority="5633" dxfId="23">
      <formula>AV140="X"</formula>
    </cfRule>
    <cfRule type="expression" priority="5634" dxfId="22">
      <formula>AV140="후보"</formula>
    </cfRule>
  </conditionalFormatting>
  <conditionalFormatting sqref="AC1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40">
    <cfRule type="expression" priority="5625" dxfId="3">
      <formula>AND(IF(OR($Q140=1,$Q140=2),1,0),IF($X140&lt;=20,1,0))</formula>
    </cfRule>
    <cfRule type="expression" priority="5626" dxfId="2">
      <formula>AND(IF($Q140=2,1,0),IF($X140&lt;30,1,0))</formula>
    </cfRule>
    <cfRule type="expression" priority="5627" dxfId="1">
      <formula>AND(IF($Q140=3,1,0),IF($X140&lt;30,1,0))</formula>
    </cfRule>
    <cfRule type="expression" priority="5628" dxfId="0">
      <formula>AND(IF($Q140=3,1,IF($Q140=4,1,0)),IF($F140&lt;=85,1,0))</formula>
    </cfRule>
  </conditionalFormatting>
  <conditionalFormatting sqref="X140">
    <cfRule type="expression" priority="5621" dxfId="3">
      <formula>AND(IF(OR($Q140=1,$Q140=2),1,0),IF($X140&lt;=20,1,0))</formula>
    </cfRule>
    <cfRule type="expression" priority="5622" dxfId="2">
      <formula>AND(IF($Q140=2,1,0),IF($X140&lt;30,1,0))</formula>
    </cfRule>
    <cfRule type="expression" priority="5623" dxfId="1">
      <formula>AND(IF($Q140=3,1,0),IF($X140&lt;30,1,0))</formula>
    </cfRule>
    <cfRule type="expression" priority="5624" dxfId="0">
      <formula>AND(IF($Q140=3,1,IF($Q140=4,1,0)),IF($F140&lt;=85,1,0))</formula>
    </cfRule>
  </conditionalFormatting>
  <conditionalFormatting sqref="AI140">
    <cfRule type="expression" priority="5617" dxfId="3">
      <formula>AND(IF(OR($Q140=1,$Q140=2),1,0),IF($X140&lt;=20,1,0))</formula>
    </cfRule>
    <cfRule type="expression" priority="5618" dxfId="2">
      <formula>AND(IF($Q140=2,1,0),IF($X140&lt;30,1,0))</formula>
    </cfRule>
    <cfRule type="expression" priority="5619" dxfId="1">
      <formula>AND(IF($Q140=3,1,0),IF($X140&lt;30,1,0))</formula>
    </cfRule>
    <cfRule type="expression" priority="5620" dxfId="0">
      <formula>AND(IF($Q140=3,1,IF($Q140=4,1,0)),IF($F140&lt;=85,1,0))</formula>
    </cfRule>
  </conditionalFormatting>
  <conditionalFormatting sqref="AV141">
    <cfRule type="expression" priority="5615" dxfId="23">
      <formula>AV141="X"</formula>
    </cfRule>
    <cfRule type="expression" priority="5616" dxfId="22">
      <formula>AV141="후보"</formula>
    </cfRule>
  </conditionalFormatting>
  <conditionalFormatting sqref="AC1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41">
    <cfRule type="expression" priority="5607" dxfId="3">
      <formula>AND(IF(OR($Q141=1,$Q141=2),1,0),IF($X141&lt;=20,1,0))</formula>
    </cfRule>
    <cfRule type="expression" priority="5608" dxfId="2">
      <formula>AND(IF($Q141=2,1,0),IF($X141&lt;30,1,0))</formula>
    </cfRule>
    <cfRule type="expression" priority="5609" dxfId="1">
      <formula>AND(IF($Q141=3,1,0),IF($X141&lt;30,1,0))</formula>
    </cfRule>
    <cfRule type="expression" priority="5610" dxfId="0">
      <formula>AND(IF($Q141=3,1,IF($Q141=4,1,0)),IF($F141&lt;=85,1,0))</formula>
    </cfRule>
  </conditionalFormatting>
  <conditionalFormatting sqref="X141">
    <cfRule type="expression" priority="5603" dxfId="3">
      <formula>AND(IF(OR($Q141=1,$Q141=2),1,0),IF($X141&lt;=20,1,0))</formula>
    </cfRule>
    <cfRule type="expression" priority="5604" dxfId="2">
      <formula>AND(IF($Q141=2,1,0),IF($X141&lt;30,1,0))</formula>
    </cfRule>
    <cfRule type="expression" priority="5605" dxfId="1">
      <formula>AND(IF($Q141=3,1,0),IF($X141&lt;30,1,0))</formula>
    </cfRule>
    <cfRule type="expression" priority="5606" dxfId="0">
      <formula>AND(IF($Q141=3,1,IF($Q141=4,1,0)),IF($F141&lt;=85,1,0))</formula>
    </cfRule>
  </conditionalFormatting>
  <conditionalFormatting sqref="AI141">
    <cfRule type="expression" priority="5599" dxfId="3">
      <formula>AND(IF(OR($Q141=1,$Q141=2),1,0),IF($X141&lt;=20,1,0))</formula>
    </cfRule>
    <cfRule type="expression" priority="5600" dxfId="2">
      <formula>AND(IF($Q141=2,1,0),IF($X141&lt;30,1,0))</formula>
    </cfRule>
    <cfRule type="expression" priority="5601" dxfId="1">
      <formula>AND(IF($Q141=3,1,0),IF($X141&lt;30,1,0))</formula>
    </cfRule>
    <cfRule type="expression" priority="5602" dxfId="0">
      <formula>AND(IF($Q141=3,1,IF($Q141=4,1,0)),IF($F141&lt;=85,1,0))</formula>
    </cfRule>
  </conditionalFormatting>
  <conditionalFormatting sqref="AV142">
    <cfRule type="expression" priority="5597" dxfId="23">
      <formula>AV142="X"</formula>
    </cfRule>
    <cfRule type="expression" priority="5598" dxfId="22">
      <formula>AV142="후보"</formula>
    </cfRule>
  </conditionalFormatting>
  <conditionalFormatting sqref="AC1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42">
    <cfRule type="expression" priority="5589" dxfId="3">
      <formula>AND(IF(OR($Q142=1,$Q142=2),1,0),IF($X142&lt;=20,1,0))</formula>
    </cfRule>
    <cfRule type="expression" priority="5590" dxfId="2">
      <formula>AND(IF($Q142=2,1,0),IF($X142&lt;30,1,0))</formula>
    </cfRule>
    <cfRule type="expression" priority="5591" dxfId="1">
      <formula>AND(IF($Q142=3,1,0),IF($X142&lt;30,1,0))</formula>
    </cfRule>
    <cfRule type="expression" priority="5592" dxfId="0">
      <formula>AND(IF($Q142=3,1,IF($Q142=4,1,0)),IF($F142&lt;=85,1,0))</formula>
    </cfRule>
  </conditionalFormatting>
  <conditionalFormatting sqref="X142">
    <cfRule type="expression" priority="5585" dxfId="3">
      <formula>AND(IF(OR($Q142=1,$Q142=2),1,0),IF($X142&lt;=20,1,0))</formula>
    </cfRule>
    <cfRule type="expression" priority="5586" dxfId="2">
      <formula>AND(IF($Q142=2,1,0),IF($X142&lt;30,1,0))</formula>
    </cfRule>
    <cfRule type="expression" priority="5587" dxfId="1">
      <formula>AND(IF($Q142=3,1,0),IF($X142&lt;30,1,0))</formula>
    </cfRule>
    <cfRule type="expression" priority="5588" dxfId="0">
      <formula>AND(IF($Q142=3,1,IF($Q142=4,1,0)),IF($F142&lt;=85,1,0))</formula>
    </cfRule>
  </conditionalFormatting>
  <conditionalFormatting sqref="AI142">
    <cfRule type="expression" priority="5581" dxfId="3">
      <formula>AND(IF(OR($Q142=1,$Q142=2),1,0),IF($X142&lt;=20,1,0))</formula>
    </cfRule>
    <cfRule type="expression" priority="5582" dxfId="2">
      <formula>AND(IF($Q142=2,1,0),IF($X142&lt;30,1,0))</formula>
    </cfRule>
    <cfRule type="expression" priority="5583" dxfId="1">
      <formula>AND(IF($Q142=3,1,0),IF($X142&lt;30,1,0))</formula>
    </cfRule>
    <cfRule type="expression" priority="5584" dxfId="0">
      <formula>AND(IF($Q142=3,1,IF($Q142=4,1,0)),IF($F142&lt;=85,1,0))</formula>
    </cfRule>
  </conditionalFormatting>
  <conditionalFormatting sqref="AV143">
    <cfRule type="expression" priority="5579" dxfId="23">
      <formula>AV143="X"</formula>
    </cfRule>
    <cfRule type="expression" priority="5580" dxfId="22">
      <formula>AV143="후보"</formula>
    </cfRule>
  </conditionalFormatting>
  <conditionalFormatting sqref="AC1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43">
    <cfRule type="expression" priority="5571" dxfId="3">
      <formula>AND(IF(OR($Q143=1,$Q143=2),1,0),IF($X143&lt;=20,1,0))</formula>
    </cfRule>
    <cfRule type="expression" priority="5572" dxfId="2">
      <formula>AND(IF($Q143=2,1,0),IF($X143&lt;30,1,0))</formula>
    </cfRule>
    <cfRule type="expression" priority="5573" dxfId="1">
      <formula>AND(IF($Q143=3,1,0),IF($X143&lt;30,1,0))</formula>
    </cfRule>
    <cfRule type="expression" priority="5574" dxfId="0">
      <formula>AND(IF($Q143=3,1,IF($Q143=4,1,0)),IF($F143&lt;=85,1,0))</formula>
    </cfRule>
  </conditionalFormatting>
  <conditionalFormatting sqref="X143">
    <cfRule type="expression" priority="5567" dxfId="3">
      <formula>AND(IF(OR($Q143=1,$Q143=2),1,0),IF($X143&lt;=20,1,0))</formula>
    </cfRule>
    <cfRule type="expression" priority="5568" dxfId="2">
      <formula>AND(IF($Q143=2,1,0),IF($X143&lt;30,1,0))</formula>
    </cfRule>
    <cfRule type="expression" priority="5569" dxfId="1">
      <formula>AND(IF($Q143=3,1,0),IF($X143&lt;30,1,0))</formula>
    </cfRule>
    <cfRule type="expression" priority="5570" dxfId="0">
      <formula>AND(IF($Q143=3,1,IF($Q143=4,1,0)),IF($F143&lt;=85,1,0))</formula>
    </cfRule>
  </conditionalFormatting>
  <conditionalFormatting sqref="AI143">
    <cfRule type="expression" priority="5563" dxfId="3">
      <formula>AND(IF(OR($Q143=1,$Q143=2),1,0),IF($X143&lt;=20,1,0))</formula>
    </cfRule>
    <cfRule type="expression" priority="5564" dxfId="2">
      <formula>AND(IF($Q143=2,1,0),IF($X143&lt;30,1,0))</formula>
    </cfRule>
    <cfRule type="expression" priority="5565" dxfId="1">
      <formula>AND(IF($Q143=3,1,0),IF($X143&lt;30,1,0))</formula>
    </cfRule>
    <cfRule type="expression" priority="5566" dxfId="0">
      <formula>AND(IF($Q143=3,1,IF($Q143=4,1,0)),IF($F143&lt;=85,1,0))</formula>
    </cfRule>
  </conditionalFormatting>
  <conditionalFormatting sqref="AV144">
    <cfRule type="expression" priority="5561" dxfId="23">
      <formula>AV144="X"</formula>
    </cfRule>
    <cfRule type="expression" priority="5562" dxfId="22">
      <formula>AV144="후보"</formula>
    </cfRule>
  </conditionalFormatting>
  <conditionalFormatting sqref="AC1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44">
    <cfRule type="expression" priority="5553" dxfId="3">
      <formula>AND(IF(OR($Q144=1,$Q144=2),1,0),IF($X144&lt;=20,1,0))</formula>
    </cfRule>
    <cfRule type="expression" priority="5554" dxfId="2">
      <formula>AND(IF($Q144=2,1,0),IF($X144&lt;30,1,0))</formula>
    </cfRule>
    <cfRule type="expression" priority="5555" dxfId="1">
      <formula>AND(IF($Q144=3,1,0),IF($X144&lt;30,1,0))</formula>
    </cfRule>
    <cfRule type="expression" priority="5556" dxfId="0">
      <formula>AND(IF($Q144=3,1,IF($Q144=4,1,0)),IF($F144&lt;=85,1,0))</formula>
    </cfRule>
  </conditionalFormatting>
  <conditionalFormatting sqref="X144">
    <cfRule type="expression" priority="5549" dxfId="3">
      <formula>AND(IF(OR($Q144=1,$Q144=2),1,0),IF($X144&lt;=20,1,0))</formula>
    </cfRule>
    <cfRule type="expression" priority="5550" dxfId="2">
      <formula>AND(IF($Q144=2,1,0),IF($X144&lt;30,1,0))</formula>
    </cfRule>
    <cfRule type="expression" priority="5551" dxfId="1">
      <formula>AND(IF($Q144=3,1,0),IF($X144&lt;30,1,0))</formula>
    </cfRule>
    <cfRule type="expression" priority="5552" dxfId="0">
      <formula>AND(IF($Q144=3,1,IF($Q144=4,1,0)),IF($F144&lt;=85,1,0))</formula>
    </cfRule>
  </conditionalFormatting>
  <conditionalFormatting sqref="AI144">
    <cfRule type="expression" priority="5545" dxfId="3">
      <formula>AND(IF(OR($Q144=1,$Q144=2),1,0),IF($X144&lt;=20,1,0))</formula>
    </cfRule>
    <cfRule type="expression" priority="5546" dxfId="2">
      <formula>AND(IF($Q144=2,1,0),IF($X144&lt;30,1,0))</formula>
    </cfRule>
    <cfRule type="expression" priority="5547" dxfId="1">
      <formula>AND(IF($Q144=3,1,0),IF($X144&lt;30,1,0))</formula>
    </cfRule>
    <cfRule type="expression" priority="5548" dxfId="0">
      <formula>AND(IF($Q144=3,1,IF($Q144=4,1,0)),IF($F144&lt;=85,1,0))</formula>
    </cfRule>
  </conditionalFormatting>
  <conditionalFormatting sqref="AV145">
    <cfRule type="expression" priority="5543" dxfId="23">
      <formula>AV145="X"</formula>
    </cfRule>
    <cfRule type="expression" priority="5544" dxfId="22">
      <formula>AV145="후보"</formula>
    </cfRule>
  </conditionalFormatting>
  <conditionalFormatting sqref="AC1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45">
    <cfRule type="expression" priority="5535" dxfId="3">
      <formula>AND(IF(OR($Q145=1,$Q145=2),1,0),IF($X145&lt;=20,1,0))</formula>
    </cfRule>
    <cfRule type="expression" priority="5536" dxfId="2">
      <formula>AND(IF($Q145=2,1,0),IF($X145&lt;30,1,0))</formula>
    </cfRule>
    <cfRule type="expression" priority="5537" dxfId="1">
      <formula>AND(IF($Q145=3,1,0),IF($X145&lt;30,1,0))</formula>
    </cfRule>
    <cfRule type="expression" priority="5538" dxfId="0">
      <formula>AND(IF($Q145=3,1,IF($Q145=4,1,0)),IF($F145&lt;=85,1,0))</formula>
    </cfRule>
  </conditionalFormatting>
  <conditionalFormatting sqref="X145">
    <cfRule type="expression" priority="5531" dxfId="3">
      <formula>AND(IF(OR($Q145=1,$Q145=2),1,0),IF($X145&lt;=20,1,0))</formula>
    </cfRule>
    <cfRule type="expression" priority="5532" dxfId="2">
      <formula>AND(IF($Q145=2,1,0),IF($X145&lt;30,1,0))</formula>
    </cfRule>
    <cfRule type="expression" priority="5533" dxfId="1">
      <formula>AND(IF($Q145=3,1,0),IF($X145&lt;30,1,0))</formula>
    </cfRule>
    <cfRule type="expression" priority="5534" dxfId="0">
      <formula>AND(IF($Q145=3,1,IF($Q145=4,1,0)),IF($F145&lt;=85,1,0))</formula>
    </cfRule>
  </conditionalFormatting>
  <conditionalFormatting sqref="AI145">
    <cfRule type="expression" priority="5527" dxfId="3">
      <formula>AND(IF(OR($Q145=1,$Q145=2),1,0),IF($X145&lt;=20,1,0))</formula>
    </cfRule>
    <cfRule type="expression" priority="5528" dxfId="2">
      <formula>AND(IF($Q145=2,1,0),IF($X145&lt;30,1,0))</formula>
    </cfRule>
    <cfRule type="expression" priority="5529" dxfId="1">
      <formula>AND(IF($Q145=3,1,0),IF($X145&lt;30,1,0))</formula>
    </cfRule>
    <cfRule type="expression" priority="5530" dxfId="0">
      <formula>AND(IF($Q145=3,1,IF($Q145=4,1,0)),IF($F145&lt;=85,1,0))</formula>
    </cfRule>
  </conditionalFormatting>
  <conditionalFormatting sqref="AV146">
    <cfRule type="expression" priority="5525" dxfId="23">
      <formula>AV146="X"</formula>
    </cfRule>
    <cfRule type="expression" priority="5526" dxfId="22">
      <formula>AV146="후보"</formula>
    </cfRule>
  </conditionalFormatting>
  <conditionalFormatting sqref="AC1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46">
    <cfRule type="expression" priority="5517" dxfId="3">
      <formula>AND(IF(OR($Q146=1,$Q146=2),1,0),IF($X146&lt;=20,1,0))</formula>
    </cfRule>
    <cfRule type="expression" priority="5518" dxfId="2">
      <formula>AND(IF($Q146=2,1,0),IF($X146&lt;30,1,0))</formula>
    </cfRule>
    <cfRule type="expression" priority="5519" dxfId="1">
      <formula>AND(IF($Q146=3,1,0),IF($X146&lt;30,1,0))</formula>
    </cfRule>
    <cfRule type="expression" priority="5520" dxfId="0">
      <formula>AND(IF($Q146=3,1,IF($Q146=4,1,0)),IF($F146&lt;=85,1,0))</formula>
    </cfRule>
  </conditionalFormatting>
  <conditionalFormatting sqref="X146">
    <cfRule type="expression" priority="5513" dxfId="3">
      <formula>AND(IF(OR($Q146=1,$Q146=2),1,0),IF($X146&lt;=20,1,0))</formula>
    </cfRule>
    <cfRule type="expression" priority="5514" dxfId="2">
      <formula>AND(IF($Q146=2,1,0),IF($X146&lt;30,1,0))</formula>
    </cfRule>
    <cfRule type="expression" priority="5515" dxfId="1">
      <formula>AND(IF($Q146=3,1,0),IF($X146&lt;30,1,0))</formula>
    </cfRule>
    <cfRule type="expression" priority="5516" dxfId="0">
      <formula>AND(IF($Q146=3,1,IF($Q146=4,1,0)),IF($F146&lt;=85,1,0))</formula>
    </cfRule>
  </conditionalFormatting>
  <conditionalFormatting sqref="AI146">
    <cfRule type="expression" priority="5509" dxfId="3">
      <formula>AND(IF(OR($Q146=1,$Q146=2),1,0),IF($X146&lt;=20,1,0))</formula>
    </cfRule>
    <cfRule type="expression" priority="5510" dxfId="2">
      <formula>AND(IF($Q146=2,1,0),IF($X146&lt;30,1,0))</formula>
    </cfRule>
    <cfRule type="expression" priority="5511" dxfId="1">
      <formula>AND(IF($Q146=3,1,0),IF($X146&lt;30,1,0))</formula>
    </cfRule>
    <cfRule type="expression" priority="5512" dxfId="0">
      <formula>AND(IF($Q146=3,1,IF($Q146=4,1,0)),IF($F146&lt;=85,1,0))</formula>
    </cfRule>
  </conditionalFormatting>
  <conditionalFormatting sqref="AV147">
    <cfRule type="expression" priority="5507" dxfId="23">
      <formula>AV147="X"</formula>
    </cfRule>
    <cfRule type="expression" priority="5508" dxfId="22">
      <formula>AV147="후보"</formula>
    </cfRule>
  </conditionalFormatting>
  <conditionalFormatting sqref="AC1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47">
    <cfRule type="expression" priority="5499" dxfId="3">
      <formula>AND(IF(OR($Q147=1,$Q147=2),1,0),IF($X147&lt;=20,1,0))</formula>
    </cfRule>
    <cfRule type="expression" priority="5500" dxfId="2">
      <formula>AND(IF($Q147=2,1,0),IF($X147&lt;30,1,0))</formula>
    </cfRule>
    <cfRule type="expression" priority="5501" dxfId="1">
      <formula>AND(IF($Q147=3,1,0),IF($X147&lt;30,1,0))</formula>
    </cfRule>
    <cfRule type="expression" priority="5502" dxfId="0">
      <formula>AND(IF($Q147=3,1,IF($Q147=4,1,0)),IF($F147&lt;=85,1,0))</formula>
    </cfRule>
  </conditionalFormatting>
  <conditionalFormatting sqref="X147">
    <cfRule type="expression" priority="5495" dxfId="3">
      <formula>AND(IF(OR($Q147=1,$Q147=2),1,0),IF($X147&lt;=20,1,0))</formula>
    </cfRule>
    <cfRule type="expression" priority="5496" dxfId="2">
      <formula>AND(IF($Q147=2,1,0),IF($X147&lt;30,1,0))</formula>
    </cfRule>
    <cfRule type="expression" priority="5497" dxfId="1">
      <formula>AND(IF($Q147=3,1,0),IF($X147&lt;30,1,0))</formula>
    </cfRule>
    <cfRule type="expression" priority="5498" dxfId="0">
      <formula>AND(IF($Q147=3,1,IF($Q147=4,1,0)),IF($F147&lt;=85,1,0))</formula>
    </cfRule>
  </conditionalFormatting>
  <conditionalFormatting sqref="AI147">
    <cfRule type="expression" priority="5491" dxfId="3">
      <formula>AND(IF(OR($Q147=1,$Q147=2),1,0),IF($X147&lt;=20,1,0))</formula>
    </cfRule>
    <cfRule type="expression" priority="5492" dxfId="2">
      <formula>AND(IF($Q147=2,1,0),IF($X147&lt;30,1,0))</formula>
    </cfRule>
    <cfRule type="expression" priority="5493" dxfId="1">
      <formula>AND(IF($Q147=3,1,0),IF($X147&lt;30,1,0))</formula>
    </cfRule>
    <cfRule type="expression" priority="5494" dxfId="0">
      <formula>AND(IF($Q147=3,1,IF($Q147=4,1,0)),IF($F147&lt;=85,1,0))</formula>
    </cfRule>
  </conditionalFormatting>
  <conditionalFormatting sqref="AV148">
    <cfRule type="expression" priority="5489" dxfId="23">
      <formula>AV148="X"</formula>
    </cfRule>
    <cfRule type="expression" priority="5490" dxfId="22">
      <formula>AV148="후보"</formula>
    </cfRule>
  </conditionalFormatting>
  <conditionalFormatting sqref="AC1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48">
    <cfRule type="expression" priority="5481" dxfId="3">
      <formula>AND(IF(OR($Q148=1,$Q148=2),1,0),IF($X148&lt;=20,1,0))</formula>
    </cfRule>
    <cfRule type="expression" priority="5482" dxfId="2">
      <formula>AND(IF($Q148=2,1,0),IF($X148&lt;30,1,0))</formula>
    </cfRule>
    <cfRule type="expression" priority="5483" dxfId="1">
      <formula>AND(IF($Q148=3,1,0),IF($X148&lt;30,1,0))</formula>
    </cfRule>
    <cfRule type="expression" priority="5484" dxfId="0">
      <formula>AND(IF($Q148=3,1,IF($Q148=4,1,0)),IF($F148&lt;=85,1,0))</formula>
    </cfRule>
  </conditionalFormatting>
  <conditionalFormatting sqref="X148">
    <cfRule type="expression" priority="5477" dxfId="3">
      <formula>AND(IF(OR($Q148=1,$Q148=2),1,0),IF($X148&lt;=20,1,0))</formula>
    </cfRule>
    <cfRule type="expression" priority="5478" dxfId="2">
      <formula>AND(IF($Q148=2,1,0),IF($X148&lt;30,1,0))</formula>
    </cfRule>
    <cfRule type="expression" priority="5479" dxfId="1">
      <formula>AND(IF($Q148=3,1,0),IF($X148&lt;30,1,0))</formula>
    </cfRule>
    <cfRule type="expression" priority="5480" dxfId="0">
      <formula>AND(IF($Q148=3,1,IF($Q148=4,1,0)),IF($F148&lt;=85,1,0))</formula>
    </cfRule>
  </conditionalFormatting>
  <conditionalFormatting sqref="AI148">
    <cfRule type="expression" priority="5473" dxfId="3">
      <formula>AND(IF(OR($Q148=1,$Q148=2),1,0),IF($X148&lt;=20,1,0))</formula>
    </cfRule>
    <cfRule type="expression" priority="5474" dxfId="2">
      <formula>AND(IF($Q148=2,1,0),IF($X148&lt;30,1,0))</formula>
    </cfRule>
    <cfRule type="expression" priority="5475" dxfId="1">
      <formula>AND(IF($Q148=3,1,0),IF($X148&lt;30,1,0))</formula>
    </cfRule>
    <cfRule type="expression" priority="5476" dxfId="0">
      <formula>AND(IF($Q148=3,1,IF($Q148=4,1,0)),IF($F148&lt;=85,1,0))</formula>
    </cfRule>
  </conditionalFormatting>
  <conditionalFormatting sqref="AV149">
    <cfRule type="expression" priority="5471" dxfId="23">
      <formula>AV149="X"</formula>
    </cfRule>
    <cfRule type="expression" priority="5472" dxfId="22">
      <formula>AV149="후보"</formula>
    </cfRule>
  </conditionalFormatting>
  <conditionalFormatting sqref="AC1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49">
    <cfRule type="expression" priority="5463" dxfId="3">
      <formula>AND(IF(OR($Q149=1,$Q149=2),1,0),IF($X149&lt;=20,1,0))</formula>
    </cfRule>
    <cfRule type="expression" priority="5464" dxfId="2">
      <formula>AND(IF($Q149=2,1,0),IF($X149&lt;30,1,0))</formula>
    </cfRule>
    <cfRule type="expression" priority="5465" dxfId="1">
      <formula>AND(IF($Q149=3,1,0),IF($X149&lt;30,1,0))</formula>
    </cfRule>
    <cfRule type="expression" priority="5466" dxfId="0">
      <formula>AND(IF($Q149=3,1,IF($Q149=4,1,0)),IF($F149&lt;=85,1,0))</formula>
    </cfRule>
  </conditionalFormatting>
  <conditionalFormatting sqref="X149">
    <cfRule type="expression" priority="5459" dxfId="3">
      <formula>AND(IF(OR($Q149=1,$Q149=2),1,0),IF($X149&lt;=20,1,0))</formula>
    </cfRule>
    <cfRule type="expression" priority="5460" dxfId="2">
      <formula>AND(IF($Q149=2,1,0),IF($X149&lt;30,1,0))</formula>
    </cfRule>
    <cfRule type="expression" priority="5461" dxfId="1">
      <formula>AND(IF($Q149=3,1,0),IF($X149&lt;30,1,0))</formula>
    </cfRule>
    <cfRule type="expression" priority="5462" dxfId="0">
      <formula>AND(IF($Q149=3,1,IF($Q149=4,1,0)),IF($F149&lt;=85,1,0))</formula>
    </cfRule>
  </conditionalFormatting>
  <conditionalFormatting sqref="AI149">
    <cfRule type="expression" priority="5455" dxfId="3">
      <formula>AND(IF(OR($Q149=1,$Q149=2),1,0),IF($X149&lt;=20,1,0))</formula>
    </cfRule>
    <cfRule type="expression" priority="5456" dxfId="2">
      <formula>AND(IF($Q149=2,1,0),IF($X149&lt;30,1,0))</formula>
    </cfRule>
    <cfRule type="expression" priority="5457" dxfId="1">
      <formula>AND(IF($Q149=3,1,0),IF($X149&lt;30,1,0))</formula>
    </cfRule>
    <cfRule type="expression" priority="5458" dxfId="0">
      <formula>AND(IF($Q149=3,1,IF($Q149=4,1,0)),IF($F149&lt;=85,1,0))</formula>
    </cfRule>
  </conditionalFormatting>
  <conditionalFormatting sqref="AV150">
    <cfRule type="expression" priority="5453" dxfId="23">
      <formula>AV150="X"</formula>
    </cfRule>
    <cfRule type="expression" priority="5454" dxfId="22">
      <formula>AV150="후보"</formula>
    </cfRule>
  </conditionalFormatting>
  <conditionalFormatting sqref="AC1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50">
    <cfRule type="expression" priority="5445" dxfId="3">
      <formula>AND(IF(OR($Q150=1,$Q150=2),1,0),IF($X150&lt;=20,1,0))</formula>
    </cfRule>
    <cfRule type="expression" priority="5446" dxfId="2">
      <formula>AND(IF($Q150=2,1,0),IF($X150&lt;30,1,0))</formula>
    </cfRule>
    <cfRule type="expression" priority="5447" dxfId="1">
      <formula>AND(IF($Q150=3,1,0),IF($X150&lt;30,1,0))</formula>
    </cfRule>
    <cfRule type="expression" priority="5448" dxfId="0">
      <formula>AND(IF($Q150=3,1,IF($Q150=4,1,0)),IF($F150&lt;=85,1,0))</formula>
    </cfRule>
  </conditionalFormatting>
  <conditionalFormatting sqref="X150">
    <cfRule type="expression" priority="5441" dxfId="3">
      <formula>AND(IF(OR($Q150=1,$Q150=2),1,0),IF($X150&lt;=20,1,0))</formula>
    </cfRule>
    <cfRule type="expression" priority="5442" dxfId="2">
      <formula>AND(IF($Q150=2,1,0),IF($X150&lt;30,1,0))</formula>
    </cfRule>
    <cfRule type="expression" priority="5443" dxfId="1">
      <formula>AND(IF($Q150=3,1,0),IF($X150&lt;30,1,0))</formula>
    </cfRule>
    <cfRule type="expression" priority="5444" dxfId="0">
      <formula>AND(IF($Q150=3,1,IF($Q150=4,1,0)),IF($F150&lt;=85,1,0))</formula>
    </cfRule>
  </conditionalFormatting>
  <conditionalFormatting sqref="AI150">
    <cfRule type="expression" priority="5437" dxfId="3">
      <formula>AND(IF(OR($Q150=1,$Q150=2),1,0),IF($X150&lt;=20,1,0))</formula>
    </cfRule>
    <cfRule type="expression" priority="5438" dxfId="2">
      <formula>AND(IF($Q150=2,1,0),IF($X150&lt;30,1,0))</formula>
    </cfRule>
    <cfRule type="expression" priority="5439" dxfId="1">
      <formula>AND(IF($Q150=3,1,0),IF($X150&lt;30,1,0))</formula>
    </cfRule>
    <cfRule type="expression" priority="5440" dxfId="0">
      <formula>AND(IF($Q150=3,1,IF($Q150=4,1,0)),IF($F150&lt;=85,1,0))</formula>
    </cfRule>
  </conditionalFormatting>
  <conditionalFormatting sqref="AV151">
    <cfRule type="expression" priority="5435" dxfId="23">
      <formula>AV151="X"</formula>
    </cfRule>
    <cfRule type="expression" priority="5436" dxfId="22">
      <formula>AV151="후보"</formula>
    </cfRule>
  </conditionalFormatting>
  <conditionalFormatting sqref="AC1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51">
    <cfRule type="expression" priority="5427" dxfId="3">
      <formula>AND(IF(OR($Q151=1,$Q151=2),1,0),IF($X151&lt;=20,1,0))</formula>
    </cfRule>
    <cfRule type="expression" priority="5428" dxfId="2">
      <formula>AND(IF($Q151=2,1,0),IF($X151&lt;30,1,0))</formula>
    </cfRule>
    <cfRule type="expression" priority="5429" dxfId="1">
      <formula>AND(IF($Q151=3,1,0),IF($X151&lt;30,1,0))</formula>
    </cfRule>
    <cfRule type="expression" priority="5430" dxfId="0">
      <formula>AND(IF($Q151=3,1,IF($Q151=4,1,0)),IF($F151&lt;=85,1,0))</formula>
    </cfRule>
  </conditionalFormatting>
  <conditionalFormatting sqref="X151">
    <cfRule type="expression" priority="5423" dxfId="3">
      <formula>AND(IF(OR($Q151=1,$Q151=2),1,0),IF($X151&lt;=20,1,0))</formula>
    </cfRule>
    <cfRule type="expression" priority="5424" dxfId="2">
      <formula>AND(IF($Q151=2,1,0),IF($X151&lt;30,1,0))</formula>
    </cfRule>
    <cfRule type="expression" priority="5425" dxfId="1">
      <formula>AND(IF($Q151=3,1,0),IF($X151&lt;30,1,0))</formula>
    </cfRule>
    <cfRule type="expression" priority="5426" dxfId="0">
      <formula>AND(IF($Q151=3,1,IF($Q151=4,1,0)),IF($F151&lt;=85,1,0))</formula>
    </cfRule>
  </conditionalFormatting>
  <conditionalFormatting sqref="AI151">
    <cfRule type="expression" priority="5419" dxfId="3">
      <formula>AND(IF(OR($Q151=1,$Q151=2),1,0),IF($X151&lt;=20,1,0))</formula>
    </cfRule>
    <cfRule type="expression" priority="5420" dxfId="2">
      <formula>AND(IF($Q151=2,1,0),IF($X151&lt;30,1,0))</formula>
    </cfRule>
    <cfRule type="expression" priority="5421" dxfId="1">
      <formula>AND(IF($Q151=3,1,0),IF($X151&lt;30,1,0))</formula>
    </cfRule>
    <cfRule type="expression" priority="5422" dxfId="0">
      <formula>AND(IF($Q151=3,1,IF($Q151=4,1,0)),IF($F151&lt;=85,1,0))</formula>
    </cfRule>
  </conditionalFormatting>
  <conditionalFormatting sqref="AV152">
    <cfRule type="expression" priority="5417" dxfId="23">
      <formula>AV152="X"</formula>
    </cfRule>
    <cfRule type="expression" priority="5418" dxfId="22">
      <formula>AV152="후보"</formula>
    </cfRule>
  </conditionalFormatting>
  <conditionalFormatting sqref="AC1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52">
    <cfRule type="expression" priority="5409" dxfId="3">
      <formula>AND(IF(OR($Q152=1,$Q152=2),1,0),IF($X152&lt;=20,1,0))</formula>
    </cfRule>
    <cfRule type="expression" priority="5410" dxfId="2">
      <formula>AND(IF($Q152=2,1,0),IF($X152&lt;30,1,0))</formula>
    </cfRule>
    <cfRule type="expression" priority="5411" dxfId="1">
      <formula>AND(IF($Q152=3,1,0),IF($X152&lt;30,1,0))</formula>
    </cfRule>
    <cfRule type="expression" priority="5412" dxfId="0">
      <formula>AND(IF($Q152=3,1,IF($Q152=4,1,0)),IF($F152&lt;=85,1,0))</formula>
    </cfRule>
  </conditionalFormatting>
  <conditionalFormatting sqref="X152">
    <cfRule type="expression" priority="5405" dxfId="3">
      <formula>AND(IF(OR($Q152=1,$Q152=2),1,0),IF($X152&lt;=20,1,0))</formula>
    </cfRule>
    <cfRule type="expression" priority="5406" dxfId="2">
      <formula>AND(IF($Q152=2,1,0),IF($X152&lt;30,1,0))</formula>
    </cfRule>
    <cfRule type="expression" priority="5407" dxfId="1">
      <formula>AND(IF($Q152=3,1,0),IF($X152&lt;30,1,0))</formula>
    </cfRule>
    <cfRule type="expression" priority="5408" dxfId="0">
      <formula>AND(IF($Q152=3,1,IF($Q152=4,1,0)),IF($F152&lt;=85,1,0))</formula>
    </cfRule>
  </conditionalFormatting>
  <conditionalFormatting sqref="AI152">
    <cfRule type="expression" priority="5401" dxfId="3">
      <formula>AND(IF(OR($Q152=1,$Q152=2),1,0),IF($X152&lt;=20,1,0))</formula>
    </cfRule>
    <cfRule type="expression" priority="5402" dxfId="2">
      <formula>AND(IF($Q152=2,1,0),IF($X152&lt;30,1,0))</formula>
    </cfRule>
    <cfRule type="expression" priority="5403" dxfId="1">
      <formula>AND(IF($Q152=3,1,0),IF($X152&lt;30,1,0))</formula>
    </cfRule>
    <cfRule type="expression" priority="5404" dxfId="0">
      <formula>AND(IF($Q152=3,1,IF($Q152=4,1,0)),IF($F152&lt;=85,1,0))</formula>
    </cfRule>
  </conditionalFormatting>
  <conditionalFormatting sqref="AV153">
    <cfRule type="expression" priority="5399" dxfId="23">
      <formula>AV153="X"</formula>
    </cfRule>
    <cfRule type="expression" priority="5400" dxfId="22">
      <formula>AV153="후보"</formula>
    </cfRule>
  </conditionalFormatting>
  <conditionalFormatting sqref="AC1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53">
    <cfRule type="expression" priority="5391" dxfId="3">
      <formula>AND(IF(OR($Q153=1,$Q153=2),1,0),IF($X153&lt;=20,1,0))</formula>
    </cfRule>
    <cfRule type="expression" priority="5392" dxfId="2">
      <formula>AND(IF($Q153=2,1,0),IF($X153&lt;30,1,0))</formula>
    </cfRule>
    <cfRule type="expression" priority="5393" dxfId="1">
      <formula>AND(IF($Q153=3,1,0),IF($X153&lt;30,1,0))</formula>
    </cfRule>
    <cfRule type="expression" priority="5394" dxfId="0">
      <formula>AND(IF($Q153=3,1,IF($Q153=4,1,0)),IF($F153&lt;=85,1,0))</formula>
    </cfRule>
  </conditionalFormatting>
  <conditionalFormatting sqref="X153">
    <cfRule type="expression" priority="5387" dxfId="3">
      <formula>AND(IF(OR($Q153=1,$Q153=2),1,0),IF($X153&lt;=20,1,0))</formula>
    </cfRule>
    <cfRule type="expression" priority="5388" dxfId="2">
      <formula>AND(IF($Q153=2,1,0),IF($X153&lt;30,1,0))</formula>
    </cfRule>
    <cfRule type="expression" priority="5389" dxfId="1">
      <formula>AND(IF($Q153=3,1,0),IF($X153&lt;30,1,0))</formula>
    </cfRule>
    <cfRule type="expression" priority="5390" dxfId="0">
      <formula>AND(IF($Q153=3,1,IF($Q153=4,1,0)),IF($F153&lt;=85,1,0))</formula>
    </cfRule>
  </conditionalFormatting>
  <conditionalFormatting sqref="AI153">
    <cfRule type="expression" priority="5383" dxfId="3">
      <formula>AND(IF(OR($Q153=1,$Q153=2),1,0),IF($X153&lt;=20,1,0))</formula>
    </cfRule>
    <cfRule type="expression" priority="5384" dxfId="2">
      <formula>AND(IF($Q153=2,1,0),IF($X153&lt;30,1,0))</formula>
    </cfRule>
    <cfRule type="expression" priority="5385" dxfId="1">
      <formula>AND(IF($Q153=3,1,0),IF($X153&lt;30,1,0))</formula>
    </cfRule>
    <cfRule type="expression" priority="5386" dxfId="0">
      <formula>AND(IF($Q153=3,1,IF($Q153=4,1,0)),IF($F153&lt;=85,1,0))</formula>
    </cfRule>
  </conditionalFormatting>
  <conditionalFormatting sqref="AV154">
    <cfRule type="expression" priority="5381" dxfId="23">
      <formula>AV154="X"</formula>
    </cfRule>
    <cfRule type="expression" priority="5382" dxfId="22">
      <formula>AV154="후보"</formula>
    </cfRule>
  </conditionalFormatting>
  <conditionalFormatting sqref="AC1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54">
    <cfRule type="expression" priority="5373" dxfId="3">
      <formula>AND(IF(OR($Q154=1,$Q154=2),1,0),IF($X154&lt;=20,1,0))</formula>
    </cfRule>
    <cfRule type="expression" priority="5374" dxfId="2">
      <formula>AND(IF($Q154=2,1,0),IF($X154&lt;30,1,0))</formula>
    </cfRule>
    <cfRule type="expression" priority="5375" dxfId="1">
      <formula>AND(IF($Q154=3,1,0),IF($X154&lt;30,1,0))</formula>
    </cfRule>
    <cfRule type="expression" priority="5376" dxfId="0">
      <formula>AND(IF($Q154=3,1,IF($Q154=4,1,0)),IF($F154&lt;=85,1,0))</formula>
    </cfRule>
  </conditionalFormatting>
  <conditionalFormatting sqref="X154">
    <cfRule type="expression" priority="5369" dxfId="3">
      <formula>AND(IF(OR($Q154=1,$Q154=2),1,0),IF($X154&lt;=20,1,0))</formula>
    </cfRule>
    <cfRule type="expression" priority="5370" dxfId="2">
      <formula>AND(IF($Q154=2,1,0),IF($X154&lt;30,1,0))</formula>
    </cfRule>
    <cfRule type="expression" priority="5371" dxfId="1">
      <formula>AND(IF($Q154=3,1,0),IF($X154&lt;30,1,0))</formula>
    </cfRule>
    <cfRule type="expression" priority="5372" dxfId="0">
      <formula>AND(IF($Q154=3,1,IF($Q154=4,1,0)),IF($F154&lt;=85,1,0))</formula>
    </cfRule>
  </conditionalFormatting>
  <conditionalFormatting sqref="AI154">
    <cfRule type="expression" priority="5365" dxfId="3">
      <formula>AND(IF(OR($Q154=1,$Q154=2),1,0),IF($X154&lt;=20,1,0))</formula>
    </cfRule>
    <cfRule type="expression" priority="5366" dxfId="2">
      <formula>AND(IF($Q154=2,1,0),IF($X154&lt;30,1,0))</formula>
    </cfRule>
    <cfRule type="expression" priority="5367" dxfId="1">
      <formula>AND(IF($Q154=3,1,0),IF($X154&lt;30,1,0))</formula>
    </cfRule>
    <cfRule type="expression" priority="5368" dxfId="0">
      <formula>AND(IF($Q154=3,1,IF($Q154=4,1,0)),IF($F154&lt;=85,1,0))</formula>
    </cfRule>
  </conditionalFormatting>
  <conditionalFormatting sqref="AV155">
    <cfRule type="expression" priority="5363" dxfId="23">
      <formula>AV155="X"</formula>
    </cfRule>
    <cfRule type="expression" priority="5364" dxfId="22">
      <formula>AV155="후보"</formula>
    </cfRule>
  </conditionalFormatting>
  <conditionalFormatting sqref="AC1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55">
    <cfRule type="expression" priority="5355" dxfId="3">
      <formula>AND(IF(OR($Q155=1,$Q155=2),1,0),IF($X155&lt;=20,1,0))</formula>
    </cfRule>
    <cfRule type="expression" priority="5356" dxfId="2">
      <formula>AND(IF($Q155=2,1,0),IF($X155&lt;30,1,0))</formula>
    </cfRule>
    <cfRule type="expression" priority="5357" dxfId="1">
      <formula>AND(IF($Q155=3,1,0),IF($X155&lt;30,1,0))</formula>
    </cfRule>
    <cfRule type="expression" priority="5358" dxfId="0">
      <formula>AND(IF($Q155=3,1,IF($Q155=4,1,0)),IF($F155&lt;=85,1,0))</formula>
    </cfRule>
  </conditionalFormatting>
  <conditionalFormatting sqref="X155">
    <cfRule type="expression" priority="5351" dxfId="3">
      <formula>AND(IF(OR($Q155=1,$Q155=2),1,0),IF($X155&lt;=20,1,0))</formula>
    </cfRule>
    <cfRule type="expression" priority="5352" dxfId="2">
      <formula>AND(IF($Q155=2,1,0),IF($X155&lt;30,1,0))</formula>
    </cfRule>
    <cfRule type="expression" priority="5353" dxfId="1">
      <formula>AND(IF($Q155=3,1,0),IF($X155&lt;30,1,0))</formula>
    </cfRule>
    <cfRule type="expression" priority="5354" dxfId="0">
      <formula>AND(IF($Q155=3,1,IF($Q155=4,1,0)),IF($F155&lt;=85,1,0))</formula>
    </cfRule>
  </conditionalFormatting>
  <conditionalFormatting sqref="AI155">
    <cfRule type="expression" priority="5347" dxfId="3">
      <formula>AND(IF(OR($Q155=1,$Q155=2),1,0),IF($X155&lt;=20,1,0))</formula>
    </cfRule>
    <cfRule type="expression" priority="5348" dxfId="2">
      <formula>AND(IF($Q155=2,1,0),IF($X155&lt;30,1,0))</formula>
    </cfRule>
    <cfRule type="expression" priority="5349" dxfId="1">
      <formula>AND(IF($Q155=3,1,0),IF($X155&lt;30,1,0))</formula>
    </cfRule>
    <cfRule type="expression" priority="5350" dxfId="0">
      <formula>AND(IF($Q155=3,1,IF($Q155=4,1,0)),IF($F155&lt;=85,1,0))</formula>
    </cfRule>
  </conditionalFormatting>
  <conditionalFormatting sqref="AV156">
    <cfRule type="expression" priority="5345" dxfId="23">
      <formula>AV156="X"</formula>
    </cfRule>
    <cfRule type="expression" priority="5346" dxfId="22">
      <formula>AV156="후보"</formula>
    </cfRule>
  </conditionalFormatting>
  <conditionalFormatting sqref="AC1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56">
    <cfRule type="expression" priority="5337" dxfId="3">
      <formula>AND(IF(OR($Q156=1,$Q156=2),1,0),IF($X156&lt;=20,1,0))</formula>
    </cfRule>
    <cfRule type="expression" priority="5338" dxfId="2">
      <formula>AND(IF($Q156=2,1,0),IF($X156&lt;30,1,0))</formula>
    </cfRule>
    <cfRule type="expression" priority="5339" dxfId="1">
      <formula>AND(IF($Q156=3,1,0),IF($X156&lt;30,1,0))</formula>
    </cfRule>
    <cfRule type="expression" priority="5340" dxfId="0">
      <formula>AND(IF($Q156=3,1,IF($Q156=4,1,0)),IF($F156&lt;=85,1,0))</formula>
    </cfRule>
  </conditionalFormatting>
  <conditionalFormatting sqref="X156">
    <cfRule type="expression" priority="5333" dxfId="3">
      <formula>AND(IF(OR($Q156=1,$Q156=2),1,0),IF($X156&lt;=20,1,0))</formula>
    </cfRule>
    <cfRule type="expression" priority="5334" dxfId="2">
      <formula>AND(IF($Q156=2,1,0),IF($X156&lt;30,1,0))</formula>
    </cfRule>
    <cfRule type="expression" priority="5335" dxfId="1">
      <formula>AND(IF($Q156=3,1,0),IF($X156&lt;30,1,0))</formula>
    </cfRule>
    <cfRule type="expression" priority="5336" dxfId="0">
      <formula>AND(IF($Q156=3,1,IF($Q156=4,1,0)),IF($F156&lt;=85,1,0))</formula>
    </cfRule>
  </conditionalFormatting>
  <conditionalFormatting sqref="AI156">
    <cfRule type="expression" priority="5329" dxfId="3">
      <formula>AND(IF(OR($Q156=1,$Q156=2),1,0),IF($X156&lt;=20,1,0))</formula>
    </cfRule>
    <cfRule type="expression" priority="5330" dxfId="2">
      <formula>AND(IF($Q156=2,1,0),IF($X156&lt;30,1,0))</formula>
    </cfRule>
    <cfRule type="expression" priority="5331" dxfId="1">
      <formula>AND(IF($Q156=3,1,0),IF($X156&lt;30,1,0))</formula>
    </cfRule>
    <cfRule type="expression" priority="5332" dxfId="0">
      <formula>AND(IF($Q156=3,1,IF($Q156=4,1,0)),IF($F156&lt;=85,1,0))</formula>
    </cfRule>
  </conditionalFormatting>
  <conditionalFormatting sqref="AV157">
    <cfRule type="expression" priority="5327" dxfId="23">
      <formula>AV157="X"</formula>
    </cfRule>
    <cfRule type="expression" priority="5328" dxfId="22">
      <formula>AV157="후보"</formula>
    </cfRule>
  </conditionalFormatting>
  <conditionalFormatting sqref="AC1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57">
    <cfRule type="expression" priority="5319" dxfId="3">
      <formula>AND(IF(OR($Q157=1,$Q157=2),1,0),IF($X157&lt;=20,1,0))</formula>
    </cfRule>
    <cfRule type="expression" priority="5320" dxfId="2">
      <formula>AND(IF($Q157=2,1,0),IF($X157&lt;30,1,0))</formula>
    </cfRule>
    <cfRule type="expression" priority="5321" dxfId="1">
      <formula>AND(IF($Q157=3,1,0),IF($X157&lt;30,1,0))</formula>
    </cfRule>
    <cfRule type="expression" priority="5322" dxfId="0">
      <formula>AND(IF($Q157=3,1,IF($Q157=4,1,0)),IF($F157&lt;=85,1,0))</formula>
    </cfRule>
  </conditionalFormatting>
  <conditionalFormatting sqref="X157">
    <cfRule type="expression" priority="5315" dxfId="3">
      <formula>AND(IF(OR($Q157=1,$Q157=2),1,0),IF($X157&lt;=20,1,0))</formula>
    </cfRule>
    <cfRule type="expression" priority="5316" dxfId="2">
      <formula>AND(IF($Q157=2,1,0),IF($X157&lt;30,1,0))</formula>
    </cfRule>
    <cfRule type="expression" priority="5317" dxfId="1">
      <formula>AND(IF($Q157=3,1,0),IF($X157&lt;30,1,0))</formula>
    </cfRule>
    <cfRule type="expression" priority="5318" dxfId="0">
      <formula>AND(IF($Q157=3,1,IF($Q157=4,1,0)),IF($F157&lt;=85,1,0))</formula>
    </cfRule>
  </conditionalFormatting>
  <conditionalFormatting sqref="AI157">
    <cfRule type="expression" priority="5311" dxfId="3">
      <formula>AND(IF(OR($Q157=1,$Q157=2),1,0),IF($X157&lt;=20,1,0))</formula>
    </cfRule>
    <cfRule type="expression" priority="5312" dxfId="2">
      <formula>AND(IF($Q157=2,1,0),IF($X157&lt;30,1,0))</formula>
    </cfRule>
    <cfRule type="expression" priority="5313" dxfId="1">
      <formula>AND(IF($Q157=3,1,0),IF($X157&lt;30,1,0))</formula>
    </cfRule>
    <cfRule type="expression" priority="5314" dxfId="0">
      <formula>AND(IF($Q157=3,1,IF($Q157=4,1,0)),IF($F157&lt;=85,1,0))</formula>
    </cfRule>
  </conditionalFormatting>
  <conditionalFormatting sqref="AV158">
    <cfRule type="expression" priority="5309" dxfId="23">
      <formula>AV158="X"</formula>
    </cfRule>
    <cfRule type="expression" priority="5310" dxfId="22">
      <formula>AV158="후보"</formula>
    </cfRule>
  </conditionalFormatting>
  <conditionalFormatting sqref="AC1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58">
    <cfRule type="expression" priority="5301" dxfId="3">
      <formula>AND(IF(OR($Q158=1,$Q158=2),1,0),IF($X158&lt;=20,1,0))</formula>
    </cfRule>
    <cfRule type="expression" priority="5302" dxfId="2">
      <formula>AND(IF($Q158=2,1,0),IF($X158&lt;30,1,0))</formula>
    </cfRule>
    <cfRule type="expression" priority="5303" dxfId="1">
      <formula>AND(IF($Q158=3,1,0),IF($X158&lt;30,1,0))</formula>
    </cfRule>
    <cfRule type="expression" priority="5304" dxfId="0">
      <formula>AND(IF($Q158=3,1,IF($Q158=4,1,0)),IF($F158&lt;=85,1,0))</formula>
    </cfRule>
  </conditionalFormatting>
  <conditionalFormatting sqref="X158">
    <cfRule type="expression" priority="5297" dxfId="3">
      <formula>AND(IF(OR($Q158=1,$Q158=2),1,0),IF($X158&lt;=20,1,0))</formula>
    </cfRule>
    <cfRule type="expression" priority="5298" dxfId="2">
      <formula>AND(IF($Q158=2,1,0),IF($X158&lt;30,1,0))</formula>
    </cfRule>
    <cfRule type="expression" priority="5299" dxfId="1">
      <formula>AND(IF($Q158=3,1,0),IF($X158&lt;30,1,0))</formula>
    </cfRule>
    <cfRule type="expression" priority="5300" dxfId="0">
      <formula>AND(IF($Q158=3,1,IF($Q158=4,1,0)),IF($F158&lt;=85,1,0))</formula>
    </cfRule>
  </conditionalFormatting>
  <conditionalFormatting sqref="AI158">
    <cfRule type="expression" priority="5293" dxfId="3">
      <formula>AND(IF(OR($Q158=1,$Q158=2),1,0),IF($X158&lt;=20,1,0))</formula>
    </cfRule>
    <cfRule type="expression" priority="5294" dxfId="2">
      <formula>AND(IF($Q158=2,1,0),IF($X158&lt;30,1,0))</formula>
    </cfRule>
    <cfRule type="expression" priority="5295" dxfId="1">
      <formula>AND(IF($Q158=3,1,0),IF($X158&lt;30,1,0))</formula>
    </cfRule>
    <cfRule type="expression" priority="5296" dxfId="0">
      <formula>AND(IF($Q158=3,1,IF($Q158=4,1,0)),IF($F158&lt;=85,1,0))</formula>
    </cfRule>
  </conditionalFormatting>
  <conditionalFormatting sqref="AV159">
    <cfRule type="expression" priority="5291" dxfId="23">
      <formula>AV159="X"</formula>
    </cfRule>
    <cfRule type="expression" priority="5292" dxfId="22">
      <formula>AV159="후보"</formula>
    </cfRule>
  </conditionalFormatting>
  <conditionalFormatting sqref="AC1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59">
    <cfRule type="expression" priority="5283" dxfId="3">
      <formula>AND(IF(OR($Q159=1,$Q159=2),1,0),IF($X159&lt;=20,1,0))</formula>
    </cfRule>
    <cfRule type="expression" priority="5284" dxfId="2">
      <formula>AND(IF($Q159=2,1,0),IF($X159&lt;30,1,0))</formula>
    </cfRule>
    <cfRule type="expression" priority="5285" dxfId="1">
      <formula>AND(IF($Q159=3,1,0),IF($X159&lt;30,1,0))</formula>
    </cfRule>
    <cfRule type="expression" priority="5286" dxfId="0">
      <formula>AND(IF($Q159=3,1,IF($Q159=4,1,0)),IF($F159&lt;=85,1,0))</formula>
    </cfRule>
  </conditionalFormatting>
  <conditionalFormatting sqref="X159">
    <cfRule type="expression" priority="5279" dxfId="3">
      <formula>AND(IF(OR($Q159=1,$Q159=2),1,0),IF($X159&lt;=20,1,0))</formula>
    </cfRule>
    <cfRule type="expression" priority="5280" dxfId="2">
      <formula>AND(IF($Q159=2,1,0),IF($X159&lt;30,1,0))</formula>
    </cfRule>
    <cfRule type="expression" priority="5281" dxfId="1">
      <formula>AND(IF($Q159=3,1,0),IF($X159&lt;30,1,0))</formula>
    </cfRule>
    <cfRule type="expression" priority="5282" dxfId="0">
      <formula>AND(IF($Q159=3,1,IF($Q159=4,1,0)),IF($F159&lt;=85,1,0))</formula>
    </cfRule>
  </conditionalFormatting>
  <conditionalFormatting sqref="AI159">
    <cfRule type="expression" priority="5275" dxfId="3">
      <formula>AND(IF(OR($Q159=1,$Q159=2),1,0),IF($X159&lt;=20,1,0))</formula>
    </cfRule>
    <cfRule type="expression" priority="5276" dxfId="2">
      <formula>AND(IF($Q159=2,1,0),IF($X159&lt;30,1,0))</formula>
    </cfRule>
    <cfRule type="expression" priority="5277" dxfId="1">
      <formula>AND(IF($Q159=3,1,0),IF($X159&lt;30,1,0))</formula>
    </cfRule>
    <cfRule type="expression" priority="5278" dxfId="0">
      <formula>AND(IF($Q159=3,1,IF($Q159=4,1,0)),IF($F159&lt;=85,1,0))</formula>
    </cfRule>
  </conditionalFormatting>
  <conditionalFormatting sqref="AV160">
    <cfRule type="expression" priority="5273" dxfId="23">
      <formula>AV160="X"</formula>
    </cfRule>
    <cfRule type="expression" priority="5274" dxfId="22">
      <formula>AV160="후보"</formula>
    </cfRule>
  </conditionalFormatting>
  <conditionalFormatting sqref="AC1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60">
    <cfRule type="expression" priority="5265" dxfId="3">
      <formula>AND(IF(OR($Q160=1,$Q160=2),1,0),IF($X160&lt;=20,1,0))</formula>
    </cfRule>
    <cfRule type="expression" priority="5266" dxfId="2">
      <formula>AND(IF($Q160=2,1,0),IF($X160&lt;30,1,0))</formula>
    </cfRule>
    <cfRule type="expression" priority="5267" dxfId="1">
      <formula>AND(IF($Q160=3,1,0),IF($X160&lt;30,1,0))</formula>
    </cfRule>
    <cfRule type="expression" priority="5268" dxfId="0">
      <formula>AND(IF($Q160=3,1,IF($Q160=4,1,0)),IF($F160&lt;=85,1,0))</formula>
    </cfRule>
  </conditionalFormatting>
  <conditionalFormatting sqref="X160">
    <cfRule type="expression" priority="5261" dxfId="3">
      <formula>AND(IF(OR($Q160=1,$Q160=2),1,0),IF($X160&lt;=20,1,0))</formula>
    </cfRule>
    <cfRule type="expression" priority="5262" dxfId="2">
      <formula>AND(IF($Q160=2,1,0),IF($X160&lt;30,1,0))</formula>
    </cfRule>
    <cfRule type="expression" priority="5263" dxfId="1">
      <formula>AND(IF($Q160=3,1,0),IF($X160&lt;30,1,0))</formula>
    </cfRule>
    <cfRule type="expression" priority="5264" dxfId="0">
      <formula>AND(IF($Q160=3,1,IF($Q160=4,1,0)),IF($F160&lt;=85,1,0))</formula>
    </cfRule>
  </conditionalFormatting>
  <conditionalFormatting sqref="AI160">
    <cfRule type="expression" priority="5257" dxfId="3">
      <formula>AND(IF(OR($Q160=1,$Q160=2),1,0),IF($X160&lt;=20,1,0))</formula>
    </cfRule>
    <cfRule type="expression" priority="5258" dxfId="2">
      <formula>AND(IF($Q160=2,1,0),IF($X160&lt;30,1,0))</formula>
    </cfRule>
    <cfRule type="expression" priority="5259" dxfId="1">
      <formula>AND(IF($Q160=3,1,0),IF($X160&lt;30,1,0))</formula>
    </cfRule>
    <cfRule type="expression" priority="5260" dxfId="0">
      <formula>AND(IF($Q160=3,1,IF($Q160=4,1,0)),IF($F160&lt;=85,1,0))</formula>
    </cfRule>
  </conditionalFormatting>
  <conditionalFormatting sqref="AV161">
    <cfRule type="expression" priority="5255" dxfId="23">
      <formula>AV161="X"</formula>
    </cfRule>
    <cfRule type="expression" priority="5256" dxfId="22">
      <formula>AV161="후보"</formula>
    </cfRule>
  </conditionalFormatting>
  <conditionalFormatting sqref="AC1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61">
    <cfRule type="expression" priority="5247" dxfId="3">
      <formula>AND(IF(OR($Q161=1,$Q161=2),1,0),IF($X161&lt;=20,1,0))</formula>
    </cfRule>
    <cfRule type="expression" priority="5248" dxfId="2">
      <formula>AND(IF($Q161=2,1,0),IF($X161&lt;30,1,0))</formula>
    </cfRule>
    <cfRule type="expression" priority="5249" dxfId="1">
      <formula>AND(IF($Q161=3,1,0),IF($X161&lt;30,1,0))</formula>
    </cfRule>
    <cfRule type="expression" priority="5250" dxfId="0">
      <formula>AND(IF($Q161=3,1,IF($Q161=4,1,0)),IF($F161&lt;=85,1,0))</formula>
    </cfRule>
  </conditionalFormatting>
  <conditionalFormatting sqref="X161">
    <cfRule type="expression" priority="5243" dxfId="3">
      <formula>AND(IF(OR($Q161=1,$Q161=2),1,0),IF($X161&lt;=20,1,0))</formula>
    </cfRule>
    <cfRule type="expression" priority="5244" dxfId="2">
      <formula>AND(IF($Q161=2,1,0),IF($X161&lt;30,1,0))</formula>
    </cfRule>
    <cfRule type="expression" priority="5245" dxfId="1">
      <formula>AND(IF($Q161=3,1,0),IF($X161&lt;30,1,0))</formula>
    </cfRule>
    <cfRule type="expression" priority="5246" dxfId="0">
      <formula>AND(IF($Q161=3,1,IF($Q161=4,1,0)),IF($F161&lt;=85,1,0))</formula>
    </cfRule>
  </conditionalFormatting>
  <conditionalFormatting sqref="AI161">
    <cfRule type="expression" priority="5239" dxfId="3">
      <formula>AND(IF(OR($Q161=1,$Q161=2),1,0),IF($X161&lt;=20,1,0))</formula>
    </cfRule>
    <cfRule type="expression" priority="5240" dxfId="2">
      <formula>AND(IF($Q161=2,1,0),IF($X161&lt;30,1,0))</formula>
    </cfRule>
    <cfRule type="expression" priority="5241" dxfId="1">
      <formula>AND(IF($Q161=3,1,0),IF($X161&lt;30,1,0))</formula>
    </cfRule>
    <cfRule type="expression" priority="5242" dxfId="0">
      <formula>AND(IF($Q161=3,1,IF($Q161=4,1,0)),IF($F161&lt;=85,1,0))</formula>
    </cfRule>
  </conditionalFormatting>
  <conditionalFormatting sqref="AV162">
    <cfRule type="expression" priority="5237" dxfId="23">
      <formula>AV162="X"</formula>
    </cfRule>
    <cfRule type="expression" priority="5238" dxfId="22">
      <formula>AV162="후보"</formula>
    </cfRule>
  </conditionalFormatting>
  <conditionalFormatting sqref="AC1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62">
    <cfRule type="expression" priority="5229" dxfId="3">
      <formula>AND(IF(OR($Q162=1,$Q162=2),1,0),IF($X162&lt;=20,1,0))</formula>
    </cfRule>
    <cfRule type="expression" priority="5230" dxfId="2">
      <formula>AND(IF($Q162=2,1,0),IF($X162&lt;30,1,0))</formula>
    </cfRule>
    <cfRule type="expression" priority="5231" dxfId="1">
      <formula>AND(IF($Q162=3,1,0),IF($X162&lt;30,1,0))</formula>
    </cfRule>
    <cfRule type="expression" priority="5232" dxfId="0">
      <formula>AND(IF($Q162=3,1,IF($Q162=4,1,0)),IF($F162&lt;=85,1,0))</formula>
    </cfRule>
  </conditionalFormatting>
  <conditionalFormatting sqref="X162">
    <cfRule type="expression" priority="5225" dxfId="3">
      <formula>AND(IF(OR($Q162=1,$Q162=2),1,0),IF($X162&lt;=20,1,0))</formula>
    </cfRule>
    <cfRule type="expression" priority="5226" dxfId="2">
      <formula>AND(IF($Q162=2,1,0),IF($X162&lt;30,1,0))</formula>
    </cfRule>
    <cfRule type="expression" priority="5227" dxfId="1">
      <formula>AND(IF($Q162=3,1,0),IF($X162&lt;30,1,0))</formula>
    </cfRule>
    <cfRule type="expression" priority="5228" dxfId="0">
      <formula>AND(IF($Q162=3,1,IF($Q162=4,1,0)),IF($F162&lt;=85,1,0))</formula>
    </cfRule>
  </conditionalFormatting>
  <conditionalFormatting sqref="AI162">
    <cfRule type="expression" priority="5221" dxfId="3">
      <formula>AND(IF(OR($Q162=1,$Q162=2),1,0),IF($X162&lt;=20,1,0))</formula>
    </cfRule>
    <cfRule type="expression" priority="5222" dxfId="2">
      <formula>AND(IF($Q162=2,1,0),IF($X162&lt;30,1,0))</formula>
    </cfRule>
    <cfRule type="expression" priority="5223" dxfId="1">
      <formula>AND(IF($Q162=3,1,0),IF($X162&lt;30,1,0))</formula>
    </cfRule>
    <cfRule type="expression" priority="5224" dxfId="0">
      <formula>AND(IF($Q162=3,1,IF($Q162=4,1,0)),IF($F162&lt;=85,1,0))</formula>
    </cfRule>
  </conditionalFormatting>
  <conditionalFormatting sqref="AV163">
    <cfRule type="expression" priority="5219" dxfId="23">
      <formula>AV163="X"</formula>
    </cfRule>
    <cfRule type="expression" priority="5220" dxfId="22">
      <formula>AV163="후보"</formula>
    </cfRule>
  </conditionalFormatting>
  <conditionalFormatting sqref="AC1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63">
    <cfRule type="expression" priority="5211" dxfId="3">
      <formula>AND(IF(OR($Q163=1,$Q163=2),1,0),IF($X163&lt;=20,1,0))</formula>
    </cfRule>
    <cfRule type="expression" priority="5212" dxfId="2">
      <formula>AND(IF($Q163=2,1,0),IF($X163&lt;30,1,0))</formula>
    </cfRule>
    <cfRule type="expression" priority="5213" dxfId="1">
      <formula>AND(IF($Q163=3,1,0),IF($X163&lt;30,1,0))</formula>
    </cfRule>
    <cfRule type="expression" priority="5214" dxfId="0">
      <formula>AND(IF($Q163=3,1,IF($Q163=4,1,0)),IF($F163&lt;=85,1,0))</formula>
    </cfRule>
  </conditionalFormatting>
  <conditionalFormatting sqref="X163">
    <cfRule type="expression" priority="5207" dxfId="3">
      <formula>AND(IF(OR($Q163=1,$Q163=2),1,0),IF($X163&lt;=20,1,0))</formula>
    </cfRule>
    <cfRule type="expression" priority="5208" dxfId="2">
      <formula>AND(IF($Q163=2,1,0),IF($X163&lt;30,1,0))</formula>
    </cfRule>
    <cfRule type="expression" priority="5209" dxfId="1">
      <formula>AND(IF($Q163=3,1,0),IF($X163&lt;30,1,0))</formula>
    </cfRule>
    <cfRule type="expression" priority="5210" dxfId="0">
      <formula>AND(IF($Q163=3,1,IF($Q163=4,1,0)),IF($F163&lt;=85,1,0))</formula>
    </cfRule>
  </conditionalFormatting>
  <conditionalFormatting sqref="AI163">
    <cfRule type="expression" priority="5203" dxfId="3">
      <formula>AND(IF(OR($Q163=1,$Q163=2),1,0),IF($X163&lt;=20,1,0))</formula>
    </cfRule>
    <cfRule type="expression" priority="5204" dxfId="2">
      <formula>AND(IF($Q163=2,1,0),IF($X163&lt;30,1,0))</formula>
    </cfRule>
    <cfRule type="expression" priority="5205" dxfId="1">
      <formula>AND(IF($Q163=3,1,0),IF($X163&lt;30,1,0))</formula>
    </cfRule>
    <cfRule type="expression" priority="5206" dxfId="0">
      <formula>AND(IF($Q163=3,1,IF($Q163=4,1,0)),IF($F163&lt;=85,1,0))</formula>
    </cfRule>
  </conditionalFormatting>
  <conditionalFormatting sqref="AV164">
    <cfRule type="expression" priority="5201" dxfId="23">
      <formula>AV164="X"</formula>
    </cfRule>
    <cfRule type="expression" priority="5202" dxfId="22">
      <formula>AV164="후보"</formula>
    </cfRule>
  </conditionalFormatting>
  <conditionalFormatting sqref="AC1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64">
    <cfRule type="expression" priority="5193" dxfId="3">
      <formula>AND(IF(OR($Q164=1,$Q164=2),1,0),IF($X164&lt;=20,1,0))</formula>
    </cfRule>
    <cfRule type="expression" priority="5194" dxfId="2">
      <formula>AND(IF($Q164=2,1,0),IF($X164&lt;30,1,0))</formula>
    </cfRule>
    <cfRule type="expression" priority="5195" dxfId="1">
      <formula>AND(IF($Q164=3,1,0),IF($X164&lt;30,1,0))</formula>
    </cfRule>
    <cfRule type="expression" priority="5196" dxfId="0">
      <formula>AND(IF($Q164=3,1,IF($Q164=4,1,0)),IF($F164&lt;=85,1,0))</formula>
    </cfRule>
  </conditionalFormatting>
  <conditionalFormatting sqref="X164">
    <cfRule type="expression" priority="5189" dxfId="3">
      <formula>AND(IF(OR($Q164=1,$Q164=2),1,0),IF($X164&lt;=20,1,0))</formula>
    </cfRule>
    <cfRule type="expression" priority="5190" dxfId="2">
      <formula>AND(IF($Q164=2,1,0),IF($X164&lt;30,1,0))</formula>
    </cfRule>
    <cfRule type="expression" priority="5191" dxfId="1">
      <formula>AND(IF($Q164=3,1,0),IF($X164&lt;30,1,0))</formula>
    </cfRule>
    <cfRule type="expression" priority="5192" dxfId="0">
      <formula>AND(IF($Q164=3,1,IF($Q164=4,1,0)),IF($F164&lt;=85,1,0))</formula>
    </cfRule>
  </conditionalFormatting>
  <conditionalFormatting sqref="AI164">
    <cfRule type="expression" priority="5185" dxfId="3">
      <formula>AND(IF(OR($Q164=1,$Q164=2),1,0),IF($X164&lt;=20,1,0))</formula>
    </cfRule>
    <cfRule type="expression" priority="5186" dxfId="2">
      <formula>AND(IF($Q164=2,1,0),IF($X164&lt;30,1,0))</formula>
    </cfRule>
    <cfRule type="expression" priority="5187" dxfId="1">
      <formula>AND(IF($Q164=3,1,0),IF($X164&lt;30,1,0))</formula>
    </cfRule>
    <cfRule type="expression" priority="5188" dxfId="0">
      <formula>AND(IF($Q164=3,1,IF($Q164=4,1,0)),IF($F164&lt;=85,1,0))</formula>
    </cfRule>
  </conditionalFormatting>
  <conditionalFormatting sqref="AV165">
    <cfRule type="expression" priority="5183" dxfId="23">
      <formula>AV165="X"</formula>
    </cfRule>
    <cfRule type="expression" priority="5184" dxfId="22">
      <formula>AV165="후보"</formula>
    </cfRule>
  </conditionalFormatting>
  <conditionalFormatting sqref="AC1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65">
    <cfRule type="expression" priority="5175" dxfId="3">
      <formula>AND(IF(OR($Q165=1,$Q165=2),1,0),IF($X165&lt;=20,1,0))</formula>
    </cfRule>
    <cfRule type="expression" priority="5176" dxfId="2">
      <formula>AND(IF($Q165=2,1,0),IF($X165&lt;30,1,0))</formula>
    </cfRule>
    <cfRule type="expression" priority="5177" dxfId="1">
      <formula>AND(IF($Q165=3,1,0),IF($X165&lt;30,1,0))</formula>
    </cfRule>
    <cfRule type="expression" priority="5178" dxfId="0">
      <formula>AND(IF($Q165=3,1,IF($Q165=4,1,0)),IF($F165&lt;=85,1,0))</formula>
    </cfRule>
  </conditionalFormatting>
  <conditionalFormatting sqref="X165">
    <cfRule type="expression" priority="5171" dxfId="3">
      <formula>AND(IF(OR($Q165=1,$Q165=2),1,0),IF($X165&lt;=20,1,0))</formula>
    </cfRule>
    <cfRule type="expression" priority="5172" dxfId="2">
      <formula>AND(IF($Q165=2,1,0),IF($X165&lt;30,1,0))</formula>
    </cfRule>
    <cfRule type="expression" priority="5173" dxfId="1">
      <formula>AND(IF($Q165=3,1,0),IF($X165&lt;30,1,0))</formula>
    </cfRule>
    <cfRule type="expression" priority="5174" dxfId="0">
      <formula>AND(IF($Q165=3,1,IF($Q165=4,1,0)),IF($F165&lt;=85,1,0))</formula>
    </cfRule>
  </conditionalFormatting>
  <conditionalFormatting sqref="AI165">
    <cfRule type="expression" priority="5167" dxfId="3">
      <formula>AND(IF(OR($Q165=1,$Q165=2),1,0),IF($X165&lt;=20,1,0))</formula>
    </cfRule>
    <cfRule type="expression" priority="5168" dxfId="2">
      <formula>AND(IF($Q165=2,1,0),IF($X165&lt;30,1,0))</formula>
    </cfRule>
    <cfRule type="expression" priority="5169" dxfId="1">
      <formula>AND(IF($Q165=3,1,0),IF($X165&lt;30,1,0))</formula>
    </cfRule>
    <cfRule type="expression" priority="5170" dxfId="0">
      <formula>AND(IF($Q165=3,1,IF($Q165=4,1,0)),IF($F165&lt;=85,1,0))</formula>
    </cfRule>
  </conditionalFormatting>
  <conditionalFormatting sqref="AV166">
    <cfRule type="expression" priority="5165" dxfId="23">
      <formula>AV166="X"</formula>
    </cfRule>
    <cfRule type="expression" priority="5166" dxfId="22">
      <formula>AV166="후보"</formula>
    </cfRule>
  </conditionalFormatting>
  <conditionalFormatting sqref="AC1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66">
    <cfRule type="expression" priority="5157" dxfId="3">
      <formula>AND(IF(OR($Q166=1,$Q166=2),1,0),IF($X166&lt;=20,1,0))</formula>
    </cfRule>
    <cfRule type="expression" priority="5158" dxfId="2">
      <formula>AND(IF($Q166=2,1,0),IF($X166&lt;30,1,0))</formula>
    </cfRule>
    <cfRule type="expression" priority="5159" dxfId="1">
      <formula>AND(IF($Q166=3,1,0),IF($X166&lt;30,1,0))</formula>
    </cfRule>
    <cfRule type="expression" priority="5160" dxfId="0">
      <formula>AND(IF($Q166=3,1,IF($Q166=4,1,0)),IF($F166&lt;=85,1,0))</formula>
    </cfRule>
  </conditionalFormatting>
  <conditionalFormatting sqref="X166">
    <cfRule type="expression" priority="5153" dxfId="3">
      <formula>AND(IF(OR($Q166=1,$Q166=2),1,0),IF($X166&lt;=20,1,0))</formula>
    </cfRule>
    <cfRule type="expression" priority="5154" dxfId="2">
      <formula>AND(IF($Q166=2,1,0),IF($X166&lt;30,1,0))</formula>
    </cfRule>
    <cfRule type="expression" priority="5155" dxfId="1">
      <formula>AND(IF($Q166=3,1,0),IF($X166&lt;30,1,0))</formula>
    </cfRule>
    <cfRule type="expression" priority="5156" dxfId="0">
      <formula>AND(IF($Q166=3,1,IF($Q166=4,1,0)),IF($F166&lt;=85,1,0))</formula>
    </cfRule>
  </conditionalFormatting>
  <conditionalFormatting sqref="AI166">
    <cfRule type="expression" priority="5149" dxfId="3">
      <formula>AND(IF(OR($Q166=1,$Q166=2),1,0),IF($X166&lt;=20,1,0))</formula>
    </cfRule>
    <cfRule type="expression" priority="5150" dxfId="2">
      <formula>AND(IF($Q166=2,1,0),IF($X166&lt;30,1,0))</formula>
    </cfRule>
    <cfRule type="expression" priority="5151" dxfId="1">
      <formula>AND(IF($Q166=3,1,0),IF($X166&lt;30,1,0))</formula>
    </cfRule>
    <cfRule type="expression" priority="5152" dxfId="0">
      <formula>AND(IF($Q166=3,1,IF($Q166=4,1,0)),IF($F166&lt;=85,1,0))</formula>
    </cfRule>
  </conditionalFormatting>
  <conditionalFormatting sqref="AV167">
    <cfRule type="expression" priority="5147" dxfId="23">
      <formula>AV167="X"</formula>
    </cfRule>
    <cfRule type="expression" priority="5148" dxfId="22">
      <formula>AV167="후보"</formula>
    </cfRule>
  </conditionalFormatting>
  <conditionalFormatting sqref="AC1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67">
    <cfRule type="expression" priority="5139" dxfId="3">
      <formula>AND(IF(OR($Q167=1,$Q167=2),1,0),IF($X167&lt;=20,1,0))</formula>
    </cfRule>
    <cfRule type="expression" priority="5140" dxfId="2">
      <formula>AND(IF($Q167=2,1,0),IF($X167&lt;30,1,0))</formula>
    </cfRule>
    <cfRule type="expression" priority="5141" dxfId="1">
      <formula>AND(IF($Q167=3,1,0),IF($X167&lt;30,1,0))</formula>
    </cfRule>
    <cfRule type="expression" priority="5142" dxfId="0">
      <formula>AND(IF($Q167=3,1,IF($Q167=4,1,0)),IF($F167&lt;=85,1,0))</formula>
    </cfRule>
  </conditionalFormatting>
  <conditionalFormatting sqref="X167">
    <cfRule type="expression" priority="5135" dxfId="3">
      <formula>AND(IF(OR($Q167=1,$Q167=2),1,0),IF($X167&lt;=20,1,0))</formula>
    </cfRule>
    <cfRule type="expression" priority="5136" dxfId="2">
      <formula>AND(IF($Q167=2,1,0),IF($X167&lt;30,1,0))</formula>
    </cfRule>
    <cfRule type="expression" priority="5137" dxfId="1">
      <formula>AND(IF($Q167=3,1,0),IF($X167&lt;30,1,0))</formula>
    </cfRule>
    <cfRule type="expression" priority="5138" dxfId="0">
      <formula>AND(IF($Q167=3,1,IF($Q167=4,1,0)),IF($F167&lt;=85,1,0))</formula>
    </cfRule>
  </conditionalFormatting>
  <conditionalFormatting sqref="AI167">
    <cfRule type="expression" priority="5131" dxfId="3">
      <formula>AND(IF(OR($Q167=1,$Q167=2),1,0),IF($X167&lt;=20,1,0))</formula>
    </cfRule>
    <cfRule type="expression" priority="5132" dxfId="2">
      <formula>AND(IF($Q167=2,1,0),IF($X167&lt;30,1,0))</formula>
    </cfRule>
    <cfRule type="expression" priority="5133" dxfId="1">
      <formula>AND(IF($Q167=3,1,0),IF($X167&lt;30,1,0))</formula>
    </cfRule>
    <cfRule type="expression" priority="5134" dxfId="0">
      <formula>AND(IF($Q167=3,1,IF($Q167=4,1,0)),IF($F167&lt;=85,1,0))</formula>
    </cfRule>
  </conditionalFormatting>
  <conditionalFormatting sqref="AV168">
    <cfRule type="expression" priority="5129" dxfId="23">
      <formula>AV168="X"</formula>
    </cfRule>
    <cfRule type="expression" priority="5130" dxfId="22">
      <formula>AV168="후보"</formula>
    </cfRule>
  </conditionalFormatting>
  <conditionalFormatting sqref="AC1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68">
    <cfRule type="expression" priority="5121" dxfId="3">
      <formula>AND(IF(OR($Q168=1,$Q168=2),1,0),IF($X168&lt;=20,1,0))</formula>
    </cfRule>
    <cfRule type="expression" priority="5122" dxfId="2">
      <formula>AND(IF($Q168=2,1,0),IF($X168&lt;30,1,0))</formula>
    </cfRule>
    <cfRule type="expression" priority="5123" dxfId="1">
      <formula>AND(IF($Q168=3,1,0),IF($X168&lt;30,1,0))</formula>
    </cfRule>
    <cfRule type="expression" priority="5124" dxfId="0">
      <formula>AND(IF($Q168=3,1,IF($Q168=4,1,0)),IF($F168&lt;=85,1,0))</formula>
    </cfRule>
  </conditionalFormatting>
  <conditionalFormatting sqref="X168">
    <cfRule type="expression" priority="5117" dxfId="3">
      <formula>AND(IF(OR($Q168=1,$Q168=2),1,0),IF($X168&lt;=20,1,0))</formula>
    </cfRule>
    <cfRule type="expression" priority="5118" dxfId="2">
      <formula>AND(IF($Q168=2,1,0),IF($X168&lt;30,1,0))</formula>
    </cfRule>
    <cfRule type="expression" priority="5119" dxfId="1">
      <formula>AND(IF($Q168=3,1,0),IF($X168&lt;30,1,0))</formula>
    </cfRule>
    <cfRule type="expression" priority="5120" dxfId="0">
      <formula>AND(IF($Q168=3,1,IF($Q168=4,1,0)),IF($F168&lt;=85,1,0))</formula>
    </cfRule>
  </conditionalFormatting>
  <conditionalFormatting sqref="AI168">
    <cfRule type="expression" priority="5113" dxfId="3">
      <formula>AND(IF(OR($Q168=1,$Q168=2),1,0),IF($X168&lt;=20,1,0))</formula>
    </cfRule>
    <cfRule type="expression" priority="5114" dxfId="2">
      <formula>AND(IF($Q168=2,1,0),IF($X168&lt;30,1,0))</formula>
    </cfRule>
    <cfRule type="expression" priority="5115" dxfId="1">
      <formula>AND(IF($Q168=3,1,0),IF($X168&lt;30,1,0))</formula>
    </cfRule>
    <cfRule type="expression" priority="5116" dxfId="0">
      <formula>AND(IF($Q168=3,1,IF($Q168=4,1,0)),IF($F168&lt;=85,1,0))</formula>
    </cfRule>
  </conditionalFormatting>
  <conditionalFormatting sqref="AV169">
    <cfRule type="expression" priority="5111" dxfId="23">
      <formula>AV169="X"</formula>
    </cfRule>
    <cfRule type="expression" priority="5112" dxfId="22">
      <formula>AV169="후보"</formula>
    </cfRule>
  </conditionalFormatting>
  <conditionalFormatting sqref="AC1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69">
    <cfRule type="expression" priority="5103" dxfId="3">
      <formula>AND(IF(OR($Q169=1,$Q169=2),1,0),IF($X169&lt;=20,1,0))</formula>
    </cfRule>
    <cfRule type="expression" priority="5104" dxfId="2">
      <formula>AND(IF($Q169=2,1,0),IF($X169&lt;30,1,0))</formula>
    </cfRule>
    <cfRule type="expression" priority="5105" dxfId="1">
      <formula>AND(IF($Q169=3,1,0),IF($X169&lt;30,1,0))</formula>
    </cfRule>
    <cfRule type="expression" priority="5106" dxfId="0">
      <formula>AND(IF($Q169=3,1,IF($Q169=4,1,0)),IF($F169&lt;=85,1,0))</formula>
    </cfRule>
  </conditionalFormatting>
  <conditionalFormatting sqref="X169">
    <cfRule type="expression" priority="5099" dxfId="3">
      <formula>AND(IF(OR($Q169=1,$Q169=2),1,0),IF($X169&lt;=20,1,0))</formula>
    </cfRule>
    <cfRule type="expression" priority="5100" dxfId="2">
      <formula>AND(IF($Q169=2,1,0),IF($X169&lt;30,1,0))</formula>
    </cfRule>
    <cfRule type="expression" priority="5101" dxfId="1">
      <formula>AND(IF($Q169=3,1,0),IF($X169&lt;30,1,0))</formula>
    </cfRule>
    <cfRule type="expression" priority="5102" dxfId="0">
      <formula>AND(IF($Q169=3,1,IF($Q169=4,1,0)),IF($F169&lt;=85,1,0))</formula>
    </cfRule>
  </conditionalFormatting>
  <conditionalFormatting sqref="AI169">
    <cfRule type="expression" priority="5095" dxfId="3">
      <formula>AND(IF(OR($Q169=1,$Q169=2),1,0),IF($X169&lt;=20,1,0))</formula>
    </cfRule>
    <cfRule type="expression" priority="5096" dxfId="2">
      <formula>AND(IF($Q169=2,1,0),IF($X169&lt;30,1,0))</formula>
    </cfRule>
    <cfRule type="expression" priority="5097" dxfId="1">
      <formula>AND(IF($Q169=3,1,0),IF($X169&lt;30,1,0))</formula>
    </cfRule>
    <cfRule type="expression" priority="5098" dxfId="0">
      <formula>AND(IF($Q169=3,1,IF($Q169=4,1,0)),IF($F169&lt;=85,1,0))</formula>
    </cfRule>
  </conditionalFormatting>
  <conditionalFormatting sqref="AV170">
    <cfRule type="expression" priority="5093" dxfId="23">
      <formula>AV170="X"</formula>
    </cfRule>
    <cfRule type="expression" priority="5094" dxfId="22">
      <formula>AV170="후보"</formula>
    </cfRule>
  </conditionalFormatting>
  <conditionalFormatting sqref="AC1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70">
    <cfRule type="expression" priority="5085" dxfId="3">
      <formula>AND(IF(OR($Q170=1,$Q170=2),1,0),IF($X170&lt;=20,1,0))</formula>
    </cfRule>
    <cfRule type="expression" priority="5086" dxfId="2">
      <formula>AND(IF($Q170=2,1,0),IF($X170&lt;30,1,0))</formula>
    </cfRule>
    <cfRule type="expression" priority="5087" dxfId="1">
      <formula>AND(IF($Q170=3,1,0),IF($X170&lt;30,1,0))</formula>
    </cfRule>
    <cfRule type="expression" priority="5088" dxfId="0">
      <formula>AND(IF($Q170=3,1,IF($Q170=4,1,0)),IF($F170&lt;=85,1,0))</formula>
    </cfRule>
  </conditionalFormatting>
  <conditionalFormatting sqref="X170">
    <cfRule type="expression" priority="5081" dxfId="3">
      <formula>AND(IF(OR($Q170=1,$Q170=2),1,0),IF($X170&lt;=20,1,0))</formula>
    </cfRule>
    <cfRule type="expression" priority="5082" dxfId="2">
      <formula>AND(IF($Q170=2,1,0),IF($X170&lt;30,1,0))</formula>
    </cfRule>
    <cfRule type="expression" priority="5083" dxfId="1">
      <formula>AND(IF($Q170=3,1,0),IF($X170&lt;30,1,0))</formula>
    </cfRule>
    <cfRule type="expression" priority="5084" dxfId="0">
      <formula>AND(IF($Q170=3,1,IF($Q170=4,1,0)),IF($F170&lt;=85,1,0))</formula>
    </cfRule>
  </conditionalFormatting>
  <conditionalFormatting sqref="AI170">
    <cfRule type="expression" priority="5077" dxfId="3">
      <formula>AND(IF(OR($Q170=1,$Q170=2),1,0),IF($X170&lt;=20,1,0))</formula>
    </cfRule>
    <cfRule type="expression" priority="5078" dxfId="2">
      <formula>AND(IF($Q170=2,1,0),IF($X170&lt;30,1,0))</formula>
    </cfRule>
    <cfRule type="expression" priority="5079" dxfId="1">
      <formula>AND(IF($Q170=3,1,0),IF($X170&lt;30,1,0))</formula>
    </cfRule>
    <cfRule type="expression" priority="5080" dxfId="0">
      <formula>AND(IF($Q170=3,1,IF($Q170=4,1,0)),IF($F170&lt;=85,1,0))</formula>
    </cfRule>
  </conditionalFormatting>
  <conditionalFormatting sqref="AV171">
    <cfRule type="expression" priority="5075" dxfId="23">
      <formula>AV171="X"</formula>
    </cfRule>
    <cfRule type="expression" priority="5076" dxfId="22">
      <formula>AV171="후보"</formula>
    </cfRule>
  </conditionalFormatting>
  <conditionalFormatting sqref="AC1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71">
    <cfRule type="expression" priority="5067" dxfId="3">
      <formula>AND(IF(OR($Q171=1,$Q171=2),1,0),IF($X171&lt;=20,1,0))</formula>
    </cfRule>
    <cfRule type="expression" priority="5068" dxfId="2">
      <formula>AND(IF($Q171=2,1,0),IF($X171&lt;30,1,0))</formula>
    </cfRule>
    <cfRule type="expression" priority="5069" dxfId="1">
      <formula>AND(IF($Q171=3,1,0),IF($X171&lt;30,1,0))</formula>
    </cfRule>
    <cfRule type="expression" priority="5070" dxfId="0">
      <formula>AND(IF($Q171=3,1,IF($Q171=4,1,0)),IF($F171&lt;=85,1,0))</formula>
    </cfRule>
  </conditionalFormatting>
  <conditionalFormatting sqref="X171">
    <cfRule type="expression" priority="5063" dxfId="3">
      <formula>AND(IF(OR($Q171=1,$Q171=2),1,0),IF($X171&lt;=20,1,0))</formula>
    </cfRule>
    <cfRule type="expression" priority="5064" dxfId="2">
      <formula>AND(IF($Q171=2,1,0),IF($X171&lt;30,1,0))</formula>
    </cfRule>
    <cfRule type="expression" priority="5065" dxfId="1">
      <formula>AND(IF($Q171=3,1,0),IF($X171&lt;30,1,0))</formula>
    </cfRule>
    <cfRule type="expression" priority="5066" dxfId="0">
      <formula>AND(IF($Q171=3,1,IF($Q171=4,1,0)),IF($F171&lt;=85,1,0))</formula>
    </cfRule>
  </conditionalFormatting>
  <conditionalFormatting sqref="AI171">
    <cfRule type="expression" priority="5059" dxfId="3">
      <formula>AND(IF(OR($Q171=1,$Q171=2),1,0),IF($X171&lt;=20,1,0))</formula>
    </cfRule>
    <cfRule type="expression" priority="5060" dxfId="2">
      <formula>AND(IF($Q171=2,1,0),IF($X171&lt;30,1,0))</formula>
    </cfRule>
    <cfRule type="expression" priority="5061" dxfId="1">
      <formula>AND(IF($Q171=3,1,0),IF($X171&lt;30,1,0))</formula>
    </cfRule>
    <cfRule type="expression" priority="5062" dxfId="0">
      <formula>AND(IF($Q171=3,1,IF($Q171=4,1,0)),IF($F171&lt;=85,1,0))</formula>
    </cfRule>
  </conditionalFormatting>
  <conditionalFormatting sqref="AV172">
    <cfRule type="expression" priority="5057" dxfId="23">
      <formula>AV172="X"</formula>
    </cfRule>
    <cfRule type="expression" priority="5058" dxfId="22">
      <formula>AV172="후보"</formula>
    </cfRule>
  </conditionalFormatting>
  <conditionalFormatting sqref="AC1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72">
    <cfRule type="expression" priority="5049" dxfId="3">
      <formula>AND(IF(OR($Q172=1,$Q172=2),1,0),IF($X172&lt;=20,1,0))</formula>
    </cfRule>
    <cfRule type="expression" priority="5050" dxfId="2">
      <formula>AND(IF($Q172=2,1,0),IF($X172&lt;30,1,0))</formula>
    </cfRule>
    <cfRule type="expression" priority="5051" dxfId="1">
      <formula>AND(IF($Q172=3,1,0),IF($X172&lt;30,1,0))</formula>
    </cfRule>
    <cfRule type="expression" priority="5052" dxfId="0">
      <formula>AND(IF($Q172=3,1,IF($Q172=4,1,0)),IF($F172&lt;=85,1,0))</formula>
    </cfRule>
  </conditionalFormatting>
  <conditionalFormatting sqref="X172">
    <cfRule type="expression" priority="5045" dxfId="3">
      <formula>AND(IF(OR($Q172=1,$Q172=2),1,0),IF($X172&lt;=20,1,0))</formula>
    </cfRule>
    <cfRule type="expression" priority="5046" dxfId="2">
      <formula>AND(IF($Q172=2,1,0),IF($X172&lt;30,1,0))</formula>
    </cfRule>
    <cfRule type="expression" priority="5047" dxfId="1">
      <formula>AND(IF($Q172=3,1,0),IF($X172&lt;30,1,0))</formula>
    </cfRule>
    <cfRule type="expression" priority="5048" dxfId="0">
      <formula>AND(IF($Q172=3,1,IF($Q172=4,1,0)),IF($F172&lt;=85,1,0))</formula>
    </cfRule>
  </conditionalFormatting>
  <conditionalFormatting sqref="AI172">
    <cfRule type="expression" priority="5041" dxfId="3">
      <formula>AND(IF(OR($Q172=1,$Q172=2),1,0),IF($X172&lt;=20,1,0))</formula>
    </cfRule>
    <cfRule type="expression" priority="5042" dxfId="2">
      <formula>AND(IF($Q172=2,1,0),IF($X172&lt;30,1,0))</formula>
    </cfRule>
    <cfRule type="expression" priority="5043" dxfId="1">
      <formula>AND(IF($Q172=3,1,0),IF($X172&lt;30,1,0))</formula>
    </cfRule>
    <cfRule type="expression" priority="5044" dxfId="0">
      <formula>AND(IF($Q172=3,1,IF($Q172=4,1,0)),IF($F172&lt;=85,1,0))</formula>
    </cfRule>
  </conditionalFormatting>
  <conditionalFormatting sqref="AV173">
    <cfRule type="expression" priority="5039" dxfId="23">
      <formula>AV173="X"</formula>
    </cfRule>
    <cfRule type="expression" priority="5040" dxfId="22">
      <formula>AV173="후보"</formula>
    </cfRule>
  </conditionalFormatting>
  <conditionalFormatting sqref="AC1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73">
    <cfRule type="expression" priority="5031" dxfId="3">
      <formula>AND(IF(OR($Q173=1,$Q173=2),1,0),IF($X173&lt;=20,1,0))</formula>
    </cfRule>
    <cfRule type="expression" priority="5032" dxfId="2">
      <formula>AND(IF($Q173=2,1,0),IF($X173&lt;30,1,0))</formula>
    </cfRule>
    <cfRule type="expression" priority="5033" dxfId="1">
      <formula>AND(IF($Q173=3,1,0),IF($X173&lt;30,1,0))</formula>
    </cfRule>
    <cfRule type="expression" priority="5034" dxfId="0">
      <formula>AND(IF($Q173=3,1,IF($Q173=4,1,0)),IF($F173&lt;=85,1,0))</formula>
    </cfRule>
  </conditionalFormatting>
  <conditionalFormatting sqref="X173">
    <cfRule type="expression" priority="5027" dxfId="3">
      <formula>AND(IF(OR($Q173=1,$Q173=2),1,0),IF($X173&lt;=20,1,0))</formula>
    </cfRule>
    <cfRule type="expression" priority="5028" dxfId="2">
      <formula>AND(IF($Q173=2,1,0),IF($X173&lt;30,1,0))</formula>
    </cfRule>
    <cfRule type="expression" priority="5029" dxfId="1">
      <formula>AND(IF($Q173=3,1,0),IF($X173&lt;30,1,0))</formula>
    </cfRule>
    <cfRule type="expression" priority="5030" dxfId="0">
      <formula>AND(IF($Q173=3,1,IF($Q173=4,1,0)),IF($F173&lt;=85,1,0))</formula>
    </cfRule>
  </conditionalFormatting>
  <conditionalFormatting sqref="AI173">
    <cfRule type="expression" priority="5023" dxfId="3">
      <formula>AND(IF(OR($Q173=1,$Q173=2),1,0),IF($X173&lt;=20,1,0))</formula>
    </cfRule>
    <cfRule type="expression" priority="5024" dxfId="2">
      <formula>AND(IF($Q173=2,1,0),IF($X173&lt;30,1,0))</formula>
    </cfRule>
    <cfRule type="expression" priority="5025" dxfId="1">
      <formula>AND(IF($Q173=3,1,0),IF($X173&lt;30,1,0))</formula>
    </cfRule>
    <cfRule type="expression" priority="5026" dxfId="0">
      <formula>AND(IF($Q173=3,1,IF($Q173=4,1,0)),IF($F173&lt;=85,1,0))</formula>
    </cfRule>
  </conditionalFormatting>
  <conditionalFormatting sqref="AV174">
    <cfRule type="expression" priority="5021" dxfId="23">
      <formula>AV174="X"</formula>
    </cfRule>
    <cfRule type="expression" priority="5022" dxfId="22">
      <formula>AV174="후보"</formula>
    </cfRule>
  </conditionalFormatting>
  <conditionalFormatting sqref="AC1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4">
    <cfRule type="expression" priority="5013" dxfId="3">
      <formula>AND(IF(OR($Q174=1,$Q174=2),1,0),IF($X174&lt;=20,1,0))</formula>
    </cfRule>
    <cfRule type="expression" priority="5014" dxfId="2">
      <formula>AND(IF($Q174=2,1,0),IF($X174&lt;30,1,0))</formula>
    </cfRule>
    <cfRule type="expression" priority="5015" dxfId="1">
      <formula>AND(IF($Q174=3,1,0),IF($X174&lt;30,1,0))</formula>
    </cfRule>
    <cfRule type="expression" priority="5016" dxfId="0">
      <formula>AND(IF($Q174=3,1,IF($Q174=4,1,0)),IF($F174&lt;=85,1,0))</formula>
    </cfRule>
  </conditionalFormatting>
  <conditionalFormatting sqref="X174">
    <cfRule type="expression" priority="5009" dxfId="3">
      <formula>AND(IF(OR($Q174=1,$Q174=2),1,0),IF($X174&lt;=20,1,0))</formula>
    </cfRule>
    <cfRule type="expression" priority="5010" dxfId="2">
      <formula>AND(IF($Q174=2,1,0),IF($X174&lt;30,1,0))</formula>
    </cfRule>
    <cfRule type="expression" priority="5011" dxfId="1">
      <formula>AND(IF($Q174=3,1,0),IF($X174&lt;30,1,0))</formula>
    </cfRule>
    <cfRule type="expression" priority="5012" dxfId="0">
      <formula>AND(IF($Q174=3,1,IF($Q174=4,1,0)),IF($F174&lt;=85,1,0))</formula>
    </cfRule>
  </conditionalFormatting>
  <conditionalFormatting sqref="AI174">
    <cfRule type="expression" priority="5005" dxfId="3">
      <formula>AND(IF(OR($Q174=1,$Q174=2),1,0),IF($X174&lt;=20,1,0))</formula>
    </cfRule>
    <cfRule type="expression" priority="5006" dxfId="2">
      <formula>AND(IF($Q174=2,1,0),IF($X174&lt;30,1,0))</formula>
    </cfRule>
    <cfRule type="expression" priority="5007" dxfId="1">
      <formula>AND(IF($Q174=3,1,0),IF($X174&lt;30,1,0))</formula>
    </cfRule>
    <cfRule type="expression" priority="5008" dxfId="0">
      <formula>AND(IF($Q174=3,1,IF($Q174=4,1,0)),IF($F174&lt;=85,1,0))</formula>
    </cfRule>
  </conditionalFormatting>
  <conditionalFormatting sqref="AV175">
    <cfRule type="expression" priority="5003" dxfId="23">
      <formula>AV175="X"</formula>
    </cfRule>
    <cfRule type="expression" priority="5004" dxfId="22">
      <formula>AV175="후보"</formula>
    </cfRule>
  </conditionalFormatting>
  <conditionalFormatting sqref="AC1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75">
    <cfRule type="expression" priority="4995" dxfId="3">
      <formula>AND(IF(OR($Q175=1,$Q175=2),1,0),IF($X175&lt;=20,1,0))</formula>
    </cfRule>
    <cfRule type="expression" priority="4996" dxfId="2">
      <formula>AND(IF($Q175=2,1,0),IF($X175&lt;30,1,0))</formula>
    </cfRule>
    <cfRule type="expression" priority="4997" dxfId="1">
      <formula>AND(IF($Q175=3,1,0),IF($X175&lt;30,1,0))</formula>
    </cfRule>
    <cfRule type="expression" priority="4998" dxfId="0">
      <formula>AND(IF($Q175=3,1,IF($Q175=4,1,0)),IF($F175&lt;=85,1,0))</formula>
    </cfRule>
  </conditionalFormatting>
  <conditionalFormatting sqref="X175">
    <cfRule type="expression" priority="4991" dxfId="3">
      <formula>AND(IF(OR($Q175=1,$Q175=2),1,0),IF($X175&lt;=20,1,0))</formula>
    </cfRule>
    <cfRule type="expression" priority="4992" dxfId="2">
      <formula>AND(IF($Q175=2,1,0),IF($X175&lt;30,1,0))</formula>
    </cfRule>
    <cfRule type="expression" priority="4993" dxfId="1">
      <formula>AND(IF($Q175=3,1,0),IF($X175&lt;30,1,0))</formula>
    </cfRule>
    <cfRule type="expression" priority="4994" dxfId="0">
      <formula>AND(IF($Q175=3,1,IF($Q175=4,1,0)),IF($F175&lt;=85,1,0))</formula>
    </cfRule>
  </conditionalFormatting>
  <conditionalFormatting sqref="AI175">
    <cfRule type="expression" priority="4987" dxfId="3">
      <formula>AND(IF(OR($Q175=1,$Q175=2),1,0),IF($X175&lt;=20,1,0))</formula>
    </cfRule>
    <cfRule type="expression" priority="4988" dxfId="2">
      <formula>AND(IF($Q175=2,1,0),IF($X175&lt;30,1,0))</formula>
    </cfRule>
    <cfRule type="expression" priority="4989" dxfId="1">
      <formula>AND(IF($Q175=3,1,0),IF($X175&lt;30,1,0))</formula>
    </cfRule>
    <cfRule type="expression" priority="4990" dxfId="0">
      <formula>AND(IF($Q175=3,1,IF($Q175=4,1,0)),IF($F175&lt;=85,1,0))</formula>
    </cfRule>
  </conditionalFormatting>
  <conditionalFormatting sqref="AV176">
    <cfRule type="expression" priority="4985" dxfId="23">
      <formula>AV176="X"</formula>
    </cfRule>
    <cfRule type="expression" priority="4986" dxfId="22">
      <formula>AV176="후보"</formula>
    </cfRule>
  </conditionalFormatting>
  <conditionalFormatting sqref="AC1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76">
    <cfRule type="expression" priority="4977" dxfId="3">
      <formula>AND(IF(OR($Q176=1,$Q176=2),1,0),IF($X176&lt;=20,1,0))</formula>
    </cfRule>
    <cfRule type="expression" priority="4978" dxfId="2">
      <formula>AND(IF($Q176=2,1,0),IF($X176&lt;30,1,0))</formula>
    </cfRule>
    <cfRule type="expression" priority="4979" dxfId="1">
      <formula>AND(IF($Q176=3,1,0),IF($X176&lt;30,1,0))</formula>
    </cfRule>
    <cfRule type="expression" priority="4980" dxfId="0">
      <formula>AND(IF($Q176=3,1,IF($Q176=4,1,0)),IF($F176&lt;=85,1,0))</formula>
    </cfRule>
  </conditionalFormatting>
  <conditionalFormatting sqref="X176">
    <cfRule type="expression" priority="4973" dxfId="3">
      <formula>AND(IF(OR($Q176=1,$Q176=2),1,0),IF($X176&lt;=20,1,0))</formula>
    </cfRule>
    <cfRule type="expression" priority="4974" dxfId="2">
      <formula>AND(IF($Q176=2,1,0),IF($X176&lt;30,1,0))</formula>
    </cfRule>
    <cfRule type="expression" priority="4975" dxfId="1">
      <formula>AND(IF($Q176=3,1,0),IF($X176&lt;30,1,0))</formula>
    </cfRule>
    <cfRule type="expression" priority="4976" dxfId="0">
      <formula>AND(IF($Q176=3,1,IF($Q176=4,1,0)),IF($F176&lt;=85,1,0))</formula>
    </cfRule>
  </conditionalFormatting>
  <conditionalFormatting sqref="AI176">
    <cfRule type="expression" priority="4969" dxfId="3">
      <formula>AND(IF(OR($Q176=1,$Q176=2),1,0),IF($X176&lt;=20,1,0))</formula>
    </cfRule>
    <cfRule type="expression" priority="4970" dxfId="2">
      <formula>AND(IF($Q176=2,1,0),IF($X176&lt;30,1,0))</formula>
    </cfRule>
    <cfRule type="expression" priority="4971" dxfId="1">
      <formula>AND(IF($Q176=3,1,0),IF($X176&lt;30,1,0))</formula>
    </cfRule>
    <cfRule type="expression" priority="4972" dxfId="0">
      <formula>AND(IF($Q176=3,1,IF($Q176=4,1,0)),IF($F176&lt;=85,1,0))</formula>
    </cfRule>
  </conditionalFormatting>
  <conditionalFormatting sqref="AV177">
    <cfRule type="expression" priority="4967" dxfId="23">
      <formula>AV177="X"</formula>
    </cfRule>
    <cfRule type="expression" priority="4968" dxfId="22">
      <formula>AV177="후보"</formula>
    </cfRule>
  </conditionalFormatting>
  <conditionalFormatting sqref="AC1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77">
    <cfRule type="expression" priority="4959" dxfId="3">
      <formula>AND(IF(OR($Q177=1,$Q177=2),1,0),IF($X177&lt;=20,1,0))</formula>
    </cfRule>
    <cfRule type="expression" priority="4960" dxfId="2">
      <formula>AND(IF($Q177=2,1,0),IF($X177&lt;30,1,0))</formula>
    </cfRule>
    <cfRule type="expression" priority="4961" dxfId="1">
      <formula>AND(IF($Q177=3,1,0),IF($X177&lt;30,1,0))</formula>
    </cfRule>
    <cfRule type="expression" priority="4962" dxfId="0">
      <formula>AND(IF($Q177=3,1,IF($Q177=4,1,0)),IF($F177&lt;=85,1,0))</formula>
    </cfRule>
  </conditionalFormatting>
  <conditionalFormatting sqref="X177">
    <cfRule type="expression" priority="4955" dxfId="3">
      <formula>AND(IF(OR($Q177=1,$Q177=2),1,0),IF($X177&lt;=20,1,0))</formula>
    </cfRule>
    <cfRule type="expression" priority="4956" dxfId="2">
      <formula>AND(IF($Q177=2,1,0),IF($X177&lt;30,1,0))</formula>
    </cfRule>
    <cfRule type="expression" priority="4957" dxfId="1">
      <formula>AND(IF($Q177=3,1,0),IF($X177&lt;30,1,0))</formula>
    </cfRule>
    <cfRule type="expression" priority="4958" dxfId="0">
      <formula>AND(IF($Q177=3,1,IF($Q177=4,1,0)),IF($F177&lt;=85,1,0))</formula>
    </cfRule>
  </conditionalFormatting>
  <conditionalFormatting sqref="AI177">
    <cfRule type="expression" priority="4951" dxfId="3">
      <formula>AND(IF(OR($Q177=1,$Q177=2),1,0),IF($X177&lt;=20,1,0))</formula>
    </cfRule>
    <cfRule type="expression" priority="4952" dxfId="2">
      <formula>AND(IF($Q177=2,1,0),IF($X177&lt;30,1,0))</formula>
    </cfRule>
    <cfRule type="expression" priority="4953" dxfId="1">
      <formula>AND(IF($Q177=3,1,0),IF($X177&lt;30,1,0))</formula>
    </cfRule>
    <cfRule type="expression" priority="4954" dxfId="0">
      <formula>AND(IF($Q177=3,1,IF($Q177=4,1,0)),IF($F177&lt;=85,1,0))</formula>
    </cfRule>
  </conditionalFormatting>
  <conditionalFormatting sqref="AV178">
    <cfRule type="expression" priority="4949" dxfId="23">
      <formula>AV178="X"</formula>
    </cfRule>
    <cfRule type="expression" priority="4950" dxfId="22">
      <formula>AV178="후보"</formula>
    </cfRule>
  </conditionalFormatting>
  <conditionalFormatting sqref="AC1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78">
    <cfRule type="expression" priority="4941" dxfId="3">
      <formula>AND(IF(OR($Q178=1,$Q178=2),1,0),IF($X178&lt;=20,1,0))</formula>
    </cfRule>
    <cfRule type="expression" priority="4942" dxfId="2">
      <formula>AND(IF($Q178=2,1,0),IF($X178&lt;30,1,0))</formula>
    </cfRule>
    <cfRule type="expression" priority="4943" dxfId="1">
      <formula>AND(IF($Q178=3,1,0),IF($X178&lt;30,1,0))</formula>
    </cfRule>
    <cfRule type="expression" priority="4944" dxfId="0">
      <formula>AND(IF($Q178=3,1,IF($Q178=4,1,0)),IF($F178&lt;=85,1,0))</formula>
    </cfRule>
  </conditionalFormatting>
  <conditionalFormatting sqref="X178">
    <cfRule type="expression" priority="4937" dxfId="3">
      <formula>AND(IF(OR($Q178=1,$Q178=2),1,0),IF($X178&lt;=20,1,0))</formula>
    </cfRule>
    <cfRule type="expression" priority="4938" dxfId="2">
      <formula>AND(IF($Q178=2,1,0),IF($X178&lt;30,1,0))</formula>
    </cfRule>
    <cfRule type="expression" priority="4939" dxfId="1">
      <formula>AND(IF($Q178=3,1,0),IF($X178&lt;30,1,0))</formula>
    </cfRule>
    <cfRule type="expression" priority="4940" dxfId="0">
      <formula>AND(IF($Q178=3,1,IF($Q178=4,1,0)),IF($F178&lt;=85,1,0))</formula>
    </cfRule>
  </conditionalFormatting>
  <conditionalFormatting sqref="AI178">
    <cfRule type="expression" priority="4933" dxfId="3">
      <formula>AND(IF(OR($Q178=1,$Q178=2),1,0),IF($X178&lt;=20,1,0))</formula>
    </cfRule>
    <cfRule type="expression" priority="4934" dxfId="2">
      <formula>AND(IF($Q178=2,1,0),IF($X178&lt;30,1,0))</formula>
    </cfRule>
    <cfRule type="expression" priority="4935" dxfId="1">
      <formula>AND(IF($Q178=3,1,0),IF($X178&lt;30,1,0))</formula>
    </cfRule>
    <cfRule type="expression" priority="4936" dxfId="0">
      <formula>AND(IF($Q178=3,1,IF($Q178=4,1,0)),IF($F178&lt;=85,1,0))</formula>
    </cfRule>
  </conditionalFormatting>
  <conditionalFormatting sqref="AV179">
    <cfRule type="expression" priority="4931" dxfId="23">
      <formula>AV179="X"</formula>
    </cfRule>
    <cfRule type="expression" priority="4932" dxfId="22">
      <formula>AV179="후보"</formula>
    </cfRule>
  </conditionalFormatting>
  <conditionalFormatting sqref="AC1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79">
    <cfRule type="expression" priority="4923" dxfId="3">
      <formula>AND(IF(OR($Q179=1,$Q179=2),1,0),IF($X179&lt;=20,1,0))</formula>
    </cfRule>
    <cfRule type="expression" priority="4924" dxfId="2">
      <formula>AND(IF($Q179=2,1,0),IF($X179&lt;30,1,0))</formula>
    </cfRule>
    <cfRule type="expression" priority="4925" dxfId="1">
      <formula>AND(IF($Q179=3,1,0),IF($X179&lt;30,1,0))</formula>
    </cfRule>
    <cfRule type="expression" priority="4926" dxfId="0">
      <formula>AND(IF($Q179=3,1,IF($Q179=4,1,0)),IF($F179&lt;=85,1,0))</formula>
    </cfRule>
  </conditionalFormatting>
  <conditionalFormatting sqref="X179">
    <cfRule type="expression" priority="4919" dxfId="3">
      <formula>AND(IF(OR($Q179=1,$Q179=2),1,0),IF($X179&lt;=20,1,0))</formula>
    </cfRule>
    <cfRule type="expression" priority="4920" dxfId="2">
      <formula>AND(IF($Q179=2,1,0),IF($X179&lt;30,1,0))</formula>
    </cfRule>
    <cfRule type="expression" priority="4921" dxfId="1">
      <formula>AND(IF($Q179=3,1,0),IF($X179&lt;30,1,0))</formula>
    </cfRule>
    <cfRule type="expression" priority="4922" dxfId="0">
      <formula>AND(IF($Q179=3,1,IF($Q179=4,1,0)),IF($F179&lt;=85,1,0))</formula>
    </cfRule>
  </conditionalFormatting>
  <conditionalFormatting sqref="AI179">
    <cfRule type="expression" priority="4915" dxfId="3">
      <formula>AND(IF(OR($Q179=1,$Q179=2),1,0),IF($X179&lt;=20,1,0))</formula>
    </cfRule>
    <cfRule type="expression" priority="4916" dxfId="2">
      <formula>AND(IF($Q179=2,1,0),IF($X179&lt;30,1,0))</formula>
    </cfRule>
    <cfRule type="expression" priority="4917" dxfId="1">
      <formula>AND(IF($Q179=3,1,0),IF($X179&lt;30,1,0))</formula>
    </cfRule>
    <cfRule type="expression" priority="4918" dxfId="0">
      <formula>AND(IF($Q179=3,1,IF($Q179=4,1,0)),IF($F179&lt;=85,1,0))</formula>
    </cfRule>
  </conditionalFormatting>
  <conditionalFormatting sqref="AV180">
    <cfRule type="expression" priority="4913" dxfId="23">
      <formula>AV180="X"</formula>
    </cfRule>
    <cfRule type="expression" priority="4914" dxfId="22">
      <formula>AV180="후보"</formula>
    </cfRule>
  </conditionalFormatting>
  <conditionalFormatting sqref="AC1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80">
    <cfRule type="expression" priority="4905" dxfId="3">
      <formula>AND(IF(OR($Q180=1,$Q180=2),1,0),IF($X180&lt;=20,1,0))</formula>
    </cfRule>
    <cfRule type="expression" priority="4906" dxfId="2">
      <formula>AND(IF($Q180=2,1,0),IF($X180&lt;30,1,0))</formula>
    </cfRule>
    <cfRule type="expression" priority="4907" dxfId="1">
      <formula>AND(IF($Q180=3,1,0),IF($X180&lt;30,1,0))</formula>
    </cfRule>
    <cfRule type="expression" priority="4908" dxfId="0">
      <formula>AND(IF($Q180=3,1,IF($Q180=4,1,0)),IF($F180&lt;=85,1,0))</formula>
    </cfRule>
  </conditionalFormatting>
  <conditionalFormatting sqref="X180">
    <cfRule type="expression" priority="4901" dxfId="3">
      <formula>AND(IF(OR($Q180=1,$Q180=2),1,0),IF($X180&lt;=20,1,0))</formula>
    </cfRule>
    <cfRule type="expression" priority="4902" dxfId="2">
      <formula>AND(IF($Q180=2,1,0),IF($X180&lt;30,1,0))</formula>
    </cfRule>
    <cfRule type="expression" priority="4903" dxfId="1">
      <formula>AND(IF($Q180=3,1,0),IF($X180&lt;30,1,0))</formula>
    </cfRule>
    <cfRule type="expression" priority="4904" dxfId="0">
      <formula>AND(IF($Q180=3,1,IF($Q180=4,1,0)),IF($F180&lt;=85,1,0))</formula>
    </cfRule>
  </conditionalFormatting>
  <conditionalFormatting sqref="AI180">
    <cfRule type="expression" priority="4897" dxfId="3">
      <formula>AND(IF(OR($Q180=1,$Q180=2),1,0),IF($X180&lt;=20,1,0))</formula>
    </cfRule>
    <cfRule type="expression" priority="4898" dxfId="2">
      <formula>AND(IF($Q180=2,1,0),IF($X180&lt;30,1,0))</formula>
    </cfRule>
    <cfRule type="expression" priority="4899" dxfId="1">
      <formula>AND(IF($Q180=3,1,0),IF($X180&lt;30,1,0))</formula>
    </cfRule>
    <cfRule type="expression" priority="4900" dxfId="0">
      <formula>AND(IF($Q180=3,1,IF($Q180=4,1,0)),IF($F180&lt;=85,1,0))</formula>
    </cfRule>
  </conditionalFormatting>
  <conditionalFormatting sqref="AV181">
    <cfRule type="expression" priority="4895" dxfId="23">
      <formula>AV181="X"</formula>
    </cfRule>
    <cfRule type="expression" priority="4896" dxfId="22">
      <formula>AV181="후보"</formula>
    </cfRule>
  </conditionalFormatting>
  <conditionalFormatting sqref="AC1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81">
    <cfRule type="expression" priority="4887" dxfId="3">
      <formula>AND(IF(OR($Q181=1,$Q181=2),1,0),IF($X181&lt;=20,1,0))</formula>
    </cfRule>
    <cfRule type="expression" priority="4888" dxfId="2">
      <formula>AND(IF($Q181=2,1,0),IF($X181&lt;30,1,0))</formula>
    </cfRule>
    <cfRule type="expression" priority="4889" dxfId="1">
      <formula>AND(IF($Q181=3,1,0),IF($X181&lt;30,1,0))</formula>
    </cfRule>
    <cfRule type="expression" priority="4890" dxfId="0">
      <formula>AND(IF($Q181=3,1,IF($Q181=4,1,0)),IF($F181&lt;=85,1,0))</formula>
    </cfRule>
  </conditionalFormatting>
  <conditionalFormatting sqref="X181">
    <cfRule type="expression" priority="4883" dxfId="3">
      <formula>AND(IF(OR($Q181=1,$Q181=2),1,0),IF($X181&lt;=20,1,0))</formula>
    </cfRule>
    <cfRule type="expression" priority="4884" dxfId="2">
      <formula>AND(IF($Q181=2,1,0),IF($X181&lt;30,1,0))</formula>
    </cfRule>
    <cfRule type="expression" priority="4885" dxfId="1">
      <formula>AND(IF($Q181=3,1,0),IF($X181&lt;30,1,0))</formula>
    </cfRule>
    <cfRule type="expression" priority="4886" dxfId="0">
      <formula>AND(IF($Q181=3,1,IF($Q181=4,1,0)),IF($F181&lt;=85,1,0))</formula>
    </cfRule>
  </conditionalFormatting>
  <conditionalFormatting sqref="AI181">
    <cfRule type="expression" priority="4879" dxfId="3">
      <formula>AND(IF(OR($Q181=1,$Q181=2),1,0),IF($X181&lt;=20,1,0))</formula>
    </cfRule>
    <cfRule type="expression" priority="4880" dxfId="2">
      <formula>AND(IF($Q181=2,1,0),IF($X181&lt;30,1,0))</formula>
    </cfRule>
    <cfRule type="expression" priority="4881" dxfId="1">
      <formula>AND(IF($Q181=3,1,0),IF($X181&lt;30,1,0))</formula>
    </cfRule>
    <cfRule type="expression" priority="4882" dxfId="0">
      <formula>AND(IF($Q181=3,1,IF($Q181=4,1,0)),IF($F181&lt;=85,1,0))</formula>
    </cfRule>
  </conditionalFormatting>
  <conditionalFormatting sqref="AV182">
    <cfRule type="expression" priority="4877" dxfId="23">
      <formula>AV182="X"</formula>
    </cfRule>
    <cfRule type="expression" priority="4878" dxfId="22">
      <formula>AV182="후보"</formula>
    </cfRule>
  </conditionalFormatting>
  <conditionalFormatting sqref="AC1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82">
    <cfRule type="expression" priority="4869" dxfId="3">
      <formula>AND(IF(OR($Q182=1,$Q182=2),1,0),IF($X182&lt;=20,1,0))</formula>
    </cfRule>
    <cfRule type="expression" priority="4870" dxfId="2">
      <formula>AND(IF($Q182=2,1,0),IF($X182&lt;30,1,0))</formula>
    </cfRule>
    <cfRule type="expression" priority="4871" dxfId="1">
      <formula>AND(IF($Q182=3,1,0),IF($X182&lt;30,1,0))</formula>
    </cfRule>
    <cfRule type="expression" priority="4872" dxfId="0">
      <formula>AND(IF($Q182=3,1,IF($Q182=4,1,0)),IF($F182&lt;=85,1,0))</formula>
    </cfRule>
  </conditionalFormatting>
  <conditionalFormatting sqref="X182">
    <cfRule type="expression" priority="4865" dxfId="3">
      <formula>AND(IF(OR($Q182=1,$Q182=2),1,0),IF($X182&lt;=20,1,0))</formula>
    </cfRule>
    <cfRule type="expression" priority="4866" dxfId="2">
      <formula>AND(IF($Q182=2,1,0),IF($X182&lt;30,1,0))</formula>
    </cfRule>
    <cfRule type="expression" priority="4867" dxfId="1">
      <formula>AND(IF($Q182=3,1,0),IF($X182&lt;30,1,0))</formula>
    </cfRule>
    <cfRule type="expression" priority="4868" dxfId="0">
      <formula>AND(IF($Q182=3,1,IF($Q182=4,1,0)),IF($F182&lt;=85,1,0))</formula>
    </cfRule>
  </conditionalFormatting>
  <conditionalFormatting sqref="AI182">
    <cfRule type="expression" priority="4861" dxfId="3">
      <formula>AND(IF(OR($Q182=1,$Q182=2),1,0),IF($X182&lt;=20,1,0))</formula>
    </cfRule>
    <cfRule type="expression" priority="4862" dxfId="2">
      <formula>AND(IF($Q182=2,1,0),IF($X182&lt;30,1,0))</formula>
    </cfRule>
    <cfRule type="expression" priority="4863" dxfId="1">
      <formula>AND(IF($Q182=3,1,0),IF($X182&lt;30,1,0))</formula>
    </cfRule>
    <cfRule type="expression" priority="4864" dxfId="0">
      <formula>AND(IF($Q182=3,1,IF($Q182=4,1,0)),IF($F182&lt;=85,1,0))</formula>
    </cfRule>
  </conditionalFormatting>
  <conditionalFormatting sqref="AV183">
    <cfRule type="expression" priority="4859" dxfId="23">
      <formula>AV183="X"</formula>
    </cfRule>
    <cfRule type="expression" priority="4860" dxfId="22">
      <formula>AV183="후보"</formula>
    </cfRule>
  </conditionalFormatting>
  <conditionalFormatting sqref="AC1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83">
    <cfRule type="expression" priority="4851" dxfId="3">
      <formula>AND(IF(OR($Q183=1,$Q183=2),1,0),IF($X183&lt;=20,1,0))</formula>
    </cfRule>
    <cfRule type="expression" priority="4852" dxfId="2">
      <formula>AND(IF($Q183=2,1,0),IF($X183&lt;30,1,0))</formula>
    </cfRule>
    <cfRule type="expression" priority="4853" dxfId="1">
      <formula>AND(IF($Q183=3,1,0),IF($X183&lt;30,1,0))</formula>
    </cfRule>
    <cfRule type="expression" priority="4854" dxfId="0">
      <formula>AND(IF($Q183=3,1,IF($Q183=4,1,0)),IF($F183&lt;=85,1,0))</formula>
    </cfRule>
  </conditionalFormatting>
  <conditionalFormatting sqref="X183">
    <cfRule type="expression" priority="4847" dxfId="3">
      <formula>AND(IF(OR($Q183=1,$Q183=2),1,0),IF($X183&lt;=20,1,0))</formula>
    </cfRule>
    <cfRule type="expression" priority="4848" dxfId="2">
      <formula>AND(IF($Q183=2,1,0),IF($X183&lt;30,1,0))</formula>
    </cfRule>
    <cfRule type="expression" priority="4849" dxfId="1">
      <formula>AND(IF($Q183=3,1,0),IF($X183&lt;30,1,0))</formula>
    </cfRule>
    <cfRule type="expression" priority="4850" dxfId="0">
      <formula>AND(IF($Q183=3,1,IF($Q183=4,1,0)),IF($F183&lt;=85,1,0))</formula>
    </cfRule>
  </conditionalFormatting>
  <conditionalFormatting sqref="AI183">
    <cfRule type="expression" priority="4843" dxfId="3">
      <formula>AND(IF(OR($Q183=1,$Q183=2),1,0),IF($X183&lt;=20,1,0))</formula>
    </cfRule>
    <cfRule type="expression" priority="4844" dxfId="2">
      <formula>AND(IF($Q183=2,1,0),IF($X183&lt;30,1,0))</formula>
    </cfRule>
    <cfRule type="expression" priority="4845" dxfId="1">
      <formula>AND(IF($Q183=3,1,0),IF($X183&lt;30,1,0))</formula>
    </cfRule>
    <cfRule type="expression" priority="4846" dxfId="0">
      <formula>AND(IF($Q183=3,1,IF($Q183=4,1,0)),IF($F183&lt;=85,1,0))</formula>
    </cfRule>
  </conditionalFormatting>
  <conditionalFormatting sqref="AV184">
    <cfRule type="expression" priority="4841" dxfId="23">
      <formula>AV184="X"</formula>
    </cfRule>
    <cfRule type="expression" priority="4842" dxfId="22">
      <formula>AV184="후보"</formula>
    </cfRule>
  </conditionalFormatting>
  <conditionalFormatting sqref="AC1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84">
    <cfRule type="expression" priority="4833" dxfId="3">
      <formula>AND(IF(OR($Q184=1,$Q184=2),1,0),IF($X184&lt;=20,1,0))</formula>
    </cfRule>
    <cfRule type="expression" priority="4834" dxfId="2">
      <formula>AND(IF($Q184=2,1,0),IF($X184&lt;30,1,0))</formula>
    </cfRule>
    <cfRule type="expression" priority="4835" dxfId="1">
      <formula>AND(IF($Q184=3,1,0),IF($X184&lt;30,1,0))</formula>
    </cfRule>
    <cfRule type="expression" priority="4836" dxfId="0">
      <formula>AND(IF($Q184=3,1,IF($Q184=4,1,0)),IF($F184&lt;=85,1,0))</formula>
    </cfRule>
  </conditionalFormatting>
  <conditionalFormatting sqref="X184">
    <cfRule type="expression" priority="4829" dxfId="3">
      <formula>AND(IF(OR($Q184=1,$Q184=2),1,0),IF($X184&lt;=20,1,0))</formula>
    </cfRule>
    <cfRule type="expression" priority="4830" dxfId="2">
      <formula>AND(IF($Q184=2,1,0),IF($X184&lt;30,1,0))</formula>
    </cfRule>
    <cfRule type="expression" priority="4831" dxfId="1">
      <formula>AND(IF($Q184=3,1,0),IF($X184&lt;30,1,0))</formula>
    </cfRule>
    <cfRule type="expression" priority="4832" dxfId="0">
      <formula>AND(IF($Q184=3,1,IF($Q184=4,1,0)),IF($F184&lt;=85,1,0))</formula>
    </cfRule>
  </conditionalFormatting>
  <conditionalFormatting sqref="AI184">
    <cfRule type="expression" priority="4825" dxfId="3">
      <formula>AND(IF(OR($Q184=1,$Q184=2),1,0),IF($X184&lt;=20,1,0))</formula>
    </cfRule>
    <cfRule type="expression" priority="4826" dxfId="2">
      <formula>AND(IF($Q184=2,1,0),IF($X184&lt;30,1,0))</formula>
    </cfRule>
    <cfRule type="expression" priority="4827" dxfId="1">
      <formula>AND(IF($Q184=3,1,0),IF($X184&lt;30,1,0))</formula>
    </cfRule>
    <cfRule type="expression" priority="4828" dxfId="0">
      <formula>AND(IF($Q184=3,1,IF($Q184=4,1,0)),IF($F184&lt;=85,1,0))</formula>
    </cfRule>
  </conditionalFormatting>
  <conditionalFormatting sqref="AV185">
    <cfRule type="expression" priority="4823" dxfId="23">
      <formula>AV185="X"</formula>
    </cfRule>
    <cfRule type="expression" priority="4824" dxfId="22">
      <formula>AV185="후보"</formula>
    </cfRule>
  </conditionalFormatting>
  <conditionalFormatting sqref="AC1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85">
    <cfRule type="expression" priority="4815" dxfId="3">
      <formula>AND(IF(OR($Q185=1,$Q185=2),1,0),IF($X185&lt;=20,1,0))</formula>
    </cfRule>
    <cfRule type="expression" priority="4816" dxfId="2">
      <formula>AND(IF($Q185=2,1,0),IF($X185&lt;30,1,0))</formula>
    </cfRule>
    <cfRule type="expression" priority="4817" dxfId="1">
      <formula>AND(IF($Q185=3,1,0),IF($X185&lt;30,1,0))</formula>
    </cfRule>
    <cfRule type="expression" priority="4818" dxfId="0">
      <formula>AND(IF($Q185=3,1,IF($Q185=4,1,0)),IF($F185&lt;=85,1,0))</formula>
    </cfRule>
  </conditionalFormatting>
  <conditionalFormatting sqref="X185">
    <cfRule type="expression" priority="4811" dxfId="3">
      <formula>AND(IF(OR($Q185=1,$Q185=2),1,0),IF($X185&lt;=20,1,0))</formula>
    </cfRule>
    <cfRule type="expression" priority="4812" dxfId="2">
      <formula>AND(IF($Q185=2,1,0),IF($X185&lt;30,1,0))</formula>
    </cfRule>
    <cfRule type="expression" priority="4813" dxfId="1">
      <formula>AND(IF($Q185=3,1,0),IF($X185&lt;30,1,0))</formula>
    </cfRule>
    <cfRule type="expression" priority="4814" dxfId="0">
      <formula>AND(IF($Q185=3,1,IF($Q185=4,1,0)),IF($F185&lt;=85,1,0))</formula>
    </cfRule>
  </conditionalFormatting>
  <conditionalFormatting sqref="AI185">
    <cfRule type="expression" priority="4807" dxfId="3">
      <formula>AND(IF(OR($Q185=1,$Q185=2),1,0),IF($X185&lt;=20,1,0))</formula>
    </cfRule>
    <cfRule type="expression" priority="4808" dxfId="2">
      <formula>AND(IF($Q185=2,1,0),IF($X185&lt;30,1,0))</formula>
    </cfRule>
    <cfRule type="expression" priority="4809" dxfId="1">
      <formula>AND(IF($Q185=3,1,0),IF($X185&lt;30,1,0))</formula>
    </cfRule>
    <cfRule type="expression" priority="4810" dxfId="0">
      <formula>AND(IF($Q185=3,1,IF($Q185=4,1,0)),IF($F185&lt;=85,1,0))</formula>
    </cfRule>
  </conditionalFormatting>
  <conditionalFormatting sqref="AV186">
    <cfRule type="expression" priority="4805" dxfId="23">
      <formula>AV186="X"</formula>
    </cfRule>
    <cfRule type="expression" priority="4806" dxfId="22">
      <formula>AV186="후보"</formula>
    </cfRule>
  </conditionalFormatting>
  <conditionalFormatting sqref="AC1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86">
    <cfRule type="expression" priority="4797" dxfId="3">
      <formula>AND(IF(OR($Q186=1,$Q186=2),1,0),IF($X186&lt;=20,1,0))</formula>
    </cfRule>
    <cfRule type="expression" priority="4798" dxfId="2">
      <formula>AND(IF($Q186=2,1,0),IF($X186&lt;30,1,0))</formula>
    </cfRule>
    <cfRule type="expression" priority="4799" dxfId="1">
      <formula>AND(IF($Q186=3,1,0),IF($X186&lt;30,1,0))</formula>
    </cfRule>
    <cfRule type="expression" priority="4800" dxfId="0">
      <formula>AND(IF($Q186=3,1,IF($Q186=4,1,0)),IF($F186&lt;=85,1,0))</formula>
    </cfRule>
  </conditionalFormatting>
  <conditionalFormatting sqref="X186">
    <cfRule type="expression" priority="4793" dxfId="3">
      <formula>AND(IF(OR($Q186=1,$Q186=2),1,0),IF($X186&lt;=20,1,0))</formula>
    </cfRule>
    <cfRule type="expression" priority="4794" dxfId="2">
      <formula>AND(IF($Q186=2,1,0),IF($X186&lt;30,1,0))</formula>
    </cfRule>
    <cfRule type="expression" priority="4795" dxfId="1">
      <formula>AND(IF($Q186=3,1,0),IF($X186&lt;30,1,0))</formula>
    </cfRule>
    <cfRule type="expression" priority="4796" dxfId="0">
      <formula>AND(IF($Q186=3,1,IF($Q186=4,1,0)),IF($F186&lt;=85,1,0))</formula>
    </cfRule>
  </conditionalFormatting>
  <conditionalFormatting sqref="AI186">
    <cfRule type="expression" priority="4789" dxfId="3">
      <formula>AND(IF(OR($Q186=1,$Q186=2),1,0),IF($X186&lt;=20,1,0))</formula>
    </cfRule>
    <cfRule type="expression" priority="4790" dxfId="2">
      <formula>AND(IF($Q186=2,1,0),IF($X186&lt;30,1,0))</formula>
    </cfRule>
    <cfRule type="expression" priority="4791" dxfId="1">
      <formula>AND(IF($Q186=3,1,0),IF($X186&lt;30,1,0))</formula>
    </cfRule>
    <cfRule type="expression" priority="4792" dxfId="0">
      <formula>AND(IF($Q186=3,1,IF($Q186=4,1,0)),IF($F186&lt;=85,1,0))</formula>
    </cfRule>
  </conditionalFormatting>
  <conditionalFormatting sqref="AV187">
    <cfRule type="expression" priority="4787" dxfId="23">
      <formula>AV187="X"</formula>
    </cfRule>
    <cfRule type="expression" priority="4788" dxfId="22">
      <formula>AV187="후보"</formula>
    </cfRule>
  </conditionalFormatting>
  <conditionalFormatting sqref="AC1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87">
    <cfRule type="expression" priority="4779" dxfId="3">
      <formula>AND(IF(OR($Q187=1,$Q187=2),1,0),IF($X187&lt;=20,1,0))</formula>
    </cfRule>
    <cfRule type="expression" priority="4780" dxfId="2">
      <formula>AND(IF($Q187=2,1,0),IF($X187&lt;30,1,0))</formula>
    </cfRule>
    <cfRule type="expression" priority="4781" dxfId="1">
      <formula>AND(IF($Q187=3,1,0),IF($X187&lt;30,1,0))</formula>
    </cfRule>
    <cfRule type="expression" priority="4782" dxfId="0">
      <formula>AND(IF($Q187=3,1,IF($Q187=4,1,0)),IF($F187&lt;=85,1,0))</formula>
    </cfRule>
  </conditionalFormatting>
  <conditionalFormatting sqref="X187">
    <cfRule type="expression" priority="4775" dxfId="3">
      <formula>AND(IF(OR($Q187=1,$Q187=2),1,0),IF($X187&lt;=20,1,0))</formula>
    </cfRule>
    <cfRule type="expression" priority="4776" dxfId="2">
      <formula>AND(IF($Q187=2,1,0),IF($X187&lt;30,1,0))</formula>
    </cfRule>
    <cfRule type="expression" priority="4777" dxfId="1">
      <formula>AND(IF($Q187=3,1,0),IF($X187&lt;30,1,0))</formula>
    </cfRule>
    <cfRule type="expression" priority="4778" dxfId="0">
      <formula>AND(IF($Q187=3,1,IF($Q187=4,1,0)),IF($F187&lt;=85,1,0))</formula>
    </cfRule>
  </conditionalFormatting>
  <conditionalFormatting sqref="AI187">
    <cfRule type="expression" priority="4771" dxfId="3">
      <formula>AND(IF(OR($Q187=1,$Q187=2),1,0),IF($X187&lt;=20,1,0))</formula>
    </cfRule>
    <cfRule type="expression" priority="4772" dxfId="2">
      <formula>AND(IF($Q187=2,1,0),IF($X187&lt;30,1,0))</formula>
    </cfRule>
    <cfRule type="expression" priority="4773" dxfId="1">
      <formula>AND(IF($Q187=3,1,0),IF($X187&lt;30,1,0))</formula>
    </cfRule>
    <cfRule type="expression" priority="4774" dxfId="0">
      <formula>AND(IF($Q187=3,1,IF($Q187=4,1,0)),IF($F187&lt;=85,1,0))</formula>
    </cfRule>
  </conditionalFormatting>
  <conditionalFormatting sqref="AV188">
    <cfRule type="expression" priority="4769" dxfId="23">
      <formula>AV188="X"</formula>
    </cfRule>
    <cfRule type="expression" priority="4770" dxfId="22">
      <formula>AV188="후보"</formula>
    </cfRule>
  </conditionalFormatting>
  <conditionalFormatting sqref="AC1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88">
    <cfRule type="expression" priority="4761" dxfId="3">
      <formula>AND(IF(OR($Q188=1,$Q188=2),1,0),IF($X188&lt;=20,1,0))</formula>
    </cfRule>
    <cfRule type="expression" priority="4762" dxfId="2">
      <formula>AND(IF($Q188=2,1,0),IF($X188&lt;30,1,0))</formula>
    </cfRule>
    <cfRule type="expression" priority="4763" dxfId="1">
      <formula>AND(IF($Q188=3,1,0),IF($X188&lt;30,1,0))</formula>
    </cfRule>
    <cfRule type="expression" priority="4764" dxfId="0">
      <formula>AND(IF($Q188=3,1,IF($Q188=4,1,0)),IF($F188&lt;=85,1,0))</formula>
    </cfRule>
  </conditionalFormatting>
  <conditionalFormatting sqref="X188">
    <cfRule type="expression" priority="4757" dxfId="3">
      <formula>AND(IF(OR($Q188=1,$Q188=2),1,0),IF($X188&lt;=20,1,0))</formula>
    </cfRule>
    <cfRule type="expression" priority="4758" dxfId="2">
      <formula>AND(IF($Q188=2,1,0),IF($X188&lt;30,1,0))</formula>
    </cfRule>
    <cfRule type="expression" priority="4759" dxfId="1">
      <formula>AND(IF($Q188=3,1,0),IF($X188&lt;30,1,0))</formula>
    </cfRule>
    <cfRule type="expression" priority="4760" dxfId="0">
      <formula>AND(IF($Q188=3,1,IF($Q188=4,1,0)),IF($F188&lt;=85,1,0))</formula>
    </cfRule>
  </conditionalFormatting>
  <conditionalFormatting sqref="AI188">
    <cfRule type="expression" priority="4753" dxfId="3">
      <formula>AND(IF(OR($Q188=1,$Q188=2),1,0),IF($X188&lt;=20,1,0))</formula>
    </cfRule>
    <cfRule type="expression" priority="4754" dxfId="2">
      <formula>AND(IF($Q188=2,1,0),IF($X188&lt;30,1,0))</formula>
    </cfRule>
    <cfRule type="expression" priority="4755" dxfId="1">
      <formula>AND(IF($Q188=3,1,0),IF($X188&lt;30,1,0))</formula>
    </cfRule>
    <cfRule type="expression" priority="4756" dxfId="0">
      <formula>AND(IF($Q188=3,1,IF($Q188=4,1,0)),IF($F188&lt;=85,1,0))</formula>
    </cfRule>
  </conditionalFormatting>
  <conditionalFormatting sqref="AV189">
    <cfRule type="expression" priority="4751" dxfId="23">
      <formula>AV189="X"</formula>
    </cfRule>
    <cfRule type="expression" priority="4752" dxfId="22">
      <formula>AV189="후보"</formula>
    </cfRule>
  </conditionalFormatting>
  <conditionalFormatting sqref="AC1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89">
    <cfRule type="expression" priority="4743" dxfId="3">
      <formula>AND(IF(OR($Q189=1,$Q189=2),1,0),IF($X189&lt;=20,1,0))</formula>
    </cfRule>
    <cfRule type="expression" priority="4744" dxfId="2">
      <formula>AND(IF($Q189=2,1,0),IF($X189&lt;30,1,0))</formula>
    </cfRule>
    <cfRule type="expression" priority="4745" dxfId="1">
      <formula>AND(IF($Q189=3,1,0),IF($X189&lt;30,1,0))</formula>
    </cfRule>
    <cfRule type="expression" priority="4746" dxfId="0">
      <formula>AND(IF($Q189=3,1,IF($Q189=4,1,0)),IF($F189&lt;=85,1,0))</formula>
    </cfRule>
  </conditionalFormatting>
  <conditionalFormatting sqref="X189">
    <cfRule type="expression" priority="4739" dxfId="3">
      <formula>AND(IF(OR($Q189=1,$Q189=2),1,0),IF($X189&lt;=20,1,0))</formula>
    </cfRule>
    <cfRule type="expression" priority="4740" dxfId="2">
      <formula>AND(IF($Q189=2,1,0),IF($X189&lt;30,1,0))</formula>
    </cfRule>
    <cfRule type="expression" priority="4741" dxfId="1">
      <formula>AND(IF($Q189=3,1,0),IF($X189&lt;30,1,0))</formula>
    </cfRule>
    <cfRule type="expression" priority="4742" dxfId="0">
      <formula>AND(IF($Q189=3,1,IF($Q189=4,1,0)),IF($F189&lt;=85,1,0))</formula>
    </cfRule>
  </conditionalFormatting>
  <conditionalFormatting sqref="AI189">
    <cfRule type="expression" priority="4735" dxfId="3">
      <formula>AND(IF(OR($Q189=1,$Q189=2),1,0),IF($X189&lt;=20,1,0))</formula>
    </cfRule>
    <cfRule type="expression" priority="4736" dxfId="2">
      <formula>AND(IF($Q189=2,1,0),IF($X189&lt;30,1,0))</formula>
    </cfRule>
    <cfRule type="expression" priority="4737" dxfId="1">
      <formula>AND(IF($Q189=3,1,0),IF($X189&lt;30,1,0))</formula>
    </cfRule>
    <cfRule type="expression" priority="4738" dxfId="0">
      <formula>AND(IF($Q189=3,1,IF($Q189=4,1,0)),IF($F189&lt;=85,1,0))</formula>
    </cfRule>
  </conditionalFormatting>
  <conditionalFormatting sqref="AV190">
    <cfRule type="expression" priority="4733" dxfId="23">
      <formula>AV190="X"</formula>
    </cfRule>
    <cfRule type="expression" priority="4734" dxfId="22">
      <formula>AV190="후보"</formula>
    </cfRule>
  </conditionalFormatting>
  <conditionalFormatting sqref="AC1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90">
    <cfRule type="expression" priority="4725" dxfId="3">
      <formula>AND(IF(OR($Q190=1,$Q190=2),1,0),IF($X190&lt;=20,1,0))</formula>
    </cfRule>
    <cfRule type="expression" priority="4726" dxfId="2">
      <formula>AND(IF($Q190=2,1,0),IF($X190&lt;30,1,0))</formula>
    </cfRule>
    <cfRule type="expression" priority="4727" dxfId="1">
      <formula>AND(IF($Q190=3,1,0),IF($X190&lt;30,1,0))</formula>
    </cfRule>
    <cfRule type="expression" priority="4728" dxfId="0">
      <formula>AND(IF($Q190=3,1,IF($Q190=4,1,0)),IF($F190&lt;=85,1,0))</formula>
    </cfRule>
  </conditionalFormatting>
  <conditionalFormatting sqref="X190">
    <cfRule type="expression" priority="4721" dxfId="3">
      <formula>AND(IF(OR($Q190=1,$Q190=2),1,0),IF($X190&lt;=20,1,0))</formula>
    </cfRule>
    <cfRule type="expression" priority="4722" dxfId="2">
      <formula>AND(IF($Q190=2,1,0),IF($X190&lt;30,1,0))</formula>
    </cfRule>
    <cfRule type="expression" priority="4723" dxfId="1">
      <formula>AND(IF($Q190=3,1,0),IF($X190&lt;30,1,0))</formula>
    </cfRule>
    <cfRule type="expression" priority="4724" dxfId="0">
      <formula>AND(IF($Q190=3,1,IF($Q190=4,1,0)),IF($F190&lt;=85,1,0))</formula>
    </cfRule>
  </conditionalFormatting>
  <conditionalFormatting sqref="AI190">
    <cfRule type="expression" priority="4717" dxfId="3">
      <formula>AND(IF(OR($Q190=1,$Q190=2),1,0),IF($X190&lt;=20,1,0))</formula>
    </cfRule>
    <cfRule type="expression" priority="4718" dxfId="2">
      <formula>AND(IF($Q190=2,1,0),IF($X190&lt;30,1,0))</formula>
    </cfRule>
    <cfRule type="expression" priority="4719" dxfId="1">
      <formula>AND(IF($Q190=3,1,0),IF($X190&lt;30,1,0))</formula>
    </cfRule>
    <cfRule type="expression" priority="4720" dxfId="0">
      <formula>AND(IF($Q190=3,1,IF($Q190=4,1,0)),IF($F190&lt;=85,1,0))</formula>
    </cfRule>
  </conditionalFormatting>
  <conditionalFormatting sqref="AV191">
    <cfRule type="expression" priority="4715" dxfId="23">
      <formula>AV191="X"</formula>
    </cfRule>
    <cfRule type="expression" priority="4716" dxfId="22">
      <formula>AV191="후보"</formula>
    </cfRule>
  </conditionalFormatting>
  <conditionalFormatting sqref="AC1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91">
    <cfRule type="expression" priority="4707" dxfId="3">
      <formula>AND(IF(OR($Q191=1,$Q191=2),1,0),IF($X191&lt;=20,1,0))</formula>
    </cfRule>
    <cfRule type="expression" priority="4708" dxfId="2">
      <formula>AND(IF($Q191=2,1,0),IF($X191&lt;30,1,0))</formula>
    </cfRule>
    <cfRule type="expression" priority="4709" dxfId="1">
      <formula>AND(IF($Q191=3,1,0),IF($X191&lt;30,1,0))</formula>
    </cfRule>
    <cfRule type="expression" priority="4710" dxfId="0">
      <formula>AND(IF($Q191=3,1,IF($Q191=4,1,0)),IF($F191&lt;=85,1,0))</formula>
    </cfRule>
  </conditionalFormatting>
  <conditionalFormatting sqref="X191">
    <cfRule type="expression" priority="4703" dxfId="3">
      <formula>AND(IF(OR($Q191=1,$Q191=2),1,0),IF($X191&lt;=20,1,0))</formula>
    </cfRule>
    <cfRule type="expression" priority="4704" dxfId="2">
      <formula>AND(IF($Q191=2,1,0),IF($X191&lt;30,1,0))</formula>
    </cfRule>
    <cfRule type="expression" priority="4705" dxfId="1">
      <formula>AND(IF($Q191=3,1,0),IF($X191&lt;30,1,0))</formula>
    </cfRule>
    <cfRule type="expression" priority="4706" dxfId="0">
      <formula>AND(IF($Q191=3,1,IF($Q191=4,1,0)),IF($F191&lt;=85,1,0))</formula>
    </cfRule>
  </conditionalFormatting>
  <conditionalFormatting sqref="AI191">
    <cfRule type="expression" priority="4699" dxfId="3">
      <formula>AND(IF(OR($Q191=1,$Q191=2),1,0),IF($X191&lt;=20,1,0))</formula>
    </cfRule>
    <cfRule type="expression" priority="4700" dxfId="2">
      <formula>AND(IF($Q191=2,1,0),IF($X191&lt;30,1,0))</formula>
    </cfRule>
    <cfRule type="expression" priority="4701" dxfId="1">
      <formula>AND(IF($Q191=3,1,0),IF($X191&lt;30,1,0))</formula>
    </cfRule>
    <cfRule type="expression" priority="4702" dxfId="0">
      <formula>AND(IF($Q191=3,1,IF($Q191=4,1,0)),IF($F191&lt;=85,1,0))</formula>
    </cfRule>
  </conditionalFormatting>
  <conditionalFormatting sqref="AV192">
    <cfRule type="expression" priority="4697" dxfId="23">
      <formula>AV192="X"</formula>
    </cfRule>
    <cfRule type="expression" priority="4698" dxfId="22">
      <formula>AV192="후보"</formula>
    </cfRule>
  </conditionalFormatting>
  <conditionalFormatting sqref="AC1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92">
    <cfRule type="expression" priority="4689" dxfId="3">
      <formula>AND(IF(OR($Q192=1,$Q192=2),1,0),IF($X192&lt;=20,1,0))</formula>
    </cfRule>
    <cfRule type="expression" priority="4690" dxfId="2">
      <formula>AND(IF($Q192=2,1,0),IF($X192&lt;30,1,0))</formula>
    </cfRule>
    <cfRule type="expression" priority="4691" dxfId="1">
      <formula>AND(IF($Q192=3,1,0),IF($X192&lt;30,1,0))</formula>
    </cfRule>
    <cfRule type="expression" priority="4692" dxfId="0">
      <formula>AND(IF($Q192=3,1,IF($Q192=4,1,0)),IF($F192&lt;=85,1,0))</formula>
    </cfRule>
  </conditionalFormatting>
  <conditionalFormatting sqref="X192">
    <cfRule type="expression" priority="4685" dxfId="3">
      <formula>AND(IF(OR($Q192=1,$Q192=2),1,0),IF($X192&lt;=20,1,0))</formula>
    </cfRule>
    <cfRule type="expression" priority="4686" dxfId="2">
      <formula>AND(IF($Q192=2,1,0),IF($X192&lt;30,1,0))</formula>
    </cfRule>
    <cfRule type="expression" priority="4687" dxfId="1">
      <formula>AND(IF($Q192=3,1,0),IF($X192&lt;30,1,0))</formula>
    </cfRule>
    <cfRule type="expression" priority="4688" dxfId="0">
      <formula>AND(IF($Q192=3,1,IF($Q192=4,1,0)),IF($F192&lt;=85,1,0))</formula>
    </cfRule>
  </conditionalFormatting>
  <conditionalFormatting sqref="AI192">
    <cfRule type="expression" priority="4681" dxfId="3">
      <formula>AND(IF(OR($Q192=1,$Q192=2),1,0),IF($X192&lt;=20,1,0))</formula>
    </cfRule>
    <cfRule type="expression" priority="4682" dxfId="2">
      <formula>AND(IF($Q192=2,1,0),IF($X192&lt;30,1,0))</formula>
    </cfRule>
    <cfRule type="expression" priority="4683" dxfId="1">
      <formula>AND(IF($Q192=3,1,0),IF($X192&lt;30,1,0))</formula>
    </cfRule>
    <cfRule type="expression" priority="4684" dxfId="0">
      <formula>AND(IF($Q192=3,1,IF($Q192=4,1,0)),IF($F192&lt;=85,1,0))</formula>
    </cfRule>
  </conditionalFormatting>
  <conditionalFormatting sqref="AV193">
    <cfRule type="expression" priority="4679" dxfId="23">
      <formula>AV193="X"</formula>
    </cfRule>
    <cfRule type="expression" priority="4680" dxfId="22">
      <formula>AV193="후보"</formula>
    </cfRule>
  </conditionalFormatting>
  <conditionalFormatting sqref="AC1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93">
    <cfRule type="expression" priority="4671" dxfId="3">
      <formula>AND(IF(OR($Q193=1,$Q193=2),1,0),IF($X193&lt;=20,1,0))</formula>
    </cfRule>
    <cfRule type="expression" priority="4672" dxfId="2">
      <formula>AND(IF($Q193=2,1,0),IF($X193&lt;30,1,0))</formula>
    </cfRule>
    <cfRule type="expression" priority="4673" dxfId="1">
      <formula>AND(IF($Q193=3,1,0),IF($X193&lt;30,1,0))</formula>
    </cfRule>
    <cfRule type="expression" priority="4674" dxfId="0">
      <formula>AND(IF($Q193=3,1,IF($Q193=4,1,0)),IF($F193&lt;=85,1,0))</formula>
    </cfRule>
  </conditionalFormatting>
  <conditionalFormatting sqref="X193">
    <cfRule type="expression" priority="4667" dxfId="3">
      <formula>AND(IF(OR($Q193=1,$Q193=2),1,0),IF($X193&lt;=20,1,0))</formula>
    </cfRule>
    <cfRule type="expression" priority="4668" dxfId="2">
      <formula>AND(IF($Q193=2,1,0),IF($X193&lt;30,1,0))</formula>
    </cfRule>
    <cfRule type="expression" priority="4669" dxfId="1">
      <formula>AND(IF($Q193=3,1,0),IF($X193&lt;30,1,0))</formula>
    </cfRule>
    <cfRule type="expression" priority="4670" dxfId="0">
      <formula>AND(IF($Q193=3,1,IF($Q193=4,1,0)),IF($F193&lt;=85,1,0))</formula>
    </cfRule>
  </conditionalFormatting>
  <conditionalFormatting sqref="AI193">
    <cfRule type="expression" priority="4663" dxfId="3">
      <formula>AND(IF(OR($Q193=1,$Q193=2),1,0),IF($X193&lt;=20,1,0))</formula>
    </cfRule>
    <cfRule type="expression" priority="4664" dxfId="2">
      <formula>AND(IF($Q193=2,1,0),IF($X193&lt;30,1,0))</formula>
    </cfRule>
    <cfRule type="expression" priority="4665" dxfId="1">
      <formula>AND(IF($Q193=3,1,0),IF($X193&lt;30,1,0))</formula>
    </cfRule>
    <cfRule type="expression" priority="4666" dxfId="0">
      <formula>AND(IF($Q193=3,1,IF($Q193=4,1,0)),IF($F193&lt;=85,1,0))</formula>
    </cfRule>
  </conditionalFormatting>
  <conditionalFormatting sqref="AV194">
    <cfRule type="expression" priority="4661" dxfId="23">
      <formula>AV194="X"</formula>
    </cfRule>
    <cfRule type="expression" priority="4662" dxfId="22">
      <formula>AV194="후보"</formula>
    </cfRule>
  </conditionalFormatting>
  <conditionalFormatting sqref="AC1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94">
    <cfRule type="expression" priority="4653" dxfId="3">
      <formula>AND(IF(OR($Q194=1,$Q194=2),1,0),IF($X194&lt;=20,1,0))</formula>
    </cfRule>
    <cfRule type="expression" priority="4654" dxfId="2">
      <formula>AND(IF($Q194=2,1,0),IF($X194&lt;30,1,0))</formula>
    </cfRule>
    <cfRule type="expression" priority="4655" dxfId="1">
      <formula>AND(IF($Q194=3,1,0),IF($X194&lt;30,1,0))</formula>
    </cfRule>
    <cfRule type="expression" priority="4656" dxfId="0">
      <formula>AND(IF($Q194=3,1,IF($Q194=4,1,0)),IF($F194&lt;=85,1,0))</formula>
    </cfRule>
  </conditionalFormatting>
  <conditionalFormatting sqref="X194">
    <cfRule type="expression" priority="4649" dxfId="3">
      <formula>AND(IF(OR($Q194=1,$Q194=2),1,0),IF($X194&lt;=20,1,0))</formula>
    </cfRule>
    <cfRule type="expression" priority="4650" dxfId="2">
      <formula>AND(IF($Q194=2,1,0),IF($X194&lt;30,1,0))</formula>
    </cfRule>
    <cfRule type="expression" priority="4651" dxfId="1">
      <formula>AND(IF($Q194=3,1,0),IF($X194&lt;30,1,0))</formula>
    </cfRule>
    <cfRule type="expression" priority="4652" dxfId="0">
      <formula>AND(IF($Q194=3,1,IF($Q194=4,1,0)),IF($F194&lt;=85,1,0))</formula>
    </cfRule>
  </conditionalFormatting>
  <conditionalFormatting sqref="AI194">
    <cfRule type="expression" priority="4645" dxfId="3">
      <formula>AND(IF(OR($Q194=1,$Q194=2),1,0),IF($X194&lt;=20,1,0))</formula>
    </cfRule>
    <cfRule type="expression" priority="4646" dxfId="2">
      <formula>AND(IF($Q194=2,1,0),IF($X194&lt;30,1,0))</formula>
    </cfRule>
    <cfRule type="expression" priority="4647" dxfId="1">
      <formula>AND(IF($Q194=3,1,0),IF($X194&lt;30,1,0))</formula>
    </cfRule>
    <cfRule type="expression" priority="4648" dxfId="0">
      <formula>AND(IF($Q194=3,1,IF($Q194=4,1,0)),IF($F194&lt;=85,1,0))</formula>
    </cfRule>
  </conditionalFormatting>
  <conditionalFormatting sqref="AV195">
    <cfRule type="expression" priority="4643" dxfId="23">
      <formula>AV195="X"</formula>
    </cfRule>
    <cfRule type="expression" priority="4644" dxfId="22">
      <formula>AV195="후보"</formula>
    </cfRule>
  </conditionalFormatting>
  <conditionalFormatting sqref="AC1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95">
    <cfRule type="expression" priority="4635" dxfId="3">
      <formula>AND(IF(OR($Q195=1,$Q195=2),1,0),IF($X195&lt;=20,1,0))</formula>
    </cfRule>
    <cfRule type="expression" priority="4636" dxfId="2">
      <formula>AND(IF($Q195=2,1,0),IF($X195&lt;30,1,0))</formula>
    </cfRule>
    <cfRule type="expression" priority="4637" dxfId="1">
      <formula>AND(IF($Q195=3,1,0),IF($X195&lt;30,1,0))</formula>
    </cfRule>
    <cfRule type="expression" priority="4638" dxfId="0">
      <formula>AND(IF($Q195=3,1,IF($Q195=4,1,0)),IF($F195&lt;=85,1,0))</formula>
    </cfRule>
  </conditionalFormatting>
  <conditionalFormatting sqref="X195">
    <cfRule type="expression" priority="4631" dxfId="3">
      <formula>AND(IF(OR($Q195=1,$Q195=2),1,0),IF($X195&lt;=20,1,0))</formula>
    </cfRule>
    <cfRule type="expression" priority="4632" dxfId="2">
      <formula>AND(IF($Q195=2,1,0),IF($X195&lt;30,1,0))</formula>
    </cfRule>
    <cfRule type="expression" priority="4633" dxfId="1">
      <formula>AND(IF($Q195=3,1,0),IF($X195&lt;30,1,0))</formula>
    </cfRule>
    <cfRule type="expression" priority="4634" dxfId="0">
      <formula>AND(IF($Q195=3,1,IF($Q195=4,1,0)),IF($F195&lt;=85,1,0))</formula>
    </cfRule>
  </conditionalFormatting>
  <conditionalFormatting sqref="AI195">
    <cfRule type="expression" priority="4627" dxfId="3">
      <formula>AND(IF(OR($Q195=1,$Q195=2),1,0),IF($X195&lt;=20,1,0))</formula>
    </cfRule>
    <cfRule type="expression" priority="4628" dxfId="2">
      <formula>AND(IF($Q195=2,1,0),IF($X195&lt;30,1,0))</formula>
    </cfRule>
    <cfRule type="expression" priority="4629" dxfId="1">
      <formula>AND(IF($Q195=3,1,0),IF($X195&lt;30,1,0))</formula>
    </cfRule>
    <cfRule type="expression" priority="4630" dxfId="0">
      <formula>AND(IF($Q195=3,1,IF($Q195=4,1,0)),IF($F195&lt;=85,1,0))</formula>
    </cfRule>
  </conditionalFormatting>
  <conditionalFormatting sqref="AV196">
    <cfRule type="expression" priority="4625" dxfId="23">
      <formula>AV196="X"</formula>
    </cfRule>
    <cfRule type="expression" priority="4626" dxfId="22">
      <formula>AV196="후보"</formula>
    </cfRule>
  </conditionalFormatting>
  <conditionalFormatting sqref="AC1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96">
    <cfRule type="expression" priority="4617" dxfId="3">
      <formula>AND(IF(OR($Q196=1,$Q196=2),1,0),IF($X196&lt;=20,1,0))</formula>
    </cfRule>
    <cfRule type="expression" priority="4618" dxfId="2">
      <formula>AND(IF($Q196=2,1,0),IF($X196&lt;30,1,0))</formula>
    </cfRule>
    <cfRule type="expression" priority="4619" dxfId="1">
      <formula>AND(IF($Q196=3,1,0),IF($X196&lt;30,1,0))</formula>
    </cfRule>
    <cfRule type="expression" priority="4620" dxfId="0">
      <formula>AND(IF($Q196=3,1,IF($Q196=4,1,0)),IF($F196&lt;=85,1,0))</formula>
    </cfRule>
  </conditionalFormatting>
  <conditionalFormatting sqref="X196">
    <cfRule type="expression" priority="4613" dxfId="3">
      <formula>AND(IF(OR($Q196=1,$Q196=2),1,0),IF($X196&lt;=20,1,0))</formula>
    </cfRule>
    <cfRule type="expression" priority="4614" dxfId="2">
      <formula>AND(IF($Q196=2,1,0),IF($X196&lt;30,1,0))</formula>
    </cfRule>
    <cfRule type="expression" priority="4615" dxfId="1">
      <formula>AND(IF($Q196=3,1,0),IF($X196&lt;30,1,0))</formula>
    </cfRule>
    <cfRule type="expression" priority="4616" dxfId="0">
      <formula>AND(IF($Q196=3,1,IF($Q196=4,1,0)),IF($F196&lt;=85,1,0))</formula>
    </cfRule>
  </conditionalFormatting>
  <conditionalFormatting sqref="AI196">
    <cfRule type="expression" priority="4609" dxfId="3">
      <formula>AND(IF(OR($Q196=1,$Q196=2),1,0),IF($X196&lt;=20,1,0))</formula>
    </cfRule>
    <cfRule type="expression" priority="4610" dxfId="2">
      <formula>AND(IF($Q196=2,1,0),IF($X196&lt;30,1,0))</formula>
    </cfRule>
    <cfRule type="expression" priority="4611" dxfId="1">
      <formula>AND(IF($Q196=3,1,0),IF($X196&lt;30,1,0))</formula>
    </cfRule>
    <cfRule type="expression" priority="4612" dxfId="0">
      <formula>AND(IF($Q196=3,1,IF($Q196=4,1,0)),IF($F196&lt;=85,1,0))</formula>
    </cfRule>
  </conditionalFormatting>
  <conditionalFormatting sqref="AV197">
    <cfRule type="expression" priority="4607" dxfId="23">
      <formula>AV197="X"</formula>
    </cfRule>
    <cfRule type="expression" priority="4608" dxfId="22">
      <formula>AV197="후보"</formula>
    </cfRule>
  </conditionalFormatting>
  <conditionalFormatting sqref="AC1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97">
    <cfRule type="expression" priority="4599" dxfId="3">
      <formula>AND(IF(OR($Q197=1,$Q197=2),1,0),IF($X197&lt;=20,1,0))</formula>
    </cfRule>
    <cfRule type="expression" priority="4600" dxfId="2">
      <formula>AND(IF($Q197=2,1,0),IF($X197&lt;30,1,0))</formula>
    </cfRule>
    <cfRule type="expression" priority="4601" dxfId="1">
      <formula>AND(IF($Q197=3,1,0),IF($X197&lt;30,1,0))</formula>
    </cfRule>
    <cfRule type="expression" priority="4602" dxfId="0">
      <formula>AND(IF($Q197=3,1,IF($Q197=4,1,0)),IF($F197&lt;=85,1,0))</formula>
    </cfRule>
  </conditionalFormatting>
  <conditionalFormatting sqref="X197">
    <cfRule type="expression" priority="4595" dxfId="3">
      <formula>AND(IF(OR($Q197=1,$Q197=2),1,0),IF($X197&lt;=20,1,0))</formula>
    </cfRule>
    <cfRule type="expression" priority="4596" dxfId="2">
      <formula>AND(IF($Q197=2,1,0),IF($X197&lt;30,1,0))</formula>
    </cfRule>
    <cfRule type="expression" priority="4597" dxfId="1">
      <formula>AND(IF($Q197=3,1,0),IF($X197&lt;30,1,0))</formula>
    </cfRule>
    <cfRule type="expression" priority="4598" dxfId="0">
      <formula>AND(IF($Q197=3,1,IF($Q197=4,1,0)),IF($F197&lt;=85,1,0))</formula>
    </cfRule>
  </conditionalFormatting>
  <conditionalFormatting sqref="AI197">
    <cfRule type="expression" priority="4591" dxfId="3">
      <formula>AND(IF(OR($Q197=1,$Q197=2),1,0),IF($X197&lt;=20,1,0))</formula>
    </cfRule>
    <cfRule type="expression" priority="4592" dxfId="2">
      <formula>AND(IF($Q197=2,1,0),IF($X197&lt;30,1,0))</formula>
    </cfRule>
    <cfRule type="expression" priority="4593" dxfId="1">
      <formula>AND(IF($Q197=3,1,0),IF($X197&lt;30,1,0))</formula>
    </cfRule>
    <cfRule type="expression" priority="4594" dxfId="0">
      <formula>AND(IF($Q197=3,1,IF($Q197=4,1,0)),IF($F197&lt;=85,1,0))</formula>
    </cfRule>
  </conditionalFormatting>
  <conditionalFormatting sqref="AV198">
    <cfRule type="expression" priority="4589" dxfId="23">
      <formula>AV198="X"</formula>
    </cfRule>
    <cfRule type="expression" priority="4590" dxfId="22">
      <formula>AV198="후보"</formula>
    </cfRule>
  </conditionalFormatting>
  <conditionalFormatting sqref="AC1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98">
    <cfRule type="expression" priority="4581" dxfId="3">
      <formula>AND(IF(OR($Q198=1,$Q198=2),1,0),IF($X198&lt;=20,1,0))</formula>
    </cfRule>
    <cfRule type="expression" priority="4582" dxfId="2">
      <formula>AND(IF($Q198=2,1,0),IF($X198&lt;30,1,0))</formula>
    </cfRule>
    <cfRule type="expression" priority="4583" dxfId="1">
      <formula>AND(IF($Q198=3,1,0),IF($X198&lt;30,1,0))</formula>
    </cfRule>
    <cfRule type="expression" priority="4584" dxfId="0">
      <formula>AND(IF($Q198=3,1,IF($Q198=4,1,0)),IF($F198&lt;=85,1,0))</formula>
    </cfRule>
  </conditionalFormatting>
  <conditionalFormatting sqref="X198">
    <cfRule type="expression" priority="4577" dxfId="3">
      <formula>AND(IF(OR($Q198=1,$Q198=2),1,0),IF($X198&lt;=20,1,0))</formula>
    </cfRule>
    <cfRule type="expression" priority="4578" dxfId="2">
      <formula>AND(IF($Q198=2,1,0),IF($X198&lt;30,1,0))</formula>
    </cfRule>
    <cfRule type="expression" priority="4579" dxfId="1">
      <formula>AND(IF($Q198=3,1,0),IF($X198&lt;30,1,0))</formula>
    </cfRule>
    <cfRule type="expression" priority="4580" dxfId="0">
      <formula>AND(IF($Q198=3,1,IF($Q198=4,1,0)),IF($F198&lt;=85,1,0))</formula>
    </cfRule>
  </conditionalFormatting>
  <conditionalFormatting sqref="AI198">
    <cfRule type="expression" priority="4573" dxfId="3">
      <formula>AND(IF(OR($Q198=1,$Q198=2),1,0),IF($X198&lt;=20,1,0))</formula>
    </cfRule>
    <cfRule type="expression" priority="4574" dxfId="2">
      <formula>AND(IF($Q198=2,1,0),IF($X198&lt;30,1,0))</formula>
    </cfRule>
    <cfRule type="expression" priority="4575" dxfId="1">
      <formula>AND(IF($Q198=3,1,0),IF($X198&lt;30,1,0))</formula>
    </cfRule>
    <cfRule type="expression" priority="4576" dxfId="0">
      <formula>AND(IF($Q198=3,1,IF($Q198=4,1,0)),IF($F198&lt;=85,1,0))</formula>
    </cfRule>
  </conditionalFormatting>
  <conditionalFormatting sqref="AV199">
    <cfRule type="expression" priority="4571" dxfId="23">
      <formula>AV199="X"</formula>
    </cfRule>
    <cfRule type="expression" priority="4572" dxfId="22">
      <formula>AV199="후보"</formula>
    </cfRule>
  </conditionalFormatting>
  <conditionalFormatting sqref="AC1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99">
    <cfRule type="expression" priority="4563" dxfId="3">
      <formula>AND(IF(OR($Q199=1,$Q199=2),1,0),IF($X199&lt;=20,1,0))</formula>
    </cfRule>
    <cfRule type="expression" priority="4564" dxfId="2">
      <formula>AND(IF($Q199=2,1,0),IF($X199&lt;30,1,0))</formula>
    </cfRule>
    <cfRule type="expression" priority="4565" dxfId="1">
      <formula>AND(IF($Q199=3,1,0),IF($X199&lt;30,1,0))</formula>
    </cfRule>
    <cfRule type="expression" priority="4566" dxfId="0">
      <formula>AND(IF($Q199=3,1,IF($Q199=4,1,0)),IF($F199&lt;=85,1,0))</formula>
    </cfRule>
  </conditionalFormatting>
  <conditionalFormatting sqref="X199">
    <cfRule type="expression" priority="4559" dxfId="3">
      <formula>AND(IF(OR($Q199=1,$Q199=2),1,0),IF($X199&lt;=20,1,0))</formula>
    </cfRule>
    <cfRule type="expression" priority="4560" dxfId="2">
      <formula>AND(IF($Q199=2,1,0),IF($X199&lt;30,1,0))</formula>
    </cfRule>
    <cfRule type="expression" priority="4561" dxfId="1">
      <formula>AND(IF($Q199=3,1,0),IF($X199&lt;30,1,0))</formula>
    </cfRule>
    <cfRule type="expression" priority="4562" dxfId="0">
      <formula>AND(IF($Q199=3,1,IF($Q199=4,1,0)),IF($F199&lt;=85,1,0))</formula>
    </cfRule>
  </conditionalFormatting>
  <conditionalFormatting sqref="AI199">
    <cfRule type="expression" priority="4555" dxfId="3">
      <formula>AND(IF(OR($Q199=1,$Q199=2),1,0),IF($X199&lt;=20,1,0))</formula>
    </cfRule>
    <cfRule type="expression" priority="4556" dxfId="2">
      <formula>AND(IF($Q199=2,1,0),IF($X199&lt;30,1,0))</formula>
    </cfRule>
    <cfRule type="expression" priority="4557" dxfId="1">
      <formula>AND(IF($Q199=3,1,0),IF($X199&lt;30,1,0))</formula>
    </cfRule>
    <cfRule type="expression" priority="4558" dxfId="0">
      <formula>AND(IF($Q199=3,1,IF($Q199=4,1,0)),IF($F199&lt;=85,1,0))</formula>
    </cfRule>
  </conditionalFormatting>
  <conditionalFormatting sqref="AV200">
    <cfRule type="expression" priority="4553" dxfId="23">
      <formula>AV200="X"</formula>
    </cfRule>
    <cfRule type="expression" priority="4554" dxfId="22">
      <formula>AV200="후보"</formula>
    </cfRule>
  </conditionalFormatting>
  <conditionalFormatting sqref="AC2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00">
    <cfRule type="expression" priority="4545" dxfId="3">
      <formula>AND(IF(OR($Q200=1,$Q200=2),1,0),IF($X200&lt;=20,1,0))</formula>
    </cfRule>
    <cfRule type="expression" priority="4546" dxfId="2">
      <formula>AND(IF($Q200=2,1,0),IF($X200&lt;30,1,0))</formula>
    </cfRule>
    <cfRule type="expression" priority="4547" dxfId="1">
      <formula>AND(IF($Q200=3,1,0),IF($X200&lt;30,1,0))</formula>
    </cfRule>
    <cfRule type="expression" priority="4548" dxfId="0">
      <formula>AND(IF($Q200=3,1,IF($Q200=4,1,0)),IF($F200&lt;=85,1,0))</formula>
    </cfRule>
  </conditionalFormatting>
  <conditionalFormatting sqref="X200">
    <cfRule type="expression" priority="4541" dxfId="3">
      <formula>AND(IF(OR($Q200=1,$Q200=2),1,0),IF($X200&lt;=20,1,0))</formula>
    </cfRule>
    <cfRule type="expression" priority="4542" dxfId="2">
      <formula>AND(IF($Q200=2,1,0),IF($X200&lt;30,1,0))</formula>
    </cfRule>
    <cfRule type="expression" priority="4543" dxfId="1">
      <formula>AND(IF($Q200=3,1,0),IF($X200&lt;30,1,0))</formula>
    </cfRule>
    <cfRule type="expression" priority="4544" dxfId="0">
      <formula>AND(IF($Q200=3,1,IF($Q200=4,1,0)),IF($F200&lt;=85,1,0))</formula>
    </cfRule>
  </conditionalFormatting>
  <conditionalFormatting sqref="AI200">
    <cfRule type="expression" priority="4537" dxfId="3">
      <formula>AND(IF(OR($Q200=1,$Q200=2),1,0),IF($X200&lt;=20,1,0))</formula>
    </cfRule>
    <cfRule type="expression" priority="4538" dxfId="2">
      <formula>AND(IF($Q200=2,1,0),IF($X200&lt;30,1,0))</formula>
    </cfRule>
    <cfRule type="expression" priority="4539" dxfId="1">
      <formula>AND(IF($Q200=3,1,0),IF($X200&lt;30,1,0))</formula>
    </cfRule>
    <cfRule type="expression" priority="4540" dxfId="0">
      <formula>AND(IF($Q200=3,1,IF($Q200=4,1,0)),IF($F200&lt;=85,1,0))</formula>
    </cfRule>
  </conditionalFormatting>
  <conditionalFormatting sqref="AV201">
    <cfRule type="expression" priority="4535" dxfId="23">
      <formula>AV201="X"</formula>
    </cfRule>
    <cfRule type="expression" priority="4536" dxfId="22">
      <formula>AV201="후보"</formula>
    </cfRule>
  </conditionalFormatting>
  <conditionalFormatting sqref="AC2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01">
    <cfRule type="expression" priority="4527" dxfId="3">
      <formula>AND(IF(OR($Q201=1,$Q201=2),1,0),IF($X201&lt;=20,1,0))</formula>
    </cfRule>
    <cfRule type="expression" priority="4528" dxfId="2">
      <formula>AND(IF($Q201=2,1,0),IF($X201&lt;30,1,0))</formula>
    </cfRule>
    <cfRule type="expression" priority="4529" dxfId="1">
      <formula>AND(IF($Q201=3,1,0),IF($X201&lt;30,1,0))</formula>
    </cfRule>
    <cfRule type="expression" priority="4530" dxfId="0">
      <formula>AND(IF($Q201=3,1,IF($Q201=4,1,0)),IF($F201&lt;=85,1,0))</formula>
    </cfRule>
  </conditionalFormatting>
  <conditionalFormatting sqref="X201">
    <cfRule type="expression" priority="4523" dxfId="3">
      <formula>AND(IF(OR($Q201=1,$Q201=2),1,0),IF($X201&lt;=20,1,0))</formula>
    </cfRule>
    <cfRule type="expression" priority="4524" dxfId="2">
      <formula>AND(IF($Q201=2,1,0),IF($X201&lt;30,1,0))</formula>
    </cfRule>
    <cfRule type="expression" priority="4525" dxfId="1">
      <formula>AND(IF($Q201=3,1,0),IF($X201&lt;30,1,0))</formula>
    </cfRule>
    <cfRule type="expression" priority="4526" dxfId="0">
      <formula>AND(IF($Q201=3,1,IF($Q201=4,1,0)),IF($F201&lt;=85,1,0))</formula>
    </cfRule>
  </conditionalFormatting>
  <conditionalFormatting sqref="AI201">
    <cfRule type="expression" priority="4519" dxfId="3">
      <formula>AND(IF(OR($Q201=1,$Q201=2),1,0),IF($X201&lt;=20,1,0))</formula>
    </cfRule>
    <cfRule type="expression" priority="4520" dxfId="2">
      <formula>AND(IF($Q201=2,1,0),IF($X201&lt;30,1,0))</formula>
    </cfRule>
    <cfRule type="expression" priority="4521" dxfId="1">
      <formula>AND(IF($Q201=3,1,0),IF($X201&lt;30,1,0))</formula>
    </cfRule>
    <cfRule type="expression" priority="4522" dxfId="0">
      <formula>AND(IF($Q201=3,1,IF($Q201=4,1,0)),IF($F201&lt;=85,1,0))</formula>
    </cfRule>
  </conditionalFormatting>
  <conditionalFormatting sqref="AV202">
    <cfRule type="expression" priority="4517" dxfId="23">
      <formula>AV202="X"</formula>
    </cfRule>
    <cfRule type="expression" priority="4518" dxfId="22">
      <formula>AV202="후보"</formula>
    </cfRule>
  </conditionalFormatting>
  <conditionalFormatting sqref="AC2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02">
    <cfRule type="expression" priority="4509" dxfId="3">
      <formula>AND(IF(OR($Q202=1,$Q202=2),1,0),IF($X202&lt;=20,1,0))</formula>
    </cfRule>
    <cfRule type="expression" priority="4510" dxfId="2">
      <formula>AND(IF($Q202=2,1,0),IF($X202&lt;30,1,0))</formula>
    </cfRule>
    <cfRule type="expression" priority="4511" dxfId="1">
      <formula>AND(IF($Q202=3,1,0),IF($X202&lt;30,1,0))</formula>
    </cfRule>
    <cfRule type="expression" priority="4512" dxfId="0">
      <formula>AND(IF($Q202=3,1,IF($Q202=4,1,0)),IF($F202&lt;=85,1,0))</formula>
    </cfRule>
  </conditionalFormatting>
  <conditionalFormatting sqref="X202">
    <cfRule type="expression" priority="4505" dxfId="3">
      <formula>AND(IF(OR($Q202=1,$Q202=2),1,0),IF($X202&lt;=20,1,0))</formula>
    </cfRule>
    <cfRule type="expression" priority="4506" dxfId="2">
      <formula>AND(IF($Q202=2,1,0),IF($X202&lt;30,1,0))</formula>
    </cfRule>
    <cfRule type="expression" priority="4507" dxfId="1">
      <formula>AND(IF($Q202=3,1,0),IF($X202&lt;30,1,0))</formula>
    </cfRule>
    <cfRule type="expression" priority="4508" dxfId="0">
      <formula>AND(IF($Q202=3,1,IF($Q202=4,1,0)),IF($F202&lt;=85,1,0))</formula>
    </cfRule>
  </conditionalFormatting>
  <conditionalFormatting sqref="AI202">
    <cfRule type="expression" priority="4501" dxfId="3">
      <formula>AND(IF(OR($Q202=1,$Q202=2),1,0),IF($X202&lt;=20,1,0))</formula>
    </cfRule>
    <cfRule type="expression" priority="4502" dxfId="2">
      <formula>AND(IF($Q202=2,1,0),IF($X202&lt;30,1,0))</formula>
    </cfRule>
    <cfRule type="expression" priority="4503" dxfId="1">
      <formula>AND(IF($Q202=3,1,0),IF($X202&lt;30,1,0))</formula>
    </cfRule>
    <cfRule type="expression" priority="4504" dxfId="0">
      <formula>AND(IF($Q202=3,1,IF($Q202=4,1,0)),IF($F202&lt;=85,1,0))</formula>
    </cfRule>
  </conditionalFormatting>
  <conditionalFormatting sqref="AV203">
    <cfRule type="expression" priority="4499" dxfId="23">
      <formula>AV203="X"</formula>
    </cfRule>
    <cfRule type="expression" priority="4500" dxfId="22">
      <formula>AV203="후보"</formula>
    </cfRule>
  </conditionalFormatting>
  <conditionalFormatting sqref="AC2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03">
    <cfRule type="expression" priority="4491" dxfId="3">
      <formula>AND(IF(OR($Q203=1,$Q203=2),1,0),IF($X203&lt;=20,1,0))</formula>
    </cfRule>
    <cfRule type="expression" priority="4492" dxfId="2">
      <formula>AND(IF($Q203=2,1,0),IF($X203&lt;30,1,0))</formula>
    </cfRule>
    <cfRule type="expression" priority="4493" dxfId="1">
      <formula>AND(IF($Q203=3,1,0),IF($X203&lt;30,1,0))</formula>
    </cfRule>
    <cfRule type="expression" priority="4494" dxfId="0">
      <formula>AND(IF($Q203=3,1,IF($Q203=4,1,0)),IF($F203&lt;=85,1,0))</formula>
    </cfRule>
  </conditionalFormatting>
  <conditionalFormatting sqref="X203">
    <cfRule type="expression" priority="4487" dxfId="3">
      <formula>AND(IF(OR($Q203=1,$Q203=2),1,0),IF($X203&lt;=20,1,0))</formula>
    </cfRule>
    <cfRule type="expression" priority="4488" dxfId="2">
      <formula>AND(IF($Q203=2,1,0),IF($X203&lt;30,1,0))</formula>
    </cfRule>
    <cfRule type="expression" priority="4489" dxfId="1">
      <formula>AND(IF($Q203=3,1,0),IF($X203&lt;30,1,0))</formula>
    </cfRule>
    <cfRule type="expression" priority="4490" dxfId="0">
      <formula>AND(IF($Q203=3,1,IF($Q203=4,1,0)),IF($F203&lt;=85,1,0))</formula>
    </cfRule>
  </conditionalFormatting>
  <conditionalFormatting sqref="AI203">
    <cfRule type="expression" priority="4483" dxfId="3">
      <formula>AND(IF(OR($Q203=1,$Q203=2),1,0),IF($X203&lt;=20,1,0))</formula>
    </cfRule>
    <cfRule type="expression" priority="4484" dxfId="2">
      <formula>AND(IF($Q203=2,1,0),IF($X203&lt;30,1,0))</formula>
    </cfRule>
    <cfRule type="expression" priority="4485" dxfId="1">
      <formula>AND(IF($Q203=3,1,0),IF($X203&lt;30,1,0))</formula>
    </cfRule>
    <cfRule type="expression" priority="4486" dxfId="0">
      <formula>AND(IF($Q203=3,1,IF($Q203=4,1,0)),IF($F203&lt;=85,1,0))</formula>
    </cfRule>
  </conditionalFormatting>
  <conditionalFormatting sqref="AV204">
    <cfRule type="expression" priority="4481" dxfId="23">
      <formula>AV204="X"</formula>
    </cfRule>
    <cfRule type="expression" priority="4482" dxfId="22">
      <formula>AV204="후보"</formula>
    </cfRule>
  </conditionalFormatting>
  <conditionalFormatting sqref="AC2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04">
    <cfRule type="expression" priority="4473" dxfId="3">
      <formula>AND(IF(OR($Q204=1,$Q204=2),1,0),IF($X204&lt;=20,1,0))</formula>
    </cfRule>
    <cfRule type="expression" priority="4474" dxfId="2">
      <formula>AND(IF($Q204=2,1,0),IF($X204&lt;30,1,0))</formula>
    </cfRule>
    <cfRule type="expression" priority="4475" dxfId="1">
      <formula>AND(IF($Q204=3,1,0),IF($X204&lt;30,1,0))</formula>
    </cfRule>
    <cfRule type="expression" priority="4476" dxfId="0">
      <formula>AND(IF($Q204=3,1,IF($Q204=4,1,0)),IF($F204&lt;=85,1,0))</formula>
    </cfRule>
  </conditionalFormatting>
  <conditionalFormatting sqref="X204">
    <cfRule type="expression" priority="4469" dxfId="3">
      <formula>AND(IF(OR($Q204=1,$Q204=2),1,0),IF($X204&lt;=20,1,0))</formula>
    </cfRule>
    <cfRule type="expression" priority="4470" dxfId="2">
      <formula>AND(IF($Q204=2,1,0),IF($X204&lt;30,1,0))</formula>
    </cfRule>
    <cfRule type="expression" priority="4471" dxfId="1">
      <formula>AND(IF($Q204=3,1,0),IF($X204&lt;30,1,0))</formula>
    </cfRule>
    <cfRule type="expression" priority="4472" dxfId="0">
      <formula>AND(IF($Q204=3,1,IF($Q204=4,1,0)),IF($F204&lt;=85,1,0))</formula>
    </cfRule>
  </conditionalFormatting>
  <conditionalFormatting sqref="AI204">
    <cfRule type="expression" priority="4465" dxfId="3">
      <formula>AND(IF(OR($Q204=1,$Q204=2),1,0),IF($X204&lt;=20,1,0))</formula>
    </cfRule>
    <cfRule type="expression" priority="4466" dxfId="2">
      <formula>AND(IF($Q204=2,1,0),IF($X204&lt;30,1,0))</formula>
    </cfRule>
    <cfRule type="expression" priority="4467" dxfId="1">
      <formula>AND(IF($Q204=3,1,0),IF($X204&lt;30,1,0))</formula>
    </cfRule>
    <cfRule type="expression" priority="4468" dxfId="0">
      <formula>AND(IF($Q204=3,1,IF($Q204=4,1,0)),IF($F204&lt;=85,1,0))</formula>
    </cfRule>
  </conditionalFormatting>
  <conditionalFormatting sqref="AV205">
    <cfRule type="expression" priority="4463" dxfId="23">
      <formula>AV205="X"</formula>
    </cfRule>
    <cfRule type="expression" priority="4464" dxfId="22">
      <formula>AV205="후보"</formula>
    </cfRule>
  </conditionalFormatting>
  <conditionalFormatting sqref="AC2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05">
    <cfRule type="expression" priority="4455" dxfId="3">
      <formula>AND(IF(OR($Q205=1,$Q205=2),1,0),IF($X205&lt;=20,1,0))</formula>
    </cfRule>
    <cfRule type="expression" priority="4456" dxfId="2">
      <formula>AND(IF($Q205=2,1,0),IF($X205&lt;30,1,0))</formula>
    </cfRule>
    <cfRule type="expression" priority="4457" dxfId="1">
      <formula>AND(IF($Q205=3,1,0),IF($X205&lt;30,1,0))</formula>
    </cfRule>
    <cfRule type="expression" priority="4458" dxfId="0">
      <formula>AND(IF($Q205=3,1,IF($Q205=4,1,0)),IF($F205&lt;=85,1,0))</formula>
    </cfRule>
  </conditionalFormatting>
  <conditionalFormatting sqref="X205">
    <cfRule type="expression" priority="4451" dxfId="3">
      <formula>AND(IF(OR($Q205=1,$Q205=2),1,0),IF($X205&lt;=20,1,0))</formula>
    </cfRule>
    <cfRule type="expression" priority="4452" dxfId="2">
      <formula>AND(IF($Q205=2,1,0),IF($X205&lt;30,1,0))</formula>
    </cfRule>
    <cfRule type="expression" priority="4453" dxfId="1">
      <formula>AND(IF($Q205=3,1,0),IF($X205&lt;30,1,0))</formula>
    </cfRule>
    <cfRule type="expression" priority="4454" dxfId="0">
      <formula>AND(IF($Q205=3,1,IF($Q205=4,1,0)),IF($F205&lt;=85,1,0))</formula>
    </cfRule>
  </conditionalFormatting>
  <conditionalFormatting sqref="AI205">
    <cfRule type="expression" priority="4447" dxfId="3">
      <formula>AND(IF(OR($Q205=1,$Q205=2),1,0),IF($X205&lt;=20,1,0))</formula>
    </cfRule>
    <cfRule type="expression" priority="4448" dxfId="2">
      <formula>AND(IF($Q205=2,1,0),IF($X205&lt;30,1,0))</formula>
    </cfRule>
    <cfRule type="expression" priority="4449" dxfId="1">
      <formula>AND(IF($Q205=3,1,0),IF($X205&lt;30,1,0))</formula>
    </cfRule>
    <cfRule type="expression" priority="4450" dxfId="0">
      <formula>AND(IF($Q205=3,1,IF($Q205=4,1,0)),IF($F205&lt;=85,1,0))</formula>
    </cfRule>
  </conditionalFormatting>
  <conditionalFormatting sqref="AV206">
    <cfRule type="expression" priority="4445" dxfId="23">
      <formula>AV206="X"</formula>
    </cfRule>
    <cfRule type="expression" priority="4446" dxfId="22">
      <formula>AV206="후보"</formula>
    </cfRule>
  </conditionalFormatting>
  <conditionalFormatting sqref="AC2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06">
    <cfRule type="expression" priority="4437" dxfId="3">
      <formula>AND(IF(OR($Q206=1,$Q206=2),1,0),IF($X206&lt;=20,1,0))</formula>
    </cfRule>
    <cfRule type="expression" priority="4438" dxfId="2">
      <formula>AND(IF($Q206=2,1,0),IF($X206&lt;30,1,0))</formula>
    </cfRule>
    <cfRule type="expression" priority="4439" dxfId="1">
      <formula>AND(IF($Q206=3,1,0),IF($X206&lt;30,1,0))</formula>
    </cfRule>
    <cfRule type="expression" priority="4440" dxfId="0">
      <formula>AND(IF($Q206=3,1,IF($Q206=4,1,0)),IF($F206&lt;=85,1,0))</formula>
    </cfRule>
  </conditionalFormatting>
  <conditionalFormatting sqref="X206">
    <cfRule type="expression" priority="4433" dxfId="3">
      <formula>AND(IF(OR($Q206=1,$Q206=2),1,0),IF($X206&lt;=20,1,0))</formula>
    </cfRule>
    <cfRule type="expression" priority="4434" dxfId="2">
      <formula>AND(IF($Q206=2,1,0),IF($X206&lt;30,1,0))</formula>
    </cfRule>
    <cfRule type="expression" priority="4435" dxfId="1">
      <formula>AND(IF($Q206=3,1,0),IF($X206&lt;30,1,0))</formula>
    </cfRule>
    <cfRule type="expression" priority="4436" dxfId="0">
      <formula>AND(IF($Q206=3,1,IF($Q206=4,1,0)),IF($F206&lt;=85,1,0))</formula>
    </cfRule>
  </conditionalFormatting>
  <conditionalFormatting sqref="AI206">
    <cfRule type="expression" priority="4429" dxfId="3">
      <formula>AND(IF(OR($Q206=1,$Q206=2),1,0),IF($X206&lt;=20,1,0))</formula>
    </cfRule>
    <cfRule type="expression" priority="4430" dxfId="2">
      <formula>AND(IF($Q206=2,1,0),IF($X206&lt;30,1,0))</formula>
    </cfRule>
    <cfRule type="expression" priority="4431" dxfId="1">
      <formula>AND(IF($Q206=3,1,0),IF($X206&lt;30,1,0))</formula>
    </cfRule>
    <cfRule type="expression" priority="4432" dxfId="0">
      <formula>AND(IF($Q206=3,1,IF($Q206=4,1,0)),IF($F206&lt;=85,1,0))</formula>
    </cfRule>
  </conditionalFormatting>
  <conditionalFormatting sqref="AV207">
    <cfRule type="expression" priority="4427" dxfId="23">
      <formula>AV207="X"</formula>
    </cfRule>
    <cfRule type="expression" priority="4428" dxfId="22">
      <formula>AV207="후보"</formula>
    </cfRule>
  </conditionalFormatting>
  <conditionalFormatting sqref="AC2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07">
    <cfRule type="expression" priority="4419" dxfId="3">
      <formula>AND(IF(OR($Q207=1,$Q207=2),1,0),IF($X207&lt;=20,1,0))</formula>
    </cfRule>
    <cfRule type="expression" priority="4420" dxfId="2">
      <formula>AND(IF($Q207=2,1,0),IF($X207&lt;30,1,0))</formula>
    </cfRule>
    <cfRule type="expression" priority="4421" dxfId="1">
      <formula>AND(IF($Q207=3,1,0),IF($X207&lt;30,1,0))</formula>
    </cfRule>
    <cfRule type="expression" priority="4422" dxfId="0">
      <formula>AND(IF($Q207=3,1,IF($Q207=4,1,0)),IF($F207&lt;=85,1,0))</formula>
    </cfRule>
  </conditionalFormatting>
  <conditionalFormatting sqref="X207">
    <cfRule type="expression" priority="4415" dxfId="3">
      <formula>AND(IF(OR($Q207=1,$Q207=2),1,0),IF($X207&lt;=20,1,0))</formula>
    </cfRule>
    <cfRule type="expression" priority="4416" dxfId="2">
      <formula>AND(IF($Q207=2,1,0),IF($X207&lt;30,1,0))</formula>
    </cfRule>
    <cfRule type="expression" priority="4417" dxfId="1">
      <formula>AND(IF($Q207=3,1,0),IF($X207&lt;30,1,0))</formula>
    </cfRule>
    <cfRule type="expression" priority="4418" dxfId="0">
      <formula>AND(IF($Q207=3,1,IF($Q207=4,1,0)),IF($F207&lt;=85,1,0))</formula>
    </cfRule>
  </conditionalFormatting>
  <conditionalFormatting sqref="AI207">
    <cfRule type="expression" priority="4411" dxfId="3">
      <formula>AND(IF(OR($Q207=1,$Q207=2),1,0),IF($X207&lt;=20,1,0))</formula>
    </cfRule>
    <cfRule type="expression" priority="4412" dxfId="2">
      <formula>AND(IF($Q207=2,1,0),IF($X207&lt;30,1,0))</formula>
    </cfRule>
    <cfRule type="expression" priority="4413" dxfId="1">
      <formula>AND(IF($Q207=3,1,0),IF($X207&lt;30,1,0))</formula>
    </cfRule>
    <cfRule type="expression" priority="4414" dxfId="0">
      <formula>AND(IF($Q207=3,1,IF($Q207=4,1,0)),IF($F207&lt;=85,1,0))</formula>
    </cfRule>
  </conditionalFormatting>
  <conditionalFormatting sqref="AV208">
    <cfRule type="expression" priority="4409" dxfId="23">
      <formula>AV208="X"</formula>
    </cfRule>
    <cfRule type="expression" priority="4410" dxfId="22">
      <formula>AV208="후보"</formula>
    </cfRule>
  </conditionalFormatting>
  <conditionalFormatting sqref="AC2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08">
    <cfRule type="expression" priority="4401" dxfId="3">
      <formula>AND(IF(OR($Q208=1,$Q208=2),1,0),IF($X208&lt;=20,1,0))</formula>
    </cfRule>
    <cfRule type="expression" priority="4402" dxfId="2">
      <formula>AND(IF($Q208=2,1,0),IF($X208&lt;30,1,0))</formula>
    </cfRule>
    <cfRule type="expression" priority="4403" dxfId="1">
      <formula>AND(IF($Q208=3,1,0),IF($X208&lt;30,1,0))</formula>
    </cfRule>
    <cfRule type="expression" priority="4404" dxfId="0">
      <formula>AND(IF($Q208=3,1,IF($Q208=4,1,0)),IF($F208&lt;=85,1,0))</formula>
    </cfRule>
  </conditionalFormatting>
  <conditionalFormatting sqref="X208">
    <cfRule type="expression" priority="4397" dxfId="3">
      <formula>AND(IF(OR($Q208=1,$Q208=2),1,0),IF($X208&lt;=20,1,0))</formula>
    </cfRule>
    <cfRule type="expression" priority="4398" dxfId="2">
      <formula>AND(IF($Q208=2,1,0),IF($X208&lt;30,1,0))</formula>
    </cfRule>
    <cfRule type="expression" priority="4399" dxfId="1">
      <formula>AND(IF($Q208=3,1,0),IF($X208&lt;30,1,0))</formula>
    </cfRule>
    <cfRule type="expression" priority="4400" dxfId="0">
      <formula>AND(IF($Q208=3,1,IF($Q208=4,1,0)),IF($F208&lt;=85,1,0))</formula>
    </cfRule>
  </conditionalFormatting>
  <conditionalFormatting sqref="AI208">
    <cfRule type="expression" priority="4393" dxfId="3">
      <formula>AND(IF(OR($Q208=1,$Q208=2),1,0),IF($X208&lt;=20,1,0))</formula>
    </cfRule>
    <cfRule type="expression" priority="4394" dxfId="2">
      <formula>AND(IF($Q208=2,1,0),IF($X208&lt;30,1,0))</formula>
    </cfRule>
    <cfRule type="expression" priority="4395" dxfId="1">
      <formula>AND(IF($Q208=3,1,0),IF($X208&lt;30,1,0))</formula>
    </cfRule>
    <cfRule type="expression" priority="4396" dxfId="0">
      <formula>AND(IF($Q208=3,1,IF($Q208=4,1,0)),IF($F208&lt;=85,1,0))</formula>
    </cfRule>
  </conditionalFormatting>
  <conditionalFormatting sqref="AV209">
    <cfRule type="expression" priority="4391" dxfId="23">
      <formula>AV209="X"</formula>
    </cfRule>
    <cfRule type="expression" priority="4392" dxfId="22">
      <formula>AV209="후보"</formula>
    </cfRule>
  </conditionalFormatting>
  <conditionalFormatting sqref="AC2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09">
    <cfRule type="expression" priority="4383" dxfId="3">
      <formula>AND(IF(OR($Q209=1,$Q209=2),1,0),IF($X209&lt;=20,1,0))</formula>
    </cfRule>
    <cfRule type="expression" priority="4384" dxfId="2">
      <formula>AND(IF($Q209=2,1,0),IF($X209&lt;30,1,0))</formula>
    </cfRule>
    <cfRule type="expression" priority="4385" dxfId="1">
      <formula>AND(IF($Q209=3,1,0),IF($X209&lt;30,1,0))</formula>
    </cfRule>
    <cfRule type="expression" priority="4386" dxfId="0">
      <formula>AND(IF($Q209=3,1,IF($Q209=4,1,0)),IF($F209&lt;=85,1,0))</formula>
    </cfRule>
  </conditionalFormatting>
  <conditionalFormatting sqref="X209">
    <cfRule type="expression" priority="4379" dxfId="3">
      <formula>AND(IF(OR($Q209=1,$Q209=2),1,0),IF($X209&lt;=20,1,0))</formula>
    </cfRule>
    <cfRule type="expression" priority="4380" dxfId="2">
      <formula>AND(IF($Q209=2,1,0),IF($X209&lt;30,1,0))</formula>
    </cfRule>
    <cfRule type="expression" priority="4381" dxfId="1">
      <formula>AND(IF($Q209=3,1,0),IF($X209&lt;30,1,0))</formula>
    </cfRule>
    <cfRule type="expression" priority="4382" dxfId="0">
      <formula>AND(IF($Q209=3,1,IF($Q209=4,1,0)),IF($F209&lt;=85,1,0))</formula>
    </cfRule>
  </conditionalFormatting>
  <conditionalFormatting sqref="AI209">
    <cfRule type="expression" priority="4375" dxfId="3">
      <formula>AND(IF(OR($Q209=1,$Q209=2),1,0),IF($X209&lt;=20,1,0))</formula>
    </cfRule>
    <cfRule type="expression" priority="4376" dxfId="2">
      <formula>AND(IF($Q209=2,1,0),IF($X209&lt;30,1,0))</formula>
    </cfRule>
    <cfRule type="expression" priority="4377" dxfId="1">
      <formula>AND(IF($Q209=3,1,0),IF($X209&lt;30,1,0))</formula>
    </cfRule>
    <cfRule type="expression" priority="4378" dxfId="0">
      <formula>AND(IF($Q209=3,1,IF($Q209=4,1,0)),IF($F209&lt;=85,1,0))</formula>
    </cfRule>
  </conditionalFormatting>
  <conditionalFormatting sqref="AV210">
    <cfRule type="expression" priority="4373" dxfId="23">
      <formula>AV210="X"</formula>
    </cfRule>
    <cfRule type="expression" priority="4374" dxfId="22">
      <formula>AV210="후보"</formula>
    </cfRule>
  </conditionalFormatting>
  <conditionalFormatting sqref="AC2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10">
    <cfRule type="expression" priority="4365" dxfId="3">
      <formula>AND(IF(OR($Q210=1,$Q210=2),1,0),IF($X210&lt;=20,1,0))</formula>
    </cfRule>
    <cfRule type="expression" priority="4366" dxfId="2">
      <formula>AND(IF($Q210=2,1,0),IF($X210&lt;30,1,0))</formula>
    </cfRule>
    <cfRule type="expression" priority="4367" dxfId="1">
      <formula>AND(IF($Q210=3,1,0),IF($X210&lt;30,1,0))</formula>
    </cfRule>
    <cfRule type="expression" priority="4368" dxfId="0">
      <formula>AND(IF($Q210=3,1,IF($Q210=4,1,0)),IF($F210&lt;=85,1,0))</formula>
    </cfRule>
  </conditionalFormatting>
  <conditionalFormatting sqref="X210">
    <cfRule type="expression" priority="4361" dxfId="3">
      <formula>AND(IF(OR($Q210=1,$Q210=2),1,0),IF($X210&lt;=20,1,0))</formula>
    </cfRule>
    <cfRule type="expression" priority="4362" dxfId="2">
      <formula>AND(IF($Q210=2,1,0),IF($X210&lt;30,1,0))</formula>
    </cfRule>
    <cfRule type="expression" priority="4363" dxfId="1">
      <formula>AND(IF($Q210=3,1,0),IF($X210&lt;30,1,0))</formula>
    </cfRule>
    <cfRule type="expression" priority="4364" dxfId="0">
      <formula>AND(IF($Q210=3,1,IF($Q210=4,1,0)),IF($F210&lt;=85,1,0))</formula>
    </cfRule>
  </conditionalFormatting>
  <conditionalFormatting sqref="AI210">
    <cfRule type="expression" priority="4357" dxfId="3">
      <formula>AND(IF(OR($Q210=1,$Q210=2),1,0),IF($X210&lt;=20,1,0))</formula>
    </cfRule>
    <cfRule type="expression" priority="4358" dxfId="2">
      <formula>AND(IF($Q210=2,1,0),IF($X210&lt;30,1,0))</formula>
    </cfRule>
    <cfRule type="expression" priority="4359" dxfId="1">
      <formula>AND(IF($Q210=3,1,0),IF($X210&lt;30,1,0))</formula>
    </cfRule>
    <cfRule type="expression" priority="4360" dxfId="0">
      <formula>AND(IF($Q210=3,1,IF($Q210=4,1,0)),IF($F210&lt;=85,1,0))</formula>
    </cfRule>
  </conditionalFormatting>
  <conditionalFormatting sqref="AV211">
    <cfRule type="expression" priority="4355" dxfId="23">
      <formula>AV211="X"</formula>
    </cfRule>
    <cfRule type="expression" priority="4356" dxfId="22">
      <formula>AV211="후보"</formula>
    </cfRule>
  </conditionalFormatting>
  <conditionalFormatting sqref="AC2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11">
    <cfRule type="expression" priority="4347" dxfId="3">
      <formula>AND(IF(OR($Q211=1,$Q211=2),1,0),IF($X211&lt;=20,1,0))</formula>
    </cfRule>
    <cfRule type="expression" priority="4348" dxfId="2">
      <formula>AND(IF($Q211=2,1,0),IF($X211&lt;30,1,0))</formula>
    </cfRule>
    <cfRule type="expression" priority="4349" dxfId="1">
      <formula>AND(IF($Q211=3,1,0),IF($X211&lt;30,1,0))</formula>
    </cfRule>
    <cfRule type="expression" priority="4350" dxfId="0">
      <formula>AND(IF($Q211=3,1,IF($Q211=4,1,0)),IF($F211&lt;=85,1,0))</formula>
    </cfRule>
  </conditionalFormatting>
  <conditionalFormatting sqref="X211">
    <cfRule type="expression" priority="4343" dxfId="3">
      <formula>AND(IF(OR($Q211=1,$Q211=2),1,0),IF($X211&lt;=20,1,0))</formula>
    </cfRule>
    <cfRule type="expression" priority="4344" dxfId="2">
      <formula>AND(IF($Q211=2,1,0),IF($X211&lt;30,1,0))</formula>
    </cfRule>
    <cfRule type="expression" priority="4345" dxfId="1">
      <formula>AND(IF($Q211=3,1,0),IF($X211&lt;30,1,0))</formula>
    </cfRule>
    <cfRule type="expression" priority="4346" dxfId="0">
      <formula>AND(IF($Q211=3,1,IF($Q211=4,1,0)),IF($F211&lt;=85,1,0))</formula>
    </cfRule>
  </conditionalFormatting>
  <conditionalFormatting sqref="AI211">
    <cfRule type="expression" priority="4339" dxfId="3">
      <formula>AND(IF(OR($Q211=1,$Q211=2),1,0),IF($X211&lt;=20,1,0))</formula>
    </cfRule>
    <cfRule type="expression" priority="4340" dxfId="2">
      <formula>AND(IF($Q211=2,1,0),IF($X211&lt;30,1,0))</formula>
    </cfRule>
    <cfRule type="expression" priority="4341" dxfId="1">
      <formula>AND(IF($Q211=3,1,0),IF($X211&lt;30,1,0))</formula>
    </cfRule>
    <cfRule type="expression" priority="4342" dxfId="0">
      <formula>AND(IF($Q211=3,1,IF($Q211=4,1,0)),IF($F211&lt;=85,1,0))</formula>
    </cfRule>
  </conditionalFormatting>
  <conditionalFormatting sqref="AV212">
    <cfRule type="expression" priority="4337" dxfId="23">
      <formula>AV212="X"</formula>
    </cfRule>
    <cfRule type="expression" priority="4338" dxfId="22">
      <formula>AV212="후보"</formula>
    </cfRule>
  </conditionalFormatting>
  <conditionalFormatting sqref="AC2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12">
    <cfRule type="expression" priority="4329" dxfId="3">
      <formula>AND(IF(OR($Q212=1,$Q212=2),1,0),IF($X212&lt;=20,1,0))</formula>
    </cfRule>
    <cfRule type="expression" priority="4330" dxfId="2">
      <formula>AND(IF($Q212=2,1,0),IF($X212&lt;30,1,0))</formula>
    </cfRule>
    <cfRule type="expression" priority="4331" dxfId="1">
      <formula>AND(IF($Q212=3,1,0),IF($X212&lt;30,1,0))</formula>
    </cfRule>
    <cfRule type="expression" priority="4332" dxfId="0">
      <formula>AND(IF($Q212=3,1,IF($Q212=4,1,0)),IF($F212&lt;=85,1,0))</formula>
    </cfRule>
  </conditionalFormatting>
  <conditionalFormatting sqref="X212">
    <cfRule type="expression" priority="4325" dxfId="3">
      <formula>AND(IF(OR($Q212=1,$Q212=2),1,0),IF($X212&lt;=20,1,0))</formula>
    </cfRule>
    <cfRule type="expression" priority="4326" dxfId="2">
      <formula>AND(IF($Q212=2,1,0),IF($X212&lt;30,1,0))</formula>
    </cfRule>
    <cfRule type="expression" priority="4327" dxfId="1">
      <formula>AND(IF($Q212=3,1,0),IF($X212&lt;30,1,0))</formula>
    </cfRule>
    <cfRule type="expression" priority="4328" dxfId="0">
      <formula>AND(IF($Q212=3,1,IF($Q212=4,1,0)),IF($F212&lt;=85,1,0))</formula>
    </cfRule>
  </conditionalFormatting>
  <conditionalFormatting sqref="AI212">
    <cfRule type="expression" priority="4321" dxfId="3">
      <formula>AND(IF(OR($Q212=1,$Q212=2),1,0),IF($X212&lt;=20,1,0))</formula>
    </cfRule>
    <cfRule type="expression" priority="4322" dxfId="2">
      <formula>AND(IF($Q212=2,1,0),IF($X212&lt;30,1,0))</formula>
    </cfRule>
    <cfRule type="expression" priority="4323" dxfId="1">
      <formula>AND(IF($Q212=3,1,0),IF($X212&lt;30,1,0))</formula>
    </cfRule>
    <cfRule type="expression" priority="4324" dxfId="0">
      <formula>AND(IF($Q212=3,1,IF($Q212=4,1,0)),IF($F212&lt;=85,1,0))</formula>
    </cfRule>
  </conditionalFormatting>
  <conditionalFormatting sqref="AV213">
    <cfRule type="expression" priority="4319" dxfId="23">
      <formula>AV213="X"</formula>
    </cfRule>
    <cfRule type="expression" priority="4320" dxfId="22">
      <formula>AV213="후보"</formula>
    </cfRule>
  </conditionalFormatting>
  <conditionalFormatting sqref="AC2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13">
    <cfRule type="expression" priority="4311" dxfId="3">
      <formula>AND(IF(OR($Q213=1,$Q213=2),1,0),IF($X213&lt;=20,1,0))</formula>
    </cfRule>
    <cfRule type="expression" priority="4312" dxfId="2">
      <formula>AND(IF($Q213=2,1,0),IF($X213&lt;30,1,0))</formula>
    </cfRule>
    <cfRule type="expression" priority="4313" dxfId="1">
      <formula>AND(IF($Q213=3,1,0),IF($X213&lt;30,1,0))</formula>
    </cfRule>
    <cfRule type="expression" priority="4314" dxfId="0">
      <formula>AND(IF($Q213=3,1,IF($Q213=4,1,0)),IF($F213&lt;=85,1,0))</formula>
    </cfRule>
  </conditionalFormatting>
  <conditionalFormatting sqref="X213">
    <cfRule type="expression" priority="4307" dxfId="3">
      <formula>AND(IF(OR($Q213=1,$Q213=2),1,0),IF($X213&lt;=20,1,0))</formula>
    </cfRule>
    <cfRule type="expression" priority="4308" dxfId="2">
      <formula>AND(IF($Q213=2,1,0),IF($X213&lt;30,1,0))</formula>
    </cfRule>
    <cfRule type="expression" priority="4309" dxfId="1">
      <formula>AND(IF($Q213=3,1,0),IF($X213&lt;30,1,0))</formula>
    </cfRule>
    <cfRule type="expression" priority="4310" dxfId="0">
      <formula>AND(IF($Q213=3,1,IF($Q213=4,1,0)),IF($F213&lt;=85,1,0))</formula>
    </cfRule>
  </conditionalFormatting>
  <conditionalFormatting sqref="AI213">
    <cfRule type="expression" priority="4303" dxfId="3">
      <formula>AND(IF(OR($Q213=1,$Q213=2),1,0),IF($X213&lt;=20,1,0))</formula>
    </cfRule>
    <cfRule type="expression" priority="4304" dxfId="2">
      <formula>AND(IF($Q213=2,1,0),IF($X213&lt;30,1,0))</formula>
    </cfRule>
    <cfRule type="expression" priority="4305" dxfId="1">
      <formula>AND(IF($Q213=3,1,0),IF($X213&lt;30,1,0))</formula>
    </cfRule>
    <cfRule type="expression" priority="4306" dxfId="0">
      <formula>AND(IF($Q213=3,1,IF($Q213=4,1,0)),IF($F213&lt;=85,1,0))</formula>
    </cfRule>
  </conditionalFormatting>
  <conditionalFormatting sqref="AV214">
    <cfRule type="expression" priority="4301" dxfId="23">
      <formula>AV214="X"</formula>
    </cfRule>
    <cfRule type="expression" priority="4302" dxfId="22">
      <formula>AV214="후보"</formula>
    </cfRule>
  </conditionalFormatting>
  <conditionalFormatting sqref="AC2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14">
    <cfRule type="expression" priority="4293" dxfId="3">
      <formula>AND(IF(OR($Q214=1,$Q214=2),1,0),IF($X214&lt;=20,1,0))</formula>
    </cfRule>
    <cfRule type="expression" priority="4294" dxfId="2">
      <formula>AND(IF($Q214=2,1,0),IF($X214&lt;30,1,0))</formula>
    </cfRule>
    <cfRule type="expression" priority="4295" dxfId="1">
      <formula>AND(IF($Q214=3,1,0),IF($X214&lt;30,1,0))</formula>
    </cfRule>
    <cfRule type="expression" priority="4296" dxfId="0">
      <formula>AND(IF($Q214=3,1,IF($Q214=4,1,0)),IF($F214&lt;=85,1,0))</formula>
    </cfRule>
  </conditionalFormatting>
  <conditionalFormatting sqref="X214">
    <cfRule type="expression" priority="4289" dxfId="3">
      <formula>AND(IF(OR($Q214=1,$Q214=2),1,0),IF($X214&lt;=20,1,0))</formula>
    </cfRule>
    <cfRule type="expression" priority="4290" dxfId="2">
      <formula>AND(IF($Q214=2,1,0),IF($X214&lt;30,1,0))</formula>
    </cfRule>
    <cfRule type="expression" priority="4291" dxfId="1">
      <formula>AND(IF($Q214=3,1,0),IF($X214&lt;30,1,0))</formula>
    </cfRule>
    <cfRule type="expression" priority="4292" dxfId="0">
      <formula>AND(IF($Q214=3,1,IF($Q214=4,1,0)),IF($F214&lt;=85,1,0))</formula>
    </cfRule>
  </conditionalFormatting>
  <conditionalFormatting sqref="AI214">
    <cfRule type="expression" priority="4285" dxfId="3">
      <formula>AND(IF(OR($Q214=1,$Q214=2),1,0),IF($X214&lt;=20,1,0))</formula>
    </cfRule>
    <cfRule type="expression" priority="4286" dxfId="2">
      <formula>AND(IF($Q214=2,1,0),IF($X214&lt;30,1,0))</formula>
    </cfRule>
    <cfRule type="expression" priority="4287" dxfId="1">
      <formula>AND(IF($Q214=3,1,0),IF($X214&lt;30,1,0))</formula>
    </cfRule>
    <cfRule type="expression" priority="4288" dxfId="0">
      <formula>AND(IF($Q214=3,1,IF($Q214=4,1,0)),IF($F214&lt;=85,1,0))</formula>
    </cfRule>
  </conditionalFormatting>
  <conditionalFormatting sqref="AV215">
    <cfRule type="expression" priority="4283" dxfId="23">
      <formula>AV215="X"</formula>
    </cfRule>
    <cfRule type="expression" priority="4284" dxfId="22">
      <formula>AV215="후보"</formula>
    </cfRule>
  </conditionalFormatting>
  <conditionalFormatting sqref="AC2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15">
    <cfRule type="expression" priority="4275" dxfId="3">
      <formula>AND(IF(OR($Q215=1,$Q215=2),1,0),IF($X215&lt;=20,1,0))</formula>
    </cfRule>
    <cfRule type="expression" priority="4276" dxfId="2">
      <formula>AND(IF($Q215=2,1,0),IF($X215&lt;30,1,0))</formula>
    </cfRule>
    <cfRule type="expression" priority="4277" dxfId="1">
      <formula>AND(IF($Q215=3,1,0),IF($X215&lt;30,1,0))</formula>
    </cfRule>
    <cfRule type="expression" priority="4278" dxfId="0">
      <formula>AND(IF($Q215=3,1,IF($Q215=4,1,0)),IF($F215&lt;=85,1,0))</formula>
    </cfRule>
  </conditionalFormatting>
  <conditionalFormatting sqref="X215">
    <cfRule type="expression" priority="4271" dxfId="3">
      <formula>AND(IF(OR($Q215=1,$Q215=2),1,0),IF($X215&lt;=20,1,0))</formula>
    </cfRule>
    <cfRule type="expression" priority="4272" dxfId="2">
      <formula>AND(IF($Q215=2,1,0),IF($X215&lt;30,1,0))</formula>
    </cfRule>
    <cfRule type="expression" priority="4273" dxfId="1">
      <formula>AND(IF($Q215=3,1,0),IF($X215&lt;30,1,0))</formula>
    </cfRule>
    <cfRule type="expression" priority="4274" dxfId="0">
      <formula>AND(IF($Q215=3,1,IF($Q215=4,1,0)),IF($F215&lt;=85,1,0))</formula>
    </cfRule>
  </conditionalFormatting>
  <conditionalFormatting sqref="AI215">
    <cfRule type="expression" priority="4267" dxfId="3">
      <formula>AND(IF(OR($Q215=1,$Q215=2),1,0),IF($X215&lt;=20,1,0))</formula>
    </cfRule>
    <cfRule type="expression" priority="4268" dxfId="2">
      <formula>AND(IF($Q215=2,1,0),IF($X215&lt;30,1,0))</formula>
    </cfRule>
    <cfRule type="expression" priority="4269" dxfId="1">
      <formula>AND(IF($Q215=3,1,0),IF($X215&lt;30,1,0))</formula>
    </cfRule>
    <cfRule type="expression" priority="4270" dxfId="0">
      <formula>AND(IF($Q215=3,1,IF($Q215=4,1,0)),IF($F215&lt;=85,1,0))</formula>
    </cfRule>
  </conditionalFormatting>
  <conditionalFormatting sqref="AV216">
    <cfRule type="expression" priority="4265" dxfId="23">
      <formula>AV216="X"</formula>
    </cfRule>
    <cfRule type="expression" priority="4266" dxfId="22">
      <formula>AV216="후보"</formula>
    </cfRule>
  </conditionalFormatting>
  <conditionalFormatting sqref="AC2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16">
    <cfRule type="expression" priority="4257" dxfId="3">
      <formula>AND(IF(OR($Q216=1,$Q216=2),1,0),IF($X216&lt;=20,1,0))</formula>
    </cfRule>
    <cfRule type="expression" priority="4258" dxfId="2">
      <formula>AND(IF($Q216=2,1,0),IF($X216&lt;30,1,0))</formula>
    </cfRule>
    <cfRule type="expression" priority="4259" dxfId="1">
      <formula>AND(IF($Q216=3,1,0),IF($X216&lt;30,1,0))</formula>
    </cfRule>
    <cfRule type="expression" priority="4260" dxfId="0">
      <formula>AND(IF($Q216=3,1,IF($Q216=4,1,0)),IF($F216&lt;=85,1,0))</formula>
    </cfRule>
  </conditionalFormatting>
  <conditionalFormatting sqref="X216">
    <cfRule type="expression" priority="4253" dxfId="3">
      <formula>AND(IF(OR($Q216=1,$Q216=2),1,0),IF($X216&lt;=20,1,0))</formula>
    </cfRule>
    <cfRule type="expression" priority="4254" dxfId="2">
      <formula>AND(IF($Q216=2,1,0),IF($X216&lt;30,1,0))</formula>
    </cfRule>
    <cfRule type="expression" priority="4255" dxfId="1">
      <formula>AND(IF($Q216=3,1,0),IF($X216&lt;30,1,0))</formula>
    </cfRule>
    <cfRule type="expression" priority="4256" dxfId="0">
      <formula>AND(IF($Q216=3,1,IF($Q216=4,1,0)),IF($F216&lt;=85,1,0))</formula>
    </cfRule>
  </conditionalFormatting>
  <conditionalFormatting sqref="AI216">
    <cfRule type="expression" priority="4249" dxfId="3">
      <formula>AND(IF(OR($Q216=1,$Q216=2),1,0),IF($X216&lt;=20,1,0))</formula>
    </cfRule>
    <cfRule type="expression" priority="4250" dxfId="2">
      <formula>AND(IF($Q216=2,1,0),IF($X216&lt;30,1,0))</formula>
    </cfRule>
    <cfRule type="expression" priority="4251" dxfId="1">
      <formula>AND(IF($Q216=3,1,0),IF($X216&lt;30,1,0))</formula>
    </cfRule>
    <cfRule type="expression" priority="4252" dxfId="0">
      <formula>AND(IF($Q216=3,1,IF($Q216=4,1,0)),IF($F216&lt;=85,1,0))</formula>
    </cfRule>
  </conditionalFormatting>
  <conditionalFormatting sqref="AV217">
    <cfRule type="expression" priority="4247" dxfId="23">
      <formula>AV217="X"</formula>
    </cfRule>
    <cfRule type="expression" priority="4248" dxfId="22">
      <formula>AV217="후보"</formula>
    </cfRule>
  </conditionalFormatting>
  <conditionalFormatting sqref="AC2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17">
    <cfRule type="expression" priority="4239" dxfId="3">
      <formula>AND(IF(OR($Q217=1,$Q217=2),1,0),IF($X217&lt;=20,1,0))</formula>
    </cfRule>
    <cfRule type="expression" priority="4240" dxfId="2">
      <formula>AND(IF($Q217=2,1,0),IF($X217&lt;30,1,0))</formula>
    </cfRule>
    <cfRule type="expression" priority="4241" dxfId="1">
      <formula>AND(IF($Q217=3,1,0),IF($X217&lt;30,1,0))</formula>
    </cfRule>
    <cfRule type="expression" priority="4242" dxfId="0">
      <formula>AND(IF($Q217=3,1,IF($Q217=4,1,0)),IF($F217&lt;=85,1,0))</formula>
    </cfRule>
  </conditionalFormatting>
  <conditionalFormatting sqref="X217">
    <cfRule type="expression" priority="4235" dxfId="3">
      <formula>AND(IF(OR($Q217=1,$Q217=2),1,0),IF($X217&lt;=20,1,0))</formula>
    </cfRule>
    <cfRule type="expression" priority="4236" dxfId="2">
      <formula>AND(IF($Q217=2,1,0),IF($X217&lt;30,1,0))</formula>
    </cfRule>
    <cfRule type="expression" priority="4237" dxfId="1">
      <formula>AND(IF($Q217=3,1,0),IF($X217&lt;30,1,0))</formula>
    </cfRule>
    <cfRule type="expression" priority="4238" dxfId="0">
      <formula>AND(IF($Q217=3,1,IF($Q217=4,1,0)),IF($F217&lt;=85,1,0))</formula>
    </cfRule>
  </conditionalFormatting>
  <conditionalFormatting sqref="AI217">
    <cfRule type="expression" priority="4231" dxfId="3">
      <formula>AND(IF(OR($Q217=1,$Q217=2),1,0),IF($X217&lt;=20,1,0))</formula>
    </cfRule>
    <cfRule type="expression" priority="4232" dxfId="2">
      <formula>AND(IF($Q217=2,1,0),IF($X217&lt;30,1,0))</formula>
    </cfRule>
    <cfRule type="expression" priority="4233" dxfId="1">
      <formula>AND(IF($Q217=3,1,0),IF($X217&lt;30,1,0))</formula>
    </cfRule>
    <cfRule type="expression" priority="4234" dxfId="0">
      <formula>AND(IF($Q217=3,1,IF($Q217=4,1,0)),IF($F217&lt;=85,1,0))</formula>
    </cfRule>
  </conditionalFormatting>
  <conditionalFormatting sqref="AV218">
    <cfRule type="expression" priority="4229" dxfId="23">
      <formula>AV218="X"</formula>
    </cfRule>
    <cfRule type="expression" priority="4230" dxfId="22">
      <formula>AV218="후보"</formula>
    </cfRule>
  </conditionalFormatting>
  <conditionalFormatting sqref="AC2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18">
    <cfRule type="expression" priority="4221" dxfId="3">
      <formula>AND(IF(OR($Q218=1,$Q218=2),1,0),IF($X218&lt;=20,1,0))</formula>
    </cfRule>
    <cfRule type="expression" priority="4222" dxfId="2">
      <formula>AND(IF($Q218=2,1,0),IF($X218&lt;30,1,0))</formula>
    </cfRule>
    <cfRule type="expression" priority="4223" dxfId="1">
      <formula>AND(IF($Q218=3,1,0),IF($X218&lt;30,1,0))</formula>
    </cfRule>
    <cfRule type="expression" priority="4224" dxfId="0">
      <formula>AND(IF($Q218=3,1,IF($Q218=4,1,0)),IF($F218&lt;=85,1,0))</formula>
    </cfRule>
  </conditionalFormatting>
  <conditionalFormatting sqref="X218">
    <cfRule type="expression" priority="4217" dxfId="3">
      <formula>AND(IF(OR($Q218=1,$Q218=2),1,0),IF($X218&lt;=20,1,0))</formula>
    </cfRule>
    <cfRule type="expression" priority="4218" dxfId="2">
      <formula>AND(IF($Q218=2,1,0),IF($X218&lt;30,1,0))</formula>
    </cfRule>
    <cfRule type="expression" priority="4219" dxfId="1">
      <formula>AND(IF($Q218=3,1,0),IF($X218&lt;30,1,0))</formula>
    </cfRule>
    <cfRule type="expression" priority="4220" dxfId="0">
      <formula>AND(IF($Q218=3,1,IF($Q218=4,1,0)),IF($F218&lt;=85,1,0))</formula>
    </cfRule>
  </conditionalFormatting>
  <conditionalFormatting sqref="AI218">
    <cfRule type="expression" priority="4213" dxfId="3">
      <formula>AND(IF(OR($Q218=1,$Q218=2),1,0),IF($X218&lt;=20,1,0))</formula>
    </cfRule>
    <cfRule type="expression" priority="4214" dxfId="2">
      <formula>AND(IF($Q218=2,1,0),IF($X218&lt;30,1,0))</formula>
    </cfRule>
    <cfRule type="expression" priority="4215" dxfId="1">
      <formula>AND(IF($Q218=3,1,0),IF($X218&lt;30,1,0))</formula>
    </cfRule>
    <cfRule type="expression" priority="4216" dxfId="0">
      <formula>AND(IF($Q218=3,1,IF($Q218=4,1,0)),IF($F218&lt;=85,1,0))</formula>
    </cfRule>
  </conditionalFormatting>
  <conditionalFormatting sqref="AV219">
    <cfRule type="expression" priority="4211" dxfId="23">
      <formula>AV219="X"</formula>
    </cfRule>
    <cfRule type="expression" priority="4212" dxfId="22">
      <formula>AV219="후보"</formula>
    </cfRule>
  </conditionalFormatting>
  <conditionalFormatting sqref="AC2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19">
    <cfRule type="expression" priority="4203" dxfId="3">
      <formula>AND(IF(OR($Q219=1,$Q219=2),1,0),IF($X219&lt;=20,1,0))</formula>
    </cfRule>
    <cfRule type="expression" priority="4204" dxfId="2">
      <formula>AND(IF($Q219=2,1,0),IF($X219&lt;30,1,0))</formula>
    </cfRule>
    <cfRule type="expression" priority="4205" dxfId="1">
      <formula>AND(IF($Q219=3,1,0),IF($X219&lt;30,1,0))</formula>
    </cfRule>
    <cfRule type="expression" priority="4206" dxfId="0">
      <formula>AND(IF($Q219=3,1,IF($Q219=4,1,0)),IF($F219&lt;=85,1,0))</formula>
    </cfRule>
  </conditionalFormatting>
  <conditionalFormatting sqref="X219">
    <cfRule type="expression" priority="4199" dxfId="3">
      <formula>AND(IF(OR($Q219=1,$Q219=2),1,0),IF($X219&lt;=20,1,0))</formula>
    </cfRule>
    <cfRule type="expression" priority="4200" dxfId="2">
      <formula>AND(IF($Q219=2,1,0),IF($X219&lt;30,1,0))</formula>
    </cfRule>
    <cfRule type="expression" priority="4201" dxfId="1">
      <formula>AND(IF($Q219=3,1,0),IF($X219&lt;30,1,0))</formula>
    </cfRule>
    <cfRule type="expression" priority="4202" dxfId="0">
      <formula>AND(IF($Q219=3,1,IF($Q219=4,1,0)),IF($F219&lt;=85,1,0))</formula>
    </cfRule>
  </conditionalFormatting>
  <conditionalFormatting sqref="AI219">
    <cfRule type="expression" priority="4195" dxfId="3">
      <formula>AND(IF(OR($Q219=1,$Q219=2),1,0),IF($X219&lt;=20,1,0))</formula>
    </cfRule>
    <cfRule type="expression" priority="4196" dxfId="2">
      <formula>AND(IF($Q219=2,1,0),IF($X219&lt;30,1,0))</formula>
    </cfRule>
    <cfRule type="expression" priority="4197" dxfId="1">
      <formula>AND(IF($Q219=3,1,0),IF($X219&lt;30,1,0))</formula>
    </cfRule>
    <cfRule type="expression" priority="4198" dxfId="0">
      <formula>AND(IF($Q219=3,1,IF($Q219=4,1,0)),IF($F219&lt;=85,1,0))</formula>
    </cfRule>
  </conditionalFormatting>
  <conditionalFormatting sqref="AV220">
    <cfRule type="expression" priority="4193" dxfId="23">
      <formula>AV220="X"</formula>
    </cfRule>
    <cfRule type="expression" priority="4194" dxfId="22">
      <formula>AV220="후보"</formula>
    </cfRule>
  </conditionalFormatting>
  <conditionalFormatting sqref="AC2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20">
    <cfRule type="expression" priority="4185" dxfId="3">
      <formula>AND(IF(OR($Q220=1,$Q220=2),1,0),IF($X220&lt;=20,1,0))</formula>
    </cfRule>
    <cfRule type="expression" priority="4186" dxfId="2">
      <formula>AND(IF($Q220=2,1,0),IF($X220&lt;30,1,0))</formula>
    </cfRule>
    <cfRule type="expression" priority="4187" dxfId="1">
      <formula>AND(IF($Q220=3,1,0),IF($X220&lt;30,1,0))</formula>
    </cfRule>
    <cfRule type="expression" priority="4188" dxfId="0">
      <formula>AND(IF($Q220=3,1,IF($Q220=4,1,0)),IF($F220&lt;=85,1,0))</formula>
    </cfRule>
  </conditionalFormatting>
  <conditionalFormatting sqref="X220">
    <cfRule type="expression" priority="4181" dxfId="3">
      <formula>AND(IF(OR($Q220=1,$Q220=2),1,0),IF($X220&lt;=20,1,0))</formula>
    </cfRule>
    <cfRule type="expression" priority="4182" dxfId="2">
      <formula>AND(IF($Q220=2,1,0),IF($X220&lt;30,1,0))</formula>
    </cfRule>
    <cfRule type="expression" priority="4183" dxfId="1">
      <formula>AND(IF($Q220=3,1,0),IF($X220&lt;30,1,0))</formula>
    </cfRule>
    <cfRule type="expression" priority="4184" dxfId="0">
      <formula>AND(IF($Q220=3,1,IF($Q220=4,1,0)),IF($F220&lt;=85,1,0))</formula>
    </cfRule>
  </conditionalFormatting>
  <conditionalFormatting sqref="AI220">
    <cfRule type="expression" priority="4177" dxfId="3">
      <formula>AND(IF(OR($Q220=1,$Q220=2),1,0),IF($X220&lt;=20,1,0))</formula>
    </cfRule>
    <cfRule type="expression" priority="4178" dxfId="2">
      <formula>AND(IF($Q220=2,1,0),IF($X220&lt;30,1,0))</formula>
    </cfRule>
    <cfRule type="expression" priority="4179" dxfId="1">
      <formula>AND(IF($Q220=3,1,0),IF($X220&lt;30,1,0))</formula>
    </cfRule>
    <cfRule type="expression" priority="4180" dxfId="0">
      <formula>AND(IF($Q220=3,1,IF($Q220=4,1,0)),IF($F220&lt;=85,1,0))</formula>
    </cfRule>
  </conditionalFormatting>
  <conditionalFormatting sqref="AV221">
    <cfRule type="expression" priority="4175" dxfId="23">
      <formula>AV221="X"</formula>
    </cfRule>
    <cfRule type="expression" priority="4176" dxfId="22">
      <formula>AV221="후보"</formula>
    </cfRule>
  </conditionalFormatting>
  <conditionalFormatting sqref="AC2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21">
    <cfRule type="expression" priority="4167" dxfId="3">
      <formula>AND(IF(OR($Q221=1,$Q221=2),1,0),IF($X221&lt;=20,1,0))</formula>
    </cfRule>
    <cfRule type="expression" priority="4168" dxfId="2">
      <formula>AND(IF($Q221=2,1,0),IF($X221&lt;30,1,0))</formula>
    </cfRule>
    <cfRule type="expression" priority="4169" dxfId="1">
      <formula>AND(IF($Q221=3,1,0),IF($X221&lt;30,1,0))</formula>
    </cfRule>
    <cfRule type="expression" priority="4170" dxfId="0">
      <formula>AND(IF($Q221=3,1,IF($Q221=4,1,0)),IF($F221&lt;=85,1,0))</formula>
    </cfRule>
  </conditionalFormatting>
  <conditionalFormatting sqref="X221">
    <cfRule type="expression" priority="4163" dxfId="3">
      <formula>AND(IF(OR($Q221=1,$Q221=2),1,0),IF($X221&lt;=20,1,0))</formula>
    </cfRule>
    <cfRule type="expression" priority="4164" dxfId="2">
      <formula>AND(IF($Q221=2,1,0),IF($X221&lt;30,1,0))</formula>
    </cfRule>
    <cfRule type="expression" priority="4165" dxfId="1">
      <formula>AND(IF($Q221=3,1,0),IF($X221&lt;30,1,0))</formula>
    </cfRule>
    <cfRule type="expression" priority="4166" dxfId="0">
      <formula>AND(IF($Q221=3,1,IF($Q221=4,1,0)),IF($F221&lt;=85,1,0))</formula>
    </cfRule>
  </conditionalFormatting>
  <conditionalFormatting sqref="AI221">
    <cfRule type="expression" priority="4159" dxfId="3">
      <formula>AND(IF(OR($Q221=1,$Q221=2),1,0),IF($X221&lt;=20,1,0))</formula>
    </cfRule>
    <cfRule type="expression" priority="4160" dxfId="2">
      <formula>AND(IF($Q221=2,1,0),IF($X221&lt;30,1,0))</formula>
    </cfRule>
    <cfRule type="expression" priority="4161" dxfId="1">
      <formula>AND(IF($Q221=3,1,0),IF($X221&lt;30,1,0))</formula>
    </cfRule>
    <cfRule type="expression" priority="4162" dxfId="0">
      <formula>AND(IF($Q221=3,1,IF($Q221=4,1,0)),IF($F221&lt;=85,1,0))</formula>
    </cfRule>
  </conditionalFormatting>
  <conditionalFormatting sqref="AV222">
    <cfRule type="expression" priority="4157" dxfId="23">
      <formula>AV222="X"</formula>
    </cfRule>
    <cfRule type="expression" priority="4158" dxfId="22">
      <formula>AV222="후보"</formula>
    </cfRule>
  </conditionalFormatting>
  <conditionalFormatting sqref="AC2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22">
    <cfRule type="expression" priority="4149" dxfId="3">
      <formula>AND(IF(OR($Q222=1,$Q222=2),1,0),IF($X222&lt;=20,1,0))</formula>
    </cfRule>
    <cfRule type="expression" priority="4150" dxfId="2">
      <formula>AND(IF($Q222=2,1,0),IF($X222&lt;30,1,0))</formula>
    </cfRule>
    <cfRule type="expression" priority="4151" dxfId="1">
      <formula>AND(IF($Q222=3,1,0),IF($X222&lt;30,1,0))</formula>
    </cfRule>
    <cfRule type="expression" priority="4152" dxfId="0">
      <formula>AND(IF($Q222=3,1,IF($Q222=4,1,0)),IF($F222&lt;=85,1,0))</formula>
    </cfRule>
  </conditionalFormatting>
  <conditionalFormatting sqref="X222">
    <cfRule type="expression" priority="4145" dxfId="3">
      <formula>AND(IF(OR($Q222=1,$Q222=2),1,0),IF($X222&lt;=20,1,0))</formula>
    </cfRule>
    <cfRule type="expression" priority="4146" dxfId="2">
      <formula>AND(IF($Q222=2,1,0),IF($X222&lt;30,1,0))</formula>
    </cfRule>
    <cfRule type="expression" priority="4147" dxfId="1">
      <formula>AND(IF($Q222=3,1,0),IF($X222&lt;30,1,0))</formula>
    </cfRule>
    <cfRule type="expression" priority="4148" dxfId="0">
      <formula>AND(IF($Q222=3,1,IF($Q222=4,1,0)),IF($F222&lt;=85,1,0))</formula>
    </cfRule>
  </conditionalFormatting>
  <conditionalFormatting sqref="AI222">
    <cfRule type="expression" priority="4141" dxfId="3">
      <formula>AND(IF(OR($Q222=1,$Q222=2),1,0),IF($X222&lt;=20,1,0))</formula>
    </cfRule>
    <cfRule type="expression" priority="4142" dxfId="2">
      <formula>AND(IF($Q222=2,1,0),IF($X222&lt;30,1,0))</formula>
    </cfRule>
    <cfRule type="expression" priority="4143" dxfId="1">
      <formula>AND(IF($Q222=3,1,0),IF($X222&lt;30,1,0))</formula>
    </cfRule>
    <cfRule type="expression" priority="4144" dxfId="0">
      <formula>AND(IF($Q222=3,1,IF($Q222=4,1,0)),IF($F222&lt;=85,1,0))</formula>
    </cfRule>
  </conditionalFormatting>
  <conditionalFormatting sqref="AV223">
    <cfRule type="expression" priority="4139" dxfId="23">
      <formula>AV223="X"</formula>
    </cfRule>
    <cfRule type="expression" priority="4140" dxfId="22">
      <formula>AV223="후보"</formula>
    </cfRule>
  </conditionalFormatting>
  <conditionalFormatting sqref="AC2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23">
    <cfRule type="expression" priority="4131" dxfId="3">
      <formula>AND(IF(OR($Q223=1,$Q223=2),1,0),IF($X223&lt;=20,1,0))</formula>
    </cfRule>
    <cfRule type="expression" priority="4132" dxfId="2">
      <formula>AND(IF($Q223=2,1,0),IF($X223&lt;30,1,0))</formula>
    </cfRule>
    <cfRule type="expression" priority="4133" dxfId="1">
      <formula>AND(IF($Q223=3,1,0),IF($X223&lt;30,1,0))</formula>
    </cfRule>
    <cfRule type="expression" priority="4134" dxfId="0">
      <formula>AND(IF($Q223=3,1,IF($Q223=4,1,0)),IF($F223&lt;=85,1,0))</formula>
    </cfRule>
  </conditionalFormatting>
  <conditionalFormatting sqref="X223">
    <cfRule type="expression" priority="4127" dxfId="3">
      <formula>AND(IF(OR($Q223=1,$Q223=2),1,0),IF($X223&lt;=20,1,0))</formula>
    </cfRule>
    <cfRule type="expression" priority="4128" dxfId="2">
      <formula>AND(IF($Q223=2,1,0),IF($X223&lt;30,1,0))</formula>
    </cfRule>
    <cfRule type="expression" priority="4129" dxfId="1">
      <formula>AND(IF($Q223=3,1,0),IF($X223&lt;30,1,0))</formula>
    </cfRule>
    <cfRule type="expression" priority="4130" dxfId="0">
      <formula>AND(IF($Q223=3,1,IF($Q223=4,1,0)),IF($F223&lt;=85,1,0))</formula>
    </cfRule>
  </conditionalFormatting>
  <conditionalFormatting sqref="AI223">
    <cfRule type="expression" priority="4123" dxfId="3">
      <formula>AND(IF(OR($Q223=1,$Q223=2),1,0),IF($X223&lt;=20,1,0))</formula>
    </cfRule>
    <cfRule type="expression" priority="4124" dxfId="2">
      <formula>AND(IF($Q223=2,1,0),IF($X223&lt;30,1,0))</formula>
    </cfRule>
    <cfRule type="expression" priority="4125" dxfId="1">
      <formula>AND(IF($Q223=3,1,0),IF($X223&lt;30,1,0))</formula>
    </cfRule>
    <cfRule type="expression" priority="4126" dxfId="0">
      <formula>AND(IF($Q223=3,1,IF($Q223=4,1,0)),IF($F223&lt;=85,1,0))</formula>
    </cfRule>
  </conditionalFormatting>
  <conditionalFormatting sqref="AV224">
    <cfRule type="expression" priority="4121" dxfId="23">
      <formula>AV224="X"</formula>
    </cfRule>
    <cfRule type="expression" priority="4122" dxfId="22">
      <formula>AV224="후보"</formula>
    </cfRule>
  </conditionalFormatting>
  <conditionalFormatting sqref="AC2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24">
    <cfRule type="expression" priority="4113" dxfId="3">
      <formula>AND(IF(OR($Q224=1,$Q224=2),1,0),IF($X224&lt;=20,1,0))</formula>
    </cfRule>
    <cfRule type="expression" priority="4114" dxfId="2">
      <formula>AND(IF($Q224=2,1,0),IF($X224&lt;30,1,0))</formula>
    </cfRule>
    <cfRule type="expression" priority="4115" dxfId="1">
      <formula>AND(IF($Q224=3,1,0),IF($X224&lt;30,1,0))</formula>
    </cfRule>
    <cfRule type="expression" priority="4116" dxfId="0">
      <formula>AND(IF($Q224=3,1,IF($Q224=4,1,0)),IF($F224&lt;=85,1,0))</formula>
    </cfRule>
  </conditionalFormatting>
  <conditionalFormatting sqref="X224">
    <cfRule type="expression" priority="4109" dxfId="3">
      <formula>AND(IF(OR($Q224=1,$Q224=2),1,0),IF($X224&lt;=20,1,0))</formula>
    </cfRule>
    <cfRule type="expression" priority="4110" dxfId="2">
      <formula>AND(IF($Q224=2,1,0),IF($X224&lt;30,1,0))</formula>
    </cfRule>
    <cfRule type="expression" priority="4111" dxfId="1">
      <formula>AND(IF($Q224=3,1,0),IF($X224&lt;30,1,0))</formula>
    </cfRule>
    <cfRule type="expression" priority="4112" dxfId="0">
      <formula>AND(IF($Q224=3,1,IF($Q224=4,1,0)),IF($F224&lt;=85,1,0))</formula>
    </cfRule>
  </conditionalFormatting>
  <conditionalFormatting sqref="AI224">
    <cfRule type="expression" priority="4105" dxfId="3">
      <formula>AND(IF(OR($Q224=1,$Q224=2),1,0),IF($X224&lt;=20,1,0))</formula>
    </cfRule>
    <cfRule type="expression" priority="4106" dxfId="2">
      <formula>AND(IF($Q224=2,1,0),IF($X224&lt;30,1,0))</formula>
    </cfRule>
    <cfRule type="expression" priority="4107" dxfId="1">
      <formula>AND(IF($Q224=3,1,0),IF($X224&lt;30,1,0))</formula>
    </cfRule>
    <cfRule type="expression" priority="4108" dxfId="0">
      <formula>AND(IF($Q224=3,1,IF($Q224=4,1,0)),IF($F224&lt;=85,1,0))</formula>
    </cfRule>
  </conditionalFormatting>
  <conditionalFormatting sqref="AV225">
    <cfRule type="expression" priority="4103" dxfId="23">
      <formula>AV225="X"</formula>
    </cfRule>
    <cfRule type="expression" priority="4104" dxfId="22">
      <formula>AV225="후보"</formula>
    </cfRule>
  </conditionalFormatting>
  <conditionalFormatting sqref="AC2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25">
    <cfRule type="expression" priority="4095" dxfId="3">
      <formula>AND(IF(OR($Q225=1,$Q225=2),1,0),IF($X225&lt;=20,1,0))</formula>
    </cfRule>
    <cfRule type="expression" priority="4096" dxfId="2">
      <formula>AND(IF($Q225=2,1,0),IF($X225&lt;30,1,0))</formula>
    </cfRule>
    <cfRule type="expression" priority="4097" dxfId="1">
      <formula>AND(IF($Q225=3,1,0),IF($X225&lt;30,1,0))</formula>
    </cfRule>
    <cfRule type="expression" priority="4098" dxfId="0">
      <formula>AND(IF($Q225=3,1,IF($Q225=4,1,0)),IF($F225&lt;=85,1,0))</formula>
    </cfRule>
  </conditionalFormatting>
  <conditionalFormatting sqref="X225">
    <cfRule type="expression" priority="4091" dxfId="3">
      <formula>AND(IF(OR($Q225=1,$Q225=2),1,0),IF($X225&lt;=20,1,0))</formula>
    </cfRule>
    <cfRule type="expression" priority="4092" dxfId="2">
      <formula>AND(IF($Q225=2,1,0),IF($X225&lt;30,1,0))</formula>
    </cfRule>
    <cfRule type="expression" priority="4093" dxfId="1">
      <formula>AND(IF($Q225=3,1,0),IF($X225&lt;30,1,0))</formula>
    </cfRule>
    <cfRule type="expression" priority="4094" dxfId="0">
      <formula>AND(IF($Q225=3,1,IF($Q225=4,1,0)),IF($F225&lt;=85,1,0))</formula>
    </cfRule>
  </conditionalFormatting>
  <conditionalFormatting sqref="AI225">
    <cfRule type="expression" priority="4087" dxfId="3">
      <formula>AND(IF(OR($Q225=1,$Q225=2),1,0),IF($X225&lt;=20,1,0))</formula>
    </cfRule>
    <cfRule type="expression" priority="4088" dxfId="2">
      <formula>AND(IF($Q225=2,1,0),IF($X225&lt;30,1,0))</formula>
    </cfRule>
    <cfRule type="expression" priority="4089" dxfId="1">
      <formula>AND(IF($Q225=3,1,0),IF($X225&lt;30,1,0))</formula>
    </cfRule>
    <cfRule type="expression" priority="4090" dxfId="0">
      <formula>AND(IF($Q225=3,1,IF($Q225=4,1,0)),IF($F225&lt;=85,1,0))</formula>
    </cfRule>
  </conditionalFormatting>
  <conditionalFormatting sqref="AV226">
    <cfRule type="expression" priority="4085" dxfId="23">
      <formula>AV226="X"</formula>
    </cfRule>
    <cfRule type="expression" priority="4086" dxfId="22">
      <formula>AV226="후보"</formula>
    </cfRule>
  </conditionalFormatting>
  <conditionalFormatting sqref="AC2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26">
    <cfRule type="expression" priority="4077" dxfId="3">
      <formula>AND(IF(OR($Q226=1,$Q226=2),1,0),IF($X226&lt;=20,1,0))</formula>
    </cfRule>
    <cfRule type="expression" priority="4078" dxfId="2">
      <formula>AND(IF($Q226=2,1,0),IF($X226&lt;30,1,0))</formula>
    </cfRule>
    <cfRule type="expression" priority="4079" dxfId="1">
      <formula>AND(IF($Q226=3,1,0),IF($X226&lt;30,1,0))</formula>
    </cfRule>
    <cfRule type="expression" priority="4080" dxfId="0">
      <formula>AND(IF($Q226=3,1,IF($Q226=4,1,0)),IF($F226&lt;=85,1,0))</formula>
    </cfRule>
  </conditionalFormatting>
  <conditionalFormatting sqref="X226">
    <cfRule type="expression" priority="4073" dxfId="3">
      <formula>AND(IF(OR($Q226=1,$Q226=2),1,0),IF($X226&lt;=20,1,0))</formula>
    </cfRule>
    <cfRule type="expression" priority="4074" dxfId="2">
      <formula>AND(IF($Q226=2,1,0),IF($X226&lt;30,1,0))</formula>
    </cfRule>
    <cfRule type="expression" priority="4075" dxfId="1">
      <formula>AND(IF($Q226=3,1,0),IF($X226&lt;30,1,0))</formula>
    </cfRule>
    <cfRule type="expression" priority="4076" dxfId="0">
      <formula>AND(IF($Q226=3,1,IF($Q226=4,1,0)),IF($F226&lt;=85,1,0))</formula>
    </cfRule>
  </conditionalFormatting>
  <conditionalFormatting sqref="AI226">
    <cfRule type="expression" priority="4069" dxfId="3">
      <formula>AND(IF(OR($Q226=1,$Q226=2),1,0),IF($X226&lt;=20,1,0))</formula>
    </cfRule>
    <cfRule type="expression" priority="4070" dxfId="2">
      <formula>AND(IF($Q226=2,1,0),IF($X226&lt;30,1,0))</formula>
    </cfRule>
    <cfRule type="expression" priority="4071" dxfId="1">
      <formula>AND(IF($Q226=3,1,0),IF($X226&lt;30,1,0))</formula>
    </cfRule>
    <cfRule type="expression" priority="4072" dxfId="0">
      <formula>AND(IF($Q226=3,1,IF($Q226=4,1,0)),IF($F226&lt;=85,1,0))</formula>
    </cfRule>
  </conditionalFormatting>
  <conditionalFormatting sqref="AV227">
    <cfRule type="expression" priority="4067" dxfId="23">
      <formula>AV227="X"</formula>
    </cfRule>
    <cfRule type="expression" priority="4068" dxfId="22">
      <formula>AV227="후보"</formula>
    </cfRule>
  </conditionalFormatting>
  <conditionalFormatting sqref="AC2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27">
    <cfRule type="expression" priority="4059" dxfId="3">
      <formula>AND(IF(OR($Q227=1,$Q227=2),1,0),IF($X227&lt;=20,1,0))</formula>
    </cfRule>
    <cfRule type="expression" priority="4060" dxfId="2">
      <formula>AND(IF($Q227=2,1,0),IF($X227&lt;30,1,0))</formula>
    </cfRule>
    <cfRule type="expression" priority="4061" dxfId="1">
      <formula>AND(IF($Q227=3,1,0),IF($X227&lt;30,1,0))</formula>
    </cfRule>
    <cfRule type="expression" priority="4062" dxfId="0">
      <formula>AND(IF($Q227=3,1,IF($Q227=4,1,0)),IF($F227&lt;=85,1,0))</formula>
    </cfRule>
  </conditionalFormatting>
  <conditionalFormatting sqref="X227">
    <cfRule type="expression" priority="4055" dxfId="3">
      <formula>AND(IF(OR($Q227=1,$Q227=2),1,0),IF($X227&lt;=20,1,0))</formula>
    </cfRule>
    <cfRule type="expression" priority="4056" dxfId="2">
      <formula>AND(IF($Q227=2,1,0),IF($X227&lt;30,1,0))</formula>
    </cfRule>
    <cfRule type="expression" priority="4057" dxfId="1">
      <formula>AND(IF($Q227=3,1,0),IF($X227&lt;30,1,0))</formula>
    </cfRule>
    <cfRule type="expression" priority="4058" dxfId="0">
      <formula>AND(IF($Q227=3,1,IF($Q227=4,1,0)),IF($F227&lt;=85,1,0))</formula>
    </cfRule>
  </conditionalFormatting>
  <conditionalFormatting sqref="AI227">
    <cfRule type="expression" priority="4051" dxfId="3">
      <formula>AND(IF(OR($Q227=1,$Q227=2),1,0),IF($X227&lt;=20,1,0))</formula>
    </cfRule>
    <cfRule type="expression" priority="4052" dxfId="2">
      <formula>AND(IF($Q227=2,1,0),IF($X227&lt;30,1,0))</formula>
    </cfRule>
    <cfRule type="expression" priority="4053" dxfId="1">
      <formula>AND(IF($Q227=3,1,0),IF($X227&lt;30,1,0))</formula>
    </cfRule>
    <cfRule type="expression" priority="4054" dxfId="0">
      <formula>AND(IF($Q227=3,1,IF($Q227=4,1,0)),IF($F227&lt;=85,1,0))</formula>
    </cfRule>
  </conditionalFormatting>
  <conditionalFormatting sqref="AV228">
    <cfRule type="expression" priority="4049" dxfId="23">
      <formula>AV228="X"</formula>
    </cfRule>
    <cfRule type="expression" priority="4050" dxfId="22">
      <formula>AV228="후보"</formula>
    </cfRule>
  </conditionalFormatting>
  <conditionalFormatting sqref="AC2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28">
    <cfRule type="expression" priority="4041" dxfId="3">
      <formula>AND(IF(OR($Q228=1,$Q228=2),1,0),IF($X228&lt;=20,1,0))</formula>
    </cfRule>
    <cfRule type="expression" priority="4042" dxfId="2">
      <formula>AND(IF($Q228=2,1,0),IF($X228&lt;30,1,0))</formula>
    </cfRule>
    <cfRule type="expression" priority="4043" dxfId="1">
      <formula>AND(IF($Q228=3,1,0),IF($X228&lt;30,1,0))</formula>
    </cfRule>
    <cfRule type="expression" priority="4044" dxfId="0">
      <formula>AND(IF($Q228=3,1,IF($Q228=4,1,0)),IF($F228&lt;=85,1,0))</formula>
    </cfRule>
  </conditionalFormatting>
  <conditionalFormatting sqref="X228">
    <cfRule type="expression" priority="4037" dxfId="3">
      <formula>AND(IF(OR($Q228=1,$Q228=2),1,0),IF($X228&lt;=20,1,0))</formula>
    </cfRule>
    <cfRule type="expression" priority="4038" dxfId="2">
      <formula>AND(IF($Q228=2,1,0),IF($X228&lt;30,1,0))</formula>
    </cfRule>
    <cfRule type="expression" priority="4039" dxfId="1">
      <formula>AND(IF($Q228=3,1,0),IF($X228&lt;30,1,0))</formula>
    </cfRule>
    <cfRule type="expression" priority="4040" dxfId="0">
      <formula>AND(IF($Q228=3,1,IF($Q228=4,1,0)),IF($F228&lt;=85,1,0))</formula>
    </cfRule>
  </conditionalFormatting>
  <conditionalFormatting sqref="AI228">
    <cfRule type="expression" priority="4033" dxfId="3">
      <formula>AND(IF(OR($Q228=1,$Q228=2),1,0),IF($X228&lt;=20,1,0))</formula>
    </cfRule>
    <cfRule type="expression" priority="4034" dxfId="2">
      <formula>AND(IF($Q228=2,1,0),IF($X228&lt;30,1,0))</formula>
    </cfRule>
    <cfRule type="expression" priority="4035" dxfId="1">
      <formula>AND(IF($Q228=3,1,0),IF($X228&lt;30,1,0))</formula>
    </cfRule>
    <cfRule type="expression" priority="4036" dxfId="0">
      <formula>AND(IF($Q228=3,1,IF($Q228=4,1,0)),IF($F228&lt;=85,1,0))</formula>
    </cfRule>
  </conditionalFormatting>
  <conditionalFormatting sqref="AV229">
    <cfRule type="expression" priority="4031" dxfId="23">
      <formula>AV229="X"</formula>
    </cfRule>
    <cfRule type="expression" priority="4032" dxfId="22">
      <formula>AV229="후보"</formula>
    </cfRule>
  </conditionalFormatting>
  <conditionalFormatting sqref="AC2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29">
    <cfRule type="expression" priority="4023" dxfId="3">
      <formula>AND(IF(OR($Q229=1,$Q229=2),1,0),IF($X229&lt;=20,1,0))</formula>
    </cfRule>
    <cfRule type="expression" priority="4024" dxfId="2">
      <formula>AND(IF($Q229=2,1,0),IF($X229&lt;30,1,0))</formula>
    </cfRule>
    <cfRule type="expression" priority="4025" dxfId="1">
      <formula>AND(IF($Q229=3,1,0),IF($X229&lt;30,1,0))</formula>
    </cfRule>
    <cfRule type="expression" priority="4026" dxfId="0">
      <formula>AND(IF($Q229=3,1,IF($Q229=4,1,0)),IF($F229&lt;=85,1,0))</formula>
    </cfRule>
  </conditionalFormatting>
  <conditionalFormatting sqref="X229">
    <cfRule type="expression" priority="4019" dxfId="3">
      <formula>AND(IF(OR($Q229=1,$Q229=2),1,0),IF($X229&lt;=20,1,0))</formula>
    </cfRule>
    <cfRule type="expression" priority="4020" dxfId="2">
      <formula>AND(IF($Q229=2,1,0),IF($X229&lt;30,1,0))</formula>
    </cfRule>
    <cfRule type="expression" priority="4021" dxfId="1">
      <formula>AND(IF($Q229=3,1,0),IF($X229&lt;30,1,0))</formula>
    </cfRule>
    <cfRule type="expression" priority="4022" dxfId="0">
      <formula>AND(IF($Q229=3,1,IF($Q229=4,1,0)),IF($F229&lt;=85,1,0))</formula>
    </cfRule>
  </conditionalFormatting>
  <conditionalFormatting sqref="AI229">
    <cfRule type="expression" priority="4015" dxfId="3">
      <formula>AND(IF(OR($Q229=1,$Q229=2),1,0),IF($X229&lt;=20,1,0))</formula>
    </cfRule>
    <cfRule type="expression" priority="4016" dxfId="2">
      <formula>AND(IF($Q229=2,1,0),IF($X229&lt;30,1,0))</formula>
    </cfRule>
    <cfRule type="expression" priority="4017" dxfId="1">
      <formula>AND(IF($Q229=3,1,0),IF($X229&lt;30,1,0))</formula>
    </cfRule>
    <cfRule type="expression" priority="4018" dxfId="0">
      <formula>AND(IF($Q229=3,1,IF($Q229=4,1,0)),IF($F229&lt;=85,1,0))</formula>
    </cfRule>
  </conditionalFormatting>
  <conditionalFormatting sqref="AV230">
    <cfRule type="expression" priority="4013" dxfId="23">
      <formula>AV230="X"</formula>
    </cfRule>
    <cfRule type="expression" priority="4014" dxfId="22">
      <formula>AV230="후보"</formula>
    </cfRule>
  </conditionalFormatting>
  <conditionalFormatting sqref="AC2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30">
    <cfRule type="expression" priority="4005" dxfId="3">
      <formula>AND(IF(OR($Q230=1,$Q230=2),1,0),IF($X230&lt;=20,1,0))</formula>
    </cfRule>
    <cfRule type="expression" priority="4006" dxfId="2">
      <formula>AND(IF($Q230=2,1,0),IF($X230&lt;30,1,0))</formula>
    </cfRule>
    <cfRule type="expression" priority="4007" dxfId="1">
      <formula>AND(IF($Q230=3,1,0),IF($X230&lt;30,1,0))</formula>
    </cfRule>
    <cfRule type="expression" priority="4008" dxfId="0">
      <formula>AND(IF($Q230=3,1,IF($Q230=4,1,0)),IF($F230&lt;=85,1,0))</formula>
    </cfRule>
  </conditionalFormatting>
  <conditionalFormatting sqref="X230">
    <cfRule type="expression" priority="4001" dxfId="3">
      <formula>AND(IF(OR($Q230=1,$Q230=2),1,0),IF($X230&lt;=20,1,0))</formula>
    </cfRule>
    <cfRule type="expression" priority="4002" dxfId="2">
      <formula>AND(IF($Q230=2,1,0),IF($X230&lt;30,1,0))</formula>
    </cfRule>
    <cfRule type="expression" priority="4003" dxfId="1">
      <formula>AND(IF($Q230=3,1,0),IF($X230&lt;30,1,0))</formula>
    </cfRule>
    <cfRule type="expression" priority="4004" dxfId="0">
      <formula>AND(IF($Q230=3,1,IF($Q230=4,1,0)),IF($F230&lt;=85,1,0))</formula>
    </cfRule>
  </conditionalFormatting>
  <conditionalFormatting sqref="AI230">
    <cfRule type="expression" priority="3997" dxfId="3">
      <formula>AND(IF(OR($Q230=1,$Q230=2),1,0),IF($X230&lt;=20,1,0))</formula>
    </cfRule>
    <cfRule type="expression" priority="3998" dxfId="2">
      <formula>AND(IF($Q230=2,1,0),IF($X230&lt;30,1,0))</formula>
    </cfRule>
    <cfRule type="expression" priority="3999" dxfId="1">
      <formula>AND(IF($Q230=3,1,0),IF($X230&lt;30,1,0))</formula>
    </cfRule>
    <cfRule type="expression" priority="4000" dxfId="0">
      <formula>AND(IF($Q230=3,1,IF($Q230=4,1,0)),IF($F230&lt;=85,1,0))</formula>
    </cfRule>
  </conditionalFormatting>
  <conditionalFormatting sqref="AV231">
    <cfRule type="expression" priority="3995" dxfId="23">
      <formula>AV231="X"</formula>
    </cfRule>
    <cfRule type="expression" priority="3996" dxfId="22">
      <formula>AV231="후보"</formula>
    </cfRule>
  </conditionalFormatting>
  <conditionalFormatting sqref="AC2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31">
    <cfRule type="expression" priority="3987" dxfId="3">
      <formula>AND(IF(OR($Q231=1,$Q231=2),1,0),IF($X231&lt;=20,1,0))</formula>
    </cfRule>
    <cfRule type="expression" priority="3988" dxfId="2">
      <formula>AND(IF($Q231=2,1,0),IF($X231&lt;30,1,0))</formula>
    </cfRule>
    <cfRule type="expression" priority="3989" dxfId="1">
      <formula>AND(IF($Q231=3,1,0),IF($X231&lt;30,1,0))</formula>
    </cfRule>
    <cfRule type="expression" priority="3990" dxfId="0">
      <formula>AND(IF($Q231=3,1,IF($Q231=4,1,0)),IF($F231&lt;=85,1,0))</formula>
    </cfRule>
  </conditionalFormatting>
  <conditionalFormatting sqref="X231">
    <cfRule type="expression" priority="3983" dxfId="3">
      <formula>AND(IF(OR($Q231=1,$Q231=2),1,0),IF($X231&lt;=20,1,0))</formula>
    </cfRule>
    <cfRule type="expression" priority="3984" dxfId="2">
      <formula>AND(IF($Q231=2,1,0),IF($X231&lt;30,1,0))</formula>
    </cfRule>
    <cfRule type="expression" priority="3985" dxfId="1">
      <formula>AND(IF($Q231=3,1,0),IF($X231&lt;30,1,0))</formula>
    </cfRule>
    <cfRule type="expression" priority="3986" dxfId="0">
      <formula>AND(IF($Q231=3,1,IF($Q231=4,1,0)),IF($F231&lt;=85,1,0))</formula>
    </cfRule>
  </conditionalFormatting>
  <conditionalFormatting sqref="AI231">
    <cfRule type="expression" priority="3979" dxfId="3">
      <formula>AND(IF(OR($Q231=1,$Q231=2),1,0),IF($X231&lt;=20,1,0))</formula>
    </cfRule>
    <cfRule type="expression" priority="3980" dxfId="2">
      <formula>AND(IF($Q231=2,1,0),IF($X231&lt;30,1,0))</formula>
    </cfRule>
    <cfRule type="expression" priority="3981" dxfId="1">
      <formula>AND(IF($Q231=3,1,0),IF($X231&lt;30,1,0))</formula>
    </cfRule>
    <cfRule type="expression" priority="3982" dxfId="0">
      <formula>AND(IF($Q231=3,1,IF($Q231=4,1,0)),IF($F231&lt;=85,1,0))</formula>
    </cfRule>
  </conditionalFormatting>
  <conditionalFormatting sqref="AV232">
    <cfRule type="expression" priority="3977" dxfId="23">
      <formula>AV232="X"</formula>
    </cfRule>
    <cfRule type="expression" priority="3978" dxfId="22">
      <formula>AV232="후보"</formula>
    </cfRule>
  </conditionalFormatting>
  <conditionalFormatting sqref="AC2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2">
    <cfRule type="expression" priority="3969" dxfId="3">
      <formula>AND(IF(OR($Q232=1,$Q232=2),1,0),IF($X232&lt;=20,1,0))</formula>
    </cfRule>
    <cfRule type="expression" priority="3970" dxfId="2">
      <formula>AND(IF($Q232=2,1,0),IF($X232&lt;30,1,0))</formula>
    </cfRule>
    <cfRule type="expression" priority="3971" dxfId="1">
      <formula>AND(IF($Q232=3,1,0),IF($X232&lt;30,1,0))</formula>
    </cfRule>
    <cfRule type="expression" priority="3972" dxfId="0">
      <formula>AND(IF($Q232=3,1,IF($Q232=4,1,0)),IF($F232&lt;=85,1,0))</formula>
    </cfRule>
  </conditionalFormatting>
  <conditionalFormatting sqref="X232">
    <cfRule type="expression" priority="3965" dxfId="3">
      <formula>AND(IF(OR($Q232=1,$Q232=2),1,0),IF($X232&lt;=20,1,0))</formula>
    </cfRule>
    <cfRule type="expression" priority="3966" dxfId="2">
      <formula>AND(IF($Q232=2,1,0),IF($X232&lt;30,1,0))</formula>
    </cfRule>
    <cfRule type="expression" priority="3967" dxfId="1">
      <formula>AND(IF($Q232=3,1,0),IF($X232&lt;30,1,0))</formula>
    </cfRule>
    <cfRule type="expression" priority="3968" dxfId="0">
      <formula>AND(IF($Q232=3,1,IF($Q232=4,1,0)),IF($F232&lt;=85,1,0))</formula>
    </cfRule>
  </conditionalFormatting>
  <conditionalFormatting sqref="AI232">
    <cfRule type="expression" priority="3961" dxfId="3">
      <formula>AND(IF(OR($Q232=1,$Q232=2),1,0),IF($X232&lt;=20,1,0))</formula>
    </cfRule>
    <cfRule type="expression" priority="3962" dxfId="2">
      <formula>AND(IF($Q232=2,1,0),IF($X232&lt;30,1,0))</formula>
    </cfRule>
    <cfRule type="expression" priority="3963" dxfId="1">
      <formula>AND(IF($Q232=3,1,0),IF($X232&lt;30,1,0))</formula>
    </cfRule>
    <cfRule type="expression" priority="3964" dxfId="0">
      <formula>AND(IF($Q232=3,1,IF($Q232=4,1,0)),IF($F232&lt;=85,1,0))</formula>
    </cfRule>
  </conditionalFormatting>
  <conditionalFormatting sqref="AV233">
    <cfRule type="expression" priority="3959" dxfId="23">
      <formula>AV233="X"</formula>
    </cfRule>
    <cfRule type="expression" priority="3960" dxfId="22">
      <formula>AV233="후보"</formula>
    </cfRule>
  </conditionalFormatting>
  <conditionalFormatting sqref="AC2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33">
    <cfRule type="expression" priority="3951" dxfId="3">
      <formula>AND(IF(OR($Q233=1,$Q233=2),1,0),IF($X233&lt;=20,1,0))</formula>
    </cfRule>
    <cfRule type="expression" priority="3952" dxfId="2">
      <formula>AND(IF($Q233=2,1,0),IF($X233&lt;30,1,0))</formula>
    </cfRule>
    <cfRule type="expression" priority="3953" dxfId="1">
      <formula>AND(IF($Q233=3,1,0),IF($X233&lt;30,1,0))</formula>
    </cfRule>
    <cfRule type="expression" priority="3954" dxfId="0">
      <formula>AND(IF($Q233=3,1,IF($Q233=4,1,0)),IF($F233&lt;=85,1,0))</formula>
    </cfRule>
  </conditionalFormatting>
  <conditionalFormatting sqref="X233">
    <cfRule type="expression" priority="3947" dxfId="3">
      <formula>AND(IF(OR($Q233=1,$Q233=2),1,0),IF($X233&lt;=20,1,0))</formula>
    </cfRule>
    <cfRule type="expression" priority="3948" dxfId="2">
      <formula>AND(IF($Q233=2,1,0),IF($X233&lt;30,1,0))</formula>
    </cfRule>
    <cfRule type="expression" priority="3949" dxfId="1">
      <formula>AND(IF($Q233=3,1,0),IF($X233&lt;30,1,0))</formula>
    </cfRule>
    <cfRule type="expression" priority="3950" dxfId="0">
      <formula>AND(IF($Q233=3,1,IF($Q233=4,1,0)),IF($F233&lt;=85,1,0))</formula>
    </cfRule>
  </conditionalFormatting>
  <conditionalFormatting sqref="AI233">
    <cfRule type="expression" priority="3943" dxfId="3">
      <formula>AND(IF(OR($Q233=1,$Q233=2),1,0),IF($X233&lt;=20,1,0))</formula>
    </cfRule>
    <cfRule type="expression" priority="3944" dxfId="2">
      <formula>AND(IF($Q233=2,1,0),IF($X233&lt;30,1,0))</formula>
    </cfRule>
    <cfRule type="expression" priority="3945" dxfId="1">
      <formula>AND(IF($Q233=3,1,0),IF($X233&lt;30,1,0))</formula>
    </cfRule>
    <cfRule type="expression" priority="3946" dxfId="0">
      <formula>AND(IF($Q233=3,1,IF($Q233=4,1,0)),IF($F233&lt;=85,1,0))</formula>
    </cfRule>
  </conditionalFormatting>
  <conditionalFormatting sqref="AV234">
    <cfRule type="expression" priority="3941" dxfId="23">
      <formula>AV234="X"</formula>
    </cfRule>
    <cfRule type="expression" priority="3942" dxfId="22">
      <formula>AV234="후보"</formula>
    </cfRule>
  </conditionalFormatting>
  <conditionalFormatting sqref="AC2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34">
    <cfRule type="expression" priority="3933" dxfId="3">
      <formula>AND(IF(OR($Q234=1,$Q234=2),1,0),IF($X234&lt;=20,1,0))</formula>
    </cfRule>
    <cfRule type="expression" priority="3934" dxfId="2">
      <formula>AND(IF($Q234=2,1,0),IF($X234&lt;30,1,0))</formula>
    </cfRule>
    <cfRule type="expression" priority="3935" dxfId="1">
      <formula>AND(IF($Q234=3,1,0),IF($X234&lt;30,1,0))</formula>
    </cfRule>
    <cfRule type="expression" priority="3936" dxfId="0">
      <formula>AND(IF($Q234=3,1,IF($Q234=4,1,0)),IF($F234&lt;=85,1,0))</formula>
    </cfRule>
  </conditionalFormatting>
  <conditionalFormatting sqref="X234">
    <cfRule type="expression" priority="3929" dxfId="3">
      <formula>AND(IF(OR($Q234=1,$Q234=2),1,0),IF($X234&lt;=20,1,0))</formula>
    </cfRule>
    <cfRule type="expression" priority="3930" dxfId="2">
      <formula>AND(IF($Q234=2,1,0),IF($X234&lt;30,1,0))</formula>
    </cfRule>
    <cfRule type="expression" priority="3931" dxfId="1">
      <formula>AND(IF($Q234=3,1,0),IF($X234&lt;30,1,0))</formula>
    </cfRule>
    <cfRule type="expression" priority="3932" dxfId="0">
      <formula>AND(IF($Q234=3,1,IF($Q234=4,1,0)),IF($F234&lt;=85,1,0))</formula>
    </cfRule>
  </conditionalFormatting>
  <conditionalFormatting sqref="AI234">
    <cfRule type="expression" priority="3925" dxfId="3">
      <formula>AND(IF(OR($Q234=1,$Q234=2),1,0),IF($X234&lt;=20,1,0))</formula>
    </cfRule>
    <cfRule type="expression" priority="3926" dxfId="2">
      <formula>AND(IF($Q234=2,1,0),IF($X234&lt;30,1,0))</formula>
    </cfRule>
    <cfRule type="expression" priority="3927" dxfId="1">
      <formula>AND(IF($Q234=3,1,0),IF($X234&lt;30,1,0))</formula>
    </cfRule>
    <cfRule type="expression" priority="3928" dxfId="0">
      <formula>AND(IF($Q234=3,1,IF($Q234=4,1,0)),IF($F234&lt;=85,1,0))</formula>
    </cfRule>
  </conditionalFormatting>
  <conditionalFormatting sqref="AV235">
    <cfRule type="expression" priority="3923" dxfId="23">
      <formula>AV235="X"</formula>
    </cfRule>
    <cfRule type="expression" priority="3924" dxfId="22">
      <formula>AV235="후보"</formula>
    </cfRule>
  </conditionalFormatting>
  <conditionalFormatting sqref="AC2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35">
    <cfRule type="expression" priority="3915" dxfId="3">
      <formula>AND(IF(OR($Q235=1,$Q235=2),1,0),IF($X235&lt;=20,1,0))</formula>
    </cfRule>
    <cfRule type="expression" priority="3916" dxfId="2">
      <formula>AND(IF($Q235=2,1,0),IF($X235&lt;30,1,0))</formula>
    </cfRule>
    <cfRule type="expression" priority="3917" dxfId="1">
      <formula>AND(IF($Q235=3,1,0),IF($X235&lt;30,1,0))</formula>
    </cfRule>
    <cfRule type="expression" priority="3918" dxfId="0">
      <formula>AND(IF($Q235=3,1,IF($Q235=4,1,0)),IF($F235&lt;=85,1,0))</formula>
    </cfRule>
  </conditionalFormatting>
  <conditionalFormatting sqref="X235">
    <cfRule type="expression" priority="3911" dxfId="3">
      <formula>AND(IF(OR($Q235=1,$Q235=2),1,0),IF($X235&lt;=20,1,0))</formula>
    </cfRule>
    <cfRule type="expression" priority="3912" dxfId="2">
      <formula>AND(IF($Q235=2,1,0),IF($X235&lt;30,1,0))</formula>
    </cfRule>
    <cfRule type="expression" priority="3913" dxfId="1">
      <formula>AND(IF($Q235=3,1,0),IF($X235&lt;30,1,0))</formula>
    </cfRule>
    <cfRule type="expression" priority="3914" dxfId="0">
      <formula>AND(IF($Q235=3,1,IF($Q235=4,1,0)),IF($F235&lt;=85,1,0))</formula>
    </cfRule>
  </conditionalFormatting>
  <conditionalFormatting sqref="AI235">
    <cfRule type="expression" priority="3907" dxfId="3">
      <formula>AND(IF(OR($Q235=1,$Q235=2),1,0),IF($X235&lt;=20,1,0))</formula>
    </cfRule>
    <cfRule type="expression" priority="3908" dxfId="2">
      <formula>AND(IF($Q235=2,1,0),IF($X235&lt;30,1,0))</formula>
    </cfRule>
    <cfRule type="expression" priority="3909" dxfId="1">
      <formula>AND(IF($Q235=3,1,0),IF($X235&lt;30,1,0))</formula>
    </cfRule>
    <cfRule type="expression" priority="3910" dxfId="0">
      <formula>AND(IF($Q235=3,1,IF($Q235=4,1,0)),IF($F235&lt;=85,1,0))</formula>
    </cfRule>
  </conditionalFormatting>
  <conditionalFormatting sqref="AV236">
    <cfRule type="expression" priority="3905" dxfId="23">
      <formula>AV236="X"</formula>
    </cfRule>
    <cfRule type="expression" priority="3906" dxfId="22">
      <formula>AV236="후보"</formula>
    </cfRule>
  </conditionalFormatting>
  <conditionalFormatting sqref="AC2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36">
    <cfRule type="expression" priority="3897" dxfId="3">
      <formula>AND(IF(OR($Q236=1,$Q236=2),1,0),IF($X236&lt;=20,1,0))</formula>
    </cfRule>
    <cfRule type="expression" priority="3898" dxfId="2">
      <formula>AND(IF($Q236=2,1,0),IF($X236&lt;30,1,0))</formula>
    </cfRule>
    <cfRule type="expression" priority="3899" dxfId="1">
      <formula>AND(IF($Q236=3,1,0),IF($X236&lt;30,1,0))</formula>
    </cfRule>
    <cfRule type="expression" priority="3900" dxfId="0">
      <formula>AND(IF($Q236=3,1,IF($Q236=4,1,0)),IF($F236&lt;=85,1,0))</formula>
    </cfRule>
  </conditionalFormatting>
  <conditionalFormatting sqref="X236">
    <cfRule type="expression" priority="3893" dxfId="3">
      <formula>AND(IF(OR($Q236=1,$Q236=2),1,0),IF($X236&lt;=20,1,0))</formula>
    </cfRule>
    <cfRule type="expression" priority="3894" dxfId="2">
      <formula>AND(IF($Q236=2,1,0),IF($X236&lt;30,1,0))</formula>
    </cfRule>
    <cfRule type="expression" priority="3895" dxfId="1">
      <formula>AND(IF($Q236=3,1,0),IF($X236&lt;30,1,0))</formula>
    </cfRule>
    <cfRule type="expression" priority="3896" dxfId="0">
      <formula>AND(IF($Q236=3,1,IF($Q236=4,1,0)),IF($F236&lt;=85,1,0))</formula>
    </cfRule>
  </conditionalFormatting>
  <conditionalFormatting sqref="AI236">
    <cfRule type="expression" priority="3889" dxfId="3">
      <formula>AND(IF(OR($Q236=1,$Q236=2),1,0),IF($X236&lt;=20,1,0))</formula>
    </cfRule>
    <cfRule type="expression" priority="3890" dxfId="2">
      <formula>AND(IF($Q236=2,1,0),IF($X236&lt;30,1,0))</formula>
    </cfRule>
    <cfRule type="expression" priority="3891" dxfId="1">
      <formula>AND(IF($Q236=3,1,0),IF($X236&lt;30,1,0))</formula>
    </cfRule>
    <cfRule type="expression" priority="3892" dxfId="0">
      <formula>AND(IF($Q236=3,1,IF($Q236=4,1,0)),IF($F236&lt;=85,1,0))</formula>
    </cfRule>
  </conditionalFormatting>
  <conditionalFormatting sqref="AV237">
    <cfRule type="expression" priority="3887" dxfId="23">
      <formula>AV237="X"</formula>
    </cfRule>
    <cfRule type="expression" priority="3888" dxfId="22">
      <formula>AV237="후보"</formula>
    </cfRule>
  </conditionalFormatting>
  <conditionalFormatting sqref="AC2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37">
    <cfRule type="expression" priority="3879" dxfId="3">
      <formula>AND(IF(OR($Q237=1,$Q237=2),1,0),IF($X237&lt;=20,1,0))</formula>
    </cfRule>
    <cfRule type="expression" priority="3880" dxfId="2">
      <formula>AND(IF($Q237=2,1,0),IF($X237&lt;30,1,0))</formula>
    </cfRule>
    <cfRule type="expression" priority="3881" dxfId="1">
      <formula>AND(IF($Q237=3,1,0),IF($X237&lt;30,1,0))</formula>
    </cfRule>
    <cfRule type="expression" priority="3882" dxfId="0">
      <formula>AND(IF($Q237=3,1,IF($Q237=4,1,0)),IF($F237&lt;=85,1,0))</formula>
    </cfRule>
  </conditionalFormatting>
  <conditionalFormatting sqref="X237">
    <cfRule type="expression" priority="3875" dxfId="3">
      <formula>AND(IF(OR($Q237=1,$Q237=2),1,0),IF($X237&lt;=20,1,0))</formula>
    </cfRule>
    <cfRule type="expression" priority="3876" dxfId="2">
      <formula>AND(IF($Q237=2,1,0),IF($X237&lt;30,1,0))</formula>
    </cfRule>
    <cfRule type="expression" priority="3877" dxfId="1">
      <formula>AND(IF($Q237=3,1,0),IF($X237&lt;30,1,0))</formula>
    </cfRule>
    <cfRule type="expression" priority="3878" dxfId="0">
      <formula>AND(IF($Q237=3,1,IF($Q237=4,1,0)),IF($F237&lt;=85,1,0))</formula>
    </cfRule>
  </conditionalFormatting>
  <conditionalFormatting sqref="AI237">
    <cfRule type="expression" priority="3871" dxfId="3">
      <formula>AND(IF(OR($Q237=1,$Q237=2),1,0),IF($X237&lt;=20,1,0))</formula>
    </cfRule>
    <cfRule type="expression" priority="3872" dxfId="2">
      <formula>AND(IF($Q237=2,1,0),IF($X237&lt;30,1,0))</formula>
    </cfRule>
    <cfRule type="expression" priority="3873" dxfId="1">
      <formula>AND(IF($Q237=3,1,0),IF($X237&lt;30,1,0))</formula>
    </cfRule>
    <cfRule type="expression" priority="3874" dxfId="0">
      <formula>AND(IF($Q237=3,1,IF($Q237=4,1,0)),IF($F237&lt;=85,1,0))</formula>
    </cfRule>
  </conditionalFormatting>
  <conditionalFormatting sqref="AV238">
    <cfRule type="expression" priority="3869" dxfId="23">
      <formula>AV238="X"</formula>
    </cfRule>
    <cfRule type="expression" priority="3870" dxfId="22">
      <formula>AV238="후보"</formula>
    </cfRule>
  </conditionalFormatting>
  <conditionalFormatting sqref="AC2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38">
    <cfRule type="expression" priority="3861" dxfId="3">
      <formula>AND(IF(OR($Q238=1,$Q238=2),1,0),IF($X238&lt;=20,1,0))</formula>
    </cfRule>
    <cfRule type="expression" priority="3862" dxfId="2">
      <formula>AND(IF($Q238=2,1,0),IF($X238&lt;30,1,0))</formula>
    </cfRule>
    <cfRule type="expression" priority="3863" dxfId="1">
      <formula>AND(IF($Q238=3,1,0),IF($X238&lt;30,1,0))</formula>
    </cfRule>
    <cfRule type="expression" priority="3864" dxfId="0">
      <formula>AND(IF($Q238=3,1,IF($Q238=4,1,0)),IF($F238&lt;=85,1,0))</formula>
    </cfRule>
  </conditionalFormatting>
  <conditionalFormatting sqref="X238">
    <cfRule type="expression" priority="3857" dxfId="3">
      <formula>AND(IF(OR($Q238=1,$Q238=2),1,0),IF($X238&lt;=20,1,0))</formula>
    </cfRule>
    <cfRule type="expression" priority="3858" dxfId="2">
      <formula>AND(IF($Q238=2,1,0),IF($X238&lt;30,1,0))</formula>
    </cfRule>
    <cfRule type="expression" priority="3859" dxfId="1">
      <formula>AND(IF($Q238=3,1,0),IF($X238&lt;30,1,0))</formula>
    </cfRule>
    <cfRule type="expression" priority="3860" dxfId="0">
      <formula>AND(IF($Q238=3,1,IF($Q238=4,1,0)),IF($F238&lt;=85,1,0))</formula>
    </cfRule>
  </conditionalFormatting>
  <conditionalFormatting sqref="AI238">
    <cfRule type="expression" priority="3853" dxfId="3">
      <formula>AND(IF(OR($Q238=1,$Q238=2),1,0),IF($X238&lt;=20,1,0))</formula>
    </cfRule>
    <cfRule type="expression" priority="3854" dxfId="2">
      <formula>AND(IF($Q238=2,1,0),IF($X238&lt;30,1,0))</formula>
    </cfRule>
    <cfRule type="expression" priority="3855" dxfId="1">
      <formula>AND(IF($Q238=3,1,0),IF($X238&lt;30,1,0))</formula>
    </cfRule>
    <cfRule type="expression" priority="3856" dxfId="0">
      <formula>AND(IF($Q238=3,1,IF($Q238=4,1,0)),IF($F238&lt;=85,1,0))</formula>
    </cfRule>
  </conditionalFormatting>
  <conditionalFormatting sqref="AV239">
    <cfRule type="expression" priority="3851" dxfId="23">
      <formula>AV239="X"</formula>
    </cfRule>
    <cfRule type="expression" priority="3852" dxfId="22">
      <formula>AV239="후보"</formula>
    </cfRule>
  </conditionalFormatting>
  <conditionalFormatting sqref="AC2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9">
    <cfRule type="expression" priority="3843" dxfId="3">
      <formula>AND(IF(OR($Q239=1,$Q239=2),1,0),IF($X239&lt;=20,1,0))</formula>
    </cfRule>
    <cfRule type="expression" priority="3844" dxfId="2">
      <formula>AND(IF($Q239=2,1,0),IF($X239&lt;30,1,0))</formula>
    </cfRule>
    <cfRule type="expression" priority="3845" dxfId="1">
      <formula>AND(IF($Q239=3,1,0),IF($X239&lt;30,1,0))</formula>
    </cfRule>
    <cfRule type="expression" priority="3846" dxfId="0">
      <formula>AND(IF($Q239=3,1,IF($Q239=4,1,0)),IF($F239&lt;=85,1,0))</formula>
    </cfRule>
  </conditionalFormatting>
  <conditionalFormatting sqref="X239">
    <cfRule type="expression" priority="3839" dxfId="3">
      <formula>AND(IF(OR($Q239=1,$Q239=2),1,0),IF($X239&lt;=20,1,0))</formula>
    </cfRule>
    <cfRule type="expression" priority="3840" dxfId="2">
      <formula>AND(IF($Q239=2,1,0),IF($X239&lt;30,1,0))</formula>
    </cfRule>
    <cfRule type="expression" priority="3841" dxfId="1">
      <formula>AND(IF($Q239=3,1,0),IF($X239&lt;30,1,0))</formula>
    </cfRule>
    <cfRule type="expression" priority="3842" dxfId="0">
      <formula>AND(IF($Q239=3,1,IF($Q239=4,1,0)),IF($F239&lt;=85,1,0))</formula>
    </cfRule>
  </conditionalFormatting>
  <conditionalFormatting sqref="AI239">
    <cfRule type="expression" priority="3835" dxfId="3">
      <formula>AND(IF(OR($Q239=1,$Q239=2),1,0),IF($X239&lt;=20,1,0))</formula>
    </cfRule>
    <cfRule type="expression" priority="3836" dxfId="2">
      <formula>AND(IF($Q239=2,1,0),IF($X239&lt;30,1,0))</formula>
    </cfRule>
    <cfRule type="expression" priority="3837" dxfId="1">
      <formula>AND(IF($Q239=3,1,0),IF($X239&lt;30,1,0))</formula>
    </cfRule>
    <cfRule type="expression" priority="3838" dxfId="0">
      <formula>AND(IF($Q239=3,1,IF($Q239=4,1,0)),IF($F239&lt;=85,1,0))</formula>
    </cfRule>
  </conditionalFormatting>
  <conditionalFormatting sqref="AV240">
    <cfRule type="expression" priority="3833" dxfId="23">
      <formula>AV240="X"</formula>
    </cfRule>
    <cfRule type="expression" priority="3834" dxfId="22">
      <formula>AV240="후보"</formula>
    </cfRule>
  </conditionalFormatting>
  <conditionalFormatting sqref="AC2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0">
    <cfRule type="expression" priority="3825" dxfId="3">
      <formula>AND(IF(OR($Q240=1,$Q240=2),1,0),IF($X240&lt;=20,1,0))</formula>
    </cfRule>
    <cfRule type="expression" priority="3826" dxfId="2">
      <formula>AND(IF($Q240=2,1,0),IF($X240&lt;30,1,0))</formula>
    </cfRule>
    <cfRule type="expression" priority="3827" dxfId="1">
      <formula>AND(IF($Q240=3,1,0),IF($X240&lt;30,1,0))</formula>
    </cfRule>
    <cfRule type="expression" priority="3828" dxfId="0">
      <formula>AND(IF($Q240=3,1,IF($Q240=4,1,0)),IF($F240&lt;=85,1,0))</formula>
    </cfRule>
  </conditionalFormatting>
  <conditionalFormatting sqref="X240">
    <cfRule type="expression" priority="3821" dxfId="3">
      <formula>AND(IF(OR($Q240=1,$Q240=2),1,0),IF($X240&lt;=20,1,0))</formula>
    </cfRule>
    <cfRule type="expression" priority="3822" dxfId="2">
      <formula>AND(IF($Q240=2,1,0),IF($X240&lt;30,1,0))</formula>
    </cfRule>
    <cfRule type="expression" priority="3823" dxfId="1">
      <formula>AND(IF($Q240=3,1,0),IF($X240&lt;30,1,0))</formula>
    </cfRule>
    <cfRule type="expression" priority="3824" dxfId="0">
      <formula>AND(IF($Q240=3,1,IF($Q240=4,1,0)),IF($F240&lt;=85,1,0))</formula>
    </cfRule>
  </conditionalFormatting>
  <conditionalFormatting sqref="AI240">
    <cfRule type="expression" priority="3817" dxfId="3">
      <formula>AND(IF(OR($Q240=1,$Q240=2),1,0),IF($X240&lt;=20,1,0))</formula>
    </cfRule>
    <cfRule type="expression" priority="3818" dxfId="2">
      <formula>AND(IF($Q240=2,1,0),IF($X240&lt;30,1,0))</formula>
    </cfRule>
    <cfRule type="expression" priority="3819" dxfId="1">
      <formula>AND(IF($Q240=3,1,0),IF($X240&lt;30,1,0))</formula>
    </cfRule>
    <cfRule type="expression" priority="3820" dxfId="0">
      <formula>AND(IF($Q240=3,1,IF($Q240=4,1,0)),IF($F240&lt;=85,1,0))</formula>
    </cfRule>
  </conditionalFormatting>
  <conditionalFormatting sqref="AV241">
    <cfRule type="expression" priority="3815" dxfId="23">
      <formula>AV241="X"</formula>
    </cfRule>
    <cfRule type="expression" priority="3816" dxfId="22">
      <formula>AV241="후보"</formula>
    </cfRule>
  </conditionalFormatting>
  <conditionalFormatting sqref="AC2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41">
    <cfRule type="expression" priority="3807" dxfId="3">
      <formula>AND(IF(OR($Q241=1,$Q241=2),1,0),IF($X241&lt;=20,1,0))</formula>
    </cfRule>
    <cfRule type="expression" priority="3808" dxfId="2">
      <formula>AND(IF($Q241=2,1,0),IF($X241&lt;30,1,0))</formula>
    </cfRule>
    <cfRule type="expression" priority="3809" dxfId="1">
      <formula>AND(IF($Q241=3,1,0),IF($X241&lt;30,1,0))</formula>
    </cfRule>
    <cfRule type="expression" priority="3810" dxfId="0">
      <formula>AND(IF($Q241=3,1,IF($Q241=4,1,0)),IF($F241&lt;=85,1,0))</formula>
    </cfRule>
  </conditionalFormatting>
  <conditionalFormatting sqref="X241">
    <cfRule type="expression" priority="3803" dxfId="3">
      <formula>AND(IF(OR($Q241=1,$Q241=2),1,0),IF($X241&lt;=20,1,0))</formula>
    </cfRule>
    <cfRule type="expression" priority="3804" dxfId="2">
      <formula>AND(IF($Q241=2,1,0),IF($X241&lt;30,1,0))</formula>
    </cfRule>
    <cfRule type="expression" priority="3805" dxfId="1">
      <formula>AND(IF($Q241=3,1,0),IF($X241&lt;30,1,0))</formula>
    </cfRule>
    <cfRule type="expression" priority="3806" dxfId="0">
      <formula>AND(IF($Q241=3,1,IF($Q241=4,1,0)),IF($F241&lt;=85,1,0))</formula>
    </cfRule>
  </conditionalFormatting>
  <conditionalFormatting sqref="AI241">
    <cfRule type="expression" priority="3799" dxfId="3">
      <formula>AND(IF(OR($Q241=1,$Q241=2),1,0),IF($X241&lt;=20,1,0))</formula>
    </cfRule>
    <cfRule type="expression" priority="3800" dxfId="2">
      <formula>AND(IF($Q241=2,1,0),IF($X241&lt;30,1,0))</formula>
    </cfRule>
    <cfRule type="expression" priority="3801" dxfId="1">
      <formula>AND(IF($Q241=3,1,0),IF($X241&lt;30,1,0))</formula>
    </cfRule>
    <cfRule type="expression" priority="3802" dxfId="0">
      <formula>AND(IF($Q241=3,1,IF($Q241=4,1,0)),IF($F241&lt;=85,1,0))</formula>
    </cfRule>
  </conditionalFormatting>
  <conditionalFormatting sqref="AV242">
    <cfRule type="expression" priority="3797" dxfId="23">
      <formula>AV242="X"</formula>
    </cfRule>
    <cfRule type="expression" priority="3798" dxfId="22">
      <formula>AV242="후보"</formula>
    </cfRule>
  </conditionalFormatting>
  <conditionalFormatting sqref="AC2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42">
    <cfRule type="expression" priority="3789" dxfId="3">
      <formula>AND(IF(OR($Q242=1,$Q242=2),1,0),IF($X242&lt;=20,1,0))</formula>
    </cfRule>
    <cfRule type="expression" priority="3790" dxfId="2">
      <formula>AND(IF($Q242=2,1,0),IF($X242&lt;30,1,0))</formula>
    </cfRule>
    <cfRule type="expression" priority="3791" dxfId="1">
      <formula>AND(IF($Q242=3,1,0),IF($X242&lt;30,1,0))</formula>
    </cfRule>
    <cfRule type="expression" priority="3792" dxfId="0">
      <formula>AND(IF($Q242=3,1,IF($Q242=4,1,0)),IF($F242&lt;=85,1,0))</formula>
    </cfRule>
  </conditionalFormatting>
  <conditionalFormatting sqref="X242">
    <cfRule type="expression" priority="3785" dxfId="3">
      <formula>AND(IF(OR($Q242=1,$Q242=2),1,0),IF($X242&lt;=20,1,0))</formula>
    </cfRule>
    <cfRule type="expression" priority="3786" dxfId="2">
      <formula>AND(IF($Q242=2,1,0),IF($X242&lt;30,1,0))</formula>
    </cfRule>
    <cfRule type="expression" priority="3787" dxfId="1">
      <formula>AND(IF($Q242=3,1,0),IF($X242&lt;30,1,0))</formula>
    </cfRule>
    <cfRule type="expression" priority="3788" dxfId="0">
      <formula>AND(IF($Q242=3,1,IF($Q242=4,1,0)),IF($F242&lt;=85,1,0))</formula>
    </cfRule>
  </conditionalFormatting>
  <conditionalFormatting sqref="AI242">
    <cfRule type="expression" priority="3781" dxfId="3">
      <formula>AND(IF(OR($Q242=1,$Q242=2),1,0),IF($X242&lt;=20,1,0))</formula>
    </cfRule>
    <cfRule type="expression" priority="3782" dxfId="2">
      <formula>AND(IF($Q242=2,1,0),IF($X242&lt;30,1,0))</formula>
    </cfRule>
    <cfRule type="expression" priority="3783" dxfId="1">
      <formula>AND(IF($Q242=3,1,0),IF($X242&lt;30,1,0))</formula>
    </cfRule>
    <cfRule type="expression" priority="3784" dxfId="0">
      <formula>AND(IF($Q242=3,1,IF($Q242=4,1,0)),IF($F242&lt;=85,1,0))</formula>
    </cfRule>
  </conditionalFormatting>
  <conditionalFormatting sqref="AV243">
    <cfRule type="expression" priority="3779" dxfId="23">
      <formula>AV243="X"</formula>
    </cfRule>
    <cfRule type="expression" priority="3780" dxfId="22">
      <formula>AV243="후보"</formula>
    </cfRule>
  </conditionalFormatting>
  <conditionalFormatting sqref="AC2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43">
    <cfRule type="expression" priority="3771" dxfId="3">
      <formula>AND(IF(OR($Q243=1,$Q243=2),1,0),IF($X243&lt;=20,1,0))</formula>
    </cfRule>
    <cfRule type="expression" priority="3772" dxfId="2">
      <formula>AND(IF($Q243=2,1,0),IF($X243&lt;30,1,0))</formula>
    </cfRule>
    <cfRule type="expression" priority="3773" dxfId="1">
      <formula>AND(IF($Q243=3,1,0),IF($X243&lt;30,1,0))</formula>
    </cfRule>
    <cfRule type="expression" priority="3774" dxfId="0">
      <formula>AND(IF($Q243=3,1,IF($Q243=4,1,0)),IF($F243&lt;=85,1,0))</formula>
    </cfRule>
  </conditionalFormatting>
  <conditionalFormatting sqref="X243">
    <cfRule type="expression" priority="3767" dxfId="3">
      <formula>AND(IF(OR($Q243=1,$Q243=2),1,0),IF($X243&lt;=20,1,0))</formula>
    </cfRule>
    <cfRule type="expression" priority="3768" dxfId="2">
      <formula>AND(IF($Q243=2,1,0),IF($X243&lt;30,1,0))</formula>
    </cfRule>
    <cfRule type="expression" priority="3769" dxfId="1">
      <formula>AND(IF($Q243=3,1,0),IF($X243&lt;30,1,0))</formula>
    </cfRule>
    <cfRule type="expression" priority="3770" dxfId="0">
      <formula>AND(IF($Q243=3,1,IF($Q243=4,1,0)),IF($F243&lt;=85,1,0))</formula>
    </cfRule>
  </conditionalFormatting>
  <conditionalFormatting sqref="AI243">
    <cfRule type="expression" priority="3763" dxfId="3">
      <formula>AND(IF(OR($Q243=1,$Q243=2),1,0),IF($X243&lt;=20,1,0))</formula>
    </cfRule>
    <cfRule type="expression" priority="3764" dxfId="2">
      <formula>AND(IF($Q243=2,1,0),IF($X243&lt;30,1,0))</formula>
    </cfRule>
    <cfRule type="expression" priority="3765" dxfId="1">
      <formula>AND(IF($Q243=3,1,0),IF($X243&lt;30,1,0))</formula>
    </cfRule>
    <cfRule type="expression" priority="3766" dxfId="0">
      <formula>AND(IF($Q243=3,1,IF($Q243=4,1,0)),IF($F243&lt;=85,1,0))</formula>
    </cfRule>
  </conditionalFormatting>
  <conditionalFormatting sqref="AV244">
    <cfRule type="expression" priority="3761" dxfId="23">
      <formula>AV244="X"</formula>
    </cfRule>
    <cfRule type="expression" priority="3762" dxfId="22">
      <formula>AV244="후보"</formula>
    </cfRule>
  </conditionalFormatting>
  <conditionalFormatting sqref="AC2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44">
    <cfRule type="expression" priority="3753" dxfId="3">
      <formula>AND(IF(OR($Q244=1,$Q244=2),1,0),IF($X244&lt;=20,1,0))</formula>
    </cfRule>
    <cfRule type="expression" priority="3754" dxfId="2">
      <formula>AND(IF($Q244=2,1,0),IF($X244&lt;30,1,0))</formula>
    </cfRule>
    <cfRule type="expression" priority="3755" dxfId="1">
      <formula>AND(IF($Q244=3,1,0),IF($X244&lt;30,1,0))</formula>
    </cfRule>
    <cfRule type="expression" priority="3756" dxfId="0">
      <formula>AND(IF($Q244=3,1,IF($Q244=4,1,0)),IF($F244&lt;=85,1,0))</formula>
    </cfRule>
  </conditionalFormatting>
  <conditionalFormatting sqref="X244">
    <cfRule type="expression" priority="3749" dxfId="3">
      <formula>AND(IF(OR($Q244=1,$Q244=2),1,0),IF($X244&lt;=20,1,0))</formula>
    </cfRule>
    <cfRule type="expression" priority="3750" dxfId="2">
      <formula>AND(IF($Q244=2,1,0),IF($X244&lt;30,1,0))</formula>
    </cfRule>
    <cfRule type="expression" priority="3751" dxfId="1">
      <formula>AND(IF($Q244=3,1,0),IF($X244&lt;30,1,0))</formula>
    </cfRule>
    <cfRule type="expression" priority="3752" dxfId="0">
      <formula>AND(IF($Q244=3,1,IF($Q244=4,1,0)),IF($F244&lt;=85,1,0))</formula>
    </cfRule>
  </conditionalFormatting>
  <conditionalFormatting sqref="AI244">
    <cfRule type="expression" priority="3745" dxfId="3">
      <formula>AND(IF(OR($Q244=1,$Q244=2),1,0),IF($X244&lt;=20,1,0))</formula>
    </cfRule>
    <cfRule type="expression" priority="3746" dxfId="2">
      <formula>AND(IF($Q244=2,1,0),IF($X244&lt;30,1,0))</formula>
    </cfRule>
    <cfRule type="expression" priority="3747" dxfId="1">
      <formula>AND(IF($Q244=3,1,0),IF($X244&lt;30,1,0))</formula>
    </cfRule>
    <cfRule type="expression" priority="3748" dxfId="0">
      <formula>AND(IF($Q244=3,1,IF($Q244=4,1,0)),IF($F244&lt;=85,1,0))</formula>
    </cfRule>
  </conditionalFormatting>
  <conditionalFormatting sqref="AV245">
    <cfRule type="expression" priority="3743" dxfId="23">
      <formula>AV245="X"</formula>
    </cfRule>
    <cfRule type="expression" priority="3744" dxfId="22">
      <formula>AV245="후보"</formula>
    </cfRule>
  </conditionalFormatting>
  <conditionalFormatting sqref="AC2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45">
    <cfRule type="expression" priority="3735" dxfId="3">
      <formula>AND(IF(OR($Q245=1,$Q245=2),1,0),IF($X245&lt;=20,1,0))</formula>
    </cfRule>
    <cfRule type="expression" priority="3736" dxfId="2">
      <formula>AND(IF($Q245=2,1,0),IF($X245&lt;30,1,0))</formula>
    </cfRule>
    <cfRule type="expression" priority="3737" dxfId="1">
      <formula>AND(IF($Q245=3,1,0),IF($X245&lt;30,1,0))</formula>
    </cfRule>
    <cfRule type="expression" priority="3738" dxfId="0">
      <formula>AND(IF($Q245=3,1,IF($Q245=4,1,0)),IF($F245&lt;=85,1,0))</formula>
    </cfRule>
  </conditionalFormatting>
  <conditionalFormatting sqref="X245">
    <cfRule type="expression" priority="3731" dxfId="3">
      <formula>AND(IF(OR($Q245=1,$Q245=2),1,0),IF($X245&lt;=20,1,0))</formula>
    </cfRule>
    <cfRule type="expression" priority="3732" dxfId="2">
      <formula>AND(IF($Q245=2,1,0),IF($X245&lt;30,1,0))</formula>
    </cfRule>
    <cfRule type="expression" priority="3733" dxfId="1">
      <formula>AND(IF($Q245=3,1,0),IF($X245&lt;30,1,0))</formula>
    </cfRule>
    <cfRule type="expression" priority="3734" dxfId="0">
      <formula>AND(IF($Q245=3,1,IF($Q245=4,1,0)),IF($F245&lt;=85,1,0))</formula>
    </cfRule>
  </conditionalFormatting>
  <conditionalFormatting sqref="AI245">
    <cfRule type="expression" priority="3727" dxfId="3">
      <formula>AND(IF(OR($Q245=1,$Q245=2),1,0),IF($X245&lt;=20,1,0))</formula>
    </cfRule>
    <cfRule type="expression" priority="3728" dxfId="2">
      <formula>AND(IF($Q245=2,1,0),IF($X245&lt;30,1,0))</formula>
    </cfRule>
    <cfRule type="expression" priority="3729" dxfId="1">
      <formula>AND(IF($Q245=3,1,0),IF($X245&lt;30,1,0))</formula>
    </cfRule>
    <cfRule type="expression" priority="3730" dxfId="0">
      <formula>AND(IF($Q245=3,1,IF($Q245=4,1,0)),IF($F245&lt;=85,1,0))</formula>
    </cfRule>
  </conditionalFormatting>
  <conditionalFormatting sqref="AV246">
    <cfRule type="expression" priority="3725" dxfId="23">
      <formula>AV246="X"</formula>
    </cfRule>
    <cfRule type="expression" priority="3726" dxfId="22">
      <formula>AV246="후보"</formula>
    </cfRule>
  </conditionalFormatting>
  <conditionalFormatting sqref="AC2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46">
    <cfRule type="expression" priority="3717" dxfId="3">
      <formula>AND(IF(OR($Q246=1,$Q246=2),1,0),IF($X246&lt;=20,1,0))</formula>
    </cfRule>
    <cfRule type="expression" priority="3718" dxfId="2">
      <formula>AND(IF($Q246=2,1,0),IF($X246&lt;30,1,0))</formula>
    </cfRule>
    <cfRule type="expression" priority="3719" dxfId="1">
      <formula>AND(IF($Q246=3,1,0),IF($X246&lt;30,1,0))</formula>
    </cfRule>
    <cfRule type="expression" priority="3720" dxfId="0">
      <formula>AND(IF($Q246=3,1,IF($Q246=4,1,0)),IF($F246&lt;=85,1,0))</formula>
    </cfRule>
  </conditionalFormatting>
  <conditionalFormatting sqref="X246">
    <cfRule type="expression" priority="3713" dxfId="3">
      <formula>AND(IF(OR($Q246=1,$Q246=2),1,0),IF($X246&lt;=20,1,0))</formula>
    </cfRule>
    <cfRule type="expression" priority="3714" dxfId="2">
      <formula>AND(IF($Q246=2,1,0),IF($X246&lt;30,1,0))</formula>
    </cfRule>
    <cfRule type="expression" priority="3715" dxfId="1">
      <formula>AND(IF($Q246=3,1,0),IF($X246&lt;30,1,0))</formula>
    </cfRule>
    <cfRule type="expression" priority="3716" dxfId="0">
      <formula>AND(IF($Q246=3,1,IF($Q246=4,1,0)),IF($F246&lt;=85,1,0))</formula>
    </cfRule>
  </conditionalFormatting>
  <conditionalFormatting sqref="AI246">
    <cfRule type="expression" priority="3709" dxfId="3">
      <formula>AND(IF(OR($Q246=1,$Q246=2),1,0),IF($X246&lt;=20,1,0))</formula>
    </cfRule>
    <cfRule type="expression" priority="3710" dxfId="2">
      <formula>AND(IF($Q246=2,1,0),IF($X246&lt;30,1,0))</formula>
    </cfRule>
    <cfRule type="expression" priority="3711" dxfId="1">
      <formula>AND(IF($Q246=3,1,0),IF($X246&lt;30,1,0))</formula>
    </cfRule>
    <cfRule type="expression" priority="3712" dxfId="0">
      <formula>AND(IF($Q246=3,1,IF($Q246=4,1,0)),IF($F246&lt;=85,1,0))</formula>
    </cfRule>
  </conditionalFormatting>
  <conditionalFormatting sqref="AV247">
    <cfRule type="expression" priority="3707" dxfId="23">
      <formula>AV247="X"</formula>
    </cfRule>
    <cfRule type="expression" priority="3708" dxfId="22">
      <formula>AV247="후보"</formula>
    </cfRule>
  </conditionalFormatting>
  <conditionalFormatting sqref="AC2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47">
    <cfRule type="expression" priority="3699" dxfId="3">
      <formula>AND(IF(OR($Q247=1,$Q247=2),1,0),IF($X247&lt;=20,1,0))</formula>
    </cfRule>
    <cfRule type="expression" priority="3700" dxfId="2">
      <formula>AND(IF($Q247=2,1,0),IF($X247&lt;30,1,0))</formula>
    </cfRule>
    <cfRule type="expression" priority="3701" dxfId="1">
      <formula>AND(IF($Q247=3,1,0),IF($X247&lt;30,1,0))</formula>
    </cfRule>
    <cfRule type="expression" priority="3702" dxfId="0">
      <formula>AND(IF($Q247=3,1,IF($Q247=4,1,0)),IF($F247&lt;=85,1,0))</formula>
    </cfRule>
  </conditionalFormatting>
  <conditionalFormatting sqref="X247">
    <cfRule type="expression" priority="3695" dxfId="3">
      <formula>AND(IF(OR($Q247=1,$Q247=2),1,0),IF($X247&lt;=20,1,0))</formula>
    </cfRule>
    <cfRule type="expression" priority="3696" dxfId="2">
      <formula>AND(IF($Q247=2,1,0),IF($X247&lt;30,1,0))</formula>
    </cfRule>
    <cfRule type="expression" priority="3697" dxfId="1">
      <formula>AND(IF($Q247=3,1,0),IF($X247&lt;30,1,0))</formula>
    </cfRule>
    <cfRule type="expression" priority="3698" dxfId="0">
      <formula>AND(IF($Q247=3,1,IF($Q247=4,1,0)),IF($F247&lt;=85,1,0))</formula>
    </cfRule>
  </conditionalFormatting>
  <conditionalFormatting sqref="AI247">
    <cfRule type="expression" priority="3691" dxfId="3">
      <formula>AND(IF(OR($Q247=1,$Q247=2),1,0),IF($X247&lt;=20,1,0))</formula>
    </cfRule>
    <cfRule type="expression" priority="3692" dxfId="2">
      <formula>AND(IF($Q247=2,1,0),IF($X247&lt;30,1,0))</formula>
    </cfRule>
    <cfRule type="expression" priority="3693" dxfId="1">
      <formula>AND(IF($Q247=3,1,0),IF($X247&lt;30,1,0))</formula>
    </cfRule>
    <cfRule type="expression" priority="3694" dxfId="0">
      <formula>AND(IF($Q247=3,1,IF($Q247=4,1,0)),IF($F247&lt;=85,1,0))</formula>
    </cfRule>
  </conditionalFormatting>
  <conditionalFormatting sqref="AV248">
    <cfRule type="expression" priority="3689" dxfId="23">
      <formula>AV248="X"</formula>
    </cfRule>
    <cfRule type="expression" priority="3690" dxfId="22">
      <formula>AV248="후보"</formula>
    </cfRule>
  </conditionalFormatting>
  <conditionalFormatting sqref="AC2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48">
    <cfRule type="expression" priority="3681" dxfId="3">
      <formula>AND(IF(OR($Q248=1,$Q248=2),1,0),IF($X248&lt;=20,1,0))</formula>
    </cfRule>
    <cfRule type="expression" priority="3682" dxfId="2">
      <formula>AND(IF($Q248=2,1,0),IF($X248&lt;30,1,0))</formula>
    </cfRule>
    <cfRule type="expression" priority="3683" dxfId="1">
      <formula>AND(IF($Q248=3,1,0),IF($X248&lt;30,1,0))</formula>
    </cfRule>
    <cfRule type="expression" priority="3684" dxfId="0">
      <formula>AND(IF($Q248=3,1,IF($Q248=4,1,0)),IF($F248&lt;=85,1,0))</formula>
    </cfRule>
  </conditionalFormatting>
  <conditionalFormatting sqref="X248">
    <cfRule type="expression" priority="3677" dxfId="3">
      <formula>AND(IF(OR($Q248=1,$Q248=2),1,0),IF($X248&lt;=20,1,0))</formula>
    </cfRule>
    <cfRule type="expression" priority="3678" dxfId="2">
      <formula>AND(IF($Q248=2,1,0),IF($X248&lt;30,1,0))</formula>
    </cfRule>
    <cfRule type="expression" priority="3679" dxfId="1">
      <formula>AND(IF($Q248=3,1,0),IF($X248&lt;30,1,0))</formula>
    </cfRule>
    <cfRule type="expression" priority="3680" dxfId="0">
      <formula>AND(IF($Q248=3,1,IF($Q248=4,1,0)),IF($F248&lt;=85,1,0))</formula>
    </cfRule>
  </conditionalFormatting>
  <conditionalFormatting sqref="AI248">
    <cfRule type="expression" priority="3673" dxfId="3">
      <formula>AND(IF(OR($Q248=1,$Q248=2),1,0),IF($X248&lt;=20,1,0))</formula>
    </cfRule>
    <cfRule type="expression" priority="3674" dxfId="2">
      <formula>AND(IF($Q248=2,1,0),IF($X248&lt;30,1,0))</formula>
    </cfRule>
    <cfRule type="expression" priority="3675" dxfId="1">
      <formula>AND(IF($Q248=3,1,0),IF($X248&lt;30,1,0))</formula>
    </cfRule>
    <cfRule type="expression" priority="3676" dxfId="0">
      <formula>AND(IF($Q248=3,1,IF($Q248=4,1,0)),IF($F248&lt;=85,1,0))</formula>
    </cfRule>
  </conditionalFormatting>
  <conditionalFormatting sqref="AV249">
    <cfRule type="expression" priority="3671" dxfId="23">
      <formula>AV249="X"</formula>
    </cfRule>
    <cfRule type="expression" priority="3672" dxfId="22">
      <formula>AV249="후보"</formula>
    </cfRule>
  </conditionalFormatting>
  <conditionalFormatting sqref="AC2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49">
    <cfRule type="expression" priority="3663" dxfId="3">
      <formula>AND(IF(OR($Q249=1,$Q249=2),1,0),IF($X249&lt;=20,1,0))</formula>
    </cfRule>
    <cfRule type="expression" priority="3664" dxfId="2">
      <formula>AND(IF($Q249=2,1,0),IF($X249&lt;30,1,0))</formula>
    </cfRule>
    <cfRule type="expression" priority="3665" dxfId="1">
      <formula>AND(IF($Q249=3,1,0),IF($X249&lt;30,1,0))</formula>
    </cfRule>
    <cfRule type="expression" priority="3666" dxfId="0">
      <formula>AND(IF($Q249=3,1,IF($Q249=4,1,0)),IF($F249&lt;=85,1,0))</formula>
    </cfRule>
  </conditionalFormatting>
  <conditionalFormatting sqref="X249">
    <cfRule type="expression" priority="3659" dxfId="3">
      <formula>AND(IF(OR($Q249=1,$Q249=2),1,0),IF($X249&lt;=20,1,0))</formula>
    </cfRule>
    <cfRule type="expression" priority="3660" dxfId="2">
      <formula>AND(IF($Q249=2,1,0),IF($X249&lt;30,1,0))</formula>
    </cfRule>
    <cfRule type="expression" priority="3661" dxfId="1">
      <formula>AND(IF($Q249=3,1,0),IF($X249&lt;30,1,0))</formula>
    </cfRule>
    <cfRule type="expression" priority="3662" dxfId="0">
      <formula>AND(IF($Q249=3,1,IF($Q249=4,1,0)),IF($F249&lt;=85,1,0))</formula>
    </cfRule>
  </conditionalFormatting>
  <conditionalFormatting sqref="AI249">
    <cfRule type="expression" priority="3655" dxfId="3">
      <formula>AND(IF(OR($Q249=1,$Q249=2),1,0),IF($X249&lt;=20,1,0))</formula>
    </cfRule>
    <cfRule type="expression" priority="3656" dxfId="2">
      <formula>AND(IF($Q249=2,1,0),IF($X249&lt;30,1,0))</formula>
    </cfRule>
    <cfRule type="expression" priority="3657" dxfId="1">
      <formula>AND(IF($Q249=3,1,0),IF($X249&lt;30,1,0))</formula>
    </cfRule>
    <cfRule type="expression" priority="3658" dxfId="0">
      <formula>AND(IF($Q249=3,1,IF($Q249=4,1,0)),IF($F249&lt;=85,1,0))</formula>
    </cfRule>
  </conditionalFormatting>
  <conditionalFormatting sqref="AV250">
    <cfRule type="expression" priority="3653" dxfId="23">
      <formula>AV250="X"</formula>
    </cfRule>
    <cfRule type="expression" priority="3654" dxfId="22">
      <formula>AV250="후보"</formula>
    </cfRule>
  </conditionalFormatting>
  <conditionalFormatting sqref="AC2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50">
    <cfRule type="expression" priority="3645" dxfId="3">
      <formula>AND(IF(OR($Q250=1,$Q250=2),1,0),IF($X250&lt;=20,1,0))</formula>
    </cfRule>
    <cfRule type="expression" priority="3646" dxfId="2">
      <formula>AND(IF($Q250=2,1,0),IF($X250&lt;30,1,0))</formula>
    </cfRule>
    <cfRule type="expression" priority="3647" dxfId="1">
      <formula>AND(IF($Q250=3,1,0),IF($X250&lt;30,1,0))</formula>
    </cfRule>
    <cfRule type="expression" priority="3648" dxfId="0">
      <formula>AND(IF($Q250=3,1,IF($Q250=4,1,0)),IF($F250&lt;=85,1,0))</formula>
    </cfRule>
  </conditionalFormatting>
  <conditionalFormatting sqref="X250">
    <cfRule type="expression" priority="3641" dxfId="3">
      <formula>AND(IF(OR($Q250=1,$Q250=2),1,0),IF($X250&lt;=20,1,0))</formula>
    </cfRule>
    <cfRule type="expression" priority="3642" dxfId="2">
      <formula>AND(IF($Q250=2,1,0),IF($X250&lt;30,1,0))</formula>
    </cfRule>
    <cfRule type="expression" priority="3643" dxfId="1">
      <formula>AND(IF($Q250=3,1,0),IF($X250&lt;30,1,0))</formula>
    </cfRule>
    <cfRule type="expression" priority="3644" dxfId="0">
      <formula>AND(IF($Q250=3,1,IF($Q250=4,1,0)),IF($F250&lt;=85,1,0))</formula>
    </cfRule>
  </conditionalFormatting>
  <conditionalFormatting sqref="AI250">
    <cfRule type="expression" priority="3637" dxfId="3">
      <formula>AND(IF(OR($Q250=1,$Q250=2),1,0),IF($X250&lt;=20,1,0))</formula>
    </cfRule>
    <cfRule type="expression" priority="3638" dxfId="2">
      <formula>AND(IF($Q250=2,1,0),IF($X250&lt;30,1,0))</formula>
    </cfRule>
    <cfRule type="expression" priority="3639" dxfId="1">
      <formula>AND(IF($Q250=3,1,0),IF($X250&lt;30,1,0))</formula>
    </cfRule>
    <cfRule type="expression" priority="3640" dxfId="0">
      <formula>AND(IF($Q250=3,1,IF($Q250=4,1,0)),IF($F250&lt;=85,1,0))</formula>
    </cfRule>
  </conditionalFormatting>
  <conditionalFormatting sqref="AV251">
    <cfRule type="expression" priority="3635" dxfId="23">
      <formula>AV251="X"</formula>
    </cfRule>
    <cfRule type="expression" priority="3636" dxfId="22">
      <formula>AV251="후보"</formula>
    </cfRule>
  </conditionalFormatting>
  <conditionalFormatting sqref="AC2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51">
    <cfRule type="expression" priority="3627" dxfId="3">
      <formula>AND(IF(OR($Q251=1,$Q251=2),1,0),IF($X251&lt;=20,1,0))</formula>
    </cfRule>
    <cfRule type="expression" priority="3628" dxfId="2">
      <formula>AND(IF($Q251=2,1,0),IF($X251&lt;30,1,0))</formula>
    </cfRule>
    <cfRule type="expression" priority="3629" dxfId="1">
      <formula>AND(IF($Q251=3,1,0),IF($X251&lt;30,1,0))</formula>
    </cfRule>
    <cfRule type="expression" priority="3630" dxfId="0">
      <formula>AND(IF($Q251=3,1,IF($Q251=4,1,0)),IF($F251&lt;=85,1,0))</formula>
    </cfRule>
  </conditionalFormatting>
  <conditionalFormatting sqref="X251">
    <cfRule type="expression" priority="3623" dxfId="3">
      <formula>AND(IF(OR($Q251=1,$Q251=2),1,0),IF($X251&lt;=20,1,0))</formula>
    </cfRule>
    <cfRule type="expression" priority="3624" dxfId="2">
      <formula>AND(IF($Q251=2,1,0),IF($X251&lt;30,1,0))</formula>
    </cfRule>
    <cfRule type="expression" priority="3625" dxfId="1">
      <formula>AND(IF($Q251=3,1,0),IF($X251&lt;30,1,0))</formula>
    </cfRule>
    <cfRule type="expression" priority="3626" dxfId="0">
      <formula>AND(IF($Q251=3,1,IF($Q251=4,1,0)),IF($F251&lt;=85,1,0))</formula>
    </cfRule>
  </conditionalFormatting>
  <conditionalFormatting sqref="AI251">
    <cfRule type="expression" priority="3619" dxfId="3">
      <formula>AND(IF(OR($Q251=1,$Q251=2),1,0),IF($X251&lt;=20,1,0))</formula>
    </cfRule>
    <cfRule type="expression" priority="3620" dxfId="2">
      <formula>AND(IF($Q251=2,1,0),IF($X251&lt;30,1,0))</formula>
    </cfRule>
    <cfRule type="expression" priority="3621" dxfId="1">
      <formula>AND(IF($Q251=3,1,0),IF($X251&lt;30,1,0))</formula>
    </cfRule>
    <cfRule type="expression" priority="3622" dxfId="0">
      <formula>AND(IF($Q251=3,1,IF($Q251=4,1,0)),IF($F251&lt;=85,1,0))</formula>
    </cfRule>
  </conditionalFormatting>
  <conditionalFormatting sqref="AV252">
    <cfRule type="expression" priority="3617" dxfId="23">
      <formula>AV252="X"</formula>
    </cfRule>
    <cfRule type="expression" priority="3618" dxfId="22">
      <formula>AV252="후보"</formula>
    </cfRule>
  </conditionalFormatting>
  <conditionalFormatting sqref="AC2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52">
    <cfRule type="expression" priority="3609" dxfId="3">
      <formula>AND(IF(OR($Q252=1,$Q252=2),1,0),IF($X252&lt;=20,1,0))</formula>
    </cfRule>
    <cfRule type="expression" priority="3610" dxfId="2">
      <formula>AND(IF($Q252=2,1,0),IF($X252&lt;30,1,0))</formula>
    </cfRule>
    <cfRule type="expression" priority="3611" dxfId="1">
      <formula>AND(IF($Q252=3,1,0),IF($X252&lt;30,1,0))</formula>
    </cfRule>
    <cfRule type="expression" priority="3612" dxfId="0">
      <formula>AND(IF($Q252=3,1,IF($Q252=4,1,0)),IF($F252&lt;=85,1,0))</formula>
    </cfRule>
  </conditionalFormatting>
  <conditionalFormatting sqref="X252">
    <cfRule type="expression" priority="3605" dxfId="3">
      <formula>AND(IF(OR($Q252=1,$Q252=2),1,0),IF($X252&lt;=20,1,0))</formula>
    </cfRule>
    <cfRule type="expression" priority="3606" dxfId="2">
      <formula>AND(IF($Q252=2,1,0),IF($X252&lt;30,1,0))</formula>
    </cfRule>
    <cfRule type="expression" priority="3607" dxfId="1">
      <formula>AND(IF($Q252=3,1,0),IF($X252&lt;30,1,0))</formula>
    </cfRule>
    <cfRule type="expression" priority="3608" dxfId="0">
      <formula>AND(IF($Q252=3,1,IF($Q252=4,1,0)),IF($F252&lt;=85,1,0))</formula>
    </cfRule>
  </conditionalFormatting>
  <conditionalFormatting sqref="AI252">
    <cfRule type="expression" priority="3601" dxfId="3">
      <formula>AND(IF(OR($Q252=1,$Q252=2),1,0),IF($X252&lt;=20,1,0))</formula>
    </cfRule>
    <cfRule type="expression" priority="3602" dxfId="2">
      <formula>AND(IF($Q252=2,1,0),IF($X252&lt;30,1,0))</formula>
    </cfRule>
    <cfRule type="expression" priority="3603" dxfId="1">
      <formula>AND(IF($Q252=3,1,0),IF($X252&lt;30,1,0))</formula>
    </cfRule>
    <cfRule type="expression" priority="3604" dxfId="0">
      <formula>AND(IF($Q252=3,1,IF($Q252=4,1,0)),IF($F252&lt;=85,1,0))</formula>
    </cfRule>
  </conditionalFormatting>
  <conditionalFormatting sqref="AV253">
    <cfRule type="expression" priority="3599" dxfId="23">
      <formula>AV253="X"</formula>
    </cfRule>
    <cfRule type="expression" priority="3600" dxfId="22">
      <formula>AV253="후보"</formula>
    </cfRule>
  </conditionalFormatting>
  <conditionalFormatting sqref="AC2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53">
    <cfRule type="expression" priority="3591" dxfId="3">
      <formula>AND(IF(OR($Q253=1,$Q253=2),1,0),IF($X253&lt;=20,1,0))</formula>
    </cfRule>
    <cfRule type="expression" priority="3592" dxfId="2">
      <formula>AND(IF($Q253=2,1,0),IF($X253&lt;30,1,0))</formula>
    </cfRule>
    <cfRule type="expression" priority="3593" dxfId="1">
      <formula>AND(IF($Q253=3,1,0),IF($X253&lt;30,1,0))</formula>
    </cfRule>
    <cfRule type="expression" priority="3594" dxfId="0">
      <formula>AND(IF($Q253=3,1,IF($Q253=4,1,0)),IF($F253&lt;=85,1,0))</formula>
    </cfRule>
  </conditionalFormatting>
  <conditionalFormatting sqref="X253">
    <cfRule type="expression" priority="3587" dxfId="3">
      <formula>AND(IF(OR($Q253=1,$Q253=2),1,0),IF($X253&lt;=20,1,0))</formula>
    </cfRule>
    <cfRule type="expression" priority="3588" dxfId="2">
      <formula>AND(IF($Q253=2,1,0),IF($X253&lt;30,1,0))</formula>
    </cfRule>
    <cfRule type="expression" priority="3589" dxfId="1">
      <formula>AND(IF($Q253=3,1,0),IF($X253&lt;30,1,0))</formula>
    </cfRule>
    <cfRule type="expression" priority="3590" dxfId="0">
      <formula>AND(IF($Q253=3,1,IF($Q253=4,1,0)),IF($F253&lt;=85,1,0))</formula>
    </cfRule>
  </conditionalFormatting>
  <conditionalFormatting sqref="AI253">
    <cfRule type="expression" priority="3583" dxfId="3">
      <formula>AND(IF(OR($Q253=1,$Q253=2),1,0),IF($X253&lt;=20,1,0))</formula>
    </cfRule>
    <cfRule type="expression" priority="3584" dxfId="2">
      <formula>AND(IF($Q253=2,1,0),IF($X253&lt;30,1,0))</formula>
    </cfRule>
    <cfRule type="expression" priority="3585" dxfId="1">
      <formula>AND(IF($Q253=3,1,0),IF($X253&lt;30,1,0))</formula>
    </cfRule>
    <cfRule type="expression" priority="3586" dxfId="0">
      <formula>AND(IF($Q253=3,1,IF($Q253=4,1,0)),IF($F253&lt;=85,1,0))</formula>
    </cfRule>
  </conditionalFormatting>
  <conditionalFormatting sqref="AV254">
    <cfRule type="expression" priority="3581" dxfId="23">
      <formula>AV254="X"</formula>
    </cfRule>
    <cfRule type="expression" priority="3582" dxfId="22">
      <formula>AV254="후보"</formula>
    </cfRule>
  </conditionalFormatting>
  <conditionalFormatting sqref="AC2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54">
    <cfRule type="expression" priority="3573" dxfId="3">
      <formula>AND(IF(OR($Q254=1,$Q254=2),1,0),IF($X254&lt;=20,1,0))</formula>
    </cfRule>
    <cfRule type="expression" priority="3574" dxfId="2">
      <formula>AND(IF($Q254=2,1,0),IF($X254&lt;30,1,0))</formula>
    </cfRule>
    <cfRule type="expression" priority="3575" dxfId="1">
      <formula>AND(IF($Q254=3,1,0),IF($X254&lt;30,1,0))</formula>
    </cfRule>
    <cfRule type="expression" priority="3576" dxfId="0">
      <formula>AND(IF($Q254=3,1,IF($Q254=4,1,0)),IF($F254&lt;=85,1,0))</formula>
    </cfRule>
  </conditionalFormatting>
  <conditionalFormatting sqref="X254">
    <cfRule type="expression" priority="3569" dxfId="3">
      <formula>AND(IF(OR($Q254=1,$Q254=2),1,0),IF($X254&lt;=20,1,0))</formula>
    </cfRule>
    <cfRule type="expression" priority="3570" dxfId="2">
      <formula>AND(IF($Q254=2,1,0),IF($X254&lt;30,1,0))</formula>
    </cfRule>
    <cfRule type="expression" priority="3571" dxfId="1">
      <formula>AND(IF($Q254=3,1,0),IF($X254&lt;30,1,0))</formula>
    </cfRule>
    <cfRule type="expression" priority="3572" dxfId="0">
      <formula>AND(IF($Q254=3,1,IF($Q254=4,1,0)),IF($F254&lt;=85,1,0))</formula>
    </cfRule>
  </conditionalFormatting>
  <conditionalFormatting sqref="AI254">
    <cfRule type="expression" priority="3565" dxfId="3">
      <formula>AND(IF(OR($Q254=1,$Q254=2),1,0),IF($X254&lt;=20,1,0))</formula>
    </cfRule>
    <cfRule type="expression" priority="3566" dxfId="2">
      <formula>AND(IF($Q254=2,1,0),IF($X254&lt;30,1,0))</formula>
    </cfRule>
    <cfRule type="expression" priority="3567" dxfId="1">
      <formula>AND(IF($Q254=3,1,0),IF($X254&lt;30,1,0))</formula>
    </cfRule>
    <cfRule type="expression" priority="3568" dxfId="0">
      <formula>AND(IF($Q254=3,1,IF($Q254=4,1,0)),IF($F254&lt;=85,1,0))</formula>
    </cfRule>
  </conditionalFormatting>
  <conditionalFormatting sqref="AV255">
    <cfRule type="expression" priority="3563" dxfId="23">
      <formula>AV255="X"</formula>
    </cfRule>
    <cfRule type="expression" priority="3564" dxfId="22">
      <formula>AV255="후보"</formula>
    </cfRule>
  </conditionalFormatting>
  <conditionalFormatting sqref="AC2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55">
    <cfRule type="expression" priority="3555" dxfId="3">
      <formula>AND(IF(OR($Q255=1,$Q255=2),1,0),IF($X255&lt;=20,1,0))</formula>
    </cfRule>
    <cfRule type="expression" priority="3556" dxfId="2">
      <formula>AND(IF($Q255=2,1,0),IF($X255&lt;30,1,0))</formula>
    </cfRule>
    <cfRule type="expression" priority="3557" dxfId="1">
      <formula>AND(IF($Q255=3,1,0),IF($X255&lt;30,1,0))</formula>
    </cfRule>
    <cfRule type="expression" priority="3558" dxfId="0">
      <formula>AND(IF($Q255=3,1,IF($Q255=4,1,0)),IF($F255&lt;=85,1,0))</formula>
    </cfRule>
  </conditionalFormatting>
  <conditionalFormatting sqref="X255">
    <cfRule type="expression" priority="3551" dxfId="3">
      <formula>AND(IF(OR($Q255=1,$Q255=2),1,0),IF($X255&lt;=20,1,0))</formula>
    </cfRule>
    <cfRule type="expression" priority="3552" dxfId="2">
      <formula>AND(IF($Q255=2,1,0),IF($X255&lt;30,1,0))</formula>
    </cfRule>
    <cfRule type="expression" priority="3553" dxfId="1">
      <formula>AND(IF($Q255=3,1,0),IF($X255&lt;30,1,0))</formula>
    </cfRule>
    <cfRule type="expression" priority="3554" dxfId="0">
      <formula>AND(IF($Q255=3,1,IF($Q255=4,1,0)),IF($F255&lt;=85,1,0))</formula>
    </cfRule>
  </conditionalFormatting>
  <conditionalFormatting sqref="AI255">
    <cfRule type="expression" priority="3547" dxfId="3">
      <formula>AND(IF(OR($Q255=1,$Q255=2),1,0),IF($X255&lt;=20,1,0))</formula>
    </cfRule>
    <cfRule type="expression" priority="3548" dxfId="2">
      <formula>AND(IF($Q255=2,1,0),IF($X255&lt;30,1,0))</formula>
    </cfRule>
    <cfRule type="expression" priority="3549" dxfId="1">
      <formula>AND(IF($Q255=3,1,0),IF($X255&lt;30,1,0))</formula>
    </cfRule>
    <cfRule type="expression" priority="3550" dxfId="0">
      <formula>AND(IF($Q255=3,1,IF($Q255=4,1,0)),IF($F255&lt;=85,1,0))</formula>
    </cfRule>
  </conditionalFormatting>
  <conditionalFormatting sqref="AV256">
    <cfRule type="expression" priority="3545" dxfId="23">
      <formula>AV256="X"</formula>
    </cfRule>
    <cfRule type="expression" priority="3546" dxfId="22">
      <formula>AV256="후보"</formula>
    </cfRule>
  </conditionalFormatting>
  <conditionalFormatting sqref="AC2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6">
    <cfRule type="expression" priority="3537" dxfId="3">
      <formula>AND(IF(OR($Q256=1,$Q256=2),1,0),IF($X256&lt;=20,1,0))</formula>
    </cfRule>
    <cfRule type="expression" priority="3538" dxfId="2">
      <formula>AND(IF($Q256=2,1,0),IF($X256&lt;30,1,0))</formula>
    </cfRule>
    <cfRule type="expression" priority="3539" dxfId="1">
      <formula>AND(IF($Q256=3,1,0),IF($X256&lt;30,1,0))</formula>
    </cfRule>
    <cfRule type="expression" priority="3540" dxfId="0">
      <formula>AND(IF($Q256=3,1,IF($Q256=4,1,0)),IF($F256&lt;=85,1,0))</formula>
    </cfRule>
  </conditionalFormatting>
  <conditionalFormatting sqref="X256">
    <cfRule type="expression" priority="3533" dxfId="3">
      <formula>AND(IF(OR($Q256=1,$Q256=2),1,0),IF($X256&lt;=20,1,0))</formula>
    </cfRule>
    <cfRule type="expression" priority="3534" dxfId="2">
      <formula>AND(IF($Q256=2,1,0),IF($X256&lt;30,1,0))</formula>
    </cfRule>
    <cfRule type="expression" priority="3535" dxfId="1">
      <formula>AND(IF($Q256=3,1,0),IF($X256&lt;30,1,0))</formula>
    </cfRule>
    <cfRule type="expression" priority="3536" dxfId="0">
      <formula>AND(IF($Q256=3,1,IF($Q256=4,1,0)),IF($F256&lt;=85,1,0))</formula>
    </cfRule>
  </conditionalFormatting>
  <conditionalFormatting sqref="AI256">
    <cfRule type="expression" priority="3529" dxfId="3">
      <formula>AND(IF(OR($Q256=1,$Q256=2),1,0),IF($X256&lt;=20,1,0))</formula>
    </cfRule>
    <cfRule type="expression" priority="3530" dxfId="2">
      <formula>AND(IF($Q256=2,1,0),IF($X256&lt;30,1,0))</formula>
    </cfRule>
    <cfRule type="expression" priority="3531" dxfId="1">
      <formula>AND(IF($Q256=3,1,0),IF($X256&lt;30,1,0))</formula>
    </cfRule>
    <cfRule type="expression" priority="3532" dxfId="0">
      <formula>AND(IF($Q256=3,1,IF($Q256=4,1,0)),IF($F256&lt;=85,1,0))</formula>
    </cfRule>
  </conditionalFormatting>
  <conditionalFormatting sqref="AV257">
    <cfRule type="expression" priority="3527" dxfId="23">
      <formula>AV257="X"</formula>
    </cfRule>
    <cfRule type="expression" priority="3528" dxfId="22">
      <formula>AV257="후보"</formula>
    </cfRule>
  </conditionalFormatting>
  <conditionalFormatting sqref="AC2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57">
    <cfRule type="expression" priority="3519" dxfId="3">
      <formula>AND(IF(OR($Q257=1,$Q257=2),1,0),IF($X257&lt;=20,1,0))</formula>
    </cfRule>
    <cfRule type="expression" priority="3520" dxfId="2">
      <formula>AND(IF($Q257=2,1,0),IF($X257&lt;30,1,0))</formula>
    </cfRule>
    <cfRule type="expression" priority="3521" dxfId="1">
      <formula>AND(IF($Q257=3,1,0),IF($X257&lt;30,1,0))</formula>
    </cfRule>
    <cfRule type="expression" priority="3522" dxfId="0">
      <formula>AND(IF($Q257=3,1,IF($Q257=4,1,0)),IF($F257&lt;=85,1,0))</formula>
    </cfRule>
  </conditionalFormatting>
  <conditionalFormatting sqref="X257">
    <cfRule type="expression" priority="3515" dxfId="3">
      <formula>AND(IF(OR($Q257=1,$Q257=2),1,0),IF($X257&lt;=20,1,0))</formula>
    </cfRule>
    <cfRule type="expression" priority="3516" dxfId="2">
      <formula>AND(IF($Q257=2,1,0),IF($X257&lt;30,1,0))</formula>
    </cfRule>
    <cfRule type="expression" priority="3517" dxfId="1">
      <formula>AND(IF($Q257=3,1,0),IF($X257&lt;30,1,0))</formula>
    </cfRule>
    <cfRule type="expression" priority="3518" dxfId="0">
      <formula>AND(IF($Q257=3,1,IF($Q257=4,1,0)),IF($F257&lt;=85,1,0))</formula>
    </cfRule>
  </conditionalFormatting>
  <conditionalFormatting sqref="AI257">
    <cfRule type="expression" priority="3511" dxfId="3">
      <formula>AND(IF(OR($Q257=1,$Q257=2),1,0),IF($X257&lt;=20,1,0))</formula>
    </cfRule>
    <cfRule type="expression" priority="3512" dxfId="2">
      <formula>AND(IF($Q257=2,1,0),IF($X257&lt;30,1,0))</formula>
    </cfRule>
    <cfRule type="expression" priority="3513" dxfId="1">
      <formula>AND(IF($Q257=3,1,0),IF($X257&lt;30,1,0))</formula>
    </cfRule>
    <cfRule type="expression" priority="3514" dxfId="0">
      <formula>AND(IF($Q257=3,1,IF($Q257=4,1,0)),IF($F257&lt;=85,1,0))</formula>
    </cfRule>
  </conditionalFormatting>
  <conditionalFormatting sqref="AV258">
    <cfRule type="expression" priority="3509" dxfId="23">
      <formula>AV258="X"</formula>
    </cfRule>
    <cfRule type="expression" priority="3510" dxfId="22">
      <formula>AV258="후보"</formula>
    </cfRule>
  </conditionalFormatting>
  <conditionalFormatting sqref="AC2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58">
    <cfRule type="expression" priority="3501" dxfId="3">
      <formula>AND(IF(OR($Q258=1,$Q258=2),1,0),IF($X258&lt;=20,1,0))</formula>
    </cfRule>
    <cfRule type="expression" priority="3502" dxfId="2">
      <formula>AND(IF($Q258=2,1,0),IF($X258&lt;30,1,0))</formula>
    </cfRule>
    <cfRule type="expression" priority="3503" dxfId="1">
      <formula>AND(IF($Q258=3,1,0),IF($X258&lt;30,1,0))</formula>
    </cfRule>
    <cfRule type="expression" priority="3504" dxfId="0">
      <formula>AND(IF($Q258=3,1,IF($Q258=4,1,0)),IF($F258&lt;=85,1,0))</formula>
    </cfRule>
  </conditionalFormatting>
  <conditionalFormatting sqref="X258">
    <cfRule type="expression" priority="3497" dxfId="3">
      <formula>AND(IF(OR($Q258=1,$Q258=2),1,0),IF($X258&lt;=20,1,0))</formula>
    </cfRule>
    <cfRule type="expression" priority="3498" dxfId="2">
      <formula>AND(IF($Q258=2,1,0),IF($X258&lt;30,1,0))</formula>
    </cfRule>
    <cfRule type="expression" priority="3499" dxfId="1">
      <formula>AND(IF($Q258=3,1,0),IF($X258&lt;30,1,0))</formula>
    </cfRule>
    <cfRule type="expression" priority="3500" dxfId="0">
      <formula>AND(IF($Q258=3,1,IF($Q258=4,1,0)),IF($F258&lt;=85,1,0))</formula>
    </cfRule>
  </conditionalFormatting>
  <conditionalFormatting sqref="AI258">
    <cfRule type="expression" priority="3493" dxfId="3">
      <formula>AND(IF(OR($Q258=1,$Q258=2),1,0),IF($X258&lt;=20,1,0))</formula>
    </cfRule>
    <cfRule type="expression" priority="3494" dxfId="2">
      <formula>AND(IF($Q258=2,1,0),IF($X258&lt;30,1,0))</formula>
    </cfRule>
    <cfRule type="expression" priority="3495" dxfId="1">
      <formula>AND(IF($Q258=3,1,0),IF($X258&lt;30,1,0))</formula>
    </cfRule>
    <cfRule type="expression" priority="3496" dxfId="0">
      <formula>AND(IF($Q258=3,1,IF($Q258=4,1,0)),IF($F258&lt;=85,1,0))</formula>
    </cfRule>
  </conditionalFormatting>
  <conditionalFormatting sqref="AV259">
    <cfRule type="expression" priority="3491" dxfId="23">
      <formula>AV259="X"</formula>
    </cfRule>
    <cfRule type="expression" priority="3492" dxfId="22">
      <formula>AV259="후보"</formula>
    </cfRule>
  </conditionalFormatting>
  <conditionalFormatting sqref="AC2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59">
    <cfRule type="expression" priority="3483" dxfId="3">
      <formula>AND(IF(OR($Q259=1,$Q259=2),1,0),IF($X259&lt;=20,1,0))</formula>
    </cfRule>
    <cfRule type="expression" priority="3484" dxfId="2">
      <formula>AND(IF($Q259=2,1,0),IF($X259&lt;30,1,0))</formula>
    </cfRule>
    <cfRule type="expression" priority="3485" dxfId="1">
      <formula>AND(IF($Q259=3,1,0),IF($X259&lt;30,1,0))</formula>
    </cfRule>
    <cfRule type="expression" priority="3486" dxfId="0">
      <formula>AND(IF($Q259=3,1,IF($Q259=4,1,0)),IF($F259&lt;=85,1,0))</formula>
    </cfRule>
  </conditionalFormatting>
  <conditionalFormatting sqref="X259">
    <cfRule type="expression" priority="3479" dxfId="3">
      <formula>AND(IF(OR($Q259=1,$Q259=2),1,0),IF($X259&lt;=20,1,0))</formula>
    </cfRule>
    <cfRule type="expression" priority="3480" dxfId="2">
      <formula>AND(IF($Q259=2,1,0),IF($X259&lt;30,1,0))</formula>
    </cfRule>
    <cfRule type="expression" priority="3481" dxfId="1">
      <formula>AND(IF($Q259=3,1,0),IF($X259&lt;30,1,0))</formula>
    </cfRule>
    <cfRule type="expression" priority="3482" dxfId="0">
      <formula>AND(IF($Q259=3,1,IF($Q259=4,1,0)),IF($F259&lt;=85,1,0))</formula>
    </cfRule>
  </conditionalFormatting>
  <conditionalFormatting sqref="AI259">
    <cfRule type="expression" priority="3475" dxfId="3">
      <formula>AND(IF(OR($Q259=1,$Q259=2),1,0),IF($X259&lt;=20,1,0))</formula>
    </cfRule>
    <cfRule type="expression" priority="3476" dxfId="2">
      <formula>AND(IF($Q259=2,1,0),IF($X259&lt;30,1,0))</formula>
    </cfRule>
    <cfRule type="expression" priority="3477" dxfId="1">
      <formula>AND(IF($Q259=3,1,0),IF($X259&lt;30,1,0))</formula>
    </cfRule>
    <cfRule type="expression" priority="3478" dxfId="0">
      <formula>AND(IF($Q259=3,1,IF($Q259=4,1,0)),IF($F259&lt;=85,1,0))</formula>
    </cfRule>
  </conditionalFormatting>
  <conditionalFormatting sqref="AV260">
    <cfRule type="expression" priority="3473" dxfId="23">
      <formula>AV260="X"</formula>
    </cfRule>
    <cfRule type="expression" priority="3474" dxfId="22">
      <formula>AV260="후보"</formula>
    </cfRule>
  </conditionalFormatting>
  <conditionalFormatting sqref="AC2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60">
    <cfRule type="expression" priority="3465" dxfId="3">
      <formula>AND(IF(OR($Q260=1,$Q260=2),1,0),IF($X260&lt;=20,1,0))</formula>
    </cfRule>
    <cfRule type="expression" priority="3466" dxfId="2">
      <formula>AND(IF($Q260=2,1,0),IF($X260&lt;30,1,0))</formula>
    </cfRule>
    <cfRule type="expression" priority="3467" dxfId="1">
      <formula>AND(IF($Q260=3,1,0),IF($X260&lt;30,1,0))</formula>
    </cfRule>
    <cfRule type="expression" priority="3468" dxfId="0">
      <formula>AND(IF($Q260=3,1,IF($Q260=4,1,0)),IF($F260&lt;=85,1,0))</formula>
    </cfRule>
  </conditionalFormatting>
  <conditionalFormatting sqref="X260">
    <cfRule type="expression" priority="3461" dxfId="3">
      <formula>AND(IF(OR($Q260=1,$Q260=2),1,0),IF($X260&lt;=20,1,0))</formula>
    </cfRule>
    <cfRule type="expression" priority="3462" dxfId="2">
      <formula>AND(IF($Q260=2,1,0),IF($X260&lt;30,1,0))</formula>
    </cfRule>
    <cfRule type="expression" priority="3463" dxfId="1">
      <formula>AND(IF($Q260=3,1,0),IF($X260&lt;30,1,0))</formula>
    </cfRule>
    <cfRule type="expression" priority="3464" dxfId="0">
      <formula>AND(IF($Q260=3,1,IF($Q260=4,1,0)),IF($F260&lt;=85,1,0))</formula>
    </cfRule>
  </conditionalFormatting>
  <conditionalFormatting sqref="AI260">
    <cfRule type="expression" priority="3457" dxfId="3">
      <formula>AND(IF(OR($Q260=1,$Q260=2),1,0),IF($X260&lt;=20,1,0))</formula>
    </cfRule>
    <cfRule type="expression" priority="3458" dxfId="2">
      <formula>AND(IF($Q260=2,1,0),IF($X260&lt;30,1,0))</formula>
    </cfRule>
    <cfRule type="expression" priority="3459" dxfId="1">
      <formula>AND(IF($Q260=3,1,0),IF($X260&lt;30,1,0))</formula>
    </cfRule>
    <cfRule type="expression" priority="3460" dxfId="0">
      <formula>AND(IF($Q260=3,1,IF($Q260=4,1,0)),IF($F260&lt;=85,1,0))</formula>
    </cfRule>
  </conditionalFormatting>
  <conditionalFormatting sqref="AV261">
    <cfRule type="expression" priority="3455" dxfId="23">
      <formula>AV261="X"</formula>
    </cfRule>
    <cfRule type="expression" priority="3456" dxfId="22">
      <formula>AV261="후보"</formula>
    </cfRule>
  </conditionalFormatting>
  <conditionalFormatting sqref="AC2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61">
    <cfRule type="expression" priority="3447" dxfId="3">
      <formula>AND(IF(OR($Q261=1,$Q261=2),1,0),IF($X261&lt;=20,1,0))</formula>
    </cfRule>
    <cfRule type="expression" priority="3448" dxfId="2">
      <formula>AND(IF($Q261=2,1,0),IF($X261&lt;30,1,0))</formula>
    </cfRule>
    <cfRule type="expression" priority="3449" dxfId="1">
      <formula>AND(IF($Q261=3,1,0),IF($X261&lt;30,1,0))</formula>
    </cfRule>
    <cfRule type="expression" priority="3450" dxfId="0">
      <formula>AND(IF($Q261=3,1,IF($Q261=4,1,0)),IF($F261&lt;=85,1,0))</formula>
    </cfRule>
  </conditionalFormatting>
  <conditionalFormatting sqref="X261">
    <cfRule type="expression" priority="3443" dxfId="3">
      <formula>AND(IF(OR($Q261=1,$Q261=2),1,0),IF($X261&lt;=20,1,0))</formula>
    </cfRule>
    <cfRule type="expression" priority="3444" dxfId="2">
      <formula>AND(IF($Q261=2,1,0),IF($X261&lt;30,1,0))</formula>
    </cfRule>
    <cfRule type="expression" priority="3445" dxfId="1">
      <formula>AND(IF($Q261=3,1,0),IF($X261&lt;30,1,0))</formula>
    </cfRule>
    <cfRule type="expression" priority="3446" dxfId="0">
      <formula>AND(IF($Q261=3,1,IF($Q261=4,1,0)),IF($F261&lt;=85,1,0))</formula>
    </cfRule>
  </conditionalFormatting>
  <conditionalFormatting sqref="AI261">
    <cfRule type="expression" priority="3439" dxfId="3">
      <formula>AND(IF(OR($Q261=1,$Q261=2),1,0),IF($X261&lt;=20,1,0))</formula>
    </cfRule>
    <cfRule type="expression" priority="3440" dxfId="2">
      <formula>AND(IF($Q261=2,1,0),IF($X261&lt;30,1,0))</formula>
    </cfRule>
    <cfRule type="expression" priority="3441" dxfId="1">
      <formula>AND(IF($Q261=3,1,0),IF($X261&lt;30,1,0))</formula>
    </cfRule>
    <cfRule type="expression" priority="3442" dxfId="0">
      <formula>AND(IF($Q261=3,1,IF($Q261=4,1,0)),IF($F261&lt;=85,1,0))</formula>
    </cfRule>
  </conditionalFormatting>
  <conditionalFormatting sqref="AV262">
    <cfRule type="expression" priority="3437" dxfId="23">
      <formula>AV262="X"</formula>
    </cfRule>
    <cfRule type="expression" priority="3438" dxfId="22">
      <formula>AV262="후보"</formula>
    </cfRule>
  </conditionalFormatting>
  <conditionalFormatting sqref="AC2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62">
    <cfRule type="expression" priority="3429" dxfId="3">
      <formula>AND(IF(OR($Q262=1,$Q262=2),1,0),IF($X262&lt;=20,1,0))</formula>
    </cfRule>
    <cfRule type="expression" priority="3430" dxfId="2">
      <formula>AND(IF($Q262=2,1,0),IF($X262&lt;30,1,0))</formula>
    </cfRule>
    <cfRule type="expression" priority="3431" dxfId="1">
      <formula>AND(IF($Q262=3,1,0),IF($X262&lt;30,1,0))</formula>
    </cfRule>
    <cfRule type="expression" priority="3432" dxfId="0">
      <formula>AND(IF($Q262=3,1,IF($Q262=4,1,0)),IF($F262&lt;=85,1,0))</formula>
    </cfRule>
  </conditionalFormatting>
  <conditionalFormatting sqref="X262">
    <cfRule type="expression" priority="3425" dxfId="3">
      <formula>AND(IF(OR($Q262=1,$Q262=2),1,0),IF($X262&lt;=20,1,0))</formula>
    </cfRule>
    <cfRule type="expression" priority="3426" dxfId="2">
      <formula>AND(IF($Q262=2,1,0),IF($X262&lt;30,1,0))</formula>
    </cfRule>
    <cfRule type="expression" priority="3427" dxfId="1">
      <formula>AND(IF($Q262=3,1,0),IF($X262&lt;30,1,0))</formula>
    </cfRule>
    <cfRule type="expression" priority="3428" dxfId="0">
      <formula>AND(IF($Q262=3,1,IF($Q262=4,1,0)),IF($F262&lt;=85,1,0))</formula>
    </cfRule>
  </conditionalFormatting>
  <conditionalFormatting sqref="AI262">
    <cfRule type="expression" priority="3421" dxfId="3">
      <formula>AND(IF(OR($Q262=1,$Q262=2),1,0),IF($X262&lt;=20,1,0))</formula>
    </cfRule>
    <cfRule type="expression" priority="3422" dxfId="2">
      <formula>AND(IF($Q262=2,1,0),IF($X262&lt;30,1,0))</formula>
    </cfRule>
    <cfRule type="expression" priority="3423" dxfId="1">
      <formula>AND(IF($Q262=3,1,0),IF($X262&lt;30,1,0))</formula>
    </cfRule>
    <cfRule type="expression" priority="3424" dxfId="0">
      <formula>AND(IF($Q262=3,1,IF($Q262=4,1,0)),IF($F262&lt;=85,1,0))</formula>
    </cfRule>
  </conditionalFormatting>
  <conditionalFormatting sqref="AV263">
    <cfRule type="expression" priority="3419" dxfId="23">
      <formula>AV263="X"</formula>
    </cfRule>
    <cfRule type="expression" priority="3420" dxfId="22">
      <formula>AV263="후보"</formula>
    </cfRule>
  </conditionalFormatting>
  <conditionalFormatting sqref="AC2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63">
    <cfRule type="expression" priority="3411" dxfId="3">
      <formula>AND(IF(OR($Q263=1,$Q263=2),1,0),IF($X263&lt;=20,1,0))</formula>
    </cfRule>
    <cfRule type="expression" priority="3412" dxfId="2">
      <formula>AND(IF($Q263=2,1,0),IF($X263&lt;30,1,0))</formula>
    </cfRule>
    <cfRule type="expression" priority="3413" dxfId="1">
      <formula>AND(IF($Q263=3,1,0),IF($X263&lt;30,1,0))</formula>
    </cfRule>
    <cfRule type="expression" priority="3414" dxfId="0">
      <formula>AND(IF($Q263=3,1,IF($Q263=4,1,0)),IF($F263&lt;=85,1,0))</formula>
    </cfRule>
  </conditionalFormatting>
  <conditionalFormatting sqref="X263">
    <cfRule type="expression" priority="3407" dxfId="3">
      <formula>AND(IF(OR($Q263=1,$Q263=2),1,0),IF($X263&lt;=20,1,0))</formula>
    </cfRule>
    <cfRule type="expression" priority="3408" dxfId="2">
      <formula>AND(IF($Q263=2,1,0),IF($X263&lt;30,1,0))</formula>
    </cfRule>
    <cfRule type="expression" priority="3409" dxfId="1">
      <formula>AND(IF($Q263=3,1,0),IF($X263&lt;30,1,0))</formula>
    </cfRule>
    <cfRule type="expression" priority="3410" dxfId="0">
      <formula>AND(IF($Q263=3,1,IF($Q263=4,1,0)),IF($F263&lt;=85,1,0))</formula>
    </cfRule>
  </conditionalFormatting>
  <conditionalFormatting sqref="AI263">
    <cfRule type="expression" priority="3403" dxfId="3">
      <formula>AND(IF(OR($Q263=1,$Q263=2),1,0),IF($X263&lt;=20,1,0))</formula>
    </cfRule>
    <cfRule type="expression" priority="3404" dxfId="2">
      <formula>AND(IF($Q263=2,1,0),IF($X263&lt;30,1,0))</formula>
    </cfRule>
    <cfRule type="expression" priority="3405" dxfId="1">
      <formula>AND(IF($Q263=3,1,0),IF($X263&lt;30,1,0))</formula>
    </cfRule>
    <cfRule type="expression" priority="3406" dxfId="0">
      <formula>AND(IF($Q263=3,1,IF($Q263=4,1,0)),IF($F263&lt;=85,1,0))</formula>
    </cfRule>
  </conditionalFormatting>
  <conditionalFormatting sqref="AV264">
    <cfRule type="expression" priority="3401" dxfId="23">
      <formula>AV264="X"</formula>
    </cfRule>
    <cfRule type="expression" priority="3402" dxfId="22">
      <formula>AV264="후보"</formula>
    </cfRule>
  </conditionalFormatting>
  <conditionalFormatting sqref="AC2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64">
    <cfRule type="expression" priority="3393" dxfId="3">
      <formula>AND(IF(OR($Q264=1,$Q264=2),1,0),IF($X264&lt;=20,1,0))</formula>
    </cfRule>
    <cfRule type="expression" priority="3394" dxfId="2">
      <formula>AND(IF($Q264=2,1,0),IF($X264&lt;30,1,0))</formula>
    </cfRule>
    <cfRule type="expression" priority="3395" dxfId="1">
      <formula>AND(IF($Q264=3,1,0),IF($X264&lt;30,1,0))</formula>
    </cfRule>
    <cfRule type="expression" priority="3396" dxfId="0">
      <formula>AND(IF($Q264=3,1,IF($Q264=4,1,0)),IF($F264&lt;=85,1,0))</formula>
    </cfRule>
  </conditionalFormatting>
  <conditionalFormatting sqref="X264">
    <cfRule type="expression" priority="3389" dxfId="3">
      <formula>AND(IF(OR($Q264=1,$Q264=2),1,0),IF($X264&lt;=20,1,0))</formula>
    </cfRule>
    <cfRule type="expression" priority="3390" dxfId="2">
      <formula>AND(IF($Q264=2,1,0),IF($X264&lt;30,1,0))</formula>
    </cfRule>
    <cfRule type="expression" priority="3391" dxfId="1">
      <formula>AND(IF($Q264=3,1,0),IF($X264&lt;30,1,0))</formula>
    </cfRule>
    <cfRule type="expression" priority="3392" dxfId="0">
      <formula>AND(IF($Q264=3,1,IF($Q264=4,1,0)),IF($F264&lt;=85,1,0))</formula>
    </cfRule>
  </conditionalFormatting>
  <conditionalFormatting sqref="AI264">
    <cfRule type="expression" priority="3385" dxfId="3">
      <formula>AND(IF(OR($Q264=1,$Q264=2),1,0),IF($X264&lt;=20,1,0))</formula>
    </cfRule>
    <cfRule type="expression" priority="3386" dxfId="2">
      <formula>AND(IF($Q264=2,1,0),IF($X264&lt;30,1,0))</formula>
    </cfRule>
    <cfRule type="expression" priority="3387" dxfId="1">
      <formula>AND(IF($Q264=3,1,0),IF($X264&lt;30,1,0))</formula>
    </cfRule>
    <cfRule type="expression" priority="3388" dxfId="0">
      <formula>AND(IF($Q264=3,1,IF($Q264=4,1,0)),IF($F264&lt;=85,1,0))</formula>
    </cfRule>
  </conditionalFormatting>
  <conditionalFormatting sqref="AV265">
    <cfRule type="expression" priority="3383" dxfId="23">
      <formula>AV265="X"</formula>
    </cfRule>
    <cfRule type="expression" priority="3384" dxfId="22">
      <formula>AV265="후보"</formula>
    </cfRule>
  </conditionalFormatting>
  <conditionalFormatting sqref="AC2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65">
    <cfRule type="expression" priority="3375" dxfId="3">
      <formula>AND(IF(OR($Q265=1,$Q265=2),1,0),IF($X265&lt;=20,1,0))</formula>
    </cfRule>
    <cfRule type="expression" priority="3376" dxfId="2">
      <formula>AND(IF($Q265=2,1,0),IF($X265&lt;30,1,0))</formula>
    </cfRule>
    <cfRule type="expression" priority="3377" dxfId="1">
      <formula>AND(IF($Q265=3,1,0),IF($X265&lt;30,1,0))</formula>
    </cfRule>
    <cfRule type="expression" priority="3378" dxfId="0">
      <formula>AND(IF($Q265=3,1,IF($Q265=4,1,0)),IF($F265&lt;=85,1,0))</formula>
    </cfRule>
  </conditionalFormatting>
  <conditionalFormatting sqref="X265">
    <cfRule type="expression" priority="3371" dxfId="3">
      <formula>AND(IF(OR($Q265=1,$Q265=2),1,0),IF($X265&lt;=20,1,0))</formula>
    </cfRule>
    <cfRule type="expression" priority="3372" dxfId="2">
      <formula>AND(IF($Q265=2,1,0),IF($X265&lt;30,1,0))</formula>
    </cfRule>
    <cfRule type="expression" priority="3373" dxfId="1">
      <formula>AND(IF($Q265=3,1,0),IF($X265&lt;30,1,0))</formula>
    </cfRule>
    <cfRule type="expression" priority="3374" dxfId="0">
      <formula>AND(IF($Q265=3,1,IF($Q265=4,1,0)),IF($F265&lt;=85,1,0))</formula>
    </cfRule>
  </conditionalFormatting>
  <conditionalFormatting sqref="AI265">
    <cfRule type="expression" priority="3367" dxfId="3">
      <formula>AND(IF(OR($Q265=1,$Q265=2),1,0),IF($X265&lt;=20,1,0))</formula>
    </cfRule>
    <cfRule type="expression" priority="3368" dxfId="2">
      <formula>AND(IF($Q265=2,1,0),IF($X265&lt;30,1,0))</formula>
    </cfRule>
    <cfRule type="expression" priority="3369" dxfId="1">
      <formula>AND(IF($Q265=3,1,0),IF($X265&lt;30,1,0))</formula>
    </cfRule>
    <cfRule type="expression" priority="3370" dxfId="0">
      <formula>AND(IF($Q265=3,1,IF($Q265=4,1,0)),IF($F265&lt;=85,1,0))</formula>
    </cfRule>
  </conditionalFormatting>
  <conditionalFormatting sqref="AV266">
    <cfRule type="expression" priority="3365" dxfId="23">
      <formula>AV266="X"</formula>
    </cfRule>
    <cfRule type="expression" priority="3366" dxfId="22">
      <formula>AV266="후보"</formula>
    </cfRule>
  </conditionalFormatting>
  <conditionalFormatting sqref="AC2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66">
    <cfRule type="expression" priority="3357" dxfId="3">
      <formula>AND(IF(OR($Q266=1,$Q266=2),1,0),IF($X266&lt;=20,1,0))</formula>
    </cfRule>
    <cfRule type="expression" priority="3358" dxfId="2">
      <formula>AND(IF($Q266=2,1,0),IF($X266&lt;30,1,0))</formula>
    </cfRule>
    <cfRule type="expression" priority="3359" dxfId="1">
      <formula>AND(IF($Q266=3,1,0),IF($X266&lt;30,1,0))</formula>
    </cfRule>
    <cfRule type="expression" priority="3360" dxfId="0">
      <formula>AND(IF($Q266=3,1,IF($Q266=4,1,0)),IF($F266&lt;=85,1,0))</formula>
    </cfRule>
  </conditionalFormatting>
  <conditionalFormatting sqref="X266">
    <cfRule type="expression" priority="3353" dxfId="3">
      <formula>AND(IF(OR($Q266=1,$Q266=2),1,0),IF($X266&lt;=20,1,0))</formula>
    </cfRule>
    <cfRule type="expression" priority="3354" dxfId="2">
      <formula>AND(IF($Q266=2,1,0),IF($X266&lt;30,1,0))</formula>
    </cfRule>
    <cfRule type="expression" priority="3355" dxfId="1">
      <formula>AND(IF($Q266=3,1,0),IF($X266&lt;30,1,0))</formula>
    </cfRule>
    <cfRule type="expression" priority="3356" dxfId="0">
      <formula>AND(IF($Q266=3,1,IF($Q266=4,1,0)),IF($F266&lt;=85,1,0))</formula>
    </cfRule>
  </conditionalFormatting>
  <conditionalFormatting sqref="AI266">
    <cfRule type="expression" priority="3349" dxfId="3">
      <formula>AND(IF(OR($Q266=1,$Q266=2),1,0),IF($X266&lt;=20,1,0))</formula>
    </cfRule>
    <cfRule type="expression" priority="3350" dxfId="2">
      <formula>AND(IF($Q266=2,1,0),IF($X266&lt;30,1,0))</formula>
    </cfRule>
    <cfRule type="expression" priority="3351" dxfId="1">
      <formula>AND(IF($Q266=3,1,0),IF($X266&lt;30,1,0))</formula>
    </cfRule>
    <cfRule type="expression" priority="3352" dxfId="0">
      <formula>AND(IF($Q266=3,1,IF($Q266=4,1,0)),IF($F266&lt;=85,1,0))</formula>
    </cfRule>
  </conditionalFormatting>
  <conditionalFormatting sqref="AV267">
    <cfRule type="expression" priority="3347" dxfId="23">
      <formula>AV267="X"</formula>
    </cfRule>
    <cfRule type="expression" priority="3348" dxfId="22">
      <formula>AV267="후보"</formula>
    </cfRule>
  </conditionalFormatting>
  <conditionalFormatting sqref="AC2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67">
    <cfRule type="expression" priority="3339" dxfId="3">
      <formula>AND(IF(OR($Q267=1,$Q267=2),1,0),IF($X267&lt;=20,1,0))</formula>
    </cfRule>
    <cfRule type="expression" priority="3340" dxfId="2">
      <formula>AND(IF($Q267=2,1,0),IF($X267&lt;30,1,0))</formula>
    </cfRule>
    <cfRule type="expression" priority="3341" dxfId="1">
      <formula>AND(IF($Q267=3,1,0),IF($X267&lt;30,1,0))</formula>
    </cfRule>
    <cfRule type="expression" priority="3342" dxfId="0">
      <formula>AND(IF($Q267=3,1,IF($Q267=4,1,0)),IF($F267&lt;=85,1,0))</formula>
    </cfRule>
  </conditionalFormatting>
  <conditionalFormatting sqref="X267">
    <cfRule type="expression" priority="3335" dxfId="3">
      <formula>AND(IF(OR($Q267=1,$Q267=2),1,0),IF($X267&lt;=20,1,0))</formula>
    </cfRule>
    <cfRule type="expression" priority="3336" dxfId="2">
      <formula>AND(IF($Q267=2,1,0),IF($X267&lt;30,1,0))</formula>
    </cfRule>
    <cfRule type="expression" priority="3337" dxfId="1">
      <formula>AND(IF($Q267=3,1,0),IF($X267&lt;30,1,0))</formula>
    </cfRule>
    <cfRule type="expression" priority="3338" dxfId="0">
      <formula>AND(IF($Q267=3,1,IF($Q267=4,1,0)),IF($F267&lt;=85,1,0))</formula>
    </cfRule>
  </conditionalFormatting>
  <conditionalFormatting sqref="AI267">
    <cfRule type="expression" priority="3331" dxfId="3">
      <formula>AND(IF(OR($Q267=1,$Q267=2),1,0),IF($X267&lt;=20,1,0))</formula>
    </cfRule>
    <cfRule type="expression" priority="3332" dxfId="2">
      <formula>AND(IF($Q267=2,1,0),IF($X267&lt;30,1,0))</formula>
    </cfRule>
    <cfRule type="expression" priority="3333" dxfId="1">
      <formula>AND(IF($Q267=3,1,0),IF($X267&lt;30,1,0))</formula>
    </cfRule>
    <cfRule type="expression" priority="3334" dxfId="0">
      <formula>AND(IF($Q267=3,1,IF($Q267=4,1,0)),IF($F267&lt;=85,1,0))</formula>
    </cfRule>
  </conditionalFormatting>
  <conditionalFormatting sqref="AV268">
    <cfRule type="expression" priority="3329" dxfId="23">
      <formula>AV268="X"</formula>
    </cfRule>
    <cfRule type="expression" priority="3330" dxfId="22">
      <formula>AV268="후보"</formula>
    </cfRule>
  </conditionalFormatting>
  <conditionalFormatting sqref="AC2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68">
    <cfRule type="expression" priority="3321" dxfId="3">
      <formula>AND(IF(OR($Q268=1,$Q268=2),1,0),IF($X268&lt;=20,1,0))</formula>
    </cfRule>
    <cfRule type="expression" priority="3322" dxfId="2">
      <formula>AND(IF($Q268=2,1,0),IF($X268&lt;30,1,0))</formula>
    </cfRule>
    <cfRule type="expression" priority="3323" dxfId="1">
      <formula>AND(IF($Q268=3,1,0),IF($X268&lt;30,1,0))</formula>
    </cfRule>
    <cfRule type="expression" priority="3324" dxfId="0">
      <formula>AND(IF($Q268=3,1,IF($Q268=4,1,0)),IF($F268&lt;=85,1,0))</formula>
    </cfRule>
  </conditionalFormatting>
  <conditionalFormatting sqref="X268">
    <cfRule type="expression" priority="3317" dxfId="3">
      <formula>AND(IF(OR($Q268=1,$Q268=2),1,0),IF($X268&lt;=20,1,0))</formula>
    </cfRule>
    <cfRule type="expression" priority="3318" dxfId="2">
      <formula>AND(IF($Q268=2,1,0),IF($X268&lt;30,1,0))</formula>
    </cfRule>
    <cfRule type="expression" priority="3319" dxfId="1">
      <formula>AND(IF($Q268=3,1,0),IF($X268&lt;30,1,0))</formula>
    </cfRule>
    <cfRule type="expression" priority="3320" dxfId="0">
      <formula>AND(IF($Q268=3,1,IF($Q268=4,1,0)),IF($F268&lt;=85,1,0))</formula>
    </cfRule>
  </conditionalFormatting>
  <conditionalFormatting sqref="AI268">
    <cfRule type="expression" priority="3313" dxfId="3">
      <formula>AND(IF(OR($Q268=1,$Q268=2),1,0),IF($X268&lt;=20,1,0))</formula>
    </cfRule>
    <cfRule type="expression" priority="3314" dxfId="2">
      <formula>AND(IF($Q268=2,1,0),IF($X268&lt;30,1,0))</formula>
    </cfRule>
    <cfRule type="expression" priority="3315" dxfId="1">
      <formula>AND(IF($Q268=3,1,0),IF($X268&lt;30,1,0))</formula>
    </cfRule>
    <cfRule type="expression" priority="3316" dxfId="0">
      <formula>AND(IF($Q268=3,1,IF($Q268=4,1,0)),IF($F268&lt;=85,1,0))</formula>
    </cfRule>
  </conditionalFormatting>
  <conditionalFormatting sqref="AV269">
    <cfRule type="expression" priority="3311" dxfId="23">
      <formula>AV269="X"</formula>
    </cfRule>
    <cfRule type="expression" priority="3312" dxfId="22">
      <formula>AV269="후보"</formula>
    </cfRule>
  </conditionalFormatting>
  <conditionalFormatting sqref="AC2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69">
    <cfRule type="expression" priority="3303" dxfId="3">
      <formula>AND(IF(OR($Q269=1,$Q269=2),1,0),IF($X269&lt;=20,1,0))</formula>
    </cfRule>
    <cfRule type="expression" priority="3304" dxfId="2">
      <formula>AND(IF($Q269=2,1,0),IF($X269&lt;30,1,0))</formula>
    </cfRule>
    <cfRule type="expression" priority="3305" dxfId="1">
      <formula>AND(IF($Q269=3,1,0),IF($X269&lt;30,1,0))</formula>
    </cfRule>
    <cfRule type="expression" priority="3306" dxfId="0">
      <formula>AND(IF($Q269=3,1,IF($Q269=4,1,0)),IF($F269&lt;=85,1,0))</formula>
    </cfRule>
  </conditionalFormatting>
  <conditionalFormatting sqref="X269">
    <cfRule type="expression" priority="3299" dxfId="3">
      <formula>AND(IF(OR($Q269=1,$Q269=2),1,0),IF($X269&lt;=20,1,0))</formula>
    </cfRule>
    <cfRule type="expression" priority="3300" dxfId="2">
      <formula>AND(IF($Q269=2,1,0),IF($X269&lt;30,1,0))</formula>
    </cfRule>
    <cfRule type="expression" priority="3301" dxfId="1">
      <formula>AND(IF($Q269=3,1,0),IF($X269&lt;30,1,0))</formula>
    </cfRule>
    <cfRule type="expression" priority="3302" dxfId="0">
      <formula>AND(IF($Q269=3,1,IF($Q269=4,1,0)),IF($F269&lt;=85,1,0))</formula>
    </cfRule>
  </conditionalFormatting>
  <conditionalFormatting sqref="AI269">
    <cfRule type="expression" priority="3295" dxfId="3">
      <formula>AND(IF(OR($Q269=1,$Q269=2),1,0),IF($X269&lt;=20,1,0))</formula>
    </cfRule>
    <cfRule type="expression" priority="3296" dxfId="2">
      <formula>AND(IF($Q269=2,1,0),IF($X269&lt;30,1,0))</formula>
    </cfRule>
    <cfRule type="expression" priority="3297" dxfId="1">
      <formula>AND(IF($Q269=3,1,0),IF($X269&lt;30,1,0))</formula>
    </cfRule>
    <cfRule type="expression" priority="3298" dxfId="0">
      <formula>AND(IF($Q269=3,1,IF($Q269=4,1,0)),IF($F269&lt;=85,1,0))</formula>
    </cfRule>
  </conditionalFormatting>
  <conditionalFormatting sqref="AV270">
    <cfRule type="expression" priority="3293" dxfId="23">
      <formula>AV270="X"</formula>
    </cfRule>
    <cfRule type="expression" priority="3294" dxfId="22">
      <formula>AV270="후보"</formula>
    </cfRule>
  </conditionalFormatting>
  <conditionalFormatting sqref="AC2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70">
    <cfRule type="expression" priority="3285" dxfId="3">
      <formula>AND(IF(OR($Q270=1,$Q270=2),1,0),IF($X270&lt;=20,1,0))</formula>
    </cfRule>
    <cfRule type="expression" priority="3286" dxfId="2">
      <formula>AND(IF($Q270=2,1,0),IF($X270&lt;30,1,0))</formula>
    </cfRule>
    <cfRule type="expression" priority="3287" dxfId="1">
      <formula>AND(IF($Q270=3,1,0),IF($X270&lt;30,1,0))</formula>
    </cfRule>
    <cfRule type="expression" priority="3288" dxfId="0">
      <formula>AND(IF($Q270=3,1,IF($Q270=4,1,0)),IF($F270&lt;=85,1,0))</formula>
    </cfRule>
  </conditionalFormatting>
  <conditionalFormatting sqref="X270">
    <cfRule type="expression" priority="3281" dxfId="3">
      <formula>AND(IF(OR($Q270=1,$Q270=2),1,0),IF($X270&lt;=20,1,0))</formula>
    </cfRule>
    <cfRule type="expression" priority="3282" dxfId="2">
      <formula>AND(IF($Q270=2,1,0),IF($X270&lt;30,1,0))</formula>
    </cfRule>
    <cfRule type="expression" priority="3283" dxfId="1">
      <formula>AND(IF($Q270=3,1,0),IF($X270&lt;30,1,0))</formula>
    </cfRule>
    <cfRule type="expression" priority="3284" dxfId="0">
      <formula>AND(IF($Q270=3,1,IF($Q270=4,1,0)),IF($F270&lt;=85,1,0))</formula>
    </cfRule>
  </conditionalFormatting>
  <conditionalFormatting sqref="AI270">
    <cfRule type="expression" priority="3277" dxfId="3">
      <formula>AND(IF(OR($Q270=1,$Q270=2),1,0),IF($X270&lt;=20,1,0))</formula>
    </cfRule>
    <cfRule type="expression" priority="3278" dxfId="2">
      <formula>AND(IF($Q270=2,1,0),IF($X270&lt;30,1,0))</formula>
    </cfRule>
    <cfRule type="expression" priority="3279" dxfId="1">
      <formula>AND(IF($Q270=3,1,0),IF($X270&lt;30,1,0))</formula>
    </cfRule>
    <cfRule type="expression" priority="3280" dxfId="0">
      <formula>AND(IF($Q270=3,1,IF($Q270=4,1,0)),IF($F270&lt;=85,1,0))</formula>
    </cfRule>
  </conditionalFormatting>
  <conditionalFormatting sqref="AV271">
    <cfRule type="expression" priority="3275" dxfId="23">
      <formula>AV271="X"</formula>
    </cfRule>
    <cfRule type="expression" priority="3276" dxfId="22">
      <formula>AV271="후보"</formula>
    </cfRule>
  </conditionalFormatting>
  <conditionalFormatting sqref="AC2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71">
    <cfRule type="expression" priority="3267" dxfId="3">
      <formula>AND(IF(OR($Q271=1,$Q271=2),1,0),IF($X271&lt;=20,1,0))</formula>
    </cfRule>
    <cfRule type="expression" priority="3268" dxfId="2">
      <formula>AND(IF($Q271=2,1,0),IF($X271&lt;30,1,0))</formula>
    </cfRule>
    <cfRule type="expression" priority="3269" dxfId="1">
      <formula>AND(IF($Q271=3,1,0),IF($X271&lt;30,1,0))</formula>
    </cfRule>
    <cfRule type="expression" priority="3270" dxfId="0">
      <formula>AND(IF($Q271=3,1,IF($Q271=4,1,0)),IF($F271&lt;=85,1,0))</formula>
    </cfRule>
  </conditionalFormatting>
  <conditionalFormatting sqref="X271">
    <cfRule type="expression" priority="3263" dxfId="3">
      <formula>AND(IF(OR($Q271=1,$Q271=2),1,0),IF($X271&lt;=20,1,0))</formula>
    </cfRule>
    <cfRule type="expression" priority="3264" dxfId="2">
      <formula>AND(IF($Q271=2,1,0),IF($X271&lt;30,1,0))</formula>
    </cfRule>
    <cfRule type="expression" priority="3265" dxfId="1">
      <formula>AND(IF($Q271=3,1,0),IF($X271&lt;30,1,0))</formula>
    </cfRule>
    <cfRule type="expression" priority="3266" dxfId="0">
      <formula>AND(IF($Q271=3,1,IF($Q271=4,1,0)),IF($F271&lt;=85,1,0))</formula>
    </cfRule>
  </conditionalFormatting>
  <conditionalFormatting sqref="AI271">
    <cfRule type="expression" priority="3259" dxfId="3">
      <formula>AND(IF(OR($Q271=1,$Q271=2),1,0),IF($X271&lt;=20,1,0))</formula>
    </cfRule>
    <cfRule type="expression" priority="3260" dxfId="2">
      <formula>AND(IF($Q271=2,1,0),IF($X271&lt;30,1,0))</formula>
    </cfRule>
    <cfRule type="expression" priority="3261" dxfId="1">
      <formula>AND(IF($Q271=3,1,0),IF($X271&lt;30,1,0))</formula>
    </cfRule>
    <cfRule type="expression" priority="3262" dxfId="0">
      <formula>AND(IF($Q271=3,1,IF($Q271=4,1,0)),IF($F271&lt;=85,1,0))</formula>
    </cfRule>
  </conditionalFormatting>
  <conditionalFormatting sqref="AV272">
    <cfRule type="expression" priority="3257" dxfId="23">
      <formula>AV272="X"</formula>
    </cfRule>
    <cfRule type="expression" priority="3258" dxfId="22">
      <formula>AV272="후보"</formula>
    </cfRule>
  </conditionalFormatting>
  <conditionalFormatting sqref="AC2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72">
    <cfRule type="expression" priority="3249" dxfId="3">
      <formula>AND(IF(OR($Q272=1,$Q272=2),1,0),IF($X272&lt;=20,1,0))</formula>
    </cfRule>
    <cfRule type="expression" priority="3250" dxfId="2">
      <formula>AND(IF($Q272=2,1,0),IF($X272&lt;30,1,0))</formula>
    </cfRule>
    <cfRule type="expression" priority="3251" dxfId="1">
      <formula>AND(IF($Q272=3,1,0),IF($X272&lt;30,1,0))</formula>
    </cfRule>
    <cfRule type="expression" priority="3252" dxfId="0">
      <formula>AND(IF($Q272=3,1,IF($Q272=4,1,0)),IF($F272&lt;=85,1,0))</formula>
    </cfRule>
  </conditionalFormatting>
  <conditionalFormatting sqref="X272">
    <cfRule type="expression" priority="3245" dxfId="3">
      <formula>AND(IF(OR($Q272=1,$Q272=2),1,0),IF($X272&lt;=20,1,0))</formula>
    </cfRule>
    <cfRule type="expression" priority="3246" dxfId="2">
      <formula>AND(IF($Q272=2,1,0),IF($X272&lt;30,1,0))</formula>
    </cfRule>
    <cfRule type="expression" priority="3247" dxfId="1">
      <formula>AND(IF($Q272=3,1,0),IF($X272&lt;30,1,0))</formula>
    </cfRule>
    <cfRule type="expression" priority="3248" dxfId="0">
      <formula>AND(IF($Q272=3,1,IF($Q272=4,1,0)),IF($F272&lt;=85,1,0))</formula>
    </cfRule>
  </conditionalFormatting>
  <conditionalFormatting sqref="AI272">
    <cfRule type="expression" priority="3241" dxfId="3">
      <formula>AND(IF(OR($Q272=1,$Q272=2),1,0),IF($X272&lt;=20,1,0))</formula>
    </cfRule>
    <cfRule type="expression" priority="3242" dxfId="2">
      <formula>AND(IF($Q272=2,1,0),IF($X272&lt;30,1,0))</formula>
    </cfRule>
    <cfRule type="expression" priority="3243" dxfId="1">
      <formula>AND(IF($Q272=3,1,0),IF($X272&lt;30,1,0))</formula>
    </cfRule>
    <cfRule type="expression" priority="3244" dxfId="0">
      <formula>AND(IF($Q272=3,1,IF($Q272=4,1,0)),IF($F272&lt;=85,1,0))</formula>
    </cfRule>
  </conditionalFormatting>
  <conditionalFormatting sqref="AV273">
    <cfRule type="expression" priority="3239" dxfId="23">
      <formula>AV273="X"</formula>
    </cfRule>
    <cfRule type="expression" priority="3240" dxfId="22">
      <formula>AV273="후보"</formula>
    </cfRule>
  </conditionalFormatting>
  <conditionalFormatting sqref="AC2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73">
    <cfRule type="expression" priority="3231" dxfId="3">
      <formula>AND(IF(OR($Q273=1,$Q273=2),1,0),IF($X273&lt;=20,1,0))</formula>
    </cfRule>
    <cfRule type="expression" priority="3232" dxfId="2">
      <formula>AND(IF($Q273=2,1,0),IF($X273&lt;30,1,0))</formula>
    </cfRule>
    <cfRule type="expression" priority="3233" dxfId="1">
      <formula>AND(IF($Q273=3,1,0),IF($X273&lt;30,1,0))</formula>
    </cfRule>
    <cfRule type="expression" priority="3234" dxfId="0">
      <formula>AND(IF($Q273=3,1,IF($Q273=4,1,0)),IF($F273&lt;=85,1,0))</formula>
    </cfRule>
  </conditionalFormatting>
  <conditionalFormatting sqref="X273">
    <cfRule type="expression" priority="3227" dxfId="3">
      <formula>AND(IF(OR($Q273=1,$Q273=2),1,0),IF($X273&lt;=20,1,0))</formula>
    </cfRule>
    <cfRule type="expression" priority="3228" dxfId="2">
      <formula>AND(IF($Q273=2,1,0),IF($X273&lt;30,1,0))</formula>
    </cfRule>
    <cfRule type="expression" priority="3229" dxfId="1">
      <formula>AND(IF($Q273=3,1,0),IF($X273&lt;30,1,0))</formula>
    </cfRule>
    <cfRule type="expression" priority="3230" dxfId="0">
      <formula>AND(IF($Q273=3,1,IF($Q273=4,1,0)),IF($F273&lt;=85,1,0))</formula>
    </cfRule>
  </conditionalFormatting>
  <conditionalFormatting sqref="AI273">
    <cfRule type="expression" priority="3223" dxfId="3">
      <formula>AND(IF(OR($Q273=1,$Q273=2),1,0),IF($X273&lt;=20,1,0))</formula>
    </cfRule>
    <cfRule type="expression" priority="3224" dxfId="2">
      <formula>AND(IF($Q273=2,1,0),IF($X273&lt;30,1,0))</formula>
    </cfRule>
    <cfRule type="expression" priority="3225" dxfId="1">
      <formula>AND(IF($Q273=3,1,0),IF($X273&lt;30,1,0))</formula>
    </cfRule>
    <cfRule type="expression" priority="3226" dxfId="0">
      <formula>AND(IF($Q273=3,1,IF($Q273=4,1,0)),IF($F273&lt;=85,1,0))</formula>
    </cfRule>
  </conditionalFormatting>
  <conditionalFormatting sqref="AV274">
    <cfRule type="expression" priority="3221" dxfId="23">
      <formula>AV274="X"</formula>
    </cfRule>
    <cfRule type="expression" priority="3222" dxfId="22">
      <formula>AV274="후보"</formula>
    </cfRule>
  </conditionalFormatting>
  <conditionalFormatting sqref="AC2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74">
    <cfRule type="expression" priority="3213" dxfId="3">
      <formula>AND(IF(OR($Q274=1,$Q274=2),1,0),IF($X274&lt;=20,1,0))</formula>
    </cfRule>
    <cfRule type="expression" priority="3214" dxfId="2">
      <formula>AND(IF($Q274=2,1,0),IF($X274&lt;30,1,0))</formula>
    </cfRule>
    <cfRule type="expression" priority="3215" dxfId="1">
      <formula>AND(IF($Q274=3,1,0),IF($X274&lt;30,1,0))</formula>
    </cfRule>
    <cfRule type="expression" priority="3216" dxfId="0">
      <formula>AND(IF($Q274=3,1,IF($Q274=4,1,0)),IF($F274&lt;=85,1,0))</formula>
    </cfRule>
  </conditionalFormatting>
  <conditionalFormatting sqref="X274">
    <cfRule type="expression" priority="3209" dxfId="3">
      <formula>AND(IF(OR($Q274=1,$Q274=2),1,0),IF($X274&lt;=20,1,0))</formula>
    </cfRule>
    <cfRule type="expression" priority="3210" dxfId="2">
      <formula>AND(IF($Q274=2,1,0),IF($X274&lt;30,1,0))</formula>
    </cfRule>
    <cfRule type="expression" priority="3211" dxfId="1">
      <formula>AND(IF($Q274=3,1,0),IF($X274&lt;30,1,0))</formula>
    </cfRule>
    <cfRule type="expression" priority="3212" dxfId="0">
      <formula>AND(IF($Q274=3,1,IF($Q274=4,1,0)),IF($F274&lt;=85,1,0))</formula>
    </cfRule>
  </conditionalFormatting>
  <conditionalFormatting sqref="AI274">
    <cfRule type="expression" priority="3205" dxfId="3">
      <formula>AND(IF(OR($Q274=1,$Q274=2),1,0),IF($X274&lt;=20,1,0))</formula>
    </cfRule>
    <cfRule type="expression" priority="3206" dxfId="2">
      <formula>AND(IF($Q274=2,1,0),IF($X274&lt;30,1,0))</formula>
    </cfRule>
    <cfRule type="expression" priority="3207" dxfId="1">
      <formula>AND(IF($Q274=3,1,0),IF($X274&lt;30,1,0))</formula>
    </cfRule>
    <cfRule type="expression" priority="3208" dxfId="0">
      <formula>AND(IF($Q274=3,1,IF($Q274=4,1,0)),IF($F274&lt;=85,1,0))</formula>
    </cfRule>
  </conditionalFormatting>
  <conditionalFormatting sqref="AV275">
    <cfRule type="expression" priority="3203" dxfId="23">
      <formula>AV275="X"</formula>
    </cfRule>
    <cfRule type="expression" priority="3204" dxfId="22">
      <formula>AV275="후보"</formula>
    </cfRule>
  </conditionalFormatting>
  <conditionalFormatting sqref="AC2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75">
    <cfRule type="expression" priority="3195" dxfId="3">
      <formula>AND(IF(OR($Q275=1,$Q275=2),1,0),IF($X275&lt;=20,1,0))</formula>
    </cfRule>
    <cfRule type="expression" priority="3196" dxfId="2">
      <formula>AND(IF($Q275=2,1,0),IF($X275&lt;30,1,0))</formula>
    </cfRule>
    <cfRule type="expression" priority="3197" dxfId="1">
      <formula>AND(IF($Q275=3,1,0),IF($X275&lt;30,1,0))</formula>
    </cfRule>
    <cfRule type="expression" priority="3198" dxfId="0">
      <formula>AND(IF($Q275=3,1,IF($Q275=4,1,0)),IF($F275&lt;=85,1,0))</formula>
    </cfRule>
  </conditionalFormatting>
  <conditionalFormatting sqref="X275">
    <cfRule type="expression" priority="3191" dxfId="3">
      <formula>AND(IF(OR($Q275=1,$Q275=2),1,0),IF($X275&lt;=20,1,0))</formula>
    </cfRule>
    <cfRule type="expression" priority="3192" dxfId="2">
      <formula>AND(IF($Q275=2,1,0),IF($X275&lt;30,1,0))</formula>
    </cfRule>
    <cfRule type="expression" priority="3193" dxfId="1">
      <formula>AND(IF($Q275=3,1,0),IF($X275&lt;30,1,0))</formula>
    </cfRule>
    <cfRule type="expression" priority="3194" dxfId="0">
      <formula>AND(IF($Q275=3,1,IF($Q275=4,1,0)),IF($F275&lt;=85,1,0))</formula>
    </cfRule>
  </conditionalFormatting>
  <conditionalFormatting sqref="AI275">
    <cfRule type="expression" priority="3187" dxfId="3">
      <formula>AND(IF(OR($Q275=1,$Q275=2),1,0),IF($X275&lt;=20,1,0))</formula>
    </cfRule>
    <cfRule type="expression" priority="3188" dxfId="2">
      <formula>AND(IF($Q275=2,1,0),IF($X275&lt;30,1,0))</formula>
    </cfRule>
    <cfRule type="expression" priority="3189" dxfId="1">
      <formula>AND(IF($Q275=3,1,0),IF($X275&lt;30,1,0))</formula>
    </cfRule>
    <cfRule type="expression" priority="3190" dxfId="0">
      <formula>AND(IF($Q275=3,1,IF($Q275=4,1,0)),IF($F275&lt;=85,1,0))</formula>
    </cfRule>
  </conditionalFormatting>
  <conditionalFormatting sqref="AV276">
    <cfRule type="expression" priority="3185" dxfId="23">
      <formula>AV276="X"</formula>
    </cfRule>
    <cfRule type="expression" priority="3186" dxfId="22">
      <formula>AV276="후보"</formula>
    </cfRule>
  </conditionalFormatting>
  <conditionalFormatting sqref="AC2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76">
    <cfRule type="expression" priority="3177" dxfId="3">
      <formula>AND(IF(OR($Q276=1,$Q276=2),1,0),IF($X276&lt;=20,1,0))</formula>
    </cfRule>
    <cfRule type="expression" priority="3178" dxfId="2">
      <formula>AND(IF($Q276=2,1,0),IF($X276&lt;30,1,0))</formula>
    </cfRule>
    <cfRule type="expression" priority="3179" dxfId="1">
      <formula>AND(IF($Q276=3,1,0),IF($X276&lt;30,1,0))</formula>
    </cfRule>
    <cfRule type="expression" priority="3180" dxfId="0">
      <formula>AND(IF($Q276=3,1,IF($Q276=4,1,0)),IF($F276&lt;=85,1,0))</formula>
    </cfRule>
  </conditionalFormatting>
  <conditionalFormatting sqref="X276">
    <cfRule type="expression" priority="3173" dxfId="3">
      <formula>AND(IF(OR($Q276=1,$Q276=2),1,0),IF($X276&lt;=20,1,0))</formula>
    </cfRule>
    <cfRule type="expression" priority="3174" dxfId="2">
      <formula>AND(IF($Q276=2,1,0),IF($X276&lt;30,1,0))</formula>
    </cfRule>
    <cfRule type="expression" priority="3175" dxfId="1">
      <formula>AND(IF($Q276=3,1,0),IF($X276&lt;30,1,0))</formula>
    </cfRule>
    <cfRule type="expression" priority="3176" dxfId="0">
      <formula>AND(IF($Q276=3,1,IF($Q276=4,1,0)),IF($F276&lt;=85,1,0))</formula>
    </cfRule>
  </conditionalFormatting>
  <conditionalFormatting sqref="AI276">
    <cfRule type="expression" priority="3169" dxfId="3">
      <formula>AND(IF(OR($Q276=1,$Q276=2),1,0),IF($X276&lt;=20,1,0))</formula>
    </cfRule>
    <cfRule type="expression" priority="3170" dxfId="2">
      <formula>AND(IF($Q276=2,1,0),IF($X276&lt;30,1,0))</formula>
    </cfRule>
    <cfRule type="expression" priority="3171" dxfId="1">
      <formula>AND(IF($Q276=3,1,0),IF($X276&lt;30,1,0))</formula>
    </cfRule>
    <cfRule type="expression" priority="3172" dxfId="0">
      <formula>AND(IF($Q276=3,1,IF($Q276=4,1,0)),IF($F276&lt;=85,1,0))</formula>
    </cfRule>
  </conditionalFormatting>
  <conditionalFormatting sqref="AV277">
    <cfRule type="expression" priority="3167" dxfId="23">
      <formula>AV277="X"</formula>
    </cfRule>
    <cfRule type="expression" priority="3168" dxfId="22">
      <formula>AV277="후보"</formula>
    </cfRule>
  </conditionalFormatting>
  <conditionalFormatting sqref="AC2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77">
    <cfRule type="expression" priority="3159" dxfId="3">
      <formula>AND(IF(OR($Q277=1,$Q277=2),1,0),IF($X277&lt;=20,1,0))</formula>
    </cfRule>
    <cfRule type="expression" priority="3160" dxfId="2">
      <formula>AND(IF($Q277=2,1,0),IF($X277&lt;30,1,0))</formula>
    </cfRule>
    <cfRule type="expression" priority="3161" dxfId="1">
      <formula>AND(IF($Q277=3,1,0),IF($X277&lt;30,1,0))</formula>
    </cfRule>
    <cfRule type="expression" priority="3162" dxfId="0">
      <formula>AND(IF($Q277=3,1,IF($Q277=4,1,0)),IF($F277&lt;=85,1,0))</formula>
    </cfRule>
  </conditionalFormatting>
  <conditionalFormatting sqref="X277">
    <cfRule type="expression" priority="3155" dxfId="3">
      <formula>AND(IF(OR($Q277=1,$Q277=2),1,0),IF($X277&lt;=20,1,0))</formula>
    </cfRule>
    <cfRule type="expression" priority="3156" dxfId="2">
      <formula>AND(IF($Q277=2,1,0),IF($X277&lt;30,1,0))</formula>
    </cfRule>
    <cfRule type="expression" priority="3157" dxfId="1">
      <formula>AND(IF($Q277=3,1,0),IF($X277&lt;30,1,0))</formula>
    </cfRule>
    <cfRule type="expression" priority="3158" dxfId="0">
      <formula>AND(IF($Q277=3,1,IF($Q277=4,1,0)),IF($F277&lt;=85,1,0))</formula>
    </cfRule>
  </conditionalFormatting>
  <conditionalFormatting sqref="AI277">
    <cfRule type="expression" priority="3151" dxfId="3">
      <formula>AND(IF(OR($Q277=1,$Q277=2),1,0),IF($X277&lt;=20,1,0))</formula>
    </cfRule>
    <cfRule type="expression" priority="3152" dxfId="2">
      <formula>AND(IF($Q277=2,1,0),IF($X277&lt;30,1,0))</formula>
    </cfRule>
    <cfRule type="expression" priority="3153" dxfId="1">
      <formula>AND(IF($Q277=3,1,0),IF($X277&lt;30,1,0))</formula>
    </cfRule>
    <cfRule type="expression" priority="3154" dxfId="0">
      <formula>AND(IF($Q277=3,1,IF($Q277=4,1,0)),IF($F277&lt;=85,1,0))</formula>
    </cfRule>
  </conditionalFormatting>
  <conditionalFormatting sqref="AV278">
    <cfRule type="expression" priority="3149" dxfId="23">
      <formula>AV278="X"</formula>
    </cfRule>
    <cfRule type="expression" priority="3150" dxfId="22">
      <formula>AV278="후보"</formula>
    </cfRule>
  </conditionalFormatting>
  <conditionalFormatting sqref="AC2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78">
    <cfRule type="expression" priority="3141" dxfId="3">
      <formula>AND(IF(OR($Q278=1,$Q278=2),1,0),IF($X278&lt;=20,1,0))</formula>
    </cfRule>
    <cfRule type="expression" priority="3142" dxfId="2">
      <formula>AND(IF($Q278=2,1,0),IF($X278&lt;30,1,0))</formula>
    </cfRule>
    <cfRule type="expression" priority="3143" dxfId="1">
      <formula>AND(IF($Q278=3,1,0),IF($X278&lt;30,1,0))</formula>
    </cfRule>
    <cfRule type="expression" priority="3144" dxfId="0">
      <formula>AND(IF($Q278=3,1,IF($Q278=4,1,0)),IF($F278&lt;=85,1,0))</formula>
    </cfRule>
  </conditionalFormatting>
  <conditionalFormatting sqref="X278">
    <cfRule type="expression" priority="3137" dxfId="3">
      <formula>AND(IF(OR($Q278=1,$Q278=2),1,0),IF($X278&lt;=20,1,0))</formula>
    </cfRule>
    <cfRule type="expression" priority="3138" dxfId="2">
      <formula>AND(IF($Q278=2,1,0),IF($X278&lt;30,1,0))</formula>
    </cfRule>
    <cfRule type="expression" priority="3139" dxfId="1">
      <formula>AND(IF($Q278=3,1,0),IF($X278&lt;30,1,0))</formula>
    </cfRule>
    <cfRule type="expression" priority="3140" dxfId="0">
      <formula>AND(IF($Q278=3,1,IF($Q278=4,1,0)),IF($F278&lt;=85,1,0))</formula>
    </cfRule>
  </conditionalFormatting>
  <conditionalFormatting sqref="AI278">
    <cfRule type="expression" priority="3133" dxfId="3">
      <formula>AND(IF(OR($Q278=1,$Q278=2),1,0),IF($X278&lt;=20,1,0))</formula>
    </cfRule>
    <cfRule type="expression" priority="3134" dxfId="2">
      <formula>AND(IF($Q278=2,1,0),IF($X278&lt;30,1,0))</formula>
    </cfRule>
    <cfRule type="expression" priority="3135" dxfId="1">
      <formula>AND(IF($Q278=3,1,0),IF($X278&lt;30,1,0))</formula>
    </cfRule>
    <cfRule type="expression" priority="3136" dxfId="0">
      <formula>AND(IF($Q278=3,1,IF($Q278=4,1,0)),IF($F278&lt;=85,1,0))</formula>
    </cfRule>
  </conditionalFormatting>
  <conditionalFormatting sqref="AV279">
    <cfRule type="expression" priority="3131" dxfId="23">
      <formula>AV279="X"</formula>
    </cfRule>
    <cfRule type="expression" priority="3132" dxfId="22">
      <formula>AV279="후보"</formula>
    </cfRule>
  </conditionalFormatting>
  <conditionalFormatting sqref="AC2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79">
    <cfRule type="expression" priority="3123" dxfId="3">
      <formula>AND(IF(OR($Q279=1,$Q279=2),1,0),IF($X279&lt;=20,1,0))</formula>
    </cfRule>
    <cfRule type="expression" priority="3124" dxfId="2">
      <formula>AND(IF($Q279=2,1,0),IF($X279&lt;30,1,0))</formula>
    </cfRule>
    <cfRule type="expression" priority="3125" dxfId="1">
      <formula>AND(IF($Q279=3,1,0),IF($X279&lt;30,1,0))</formula>
    </cfRule>
    <cfRule type="expression" priority="3126" dxfId="0">
      <formula>AND(IF($Q279=3,1,IF($Q279=4,1,0)),IF($F279&lt;=85,1,0))</formula>
    </cfRule>
  </conditionalFormatting>
  <conditionalFormatting sqref="X279">
    <cfRule type="expression" priority="3119" dxfId="3">
      <formula>AND(IF(OR($Q279=1,$Q279=2),1,0),IF($X279&lt;=20,1,0))</formula>
    </cfRule>
    <cfRule type="expression" priority="3120" dxfId="2">
      <formula>AND(IF($Q279=2,1,0),IF($X279&lt;30,1,0))</formula>
    </cfRule>
    <cfRule type="expression" priority="3121" dxfId="1">
      <formula>AND(IF($Q279=3,1,0),IF($X279&lt;30,1,0))</formula>
    </cfRule>
    <cfRule type="expression" priority="3122" dxfId="0">
      <formula>AND(IF($Q279=3,1,IF($Q279=4,1,0)),IF($F279&lt;=85,1,0))</formula>
    </cfRule>
  </conditionalFormatting>
  <conditionalFormatting sqref="AI279">
    <cfRule type="expression" priority="3115" dxfId="3">
      <formula>AND(IF(OR($Q279=1,$Q279=2),1,0),IF($X279&lt;=20,1,0))</formula>
    </cfRule>
    <cfRule type="expression" priority="3116" dxfId="2">
      <formula>AND(IF($Q279=2,1,0),IF($X279&lt;30,1,0))</formula>
    </cfRule>
    <cfRule type="expression" priority="3117" dxfId="1">
      <formula>AND(IF($Q279=3,1,0),IF($X279&lt;30,1,0))</formula>
    </cfRule>
    <cfRule type="expression" priority="3118" dxfId="0">
      <formula>AND(IF($Q279=3,1,IF($Q279=4,1,0)),IF($F279&lt;=85,1,0))</formula>
    </cfRule>
  </conditionalFormatting>
  <conditionalFormatting sqref="AV280">
    <cfRule type="expression" priority="3113" dxfId="23">
      <formula>AV280="X"</formula>
    </cfRule>
    <cfRule type="expression" priority="3114" dxfId="22">
      <formula>AV280="후보"</formula>
    </cfRule>
  </conditionalFormatting>
  <conditionalFormatting sqref="AC2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80">
    <cfRule type="expression" priority="3105" dxfId="3">
      <formula>AND(IF(OR($Q280=1,$Q280=2),1,0),IF($X280&lt;=20,1,0))</formula>
    </cfRule>
    <cfRule type="expression" priority="3106" dxfId="2">
      <formula>AND(IF($Q280=2,1,0),IF($X280&lt;30,1,0))</formula>
    </cfRule>
    <cfRule type="expression" priority="3107" dxfId="1">
      <formula>AND(IF($Q280=3,1,0),IF($X280&lt;30,1,0))</formula>
    </cfRule>
    <cfRule type="expression" priority="3108" dxfId="0">
      <formula>AND(IF($Q280=3,1,IF($Q280=4,1,0)),IF($F280&lt;=85,1,0))</formula>
    </cfRule>
  </conditionalFormatting>
  <conditionalFormatting sqref="X280">
    <cfRule type="expression" priority="3101" dxfId="3">
      <formula>AND(IF(OR($Q280=1,$Q280=2),1,0),IF($X280&lt;=20,1,0))</formula>
    </cfRule>
    <cfRule type="expression" priority="3102" dxfId="2">
      <formula>AND(IF($Q280=2,1,0),IF($X280&lt;30,1,0))</formula>
    </cfRule>
    <cfRule type="expression" priority="3103" dxfId="1">
      <formula>AND(IF($Q280=3,1,0),IF($X280&lt;30,1,0))</formula>
    </cfRule>
    <cfRule type="expression" priority="3104" dxfId="0">
      <formula>AND(IF($Q280=3,1,IF($Q280=4,1,0)),IF($F280&lt;=85,1,0))</formula>
    </cfRule>
  </conditionalFormatting>
  <conditionalFormatting sqref="AI280">
    <cfRule type="expression" priority="3097" dxfId="3">
      <formula>AND(IF(OR($Q280=1,$Q280=2),1,0),IF($X280&lt;=20,1,0))</formula>
    </cfRule>
    <cfRule type="expression" priority="3098" dxfId="2">
      <formula>AND(IF($Q280=2,1,0),IF($X280&lt;30,1,0))</formula>
    </cfRule>
    <cfRule type="expression" priority="3099" dxfId="1">
      <formula>AND(IF($Q280=3,1,0),IF($X280&lt;30,1,0))</formula>
    </cfRule>
    <cfRule type="expression" priority="3100" dxfId="0">
      <formula>AND(IF($Q280=3,1,IF($Q280=4,1,0)),IF($F280&lt;=85,1,0))</formula>
    </cfRule>
  </conditionalFormatting>
  <conditionalFormatting sqref="AV281">
    <cfRule type="expression" priority="3095" dxfId="23">
      <formula>AV281="X"</formula>
    </cfRule>
    <cfRule type="expression" priority="3096" dxfId="22">
      <formula>AV281="후보"</formula>
    </cfRule>
  </conditionalFormatting>
  <conditionalFormatting sqref="AC2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81">
    <cfRule type="expression" priority="3087" dxfId="3">
      <formula>AND(IF(OR($Q281=1,$Q281=2),1,0),IF($X281&lt;=20,1,0))</formula>
    </cfRule>
    <cfRule type="expression" priority="3088" dxfId="2">
      <formula>AND(IF($Q281=2,1,0),IF($X281&lt;30,1,0))</formula>
    </cfRule>
    <cfRule type="expression" priority="3089" dxfId="1">
      <formula>AND(IF($Q281=3,1,0),IF($X281&lt;30,1,0))</formula>
    </cfRule>
    <cfRule type="expression" priority="3090" dxfId="0">
      <formula>AND(IF($Q281=3,1,IF($Q281=4,1,0)),IF($F281&lt;=85,1,0))</formula>
    </cfRule>
  </conditionalFormatting>
  <conditionalFormatting sqref="X281">
    <cfRule type="expression" priority="3083" dxfId="3">
      <formula>AND(IF(OR($Q281=1,$Q281=2),1,0),IF($X281&lt;=20,1,0))</formula>
    </cfRule>
    <cfRule type="expression" priority="3084" dxfId="2">
      <formula>AND(IF($Q281=2,1,0),IF($X281&lt;30,1,0))</formula>
    </cfRule>
    <cfRule type="expression" priority="3085" dxfId="1">
      <formula>AND(IF($Q281=3,1,0),IF($X281&lt;30,1,0))</formula>
    </cfRule>
    <cfRule type="expression" priority="3086" dxfId="0">
      <formula>AND(IF($Q281=3,1,IF($Q281=4,1,0)),IF($F281&lt;=85,1,0))</formula>
    </cfRule>
  </conditionalFormatting>
  <conditionalFormatting sqref="AI281">
    <cfRule type="expression" priority="3079" dxfId="3">
      <formula>AND(IF(OR($Q281=1,$Q281=2),1,0),IF($X281&lt;=20,1,0))</formula>
    </cfRule>
    <cfRule type="expression" priority="3080" dxfId="2">
      <formula>AND(IF($Q281=2,1,0),IF($X281&lt;30,1,0))</formula>
    </cfRule>
    <cfRule type="expression" priority="3081" dxfId="1">
      <formula>AND(IF($Q281=3,1,0),IF($X281&lt;30,1,0))</formula>
    </cfRule>
    <cfRule type="expression" priority="3082" dxfId="0">
      <formula>AND(IF($Q281=3,1,IF($Q281=4,1,0)),IF($F281&lt;=85,1,0))</formula>
    </cfRule>
  </conditionalFormatting>
  <conditionalFormatting sqref="AV282">
    <cfRule type="expression" priority="3077" dxfId="23">
      <formula>AV282="X"</formula>
    </cfRule>
    <cfRule type="expression" priority="3078" dxfId="22">
      <formula>AV282="후보"</formula>
    </cfRule>
  </conditionalFormatting>
  <conditionalFormatting sqref="AC2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82">
    <cfRule type="expression" priority="3069" dxfId="3">
      <formula>AND(IF(OR($Q282=1,$Q282=2),1,0),IF($X282&lt;=20,1,0))</formula>
    </cfRule>
    <cfRule type="expression" priority="3070" dxfId="2">
      <formula>AND(IF($Q282=2,1,0),IF($X282&lt;30,1,0))</formula>
    </cfRule>
    <cfRule type="expression" priority="3071" dxfId="1">
      <formula>AND(IF($Q282=3,1,0),IF($X282&lt;30,1,0))</formula>
    </cfRule>
    <cfRule type="expression" priority="3072" dxfId="0">
      <formula>AND(IF($Q282=3,1,IF($Q282=4,1,0)),IF($F282&lt;=85,1,0))</formula>
    </cfRule>
  </conditionalFormatting>
  <conditionalFormatting sqref="X282">
    <cfRule type="expression" priority="3065" dxfId="3">
      <formula>AND(IF(OR($Q282=1,$Q282=2),1,0),IF($X282&lt;=20,1,0))</formula>
    </cfRule>
    <cfRule type="expression" priority="3066" dxfId="2">
      <formula>AND(IF($Q282=2,1,0),IF($X282&lt;30,1,0))</formula>
    </cfRule>
    <cfRule type="expression" priority="3067" dxfId="1">
      <formula>AND(IF($Q282=3,1,0),IF($X282&lt;30,1,0))</formula>
    </cfRule>
    <cfRule type="expression" priority="3068" dxfId="0">
      <formula>AND(IF($Q282=3,1,IF($Q282=4,1,0)),IF($F282&lt;=85,1,0))</formula>
    </cfRule>
  </conditionalFormatting>
  <conditionalFormatting sqref="AI282">
    <cfRule type="expression" priority="3061" dxfId="3">
      <formula>AND(IF(OR($Q282=1,$Q282=2),1,0),IF($X282&lt;=20,1,0))</formula>
    </cfRule>
    <cfRule type="expression" priority="3062" dxfId="2">
      <formula>AND(IF($Q282=2,1,0),IF($X282&lt;30,1,0))</formula>
    </cfRule>
    <cfRule type="expression" priority="3063" dxfId="1">
      <formula>AND(IF($Q282=3,1,0),IF($X282&lt;30,1,0))</formula>
    </cfRule>
    <cfRule type="expression" priority="3064" dxfId="0">
      <formula>AND(IF($Q282=3,1,IF($Q282=4,1,0)),IF($F282&lt;=85,1,0))</formula>
    </cfRule>
  </conditionalFormatting>
  <conditionalFormatting sqref="AV283">
    <cfRule type="expression" priority="3059" dxfId="23">
      <formula>AV283="X"</formula>
    </cfRule>
    <cfRule type="expression" priority="3060" dxfId="22">
      <formula>AV283="후보"</formula>
    </cfRule>
  </conditionalFormatting>
  <conditionalFormatting sqref="AC2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83">
    <cfRule type="expression" priority="3051" dxfId="3">
      <formula>AND(IF(OR($Q283=1,$Q283=2),1,0),IF($X283&lt;=20,1,0))</formula>
    </cfRule>
    <cfRule type="expression" priority="3052" dxfId="2">
      <formula>AND(IF($Q283=2,1,0),IF($X283&lt;30,1,0))</formula>
    </cfRule>
    <cfRule type="expression" priority="3053" dxfId="1">
      <formula>AND(IF($Q283=3,1,0),IF($X283&lt;30,1,0))</formula>
    </cfRule>
    <cfRule type="expression" priority="3054" dxfId="0">
      <formula>AND(IF($Q283=3,1,IF($Q283=4,1,0)),IF($F283&lt;=85,1,0))</formula>
    </cfRule>
  </conditionalFormatting>
  <conditionalFormatting sqref="X283">
    <cfRule type="expression" priority="3047" dxfId="3">
      <formula>AND(IF(OR($Q283=1,$Q283=2),1,0),IF($X283&lt;=20,1,0))</formula>
    </cfRule>
    <cfRule type="expression" priority="3048" dxfId="2">
      <formula>AND(IF($Q283=2,1,0),IF($X283&lt;30,1,0))</formula>
    </cfRule>
    <cfRule type="expression" priority="3049" dxfId="1">
      <formula>AND(IF($Q283=3,1,0),IF($X283&lt;30,1,0))</formula>
    </cfRule>
    <cfRule type="expression" priority="3050" dxfId="0">
      <formula>AND(IF($Q283=3,1,IF($Q283=4,1,0)),IF($F283&lt;=85,1,0))</formula>
    </cfRule>
  </conditionalFormatting>
  <conditionalFormatting sqref="AI283">
    <cfRule type="expression" priority="3043" dxfId="3">
      <formula>AND(IF(OR($Q283=1,$Q283=2),1,0),IF($X283&lt;=20,1,0))</formula>
    </cfRule>
    <cfRule type="expression" priority="3044" dxfId="2">
      <formula>AND(IF($Q283=2,1,0),IF($X283&lt;30,1,0))</formula>
    </cfRule>
    <cfRule type="expression" priority="3045" dxfId="1">
      <formula>AND(IF($Q283=3,1,0),IF($X283&lt;30,1,0))</formula>
    </cfRule>
    <cfRule type="expression" priority="3046" dxfId="0">
      <formula>AND(IF($Q283=3,1,IF($Q283=4,1,0)),IF($F283&lt;=85,1,0))</formula>
    </cfRule>
  </conditionalFormatting>
  <conditionalFormatting sqref="AV284">
    <cfRule type="expression" priority="3041" dxfId="23">
      <formula>AV284="X"</formula>
    </cfRule>
    <cfRule type="expression" priority="3042" dxfId="22">
      <formula>AV284="후보"</formula>
    </cfRule>
  </conditionalFormatting>
  <conditionalFormatting sqref="AC2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84">
    <cfRule type="expression" priority="3033" dxfId="3">
      <formula>AND(IF(OR($Q284=1,$Q284=2),1,0),IF($X284&lt;=20,1,0))</formula>
    </cfRule>
    <cfRule type="expression" priority="3034" dxfId="2">
      <formula>AND(IF($Q284=2,1,0),IF($X284&lt;30,1,0))</formula>
    </cfRule>
    <cfRule type="expression" priority="3035" dxfId="1">
      <formula>AND(IF($Q284=3,1,0),IF($X284&lt;30,1,0))</formula>
    </cfRule>
    <cfRule type="expression" priority="3036" dxfId="0">
      <formula>AND(IF($Q284=3,1,IF($Q284=4,1,0)),IF($F284&lt;=85,1,0))</formula>
    </cfRule>
  </conditionalFormatting>
  <conditionalFormatting sqref="X284">
    <cfRule type="expression" priority="3029" dxfId="3">
      <formula>AND(IF(OR($Q284=1,$Q284=2),1,0),IF($X284&lt;=20,1,0))</formula>
    </cfRule>
    <cfRule type="expression" priority="3030" dxfId="2">
      <formula>AND(IF($Q284=2,1,0),IF($X284&lt;30,1,0))</formula>
    </cfRule>
    <cfRule type="expression" priority="3031" dxfId="1">
      <formula>AND(IF($Q284=3,1,0),IF($X284&lt;30,1,0))</formula>
    </cfRule>
    <cfRule type="expression" priority="3032" dxfId="0">
      <formula>AND(IF($Q284=3,1,IF($Q284=4,1,0)),IF($F284&lt;=85,1,0))</formula>
    </cfRule>
  </conditionalFormatting>
  <conditionalFormatting sqref="AI284">
    <cfRule type="expression" priority="3025" dxfId="3">
      <formula>AND(IF(OR($Q284=1,$Q284=2),1,0),IF($X284&lt;=20,1,0))</formula>
    </cfRule>
    <cfRule type="expression" priority="3026" dxfId="2">
      <formula>AND(IF($Q284=2,1,0),IF($X284&lt;30,1,0))</formula>
    </cfRule>
    <cfRule type="expression" priority="3027" dxfId="1">
      <formula>AND(IF($Q284=3,1,0),IF($X284&lt;30,1,0))</formula>
    </cfRule>
    <cfRule type="expression" priority="3028" dxfId="0">
      <formula>AND(IF($Q284=3,1,IF($Q284=4,1,0)),IF($F284&lt;=85,1,0))</formula>
    </cfRule>
  </conditionalFormatting>
  <conditionalFormatting sqref="AV285">
    <cfRule type="expression" priority="3023" dxfId="23">
      <formula>AV285="X"</formula>
    </cfRule>
    <cfRule type="expression" priority="3024" dxfId="22">
      <formula>AV285="후보"</formula>
    </cfRule>
  </conditionalFormatting>
  <conditionalFormatting sqref="AC2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85">
    <cfRule type="expression" priority="3015" dxfId="3">
      <formula>AND(IF(OR($Q285=1,$Q285=2),1,0),IF($X285&lt;=20,1,0))</formula>
    </cfRule>
    <cfRule type="expression" priority="3016" dxfId="2">
      <formula>AND(IF($Q285=2,1,0),IF($X285&lt;30,1,0))</formula>
    </cfRule>
    <cfRule type="expression" priority="3017" dxfId="1">
      <formula>AND(IF($Q285=3,1,0),IF($X285&lt;30,1,0))</formula>
    </cfRule>
    <cfRule type="expression" priority="3018" dxfId="0">
      <formula>AND(IF($Q285=3,1,IF($Q285=4,1,0)),IF($F285&lt;=85,1,0))</formula>
    </cfRule>
  </conditionalFormatting>
  <conditionalFormatting sqref="X285">
    <cfRule type="expression" priority="3011" dxfId="3">
      <formula>AND(IF(OR($Q285=1,$Q285=2),1,0),IF($X285&lt;=20,1,0))</formula>
    </cfRule>
    <cfRule type="expression" priority="3012" dxfId="2">
      <formula>AND(IF($Q285=2,1,0),IF($X285&lt;30,1,0))</formula>
    </cfRule>
    <cfRule type="expression" priority="3013" dxfId="1">
      <formula>AND(IF($Q285=3,1,0),IF($X285&lt;30,1,0))</formula>
    </cfRule>
    <cfRule type="expression" priority="3014" dxfId="0">
      <formula>AND(IF($Q285=3,1,IF($Q285=4,1,0)),IF($F285&lt;=85,1,0))</formula>
    </cfRule>
  </conditionalFormatting>
  <conditionalFormatting sqref="AI285">
    <cfRule type="expression" priority="3007" dxfId="3">
      <formula>AND(IF(OR($Q285=1,$Q285=2),1,0),IF($X285&lt;=20,1,0))</formula>
    </cfRule>
    <cfRule type="expression" priority="3008" dxfId="2">
      <formula>AND(IF($Q285=2,1,0),IF($X285&lt;30,1,0))</formula>
    </cfRule>
    <cfRule type="expression" priority="3009" dxfId="1">
      <formula>AND(IF($Q285=3,1,0),IF($X285&lt;30,1,0))</formula>
    </cfRule>
    <cfRule type="expression" priority="3010" dxfId="0">
      <formula>AND(IF($Q285=3,1,IF($Q285=4,1,0)),IF($F285&lt;=85,1,0))</formula>
    </cfRule>
  </conditionalFormatting>
  <conditionalFormatting sqref="AV286">
    <cfRule type="expression" priority="3005" dxfId="23">
      <formula>AV286="X"</formula>
    </cfRule>
    <cfRule type="expression" priority="3006" dxfId="22">
      <formula>AV286="후보"</formula>
    </cfRule>
  </conditionalFormatting>
  <conditionalFormatting sqref="AC2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86">
    <cfRule type="expression" priority="2997" dxfId="3">
      <formula>AND(IF(OR($Q286=1,$Q286=2),1,0),IF($X286&lt;=20,1,0))</formula>
    </cfRule>
    <cfRule type="expression" priority="2998" dxfId="2">
      <formula>AND(IF($Q286=2,1,0),IF($X286&lt;30,1,0))</formula>
    </cfRule>
    <cfRule type="expression" priority="2999" dxfId="1">
      <formula>AND(IF($Q286=3,1,0),IF($X286&lt;30,1,0))</formula>
    </cfRule>
    <cfRule type="expression" priority="3000" dxfId="0">
      <formula>AND(IF($Q286=3,1,IF($Q286=4,1,0)),IF($F286&lt;=85,1,0))</formula>
    </cfRule>
  </conditionalFormatting>
  <conditionalFormatting sqref="X286">
    <cfRule type="expression" priority="2993" dxfId="3">
      <formula>AND(IF(OR($Q286=1,$Q286=2),1,0),IF($X286&lt;=20,1,0))</formula>
    </cfRule>
    <cfRule type="expression" priority="2994" dxfId="2">
      <formula>AND(IF($Q286=2,1,0),IF($X286&lt;30,1,0))</formula>
    </cfRule>
    <cfRule type="expression" priority="2995" dxfId="1">
      <formula>AND(IF($Q286=3,1,0),IF($X286&lt;30,1,0))</formula>
    </cfRule>
    <cfRule type="expression" priority="2996" dxfId="0">
      <formula>AND(IF($Q286=3,1,IF($Q286=4,1,0)),IF($F286&lt;=85,1,0))</formula>
    </cfRule>
  </conditionalFormatting>
  <conditionalFormatting sqref="AI286">
    <cfRule type="expression" priority="2989" dxfId="3">
      <formula>AND(IF(OR($Q286=1,$Q286=2),1,0),IF($X286&lt;=20,1,0))</formula>
    </cfRule>
    <cfRule type="expression" priority="2990" dxfId="2">
      <formula>AND(IF($Q286=2,1,0),IF($X286&lt;30,1,0))</formula>
    </cfRule>
    <cfRule type="expression" priority="2991" dxfId="1">
      <formula>AND(IF($Q286=3,1,0),IF($X286&lt;30,1,0))</formula>
    </cfRule>
    <cfRule type="expression" priority="2992" dxfId="0">
      <formula>AND(IF($Q286=3,1,IF($Q286=4,1,0)),IF($F286&lt;=85,1,0))</formula>
    </cfRule>
  </conditionalFormatting>
  <conditionalFormatting sqref="AV287">
    <cfRule type="expression" priority="2987" dxfId="23">
      <formula>AV287="X"</formula>
    </cfRule>
    <cfRule type="expression" priority="2988" dxfId="22">
      <formula>AV287="후보"</formula>
    </cfRule>
  </conditionalFormatting>
  <conditionalFormatting sqref="AC2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87">
    <cfRule type="expression" priority="2979" dxfId="3">
      <formula>AND(IF(OR($Q287=1,$Q287=2),1,0),IF($X287&lt;=20,1,0))</formula>
    </cfRule>
    <cfRule type="expression" priority="2980" dxfId="2">
      <formula>AND(IF($Q287=2,1,0),IF($X287&lt;30,1,0))</formula>
    </cfRule>
    <cfRule type="expression" priority="2981" dxfId="1">
      <formula>AND(IF($Q287=3,1,0),IF($X287&lt;30,1,0))</formula>
    </cfRule>
    <cfRule type="expression" priority="2982" dxfId="0">
      <formula>AND(IF($Q287=3,1,IF($Q287=4,1,0)),IF($F287&lt;=85,1,0))</formula>
    </cfRule>
  </conditionalFormatting>
  <conditionalFormatting sqref="X287">
    <cfRule type="expression" priority="2975" dxfId="3">
      <formula>AND(IF(OR($Q287=1,$Q287=2),1,0),IF($X287&lt;=20,1,0))</formula>
    </cfRule>
    <cfRule type="expression" priority="2976" dxfId="2">
      <formula>AND(IF($Q287=2,1,0),IF($X287&lt;30,1,0))</formula>
    </cfRule>
    <cfRule type="expression" priority="2977" dxfId="1">
      <formula>AND(IF($Q287=3,1,0),IF($X287&lt;30,1,0))</formula>
    </cfRule>
    <cfRule type="expression" priority="2978" dxfId="0">
      <formula>AND(IF($Q287=3,1,IF($Q287=4,1,0)),IF($F287&lt;=85,1,0))</formula>
    </cfRule>
  </conditionalFormatting>
  <conditionalFormatting sqref="AI287">
    <cfRule type="expression" priority="2971" dxfId="3">
      <formula>AND(IF(OR($Q287=1,$Q287=2),1,0),IF($X287&lt;=20,1,0))</formula>
    </cfRule>
    <cfRule type="expression" priority="2972" dxfId="2">
      <formula>AND(IF($Q287=2,1,0),IF($X287&lt;30,1,0))</formula>
    </cfRule>
    <cfRule type="expression" priority="2973" dxfId="1">
      <formula>AND(IF($Q287=3,1,0),IF($X287&lt;30,1,0))</formula>
    </cfRule>
    <cfRule type="expression" priority="2974" dxfId="0">
      <formula>AND(IF($Q287=3,1,IF($Q287=4,1,0)),IF($F287&lt;=85,1,0))</formula>
    </cfRule>
  </conditionalFormatting>
  <conditionalFormatting sqref="AV288">
    <cfRule type="expression" priority="2969" dxfId="23">
      <formula>AV288="X"</formula>
    </cfRule>
    <cfRule type="expression" priority="2970" dxfId="22">
      <formula>AV288="후보"</formula>
    </cfRule>
  </conditionalFormatting>
  <conditionalFormatting sqref="AC2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88">
    <cfRule type="expression" priority="2961" dxfId="3">
      <formula>AND(IF(OR($Q288=1,$Q288=2),1,0),IF($X288&lt;=20,1,0))</formula>
    </cfRule>
    <cfRule type="expression" priority="2962" dxfId="2">
      <formula>AND(IF($Q288=2,1,0),IF($X288&lt;30,1,0))</formula>
    </cfRule>
    <cfRule type="expression" priority="2963" dxfId="1">
      <formula>AND(IF($Q288=3,1,0),IF($X288&lt;30,1,0))</formula>
    </cfRule>
    <cfRule type="expression" priority="2964" dxfId="0">
      <formula>AND(IF($Q288=3,1,IF($Q288=4,1,0)),IF($F288&lt;=85,1,0))</formula>
    </cfRule>
  </conditionalFormatting>
  <conditionalFormatting sqref="X288">
    <cfRule type="expression" priority="2957" dxfId="3">
      <formula>AND(IF(OR($Q288=1,$Q288=2),1,0),IF($X288&lt;=20,1,0))</formula>
    </cfRule>
    <cfRule type="expression" priority="2958" dxfId="2">
      <formula>AND(IF($Q288=2,1,0),IF($X288&lt;30,1,0))</formula>
    </cfRule>
    <cfRule type="expression" priority="2959" dxfId="1">
      <formula>AND(IF($Q288=3,1,0),IF($X288&lt;30,1,0))</formula>
    </cfRule>
    <cfRule type="expression" priority="2960" dxfId="0">
      <formula>AND(IF($Q288=3,1,IF($Q288=4,1,0)),IF($F288&lt;=85,1,0))</formula>
    </cfRule>
  </conditionalFormatting>
  <conditionalFormatting sqref="AI288">
    <cfRule type="expression" priority="2953" dxfId="3">
      <formula>AND(IF(OR($Q288=1,$Q288=2),1,0),IF($X288&lt;=20,1,0))</formula>
    </cfRule>
    <cfRule type="expression" priority="2954" dxfId="2">
      <formula>AND(IF($Q288=2,1,0),IF($X288&lt;30,1,0))</formula>
    </cfRule>
    <cfRule type="expression" priority="2955" dxfId="1">
      <formula>AND(IF($Q288=3,1,0),IF($X288&lt;30,1,0))</formula>
    </cfRule>
    <cfRule type="expression" priority="2956" dxfId="0">
      <formula>AND(IF($Q288=3,1,IF($Q288=4,1,0)),IF($F288&lt;=85,1,0))</formula>
    </cfRule>
  </conditionalFormatting>
  <conditionalFormatting sqref="AV289">
    <cfRule type="expression" priority="2951" dxfId="23">
      <formula>AV289="X"</formula>
    </cfRule>
    <cfRule type="expression" priority="2952" dxfId="22">
      <formula>AV289="후보"</formula>
    </cfRule>
  </conditionalFormatting>
  <conditionalFormatting sqref="AC2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89">
    <cfRule type="expression" priority="2943" dxfId="3">
      <formula>AND(IF(OR($Q289=1,$Q289=2),1,0),IF($X289&lt;=20,1,0))</formula>
    </cfRule>
    <cfRule type="expression" priority="2944" dxfId="2">
      <formula>AND(IF($Q289=2,1,0),IF($X289&lt;30,1,0))</formula>
    </cfRule>
    <cfRule type="expression" priority="2945" dxfId="1">
      <formula>AND(IF($Q289=3,1,0),IF($X289&lt;30,1,0))</formula>
    </cfRule>
    <cfRule type="expression" priority="2946" dxfId="0">
      <formula>AND(IF($Q289=3,1,IF($Q289=4,1,0)),IF($F289&lt;=85,1,0))</formula>
    </cfRule>
  </conditionalFormatting>
  <conditionalFormatting sqref="X289">
    <cfRule type="expression" priority="2939" dxfId="3">
      <formula>AND(IF(OR($Q289=1,$Q289=2),1,0),IF($X289&lt;=20,1,0))</formula>
    </cfRule>
    <cfRule type="expression" priority="2940" dxfId="2">
      <formula>AND(IF($Q289=2,1,0),IF($X289&lt;30,1,0))</formula>
    </cfRule>
    <cfRule type="expression" priority="2941" dxfId="1">
      <formula>AND(IF($Q289=3,1,0),IF($X289&lt;30,1,0))</formula>
    </cfRule>
    <cfRule type="expression" priority="2942" dxfId="0">
      <formula>AND(IF($Q289=3,1,IF($Q289=4,1,0)),IF($F289&lt;=85,1,0))</formula>
    </cfRule>
  </conditionalFormatting>
  <conditionalFormatting sqref="AI289">
    <cfRule type="expression" priority="2935" dxfId="3">
      <formula>AND(IF(OR($Q289=1,$Q289=2),1,0),IF($X289&lt;=20,1,0))</formula>
    </cfRule>
    <cfRule type="expression" priority="2936" dxfId="2">
      <formula>AND(IF($Q289=2,1,0),IF($X289&lt;30,1,0))</formula>
    </cfRule>
    <cfRule type="expression" priority="2937" dxfId="1">
      <formula>AND(IF($Q289=3,1,0),IF($X289&lt;30,1,0))</formula>
    </cfRule>
    <cfRule type="expression" priority="2938" dxfId="0">
      <formula>AND(IF($Q289=3,1,IF($Q289=4,1,0)),IF($F289&lt;=85,1,0))</formula>
    </cfRule>
  </conditionalFormatting>
  <conditionalFormatting sqref="AV290">
    <cfRule type="expression" priority="2933" dxfId="23">
      <formula>AV290="X"</formula>
    </cfRule>
    <cfRule type="expression" priority="2934" dxfId="22">
      <formula>AV290="후보"</formula>
    </cfRule>
  </conditionalFormatting>
  <conditionalFormatting sqref="AC2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90">
    <cfRule type="expression" priority="2925" dxfId="3">
      <formula>AND(IF(OR($Q290=1,$Q290=2),1,0),IF($X290&lt;=20,1,0))</formula>
    </cfRule>
    <cfRule type="expression" priority="2926" dxfId="2">
      <formula>AND(IF($Q290=2,1,0),IF($X290&lt;30,1,0))</formula>
    </cfRule>
    <cfRule type="expression" priority="2927" dxfId="1">
      <formula>AND(IF($Q290=3,1,0),IF($X290&lt;30,1,0))</formula>
    </cfRule>
    <cfRule type="expression" priority="2928" dxfId="0">
      <formula>AND(IF($Q290=3,1,IF($Q290=4,1,0)),IF($F290&lt;=85,1,0))</formula>
    </cfRule>
  </conditionalFormatting>
  <conditionalFormatting sqref="X290">
    <cfRule type="expression" priority="2921" dxfId="3">
      <formula>AND(IF(OR($Q290=1,$Q290=2),1,0),IF($X290&lt;=20,1,0))</formula>
    </cfRule>
    <cfRule type="expression" priority="2922" dxfId="2">
      <formula>AND(IF($Q290=2,1,0),IF($X290&lt;30,1,0))</formula>
    </cfRule>
    <cfRule type="expression" priority="2923" dxfId="1">
      <formula>AND(IF($Q290=3,1,0),IF($X290&lt;30,1,0))</formula>
    </cfRule>
    <cfRule type="expression" priority="2924" dxfId="0">
      <formula>AND(IF($Q290=3,1,IF($Q290=4,1,0)),IF($F290&lt;=85,1,0))</formula>
    </cfRule>
  </conditionalFormatting>
  <conditionalFormatting sqref="AI290">
    <cfRule type="expression" priority="2917" dxfId="3">
      <formula>AND(IF(OR($Q290=1,$Q290=2),1,0),IF($X290&lt;=20,1,0))</formula>
    </cfRule>
    <cfRule type="expression" priority="2918" dxfId="2">
      <formula>AND(IF($Q290=2,1,0),IF($X290&lt;30,1,0))</formula>
    </cfRule>
    <cfRule type="expression" priority="2919" dxfId="1">
      <formula>AND(IF($Q290=3,1,0),IF($X290&lt;30,1,0))</formula>
    </cfRule>
    <cfRule type="expression" priority="2920" dxfId="0">
      <formula>AND(IF($Q290=3,1,IF($Q290=4,1,0)),IF($F290&lt;=85,1,0))</formula>
    </cfRule>
  </conditionalFormatting>
  <conditionalFormatting sqref="AV291">
    <cfRule type="expression" priority="2915" dxfId="23">
      <formula>AV291="X"</formula>
    </cfRule>
    <cfRule type="expression" priority="2916" dxfId="22">
      <formula>AV291="후보"</formula>
    </cfRule>
  </conditionalFormatting>
  <conditionalFormatting sqref="AC2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1">
    <cfRule type="expression" priority="2907" dxfId="3">
      <formula>AND(IF(OR($Q291=1,$Q291=2),1,0),IF($X291&lt;=20,1,0))</formula>
    </cfRule>
    <cfRule type="expression" priority="2908" dxfId="2">
      <formula>AND(IF($Q291=2,1,0),IF($X291&lt;30,1,0))</formula>
    </cfRule>
    <cfRule type="expression" priority="2909" dxfId="1">
      <formula>AND(IF($Q291=3,1,0),IF($X291&lt;30,1,0))</formula>
    </cfRule>
    <cfRule type="expression" priority="2910" dxfId="0">
      <formula>AND(IF($Q291=3,1,IF($Q291=4,1,0)),IF($F291&lt;=85,1,0))</formula>
    </cfRule>
  </conditionalFormatting>
  <conditionalFormatting sqref="X291">
    <cfRule type="expression" priority="2903" dxfId="3">
      <formula>AND(IF(OR($Q291=1,$Q291=2),1,0),IF($X291&lt;=20,1,0))</formula>
    </cfRule>
    <cfRule type="expression" priority="2904" dxfId="2">
      <formula>AND(IF($Q291=2,1,0),IF($X291&lt;30,1,0))</formula>
    </cfRule>
    <cfRule type="expression" priority="2905" dxfId="1">
      <formula>AND(IF($Q291=3,1,0),IF($X291&lt;30,1,0))</formula>
    </cfRule>
    <cfRule type="expression" priority="2906" dxfId="0">
      <formula>AND(IF($Q291=3,1,IF($Q291=4,1,0)),IF($F291&lt;=85,1,0))</formula>
    </cfRule>
  </conditionalFormatting>
  <conditionalFormatting sqref="AI291">
    <cfRule type="expression" priority="2899" dxfId="3">
      <formula>AND(IF(OR($Q291=1,$Q291=2),1,0),IF($X291&lt;=20,1,0))</formula>
    </cfRule>
    <cfRule type="expression" priority="2900" dxfId="2">
      <formula>AND(IF($Q291=2,1,0),IF($X291&lt;30,1,0))</formula>
    </cfRule>
    <cfRule type="expression" priority="2901" dxfId="1">
      <formula>AND(IF($Q291=3,1,0),IF($X291&lt;30,1,0))</formula>
    </cfRule>
    <cfRule type="expression" priority="2902" dxfId="0">
      <formula>AND(IF($Q291=3,1,IF($Q291=4,1,0)),IF($F291&lt;=85,1,0))</formula>
    </cfRule>
  </conditionalFormatting>
  <conditionalFormatting sqref="AV292">
    <cfRule type="expression" priority="2897" dxfId="23">
      <formula>AV292="X"</formula>
    </cfRule>
    <cfRule type="expression" priority="2898" dxfId="22">
      <formula>AV292="후보"</formula>
    </cfRule>
  </conditionalFormatting>
  <conditionalFormatting sqref="AC2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92">
    <cfRule type="expression" priority="2889" dxfId="3">
      <formula>AND(IF(OR($Q292=1,$Q292=2),1,0),IF($X292&lt;=20,1,0))</formula>
    </cfRule>
    <cfRule type="expression" priority="2890" dxfId="2">
      <formula>AND(IF($Q292=2,1,0),IF($X292&lt;30,1,0))</formula>
    </cfRule>
    <cfRule type="expression" priority="2891" dxfId="1">
      <formula>AND(IF($Q292=3,1,0),IF($X292&lt;30,1,0))</formula>
    </cfRule>
    <cfRule type="expression" priority="2892" dxfId="0">
      <formula>AND(IF($Q292=3,1,IF($Q292=4,1,0)),IF($F292&lt;=85,1,0))</formula>
    </cfRule>
  </conditionalFormatting>
  <conditionalFormatting sqref="X292">
    <cfRule type="expression" priority="2885" dxfId="3">
      <formula>AND(IF(OR($Q292=1,$Q292=2),1,0),IF($X292&lt;=20,1,0))</formula>
    </cfRule>
    <cfRule type="expression" priority="2886" dxfId="2">
      <formula>AND(IF($Q292=2,1,0),IF($X292&lt;30,1,0))</formula>
    </cfRule>
    <cfRule type="expression" priority="2887" dxfId="1">
      <formula>AND(IF($Q292=3,1,0),IF($X292&lt;30,1,0))</formula>
    </cfRule>
    <cfRule type="expression" priority="2888" dxfId="0">
      <formula>AND(IF($Q292=3,1,IF($Q292=4,1,0)),IF($F292&lt;=85,1,0))</formula>
    </cfRule>
  </conditionalFormatting>
  <conditionalFormatting sqref="AI292">
    <cfRule type="expression" priority="2881" dxfId="3">
      <formula>AND(IF(OR($Q292=1,$Q292=2),1,0),IF($X292&lt;=20,1,0))</formula>
    </cfRule>
    <cfRule type="expression" priority="2882" dxfId="2">
      <formula>AND(IF($Q292=2,1,0),IF($X292&lt;30,1,0))</formula>
    </cfRule>
    <cfRule type="expression" priority="2883" dxfId="1">
      <formula>AND(IF($Q292=3,1,0),IF($X292&lt;30,1,0))</formula>
    </cfRule>
    <cfRule type="expression" priority="2884" dxfId="0">
      <formula>AND(IF($Q292=3,1,IF($Q292=4,1,0)),IF($F292&lt;=85,1,0))</formula>
    </cfRule>
  </conditionalFormatting>
  <conditionalFormatting sqref="AV293">
    <cfRule type="expression" priority="2879" dxfId="23">
      <formula>AV293="X"</formula>
    </cfRule>
    <cfRule type="expression" priority="2880" dxfId="22">
      <formula>AV293="후보"</formula>
    </cfRule>
  </conditionalFormatting>
  <conditionalFormatting sqref="AC2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93">
    <cfRule type="expression" priority="2871" dxfId="3">
      <formula>AND(IF(OR($Q293=1,$Q293=2),1,0),IF($X293&lt;=20,1,0))</formula>
    </cfRule>
    <cfRule type="expression" priority="2872" dxfId="2">
      <formula>AND(IF($Q293=2,1,0),IF($X293&lt;30,1,0))</formula>
    </cfRule>
    <cfRule type="expression" priority="2873" dxfId="1">
      <formula>AND(IF($Q293=3,1,0),IF($X293&lt;30,1,0))</formula>
    </cfRule>
    <cfRule type="expression" priority="2874" dxfId="0">
      <formula>AND(IF($Q293=3,1,IF($Q293=4,1,0)),IF($F293&lt;=85,1,0))</formula>
    </cfRule>
  </conditionalFormatting>
  <conditionalFormatting sqref="X293">
    <cfRule type="expression" priority="2867" dxfId="3">
      <formula>AND(IF(OR($Q293=1,$Q293=2),1,0),IF($X293&lt;=20,1,0))</formula>
    </cfRule>
    <cfRule type="expression" priority="2868" dxfId="2">
      <formula>AND(IF($Q293=2,1,0),IF($X293&lt;30,1,0))</formula>
    </cfRule>
    <cfRule type="expression" priority="2869" dxfId="1">
      <formula>AND(IF($Q293=3,1,0),IF($X293&lt;30,1,0))</formula>
    </cfRule>
    <cfRule type="expression" priority="2870" dxfId="0">
      <formula>AND(IF($Q293=3,1,IF($Q293=4,1,0)),IF($F293&lt;=85,1,0))</formula>
    </cfRule>
  </conditionalFormatting>
  <conditionalFormatting sqref="AI293">
    <cfRule type="expression" priority="2863" dxfId="3">
      <formula>AND(IF(OR($Q293=1,$Q293=2),1,0),IF($X293&lt;=20,1,0))</formula>
    </cfRule>
    <cfRule type="expression" priority="2864" dxfId="2">
      <formula>AND(IF($Q293=2,1,0),IF($X293&lt;30,1,0))</formula>
    </cfRule>
    <cfRule type="expression" priority="2865" dxfId="1">
      <formula>AND(IF($Q293=3,1,0),IF($X293&lt;30,1,0))</formula>
    </cfRule>
    <cfRule type="expression" priority="2866" dxfId="0">
      <formula>AND(IF($Q293=3,1,IF($Q293=4,1,0)),IF($F293&lt;=85,1,0))</formula>
    </cfRule>
  </conditionalFormatting>
  <conditionalFormatting sqref="AV294">
    <cfRule type="expression" priority="2861" dxfId="23">
      <formula>AV294="X"</formula>
    </cfRule>
    <cfRule type="expression" priority="2862" dxfId="22">
      <formula>AV294="후보"</formula>
    </cfRule>
  </conditionalFormatting>
  <conditionalFormatting sqref="AC2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94">
    <cfRule type="expression" priority="2853" dxfId="3">
      <formula>AND(IF(OR($Q294=1,$Q294=2),1,0),IF($X294&lt;=20,1,0))</formula>
    </cfRule>
    <cfRule type="expression" priority="2854" dxfId="2">
      <formula>AND(IF($Q294=2,1,0),IF($X294&lt;30,1,0))</formula>
    </cfRule>
    <cfRule type="expression" priority="2855" dxfId="1">
      <formula>AND(IF($Q294=3,1,0),IF($X294&lt;30,1,0))</formula>
    </cfRule>
    <cfRule type="expression" priority="2856" dxfId="0">
      <formula>AND(IF($Q294=3,1,IF($Q294=4,1,0)),IF($F294&lt;=85,1,0))</formula>
    </cfRule>
  </conditionalFormatting>
  <conditionalFormatting sqref="X294">
    <cfRule type="expression" priority="2849" dxfId="3">
      <formula>AND(IF(OR($Q294=1,$Q294=2),1,0),IF($X294&lt;=20,1,0))</formula>
    </cfRule>
    <cfRule type="expression" priority="2850" dxfId="2">
      <formula>AND(IF($Q294=2,1,0),IF($X294&lt;30,1,0))</formula>
    </cfRule>
    <cfRule type="expression" priority="2851" dxfId="1">
      <formula>AND(IF($Q294=3,1,0),IF($X294&lt;30,1,0))</formula>
    </cfRule>
    <cfRule type="expression" priority="2852" dxfId="0">
      <formula>AND(IF($Q294=3,1,IF($Q294=4,1,0)),IF($F294&lt;=85,1,0))</formula>
    </cfRule>
  </conditionalFormatting>
  <conditionalFormatting sqref="AI294">
    <cfRule type="expression" priority="2845" dxfId="3">
      <formula>AND(IF(OR($Q294=1,$Q294=2),1,0),IF($X294&lt;=20,1,0))</formula>
    </cfRule>
    <cfRule type="expression" priority="2846" dxfId="2">
      <formula>AND(IF($Q294=2,1,0),IF($X294&lt;30,1,0))</formula>
    </cfRule>
    <cfRule type="expression" priority="2847" dxfId="1">
      <formula>AND(IF($Q294=3,1,0),IF($X294&lt;30,1,0))</formula>
    </cfRule>
    <cfRule type="expression" priority="2848" dxfId="0">
      <formula>AND(IF($Q294=3,1,IF($Q294=4,1,0)),IF($F294&lt;=85,1,0))</formula>
    </cfRule>
  </conditionalFormatting>
  <conditionalFormatting sqref="AV295">
    <cfRule type="expression" priority="2843" dxfId="23">
      <formula>AV295="X"</formula>
    </cfRule>
    <cfRule type="expression" priority="2844" dxfId="22">
      <formula>AV295="후보"</formula>
    </cfRule>
  </conditionalFormatting>
  <conditionalFormatting sqref="AC2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95">
    <cfRule type="expression" priority="2835" dxfId="3">
      <formula>AND(IF(OR($Q295=1,$Q295=2),1,0),IF($X295&lt;=20,1,0))</formula>
    </cfRule>
    <cfRule type="expression" priority="2836" dxfId="2">
      <formula>AND(IF($Q295=2,1,0),IF($X295&lt;30,1,0))</formula>
    </cfRule>
    <cfRule type="expression" priority="2837" dxfId="1">
      <formula>AND(IF($Q295=3,1,0),IF($X295&lt;30,1,0))</formula>
    </cfRule>
    <cfRule type="expression" priority="2838" dxfId="0">
      <formula>AND(IF($Q295=3,1,IF($Q295=4,1,0)),IF($F295&lt;=85,1,0))</formula>
    </cfRule>
  </conditionalFormatting>
  <conditionalFormatting sqref="X295">
    <cfRule type="expression" priority="2831" dxfId="3">
      <formula>AND(IF(OR($Q295=1,$Q295=2),1,0),IF($X295&lt;=20,1,0))</formula>
    </cfRule>
    <cfRule type="expression" priority="2832" dxfId="2">
      <formula>AND(IF($Q295=2,1,0),IF($X295&lt;30,1,0))</formula>
    </cfRule>
    <cfRule type="expression" priority="2833" dxfId="1">
      <formula>AND(IF($Q295=3,1,0),IF($X295&lt;30,1,0))</formula>
    </cfRule>
    <cfRule type="expression" priority="2834" dxfId="0">
      <formula>AND(IF($Q295=3,1,IF($Q295=4,1,0)),IF($F295&lt;=85,1,0))</formula>
    </cfRule>
  </conditionalFormatting>
  <conditionalFormatting sqref="AI295">
    <cfRule type="expression" priority="2827" dxfId="3">
      <formula>AND(IF(OR($Q295=1,$Q295=2),1,0),IF($X295&lt;=20,1,0))</formula>
    </cfRule>
    <cfRule type="expression" priority="2828" dxfId="2">
      <formula>AND(IF($Q295=2,1,0),IF($X295&lt;30,1,0))</formula>
    </cfRule>
    <cfRule type="expression" priority="2829" dxfId="1">
      <formula>AND(IF($Q295=3,1,0),IF($X295&lt;30,1,0))</formula>
    </cfRule>
    <cfRule type="expression" priority="2830" dxfId="0">
      <formula>AND(IF($Q295=3,1,IF($Q295=4,1,0)),IF($F295&lt;=85,1,0))</formula>
    </cfRule>
  </conditionalFormatting>
  <conditionalFormatting sqref="AV296">
    <cfRule type="expression" priority="2825" dxfId="23">
      <formula>AV296="X"</formula>
    </cfRule>
    <cfRule type="expression" priority="2826" dxfId="22">
      <formula>AV296="후보"</formula>
    </cfRule>
  </conditionalFormatting>
  <conditionalFormatting sqref="AC2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96">
    <cfRule type="expression" priority="2817" dxfId="3">
      <formula>AND(IF(OR($Q296=1,$Q296=2),1,0),IF($X296&lt;=20,1,0))</formula>
    </cfRule>
    <cfRule type="expression" priority="2818" dxfId="2">
      <formula>AND(IF($Q296=2,1,0),IF($X296&lt;30,1,0))</formula>
    </cfRule>
    <cfRule type="expression" priority="2819" dxfId="1">
      <formula>AND(IF($Q296=3,1,0),IF($X296&lt;30,1,0))</formula>
    </cfRule>
    <cfRule type="expression" priority="2820" dxfId="0">
      <formula>AND(IF($Q296=3,1,IF($Q296=4,1,0)),IF($F296&lt;=85,1,0))</formula>
    </cfRule>
  </conditionalFormatting>
  <conditionalFormatting sqref="X296">
    <cfRule type="expression" priority="2813" dxfId="3">
      <formula>AND(IF(OR($Q296=1,$Q296=2),1,0),IF($X296&lt;=20,1,0))</formula>
    </cfRule>
    <cfRule type="expression" priority="2814" dxfId="2">
      <formula>AND(IF($Q296=2,1,0),IF($X296&lt;30,1,0))</formula>
    </cfRule>
    <cfRule type="expression" priority="2815" dxfId="1">
      <formula>AND(IF($Q296=3,1,0),IF($X296&lt;30,1,0))</formula>
    </cfRule>
    <cfRule type="expression" priority="2816" dxfId="0">
      <formula>AND(IF($Q296=3,1,IF($Q296=4,1,0)),IF($F296&lt;=85,1,0))</formula>
    </cfRule>
  </conditionalFormatting>
  <conditionalFormatting sqref="AI296">
    <cfRule type="expression" priority="2809" dxfId="3">
      <formula>AND(IF(OR($Q296=1,$Q296=2),1,0),IF($X296&lt;=20,1,0))</formula>
    </cfRule>
    <cfRule type="expression" priority="2810" dxfId="2">
      <formula>AND(IF($Q296=2,1,0),IF($X296&lt;30,1,0))</formula>
    </cfRule>
    <cfRule type="expression" priority="2811" dxfId="1">
      <formula>AND(IF($Q296=3,1,0),IF($X296&lt;30,1,0))</formula>
    </cfRule>
    <cfRule type="expression" priority="2812" dxfId="0">
      <formula>AND(IF($Q296=3,1,IF($Q296=4,1,0)),IF($F296&lt;=85,1,0))</formula>
    </cfRule>
  </conditionalFormatting>
  <conditionalFormatting sqref="AV297">
    <cfRule type="expression" priority="2807" dxfId="23">
      <formula>AV297="X"</formula>
    </cfRule>
    <cfRule type="expression" priority="2808" dxfId="22">
      <formula>AV297="후보"</formula>
    </cfRule>
  </conditionalFormatting>
  <conditionalFormatting sqref="AC2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97">
    <cfRule type="expression" priority="2799" dxfId="3">
      <formula>AND(IF(OR($Q297=1,$Q297=2),1,0),IF($X297&lt;=20,1,0))</formula>
    </cfRule>
    <cfRule type="expression" priority="2800" dxfId="2">
      <formula>AND(IF($Q297=2,1,0),IF($X297&lt;30,1,0))</formula>
    </cfRule>
    <cfRule type="expression" priority="2801" dxfId="1">
      <formula>AND(IF($Q297=3,1,0),IF($X297&lt;30,1,0))</formula>
    </cfRule>
    <cfRule type="expression" priority="2802" dxfId="0">
      <formula>AND(IF($Q297=3,1,IF($Q297=4,1,0)),IF($F297&lt;=85,1,0))</formula>
    </cfRule>
  </conditionalFormatting>
  <conditionalFormatting sqref="X297">
    <cfRule type="expression" priority="2795" dxfId="3">
      <formula>AND(IF(OR($Q297=1,$Q297=2),1,0),IF($X297&lt;=20,1,0))</formula>
    </cfRule>
    <cfRule type="expression" priority="2796" dxfId="2">
      <formula>AND(IF($Q297=2,1,0),IF($X297&lt;30,1,0))</formula>
    </cfRule>
    <cfRule type="expression" priority="2797" dxfId="1">
      <formula>AND(IF($Q297=3,1,0),IF($X297&lt;30,1,0))</formula>
    </cfRule>
    <cfRule type="expression" priority="2798" dxfId="0">
      <formula>AND(IF($Q297=3,1,IF($Q297=4,1,0)),IF($F297&lt;=85,1,0))</formula>
    </cfRule>
  </conditionalFormatting>
  <conditionalFormatting sqref="AI297">
    <cfRule type="expression" priority="2791" dxfId="3">
      <formula>AND(IF(OR($Q297=1,$Q297=2),1,0),IF($X297&lt;=20,1,0))</formula>
    </cfRule>
    <cfRule type="expression" priority="2792" dxfId="2">
      <formula>AND(IF($Q297=2,1,0),IF($X297&lt;30,1,0))</formula>
    </cfRule>
    <cfRule type="expression" priority="2793" dxfId="1">
      <formula>AND(IF($Q297=3,1,0),IF($X297&lt;30,1,0))</formula>
    </cfRule>
    <cfRule type="expression" priority="2794" dxfId="0">
      <formula>AND(IF($Q297=3,1,IF($Q297=4,1,0)),IF($F297&lt;=85,1,0))</formula>
    </cfRule>
  </conditionalFormatting>
  <conditionalFormatting sqref="AV298">
    <cfRule type="expression" priority="2789" dxfId="23">
      <formula>AV298="X"</formula>
    </cfRule>
    <cfRule type="expression" priority="2790" dxfId="22">
      <formula>AV298="후보"</formula>
    </cfRule>
  </conditionalFormatting>
  <conditionalFormatting sqref="AC2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98">
    <cfRule type="expression" priority="2781" dxfId="3">
      <formula>AND(IF(OR($Q298=1,$Q298=2),1,0),IF($X298&lt;=20,1,0))</formula>
    </cfRule>
    <cfRule type="expression" priority="2782" dxfId="2">
      <formula>AND(IF($Q298=2,1,0),IF($X298&lt;30,1,0))</formula>
    </cfRule>
    <cfRule type="expression" priority="2783" dxfId="1">
      <formula>AND(IF($Q298=3,1,0),IF($X298&lt;30,1,0))</formula>
    </cfRule>
    <cfRule type="expression" priority="2784" dxfId="0">
      <formula>AND(IF($Q298=3,1,IF($Q298=4,1,0)),IF($F298&lt;=85,1,0))</formula>
    </cfRule>
  </conditionalFormatting>
  <conditionalFormatting sqref="X298">
    <cfRule type="expression" priority="2777" dxfId="3">
      <formula>AND(IF(OR($Q298=1,$Q298=2),1,0),IF($X298&lt;=20,1,0))</formula>
    </cfRule>
    <cfRule type="expression" priority="2778" dxfId="2">
      <formula>AND(IF($Q298=2,1,0),IF($X298&lt;30,1,0))</formula>
    </cfRule>
    <cfRule type="expression" priority="2779" dxfId="1">
      <formula>AND(IF($Q298=3,1,0),IF($X298&lt;30,1,0))</formula>
    </cfRule>
    <cfRule type="expression" priority="2780" dxfId="0">
      <formula>AND(IF($Q298=3,1,IF($Q298=4,1,0)),IF($F298&lt;=85,1,0))</formula>
    </cfRule>
  </conditionalFormatting>
  <conditionalFormatting sqref="AI298">
    <cfRule type="expression" priority="2773" dxfId="3">
      <formula>AND(IF(OR($Q298=1,$Q298=2),1,0),IF($X298&lt;=20,1,0))</formula>
    </cfRule>
    <cfRule type="expression" priority="2774" dxfId="2">
      <formula>AND(IF($Q298=2,1,0),IF($X298&lt;30,1,0))</formula>
    </cfRule>
    <cfRule type="expression" priority="2775" dxfId="1">
      <formula>AND(IF($Q298=3,1,0),IF($X298&lt;30,1,0))</formula>
    </cfRule>
    <cfRule type="expression" priority="2776" dxfId="0">
      <formula>AND(IF($Q298=3,1,IF($Q298=4,1,0)),IF($F298&lt;=85,1,0))</formula>
    </cfRule>
  </conditionalFormatting>
  <conditionalFormatting sqref="AV299">
    <cfRule type="expression" priority="2771" dxfId="23">
      <formula>AV299="X"</formula>
    </cfRule>
    <cfRule type="expression" priority="2772" dxfId="22">
      <formula>AV299="후보"</formula>
    </cfRule>
  </conditionalFormatting>
  <conditionalFormatting sqref="AC2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99">
    <cfRule type="expression" priority="2763" dxfId="3">
      <formula>AND(IF(OR($Q299=1,$Q299=2),1,0),IF($X299&lt;=20,1,0))</formula>
    </cfRule>
    <cfRule type="expression" priority="2764" dxfId="2">
      <formula>AND(IF($Q299=2,1,0),IF($X299&lt;30,1,0))</formula>
    </cfRule>
    <cfRule type="expression" priority="2765" dxfId="1">
      <formula>AND(IF($Q299=3,1,0),IF($X299&lt;30,1,0))</formula>
    </cfRule>
    <cfRule type="expression" priority="2766" dxfId="0">
      <formula>AND(IF($Q299=3,1,IF($Q299=4,1,0)),IF($F299&lt;=85,1,0))</formula>
    </cfRule>
  </conditionalFormatting>
  <conditionalFormatting sqref="X299">
    <cfRule type="expression" priority="2759" dxfId="3">
      <formula>AND(IF(OR($Q299=1,$Q299=2),1,0),IF($X299&lt;=20,1,0))</formula>
    </cfRule>
    <cfRule type="expression" priority="2760" dxfId="2">
      <formula>AND(IF($Q299=2,1,0),IF($X299&lt;30,1,0))</formula>
    </cfRule>
    <cfRule type="expression" priority="2761" dxfId="1">
      <formula>AND(IF($Q299=3,1,0),IF($X299&lt;30,1,0))</formula>
    </cfRule>
    <cfRule type="expression" priority="2762" dxfId="0">
      <formula>AND(IF($Q299=3,1,IF($Q299=4,1,0)),IF($F299&lt;=85,1,0))</formula>
    </cfRule>
  </conditionalFormatting>
  <conditionalFormatting sqref="AI299">
    <cfRule type="expression" priority="2755" dxfId="3">
      <formula>AND(IF(OR($Q299=1,$Q299=2),1,0),IF($X299&lt;=20,1,0))</formula>
    </cfRule>
    <cfRule type="expression" priority="2756" dxfId="2">
      <formula>AND(IF($Q299=2,1,0),IF($X299&lt;30,1,0))</formula>
    </cfRule>
    <cfRule type="expression" priority="2757" dxfId="1">
      <formula>AND(IF($Q299=3,1,0),IF($X299&lt;30,1,0))</formula>
    </cfRule>
    <cfRule type="expression" priority="2758" dxfId="0">
      <formula>AND(IF($Q299=3,1,IF($Q299=4,1,0)),IF($F299&lt;=85,1,0))</formula>
    </cfRule>
  </conditionalFormatting>
  <conditionalFormatting sqref="AV300">
    <cfRule type="expression" priority="2753" dxfId="23">
      <formula>AV300="X"</formula>
    </cfRule>
    <cfRule type="expression" priority="2754" dxfId="22">
      <formula>AV300="후보"</formula>
    </cfRule>
  </conditionalFormatting>
  <conditionalFormatting sqref="AC3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00">
    <cfRule type="expression" priority="2745" dxfId="3">
      <formula>AND(IF(OR($Q300=1,$Q300=2),1,0),IF($X300&lt;=20,1,0))</formula>
    </cfRule>
    <cfRule type="expression" priority="2746" dxfId="2">
      <formula>AND(IF($Q300=2,1,0),IF($X300&lt;30,1,0))</formula>
    </cfRule>
    <cfRule type="expression" priority="2747" dxfId="1">
      <formula>AND(IF($Q300=3,1,0),IF($X300&lt;30,1,0))</formula>
    </cfRule>
    <cfRule type="expression" priority="2748" dxfId="0">
      <formula>AND(IF($Q300=3,1,IF($Q300=4,1,0)),IF($F300&lt;=85,1,0))</formula>
    </cfRule>
  </conditionalFormatting>
  <conditionalFormatting sqref="X300">
    <cfRule type="expression" priority="2741" dxfId="3">
      <formula>AND(IF(OR($Q300=1,$Q300=2),1,0),IF($X300&lt;=20,1,0))</formula>
    </cfRule>
    <cfRule type="expression" priority="2742" dxfId="2">
      <formula>AND(IF($Q300=2,1,0),IF($X300&lt;30,1,0))</formula>
    </cfRule>
    <cfRule type="expression" priority="2743" dxfId="1">
      <formula>AND(IF($Q300=3,1,0),IF($X300&lt;30,1,0))</formula>
    </cfRule>
    <cfRule type="expression" priority="2744" dxfId="0">
      <formula>AND(IF($Q300=3,1,IF($Q300=4,1,0)),IF($F300&lt;=85,1,0))</formula>
    </cfRule>
  </conditionalFormatting>
  <conditionalFormatting sqref="AI300">
    <cfRule type="expression" priority="2737" dxfId="3">
      <formula>AND(IF(OR($Q300=1,$Q300=2),1,0),IF($X300&lt;=20,1,0))</formula>
    </cfRule>
    <cfRule type="expression" priority="2738" dxfId="2">
      <formula>AND(IF($Q300=2,1,0),IF($X300&lt;30,1,0))</formula>
    </cfRule>
    <cfRule type="expression" priority="2739" dxfId="1">
      <formula>AND(IF($Q300=3,1,0),IF($X300&lt;30,1,0))</formula>
    </cfRule>
    <cfRule type="expression" priority="2740" dxfId="0">
      <formula>AND(IF($Q300=3,1,IF($Q300=4,1,0)),IF($F300&lt;=85,1,0))</formula>
    </cfRule>
  </conditionalFormatting>
  <conditionalFormatting sqref="AV301">
    <cfRule type="expression" priority="2735" dxfId="23">
      <formula>AV301="X"</formula>
    </cfRule>
    <cfRule type="expression" priority="2736" dxfId="22">
      <formula>AV301="후보"</formula>
    </cfRule>
  </conditionalFormatting>
  <conditionalFormatting sqref="AC3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01">
    <cfRule type="expression" priority="2727" dxfId="3">
      <formula>AND(IF(OR($Q301=1,$Q301=2),1,0),IF($X301&lt;=20,1,0))</formula>
    </cfRule>
    <cfRule type="expression" priority="2728" dxfId="2">
      <formula>AND(IF($Q301=2,1,0),IF($X301&lt;30,1,0))</formula>
    </cfRule>
    <cfRule type="expression" priority="2729" dxfId="1">
      <formula>AND(IF($Q301=3,1,0),IF($X301&lt;30,1,0))</formula>
    </cfRule>
    <cfRule type="expression" priority="2730" dxfId="0">
      <formula>AND(IF($Q301=3,1,IF($Q301=4,1,0)),IF($F301&lt;=85,1,0))</formula>
    </cfRule>
  </conditionalFormatting>
  <conditionalFormatting sqref="X301">
    <cfRule type="expression" priority="2723" dxfId="3">
      <formula>AND(IF(OR($Q301=1,$Q301=2),1,0),IF($X301&lt;=20,1,0))</formula>
    </cfRule>
    <cfRule type="expression" priority="2724" dxfId="2">
      <formula>AND(IF($Q301=2,1,0),IF($X301&lt;30,1,0))</formula>
    </cfRule>
    <cfRule type="expression" priority="2725" dxfId="1">
      <formula>AND(IF($Q301=3,1,0),IF($X301&lt;30,1,0))</formula>
    </cfRule>
    <cfRule type="expression" priority="2726" dxfId="0">
      <formula>AND(IF($Q301=3,1,IF($Q301=4,1,0)),IF($F301&lt;=85,1,0))</formula>
    </cfRule>
  </conditionalFormatting>
  <conditionalFormatting sqref="AI301">
    <cfRule type="expression" priority="2719" dxfId="3">
      <formula>AND(IF(OR($Q301=1,$Q301=2),1,0),IF($X301&lt;=20,1,0))</formula>
    </cfRule>
    <cfRule type="expression" priority="2720" dxfId="2">
      <formula>AND(IF($Q301=2,1,0),IF($X301&lt;30,1,0))</formula>
    </cfRule>
    <cfRule type="expression" priority="2721" dxfId="1">
      <formula>AND(IF($Q301=3,1,0),IF($X301&lt;30,1,0))</formula>
    </cfRule>
    <cfRule type="expression" priority="2722" dxfId="0">
      <formula>AND(IF($Q301=3,1,IF($Q301=4,1,0)),IF($F301&lt;=85,1,0))</formula>
    </cfRule>
  </conditionalFormatting>
  <conditionalFormatting sqref="AV302">
    <cfRule type="expression" priority="2717" dxfId="23">
      <formula>AV302="X"</formula>
    </cfRule>
    <cfRule type="expression" priority="2718" dxfId="22">
      <formula>AV302="후보"</formula>
    </cfRule>
  </conditionalFormatting>
  <conditionalFormatting sqref="AC3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2">
    <cfRule type="expression" priority="2709" dxfId="3">
      <formula>AND(IF(OR($Q302=1,$Q302=2),1,0),IF($X302&lt;=20,1,0))</formula>
    </cfRule>
    <cfRule type="expression" priority="2710" dxfId="2">
      <formula>AND(IF($Q302=2,1,0),IF($X302&lt;30,1,0))</formula>
    </cfRule>
    <cfRule type="expression" priority="2711" dxfId="1">
      <formula>AND(IF($Q302=3,1,0),IF($X302&lt;30,1,0))</formula>
    </cfRule>
    <cfRule type="expression" priority="2712" dxfId="0">
      <formula>AND(IF($Q302=3,1,IF($Q302=4,1,0)),IF($F302&lt;=85,1,0))</formula>
    </cfRule>
  </conditionalFormatting>
  <conditionalFormatting sqref="X302">
    <cfRule type="expression" priority="2705" dxfId="3">
      <formula>AND(IF(OR($Q302=1,$Q302=2),1,0),IF($X302&lt;=20,1,0))</formula>
    </cfRule>
    <cfRule type="expression" priority="2706" dxfId="2">
      <formula>AND(IF($Q302=2,1,0),IF($X302&lt;30,1,0))</formula>
    </cfRule>
    <cfRule type="expression" priority="2707" dxfId="1">
      <formula>AND(IF($Q302=3,1,0),IF($X302&lt;30,1,0))</formula>
    </cfRule>
    <cfRule type="expression" priority="2708" dxfId="0">
      <formula>AND(IF($Q302=3,1,IF($Q302=4,1,0)),IF($F302&lt;=85,1,0))</formula>
    </cfRule>
  </conditionalFormatting>
  <conditionalFormatting sqref="AI302">
    <cfRule type="expression" priority="2701" dxfId="3">
      <formula>AND(IF(OR($Q302=1,$Q302=2),1,0),IF($X302&lt;=20,1,0))</formula>
    </cfRule>
    <cfRule type="expression" priority="2702" dxfId="2">
      <formula>AND(IF($Q302=2,1,0),IF($X302&lt;30,1,0))</formula>
    </cfRule>
    <cfRule type="expression" priority="2703" dxfId="1">
      <formula>AND(IF($Q302=3,1,0),IF($X302&lt;30,1,0))</formula>
    </cfRule>
    <cfRule type="expression" priority="2704" dxfId="0">
      <formula>AND(IF($Q302=3,1,IF($Q302=4,1,0)),IF($F302&lt;=85,1,0))</formula>
    </cfRule>
  </conditionalFormatting>
  <conditionalFormatting sqref="AV303">
    <cfRule type="expression" priority="2699" dxfId="23">
      <formula>AV303="X"</formula>
    </cfRule>
    <cfRule type="expression" priority="2700" dxfId="22">
      <formula>AV303="후보"</formula>
    </cfRule>
  </conditionalFormatting>
  <conditionalFormatting sqref="AC3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03">
    <cfRule type="expression" priority="2691" dxfId="3">
      <formula>AND(IF(OR($Q303=1,$Q303=2),1,0),IF($X303&lt;=20,1,0))</formula>
    </cfRule>
    <cfRule type="expression" priority="2692" dxfId="2">
      <formula>AND(IF($Q303=2,1,0),IF($X303&lt;30,1,0))</formula>
    </cfRule>
    <cfRule type="expression" priority="2693" dxfId="1">
      <formula>AND(IF($Q303=3,1,0),IF($X303&lt;30,1,0))</formula>
    </cfRule>
    <cfRule type="expression" priority="2694" dxfId="0">
      <formula>AND(IF($Q303=3,1,IF($Q303=4,1,0)),IF($F303&lt;=85,1,0))</formula>
    </cfRule>
  </conditionalFormatting>
  <conditionalFormatting sqref="X303">
    <cfRule type="expression" priority="2687" dxfId="3">
      <formula>AND(IF(OR($Q303=1,$Q303=2),1,0),IF($X303&lt;=20,1,0))</formula>
    </cfRule>
    <cfRule type="expression" priority="2688" dxfId="2">
      <formula>AND(IF($Q303=2,1,0),IF($X303&lt;30,1,0))</formula>
    </cfRule>
    <cfRule type="expression" priority="2689" dxfId="1">
      <formula>AND(IF($Q303=3,1,0),IF($X303&lt;30,1,0))</formula>
    </cfRule>
    <cfRule type="expression" priority="2690" dxfId="0">
      <formula>AND(IF($Q303=3,1,IF($Q303=4,1,0)),IF($F303&lt;=85,1,0))</formula>
    </cfRule>
  </conditionalFormatting>
  <conditionalFormatting sqref="AI303">
    <cfRule type="expression" priority="2683" dxfId="3">
      <formula>AND(IF(OR($Q303=1,$Q303=2),1,0),IF($X303&lt;=20,1,0))</formula>
    </cfRule>
    <cfRule type="expression" priority="2684" dxfId="2">
      <formula>AND(IF($Q303=2,1,0),IF($X303&lt;30,1,0))</formula>
    </cfRule>
    <cfRule type="expression" priority="2685" dxfId="1">
      <formula>AND(IF($Q303=3,1,0),IF($X303&lt;30,1,0))</formula>
    </cfRule>
    <cfRule type="expression" priority="2686" dxfId="0">
      <formula>AND(IF($Q303=3,1,IF($Q303=4,1,0)),IF($F303&lt;=85,1,0))</formula>
    </cfRule>
  </conditionalFormatting>
  <conditionalFormatting sqref="AV304">
    <cfRule type="expression" priority="2681" dxfId="23">
      <formula>AV304="X"</formula>
    </cfRule>
    <cfRule type="expression" priority="2682" dxfId="22">
      <formula>AV304="후보"</formula>
    </cfRule>
  </conditionalFormatting>
  <conditionalFormatting sqref="AC3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04">
    <cfRule type="expression" priority="2673" dxfId="3">
      <formula>AND(IF(OR($Q304=1,$Q304=2),1,0),IF($X304&lt;=20,1,0))</formula>
    </cfRule>
    <cfRule type="expression" priority="2674" dxfId="2">
      <formula>AND(IF($Q304=2,1,0),IF($X304&lt;30,1,0))</formula>
    </cfRule>
    <cfRule type="expression" priority="2675" dxfId="1">
      <formula>AND(IF($Q304=3,1,0),IF($X304&lt;30,1,0))</formula>
    </cfRule>
    <cfRule type="expression" priority="2676" dxfId="0">
      <formula>AND(IF($Q304=3,1,IF($Q304=4,1,0)),IF($F304&lt;=85,1,0))</formula>
    </cfRule>
  </conditionalFormatting>
  <conditionalFormatting sqref="X304">
    <cfRule type="expression" priority="2669" dxfId="3">
      <formula>AND(IF(OR($Q304=1,$Q304=2),1,0),IF($X304&lt;=20,1,0))</formula>
    </cfRule>
    <cfRule type="expression" priority="2670" dxfId="2">
      <formula>AND(IF($Q304=2,1,0),IF($X304&lt;30,1,0))</formula>
    </cfRule>
    <cfRule type="expression" priority="2671" dxfId="1">
      <formula>AND(IF($Q304=3,1,0),IF($X304&lt;30,1,0))</formula>
    </cfRule>
    <cfRule type="expression" priority="2672" dxfId="0">
      <formula>AND(IF($Q304=3,1,IF($Q304=4,1,0)),IF($F304&lt;=85,1,0))</formula>
    </cfRule>
  </conditionalFormatting>
  <conditionalFormatting sqref="AI304">
    <cfRule type="expression" priority="2665" dxfId="3">
      <formula>AND(IF(OR($Q304=1,$Q304=2),1,0),IF($X304&lt;=20,1,0))</formula>
    </cfRule>
    <cfRule type="expression" priority="2666" dxfId="2">
      <formula>AND(IF($Q304=2,1,0),IF($X304&lt;30,1,0))</formula>
    </cfRule>
    <cfRule type="expression" priority="2667" dxfId="1">
      <formula>AND(IF($Q304=3,1,0),IF($X304&lt;30,1,0))</formula>
    </cfRule>
    <cfRule type="expression" priority="2668" dxfId="0">
      <formula>AND(IF($Q304=3,1,IF($Q304=4,1,0)),IF($F304&lt;=85,1,0))</formula>
    </cfRule>
  </conditionalFormatting>
  <conditionalFormatting sqref="AV305">
    <cfRule type="expression" priority="2663" dxfId="23">
      <formula>AV305="X"</formula>
    </cfRule>
    <cfRule type="expression" priority="2664" dxfId="22">
      <formula>AV305="후보"</formula>
    </cfRule>
  </conditionalFormatting>
  <conditionalFormatting sqref="AC3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05">
    <cfRule type="expression" priority="2655" dxfId="3">
      <formula>AND(IF(OR($Q305=1,$Q305=2),1,0),IF($X305&lt;=20,1,0))</formula>
    </cfRule>
    <cfRule type="expression" priority="2656" dxfId="2">
      <formula>AND(IF($Q305=2,1,0),IF($X305&lt;30,1,0))</formula>
    </cfRule>
    <cfRule type="expression" priority="2657" dxfId="1">
      <formula>AND(IF($Q305=3,1,0),IF($X305&lt;30,1,0))</formula>
    </cfRule>
    <cfRule type="expression" priority="2658" dxfId="0">
      <formula>AND(IF($Q305=3,1,IF($Q305=4,1,0)),IF($F305&lt;=85,1,0))</formula>
    </cfRule>
  </conditionalFormatting>
  <conditionalFormatting sqref="X305">
    <cfRule type="expression" priority="2651" dxfId="3">
      <formula>AND(IF(OR($Q305=1,$Q305=2),1,0),IF($X305&lt;=20,1,0))</formula>
    </cfRule>
    <cfRule type="expression" priority="2652" dxfId="2">
      <formula>AND(IF($Q305=2,1,0),IF($X305&lt;30,1,0))</formula>
    </cfRule>
    <cfRule type="expression" priority="2653" dxfId="1">
      <formula>AND(IF($Q305=3,1,0),IF($X305&lt;30,1,0))</formula>
    </cfRule>
    <cfRule type="expression" priority="2654" dxfId="0">
      <formula>AND(IF($Q305=3,1,IF($Q305=4,1,0)),IF($F305&lt;=85,1,0))</formula>
    </cfRule>
  </conditionalFormatting>
  <conditionalFormatting sqref="AI305">
    <cfRule type="expression" priority="2647" dxfId="3">
      <formula>AND(IF(OR($Q305=1,$Q305=2),1,0),IF($X305&lt;=20,1,0))</formula>
    </cfRule>
    <cfRule type="expression" priority="2648" dxfId="2">
      <formula>AND(IF($Q305=2,1,0),IF($X305&lt;30,1,0))</formula>
    </cfRule>
    <cfRule type="expression" priority="2649" dxfId="1">
      <formula>AND(IF($Q305=3,1,0),IF($X305&lt;30,1,0))</formula>
    </cfRule>
    <cfRule type="expression" priority="2650" dxfId="0">
      <formula>AND(IF($Q305=3,1,IF($Q305=4,1,0)),IF($F305&lt;=85,1,0))</formula>
    </cfRule>
  </conditionalFormatting>
  <conditionalFormatting sqref="AV306">
    <cfRule type="expression" priority="2645" dxfId="23">
      <formula>AV306="X"</formula>
    </cfRule>
    <cfRule type="expression" priority="2646" dxfId="22">
      <formula>AV306="후보"</formula>
    </cfRule>
  </conditionalFormatting>
  <conditionalFormatting sqref="AC3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06">
    <cfRule type="expression" priority="2637" dxfId="3">
      <formula>AND(IF(OR($Q306=1,$Q306=2),1,0),IF($X306&lt;=20,1,0))</formula>
    </cfRule>
    <cfRule type="expression" priority="2638" dxfId="2">
      <formula>AND(IF($Q306=2,1,0),IF($X306&lt;30,1,0))</formula>
    </cfRule>
    <cfRule type="expression" priority="2639" dxfId="1">
      <formula>AND(IF($Q306=3,1,0),IF($X306&lt;30,1,0))</formula>
    </cfRule>
    <cfRule type="expression" priority="2640" dxfId="0">
      <formula>AND(IF($Q306=3,1,IF($Q306=4,1,0)),IF($F306&lt;=85,1,0))</formula>
    </cfRule>
  </conditionalFormatting>
  <conditionalFormatting sqref="X306">
    <cfRule type="expression" priority="2633" dxfId="3">
      <formula>AND(IF(OR($Q306=1,$Q306=2),1,0),IF($X306&lt;=20,1,0))</formula>
    </cfRule>
    <cfRule type="expression" priority="2634" dxfId="2">
      <formula>AND(IF($Q306=2,1,0),IF($X306&lt;30,1,0))</formula>
    </cfRule>
    <cfRule type="expression" priority="2635" dxfId="1">
      <formula>AND(IF($Q306=3,1,0),IF($X306&lt;30,1,0))</formula>
    </cfRule>
    <cfRule type="expression" priority="2636" dxfId="0">
      <formula>AND(IF($Q306=3,1,IF($Q306=4,1,0)),IF($F306&lt;=85,1,0))</formula>
    </cfRule>
  </conditionalFormatting>
  <conditionalFormatting sqref="AI306">
    <cfRule type="expression" priority="2629" dxfId="3">
      <formula>AND(IF(OR($Q306=1,$Q306=2),1,0),IF($X306&lt;=20,1,0))</formula>
    </cfRule>
    <cfRule type="expression" priority="2630" dxfId="2">
      <formula>AND(IF($Q306=2,1,0),IF($X306&lt;30,1,0))</formula>
    </cfRule>
    <cfRule type="expression" priority="2631" dxfId="1">
      <formula>AND(IF($Q306=3,1,0),IF($X306&lt;30,1,0))</formula>
    </cfRule>
    <cfRule type="expression" priority="2632" dxfId="0">
      <formula>AND(IF($Q306=3,1,IF($Q306=4,1,0)),IF($F306&lt;=85,1,0))</formula>
    </cfRule>
  </conditionalFormatting>
  <conditionalFormatting sqref="AV307">
    <cfRule type="expression" priority="2627" dxfId="23">
      <formula>AV307="X"</formula>
    </cfRule>
    <cfRule type="expression" priority="2628" dxfId="22">
      <formula>AV307="후보"</formula>
    </cfRule>
  </conditionalFormatting>
  <conditionalFormatting sqref="AC3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07">
    <cfRule type="expression" priority="2619" dxfId="3">
      <formula>AND(IF(OR($Q307=1,$Q307=2),1,0),IF($X307&lt;=20,1,0))</formula>
    </cfRule>
    <cfRule type="expression" priority="2620" dxfId="2">
      <formula>AND(IF($Q307=2,1,0),IF($X307&lt;30,1,0))</formula>
    </cfRule>
    <cfRule type="expression" priority="2621" dxfId="1">
      <formula>AND(IF($Q307=3,1,0),IF($X307&lt;30,1,0))</formula>
    </cfRule>
    <cfRule type="expression" priority="2622" dxfId="0">
      <formula>AND(IF($Q307=3,1,IF($Q307=4,1,0)),IF($F307&lt;=85,1,0))</formula>
    </cfRule>
  </conditionalFormatting>
  <conditionalFormatting sqref="X307">
    <cfRule type="expression" priority="2615" dxfId="3">
      <formula>AND(IF(OR($Q307=1,$Q307=2),1,0),IF($X307&lt;=20,1,0))</formula>
    </cfRule>
    <cfRule type="expression" priority="2616" dxfId="2">
      <formula>AND(IF($Q307=2,1,0),IF($X307&lt;30,1,0))</formula>
    </cfRule>
    <cfRule type="expression" priority="2617" dxfId="1">
      <formula>AND(IF($Q307=3,1,0),IF($X307&lt;30,1,0))</formula>
    </cfRule>
    <cfRule type="expression" priority="2618" dxfId="0">
      <formula>AND(IF($Q307=3,1,IF($Q307=4,1,0)),IF($F307&lt;=85,1,0))</formula>
    </cfRule>
  </conditionalFormatting>
  <conditionalFormatting sqref="AI307">
    <cfRule type="expression" priority="2611" dxfId="3">
      <formula>AND(IF(OR($Q307=1,$Q307=2),1,0),IF($X307&lt;=20,1,0))</formula>
    </cfRule>
    <cfRule type="expression" priority="2612" dxfId="2">
      <formula>AND(IF($Q307=2,1,0),IF($X307&lt;30,1,0))</formula>
    </cfRule>
    <cfRule type="expression" priority="2613" dxfId="1">
      <formula>AND(IF($Q307=3,1,0),IF($X307&lt;30,1,0))</formula>
    </cfRule>
    <cfRule type="expression" priority="2614" dxfId="0">
      <formula>AND(IF($Q307=3,1,IF($Q307=4,1,0)),IF($F307&lt;=85,1,0))</formula>
    </cfRule>
  </conditionalFormatting>
  <conditionalFormatting sqref="AV308">
    <cfRule type="expression" priority="2609" dxfId="23">
      <formula>AV308="X"</formula>
    </cfRule>
    <cfRule type="expression" priority="2610" dxfId="22">
      <formula>AV308="후보"</formula>
    </cfRule>
  </conditionalFormatting>
  <conditionalFormatting sqref="AC3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08">
    <cfRule type="expression" priority="2601" dxfId="3">
      <formula>AND(IF(OR($Q308=1,$Q308=2),1,0),IF($X308&lt;=20,1,0))</formula>
    </cfRule>
    <cfRule type="expression" priority="2602" dxfId="2">
      <formula>AND(IF($Q308=2,1,0),IF($X308&lt;30,1,0))</formula>
    </cfRule>
    <cfRule type="expression" priority="2603" dxfId="1">
      <formula>AND(IF($Q308=3,1,0),IF($X308&lt;30,1,0))</formula>
    </cfRule>
    <cfRule type="expression" priority="2604" dxfId="0">
      <formula>AND(IF($Q308=3,1,IF($Q308=4,1,0)),IF($F308&lt;=85,1,0))</formula>
    </cfRule>
  </conditionalFormatting>
  <conditionalFormatting sqref="X308">
    <cfRule type="expression" priority="2597" dxfId="3">
      <formula>AND(IF(OR($Q308=1,$Q308=2),1,0),IF($X308&lt;=20,1,0))</formula>
    </cfRule>
    <cfRule type="expression" priority="2598" dxfId="2">
      <formula>AND(IF($Q308=2,1,0),IF($X308&lt;30,1,0))</formula>
    </cfRule>
    <cfRule type="expression" priority="2599" dxfId="1">
      <formula>AND(IF($Q308=3,1,0),IF($X308&lt;30,1,0))</formula>
    </cfRule>
    <cfRule type="expression" priority="2600" dxfId="0">
      <formula>AND(IF($Q308=3,1,IF($Q308=4,1,0)),IF($F308&lt;=85,1,0))</formula>
    </cfRule>
  </conditionalFormatting>
  <conditionalFormatting sqref="AI308">
    <cfRule type="expression" priority="2593" dxfId="3">
      <formula>AND(IF(OR($Q308=1,$Q308=2),1,0),IF($X308&lt;=20,1,0))</formula>
    </cfRule>
    <cfRule type="expression" priority="2594" dxfId="2">
      <formula>AND(IF($Q308=2,1,0),IF($X308&lt;30,1,0))</formula>
    </cfRule>
    <cfRule type="expression" priority="2595" dxfId="1">
      <formula>AND(IF($Q308=3,1,0),IF($X308&lt;30,1,0))</formula>
    </cfRule>
    <cfRule type="expression" priority="2596" dxfId="0">
      <formula>AND(IF($Q308=3,1,IF($Q308=4,1,0)),IF($F308&lt;=85,1,0))</formula>
    </cfRule>
  </conditionalFormatting>
  <conditionalFormatting sqref="AV309">
    <cfRule type="expression" priority="2591" dxfId="23">
      <formula>AV309="X"</formula>
    </cfRule>
    <cfRule type="expression" priority="2592" dxfId="22">
      <formula>AV309="후보"</formula>
    </cfRule>
  </conditionalFormatting>
  <conditionalFormatting sqref="AC3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09">
    <cfRule type="expression" priority="2583" dxfId="3">
      <formula>AND(IF(OR($Q309=1,$Q309=2),1,0),IF($X309&lt;=20,1,0))</formula>
    </cfRule>
    <cfRule type="expression" priority="2584" dxfId="2">
      <formula>AND(IF($Q309=2,1,0),IF($X309&lt;30,1,0))</formula>
    </cfRule>
    <cfRule type="expression" priority="2585" dxfId="1">
      <formula>AND(IF($Q309=3,1,0),IF($X309&lt;30,1,0))</formula>
    </cfRule>
    <cfRule type="expression" priority="2586" dxfId="0">
      <formula>AND(IF($Q309=3,1,IF($Q309=4,1,0)),IF($F309&lt;=85,1,0))</formula>
    </cfRule>
  </conditionalFormatting>
  <conditionalFormatting sqref="X309">
    <cfRule type="expression" priority="2579" dxfId="3">
      <formula>AND(IF(OR($Q309=1,$Q309=2),1,0),IF($X309&lt;=20,1,0))</formula>
    </cfRule>
    <cfRule type="expression" priority="2580" dxfId="2">
      <formula>AND(IF($Q309=2,1,0),IF($X309&lt;30,1,0))</formula>
    </cfRule>
    <cfRule type="expression" priority="2581" dxfId="1">
      <formula>AND(IF($Q309=3,1,0),IF($X309&lt;30,1,0))</formula>
    </cfRule>
    <cfRule type="expression" priority="2582" dxfId="0">
      <formula>AND(IF($Q309=3,1,IF($Q309=4,1,0)),IF($F309&lt;=85,1,0))</formula>
    </cfRule>
  </conditionalFormatting>
  <conditionalFormatting sqref="AI309">
    <cfRule type="expression" priority="2575" dxfId="3">
      <formula>AND(IF(OR($Q309=1,$Q309=2),1,0),IF($X309&lt;=20,1,0))</formula>
    </cfRule>
    <cfRule type="expression" priority="2576" dxfId="2">
      <formula>AND(IF($Q309=2,1,0),IF($X309&lt;30,1,0))</formula>
    </cfRule>
    <cfRule type="expression" priority="2577" dxfId="1">
      <formula>AND(IF($Q309=3,1,0),IF($X309&lt;30,1,0))</formula>
    </cfRule>
    <cfRule type="expression" priority="2578" dxfId="0">
      <formula>AND(IF($Q309=3,1,IF($Q309=4,1,0)),IF($F309&lt;=85,1,0))</formula>
    </cfRule>
  </conditionalFormatting>
  <conditionalFormatting sqref="AV310">
    <cfRule type="expression" priority="2573" dxfId="23">
      <formula>AV310="X"</formula>
    </cfRule>
    <cfRule type="expression" priority="2574" dxfId="22">
      <formula>AV310="후보"</formula>
    </cfRule>
  </conditionalFormatting>
  <conditionalFormatting sqref="AC3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10">
    <cfRule type="expression" priority="2565" dxfId="3">
      <formula>AND(IF(OR($Q310=1,$Q310=2),1,0),IF($X310&lt;=20,1,0))</formula>
    </cfRule>
    <cfRule type="expression" priority="2566" dxfId="2">
      <formula>AND(IF($Q310=2,1,0),IF($X310&lt;30,1,0))</formula>
    </cfRule>
    <cfRule type="expression" priority="2567" dxfId="1">
      <formula>AND(IF($Q310=3,1,0),IF($X310&lt;30,1,0))</formula>
    </cfRule>
    <cfRule type="expression" priority="2568" dxfId="0">
      <formula>AND(IF($Q310=3,1,IF($Q310=4,1,0)),IF($F310&lt;=85,1,0))</formula>
    </cfRule>
  </conditionalFormatting>
  <conditionalFormatting sqref="X310">
    <cfRule type="expression" priority="2561" dxfId="3">
      <formula>AND(IF(OR($Q310=1,$Q310=2),1,0),IF($X310&lt;=20,1,0))</formula>
    </cfRule>
    <cfRule type="expression" priority="2562" dxfId="2">
      <formula>AND(IF($Q310=2,1,0),IF($X310&lt;30,1,0))</formula>
    </cfRule>
    <cfRule type="expression" priority="2563" dxfId="1">
      <formula>AND(IF($Q310=3,1,0),IF($X310&lt;30,1,0))</formula>
    </cfRule>
    <cfRule type="expression" priority="2564" dxfId="0">
      <formula>AND(IF($Q310=3,1,IF($Q310=4,1,0)),IF($F310&lt;=85,1,0))</formula>
    </cfRule>
  </conditionalFormatting>
  <conditionalFormatting sqref="AI310">
    <cfRule type="expression" priority="2557" dxfId="3">
      <formula>AND(IF(OR($Q310=1,$Q310=2),1,0),IF($X310&lt;=20,1,0))</formula>
    </cfRule>
    <cfRule type="expression" priority="2558" dxfId="2">
      <formula>AND(IF($Q310=2,1,0),IF($X310&lt;30,1,0))</formula>
    </cfRule>
    <cfRule type="expression" priority="2559" dxfId="1">
      <formula>AND(IF($Q310=3,1,0),IF($X310&lt;30,1,0))</formula>
    </cfRule>
    <cfRule type="expression" priority="2560" dxfId="0">
      <formula>AND(IF($Q310=3,1,IF($Q310=4,1,0)),IF($F310&lt;=85,1,0))</formula>
    </cfRule>
  </conditionalFormatting>
  <conditionalFormatting sqref="AV311">
    <cfRule type="expression" priority="2555" dxfId="23">
      <formula>AV311="X"</formula>
    </cfRule>
    <cfRule type="expression" priority="2556" dxfId="22">
      <formula>AV311="후보"</formula>
    </cfRule>
  </conditionalFormatting>
  <conditionalFormatting sqref="AC3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11">
    <cfRule type="expression" priority="2547" dxfId="3">
      <formula>AND(IF(OR($Q311=1,$Q311=2),1,0),IF($X311&lt;=20,1,0))</formula>
    </cfRule>
    <cfRule type="expression" priority="2548" dxfId="2">
      <formula>AND(IF($Q311=2,1,0),IF($X311&lt;30,1,0))</formula>
    </cfRule>
    <cfRule type="expression" priority="2549" dxfId="1">
      <formula>AND(IF($Q311=3,1,0),IF($X311&lt;30,1,0))</formula>
    </cfRule>
    <cfRule type="expression" priority="2550" dxfId="0">
      <formula>AND(IF($Q311=3,1,IF($Q311=4,1,0)),IF($F311&lt;=85,1,0))</formula>
    </cfRule>
  </conditionalFormatting>
  <conditionalFormatting sqref="X311">
    <cfRule type="expression" priority="2543" dxfId="3">
      <formula>AND(IF(OR($Q311=1,$Q311=2),1,0),IF($X311&lt;=20,1,0))</formula>
    </cfRule>
    <cfRule type="expression" priority="2544" dxfId="2">
      <formula>AND(IF($Q311=2,1,0),IF($X311&lt;30,1,0))</formula>
    </cfRule>
    <cfRule type="expression" priority="2545" dxfId="1">
      <formula>AND(IF($Q311=3,1,0),IF($X311&lt;30,1,0))</formula>
    </cfRule>
    <cfRule type="expression" priority="2546" dxfId="0">
      <formula>AND(IF($Q311=3,1,IF($Q311=4,1,0)),IF($F311&lt;=85,1,0))</formula>
    </cfRule>
  </conditionalFormatting>
  <conditionalFormatting sqref="AI311">
    <cfRule type="expression" priority="2539" dxfId="3">
      <formula>AND(IF(OR($Q311=1,$Q311=2),1,0),IF($X311&lt;=20,1,0))</formula>
    </cfRule>
    <cfRule type="expression" priority="2540" dxfId="2">
      <formula>AND(IF($Q311=2,1,0),IF($X311&lt;30,1,0))</formula>
    </cfRule>
    <cfRule type="expression" priority="2541" dxfId="1">
      <formula>AND(IF($Q311=3,1,0),IF($X311&lt;30,1,0))</formula>
    </cfRule>
    <cfRule type="expression" priority="2542" dxfId="0">
      <formula>AND(IF($Q311=3,1,IF($Q311=4,1,0)),IF($F311&lt;=85,1,0))</formula>
    </cfRule>
  </conditionalFormatting>
  <conditionalFormatting sqref="AV312">
    <cfRule type="expression" priority="2537" dxfId="23">
      <formula>AV312="X"</formula>
    </cfRule>
    <cfRule type="expression" priority="2538" dxfId="22">
      <formula>AV312="후보"</formula>
    </cfRule>
  </conditionalFormatting>
  <conditionalFormatting sqref="AC3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12">
    <cfRule type="expression" priority="2529" dxfId="3">
      <formula>AND(IF(OR($Q312=1,$Q312=2),1,0),IF($X312&lt;=20,1,0))</formula>
    </cfRule>
    <cfRule type="expression" priority="2530" dxfId="2">
      <formula>AND(IF($Q312=2,1,0),IF($X312&lt;30,1,0))</formula>
    </cfRule>
    <cfRule type="expression" priority="2531" dxfId="1">
      <formula>AND(IF($Q312=3,1,0),IF($X312&lt;30,1,0))</formula>
    </cfRule>
    <cfRule type="expression" priority="2532" dxfId="0">
      <formula>AND(IF($Q312=3,1,IF($Q312=4,1,0)),IF($F312&lt;=85,1,0))</formula>
    </cfRule>
  </conditionalFormatting>
  <conditionalFormatting sqref="X312">
    <cfRule type="expression" priority="2525" dxfId="3">
      <formula>AND(IF(OR($Q312=1,$Q312=2),1,0),IF($X312&lt;=20,1,0))</formula>
    </cfRule>
    <cfRule type="expression" priority="2526" dxfId="2">
      <formula>AND(IF($Q312=2,1,0),IF($X312&lt;30,1,0))</formula>
    </cfRule>
    <cfRule type="expression" priority="2527" dxfId="1">
      <formula>AND(IF($Q312=3,1,0),IF($X312&lt;30,1,0))</formula>
    </cfRule>
    <cfRule type="expression" priority="2528" dxfId="0">
      <formula>AND(IF($Q312=3,1,IF($Q312=4,1,0)),IF($F312&lt;=85,1,0))</formula>
    </cfRule>
  </conditionalFormatting>
  <conditionalFormatting sqref="AI312">
    <cfRule type="expression" priority="2521" dxfId="3">
      <formula>AND(IF(OR($Q312=1,$Q312=2),1,0),IF($X312&lt;=20,1,0))</formula>
    </cfRule>
    <cfRule type="expression" priority="2522" dxfId="2">
      <formula>AND(IF($Q312=2,1,0),IF($X312&lt;30,1,0))</formula>
    </cfRule>
    <cfRule type="expression" priority="2523" dxfId="1">
      <formula>AND(IF($Q312=3,1,0),IF($X312&lt;30,1,0))</formula>
    </cfRule>
    <cfRule type="expression" priority="2524" dxfId="0">
      <formula>AND(IF($Q312=3,1,IF($Q312=4,1,0)),IF($F312&lt;=85,1,0))</formula>
    </cfRule>
  </conditionalFormatting>
  <conditionalFormatting sqref="AV313">
    <cfRule type="expression" priority="2519" dxfId="23">
      <formula>AV313="X"</formula>
    </cfRule>
    <cfRule type="expression" priority="2520" dxfId="22">
      <formula>AV313="후보"</formula>
    </cfRule>
  </conditionalFormatting>
  <conditionalFormatting sqref="AC3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13">
    <cfRule type="expression" priority="2511" dxfId="3">
      <formula>AND(IF(OR($Q313=1,$Q313=2),1,0),IF($X313&lt;=20,1,0))</formula>
    </cfRule>
    <cfRule type="expression" priority="2512" dxfId="2">
      <formula>AND(IF($Q313=2,1,0),IF($X313&lt;30,1,0))</formula>
    </cfRule>
    <cfRule type="expression" priority="2513" dxfId="1">
      <formula>AND(IF($Q313=3,1,0),IF($X313&lt;30,1,0))</formula>
    </cfRule>
    <cfRule type="expression" priority="2514" dxfId="0">
      <formula>AND(IF($Q313=3,1,IF($Q313=4,1,0)),IF($F313&lt;=85,1,0))</formula>
    </cfRule>
  </conditionalFormatting>
  <conditionalFormatting sqref="X313">
    <cfRule type="expression" priority="2507" dxfId="3">
      <formula>AND(IF(OR($Q313=1,$Q313=2),1,0),IF($X313&lt;=20,1,0))</formula>
    </cfRule>
    <cfRule type="expression" priority="2508" dxfId="2">
      <formula>AND(IF($Q313=2,1,0),IF($X313&lt;30,1,0))</formula>
    </cfRule>
    <cfRule type="expression" priority="2509" dxfId="1">
      <formula>AND(IF($Q313=3,1,0),IF($X313&lt;30,1,0))</formula>
    </cfRule>
    <cfRule type="expression" priority="2510" dxfId="0">
      <formula>AND(IF($Q313=3,1,IF($Q313=4,1,0)),IF($F313&lt;=85,1,0))</formula>
    </cfRule>
  </conditionalFormatting>
  <conditionalFormatting sqref="AI313">
    <cfRule type="expression" priority="2503" dxfId="3">
      <formula>AND(IF(OR($Q313=1,$Q313=2),1,0),IF($X313&lt;=20,1,0))</formula>
    </cfRule>
    <cfRule type="expression" priority="2504" dxfId="2">
      <formula>AND(IF($Q313=2,1,0),IF($X313&lt;30,1,0))</formula>
    </cfRule>
    <cfRule type="expression" priority="2505" dxfId="1">
      <formula>AND(IF($Q313=3,1,0),IF($X313&lt;30,1,0))</formula>
    </cfRule>
    <cfRule type="expression" priority="2506" dxfId="0">
      <formula>AND(IF($Q313=3,1,IF($Q313=4,1,0)),IF($F313&lt;=85,1,0))</formula>
    </cfRule>
  </conditionalFormatting>
  <conditionalFormatting sqref="AV314">
    <cfRule type="expression" priority="2501" dxfId="23">
      <formula>AV314="X"</formula>
    </cfRule>
    <cfRule type="expression" priority="2502" dxfId="22">
      <formula>AV314="후보"</formula>
    </cfRule>
  </conditionalFormatting>
  <conditionalFormatting sqref="AC3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14">
    <cfRule type="expression" priority="2493" dxfId="3">
      <formula>AND(IF(OR($Q314=1,$Q314=2),1,0),IF($X314&lt;=20,1,0))</formula>
    </cfRule>
    <cfRule type="expression" priority="2494" dxfId="2">
      <formula>AND(IF($Q314=2,1,0),IF($X314&lt;30,1,0))</formula>
    </cfRule>
    <cfRule type="expression" priority="2495" dxfId="1">
      <formula>AND(IF($Q314=3,1,0),IF($X314&lt;30,1,0))</formula>
    </cfRule>
    <cfRule type="expression" priority="2496" dxfId="0">
      <formula>AND(IF($Q314=3,1,IF($Q314=4,1,0)),IF($F314&lt;=85,1,0))</formula>
    </cfRule>
  </conditionalFormatting>
  <conditionalFormatting sqref="X314">
    <cfRule type="expression" priority="2489" dxfId="3">
      <formula>AND(IF(OR($Q314=1,$Q314=2),1,0),IF($X314&lt;=20,1,0))</formula>
    </cfRule>
    <cfRule type="expression" priority="2490" dxfId="2">
      <formula>AND(IF($Q314=2,1,0),IF($X314&lt;30,1,0))</formula>
    </cfRule>
    <cfRule type="expression" priority="2491" dxfId="1">
      <formula>AND(IF($Q314=3,1,0),IF($X314&lt;30,1,0))</formula>
    </cfRule>
    <cfRule type="expression" priority="2492" dxfId="0">
      <formula>AND(IF($Q314=3,1,IF($Q314=4,1,0)),IF($F314&lt;=85,1,0))</formula>
    </cfRule>
  </conditionalFormatting>
  <conditionalFormatting sqref="AI314">
    <cfRule type="expression" priority="2485" dxfId="3">
      <formula>AND(IF(OR($Q314=1,$Q314=2),1,0),IF($X314&lt;=20,1,0))</formula>
    </cfRule>
    <cfRule type="expression" priority="2486" dxfId="2">
      <formula>AND(IF($Q314=2,1,0),IF($X314&lt;30,1,0))</formula>
    </cfRule>
    <cfRule type="expression" priority="2487" dxfId="1">
      <formula>AND(IF($Q314=3,1,0),IF($X314&lt;30,1,0))</formula>
    </cfRule>
    <cfRule type="expression" priority="2488" dxfId="0">
      <formula>AND(IF($Q314=3,1,IF($Q314=4,1,0)),IF($F314&lt;=85,1,0))</formula>
    </cfRule>
  </conditionalFormatting>
  <conditionalFormatting sqref="AV315">
    <cfRule type="expression" priority="2483" dxfId="23">
      <formula>AV315="X"</formula>
    </cfRule>
    <cfRule type="expression" priority="2484" dxfId="22">
      <formula>AV315="후보"</formula>
    </cfRule>
  </conditionalFormatting>
  <conditionalFormatting sqref="AC3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15">
    <cfRule type="expression" priority="2475" dxfId="3">
      <formula>AND(IF(OR($Q315=1,$Q315=2),1,0),IF($X315&lt;=20,1,0))</formula>
    </cfRule>
    <cfRule type="expression" priority="2476" dxfId="2">
      <formula>AND(IF($Q315=2,1,0),IF($X315&lt;30,1,0))</formula>
    </cfRule>
    <cfRule type="expression" priority="2477" dxfId="1">
      <formula>AND(IF($Q315=3,1,0),IF($X315&lt;30,1,0))</formula>
    </cfRule>
    <cfRule type="expression" priority="2478" dxfId="0">
      <formula>AND(IF($Q315=3,1,IF($Q315=4,1,0)),IF($F315&lt;=85,1,0))</formula>
    </cfRule>
  </conditionalFormatting>
  <conditionalFormatting sqref="X315">
    <cfRule type="expression" priority="2471" dxfId="3">
      <formula>AND(IF(OR($Q315=1,$Q315=2),1,0),IF($X315&lt;=20,1,0))</formula>
    </cfRule>
    <cfRule type="expression" priority="2472" dxfId="2">
      <formula>AND(IF($Q315=2,1,0),IF($X315&lt;30,1,0))</formula>
    </cfRule>
    <cfRule type="expression" priority="2473" dxfId="1">
      <formula>AND(IF($Q315=3,1,0),IF($X315&lt;30,1,0))</formula>
    </cfRule>
    <cfRule type="expression" priority="2474" dxfId="0">
      <formula>AND(IF($Q315=3,1,IF($Q315=4,1,0)),IF($F315&lt;=85,1,0))</formula>
    </cfRule>
  </conditionalFormatting>
  <conditionalFormatting sqref="AI315">
    <cfRule type="expression" priority="2467" dxfId="3">
      <formula>AND(IF(OR($Q315=1,$Q315=2),1,0),IF($X315&lt;=20,1,0))</formula>
    </cfRule>
    <cfRule type="expression" priority="2468" dxfId="2">
      <formula>AND(IF($Q315=2,1,0),IF($X315&lt;30,1,0))</formula>
    </cfRule>
    <cfRule type="expression" priority="2469" dxfId="1">
      <formula>AND(IF($Q315=3,1,0),IF($X315&lt;30,1,0))</formula>
    </cfRule>
    <cfRule type="expression" priority="2470" dxfId="0">
      <formula>AND(IF($Q315=3,1,IF($Q315=4,1,0)),IF($F315&lt;=85,1,0))</formula>
    </cfRule>
  </conditionalFormatting>
  <conditionalFormatting sqref="AV316">
    <cfRule type="expression" priority="2465" dxfId="23">
      <formula>AV316="X"</formula>
    </cfRule>
    <cfRule type="expression" priority="2466" dxfId="22">
      <formula>AV316="후보"</formula>
    </cfRule>
  </conditionalFormatting>
  <conditionalFormatting sqref="AC3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16">
    <cfRule type="expression" priority="2457" dxfId="3">
      <formula>AND(IF(OR($Q316=1,$Q316=2),1,0),IF($X316&lt;=20,1,0))</formula>
    </cfRule>
    <cfRule type="expression" priority="2458" dxfId="2">
      <formula>AND(IF($Q316=2,1,0),IF($X316&lt;30,1,0))</formula>
    </cfRule>
    <cfRule type="expression" priority="2459" dxfId="1">
      <formula>AND(IF($Q316=3,1,0),IF($X316&lt;30,1,0))</formula>
    </cfRule>
    <cfRule type="expression" priority="2460" dxfId="0">
      <formula>AND(IF($Q316=3,1,IF($Q316=4,1,0)),IF($F316&lt;=85,1,0))</formula>
    </cfRule>
  </conditionalFormatting>
  <conditionalFormatting sqref="X316">
    <cfRule type="expression" priority="2453" dxfId="3">
      <formula>AND(IF(OR($Q316=1,$Q316=2),1,0),IF($X316&lt;=20,1,0))</formula>
    </cfRule>
    <cfRule type="expression" priority="2454" dxfId="2">
      <formula>AND(IF($Q316=2,1,0),IF($X316&lt;30,1,0))</formula>
    </cfRule>
    <cfRule type="expression" priority="2455" dxfId="1">
      <formula>AND(IF($Q316=3,1,0),IF($X316&lt;30,1,0))</formula>
    </cfRule>
    <cfRule type="expression" priority="2456" dxfId="0">
      <formula>AND(IF($Q316=3,1,IF($Q316=4,1,0)),IF($F316&lt;=85,1,0))</formula>
    </cfRule>
  </conditionalFormatting>
  <conditionalFormatting sqref="AI316">
    <cfRule type="expression" priority="2449" dxfId="3">
      <formula>AND(IF(OR($Q316=1,$Q316=2),1,0),IF($X316&lt;=20,1,0))</formula>
    </cfRule>
    <cfRule type="expression" priority="2450" dxfId="2">
      <formula>AND(IF($Q316=2,1,0),IF($X316&lt;30,1,0))</formula>
    </cfRule>
    <cfRule type="expression" priority="2451" dxfId="1">
      <formula>AND(IF($Q316=3,1,0),IF($X316&lt;30,1,0))</formula>
    </cfRule>
    <cfRule type="expression" priority="2452" dxfId="0">
      <formula>AND(IF($Q316=3,1,IF($Q316=4,1,0)),IF($F316&lt;=85,1,0))</formula>
    </cfRule>
  </conditionalFormatting>
  <conditionalFormatting sqref="AV317">
    <cfRule type="expression" priority="2447" dxfId="23">
      <formula>AV317="X"</formula>
    </cfRule>
    <cfRule type="expression" priority="2448" dxfId="22">
      <formula>AV317="후보"</formula>
    </cfRule>
  </conditionalFormatting>
  <conditionalFormatting sqref="AC3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17">
    <cfRule type="expression" priority="2439" dxfId="3">
      <formula>AND(IF(OR($Q317=1,$Q317=2),1,0),IF($X317&lt;=20,1,0))</formula>
    </cfRule>
    <cfRule type="expression" priority="2440" dxfId="2">
      <formula>AND(IF($Q317=2,1,0),IF($X317&lt;30,1,0))</formula>
    </cfRule>
    <cfRule type="expression" priority="2441" dxfId="1">
      <formula>AND(IF($Q317=3,1,0),IF($X317&lt;30,1,0))</formula>
    </cfRule>
    <cfRule type="expression" priority="2442" dxfId="0">
      <formula>AND(IF($Q317=3,1,IF($Q317=4,1,0)),IF($F317&lt;=85,1,0))</formula>
    </cfRule>
  </conditionalFormatting>
  <conditionalFormatting sqref="X317">
    <cfRule type="expression" priority="2435" dxfId="3">
      <formula>AND(IF(OR($Q317=1,$Q317=2),1,0),IF($X317&lt;=20,1,0))</formula>
    </cfRule>
    <cfRule type="expression" priority="2436" dxfId="2">
      <formula>AND(IF($Q317=2,1,0),IF($X317&lt;30,1,0))</formula>
    </cfRule>
    <cfRule type="expression" priority="2437" dxfId="1">
      <formula>AND(IF($Q317=3,1,0),IF($X317&lt;30,1,0))</formula>
    </cfRule>
    <cfRule type="expression" priority="2438" dxfId="0">
      <formula>AND(IF($Q317=3,1,IF($Q317=4,1,0)),IF($F317&lt;=85,1,0))</formula>
    </cfRule>
  </conditionalFormatting>
  <conditionalFormatting sqref="AI317">
    <cfRule type="expression" priority="2431" dxfId="3">
      <formula>AND(IF(OR($Q317=1,$Q317=2),1,0),IF($X317&lt;=20,1,0))</formula>
    </cfRule>
    <cfRule type="expression" priority="2432" dxfId="2">
      <formula>AND(IF($Q317=2,1,0),IF($X317&lt;30,1,0))</formula>
    </cfRule>
    <cfRule type="expression" priority="2433" dxfId="1">
      <formula>AND(IF($Q317=3,1,0),IF($X317&lt;30,1,0))</formula>
    </cfRule>
    <cfRule type="expression" priority="2434" dxfId="0">
      <formula>AND(IF($Q317=3,1,IF($Q317=4,1,0)),IF($F317&lt;=85,1,0))</formula>
    </cfRule>
  </conditionalFormatting>
  <conditionalFormatting sqref="AV318">
    <cfRule type="expression" priority="2429" dxfId="23">
      <formula>AV318="X"</formula>
    </cfRule>
    <cfRule type="expression" priority="2430" dxfId="22">
      <formula>AV318="후보"</formula>
    </cfRule>
  </conditionalFormatting>
  <conditionalFormatting sqref="AC3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18">
    <cfRule type="expression" priority="2421" dxfId="3">
      <formula>AND(IF(OR($Q318=1,$Q318=2),1,0),IF($X318&lt;=20,1,0))</formula>
    </cfRule>
    <cfRule type="expression" priority="2422" dxfId="2">
      <formula>AND(IF($Q318=2,1,0),IF($X318&lt;30,1,0))</formula>
    </cfRule>
    <cfRule type="expression" priority="2423" dxfId="1">
      <formula>AND(IF($Q318=3,1,0),IF($X318&lt;30,1,0))</formula>
    </cfRule>
    <cfRule type="expression" priority="2424" dxfId="0">
      <formula>AND(IF($Q318=3,1,IF($Q318=4,1,0)),IF($F318&lt;=85,1,0))</formula>
    </cfRule>
  </conditionalFormatting>
  <conditionalFormatting sqref="X318">
    <cfRule type="expression" priority="2417" dxfId="3">
      <formula>AND(IF(OR($Q318=1,$Q318=2),1,0),IF($X318&lt;=20,1,0))</formula>
    </cfRule>
    <cfRule type="expression" priority="2418" dxfId="2">
      <formula>AND(IF($Q318=2,1,0),IF($X318&lt;30,1,0))</formula>
    </cfRule>
    <cfRule type="expression" priority="2419" dxfId="1">
      <formula>AND(IF($Q318=3,1,0),IF($X318&lt;30,1,0))</formula>
    </cfRule>
    <cfRule type="expression" priority="2420" dxfId="0">
      <formula>AND(IF($Q318=3,1,IF($Q318=4,1,0)),IF($F318&lt;=85,1,0))</formula>
    </cfRule>
  </conditionalFormatting>
  <conditionalFormatting sqref="AI318">
    <cfRule type="expression" priority="2413" dxfId="3">
      <formula>AND(IF(OR($Q318=1,$Q318=2),1,0),IF($X318&lt;=20,1,0))</formula>
    </cfRule>
    <cfRule type="expression" priority="2414" dxfId="2">
      <formula>AND(IF($Q318=2,1,0),IF($X318&lt;30,1,0))</formula>
    </cfRule>
    <cfRule type="expression" priority="2415" dxfId="1">
      <formula>AND(IF($Q318=3,1,0),IF($X318&lt;30,1,0))</formula>
    </cfRule>
    <cfRule type="expression" priority="2416" dxfId="0">
      <formula>AND(IF($Q318=3,1,IF($Q318=4,1,0)),IF($F318&lt;=85,1,0))</formula>
    </cfRule>
  </conditionalFormatting>
  <conditionalFormatting sqref="AV319">
    <cfRule type="expression" priority="2411" dxfId="23">
      <formula>AV319="X"</formula>
    </cfRule>
    <cfRule type="expression" priority="2412" dxfId="22">
      <formula>AV319="후보"</formula>
    </cfRule>
  </conditionalFormatting>
  <conditionalFormatting sqref="AC3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19">
    <cfRule type="expression" priority="2403" dxfId="3">
      <formula>AND(IF(OR($Q319=1,$Q319=2),1,0),IF($X319&lt;=20,1,0))</formula>
    </cfRule>
    <cfRule type="expression" priority="2404" dxfId="2">
      <formula>AND(IF($Q319=2,1,0),IF($X319&lt;30,1,0))</formula>
    </cfRule>
    <cfRule type="expression" priority="2405" dxfId="1">
      <formula>AND(IF($Q319=3,1,0),IF($X319&lt;30,1,0))</formula>
    </cfRule>
    <cfRule type="expression" priority="2406" dxfId="0">
      <formula>AND(IF($Q319=3,1,IF($Q319=4,1,0)),IF($F319&lt;=85,1,0))</formula>
    </cfRule>
  </conditionalFormatting>
  <conditionalFormatting sqref="X319">
    <cfRule type="expression" priority="2399" dxfId="3">
      <formula>AND(IF(OR($Q319=1,$Q319=2),1,0),IF($X319&lt;=20,1,0))</formula>
    </cfRule>
    <cfRule type="expression" priority="2400" dxfId="2">
      <formula>AND(IF($Q319=2,1,0),IF($X319&lt;30,1,0))</formula>
    </cfRule>
    <cfRule type="expression" priority="2401" dxfId="1">
      <formula>AND(IF($Q319=3,1,0),IF($X319&lt;30,1,0))</formula>
    </cfRule>
    <cfRule type="expression" priority="2402" dxfId="0">
      <formula>AND(IF($Q319=3,1,IF($Q319=4,1,0)),IF($F319&lt;=85,1,0))</formula>
    </cfRule>
  </conditionalFormatting>
  <conditionalFormatting sqref="AI319">
    <cfRule type="expression" priority="2395" dxfId="3">
      <formula>AND(IF(OR($Q319=1,$Q319=2),1,0),IF($X319&lt;=20,1,0))</formula>
    </cfRule>
    <cfRule type="expression" priority="2396" dxfId="2">
      <formula>AND(IF($Q319=2,1,0),IF($X319&lt;30,1,0))</formula>
    </cfRule>
    <cfRule type="expression" priority="2397" dxfId="1">
      <formula>AND(IF($Q319=3,1,0),IF($X319&lt;30,1,0))</formula>
    </cfRule>
    <cfRule type="expression" priority="2398" dxfId="0">
      <formula>AND(IF($Q319=3,1,IF($Q319=4,1,0)),IF($F319&lt;=85,1,0))</formula>
    </cfRule>
  </conditionalFormatting>
  <conditionalFormatting sqref="AV320">
    <cfRule type="expression" priority="2393" dxfId="23">
      <formula>AV320="X"</formula>
    </cfRule>
    <cfRule type="expression" priority="2394" dxfId="22">
      <formula>AV320="후보"</formula>
    </cfRule>
  </conditionalFormatting>
  <conditionalFormatting sqref="AC3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20">
    <cfRule type="expression" priority="2385" dxfId="3">
      <formula>AND(IF(OR($Q320=1,$Q320=2),1,0),IF($X320&lt;=20,1,0))</formula>
    </cfRule>
    <cfRule type="expression" priority="2386" dxfId="2">
      <formula>AND(IF($Q320=2,1,0),IF($X320&lt;30,1,0))</formula>
    </cfRule>
    <cfRule type="expression" priority="2387" dxfId="1">
      <formula>AND(IF($Q320=3,1,0),IF($X320&lt;30,1,0))</formula>
    </cfRule>
    <cfRule type="expression" priority="2388" dxfId="0">
      <formula>AND(IF($Q320=3,1,IF($Q320=4,1,0)),IF($F320&lt;=85,1,0))</formula>
    </cfRule>
  </conditionalFormatting>
  <conditionalFormatting sqref="X320">
    <cfRule type="expression" priority="2381" dxfId="3">
      <formula>AND(IF(OR($Q320=1,$Q320=2),1,0),IF($X320&lt;=20,1,0))</formula>
    </cfRule>
    <cfRule type="expression" priority="2382" dxfId="2">
      <formula>AND(IF($Q320=2,1,0),IF($X320&lt;30,1,0))</formula>
    </cfRule>
    <cfRule type="expression" priority="2383" dxfId="1">
      <formula>AND(IF($Q320=3,1,0),IF($X320&lt;30,1,0))</formula>
    </cfRule>
    <cfRule type="expression" priority="2384" dxfId="0">
      <formula>AND(IF($Q320=3,1,IF($Q320=4,1,0)),IF($F320&lt;=85,1,0))</formula>
    </cfRule>
  </conditionalFormatting>
  <conditionalFormatting sqref="AI320">
    <cfRule type="expression" priority="2377" dxfId="3">
      <formula>AND(IF(OR($Q320=1,$Q320=2),1,0),IF($X320&lt;=20,1,0))</formula>
    </cfRule>
    <cfRule type="expression" priority="2378" dxfId="2">
      <formula>AND(IF($Q320=2,1,0),IF($X320&lt;30,1,0))</formula>
    </cfRule>
    <cfRule type="expression" priority="2379" dxfId="1">
      <formula>AND(IF($Q320=3,1,0),IF($X320&lt;30,1,0))</formula>
    </cfRule>
    <cfRule type="expression" priority="2380" dxfId="0">
      <formula>AND(IF($Q320=3,1,IF($Q320=4,1,0)),IF($F320&lt;=85,1,0))</formula>
    </cfRule>
  </conditionalFormatting>
  <conditionalFormatting sqref="AV321">
    <cfRule type="expression" priority="2375" dxfId="23">
      <formula>AV321="X"</formula>
    </cfRule>
    <cfRule type="expression" priority="2376" dxfId="22">
      <formula>AV321="후보"</formula>
    </cfRule>
  </conditionalFormatting>
  <conditionalFormatting sqref="AC3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21">
    <cfRule type="expression" priority="2367" dxfId="3">
      <formula>AND(IF(OR($Q321=1,$Q321=2),1,0),IF($X321&lt;=20,1,0))</formula>
    </cfRule>
    <cfRule type="expression" priority="2368" dxfId="2">
      <formula>AND(IF($Q321=2,1,0),IF($X321&lt;30,1,0))</formula>
    </cfRule>
    <cfRule type="expression" priority="2369" dxfId="1">
      <formula>AND(IF($Q321=3,1,0),IF($X321&lt;30,1,0))</formula>
    </cfRule>
    <cfRule type="expression" priority="2370" dxfId="0">
      <formula>AND(IF($Q321=3,1,IF($Q321=4,1,0)),IF($F321&lt;=85,1,0))</formula>
    </cfRule>
  </conditionalFormatting>
  <conditionalFormatting sqref="X321">
    <cfRule type="expression" priority="2363" dxfId="3">
      <formula>AND(IF(OR($Q321=1,$Q321=2),1,0),IF($X321&lt;=20,1,0))</formula>
    </cfRule>
    <cfRule type="expression" priority="2364" dxfId="2">
      <formula>AND(IF($Q321=2,1,0),IF($X321&lt;30,1,0))</formula>
    </cfRule>
    <cfRule type="expression" priority="2365" dxfId="1">
      <formula>AND(IF($Q321=3,1,0),IF($X321&lt;30,1,0))</formula>
    </cfRule>
    <cfRule type="expression" priority="2366" dxfId="0">
      <formula>AND(IF($Q321=3,1,IF($Q321=4,1,0)),IF($F321&lt;=85,1,0))</formula>
    </cfRule>
  </conditionalFormatting>
  <conditionalFormatting sqref="AI321">
    <cfRule type="expression" priority="2359" dxfId="3">
      <formula>AND(IF(OR($Q321=1,$Q321=2),1,0),IF($X321&lt;=20,1,0))</formula>
    </cfRule>
    <cfRule type="expression" priority="2360" dxfId="2">
      <formula>AND(IF($Q321=2,1,0),IF($X321&lt;30,1,0))</formula>
    </cfRule>
    <cfRule type="expression" priority="2361" dxfId="1">
      <formula>AND(IF($Q321=3,1,0),IF($X321&lt;30,1,0))</formula>
    </cfRule>
    <cfRule type="expression" priority="2362" dxfId="0">
      <formula>AND(IF($Q321=3,1,IF($Q321=4,1,0)),IF($F321&lt;=85,1,0))</formula>
    </cfRule>
  </conditionalFormatting>
  <conditionalFormatting sqref="AV322">
    <cfRule type="expression" priority="2357" dxfId="23">
      <formula>AV322="X"</formula>
    </cfRule>
    <cfRule type="expression" priority="2358" dxfId="22">
      <formula>AV322="후보"</formula>
    </cfRule>
  </conditionalFormatting>
  <conditionalFormatting sqref="AC3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22">
    <cfRule type="expression" priority="2349" dxfId="3">
      <formula>AND(IF(OR($Q322=1,$Q322=2),1,0),IF($X322&lt;=20,1,0))</formula>
    </cfRule>
    <cfRule type="expression" priority="2350" dxfId="2">
      <formula>AND(IF($Q322=2,1,0),IF($X322&lt;30,1,0))</formula>
    </cfRule>
    <cfRule type="expression" priority="2351" dxfId="1">
      <formula>AND(IF($Q322=3,1,0),IF($X322&lt;30,1,0))</formula>
    </cfRule>
    <cfRule type="expression" priority="2352" dxfId="0">
      <formula>AND(IF($Q322=3,1,IF($Q322=4,1,0)),IF($F322&lt;=85,1,0))</formula>
    </cfRule>
  </conditionalFormatting>
  <conditionalFormatting sqref="X322">
    <cfRule type="expression" priority="2345" dxfId="3">
      <formula>AND(IF(OR($Q322=1,$Q322=2),1,0),IF($X322&lt;=20,1,0))</formula>
    </cfRule>
    <cfRule type="expression" priority="2346" dxfId="2">
      <formula>AND(IF($Q322=2,1,0),IF($X322&lt;30,1,0))</formula>
    </cfRule>
    <cfRule type="expression" priority="2347" dxfId="1">
      <formula>AND(IF($Q322=3,1,0),IF($X322&lt;30,1,0))</formula>
    </cfRule>
    <cfRule type="expression" priority="2348" dxfId="0">
      <formula>AND(IF($Q322=3,1,IF($Q322=4,1,0)),IF($F322&lt;=85,1,0))</formula>
    </cfRule>
  </conditionalFormatting>
  <conditionalFormatting sqref="AI322">
    <cfRule type="expression" priority="2341" dxfId="3">
      <formula>AND(IF(OR($Q322=1,$Q322=2),1,0),IF($X322&lt;=20,1,0))</formula>
    </cfRule>
    <cfRule type="expression" priority="2342" dxfId="2">
      <formula>AND(IF($Q322=2,1,0),IF($X322&lt;30,1,0))</formula>
    </cfRule>
    <cfRule type="expression" priority="2343" dxfId="1">
      <formula>AND(IF($Q322=3,1,0),IF($X322&lt;30,1,0))</formula>
    </cfRule>
    <cfRule type="expression" priority="2344" dxfId="0">
      <formula>AND(IF($Q322=3,1,IF($Q322=4,1,0)),IF($F322&lt;=85,1,0))</formula>
    </cfRule>
  </conditionalFormatting>
  <conditionalFormatting sqref="AV323">
    <cfRule type="expression" priority="2339" dxfId="23">
      <formula>AV323="X"</formula>
    </cfRule>
    <cfRule type="expression" priority="2340" dxfId="22">
      <formula>AV323="후보"</formula>
    </cfRule>
  </conditionalFormatting>
  <conditionalFormatting sqref="AC3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23">
    <cfRule type="expression" priority="2331" dxfId="3">
      <formula>AND(IF(OR($Q323=1,$Q323=2),1,0),IF($X323&lt;=20,1,0))</formula>
    </cfRule>
    <cfRule type="expression" priority="2332" dxfId="2">
      <formula>AND(IF($Q323=2,1,0),IF($X323&lt;30,1,0))</formula>
    </cfRule>
    <cfRule type="expression" priority="2333" dxfId="1">
      <formula>AND(IF($Q323=3,1,0),IF($X323&lt;30,1,0))</formula>
    </cfRule>
    <cfRule type="expression" priority="2334" dxfId="0">
      <formula>AND(IF($Q323=3,1,IF($Q323=4,1,0)),IF($F323&lt;=85,1,0))</formula>
    </cfRule>
  </conditionalFormatting>
  <conditionalFormatting sqref="X323">
    <cfRule type="expression" priority="2327" dxfId="3">
      <formula>AND(IF(OR($Q323=1,$Q323=2),1,0),IF($X323&lt;=20,1,0))</formula>
    </cfRule>
    <cfRule type="expression" priority="2328" dxfId="2">
      <formula>AND(IF($Q323=2,1,0),IF($X323&lt;30,1,0))</formula>
    </cfRule>
    <cfRule type="expression" priority="2329" dxfId="1">
      <formula>AND(IF($Q323=3,1,0),IF($X323&lt;30,1,0))</formula>
    </cfRule>
    <cfRule type="expression" priority="2330" dxfId="0">
      <formula>AND(IF($Q323=3,1,IF($Q323=4,1,0)),IF($F323&lt;=85,1,0))</formula>
    </cfRule>
  </conditionalFormatting>
  <conditionalFormatting sqref="AI323">
    <cfRule type="expression" priority="2323" dxfId="3">
      <formula>AND(IF(OR($Q323=1,$Q323=2),1,0),IF($X323&lt;=20,1,0))</formula>
    </cfRule>
    <cfRule type="expression" priority="2324" dxfId="2">
      <formula>AND(IF($Q323=2,1,0),IF($X323&lt;30,1,0))</formula>
    </cfRule>
    <cfRule type="expression" priority="2325" dxfId="1">
      <formula>AND(IF($Q323=3,1,0),IF($X323&lt;30,1,0))</formula>
    </cfRule>
    <cfRule type="expression" priority="2326" dxfId="0">
      <formula>AND(IF($Q323=3,1,IF($Q323=4,1,0)),IF($F323&lt;=85,1,0))</formula>
    </cfRule>
  </conditionalFormatting>
  <conditionalFormatting sqref="AV324">
    <cfRule type="expression" priority="2321" dxfId="23">
      <formula>AV324="X"</formula>
    </cfRule>
    <cfRule type="expression" priority="2322" dxfId="22">
      <formula>AV324="후보"</formula>
    </cfRule>
  </conditionalFormatting>
  <conditionalFormatting sqref="AC3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24">
    <cfRule type="expression" priority="2313" dxfId="3">
      <formula>AND(IF(OR($Q324=1,$Q324=2),1,0),IF($X324&lt;=20,1,0))</formula>
    </cfRule>
    <cfRule type="expression" priority="2314" dxfId="2">
      <formula>AND(IF($Q324=2,1,0),IF($X324&lt;30,1,0))</formula>
    </cfRule>
    <cfRule type="expression" priority="2315" dxfId="1">
      <formula>AND(IF($Q324=3,1,0),IF($X324&lt;30,1,0))</formula>
    </cfRule>
    <cfRule type="expression" priority="2316" dxfId="0">
      <formula>AND(IF($Q324=3,1,IF($Q324=4,1,0)),IF($F324&lt;=85,1,0))</formula>
    </cfRule>
  </conditionalFormatting>
  <conditionalFormatting sqref="X324">
    <cfRule type="expression" priority="2309" dxfId="3">
      <formula>AND(IF(OR($Q324=1,$Q324=2),1,0),IF($X324&lt;=20,1,0))</formula>
    </cfRule>
    <cfRule type="expression" priority="2310" dxfId="2">
      <formula>AND(IF($Q324=2,1,0),IF($X324&lt;30,1,0))</formula>
    </cfRule>
    <cfRule type="expression" priority="2311" dxfId="1">
      <formula>AND(IF($Q324=3,1,0),IF($X324&lt;30,1,0))</formula>
    </cfRule>
    <cfRule type="expression" priority="2312" dxfId="0">
      <formula>AND(IF($Q324=3,1,IF($Q324=4,1,0)),IF($F324&lt;=85,1,0))</formula>
    </cfRule>
  </conditionalFormatting>
  <conditionalFormatting sqref="AI324">
    <cfRule type="expression" priority="2305" dxfId="3">
      <formula>AND(IF(OR($Q324=1,$Q324=2),1,0),IF($X324&lt;=20,1,0))</formula>
    </cfRule>
    <cfRule type="expression" priority="2306" dxfId="2">
      <formula>AND(IF($Q324=2,1,0),IF($X324&lt;30,1,0))</formula>
    </cfRule>
    <cfRule type="expression" priority="2307" dxfId="1">
      <formula>AND(IF($Q324=3,1,0),IF($X324&lt;30,1,0))</formula>
    </cfRule>
    <cfRule type="expression" priority="2308" dxfId="0">
      <formula>AND(IF($Q324=3,1,IF($Q324=4,1,0)),IF($F324&lt;=85,1,0))</formula>
    </cfRule>
  </conditionalFormatting>
  <conditionalFormatting sqref="AV325">
    <cfRule type="expression" priority="2303" dxfId="23">
      <formula>AV325="X"</formula>
    </cfRule>
    <cfRule type="expression" priority="2304" dxfId="22">
      <formula>AV325="후보"</formula>
    </cfRule>
  </conditionalFormatting>
  <conditionalFormatting sqref="AC3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25">
    <cfRule type="expression" priority="2295" dxfId="3">
      <formula>AND(IF(OR($Q325=1,$Q325=2),1,0),IF($X325&lt;=20,1,0))</formula>
    </cfRule>
    <cfRule type="expression" priority="2296" dxfId="2">
      <formula>AND(IF($Q325=2,1,0),IF($X325&lt;30,1,0))</formula>
    </cfRule>
    <cfRule type="expression" priority="2297" dxfId="1">
      <formula>AND(IF($Q325=3,1,0),IF($X325&lt;30,1,0))</formula>
    </cfRule>
    <cfRule type="expression" priority="2298" dxfId="0">
      <formula>AND(IF($Q325=3,1,IF($Q325=4,1,0)),IF($F325&lt;=85,1,0))</formula>
    </cfRule>
  </conditionalFormatting>
  <conditionalFormatting sqref="X325">
    <cfRule type="expression" priority="2291" dxfId="3">
      <formula>AND(IF(OR($Q325=1,$Q325=2),1,0),IF($X325&lt;=20,1,0))</formula>
    </cfRule>
    <cfRule type="expression" priority="2292" dxfId="2">
      <formula>AND(IF($Q325=2,1,0),IF($X325&lt;30,1,0))</formula>
    </cfRule>
    <cfRule type="expression" priority="2293" dxfId="1">
      <formula>AND(IF($Q325=3,1,0),IF($X325&lt;30,1,0))</formula>
    </cfRule>
    <cfRule type="expression" priority="2294" dxfId="0">
      <formula>AND(IF($Q325=3,1,IF($Q325=4,1,0)),IF($F325&lt;=85,1,0))</formula>
    </cfRule>
  </conditionalFormatting>
  <conditionalFormatting sqref="AI325">
    <cfRule type="expression" priority="2287" dxfId="3">
      <formula>AND(IF(OR($Q325=1,$Q325=2),1,0),IF($X325&lt;=20,1,0))</formula>
    </cfRule>
    <cfRule type="expression" priority="2288" dxfId="2">
      <formula>AND(IF($Q325=2,1,0),IF($X325&lt;30,1,0))</formula>
    </cfRule>
    <cfRule type="expression" priority="2289" dxfId="1">
      <formula>AND(IF($Q325=3,1,0),IF($X325&lt;30,1,0))</formula>
    </cfRule>
    <cfRule type="expression" priority="2290" dxfId="0">
      <formula>AND(IF($Q325=3,1,IF($Q325=4,1,0)),IF($F325&lt;=85,1,0))</formula>
    </cfRule>
  </conditionalFormatting>
  <conditionalFormatting sqref="AV326">
    <cfRule type="expression" priority="2285" dxfId="23">
      <formula>AV326="X"</formula>
    </cfRule>
    <cfRule type="expression" priority="2286" dxfId="22">
      <formula>AV326="후보"</formula>
    </cfRule>
  </conditionalFormatting>
  <conditionalFormatting sqref="AC3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26">
    <cfRule type="expression" priority="2277" dxfId="3">
      <formula>AND(IF(OR($Q326=1,$Q326=2),1,0),IF($X326&lt;=20,1,0))</formula>
    </cfRule>
    <cfRule type="expression" priority="2278" dxfId="2">
      <formula>AND(IF($Q326=2,1,0),IF($X326&lt;30,1,0))</formula>
    </cfRule>
    <cfRule type="expression" priority="2279" dxfId="1">
      <formula>AND(IF($Q326=3,1,0),IF($X326&lt;30,1,0))</formula>
    </cfRule>
    <cfRule type="expression" priority="2280" dxfId="0">
      <formula>AND(IF($Q326=3,1,IF($Q326=4,1,0)),IF($F326&lt;=85,1,0))</formula>
    </cfRule>
  </conditionalFormatting>
  <conditionalFormatting sqref="X326">
    <cfRule type="expression" priority="2273" dxfId="3">
      <formula>AND(IF(OR($Q326=1,$Q326=2),1,0),IF($X326&lt;=20,1,0))</formula>
    </cfRule>
    <cfRule type="expression" priority="2274" dxfId="2">
      <formula>AND(IF($Q326=2,1,0),IF($X326&lt;30,1,0))</formula>
    </cfRule>
    <cfRule type="expression" priority="2275" dxfId="1">
      <formula>AND(IF($Q326=3,1,0),IF($X326&lt;30,1,0))</formula>
    </cfRule>
    <cfRule type="expression" priority="2276" dxfId="0">
      <formula>AND(IF($Q326=3,1,IF($Q326=4,1,0)),IF($F326&lt;=85,1,0))</formula>
    </cfRule>
  </conditionalFormatting>
  <conditionalFormatting sqref="AI326">
    <cfRule type="expression" priority="2269" dxfId="3">
      <formula>AND(IF(OR($Q326=1,$Q326=2),1,0),IF($X326&lt;=20,1,0))</formula>
    </cfRule>
    <cfRule type="expression" priority="2270" dxfId="2">
      <formula>AND(IF($Q326=2,1,0),IF($X326&lt;30,1,0))</formula>
    </cfRule>
    <cfRule type="expression" priority="2271" dxfId="1">
      <formula>AND(IF($Q326=3,1,0),IF($X326&lt;30,1,0))</formula>
    </cfRule>
    <cfRule type="expression" priority="2272" dxfId="0">
      <formula>AND(IF($Q326=3,1,IF($Q326=4,1,0)),IF($F326&lt;=85,1,0))</formula>
    </cfRule>
  </conditionalFormatting>
  <conditionalFormatting sqref="AV327">
    <cfRule type="expression" priority="2267" dxfId="23">
      <formula>AV327="X"</formula>
    </cfRule>
    <cfRule type="expression" priority="2268" dxfId="22">
      <formula>AV327="후보"</formula>
    </cfRule>
  </conditionalFormatting>
  <conditionalFormatting sqref="AC3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27">
    <cfRule type="expression" priority="2259" dxfId="3">
      <formula>AND(IF(OR($Q327=1,$Q327=2),1,0),IF($X327&lt;=20,1,0))</formula>
    </cfRule>
    <cfRule type="expression" priority="2260" dxfId="2">
      <formula>AND(IF($Q327=2,1,0),IF($X327&lt;30,1,0))</formula>
    </cfRule>
    <cfRule type="expression" priority="2261" dxfId="1">
      <formula>AND(IF($Q327=3,1,0),IF($X327&lt;30,1,0))</formula>
    </cfRule>
    <cfRule type="expression" priority="2262" dxfId="0">
      <formula>AND(IF($Q327=3,1,IF($Q327=4,1,0)),IF($F327&lt;=85,1,0))</formula>
    </cfRule>
  </conditionalFormatting>
  <conditionalFormatting sqref="X327">
    <cfRule type="expression" priority="2255" dxfId="3">
      <formula>AND(IF(OR($Q327=1,$Q327=2),1,0),IF($X327&lt;=20,1,0))</formula>
    </cfRule>
    <cfRule type="expression" priority="2256" dxfId="2">
      <formula>AND(IF($Q327=2,1,0),IF($X327&lt;30,1,0))</formula>
    </cfRule>
    <cfRule type="expression" priority="2257" dxfId="1">
      <formula>AND(IF($Q327=3,1,0),IF($X327&lt;30,1,0))</formula>
    </cfRule>
    <cfRule type="expression" priority="2258" dxfId="0">
      <formula>AND(IF($Q327=3,1,IF($Q327=4,1,0)),IF($F327&lt;=85,1,0))</formula>
    </cfRule>
  </conditionalFormatting>
  <conditionalFormatting sqref="AI327">
    <cfRule type="expression" priority="2251" dxfId="3">
      <formula>AND(IF(OR($Q327=1,$Q327=2),1,0),IF($X327&lt;=20,1,0))</formula>
    </cfRule>
    <cfRule type="expression" priority="2252" dxfId="2">
      <formula>AND(IF($Q327=2,1,0),IF($X327&lt;30,1,0))</formula>
    </cfRule>
    <cfRule type="expression" priority="2253" dxfId="1">
      <formula>AND(IF($Q327=3,1,0),IF($X327&lt;30,1,0))</formula>
    </cfRule>
    <cfRule type="expression" priority="2254" dxfId="0">
      <formula>AND(IF($Q327=3,1,IF($Q327=4,1,0)),IF($F327&lt;=85,1,0))</formula>
    </cfRule>
  </conditionalFormatting>
  <conditionalFormatting sqref="AV328">
    <cfRule type="expression" priority="2249" dxfId="23">
      <formula>AV328="X"</formula>
    </cfRule>
    <cfRule type="expression" priority="2250" dxfId="22">
      <formula>AV328="후보"</formula>
    </cfRule>
  </conditionalFormatting>
  <conditionalFormatting sqref="AC3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28">
    <cfRule type="expression" priority="2241" dxfId="3">
      <formula>AND(IF(OR($Q328=1,$Q328=2),1,0),IF($X328&lt;=20,1,0))</formula>
    </cfRule>
    <cfRule type="expression" priority="2242" dxfId="2">
      <formula>AND(IF($Q328=2,1,0),IF($X328&lt;30,1,0))</formula>
    </cfRule>
    <cfRule type="expression" priority="2243" dxfId="1">
      <formula>AND(IF($Q328=3,1,0),IF($X328&lt;30,1,0))</formula>
    </cfRule>
    <cfRule type="expression" priority="2244" dxfId="0">
      <formula>AND(IF($Q328=3,1,IF($Q328=4,1,0)),IF($F328&lt;=85,1,0))</formula>
    </cfRule>
  </conditionalFormatting>
  <conditionalFormatting sqref="X328">
    <cfRule type="expression" priority="2237" dxfId="3">
      <formula>AND(IF(OR($Q328=1,$Q328=2),1,0),IF($X328&lt;=20,1,0))</formula>
    </cfRule>
    <cfRule type="expression" priority="2238" dxfId="2">
      <formula>AND(IF($Q328=2,1,0),IF($X328&lt;30,1,0))</formula>
    </cfRule>
    <cfRule type="expression" priority="2239" dxfId="1">
      <formula>AND(IF($Q328=3,1,0),IF($X328&lt;30,1,0))</formula>
    </cfRule>
    <cfRule type="expression" priority="2240" dxfId="0">
      <formula>AND(IF($Q328=3,1,IF($Q328=4,1,0)),IF($F328&lt;=85,1,0))</formula>
    </cfRule>
  </conditionalFormatting>
  <conditionalFormatting sqref="AI328">
    <cfRule type="expression" priority="2233" dxfId="3">
      <formula>AND(IF(OR($Q328=1,$Q328=2),1,0),IF($X328&lt;=20,1,0))</formula>
    </cfRule>
    <cfRule type="expression" priority="2234" dxfId="2">
      <formula>AND(IF($Q328=2,1,0),IF($X328&lt;30,1,0))</formula>
    </cfRule>
    <cfRule type="expression" priority="2235" dxfId="1">
      <formula>AND(IF($Q328=3,1,0),IF($X328&lt;30,1,0))</formula>
    </cfRule>
    <cfRule type="expression" priority="2236" dxfId="0">
      <formula>AND(IF($Q328=3,1,IF($Q328=4,1,0)),IF($F328&lt;=85,1,0))</formula>
    </cfRule>
  </conditionalFormatting>
  <conditionalFormatting sqref="AV329">
    <cfRule type="expression" priority="2231" dxfId="23">
      <formula>AV329="X"</formula>
    </cfRule>
    <cfRule type="expression" priority="2232" dxfId="22">
      <formula>AV329="후보"</formula>
    </cfRule>
  </conditionalFormatting>
  <conditionalFormatting sqref="AC3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29">
    <cfRule type="expression" priority="2223" dxfId="3">
      <formula>AND(IF(OR($Q329=1,$Q329=2),1,0),IF($X329&lt;=20,1,0))</formula>
    </cfRule>
    <cfRule type="expression" priority="2224" dxfId="2">
      <formula>AND(IF($Q329=2,1,0),IF($X329&lt;30,1,0))</formula>
    </cfRule>
    <cfRule type="expression" priority="2225" dxfId="1">
      <formula>AND(IF($Q329=3,1,0),IF($X329&lt;30,1,0))</formula>
    </cfRule>
    <cfRule type="expression" priority="2226" dxfId="0">
      <formula>AND(IF($Q329=3,1,IF($Q329=4,1,0)),IF($F329&lt;=85,1,0))</formula>
    </cfRule>
  </conditionalFormatting>
  <conditionalFormatting sqref="X329">
    <cfRule type="expression" priority="2219" dxfId="3">
      <formula>AND(IF(OR($Q329=1,$Q329=2),1,0),IF($X329&lt;=20,1,0))</formula>
    </cfRule>
    <cfRule type="expression" priority="2220" dxfId="2">
      <formula>AND(IF($Q329=2,1,0),IF($X329&lt;30,1,0))</formula>
    </cfRule>
    <cfRule type="expression" priority="2221" dxfId="1">
      <formula>AND(IF($Q329=3,1,0),IF($X329&lt;30,1,0))</formula>
    </cfRule>
    <cfRule type="expression" priority="2222" dxfId="0">
      <formula>AND(IF($Q329=3,1,IF($Q329=4,1,0)),IF($F329&lt;=85,1,0))</formula>
    </cfRule>
  </conditionalFormatting>
  <conditionalFormatting sqref="AI329">
    <cfRule type="expression" priority="2215" dxfId="3">
      <formula>AND(IF(OR($Q329=1,$Q329=2),1,0),IF($X329&lt;=20,1,0))</formula>
    </cfRule>
    <cfRule type="expression" priority="2216" dxfId="2">
      <formula>AND(IF($Q329=2,1,0),IF($X329&lt;30,1,0))</formula>
    </cfRule>
    <cfRule type="expression" priority="2217" dxfId="1">
      <formula>AND(IF($Q329=3,1,0),IF($X329&lt;30,1,0))</formula>
    </cfRule>
    <cfRule type="expression" priority="2218" dxfId="0">
      <formula>AND(IF($Q329=3,1,IF($Q329=4,1,0)),IF($F329&lt;=85,1,0))</formula>
    </cfRule>
  </conditionalFormatting>
  <conditionalFormatting sqref="AV330">
    <cfRule type="expression" priority="2213" dxfId="23">
      <formula>AV330="X"</formula>
    </cfRule>
    <cfRule type="expression" priority="2214" dxfId="22">
      <formula>AV330="후보"</formula>
    </cfRule>
  </conditionalFormatting>
  <conditionalFormatting sqref="AC3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30">
    <cfRule type="expression" priority="2205" dxfId="3">
      <formula>AND(IF(OR($Q330=1,$Q330=2),1,0),IF($X330&lt;=20,1,0))</formula>
    </cfRule>
    <cfRule type="expression" priority="2206" dxfId="2">
      <formula>AND(IF($Q330=2,1,0),IF($X330&lt;30,1,0))</formula>
    </cfRule>
    <cfRule type="expression" priority="2207" dxfId="1">
      <formula>AND(IF($Q330=3,1,0),IF($X330&lt;30,1,0))</formula>
    </cfRule>
    <cfRule type="expression" priority="2208" dxfId="0">
      <formula>AND(IF($Q330=3,1,IF($Q330=4,1,0)),IF($F330&lt;=85,1,0))</formula>
    </cfRule>
  </conditionalFormatting>
  <conditionalFormatting sqref="X330">
    <cfRule type="expression" priority="2201" dxfId="3">
      <formula>AND(IF(OR($Q330=1,$Q330=2),1,0),IF($X330&lt;=20,1,0))</formula>
    </cfRule>
    <cfRule type="expression" priority="2202" dxfId="2">
      <formula>AND(IF($Q330=2,1,0),IF($X330&lt;30,1,0))</formula>
    </cfRule>
    <cfRule type="expression" priority="2203" dxfId="1">
      <formula>AND(IF($Q330=3,1,0),IF($X330&lt;30,1,0))</formula>
    </cfRule>
    <cfRule type="expression" priority="2204" dxfId="0">
      <formula>AND(IF($Q330=3,1,IF($Q330=4,1,0)),IF($F330&lt;=85,1,0))</formula>
    </cfRule>
  </conditionalFormatting>
  <conditionalFormatting sqref="AI330">
    <cfRule type="expression" priority="2197" dxfId="3">
      <formula>AND(IF(OR($Q330=1,$Q330=2),1,0),IF($X330&lt;=20,1,0))</formula>
    </cfRule>
    <cfRule type="expression" priority="2198" dxfId="2">
      <formula>AND(IF($Q330=2,1,0),IF($X330&lt;30,1,0))</formula>
    </cfRule>
    <cfRule type="expression" priority="2199" dxfId="1">
      <formula>AND(IF($Q330=3,1,0),IF($X330&lt;30,1,0))</formula>
    </cfRule>
    <cfRule type="expression" priority="2200" dxfId="0">
      <formula>AND(IF($Q330=3,1,IF($Q330=4,1,0)),IF($F330&lt;=85,1,0))</formula>
    </cfRule>
  </conditionalFormatting>
  <conditionalFormatting sqref="AV331">
    <cfRule type="expression" priority="2195" dxfId="23">
      <formula>AV331="X"</formula>
    </cfRule>
    <cfRule type="expression" priority="2196" dxfId="22">
      <formula>AV331="후보"</formula>
    </cfRule>
  </conditionalFormatting>
  <conditionalFormatting sqref="AC3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31">
    <cfRule type="expression" priority="2187" dxfId="3">
      <formula>AND(IF(OR($Q331=1,$Q331=2),1,0),IF($X331&lt;=20,1,0))</formula>
    </cfRule>
    <cfRule type="expression" priority="2188" dxfId="2">
      <formula>AND(IF($Q331=2,1,0),IF($X331&lt;30,1,0))</formula>
    </cfRule>
    <cfRule type="expression" priority="2189" dxfId="1">
      <formula>AND(IF($Q331=3,1,0),IF($X331&lt;30,1,0))</formula>
    </cfRule>
    <cfRule type="expression" priority="2190" dxfId="0">
      <formula>AND(IF($Q331=3,1,IF($Q331=4,1,0)),IF($F331&lt;=85,1,0))</formula>
    </cfRule>
  </conditionalFormatting>
  <conditionalFormatting sqref="X331">
    <cfRule type="expression" priority="2183" dxfId="3">
      <formula>AND(IF(OR($Q331=1,$Q331=2),1,0),IF($X331&lt;=20,1,0))</formula>
    </cfRule>
    <cfRule type="expression" priority="2184" dxfId="2">
      <formula>AND(IF($Q331=2,1,0),IF($X331&lt;30,1,0))</formula>
    </cfRule>
    <cfRule type="expression" priority="2185" dxfId="1">
      <formula>AND(IF($Q331=3,1,0),IF($X331&lt;30,1,0))</formula>
    </cfRule>
    <cfRule type="expression" priority="2186" dxfId="0">
      <formula>AND(IF($Q331=3,1,IF($Q331=4,1,0)),IF($F331&lt;=85,1,0))</formula>
    </cfRule>
  </conditionalFormatting>
  <conditionalFormatting sqref="AI331">
    <cfRule type="expression" priority="2179" dxfId="3">
      <formula>AND(IF(OR($Q331=1,$Q331=2),1,0),IF($X331&lt;=20,1,0))</formula>
    </cfRule>
    <cfRule type="expression" priority="2180" dxfId="2">
      <formula>AND(IF($Q331=2,1,0),IF($X331&lt;30,1,0))</formula>
    </cfRule>
    <cfRule type="expression" priority="2181" dxfId="1">
      <formula>AND(IF($Q331=3,1,0),IF($X331&lt;30,1,0))</formula>
    </cfRule>
    <cfRule type="expression" priority="2182" dxfId="0">
      <formula>AND(IF($Q331=3,1,IF($Q331=4,1,0)),IF($F331&lt;=85,1,0))</formula>
    </cfRule>
  </conditionalFormatting>
  <conditionalFormatting sqref="AV332">
    <cfRule type="expression" priority="2177" dxfId="23">
      <formula>AV332="X"</formula>
    </cfRule>
    <cfRule type="expression" priority="2178" dxfId="22">
      <formula>AV332="후보"</formula>
    </cfRule>
  </conditionalFormatting>
  <conditionalFormatting sqref="AC3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32">
    <cfRule type="expression" priority="2169" dxfId="3">
      <formula>AND(IF(OR($Q332=1,$Q332=2),1,0),IF($X332&lt;=20,1,0))</formula>
    </cfRule>
    <cfRule type="expression" priority="2170" dxfId="2">
      <formula>AND(IF($Q332=2,1,0),IF($X332&lt;30,1,0))</formula>
    </cfRule>
    <cfRule type="expression" priority="2171" dxfId="1">
      <formula>AND(IF($Q332=3,1,0),IF($X332&lt;30,1,0))</formula>
    </cfRule>
    <cfRule type="expression" priority="2172" dxfId="0">
      <formula>AND(IF($Q332=3,1,IF($Q332=4,1,0)),IF($F332&lt;=85,1,0))</formula>
    </cfRule>
  </conditionalFormatting>
  <conditionalFormatting sqref="X332">
    <cfRule type="expression" priority="2165" dxfId="3">
      <formula>AND(IF(OR($Q332=1,$Q332=2),1,0),IF($X332&lt;=20,1,0))</formula>
    </cfRule>
    <cfRule type="expression" priority="2166" dxfId="2">
      <formula>AND(IF($Q332=2,1,0),IF($X332&lt;30,1,0))</formula>
    </cfRule>
    <cfRule type="expression" priority="2167" dxfId="1">
      <formula>AND(IF($Q332=3,1,0),IF($X332&lt;30,1,0))</formula>
    </cfRule>
    <cfRule type="expression" priority="2168" dxfId="0">
      <formula>AND(IF($Q332=3,1,IF($Q332=4,1,0)),IF($F332&lt;=85,1,0))</formula>
    </cfRule>
  </conditionalFormatting>
  <conditionalFormatting sqref="AI332">
    <cfRule type="expression" priority="2161" dxfId="3">
      <formula>AND(IF(OR($Q332=1,$Q332=2),1,0),IF($X332&lt;=20,1,0))</formula>
    </cfRule>
    <cfRule type="expression" priority="2162" dxfId="2">
      <formula>AND(IF($Q332=2,1,0),IF($X332&lt;30,1,0))</formula>
    </cfRule>
    <cfRule type="expression" priority="2163" dxfId="1">
      <formula>AND(IF($Q332=3,1,0),IF($X332&lt;30,1,0))</formula>
    </cfRule>
    <cfRule type="expression" priority="2164" dxfId="0">
      <formula>AND(IF($Q332=3,1,IF($Q332=4,1,0)),IF($F332&lt;=85,1,0))</formula>
    </cfRule>
  </conditionalFormatting>
  <conditionalFormatting sqref="AV333">
    <cfRule type="expression" priority="2159" dxfId="23">
      <formula>AV333="X"</formula>
    </cfRule>
    <cfRule type="expression" priority="2160" dxfId="22">
      <formula>AV333="후보"</formula>
    </cfRule>
  </conditionalFormatting>
  <conditionalFormatting sqref="AC3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33">
    <cfRule type="expression" priority="2151" dxfId="3">
      <formula>AND(IF(OR($Q333=1,$Q333=2),1,0),IF($X333&lt;=20,1,0))</formula>
    </cfRule>
    <cfRule type="expression" priority="2152" dxfId="2">
      <formula>AND(IF($Q333=2,1,0),IF($X333&lt;30,1,0))</formula>
    </cfRule>
    <cfRule type="expression" priority="2153" dxfId="1">
      <formula>AND(IF($Q333=3,1,0),IF($X333&lt;30,1,0))</formula>
    </cfRule>
    <cfRule type="expression" priority="2154" dxfId="0">
      <formula>AND(IF($Q333=3,1,IF($Q333=4,1,0)),IF($F333&lt;=85,1,0))</formula>
    </cfRule>
  </conditionalFormatting>
  <conditionalFormatting sqref="X333">
    <cfRule type="expression" priority="2147" dxfId="3">
      <formula>AND(IF(OR($Q333=1,$Q333=2),1,0),IF($X333&lt;=20,1,0))</formula>
    </cfRule>
    <cfRule type="expression" priority="2148" dxfId="2">
      <formula>AND(IF($Q333=2,1,0),IF($X333&lt;30,1,0))</formula>
    </cfRule>
    <cfRule type="expression" priority="2149" dxfId="1">
      <formula>AND(IF($Q333=3,1,0),IF($X333&lt;30,1,0))</formula>
    </cfRule>
    <cfRule type="expression" priority="2150" dxfId="0">
      <formula>AND(IF($Q333=3,1,IF($Q333=4,1,0)),IF($F333&lt;=85,1,0))</formula>
    </cfRule>
  </conditionalFormatting>
  <conditionalFormatting sqref="AI333">
    <cfRule type="expression" priority="2143" dxfId="3">
      <formula>AND(IF(OR($Q333=1,$Q333=2),1,0),IF($X333&lt;=20,1,0))</formula>
    </cfRule>
    <cfRule type="expression" priority="2144" dxfId="2">
      <formula>AND(IF($Q333=2,1,0),IF($X333&lt;30,1,0))</formula>
    </cfRule>
    <cfRule type="expression" priority="2145" dxfId="1">
      <formula>AND(IF($Q333=3,1,0),IF($X333&lt;30,1,0))</formula>
    </cfRule>
    <cfRule type="expression" priority="2146" dxfId="0">
      <formula>AND(IF($Q333=3,1,IF($Q333=4,1,0)),IF($F333&lt;=85,1,0))</formula>
    </cfRule>
  </conditionalFormatting>
  <conditionalFormatting sqref="AV334">
    <cfRule type="expression" priority="2141" dxfId="23">
      <formula>AV334="X"</formula>
    </cfRule>
    <cfRule type="expression" priority="2142" dxfId="22">
      <formula>AV334="후보"</formula>
    </cfRule>
  </conditionalFormatting>
  <conditionalFormatting sqref="AC3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34">
    <cfRule type="expression" priority="2133" dxfId="3">
      <formula>AND(IF(OR($Q334=1,$Q334=2),1,0),IF($X334&lt;=20,1,0))</formula>
    </cfRule>
    <cfRule type="expression" priority="2134" dxfId="2">
      <formula>AND(IF($Q334=2,1,0),IF($X334&lt;30,1,0))</formula>
    </cfRule>
    <cfRule type="expression" priority="2135" dxfId="1">
      <formula>AND(IF($Q334=3,1,0),IF($X334&lt;30,1,0))</formula>
    </cfRule>
    <cfRule type="expression" priority="2136" dxfId="0">
      <formula>AND(IF($Q334=3,1,IF($Q334=4,1,0)),IF($F334&lt;=85,1,0))</formula>
    </cfRule>
  </conditionalFormatting>
  <conditionalFormatting sqref="X334">
    <cfRule type="expression" priority="2129" dxfId="3">
      <formula>AND(IF(OR($Q334=1,$Q334=2),1,0),IF($X334&lt;=20,1,0))</formula>
    </cfRule>
    <cfRule type="expression" priority="2130" dxfId="2">
      <formula>AND(IF($Q334=2,1,0),IF($X334&lt;30,1,0))</formula>
    </cfRule>
    <cfRule type="expression" priority="2131" dxfId="1">
      <formula>AND(IF($Q334=3,1,0),IF($X334&lt;30,1,0))</formula>
    </cfRule>
    <cfRule type="expression" priority="2132" dxfId="0">
      <formula>AND(IF($Q334=3,1,IF($Q334=4,1,0)),IF($F334&lt;=85,1,0))</formula>
    </cfRule>
  </conditionalFormatting>
  <conditionalFormatting sqref="AI334">
    <cfRule type="expression" priority="2125" dxfId="3">
      <formula>AND(IF(OR($Q334=1,$Q334=2),1,0),IF($X334&lt;=20,1,0))</formula>
    </cfRule>
    <cfRule type="expression" priority="2126" dxfId="2">
      <formula>AND(IF($Q334=2,1,0),IF($X334&lt;30,1,0))</formula>
    </cfRule>
    <cfRule type="expression" priority="2127" dxfId="1">
      <formula>AND(IF($Q334=3,1,0),IF($X334&lt;30,1,0))</formula>
    </cfRule>
    <cfRule type="expression" priority="2128" dxfId="0">
      <formula>AND(IF($Q334=3,1,IF($Q334=4,1,0)),IF($F334&lt;=85,1,0))</formula>
    </cfRule>
  </conditionalFormatting>
  <conditionalFormatting sqref="AV335">
    <cfRule type="expression" priority="2123" dxfId="23">
      <formula>AV335="X"</formula>
    </cfRule>
    <cfRule type="expression" priority="2124" dxfId="22">
      <formula>AV335="후보"</formula>
    </cfRule>
  </conditionalFormatting>
  <conditionalFormatting sqref="AC3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35">
    <cfRule type="expression" priority="2115" dxfId="3">
      <formula>AND(IF(OR($Q335=1,$Q335=2),1,0),IF($X335&lt;=20,1,0))</formula>
    </cfRule>
    <cfRule type="expression" priority="2116" dxfId="2">
      <formula>AND(IF($Q335=2,1,0),IF($X335&lt;30,1,0))</formula>
    </cfRule>
    <cfRule type="expression" priority="2117" dxfId="1">
      <formula>AND(IF($Q335=3,1,0),IF($X335&lt;30,1,0))</formula>
    </cfRule>
    <cfRule type="expression" priority="2118" dxfId="0">
      <formula>AND(IF($Q335=3,1,IF($Q335=4,1,0)),IF($F335&lt;=85,1,0))</formula>
    </cfRule>
  </conditionalFormatting>
  <conditionalFormatting sqref="X335">
    <cfRule type="expression" priority="2111" dxfId="3">
      <formula>AND(IF(OR($Q335=1,$Q335=2),1,0),IF($X335&lt;=20,1,0))</formula>
    </cfRule>
    <cfRule type="expression" priority="2112" dxfId="2">
      <formula>AND(IF($Q335=2,1,0),IF($X335&lt;30,1,0))</formula>
    </cfRule>
    <cfRule type="expression" priority="2113" dxfId="1">
      <formula>AND(IF($Q335=3,1,0),IF($X335&lt;30,1,0))</formula>
    </cfRule>
    <cfRule type="expression" priority="2114" dxfId="0">
      <formula>AND(IF($Q335=3,1,IF($Q335=4,1,0)),IF($F335&lt;=85,1,0))</formula>
    </cfRule>
  </conditionalFormatting>
  <conditionalFormatting sqref="AI335">
    <cfRule type="expression" priority="2107" dxfId="3">
      <formula>AND(IF(OR($Q335=1,$Q335=2),1,0),IF($X335&lt;=20,1,0))</formula>
    </cfRule>
    <cfRule type="expression" priority="2108" dxfId="2">
      <formula>AND(IF($Q335=2,1,0),IF($X335&lt;30,1,0))</formula>
    </cfRule>
    <cfRule type="expression" priority="2109" dxfId="1">
      <formula>AND(IF($Q335=3,1,0),IF($X335&lt;30,1,0))</formula>
    </cfRule>
    <cfRule type="expression" priority="2110" dxfId="0">
      <formula>AND(IF($Q335=3,1,IF($Q335=4,1,0)),IF($F335&lt;=85,1,0))</formula>
    </cfRule>
  </conditionalFormatting>
  <conditionalFormatting sqref="AV336">
    <cfRule type="expression" priority="2105" dxfId="23">
      <formula>AV336="X"</formula>
    </cfRule>
    <cfRule type="expression" priority="2106" dxfId="22">
      <formula>AV336="후보"</formula>
    </cfRule>
  </conditionalFormatting>
  <conditionalFormatting sqref="AC3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36">
    <cfRule type="expression" priority="2097" dxfId="3">
      <formula>AND(IF(OR($Q336=1,$Q336=2),1,0),IF($X336&lt;=20,1,0))</formula>
    </cfRule>
    <cfRule type="expression" priority="2098" dxfId="2">
      <formula>AND(IF($Q336=2,1,0),IF($X336&lt;30,1,0))</formula>
    </cfRule>
    <cfRule type="expression" priority="2099" dxfId="1">
      <formula>AND(IF($Q336=3,1,0),IF($X336&lt;30,1,0))</formula>
    </cfRule>
    <cfRule type="expression" priority="2100" dxfId="0">
      <formula>AND(IF($Q336=3,1,IF($Q336=4,1,0)),IF($F336&lt;=85,1,0))</formula>
    </cfRule>
  </conditionalFormatting>
  <conditionalFormatting sqref="X336">
    <cfRule type="expression" priority="2093" dxfId="3">
      <formula>AND(IF(OR($Q336=1,$Q336=2),1,0),IF($X336&lt;=20,1,0))</formula>
    </cfRule>
    <cfRule type="expression" priority="2094" dxfId="2">
      <formula>AND(IF($Q336=2,1,0),IF($X336&lt;30,1,0))</formula>
    </cfRule>
    <cfRule type="expression" priority="2095" dxfId="1">
      <formula>AND(IF($Q336=3,1,0),IF($X336&lt;30,1,0))</formula>
    </cfRule>
    <cfRule type="expression" priority="2096" dxfId="0">
      <formula>AND(IF($Q336=3,1,IF($Q336=4,1,0)),IF($F336&lt;=85,1,0))</formula>
    </cfRule>
  </conditionalFormatting>
  <conditionalFormatting sqref="AI336">
    <cfRule type="expression" priority="2089" dxfId="3">
      <formula>AND(IF(OR($Q336=1,$Q336=2),1,0),IF($X336&lt;=20,1,0))</formula>
    </cfRule>
    <cfRule type="expression" priority="2090" dxfId="2">
      <formula>AND(IF($Q336=2,1,0),IF($X336&lt;30,1,0))</formula>
    </cfRule>
    <cfRule type="expression" priority="2091" dxfId="1">
      <formula>AND(IF($Q336=3,1,0),IF($X336&lt;30,1,0))</formula>
    </cfRule>
    <cfRule type="expression" priority="2092" dxfId="0">
      <formula>AND(IF($Q336=3,1,IF($Q336=4,1,0)),IF($F336&lt;=85,1,0))</formula>
    </cfRule>
  </conditionalFormatting>
  <conditionalFormatting sqref="AV337">
    <cfRule type="expression" priority="2087" dxfId="23">
      <formula>AV337="X"</formula>
    </cfRule>
    <cfRule type="expression" priority="2088" dxfId="22">
      <formula>AV337="후보"</formula>
    </cfRule>
  </conditionalFormatting>
  <conditionalFormatting sqref="AC3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37">
    <cfRule type="expression" priority="2079" dxfId="3">
      <formula>AND(IF(OR($Q337=1,$Q337=2),1,0),IF($X337&lt;=20,1,0))</formula>
    </cfRule>
    <cfRule type="expression" priority="2080" dxfId="2">
      <formula>AND(IF($Q337=2,1,0),IF($X337&lt;30,1,0))</formula>
    </cfRule>
    <cfRule type="expression" priority="2081" dxfId="1">
      <formula>AND(IF($Q337=3,1,0),IF($X337&lt;30,1,0))</formula>
    </cfRule>
    <cfRule type="expression" priority="2082" dxfId="0">
      <formula>AND(IF($Q337=3,1,IF($Q337=4,1,0)),IF($F337&lt;=85,1,0))</formula>
    </cfRule>
  </conditionalFormatting>
  <conditionalFormatting sqref="X337">
    <cfRule type="expression" priority="2075" dxfId="3">
      <formula>AND(IF(OR($Q337=1,$Q337=2),1,0),IF($X337&lt;=20,1,0))</formula>
    </cfRule>
    <cfRule type="expression" priority="2076" dxfId="2">
      <formula>AND(IF($Q337=2,1,0),IF($X337&lt;30,1,0))</formula>
    </cfRule>
    <cfRule type="expression" priority="2077" dxfId="1">
      <formula>AND(IF($Q337=3,1,0),IF($X337&lt;30,1,0))</formula>
    </cfRule>
    <cfRule type="expression" priority="2078" dxfId="0">
      <formula>AND(IF($Q337=3,1,IF($Q337=4,1,0)),IF($F337&lt;=85,1,0))</formula>
    </cfRule>
  </conditionalFormatting>
  <conditionalFormatting sqref="AI337">
    <cfRule type="expression" priority="2071" dxfId="3">
      <formula>AND(IF(OR($Q337=1,$Q337=2),1,0),IF($X337&lt;=20,1,0))</formula>
    </cfRule>
    <cfRule type="expression" priority="2072" dxfId="2">
      <formula>AND(IF($Q337=2,1,0),IF($X337&lt;30,1,0))</formula>
    </cfRule>
    <cfRule type="expression" priority="2073" dxfId="1">
      <formula>AND(IF($Q337=3,1,0),IF($X337&lt;30,1,0))</formula>
    </cfRule>
    <cfRule type="expression" priority="2074" dxfId="0">
      <formula>AND(IF($Q337=3,1,IF($Q337=4,1,0)),IF($F337&lt;=85,1,0))</formula>
    </cfRule>
  </conditionalFormatting>
  <conditionalFormatting sqref="AV338">
    <cfRule type="expression" priority="2069" dxfId="23">
      <formula>AV338="X"</formula>
    </cfRule>
    <cfRule type="expression" priority="2070" dxfId="22">
      <formula>AV338="후보"</formula>
    </cfRule>
  </conditionalFormatting>
  <conditionalFormatting sqref="AC3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38">
    <cfRule type="expression" priority="2061" dxfId="3">
      <formula>AND(IF(OR($Q338=1,$Q338=2),1,0),IF($X338&lt;=20,1,0))</formula>
    </cfRule>
    <cfRule type="expression" priority="2062" dxfId="2">
      <formula>AND(IF($Q338=2,1,0),IF($X338&lt;30,1,0))</formula>
    </cfRule>
    <cfRule type="expression" priority="2063" dxfId="1">
      <formula>AND(IF($Q338=3,1,0),IF($X338&lt;30,1,0))</formula>
    </cfRule>
    <cfRule type="expression" priority="2064" dxfId="0">
      <formula>AND(IF($Q338=3,1,IF($Q338=4,1,0)),IF($F338&lt;=85,1,0))</formula>
    </cfRule>
  </conditionalFormatting>
  <conditionalFormatting sqref="X338">
    <cfRule type="expression" priority="2057" dxfId="3">
      <formula>AND(IF(OR($Q338=1,$Q338=2),1,0),IF($X338&lt;=20,1,0))</formula>
    </cfRule>
    <cfRule type="expression" priority="2058" dxfId="2">
      <formula>AND(IF($Q338=2,1,0),IF($X338&lt;30,1,0))</formula>
    </cfRule>
    <cfRule type="expression" priority="2059" dxfId="1">
      <formula>AND(IF($Q338=3,1,0),IF($X338&lt;30,1,0))</formula>
    </cfRule>
    <cfRule type="expression" priority="2060" dxfId="0">
      <formula>AND(IF($Q338=3,1,IF($Q338=4,1,0)),IF($F338&lt;=85,1,0))</formula>
    </cfRule>
  </conditionalFormatting>
  <conditionalFormatting sqref="AI338">
    <cfRule type="expression" priority="2053" dxfId="3">
      <formula>AND(IF(OR($Q338=1,$Q338=2),1,0),IF($X338&lt;=20,1,0))</formula>
    </cfRule>
    <cfRule type="expression" priority="2054" dxfId="2">
      <formula>AND(IF($Q338=2,1,0),IF($X338&lt;30,1,0))</formula>
    </cfRule>
    <cfRule type="expression" priority="2055" dxfId="1">
      <formula>AND(IF($Q338=3,1,0),IF($X338&lt;30,1,0))</formula>
    </cfRule>
    <cfRule type="expression" priority="2056" dxfId="0">
      <formula>AND(IF($Q338=3,1,IF($Q338=4,1,0)),IF($F338&lt;=85,1,0))</formula>
    </cfRule>
  </conditionalFormatting>
  <conditionalFormatting sqref="AV339">
    <cfRule type="expression" priority="2051" dxfId="23">
      <formula>AV339="X"</formula>
    </cfRule>
    <cfRule type="expression" priority="2052" dxfId="22">
      <formula>AV339="후보"</formula>
    </cfRule>
  </conditionalFormatting>
  <conditionalFormatting sqref="AC3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39">
    <cfRule type="expression" priority="2043" dxfId="3">
      <formula>AND(IF(OR($Q339=1,$Q339=2),1,0),IF($X339&lt;=20,1,0))</formula>
    </cfRule>
    <cfRule type="expression" priority="2044" dxfId="2">
      <formula>AND(IF($Q339=2,1,0),IF($X339&lt;30,1,0))</formula>
    </cfRule>
    <cfRule type="expression" priority="2045" dxfId="1">
      <formula>AND(IF($Q339=3,1,0),IF($X339&lt;30,1,0))</formula>
    </cfRule>
    <cfRule type="expression" priority="2046" dxfId="0">
      <formula>AND(IF($Q339=3,1,IF($Q339=4,1,0)),IF($F339&lt;=85,1,0))</formula>
    </cfRule>
  </conditionalFormatting>
  <conditionalFormatting sqref="X339">
    <cfRule type="expression" priority="2039" dxfId="3">
      <formula>AND(IF(OR($Q339=1,$Q339=2),1,0),IF($X339&lt;=20,1,0))</formula>
    </cfRule>
    <cfRule type="expression" priority="2040" dxfId="2">
      <formula>AND(IF($Q339=2,1,0),IF($X339&lt;30,1,0))</formula>
    </cfRule>
    <cfRule type="expression" priority="2041" dxfId="1">
      <formula>AND(IF($Q339=3,1,0),IF($X339&lt;30,1,0))</formula>
    </cfRule>
    <cfRule type="expression" priority="2042" dxfId="0">
      <formula>AND(IF($Q339=3,1,IF($Q339=4,1,0)),IF($F339&lt;=85,1,0))</formula>
    </cfRule>
  </conditionalFormatting>
  <conditionalFormatting sqref="AI339">
    <cfRule type="expression" priority="2035" dxfId="3">
      <formula>AND(IF(OR($Q339=1,$Q339=2),1,0),IF($X339&lt;=20,1,0))</formula>
    </cfRule>
    <cfRule type="expression" priority="2036" dxfId="2">
      <formula>AND(IF($Q339=2,1,0),IF($X339&lt;30,1,0))</formula>
    </cfRule>
    <cfRule type="expression" priority="2037" dxfId="1">
      <formula>AND(IF($Q339=3,1,0),IF($X339&lt;30,1,0))</formula>
    </cfRule>
    <cfRule type="expression" priority="2038" dxfId="0">
      <formula>AND(IF($Q339=3,1,IF($Q339=4,1,0)),IF($F339&lt;=85,1,0))</formula>
    </cfRule>
  </conditionalFormatting>
  <conditionalFormatting sqref="AV340">
    <cfRule type="expression" priority="2033" dxfId="23">
      <formula>AV340="X"</formula>
    </cfRule>
    <cfRule type="expression" priority="2034" dxfId="22">
      <formula>AV340="후보"</formula>
    </cfRule>
  </conditionalFormatting>
  <conditionalFormatting sqref="AC3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40">
    <cfRule type="expression" priority="2025" dxfId="3">
      <formula>AND(IF(OR($Q340=1,$Q340=2),1,0),IF($X340&lt;=20,1,0))</formula>
    </cfRule>
    <cfRule type="expression" priority="2026" dxfId="2">
      <formula>AND(IF($Q340=2,1,0),IF($X340&lt;30,1,0))</formula>
    </cfRule>
    <cfRule type="expression" priority="2027" dxfId="1">
      <formula>AND(IF($Q340=3,1,0),IF($X340&lt;30,1,0))</formula>
    </cfRule>
    <cfRule type="expression" priority="2028" dxfId="0">
      <formula>AND(IF($Q340=3,1,IF($Q340=4,1,0)),IF($F340&lt;=85,1,0))</formula>
    </cfRule>
  </conditionalFormatting>
  <conditionalFormatting sqref="X340">
    <cfRule type="expression" priority="2021" dxfId="3">
      <formula>AND(IF(OR($Q340=1,$Q340=2),1,0),IF($X340&lt;=20,1,0))</formula>
    </cfRule>
    <cfRule type="expression" priority="2022" dxfId="2">
      <formula>AND(IF($Q340=2,1,0),IF($X340&lt;30,1,0))</formula>
    </cfRule>
    <cfRule type="expression" priority="2023" dxfId="1">
      <formula>AND(IF($Q340=3,1,0),IF($X340&lt;30,1,0))</formula>
    </cfRule>
    <cfRule type="expression" priority="2024" dxfId="0">
      <formula>AND(IF($Q340=3,1,IF($Q340=4,1,0)),IF($F340&lt;=85,1,0))</formula>
    </cfRule>
  </conditionalFormatting>
  <conditionalFormatting sqref="AI340">
    <cfRule type="expression" priority="2017" dxfId="3">
      <formula>AND(IF(OR($Q340=1,$Q340=2),1,0),IF($X340&lt;=20,1,0))</formula>
    </cfRule>
    <cfRule type="expression" priority="2018" dxfId="2">
      <formula>AND(IF($Q340=2,1,0),IF($X340&lt;30,1,0))</formula>
    </cfRule>
    <cfRule type="expression" priority="2019" dxfId="1">
      <formula>AND(IF($Q340=3,1,0),IF($X340&lt;30,1,0))</formula>
    </cfRule>
    <cfRule type="expression" priority="2020" dxfId="0">
      <formula>AND(IF($Q340=3,1,IF($Q340=4,1,0)),IF($F340&lt;=85,1,0))</formula>
    </cfRule>
  </conditionalFormatting>
  <conditionalFormatting sqref="AV341">
    <cfRule type="expression" priority="2015" dxfId="23">
      <formula>AV341="X"</formula>
    </cfRule>
    <cfRule type="expression" priority="2016" dxfId="22">
      <formula>AV341="후보"</formula>
    </cfRule>
  </conditionalFormatting>
  <conditionalFormatting sqref="AC3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41">
    <cfRule type="expression" priority="2007" dxfId="3">
      <formula>AND(IF(OR($Q341=1,$Q341=2),1,0),IF($X341&lt;=20,1,0))</formula>
    </cfRule>
    <cfRule type="expression" priority="2008" dxfId="2">
      <formula>AND(IF($Q341=2,1,0),IF($X341&lt;30,1,0))</formula>
    </cfRule>
    <cfRule type="expression" priority="2009" dxfId="1">
      <formula>AND(IF($Q341=3,1,0),IF($X341&lt;30,1,0))</formula>
    </cfRule>
    <cfRule type="expression" priority="2010" dxfId="0">
      <formula>AND(IF($Q341=3,1,IF($Q341=4,1,0)),IF($F341&lt;=85,1,0))</formula>
    </cfRule>
  </conditionalFormatting>
  <conditionalFormatting sqref="X341">
    <cfRule type="expression" priority="2003" dxfId="3">
      <formula>AND(IF(OR($Q341=1,$Q341=2),1,0),IF($X341&lt;=20,1,0))</formula>
    </cfRule>
    <cfRule type="expression" priority="2004" dxfId="2">
      <formula>AND(IF($Q341=2,1,0),IF($X341&lt;30,1,0))</formula>
    </cfRule>
    <cfRule type="expression" priority="2005" dxfId="1">
      <formula>AND(IF($Q341=3,1,0),IF($X341&lt;30,1,0))</formula>
    </cfRule>
    <cfRule type="expression" priority="2006" dxfId="0">
      <formula>AND(IF($Q341=3,1,IF($Q341=4,1,0)),IF($F341&lt;=85,1,0))</formula>
    </cfRule>
  </conditionalFormatting>
  <conditionalFormatting sqref="AI341">
    <cfRule type="expression" priority="1999" dxfId="3">
      <formula>AND(IF(OR($Q341=1,$Q341=2),1,0),IF($X341&lt;=20,1,0))</formula>
    </cfRule>
    <cfRule type="expression" priority="2000" dxfId="2">
      <formula>AND(IF($Q341=2,1,0),IF($X341&lt;30,1,0))</formula>
    </cfRule>
    <cfRule type="expression" priority="2001" dxfId="1">
      <formula>AND(IF($Q341=3,1,0),IF($X341&lt;30,1,0))</formula>
    </cfRule>
    <cfRule type="expression" priority="2002" dxfId="0">
      <formula>AND(IF($Q341=3,1,IF($Q341=4,1,0)),IF($F341&lt;=85,1,0))</formula>
    </cfRule>
  </conditionalFormatting>
  <conditionalFormatting sqref="AV342">
    <cfRule type="expression" priority="1997" dxfId="23">
      <formula>AV342="X"</formula>
    </cfRule>
    <cfRule type="expression" priority="1998" dxfId="22">
      <formula>AV342="후보"</formula>
    </cfRule>
  </conditionalFormatting>
  <conditionalFormatting sqref="AC3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42">
    <cfRule type="expression" priority="1989" dxfId="3">
      <formula>AND(IF(OR($Q342=1,$Q342=2),1,0),IF($X342&lt;=20,1,0))</formula>
    </cfRule>
    <cfRule type="expression" priority="1990" dxfId="2">
      <formula>AND(IF($Q342=2,1,0),IF($X342&lt;30,1,0))</formula>
    </cfRule>
    <cfRule type="expression" priority="1991" dxfId="1">
      <formula>AND(IF($Q342=3,1,0),IF($X342&lt;30,1,0))</formula>
    </cfRule>
    <cfRule type="expression" priority="1992" dxfId="0">
      <formula>AND(IF($Q342=3,1,IF($Q342=4,1,0)),IF($F342&lt;=85,1,0))</formula>
    </cfRule>
  </conditionalFormatting>
  <conditionalFormatting sqref="X342">
    <cfRule type="expression" priority="1985" dxfId="3">
      <formula>AND(IF(OR($Q342=1,$Q342=2),1,0),IF($X342&lt;=20,1,0))</formula>
    </cfRule>
    <cfRule type="expression" priority="1986" dxfId="2">
      <formula>AND(IF($Q342=2,1,0),IF($X342&lt;30,1,0))</formula>
    </cfRule>
    <cfRule type="expression" priority="1987" dxfId="1">
      <formula>AND(IF($Q342=3,1,0),IF($X342&lt;30,1,0))</formula>
    </cfRule>
    <cfRule type="expression" priority="1988" dxfId="0">
      <formula>AND(IF($Q342=3,1,IF($Q342=4,1,0)),IF($F342&lt;=85,1,0))</formula>
    </cfRule>
  </conditionalFormatting>
  <conditionalFormatting sqref="AI342">
    <cfRule type="expression" priority="1981" dxfId="3">
      <formula>AND(IF(OR($Q342=1,$Q342=2),1,0),IF($X342&lt;=20,1,0))</formula>
    </cfRule>
    <cfRule type="expression" priority="1982" dxfId="2">
      <formula>AND(IF($Q342=2,1,0),IF($X342&lt;30,1,0))</formula>
    </cfRule>
    <cfRule type="expression" priority="1983" dxfId="1">
      <formula>AND(IF($Q342=3,1,0),IF($X342&lt;30,1,0))</formula>
    </cfRule>
    <cfRule type="expression" priority="1984" dxfId="0">
      <formula>AND(IF($Q342=3,1,IF($Q342=4,1,0)),IF($F342&lt;=85,1,0))</formula>
    </cfRule>
  </conditionalFormatting>
  <conditionalFormatting sqref="AV343">
    <cfRule type="expression" priority="1979" dxfId="23">
      <formula>AV343="X"</formula>
    </cfRule>
    <cfRule type="expression" priority="1980" dxfId="22">
      <formula>AV343="후보"</formula>
    </cfRule>
  </conditionalFormatting>
  <conditionalFormatting sqref="AC3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43">
    <cfRule type="expression" priority="1971" dxfId="3">
      <formula>AND(IF(OR($Q343=1,$Q343=2),1,0),IF($X343&lt;=20,1,0))</formula>
    </cfRule>
    <cfRule type="expression" priority="1972" dxfId="2">
      <formula>AND(IF($Q343=2,1,0),IF($X343&lt;30,1,0))</formula>
    </cfRule>
    <cfRule type="expression" priority="1973" dxfId="1">
      <formula>AND(IF($Q343=3,1,0),IF($X343&lt;30,1,0))</formula>
    </cfRule>
    <cfRule type="expression" priority="1974" dxfId="0">
      <formula>AND(IF($Q343=3,1,IF($Q343=4,1,0)),IF($F343&lt;=85,1,0))</formula>
    </cfRule>
  </conditionalFormatting>
  <conditionalFormatting sqref="X343">
    <cfRule type="expression" priority="1967" dxfId="3">
      <formula>AND(IF(OR($Q343=1,$Q343=2),1,0),IF($X343&lt;=20,1,0))</formula>
    </cfRule>
    <cfRule type="expression" priority="1968" dxfId="2">
      <formula>AND(IF($Q343=2,1,0),IF($X343&lt;30,1,0))</formula>
    </cfRule>
    <cfRule type="expression" priority="1969" dxfId="1">
      <formula>AND(IF($Q343=3,1,0),IF($X343&lt;30,1,0))</formula>
    </cfRule>
    <cfRule type="expression" priority="1970" dxfId="0">
      <formula>AND(IF($Q343=3,1,IF($Q343=4,1,0)),IF($F343&lt;=85,1,0))</formula>
    </cfRule>
  </conditionalFormatting>
  <conditionalFormatting sqref="AI343">
    <cfRule type="expression" priority="1963" dxfId="3">
      <formula>AND(IF(OR($Q343=1,$Q343=2),1,0),IF($X343&lt;=20,1,0))</formula>
    </cfRule>
    <cfRule type="expression" priority="1964" dxfId="2">
      <formula>AND(IF($Q343=2,1,0),IF($X343&lt;30,1,0))</formula>
    </cfRule>
    <cfRule type="expression" priority="1965" dxfId="1">
      <formula>AND(IF($Q343=3,1,0),IF($X343&lt;30,1,0))</formula>
    </cfRule>
    <cfRule type="expression" priority="1966" dxfId="0">
      <formula>AND(IF($Q343=3,1,IF($Q343=4,1,0)),IF($F343&lt;=85,1,0))</formula>
    </cfRule>
  </conditionalFormatting>
  <conditionalFormatting sqref="AV344">
    <cfRule type="expression" priority="1961" dxfId="23">
      <formula>AV344="X"</formula>
    </cfRule>
    <cfRule type="expression" priority="1962" dxfId="22">
      <formula>AV344="후보"</formula>
    </cfRule>
  </conditionalFormatting>
  <conditionalFormatting sqref="AC3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44">
    <cfRule type="expression" priority="1953" dxfId="3">
      <formula>AND(IF(OR($Q344=1,$Q344=2),1,0),IF($X344&lt;=20,1,0))</formula>
    </cfRule>
    <cfRule type="expression" priority="1954" dxfId="2">
      <formula>AND(IF($Q344=2,1,0),IF($X344&lt;30,1,0))</formula>
    </cfRule>
    <cfRule type="expression" priority="1955" dxfId="1">
      <formula>AND(IF($Q344=3,1,0),IF($X344&lt;30,1,0))</formula>
    </cfRule>
    <cfRule type="expression" priority="1956" dxfId="0">
      <formula>AND(IF($Q344=3,1,IF($Q344=4,1,0)),IF($F344&lt;=85,1,0))</formula>
    </cfRule>
  </conditionalFormatting>
  <conditionalFormatting sqref="X344">
    <cfRule type="expression" priority="1949" dxfId="3">
      <formula>AND(IF(OR($Q344=1,$Q344=2),1,0),IF($X344&lt;=20,1,0))</formula>
    </cfRule>
    <cfRule type="expression" priority="1950" dxfId="2">
      <formula>AND(IF($Q344=2,1,0),IF($X344&lt;30,1,0))</formula>
    </cfRule>
    <cfRule type="expression" priority="1951" dxfId="1">
      <formula>AND(IF($Q344=3,1,0),IF($X344&lt;30,1,0))</formula>
    </cfRule>
    <cfRule type="expression" priority="1952" dxfId="0">
      <formula>AND(IF($Q344=3,1,IF($Q344=4,1,0)),IF($F344&lt;=85,1,0))</formula>
    </cfRule>
  </conditionalFormatting>
  <conditionalFormatting sqref="AI344">
    <cfRule type="expression" priority="1945" dxfId="3">
      <formula>AND(IF(OR($Q344=1,$Q344=2),1,0),IF($X344&lt;=20,1,0))</formula>
    </cfRule>
    <cfRule type="expression" priority="1946" dxfId="2">
      <formula>AND(IF($Q344=2,1,0),IF($X344&lt;30,1,0))</formula>
    </cfRule>
    <cfRule type="expression" priority="1947" dxfId="1">
      <formula>AND(IF($Q344=3,1,0),IF($X344&lt;30,1,0))</formula>
    </cfRule>
    <cfRule type="expression" priority="1948" dxfId="0">
      <formula>AND(IF($Q344=3,1,IF($Q344=4,1,0)),IF($F344&lt;=85,1,0))</formula>
    </cfRule>
  </conditionalFormatting>
  <conditionalFormatting sqref="AV345">
    <cfRule type="expression" priority="1943" dxfId="23">
      <formula>AV345="X"</formula>
    </cfRule>
    <cfRule type="expression" priority="1944" dxfId="22">
      <formula>AV345="후보"</formula>
    </cfRule>
  </conditionalFormatting>
  <conditionalFormatting sqref="AC3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45">
    <cfRule type="expression" priority="1935" dxfId="3">
      <formula>AND(IF(OR($Q345=1,$Q345=2),1,0),IF($X345&lt;=20,1,0))</formula>
    </cfRule>
    <cfRule type="expression" priority="1936" dxfId="2">
      <formula>AND(IF($Q345=2,1,0),IF($X345&lt;30,1,0))</formula>
    </cfRule>
    <cfRule type="expression" priority="1937" dxfId="1">
      <formula>AND(IF($Q345=3,1,0),IF($X345&lt;30,1,0))</formula>
    </cfRule>
    <cfRule type="expression" priority="1938" dxfId="0">
      <formula>AND(IF($Q345=3,1,IF($Q345=4,1,0)),IF($F345&lt;=85,1,0))</formula>
    </cfRule>
  </conditionalFormatting>
  <conditionalFormatting sqref="X345">
    <cfRule type="expression" priority="1931" dxfId="3">
      <formula>AND(IF(OR($Q345=1,$Q345=2),1,0),IF($X345&lt;=20,1,0))</formula>
    </cfRule>
    <cfRule type="expression" priority="1932" dxfId="2">
      <formula>AND(IF($Q345=2,1,0),IF($X345&lt;30,1,0))</formula>
    </cfRule>
    <cfRule type="expression" priority="1933" dxfId="1">
      <formula>AND(IF($Q345=3,1,0),IF($X345&lt;30,1,0))</formula>
    </cfRule>
    <cfRule type="expression" priority="1934" dxfId="0">
      <formula>AND(IF($Q345=3,1,IF($Q345=4,1,0)),IF($F345&lt;=85,1,0))</formula>
    </cfRule>
  </conditionalFormatting>
  <conditionalFormatting sqref="AI345">
    <cfRule type="expression" priority="1927" dxfId="3">
      <formula>AND(IF(OR($Q345=1,$Q345=2),1,0),IF($X345&lt;=20,1,0))</formula>
    </cfRule>
    <cfRule type="expression" priority="1928" dxfId="2">
      <formula>AND(IF($Q345=2,1,0),IF($X345&lt;30,1,0))</formula>
    </cfRule>
    <cfRule type="expression" priority="1929" dxfId="1">
      <formula>AND(IF($Q345=3,1,0),IF($X345&lt;30,1,0))</formula>
    </cfRule>
    <cfRule type="expression" priority="1930" dxfId="0">
      <formula>AND(IF($Q345=3,1,IF($Q345=4,1,0)),IF($F345&lt;=85,1,0))</formula>
    </cfRule>
  </conditionalFormatting>
  <conditionalFormatting sqref="AV346">
    <cfRule type="expression" priority="1925" dxfId="23">
      <formula>AV346="X"</formula>
    </cfRule>
    <cfRule type="expression" priority="1926" dxfId="22">
      <formula>AV346="후보"</formula>
    </cfRule>
  </conditionalFormatting>
  <conditionalFormatting sqref="AC3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46">
    <cfRule type="expression" priority="1917" dxfId="3">
      <formula>AND(IF(OR($Q346=1,$Q346=2),1,0),IF($X346&lt;=20,1,0))</formula>
    </cfRule>
    <cfRule type="expression" priority="1918" dxfId="2">
      <formula>AND(IF($Q346=2,1,0),IF($X346&lt;30,1,0))</formula>
    </cfRule>
    <cfRule type="expression" priority="1919" dxfId="1">
      <formula>AND(IF($Q346=3,1,0),IF($X346&lt;30,1,0))</formula>
    </cfRule>
    <cfRule type="expression" priority="1920" dxfId="0">
      <formula>AND(IF($Q346=3,1,IF($Q346=4,1,0)),IF($F346&lt;=85,1,0))</formula>
    </cfRule>
  </conditionalFormatting>
  <conditionalFormatting sqref="X346">
    <cfRule type="expression" priority="1913" dxfId="3">
      <formula>AND(IF(OR($Q346=1,$Q346=2),1,0),IF($X346&lt;=20,1,0))</formula>
    </cfRule>
    <cfRule type="expression" priority="1914" dxfId="2">
      <formula>AND(IF($Q346=2,1,0),IF($X346&lt;30,1,0))</formula>
    </cfRule>
    <cfRule type="expression" priority="1915" dxfId="1">
      <formula>AND(IF($Q346=3,1,0),IF($X346&lt;30,1,0))</formula>
    </cfRule>
    <cfRule type="expression" priority="1916" dxfId="0">
      <formula>AND(IF($Q346=3,1,IF($Q346=4,1,0)),IF($F346&lt;=85,1,0))</formula>
    </cfRule>
  </conditionalFormatting>
  <conditionalFormatting sqref="AI346">
    <cfRule type="expression" priority="1909" dxfId="3">
      <formula>AND(IF(OR($Q346=1,$Q346=2),1,0),IF($X346&lt;=20,1,0))</formula>
    </cfRule>
    <cfRule type="expression" priority="1910" dxfId="2">
      <formula>AND(IF($Q346=2,1,0),IF($X346&lt;30,1,0))</formula>
    </cfRule>
    <cfRule type="expression" priority="1911" dxfId="1">
      <formula>AND(IF($Q346=3,1,0),IF($X346&lt;30,1,0))</formula>
    </cfRule>
    <cfRule type="expression" priority="1912" dxfId="0">
      <formula>AND(IF($Q346=3,1,IF($Q346=4,1,0)),IF($F346&lt;=85,1,0))</formula>
    </cfRule>
  </conditionalFormatting>
  <conditionalFormatting sqref="AV347">
    <cfRule type="expression" priority="1907" dxfId="23">
      <formula>AV347="X"</formula>
    </cfRule>
    <cfRule type="expression" priority="1908" dxfId="22">
      <formula>AV347="후보"</formula>
    </cfRule>
  </conditionalFormatting>
  <conditionalFormatting sqref="AC3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47">
    <cfRule type="expression" priority="1899" dxfId="3">
      <formula>AND(IF(OR($Q347=1,$Q347=2),1,0),IF($X347&lt;=20,1,0))</formula>
    </cfRule>
    <cfRule type="expression" priority="1900" dxfId="2">
      <formula>AND(IF($Q347=2,1,0),IF($X347&lt;30,1,0))</formula>
    </cfRule>
    <cfRule type="expression" priority="1901" dxfId="1">
      <formula>AND(IF($Q347=3,1,0),IF($X347&lt;30,1,0))</formula>
    </cfRule>
    <cfRule type="expression" priority="1902" dxfId="0">
      <formula>AND(IF($Q347=3,1,IF($Q347=4,1,0)),IF($F347&lt;=85,1,0))</formula>
    </cfRule>
  </conditionalFormatting>
  <conditionalFormatting sqref="X347">
    <cfRule type="expression" priority="1895" dxfId="3">
      <formula>AND(IF(OR($Q347=1,$Q347=2),1,0),IF($X347&lt;=20,1,0))</formula>
    </cfRule>
    <cfRule type="expression" priority="1896" dxfId="2">
      <formula>AND(IF($Q347=2,1,0),IF($X347&lt;30,1,0))</formula>
    </cfRule>
    <cfRule type="expression" priority="1897" dxfId="1">
      <formula>AND(IF($Q347=3,1,0),IF($X347&lt;30,1,0))</formula>
    </cfRule>
    <cfRule type="expression" priority="1898" dxfId="0">
      <formula>AND(IF($Q347=3,1,IF($Q347=4,1,0)),IF($F347&lt;=85,1,0))</formula>
    </cfRule>
  </conditionalFormatting>
  <conditionalFormatting sqref="AI347">
    <cfRule type="expression" priority="1891" dxfId="3">
      <formula>AND(IF(OR($Q347=1,$Q347=2),1,0),IF($X347&lt;=20,1,0))</formula>
    </cfRule>
    <cfRule type="expression" priority="1892" dxfId="2">
      <formula>AND(IF($Q347=2,1,0),IF($X347&lt;30,1,0))</formula>
    </cfRule>
    <cfRule type="expression" priority="1893" dxfId="1">
      <formula>AND(IF($Q347=3,1,0),IF($X347&lt;30,1,0))</formula>
    </cfRule>
    <cfRule type="expression" priority="1894" dxfId="0">
      <formula>AND(IF($Q347=3,1,IF($Q347=4,1,0)),IF($F347&lt;=85,1,0))</formula>
    </cfRule>
  </conditionalFormatting>
  <conditionalFormatting sqref="AV348">
    <cfRule type="expression" priority="1889" dxfId="23">
      <formula>AV348="X"</formula>
    </cfRule>
    <cfRule type="expression" priority="1890" dxfId="22">
      <formula>AV348="후보"</formula>
    </cfRule>
  </conditionalFormatting>
  <conditionalFormatting sqref="AC3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48">
    <cfRule type="expression" priority="1881" dxfId="3">
      <formula>AND(IF(OR($Q348=1,$Q348=2),1,0),IF($X348&lt;=20,1,0))</formula>
    </cfRule>
    <cfRule type="expression" priority="1882" dxfId="2">
      <formula>AND(IF($Q348=2,1,0),IF($X348&lt;30,1,0))</formula>
    </cfRule>
    <cfRule type="expression" priority="1883" dxfId="1">
      <formula>AND(IF($Q348=3,1,0),IF($X348&lt;30,1,0))</formula>
    </cfRule>
    <cfRule type="expression" priority="1884" dxfId="0">
      <formula>AND(IF($Q348=3,1,IF($Q348=4,1,0)),IF($F348&lt;=85,1,0))</formula>
    </cfRule>
  </conditionalFormatting>
  <conditionalFormatting sqref="X348">
    <cfRule type="expression" priority="1877" dxfId="3">
      <formula>AND(IF(OR($Q348=1,$Q348=2),1,0),IF($X348&lt;=20,1,0))</formula>
    </cfRule>
    <cfRule type="expression" priority="1878" dxfId="2">
      <formula>AND(IF($Q348=2,1,0),IF($X348&lt;30,1,0))</formula>
    </cfRule>
    <cfRule type="expression" priority="1879" dxfId="1">
      <formula>AND(IF($Q348=3,1,0),IF($X348&lt;30,1,0))</formula>
    </cfRule>
    <cfRule type="expression" priority="1880" dxfId="0">
      <formula>AND(IF($Q348=3,1,IF($Q348=4,1,0)),IF($F348&lt;=85,1,0))</formula>
    </cfRule>
  </conditionalFormatting>
  <conditionalFormatting sqref="AI348">
    <cfRule type="expression" priority="1873" dxfId="3">
      <formula>AND(IF(OR($Q348=1,$Q348=2),1,0),IF($X348&lt;=20,1,0))</formula>
    </cfRule>
    <cfRule type="expression" priority="1874" dxfId="2">
      <formula>AND(IF($Q348=2,1,0),IF($X348&lt;30,1,0))</formula>
    </cfRule>
    <cfRule type="expression" priority="1875" dxfId="1">
      <formula>AND(IF($Q348=3,1,0),IF($X348&lt;30,1,0))</formula>
    </cfRule>
    <cfRule type="expression" priority="1876" dxfId="0">
      <formula>AND(IF($Q348=3,1,IF($Q348=4,1,0)),IF($F348&lt;=85,1,0))</formula>
    </cfRule>
  </conditionalFormatting>
  <conditionalFormatting sqref="AV349">
    <cfRule type="expression" priority="1871" dxfId="23">
      <formula>AV349="X"</formula>
    </cfRule>
    <cfRule type="expression" priority="1872" dxfId="22">
      <formula>AV349="후보"</formula>
    </cfRule>
  </conditionalFormatting>
  <conditionalFormatting sqref="AC3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49">
    <cfRule type="expression" priority="1863" dxfId="3">
      <formula>AND(IF(OR($Q349=1,$Q349=2),1,0),IF($X349&lt;=20,1,0))</formula>
    </cfRule>
    <cfRule type="expression" priority="1864" dxfId="2">
      <formula>AND(IF($Q349=2,1,0),IF($X349&lt;30,1,0))</formula>
    </cfRule>
    <cfRule type="expression" priority="1865" dxfId="1">
      <formula>AND(IF($Q349=3,1,0),IF($X349&lt;30,1,0))</formula>
    </cfRule>
    <cfRule type="expression" priority="1866" dxfId="0">
      <formula>AND(IF($Q349=3,1,IF($Q349=4,1,0)),IF($F349&lt;=85,1,0))</formula>
    </cfRule>
  </conditionalFormatting>
  <conditionalFormatting sqref="X349">
    <cfRule type="expression" priority="1859" dxfId="3">
      <formula>AND(IF(OR($Q349=1,$Q349=2),1,0),IF($X349&lt;=20,1,0))</formula>
    </cfRule>
    <cfRule type="expression" priority="1860" dxfId="2">
      <formula>AND(IF($Q349=2,1,0),IF($X349&lt;30,1,0))</formula>
    </cfRule>
    <cfRule type="expression" priority="1861" dxfId="1">
      <formula>AND(IF($Q349=3,1,0),IF($X349&lt;30,1,0))</formula>
    </cfRule>
    <cfRule type="expression" priority="1862" dxfId="0">
      <formula>AND(IF($Q349=3,1,IF($Q349=4,1,0)),IF($F349&lt;=85,1,0))</formula>
    </cfRule>
  </conditionalFormatting>
  <conditionalFormatting sqref="AI349">
    <cfRule type="expression" priority="1855" dxfId="3">
      <formula>AND(IF(OR($Q349=1,$Q349=2),1,0),IF($X349&lt;=20,1,0))</formula>
    </cfRule>
    <cfRule type="expression" priority="1856" dxfId="2">
      <formula>AND(IF($Q349=2,1,0),IF($X349&lt;30,1,0))</formula>
    </cfRule>
    <cfRule type="expression" priority="1857" dxfId="1">
      <formula>AND(IF($Q349=3,1,0),IF($X349&lt;30,1,0))</formula>
    </cfRule>
    <cfRule type="expression" priority="1858" dxfId="0">
      <formula>AND(IF($Q349=3,1,IF($Q349=4,1,0)),IF($F349&lt;=85,1,0))</formula>
    </cfRule>
  </conditionalFormatting>
  <conditionalFormatting sqref="AV350">
    <cfRule type="expression" priority="1853" dxfId="23">
      <formula>AV350="X"</formula>
    </cfRule>
    <cfRule type="expression" priority="1854" dxfId="22">
      <formula>AV350="후보"</formula>
    </cfRule>
  </conditionalFormatting>
  <conditionalFormatting sqref="AC3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50">
    <cfRule type="expression" priority="1845" dxfId="3">
      <formula>AND(IF(OR($Q350=1,$Q350=2),1,0),IF($X350&lt;=20,1,0))</formula>
    </cfRule>
    <cfRule type="expression" priority="1846" dxfId="2">
      <formula>AND(IF($Q350=2,1,0),IF($X350&lt;30,1,0))</formula>
    </cfRule>
    <cfRule type="expression" priority="1847" dxfId="1">
      <formula>AND(IF($Q350=3,1,0),IF($X350&lt;30,1,0))</formula>
    </cfRule>
    <cfRule type="expression" priority="1848" dxfId="0">
      <formula>AND(IF($Q350=3,1,IF($Q350=4,1,0)),IF($F350&lt;=85,1,0))</formula>
    </cfRule>
  </conditionalFormatting>
  <conditionalFormatting sqref="X350">
    <cfRule type="expression" priority="1841" dxfId="3">
      <formula>AND(IF(OR($Q350=1,$Q350=2),1,0),IF($X350&lt;=20,1,0))</formula>
    </cfRule>
    <cfRule type="expression" priority="1842" dxfId="2">
      <formula>AND(IF($Q350=2,1,0),IF($X350&lt;30,1,0))</formula>
    </cfRule>
    <cfRule type="expression" priority="1843" dxfId="1">
      <formula>AND(IF($Q350=3,1,0),IF($X350&lt;30,1,0))</formula>
    </cfRule>
    <cfRule type="expression" priority="1844" dxfId="0">
      <formula>AND(IF($Q350=3,1,IF($Q350=4,1,0)),IF($F350&lt;=85,1,0))</formula>
    </cfRule>
  </conditionalFormatting>
  <conditionalFormatting sqref="AI350">
    <cfRule type="expression" priority="1837" dxfId="3">
      <formula>AND(IF(OR($Q350=1,$Q350=2),1,0),IF($X350&lt;=20,1,0))</formula>
    </cfRule>
    <cfRule type="expression" priority="1838" dxfId="2">
      <formula>AND(IF($Q350=2,1,0),IF($X350&lt;30,1,0))</formula>
    </cfRule>
    <cfRule type="expression" priority="1839" dxfId="1">
      <formula>AND(IF($Q350=3,1,0),IF($X350&lt;30,1,0))</formula>
    </cfRule>
    <cfRule type="expression" priority="1840" dxfId="0">
      <formula>AND(IF($Q350=3,1,IF($Q350=4,1,0)),IF($F350&lt;=85,1,0))</formula>
    </cfRule>
  </conditionalFormatting>
  <conditionalFormatting sqref="AV351">
    <cfRule type="expression" priority="1835" dxfId="23">
      <formula>AV351="X"</formula>
    </cfRule>
    <cfRule type="expression" priority="1836" dxfId="22">
      <formula>AV351="후보"</formula>
    </cfRule>
  </conditionalFormatting>
  <conditionalFormatting sqref="AC3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51">
    <cfRule type="expression" priority="1827" dxfId="3">
      <formula>AND(IF(OR($Q351=1,$Q351=2),1,0),IF($X351&lt;=20,1,0))</formula>
    </cfRule>
    <cfRule type="expression" priority="1828" dxfId="2">
      <formula>AND(IF($Q351=2,1,0),IF($X351&lt;30,1,0))</formula>
    </cfRule>
    <cfRule type="expression" priority="1829" dxfId="1">
      <formula>AND(IF($Q351=3,1,0),IF($X351&lt;30,1,0))</formula>
    </cfRule>
    <cfRule type="expression" priority="1830" dxfId="0">
      <formula>AND(IF($Q351=3,1,IF($Q351=4,1,0)),IF($F351&lt;=85,1,0))</formula>
    </cfRule>
  </conditionalFormatting>
  <conditionalFormatting sqref="X351">
    <cfRule type="expression" priority="1823" dxfId="3">
      <formula>AND(IF(OR($Q351=1,$Q351=2),1,0),IF($X351&lt;=20,1,0))</formula>
    </cfRule>
    <cfRule type="expression" priority="1824" dxfId="2">
      <formula>AND(IF($Q351=2,1,0),IF($X351&lt;30,1,0))</formula>
    </cfRule>
    <cfRule type="expression" priority="1825" dxfId="1">
      <formula>AND(IF($Q351=3,1,0),IF($X351&lt;30,1,0))</formula>
    </cfRule>
    <cfRule type="expression" priority="1826" dxfId="0">
      <formula>AND(IF($Q351=3,1,IF($Q351=4,1,0)),IF($F351&lt;=85,1,0))</formula>
    </cfRule>
  </conditionalFormatting>
  <conditionalFormatting sqref="AI351">
    <cfRule type="expression" priority="1819" dxfId="3">
      <formula>AND(IF(OR($Q351=1,$Q351=2),1,0),IF($X351&lt;=20,1,0))</formula>
    </cfRule>
    <cfRule type="expression" priority="1820" dxfId="2">
      <formula>AND(IF($Q351=2,1,0),IF($X351&lt;30,1,0))</formula>
    </cfRule>
    <cfRule type="expression" priority="1821" dxfId="1">
      <formula>AND(IF($Q351=3,1,0),IF($X351&lt;30,1,0))</formula>
    </cfRule>
    <cfRule type="expression" priority="1822" dxfId="0">
      <formula>AND(IF($Q351=3,1,IF($Q351=4,1,0)),IF($F351&lt;=85,1,0))</formula>
    </cfRule>
  </conditionalFormatting>
  <conditionalFormatting sqref="AV352">
    <cfRule type="expression" priority="1817" dxfId="23">
      <formula>AV352="X"</formula>
    </cfRule>
    <cfRule type="expression" priority="1818" dxfId="22">
      <formula>AV352="후보"</formula>
    </cfRule>
  </conditionalFormatting>
  <conditionalFormatting sqref="AC3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52">
    <cfRule type="expression" priority="1809" dxfId="3">
      <formula>AND(IF(OR($Q352=1,$Q352=2),1,0),IF($X352&lt;=20,1,0))</formula>
    </cfRule>
    <cfRule type="expression" priority="1810" dxfId="2">
      <formula>AND(IF($Q352=2,1,0),IF($X352&lt;30,1,0))</formula>
    </cfRule>
    <cfRule type="expression" priority="1811" dxfId="1">
      <formula>AND(IF($Q352=3,1,0),IF($X352&lt;30,1,0))</formula>
    </cfRule>
    <cfRule type="expression" priority="1812" dxfId="0">
      <formula>AND(IF($Q352=3,1,IF($Q352=4,1,0)),IF($F352&lt;=85,1,0))</formula>
    </cfRule>
  </conditionalFormatting>
  <conditionalFormatting sqref="X352">
    <cfRule type="expression" priority="1805" dxfId="3">
      <formula>AND(IF(OR($Q352=1,$Q352=2),1,0),IF($X352&lt;=20,1,0))</formula>
    </cfRule>
    <cfRule type="expression" priority="1806" dxfId="2">
      <formula>AND(IF($Q352=2,1,0),IF($X352&lt;30,1,0))</formula>
    </cfRule>
    <cfRule type="expression" priority="1807" dxfId="1">
      <formula>AND(IF($Q352=3,1,0),IF($X352&lt;30,1,0))</formula>
    </cfRule>
    <cfRule type="expression" priority="1808" dxfId="0">
      <formula>AND(IF($Q352=3,1,IF($Q352=4,1,0)),IF($F352&lt;=85,1,0))</formula>
    </cfRule>
  </conditionalFormatting>
  <conditionalFormatting sqref="AI352">
    <cfRule type="expression" priority="1801" dxfId="3">
      <formula>AND(IF(OR($Q352=1,$Q352=2),1,0),IF($X352&lt;=20,1,0))</formula>
    </cfRule>
    <cfRule type="expression" priority="1802" dxfId="2">
      <formula>AND(IF($Q352=2,1,0),IF($X352&lt;30,1,0))</formula>
    </cfRule>
    <cfRule type="expression" priority="1803" dxfId="1">
      <formula>AND(IF($Q352=3,1,0),IF($X352&lt;30,1,0))</formula>
    </cfRule>
    <cfRule type="expression" priority="1804" dxfId="0">
      <formula>AND(IF($Q352=3,1,IF($Q352=4,1,0)),IF($F352&lt;=85,1,0))</formula>
    </cfRule>
  </conditionalFormatting>
  <conditionalFormatting sqref="AV353">
    <cfRule type="expression" priority="1799" dxfId="23">
      <formula>AV353="X"</formula>
    </cfRule>
    <cfRule type="expression" priority="1800" dxfId="22">
      <formula>AV353="후보"</formula>
    </cfRule>
  </conditionalFormatting>
  <conditionalFormatting sqref="AC3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53">
    <cfRule type="expression" priority="1791" dxfId="3">
      <formula>AND(IF(OR($Q353=1,$Q353=2),1,0),IF($X353&lt;=20,1,0))</formula>
    </cfRule>
    <cfRule type="expression" priority="1792" dxfId="2">
      <formula>AND(IF($Q353=2,1,0),IF($X353&lt;30,1,0))</formula>
    </cfRule>
    <cfRule type="expression" priority="1793" dxfId="1">
      <formula>AND(IF($Q353=3,1,0),IF($X353&lt;30,1,0))</formula>
    </cfRule>
    <cfRule type="expression" priority="1794" dxfId="0">
      <formula>AND(IF($Q353=3,1,IF($Q353=4,1,0)),IF($F353&lt;=85,1,0))</formula>
    </cfRule>
  </conditionalFormatting>
  <conditionalFormatting sqref="X353">
    <cfRule type="expression" priority="1787" dxfId="3">
      <formula>AND(IF(OR($Q353=1,$Q353=2),1,0),IF($X353&lt;=20,1,0))</formula>
    </cfRule>
    <cfRule type="expression" priority="1788" dxfId="2">
      <formula>AND(IF($Q353=2,1,0),IF($X353&lt;30,1,0))</formula>
    </cfRule>
    <cfRule type="expression" priority="1789" dxfId="1">
      <formula>AND(IF($Q353=3,1,0),IF($X353&lt;30,1,0))</formula>
    </cfRule>
    <cfRule type="expression" priority="1790" dxfId="0">
      <formula>AND(IF($Q353=3,1,IF($Q353=4,1,0)),IF($F353&lt;=85,1,0))</formula>
    </cfRule>
  </conditionalFormatting>
  <conditionalFormatting sqref="AI353">
    <cfRule type="expression" priority="1783" dxfId="3">
      <formula>AND(IF(OR($Q353=1,$Q353=2),1,0),IF($X353&lt;=20,1,0))</formula>
    </cfRule>
    <cfRule type="expression" priority="1784" dxfId="2">
      <formula>AND(IF($Q353=2,1,0),IF($X353&lt;30,1,0))</formula>
    </cfRule>
    <cfRule type="expression" priority="1785" dxfId="1">
      <formula>AND(IF($Q353=3,1,0),IF($X353&lt;30,1,0))</formula>
    </cfRule>
    <cfRule type="expression" priority="1786" dxfId="0">
      <formula>AND(IF($Q353=3,1,IF($Q353=4,1,0)),IF($F353&lt;=85,1,0))</formula>
    </cfRule>
  </conditionalFormatting>
  <conditionalFormatting sqref="AV354">
    <cfRule type="expression" priority="1781" dxfId="23">
      <formula>AV354="X"</formula>
    </cfRule>
    <cfRule type="expression" priority="1782" dxfId="22">
      <formula>AV354="후보"</formula>
    </cfRule>
  </conditionalFormatting>
  <conditionalFormatting sqref="AC3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54">
    <cfRule type="expression" priority="1773" dxfId="3">
      <formula>AND(IF(OR($Q354=1,$Q354=2),1,0),IF($X354&lt;=20,1,0))</formula>
    </cfRule>
    <cfRule type="expression" priority="1774" dxfId="2">
      <formula>AND(IF($Q354=2,1,0),IF($X354&lt;30,1,0))</formula>
    </cfRule>
    <cfRule type="expression" priority="1775" dxfId="1">
      <formula>AND(IF($Q354=3,1,0),IF($X354&lt;30,1,0))</formula>
    </cfRule>
    <cfRule type="expression" priority="1776" dxfId="0">
      <formula>AND(IF($Q354=3,1,IF($Q354=4,1,0)),IF($F354&lt;=85,1,0))</formula>
    </cfRule>
  </conditionalFormatting>
  <conditionalFormatting sqref="X354">
    <cfRule type="expression" priority="1769" dxfId="3">
      <formula>AND(IF(OR($Q354=1,$Q354=2),1,0),IF($X354&lt;=20,1,0))</formula>
    </cfRule>
    <cfRule type="expression" priority="1770" dxfId="2">
      <formula>AND(IF($Q354=2,1,0),IF($X354&lt;30,1,0))</formula>
    </cfRule>
    <cfRule type="expression" priority="1771" dxfId="1">
      <formula>AND(IF($Q354=3,1,0),IF($X354&lt;30,1,0))</formula>
    </cfRule>
    <cfRule type="expression" priority="1772" dxfId="0">
      <formula>AND(IF($Q354=3,1,IF($Q354=4,1,0)),IF($F354&lt;=85,1,0))</formula>
    </cfRule>
  </conditionalFormatting>
  <conditionalFormatting sqref="AI354">
    <cfRule type="expression" priority="1765" dxfId="3">
      <formula>AND(IF(OR($Q354=1,$Q354=2),1,0),IF($X354&lt;=20,1,0))</formula>
    </cfRule>
    <cfRule type="expression" priority="1766" dxfId="2">
      <formula>AND(IF($Q354=2,1,0),IF($X354&lt;30,1,0))</formula>
    </cfRule>
    <cfRule type="expression" priority="1767" dxfId="1">
      <formula>AND(IF($Q354=3,1,0),IF($X354&lt;30,1,0))</formula>
    </cfRule>
    <cfRule type="expression" priority="1768" dxfId="0">
      <formula>AND(IF($Q354=3,1,IF($Q354=4,1,0)),IF($F354&lt;=85,1,0))</formula>
    </cfRule>
  </conditionalFormatting>
  <conditionalFormatting sqref="AV355">
    <cfRule type="expression" priority="1763" dxfId="23">
      <formula>AV355="X"</formula>
    </cfRule>
    <cfRule type="expression" priority="1764" dxfId="22">
      <formula>AV355="후보"</formula>
    </cfRule>
  </conditionalFormatting>
  <conditionalFormatting sqref="AC3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55">
    <cfRule type="expression" priority="1755" dxfId="3">
      <formula>AND(IF(OR($Q355=1,$Q355=2),1,0),IF($X355&lt;=20,1,0))</formula>
    </cfRule>
    <cfRule type="expression" priority="1756" dxfId="2">
      <formula>AND(IF($Q355=2,1,0),IF($X355&lt;30,1,0))</formula>
    </cfRule>
    <cfRule type="expression" priority="1757" dxfId="1">
      <formula>AND(IF($Q355=3,1,0),IF($X355&lt;30,1,0))</formula>
    </cfRule>
    <cfRule type="expression" priority="1758" dxfId="0">
      <formula>AND(IF($Q355=3,1,IF($Q355=4,1,0)),IF($F355&lt;=85,1,0))</formula>
    </cfRule>
  </conditionalFormatting>
  <conditionalFormatting sqref="X355">
    <cfRule type="expression" priority="1751" dxfId="3">
      <formula>AND(IF(OR($Q355=1,$Q355=2),1,0),IF($X355&lt;=20,1,0))</formula>
    </cfRule>
    <cfRule type="expression" priority="1752" dxfId="2">
      <formula>AND(IF($Q355=2,1,0),IF($X355&lt;30,1,0))</formula>
    </cfRule>
    <cfRule type="expression" priority="1753" dxfId="1">
      <formula>AND(IF($Q355=3,1,0),IF($X355&lt;30,1,0))</formula>
    </cfRule>
    <cfRule type="expression" priority="1754" dxfId="0">
      <formula>AND(IF($Q355=3,1,IF($Q355=4,1,0)),IF($F355&lt;=85,1,0))</formula>
    </cfRule>
  </conditionalFormatting>
  <conditionalFormatting sqref="AI355">
    <cfRule type="expression" priority="1747" dxfId="3">
      <formula>AND(IF(OR($Q355=1,$Q355=2),1,0),IF($X355&lt;=20,1,0))</formula>
    </cfRule>
    <cfRule type="expression" priority="1748" dxfId="2">
      <formula>AND(IF($Q355=2,1,0),IF($X355&lt;30,1,0))</formula>
    </cfRule>
    <cfRule type="expression" priority="1749" dxfId="1">
      <formula>AND(IF($Q355=3,1,0),IF($X355&lt;30,1,0))</formula>
    </cfRule>
    <cfRule type="expression" priority="1750" dxfId="0">
      <formula>AND(IF($Q355=3,1,IF($Q355=4,1,0)),IF($F355&lt;=85,1,0))</formula>
    </cfRule>
  </conditionalFormatting>
  <conditionalFormatting sqref="AV356">
    <cfRule type="expression" priority="1745" dxfId="23">
      <formula>AV356="X"</formula>
    </cfRule>
    <cfRule type="expression" priority="1746" dxfId="22">
      <formula>AV356="후보"</formula>
    </cfRule>
  </conditionalFormatting>
  <conditionalFormatting sqref="AC3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56">
    <cfRule type="expression" priority="1737" dxfId="3">
      <formula>AND(IF(OR($Q356=1,$Q356=2),1,0),IF($X356&lt;=20,1,0))</formula>
    </cfRule>
    <cfRule type="expression" priority="1738" dxfId="2">
      <formula>AND(IF($Q356=2,1,0),IF($X356&lt;30,1,0))</formula>
    </cfRule>
    <cfRule type="expression" priority="1739" dxfId="1">
      <formula>AND(IF($Q356=3,1,0),IF($X356&lt;30,1,0))</formula>
    </cfRule>
    <cfRule type="expression" priority="1740" dxfId="0">
      <formula>AND(IF($Q356=3,1,IF($Q356=4,1,0)),IF($F356&lt;=85,1,0))</formula>
    </cfRule>
  </conditionalFormatting>
  <conditionalFormatting sqref="X356">
    <cfRule type="expression" priority="1733" dxfId="3">
      <formula>AND(IF(OR($Q356=1,$Q356=2),1,0),IF($X356&lt;=20,1,0))</formula>
    </cfRule>
    <cfRule type="expression" priority="1734" dxfId="2">
      <formula>AND(IF($Q356=2,1,0),IF($X356&lt;30,1,0))</formula>
    </cfRule>
    <cfRule type="expression" priority="1735" dxfId="1">
      <formula>AND(IF($Q356=3,1,0),IF($X356&lt;30,1,0))</formula>
    </cfRule>
    <cfRule type="expression" priority="1736" dxfId="0">
      <formula>AND(IF($Q356=3,1,IF($Q356=4,1,0)),IF($F356&lt;=85,1,0))</formula>
    </cfRule>
  </conditionalFormatting>
  <conditionalFormatting sqref="AI356">
    <cfRule type="expression" priority="1729" dxfId="3">
      <formula>AND(IF(OR($Q356=1,$Q356=2),1,0),IF($X356&lt;=20,1,0))</formula>
    </cfRule>
    <cfRule type="expression" priority="1730" dxfId="2">
      <formula>AND(IF($Q356=2,1,0),IF($X356&lt;30,1,0))</formula>
    </cfRule>
    <cfRule type="expression" priority="1731" dxfId="1">
      <formula>AND(IF($Q356=3,1,0),IF($X356&lt;30,1,0))</formula>
    </cfRule>
    <cfRule type="expression" priority="1732" dxfId="0">
      <formula>AND(IF($Q356=3,1,IF($Q356=4,1,0)),IF($F356&lt;=85,1,0))</formula>
    </cfRule>
  </conditionalFormatting>
  <conditionalFormatting sqref="AV357">
    <cfRule type="expression" priority="1727" dxfId="23">
      <formula>AV357="X"</formula>
    </cfRule>
    <cfRule type="expression" priority="1728" dxfId="22">
      <formula>AV357="후보"</formula>
    </cfRule>
  </conditionalFormatting>
  <conditionalFormatting sqref="AC3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57">
    <cfRule type="expression" priority="1719" dxfId="3">
      <formula>AND(IF(OR($Q357=1,$Q357=2),1,0),IF($X357&lt;=20,1,0))</formula>
    </cfRule>
    <cfRule type="expression" priority="1720" dxfId="2">
      <formula>AND(IF($Q357=2,1,0),IF($X357&lt;30,1,0))</formula>
    </cfRule>
    <cfRule type="expression" priority="1721" dxfId="1">
      <formula>AND(IF($Q357=3,1,0),IF($X357&lt;30,1,0))</formula>
    </cfRule>
    <cfRule type="expression" priority="1722" dxfId="0">
      <formula>AND(IF($Q357=3,1,IF($Q357=4,1,0)),IF($F357&lt;=85,1,0))</formula>
    </cfRule>
  </conditionalFormatting>
  <conditionalFormatting sqref="X357">
    <cfRule type="expression" priority="1715" dxfId="3">
      <formula>AND(IF(OR($Q357=1,$Q357=2),1,0),IF($X357&lt;=20,1,0))</formula>
    </cfRule>
    <cfRule type="expression" priority="1716" dxfId="2">
      <formula>AND(IF($Q357=2,1,0),IF($X357&lt;30,1,0))</formula>
    </cfRule>
    <cfRule type="expression" priority="1717" dxfId="1">
      <formula>AND(IF($Q357=3,1,0),IF($X357&lt;30,1,0))</formula>
    </cfRule>
    <cfRule type="expression" priority="1718" dxfId="0">
      <formula>AND(IF($Q357=3,1,IF($Q357=4,1,0)),IF($F357&lt;=85,1,0))</formula>
    </cfRule>
  </conditionalFormatting>
  <conditionalFormatting sqref="AI357">
    <cfRule type="expression" priority="1711" dxfId="3">
      <formula>AND(IF(OR($Q357=1,$Q357=2),1,0),IF($X357&lt;=20,1,0))</formula>
    </cfRule>
    <cfRule type="expression" priority="1712" dxfId="2">
      <formula>AND(IF($Q357=2,1,0),IF($X357&lt;30,1,0))</formula>
    </cfRule>
    <cfRule type="expression" priority="1713" dxfId="1">
      <formula>AND(IF($Q357=3,1,0),IF($X357&lt;30,1,0))</formula>
    </cfRule>
    <cfRule type="expression" priority="1714" dxfId="0">
      <formula>AND(IF($Q357=3,1,IF($Q357=4,1,0)),IF($F357&lt;=85,1,0))</formula>
    </cfRule>
  </conditionalFormatting>
  <conditionalFormatting sqref="AV358">
    <cfRule type="expression" priority="1709" dxfId="23">
      <formula>AV358="X"</formula>
    </cfRule>
    <cfRule type="expression" priority="1710" dxfId="22">
      <formula>AV358="후보"</formula>
    </cfRule>
  </conditionalFormatting>
  <conditionalFormatting sqref="AC3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58">
    <cfRule type="expression" priority="1701" dxfId="3">
      <formula>AND(IF(OR($Q358=1,$Q358=2),1,0),IF($X358&lt;=20,1,0))</formula>
    </cfRule>
    <cfRule type="expression" priority="1702" dxfId="2">
      <formula>AND(IF($Q358=2,1,0),IF($X358&lt;30,1,0))</formula>
    </cfRule>
    <cfRule type="expression" priority="1703" dxfId="1">
      <formula>AND(IF($Q358=3,1,0),IF($X358&lt;30,1,0))</formula>
    </cfRule>
    <cfRule type="expression" priority="1704" dxfId="0">
      <formula>AND(IF($Q358=3,1,IF($Q358=4,1,0)),IF($F358&lt;=85,1,0))</formula>
    </cfRule>
  </conditionalFormatting>
  <conditionalFormatting sqref="X358">
    <cfRule type="expression" priority="1697" dxfId="3">
      <formula>AND(IF(OR($Q358=1,$Q358=2),1,0),IF($X358&lt;=20,1,0))</formula>
    </cfRule>
    <cfRule type="expression" priority="1698" dxfId="2">
      <formula>AND(IF($Q358=2,1,0),IF($X358&lt;30,1,0))</formula>
    </cfRule>
    <cfRule type="expression" priority="1699" dxfId="1">
      <formula>AND(IF($Q358=3,1,0),IF($X358&lt;30,1,0))</formula>
    </cfRule>
    <cfRule type="expression" priority="1700" dxfId="0">
      <formula>AND(IF($Q358=3,1,IF($Q358=4,1,0)),IF($F358&lt;=85,1,0))</formula>
    </cfRule>
  </conditionalFormatting>
  <conditionalFormatting sqref="AI358">
    <cfRule type="expression" priority="1693" dxfId="3">
      <formula>AND(IF(OR($Q358=1,$Q358=2),1,0),IF($X358&lt;=20,1,0))</formula>
    </cfRule>
    <cfRule type="expression" priority="1694" dxfId="2">
      <formula>AND(IF($Q358=2,1,0),IF($X358&lt;30,1,0))</formula>
    </cfRule>
    <cfRule type="expression" priority="1695" dxfId="1">
      <formula>AND(IF($Q358=3,1,0),IF($X358&lt;30,1,0))</formula>
    </cfRule>
    <cfRule type="expression" priority="1696" dxfId="0">
      <formula>AND(IF($Q358=3,1,IF($Q358=4,1,0)),IF($F358&lt;=85,1,0))</formula>
    </cfRule>
  </conditionalFormatting>
  <conditionalFormatting sqref="AV359">
    <cfRule type="expression" priority="1691" dxfId="23">
      <formula>AV359="X"</formula>
    </cfRule>
    <cfRule type="expression" priority="1692" dxfId="22">
      <formula>AV359="후보"</formula>
    </cfRule>
  </conditionalFormatting>
  <conditionalFormatting sqref="AC3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59">
    <cfRule type="expression" priority="1683" dxfId="3">
      <formula>AND(IF(OR($Q359=1,$Q359=2),1,0),IF($X359&lt;=20,1,0))</formula>
    </cfRule>
    <cfRule type="expression" priority="1684" dxfId="2">
      <formula>AND(IF($Q359=2,1,0),IF($X359&lt;30,1,0))</formula>
    </cfRule>
    <cfRule type="expression" priority="1685" dxfId="1">
      <formula>AND(IF($Q359=3,1,0),IF($X359&lt;30,1,0))</formula>
    </cfRule>
    <cfRule type="expression" priority="1686" dxfId="0">
      <formula>AND(IF($Q359=3,1,IF($Q359=4,1,0)),IF($F359&lt;=85,1,0))</formula>
    </cfRule>
  </conditionalFormatting>
  <conditionalFormatting sqref="X359">
    <cfRule type="expression" priority="1679" dxfId="3">
      <formula>AND(IF(OR($Q359=1,$Q359=2),1,0),IF($X359&lt;=20,1,0))</formula>
    </cfRule>
    <cfRule type="expression" priority="1680" dxfId="2">
      <formula>AND(IF($Q359=2,1,0),IF($X359&lt;30,1,0))</formula>
    </cfRule>
    <cfRule type="expression" priority="1681" dxfId="1">
      <formula>AND(IF($Q359=3,1,0),IF($X359&lt;30,1,0))</formula>
    </cfRule>
    <cfRule type="expression" priority="1682" dxfId="0">
      <formula>AND(IF($Q359=3,1,IF($Q359=4,1,0)),IF($F359&lt;=85,1,0))</formula>
    </cfRule>
  </conditionalFormatting>
  <conditionalFormatting sqref="AI359">
    <cfRule type="expression" priority="1675" dxfId="3">
      <formula>AND(IF(OR($Q359=1,$Q359=2),1,0),IF($X359&lt;=20,1,0))</formula>
    </cfRule>
    <cfRule type="expression" priority="1676" dxfId="2">
      <formula>AND(IF($Q359=2,1,0),IF($X359&lt;30,1,0))</formula>
    </cfRule>
    <cfRule type="expression" priority="1677" dxfId="1">
      <formula>AND(IF($Q359=3,1,0),IF($X359&lt;30,1,0))</formula>
    </cfRule>
    <cfRule type="expression" priority="1678" dxfId="0">
      <formula>AND(IF($Q359=3,1,IF($Q359=4,1,0)),IF($F359&lt;=85,1,0))</formula>
    </cfRule>
  </conditionalFormatting>
  <conditionalFormatting sqref="AV360">
    <cfRule type="expression" priority="1673" dxfId="23">
      <formula>AV360="X"</formula>
    </cfRule>
    <cfRule type="expression" priority="1674" dxfId="22">
      <formula>AV360="후보"</formula>
    </cfRule>
  </conditionalFormatting>
  <conditionalFormatting sqref="AC3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60">
    <cfRule type="expression" priority="1665" dxfId="3">
      <formula>AND(IF(OR($Q360=1,$Q360=2),1,0),IF($X360&lt;=20,1,0))</formula>
    </cfRule>
    <cfRule type="expression" priority="1666" dxfId="2">
      <formula>AND(IF($Q360=2,1,0),IF($X360&lt;30,1,0))</formula>
    </cfRule>
    <cfRule type="expression" priority="1667" dxfId="1">
      <formula>AND(IF($Q360=3,1,0),IF($X360&lt;30,1,0))</formula>
    </cfRule>
    <cfRule type="expression" priority="1668" dxfId="0">
      <formula>AND(IF($Q360=3,1,IF($Q360=4,1,0)),IF($F360&lt;=85,1,0))</formula>
    </cfRule>
  </conditionalFormatting>
  <conditionalFormatting sqref="X360">
    <cfRule type="expression" priority="1661" dxfId="3">
      <formula>AND(IF(OR($Q360=1,$Q360=2),1,0),IF($X360&lt;=20,1,0))</formula>
    </cfRule>
    <cfRule type="expression" priority="1662" dxfId="2">
      <formula>AND(IF($Q360=2,1,0),IF($X360&lt;30,1,0))</formula>
    </cfRule>
    <cfRule type="expression" priority="1663" dxfId="1">
      <formula>AND(IF($Q360=3,1,0),IF($X360&lt;30,1,0))</formula>
    </cfRule>
    <cfRule type="expression" priority="1664" dxfId="0">
      <formula>AND(IF($Q360=3,1,IF($Q360=4,1,0)),IF($F360&lt;=85,1,0))</formula>
    </cfRule>
  </conditionalFormatting>
  <conditionalFormatting sqref="AI360">
    <cfRule type="expression" priority="1657" dxfId="3">
      <formula>AND(IF(OR($Q360=1,$Q360=2),1,0),IF($X360&lt;=20,1,0))</formula>
    </cfRule>
    <cfRule type="expression" priority="1658" dxfId="2">
      <formula>AND(IF($Q360=2,1,0),IF($X360&lt;30,1,0))</formula>
    </cfRule>
    <cfRule type="expression" priority="1659" dxfId="1">
      <formula>AND(IF($Q360=3,1,0),IF($X360&lt;30,1,0))</formula>
    </cfRule>
    <cfRule type="expression" priority="1660" dxfId="0">
      <formula>AND(IF($Q360=3,1,IF($Q360=4,1,0)),IF($F360&lt;=85,1,0))</formula>
    </cfRule>
  </conditionalFormatting>
  <conditionalFormatting sqref="AV361">
    <cfRule type="expression" priority="1655" dxfId="23">
      <formula>AV361="X"</formula>
    </cfRule>
    <cfRule type="expression" priority="1656" dxfId="22">
      <formula>AV361="후보"</formula>
    </cfRule>
  </conditionalFormatting>
  <conditionalFormatting sqref="AC3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61">
    <cfRule type="expression" priority="1647" dxfId="3">
      <formula>AND(IF(OR($Q361=1,$Q361=2),1,0),IF($X361&lt;=20,1,0))</formula>
    </cfRule>
    <cfRule type="expression" priority="1648" dxfId="2">
      <formula>AND(IF($Q361=2,1,0),IF($X361&lt;30,1,0))</formula>
    </cfRule>
    <cfRule type="expression" priority="1649" dxfId="1">
      <formula>AND(IF($Q361=3,1,0),IF($X361&lt;30,1,0))</formula>
    </cfRule>
    <cfRule type="expression" priority="1650" dxfId="0">
      <formula>AND(IF($Q361=3,1,IF($Q361=4,1,0)),IF($F361&lt;=85,1,0))</formula>
    </cfRule>
  </conditionalFormatting>
  <conditionalFormatting sqref="X361">
    <cfRule type="expression" priority="1643" dxfId="3">
      <formula>AND(IF(OR($Q361=1,$Q361=2),1,0),IF($X361&lt;=20,1,0))</formula>
    </cfRule>
    <cfRule type="expression" priority="1644" dxfId="2">
      <formula>AND(IF($Q361=2,1,0),IF($X361&lt;30,1,0))</formula>
    </cfRule>
    <cfRule type="expression" priority="1645" dxfId="1">
      <formula>AND(IF($Q361=3,1,0),IF($X361&lt;30,1,0))</formula>
    </cfRule>
    <cfRule type="expression" priority="1646" dxfId="0">
      <formula>AND(IF($Q361=3,1,IF($Q361=4,1,0)),IF($F361&lt;=85,1,0))</formula>
    </cfRule>
  </conditionalFormatting>
  <conditionalFormatting sqref="AI361">
    <cfRule type="expression" priority="1639" dxfId="3">
      <formula>AND(IF(OR($Q361=1,$Q361=2),1,0),IF($X361&lt;=20,1,0))</formula>
    </cfRule>
    <cfRule type="expression" priority="1640" dxfId="2">
      <formula>AND(IF($Q361=2,1,0),IF($X361&lt;30,1,0))</formula>
    </cfRule>
    <cfRule type="expression" priority="1641" dxfId="1">
      <formula>AND(IF($Q361=3,1,0),IF($X361&lt;30,1,0))</formula>
    </cfRule>
    <cfRule type="expression" priority="1642" dxfId="0">
      <formula>AND(IF($Q361=3,1,IF($Q361=4,1,0)),IF($F361&lt;=85,1,0))</formula>
    </cfRule>
  </conditionalFormatting>
  <conditionalFormatting sqref="AV362">
    <cfRule type="expression" priority="1637" dxfId="23">
      <formula>AV362="X"</formula>
    </cfRule>
    <cfRule type="expression" priority="1638" dxfId="22">
      <formula>AV362="후보"</formula>
    </cfRule>
  </conditionalFormatting>
  <conditionalFormatting sqref="AC3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62">
    <cfRule type="expression" priority="1629" dxfId="3">
      <formula>AND(IF(OR($Q362=1,$Q362=2),1,0),IF($X362&lt;=20,1,0))</formula>
    </cfRule>
    <cfRule type="expression" priority="1630" dxfId="2">
      <formula>AND(IF($Q362=2,1,0),IF($X362&lt;30,1,0))</formula>
    </cfRule>
    <cfRule type="expression" priority="1631" dxfId="1">
      <formula>AND(IF($Q362=3,1,0),IF($X362&lt;30,1,0))</formula>
    </cfRule>
    <cfRule type="expression" priority="1632" dxfId="0">
      <formula>AND(IF($Q362=3,1,IF($Q362=4,1,0)),IF($F362&lt;=85,1,0))</formula>
    </cfRule>
  </conditionalFormatting>
  <conditionalFormatting sqref="X362">
    <cfRule type="expression" priority="1625" dxfId="3">
      <formula>AND(IF(OR($Q362=1,$Q362=2),1,0),IF($X362&lt;=20,1,0))</formula>
    </cfRule>
    <cfRule type="expression" priority="1626" dxfId="2">
      <formula>AND(IF($Q362=2,1,0),IF($X362&lt;30,1,0))</formula>
    </cfRule>
    <cfRule type="expression" priority="1627" dxfId="1">
      <formula>AND(IF($Q362=3,1,0),IF($X362&lt;30,1,0))</formula>
    </cfRule>
    <cfRule type="expression" priority="1628" dxfId="0">
      <formula>AND(IF($Q362=3,1,IF($Q362=4,1,0)),IF($F362&lt;=85,1,0))</formula>
    </cfRule>
  </conditionalFormatting>
  <conditionalFormatting sqref="AI362">
    <cfRule type="expression" priority="1621" dxfId="3">
      <formula>AND(IF(OR($Q362=1,$Q362=2),1,0),IF($X362&lt;=20,1,0))</formula>
    </cfRule>
    <cfRule type="expression" priority="1622" dxfId="2">
      <formula>AND(IF($Q362=2,1,0),IF($X362&lt;30,1,0))</formula>
    </cfRule>
    <cfRule type="expression" priority="1623" dxfId="1">
      <formula>AND(IF($Q362=3,1,0),IF($X362&lt;30,1,0))</formula>
    </cfRule>
    <cfRule type="expression" priority="1624" dxfId="0">
      <formula>AND(IF($Q362=3,1,IF($Q362=4,1,0)),IF($F362&lt;=85,1,0))</formula>
    </cfRule>
  </conditionalFormatting>
  <conditionalFormatting sqref="AV363">
    <cfRule type="expression" priority="1619" dxfId="23">
      <formula>AV363="X"</formula>
    </cfRule>
    <cfRule type="expression" priority="1620" dxfId="22">
      <formula>AV363="후보"</formula>
    </cfRule>
  </conditionalFormatting>
  <conditionalFormatting sqref="AC3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63">
    <cfRule type="expression" priority="1611" dxfId="3">
      <formula>AND(IF(OR($Q363=1,$Q363=2),1,0),IF($X363&lt;=20,1,0))</formula>
    </cfRule>
    <cfRule type="expression" priority="1612" dxfId="2">
      <formula>AND(IF($Q363=2,1,0),IF($X363&lt;30,1,0))</formula>
    </cfRule>
    <cfRule type="expression" priority="1613" dxfId="1">
      <formula>AND(IF($Q363=3,1,0),IF($X363&lt;30,1,0))</formula>
    </cfRule>
    <cfRule type="expression" priority="1614" dxfId="0">
      <formula>AND(IF($Q363=3,1,IF($Q363=4,1,0)),IF($F363&lt;=85,1,0))</formula>
    </cfRule>
  </conditionalFormatting>
  <conditionalFormatting sqref="X363">
    <cfRule type="expression" priority="1607" dxfId="3">
      <formula>AND(IF(OR($Q363=1,$Q363=2),1,0),IF($X363&lt;=20,1,0))</formula>
    </cfRule>
    <cfRule type="expression" priority="1608" dxfId="2">
      <formula>AND(IF($Q363=2,1,0),IF($X363&lt;30,1,0))</formula>
    </cfRule>
    <cfRule type="expression" priority="1609" dxfId="1">
      <formula>AND(IF($Q363=3,1,0),IF($X363&lt;30,1,0))</formula>
    </cfRule>
    <cfRule type="expression" priority="1610" dxfId="0">
      <formula>AND(IF($Q363=3,1,IF($Q363=4,1,0)),IF($F363&lt;=85,1,0))</formula>
    </cfRule>
  </conditionalFormatting>
  <conditionalFormatting sqref="AI363">
    <cfRule type="expression" priority="1603" dxfId="3">
      <formula>AND(IF(OR($Q363=1,$Q363=2),1,0),IF($X363&lt;=20,1,0))</formula>
    </cfRule>
    <cfRule type="expression" priority="1604" dxfId="2">
      <formula>AND(IF($Q363=2,1,0),IF($X363&lt;30,1,0))</formula>
    </cfRule>
    <cfRule type="expression" priority="1605" dxfId="1">
      <formula>AND(IF($Q363=3,1,0),IF($X363&lt;30,1,0))</formula>
    </cfRule>
    <cfRule type="expression" priority="1606" dxfId="0">
      <formula>AND(IF($Q363=3,1,IF($Q363=4,1,0)),IF($F363&lt;=85,1,0))</formula>
    </cfRule>
  </conditionalFormatting>
  <conditionalFormatting sqref="AV364">
    <cfRule type="expression" priority="1601" dxfId="23">
      <formula>AV364="X"</formula>
    </cfRule>
    <cfRule type="expression" priority="1602" dxfId="22">
      <formula>AV364="후보"</formula>
    </cfRule>
  </conditionalFormatting>
  <conditionalFormatting sqref="AC3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64">
    <cfRule type="expression" priority="1593" dxfId="3">
      <formula>AND(IF(OR($Q364=1,$Q364=2),1,0),IF($X364&lt;=20,1,0))</formula>
    </cfRule>
    <cfRule type="expression" priority="1594" dxfId="2">
      <formula>AND(IF($Q364=2,1,0),IF($X364&lt;30,1,0))</formula>
    </cfRule>
    <cfRule type="expression" priority="1595" dxfId="1">
      <formula>AND(IF($Q364=3,1,0),IF($X364&lt;30,1,0))</formula>
    </cfRule>
    <cfRule type="expression" priority="1596" dxfId="0">
      <formula>AND(IF($Q364=3,1,IF($Q364=4,1,0)),IF($F364&lt;=85,1,0))</formula>
    </cfRule>
  </conditionalFormatting>
  <conditionalFormatting sqref="X364">
    <cfRule type="expression" priority="1589" dxfId="3">
      <formula>AND(IF(OR($Q364=1,$Q364=2),1,0),IF($X364&lt;=20,1,0))</formula>
    </cfRule>
    <cfRule type="expression" priority="1590" dxfId="2">
      <formula>AND(IF($Q364=2,1,0),IF($X364&lt;30,1,0))</formula>
    </cfRule>
    <cfRule type="expression" priority="1591" dxfId="1">
      <formula>AND(IF($Q364=3,1,0),IF($X364&lt;30,1,0))</formula>
    </cfRule>
    <cfRule type="expression" priority="1592" dxfId="0">
      <formula>AND(IF($Q364=3,1,IF($Q364=4,1,0)),IF($F364&lt;=85,1,0))</formula>
    </cfRule>
  </conditionalFormatting>
  <conditionalFormatting sqref="AI364">
    <cfRule type="expression" priority="1585" dxfId="3">
      <formula>AND(IF(OR($Q364=1,$Q364=2),1,0),IF($X364&lt;=20,1,0))</formula>
    </cfRule>
    <cfRule type="expression" priority="1586" dxfId="2">
      <formula>AND(IF($Q364=2,1,0),IF($X364&lt;30,1,0))</formula>
    </cfRule>
    <cfRule type="expression" priority="1587" dxfId="1">
      <formula>AND(IF($Q364=3,1,0),IF($X364&lt;30,1,0))</formula>
    </cfRule>
    <cfRule type="expression" priority="1588" dxfId="0">
      <formula>AND(IF($Q364=3,1,IF($Q364=4,1,0)),IF($F364&lt;=85,1,0))</formula>
    </cfRule>
  </conditionalFormatting>
  <conditionalFormatting sqref="AV365">
    <cfRule type="expression" priority="1583" dxfId="23">
      <formula>AV365="X"</formula>
    </cfRule>
    <cfRule type="expression" priority="1584" dxfId="22">
      <formula>AV365="후보"</formula>
    </cfRule>
  </conditionalFormatting>
  <conditionalFormatting sqref="AC3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65">
    <cfRule type="expression" priority="1575" dxfId="3">
      <formula>AND(IF(OR($Q365=1,$Q365=2),1,0),IF($X365&lt;=20,1,0))</formula>
    </cfRule>
    <cfRule type="expression" priority="1576" dxfId="2">
      <formula>AND(IF($Q365=2,1,0),IF($X365&lt;30,1,0))</formula>
    </cfRule>
    <cfRule type="expression" priority="1577" dxfId="1">
      <formula>AND(IF($Q365=3,1,0),IF($X365&lt;30,1,0))</formula>
    </cfRule>
    <cfRule type="expression" priority="1578" dxfId="0">
      <formula>AND(IF($Q365=3,1,IF($Q365=4,1,0)),IF($F365&lt;=85,1,0))</formula>
    </cfRule>
  </conditionalFormatting>
  <conditionalFormatting sqref="X365">
    <cfRule type="expression" priority="1571" dxfId="3">
      <formula>AND(IF(OR($Q365=1,$Q365=2),1,0),IF($X365&lt;=20,1,0))</formula>
    </cfRule>
    <cfRule type="expression" priority="1572" dxfId="2">
      <formula>AND(IF($Q365=2,1,0),IF($X365&lt;30,1,0))</formula>
    </cfRule>
    <cfRule type="expression" priority="1573" dxfId="1">
      <formula>AND(IF($Q365=3,1,0),IF($X365&lt;30,1,0))</formula>
    </cfRule>
    <cfRule type="expression" priority="1574" dxfId="0">
      <formula>AND(IF($Q365=3,1,IF($Q365=4,1,0)),IF($F365&lt;=85,1,0))</formula>
    </cfRule>
  </conditionalFormatting>
  <conditionalFormatting sqref="AI365">
    <cfRule type="expression" priority="1567" dxfId="3">
      <formula>AND(IF(OR($Q365=1,$Q365=2),1,0),IF($X365&lt;=20,1,0))</formula>
    </cfRule>
    <cfRule type="expression" priority="1568" dxfId="2">
      <formula>AND(IF($Q365=2,1,0),IF($X365&lt;30,1,0))</formula>
    </cfRule>
    <cfRule type="expression" priority="1569" dxfId="1">
      <formula>AND(IF($Q365=3,1,0),IF($X365&lt;30,1,0))</formula>
    </cfRule>
    <cfRule type="expression" priority="1570" dxfId="0">
      <formula>AND(IF($Q365=3,1,IF($Q365=4,1,0)),IF($F365&lt;=85,1,0))</formula>
    </cfRule>
  </conditionalFormatting>
  <conditionalFormatting sqref="AV366">
    <cfRule type="expression" priority="1565" dxfId="23">
      <formula>AV366="X"</formula>
    </cfRule>
    <cfRule type="expression" priority="1566" dxfId="22">
      <formula>AV366="후보"</formula>
    </cfRule>
  </conditionalFormatting>
  <conditionalFormatting sqref="AC3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66">
    <cfRule type="expression" priority="1557" dxfId="3">
      <formula>AND(IF(OR($Q366=1,$Q366=2),1,0),IF($X366&lt;=20,1,0))</formula>
    </cfRule>
    <cfRule type="expression" priority="1558" dxfId="2">
      <formula>AND(IF($Q366=2,1,0),IF($X366&lt;30,1,0))</formula>
    </cfRule>
    <cfRule type="expression" priority="1559" dxfId="1">
      <formula>AND(IF($Q366=3,1,0),IF($X366&lt;30,1,0))</formula>
    </cfRule>
    <cfRule type="expression" priority="1560" dxfId="0">
      <formula>AND(IF($Q366=3,1,IF($Q366=4,1,0)),IF($F366&lt;=85,1,0))</formula>
    </cfRule>
  </conditionalFormatting>
  <conditionalFormatting sqref="X366">
    <cfRule type="expression" priority="1553" dxfId="3">
      <formula>AND(IF(OR($Q366=1,$Q366=2),1,0),IF($X366&lt;=20,1,0))</formula>
    </cfRule>
    <cfRule type="expression" priority="1554" dxfId="2">
      <formula>AND(IF($Q366=2,1,0),IF($X366&lt;30,1,0))</formula>
    </cfRule>
    <cfRule type="expression" priority="1555" dxfId="1">
      <formula>AND(IF($Q366=3,1,0),IF($X366&lt;30,1,0))</formula>
    </cfRule>
    <cfRule type="expression" priority="1556" dxfId="0">
      <formula>AND(IF($Q366=3,1,IF($Q366=4,1,0)),IF($F366&lt;=85,1,0))</formula>
    </cfRule>
  </conditionalFormatting>
  <conditionalFormatting sqref="AI366">
    <cfRule type="expression" priority="1549" dxfId="3">
      <formula>AND(IF(OR($Q366=1,$Q366=2),1,0),IF($X366&lt;=20,1,0))</formula>
    </cfRule>
    <cfRule type="expression" priority="1550" dxfId="2">
      <formula>AND(IF($Q366=2,1,0),IF($X366&lt;30,1,0))</formula>
    </cfRule>
    <cfRule type="expression" priority="1551" dxfId="1">
      <formula>AND(IF($Q366=3,1,0),IF($X366&lt;30,1,0))</formula>
    </cfRule>
    <cfRule type="expression" priority="1552" dxfId="0">
      <formula>AND(IF($Q366=3,1,IF($Q366=4,1,0)),IF($F366&lt;=85,1,0))</formula>
    </cfRule>
  </conditionalFormatting>
  <conditionalFormatting sqref="AV367">
    <cfRule type="expression" priority="1547" dxfId="23">
      <formula>AV367="X"</formula>
    </cfRule>
    <cfRule type="expression" priority="1548" dxfId="22">
      <formula>AV367="후보"</formula>
    </cfRule>
  </conditionalFormatting>
  <conditionalFormatting sqref="AC3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67">
    <cfRule type="expression" priority="1539" dxfId="3">
      <formula>AND(IF(OR($Q367=1,$Q367=2),1,0),IF($X367&lt;=20,1,0))</formula>
    </cfRule>
    <cfRule type="expression" priority="1540" dxfId="2">
      <formula>AND(IF($Q367=2,1,0),IF($X367&lt;30,1,0))</formula>
    </cfRule>
    <cfRule type="expression" priority="1541" dxfId="1">
      <formula>AND(IF($Q367=3,1,0),IF($X367&lt;30,1,0))</formula>
    </cfRule>
    <cfRule type="expression" priority="1542" dxfId="0">
      <formula>AND(IF($Q367=3,1,IF($Q367=4,1,0)),IF($F367&lt;=85,1,0))</formula>
    </cfRule>
  </conditionalFormatting>
  <conditionalFormatting sqref="X367">
    <cfRule type="expression" priority="1535" dxfId="3">
      <formula>AND(IF(OR($Q367=1,$Q367=2),1,0),IF($X367&lt;=20,1,0))</formula>
    </cfRule>
    <cfRule type="expression" priority="1536" dxfId="2">
      <formula>AND(IF($Q367=2,1,0),IF($X367&lt;30,1,0))</formula>
    </cfRule>
    <cfRule type="expression" priority="1537" dxfId="1">
      <formula>AND(IF($Q367=3,1,0),IF($X367&lt;30,1,0))</formula>
    </cfRule>
    <cfRule type="expression" priority="1538" dxfId="0">
      <formula>AND(IF($Q367=3,1,IF($Q367=4,1,0)),IF($F367&lt;=85,1,0))</formula>
    </cfRule>
  </conditionalFormatting>
  <conditionalFormatting sqref="AI367">
    <cfRule type="expression" priority="1531" dxfId="3">
      <formula>AND(IF(OR($Q367=1,$Q367=2),1,0),IF($X367&lt;=20,1,0))</formula>
    </cfRule>
    <cfRule type="expression" priority="1532" dxfId="2">
      <formula>AND(IF($Q367=2,1,0),IF($X367&lt;30,1,0))</formula>
    </cfRule>
    <cfRule type="expression" priority="1533" dxfId="1">
      <formula>AND(IF($Q367=3,1,0),IF($X367&lt;30,1,0))</formula>
    </cfRule>
    <cfRule type="expression" priority="1534" dxfId="0">
      <formula>AND(IF($Q367=3,1,IF($Q367=4,1,0)),IF($F367&lt;=85,1,0))</formula>
    </cfRule>
  </conditionalFormatting>
  <conditionalFormatting sqref="AV368">
    <cfRule type="expression" priority="1529" dxfId="23">
      <formula>AV368="X"</formula>
    </cfRule>
    <cfRule type="expression" priority="1530" dxfId="22">
      <formula>AV368="후보"</formula>
    </cfRule>
  </conditionalFormatting>
  <conditionalFormatting sqref="AC3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68">
    <cfRule type="expression" priority="1521" dxfId="3">
      <formula>AND(IF(OR($Q368=1,$Q368=2),1,0),IF($X368&lt;=20,1,0))</formula>
    </cfRule>
    <cfRule type="expression" priority="1522" dxfId="2">
      <formula>AND(IF($Q368=2,1,0),IF($X368&lt;30,1,0))</formula>
    </cfRule>
    <cfRule type="expression" priority="1523" dxfId="1">
      <formula>AND(IF($Q368=3,1,0),IF($X368&lt;30,1,0))</formula>
    </cfRule>
    <cfRule type="expression" priority="1524" dxfId="0">
      <formula>AND(IF($Q368=3,1,IF($Q368=4,1,0)),IF($F368&lt;=85,1,0))</formula>
    </cfRule>
  </conditionalFormatting>
  <conditionalFormatting sqref="X368">
    <cfRule type="expression" priority="1517" dxfId="3">
      <formula>AND(IF(OR($Q368=1,$Q368=2),1,0),IF($X368&lt;=20,1,0))</formula>
    </cfRule>
    <cfRule type="expression" priority="1518" dxfId="2">
      <formula>AND(IF($Q368=2,1,0),IF($X368&lt;30,1,0))</formula>
    </cfRule>
    <cfRule type="expression" priority="1519" dxfId="1">
      <formula>AND(IF($Q368=3,1,0),IF($X368&lt;30,1,0))</formula>
    </cfRule>
    <cfRule type="expression" priority="1520" dxfId="0">
      <formula>AND(IF($Q368=3,1,IF($Q368=4,1,0)),IF($F368&lt;=85,1,0))</formula>
    </cfRule>
  </conditionalFormatting>
  <conditionalFormatting sqref="AI368">
    <cfRule type="expression" priority="1513" dxfId="3">
      <formula>AND(IF(OR($Q368=1,$Q368=2),1,0),IF($X368&lt;=20,1,0))</formula>
    </cfRule>
    <cfRule type="expression" priority="1514" dxfId="2">
      <formula>AND(IF($Q368=2,1,0),IF($X368&lt;30,1,0))</formula>
    </cfRule>
    <cfRule type="expression" priority="1515" dxfId="1">
      <formula>AND(IF($Q368=3,1,0),IF($X368&lt;30,1,0))</formula>
    </cfRule>
    <cfRule type="expression" priority="1516" dxfId="0">
      <formula>AND(IF($Q368=3,1,IF($Q368=4,1,0)),IF($F368&lt;=85,1,0))</formula>
    </cfRule>
  </conditionalFormatting>
  <conditionalFormatting sqref="AV369">
    <cfRule type="expression" priority="1511" dxfId="23">
      <formula>AV369="X"</formula>
    </cfRule>
    <cfRule type="expression" priority="1512" dxfId="22">
      <formula>AV369="후보"</formula>
    </cfRule>
  </conditionalFormatting>
  <conditionalFormatting sqref="AC3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69">
    <cfRule type="expression" priority="1503" dxfId="3">
      <formula>AND(IF(OR($Q369=1,$Q369=2),1,0),IF($X369&lt;=20,1,0))</formula>
    </cfRule>
    <cfRule type="expression" priority="1504" dxfId="2">
      <formula>AND(IF($Q369=2,1,0),IF($X369&lt;30,1,0))</formula>
    </cfRule>
    <cfRule type="expression" priority="1505" dxfId="1">
      <formula>AND(IF($Q369=3,1,0),IF($X369&lt;30,1,0))</formula>
    </cfRule>
    <cfRule type="expression" priority="1506" dxfId="0">
      <formula>AND(IF($Q369=3,1,IF($Q369=4,1,0)),IF($F369&lt;=85,1,0))</formula>
    </cfRule>
  </conditionalFormatting>
  <conditionalFormatting sqref="X369">
    <cfRule type="expression" priority="1499" dxfId="3">
      <formula>AND(IF(OR($Q369=1,$Q369=2),1,0),IF($X369&lt;=20,1,0))</formula>
    </cfRule>
    <cfRule type="expression" priority="1500" dxfId="2">
      <formula>AND(IF($Q369=2,1,0),IF($X369&lt;30,1,0))</formula>
    </cfRule>
    <cfRule type="expression" priority="1501" dxfId="1">
      <formula>AND(IF($Q369=3,1,0),IF($X369&lt;30,1,0))</formula>
    </cfRule>
    <cfRule type="expression" priority="1502" dxfId="0">
      <formula>AND(IF($Q369=3,1,IF($Q369=4,1,0)),IF($F369&lt;=85,1,0))</formula>
    </cfRule>
  </conditionalFormatting>
  <conditionalFormatting sqref="AI369">
    <cfRule type="expression" priority="1495" dxfId="3">
      <formula>AND(IF(OR($Q369=1,$Q369=2),1,0),IF($X369&lt;=20,1,0))</formula>
    </cfRule>
    <cfRule type="expression" priority="1496" dxfId="2">
      <formula>AND(IF($Q369=2,1,0),IF($X369&lt;30,1,0))</formula>
    </cfRule>
    <cfRule type="expression" priority="1497" dxfId="1">
      <formula>AND(IF($Q369=3,1,0),IF($X369&lt;30,1,0))</formula>
    </cfRule>
    <cfRule type="expression" priority="1498" dxfId="0">
      <formula>AND(IF($Q369=3,1,IF($Q369=4,1,0)),IF($F369&lt;=85,1,0))</formula>
    </cfRule>
  </conditionalFormatting>
  <conditionalFormatting sqref="AV370">
    <cfRule type="expression" priority="1493" dxfId="23">
      <formula>AV370="X"</formula>
    </cfRule>
    <cfRule type="expression" priority="1494" dxfId="22">
      <formula>AV370="후보"</formula>
    </cfRule>
  </conditionalFormatting>
  <conditionalFormatting sqref="AC3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70">
    <cfRule type="expression" priority="1485" dxfId="3">
      <formula>AND(IF(OR($Q370=1,$Q370=2),1,0),IF($X370&lt;=20,1,0))</formula>
    </cfRule>
    <cfRule type="expression" priority="1486" dxfId="2">
      <formula>AND(IF($Q370=2,1,0),IF($X370&lt;30,1,0))</formula>
    </cfRule>
    <cfRule type="expression" priority="1487" dxfId="1">
      <formula>AND(IF($Q370=3,1,0),IF($X370&lt;30,1,0))</formula>
    </cfRule>
    <cfRule type="expression" priority="1488" dxfId="0">
      <formula>AND(IF($Q370=3,1,IF($Q370=4,1,0)),IF($F370&lt;=85,1,0))</formula>
    </cfRule>
  </conditionalFormatting>
  <conditionalFormatting sqref="X370">
    <cfRule type="expression" priority="1481" dxfId="3">
      <formula>AND(IF(OR($Q370=1,$Q370=2),1,0),IF($X370&lt;=20,1,0))</formula>
    </cfRule>
    <cfRule type="expression" priority="1482" dxfId="2">
      <formula>AND(IF($Q370=2,1,0),IF($X370&lt;30,1,0))</formula>
    </cfRule>
    <cfRule type="expression" priority="1483" dxfId="1">
      <formula>AND(IF($Q370=3,1,0),IF($X370&lt;30,1,0))</formula>
    </cfRule>
    <cfRule type="expression" priority="1484" dxfId="0">
      <formula>AND(IF($Q370=3,1,IF($Q370=4,1,0)),IF($F370&lt;=85,1,0))</formula>
    </cfRule>
  </conditionalFormatting>
  <conditionalFormatting sqref="AI370">
    <cfRule type="expression" priority="1477" dxfId="3">
      <formula>AND(IF(OR($Q370=1,$Q370=2),1,0),IF($X370&lt;=20,1,0))</formula>
    </cfRule>
    <cfRule type="expression" priority="1478" dxfId="2">
      <formula>AND(IF($Q370=2,1,0),IF($X370&lt;30,1,0))</formula>
    </cfRule>
    <cfRule type="expression" priority="1479" dxfId="1">
      <formula>AND(IF($Q370=3,1,0),IF($X370&lt;30,1,0))</formula>
    </cfRule>
    <cfRule type="expression" priority="1480" dxfId="0">
      <formula>AND(IF($Q370=3,1,IF($Q370=4,1,0)),IF($F370&lt;=85,1,0))</formula>
    </cfRule>
  </conditionalFormatting>
  <conditionalFormatting sqref="AV371">
    <cfRule type="expression" priority="1475" dxfId="23">
      <formula>AV371="X"</formula>
    </cfRule>
    <cfRule type="expression" priority="1476" dxfId="22">
      <formula>AV371="후보"</formula>
    </cfRule>
  </conditionalFormatting>
  <conditionalFormatting sqref="AC3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71">
    <cfRule type="expression" priority="1467" dxfId="3">
      <formula>AND(IF(OR($Q371=1,$Q371=2),1,0),IF($X371&lt;=20,1,0))</formula>
    </cfRule>
    <cfRule type="expression" priority="1468" dxfId="2">
      <formula>AND(IF($Q371=2,1,0),IF($X371&lt;30,1,0))</formula>
    </cfRule>
    <cfRule type="expression" priority="1469" dxfId="1">
      <formula>AND(IF($Q371=3,1,0),IF($X371&lt;30,1,0))</formula>
    </cfRule>
    <cfRule type="expression" priority="1470" dxfId="0">
      <formula>AND(IF($Q371=3,1,IF($Q371=4,1,0)),IF($F371&lt;=85,1,0))</formula>
    </cfRule>
  </conditionalFormatting>
  <conditionalFormatting sqref="X371">
    <cfRule type="expression" priority="1463" dxfId="3">
      <formula>AND(IF(OR($Q371=1,$Q371=2),1,0),IF($X371&lt;=20,1,0))</formula>
    </cfRule>
    <cfRule type="expression" priority="1464" dxfId="2">
      <formula>AND(IF($Q371=2,1,0),IF($X371&lt;30,1,0))</formula>
    </cfRule>
    <cfRule type="expression" priority="1465" dxfId="1">
      <formula>AND(IF($Q371=3,1,0),IF($X371&lt;30,1,0))</formula>
    </cfRule>
    <cfRule type="expression" priority="1466" dxfId="0">
      <formula>AND(IF($Q371=3,1,IF($Q371=4,1,0)),IF($F371&lt;=85,1,0))</formula>
    </cfRule>
  </conditionalFormatting>
  <conditionalFormatting sqref="AI371">
    <cfRule type="expression" priority="1459" dxfId="3">
      <formula>AND(IF(OR($Q371=1,$Q371=2),1,0),IF($X371&lt;=20,1,0))</formula>
    </cfRule>
    <cfRule type="expression" priority="1460" dxfId="2">
      <formula>AND(IF($Q371=2,1,0),IF($X371&lt;30,1,0))</formula>
    </cfRule>
    <cfRule type="expression" priority="1461" dxfId="1">
      <formula>AND(IF($Q371=3,1,0),IF($X371&lt;30,1,0))</formula>
    </cfRule>
    <cfRule type="expression" priority="1462" dxfId="0">
      <formula>AND(IF($Q371=3,1,IF($Q371=4,1,0)),IF($F371&lt;=85,1,0))</formula>
    </cfRule>
  </conditionalFormatting>
  <conditionalFormatting sqref="AV372">
    <cfRule type="expression" priority="1457" dxfId="23">
      <formula>AV372="X"</formula>
    </cfRule>
    <cfRule type="expression" priority="1458" dxfId="22">
      <formula>AV372="후보"</formula>
    </cfRule>
  </conditionalFormatting>
  <conditionalFormatting sqref="AC3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72">
    <cfRule type="expression" priority="1449" dxfId="3">
      <formula>AND(IF(OR($Q372=1,$Q372=2),1,0),IF($X372&lt;=20,1,0))</formula>
    </cfRule>
    <cfRule type="expression" priority="1450" dxfId="2">
      <formula>AND(IF($Q372=2,1,0),IF($X372&lt;30,1,0))</formula>
    </cfRule>
    <cfRule type="expression" priority="1451" dxfId="1">
      <formula>AND(IF($Q372=3,1,0),IF($X372&lt;30,1,0))</formula>
    </cfRule>
    <cfRule type="expression" priority="1452" dxfId="0">
      <formula>AND(IF($Q372=3,1,IF($Q372=4,1,0)),IF($F372&lt;=85,1,0))</formula>
    </cfRule>
  </conditionalFormatting>
  <conditionalFormatting sqref="X372">
    <cfRule type="expression" priority="1445" dxfId="3">
      <formula>AND(IF(OR($Q372=1,$Q372=2),1,0),IF($X372&lt;=20,1,0))</formula>
    </cfRule>
    <cfRule type="expression" priority="1446" dxfId="2">
      <formula>AND(IF($Q372=2,1,0),IF($X372&lt;30,1,0))</formula>
    </cfRule>
    <cfRule type="expression" priority="1447" dxfId="1">
      <formula>AND(IF($Q372=3,1,0),IF($X372&lt;30,1,0))</formula>
    </cfRule>
    <cfRule type="expression" priority="1448" dxfId="0">
      <formula>AND(IF($Q372=3,1,IF($Q372=4,1,0)),IF($F372&lt;=85,1,0))</formula>
    </cfRule>
  </conditionalFormatting>
  <conditionalFormatting sqref="AI372">
    <cfRule type="expression" priority="1441" dxfId="3">
      <formula>AND(IF(OR($Q372=1,$Q372=2),1,0),IF($X372&lt;=20,1,0))</formula>
    </cfRule>
    <cfRule type="expression" priority="1442" dxfId="2">
      <formula>AND(IF($Q372=2,1,0),IF($X372&lt;30,1,0))</formula>
    </cfRule>
    <cfRule type="expression" priority="1443" dxfId="1">
      <formula>AND(IF($Q372=3,1,0),IF($X372&lt;30,1,0))</formula>
    </cfRule>
    <cfRule type="expression" priority="1444" dxfId="0">
      <formula>AND(IF($Q372=3,1,IF($Q372=4,1,0)),IF($F372&lt;=85,1,0))</formula>
    </cfRule>
  </conditionalFormatting>
  <conditionalFormatting sqref="AV373">
    <cfRule type="expression" priority="1439" dxfId="23">
      <formula>AV373="X"</formula>
    </cfRule>
    <cfRule type="expression" priority="1440" dxfId="22">
      <formula>AV373="후보"</formula>
    </cfRule>
  </conditionalFormatting>
  <conditionalFormatting sqref="AC3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73">
    <cfRule type="expression" priority="1431" dxfId="3">
      <formula>AND(IF(OR($Q373=1,$Q373=2),1,0),IF($X373&lt;=20,1,0))</formula>
    </cfRule>
    <cfRule type="expression" priority="1432" dxfId="2">
      <formula>AND(IF($Q373=2,1,0),IF($X373&lt;30,1,0))</formula>
    </cfRule>
    <cfRule type="expression" priority="1433" dxfId="1">
      <formula>AND(IF($Q373=3,1,0),IF($X373&lt;30,1,0))</formula>
    </cfRule>
    <cfRule type="expression" priority="1434" dxfId="0">
      <formula>AND(IF($Q373=3,1,IF($Q373=4,1,0)),IF($F373&lt;=85,1,0))</formula>
    </cfRule>
  </conditionalFormatting>
  <conditionalFormatting sqref="X373">
    <cfRule type="expression" priority="1427" dxfId="3">
      <formula>AND(IF(OR($Q373=1,$Q373=2),1,0),IF($X373&lt;=20,1,0))</formula>
    </cfRule>
    <cfRule type="expression" priority="1428" dxfId="2">
      <formula>AND(IF($Q373=2,1,0),IF($X373&lt;30,1,0))</formula>
    </cfRule>
    <cfRule type="expression" priority="1429" dxfId="1">
      <formula>AND(IF($Q373=3,1,0),IF($X373&lt;30,1,0))</formula>
    </cfRule>
    <cfRule type="expression" priority="1430" dxfId="0">
      <formula>AND(IF($Q373=3,1,IF($Q373=4,1,0)),IF($F373&lt;=85,1,0))</formula>
    </cfRule>
  </conditionalFormatting>
  <conditionalFormatting sqref="AI373">
    <cfRule type="expression" priority="1423" dxfId="3">
      <formula>AND(IF(OR($Q373=1,$Q373=2),1,0),IF($X373&lt;=20,1,0))</formula>
    </cfRule>
    <cfRule type="expression" priority="1424" dxfId="2">
      <formula>AND(IF($Q373=2,1,0),IF($X373&lt;30,1,0))</formula>
    </cfRule>
    <cfRule type="expression" priority="1425" dxfId="1">
      <formula>AND(IF($Q373=3,1,0),IF($X373&lt;30,1,0))</formula>
    </cfRule>
    <cfRule type="expression" priority="1426" dxfId="0">
      <formula>AND(IF($Q373=3,1,IF($Q373=4,1,0)),IF($F373&lt;=85,1,0))</formula>
    </cfRule>
  </conditionalFormatting>
  <conditionalFormatting sqref="AV374">
    <cfRule type="expression" priority="1421" dxfId="23">
      <formula>AV374="X"</formula>
    </cfRule>
    <cfRule type="expression" priority="1422" dxfId="22">
      <formula>AV374="후보"</formula>
    </cfRule>
  </conditionalFormatting>
  <conditionalFormatting sqref="AC3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74">
    <cfRule type="expression" priority="1413" dxfId="3">
      <formula>AND(IF(OR($Q374=1,$Q374=2),1,0),IF($X374&lt;=20,1,0))</formula>
    </cfRule>
    <cfRule type="expression" priority="1414" dxfId="2">
      <formula>AND(IF($Q374=2,1,0),IF($X374&lt;30,1,0))</formula>
    </cfRule>
    <cfRule type="expression" priority="1415" dxfId="1">
      <formula>AND(IF($Q374=3,1,0),IF($X374&lt;30,1,0))</formula>
    </cfRule>
    <cfRule type="expression" priority="1416" dxfId="0">
      <formula>AND(IF($Q374=3,1,IF($Q374=4,1,0)),IF($F374&lt;=85,1,0))</formula>
    </cfRule>
  </conditionalFormatting>
  <conditionalFormatting sqref="X374">
    <cfRule type="expression" priority="1409" dxfId="3">
      <formula>AND(IF(OR($Q374=1,$Q374=2),1,0),IF($X374&lt;=20,1,0))</formula>
    </cfRule>
    <cfRule type="expression" priority="1410" dxfId="2">
      <formula>AND(IF($Q374=2,1,0),IF($X374&lt;30,1,0))</formula>
    </cfRule>
    <cfRule type="expression" priority="1411" dxfId="1">
      <formula>AND(IF($Q374=3,1,0),IF($X374&lt;30,1,0))</formula>
    </cfRule>
    <cfRule type="expression" priority="1412" dxfId="0">
      <formula>AND(IF($Q374=3,1,IF($Q374=4,1,0)),IF($F374&lt;=85,1,0))</formula>
    </cfRule>
  </conditionalFormatting>
  <conditionalFormatting sqref="AI374">
    <cfRule type="expression" priority="1405" dxfId="3">
      <formula>AND(IF(OR($Q374=1,$Q374=2),1,0),IF($X374&lt;=20,1,0))</formula>
    </cfRule>
    <cfRule type="expression" priority="1406" dxfId="2">
      <formula>AND(IF($Q374=2,1,0),IF($X374&lt;30,1,0))</formula>
    </cfRule>
    <cfRule type="expression" priority="1407" dxfId="1">
      <formula>AND(IF($Q374=3,1,0),IF($X374&lt;30,1,0))</formula>
    </cfRule>
    <cfRule type="expression" priority="1408" dxfId="0">
      <formula>AND(IF($Q374=3,1,IF($Q374=4,1,0)),IF($F374&lt;=85,1,0))</formula>
    </cfRule>
  </conditionalFormatting>
  <conditionalFormatting sqref="AV375">
    <cfRule type="expression" priority="1403" dxfId="23">
      <formula>AV375="X"</formula>
    </cfRule>
    <cfRule type="expression" priority="1404" dxfId="22">
      <formula>AV375="후보"</formula>
    </cfRule>
  </conditionalFormatting>
  <conditionalFormatting sqref="AC3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75">
    <cfRule type="expression" priority="1395" dxfId="3">
      <formula>AND(IF(OR($Q375=1,$Q375=2),1,0),IF($X375&lt;=20,1,0))</formula>
    </cfRule>
    <cfRule type="expression" priority="1396" dxfId="2">
      <formula>AND(IF($Q375=2,1,0),IF($X375&lt;30,1,0))</formula>
    </cfRule>
    <cfRule type="expression" priority="1397" dxfId="1">
      <formula>AND(IF($Q375=3,1,0),IF($X375&lt;30,1,0))</formula>
    </cfRule>
    <cfRule type="expression" priority="1398" dxfId="0">
      <formula>AND(IF($Q375=3,1,IF($Q375=4,1,0)),IF($F375&lt;=85,1,0))</formula>
    </cfRule>
  </conditionalFormatting>
  <conditionalFormatting sqref="X375">
    <cfRule type="expression" priority="1391" dxfId="3">
      <formula>AND(IF(OR($Q375=1,$Q375=2),1,0),IF($X375&lt;=20,1,0))</formula>
    </cfRule>
    <cfRule type="expression" priority="1392" dxfId="2">
      <formula>AND(IF($Q375=2,1,0),IF($X375&lt;30,1,0))</formula>
    </cfRule>
    <cfRule type="expression" priority="1393" dxfId="1">
      <formula>AND(IF($Q375=3,1,0),IF($X375&lt;30,1,0))</formula>
    </cfRule>
    <cfRule type="expression" priority="1394" dxfId="0">
      <formula>AND(IF($Q375=3,1,IF($Q375=4,1,0)),IF($F375&lt;=85,1,0))</formula>
    </cfRule>
  </conditionalFormatting>
  <conditionalFormatting sqref="AI375">
    <cfRule type="expression" priority="1387" dxfId="3">
      <formula>AND(IF(OR($Q375=1,$Q375=2),1,0),IF($X375&lt;=20,1,0))</formula>
    </cfRule>
    <cfRule type="expression" priority="1388" dxfId="2">
      <formula>AND(IF($Q375=2,1,0),IF($X375&lt;30,1,0))</formula>
    </cfRule>
    <cfRule type="expression" priority="1389" dxfId="1">
      <formula>AND(IF($Q375=3,1,0),IF($X375&lt;30,1,0))</formula>
    </cfRule>
    <cfRule type="expression" priority="1390" dxfId="0">
      <formula>AND(IF($Q375=3,1,IF($Q375=4,1,0)),IF($F375&lt;=85,1,0))</formula>
    </cfRule>
  </conditionalFormatting>
  <conditionalFormatting sqref="AV376">
    <cfRule type="expression" priority="1385" dxfId="23">
      <formula>AV376="X"</formula>
    </cfRule>
    <cfRule type="expression" priority="1386" dxfId="22">
      <formula>AV376="후보"</formula>
    </cfRule>
  </conditionalFormatting>
  <conditionalFormatting sqref="AC3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76">
    <cfRule type="expression" priority="1377" dxfId="3">
      <formula>AND(IF(OR($Q376=1,$Q376=2),1,0),IF($X376&lt;=20,1,0))</formula>
    </cfRule>
    <cfRule type="expression" priority="1378" dxfId="2">
      <formula>AND(IF($Q376=2,1,0),IF($X376&lt;30,1,0))</formula>
    </cfRule>
    <cfRule type="expression" priority="1379" dxfId="1">
      <formula>AND(IF($Q376=3,1,0),IF($X376&lt;30,1,0))</formula>
    </cfRule>
    <cfRule type="expression" priority="1380" dxfId="0">
      <formula>AND(IF($Q376=3,1,IF($Q376=4,1,0)),IF($F376&lt;=85,1,0))</formula>
    </cfRule>
  </conditionalFormatting>
  <conditionalFormatting sqref="X376">
    <cfRule type="expression" priority="1373" dxfId="3">
      <formula>AND(IF(OR($Q376=1,$Q376=2),1,0),IF($X376&lt;=20,1,0))</formula>
    </cfRule>
    <cfRule type="expression" priority="1374" dxfId="2">
      <formula>AND(IF($Q376=2,1,0),IF($X376&lt;30,1,0))</formula>
    </cfRule>
    <cfRule type="expression" priority="1375" dxfId="1">
      <formula>AND(IF($Q376=3,1,0),IF($X376&lt;30,1,0))</formula>
    </cfRule>
    <cfRule type="expression" priority="1376" dxfId="0">
      <formula>AND(IF($Q376=3,1,IF($Q376=4,1,0)),IF($F376&lt;=85,1,0))</formula>
    </cfRule>
  </conditionalFormatting>
  <conditionalFormatting sqref="AI376">
    <cfRule type="expression" priority="1369" dxfId="3">
      <formula>AND(IF(OR($Q376=1,$Q376=2),1,0),IF($X376&lt;=20,1,0))</formula>
    </cfRule>
    <cfRule type="expression" priority="1370" dxfId="2">
      <formula>AND(IF($Q376=2,1,0),IF($X376&lt;30,1,0))</formula>
    </cfRule>
    <cfRule type="expression" priority="1371" dxfId="1">
      <formula>AND(IF($Q376=3,1,0),IF($X376&lt;30,1,0))</formula>
    </cfRule>
    <cfRule type="expression" priority="1372" dxfId="0">
      <formula>AND(IF($Q376=3,1,IF($Q376=4,1,0)),IF($F376&lt;=85,1,0))</formula>
    </cfRule>
  </conditionalFormatting>
  <conditionalFormatting sqref="AV377">
    <cfRule type="expression" priority="1367" dxfId="23">
      <formula>AV377="X"</formula>
    </cfRule>
    <cfRule type="expression" priority="1368" dxfId="22">
      <formula>AV377="후보"</formula>
    </cfRule>
  </conditionalFormatting>
  <conditionalFormatting sqref="AC3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77">
    <cfRule type="expression" priority="1359" dxfId="3">
      <formula>AND(IF(OR($Q377=1,$Q377=2),1,0),IF($X377&lt;=20,1,0))</formula>
    </cfRule>
    <cfRule type="expression" priority="1360" dxfId="2">
      <formula>AND(IF($Q377=2,1,0),IF($X377&lt;30,1,0))</formula>
    </cfRule>
    <cfRule type="expression" priority="1361" dxfId="1">
      <formula>AND(IF($Q377=3,1,0),IF($X377&lt;30,1,0))</formula>
    </cfRule>
    <cfRule type="expression" priority="1362" dxfId="0">
      <formula>AND(IF($Q377=3,1,IF($Q377=4,1,0)),IF($F377&lt;=85,1,0))</formula>
    </cfRule>
  </conditionalFormatting>
  <conditionalFormatting sqref="X377">
    <cfRule type="expression" priority="1355" dxfId="3">
      <formula>AND(IF(OR($Q377=1,$Q377=2),1,0),IF($X377&lt;=20,1,0))</formula>
    </cfRule>
    <cfRule type="expression" priority="1356" dxfId="2">
      <formula>AND(IF($Q377=2,1,0),IF($X377&lt;30,1,0))</formula>
    </cfRule>
    <cfRule type="expression" priority="1357" dxfId="1">
      <formula>AND(IF($Q377=3,1,0),IF($X377&lt;30,1,0))</formula>
    </cfRule>
    <cfRule type="expression" priority="1358" dxfId="0">
      <formula>AND(IF($Q377=3,1,IF($Q377=4,1,0)),IF($F377&lt;=85,1,0))</formula>
    </cfRule>
  </conditionalFormatting>
  <conditionalFormatting sqref="AI377">
    <cfRule type="expression" priority="1351" dxfId="3">
      <formula>AND(IF(OR($Q377=1,$Q377=2),1,0),IF($X377&lt;=20,1,0))</formula>
    </cfRule>
    <cfRule type="expression" priority="1352" dxfId="2">
      <formula>AND(IF($Q377=2,1,0),IF($X377&lt;30,1,0))</formula>
    </cfRule>
    <cfRule type="expression" priority="1353" dxfId="1">
      <formula>AND(IF($Q377=3,1,0),IF($X377&lt;30,1,0))</formula>
    </cfRule>
    <cfRule type="expression" priority="1354" dxfId="0">
      <formula>AND(IF($Q377=3,1,IF($Q377=4,1,0)),IF($F377&lt;=85,1,0))</formula>
    </cfRule>
  </conditionalFormatting>
  <conditionalFormatting sqref="AV378">
    <cfRule type="expression" priority="1349" dxfId="23">
      <formula>AV378="X"</formula>
    </cfRule>
    <cfRule type="expression" priority="1350" dxfId="22">
      <formula>AV378="후보"</formula>
    </cfRule>
  </conditionalFormatting>
  <conditionalFormatting sqref="AC3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78">
    <cfRule type="expression" priority="1341" dxfId="3">
      <formula>AND(IF(OR($Q378=1,$Q378=2),1,0),IF($X378&lt;=20,1,0))</formula>
    </cfRule>
    <cfRule type="expression" priority="1342" dxfId="2">
      <formula>AND(IF($Q378=2,1,0),IF($X378&lt;30,1,0))</formula>
    </cfRule>
    <cfRule type="expression" priority="1343" dxfId="1">
      <formula>AND(IF($Q378=3,1,0),IF($X378&lt;30,1,0))</formula>
    </cfRule>
    <cfRule type="expression" priority="1344" dxfId="0">
      <formula>AND(IF($Q378=3,1,IF($Q378=4,1,0)),IF($F378&lt;=85,1,0))</formula>
    </cfRule>
  </conditionalFormatting>
  <conditionalFormatting sqref="X378">
    <cfRule type="expression" priority="1337" dxfId="3">
      <formula>AND(IF(OR($Q378=1,$Q378=2),1,0),IF($X378&lt;=20,1,0))</formula>
    </cfRule>
    <cfRule type="expression" priority="1338" dxfId="2">
      <formula>AND(IF($Q378=2,1,0),IF($X378&lt;30,1,0))</formula>
    </cfRule>
    <cfRule type="expression" priority="1339" dxfId="1">
      <formula>AND(IF($Q378=3,1,0),IF($X378&lt;30,1,0))</formula>
    </cfRule>
    <cfRule type="expression" priority="1340" dxfId="0">
      <formula>AND(IF($Q378=3,1,IF($Q378=4,1,0)),IF($F378&lt;=85,1,0))</formula>
    </cfRule>
  </conditionalFormatting>
  <conditionalFormatting sqref="AI378">
    <cfRule type="expression" priority="1333" dxfId="3">
      <formula>AND(IF(OR($Q378=1,$Q378=2),1,0),IF($X378&lt;=20,1,0))</formula>
    </cfRule>
    <cfRule type="expression" priority="1334" dxfId="2">
      <formula>AND(IF($Q378=2,1,0),IF($X378&lt;30,1,0))</formula>
    </cfRule>
    <cfRule type="expression" priority="1335" dxfId="1">
      <formula>AND(IF($Q378=3,1,0),IF($X378&lt;30,1,0))</formula>
    </cfRule>
    <cfRule type="expression" priority="1336" dxfId="0">
      <formula>AND(IF($Q378=3,1,IF($Q378=4,1,0)),IF($F378&lt;=85,1,0))</formula>
    </cfRule>
  </conditionalFormatting>
  <conditionalFormatting sqref="AV379">
    <cfRule type="expression" priority="1331" dxfId="23">
      <formula>AV379="X"</formula>
    </cfRule>
    <cfRule type="expression" priority="1332" dxfId="22">
      <formula>AV379="후보"</formula>
    </cfRule>
  </conditionalFormatting>
  <conditionalFormatting sqref="AC3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79">
    <cfRule type="expression" priority="1323" dxfId="3">
      <formula>AND(IF(OR($Q379=1,$Q379=2),1,0),IF($X379&lt;=20,1,0))</formula>
    </cfRule>
    <cfRule type="expression" priority="1324" dxfId="2">
      <formula>AND(IF($Q379=2,1,0),IF($X379&lt;30,1,0))</formula>
    </cfRule>
    <cfRule type="expression" priority="1325" dxfId="1">
      <formula>AND(IF($Q379=3,1,0),IF($X379&lt;30,1,0))</formula>
    </cfRule>
    <cfRule type="expression" priority="1326" dxfId="0">
      <formula>AND(IF($Q379=3,1,IF($Q379=4,1,0)),IF($F379&lt;=85,1,0))</formula>
    </cfRule>
  </conditionalFormatting>
  <conditionalFormatting sqref="X379">
    <cfRule type="expression" priority="1319" dxfId="3">
      <formula>AND(IF(OR($Q379=1,$Q379=2),1,0),IF($X379&lt;=20,1,0))</formula>
    </cfRule>
    <cfRule type="expression" priority="1320" dxfId="2">
      <formula>AND(IF($Q379=2,1,0),IF($X379&lt;30,1,0))</formula>
    </cfRule>
    <cfRule type="expression" priority="1321" dxfId="1">
      <formula>AND(IF($Q379=3,1,0),IF($X379&lt;30,1,0))</formula>
    </cfRule>
    <cfRule type="expression" priority="1322" dxfId="0">
      <formula>AND(IF($Q379=3,1,IF($Q379=4,1,0)),IF($F379&lt;=85,1,0))</formula>
    </cfRule>
  </conditionalFormatting>
  <conditionalFormatting sqref="AI379">
    <cfRule type="expression" priority="1315" dxfId="3">
      <formula>AND(IF(OR($Q379=1,$Q379=2),1,0),IF($X379&lt;=20,1,0))</formula>
    </cfRule>
    <cfRule type="expression" priority="1316" dxfId="2">
      <formula>AND(IF($Q379=2,1,0),IF($X379&lt;30,1,0))</formula>
    </cfRule>
    <cfRule type="expression" priority="1317" dxfId="1">
      <formula>AND(IF($Q379=3,1,0),IF($X379&lt;30,1,0))</formula>
    </cfRule>
    <cfRule type="expression" priority="1318" dxfId="0">
      <formula>AND(IF($Q379=3,1,IF($Q379=4,1,0)),IF($F379&lt;=85,1,0))</formula>
    </cfRule>
  </conditionalFormatting>
  <conditionalFormatting sqref="AV380">
    <cfRule type="expression" priority="1313" dxfId="23">
      <formula>AV380="X"</formula>
    </cfRule>
    <cfRule type="expression" priority="1314" dxfId="22">
      <formula>AV380="후보"</formula>
    </cfRule>
  </conditionalFormatting>
  <conditionalFormatting sqref="AC3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0">
    <cfRule type="expression" priority="1305" dxfId="3">
      <formula>AND(IF(OR($Q380=1,$Q380=2),1,0),IF($X380&lt;=20,1,0))</formula>
    </cfRule>
    <cfRule type="expression" priority="1306" dxfId="2">
      <formula>AND(IF($Q380=2,1,0),IF($X380&lt;30,1,0))</formula>
    </cfRule>
    <cfRule type="expression" priority="1307" dxfId="1">
      <formula>AND(IF($Q380=3,1,0),IF($X380&lt;30,1,0))</formula>
    </cfRule>
    <cfRule type="expression" priority="1308" dxfId="0">
      <formula>AND(IF($Q380=3,1,IF($Q380=4,1,0)),IF($F380&lt;=85,1,0))</formula>
    </cfRule>
  </conditionalFormatting>
  <conditionalFormatting sqref="X380">
    <cfRule type="expression" priority="1301" dxfId="3">
      <formula>AND(IF(OR($Q380=1,$Q380=2),1,0),IF($X380&lt;=20,1,0))</formula>
    </cfRule>
    <cfRule type="expression" priority="1302" dxfId="2">
      <formula>AND(IF($Q380=2,1,0),IF($X380&lt;30,1,0))</formula>
    </cfRule>
    <cfRule type="expression" priority="1303" dxfId="1">
      <formula>AND(IF($Q380=3,1,0),IF($X380&lt;30,1,0))</formula>
    </cfRule>
    <cfRule type="expression" priority="1304" dxfId="0">
      <formula>AND(IF($Q380=3,1,IF($Q380=4,1,0)),IF($F380&lt;=85,1,0))</formula>
    </cfRule>
  </conditionalFormatting>
  <conditionalFormatting sqref="AI380">
    <cfRule type="expression" priority="1297" dxfId="3">
      <formula>AND(IF(OR($Q380=1,$Q380=2),1,0),IF($X380&lt;=20,1,0))</formula>
    </cfRule>
    <cfRule type="expression" priority="1298" dxfId="2">
      <formula>AND(IF($Q380=2,1,0),IF($X380&lt;30,1,0))</formula>
    </cfRule>
    <cfRule type="expression" priority="1299" dxfId="1">
      <formula>AND(IF($Q380=3,1,0),IF($X380&lt;30,1,0))</formula>
    </cfRule>
    <cfRule type="expression" priority="1300" dxfId="0">
      <formula>AND(IF($Q380=3,1,IF($Q380=4,1,0)),IF($F380&lt;=85,1,0))</formula>
    </cfRule>
  </conditionalFormatting>
  <conditionalFormatting sqref="AV381">
    <cfRule type="expression" priority="1295" dxfId="23">
      <formula>AV381="X"</formula>
    </cfRule>
    <cfRule type="expression" priority="1296" dxfId="22">
      <formula>AV381="후보"</formula>
    </cfRule>
  </conditionalFormatting>
  <conditionalFormatting sqref="AC3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81">
    <cfRule type="expression" priority="1287" dxfId="3">
      <formula>AND(IF(OR($Q381=1,$Q381=2),1,0),IF($X381&lt;=20,1,0))</formula>
    </cfRule>
    <cfRule type="expression" priority="1288" dxfId="2">
      <formula>AND(IF($Q381=2,1,0),IF($X381&lt;30,1,0))</formula>
    </cfRule>
    <cfRule type="expression" priority="1289" dxfId="1">
      <formula>AND(IF($Q381=3,1,0),IF($X381&lt;30,1,0))</formula>
    </cfRule>
    <cfRule type="expression" priority="1290" dxfId="0">
      <formula>AND(IF($Q381=3,1,IF($Q381=4,1,0)),IF($F381&lt;=85,1,0))</formula>
    </cfRule>
  </conditionalFormatting>
  <conditionalFormatting sqref="X381">
    <cfRule type="expression" priority="1283" dxfId="3">
      <formula>AND(IF(OR($Q381=1,$Q381=2),1,0),IF($X381&lt;=20,1,0))</formula>
    </cfRule>
    <cfRule type="expression" priority="1284" dxfId="2">
      <formula>AND(IF($Q381=2,1,0),IF($X381&lt;30,1,0))</formula>
    </cfRule>
    <cfRule type="expression" priority="1285" dxfId="1">
      <formula>AND(IF($Q381=3,1,0),IF($X381&lt;30,1,0))</formula>
    </cfRule>
    <cfRule type="expression" priority="1286" dxfId="0">
      <formula>AND(IF($Q381=3,1,IF($Q381=4,1,0)),IF($F381&lt;=85,1,0))</formula>
    </cfRule>
  </conditionalFormatting>
  <conditionalFormatting sqref="AI381">
    <cfRule type="expression" priority="1279" dxfId="3">
      <formula>AND(IF(OR($Q381=1,$Q381=2),1,0),IF($X381&lt;=20,1,0))</formula>
    </cfRule>
    <cfRule type="expression" priority="1280" dxfId="2">
      <formula>AND(IF($Q381=2,1,0),IF($X381&lt;30,1,0))</formula>
    </cfRule>
    <cfRule type="expression" priority="1281" dxfId="1">
      <formula>AND(IF($Q381=3,1,0),IF($X381&lt;30,1,0))</formula>
    </cfRule>
    <cfRule type="expression" priority="1282" dxfId="0">
      <formula>AND(IF($Q381=3,1,IF($Q381=4,1,0)),IF($F381&lt;=85,1,0))</formula>
    </cfRule>
  </conditionalFormatting>
  <conditionalFormatting sqref="AV382">
    <cfRule type="expression" priority="1277" dxfId="23">
      <formula>AV382="X"</formula>
    </cfRule>
    <cfRule type="expression" priority="1278" dxfId="22">
      <formula>AV382="후보"</formula>
    </cfRule>
  </conditionalFormatting>
  <conditionalFormatting sqref="AC3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82">
    <cfRule type="expression" priority="1269" dxfId="3">
      <formula>AND(IF(OR($Q382=1,$Q382=2),1,0),IF($X382&lt;=20,1,0))</formula>
    </cfRule>
    <cfRule type="expression" priority="1270" dxfId="2">
      <formula>AND(IF($Q382=2,1,0),IF($X382&lt;30,1,0))</formula>
    </cfRule>
    <cfRule type="expression" priority="1271" dxfId="1">
      <formula>AND(IF($Q382=3,1,0),IF($X382&lt;30,1,0))</formula>
    </cfRule>
    <cfRule type="expression" priority="1272" dxfId="0">
      <formula>AND(IF($Q382=3,1,IF($Q382=4,1,0)),IF($F382&lt;=85,1,0))</formula>
    </cfRule>
  </conditionalFormatting>
  <conditionalFormatting sqref="X382">
    <cfRule type="expression" priority="1265" dxfId="3">
      <formula>AND(IF(OR($Q382=1,$Q382=2),1,0),IF($X382&lt;=20,1,0))</formula>
    </cfRule>
    <cfRule type="expression" priority="1266" dxfId="2">
      <formula>AND(IF($Q382=2,1,0),IF($X382&lt;30,1,0))</formula>
    </cfRule>
    <cfRule type="expression" priority="1267" dxfId="1">
      <formula>AND(IF($Q382=3,1,0),IF($X382&lt;30,1,0))</formula>
    </cfRule>
    <cfRule type="expression" priority="1268" dxfId="0">
      <formula>AND(IF($Q382=3,1,IF($Q382=4,1,0)),IF($F382&lt;=85,1,0))</formula>
    </cfRule>
  </conditionalFormatting>
  <conditionalFormatting sqref="AI382">
    <cfRule type="expression" priority="1261" dxfId="3">
      <formula>AND(IF(OR($Q382=1,$Q382=2),1,0),IF($X382&lt;=20,1,0))</formula>
    </cfRule>
    <cfRule type="expression" priority="1262" dxfId="2">
      <formula>AND(IF($Q382=2,1,0),IF($X382&lt;30,1,0))</formula>
    </cfRule>
    <cfRule type="expression" priority="1263" dxfId="1">
      <formula>AND(IF($Q382=3,1,0),IF($X382&lt;30,1,0))</formula>
    </cfRule>
    <cfRule type="expression" priority="1264" dxfId="0">
      <formula>AND(IF($Q382=3,1,IF($Q382=4,1,0)),IF($F382&lt;=85,1,0))</formula>
    </cfRule>
  </conditionalFormatting>
  <conditionalFormatting sqref="AV383">
    <cfRule type="expression" priority="1259" dxfId="23">
      <formula>AV383="X"</formula>
    </cfRule>
    <cfRule type="expression" priority="1260" dxfId="22">
      <formula>AV383="후보"</formula>
    </cfRule>
  </conditionalFormatting>
  <conditionalFormatting sqref="AC3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83">
    <cfRule type="expression" priority="1251" dxfId="3">
      <formula>AND(IF(OR($Q383=1,$Q383=2),1,0),IF($X383&lt;=20,1,0))</formula>
    </cfRule>
    <cfRule type="expression" priority="1252" dxfId="2">
      <formula>AND(IF($Q383=2,1,0),IF($X383&lt;30,1,0))</formula>
    </cfRule>
    <cfRule type="expression" priority="1253" dxfId="1">
      <formula>AND(IF($Q383=3,1,0),IF($X383&lt;30,1,0))</formula>
    </cfRule>
    <cfRule type="expression" priority="1254" dxfId="0">
      <formula>AND(IF($Q383=3,1,IF($Q383=4,1,0)),IF($F383&lt;=85,1,0))</formula>
    </cfRule>
  </conditionalFormatting>
  <conditionalFormatting sqref="X383">
    <cfRule type="expression" priority="1247" dxfId="3">
      <formula>AND(IF(OR($Q383=1,$Q383=2),1,0),IF($X383&lt;=20,1,0))</formula>
    </cfRule>
    <cfRule type="expression" priority="1248" dxfId="2">
      <formula>AND(IF($Q383=2,1,0),IF($X383&lt;30,1,0))</formula>
    </cfRule>
    <cfRule type="expression" priority="1249" dxfId="1">
      <formula>AND(IF($Q383=3,1,0),IF($X383&lt;30,1,0))</formula>
    </cfRule>
    <cfRule type="expression" priority="1250" dxfId="0">
      <formula>AND(IF($Q383=3,1,IF($Q383=4,1,0)),IF($F383&lt;=85,1,0))</formula>
    </cfRule>
  </conditionalFormatting>
  <conditionalFormatting sqref="AI383">
    <cfRule type="expression" priority="1243" dxfId="3">
      <formula>AND(IF(OR($Q383=1,$Q383=2),1,0),IF($X383&lt;=20,1,0))</formula>
    </cfRule>
    <cfRule type="expression" priority="1244" dxfId="2">
      <formula>AND(IF($Q383=2,1,0),IF($X383&lt;30,1,0))</formula>
    </cfRule>
    <cfRule type="expression" priority="1245" dxfId="1">
      <formula>AND(IF($Q383=3,1,0),IF($X383&lt;30,1,0))</formula>
    </cfRule>
    <cfRule type="expression" priority="1246" dxfId="0">
      <formula>AND(IF($Q383=3,1,IF($Q383=4,1,0)),IF($F383&lt;=85,1,0))</formula>
    </cfRule>
  </conditionalFormatting>
  <conditionalFormatting sqref="AV384">
    <cfRule type="expression" priority="1241" dxfId="23">
      <formula>AV384="X"</formula>
    </cfRule>
    <cfRule type="expression" priority="1242" dxfId="22">
      <formula>AV384="후보"</formula>
    </cfRule>
  </conditionalFormatting>
  <conditionalFormatting sqref="AC3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84">
    <cfRule type="expression" priority="1233" dxfId="3">
      <formula>AND(IF(OR($Q384=1,$Q384=2),1,0),IF($X384&lt;=20,1,0))</formula>
    </cfRule>
    <cfRule type="expression" priority="1234" dxfId="2">
      <formula>AND(IF($Q384=2,1,0),IF($X384&lt;30,1,0))</formula>
    </cfRule>
    <cfRule type="expression" priority="1235" dxfId="1">
      <formula>AND(IF($Q384=3,1,0),IF($X384&lt;30,1,0))</formula>
    </cfRule>
    <cfRule type="expression" priority="1236" dxfId="0">
      <formula>AND(IF($Q384=3,1,IF($Q384=4,1,0)),IF($F384&lt;=85,1,0))</formula>
    </cfRule>
  </conditionalFormatting>
  <conditionalFormatting sqref="X384">
    <cfRule type="expression" priority="1229" dxfId="3">
      <formula>AND(IF(OR($Q384=1,$Q384=2),1,0),IF($X384&lt;=20,1,0))</formula>
    </cfRule>
    <cfRule type="expression" priority="1230" dxfId="2">
      <formula>AND(IF($Q384=2,1,0),IF($X384&lt;30,1,0))</formula>
    </cfRule>
    <cfRule type="expression" priority="1231" dxfId="1">
      <formula>AND(IF($Q384=3,1,0),IF($X384&lt;30,1,0))</formula>
    </cfRule>
    <cfRule type="expression" priority="1232" dxfId="0">
      <formula>AND(IF($Q384=3,1,IF($Q384=4,1,0)),IF($F384&lt;=85,1,0))</formula>
    </cfRule>
  </conditionalFormatting>
  <conditionalFormatting sqref="AI384">
    <cfRule type="expression" priority="1225" dxfId="3">
      <formula>AND(IF(OR($Q384=1,$Q384=2),1,0),IF($X384&lt;=20,1,0))</formula>
    </cfRule>
    <cfRule type="expression" priority="1226" dxfId="2">
      <formula>AND(IF($Q384=2,1,0),IF($X384&lt;30,1,0))</formula>
    </cfRule>
    <cfRule type="expression" priority="1227" dxfId="1">
      <formula>AND(IF($Q384=3,1,0),IF($X384&lt;30,1,0))</formula>
    </cfRule>
    <cfRule type="expression" priority="1228" dxfId="0">
      <formula>AND(IF($Q384=3,1,IF($Q384=4,1,0)),IF($F384&lt;=85,1,0))</formula>
    </cfRule>
  </conditionalFormatting>
  <conditionalFormatting sqref="AV385">
    <cfRule type="expression" priority="1223" dxfId="23">
      <formula>AV385="X"</formula>
    </cfRule>
    <cfRule type="expression" priority="1224" dxfId="22">
      <formula>AV385="후보"</formula>
    </cfRule>
  </conditionalFormatting>
  <conditionalFormatting sqref="AC3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85">
    <cfRule type="expression" priority="1215" dxfId="3">
      <formula>AND(IF(OR($Q385=1,$Q385=2),1,0),IF($X385&lt;=20,1,0))</formula>
    </cfRule>
    <cfRule type="expression" priority="1216" dxfId="2">
      <formula>AND(IF($Q385=2,1,0),IF($X385&lt;30,1,0))</formula>
    </cfRule>
    <cfRule type="expression" priority="1217" dxfId="1">
      <formula>AND(IF($Q385=3,1,0),IF($X385&lt;30,1,0))</formula>
    </cfRule>
    <cfRule type="expression" priority="1218" dxfId="0">
      <formula>AND(IF($Q385=3,1,IF($Q385=4,1,0)),IF($F385&lt;=85,1,0))</formula>
    </cfRule>
  </conditionalFormatting>
  <conditionalFormatting sqref="X385">
    <cfRule type="expression" priority="1211" dxfId="3">
      <formula>AND(IF(OR($Q385=1,$Q385=2),1,0),IF($X385&lt;=20,1,0))</formula>
    </cfRule>
    <cfRule type="expression" priority="1212" dxfId="2">
      <formula>AND(IF($Q385=2,1,0),IF($X385&lt;30,1,0))</formula>
    </cfRule>
    <cfRule type="expression" priority="1213" dxfId="1">
      <formula>AND(IF($Q385=3,1,0),IF($X385&lt;30,1,0))</formula>
    </cfRule>
    <cfRule type="expression" priority="1214" dxfId="0">
      <formula>AND(IF($Q385=3,1,IF($Q385=4,1,0)),IF($F385&lt;=85,1,0))</formula>
    </cfRule>
  </conditionalFormatting>
  <conditionalFormatting sqref="AI385">
    <cfRule type="expression" priority="1207" dxfId="3">
      <formula>AND(IF(OR($Q385=1,$Q385=2),1,0),IF($X385&lt;=20,1,0))</formula>
    </cfRule>
    <cfRule type="expression" priority="1208" dxfId="2">
      <formula>AND(IF($Q385=2,1,0),IF($X385&lt;30,1,0))</formula>
    </cfRule>
    <cfRule type="expression" priority="1209" dxfId="1">
      <formula>AND(IF($Q385=3,1,0),IF($X385&lt;30,1,0))</formula>
    </cfRule>
    <cfRule type="expression" priority="1210" dxfId="0">
      <formula>AND(IF($Q385=3,1,IF($Q385=4,1,0)),IF($F385&lt;=85,1,0))</formula>
    </cfRule>
  </conditionalFormatting>
  <conditionalFormatting sqref="AV386">
    <cfRule type="expression" priority="1205" dxfId="23">
      <formula>AV386="X"</formula>
    </cfRule>
    <cfRule type="expression" priority="1206" dxfId="22">
      <formula>AV386="후보"</formula>
    </cfRule>
  </conditionalFormatting>
  <conditionalFormatting sqref="AC3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86">
    <cfRule type="expression" priority="1197" dxfId="3">
      <formula>AND(IF(OR($Q386=1,$Q386=2),1,0),IF($X386&lt;=20,1,0))</formula>
    </cfRule>
    <cfRule type="expression" priority="1198" dxfId="2">
      <formula>AND(IF($Q386=2,1,0),IF($X386&lt;30,1,0))</formula>
    </cfRule>
    <cfRule type="expression" priority="1199" dxfId="1">
      <formula>AND(IF($Q386=3,1,0),IF($X386&lt;30,1,0))</formula>
    </cfRule>
    <cfRule type="expression" priority="1200" dxfId="0">
      <formula>AND(IF($Q386=3,1,IF($Q386=4,1,0)),IF($F386&lt;=85,1,0))</formula>
    </cfRule>
  </conditionalFormatting>
  <conditionalFormatting sqref="X386">
    <cfRule type="expression" priority="1193" dxfId="3">
      <formula>AND(IF(OR($Q386=1,$Q386=2),1,0),IF($X386&lt;=20,1,0))</formula>
    </cfRule>
    <cfRule type="expression" priority="1194" dxfId="2">
      <formula>AND(IF($Q386=2,1,0),IF($X386&lt;30,1,0))</formula>
    </cfRule>
    <cfRule type="expression" priority="1195" dxfId="1">
      <formula>AND(IF($Q386=3,1,0),IF($X386&lt;30,1,0))</formula>
    </cfRule>
    <cfRule type="expression" priority="1196" dxfId="0">
      <formula>AND(IF($Q386=3,1,IF($Q386=4,1,0)),IF($F386&lt;=85,1,0))</formula>
    </cfRule>
  </conditionalFormatting>
  <conditionalFormatting sqref="AI386">
    <cfRule type="expression" priority="1189" dxfId="3">
      <formula>AND(IF(OR($Q386=1,$Q386=2),1,0),IF($X386&lt;=20,1,0))</formula>
    </cfRule>
    <cfRule type="expression" priority="1190" dxfId="2">
      <formula>AND(IF($Q386=2,1,0),IF($X386&lt;30,1,0))</formula>
    </cfRule>
    <cfRule type="expression" priority="1191" dxfId="1">
      <formula>AND(IF($Q386=3,1,0),IF($X386&lt;30,1,0))</formula>
    </cfRule>
    <cfRule type="expression" priority="1192" dxfId="0">
      <formula>AND(IF($Q386=3,1,IF($Q386=4,1,0)),IF($F386&lt;=85,1,0))</formula>
    </cfRule>
  </conditionalFormatting>
  <conditionalFormatting sqref="AV387">
    <cfRule type="expression" priority="1187" dxfId="23">
      <formula>AV387="X"</formula>
    </cfRule>
    <cfRule type="expression" priority="1188" dxfId="22">
      <formula>AV387="후보"</formula>
    </cfRule>
  </conditionalFormatting>
  <conditionalFormatting sqref="AC3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87">
    <cfRule type="expression" priority="1179" dxfId="3">
      <formula>AND(IF(OR($Q387=1,$Q387=2),1,0),IF($X387&lt;=20,1,0))</formula>
    </cfRule>
    <cfRule type="expression" priority="1180" dxfId="2">
      <formula>AND(IF($Q387=2,1,0),IF($X387&lt;30,1,0))</formula>
    </cfRule>
    <cfRule type="expression" priority="1181" dxfId="1">
      <formula>AND(IF($Q387=3,1,0),IF($X387&lt;30,1,0))</formula>
    </cfRule>
    <cfRule type="expression" priority="1182" dxfId="0">
      <formula>AND(IF($Q387=3,1,IF($Q387=4,1,0)),IF($F387&lt;=85,1,0))</formula>
    </cfRule>
  </conditionalFormatting>
  <conditionalFormatting sqref="X387">
    <cfRule type="expression" priority="1175" dxfId="3">
      <formula>AND(IF(OR($Q387=1,$Q387=2),1,0),IF($X387&lt;=20,1,0))</formula>
    </cfRule>
    <cfRule type="expression" priority="1176" dxfId="2">
      <formula>AND(IF($Q387=2,1,0),IF($X387&lt;30,1,0))</formula>
    </cfRule>
    <cfRule type="expression" priority="1177" dxfId="1">
      <formula>AND(IF($Q387=3,1,0),IF($X387&lt;30,1,0))</formula>
    </cfRule>
    <cfRule type="expression" priority="1178" dxfId="0">
      <formula>AND(IF($Q387=3,1,IF($Q387=4,1,0)),IF($F387&lt;=85,1,0))</formula>
    </cfRule>
  </conditionalFormatting>
  <conditionalFormatting sqref="AI387">
    <cfRule type="expression" priority="1171" dxfId="3">
      <formula>AND(IF(OR($Q387=1,$Q387=2),1,0),IF($X387&lt;=20,1,0))</formula>
    </cfRule>
    <cfRule type="expression" priority="1172" dxfId="2">
      <formula>AND(IF($Q387=2,1,0),IF($X387&lt;30,1,0))</formula>
    </cfRule>
    <cfRule type="expression" priority="1173" dxfId="1">
      <formula>AND(IF($Q387=3,1,0),IF($X387&lt;30,1,0))</formula>
    </cfRule>
    <cfRule type="expression" priority="1174" dxfId="0">
      <formula>AND(IF($Q387=3,1,IF($Q387=4,1,0)),IF($F387&lt;=85,1,0))</formula>
    </cfRule>
  </conditionalFormatting>
  <conditionalFormatting sqref="AV388">
    <cfRule type="expression" priority="1169" dxfId="23">
      <formula>AV388="X"</formula>
    </cfRule>
    <cfRule type="expression" priority="1170" dxfId="22">
      <formula>AV388="후보"</formula>
    </cfRule>
  </conditionalFormatting>
  <conditionalFormatting sqref="AC3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88">
    <cfRule type="expression" priority="1161" dxfId="3">
      <formula>AND(IF(OR($Q388=1,$Q388=2),1,0),IF($X388&lt;=20,1,0))</formula>
    </cfRule>
    <cfRule type="expression" priority="1162" dxfId="2">
      <formula>AND(IF($Q388=2,1,0),IF($X388&lt;30,1,0))</formula>
    </cfRule>
    <cfRule type="expression" priority="1163" dxfId="1">
      <formula>AND(IF($Q388=3,1,0),IF($X388&lt;30,1,0))</formula>
    </cfRule>
    <cfRule type="expression" priority="1164" dxfId="0">
      <formula>AND(IF($Q388=3,1,IF($Q388=4,1,0)),IF($F388&lt;=85,1,0))</formula>
    </cfRule>
  </conditionalFormatting>
  <conditionalFormatting sqref="X388">
    <cfRule type="expression" priority="1157" dxfId="3">
      <formula>AND(IF(OR($Q388=1,$Q388=2),1,0),IF($X388&lt;=20,1,0))</formula>
    </cfRule>
    <cfRule type="expression" priority="1158" dxfId="2">
      <formula>AND(IF($Q388=2,1,0),IF($X388&lt;30,1,0))</formula>
    </cfRule>
    <cfRule type="expression" priority="1159" dxfId="1">
      <formula>AND(IF($Q388=3,1,0),IF($X388&lt;30,1,0))</formula>
    </cfRule>
    <cfRule type="expression" priority="1160" dxfId="0">
      <formula>AND(IF($Q388=3,1,IF($Q388=4,1,0)),IF($F388&lt;=85,1,0))</formula>
    </cfRule>
  </conditionalFormatting>
  <conditionalFormatting sqref="AI388">
    <cfRule type="expression" priority="1153" dxfId="3">
      <formula>AND(IF(OR($Q388=1,$Q388=2),1,0),IF($X388&lt;=20,1,0))</formula>
    </cfRule>
    <cfRule type="expression" priority="1154" dxfId="2">
      <formula>AND(IF($Q388=2,1,0),IF($X388&lt;30,1,0))</formula>
    </cfRule>
    <cfRule type="expression" priority="1155" dxfId="1">
      <formula>AND(IF($Q388=3,1,0),IF($X388&lt;30,1,0))</formula>
    </cfRule>
    <cfRule type="expression" priority="1156" dxfId="0">
      <formula>AND(IF($Q388=3,1,IF($Q388=4,1,0)),IF($F388&lt;=85,1,0))</formula>
    </cfRule>
  </conditionalFormatting>
  <conditionalFormatting sqref="AV389">
    <cfRule type="expression" priority="1151" dxfId="23">
      <formula>AV389="X"</formula>
    </cfRule>
    <cfRule type="expression" priority="1152" dxfId="22">
      <formula>AV389="후보"</formula>
    </cfRule>
  </conditionalFormatting>
  <conditionalFormatting sqref="AC3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89">
    <cfRule type="expression" priority="1143" dxfId="3">
      <formula>AND(IF(OR($Q389=1,$Q389=2),1,0),IF($X389&lt;=20,1,0))</formula>
    </cfRule>
    <cfRule type="expression" priority="1144" dxfId="2">
      <formula>AND(IF($Q389=2,1,0),IF($X389&lt;30,1,0))</formula>
    </cfRule>
    <cfRule type="expression" priority="1145" dxfId="1">
      <formula>AND(IF($Q389=3,1,0),IF($X389&lt;30,1,0))</formula>
    </cfRule>
    <cfRule type="expression" priority="1146" dxfId="0">
      <formula>AND(IF($Q389=3,1,IF($Q389=4,1,0)),IF($F389&lt;=85,1,0))</formula>
    </cfRule>
  </conditionalFormatting>
  <conditionalFormatting sqref="X389">
    <cfRule type="expression" priority="1139" dxfId="3">
      <formula>AND(IF(OR($Q389=1,$Q389=2),1,0),IF($X389&lt;=20,1,0))</formula>
    </cfRule>
    <cfRule type="expression" priority="1140" dxfId="2">
      <formula>AND(IF($Q389=2,1,0),IF($X389&lt;30,1,0))</formula>
    </cfRule>
    <cfRule type="expression" priority="1141" dxfId="1">
      <formula>AND(IF($Q389=3,1,0),IF($X389&lt;30,1,0))</formula>
    </cfRule>
    <cfRule type="expression" priority="1142" dxfId="0">
      <formula>AND(IF($Q389=3,1,IF($Q389=4,1,0)),IF($F389&lt;=85,1,0))</formula>
    </cfRule>
  </conditionalFormatting>
  <conditionalFormatting sqref="AI389">
    <cfRule type="expression" priority="1135" dxfId="3">
      <formula>AND(IF(OR($Q389=1,$Q389=2),1,0),IF($X389&lt;=20,1,0))</formula>
    </cfRule>
    <cfRule type="expression" priority="1136" dxfId="2">
      <formula>AND(IF($Q389=2,1,0),IF($X389&lt;30,1,0))</formula>
    </cfRule>
    <cfRule type="expression" priority="1137" dxfId="1">
      <formula>AND(IF($Q389=3,1,0),IF($X389&lt;30,1,0))</formula>
    </cfRule>
    <cfRule type="expression" priority="1138" dxfId="0">
      <formula>AND(IF($Q389=3,1,IF($Q389=4,1,0)),IF($F389&lt;=85,1,0))</formula>
    </cfRule>
  </conditionalFormatting>
  <conditionalFormatting sqref="AV390">
    <cfRule type="expression" priority="1133" dxfId="23">
      <formula>AV390="X"</formula>
    </cfRule>
    <cfRule type="expression" priority="1134" dxfId="22">
      <formula>AV390="후보"</formula>
    </cfRule>
  </conditionalFormatting>
  <conditionalFormatting sqref="AC3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90">
    <cfRule type="expression" priority="1125" dxfId="3">
      <formula>AND(IF(OR($Q390=1,$Q390=2),1,0),IF($X390&lt;=20,1,0))</formula>
    </cfRule>
    <cfRule type="expression" priority="1126" dxfId="2">
      <formula>AND(IF($Q390=2,1,0),IF($X390&lt;30,1,0))</formula>
    </cfRule>
    <cfRule type="expression" priority="1127" dxfId="1">
      <formula>AND(IF($Q390=3,1,0),IF($X390&lt;30,1,0))</formula>
    </cfRule>
    <cfRule type="expression" priority="1128" dxfId="0">
      <formula>AND(IF($Q390=3,1,IF($Q390=4,1,0)),IF($F390&lt;=85,1,0))</formula>
    </cfRule>
  </conditionalFormatting>
  <conditionalFormatting sqref="X390">
    <cfRule type="expression" priority="1121" dxfId="3">
      <formula>AND(IF(OR($Q390=1,$Q390=2),1,0),IF($X390&lt;=20,1,0))</formula>
    </cfRule>
    <cfRule type="expression" priority="1122" dxfId="2">
      <formula>AND(IF($Q390=2,1,0),IF($X390&lt;30,1,0))</formula>
    </cfRule>
    <cfRule type="expression" priority="1123" dxfId="1">
      <formula>AND(IF($Q390=3,1,0),IF($X390&lt;30,1,0))</formula>
    </cfRule>
    <cfRule type="expression" priority="1124" dxfId="0">
      <formula>AND(IF($Q390=3,1,IF($Q390=4,1,0)),IF($F390&lt;=85,1,0))</formula>
    </cfRule>
  </conditionalFormatting>
  <conditionalFormatting sqref="AI390">
    <cfRule type="expression" priority="1117" dxfId="3">
      <formula>AND(IF(OR($Q390=1,$Q390=2),1,0),IF($X390&lt;=20,1,0))</formula>
    </cfRule>
    <cfRule type="expression" priority="1118" dxfId="2">
      <formula>AND(IF($Q390=2,1,0),IF($X390&lt;30,1,0))</formula>
    </cfRule>
    <cfRule type="expression" priority="1119" dxfId="1">
      <formula>AND(IF($Q390=3,1,0),IF($X390&lt;30,1,0))</formula>
    </cfRule>
    <cfRule type="expression" priority="1120" dxfId="0">
      <formula>AND(IF($Q390=3,1,IF($Q390=4,1,0)),IF($F390&lt;=85,1,0))</formula>
    </cfRule>
  </conditionalFormatting>
  <conditionalFormatting sqref="AV391">
    <cfRule type="expression" priority="1115" dxfId="23">
      <formula>AV391="X"</formula>
    </cfRule>
    <cfRule type="expression" priority="1116" dxfId="22">
      <formula>AV391="후보"</formula>
    </cfRule>
  </conditionalFormatting>
  <conditionalFormatting sqref="AC3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91">
    <cfRule type="expression" priority="1107" dxfId="3">
      <formula>AND(IF(OR($Q391=1,$Q391=2),1,0),IF($X391&lt;=20,1,0))</formula>
    </cfRule>
    <cfRule type="expression" priority="1108" dxfId="2">
      <formula>AND(IF($Q391=2,1,0),IF($X391&lt;30,1,0))</formula>
    </cfRule>
    <cfRule type="expression" priority="1109" dxfId="1">
      <formula>AND(IF($Q391=3,1,0),IF($X391&lt;30,1,0))</formula>
    </cfRule>
    <cfRule type="expression" priority="1110" dxfId="0">
      <formula>AND(IF($Q391=3,1,IF($Q391=4,1,0)),IF($F391&lt;=85,1,0))</formula>
    </cfRule>
  </conditionalFormatting>
  <conditionalFormatting sqref="X391">
    <cfRule type="expression" priority="1103" dxfId="3">
      <formula>AND(IF(OR($Q391=1,$Q391=2),1,0),IF($X391&lt;=20,1,0))</formula>
    </cfRule>
    <cfRule type="expression" priority="1104" dxfId="2">
      <formula>AND(IF($Q391=2,1,0),IF($X391&lt;30,1,0))</formula>
    </cfRule>
    <cfRule type="expression" priority="1105" dxfId="1">
      <formula>AND(IF($Q391=3,1,0),IF($X391&lt;30,1,0))</formula>
    </cfRule>
    <cfRule type="expression" priority="1106" dxfId="0">
      <formula>AND(IF($Q391=3,1,IF($Q391=4,1,0)),IF($F391&lt;=85,1,0))</formula>
    </cfRule>
  </conditionalFormatting>
  <conditionalFormatting sqref="AI391">
    <cfRule type="expression" priority="1099" dxfId="3">
      <formula>AND(IF(OR($Q391=1,$Q391=2),1,0),IF($X391&lt;=20,1,0))</formula>
    </cfRule>
    <cfRule type="expression" priority="1100" dxfId="2">
      <formula>AND(IF($Q391=2,1,0),IF($X391&lt;30,1,0))</formula>
    </cfRule>
    <cfRule type="expression" priority="1101" dxfId="1">
      <formula>AND(IF($Q391=3,1,0),IF($X391&lt;30,1,0))</formula>
    </cfRule>
    <cfRule type="expression" priority="1102" dxfId="0">
      <formula>AND(IF($Q391=3,1,IF($Q391=4,1,0)),IF($F391&lt;=85,1,0))</formula>
    </cfRule>
  </conditionalFormatting>
  <conditionalFormatting sqref="AV392">
    <cfRule type="expression" priority="1097" dxfId="23">
      <formula>AV392="X"</formula>
    </cfRule>
    <cfRule type="expression" priority="1098" dxfId="22">
      <formula>AV392="후보"</formula>
    </cfRule>
  </conditionalFormatting>
  <conditionalFormatting sqref="AC3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92">
    <cfRule type="expression" priority="1089" dxfId="3">
      <formula>AND(IF(OR($Q392=1,$Q392=2),1,0),IF($X392&lt;=20,1,0))</formula>
    </cfRule>
    <cfRule type="expression" priority="1090" dxfId="2">
      <formula>AND(IF($Q392=2,1,0),IF($X392&lt;30,1,0))</formula>
    </cfRule>
    <cfRule type="expression" priority="1091" dxfId="1">
      <formula>AND(IF($Q392=3,1,0),IF($X392&lt;30,1,0))</formula>
    </cfRule>
    <cfRule type="expression" priority="1092" dxfId="0">
      <formula>AND(IF($Q392=3,1,IF($Q392=4,1,0)),IF($F392&lt;=85,1,0))</formula>
    </cfRule>
  </conditionalFormatting>
  <conditionalFormatting sqref="X392">
    <cfRule type="expression" priority="1085" dxfId="3">
      <formula>AND(IF(OR($Q392=1,$Q392=2),1,0),IF($X392&lt;=20,1,0))</formula>
    </cfRule>
    <cfRule type="expression" priority="1086" dxfId="2">
      <formula>AND(IF($Q392=2,1,0),IF($X392&lt;30,1,0))</formula>
    </cfRule>
    <cfRule type="expression" priority="1087" dxfId="1">
      <formula>AND(IF($Q392=3,1,0),IF($X392&lt;30,1,0))</formula>
    </cfRule>
    <cfRule type="expression" priority="1088" dxfId="0">
      <formula>AND(IF($Q392=3,1,IF($Q392=4,1,0)),IF($F392&lt;=85,1,0))</formula>
    </cfRule>
  </conditionalFormatting>
  <conditionalFormatting sqref="AI392">
    <cfRule type="expression" priority="1081" dxfId="3">
      <formula>AND(IF(OR($Q392=1,$Q392=2),1,0),IF($X392&lt;=20,1,0))</formula>
    </cfRule>
    <cfRule type="expression" priority="1082" dxfId="2">
      <formula>AND(IF($Q392=2,1,0),IF($X392&lt;30,1,0))</formula>
    </cfRule>
    <cfRule type="expression" priority="1083" dxfId="1">
      <formula>AND(IF($Q392=3,1,0),IF($X392&lt;30,1,0))</formula>
    </cfRule>
    <cfRule type="expression" priority="1084" dxfId="0">
      <formula>AND(IF($Q392=3,1,IF($Q392=4,1,0)),IF($F392&lt;=85,1,0))</formula>
    </cfRule>
  </conditionalFormatting>
  <conditionalFormatting sqref="AV393">
    <cfRule type="expression" priority="1079" dxfId="23">
      <formula>AV393="X"</formula>
    </cfRule>
    <cfRule type="expression" priority="1080" dxfId="22">
      <formula>AV393="후보"</formula>
    </cfRule>
  </conditionalFormatting>
  <conditionalFormatting sqref="AC3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93">
    <cfRule type="expression" priority="1071" dxfId="3">
      <formula>AND(IF(OR($Q393=1,$Q393=2),1,0),IF($X393&lt;=20,1,0))</formula>
    </cfRule>
    <cfRule type="expression" priority="1072" dxfId="2">
      <formula>AND(IF($Q393=2,1,0),IF($X393&lt;30,1,0))</formula>
    </cfRule>
    <cfRule type="expression" priority="1073" dxfId="1">
      <formula>AND(IF($Q393=3,1,0),IF($X393&lt;30,1,0))</formula>
    </cfRule>
    <cfRule type="expression" priority="1074" dxfId="0">
      <formula>AND(IF($Q393=3,1,IF($Q393=4,1,0)),IF($F393&lt;=85,1,0))</formula>
    </cfRule>
  </conditionalFormatting>
  <conditionalFormatting sqref="X393">
    <cfRule type="expression" priority="1067" dxfId="3">
      <formula>AND(IF(OR($Q393=1,$Q393=2),1,0),IF($X393&lt;=20,1,0))</formula>
    </cfRule>
    <cfRule type="expression" priority="1068" dxfId="2">
      <formula>AND(IF($Q393=2,1,0),IF($X393&lt;30,1,0))</formula>
    </cfRule>
    <cfRule type="expression" priority="1069" dxfId="1">
      <formula>AND(IF($Q393=3,1,0),IF($X393&lt;30,1,0))</formula>
    </cfRule>
    <cfRule type="expression" priority="1070" dxfId="0">
      <formula>AND(IF($Q393=3,1,IF($Q393=4,1,0)),IF($F393&lt;=85,1,0))</formula>
    </cfRule>
  </conditionalFormatting>
  <conditionalFormatting sqref="AI393">
    <cfRule type="expression" priority="1063" dxfId="3">
      <formula>AND(IF(OR($Q393=1,$Q393=2),1,0),IF($X393&lt;=20,1,0))</formula>
    </cfRule>
    <cfRule type="expression" priority="1064" dxfId="2">
      <formula>AND(IF($Q393=2,1,0),IF($X393&lt;30,1,0))</formula>
    </cfRule>
    <cfRule type="expression" priority="1065" dxfId="1">
      <formula>AND(IF($Q393=3,1,0),IF($X393&lt;30,1,0))</formula>
    </cfRule>
    <cfRule type="expression" priority="1066" dxfId="0">
      <formula>AND(IF($Q393=3,1,IF($Q393=4,1,0)),IF($F393&lt;=85,1,0))</formula>
    </cfRule>
  </conditionalFormatting>
  <conditionalFormatting sqref="AV394">
    <cfRule type="expression" priority="1061" dxfId="23">
      <formula>AV394="X"</formula>
    </cfRule>
    <cfRule type="expression" priority="1062" dxfId="22">
      <formula>AV394="후보"</formula>
    </cfRule>
  </conditionalFormatting>
  <conditionalFormatting sqref="AC3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94">
    <cfRule type="expression" priority="1053" dxfId="3">
      <formula>AND(IF(OR($Q394=1,$Q394=2),1,0),IF($X394&lt;=20,1,0))</formula>
    </cfRule>
    <cfRule type="expression" priority="1054" dxfId="2">
      <formula>AND(IF($Q394=2,1,0),IF($X394&lt;30,1,0))</formula>
    </cfRule>
    <cfRule type="expression" priority="1055" dxfId="1">
      <formula>AND(IF($Q394=3,1,0),IF($X394&lt;30,1,0))</formula>
    </cfRule>
    <cfRule type="expression" priority="1056" dxfId="0">
      <formula>AND(IF($Q394=3,1,IF($Q394=4,1,0)),IF($F394&lt;=85,1,0))</formula>
    </cfRule>
  </conditionalFormatting>
  <conditionalFormatting sqref="X394">
    <cfRule type="expression" priority="1049" dxfId="3">
      <formula>AND(IF(OR($Q394=1,$Q394=2),1,0),IF($X394&lt;=20,1,0))</formula>
    </cfRule>
    <cfRule type="expression" priority="1050" dxfId="2">
      <formula>AND(IF($Q394=2,1,0),IF($X394&lt;30,1,0))</formula>
    </cfRule>
    <cfRule type="expression" priority="1051" dxfId="1">
      <formula>AND(IF($Q394=3,1,0),IF($X394&lt;30,1,0))</formula>
    </cfRule>
    <cfRule type="expression" priority="1052" dxfId="0">
      <formula>AND(IF($Q394=3,1,IF($Q394=4,1,0)),IF($F394&lt;=85,1,0))</formula>
    </cfRule>
  </conditionalFormatting>
  <conditionalFormatting sqref="AI394">
    <cfRule type="expression" priority="1045" dxfId="3">
      <formula>AND(IF(OR($Q394=1,$Q394=2),1,0),IF($X394&lt;=20,1,0))</formula>
    </cfRule>
    <cfRule type="expression" priority="1046" dxfId="2">
      <formula>AND(IF($Q394=2,1,0),IF($X394&lt;30,1,0))</formula>
    </cfRule>
    <cfRule type="expression" priority="1047" dxfId="1">
      <formula>AND(IF($Q394=3,1,0),IF($X394&lt;30,1,0))</formula>
    </cfRule>
    <cfRule type="expression" priority="1048" dxfId="0">
      <formula>AND(IF($Q394=3,1,IF($Q394=4,1,0)),IF($F394&lt;=85,1,0))</formula>
    </cfRule>
  </conditionalFormatting>
  <conditionalFormatting sqref="AV395">
    <cfRule type="expression" priority="1043" dxfId="23">
      <formula>AV395="X"</formula>
    </cfRule>
    <cfRule type="expression" priority="1044" dxfId="22">
      <formula>AV395="후보"</formula>
    </cfRule>
  </conditionalFormatting>
  <conditionalFormatting sqref="AC3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95">
    <cfRule type="expression" priority="1035" dxfId="3">
      <formula>AND(IF(OR($Q395=1,$Q395=2),1,0),IF($X395&lt;=20,1,0))</formula>
    </cfRule>
    <cfRule type="expression" priority="1036" dxfId="2">
      <formula>AND(IF($Q395=2,1,0),IF($X395&lt;30,1,0))</formula>
    </cfRule>
    <cfRule type="expression" priority="1037" dxfId="1">
      <formula>AND(IF($Q395=3,1,0),IF($X395&lt;30,1,0))</formula>
    </cfRule>
    <cfRule type="expression" priority="1038" dxfId="0">
      <formula>AND(IF($Q395=3,1,IF($Q395=4,1,0)),IF($F395&lt;=85,1,0))</formula>
    </cfRule>
  </conditionalFormatting>
  <conditionalFormatting sqref="X395">
    <cfRule type="expression" priority="1031" dxfId="3">
      <formula>AND(IF(OR($Q395=1,$Q395=2),1,0),IF($X395&lt;=20,1,0))</formula>
    </cfRule>
    <cfRule type="expression" priority="1032" dxfId="2">
      <formula>AND(IF($Q395=2,1,0),IF($X395&lt;30,1,0))</formula>
    </cfRule>
    <cfRule type="expression" priority="1033" dxfId="1">
      <formula>AND(IF($Q395=3,1,0),IF($X395&lt;30,1,0))</formula>
    </cfRule>
    <cfRule type="expression" priority="1034" dxfId="0">
      <formula>AND(IF($Q395=3,1,IF($Q395=4,1,0)),IF($F395&lt;=85,1,0))</formula>
    </cfRule>
  </conditionalFormatting>
  <conditionalFormatting sqref="AI395">
    <cfRule type="expression" priority="1027" dxfId="3">
      <formula>AND(IF(OR($Q395=1,$Q395=2),1,0),IF($X395&lt;=20,1,0))</formula>
    </cfRule>
    <cfRule type="expression" priority="1028" dxfId="2">
      <formula>AND(IF($Q395=2,1,0),IF($X395&lt;30,1,0))</formula>
    </cfRule>
    <cfRule type="expression" priority="1029" dxfId="1">
      <formula>AND(IF($Q395=3,1,0),IF($X395&lt;30,1,0))</formula>
    </cfRule>
    <cfRule type="expression" priority="1030" dxfId="0">
      <formula>AND(IF($Q395=3,1,IF($Q395=4,1,0)),IF($F395&lt;=85,1,0))</formula>
    </cfRule>
  </conditionalFormatting>
  <conditionalFormatting sqref="AV396">
    <cfRule type="expression" priority="1025" dxfId="23">
      <formula>AV396="X"</formula>
    </cfRule>
    <cfRule type="expression" priority="1026" dxfId="22">
      <formula>AV396="후보"</formula>
    </cfRule>
  </conditionalFormatting>
  <conditionalFormatting sqref="AC3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96">
    <cfRule type="expression" priority="1017" dxfId="3">
      <formula>AND(IF(OR($Q396=1,$Q396=2),1,0),IF($X396&lt;=20,1,0))</formula>
    </cfRule>
    <cfRule type="expression" priority="1018" dxfId="2">
      <formula>AND(IF($Q396=2,1,0),IF($X396&lt;30,1,0))</formula>
    </cfRule>
    <cfRule type="expression" priority="1019" dxfId="1">
      <formula>AND(IF($Q396=3,1,0),IF($X396&lt;30,1,0))</formula>
    </cfRule>
    <cfRule type="expression" priority="1020" dxfId="0">
      <formula>AND(IF($Q396=3,1,IF($Q396=4,1,0)),IF($F396&lt;=85,1,0))</formula>
    </cfRule>
  </conditionalFormatting>
  <conditionalFormatting sqref="X396">
    <cfRule type="expression" priority="1013" dxfId="3">
      <formula>AND(IF(OR($Q396=1,$Q396=2),1,0),IF($X396&lt;=20,1,0))</formula>
    </cfRule>
    <cfRule type="expression" priority="1014" dxfId="2">
      <formula>AND(IF($Q396=2,1,0),IF($X396&lt;30,1,0))</formula>
    </cfRule>
    <cfRule type="expression" priority="1015" dxfId="1">
      <formula>AND(IF($Q396=3,1,0),IF($X396&lt;30,1,0))</formula>
    </cfRule>
    <cfRule type="expression" priority="1016" dxfId="0">
      <formula>AND(IF($Q396=3,1,IF($Q396=4,1,0)),IF($F396&lt;=85,1,0))</formula>
    </cfRule>
  </conditionalFormatting>
  <conditionalFormatting sqref="AI396">
    <cfRule type="expression" priority="1009" dxfId="3">
      <formula>AND(IF(OR($Q396=1,$Q396=2),1,0),IF($X396&lt;=20,1,0))</formula>
    </cfRule>
    <cfRule type="expression" priority="1010" dxfId="2">
      <formula>AND(IF($Q396=2,1,0),IF($X396&lt;30,1,0))</formula>
    </cfRule>
    <cfRule type="expression" priority="1011" dxfId="1">
      <formula>AND(IF($Q396=3,1,0),IF($X396&lt;30,1,0))</formula>
    </cfRule>
    <cfRule type="expression" priority="1012" dxfId="0">
      <formula>AND(IF($Q396=3,1,IF($Q396=4,1,0)),IF($F396&lt;=85,1,0))</formula>
    </cfRule>
  </conditionalFormatting>
  <conditionalFormatting sqref="AV397">
    <cfRule type="expression" priority="1007" dxfId="23">
      <formula>AV397="X"</formula>
    </cfRule>
    <cfRule type="expression" priority="1008" dxfId="22">
      <formula>AV397="후보"</formula>
    </cfRule>
  </conditionalFormatting>
  <conditionalFormatting sqref="AC3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97">
    <cfRule type="expression" priority="999" dxfId="3">
      <formula>AND(IF(OR($Q397=1,$Q397=2),1,0),IF($X397&lt;=20,1,0))</formula>
    </cfRule>
    <cfRule type="expression" priority="1000" dxfId="2">
      <formula>AND(IF($Q397=2,1,0),IF($X397&lt;30,1,0))</formula>
    </cfRule>
    <cfRule type="expression" priority="1001" dxfId="1">
      <formula>AND(IF($Q397=3,1,0),IF($X397&lt;30,1,0))</formula>
    </cfRule>
    <cfRule type="expression" priority="1002" dxfId="0">
      <formula>AND(IF($Q397=3,1,IF($Q397=4,1,0)),IF($F397&lt;=85,1,0))</formula>
    </cfRule>
  </conditionalFormatting>
  <conditionalFormatting sqref="X397">
    <cfRule type="expression" priority="995" dxfId="3">
      <formula>AND(IF(OR($Q397=1,$Q397=2),1,0),IF($X397&lt;=20,1,0))</formula>
    </cfRule>
    <cfRule type="expression" priority="996" dxfId="2">
      <formula>AND(IF($Q397=2,1,0),IF($X397&lt;30,1,0))</formula>
    </cfRule>
    <cfRule type="expression" priority="997" dxfId="1">
      <formula>AND(IF($Q397=3,1,0),IF($X397&lt;30,1,0))</formula>
    </cfRule>
    <cfRule type="expression" priority="998" dxfId="0">
      <formula>AND(IF($Q397=3,1,IF($Q397=4,1,0)),IF($F397&lt;=85,1,0))</formula>
    </cfRule>
  </conditionalFormatting>
  <conditionalFormatting sqref="AI397">
    <cfRule type="expression" priority="991" dxfId="3">
      <formula>AND(IF(OR($Q397=1,$Q397=2),1,0),IF($X397&lt;=20,1,0))</formula>
    </cfRule>
    <cfRule type="expression" priority="992" dxfId="2">
      <formula>AND(IF($Q397=2,1,0),IF($X397&lt;30,1,0))</formula>
    </cfRule>
    <cfRule type="expression" priority="993" dxfId="1">
      <formula>AND(IF($Q397=3,1,0),IF($X397&lt;30,1,0))</formula>
    </cfRule>
    <cfRule type="expression" priority="994" dxfId="0">
      <formula>AND(IF($Q397=3,1,IF($Q397=4,1,0)),IF($F397&lt;=85,1,0))</formula>
    </cfRule>
  </conditionalFormatting>
  <conditionalFormatting sqref="AV398">
    <cfRule type="expression" priority="989" dxfId="23">
      <formula>AV398="X"</formula>
    </cfRule>
    <cfRule type="expression" priority="990" dxfId="22">
      <formula>AV398="후보"</formula>
    </cfRule>
  </conditionalFormatting>
  <conditionalFormatting sqref="AC3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8">
    <cfRule type="expression" priority="981" dxfId="3">
      <formula>AND(IF(OR($Q398=1,$Q398=2),1,0),IF($X398&lt;=20,1,0))</formula>
    </cfRule>
    <cfRule type="expression" priority="982" dxfId="2">
      <formula>AND(IF($Q398=2,1,0),IF($X398&lt;30,1,0))</formula>
    </cfRule>
    <cfRule type="expression" priority="983" dxfId="1">
      <formula>AND(IF($Q398=3,1,0),IF($X398&lt;30,1,0))</formula>
    </cfRule>
    <cfRule type="expression" priority="984" dxfId="0">
      <formula>AND(IF($Q398=3,1,IF($Q398=4,1,0)),IF($F398&lt;=85,1,0))</formula>
    </cfRule>
  </conditionalFormatting>
  <conditionalFormatting sqref="X398">
    <cfRule type="expression" priority="977" dxfId="3">
      <formula>AND(IF(OR($Q398=1,$Q398=2),1,0),IF($X398&lt;=20,1,0))</formula>
    </cfRule>
    <cfRule type="expression" priority="978" dxfId="2">
      <formula>AND(IF($Q398=2,1,0),IF($X398&lt;30,1,0))</formula>
    </cfRule>
    <cfRule type="expression" priority="979" dxfId="1">
      <formula>AND(IF($Q398=3,1,0),IF($X398&lt;30,1,0))</formula>
    </cfRule>
    <cfRule type="expression" priority="980" dxfId="0">
      <formula>AND(IF($Q398=3,1,IF($Q398=4,1,0)),IF($F398&lt;=85,1,0))</formula>
    </cfRule>
  </conditionalFormatting>
  <conditionalFormatting sqref="AI398">
    <cfRule type="expression" priority="973" dxfId="3">
      <formula>AND(IF(OR($Q398=1,$Q398=2),1,0),IF($X398&lt;=20,1,0))</formula>
    </cfRule>
    <cfRule type="expression" priority="974" dxfId="2">
      <formula>AND(IF($Q398=2,1,0),IF($X398&lt;30,1,0))</formula>
    </cfRule>
    <cfRule type="expression" priority="975" dxfId="1">
      <formula>AND(IF($Q398=3,1,0),IF($X398&lt;30,1,0))</formula>
    </cfRule>
    <cfRule type="expression" priority="976" dxfId="0">
      <formula>AND(IF($Q398=3,1,IF($Q398=4,1,0)),IF($F398&lt;=85,1,0))</formula>
    </cfRule>
  </conditionalFormatting>
  <conditionalFormatting sqref="AV399">
    <cfRule type="expression" priority="971" dxfId="23">
      <formula>AV399="X"</formula>
    </cfRule>
    <cfRule type="expression" priority="972" dxfId="22">
      <formula>AV399="후보"</formula>
    </cfRule>
  </conditionalFormatting>
  <conditionalFormatting sqref="AC3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99">
    <cfRule type="expression" priority="963" dxfId="3">
      <formula>AND(IF(OR($Q399=1,$Q399=2),1,0),IF($X399&lt;=20,1,0))</formula>
    </cfRule>
    <cfRule type="expression" priority="964" dxfId="2">
      <formula>AND(IF($Q399=2,1,0),IF($X399&lt;30,1,0))</formula>
    </cfRule>
    <cfRule type="expression" priority="965" dxfId="1">
      <formula>AND(IF($Q399=3,1,0),IF($X399&lt;30,1,0))</formula>
    </cfRule>
    <cfRule type="expression" priority="966" dxfId="0">
      <formula>AND(IF($Q399=3,1,IF($Q399=4,1,0)),IF($F399&lt;=85,1,0))</formula>
    </cfRule>
  </conditionalFormatting>
  <conditionalFormatting sqref="X399">
    <cfRule type="expression" priority="959" dxfId="3">
      <formula>AND(IF(OR($Q399=1,$Q399=2),1,0),IF($X399&lt;=20,1,0))</formula>
    </cfRule>
    <cfRule type="expression" priority="960" dxfId="2">
      <formula>AND(IF($Q399=2,1,0),IF($X399&lt;30,1,0))</formula>
    </cfRule>
    <cfRule type="expression" priority="961" dxfId="1">
      <formula>AND(IF($Q399=3,1,0),IF($X399&lt;30,1,0))</formula>
    </cfRule>
    <cfRule type="expression" priority="962" dxfId="0">
      <formula>AND(IF($Q399=3,1,IF($Q399=4,1,0)),IF($F399&lt;=85,1,0))</formula>
    </cfRule>
  </conditionalFormatting>
  <conditionalFormatting sqref="AI399">
    <cfRule type="expression" priority="955" dxfId="3">
      <formula>AND(IF(OR($Q399=1,$Q399=2),1,0),IF($X399&lt;=20,1,0))</formula>
    </cfRule>
    <cfRule type="expression" priority="956" dxfId="2">
      <formula>AND(IF($Q399=2,1,0),IF($X399&lt;30,1,0))</formula>
    </cfRule>
    <cfRule type="expression" priority="957" dxfId="1">
      <formula>AND(IF($Q399=3,1,0),IF($X399&lt;30,1,0))</formula>
    </cfRule>
    <cfRule type="expression" priority="958" dxfId="0">
      <formula>AND(IF($Q399=3,1,IF($Q399=4,1,0)),IF($F399&lt;=85,1,0))</formula>
    </cfRule>
  </conditionalFormatting>
  <conditionalFormatting sqref="AV400">
    <cfRule type="expression" priority="953" dxfId="23">
      <formula>AV400="X"</formula>
    </cfRule>
    <cfRule type="expression" priority="954" dxfId="22">
      <formula>AV400="후보"</formula>
    </cfRule>
  </conditionalFormatting>
  <conditionalFormatting sqref="AC4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00">
    <cfRule type="expression" priority="945" dxfId="3">
      <formula>AND(IF(OR($Q400=1,$Q400=2),1,0),IF($X400&lt;=20,1,0))</formula>
    </cfRule>
    <cfRule type="expression" priority="946" dxfId="2">
      <formula>AND(IF($Q400=2,1,0),IF($X400&lt;30,1,0))</formula>
    </cfRule>
    <cfRule type="expression" priority="947" dxfId="1">
      <formula>AND(IF($Q400=3,1,0),IF($X400&lt;30,1,0))</formula>
    </cfRule>
    <cfRule type="expression" priority="948" dxfId="0">
      <formula>AND(IF($Q400=3,1,IF($Q400=4,1,0)),IF($F400&lt;=85,1,0))</formula>
    </cfRule>
  </conditionalFormatting>
  <conditionalFormatting sqref="X400">
    <cfRule type="expression" priority="941" dxfId="3">
      <formula>AND(IF(OR($Q400=1,$Q400=2),1,0),IF($X400&lt;=20,1,0))</formula>
    </cfRule>
    <cfRule type="expression" priority="942" dxfId="2">
      <formula>AND(IF($Q400=2,1,0),IF($X400&lt;30,1,0))</formula>
    </cfRule>
    <cfRule type="expression" priority="943" dxfId="1">
      <formula>AND(IF($Q400=3,1,0),IF($X400&lt;30,1,0))</formula>
    </cfRule>
    <cfRule type="expression" priority="944" dxfId="0">
      <formula>AND(IF($Q400=3,1,IF($Q400=4,1,0)),IF($F400&lt;=85,1,0))</formula>
    </cfRule>
  </conditionalFormatting>
  <conditionalFormatting sqref="AI400">
    <cfRule type="expression" priority="937" dxfId="3">
      <formula>AND(IF(OR($Q400=1,$Q400=2),1,0),IF($X400&lt;=20,1,0))</formula>
    </cfRule>
    <cfRule type="expression" priority="938" dxfId="2">
      <formula>AND(IF($Q400=2,1,0),IF($X400&lt;30,1,0))</formula>
    </cfRule>
    <cfRule type="expression" priority="939" dxfId="1">
      <formula>AND(IF($Q400=3,1,0),IF($X400&lt;30,1,0))</formula>
    </cfRule>
    <cfRule type="expression" priority="940" dxfId="0">
      <formula>AND(IF($Q400=3,1,IF($Q400=4,1,0)),IF($F400&lt;=85,1,0))</formula>
    </cfRule>
  </conditionalFormatting>
  <conditionalFormatting sqref="AV401">
    <cfRule type="expression" priority="935" dxfId="23">
      <formula>AV401="X"</formula>
    </cfRule>
    <cfRule type="expression" priority="936" dxfId="22">
      <formula>AV401="후보"</formula>
    </cfRule>
  </conditionalFormatting>
  <conditionalFormatting sqref="AC4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01">
    <cfRule type="expression" priority="927" dxfId="3">
      <formula>AND(IF(OR($Q401=1,$Q401=2),1,0),IF($X401&lt;=20,1,0))</formula>
    </cfRule>
    <cfRule type="expression" priority="928" dxfId="2">
      <formula>AND(IF($Q401=2,1,0),IF($X401&lt;30,1,0))</formula>
    </cfRule>
    <cfRule type="expression" priority="929" dxfId="1">
      <formula>AND(IF($Q401=3,1,0),IF($X401&lt;30,1,0))</formula>
    </cfRule>
    <cfRule type="expression" priority="930" dxfId="0">
      <formula>AND(IF($Q401=3,1,IF($Q401=4,1,0)),IF($F401&lt;=85,1,0))</formula>
    </cfRule>
  </conditionalFormatting>
  <conditionalFormatting sqref="X401">
    <cfRule type="expression" priority="923" dxfId="3">
      <formula>AND(IF(OR($Q401=1,$Q401=2),1,0),IF($X401&lt;=20,1,0))</formula>
    </cfRule>
    <cfRule type="expression" priority="924" dxfId="2">
      <formula>AND(IF($Q401=2,1,0),IF($X401&lt;30,1,0))</formula>
    </cfRule>
    <cfRule type="expression" priority="925" dxfId="1">
      <formula>AND(IF($Q401=3,1,0),IF($X401&lt;30,1,0))</formula>
    </cfRule>
    <cfRule type="expression" priority="926" dxfId="0">
      <formula>AND(IF($Q401=3,1,IF($Q401=4,1,0)),IF($F401&lt;=85,1,0))</formula>
    </cfRule>
  </conditionalFormatting>
  <conditionalFormatting sqref="AI401">
    <cfRule type="expression" priority="919" dxfId="3">
      <formula>AND(IF(OR($Q401=1,$Q401=2),1,0),IF($X401&lt;=20,1,0))</formula>
    </cfRule>
    <cfRule type="expression" priority="920" dxfId="2">
      <formula>AND(IF($Q401=2,1,0),IF($X401&lt;30,1,0))</formula>
    </cfRule>
    <cfRule type="expression" priority="921" dxfId="1">
      <formula>AND(IF($Q401=3,1,0),IF($X401&lt;30,1,0))</formula>
    </cfRule>
    <cfRule type="expression" priority="922" dxfId="0">
      <formula>AND(IF($Q401=3,1,IF($Q401=4,1,0)),IF($F401&lt;=85,1,0))</formula>
    </cfRule>
  </conditionalFormatting>
  <conditionalFormatting sqref="AV402">
    <cfRule type="expression" priority="917" dxfId="23">
      <formula>AV402="X"</formula>
    </cfRule>
    <cfRule type="expression" priority="918" dxfId="22">
      <formula>AV402="후보"</formula>
    </cfRule>
  </conditionalFormatting>
  <conditionalFormatting sqref="AC4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02">
    <cfRule type="expression" priority="909" dxfId="3">
      <formula>AND(IF(OR($Q402=1,$Q402=2),1,0),IF($X402&lt;=20,1,0))</formula>
    </cfRule>
    <cfRule type="expression" priority="910" dxfId="2">
      <formula>AND(IF($Q402=2,1,0),IF($X402&lt;30,1,0))</formula>
    </cfRule>
    <cfRule type="expression" priority="911" dxfId="1">
      <formula>AND(IF($Q402=3,1,0),IF($X402&lt;30,1,0))</formula>
    </cfRule>
    <cfRule type="expression" priority="912" dxfId="0">
      <formula>AND(IF($Q402=3,1,IF($Q402=4,1,0)),IF($F402&lt;=85,1,0))</formula>
    </cfRule>
  </conditionalFormatting>
  <conditionalFormatting sqref="X402">
    <cfRule type="expression" priority="905" dxfId="3">
      <formula>AND(IF(OR($Q402=1,$Q402=2),1,0),IF($X402&lt;=20,1,0))</formula>
    </cfRule>
    <cfRule type="expression" priority="906" dxfId="2">
      <formula>AND(IF($Q402=2,1,0),IF($X402&lt;30,1,0))</formula>
    </cfRule>
    <cfRule type="expression" priority="907" dxfId="1">
      <formula>AND(IF($Q402=3,1,0),IF($X402&lt;30,1,0))</formula>
    </cfRule>
    <cfRule type="expression" priority="908" dxfId="0">
      <formula>AND(IF($Q402=3,1,IF($Q402=4,1,0)),IF($F402&lt;=85,1,0))</formula>
    </cfRule>
  </conditionalFormatting>
  <conditionalFormatting sqref="AI402">
    <cfRule type="expression" priority="901" dxfId="3">
      <formula>AND(IF(OR($Q402=1,$Q402=2),1,0),IF($X402&lt;=20,1,0))</formula>
    </cfRule>
    <cfRule type="expression" priority="902" dxfId="2">
      <formula>AND(IF($Q402=2,1,0),IF($X402&lt;30,1,0))</formula>
    </cfRule>
    <cfRule type="expression" priority="903" dxfId="1">
      <formula>AND(IF($Q402=3,1,0),IF($X402&lt;30,1,0))</formula>
    </cfRule>
    <cfRule type="expression" priority="904" dxfId="0">
      <formula>AND(IF($Q402=3,1,IF($Q402=4,1,0)),IF($F402&lt;=85,1,0))</formula>
    </cfRule>
  </conditionalFormatting>
  <conditionalFormatting sqref="AV403">
    <cfRule type="expression" priority="899" dxfId="23">
      <formula>AV403="X"</formula>
    </cfRule>
    <cfRule type="expression" priority="900" dxfId="22">
      <formula>AV403="후보"</formula>
    </cfRule>
  </conditionalFormatting>
  <conditionalFormatting sqref="AC4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03">
    <cfRule type="expression" priority="891" dxfId="3">
      <formula>AND(IF(OR($Q403=1,$Q403=2),1,0),IF($X403&lt;=20,1,0))</formula>
    </cfRule>
    <cfRule type="expression" priority="892" dxfId="2">
      <formula>AND(IF($Q403=2,1,0),IF($X403&lt;30,1,0))</formula>
    </cfRule>
    <cfRule type="expression" priority="893" dxfId="1">
      <formula>AND(IF($Q403=3,1,0),IF($X403&lt;30,1,0))</formula>
    </cfRule>
    <cfRule type="expression" priority="894" dxfId="0">
      <formula>AND(IF($Q403=3,1,IF($Q403=4,1,0)),IF($F403&lt;=85,1,0))</formula>
    </cfRule>
  </conditionalFormatting>
  <conditionalFormatting sqref="X403">
    <cfRule type="expression" priority="887" dxfId="3">
      <formula>AND(IF(OR($Q403=1,$Q403=2),1,0),IF($X403&lt;=20,1,0))</formula>
    </cfRule>
    <cfRule type="expression" priority="888" dxfId="2">
      <formula>AND(IF($Q403=2,1,0),IF($X403&lt;30,1,0))</formula>
    </cfRule>
    <cfRule type="expression" priority="889" dxfId="1">
      <formula>AND(IF($Q403=3,1,0),IF($X403&lt;30,1,0))</formula>
    </cfRule>
    <cfRule type="expression" priority="890" dxfId="0">
      <formula>AND(IF($Q403=3,1,IF($Q403=4,1,0)),IF($F403&lt;=85,1,0))</formula>
    </cfRule>
  </conditionalFormatting>
  <conditionalFormatting sqref="AI403">
    <cfRule type="expression" priority="883" dxfId="3">
      <formula>AND(IF(OR($Q403=1,$Q403=2),1,0),IF($X403&lt;=20,1,0))</formula>
    </cfRule>
    <cfRule type="expression" priority="884" dxfId="2">
      <formula>AND(IF($Q403=2,1,0),IF($X403&lt;30,1,0))</formula>
    </cfRule>
    <cfRule type="expression" priority="885" dxfId="1">
      <formula>AND(IF($Q403=3,1,0),IF($X403&lt;30,1,0))</formula>
    </cfRule>
    <cfRule type="expression" priority="886" dxfId="0">
      <formula>AND(IF($Q403=3,1,IF($Q403=4,1,0)),IF($F403&lt;=85,1,0))</formula>
    </cfRule>
  </conditionalFormatting>
  <conditionalFormatting sqref="AV404">
    <cfRule type="expression" priority="881" dxfId="23">
      <formula>AV404="X"</formula>
    </cfRule>
    <cfRule type="expression" priority="882" dxfId="22">
      <formula>AV404="후보"</formula>
    </cfRule>
  </conditionalFormatting>
  <conditionalFormatting sqref="AC4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04">
    <cfRule type="expression" priority="873" dxfId="3">
      <formula>AND(IF(OR($Q404=1,$Q404=2),1,0),IF($X404&lt;=20,1,0))</formula>
    </cfRule>
    <cfRule type="expression" priority="874" dxfId="2">
      <formula>AND(IF($Q404=2,1,0),IF($X404&lt;30,1,0))</formula>
    </cfRule>
    <cfRule type="expression" priority="875" dxfId="1">
      <formula>AND(IF($Q404=3,1,0),IF($X404&lt;30,1,0))</formula>
    </cfRule>
    <cfRule type="expression" priority="876" dxfId="0">
      <formula>AND(IF($Q404=3,1,IF($Q404=4,1,0)),IF($F404&lt;=85,1,0))</formula>
    </cfRule>
  </conditionalFormatting>
  <conditionalFormatting sqref="X404">
    <cfRule type="expression" priority="869" dxfId="3">
      <formula>AND(IF(OR($Q404=1,$Q404=2),1,0),IF($X404&lt;=20,1,0))</formula>
    </cfRule>
    <cfRule type="expression" priority="870" dxfId="2">
      <formula>AND(IF($Q404=2,1,0),IF($X404&lt;30,1,0))</formula>
    </cfRule>
    <cfRule type="expression" priority="871" dxfId="1">
      <formula>AND(IF($Q404=3,1,0),IF($X404&lt;30,1,0))</formula>
    </cfRule>
    <cfRule type="expression" priority="872" dxfId="0">
      <formula>AND(IF($Q404=3,1,IF($Q404=4,1,0)),IF($F404&lt;=85,1,0))</formula>
    </cfRule>
  </conditionalFormatting>
  <conditionalFormatting sqref="AI404">
    <cfRule type="expression" priority="865" dxfId="3">
      <formula>AND(IF(OR($Q404=1,$Q404=2),1,0),IF($X404&lt;=20,1,0))</formula>
    </cfRule>
    <cfRule type="expression" priority="866" dxfId="2">
      <formula>AND(IF($Q404=2,1,0),IF($X404&lt;30,1,0))</formula>
    </cfRule>
    <cfRule type="expression" priority="867" dxfId="1">
      <formula>AND(IF($Q404=3,1,0),IF($X404&lt;30,1,0))</formula>
    </cfRule>
    <cfRule type="expression" priority="868" dxfId="0">
      <formula>AND(IF($Q404=3,1,IF($Q404=4,1,0)),IF($F404&lt;=85,1,0))</formula>
    </cfRule>
  </conditionalFormatting>
  <conditionalFormatting sqref="AV405">
    <cfRule type="expression" priority="863" dxfId="23">
      <formula>AV405="X"</formula>
    </cfRule>
    <cfRule type="expression" priority="864" dxfId="22">
      <formula>AV405="후보"</formula>
    </cfRule>
  </conditionalFormatting>
  <conditionalFormatting sqref="AC4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05">
    <cfRule type="expression" priority="855" dxfId="3">
      <formula>AND(IF(OR($Q405=1,$Q405=2),1,0),IF($X405&lt;=20,1,0))</formula>
    </cfRule>
    <cfRule type="expression" priority="856" dxfId="2">
      <formula>AND(IF($Q405=2,1,0),IF($X405&lt;30,1,0))</formula>
    </cfRule>
    <cfRule type="expression" priority="857" dxfId="1">
      <formula>AND(IF($Q405=3,1,0),IF($X405&lt;30,1,0))</formula>
    </cfRule>
    <cfRule type="expression" priority="858" dxfId="0">
      <formula>AND(IF($Q405=3,1,IF($Q405=4,1,0)),IF($F405&lt;=85,1,0))</formula>
    </cfRule>
  </conditionalFormatting>
  <conditionalFormatting sqref="X405">
    <cfRule type="expression" priority="851" dxfId="3">
      <formula>AND(IF(OR($Q405=1,$Q405=2),1,0),IF($X405&lt;=20,1,0))</formula>
    </cfRule>
    <cfRule type="expression" priority="852" dxfId="2">
      <formula>AND(IF($Q405=2,1,0),IF($X405&lt;30,1,0))</formula>
    </cfRule>
    <cfRule type="expression" priority="853" dxfId="1">
      <formula>AND(IF($Q405=3,1,0),IF($X405&lt;30,1,0))</formula>
    </cfRule>
    <cfRule type="expression" priority="854" dxfId="0">
      <formula>AND(IF($Q405=3,1,IF($Q405=4,1,0)),IF($F405&lt;=85,1,0))</formula>
    </cfRule>
  </conditionalFormatting>
  <conditionalFormatting sqref="AI405">
    <cfRule type="expression" priority="847" dxfId="3">
      <formula>AND(IF(OR($Q405=1,$Q405=2),1,0),IF($X405&lt;=20,1,0))</formula>
    </cfRule>
    <cfRule type="expression" priority="848" dxfId="2">
      <formula>AND(IF($Q405=2,1,0),IF($X405&lt;30,1,0))</formula>
    </cfRule>
    <cfRule type="expression" priority="849" dxfId="1">
      <formula>AND(IF($Q405=3,1,0),IF($X405&lt;30,1,0))</formula>
    </cfRule>
    <cfRule type="expression" priority="850" dxfId="0">
      <formula>AND(IF($Q405=3,1,IF($Q405=4,1,0)),IF($F405&lt;=85,1,0))</formula>
    </cfRule>
  </conditionalFormatting>
  <conditionalFormatting sqref="AV406">
    <cfRule type="expression" priority="845" dxfId="23">
      <formula>AV406="X"</formula>
    </cfRule>
    <cfRule type="expression" priority="846" dxfId="22">
      <formula>AV406="후보"</formula>
    </cfRule>
  </conditionalFormatting>
  <conditionalFormatting sqref="AC4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6">
    <cfRule type="expression" priority="837" dxfId="3">
      <formula>AND(IF(OR($Q406=1,$Q406=2),1,0),IF($X406&lt;=20,1,0))</formula>
    </cfRule>
    <cfRule type="expression" priority="838" dxfId="2">
      <formula>AND(IF($Q406=2,1,0),IF($X406&lt;30,1,0))</formula>
    </cfRule>
    <cfRule type="expression" priority="839" dxfId="1">
      <formula>AND(IF($Q406=3,1,0),IF($X406&lt;30,1,0))</formula>
    </cfRule>
    <cfRule type="expression" priority="840" dxfId="0">
      <formula>AND(IF($Q406=3,1,IF($Q406=4,1,0)),IF($F406&lt;=85,1,0))</formula>
    </cfRule>
  </conditionalFormatting>
  <conditionalFormatting sqref="X406">
    <cfRule type="expression" priority="833" dxfId="3">
      <formula>AND(IF(OR($Q406=1,$Q406=2),1,0),IF($X406&lt;=20,1,0))</formula>
    </cfRule>
    <cfRule type="expression" priority="834" dxfId="2">
      <formula>AND(IF($Q406=2,1,0),IF($X406&lt;30,1,0))</formula>
    </cfRule>
    <cfRule type="expression" priority="835" dxfId="1">
      <formula>AND(IF($Q406=3,1,0),IF($X406&lt;30,1,0))</formula>
    </cfRule>
    <cfRule type="expression" priority="836" dxfId="0">
      <formula>AND(IF($Q406=3,1,IF($Q406=4,1,0)),IF($F406&lt;=85,1,0))</formula>
    </cfRule>
  </conditionalFormatting>
  <conditionalFormatting sqref="AI406">
    <cfRule type="expression" priority="829" dxfId="3">
      <formula>AND(IF(OR($Q406=1,$Q406=2),1,0),IF($X406&lt;=20,1,0))</formula>
    </cfRule>
    <cfRule type="expression" priority="830" dxfId="2">
      <formula>AND(IF($Q406=2,1,0),IF($X406&lt;30,1,0))</formula>
    </cfRule>
    <cfRule type="expression" priority="831" dxfId="1">
      <formula>AND(IF($Q406=3,1,0),IF($X406&lt;30,1,0))</formula>
    </cfRule>
    <cfRule type="expression" priority="832" dxfId="0">
      <formula>AND(IF($Q406=3,1,IF($Q406=4,1,0)),IF($F406&lt;=85,1,0))</formula>
    </cfRule>
  </conditionalFormatting>
  <conditionalFormatting sqref="AV407">
    <cfRule type="expression" priority="827" dxfId="23">
      <formula>AV407="X"</formula>
    </cfRule>
    <cfRule type="expression" priority="828" dxfId="22">
      <formula>AV407="후보"</formula>
    </cfRule>
  </conditionalFormatting>
  <conditionalFormatting sqref="AC4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07">
    <cfRule type="expression" priority="819" dxfId="3">
      <formula>AND(IF(OR($Q407=1,$Q407=2),1,0),IF($X407&lt;=20,1,0))</formula>
    </cfRule>
    <cfRule type="expression" priority="820" dxfId="2">
      <formula>AND(IF($Q407=2,1,0),IF($X407&lt;30,1,0))</formula>
    </cfRule>
    <cfRule type="expression" priority="821" dxfId="1">
      <formula>AND(IF($Q407=3,1,0),IF($X407&lt;30,1,0))</formula>
    </cfRule>
    <cfRule type="expression" priority="822" dxfId="0">
      <formula>AND(IF($Q407=3,1,IF($Q407=4,1,0)),IF($F407&lt;=85,1,0))</formula>
    </cfRule>
  </conditionalFormatting>
  <conditionalFormatting sqref="X407">
    <cfRule type="expression" priority="815" dxfId="3">
      <formula>AND(IF(OR($Q407=1,$Q407=2),1,0),IF($X407&lt;=20,1,0))</formula>
    </cfRule>
    <cfRule type="expression" priority="816" dxfId="2">
      <formula>AND(IF($Q407=2,1,0),IF($X407&lt;30,1,0))</formula>
    </cfRule>
    <cfRule type="expression" priority="817" dxfId="1">
      <formula>AND(IF($Q407=3,1,0),IF($X407&lt;30,1,0))</formula>
    </cfRule>
    <cfRule type="expression" priority="818" dxfId="0">
      <formula>AND(IF($Q407=3,1,IF($Q407=4,1,0)),IF($F407&lt;=85,1,0))</formula>
    </cfRule>
  </conditionalFormatting>
  <conditionalFormatting sqref="AI407">
    <cfRule type="expression" priority="811" dxfId="3">
      <formula>AND(IF(OR($Q407=1,$Q407=2),1,0),IF($X407&lt;=20,1,0))</formula>
    </cfRule>
    <cfRule type="expression" priority="812" dxfId="2">
      <formula>AND(IF($Q407=2,1,0),IF($X407&lt;30,1,0))</formula>
    </cfRule>
    <cfRule type="expression" priority="813" dxfId="1">
      <formula>AND(IF($Q407=3,1,0),IF($X407&lt;30,1,0))</formula>
    </cfRule>
    <cfRule type="expression" priority="814" dxfId="0">
      <formula>AND(IF($Q407=3,1,IF($Q407=4,1,0)),IF($F407&lt;=85,1,0))</formula>
    </cfRule>
  </conditionalFormatting>
  <conditionalFormatting sqref="AV408">
    <cfRule type="expression" priority="809" dxfId="23">
      <formula>AV408="X"</formula>
    </cfRule>
    <cfRule type="expression" priority="810" dxfId="22">
      <formula>AV408="후보"</formula>
    </cfRule>
  </conditionalFormatting>
  <conditionalFormatting sqref="AC4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08">
    <cfRule type="expression" priority="801" dxfId="3">
      <formula>AND(IF(OR($Q408=1,$Q408=2),1,0),IF($X408&lt;=20,1,0))</formula>
    </cfRule>
    <cfRule type="expression" priority="802" dxfId="2">
      <formula>AND(IF($Q408=2,1,0),IF($X408&lt;30,1,0))</formula>
    </cfRule>
    <cfRule type="expression" priority="803" dxfId="1">
      <formula>AND(IF($Q408=3,1,0),IF($X408&lt;30,1,0))</formula>
    </cfRule>
    <cfRule type="expression" priority="804" dxfId="0">
      <formula>AND(IF($Q408=3,1,IF($Q408=4,1,0)),IF($F408&lt;=85,1,0))</formula>
    </cfRule>
  </conditionalFormatting>
  <conditionalFormatting sqref="X408">
    <cfRule type="expression" priority="797" dxfId="3">
      <formula>AND(IF(OR($Q408=1,$Q408=2),1,0),IF($X408&lt;=20,1,0))</formula>
    </cfRule>
    <cfRule type="expression" priority="798" dxfId="2">
      <formula>AND(IF($Q408=2,1,0),IF($X408&lt;30,1,0))</formula>
    </cfRule>
    <cfRule type="expression" priority="799" dxfId="1">
      <formula>AND(IF($Q408=3,1,0),IF($X408&lt;30,1,0))</formula>
    </cfRule>
    <cfRule type="expression" priority="800" dxfId="0">
      <formula>AND(IF($Q408=3,1,IF($Q408=4,1,0)),IF($F408&lt;=85,1,0))</formula>
    </cfRule>
  </conditionalFormatting>
  <conditionalFormatting sqref="AI408">
    <cfRule type="expression" priority="793" dxfId="3">
      <formula>AND(IF(OR($Q408=1,$Q408=2),1,0),IF($X408&lt;=20,1,0))</formula>
    </cfRule>
    <cfRule type="expression" priority="794" dxfId="2">
      <formula>AND(IF($Q408=2,1,0),IF($X408&lt;30,1,0))</formula>
    </cfRule>
    <cfRule type="expression" priority="795" dxfId="1">
      <formula>AND(IF($Q408=3,1,0),IF($X408&lt;30,1,0))</formula>
    </cfRule>
    <cfRule type="expression" priority="796" dxfId="0">
      <formula>AND(IF($Q408=3,1,IF($Q408=4,1,0)),IF($F408&lt;=85,1,0))</formula>
    </cfRule>
  </conditionalFormatting>
  <conditionalFormatting sqref="AV409">
    <cfRule type="expression" priority="791" dxfId="23">
      <formula>AV409="X"</formula>
    </cfRule>
    <cfRule type="expression" priority="792" dxfId="22">
      <formula>AV409="후보"</formula>
    </cfRule>
  </conditionalFormatting>
  <conditionalFormatting sqref="AC4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09">
    <cfRule type="expression" priority="783" dxfId="3">
      <formula>AND(IF(OR($Q409=1,$Q409=2),1,0),IF($X409&lt;=20,1,0))</formula>
    </cfRule>
    <cfRule type="expression" priority="784" dxfId="2">
      <formula>AND(IF($Q409=2,1,0),IF($X409&lt;30,1,0))</formula>
    </cfRule>
    <cfRule type="expression" priority="785" dxfId="1">
      <formula>AND(IF($Q409=3,1,0),IF($X409&lt;30,1,0))</formula>
    </cfRule>
    <cfRule type="expression" priority="786" dxfId="0">
      <formula>AND(IF($Q409=3,1,IF($Q409=4,1,0)),IF($F409&lt;=85,1,0))</formula>
    </cfRule>
  </conditionalFormatting>
  <conditionalFormatting sqref="X409">
    <cfRule type="expression" priority="779" dxfId="3">
      <formula>AND(IF(OR($Q409=1,$Q409=2),1,0),IF($X409&lt;=20,1,0))</formula>
    </cfRule>
    <cfRule type="expression" priority="780" dxfId="2">
      <formula>AND(IF($Q409=2,1,0),IF($X409&lt;30,1,0))</formula>
    </cfRule>
    <cfRule type="expression" priority="781" dxfId="1">
      <formula>AND(IF($Q409=3,1,0),IF($X409&lt;30,1,0))</formula>
    </cfRule>
    <cfRule type="expression" priority="782" dxfId="0">
      <formula>AND(IF($Q409=3,1,IF($Q409=4,1,0)),IF($F409&lt;=85,1,0))</formula>
    </cfRule>
  </conditionalFormatting>
  <conditionalFormatting sqref="AI409">
    <cfRule type="expression" priority="775" dxfId="3">
      <formula>AND(IF(OR($Q409=1,$Q409=2),1,0),IF($X409&lt;=20,1,0))</formula>
    </cfRule>
    <cfRule type="expression" priority="776" dxfId="2">
      <formula>AND(IF($Q409=2,1,0),IF($X409&lt;30,1,0))</formula>
    </cfRule>
    <cfRule type="expression" priority="777" dxfId="1">
      <formula>AND(IF($Q409=3,1,0),IF($X409&lt;30,1,0))</formula>
    </cfRule>
    <cfRule type="expression" priority="778" dxfId="0">
      <formula>AND(IF($Q409=3,1,IF($Q409=4,1,0)),IF($F409&lt;=85,1,0))</formula>
    </cfRule>
  </conditionalFormatting>
  <conditionalFormatting sqref="AV410">
    <cfRule type="expression" priority="773" dxfId="23">
      <formula>AV410="X"</formula>
    </cfRule>
    <cfRule type="expression" priority="774" dxfId="22">
      <formula>AV410="후보"</formula>
    </cfRule>
  </conditionalFormatting>
  <conditionalFormatting sqref="AC4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10">
    <cfRule type="expression" priority="765" dxfId="3">
      <formula>AND(IF(OR($Q410=1,$Q410=2),1,0),IF($X410&lt;=20,1,0))</formula>
    </cfRule>
    <cfRule type="expression" priority="766" dxfId="2">
      <formula>AND(IF($Q410=2,1,0),IF($X410&lt;30,1,0))</formula>
    </cfRule>
    <cfRule type="expression" priority="767" dxfId="1">
      <formula>AND(IF($Q410=3,1,0),IF($X410&lt;30,1,0))</formula>
    </cfRule>
    <cfRule type="expression" priority="768" dxfId="0">
      <formula>AND(IF($Q410=3,1,IF($Q410=4,1,0)),IF($F410&lt;=85,1,0))</formula>
    </cfRule>
  </conditionalFormatting>
  <conditionalFormatting sqref="X410">
    <cfRule type="expression" priority="761" dxfId="3">
      <formula>AND(IF(OR($Q410=1,$Q410=2),1,0),IF($X410&lt;=20,1,0))</formula>
    </cfRule>
    <cfRule type="expression" priority="762" dxfId="2">
      <formula>AND(IF($Q410=2,1,0),IF($X410&lt;30,1,0))</formula>
    </cfRule>
    <cfRule type="expression" priority="763" dxfId="1">
      <formula>AND(IF($Q410=3,1,0),IF($X410&lt;30,1,0))</formula>
    </cfRule>
    <cfRule type="expression" priority="764" dxfId="0">
      <formula>AND(IF($Q410=3,1,IF($Q410=4,1,0)),IF($F410&lt;=85,1,0))</formula>
    </cfRule>
  </conditionalFormatting>
  <conditionalFormatting sqref="AI410">
    <cfRule type="expression" priority="757" dxfId="3">
      <formula>AND(IF(OR($Q410=1,$Q410=2),1,0),IF($X410&lt;=20,1,0))</formula>
    </cfRule>
    <cfRule type="expression" priority="758" dxfId="2">
      <formula>AND(IF($Q410=2,1,0),IF($X410&lt;30,1,0))</formula>
    </cfRule>
    <cfRule type="expression" priority="759" dxfId="1">
      <formula>AND(IF($Q410=3,1,0),IF($X410&lt;30,1,0))</formula>
    </cfRule>
    <cfRule type="expression" priority="760" dxfId="0">
      <formula>AND(IF($Q410=3,1,IF($Q410=4,1,0)),IF($F410&lt;=85,1,0))</formula>
    </cfRule>
  </conditionalFormatting>
  <conditionalFormatting sqref="AV411">
    <cfRule type="expression" priority="755" dxfId="23">
      <formula>AV411="X"</formula>
    </cfRule>
    <cfRule type="expression" priority="756" dxfId="22">
      <formula>AV411="후보"</formula>
    </cfRule>
  </conditionalFormatting>
  <conditionalFormatting sqref="AC4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11">
    <cfRule type="expression" priority="747" dxfId="3">
      <formula>AND(IF(OR($Q411=1,$Q411=2),1,0),IF($X411&lt;=20,1,0))</formula>
    </cfRule>
    <cfRule type="expression" priority="748" dxfId="2">
      <formula>AND(IF($Q411=2,1,0),IF($X411&lt;30,1,0))</formula>
    </cfRule>
    <cfRule type="expression" priority="749" dxfId="1">
      <formula>AND(IF($Q411=3,1,0),IF($X411&lt;30,1,0))</formula>
    </cfRule>
    <cfRule type="expression" priority="750" dxfId="0">
      <formula>AND(IF($Q411=3,1,IF($Q411=4,1,0)),IF($F411&lt;=85,1,0))</formula>
    </cfRule>
  </conditionalFormatting>
  <conditionalFormatting sqref="X411">
    <cfRule type="expression" priority="743" dxfId="3">
      <formula>AND(IF(OR($Q411=1,$Q411=2),1,0),IF($X411&lt;=20,1,0))</formula>
    </cfRule>
    <cfRule type="expression" priority="744" dxfId="2">
      <formula>AND(IF($Q411=2,1,0),IF($X411&lt;30,1,0))</formula>
    </cfRule>
    <cfRule type="expression" priority="745" dxfId="1">
      <formula>AND(IF($Q411=3,1,0),IF($X411&lt;30,1,0))</formula>
    </cfRule>
    <cfRule type="expression" priority="746" dxfId="0">
      <formula>AND(IF($Q411=3,1,IF($Q411=4,1,0)),IF($F411&lt;=85,1,0))</formula>
    </cfRule>
  </conditionalFormatting>
  <conditionalFormatting sqref="AI411">
    <cfRule type="expression" priority="739" dxfId="3">
      <formula>AND(IF(OR($Q411=1,$Q411=2),1,0),IF($X411&lt;=20,1,0))</formula>
    </cfRule>
    <cfRule type="expression" priority="740" dxfId="2">
      <formula>AND(IF($Q411=2,1,0),IF($X411&lt;30,1,0))</formula>
    </cfRule>
    <cfRule type="expression" priority="741" dxfId="1">
      <formula>AND(IF($Q411=3,1,0),IF($X411&lt;30,1,0))</formula>
    </cfRule>
    <cfRule type="expression" priority="742" dxfId="0">
      <formula>AND(IF($Q411=3,1,IF($Q411=4,1,0)),IF($F411&lt;=85,1,0))</formula>
    </cfRule>
  </conditionalFormatting>
  <conditionalFormatting sqref="AV412">
    <cfRule type="expression" priority="737" dxfId="23">
      <formula>AV412="X"</formula>
    </cfRule>
    <cfRule type="expression" priority="738" dxfId="22">
      <formula>AV412="후보"</formula>
    </cfRule>
  </conditionalFormatting>
  <conditionalFormatting sqref="AC4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12">
    <cfRule type="expression" priority="729" dxfId="3">
      <formula>AND(IF(OR($Q412=1,$Q412=2),1,0),IF($X412&lt;=20,1,0))</formula>
    </cfRule>
    <cfRule type="expression" priority="730" dxfId="2">
      <formula>AND(IF($Q412=2,1,0),IF($X412&lt;30,1,0))</formula>
    </cfRule>
    <cfRule type="expression" priority="731" dxfId="1">
      <formula>AND(IF($Q412=3,1,0),IF($X412&lt;30,1,0))</formula>
    </cfRule>
    <cfRule type="expression" priority="732" dxfId="0">
      <formula>AND(IF($Q412=3,1,IF($Q412=4,1,0)),IF($F412&lt;=85,1,0))</formula>
    </cfRule>
  </conditionalFormatting>
  <conditionalFormatting sqref="X412">
    <cfRule type="expression" priority="725" dxfId="3">
      <formula>AND(IF(OR($Q412=1,$Q412=2),1,0),IF($X412&lt;=20,1,0))</formula>
    </cfRule>
    <cfRule type="expression" priority="726" dxfId="2">
      <formula>AND(IF($Q412=2,1,0),IF($X412&lt;30,1,0))</formula>
    </cfRule>
    <cfRule type="expression" priority="727" dxfId="1">
      <formula>AND(IF($Q412=3,1,0),IF($X412&lt;30,1,0))</formula>
    </cfRule>
    <cfRule type="expression" priority="728" dxfId="0">
      <formula>AND(IF($Q412=3,1,IF($Q412=4,1,0)),IF($F412&lt;=85,1,0))</formula>
    </cfRule>
  </conditionalFormatting>
  <conditionalFormatting sqref="AI412">
    <cfRule type="expression" priority="721" dxfId="3">
      <formula>AND(IF(OR($Q412=1,$Q412=2),1,0),IF($X412&lt;=20,1,0))</formula>
    </cfRule>
    <cfRule type="expression" priority="722" dxfId="2">
      <formula>AND(IF($Q412=2,1,0),IF($X412&lt;30,1,0))</formula>
    </cfRule>
    <cfRule type="expression" priority="723" dxfId="1">
      <formula>AND(IF($Q412=3,1,0),IF($X412&lt;30,1,0))</formula>
    </cfRule>
    <cfRule type="expression" priority="724" dxfId="0">
      <formula>AND(IF($Q412=3,1,IF($Q412=4,1,0)),IF($F412&lt;=85,1,0))</formula>
    </cfRule>
  </conditionalFormatting>
  <conditionalFormatting sqref="AV413">
    <cfRule type="expression" priority="719" dxfId="23">
      <formula>AV413="X"</formula>
    </cfRule>
    <cfRule type="expression" priority="720" dxfId="22">
      <formula>AV413="후보"</formula>
    </cfRule>
  </conditionalFormatting>
  <conditionalFormatting sqref="AC4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13">
    <cfRule type="expression" priority="711" dxfId="3">
      <formula>AND(IF(OR($Q413=1,$Q413=2),1,0),IF($X413&lt;=20,1,0))</formula>
    </cfRule>
    <cfRule type="expression" priority="712" dxfId="2">
      <formula>AND(IF($Q413=2,1,0),IF($X413&lt;30,1,0))</formula>
    </cfRule>
    <cfRule type="expression" priority="713" dxfId="1">
      <formula>AND(IF($Q413=3,1,0),IF($X413&lt;30,1,0))</formula>
    </cfRule>
    <cfRule type="expression" priority="714" dxfId="0">
      <formula>AND(IF($Q413=3,1,IF($Q413=4,1,0)),IF($F413&lt;=85,1,0))</formula>
    </cfRule>
  </conditionalFormatting>
  <conditionalFormatting sqref="X413">
    <cfRule type="expression" priority="707" dxfId="3">
      <formula>AND(IF(OR($Q413=1,$Q413=2),1,0),IF($X413&lt;=20,1,0))</formula>
    </cfRule>
    <cfRule type="expression" priority="708" dxfId="2">
      <formula>AND(IF($Q413=2,1,0),IF($X413&lt;30,1,0))</formula>
    </cfRule>
    <cfRule type="expression" priority="709" dxfId="1">
      <formula>AND(IF($Q413=3,1,0),IF($X413&lt;30,1,0))</formula>
    </cfRule>
    <cfRule type="expression" priority="710" dxfId="0">
      <formula>AND(IF($Q413=3,1,IF($Q413=4,1,0)),IF($F413&lt;=85,1,0))</formula>
    </cfRule>
  </conditionalFormatting>
  <conditionalFormatting sqref="AI413">
    <cfRule type="expression" priority="703" dxfId="3">
      <formula>AND(IF(OR($Q413=1,$Q413=2),1,0),IF($X413&lt;=20,1,0))</formula>
    </cfRule>
    <cfRule type="expression" priority="704" dxfId="2">
      <formula>AND(IF($Q413=2,1,0),IF($X413&lt;30,1,0))</formula>
    </cfRule>
    <cfRule type="expression" priority="705" dxfId="1">
      <formula>AND(IF($Q413=3,1,0),IF($X413&lt;30,1,0))</formula>
    </cfRule>
    <cfRule type="expression" priority="706" dxfId="0">
      <formula>AND(IF($Q413=3,1,IF($Q413=4,1,0)),IF($F413&lt;=85,1,0))</formula>
    </cfRule>
  </conditionalFormatting>
  <conditionalFormatting sqref="AV414">
    <cfRule type="expression" priority="701" dxfId="23">
      <formula>AV414="X"</formula>
    </cfRule>
    <cfRule type="expression" priority="702" dxfId="22">
      <formula>AV414="후보"</formula>
    </cfRule>
  </conditionalFormatting>
  <conditionalFormatting sqref="AC4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14">
    <cfRule type="expression" priority="693" dxfId="3">
      <formula>AND(IF(OR($Q414=1,$Q414=2),1,0),IF($X414&lt;=20,1,0))</formula>
    </cfRule>
    <cfRule type="expression" priority="694" dxfId="2">
      <formula>AND(IF($Q414=2,1,0),IF($X414&lt;30,1,0))</formula>
    </cfRule>
    <cfRule type="expression" priority="695" dxfId="1">
      <formula>AND(IF($Q414=3,1,0),IF($X414&lt;30,1,0))</formula>
    </cfRule>
    <cfRule type="expression" priority="696" dxfId="0">
      <formula>AND(IF($Q414=3,1,IF($Q414=4,1,0)),IF($F414&lt;=85,1,0))</formula>
    </cfRule>
  </conditionalFormatting>
  <conditionalFormatting sqref="X414">
    <cfRule type="expression" priority="689" dxfId="3">
      <formula>AND(IF(OR($Q414=1,$Q414=2),1,0),IF($X414&lt;=20,1,0))</formula>
    </cfRule>
    <cfRule type="expression" priority="690" dxfId="2">
      <formula>AND(IF($Q414=2,1,0),IF($X414&lt;30,1,0))</formula>
    </cfRule>
    <cfRule type="expression" priority="691" dxfId="1">
      <formula>AND(IF($Q414=3,1,0),IF($X414&lt;30,1,0))</formula>
    </cfRule>
    <cfRule type="expression" priority="692" dxfId="0">
      <formula>AND(IF($Q414=3,1,IF($Q414=4,1,0)),IF($F414&lt;=85,1,0))</formula>
    </cfRule>
  </conditionalFormatting>
  <conditionalFormatting sqref="AI414">
    <cfRule type="expression" priority="685" dxfId="3">
      <formula>AND(IF(OR($Q414=1,$Q414=2),1,0),IF($X414&lt;=20,1,0))</formula>
    </cfRule>
    <cfRule type="expression" priority="686" dxfId="2">
      <formula>AND(IF($Q414=2,1,0),IF($X414&lt;30,1,0))</formula>
    </cfRule>
    <cfRule type="expression" priority="687" dxfId="1">
      <formula>AND(IF($Q414=3,1,0),IF($X414&lt;30,1,0))</formula>
    </cfRule>
    <cfRule type="expression" priority="688" dxfId="0">
      <formula>AND(IF($Q414=3,1,IF($Q414=4,1,0)),IF($F414&lt;=85,1,0))</formula>
    </cfRule>
  </conditionalFormatting>
  <conditionalFormatting sqref="AV415">
    <cfRule type="expression" priority="683" dxfId="23">
      <formula>AV415="X"</formula>
    </cfRule>
    <cfRule type="expression" priority="684" dxfId="22">
      <formula>AV415="후보"</formula>
    </cfRule>
  </conditionalFormatting>
  <conditionalFormatting sqref="AC4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15">
    <cfRule type="expression" priority="675" dxfId="3">
      <formula>AND(IF(OR($Q415=1,$Q415=2),1,0),IF($X415&lt;=20,1,0))</formula>
    </cfRule>
    <cfRule type="expression" priority="676" dxfId="2">
      <formula>AND(IF($Q415=2,1,0),IF($X415&lt;30,1,0))</formula>
    </cfRule>
    <cfRule type="expression" priority="677" dxfId="1">
      <formula>AND(IF($Q415=3,1,0),IF($X415&lt;30,1,0))</formula>
    </cfRule>
    <cfRule type="expression" priority="678" dxfId="0">
      <formula>AND(IF($Q415=3,1,IF($Q415=4,1,0)),IF($F415&lt;=85,1,0))</formula>
    </cfRule>
  </conditionalFormatting>
  <conditionalFormatting sqref="X415">
    <cfRule type="expression" priority="671" dxfId="3">
      <formula>AND(IF(OR($Q415=1,$Q415=2),1,0),IF($X415&lt;=20,1,0))</formula>
    </cfRule>
    <cfRule type="expression" priority="672" dxfId="2">
      <formula>AND(IF($Q415=2,1,0),IF($X415&lt;30,1,0))</formula>
    </cfRule>
    <cfRule type="expression" priority="673" dxfId="1">
      <formula>AND(IF($Q415=3,1,0),IF($X415&lt;30,1,0))</formula>
    </cfRule>
    <cfRule type="expression" priority="674" dxfId="0">
      <formula>AND(IF($Q415=3,1,IF($Q415=4,1,0)),IF($F415&lt;=85,1,0))</formula>
    </cfRule>
  </conditionalFormatting>
  <conditionalFormatting sqref="AI415">
    <cfRule type="expression" priority="667" dxfId="3">
      <formula>AND(IF(OR($Q415=1,$Q415=2),1,0),IF($X415&lt;=20,1,0))</formula>
    </cfRule>
    <cfRule type="expression" priority="668" dxfId="2">
      <formula>AND(IF($Q415=2,1,0),IF($X415&lt;30,1,0))</formula>
    </cfRule>
    <cfRule type="expression" priority="669" dxfId="1">
      <formula>AND(IF($Q415=3,1,0),IF($X415&lt;30,1,0))</formula>
    </cfRule>
    <cfRule type="expression" priority="670" dxfId="0">
      <formula>AND(IF($Q415=3,1,IF($Q415=4,1,0)),IF($F415&lt;=85,1,0))</formula>
    </cfRule>
  </conditionalFormatting>
  <conditionalFormatting sqref="AV416">
    <cfRule type="expression" priority="665" dxfId="23">
      <formula>AV416="X"</formula>
    </cfRule>
    <cfRule type="expression" priority="666" dxfId="22">
      <formula>AV416="후보"</formula>
    </cfRule>
  </conditionalFormatting>
  <conditionalFormatting sqref="AC4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16">
    <cfRule type="expression" priority="657" dxfId="3">
      <formula>AND(IF(OR($Q416=1,$Q416=2),1,0),IF($X416&lt;=20,1,0))</formula>
    </cfRule>
    <cfRule type="expression" priority="658" dxfId="2">
      <formula>AND(IF($Q416=2,1,0),IF($X416&lt;30,1,0))</formula>
    </cfRule>
    <cfRule type="expression" priority="659" dxfId="1">
      <formula>AND(IF($Q416=3,1,0),IF($X416&lt;30,1,0))</formula>
    </cfRule>
    <cfRule type="expression" priority="660" dxfId="0">
      <formula>AND(IF($Q416=3,1,IF($Q416=4,1,0)),IF($F416&lt;=85,1,0))</formula>
    </cfRule>
  </conditionalFormatting>
  <conditionalFormatting sqref="X416">
    <cfRule type="expression" priority="653" dxfId="3">
      <formula>AND(IF(OR($Q416=1,$Q416=2),1,0),IF($X416&lt;=20,1,0))</formula>
    </cfRule>
    <cfRule type="expression" priority="654" dxfId="2">
      <formula>AND(IF($Q416=2,1,0),IF($X416&lt;30,1,0))</formula>
    </cfRule>
    <cfRule type="expression" priority="655" dxfId="1">
      <formula>AND(IF($Q416=3,1,0),IF($X416&lt;30,1,0))</formula>
    </cfRule>
    <cfRule type="expression" priority="656" dxfId="0">
      <formula>AND(IF($Q416=3,1,IF($Q416=4,1,0)),IF($F416&lt;=85,1,0))</formula>
    </cfRule>
  </conditionalFormatting>
  <conditionalFormatting sqref="AI416">
    <cfRule type="expression" priority="649" dxfId="3">
      <formula>AND(IF(OR($Q416=1,$Q416=2),1,0),IF($X416&lt;=20,1,0))</formula>
    </cfRule>
    <cfRule type="expression" priority="650" dxfId="2">
      <formula>AND(IF($Q416=2,1,0),IF($X416&lt;30,1,0))</formula>
    </cfRule>
    <cfRule type="expression" priority="651" dxfId="1">
      <formula>AND(IF($Q416=3,1,0),IF($X416&lt;30,1,0))</formula>
    </cfRule>
    <cfRule type="expression" priority="652" dxfId="0">
      <formula>AND(IF($Q416=3,1,IF($Q416=4,1,0)),IF($F416&lt;=85,1,0))</formula>
    </cfRule>
  </conditionalFormatting>
  <conditionalFormatting sqref="AV417">
    <cfRule type="expression" priority="647" dxfId="23">
      <formula>AV417="X"</formula>
    </cfRule>
    <cfRule type="expression" priority="648" dxfId="22">
      <formula>AV417="후보"</formula>
    </cfRule>
  </conditionalFormatting>
  <conditionalFormatting sqref="AC4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17">
    <cfRule type="expression" priority="639" dxfId="3">
      <formula>AND(IF(OR($Q417=1,$Q417=2),1,0),IF($X417&lt;=20,1,0))</formula>
    </cfRule>
    <cfRule type="expression" priority="640" dxfId="2">
      <formula>AND(IF($Q417=2,1,0),IF($X417&lt;30,1,0))</formula>
    </cfRule>
    <cfRule type="expression" priority="641" dxfId="1">
      <formula>AND(IF($Q417=3,1,0),IF($X417&lt;30,1,0))</formula>
    </cfRule>
    <cfRule type="expression" priority="642" dxfId="0">
      <formula>AND(IF($Q417=3,1,IF($Q417=4,1,0)),IF($F417&lt;=85,1,0))</formula>
    </cfRule>
  </conditionalFormatting>
  <conditionalFormatting sqref="X417">
    <cfRule type="expression" priority="635" dxfId="3">
      <formula>AND(IF(OR($Q417=1,$Q417=2),1,0),IF($X417&lt;=20,1,0))</formula>
    </cfRule>
    <cfRule type="expression" priority="636" dxfId="2">
      <formula>AND(IF($Q417=2,1,0),IF($X417&lt;30,1,0))</formula>
    </cfRule>
    <cfRule type="expression" priority="637" dxfId="1">
      <formula>AND(IF($Q417=3,1,0),IF($X417&lt;30,1,0))</formula>
    </cfRule>
    <cfRule type="expression" priority="638" dxfId="0">
      <formula>AND(IF($Q417=3,1,IF($Q417=4,1,0)),IF($F417&lt;=85,1,0))</formula>
    </cfRule>
  </conditionalFormatting>
  <conditionalFormatting sqref="AI417">
    <cfRule type="expression" priority="631" dxfId="3">
      <formula>AND(IF(OR($Q417=1,$Q417=2),1,0),IF($X417&lt;=20,1,0))</formula>
    </cfRule>
    <cfRule type="expression" priority="632" dxfId="2">
      <formula>AND(IF($Q417=2,1,0),IF($X417&lt;30,1,0))</formula>
    </cfRule>
    <cfRule type="expression" priority="633" dxfId="1">
      <formula>AND(IF($Q417=3,1,0),IF($X417&lt;30,1,0))</formula>
    </cfRule>
    <cfRule type="expression" priority="634" dxfId="0">
      <formula>AND(IF($Q417=3,1,IF($Q417=4,1,0)),IF($F417&lt;=85,1,0))</formula>
    </cfRule>
  </conditionalFormatting>
  <conditionalFormatting sqref="AV418">
    <cfRule type="expression" priority="629" dxfId="23">
      <formula>AV418="X"</formula>
    </cfRule>
    <cfRule type="expression" priority="630" dxfId="22">
      <formula>AV418="후보"</formula>
    </cfRule>
  </conditionalFormatting>
  <conditionalFormatting sqref="AC4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18">
    <cfRule type="expression" priority="621" dxfId="3">
      <formula>AND(IF(OR($Q418=1,$Q418=2),1,0),IF($X418&lt;=20,1,0))</formula>
    </cfRule>
    <cfRule type="expression" priority="622" dxfId="2">
      <formula>AND(IF($Q418=2,1,0),IF($X418&lt;30,1,0))</formula>
    </cfRule>
    <cfRule type="expression" priority="623" dxfId="1">
      <formula>AND(IF($Q418=3,1,0),IF($X418&lt;30,1,0))</formula>
    </cfRule>
    <cfRule type="expression" priority="624" dxfId="0">
      <formula>AND(IF($Q418=3,1,IF($Q418=4,1,0)),IF($F418&lt;=85,1,0))</formula>
    </cfRule>
  </conditionalFormatting>
  <conditionalFormatting sqref="X418">
    <cfRule type="expression" priority="617" dxfId="3">
      <formula>AND(IF(OR($Q418=1,$Q418=2),1,0),IF($X418&lt;=20,1,0))</formula>
    </cfRule>
    <cfRule type="expression" priority="618" dxfId="2">
      <formula>AND(IF($Q418=2,1,0),IF($X418&lt;30,1,0))</formula>
    </cfRule>
    <cfRule type="expression" priority="619" dxfId="1">
      <formula>AND(IF($Q418=3,1,0),IF($X418&lt;30,1,0))</formula>
    </cfRule>
    <cfRule type="expression" priority="620" dxfId="0">
      <formula>AND(IF($Q418=3,1,IF($Q418=4,1,0)),IF($F418&lt;=85,1,0))</formula>
    </cfRule>
  </conditionalFormatting>
  <conditionalFormatting sqref="AI418">
    <cfRule type="expression" priority="613" dxfId="3">
      <formula>AND(IF(OR($Q418=1,$Q418=2),1,0),IF($X418&lt;=20,1,0))</formula>
    </cfRule>
    <cfRule type="expression" priority="614" dxfId="2">
      <formula>AND(IF($Q418=2,1,0),IF($X418&lt;30,1,0))</formula>
    </cfRule>
    <cfRule type="expression" priority="615" dxfId="1">
      <formula>AND(IF($Q418=3,1,0),IF($X418&lt;30,1,0))</formula>
    </cfRule>
    <cfRule type="expression" priority="616" dxfId="0">
      <formula>AND(IF($Q418=3,1,IF($Q418=4,1,0)),IF($F418&lt;=85,1,0))</formula>
    </cfRule>
  </conditionalFormatting>
  <conditionalFormatting sqref="AV419">
    <cfRule type="expression" priority="611" dxfId="23">
      <formula>AV419="X"</formula>
    </cfRule>
    <cfRule type="expression" priority="612" dxfId="22">
      <formula>AV419="후보"</formula>
    </cfRule>
  </conditionalFormatting>
  <conditionalFormatting sqref="AC4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19">
    <cfRule type="expression" priority="603" dxfId="3">
      <formula>AND(IF(OR($Q419=1,$Q419=2),1,0),IF($X419&lt;=20,1,0))</formula>
    </cfRule>
    <cfRule type="expression" priority="604" dxfId="2">
      <formula>AND(IF($Q419=2,1,0),IF($X419&lt;30,1,0))</formula>
    </cfRule>
    <cfRule type="expression" priority="605" dxfId="1">
      <formula>AND(IF($Q419=3,1,0),IF($X419&lt;30,1,0))</formula>
    </cfRule>
    <cfRule type="expression" priority="606" dxfId="0">
      <formula>AND(IF($Q419=3,1,IF($Q419=4,1,0)),IF($F419&lt;=85,1,0))</formula>
    </cfRule>
  </conditionalFormatting>
  <conditionalFormatting sqref="X419">
    <cfRule type="expression" priority="599" dxfId="3">
      <formula>AND(IF(OR($Q419=1,$Q419=2),1,0),IF($X419&lt;=20,1,0))</formula>
    </cfRule>
    <cfRule type="expression" priority="600" dxfId="2">
      <formula>AND(IF($Q419=2,1,0),IF($X419&lt;30,1,0))</formula>
    </cfRule>
    <cfRule type="expression" priority="601" dxfId="1">
      <formula>AND(IF($Q419=3,1,0),IF($X419&lt;30,1,0))</formula>
    </cfRule>
    <cfRule type="expression" priority="602" dxfId="0">
      <formula>AND(IF($Q419=3,1,IF($Q419=4,1,0)),IF($F419&lt;=85,1,0))</formula>
    </cfRule>
  </conditionalFormatting>
  <conditionalFormatting sqref="AI419">
    <cfRule type="expression" priority="595" dxfId="3">
      <formula>AND(IF(OR($Q419=1,$Q419=2),1,0),IF($X419&lt;=20,1,0))</formula>
    </cfRule>
    <cfRule type="expression" priority="596" dxfId="2">
      <formula>AND(IF($Q419=2,1,0),IF($X419&lt;30,1,0))</formula>
    </cfRule>
    <cfRule type="expression" priority="597" dxfId="1">
      <formula>AND(IF($Q419=3,1,0),IF($X419&lt;30,1,0))</formula>
    </cfRule>
    <cfRule type="expression" priority="598" dxfId="0">
      <formula>AND(IF($Q419=3,1,IF($Q419=4,1,0)),IF($F419&lt;=85,1,0))</formula>
    </cfRule>
  </conditionalFormatting>
  <conditionalFormatting sqref="AV420">
    <cfRule type="expression" priority="593" dxfId="23">
      <formula>AV420="X"</formula>
    </cfRule>
    <cfRule type="expression" priority="594" dxfId="22">
      <formula>AV420="후보"</formula>
    </cfRule>
  </conditionalFormatting>
  <conditionalFormatting sqref="AC4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20">
    <cfRule type="expression" priority="585" dxfId="3">
      <formula>AND(IF(OR($Q420=1,$Q420=2),1,0),IF($X420&lt;=20,1,0))</formula>
    </cfRule>
    <cfRule type="expression" priority="586" dxfId="2">
      <formula>AND(IF($Q420=2,1,0),IF($X420&lt;30,1,0))</formula>
    </cfRule>
    <cfRule type="expression" priority="587" dxfId="1">
      <formula>AND(IF($Q420=3,1,0),IF($X420&lt;30,1,0))</formula>
    </cfRule>
    <cfRule type="expression" priority="588" dxfId="0">
      <formula>AND(IF($Q420=3,1,IF($Q420=4,1,0)),IF($F420&lt;=85,1,0))</formula>
    </cfRule>
  </conditionalFormatting>
  <conditionalFormatting sqref="X420">
    <cfRule type="expression" priority="581" dxfId="3">
      <formula>AND(IF(OR($Q420=1,$Q420=2),1,0),IF($X420&lt;=20,1,0))</formula>
    </cfRule>
    <cfRule type="expression" priority="582" dxfId="2">
      <formula>AND(IF($Q420=2,1,0),IF($X420&lt;30,1,0))</formula>
    </cfRule>
    <cfRule type="expression" priority="583" dxfId="1">
      <formula>AND(IF($Q420=3,1,0),IF($X420&lt;30,1,0))</formula>
    </cfRule>
    <cfRule type="expression" priority="584" dxfId="0">
      <formula>AND(IF($Q420=3,1,IF($Q420=4,1,0)),IF($F420&lt;=85,1,0))</formula>
    </cfRule>
  </conditionalFormatting>
  <conditionalFormatting sqref="AI420">
    <cfRule type="expression" priority="577" dxfId="3">
      <formula>AND(IF(OR($Q420=1,$Q420=2),1,0),IF($X420&lt;=20,1,0))</formula>
    </cfRule>
    <cfRule type="expression" priority="578" dxfId="2">
      <formula>AND(IF($Q420=2,1,0),IF($X420&lt;30,1,0))</formula>
    </cfRule>
    <cfRule type="expression" priority="579" dxfId="1">
      <formula>AND(IF($Q420=3,1,0),IF($X420&lt;30,1,0))</formula>
    </cfRule>
    <cfRule type="expression" priority="580" dxfId="0">
      <formula>AND(IF($Q420=3,1,IF($Q420=4,1,0)),IF($F420&lt;=85,1,0))</formula>
    </cfRule>
  </conditionalFormatting>
  <conditionalFormatting sqref="AV421">
    <cfRule type="expression" priority="575" dxfId="23">
      <formula>AV421="X"</formula>
    </cfRule>
    <cfRule type="expression" priority="576" dxfId="22">
      <formula>AV421="후보"</formula>
    </cfRule>
  </conditionalFormatting>
  <conditionalFormatting sqref="AC4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21">
    <cfRule type="expression" priority="567" dxfId="3">
      <formula>AND(IF(OR($Q421=1,$Q421=2),1,0),IF($X421&lt;=20,1,0))</formula>
    </cfRule>
    <cfRule type="expression" priority="568" dxfId="2">
      <formula>AND(IF($Q421=2,1,0),IF($X421&lt;30,1,0))</formula>
    </cfRule>
    <cfRule type="expression" priority="569" dxfId="1">
      <formula>AND(IF($Q421=3,1,0),IF($X421&lt;30,1,0))</formula>
    </cfRule>
    <cfRule type="expression" priority="570" dxfId="0">
      <formula>AND(IF($Q421=3,1,IF($Q421=4,1,0)),IF($F421&lt;=85,1,0))</formula>
    </cfRule>
  </conditionalFormatting>
  <conditionalFormatting sqref="X421">
    <cfRule type="expression" priority="563" dxfId="3">
      <formula>AND(IF(OR($Q421=1,$Q421=2),1,0),IF($X421&lt;=20,1,0))</formula>
    </cfRule>
    <cfRule type="expression" priority="564" dxfId="2">
      <formula>AND(IF($Q421=2,1,0),IF($X421&lt;30,1,0))</formula>
    </cfRule>
    <cfRule type="expression" priority="565" dxfId="1">
      <formula>AND(IF($Q421=3,1,0),IF($X421&lt;30,1,0))</formula>
    </cfRule>
    <cfRule type="expression" priority="566" dxfId="0">
      <formula>AND(IF($Q421=3,1,IF($Q421=4,1,0)),IF($F421&lt;=85,1,0))</formula>
    </cfRule>
  </conditionalFormatting>
  <conditionalFormatting sqref="AI421">
    <cfRule type="expression" priority="559" dxfId="3">
      <formula>AND(IF(OR($Q421=1,$Q421=2),1,0),IF($X421&lt;=20,1,0))</formula>
    </cfRule>
    <cfRule type="expression" priority="560" dxfId="2">
      <formula>AND(IF($Q421=2,1,0),IF($X421&lt;30,1,0))</formula>
    </cfRule>
    <cfRule type="expression" priority="561" dxfId="1">
      <formula>AND(IF($Q421=3,1,0),IF($X421&lt;30,1,0))</formula>
    </cfRule>
    <cfRule type="expression" priority="562" dxfId="0">
      <formula>AND(IF($Q421=3,1,IF($Q421=4,1,0)),IF($F421&lt;=85,1,0))</formula>
    </cfRule>
  </conditionalFormatting>
  <conditionalFormatting sqref="AV422">
    <cfRule type="expression" priority="557" dxfId="23">
      <formula>AV422="X"</formula>
    </cfRule>
    <cfRule type="expression" priority="558" dxfId="22">
      <formula>AV422="후보"</formula>
    </cfRule>
  </conditionalFormatting>
  <conditionalFormatting sqref="AC4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22">
    <cfRule type="expression" priority="549" dxfId="3">
      <formula>AND(IF(OR($Q422=1,$Q422=2),1,0),IF($X422&lt;=20,1,0))</formula>
    </cfRule>
    <cfRule type="expression" priority="550" dxfId="2">
      <formula>AND(IF($Q422=2,1,0),IF($X422&lt;30,1,0))</formula>
    </cfRule>
    <cfRule type="expression" priority="551" dxfId="1">
      <formula>AND(IF($Q422=3,1,0),IF($X422&lt;30,1,0))</formula>
    </cfRule>
    <cfRule type="expression" priority="552" dxfId="0">
      <formula>AND(IF($Q422=3,1,IF($Q422=4,1,0)),IF($F422&lt;=85,1,0))</formula>
    </cfRule>
  </conditionalFormatting>
  <conditionalFormatting sqref="X422">
    <cfRule type="expression" priority="545" dxfId="3">
      <formula>AND(IF(OR($Q422=1,$Q422=2),1,0),IF($X422&lt;=20,1,0))</formula>
    </cfRule>
    <cfRule type="expression" priority="546" dxfId="2">
      <formula>AND(IF($Q422=2,1,0),IF($X422&lt;30,1,0))</formula>
    </cfRule>
    <cfRule type="expression" priority="547" dxfId="1">
      <formula>AND(IF($Q422=3,1,0),IF($X422&lt;30,1,0))</formula>
    </cfRule>
    <cfRule type="expression" priority="548" dxfId="0">
      <formula>AND(IF($Q422=3,1,IF($Q422=4,1,0)),IF($F422&lt;=85,1,0))</formula>
    </cfRule>
  </conditionalFormatting>
  <conditionalFormatting sqref="AI422">
    <cfRule type="expression" priority="541" dxfId="3">
      <formula>AND(IF(OR($Q422=1,$Q422=2),1,0),IF($X422&lt;=20,1,0))</formula>
    </cfRule>
    <cfRule type="expression" priority="542" dxfId="2">
      <formula>AND(IF($Q422=2,1,0),IF($X422&lt;30,1,0))</formula>
    </cfRule>
    <cfRule type="expression" priority="543" dxfId="1">
      <formula>AND(IF($Q422=3,1,0),IF($X422&lt;30,1,0))</formula>
    </cfRule>
    <cfRule type="expression" priority="544" dxfId="0">
      <formula>AND(IF($Q422=3,1,IF($Q422=4,1,0)),IF($F422&lt;=85,1,0))</formula>
    </cfRule>
  </conditionalFormatting>
  <conditionalFormatting sqref="AV423">
    <cfRule type="expression" priority="539" dxfId="23">
      <formula>AV423="X"</formula>
    </cfRule>
    <cfRule type="expression" priority="540" dxfId="22">
      <formula>AV423="후보"</formula>
    </cfRule>
  </conditionalFormatting>
  <conditionalFormatting sqref="AC4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23">
    <cfRule type="expression" priority="531" dxfId="3">
      <formula>AND(IF(OR($Q423=1,$Q423=2),1,0),IF($X423&lt;=20,1,0))</formula>
    </cfRule>
    <cfRule type="expression" priority="532" dxfId="2">
      <formula>AND(IF($Q423=2,1,0),IF($X423&lt;30,1,0))</formula>
    </cfRule>
    <cfRule type="expression" priority="533" dxfId="1">
      <formula>AND(IF($Q423=3,1,0),IF($X423&lt;30,1,0))</formula>
    </cfRule>
    <cfRule type="expression" priority="534" dxfId="0">
      <formula>AND(IF($Q423=3,1,IF($Q423=4,1,0)),IF($F423&lt;=85,1,0))</formula>
    </cfRule>
  </conditionalFormatting>
  <conditionalFormatting sqref="X423">
    <cfRule type="expression" priority="527" dxfId="3">
      <formula>AND(IF(OR($Q423=1,$Q423=2),1,0),IF($X423&lt;=20,1,0))</formula>
    </cfRule>
    <cfRule type="expression" priority="528" dxfId="2">
      <formula>AND(IF($Q423=2,1,0),IF($X423&lt;30,1,0))</formula>
    </cfRule>
    <cfRule type="expression" priority="529" dxfId="1">
      <formula>AND(IF($Q423=3,1,0),IF($X423&lt;30,1,0))</formula>
    </cfRule>
    <cfRule type="expression" priority="530" dxfId="0">
      <formula>AND(IF($Q423=3,1,IF($Q423=4,1,0)),IF($F423&lt;=85,1,0))</formula>
    </cfRule>
  </conditionalFormatting>
  <conditionalFormatting sqref="AI423">
    <cfRule type="expression" priority="523" dxfId="3">
      <formula>AND(IF(OR($Q423=1,$Q423=2),1,0),IF($X423&lt;=20,1,0))</formula>
    </cfRule>
    <cfRule type="expression" priority="524" dxfId="2">
      <formula>AND(IF($Q423=2,1,0),IF($X423&lt;30,1,0))</formula>
    </cfRule>
    <cfRule type="expression" priority="525" dxfId="1">
      <formula>AND(IF($Q423=3,1,0),IF($X423&lt;30,1,0))</formula>
    </cfRule>
    <cfRule type="expression" priority="526" dxfId="0">
      <formula>AND(IF($Q423=3,1,IF($Q423=4,1,0)),IF($F423&lt;=85,1,0))</formula>
    </cfRule>
  </conditionalFormatting>
  <conditionalFormatting sqref="AV424">
    <cfRule type="expression" priority="521" dxfId="23">
      <formula>AV424="X"</formula>
    </cfRule>
    <cfRule type="expression" priority="522" dxfId="22">
      <formula>AV424="후보"</formula>
    </cfRule>
  </conditionalFormatting>
  <conditionalFormatting sqref="AC4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24">
    <cfRule type="expression" priority="513" dxfId="3">
      <formula>AND(IF(OR($Q424=1,$Q424=2),1,0),IF($X424&lt;=20,1,0))</formula>
    </cfRule>
    <cfRule type="expression" priority="514" dxfId="2">
      <formula>AND(IF($Q424=2,1,0),IF($X424&lt;30,1,0))</formula>
    </cfRule>
    <cfRule type="expression" priority="515" dxfId="1">
      <formula>AND(IF($Q424=3,1,0),IF($X424&lt;30,1,0))</formula>
    </cfRule>
    <cfRule type="expression" priority="516" dxfId="0">
      <formula>AND(IF($Q424=3,1,IF($Q424=4,1,0)),IF($F424&lt;=85,1,0))</formula>
    </cfRule>
  </conditionalFormatting>
  <conditionalFormatting sqref="X424">
    <cfRule type="expression" priority="509" dxfId="3">
      <formula>AND(IF(OR($Q424=1,$Q424=2),1,0),IF($X424&lt;=20,1,0))</formula>
    </cfRule>
    <cfRule type="expression" priority="510" dxfId="2">
      <formula>AND(IF($Q424=2,1,0),IF($X424&lt;30,1,0))</formula>
    </cfRule>
    <cfRule type="expression" priority="511" dxfId="1">
      <formula>AND(IF($Q424=3,1,0),IF($X424&lt;30,1,0))</formula>
    </cfRule>
    <cfRule type="expression" priority="512" dxfId="0">
      <formula>AND(IF($Q424=3,1,IF($Q424=4,1,0)),IF($F424&lt;=85,1,0))</formula>
    </cfRule>
  </conditionalFormatting>
  <conditionalFormatting sqref="AI424">
    <cfRule type="expression" priority="505" dxfId="3">
      <formula>AND(IF(OR($Q424=1,$Q424=2),1,0),IF($X424&lt;=20,1,0))</formula>
    </cfRule>
    <cfRule type="expression" priority="506" dxfId="2">
      <formula>AND(IF($Q424=2,1,0),IF($X424&lt;30,1,0))</formula>
    </cfRule>
    <cfRule type="expression" priority="507" dxfId="1">
      <formula>AND(IF($Q424=3,1,0),IF($X424&lt;30,1,0))</formula>
    </cfRule>
    <cfRule type="expression" priority="508" dxfId="0">
      <formula>AND(IF($Q424=3,1,IF($Q424=4,1,0)),IF($F424&lt;=85,1,0))</formula>
    </cfRule>
  </conditionalFormatting>
  <conditionalFormatting sqref="AV425">
    <cfRule type="expression" priority="503" dxfId="23">
      <formula>AV425="X"</formula>
    </cfRule>
    <cfRule type="expression" priority="504" dxfId="22">
      <formula>AV425="후보"</formula>
    </cfRule>
  </conditionalFormatting>
  <conditionalFormatting sqref="AC4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25">
    <cfRule type="expression" priority="495" dxfId="3">
      <formula>AND(IF(OR($Q425=1,$Q425=2),1,0),IF($X425&lt;=20,1,0))</formula>
    </cfRule>
    <cfRule type="expression" priority="496" dxfId="2">
      <formula>AND(IF($Q425=2,1,0),IF($X425&lt;30,1,0))</formula>
    </cfRule>
    <cfRule type="expression" priority="497" dxfId="1">
      <formula>AND(IF($Q425=3,1,0),IF($X425&lt;30,1,0))</formula>
    </cfRule>
    <cfRule type="expression" priority="498" dxfId="0">
      <formula>AND(IF($Q425=3,1,IF($Q425=4,1,0)),IF($F425&lt;=85,1,0))</formula>
    </cfRule>
  </conditionalFormatting>
  <conditionalFormatting sqref="X425">
    <cfRule type="expression" priority="491" dxfId="3">
      <formula>AND(IF(OR($Q425=1,$Q425=2),1,0),IF($X425&lt;=20,1,0))</formula>
    </cfRule>
    <cfRule type="expression" priority="492" dxfId="2">
      <formula>AND(IF($Q425=2,1,0),IF($X425&lt;30,1,0))</formula>
    </cfRule>
    <cfRule type="expression" priority="493" dxfId="1">
      <formula>AND(IF($Q425=3,1,0),IF($X425&lt;30,1,0))</formula>
    </cfRule>
    <cfRule type="expression" priority="494" dxfId="0">
      <formula>AND(IF($Q425=3,1,IF($Q425=4,1,0)),IF($F425&lt;=85,1,0))</formula>
    </cfRule>
  </conditionalFormatting>
  <conditionalFormatting sqref="AI425">
    <cfRule type="expression" priority="487" dxfId="3">
      <formula>AND(IF(OR($Q425=1,$Q425=2),1,0),IF($X425&lt;=20,1,0))</formula>
    </cfRule>
    <cfRule type="expression" priority="488" dxfId="2">
      <formula>AND(IF($Q425=2,1,0),IF($X425&lt;30,1,0))</formula>
    </cfRule>
    <cfRule type="expression" priority="489" dxfId="1">
      <formula>AND(IF($Q425=3,1,0),IF($X425&lt;30,1,0))</formula>
    </cfRule>
    <cfRule type="expression" priority="490" dxfId="0">
      <formula>AND(IF($Q425=3,1,IF($Q425=4,1,0)),IF($F425&lt;=85,1,0))</formula>
    </cfRule>
  </conditionalFormatting>
  <conditionalFormatting sqref="AV426">
    <cfRule type="expression" priority="485" dxfId="23">
      <formula>AV426="X"</formula>
    </cfRule>
    <cfRule type="expression" priority="486" dxfId="22">
      <formula>AV426="후보"</formula>
    </cfRule>
  </conditionalFormatting>
  <conditionalFormatting sqref="AC4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26">
    <cfRule type="expression" priority="477" dxfId="3">
      <formula>AND(IF(OR($Q426=1,$Q426=2),1,0),IF($X426&lt;=20,1,0))</formula>
    </cfRule>
    <cfRule type="expression" priority="478" dxfId="2">
      <formula>AND(IF($Q426=2,1,0),IF($X426&lt;30,1,0))</formula>
    </cfRule>
    <cfRule type="expression" priority="479" dxfId="1">
      <formula>AND(IF($Q426=3,1,0),IF($X426&lt;30,1,0))</formula>
    </cfRule>
    <cfRule type="expression" priority="480" dxfId="0">
      <formula>AND(IF($Q426=3,1,IF($Q426=4,1,0)),IF($F426&lt;=85,1,0))</formula>
    </cfRule>
  </conditionalFormatting>
  <conditionalFormatting sqref="X426">
    <cfRule type="expression" priority="473" dxfId="3">
      <formula>AND(IF(OR($Q426=1,$Q426=2),1,0),IF($X426&lt;=20,1,0))</formula>
    </cfRule>
    <cfRule type="expression" priority="474" dxfId="2">
      <formula>AND(IF($Q426=2,1,0),IF($X426&lt;30,1,0))</formula>
    </cfRule>
    <cfRule type="expression" priority="475" dxfId="1">
      <formula>AND(IF($Q426=3,1,0),IF($X426&lt;30,1,0))</formula>
    </cfRule>
    <cfRule type="expression" priority="476" dxfId="0">
      <formula>AND(IF($Q426=3,1,IF($Q426=4,1,0)),IF($F426&lt;=85,1,0))</formula>
    </cfRule>
  </conditionalFormatting>
  <conditionalFormatting sqref="AI426">
    <cfRule type="expression" priority="469" dxfId="3">
      <formula>AND(IF(OR($Q426=1,$Q426=2),1,0),IF($X426&lt;=20,1,0))</formula>
    </cfRule>
    <cfRule type="expression" priority="470" dxfId="2">
      <formula>AND(IF($Q426=2,1,0),IF($X426&lt;30,1,0))</formula>
    </cfRule>
    <cfRule type="expression" priority="471" dxfId="1">
      <formula>AND(IF($Q426=3,1,0),IF($X426&lt;30,1,0))</formula>
    </cfRule>
    <cfRule type="expression" priority="472" dxfId="0">
      <formula>AND(IF($Q426=3,1,IF($Q426=4,1,0)),IF($F426&lt;=85,1,0))</formula>
    </cfRule>
  </conditionalFormatting>
  <conditionalFormatting sqref="AV427">
    <cfRule type="expression" priority="467" dxfId="23">
      <formula>AV427="X"</formula>
    </cfRule>
    <cfRule type="expression" priority="468" dxfId="22">
      <formula>AV427="후보"</formula>
    </cfRule>
  </conditionalFormatting>
  <conditionalFormatting sqref="AC4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27">
    <cfRule type="expression" priority="459" dxfId="3">
      <formula>AND(IF(OR($Q427=1,$Q427=2),1,0),IF($X427&lt;=20,1,0))</formula>
    </cfRule>
    <cfRule type="expression" priority="460" dxfId="2">
      <formula>AND(IF($Q427=2,1,0),IF($X427&lt;30,1,0))</formula>
    </cfRule>
    <cfRule type="expression" priority="461" dxfId="1">
      <formula>AND(IF($Q427=3,1,0),IF($X427&lt;30,1,0))</formula>
    </cfRule>
    <cfRule type="expression" priority="462" dxfId="0">
      <formula>AND(IF($Q427=3,1,IF($Q427=4,1,0)),IF($F427&lt;=85,1,0))</formula>
    </cfRule>
  </conditionalFormatting>
  <conditionalFormatting sqref="X427">
    <cfRule type="expression" priority="455" dxfId="3">
      <formula>AND(IF(OR($Q427=1,$Q427=2),1,0),IF($X427&lt;=20,1,0))</formula>
    </cfRule>
    <cfRule type="expression" priority="456" dxfId="2">
      <formula>AND(IF($Q427=2,1,0),IF($X427&lt;30,1,0))</formula>
    </cfRule>
    <cfRule type="expression" priority="457" dxfId="1">
      <formula>AND(IF($Q427=3,1,0),IF($X427&lt;30,1,0))</formula>
    </cfRule>
    <cfRule type="expression" priority="458" dxfId="0">
      <formula>AND(IF($Q427=3,1,IF($Q427=4,1,0)),IF($F427&lt;=85,1,0))</formula>
    </cfRule>
  </conditionalFormatting>
  <conditionalFormatting sqref="AI427">
    <cfRule type="expression" priority="451" dxfId="3">
      <formula>AND(IF(OR($Q427=1,$Q427=2),1,0),IF($X427&lt;=20,1,0))</formula>
    </cfRule>
    <cfRule type="expression" priority="452" dxfId="2">
      <formula>AND(IF($Q427=2,1,0),IF($X427&lt;30,1,0))</formula>
    </cfRule>
    <cfRule type="expression" priority="453" dxfId="1">
      <formula>AND(IF($Q427=3,1,0),IF($X427&lt;30,1,0))</formula>
    </cfRule>
    <cfRule type="expression" priority="454" dxfId="0">
      <formula>AND(IF($Q427=3,1,IF($Q427=4,1,0)),IF($F427&lt;=85,1,0))</formula>
    </cfRule>
  </conditionalFormatting>
  <conditionalFormatting sqref="AV428">
    <cfRule type="expression" priority="449" dxfId="23">
      <formula>AV428="X"</formula>
    </cfRule>
    <cfRule type="expression" priority="450" dxfId="22">
      <formula>AV428="후보"</formula>
    </cfRule>
  </conditionalFormatting>
  <conditionalFormatting sqref="AC4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28">
    <cfRule type="expression" priority="441" dxfId="3">
      <formula>AND(IF(OR($Q428=1,$Q428=2),1,0),IF($X428&lt;=20,1,0))</formula>
    </cfRule>
    <cfRule type="expression" priority="442" dxfId="2">
      <formula>AND(IF($Q428=2,1,0),IF($X428&lt;30,1,0))</formula>
    </cfRule>
    <cfRule type="expression" priority="443" dxfId="1">
      <formula>AND(IF($Q428=3,1,0),IF($X428&lt;30,1,0))</formula>
    </cfRule>
    <cfRule type="expression" priority="444" dxfId="0">
      <formula>AND(IF($Q428=3,1,IF($Q428=4,1,0)),IF($F428&lt;=85,1,0))</formula>
    </cfRule>
  </conditionalFormatting>
  <conditionalFormatting sqref="X428">
    <cfRule type="expression" priority="437" dxfId="3">
      <formula>AND(IF(OR($Q428=1,$Q428=2),1,0),IF($X428&lt;=20,1,0))</formula>
    </cfRule>
    <cfRule type="expression" priority="438" dxfId="2">
      <formula>AND(IF($Q428=2,1,0),IF($X428&lt;30,1,0))</formula>
    </cfRule>
    <cfRule type="expression" priority="439" dxfId="1">
      <formula>AND(IF($Q428=3,1,0),IF($X428&lt;30,1,0))</formula>
    </cfRule>
    <cfRule type="expression" priority="440" dxfId="0">
      <formula>AND(IF($Q428=3,1,IF($Q428=4,1,0)),IF($F428&lt;=85,1,0))</formula>
    </cfRule>
  </conditionalFormatting>
  <conditionalFormatting sqref="AI428">
    <cfRule type="expression" priority="433" dxfId="3">
      <formula>AND(IF(OR($Q428=1,$Q428=2),1,0),IF($X428&lt;=20,1,0))</formula>
    </cfRule>
    <cfRule type="expression" priority="434" dxfId="2">
      <formula>AND(IF($Q428=2,1,0),IF($X428&lt;30,1,0))</formula>
    </cfRule>
    <cfRule type="expression" priority="435" dxfId="1">
      <formula>AND(IF($Q428=3,1,0),IF($X428&lt;30,1,0))</formula>
    </cfRule>
    <cfRule type="expression" priority="436" dxfId="0">
      <formula>AND(IF($Q428=3,1,IF($Q428=4,1,0)),IF($F428&lt;=85,1,0))</formula>
    </cfRule>
  </conditionalFormatting>
  <conditionalFormatting sqref="AV429">
    <cfRule type="expression" priority="431" dxfId="23">
      <formula>AV429="X"</formula>
    </cfRule>
    <cfRule type="expression" priority="432" dxfId="22">
      <formula>AV429="후보"</formula>
    </cfRule>
  </conditionalFormatting>
  <conditionalFormatting sqref="AC4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29">
    <cfRule type="expression" priority="423" dxfId="3">
      <formula>AND(IF(OR($Q429=1,$Q429=2),1,0),IF($X429&lt;=20,1,0))</formula>
    </cfRule>
    <cfRule type="expression" priority="424" dxfId="2">
      <formula>AND(IF($Q429=2,1,0),IF($X429&lt;30,1,0))</formula>
    </cfRule>
    <cfRule type="expression" priority="425" dxfId="1">
      <formula>AND(IF($Q429=3,1,0),IF($X429&lt;30,1,0))</formula>
    </cfRule>
    <cfRule type="expression" priority="426" dxfId="0">
      <formula>AND(IF($Q429=3,1,IF($Q429=4,1,0)),IF($F429&lt;=85,1,0))</formula>
    </cfRule>
  </conditionalFormatting>
  <conditionalFormatting sqref="X429">
    <cfRule type="expression" priority="419" dxfId="3">
      <formula>AND(IF(OR($Q429=1,$Q429=2),1,0),IF($X429&lt;=20,1,0))</formula>
    </cfRule>
    <cfRule type="expression" priority="420" dxfId="2">
      <formula>AND(IF($Q429=2,1,0),IF($X429&lt;30,1,0))</formula>
    </cfRule>
    <cfRule type="expression" priority="421" dxfId="1">
      <formula>AND(IF($Q429=3,1,0),IF($X429&lt;30,1,0))</formula>
    </cfRule>
    <cfRule type="expression" priority="422" dxfId="0">
      <formula>AND(IF($Q429=3,1,IF($Q429=4,1,0)),IF($F429&lt;=85,1,0))</formula>
    </cfRule>
  </conditionalFormatting>
  <conditionalFormatting sqref="AI429">
    <cfRule type="expression" priority="415" dxfId="3">
      <formula>AND(IF(OR($Q429=1,$Q429=2),1,0),IF($X429&lt;=20,1,0))</formula>
    </cfRule>
    <cfRule type="expression" priority="416" dxfId="2">
      <formula>AND(IF($Q429=2,1,0),IF($X429&lt;30,1,0))</formula>
    </cfRule>
    <cfRule type="expression" priority="417" dxfId="1">
      <formula>AND(IF($Q429=3,1,0),IF($X429&lt;30,1,0))</formula>
    </cfRule>
    <cfRule type="expression" priority="418" dxfId="0">
      <formula>AND(IF($Q429=3,1,IF($Q429=4,1,0)),IF($F429&lt;=85,1,0))</formula>
    </cfRule>
  </conditionalFormatting>
  <conditionalFormatting sqref="AV430">
    <cfRule type="expression" priority="413" dxfId="23">
      <formula>AV430="X"</formula>
    </cfRule>
    <cfRule type="expression" priority="414" dxfId="22">
      <formula>AV430="후보"</formula>
    </cfRule>
  </conditionalFormatting>
  <conditionalFormatting sqref="AC4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30">
    <cfRule type="expression" priority="405" dxfId="3">
      <formula>AND(IF(OR($Q430=1,$Q430=2),1,0),IF($X430&lt;=20,1,0))</formula>
    </cfRule>
    <cfRule type="expression" priority="406" dxfId="2">
      <formula>AND(IF($Q430=2,1,0),IF($X430&lt;30,1,0))</formula>
    </cfRule>
    <cfRule type="expression" priority="407" dxfId="1">
      <formula>AND(IF($Q430=3,1,0),IF($X430&lt;30,1,0))</formula>
    </cfRule>
    <cfRule type="expression" priority="408" dxfId="0">
      <formula>AND(IF($Q430=3,1,IF($Q430=4,1,0)),IF($F430&lt;=85,1,0))</formula>
    </cfRule>
  </conditionalFormatting>
  <conditionalFormatting sqref="X430">
    <cfRule type="expression" priority="401" dxfId="3">
      <formula>AND(IF(OR($Q430=1,$Q430=2),1,0),IF($X430&lt;=20,1,0))</formula>
    </cfRule>
    <cfRule type="expression" priority="402" dxfId="2">
      <formula>AND(IF($Q430=2,1,0),IF($X430&lt;30,1,0))</formula>
    </cfRule>
    <cfRule type="expression" priority="403" dxfId="1">
      <formula>AND(IF($Q430=3,1,0),IF($X430&lt;30,1,0))</formula>
    </cfRule>
    <cfRule type="expression" priority="404" dxfId="0">
      <formula>AND(IF($Q430=3,1,IF($Q430=4,1,0)),IF($F430&lt;=85,1,0))</formula>
    </cfRule>
  </conditionalFormatting>
  <conditionalFormatting sqref="AI430">
    <cfRule type="expression" priority="397" dxfId="3">
      <formula>AND(IF(OR($Q430=1,$Q430=2),1,0),IF($X430&lt;=20,1,0))</formula>
    </cfRule>
    <cfRule type="expression" priority="398" dxfId="2">
      <formula>AND(IF($Q430=2,1,0),IF($X430&lt;30,1,0))</formula>
    </cfRule>
    <cfRule type="expression" priority="399" dxfId="1">
      <formula>AND(IF($Q430=3,1,0),IF($X430&lt;30,1,0))</formula>
    </cfRule>
    <cfRule type="expression" priority="400" dxfId="0">
      <formula>AND(IF($Q430=3,1,IF($Q430=4,1,0)),IF($F430&lt;=85,1,0))</formula>
    </cfRule>
  </conditionalFormatting>
  <conditionalFormatting sqref="AV431">
    <cfRule type="expression" priority="395" dxfId="23">
      <formula>AV431="X"</formula>
    </cfRule>
    <cfRule type="expression" priority="396" dxfId="22">
      <formula>AV431="후보"</formula>
    </cfRule>
  </conditionalFormatting>
  <conditionalFormatting sqref="AC4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1">
    <cfRule type="expression" priority="387" dxfId="3">
      <formula>AND(IF(OR($Q431=1,$Q431=2),1,0),IF($X431&lt;=20,1,0))</formula>
    </cfRule>
    <cfRule type="expression" priority="388" dxfId="2">
      <formula>AND(IF($Q431=2,1,0),IF($X431&lt;30,1,0))</formula>
    </cfRule>
    <cfRule type="expression" priority="389" dxfId="1">
      <formula>AND(IF($Q431=3,1,0),IF($X431&lt;30,1,0))</formula>
    </cfRule>
    <cfRule type="expression" priority="390" dxfId="0">
      <formula>AND(IF($Q431=3,1,IF($Q431=4,1,0)),IF($F431&lt;=85,1,0))</formula>
    </cfRule>
  </conditionalFormatting>
  <conditionalFormatting sqref="X431">
    <cfRule type="expression" priority="383" dxfId="3">
      <formula>AND(IF(OR($Q431=1,$Q431=2),1,0),IF($X431&lt;=20,1,0))</formula>
    </cfRule>
    <cfRule type="expression" priority="384" dxfId="2">
      <formula>AND(IF($Q431=2,1,0),IF($X431&lt;30,1,0))</formula>
    </cfRule>
    <cfRule type="expression" priority="385" dxfId="1">
      <formula>AND(IF($Q431=3,1,0),IF($X431&lt;30,1,0))</formula>
    </cfRule>
    <cfRule type="expression" priority="386" dxfId="0">
      <formula>AND(IF($Q431=3,1,IF($Q431=4,1,0)),IF($F431&lt;=85,1,0))</formula>
    </cfRule>
  </conditionalFormatting>
  <conditionalFormatting sqref="AI431">
    <cfRule type="expression" priority="379" dxfId="3">
      <formula>AND(IF(OR($Q431=1,$Q431=2),1,0),IF($X431&lt;=20,1,0))</formula>
    </cfRule>
    <cfRule type="expression" priority="380" dxfId="2">
      <formula>AND(IF($Q431=2,1,0),IF($X431&lt;30,1,0))</formula>
    </cfRule>
    <cfRule type="expression" priority="381" dxfId="1">
      <formula>AND(IF($Q431=3,1,0),IF($X431&lt;30,1,0))</formula>
    </cfRule>
    <cfRule type="expression" priority="382" dxfId="0">
      <formula>AND(IF($Q431=3,1,IF($Q431=4,1,0)),IF($F431&lt;=85,1,0))</formula>
    </cfRule>
  </conditionalFormatting>
  <conditionalFormatting sqref="AV432">
    <cfRule type="expression" priority="377" dxfId="23">
      <formula>AV432="X"</formula>
    </cfRule>
    <cfRule type="expression" priority="378" dxfId="22">
      <formula>AV432="후보"</formula>
    </cfRule>
  </conditionalFormatting>
  <conditionalFormatting sqref="AC4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32">
    <cfRule type="expression" priority="369" dxfId="3">
      <formula>AND(IF(OR($Q432=1,$Q432=2),1,0),IF($X432&lt;=20,1,0))</formula>
    </cfRule>
    <cfRule type="expression" priority="370" dxfId="2">
      <formula>AND(IF($Q432=2,1,0),IF($X432&lt;30,1,0))</formula>
    </cfRule>
    <cfRule type="expression" priority="371" dxfId="1">
      <formula>AND(IF($Q432=3,1,0),IF($X432&lt;30,1,0))</formula>
    </cfRule>
    <cfRule type="expression" priority="372" dxfId="0">
      <formula>AND(IF($Q432=3,1,IF($Q432=4,1,0)),IF($F432&lt;=85,1,0))</formula>
    </cfRule>
  </conditionalFormatting>
  <conditionalFormatting sqref="X432">
    <cfRule type="expression" priority="365" dxfId="3">
      <formula>AND(IF(OR($Q432=1,$Q432=2),1,0),IF($X432&lt;=20,1,0))</formula>
    </cfRule>
    <cfRule type="expression" priority="366" dxfId="2">
      <formula>AND(IF($Q432=2,1,0),IF($X432&lt;30,1,0))</formula>
    </cfRule>
    <cfRule type="expression" priority="367" dxfId="1">
      <formula>AND(IF($Q432=3,1,0),IF($X432&lt;30,1,0))</formula>
    </cfRule>
    <cfRule type="expression" priority="368" dxfId="0">
      <formula>AND(IF($Q432=3,1,IF($Q432=4,1,0)),IF($F432&lt;=85,1,0))</formula>
    </cfRule>
  </conditionalFormatting>
  <conditionalFormatting sqref="AI432">
    <cfRule type="expression" priority="361" dxfId="3">
      <formula>AND(IF(OR($Q432=1,$Q432=2),1,0),IF($X432&lt;=20,1,0))</formula>
    </cfRule>
    <cfRule type="expression" priority="362" dxfId="2">
      <formula>AND(IF($Q432=2,1,0),IF($X432&lt;30,1,0))</formula>
    </cfRule>
    <cfRule type="expression" priority="363" dxfId="1">
      <formula>AND(IF($Q432=3,1,0),IF($X432&lt;30,1,0))</formula>
    </cfRule>
    <cfRule type="expression" priority="364" dxfId="0">
      <formula>AND(IF($Q432=3,1,IF($Q432=4,1,0)),IF($F432&lt;=85,1,0))</formula>
    </cfRule>
  </conditionalFormatting>
  <conditionalFormatting sqref="AV433">
    <cfRule type="expression" priority="359" dxfId="23">
      <formula>AV433="X"</formula>
    </cfRule>
    <cfRule type="expression" priority="360" dxfId="22">
      <formula>AV433="후보"</formula>
    </cfRule>
  </conditionalFormatting>
  <conditionalFormatting sqref="AC4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33">
    <cfRule type="expression" priority="351" dxfId="3">
      <formula>AND(IF(OR($Q433=1,$Q433=2),1,0),IF($X433&lt;=20,1,0))</formula>
    </cfRule>
    <cfRule type="expression" priority="352" dxfId="2">
      <formula>AND(IF($Q433=2,1,0),IF($X433&lt;30,1,0))</formula>
    </cfRule>
    <cfRule type="expression" priority="353" dxfId="1">
      <formula>AND(IF($Q433=3,1,0),IF($X433&lt;30,1,0))</formula>
    </cfRule>
    <cfRule type="expression" priority="354" dxfId="0">
      <formula>AND(IF($Q433=3,1,IF($Q433=4,1,0)),IF($F433&lt;=85,1,0))</formula>
    </cfRule>
  </conditionalFormatting>
  <conditionalFormatting sqref="X433">
    <cfRule type="expression" priority="347" dxfId="3">
      <formula>AND(IF(OR($Q433=1,$Q433=2),1,0),IF($X433&lt;=20,1,0))</formula>
    </cfRule>
    <cfRule type="expression" priority="348" dxfId="2">
      <formula>AND(IF($Q433=2,1,0),IF($X433&lt;30,1,0))</formula>
    </cfRule>
    <cfRule type="expression" priority="349" dxfId="1">
      <formula>AND(IF($Q433=3,1,0),IF($X433&lt;30,1,0))</formula>
    </cfRule>
    <cfRule type="expression" priority="350" dxfId="0">
      <formula>AND(IF($Q433=3,1,IF($Q433=4,1,0)),IF($F433&lt;=85,1,0))</formula>
    </cfRule>
  </conditionalFormatting>
  <conditionalFormatting sqref="AI433">
    <cfRule type="expression" priority="343" dxfId="3">
      <formula>AND(IF(OR($Q433=1,$Q433=2),1,0),IF($X433&lt;=20,1,0))</formula>
    </cfRule>
    <cfRule type="expression" priority="344" dxfId="2">
      <formula>AND(IF($Q433=2,1,0),IF($X433&lt;30,1,0))</formula>
    </cfRule>
    <cfRule type="expression" priority="345" dxfId="1">
      <formula>AND(IF($Q433=3,1,0),IF($X433&lt;30,1,0))</formula>
    </cfRule>
    <cfRule type="expression" priority="346" dxfId="0">
      <formula>AND(IF($Q433=3,1,IF($Q433=4,1,0)),IF($F433&lt;=85,1,0))</formula>
    </cfRule>
  </conditionalFormatting>
  <conditionalFormatting sqref="AV434">
    <cfRule type="expression" priority="341" dxfId="23">
      <formula>AV434="X"</formula>
    </cfRule>
    <cfRule type="expression" priority="342" dxfId="22">
      <formula>AV434="후보"</formula>
    </cfRule>
  </conditionalFormatting>
  <conditionalFormatting sqref="AC4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34">
    <cfRule type="expression" priority="333" dxfId="3">
      <formula>AND(IF(OR($Q434=1,$Q434=2),1,0),IF($X434&lt;=20,1,0))</formula>
    </cfRule>
    <cfRule type="expression" priority="334" dxfId="2">
      <formula>AND(IF($Q434=2,1,0),IF($X434&lt;30,1,0))</formula>
    </cfRule>
    <cfRule type="expression" priority="335" dxfId="1">
      <formula>AND(IF($Q434=3,1,0),IF($X434&lt;30,1,0))</formula>
    </cfRule>
    <cfRule type="expression" priority="336" dxfId="0">
      <formula>AND(IF($Q434=3,1,IF($Q434=4,1,0)),IF($F434&lt;=85,1,0))</formula>
    </cfRule>
  </conditionalFormatting>
  <conditionalFormatting sqref="X434">
    <cfRule type="expression" priority="329" dxfId="3">
      <formula>AND(IF(OR($Q434=1,$Q434=2),1,0),IF($X434&lt;=20,1,0))</formula>
    </cfRule>
    <cfRule type="expression" priority="330" dxfId="2">
      <formula>AND(IF($Q434=2,1,0),IF($X434&lt;30,1,0))</formula>
    </cfRule>
    <cfRule type="expression" priority="331" dxfId="1">
      <formula>AND(IF($Q434=3,1,0),IF($X434&lt;30,1,0))</formula>
    </cfRule>
    <cfRule type="expression" priority="332" dxfId="0">
      <formula>AND(IF($Q434=3,1,IF($Q434=4,1,0)),IF($F434&lt;=85,1,0))</formula>
    </cfRule>
  </conditionalFormatting>
  <conditionalFormatting sqref="AI434">
    <cfRule type="expression" priority="325" dxfId="3">
      <formula>AND(IF(OR($Q434=1,$Q434=2),1,0),IF($X434&lt;=20,1,0))</formula>
    </cfRule>
    <cfRule type="expression" priority="326" dxfId="2">
      <formula>AND(IF($Q434=2,1,0),IF($X434&lt;30,1,0))</formula>
    </cfRule>
    <cfRule type="expression" priority="327" dxfId="1">
      <formula>AND(IF($Q434=3,1,0),IF($X434&lt;30,1,0))</formula>
    </cfRule>
    <cfRule type="expression" priority="328" dxfId="0">
      <formula>AND(IF($Q434=3,1,IF($Q434=4,1,0)),IF($F434&lt;=85,1,0))</formula>
    </cfRule>
  </conditionalFormatting>
  <conditionalFormatting sqref="AV435">
    <cfRule type="expression" priority="323" dxfId="23">
      <formula>AV435="X"</formula>
    </cfRule>
    <cfRule type="expression" priority="324" dxfId="22">
      <formula>AV435="후보"</formula>
    </cfRule>
  </conditionalFormatting>
  <conditionalFormatting sqref="AC4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35">
    <cfRule type="expression" priority="315" dxfId="3">
      <formula>AND(IF(OR($Q435=1,$Q435=2),1,0),IF($X435&lt;=20,1,0))</formula>
    </cfRule>
    <cfRule type="expression" priority="316" dxfId="2">
      <formula>AND(IF($Q435=2,1,0),IF($X435&lt;30,1,0))</formula>
    </cfRule>
    <cfRule type="expression" priority="317" dxfId="1">
      <formula>AND(IF($Q435=3,1,0),IF($X435&lt;30,1,0))</formula>
    </cfRule>
    <cfRule type="expression" priority="318" dxfId="0">
      <formula>AND(IF($Q435=3,1,IF($Q435=4,1,0)),IF($F435&lt;=85,1,0))</formula>
    </cfRule>
  </conditionalFormatting>
  <conditionalFormatting sqref="X435">
    <cfRule type="expression" priority="311" dxfId="3">
      <formula>AND(IF(OR($Q435=1,$Q435=2),1,0),IF($X435&lt;=20,1,0))</formula>
    </cfRule>
    <cfRule type="expression" priority="312" dxfId="2">
      <formula>AND(IF($Q435=2,1,0),IF($X435&lt;30,1,0))</formula>
    </cfRule>
    <cfRule type="expression" priority="313" dxfId="1">
      <formula>AND(IF($Q435=3,1,0),IF($X435&lt;30,1,0))</formula>
    </cfRule>
    <cfRule type="expression" priority="314" dxfId="0">
      <formula>AND(IF($Q435=3,1,IF($Q435=4,1,0)),IF($F435&lt;=85,1,0))</formula>
    </cfRule>
  </conditionalFormatting>
  <conditionalFormatting sqref="AI435">
    <cfRule type="expression" priority="307" dxfId="3">
      <formula>AND(IF(OR($Q435=1,$Q435=2),1,0),IF($X435&lt;=20,1,0))</formula>
    </cfRule>
    <cfRule type="expression" priority="308" dxfId="2">
      <formula>AND(IF($Q435=2,1,0),IF($X435&lt;30,1,0))</formula>
    </cfRule>
    <cfRule type="expression" priority="309" dxfId="1">
      <formula>AND(IF($Q435=3,1,0),IF($X435&lt;30,1,0))</formula>
    </cfRule>
    <cfRule type="expression" priority="310" dxfId="0">
      <formula>AND(IF($Q435=3,1,IF($Q435=4,1,0)),IF($F435&lt;=85,1,0))</formula>
    </cfRule>
  </conditionalFormatting>
  <conditionalFormatting sqref="AV436">
    <cfRule type="expression" priority="305" dxfId="23">
      <formula>AV436="X"</formula>
    </cfRule>
    <cfRule type="expression" priority="306" dxfId="22">
      <formula>AV436="후보"</formula>
    </cfRule>
  </conditionalFormatting>
  <conditionalFormatting sqref="AC4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36">
    <cfRule type="expression" priority="297" dxfId="3">
      <formula>AND(IF(OR($Q436=1,$Q436=2),1,0),IF($X436&lt;=20,1,0))</formula>
    </cfRule>
    <cfRule type="expression" priority="298" dxfId="2">
      <formula>AND(IF($Q436=2,1,0),IF($X436&lt;30,1,0))</formula>
    </cfRule>
    <cfRule type="expression" priority="299" dxfId="1">
      <formula>AND(IF($Q436=3,1,0),IF($X436&lt;30,1,0))</formula>
    </cfRule>
    <cfRule type="expression" priority="300" dxfId="0">
      <formula>AND(IF($Q436=3,1,IF($Q436=4,1,0)),IF($F436&lt;=85,1,0))</formula>
    </cfRule>
  </conditionalFormatting>
  <conditionalFormatting sqref="X436">
    <cfRule type="expression" priority="293" dxfId="3">
      <formula>AND(IF(OR($Q436=1,$Q436=2),1,0),IF($X436&lt;=20,1,0))</formula>
    </cfRule>
    <cfRule type="expression" priority="294" dxfId="2">
      <formula>AND(IF($Q436=2,1,0),IF($X436&lt;30,1,0))</formula>
    </cfRule>
    <cfRule type="expression" priority="295" dxfId="1">
      <formula>AND(IF($Q436=3,1,0),IF($X436&lt;30,1,0))</formula>
    </cfRule>
    <cfRule type="expression" priority="296" dxfId="0">
      <formula>AND(IF($Q436=3,1,IF($Q436=4,1,0)),IF($F436&lt;=85,1,0))</formula>
    </cfRule>
  </conditionalFormatting>
  <conditionalFormatting sqref="AI436">
    <cfRule type="expression" priority="289" dxfId="3">
      <formula>AND(IF(OR($Q436=1,$Q436=2),1,0),IF($X436&lt;=20,1,0))</formula>
    </cfRule>
    <cfRule type="expression" priority="290" dxfId="2">
      <formula>AND(IF($Q436=2,1,0),IF($X436&lt;30,1,0))</formula>
    </cfRule>
    <cfRule type="expression" priority="291" dxfId="1">
      <formula>AND(IF($Q436=3,1,0),IF($X436&lt;30,1,0))</formula>
    </cfRule>
    <cfRule type="expression" priority="292" dxfId="0">
      <formula>AND(IF($Q436=3,1,IF($Q436=4,1,0)),IF($F436&lt;=85,1,0))</formula>
    </cfRule>
  </conditionalFormatting>
  <conditionalFormatting sqref="AV437">
    <cfRule type="expression" priority="287" dxfId="23">
      <formula>AV437="X"</formula>
    </cfRule>
    <cfRule type="expression" priority="288" dxfId="22">
      <formula>AV437="후보"</formula>
    </cfRule>
  </conditionalFormatting>
  <conditionalFormatting sqref="AC4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37">
    <cfRule type="expression" priority="279" dxfId="3">
      <formula>AND(IF(OR($Q437=1,$Q437=2),1,0),IF($X437&lt;=20,1,0))</formula>
    </cfRule>
    <cfRule type="expression" priority="280" dxfId="2">
      <formula>AND(IF($Q437=2,1,0),IF($X437&lt;30,1,0))</formula>
    </cfRule>
    <cfRule type="expression" priority="281" dxfId="1">
      <formula>AND(IF($Q437=3,1,0),IF($X437&lt;30,1,0))</formula>
    </cfRule>
    <cfRule type="expression" priority="282" dxfId="0">
      <formula>AND(IF($Q437=3,1,IF($Q437=4,1,0)),IF($F437&lt;=85,1,0))</formula>
    </cfRule>
  </conditionalFormatting>
  <conditionalFormatting sqref="X437">
    <cfRule type="expression" priority="275" dxfId="3">
      <formula>AND(IF(OR($Q437=1,$Q437=2),1,0),IF($X437&lt;=20,1,0))</formula>
    </cfRule>
    <cfRule type="expression" priority="276" dxfId="2">
      <formula>AND(IF($Q437=2,1,0),IF($X437&lt;30,1,0))</formula>
    </cfRule>
    <cfRule type="expression" priority="277" dxfId="1">
      <formula>AND(IF($Q437=3,1,0),IF($X437&lt;30,1,0))</formula>
    </cfRule>
    <cfRule type="expression" priority="278" dxfId="0">
      <formula>AND(IF($Q437=3,1,IF($Q437=4,1,0)),IF($F437&lt;=85,1,0))</formula>
    </cfRule>
  </conditionalFormatting>
  <conditionalFormatting sqref="AI437">
    <cfRule type="expression" priority="271" dxfId="3">
      <formula>AND(IF(OR($Q437=1,$Q437=2),1,0),IF($X437&lt;=20,1,0))</formula>
    </cfRule>
    <cfRule type="expression" priority="272" dxfId="2">
      <formula>AND(IF($Q437=2,1,0),IF($X437&lt;30,1,0))</formula>
    </cfRule>
    <cfRule type="expression" priority="273" dxfId="1">
      <formula>AND(IF($Q437=3,1,0),IF($X437&lt;30,1,0))</formula>
    </cfRule>
    <cfRule type="expression" priority="274" dxfId="0">
      <formula>AND(IF($Q437=3,1,IF($Q437=4,1,0)),IF($F437&lt;=85,1,0))</formula>
    </cfRule>
  </conditionalFormatting>
  <conditionalFormatting sqref="AV438">
    <cfRule type="expression" priority="269" dxfId="23">
      <formula>AV438="X"</formula>
    </cfRule>
    <cfRule type="expression" priority="270" dxfId="22">
      <formula>AV438="후보"</formula>
    </cfRule>
  </conditionalFormatting>
  <conditionalFormatting sqref="AC4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38">
    <cfRule type="expression" priority="261" dxfId="3">
      <formula>AND(IF(OR($Q438=1,$Q438=2),1,0),IF($X438&lt;=20,1,0))</formula>
    </cfRule>
    <cfRule type="expression" priority="262" dxfId="2">
      <formula>AND(IF($Q438=2,1,0),IF($X438&lt;30,1,0))</formula>
    </cfRule>
    <cfRule type="expression" priority="263" dxfId="1">
      <formula>AND(IF($Q438=3,1,0),IF($X438&lt;30,1,0))</formula>
    </cfRule>
    <cfRule type="expression" priority="264" dxfId="0">
      <formula>AND(IF($Q438=3,1,IF($Q438=4,1,0)),IF($F438&lt;=85,1,0))</formula>
    </cfRule>
  </conditionalFormatting>
  <conditionalFormatting sqref="X438">
    <cfRule type="expression" priority="257" dxfId="3">
      <formula>AND(IF(OR($Q438=1,$Q438=2),1,0),IF($X438&lt;=20,1,0))</formula>
    </cfRule>
    <cfRule type="expression" priority="258" dxfId="2">
      <formula>AND(IF($Q438=2,1,0),IF($X438&lt;30,1,0))</formula>
    </cfRule>
    <cfRule type="expression" priority="259" dxfId="1">
      <formula>AND(IF($Q438=3,1,0),IF($X438&lt;30,1,0))</formula>
    </cfRule>
    <cfRule type="expression" priority="260" dxfId="0">
      <formula>AND(IF($Q438=3,1,IF($Q438=4,1,0)),IF($F438&lt;=85,1,0))</formula>
    </cfRule>
  </conditionalFormatting>
  <conditionalFormatting sqref="AI438">
    <cfRule type="expression" priority="253" dxfId="3">
      <formula>AND(IF(OR($Q438=1,$Q438=2),1,0),IF($X438&lt;=20,1,0))</formula>
    </cfRule>
    <cfRule type="expression" priority="254" dxfId="2">
      <formula>AND(IF($Q438=2,1,0),IF($X438&lt;30,1,0))</formula>
    </cfRule>
    <cfRule type="expression" priority="255" dxfId="1">
      <formula>AND(IF($Q438=3,1,0),IF($X438&lt;30,1,0))</formula>
    </cfRule>
    <cfRule type="expression" priority="256" dxfId="0">
      <formula>AND(IF($Q438=3,1,IF($Q438=4,1,0)),IF($F438&lt;=85,1,0))</formula>
    </cfRule>
  </conditionalFormatting>
  <conditionalFormatting sqref="AV439">
    <cfRule type="expression" priority="251" dxfId="23">
      <formula>AV439="X"</formula>
    </cfRule>
    <cfRule type="expression" priority="252" dxfId="22">
      <formula>AV439="후보"</formula>
    </cfRule>
  </conditionalFormatting>
  <conditionalFormatting sqref="AC4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39">
    <cfRule type="expression" priority="243" dxfId="3">
      <formula>AND(IF(OR($Q439=1,$Q439=2),1,0),IF($X439&lt;=20,1,0))</formula>
    </cfRule>
    <cfRule type="expression" priority="244" dxfId="2">
      <formula>AND(IF($Q439=2,1,0),IF($X439&lt;30,1,0))</formula>
    </cfRule>
    <cfRule type="expression" priority="245" dxfId="1">
      <formula>AND(IF($Q439=3,1,0),IF($X439&lt;30,1,0))</formula>
    </cfRule>
    <cfRule type="expression" priority="246" dxfId="0">
      <formula>AND(IF($Q439=3,1,IF($Q439=4,1,0)),IF($F439&lt;=85,1,0))</formula>
    </cfRule>
  </conditionalFormatting>
  <conditionalFormatting sqref="X439">
    <cfRule type="expression" priority="239" dxfId="3">
      <formula>AND(IF(OR($Q439=1,$Q439=2),1,0),IF($X439&lt;=20,1,0))</formula>
    </cfRule>
    <cfRule type="expression" priority="240" dxfId="2">
      <formula>AND(IF($Q439=2,1,0),IF($X439&lt;30,1,0))</formula>
    </cfRule>
    <cfRule type="expression" priority="241" dxfId="1">
      <formula>AND(IF($Q439=3,1,0),IF($X439&lt;30,1,0))</formula>
    </cfRule>
    <cfRule type="expression" priority="242" dxfId="0">
      <formula>AND(IF($Q439=3,1,IF($Q439=4,1,0)),IF($F439&lt;=85,1,0))</formula>
    </cfRule>
  </conditionalFormatting>
  <conditionalFormatting sqref="AI439">
    <cfRule type="expression" priority="235" dxfId="3">
      <formula>AND(IF(OR($Q439=1,$Q439=2),1,0),IF($X439&lt;=20,1,0))</formula>
    </cfRule>
    <cfRule type="expression" priority="236" dxfId="2">
      <formula>AND(IF($Q439=2,1,0),IF($X439&lt;30,1,0))</formula>
    </cfRule>
    <cfRule type="expression" priority="237" dxfId="1">
      <formula>AND(IF($Q439=3,1,0),IF($X439&lt;30,1,0))</formula>
    </cfRule>
    <cfRule type="expression" priority="238" dxfId="0">
      <formula>AND(IF($Q439=3,1,IF($Q439=4,1,0)),IF($F439&lt;=85,1,0))</formula>
    </cfRule>
  </conditionalFormatting>
  <conditionalFormatting sqref="AV440">
    <cfRule type="expression" priority="233" dxfId="23">
      <formula>AV440="X"</formula>
    </cfRule>
    <cfRule type="expression" priority="234" dxfId="22">
      <formula>AV440="후보"</formula>
    </cfRule>
  </conditionalFormatting>
  <conditionalFormatting sqref="AC4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40">
    <cfRule type="expression" priority="225" dxfId="3">
      <formula>AND(IF(OR($Q440=1,$Q440=2),1,0),IF($X440&lt;=20,1,0))</formula>
    </cfRule>
    <cfRule type="expression" priority="226" dxfId="2">
      <formula>AND(IF($Q440=2,1,0),IF($X440&lt;30,1,0))</formula>
    </cfRule>
    <cfRule type="expression" priority="227" dxfId="1">
      <formula>AND(IF($Q440=3,1,0),IF($X440&lt;30,1,0))</formula>
    </cfRule>
    <cfRule type="expression" priority="228" dxfId="0">
      <formula>AND(IF($Q440=3,1,IF($Q440=4,1,0)),IF($F440&lt;=85,1,0))</formula>
    </cfRule>
  </conditionalFormatting>
  <conditionalFormatting sqref="X440">
    <cfRule type="expression" priority="221" dxfId="3">
      <formula>AND(IF(OR($Q440=1,$Q440=2),1,0),IF($X440&lt;=20,1,0))</formula>
    </cfRule>
    <cfRule type="expression" priority="222" dxfId="2">
      <formula>AND(IF($Q440=2,1,0),IF($X440&lt;30,1,0))</formula>
    </cfRule>
    <cfRule type="expression" priority="223" dxfId="1">
      <formula>AND(IF($Q440=3,1,0),IF($X440&lt;30,1,0))</formula>
    </cfRule>
    <cfRule type="expression" priority="224" dxfId="0">
      <formula>AND(IF($Q440=3,1,IF($Q440=4,1,0)),IF($F440&lt;=85,1,0))</formula>
    </cfRule>
  </conditionalFormatting>
  <conditionalFormatting sqref="AI440">
    <cfRule type="expression" priority="217" dxfId="3">
      <formula>AND(IF(OR($Q440=1,$Q440=2),1,0),IF($X440&lt;=20,1,0))</formula>
    </cfRule>
    <cfRule type="expression" priority="218" dxfId="2">
      <formula>AND(IF($Q440=2,1,0),IF($X440&lt;30,1,0))</formula>
    </cfRule>
    <cfRule type="expression" priority="219" dxfId="1">
      <formula>AND(IF($Q440=3,1,0),IF($X440&lt;30,1,0))</formula>
    </cfRule>
    <cfRule type="expression" priority="220" dxfId="0">
      <formula>AND(IF($Q440=3,1,IF($Q440=4,1,0)),IF($F440&lt;=85,1,0))</formula>
    </cfRule>
  </conditionalFormatting>
  <conditionalFormatting sqref="AV441">
    <cfRule type="expression" priority="215" dxfId="23">
      <formula>AV441="X"</formula>
    </cfRule>
    <cfRule type="expression" priority="216" dxfId="22">
      <formula>AV441="후보"</formula>
    </cfRule>
  </conditionalFormatting>
  <conditionalFormatting sqref="AC4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41">
    <cfRule type="expression" priority="207" dxfId="3">
      <formula>AND(IF(OR($Q441=1,$Q441=2),1,0),IF($X441&lt;=20,1,0))</formula>
    </cfRule>
    <cfRule type="expression" priority="208" dxfId="2">
      <formula>AND(IF($Q441=2,1,0),IF($X441&lt;30,1,0))</formula>
    </cfRule>
    <cfRule type="expression" priority="209" dxfId="1">
      <formula>AND(IF($Q441=3,1,0),IF($X441&lt;30,1,0))</formula>
    </cfRule>
    <cfRule type="expression" priority="210" dxfId="0">
      <formula>AND(IF($Q441=3,1,IF($Q441=4,1,0)),IF($F441&lt;=85,1,0))</formula>
    </cfRule>
  </conditionalFormatting>
  <conditionalFormatting sqref="X441">
    <cfRule type="expression" priority="203" dxfId="3">
      <formula>AND(IF(OR($Q441=1,$Q441=2),1,0),IF($X441&lt;=20,1,0))</formula>
    </cfRule>
    <cfRule type="expression" priority="204" dxfId="2">
      <formula>AND(IF($Q441=2,1,0),IF($X441&lt;30,1,0))</formula>
    </cfRule>
    <cfRule type="expression" priority="205" dxfId="1">
      <formula>AND(IF($Q441=3,1,0),IF($X441&lt;30,1,0))</formula>
    </cfRule>
    <cfRule type="expression" priority="206" dxfId="0">
      <formula>AND(IF($Q441=3,1,IF($Q441=4,1,0)),IF($F441&lt;=85,1,0))</formula>
    </cfRule>
  </conditionalFormatting>
  <conditionalFormatting sqref="AI441">
    <cfRule type="expression" priority="199" dxfId="3">
      <formula>AND(IF(OR($Q441=1,$Q441=2),1,0),IF($X441&lt;=20,1,0))</formula>
    </cfRule>
    <cfRule type="expression" priority="200" dxfId="2">
      <formula>AND(IF($Q441=2,1,0),IF($X441&lt;30,1,0))</formula>
    </cfRule>
    <cfRule type="expression" priority="201" dxfId="1">
      <formula>AND(IF($Q441=3,1,0),IF($X441&lt;30,1,0))</formula>
    </cfRule>
    <cfRule type="expression" priority="202" dxfId="0">
      <formula>AND(IF($Q441=3,1,IF($Q441=4,1,0)),IF($F441&lt;=85,1,0))</formula>
    </cfRule>
  </conditionalFormatting>
  <conditionalFormatting sqref="AV442">
    <cfRule type="expression" priority="197" dxfId="23">
      <formula>AV442="X"</formula>
    </cfRule>
    <cfRule type="expression" priority="198" dxfId="22">
      <formula>AV442="후보"</formula>
    </cfRule>
  </conditionalFormatting>
  <conditionalFormatting sqref="AC4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42">
    <cfRule type="expression" priority="189" dxfId="3">
      <formula>AND(IF(OR($Q442=1,$Q442=2),1,0),IF($X442&lt;=20,1,0))</formula>
    </cfRule>
    <cfRule type="expression" priority="190" dxfId="2">
      <formula>AND(IF($Q442=2,1,0),IF($X442&lt;30,1,0))</formula>
    </cfRule>
    <cfRule type="expression" priority="191" dxfId="1">
      <formula>AND(IF($Q442=3,1,0),IF($X442&lt;30,1,0))</formula>
    </cfRule>
    <cfRule type="expression" priority="192" dxfId="0">
      <formula>AND(IF($Q442=3,1,IF($Q442=4,1,0)),IF($F442&lt;=85,1,0))</formula>
    </cfRule>
  </conditionalFormatting>
  <conditionalFormatting sqref="X442">
    <cfRule type="expression" priority="185" dxfId="3">
      <formula>AND(IF(OR($Q442=1,$Q442=2),1,0),IF($X442&lt;=20,1,0))</formula>
    </cfRule>
    <cfRule type="expression" priority="186" dxfId="2">
      <formula>AND(IF($Q442=2,1,0),IF($X442&lt;30,1,0))</formula>
    </cfRule>
    <cfRule type="expression" priority="187" dxfId="1">
      <formula>AND(IF($Q442=3,1,0),IF($X442&lt;30,1,0))</formula>
    </cfRule>
    <cfRule type="expression" priority="188" dxfId="0">
      <formula>AND(IF($Q442=3,1,IF($Q442=4,1,0)),IF($F442&lt;=85,1,0))</formula>
    </cfRule>
  </conditionalFormatting>
  <conditionalFormatting sqref="AI442">
    <cfRule type="expression" priority="181" dxfId="3">
      <formula>AND(IF(OR($Q442=1,$Q442=2),1,0),IF($X442&lt;=20,1,0))</formula>
    </cfRule>
    <cfRule type="expression" priority="182" dxfId="2">
      <formula>AND(IF($Q442=2,1,0),IF($X442&lt;30,1,0))</formula>
    </cfRule>
    <cfRule type="expression" priority="183" dxfId="1">
      <formula>AND(IF($Q442=3,1,0),IF($X442&lt;30,1,0))</formula>
    </cfRule>
    <cfRule type="expression" priority="184" dxfId="0">
      <formula>AND(IF($Q442=3,1,IF($Q442=4,1,0)),IF($F442&lt;=85,1,0))</formula>
    </cfRule>
  </conditionalFormatting>
  <conditionalFormatting sqref="AV443">
    <cfRule type="expression" priority="179" dxfId="23">
      <formula>AV443="X"</formula>
    </cfRule>
    <cfRule type="expression" priority="180" dxfId="22">
      <formula>AV443="후보"</formula>
    </cfRule>
  </conditionalFormatting>
  <conditionalFormatting sqref="AC4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3">
    <cfRule type="expression" priority="171" dxfId="3">
      <formula>AND(IF(OR($Q443=1,$Q443=2),1,0),IF($X443&lt;=20,1,0))</formula>
    </cfRule>
    <cfRule type="expression" priority="172" dxfId="2">
      <formula>AND(IF($Q443=2,1,0),IF($X443&lt;30,1,0))</formula>
    </cfRule>
    <cfRule type="expression" priority="173" dxfId="1">
      <formula>AND(IF($Q443=3,1,0),IF($X443&lt;30,1,0))</formula>
    </cfRule>
    <cfRule type="expression" priority="174" dxfId="0">
      <formula>AND(IF($Q443=3,1,IF($Q443=4,1,0)),IF($F443&lt;=85,1,0))</formula>
    </cfRule>
  </conditionalFormatting>
  <conditionalFormatting sqref="X443">
    <cfRule type="expression" priority="167" dxfId="3">
      <formula>AND(IF(OR($Q443=1,$Q443=2),1,0),IF($X443&lt;=20,1,0))</formula>
    </cfRule>
    <cfRule type="expression" priority="168" dxfId="2">
      <formula>AND(IF($Q443=2,1,0),IF($X443&lt;30,1,0))</formula>
    </cfRule>
    <cfRule type="expression" priority="169" dxfId="1">
      <formula>AND(IF($Q443=3,1,0),IF($X443&lt;30,1,0))</formula>
    </cfRule>
    <cfRule type="expression" priority="170" dxfId="0">
      <formula>AND(IF($Q443=3,1,IF($Q443=4,1,0)),IF($F443&lt;=85,1,0))</formula>
    </cfRule>
  </conditionalFormatting>
  <conditionalFormatting sqref="AI443">
    <cfRule type="expression" priority="163" dxfId="3">
      <formula>AND(IF(OR($Q443=1,$Q443=2),1,0),IF($X443&lt;=20,1,0))</formula>
    </cfRule>
    <cfRule type="expression" priority="164" dxfId="2">
      <formula>AND(IF($Q443=2,1,0),IF($X443&lt;30,1,0))</formula>
    </cfRule>
    <cfRule type="expression" priority="165" dxfId="1">
      <formula>AND(IF($Q443=3,1,0),IF($X443&lt;30,1,0))</formula>
    </cfRule>
    <cfRule type="expression" priority="166" dxfId="0">
      <formula>AND(IF($Q443=3,1,IF($Q443=4,1,0)),IF($F443&lt;=85,1,0))</formula>
    </cfRule>
  </conditionalFormatting>
  <conditionalFormatting sqref="AV444">
    <cfRule type="expression" priority="161" dxfId="23">
      <formula>AV444="X"</formula>
    </cfRule>
    <cfRule type="expression" priority="162" dxfId="22">
      <formula>AV444="후보"</formula>
    </cfRule>
  </conditionalFormatting>
  <conditionalFormatting sqref="AC4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44">
    <cfRule type="expression" priority="153" dxfId="3">
      <formula>AND(IF(OR($Q444=1,$Q444=2),1,0),IF($X444&lt;=20,1,0))</formula>
    </cfRule>
    <cfRule type="expression" priority="154" dxfId="2">
      <formula>AND(IF($Q444=2,1,0),IF($X444&lt;30,1,0))</formula>
    </cfRule>
    <cfRule type="expression" priority="155" dxfId="1">
      <formula>AND(IF($Q444=3,1,0),IF($X444&lt;30,1,0))</formula>
    </cfRule>
    <cfRule type="expression" priority="156" dxfId="0">
      <formula>AND(IF($Q444=3,1,IF($Q444=4,1,0)),IF($F444&lt;=85,1,0))</formula>
    </cfRule>
  </conditionalFormatting>
  <conditionalFormatting sqref="X444">
    <cfRule type="expression" priority="149" dxfId="3">
      <formula>AND(IF(OR($Q444=1,$Q444=2),1,0),IF($X444&lt;=20,1,0))</formula>
    </cfRule>
    <cfRule type="expression" priority="150" dxfId="2">
      <formula>AND(IF($Q444=2,1,0),IF($X444&lt;30,1,0))</formula>
    </cfRule>
    <cfRule type="expression" priority="151" dxfId="1">
      <formula>AND(IF($Q444=3,1,0),IF($X444&lt;30,1,0))</formula>
    </cfRule>
    <cfRule type="expression" priority="152" dxfId="0">
      <formula>AND(IF($Q444=3,1,IF($Q444=4,1,0)),IF($F444&lt;=85,1,0))</formula>
    </cfRule>
  </conditionalFormatting>
  <conditionalFormatting sqref="AI444">
    <cfRule type="expression" priority="145" dxfId="3">
      <formula>AND(IF(OR($Q444=1,$Q444=2),1,0),IF($X444&lt;=20,1,0))</formula>
    </cfRule>
    <cfRule type="expression" priority="146" dxfId="2">
      <formula>AND(IF($Q444=2,1,0),IF($X444&lt;30,1,0))</formula>
    </cfRule>
    <cfRule type="expression" priority="147" dxfId="1">
      <formula>AND(IF($Q444=3,1,0),IF($X444&lt;30,1,0))</formula>
    </cfRule>
    <cfRule type="expression" priority="148" dxfId="0">
      <formula>AND(IF($Q444=3,1,IF($Q444=4,1,0)),IF($F444&lt;=85,1,0))</formula>
    </cfRule>
  </conditionalFormatting>
  <conditionalFormatting sqref="AV445">
    <cfRule type="expression" priority="143" dxfId="23">
      <formula>AV445="X"</formula>
    </cfRule>
    <cfRule type="expression" priority="144" dxfId="22">
      <formula>AV445="후보"</formula>
    </cfRule>
  </conditionalFormatting>
  <conditionalFormatting sqref="AC4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45">
    <cfRule type="expression" priority="135" dxfId="3">
      <formula>AND(IF(OR($Q445=1,$Q445=2),1,0),IF($X445&lt;=20,1,0))</formula>
    </cfRule>
    <cfRule type="expression" priority="136" dxfId="2">
      <formula>AND(IF($Q445=2,1,0),IF($X445&lt;30,1,0))</formula>
    </cfRule>
    <cfRule type="expression" priority="137" dxfId="1">
      <formula>AND(IF($Q445=3,1,0),IF($X445&lt;30,1,0))</formula>
    </cfRule>
    <cfRule type="expression" priority="138" dxfId="0">
      <formula>AND(IF($Q445=3,1,IF($Q445=4,1,0)),IF($F445&lt;=85,1,0))</formula>
    </cfRule>
  </conditionalFormatting>
  <conditionalFormatting sqref="X445">
    <cfRule type="expression" priority="131" dxfId="3">
      <formula>AND(IF(OR($Q445=1,$Q445=2),1,0),IF($X445&lt;=20,1,0))</formula>
    </cfRule>
    <cfRule type="expression" priority="132" dxfId="2">
      <formula>AND(IF($Q445=2,1,0),IF($X445&lt;30,1,0))</formula>
    </cfRule>
    <cfRule type="expression" priority="133" dxfId="1">
      <formula>AND(IF($Q445=3,1,0),IF($X445&lt;30,1,0))</formula>
    </cfRule>
    <cfRule type="expression" priority="134" dxfId="0">
      <formula>AND(IF($Q445=3,1,IF($Q445=4,1,0)),IF($F445&lt;=85,1,0))</formula>
    </cfRule>
  </conditionalFormatting>
  <conditionalFormatting sqref="AI445">
    <cfRule type="expression" priority="127" dxfId="3">
      <formula>AND(IF(OR($Q445=1,$Q445=2),1,0),IF($X445&lt;=20,1,0))</formula>
    </cfRule>
    <cfRule type="expression" priority="128" dxfId="2">
      <formula>AND(IF($Q445=2,1,0),IF($X445&lt;30,1,0))</formula>
    </cfRule>
    <cfRule type="expression" priority="129" dxfId="1">
      <formula>AND(IF($Q445=3,1,0),IF($X445&lt;30,1,0))</formula>
    </cfRule>
    <cfRule type="expression" priority="130" dxfId="0">
      <formula>AND(IF($Q445=3,1,IF($Q445=4,1,0)),IF($F445&lt;=85,1,0))</formula>
    </cfRule>
  </conditionalFormatting>
  <conditionalFormatting sqref="AV446">
    <cfRule type="expression" priority="125" dxfId="23">
      <formula>AV446="X"</formula>
    </cfRule>
    <cfRule type="expression" priority="126" dxfId="22">
      <formula>AV446="후보"</formula>
    </cfRule>
  </conditionalFormatting>
  <conditionalFormatting sqref="AC4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6">
    <cfRule type="expression" priority="117" dxfId="3">
      <formula>AND(IF(OR($Q446=1,$Q446=2),1,0),IF($X446&lt;=20,1,0))</formula>
    </cfRule>
    <cfRule type="expression" priority="118" dxfId="2">
      <formula>AND(IF($Q446=2,1,0),IF($X446&lt;30,1,0))</formula>
    </cfRule>
    <cfRule type="expression" priority="119" dxfId="1">
      <formula>AND(IF($Q446=3,1,0),IF($X446&lt;30,1,0))</formula>
    </cfRule>
    <cfRule type="expression" priority="120" dxfId="0">
      <formula>AND(IF($Q446=3,1,IF($Q446=4,1,0)),IF($F446&lt;=85,1,0))</formula>
    </cfRule>
  </conditionalFormatting>
  <conditionalFormatting sqref="X446">
    <cfRule type="expression" priority="113" dxfId="3">
      <formula>AND(IF(OR($Q446=1,$Q446=2),1,0),IF($X446&lt;=20,1,0))</formula>
    </cfRule>
    <cfRule type="expression" priority="114" dxfId="2">
      <formula>AND(IF($Q446=2,1,0),IF($X446&lt;30,1,0))</formula>
    </cfRule>
    <cfRule type="expression" priority="115" dxfId="1">
      <formula>AND(IF($Q446=3,1,0),IF($X446&lt;30,1,0))</formula>
    </cfRule>
    <cfRule type="expression" priority="116" dxfId="0">
      <formula>AND(IF($Q446=3,1,IF($Q446=4,1,0)),IF($F446&lt;=85,1,0))</formula>
    </cfRule>
  </conditionalFormatting>
  <conditionalFormatting sqref="AI446">
    <cfRule type="expression" priority="109" dxfId="3">
      <formula>AND(IF(OR($Q446=1,$Q446=2),1,0),IF($X446&lt;=20,1,0))</formula>
    </cfRule>
    <cfRule type="expression" priority="110" dxfId="2">
      <formula>AND(IF($Q446=2,1,0),IF($X446&lt;30,1,0))</formula>
    </cfRule>
    <cfRule type="expression" priority="111" dxfId="1">
      <formula>AND(IF($Q446=3,1,0),IF($X446&lt;30,1,0))</formula>
    </cfRule>
    <cfRule type="expression" priority="112" dxfId="0">
      <formula>AND(IF($Q446=3,1,IF($Q446=4,1,0)),IF($F446&lt;=85,1,0))</formula>
    </cfRule>
  </conditionalFormatting>
  <conditionalFormatting sqref="AV447">
    <cfRule type="expression" priority="107" dxfId="23">
      <formula>AV447="X"</formula>
    </cfRule>
    <cfRule type="expression" priority="108" dxfId="22">
      <formula>AV447="후보"</formula>
    </cfRule>
  </conditionalFormatting>
  <conditionalFormatting sqref="AC4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47">
    <cfRule type="expression" priority="99" dxfId="3">
      <formula>AND(IF(OR($Q447=1,$Q447=2),1,0),IF($X447&lt;=20,1,0))</formula>
    </cfRule>
    <cfRule type="expression" priority="100" dxfId="2">
      <formula>AND(IF($Q447=2,1,0),IF($X447&lt;30,1,0))</formula>
    </cfRule>
    <cfRule type="expression" priority="101" dxfId="1">
      <formula>AND(IF($Q447=3,1,0),IF($X447&lt;30,1,0))</formula>
    </cfRule>
    <cfRule type="expression" priority="102" dxfId="0">
      <formula>AND(IF($Q447=3,1,IF($Q447=4,1,0)),IF($F447&lt;=85,1,0))</formula>
    </cfRule>
  </conditionalFormatting>
  <conditionalFormatting sqref="X447">
    <cfRule type="expression" priority="95" dxfId="3">
      <formula>AND(IF(OR($Q447=1,$Q447=2),1,0),IF($X447&lt;=20,1,0))</formula>
    </cfRule>
    <cfRule type="expression" priority="96" dxfId="2">
      <formula>AND(IF($Q447=2,1,0),IF($X447&lt;30,1,0))</formula>
    </cfRule>
    <cfRule type="expression" priority="97" dxfId="1">
      <formula>AND(IF($Q447=3,1,0),IF($X447&lt;30,1,0))</formula>
    </cfRule>
    <cfRule type="expression" priority="98" dxfId="0">
      <formula>AND(IF($Q447=3,1,IF($Q447=4,1,0)),IF($F447&lt;=85,1,0))</formula>
    </cfRule>
  </conditionalFormatting>
  <conditionalFormatting sqref="AI447">
    <cfRule type="expression" priority="91" dxfId="3">
      <formula>AND(IF(OR($Q447=1,$Q447=2),1,0),IF($X447&lt;=20,1,0))</formula>
    </cfRule>
    <cfRule type="expression" priority="92" dxfId="2">
      <formula>AND(IF($Q447=2,1,0),IF($X447&lt;30,1,0))</formula>
    </cfRule>
    <cfRule type="expression" priority="93" dxfId="1">
      <formula>AND(IF($Q447=3,1,0),IF($X447&lt;30,1,0))</formula>
    </cfRule>
    <cfRule type="expression" priority="94" dxfId="0">
      <formula>AND(IF($Q447=3,1,IF($Q447=4,1,0)),IF($F447&lt;=85,1,0))</formula>
    </cfRule>
  </conditionalFormatting>
  <conditionalFormatting sqref="AV448">
    <cfRule type="expression" priority="89" dxfId="23">
      <formula>AV448="X"</formula>
    </cfRule>
    <cfRule type="expression" priority="90" dxfId="22">
      <formula>AV448="후보"</formula>
    </cfRule>
  </conditionalFormatting>
  <conditionalFormatting sqref="AC4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48">
    <cfRule type="expression" priority="81" dxfId="3">
      <formula>AND(IF(OR($Q448=1,$Q448=2),1,0),IF($X448&lt;=20,1,0))</formula>
    </cfRule>
    <cfRule type="expression" priority="82" dxfId="2">
      <formula>AND(IF($Q448=2,1,0),IF($X448&lt;30,1,0))</formula>
    </cfRule>
    <cfRule type="expression" priority="83" dxfId="1">
      <formula>AND(IF($Q448=3,1,0),IF($X448&lt;30,1,0))</formula>
    </cfRule>
    <cfRule type="expression" priority="84" dxfId="0">
      <formula>AND(IF($Q448=3,1,IF($Q448=4,1,0)),IF($F448&lt;=85,1,0))</formula>
    </cfRule>
  </conditionalFormatting>
  <conditionalFormatting sqref="X448">
    <cfRule type="expression" priority="77" dxfId="3">
      <formula>AND(IF(OR($Q448=1,$Q448=2),1,0),IF($X448&lt;=20,1,0))</formula>
    </cfRule>
    <cfRule type="expression" priority="78" dxfId="2">
      <formula>AND(IF($Q448=2,1,0),IF($X448&lt;30,1,0))</formula>
    </cfRule>
    <cfRule type="expression" priority="79" dxfId="1">
      <formula>AND(IF($Q448=3,1,0),IF($X448&lt;30,1,0))</formula>
    </cfRule>
    <cfRule type="expression" priority="80" dxfId="0">
      <formula>AND(IF($Q448=3,1,IF($Q448=4,1,0)),IF($F448&lt;=85,1,0))</formula>
    </cfRule>
  </conditionalFormatting>
  <conditionalFormatting sqref="AI448">
    <cfRule type="expression" priority="73" dxfId="3">
      <formula>AND(IF(OR($Q448=1,$Q448=2),1,0),IF($X448&lt;=20,1,0))</formula>
    </cfRule>
    <cfRule type="expression" priority="74" dxfId="2">
      <formula>AND(IF($Q448=2,1,0),IF($X448&lt;30,1,0))</formula>
    </cfRule>
    <cfRule type="expression" priority="75" dxfId="1">
      <formula>AND(IF($Q448=3,1,0),IF($X448&lt;30,1,0))</formula>
    </cfRule>
    <cfRule type="expression" priority="76" dxfId="0">
      <formula>AND(IF($Q448=3,1,IF($Q448=4,1,0)),IF($F448&lt;=85,1,0))</formula>
    </cfRule>
  </conditionalFormatting>
  <conditionalFormatting sqref="AV449">
    <cfRule type="expression" priority="71" dxfId="23">
      <formula>AV449="X"</formula>
    </cfRule>
    <cfRule type="expression" priority="72" dxfId="22">
      <formula>AV449="후보"</formula>
    </cfRule>
  </conditionalFormatting>
  <conditionalFormatting sqref="AC4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49">
    <cfRule type="expression" priority="63" dxfId="3">
      <formula>AND(IF(OR($Q449=1,$Q449=2),1,0),IF($X449&lt;=20,1,0))</formula>
    </cfRule>
    <cfRule type="expression" priority="64" dxfId="2">
      <formula>AND(IF($Q449=2,1,0),IF($X449&lt;30,1,0))</formula>
    </cfRule>
    <cfRule type="expression" priority="65" dxfId="1">
      <formula>AND(IF($Q449=3,1,0),IF($X449&lt;30,1,0))</formula>
    </cfRule>
    <cfRule type="expression" priority="66" dxfId="0">
      <formula>AND(IF($Q449=3,1,IF($Q449=4,1,0)),IF($F449&lt;=85,1,0))</formula>
    </cfRule>
  </conditionalFormatting>
  <conditionalFormatting sqref="X449">
    <cfRule type="expression" priority="59" dxfId="3">
      <formula>AND(IF(OR($Q449=1,$Q449=2),1,0),IF($X449&lt;=20,1,0))</formula>
    </cfRule>
    <cfRule type="expression" priority="60" dxfId="2">
      <formula>AND(IF($Q449=2,1,0),IF($X449&lt;30,1,0))</formula>
    </cfRule>
    <cfRule type="expression" priority="61" dxfId="1">
      <formula>AND(IF($Q449=3,1,0),IF($X449&lt;30,1,0))</formula>
    </cfRule>
    <cfRule type="expression" priority="62" dxfId="0">
      <formula>AND(IF($Q449=3,1,IF($Q449=4,1,0)),IF($F449&lt;=85,1,0))</formula>
    </cfRule>
  </conditionalFormatting>
  <conditionalFormatting sqref="AI449">
    <cfRule type="expression" priority="55" dxfId="3">
      <formula>AND(IF(OR($Q449=1,$Q449=2),1,0),IF($X449&lt;=20,1,0))</formula>
    </cfRule>
    <cfRule type="expression" priority="56" dxfId="2">
      <formula>AND(IF($Q449=2,1,0),IF($X449&lt;30,1,0))</formula>
    </cfRule>
    <cfRule type="expression" priority="57" dxfId="1">
      <formula>AND(IF($Q449=3,1,0),IF($X449&lt;30,1,0))</formula>
    </cfRule>
    <cfRule type="expression" priority="58" dxfId="0">
      <formula>AND(IF($Q449=3,1,IF($Q449=4,1,0)),IF($F449&lt;=85,1,0))</formula>
    </cfRule>
  </conditionalFormatting>
  <conditionalFormatting sqref="AV450">
    <cfRule type="expression" priority="53" dxfId="23">
      <formula>AV450="X"</formula>
    </cfRule>
    <cfRule type="expression" priority="54" dxfId="22">
      <formula>AV450="후보"</formula>
    </cfRule>
  </conditionalFormatting>
  <conditionalFormatting sqref="AC4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50">
    <cfRule type="expression" priority="45" dxfId="3">
      <formula>AND(IF(OR($Q450=1,$Q450=2),1,0),IF($X450&lt;=20,1,0))</formula>
    </cfRule>
    <cfRule type="expression" priority="46" dxfId="2">
      <formula>AND(IF($Q450=2,1,0),IF($X450&lt;30,1,0))</formula>
    </cfRule>
    <cfRule type="expression" priority="47" dxfId="1">
      <formula>AND(IF($Q450=3,1,0),IF($X450&lt;30,1,0))</formula>
    </cfRule>
    <cfRule type="expression" priority="48" dxfId="0">
      <formula>AND(IF($Q450=3,1,IF($Q450=4,1,0)),IF($F450&lt;=85,1,0))</formula>
    </cfRule>
  </conditionalFormatting>
  <conditionalFormatting sqref="X450">
    <cfRule type="expression" priority="41" dxfId="3">
      <formula>AND(IF(OR($Q450=1,$Q450=2),1,0),IF($X450&lt;=20,1,0))</formula>
    </cfRule>
    <cfRule type="expression" priority="42" dxfId="2">
      <formula>AND(IF($Q450=2,1,0),IF($X450&lt;30,1,0))</formula>
    </cfRule>
    <cfRule type="expression" priority="43" dxfId="1">
      <formula>AND(IF($Q450=3,1,0),IF($X450&lt;30,1,0))</formula>
    </cfRule>
    <cfRule type="expression" priority="44" dxfId="0">
      <formula>AND(IF($Q450=3,1,IF($Q450=4,1,0)),IF($F450&lt;=85,1,0))</formula>
    </cfRule>
  </conditionalFormatting>
  <conditionalFormatting sqref="AI450">
    <cfRule type="expression" priority="37" dxfId="3">
      <formula>AND(IF(OR($Q450=1,$Q450=2),1,0),IF($X450&lt;=20,1,0))</formula>
    </cfRule>
    <cfRule type="expression" priority="38" dxfId="2">
      <formula>AND(IF($Q450=2,1,0),IF($X450&lt;30,1,0))</formula>
    </cfRule>
    <cfRule type="expression" priority="39" dxfId="1">
      <formula>AND(IF($Q450=3,1,0),IF($X450&lt;30,1,0))</formula>
    </cfRule>
    <cfRule type="expression" priority="40" dxfId="0">
      <formula>AND(IF($Q450=3,1,IF($Q450=4,1,0)),IF($F450&lt;=85,1,0))</formula>
    </cfRule>
  </conditionalFormatting>
  <conditionalFormatting sqref="AV451">
    <cfRule type="expression" priority="35" dxfId="23">
      <formula>AV451="X"</formula>
    </cfRule>
    <cfRule type="expression" priority="36" dxfId="22">
      <formula>AV451="후보"</formula>
    </cfRule>
  </conditionalFormatting>
  <conditionalFormatting sqref="AC4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51">
    <cfRule type="expression" priority="27" dxfId="3">
      <formula>AND(IF(OR($Q451=1,$Q451=2),1,0),IF($X451&lt;=20,1,0))</formula>
    </cfRule>
    <cfRule type="expression" priority="28" dxfId="2">
      <formula>AND(IF($Q451=2,1,0),IF($X451&lt;30,1,0))</formula>
    </cfRule>
    <cfRule type="expression" priority="29" dxfId="1">
      <formula>AND(IF($Q451=3,1,0),IF($X451&lt;30,1,0))</formula>
    </cfRule>
    <cfRule type="expression" priority="30" dxfId="0">
      <formula>AND(IF($Q451=3,1,IF($Q451=4,1,0)),IF($F451&lt;=85,1,0))</formula>
    </cfRule>
  </conditionalFormatting>
  <conditionalFormatting sqref="X451">
    <cfRule type="expression" priority="23" dxfId="3">
      <formula>AND(IF(OR($Q451=1,$Q451=2),1,0),IF($X451&lt;=20,1,0))</formula>
    </cfRule>
    <cfRule type="expression" priority="24" dxfId="2">
      <formula>AND(IF($Q451=2,1,0),IF($X451&lt;30,1,0))</formula>
    </cfRule>
    <cfRule type="expression" priority="25" dxfId="1">
      <formula>AND(IF($Q451=3,1,0),IF($X451&lt;30,1,0))</formula>
    </cfRule>
    <cfRule type="expression" priority="26" dxfId="0">
      <formula>AND(IF($Q451=3,1,IF($Q451=4,1,0)),IF($F451&lt;=85,1,0))</formula>
    </cfRule>
  </conditionalFormatting>
  <conditionalFormatting sqref="AI451">
    <cfRule type="expression" priority="19" dxfId="3">
      <formula>AND(IF(OR($Q451=1,$Q451=2),1,0),IF($X451&lt;=20,1,0))</formula>
    </cfRule>
    <cfRule type="expression" priority="20" dxfId="2">
      <formula>AND(IF($Q451=2,1,0),IF($X451&lt;30,1,0))</formula>
    </cfRule>
    <cfRule type="expression" priority="21" dxfId="1">
      <formula>AND(IF($Q451=3,1,0),IF($X451&lt;30,1,0))</formula>
    </cfRule>
    <cfRule type="expression" priority="22" dxfId="0">
      <formula>AND(IF($Q451=3,1,IF($Q451=4,1,0)),IF($F451&lt;=85,1,0))</formula>
    </cfRule>
  </conditionalFormatting>
  <conditionalFormatting sqref="AV452">
    <cfRule type="expression" priority="17" dxfId="23">
      <formula>AV452="X"</formula>
    </cfRule>
    <cfRule type="expression" priority="18" dxfId="22">
      <formula>AV452="후보"</formula>
    </cfRule>
  </conditionalFormatting>
  <conditionalFormatting sqref="AC4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2">
    <cfRule type="expression" priority="9" dxfId="3">
      <formula>AND(IF(OR($Q452=1,$Q452=2),1,0),IF($X452&lt;=20,1,0))</formula>
    </cfRule>
    <cfRule type="expression" priority="10" dxfId="2">
      <formula>AND(IF($Q452=2,1,0),IF($X452&lt;30,1,0))</formula>
    </cfRule>
    <cfRule type="expression" priority="11" dxfId="1">
      <formula>AND(IF($Q452=3,1,0),IF($X452&lt;30,1,0))</formula>
    </cfRule>
    <cfRule type="expression" priority="12" dxfId="0">
      <formula>AND(IF($Q452=3,1,IF($Q452=4,1,0)),IF($F452&lt;=85,1,0))</formula>
    </cfRule>
  </conditionalFormatting>
  <conditionalFormatting sqref="X452">
    <cfRule type="expression" priority="5" dxfId="3">
      <formula>AND(IF(OR($Q452=1,$Q452=2),1,0),IF($X452&lt;=20,1,0))</formula>
    </cfRule>
    <cfRule type="expression" priority="6" dxfId="2">
      <formula>AND(IF($Q452=2,1,0),IF($X452&lt;30,1,0))</formula>
    </cfRule>
    <cfRule type="expression" priority="7" dxfId="1">
      <formula>AND(IF($Q452=3,1,0),IF($X452&lt;30,1,0))</formula>
    </cfRule>
    <cfRule type="expression" priority="8" dxfId="0">
      <formula>AND(IF($Q452=3,1,IF($Q452=4,1,0)),IF($F452&lt;=85,1,0))</formula>
    </cfRule>
  </conditionalFormatting>
  <conditionalFormatting sqref="AI452">
    <cfRule type="expression" priority="1" dxfId="3">
      <formula>AND(IF(OR($Q452=1,$Q452=2),1,0),IF($X452&lt;=20,1,0))</formula>
    </cfRule>
    <cfRule type="expression" priority="2" dxfId="2">
      <formula>AND(IF($Q452=2,1,0),IF($X452&lt;30,1,0))</formula>
    </cfRule>
    <cfRule type="expression" priority="3" dxfId="1">
      <formula>AND(IF($Q452=3,1,0),IF($X452&lt;30,1,0))</formula>
    </cfRule>
    <cfRule type="expression" priority="4" dxfId="0">
      <formula>AND(IF($Q452=3,1,IF($Q452=4,1,0)),IF($F452&lt;=85,1,0))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8" t="inlineStr">
        <is>
          <t>학암동 위례신도시엠코타운센트로엘</t>
        </is>
      </c>
      <c r="B4" s="79" t="inlineStr">
        <is>
          <t>16.06.</t>
        </is>
      </c>
      <c r="C4" s="129" t="n">
        <v>673</v>
      </c>
      <c r="D4" s="130" t="n">
        <v>128.5</v>
      </c>
      <c r="E4" s="131" t="n">
        <v>39</v>
      </c>
      <c r="F4" s="130" t="n">
        <v>98.8</v>
      </c>
      <c r="G4" s="17" t="n">
        <v>30</v>
      </c>
      <c r="H4" s="132" t="n">
        <v>265</v>
      </c>
      <c r="I4" s="133" t="n">
        <v>173000</v>
      </c>
      <c r="J4" s="133" t="inlineStr">
        <is>
          <t>중</t>
        </is>
      </c>
      <c r="K4" s="133" t="n">
        <v>95000</v>
      </c>
      <c r="L4" s="133" t="inlineStr">
        <is>
          <t>고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inlineStr">
        <is>
          <t>128B</t>
        </is>
      </c>
      <c r="U4" s="9" t="n"/>
    </row>
    <row r="5" ht="12" customFormat="1" customHeight="1" s="37">
      <c r="A5" s="78" t="inlineStr">
        <is>
          <t>감이동 포웰시티푸르지오라포레</t>
        </is>
      </c>
      <c r="B5" s="79" t="inlineStr">
        <is>
          <t>21.02.</t>
        </is>
      </c>
      <c r="C5" s="129" t="n">
        <v>790</v>
      </c>
      <c r="D5" s="130" t="n">
        <v>127.5</v>
      </c>
      <c r="E5" s="131" t="n">
        <v>39</v>
      </c>
      <c r="F5" s="130" t="n">
        <v>99.59999999999999</v>
      </c>
      <c r="G5" s="17" t="n">
        <v>30</v>
      </c>
      <c r="H5" s="132" t="n">
        <v>414</v>
      </c>
      <c r="I5" s="133" t="n">
        <v>170000</v>
      </c>
      <c r="J5" s="133" t="inlineStr">
        <is>
          <t>22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8" t="inlineStr">
        <is>
          <t>학암동 플로리체위례</t>
        </is>
      </c>
      <c r="B6" s="79" t="inlineStr">
        <is>
          <t>15.10.</t>
        </is>
      </c>
      <c r="C6" s="129" t="n">
        <v>970</v>
      </c>
      <c r="D6" s="130" t="n">
        <v>132.2</v>
      </c>
      <c r="E6" s="131" t="n">
        <v>40</v>
      </c>
      <c r="F6" s="130" t="n">
        <v>102</v>
      </c>
      <c r="G6" s="17" t="n">
        <v>31</v>
      </c>
      <c r="H6" s="132" t="n">
        <v>368</v>
      </c>
      <c r="I6" s="133" t="n">
        <v>165000</v>
      </c>
      <c r="J6" s="133" t="inlineStr">
        <is>
          <t>고</t>
        </is>
      </c>
      <c r="K6" s="133" t="n">
        <v>85000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n">
        <v>132</v>
      </c>
      <c r="U6" s="9" t="n"/>
    </row>
    <row r="7" ht="12" customFormat="1" customHeight="1" s="37">
      <c r="A7" s="78" t="inlineStr">
        <is>
          <t>학암동 위례신도시신안인스빌아스트로</t>
        </is>
      </c>
      <c r="B7" s="79" t="inlineStr">
        <is>
          <t>17.02.</t>
        </is>
      </c>
      <c r="C7" s="129" t="n">
        <v>694</v>
      </c>
      <c r="D7" s="130" t="n">
        <v>123.8</v>
      </c>
      <c r="E7" s="131" t="n">
        <v>37</v>
      </c>
      <c r="F7" s="130" t="n">
        <v>97</v>
      </c>
      <c r="G7" s="17" t="n">
        <v>29</v>
      </c>
      <c r="H7" s="132" t="n">
        <v>273</v>
      </c>
      <c r="I7" s="133" t="n">
        <v>165000</v>
      </c>
      <c r="J7" s="133" t="inlineStr">
        <is>
          <t>10</t>
        </is>
      </c>
      <c r="K7" s="133" t="n">
        <v>75000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</row>
    <row r="8" ht="12" customFormat="1" customHeight="1" s="37">
      <c r="A8" s="78" t="inlineStr">
        <is>
          <t>선동 미사강변더샵리버포레</t>
        </is>
      </c>
      <c r="B8" s="79" t="inlineStr">
        <is>
          <t>16.07.</t>
        </is>
      </c>
      <c r="C8" s="129" t="n">
        <v>875</v>
      </c>
      <c r="D8" s="130" t="n">
        <v>141.1</v>
      </c>
      <c r="E8" s="131" t="n">
        <v>43</v>
      </c>
      <c r="F8" s="130" t="n">
        <v>112.9</v>
      </c>
      <c r="G8" s="17" t="n">
        <v>34</v>
      </c>
      <c r="H8" s="132" t="n">
        <v>56</v>
      </c>
      <c r="I8" s="133" t="n">
        <v>160000</v>
      </c>
      <c r="J8" s="133" t="inlineStr">
        <is>
          <t>중</t>
        </is>
      </c>
      <c r="K8" s="133" t="n">
        <v>90000</v>
      </c>
      <c r="L8" s="133" t="inlineStr">
        <is>
          <t>18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141A</t>
        </is>
      </c>
      <c r="U8" s="9" t="n"/>
    </row>
    <row r="9" ht="12" customFormat="1" customHeight="1" s="37">
      <c r="A9" s="78" t="inlineStr">
        <is>
          <t>학암동 플로리체위례</t>
        </is>
      </c>
      <c r="B9" s="79" t="inlineStr">
        <is>
          <t>15.10.</t>
        </is>
      </c>
      <c r="C9" s="129" t="n">
        <v>970</v>
      </c>
      <c r="D9" s="130" t="n">
        <v>125.2</v>
      </c>
      <c r="E9" s="131" t="n">
        <v>38</v>
      </c>
      <c r="F9" s="130" t="n">
        <v>96</v>
      </c>
      <c r="G9" s="17" t="n">
        <v>29</v>
      </c>
      <c r="H9" s="132" t="n">
        <v>243</v>
      </c>
      <c r="I9" s="133" t="n">
        <v>159000</v>
      </c>
      <c r="J9" s="133" t="inlineStr">
        <is>
          <t>18</t>
        </is>
      </c>
      <c r="K9" s="133" t="n">
        <v>78000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125B</t>
        </is>
      </c>
      <c r="U9" s="9" t="n"/>
    </row>
    <row r="10" ht="12" customFormat="1" customHeight="1" s="37">
      <c r="A10" s="78" t="inlineStr">
        <is>
          <t>감이동 포웰시티푸르지오라포레</t>
        </is>
      </c>
      <c r="B10" s="79" t="inlineStr">
        <is>
          <t>21.02.</t>
        </is>
      </c>
      <c r="C10" s="129" t="n">
        <v>790</v>
      </c>
      <c r="D10" s="130" t="n">
        <v>117.7</v>
      </c>
      <c r="E10" s="131" t="n">
        <v>36</v>
      </c>
      <c r="F10" s="130" t="n">
        <v>90.2</v>
      </c>
      <c r="G10" s="17" t="n">
        <v>27</v>
      </c>
      <c r="H10" s="132" t="n">
        <v>173</v>
      </c>
      <c r="I10" s="133" t="n">
        <v>155000</v>
      </c>
      <c r="J10" s="133" t="inlineStr">
        <is>
          <t>중</t>
        </is>
      </c>
      <c r="K10" s="133" t="n">
        <v>75000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117B</t>
        </is>
      </c>
      <c r="U10" s="9" t="n"/>
    </row>
    <row r="11" ht="12" customFormat="1" customHeight="1" s="37">
      <c r="A11" s="78" t="inlineStr">
        <is>
          <t>학암동 위례그린파크푸르지오</t>
        </is>
      </c>
      <c r="B11" s="79" t="inlineStr">
        <is>
          <t>16.01.</t>
        </is>
      </c>
      <c r="C11" s="129" t="n">
        <v>972</v>
      </c>
      <c r="D11" s="130" t="n">
        <v>131</v>
      </c>
      <c r="E11" s="131" t="n">
        <v>40</v>
      </c>
      <c r="F11" s="130" t="n">
        <v>101.1</v>
      </c>
      <c r="G11" s="17" t="n">
        <v>31</v>
      </c>
      <c r="H11" s="132" t="n">
        <v>495</v>
      </c>
      <c r="I11" s="133" t="n">
        <v>152000</v>
      </c>
      <c r="J11" s="133" t="inlineStr">
        <is>
          <t>고</t>
        </is>
      </c>
      <c r="K11" s="133" t="n">
        <v>75000</v>
      </c>
      <c r="L11" s="133" t="inlineStr">
        <is>
          <t>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130A</t>
        </is>
      </c>
      <c r="U11" s="9" t="n"/>
    </row>
    <row r="12" ht="12" customFormat="1" customHeight="1" s="37">
      <c r="A12" s="78" t="inlineStr">
        <is>
          <t>감이동 더샵포웰시티</t>
        </is>
      </c>
      <c r="B12" s="79" t="inlineStr">
        <is>
          <t>21.01.</t>
        </is>
      </c>
      <c r="C12" s="129" t="n">
        <v>881</v>
      </c>
      <c r="D12" s="130" t="n">
        <v>127.7</v>
      </c>
      <c r="E12" s="131" t="n">
        <v>39</v>
      </c>
      <c r="F12" s="130" t="n">
        <v>99.59999999999999</v>
      </c>
      <c r="G12" s="17" t="n">
        <v>30</v>
      </c>
      <c r="H12" s="132" t="n">
        <v>332</v>
      </c>
      <c r="I12" s="133" t="n">
        <v>150000</v>
      </c>
      <c r="J12" s="133" t="inlineStr">
        <is>
          <t>13</t>
        </is>
      </c>
      <c r="K12" s="133" t="n">
        <v>92000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127A</t>
        </is>
      </c>
      <c r="U12" s="9" t="n"/>
    </row>
    <row r="13" ht="12" customFormat="1" customHeight="1" s="37">
      <c r="A13" s="78" t="inlineStr">
        <is>
          <t>선동 미사강변푸르지오2차</t>
        </is>
      </c>
      <c r="B13" s="79" t="inlineStr">
        <is>
          <t>16.09.</t>
        </is>
      </c>
      <c r="C13" s="129" t="n">
        <v>1066</v>
      </c>
      <c r="D13" s="130" t="n">
        <v>131.5</v>
      </c>
      <c r="E13" s="131" t="n">
        <v>40</v>
      </c>
      <c r="F13" s="130" t="n">
        <v>101.8</v>
      </c>
      <c r="G13" s="17" t="n">
        <v>31</v>
      </c>
      <c r="H13" s="132" t="n">
        <v>365</v>
      </c>
      <c r="I13" s="133" t="n">
        <v>145000</v>
      </c>
      <c r="J13" s="133" t="inlineStr">
        <is>
          <t>고</t>
        </is>
      </c>
      <c r="K13" s="133" t="n">
        <v>85000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131A</t>
        </is>
      </c>
      <c r="U13" s="9" t="n"/>
    </row>
    <row r="14" ht="12" customFormat="1" customHeight="1" s="37">
      <c r="A14" s="78" t="inlineStr">
        <is>
          <t>풍산동 미사강변더샵센트럴포레</t>
        </is>
      </c>
      <c r="B14" s="79" t="inlineStr">
        <is>
          <t>17.10.</t>
        </is>
      </c>
      <c r="C14" s="129" t="n">
        <v>487</v>
      </c>
      <c r="D14" s="130" t="n">
        <v>132.4</v>
      </c>
      <c r="E14" s="131" t="n">
        <v>40</v>
      </c>
      <c r="F14" s="130" t="n">
        <v>101.8</v>
      </c>
      <c r="G14" s="17" t="n">
        <v>31</v>
      </c>
      <c r="H14" s="132" t="n">
        <v>56</v>
      </c>
      <c r="I14" s="133" t="n">
        <v>145000</v>
      </c>
      <c r="J14" s="133" t="inlineStr">
        <is>
          <t>27</t>
        </is>
      </c>
      <c r="K14" s="133" t="n">
        <v>66000</v>
      </c>
      <c r="L14" s="133" t="inlineStr">
        <is>
          <t>19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132</v>
      </c>
      <c r="U14" s="9" t="n"/>
    </row>
    <row r="15" ht="12" customFormat="1" customHeight="1" s="37">
      <c r="A15" s="78" t="inlineStr">
        <is>
          <t>감이동 더샵포웰시티</t>
        </is>
      </c>
      <c r="B15" s="79" t="inlineStr">
        <is>
          <t>21.01.</t>
        </is>
      </c>
      <c r="C15" s="129" t="n">
        <v>881</v>
      </c>
      <c r="D15" s="130" t="n">
        <v>116.5</v>
      </c>
      <c r="E15" s="131" t="n">
        <v>35</v>
      </c>
      <c r="F15" s="130" t="n">
        <v>90.8</v>
      </c>
      <c r="G15" s="17" t="n">
        <v>27</v>
      </c>
      <c r="H15" s="132" t="n">
        <v>450</v>
      </c>
      <c r="I15" s="133" t="n">
        <v>138000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116A</t>
        </is>
      </c>
      <c r="U15" s="9" t="n"/>
    </row>
    <row r="16" ht="12" customFormat="1" customHeight="1" s="37">
      <c r="A16" s="78" t="inlineStr">
        <is>
          <t>선동 미사강변더샵리버포레</t>
        </is>
      </c>
      <c r="B16" s="79" t="inlineStr">
        <is>
          <t>16.07.</t>
        </is>
      </c>
      <c r="C16" s="129" t="n">
        <v>875</v>
      </c>
      <c r="D16" s="130" t="n">
        <v>128.7</v>
      </c>
      <c r="E16" s="131" t="n">
        <v>39</v>
      </c>
      <c r="F16" s="130" t="n">
        <v>98.7</v>
      </c>
      <c r="G16" s="17" t="n">
        <v>30</v>
      </c>
      <c r="H16" s="132" t="n">
        <v>135</v>
      </c>
      <c r="I16" s="133" t="n">
        <v>135000</v>
      </c>
      <c r="J16" s="133" t="inlineStr">
        <is>
          <t>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128A</t>
        </is>
      </c>
      <c r="U16" s="9" t="n"/>
    </row>
    <row r="17" ht="12" customFormat="1" customHeight="1" s="37">
      <c r="A17" s="78" t="inlineStr">
        <is>
          <t>풍산동 미사강변센트럴자이</t>
        </is>
      </c>
      <c r="B17" s="79" t="inlineStr">
        <is>
          <t>17.02.</t>
        </is>
      </c>
      <c r="C17" s="129" t="n">
        <v>1222</v>
      </c>
      <c r="D17" s="130" t="n">
        <v>123.5</v>
      </c>
      <c r="E17" s="131" t="n">
        <v>37</v>
      </c>
      <c r="F17" s="130" t="n">
        <v>97</v>
      </c>
      <c r="G17" s="17" t="n">
        <v>29</v>
      </c>
      <c r="H17" s="132" t="n">
        <v>380</v>
      </c>
      <c r="I17" s="133" t="n">
        <v>131000</v>
      </c>
      <c r="J17" s="133" t="inlineStr">
        <is>
          <t>중</t>
        </is>
      </c>
      <c r="K17" s="133" t="n">
        <v>90000</v>
      </c>
      <c r="L17" s="133" t="inlineStr">
        <is>
          <t>26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123A</t>
        </is>
      </c>
      <c r="U17" s="9" t="n"/>
    </row>
    <row r="18" ht="12" customFormat="1" customHeight="1" s="37">
      <c r="A18" s="78" t="inlineStr">
        <is>
          <t>망월동 미사강변호반써밋</t>
        </is>
      </c>
      <c r="B18" s="79" t="inlineStr">
        <is>
          <t>19.06.</t>
        </is>
      </c>
      <c r="C18" s="129" t="n">
        <v>846</v>
      </c>
      <c r="D18" s="130" t="n">
        <v>131.6</v>
      </c>
      <c r="E18" s="131" t="n">
        <v>40</v>
      </c>
      <c r="F18" s="130" t="n">
        <v>99.90000000000001</v>
      </c>
      <c r="G18" s="17" t="n">
        <v>30</v>
      </c>
      <c r="H18" s="132" t="n">
        <v>490</v>
      </c>
      <c r="I18" s="133" t="n">
        <v>130000</v>
      </c>
      <c r="J18" s="133" t="inlineStr">
        <is>
          <t>29</t>
        </is>
      </c>
      <c r="K18" s="133" t="n">
        <v>80000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131A</t>
        </is>
      </c>
      <c r="U18" s="9" t="n"/>
    </row>
    <row r="19" ht="12" customFormat="1" customHeight="1" s="37">
      <c r="A19" s="78" t="inlineStr">
        <is>
          <t>선동 리버스위트칸타빌</t>
        </is>
      </c>
      <c r="B19" s="79" t="inlineStr">
        <is>
          <t>18.05.</t>
        </is>
      </c>
      <c r="C19" s="129" t="n">
        <v>550</v>
      </c>
      <c r="D19" s="130" t="n">
        <v>130.7</v>
      </c>
      <c r="E19" s="131" t="n">
        <v>40</v>
      </c>
      <c r="F19" s="130" t="n">
        <v>102.5</v>
      </c>
      <c r="G19" s="17" t="n">
        <v>31</v>
      </c>
      <c r="H19" s="132" t="n">
        <v>176</v>
      </c>
      <c r="I19" s="133" t="n">
        <v>130000</v>
      </c>
      <c r="J19" s="133" t="inlineStr">
        <is>
          <t>10</t>
        </is>
      </c>
      <c r="K19" s="133" t="n">
        <v>75000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130</v>
      </c>
      <c r="U19" s="9" t="n"/>
    </row>
    <row r="20" ht="12" customFormat="1" customHeight="1" s="37">
      <c r="A20" s="78" t="inlineStr">
        <is>
          <t>학암동 위례롯데캐슬</t>
        </is>
      </c>
      <c r="B20" s="79" t="inlineStr">
        <is>
          <t>16.01.</t>
        </is>
      </c>
      <c r="C20" s="129" t="n">
        <v>1673</v>
      </c>
      <c r="D20" s="130" t="n">
        <v>114.2</v>
      </c>
      <c r="E20" s="131" t="n">
        <v>35</v>
      </c>
      <c r="F20" s="130" t="n">
        <v>85</v>
      </c>
      <c r="G20" s="17" t="n">
        <v>26</v>
      </c>
      <c r="H20" s="132" t="n">
        <v>699</v>
      </c>
      <c r="I20" s="133" t="n">
        <v>130000</v>
      </c>
      <c r="J20" s="133" t="inlineStr">
        <is>
          <t>고</t>
        </is>
      </c>
      <c r="K20" s="133" t="n">
        <v>60000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8" t="inlineStr">
        <is>
          <t>선동 미사강변리버뷰자이</t>
        </is>
      </c>
      <c r="B21" s="79" t="inlineStr">
        <is>
          <t>17.08.</t>
        </is>
      </c>
      <c r="C21" s="129" t="n">
        <v>555</v>
      </c>
      <c r="D21" s="130" t="n">
        <v>118.6</v>
      </c>
      <c r="E21" s="131" t="n">
        <v>36</v>
      </c>
      <c r="F21" s="130" t="n">
        <v>91.59999999999999</v>
      </c>
      <c r="G21" s="17" t="n">
        <v>28</v>
      </c>
      <c r="H21" s="132" t="n">
        <v>139</v>
      </c>
      <c r="I21" s="133" t="n">
        <v>125000</v>
      </c>
      <c r="J21" s="133" t="inlineStr">
        <is>
          <t>중</t>
        </is>
      </c>
      <c r="K21" s="133" t="n">
        <v>63000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118</v>
      </c>
      <c r="U21" s="9" t="n"/>
    </row>
    <row r="22" ht="12" customFormat="1" customHeight="1" s="37">
      <c r="A22" s="78" t="inlineStr">
        <is>
          <t>풍산동 미사강변센트럴풍경채</t>
        </is>
      </c>
      <c r="B22" s="79" t="inlineStr">
        <is>
          <t>19.01.</t>
        </is>
      </c>
      <c r="C22" s="129" t="n">
        <v>726</v>
      </c>
      <c r="D22" s="130" t="n">
        <v>123.3</v>
      </c>
      <c r="E22" s="131" t="n">
        <v>37</v>
      </c>
      <c r="F22" s="130" t="n">
        <v>97.3</v>
      </c>
      <c r="G22" s="17" t="n">
        <v>29</v>
      </c>
      <c r="H22" s="132" t="n">
        <v>229</v>
      </c>
      <c r="I22" s="133" t="n">
        <v>125000</v>
      </c>
      <c r="J22" s="133" t="inlineStr">
        <is>
          <t>16</t>
        </is>
      </c>
      <c r="K22" s="133" t="n">
        <v>80000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123A</t>
        </is>
      </c>
      <c r="U22" s="9" t="n"/>
    </row>
    <row r="23" ht="12" customFormat="1" customHeight="1" s="37">
      <c r="A23" s="78" t="inlineStr">
        <is>
          <t>풍산동 미사강변더샵센트럴포레</t>
        </is>
      </c>
      <c r="B23" s="79" t="inlineStr">
        <is>
          <t>17.10.</t>
        </is>
      </c>
      <c r="C23" s="129" t="n">
        <v>487</v>
      </c>
      <c r="D23" s="130" t="n">
        <v>122.5</v>
      </c>
      <c r="E23" s="131" t="n">
        <v>37</v>
      </c>
      <c r="F23" s="130" t="n">
        <v>93.40000000000001</v>
      </c>
      <c r="G23" s="17" t="n">
        <v>28</v>
      </c>
      <c r="H23" s="132" t="n">
        <v>58</v>
      </c>
      <c r="I23" s="133" t="n">
        <v>125000</v>
      </c>
      <c r="J23" s="133" t="inlineStr">
        <is>
          <t>고</t>
        </is>
      </c>
      <c r="K23" s="133" t="n">
        <v>79000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122C</t>
        </is>
      </c>
      <c r="U23" s="9" t="n"/>
    </row>
    <row r="24" ht="12" customFormat="1" customHeight="1" s="37">
      <c r="A24" s="78" t="inlineStr">
        <is>
          <t>풍산동 미사강변센트럴자이</t>
        </is>
      </c>
      <c r="B24" s="79" t="inlineStr">
        <is>
          <t>17.02.</t>
        </is>
      </c>
      <c r="C24" s="129" t="n">
        <v>1222</v>
      </c>
      <c r="D24" s="130" t="n">
        <v>117.9</v>
      </c>
      <c r="E24" s="131" t="n">
        <v>36</v>
      </c>
      <c r="F24" s="130" t="n">
        <v>91.40000000000001</v>
      </c>
      <c r="G24" s="17" t="n">
        <v>28</v>
      </c>
      <c r="H24" s="132" t="n">
        <v>273</v>
      </c>
      <c r="I24" s="133" t="n">
        <v>123000</v>
      </c>
      <c r="J24" s="133" t="inlineStr">
        <is>
          <t>23</t>
        </is>
      </c>
      <c r="K24" s="133" t="n">
        <v>75000</v>
      </c>
      <c r="L24" s="133" t="inlineStr">
        <is>
          <t>23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117</v>
      </c>
      <c r="U24" s="9" t="n"/>
    </row>
    <row r="25" ht="12" customFormat="1" customHeight="1" s="37">
      <c r="A25" s="78" t="inlineStr">
        <is>
          <t>학암동 위례롯데캐슬</t>
        </is>
      </c>
      <c r="B25" s="79" t="inlineStr">
        <is>
          <t>16.01.</t>
        </is>
      </c>
      <c r="C25" s="129" t="n">
        <v>1673</v>
      </c>
      <c r="D25" s="130" t="n">
        <v>101.5</v>
      </c>
      <c r="E25" s="131" t="n">
        <v>31</v>
      </c>
      <c r="F25" s="130" t="n">
        <v>75.5</v>
      </c>
      <c r="G25" s="17" t="n">
        <v>23</v>
      </c>
      <c r="H25" s="132" t="n">
        <v>292</v>
      </c>
      <c r="I25" s="133" t="n">
        <v>122000</v>
      </c>
      <c r="J25" s="133" t="inlineStr">
        <is>
          <t>15</t>
        </is>
      </c>
      <c r="K25" s="133" t="n">
        <v>63000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101B</t>
        </is>
      </c>
      <c r="U25" s="9" t="n"/>
    </row>
    <row r="26" ht="12" customFormat="1" customHeight="1" s="37">
      <c r="A26" s="78" t="inlineStr">
        <is>
          <t>감이동 감일센트레빌</t>
        </is>
      </c>
      <c r="B26" s="79" t="inlineStr">
        <is>
          <t>20.03.</t>
        </is>
      </c>
      <c r="C26" s="129" t="n">
        <v>589</v>
      </c>
      <c r="D26" s="130" t="n">
        <v>117.1</v>
      </c>
      <c r="E26" s="131" t="n">
        <v>35</v>
      </c>
      <c r="F26" s="130" t="n">
        <v>84.8</v>
      </c>
      <c r="G26" s="17" t="n">
        <v>26</v>
      </c>
      <c r="H26" s="132" t="n">
        <v>156</v>
      </c>
      <c r="I26" s="133" t="n">
        <v>120000</v>
      </c>
      <c r="J26" s="133" t="inlineStr">
        <is>
          <t>16</t>
        </is>
      </c>
      <c r="K26" s="133" t="n">
        <v>61000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117A</t>
        </is>
      </c>
      <c r="U26" s="9" t="n"/>
    </row>
    <row r="27" ht="12" customFormat="1" customHeight="1" s="37">
      <c r="A27" s="78" t="inlineStr">
        <is>
          <t>덕풍동 삼부르네상스</t>
        </is>
      </c>
      <c r="B27" s="79" t="inlineStr">
        <is>
          <t>08.08.</t>
        </is>
      </c>
      <c r="C27" s="129" t="n">
        <v>471</v>
      </c>
      <c r="D27" s="130" t="n">
        <v>128.5</v>
      </c>
      <c r="E27" s="131" t="n">
        <v>39</v>
      </c>
      <c r="F27" s="130" t="n">
        <v>102</v>
      </c>
      <c r="G27" s="17" t="n">
        <v>31</v>
      </c>
      <c r="H27" s="132" t="n">
        <v>224</v>
      </c>
      <c r="I27" s="133" t="n">
        <v>120000</v>
      </c>
      <c r="J27" s="133" t="inlineStr">
        <is>
          <t>11</t>
        </is>
      </c>
      <c r="K27" s="133" t="n">
        <v>71000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128A</t>
        </is>
      </c>
      <c r="U27" s="9" t="n"/>
    </row>
    <row r="28" ht="12" customFormat="1" customHeight="1" s="37">
      <c r="A28" s="78" t="inlineStr">
        <is>
          <t>덕풍동 하남풍산아이파크1단지</t>
        </is>
      </c>
      <c r="B28" s="79" t="inlineStr">
        <is>
          <t>08.07.</t>
        </is>
      </c>
      <c r="C28" s="129" t="n">
        <v>686</v>
      </c>
      <c r="D28" s="130" t="n">
        <v>128.3</v>
      </c>
      <c r="E28" s="131" t="n">
        <v>39</v>
      </c>
      <c r="F28" s="130" t="n">
        <v>100.9</v>
      </c>
      <c r="G28" s="17" t="n">
        <v>31</v>
      </c>
      <c r="H28" s="132" t="n">
        <v>92</v>
      </c>
      <c r="I28" s="133" t="n">
        <v>119500</v>
      </c>
      <c r="J28" s="133" t="inlineStr">
        <is>
          <t>11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128</v>
      </c>
      <c r="U28" s="9" t="n"/>
    </row>
    <row r="29" ht="12" customFormat="1" customHeight="1" s="37">
      <c r="A29" s="78" t="inlineStr">
        <is>
          <t>선동 미사강변리버뷰자이</t>
        </is>
      </c>
      <c r="B29" s="79" t="inlineStr">
        <is>
          <t>17.08.</t>
        </is>
      </c>
      <c r="C29" s="129" t="n">
        <v>555</v>
      </c>
      <c r="D29" s="130" t="n">
        <v>125.4</v>
      </c>
      <c r="E29" s="131" t="n">
        <v>38</v>
      </c>
      <c r="F29" s="130" t="n">
        <v>98.59999999999999</v>
      </c>
      <c r="G29" s="17" t="n">
        <v>30</v>
      </c>
      <c r="H29" s="132" t="n">
        <v>131</v>
      </c>
      <c r="I29" s="133" t="n">
        <v>119000</v>
      </c>
      <c r="J29" s="133" t="inlineStr">
        <is>
          <t>10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125A</t>
        </is>
      </c>
      <c r="U29" s="9" t="n"/>
    </row>
    <row r="30" ht="12" customFormat="1" customHeight="1" s="37">
      <c r="A30" s="78" t="inlineStr">
        <is>
          <t>망월동 미사강변푸르지오</t>
        </is>
      </c>
      <c r="B30" s="79" t="inlineStr">
        <is>
          <t>16.04.</t>
        </is>
      </c>
      <c r="C30" s="129" t="n">
        <v>1188</v>
      </c>
      <c r="D30" s="130" t="n">
        <v>111.8</v>
      </c>
      <c r="E30" s="131" t="n">
        <v>34</v>
      </c>
      <c r="F30" s="130" t="n">
        <v>85</v>
      </c>
      <c r="G30" s="17" t="n">
        <v>26</v>
      </c>
      <c r="H30" s="132" t="n">
        <v>592</v>
      </c>
      <c r="I30" s="133" t="n">
        <v>117500</v>
      </c>
      <c r="J30" s="133" t="inlineStr">
        <is>
          <t>중</t>
        </is>
      </c>
      <c r="K30" s="133" t="n">
        <v>65000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111A</t>
        </is>
      </c>
      <c r="U30" s="9" t="n"/>
    </row>
    <row r="31" ht="12" customFormat="1" customHeight="1" s="37">
      <c r="A31" s="78" t="inlineStr">
        <is>
          <t>망월동 미사강변푸르지오</t>
        </is>
      </c>
      <c r="B31" s="79" t="inlineStr">
        <is>
          <t>16.04.</t>
        </is>
      </c>
      <c r="C31" s="129" t="n">
        <v>1188</v>
      </c>
      <c r="D31" s="130" t="n">
        <v>97.7</v>
      </c>
      <c r="E31" s="131" t="n">
        <v>30</v>
      </c>
      <c r="F31" s="130" t="n">
        <v>74.90000000000001</v>
      </c>
      <c r="G31" s="17" t="n">
        <v>23</v>
      </c>
      <c r="H31" s="132" t="n">
        <v>67</v>
      </c>
      <c r="I31" s="133" t="n">
        <v>115000</v>
      </c>
      <c r="J31" s="133" t="inlineStr">
        <is>
          <t>중</t>
        </is>
      </c>
      <c r="K31" s="133" t="n">
        <v>67000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97A</t>
        </is>
      </c>
      <c r="U31" s="9" t="n"/>
    </row>
    <row r="32" ht="12" customFormat="1" customHeight="1" s="37">
      <c r="A32" s="78" t="inlineStr">
        <is>
          <t>선동 미사강변푸르지오2차</t>
        </is>
      </c>
      <c r="B32" s="79" t="inlineStr">
        <is>
          <t>16.09.</t>
        </is>
      </c>
      <c r="C32" s="129" t="n">
        <v>1066</v>
      </c>
      <c r="D32" s="130" t="n">
        <v>121.6</v>
      </c>
      <c r="E32" s="131" t="n">
        <v>37</v>
      </c>
      <c r="F32" s="130" t="n">
        <v>93.90000000000001</v>
      </c>
      <c r="G32" s="17" t="n">
        <v>28</v>
      </c>
      <c r="H32" s="132" t="n">
        <v>257</v>
      </c>
      <c r="I32" s="133" t="n">
        <v>115000</v>
      </c>
      <c r="J32" s="133" t="inlineStr">
        <is>
          <t>중</t>
        </is>
      </c>
      <c r="K32" s="133" t="n">
        <v>65000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121</v>
      </c>
      <c r="U32" s="9" t="n"/>
    </row>
    <row r="33" ht="12" customFormat="1" customHeight="1" s="37">
      <c r="A33" s="78" t="inlineStr">
        <is>
          <t>선동 리버스위트칸타빌</t>
        </is>
      </c>
      <c r="B33" s="79" t="inlineStr">
        <is>
          <t>18.05.</t>
        </is>
      </c>
      <c r="C33" s="129" t="n">
        <v>550</v>
      </c>
      <c r="D33" s="130" t="n">
        <v>118.3</v>
      </c>
      <c r="E33" s="131" t="n">
        <v>36</v>
      </c>
      <c r="F33" s="130" t="n">
        <v>92.5</v>
      </c>
      <c r="G33" s="17" t="n">
        <v>28</v>
      </c>
      <c r="H33" s="132" t="n">
        <v>135</v>
      </c>
      <c r="I33" s="133" t="n">
        <v>114000</v>
      </c>
      <c r="J33" s="133" t="inlineStr">
        <is>
          <t>6</t>
        </is>
      </c>
      <c r="K33" s="133" t="n">
        <v>60000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118</v>
      </c>
      <c r="U33" s="9" t="n"/>
    </row>
    <row r="34" ht="12" customFormat="1" customHeight="1" s="37">
      <c r="A34" s="78" t="inlineStr">
        <is>
          <t>신장동 하남유니온시티에일린의뜰</t>
        </is>
      </c>
      <c r="B34" s="79" t="inlineStr">
        <is>
          <t>17.08.</t>
        </is>
      </c>
      <c r="C34" s="129" t="n">
        <v>754</v>
      </c>
      <c r="D34" s="130" t="n">
        <v>112</v>
      </c>
      <c r="E34" s="131" t="n">
        <v>34</v>
      </c>
      <c r="F34" s="130" t="n">
        <v>85</v>
      </c>
      <c r="G34" s="17" t="n">
        <v>26</v>
      </c>
      <c r="H34" s="132" t="n">
        <v>189</v>
      </c>
      <c r="I34" s="133" t="n">
        <v>113000</v>
      </c>
      <c r="J34" s="133" t="inlineStr">
        <is>
          <t>고</t>
        </is>
      </c>
      <c r="K34" s="133" t="n">
        <v>71000</v>
      </c>
      <c r="L34" s="133" t="inlineStr">
        <is>
          <t>21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112C</t>
        </is>
      </c>
      <c r="U34" s="9" t="n"/>
    </row>
    <row r="35" ht="12" customFormat="1" customHeight="1" s="37">
      <c r="A35" s="78" t="inlineStr">
        <is>
          <t>신장동 에코타운3단지</t>
        </is>
      </c>
      <c r="B35" s="79" t="inlineStr">
        <is>
          <t>04.11.</t>
        </is>
      </c>
      <c r="C35" s="129" t="n">
        <v>594</v>
      </c>
      <c r="D35" s="130" t="n">
        <v>156.9</v>
      </c>
      <c r="E35" s="131" t="n">
        <v>47</v>
      </c>
      <c r="F35" s="130" t="n">
        <v>126.8</v>
      </c>
      <c r="G35" s="17" t="n">
        <v>38</v>
      </c>
      <c r="H35" s="132" t="n">
        <v>112</v>
      </c>
      <c r="I35" s="133" t="n">
        <v>110000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156A</t>
        </is>
      </c>
      <c r="U35" s="9" t="n"/>
    </row>
    <row r="36" ht="12" customFormat="1" customHeight="1" s="37">
      <c r="A36" s="78" t="inlineStr">
        <is>
          <t>신장동 더우개마을동일</t>
        </is>
      </c>
      <c r="B36" s="79" t="inlineStr">
        <is>
          <t>99.09.</t>
        </is>
      </c>
      <c r="C36" s="129" t="n">
        <v>438</v>
      </c>
      <c r="D36" s="130" t="n">
        <v>204.7</v>
      </c>
      <c r="E36" s="131" t="n">
        <v>62</v>
      </c>
      <c r="F36" s="130" t="n">
        <v>168.7</v>
      </c>
      <c r="G36" s="17" t="n">
        <v>51</v>
      </c>
      <c r="H36" s="132" t="n">
        <v>40</v>
      </c>
      <c r="I36" s="133" t="n">
        <v>110000</v>
      </c>
      <c r="J36" s="133" t="inlineStr">
        <is>
          <t>중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204</v>
      </c>
      <c r="U36" s="9" t="n"/>
    </row>
    <row r="37" ht="12" customFormat="1" customHeight="1" s="37">
      <c r="A37" s="78" t="inlineStr">
        <is>
          <t>풍산동 미사강변동일하이빌</t>
        </is>
      </c>
      <c r="B37" s="79" t="inlineStr">
        <is>
          <t>18.02.</t>
        </is>
      </c>
      <c r="C37" s="129" t="n">
        <v>655</v>
      </c>
      <c r="D37" s="130" t="n">
        <v>101.6</v>
      </c>
      <c r="E37" s="131" t="n">
        <v>31</v>
      </c>
      <c r="F37" s="130" t="n">
        <v>74.90000000000001</v>
      </c>
      <c r="G37" s="17" t="n">
        <v>23</v>
      </c>
      <c r="H37" s="132" t="n">
        <v>72</v>
      </c>
      <c r="I37" s="133" t="n">
        <v>110000</v>
      </c>
      <c r="J37" s="133" t="inlineStr">
        <is>
          <t>고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101A</t>
        </is>
      </c>
      <c r="U37" s="9" t="n"/>
    </row>
    <row r="38" ht="12" customFormat="1" customHeight="1" s="37">
      <c r="A38" s="78" t="inlineStr">
        <is>
          <t>풍산동 미사강변더샵센트럴포레</t>
        </is>
      </c>
      <c r="B38" s="79" t="inlineStr">
        <is>
          <t>17.10.</t>
        </is>
      </c>
      <c r="C38" s="129" t="n">
        <v>487</v>
      </c>
      <c r="D38" s="130" t="n">
        <v>96.09999999999999</v>
      </c>
      <c r="E38" s="131" t="n">
        <v>29</v>
      </c>
      <c r="F38" s="130" t="n">
        <v>73</v>
      </c>
      <c r="G38" s="17" t="n">
        <v>22</v>
      </c>
      <c r="H38" s="132" t="n">
        <v>48</v>
      </c>
      <c r="I38" s="133" t="n">
        <v>110000</v>
      </c>
      <c r="J38" s="133" t="inlineStr">
        <is>
          <t>18</t>
        </is>
      </c>
      <c r="K38" s="133" t="n">
        <v>65000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96A</t>
        </is>
      </c>
      <c r="U38" s="9" t="n"/>
    </row>
    <row r="39" ht="12" customFormat="1" customHeight="1" s="37">
      <c r="A39" s="78" t="inlineStr">
        <is>
          <t>풍산동 미사강변더샵센트럴포레</t>
        </is>
      </c>
      <c r="B39" s="79" t="inlineStr">
        <is>
          <t>17.10.</t>
        </is>
      </c>
      <c r="C39" s="129" t="n">
        <v>487</v>
      </c>
      <c r="D39" s="130" t="n">
        <v>110.4</v>
      </c>
      <c r="E39" s="131" t="n">
        <v>33</v>
      </c>
      <c r="F39" s="130" t="n">
        <v>84</v>
      </c>
      <c r="G39" s="17" t="n">
        <v>25</v>
      </c>
      <c r="H39" s="132" t="n">
        <v>128</v>
      </c>
      <c r="I39" s="133" t="n">
        <v>110000</v>
      </c>
      <c r="J39" s="133" t="inlineStr">
        <is>
          <t>고</t>
        </is>
      </c>
      <c r="K39" s="133" t="n">
        <v>70000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8" t="inlineStr">
        <is>
          <t>감이동 힐스테이트포웰시티</t>
        </is>
      </c>
      <c r="B40" s="79" t="inlineStr">
        <is>
          <t>20.11.</t>
        </is>
      </c>
      <c r="C40" s="129" t="n">
        <v>932</v>
      </c>
      <c r="D40" s="130" t="n">
        <v>97.90000000000001</v>
      </c>
      <c r="E40" s="131" t="n">
        <v>30</v>
      </c>
      <c r="F40" s="130" t="n">
        <v>73.8</v>
      </c>
      <c r="G40" s="17" t="n">
        <v>22</v>
      </c>
      <c r="H40" s="132" t="n">
        <v>470</v>
      </c>
      <c r="I40" s="133" t="n">
        <v>109000</v>
      </c>
      <c r="J40" s="133" t="inlineStr">
        <is>
          <t>5</t>
        </is>
      </c>
      <c r="K40" s="133" t="n">
        <v>54000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97</v>
      </c>
      <c r="U40" s="9" t="n"/>
    </row>
    <row r="41" ht="12" customFormat="1" customHeight="1" s="37">
      <c r="A41" s="78" t="inlineStr">
        <is>
          <t>선동 미사강변더샵리버포레</t>
        </is>
      </c>
      <c r="B41" s="79" t="inlineStr">
        <is>
          <t>16.07.</t>
        </is>
      </c>
      <c r="C41" s="129" t="n">
        <v>875</v>
      </c>
      <c r="D41" s="130" t="n">
        <v>115.8</v>
      </c>
      <c r="E41" s="131" t="n">
        <v>35</v>
      </c>
      <c r="F41" s="130" t="n">
        <v>89.7</v>
      </c>
      <c r="G41" s="17" t="n">
        <v>27</v>
      </c>
      <c r="H41" s="132" t="n">
        <v>297</v>
      </c>
      <c r="I41" s="133" t="n">
        <v>108000</v>
      </c>
      <c r="J41" s="133" t="inlineStr">
        <is>
          <t>15</t>
        </is>
      </c>
      <c r="K41" s="133" t="n">
        <v>73000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115B</t>
        </is>
      </c>
      <c r="U41" s="9" t="n"/>
    </row>
    <row r="42" ht="12" customFormat="1" customHeight="1" s="37">
      <c r="A42" s="78" t="inlineStr">
        <is>
          <t>선동 미사강변센트리버</t>
        </is>
      </c>
      <c r="B42" s="79" t="inlineStr">
        <is>
          <t>16.09.</t>
        </is>
      </c>
      <c r="C42" s="129" t="n">
        <v>1145</v>
      </c>
      <c r="D42" s="130" t="n">
        <v>115.3</v>
      </c>
      <c r="E42" s="131" t="n">
        <v>35</v>
      </c>
      <c r="F42" s="130" t="n">
        <v>84.90000000000001</v>
      </c>
      <c r="G42" s="17" t="n">
        <v>26</v>
      </c>
      <c r="H42" s="132" t="n">
        <v>206</v>
      </c>
      <c r="I42" s="133" t="n">
        <v>108000</v>
      </c>
      <c r="J42" s="133" t="inlineStr">
        <is>
          <t>고</t>
        </is>
      </c>
      <c r="K42" s="133" t="n">
        <v>63000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115C</t>
        </is>
      </c>
      <c r="U42" s="9" t="n"/>
    </row>
    <row r="43" ht="12" customFormat="1" customHeight="1" s="37">
      <c r="A43" s="78" t="inlineStr">
        <is>
          <t>망월동 미사강변하우스디더레이크</t>
        </is>
      </c>
      <c r="B43" s="79" t="inlineStr">
        <is>
          <t>16.05.</t>
        </is>
      </c>
      <c r="C43" s="129" t="n">
        <v>821</v>
      </c>
      <c r="D43" s="130" t="n">
        <v>112.4</v>
      </c>
      <c r="E43" s="131" t="n">
        <v>34</v>
      </c>
      <c r="F43" s="130" t="n">
        <v>85</v>
      </c>
      <c r="G43" s="17" t="n">
        <v>26</v>
      </c>
      <c r="H43" s="132" t="n">
        <v>198</v>
      </c>
      <c r="I43" s="133" t="n">
        <v>107000</v>
      </c>
      <c r="J43" s="133" t="inlineStr">
        <is>
          <t>6</t>
        </is>
      </c>
      <c r="K43" s="133" t="n">
        <v>70000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112C</t>
        </is>
      </c>
      <c r="U43" s="9" t="n"/>
    </row>
    <row r="44" ht="12" customFormat="1" customHeight="1" s="37">
      <c r="A44" s="78" t="inlineStr">
        <is>
          <t>풍산동 미사강변센트럴풍경채</t>
        </is>
      </c>
      <c r="B44" s="79" t="inlineStr">
        <is>
          <t>19.01.</t>
        </is>
      </c>
      <c r="C44" s="129" t="n">
        <v>726</v>
      </c>
      <c r="D44" s="130" t="n">
        <v>109.2</v>
      </c>
      <c r="E44" s="131" t="n">
        <v>33</v>
      </c>
      <c r="F44" s="130" t="n">
        <v>84.90000000000001</v>
      </c>
      <c r="G44" s="17" t="n">
        <v>26</v>
      </c>
      <c r="H44" s="132" t="n">
        <v>388</v>
      </c>
      <c r="I44" s="133" t="n">
        <v>107000</v>
      </c>
      <c r="J44" s="133" t="inlineStr">
        <is>
          <t>고</t>
        </is>
      </c>
      <c r="K44" s="133" t="n">
        <v>50000</v>
      </c>
      <c r="L44" s="133" t="inlineStr">
        <is>
          <t>26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</row>
    <row r="45" ht="12" customFormat="1" customHeight="1" s="37">
      <c r="A45" s="78" t="inlineStr">
        <is>
          <t>풍산동 신안인스빌</t>
        </is>
      </c>
      <c r="B45" s="79" t="inlineStr">
        <is>
          <t>19.01.</t>
        </is>
      </c>
      <c r="C45" s="129" t="n">
        <v>734</v>
      </c>
      <c r="D45" s="130" t="n">
        <v>110.6</v>
      </c>
      <c r="E45" s="131" t="n">
        <v>33</v>
      </c>
      <c r="F45" s="130" t="n">
        <v>84.3</v>
      </c>
      <c r="G45" s="17" t="n">
        <v>26</v>
      </c>
      <c r="H45" s="132" t="n">
        <v>390</v>
      </c>
      <c r="I45" s="133" t="n">
        <v>107000</v>
      </c>
      <c r="J45" s="133" t="inlineStr">
        <is>
          <t>중</t>
        </is>
      </c>
      <c r="K45" s="133" t="n">
        <v>70000</v>
      </c>
      <c r="L45" s="133" t="inlineStr">
        <is>
          <t>19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감이동 감일한라비발디</t>
        </is>
      </c>
      <c r="B46" s="79" t="inlineStr">
        <is>
          <t>19.06.</t>
        </is>
      </c>
      <c r="C46" s="129" t="n">
        <v>934</v>
      </c>
      <c r="D46" s="130" t="n">
        <v>115.1</v>
      </c>
      <c r="E46" s="131" t="n">
        <v>35</v>
      </c>
      <c r="F46" s="130" t="n">
        <v>84.90000000000001</v>
      </c>
      <c r="G46" s="17" t="n">
        <v>26</v>
      </c>
      <c r="H46" s="132" t="n">
        <v>592</v>
      </c>
      <c r="I46" s="133" t="n">
        <v>106000</v>
      </c>
      <c r="J46" s="133" t="inlineStr">
        <is>
          <t>중</t>
        </is>
      </c>
      <c r="K46" s="133" t="n">
        <v>56000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8" t="inlineStr">
        <is>
          <t>망월동 미사강변골든센트로</t>
        </is>
      </c>
      <c r="B47" s="79" t="inlineStr">
        <is>
          <t>14.12.</t>
        </is>
      </c>
      <c r="C47" s="129" t="n">
        <v>1541</v>
      </c>
      <c r="D47" s="130" t="n">
        <v>116.4</v>
      </c>
      <c r="E47" s="131" t="n">
        <v>35</v>
      </c>
      <c r="F47" s="130" t="n">
        <v>84.59999999999999</v>
      </c>
      <c r="G47" s="17" t="n">
        <v>26</v>
      </c>
      <c r="H47" s="132" t="n">
        <v>149</v>
      </c>
      <c r="I47" s="133" t="n">
        <v>105000</v>
      </c>
      <c r="J47" s="133" t="inlineStr">
        <is>
          <t>12</t>
        </is>
      </c>
      <c r="K47" s="133" t="n">
        <v>60000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116B1</t>
        </is>
      </c>
      <c r="U47" s="9" t="n"/>
    </row>
    <row r="48" ht="12" customFormat="1" customHeight="1" s="37">
      <c r="A48" s="78" t="inlineStr">
        <is>
          <t>망월동 미사강변파밀리에</t>
        </is>
      </c>
      <c r="B48" s="79" t="inlineStr">
        <is>
          <t>14.06.</t>
        </is>
      </c>
      <c r="C48" s="129" t="n">
        <v>976</v>
      </c>
      <c r="D48" s="130" t="n">
        <v>113.4</v>
      </c>
      <c r="E48" s="131" t="n">
        <v>34</v>
      </c>
      <c r="F48" s="130" t="n">
        <v>85</v>
      </c>
      <c r="G48" s="17" t="n">
        <v>26</v>
      </c>
      <c r="H48" s="132" t="n">
        <v>208</v>
      </c>
      <c r="I48" s="133" t="n">
        <v>105000</v>
      </c>
      <c r="J48" s="133" t="inlineStr">
        <is>
          <t>중</t>
        </is>
      </c>
      <c r="K48" s="133" t="n">
        <v>62000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113B2</t>
        </is>
      </c>
      <c r="U48" s="9" t="n"/>
    </row>
    <row r="49" ht="12" customFormat="1" customHeight="1" s="37">
      <c r="A49" s="78" t="inlineStr">
        <is>
          <t>창우동 은행</t>
        </is>
      </c>
      <c r="B49" s="79" t="inlineStr">
        <is>
          <t>94.05.</t>
        </is>
      </c>
      <c r="C49" s="129" t="n">
        <v>1360</v>
      </c>
      <c r="D49" s="130" t="n">
        <v>158.9</v>
      </c>
      <c r="E49" s="131" t="n">
        <v>48</v>
      </c>
      <c r="F49" s="130" t="n">
        <v>135</v>
      </c>
      <c r="G49" s="17" t="n">
        <v>41</v>
      </c>
      <c r="H49" s="132" t="n">
        <v>280</v>
      </c>
      <c r="I49" s="133" t="n">
        <v>105000</v>
      </c>
      <c r="J49" s="133" t="inlineStr">
        <is>
          <t>고</t>
        </is>
      </c>
      <c r="K49" s="133" t="n">
        <v>65000</v>
      </c>
      <c r="L49" s="133" t="inlineStr">
        <is>
          <t>18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inlineStr">
        <is>
          <t>158B</t>
        </is>
      </c>
      <c r="U49" s="9" t="n"/>
    </row>
    <row r="50" ht="12" customFormat="1" customHeight="1" s="37">
      <c r="A50" s="78" t="inlineStr">
        <is>
          <t>망월동 미사강변도시8단지스타힐스</t>
        </is>
      </c>
      <c r="B50" s="79" t="inlineStr">
        <is>
          <t>16.11.</t>
        </is>
      </c>
      <c r="C50" s="129" t="n">
        <v>1389</v>
      </c>
      <c r="D50" s="130" t="n">
        <v>117.1</v>
      </c>
      <c r="E50" s="131" t="n">
        <v>35</v>
      </c>
      <c r="F50" s="130" t="n">
        <v>84.90000000000001</v>
      </c>
      <c r="G50" s="17" t="n">
        <v>26</v>
      </c>
      <c r="H50" s="132" t="n">
        <v>358</v>
      </c>
      <c r="I50" s="133" t="n">
        <v>104000</v>
      </c>
      <c r="J50" s="133" t="inlineStr">
        <is>
          <t>9</t>
        </is>
      </c>
      <c r="K50" s="133" t="n">
        <v>63000</v>
      </c>
      <c r="L50" s="133" t="inlineStr">
        <is>
          <t>17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117</v>
      </c>
      <c r="U50" s="9" t="n"/>
    </row>
    <row r="51" ht="12" customFormat="1" customHeight="1" s="37">
      <c r="A51" s="78" t="inlineStr">
        <is>
          <t>감이동 감일한라비발디</t>
        </is>
      </c>
      <c r="B51" s="79" t="inlineStr">
        <is>
          <t>19.06.</t>
        </is>
      </c>
      <c r="C51" s="129" t="n">
        <v>934</v>
      </c>
      <c r="D51" s="130" t="n">
        <v>101.6</v>
      </c>
      <c r="E51" s="131" t="n">
        <v>31</v>
      </c>
      <c r="F51" s="130" t="n">
        <v>74.90000000000001</v>
      </c>
      <c r="G51" s="17" t="n">
        <v>23</v>
      </c>
      <c r="H51" s="132" t="n">
        <v>169</v>
      </c>
      <c r="I51" s="133" t="n">
        <v>102000</v>
      </c>
      <c r="J51" s="133" t="inlineStr">
        <is>
          <t>고</t>
        </is>
      </c>
      <c r="K51" s="133" t="n">
        <v>59000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101A</t>
        </is>
      </c>
      <c r="U51" s="9" t="n"/>
    </row>
    <row r="52" ht="12" customFormat="1" customHeight="1" s="37">
      <c r="A52" s="78" t="inlineStr">
        <is>
          <t>풍산동 신안인스빌</t>
        </is>
      </c>
      <c r="B52" s="79" t="inlineStr">
        <is>
          <t>19.01.</t>
        </is>
      </c>
      <c r="C52" s="129" t="n">
        <v>734</v>
      </c>
      <c r="D52" s="130" t="n">
        <v>121.5</v>
      </c>
      <c r="E52" s="131" t="n">
        <v>37</v>
      </c>
      <c r="F52" s="130" t="n">
        <v>93</v>
      </c>
      <c r="G52" s="17" t="n">
        <v>28</v>
      </c>
      <c r="H52" s="132" t="n">
        <v>241</v>
      </c>
      <c r="I52" s="133" t="n">
        <v>102000</v>
      </c>
      <c r="J52" s="133" t="inlineStr">
        <is>
          <t>12</t>
        </is>
      </c>
      <c r="K52" s="133" t="n">
        <v>75000</v>
      </c>
      <c r="L52" s="133" t="inlineStr">
        <is>
          <t>18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121A</t>
        </is>
      </c>
      <c r="U52" s="9" t="n"/>
    </row>
    <row r="53" ht="12" customFormat="1" customHeight="1" s="37">
      <c r="A53" s="78" t="inlineStr">
        <is>
          <t>망월동 미사강변파밀리에</t>
        </is>
      </c>
      <c r="B53" s="79" t="inlineStr">
        <is>
          <t>14.06.</t>
        </is>
      </c>
      <c r="C53" s="129" t="n">
        <v>976</v>
      </c>
      <c r="D53" s="130" t="n">
        <v>99.90000000000001</v>
      </c>
      <c r="E53" s="131" t="n">
        <v>30</v>
      </c>
      <c r="F53" s="130" t="n">
        <v>74.8</v>
      </c>
      <c r="G53" s="17" t="n">
        <v>23</v>
      </c>
      <c r="H53" s="132" t="n">
        <v>183</v>
      </c>
      <c r="I53" s="133" t="n">
        <v>101000</v>
      </c>
      <c r="J53" s="133" t="inlineStr">
        <is>
          <t>8</t>
        </is>
      </c>
      <c r="K53" s="133" t="n">
        <v>58000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99A</t>
        </is>
      </c>
      <c r="U53" s="9" t="n"/>
    </row>
    <row r="54" ht="12" customFormat="1" customHeight="1" s="37">
      <c r="A54" s="78" t="inlineStr">
        <is>
          <t>망월동 미사강변도시12단지</t>
        </is>
      </c>
      <c r="B54" s="79" t="inlineStr">
        <is>
          <t>15.07.</t>
        </is>
      </c>
      <c r="C54" s="129" t="n">
        <v>664</v>
      </c>
      <c r="D54" s="130" t="n">
        <v>111.6</v>
      </c>
      <c r="E54" s="131" t="n">
        <v>34</v>
      </c>
      <c r="F54" s="130" t="n">
        <v>84.90000000000001</v>
      </c>
      <c r="G54" s="17" t="n">
        <v>26</v>
      </c>
      <c r="H54" s="132" t="n">
        <v>285</v>
      </c>
      <c r="I54" s="133" t="n">
        <v>101000</v>
      </c>
      <c r="J54" s="133" t="inlineStr">
        <is>
          <t>중</t>
        </is>
      </c>
      <c r="K54" s="133" t="n">
        <v>60000</v>
      </c>
      <c r="L54" s="133" t="inlineStr">
        <is>
          <t>20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111B2</t>
        </is>
      </c>
      <c r="U54" s="9" t="n"/>
    </row>
    <row r="55" ht="12" customFormat="1" customHeight="1" s="37">
      <c r="A55" s="78" t="inlineStr">
        <is>
          <t>덕풍동 하남풍산아이파크1단지</t>
        </is>
      </c>
      <c r="B55" s="79" t="inlineStr">
        <is>
          <t>08.07.</t>
        </is>
      </c>
      <c r="C55" s="129" t="n">
        <v>686</v>
      </c>
      <c r="D55" s="130" t="n">
        <v>112.2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100000</v>
      </c>
      <c r="J55" s="133" t="inlineStr">
        <is>
          <t>중</t>
        </is>
      </c>
      <c r="K55" s="133" t="n">
        <v>58000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8" t="inlineStr">
        <is>
          <t>망월동 미사강변사랑으로부영</t>
        </is>
      </c>
      <c r="B56" s="79" t="inlineStr">
        <is>
          <t>17.10.</t>
        </is>
      </c>
      <c r="C56" s="129" t="n">
        <v>1104</v>
      </c>
      <c r="D56" s="130" t="n">
        <v>113.8</v>
      </c>
      <c r="E56" s="131" t="n">
        <v>34</v>
      </c>
      <c r="F56" s="130" t="n">
        <v>85</v>
      </c>
      <c r="G56" s="17" t="n">
        <v>26</v>
      </c>
      <c r="H56" s="132" t="n">
        <v>452</v>
      </c>
      <c r="I56" s="133" t="n">
        <v>100000</v>
      </c>
      <c r="J56" s="133" t="inlineStr">
        <is>
          <t>18</t>
        </is>
      </c>
      <c r="K56" s="133" t="n">
        <v>55000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113A</t>
        </is>
      </c>
      <c r="U56" s="9" t="n"/>
    </row>
    <row r="57" ht="12" customFormat="1" customHeight="1" s="37">
      <c r="A57" s="78" t="inlineStr">
        <is>
          <t>망월동 미사강변루나리움</t>
        </is>
      </c>
      <c r="B57" s="79" t="inlineStr">
        <is>
          <t>15.09.</t>
        </is>
      </c>
      <c r="C57" s="129" t="n">
        <v>1164</v>
      </c>
      <c r="D57" s="130" t="n">
        <v>112.6</v>
      </c>
      <c r="E57" s="131" t="n">
        <v>34</v>
      </c>
      <c r="F57" s="130" t="n">
        <v>85</v>
      </c>
      <c r="G57" s="17" t="n">
        <v>26</v>
      </c>
      <c r="H57" s="132" t="n">
        <v>331</v>
      </c>
      <c r="I57" s="133" t="n">
        <v>100000</v>
      </c>
      <c r="J57" s="133" t="inlineStr">
        <is>
          <t>9</t>
        </is>
      </c>
      <c r="K57" s="133" t="n">
        <v>60000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112B1</t>
        </is>
      </c>
      <c r="U57" s="9" t="n"/>
    </row>
    <row r="58" ht="12" customFormat="1" customHeight="1" s="37">
      <c r="A58" s="78" t="inlineStr">
        <is>
          <t>망월동 미사강변도시8단지스타힐스</t>
        </is>
      </c>
      <c r="B58" s="79" t="inlineStr">
        <is>
          <t>16.11.</t>
        </is>
      </c>
      <c r="C58" s="129" t="n">
        <v>1389</v>
      </c>
      <c r="D58" s="130" t="n">
        <v>103.4</v>
      </c>
      <c r="E58" s="131" t="n">
        <v>31</v>
      </c>
      <c r="F58" s="130" t="n">
        <v>75</v>
      </c>
      <c r="G58" s="17" t="n">
        <v>23</v>
      </c>
      <c r="H58" s="132" t="n">
        <v>272</v>
      </c>
      <c r="I58" s="133" t="n">
        <v>100000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</row>
    <row r="59" ht="12" customFormat="1" customHeight="1" s="37">
      <c r="A59" s="78" t="inlineStr">
        <is>
          <t>풍산동 미사강변동원로얄듀크</t>
        </is>
      </c>
      <c r="B59" s="79" t="inlineStr">
        <is>
          <t>16.04.</t>
        </is>
      </c>
      <c r="C59" s="129" t="n">
        <v>808</v>
      </c>
      <c r="D59" s="130" t="n">
        <v>112.5</v>
      </c>
      <c r="E59" s="131" t="n">
        <v>34</v>
      </c>
      <c r="F59" s="130" t="n">
        <v>84.40000000000001</v>
      </c>
      <c r="G59" s="17" t="n">
        <v>26</v>
      </c>
      <c r="H59" s="132" t="n">
        <v>599</v>
      </c>
      <c r="I59" s="133" t="n">
        <v>100000</v>
      </c>
      <c r="J59" s="133" t="inlineStr">
        <is>
          <t>중</t>
        </is>
      </c>
      <c r="K59" s="133" t="n">
        <v>60000</v>
      </c>
      <c r="L59" s="133" t="inlineStr">
        <is>
          <t>6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112</v>
      </c>
      <c r="U59" s="9" t="n"/>
    </row>
    <row r="60" ht="12" customFormat="1" customHeight="1" s="37">
      <c r="A60" s="78" t="inlineStr">
        <is>
          <t>풍산동 e편한세상미사</t>
        </is>
      </c>
      <c r="B60" s="79" t="inlineStr">
        <is>
          <t>18.06.</t>
        </is>
      </c>
      <c r="C60" s="129" t="n">
        <v>652</v>
      </c>
      <c r="D60" s="130" t="n">
        <v>112.9</v>
      </c>
      <c r="E60" s="131" t="n">
        <v>34</v>
      </c>
      <c r="F60" s="130" t="n">
        <v>84.90000000000001</v>
      </c>
      <c r="G60" s="17" t="n">
        <v>26</v>
      </c>
      <c r="H60" s="132" t="n">
        <v>507</v>
      </c>
      <c r="I60" s="133" t="n">
        <v>100000</v>
      </c>
      <c r="J60" s="133" t="inlineStr">
        <is>
          <t>19</t>
        </is>
      </c>
      <c r="K60" s="133" t="n">
        <v>65000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112</v>
      </c>
      <c r="U60" s="9" t="n"/>
    </row>
    <row r="61" ht="12" customFormat="1" customHeight="1" s="37">
      <c r="A61" s="78" t="inlineStr">
        <is>
          <t>덕풍동 하남풍산아이파크5단지</t>
        </is>
      </c>
      <c r="B61" s="79" t="inlineStr">
        <is>
          <t>08.07.</t>
        </is>
      </c>
      <c r="C61" s="129" t="n">
        <v>365</v>
      </c>
      <c r="D61" s="130" t="n">
        <v>111.8</v>
      </c>
      <c r="E61" s="131" t="n">
        <v>34</v>
      </c>
      <c r="F61" s="130" t="n">
        <v>85</v>
      </c>
      <c r="G61" s="17" t="n">
        <v>26</v>
      </c>
      <c r="H61" s="132" t="n">
        <v>131</v>
      </c>
      <c r="I61" s="133" t="n">
        <v>98000</v>
      </c>
      <c r="J61" s="133" t="inlineStr">
        <is>
          <t>5</t>
        </is>
      </c>
      <c r="K61" s="133" t="n">
        <v>60000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복</t>
        </is>
      </c>
      <c r="T61" s="5" t="inlineStr">
        <is>
          <t>111A</t>
        </is>
      </c>
      <c r="U61" s="9" t="n"/>
    </row>
    <row r="62" ht="12" customFormat="1" customHeight="1" s="37">
      <c r="A62" s="78" t="inlineStr">
        <is>
          <t>선동 리버나인</t>
        </is>
      </c>
      <c r="B62" s="79" t="inlineStr">
        <is>
          <t>14.07.</t>
        </is>
      </c>
      <c r="C62" s="129" t="n">
        <v>712</v>
      </c>
      <c r="D62" s="130" t="n">
        <v>113.2</v>
      </c>
      <c r="E62" s="131" t="n">
        <v>34</v>
      </c>
      <c r="F62" s="130" t="n">
        <v>85</v>
      </c>
      <c r="G62" s="17" t="n">
        <v>26</v>
      </c>
      <c r="H62" s="132" t="n">
        <v>238</v>
      </c>
      <c r="I62" s="133" t="n">
        <v>98000</v>
      </c>
      <c r="J62" s="133" t="inlineStr">
        <is>
          <t>고</t>
        </is>
      </c>
      <c r="K62" s="133" t="n">
        <v>52000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113B</t>
        </is>
      </c>
      <c r="U62" s="9" t="n"/>
    </row>
    <row r="63" ht="12" customFormat="1" customHeight="1" s="37">
      <c r="A63" s="78" t="inlineStr">
        <is>
          <t>망월동 미사강변골든센트로</t>
        </is>
      </c>
      <c r="B63" s="79" t="inlineStr">
        <is>
          <t>14.12.</t>
        </is>
      </c>
      <c r="C63" s="129" t="n">
        <v>1541</v>
      </c>
      <c r="D63" s="130" t="n">
        <v>103.1</v>
      </c>
      <c r="E63" s="131" t="n">
        <v>31</v>
      </c>
      <c r="F63" s="130" t="n">
        <v>75</v>
      </c>
      <c r="G63" s="17" t="n">
        <v>23</v>
      </c>
      <c r="H63" s="132" t="n">
        <v>236</v>
      </c>
      <c r="I63" s="133" t="n">
        <v>97000</v>
      </c>
      <c r="J63" s="133" t="inlineStr">
        <is>
          <t>17</t>
        </is>
      </c>
      <c r="K63" s="133" t="n">
        <v>55000</v>
      </c>
      <c r="L63" s="133" t="inlineStr">
        <is>
          <t>29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8" t="inlineStr">
        <is>
          <t>덕풍동 하남더샵센트럴뷰</t>
        </is>
      </c>
      <c r="B64" s="79" t="inlineStr">
        <is>
          <t>16.08.</t>
        </is>
      </c>
      <c r="C64" s="129" t="n">
        <v>672</v>
      </c>
      <c r="D64" s="130" t="n">
        <v>111.3</v>
      </c>
      <c r="E64" s="131" t="n">
        <v>34</v>
      </c>
      <c r="F64" s="130" t="n">
        <v>84.90000000000001</v>
      </c>
      <c r="G64" s="17" t="n">
        <v>26</v>
      </c>
      <c r="H64" s="132" t="n">
        <v>415</v>
      </c>
      <c r="I64" s="133" t="n">
        <v>95000</v>
      </c>
      <c r="J64" s="133" t="inlineStr">
        <is>
          <t>고</t>
        </is>
      </c>
      <c r="K64" s="133" t="n">
        <v>60000</v>
      </c>
      <c r="L64" s="133" t="inlineStr">
        <is>
          <t>중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8" t="inlineStr">
        <is>
          <t>망월동 미사강변센텀팰리스</t>
        </is>
      </c>
      <c r="B65" s="79" t="inlineStr">
        <is>
          <t>16.07.</t>
        </is>
      </c>
      <c r="C65" s="129" t="n">
        <v>1455</v>
      </c>
      <c r="D65" s="130" t="n">
        <v>111.2</v>
      </c>
      <c r="E65" s="131" t="n">
        <v>34</v>
      </c>
      <c r="F65" s="130" t="n">
        <v>84.7</v>
      </c>
      <c r="G65" s="17" t="n">
        <v>26</v>
      </c>
      <c r="H65" s="132" t="n">
        <v>502</v>
      </c>
      <c r="I65" s="133" t="n">
        <v>95000</v>
      </c>
      <c r="J65" s="133" t="inlineStr">
        <is>
          <t>5</t>
        </is>
      </c>
      <c r="K65" s="133" t="n">
        <v>55000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111B1</t>
        </is>
      </c>
      <c r="U65" s="9" t="n"/>
    </row>
    <row r="66" ht="12" customFormat="1" customHeight="1" s="37">
      <c r="A66" s="78" t="inlineStr">
        <is>
          <t>신장동 에코타운3단지</t>
        </is>
      </c>
      <c r="B66" s="79" t="inlineStr">
        <is>
          <t>04.11.</t>
        </is>
      </c>
      <c r="C66" s="129" t="n">
        <v>594</v>
      </c>
      <c r="D66" s="130" t="n">
        <v>126.5</v>
      </c>
      <c r="E66" s="131" t="n">
        <v>38</v>
      </c>
      <c r="F66" s="130" t="n">
        <v>98.59999999999999</v>
      </c>
      <c r="G66" s="17" t="n">
        <v>30</v>
      </c>
      <c r="H66" s="132" t="n">
        <v>149</v>
      </c>
      <c r="I66" s="133" t="n">
        <v>95000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126A</t>
        </is>
      </c>
      <c r="U66" s="9" t="n"/>
    </row>
    <row r="67" ht="12" customFormat="1" customHeight="1" s="37">
      <c r="A67" s="78" t="inlineStr">
        <is>
          <t>풍산동 미사강변동일하이빌</t>
        </is>
      </c>
      <c r="B67" s="79" t="inlineStr">
        <is>
          <t>18.02.</t>
        </is>
      </c>
      <c r="C67" s="129" t="n">
        <v>655</v>
      </c>
      <c r="D67" s="130" t="n">
        <v>115.2</v>
      </c>
      <c r="E67" s="131" t="n">
        <v>35</v>
      </c>
      <c r="F67" s="130" t="n">
        <v>85</v>
      </c>
      <c r="G67" s="17" t="n">
        <v>26</v>
      </c>
      <c r="H67" s="132" t="n">
        <v>176</v>
      </c>
      <c r="I67" s="133" t="n">
        <v>95000</v>
      </c>
      <c r="J67" s="133" t="inlineStr">
        <is>
          <t>18</t>
        </is>
      </c>
      <c r="K67" s="133" t="n">
        <v>65000</v>
      </c>
      <c r="L67" s="133" t="inlineStr">
        <is>
          <t>18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115A</t>
        </is>
      </c>
      <c r="U67" s="9" t="n"/>
    </row>
    <row r="68" ht="12" customFormat="1" customHeight="1" s="37">
      <c r="A68" s="78" t="inlineStr">
        <is>
          <t>풍산동 미사강변동원로얄듀크</t>
        </is>
      </c>
      <c r="B68" s="79" t="inlineStr">
        <is>
          <t>16.04.</t>
        </is>
      </c>
      <c r="C68" s="129" t="n">
        <v>808</v>
      </c>
      <c r="D68" s="130" t="n">
        <v>99.90000000000001</v>
      </c>
      <c r="E68" s="131" t="n">
        <v>30</v>
      </c>
      <c r="F68" s="130" t="n">
        <v>74.7</v>
      </c>
      <c r="G68" s="17" t="n">
        <v>23</v>
      </c>
      <c r="H68" s="132" t="n">
        <v>208</v>
      </c>
      <c r="I68" s="133" t="n">
        <v>95000</v>
      </c>
      <c r="J68" s="133" t="inlineStr">
        <is>
          <t>고</t>
        </is>
      </c>
      <c r="K68" s="133" t="n">
        <v>60000</v>
      </c>
      <c r="L68" s="133" t="inlineStr">
        <is>
          <t>16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99</v>
      </c>
      <c r="U68" s="9" t="n"/>
    </row>
    <row r="69" ht="12" customFormat="1" customHeight="1" s="37">
      <c r="A69" s="78" t="inlineStr">
        <is>
          <t>풍산동 하남힐즈파크푸르지오3단지</t>
        </is>
      </c>
      <c r="B69" s="79" t="inlineStr">
        <is>
          <t>18.09.</t>
        </is>
      </c>
      <c r="C69" s="129" t="n">
        <v>358</v>
      </c>
      <c r="D69" s="130" t="n">
        <v>128.5</v>
      </c>
      <c r="E69" s="131" t="n">
        <v>39</v>
      </c>
      <c r="F69" s="130" t="n">
        <v>99</v>
      </c>
      <c r="G69" s="17" t="n">
        <v>30</v>
      </c>
      <c r="H69" s="132" t="n">
        <v>294</v>
      </c>
      <c r="I69" s="133" t="n">
        <v>95000</v>
      </c>
      <c r="J69" s="133" t="inlineStr">
        <is>
          <t>중</t>
        </is>
      </c>
      <c r="K69" s="133" t="n">
        <v>65000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128A</t>
        </is>
      </c>
      <c r="U69" s="9" t="n"/>
    </row>
    <row r="70" ht="12" customFormat="1" customHeight="1" s="37">
      <c r="A70" s="78" t="inlineStr">
        <is>
          <t>망월동 미사강변루나리움</t>
        </is>
      </c>
      <c r="B70" s="79" t="inlineStr">
        <is>
          <t>15.09.</t>
        </is>
      </c>
      <c r="C70" s="129" t="n">
        <v>1164</v>
      </c>
      <c r="D70" s="130" t="n">
        <v>99.09999999999999</v>
      </c>
      <c r="E70" s="131" t="n">
        <v>30</v>
      </c>
      <c r="F70" s="130" t="n">
        <v>74.8</v>
      </c>
      <c r="G70" s="17" t="n">
        <v>23</v>
      </c>
      <c r="H70" s="132" t="n">
        <v>159</v>
      </c>
      <c r="I70" s="133" t="n">
        <v>93000</v>
      </c>
      <c r="J70" s="133" t="inlineStr">
        <is>
          <t>중</t>
        </is>
      </c>
      <c r="K70" s="133" t="n">
        <v>55000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8" t="inlineStr">
        <is>
          <t>선동 미사강변센트리버</t>
        </is>
      </c>
      <c r="B71" s="79" t="inlineStr">
        <is>
          <t>16.09.</t>
        </is>
      </c>
      <c r="C71" s="129" t="n">
        <v>1145</v>
      </c>
      <c r="D71" s="130" t="n">
        <v>101.8</v>
      </c>
      <c r="E71" s="131" t="n">
        <v>31</v>
      </c>
      <c r="F71" s="130" t="n">
        <v>74.90000000000001</v>
      </c>
      <c r="G71" s="17" t="n">
        <v>23</v>
      </c>
      <c r="H71" s="132" t="n">
        <v>196</v>
      </c>
      <c r="I71" s="133" t="n">
        <v>92000</v>
      </c>
      <c r="J71" s="133" t="inlineStr">
        <is>
          <t>9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101A</t>
        </is>
      </c>
      <c r="U71" s="9" t="n"/>
    </row>
    <row r="72" ht="12" customFormat="1" customHeight="1" s="37">
      <c r="A72" s="78" t="inlineStr">
        <is>
          <t>신장동 하남유니온시티에일린의뜰</t>
        </is>
      </c>
      <c r="B72" s="79" t="inlineStr">
        <is>
          <t>17.08.</t>
        </is>
      </c>
      <c r="C72" s="129" t="n">
        <v>754</v>
      </c>
      <c r="D72" s="130" t="n">
        <v>98.7</v>
      </c>
      <c r="E72" s="131" t="n">
        <v>30</v>
      </c>
      <c r="F72" s="130" t="n">
        <v>75</v>
      </c>
      <c r="G72" s="17" t="n">
        <v>23</v>
      </c>
      <c r="H72" s="132" t="n">
        <v>190</v>
      </c>
      <c r="I72" s="133" t="n">
        <v>92000</v>
      </c>
      <c r="J72" s="133" t="inlineStr">
        <is>
          <t>9</t>
        </is>
      </c>
      <c r="K72" s="133" t="n">
        <v>60000</v>
      </c>
      <c r="L72" s="133" t="inlineStr">
        <is>
          <t>16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98</v>
      </c>
      <c r="U72" s="9" t="n"/>
    </row>
    <row r="73" ht="12" customFormat="1" customHeight="1" s="37">
      <c r="A73" s="78" t="inlineStr">
        <is>
          <t>풍산동 하남힐즈파크푸르지오2단지</t>
        </is>
      </c>
      <c r="B73" s="79" t="inlineStr">
        <is>
          <t>18.09.</t>
        </is>
      </c>
      <c r="C73" s="129" t="n">
        <v>456</v>
      </c>
      <c r="D73" s="130" t="n">
        <v>112.4</v>
      </c>
      <c r="E73" s="131" t="n">
        <v>34</v>
      </c>
      <c r="F73" s="130" t="n">
        <v>84.8</v>
      </c>
      <c r="G73" s="17" t="n">
        <v>26</v>
      </c>
      <c r="H73" s="132" t="n">
        <v>215</v>
      </c>
      <c r="I73" s="133" t="n">
        <v>92000</v>
      </c>
      <c r="J73" s="133" t="inlineStr">
        <is>
          <t>13</t>
        </is>
      </c>
      <c r="K73" s="133" t="n">
        <v>60000</v>
      </c>
      <c r="L73" s="133" t="inlineStr">
        <is>
          <t>13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112A</t>
        </is>
      </c>
      <c r="U73" s="9" t="n"/>
    </row>
    <row r="74" ht="12" customFormat="1" customHeight="1" s="37">
      <c r="A74" s="78" t="inlineStr">
        <is>
          <t>감이동 감일센트레빌</t>
        </is>
      </c>
      <c r="B74" s="79" t="inlineStr">
        <is>
          <t>20.03.</t>
        </is>
      </c>
      <c r="C74" s="129" t="n">
        <v>589</v>
      </c>
      <c r="D74" s="130" t="n">
        <v>82.8</v>
      </c>
      <c r="E74" s="131" t="n">
        <v>25</v>
      </c>
      <c r="F74" s="130" t="n">
        <v>59.9</v>
      </c>
      <c r="G74" s="17" t="n">
        <v>18</v>
      </c>
      <c r="H74" s="132" t="n">
        <v>135</v>
      </c>
      <c r="I74" s="133" t="n">
        <v>90000</v>
      </c>
      <c r="J74" s="133" t="inlineStr">
        <is>
          <t>중</t>
        </is>
      </c>
      <c r="K74" s="133" t="n">
        <v>53000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82B</t>
        </is>
      </c>
      <c r="U74" s="9" t="n"/>
    </row>
    <row r="75" ht="12" customFormat="1" customHeight="1" s="37">
      <c r="A75" s="78" t="inlineStr">
        <is>
          <t>망월동 미사강변센텀팰리스</t>
        </is>
      </c>
      <c r="B75" s="79" t="inlineStr">
        <is>
          <t>16.07.</t>
        </is>
      </c>
      <c r="C75" s="129" t="n">
        <v>1455</v>
      </c>
      <c r="D75" s="130" t="n">
        <v>98.3</v>
      </c>
      <c r="E75" s="131" t="n">
        <v>30</v>
      </c>
      <c r="F75" s="130" t="n">
        <v>74.90000000000001</v>
      </c>
      <c r="G75" s="17" t="n">
        <v>23</v>
      </c>
      <c r="H75" s="132" t="n">
        <v>249</v>
      </c>
      <c r="I75" s="133" t="n">
        <v>90000</v>
      </c>
      <c r="J75" s="133" t="inlineStr">
        <is>
          <t>5</t>
        </is>
      </c>
      <c r="K75" s="133" t="n">
        <v>55000</v>
      </c>
      <c r="L75" s="133" t="inlineStr">
        <is>
          <t>중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98A</t>
        </is>
      </c>
      <c r="U75" s="9" t="n"/>
    </row>
    <row r="76" ht="12" customFormat="1" customHeight="1" s="37">
      <c r="A76" s="78" t="inlineStr">
        <is>
          <t>망월동 미사강변하우스디더레이크</t>
        </is>
      </c>
      <c r="B76" s="79" t="inlineStr">
        <is>
          <t>16.05.</t>
        </is>
      </c>
      <c r="C76" s="129" t="n">
        <v>821</v>
      </c>
      <c r="D76" s="130" t="n">
        <v>99</v>
      </c>
      <c r="E76" s="131" t="n">
        <v>30</v>
      </c>
      <c r="F76" s="130" t="n">
        <v>74.90000000000001</v>
      </c>
      <c r="G76" s="17" t="n">
        <v>23</v>
      </c>
      <c r="H76" s="132" t="n">
        <v>192</v>
      </c>
      <c r="I76" s="133" t="n">
        <v>90000</v>
      </c>
      <c r="J76" s="133" t="inlineStr">
        <is>
          <t>고</t>
        </is>
      </c>
      <c r="K76" s="133" t="n">
        <v>55000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8" t="inlineStr">
        <is>
          <t>망월동 미사강변도시12단지</t>
        </is>
      </c>
      <c r="B77" s="79" t="inlineStr">
        <is>
          <t>15.07.</t>
        </is>
      </c>
      <c r="C77" s="129" t="n">
        <v>664</v>
      </c>
      <c r="D77" s="130" t="n">
        <v>98.5</v>
      </c>
      <c r="E77" s="131" t="n">
        <v>30</v>
      </c>
      <c r="F77" s="130" t="n">
        <v>75</v>
      </c>
      <c r="G77" s="17" t="n">
        <v>23</v>
      </c>
      <c r="H77" s="132" t="n">
        <v>331</v>
      </c>
      <c r="I77" s="133" t="n">
        <v>90000</v>
      </c>
      <c r="J77" s="133" t="inlineStr">
        <is>
          <t>중</t>
        </is>
      </c>
      <c r="K77" s="133" t="n">
        <v>55000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98A</t>
        </is>
      </c>
      <c r="U77" s="9" t="n"/>
    </row>
    <row r="78" ht="12" customFormat="1" customHeight="1" s="37">
      <c r="A78" s="78" t="inlineStr">
        <is>
          <t>선동 미사강변도시베라체</t>
        </is>
      </c>
      <c r="B78" s="79" t="inlineStr">
        <is>
          <t>15.05.</t>
        </is>
      </c>
      <c r="C78" s="129" t="n">
        <v>615</v>
      </c>
      <c r="D78" s="130" t="n">
        <v>110</v>
      </c>
      <c r="E78" s="131" t="n">
        <v>33</v>
      </c>
      <c r="F78" s="130" t="n">
        <v>84.90000000000001</v>
      </c>
      <c r="G78" s="17" t="n">
        <v>26</v>
      </c>
      <c r="H78" s="132" t="n">
        <v>366</v>
      </c>
      <c r="I78" s="133" t="n">
        <v>90000</v>
      </c>
      <c r="J78" s="133" t="inlineStr">
        <is>
          <t>13</t>
        </is>
      </c>
      <c r="K78" s="133" t="n">
        <v>56000</v>
      </c>
      <c r="L78" s="133" t="inlineStr">
        <is>
          <t>고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110B2</t>
        </is>
      </c>
      <c r="U78" s="9" t="n"/>
    </row>
    <row r="79" ht="12" customFormat="1" customHeight="1" s="37">
      <c r="A79" s="78" t="inlineStr">
        <is>
          <t>신장동 에코타운2단지</t>
        </is>
      </c>
      <c r="B79" s="79" t="inlineStr">
        <is>
          <t>04.11.</t>
        </is>
      </c>
      <c r="C79" s="129" t="n">
        <v>488</v>
      </c>
      <c r="D79" s="130" t="n">
        <v>111.3</v>
      </c>
      <c r="E79" s="131" t="n">
        <v>34</v>
      </c>
      <c r="F79" s="130" t="n">
        <v>83.7</v>
      </c>
      <c r="G79" s="17" t="n">
        <v>25</v>
      </c>
      <c r="H79" s="132" t="n">
        <v>360</v>
      </c>
      <c r="I79" s="133" t="n">
        <v>90000</v>
      </c>
      <c r="J79" s="133" t="inlineStr">
        <is>
          <t>21</t>
        </is>
      </c>
      <c r="K79" s="133" t="n">
        <v>52000</v>
      </c>
      <c r="L79" s="133" t="inlineStr">
        <is>
          <t>고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111A</t>
        </is>
      </c>
      <c r="U79" s="9" t="n"/>
    </row>
    <row r="80" ht="12" customFormat="1" customHeight="1" s="37">
      <c r="A80" s="78" t="inlineStr">
        <is>
          <t>신장동 호반써밋에듀파크</t>
        </is>
      </c>
      <c r="B80" s="79" t="inlineStr">
        <is>
          <t>21.08.</t>
        </is>
      </c>
      <c r="C80" s="129" t="n">
        <v>999</v>
      </c>
      <c r="D80" s="130" t="n">
        <v>81.8</v>
      </c>
      <c r="E80" s="131" t="n">
        <v>25</v>
      </c>
      <c r="F80" s="130" t="n">
        <v>59.9</v>
      </c>
      <c r="G80" s="17" t="n">
        <v>18</v>
      </c>
      <c r="H80" s="132" t="n">
        <v>335</v>
      </c>
      <c r="I80" s="133" t="n">
        <v>90000</v>
      </c>
      <c r="J80" s="133" t="inlineStr">
        <is>
          <t>고</t>
        </is>
      </c>
      <c r="K80" s="133" t="n">
        <v>57000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81A-1</t>
        </is>
      </c>
      <c r="U80" s="9" t="n"/>
    </row>
    <row r="81" ht="12" customFormat="1" customHeight="1" s="37">
      <c r="A81" s="78" t="inlineStr">
        <is>
          <t>신장동 더우개마을동일</t>
        </is>
      </c>
      <c r="B81" s="79" t="inlineStr">
        <is>
          <t>99.09.</t>
        </is>
      </c>
      <c r="C81" s="129" t="n">
        <v>438</v>
      </c>
      <c r="D81" s="130" t="n">
        <v>158.5</v>
      </c>
      <c r="E81" s="131" t="n">
        <v>48</v>
      </c>
      <c r="F81" s="130" t="n">
        <v>134.2</v>
      </c>
      <c r="G81" s="17" t="n">
        <v>41</v>
      </c>
      <c r="H81" s="132" t="n">
        <v>80</v>
      </c>
      <c r="I81" s="133" t="n">
        <v>90000</v>
      </c>
      <c r="J81" s="133" t="inlineStr">
        <is>
          <t>8</t>
        </is>
      </c>
      <c r="K81" s="133" t="n">
        <v>65000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4</v>
      </c>
      <c r="R81" s="120" t="n">
        <v>2</v>
      </c>
      <c r="S81" s="120" t="inlineStr">
        <is>
          <t>계</t>
        </is>
      </c>
      <c r="T81" s="5" t="n">
        <v>158</v>
      </c>
      <c r="U81" s="9" t="n"/>
    </row>
    <row r="82" ht="12" customFormat="1" customHeight="1" s="37">
      <c r="A82" s="78" t="inlineStr">
        <is>
          <t>창우동 은행</t>
        </is>
      </c>
      <c r="B82" s="79" t="inlineStr">
        <is>
          <t>94.05.</t>
        </is>
      </c>
      <c r="C82" s="129" t="n">
        <v>1360</v>
      </c>
      <c r="D82" s="130" t="n">
        <v>124.5</v>
      </c>
      <c r="E82" s="131" t="n">
        <v>38</v>
      </c>
      <c r="F82" s="130" t="n">
        <v>102</v>
      </c>
      <c r="G82" s="17" t="n">
        <v>31</v>
      </c>
      <c r="H82" s="132" t="n">
        <v>400</v>
      </c>
      <c r="I82" s="133" t="n">
        <v>90000</v>
      </c>
      <c r="J82" s="133" t="inlineStr">
        <is>
          <t>11</t>
        </is>
      </c>
      <c r="K82" s="133" t="n">
        <v>58000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inlineStr">
        <is>
          <t>124B</t>
        </is>
      </c>
      <c r="U82" s="9" t="n"/>
    </row>
    <row r="83" ht="12" customFormat="1" customHeight="1" s="37">
      <c r="A83" s="78" t="inlineStr">
        <is>
          <t>망월동 미사강변도시8단지스타힐스</t>
        </is>
      </c>
      <c r="B83" s="79" t="inlineStr">
        <is>
          <t>16.11.</t>
        </is>
      </c>
      <c r="C83" s="129" t="n">
        <v>1389</v>
      </c>
      <c r="D83" s="130" t="n">
        <v>82.5</v>
      </c>
      <c r="E83" s="131" t="n">
        <v>25</v>
      </c>
      <c r="F83" s="130" t="n">
        <v>59.8</v>
      </c>
      <c r="G83" s="17" t="n">
        <v>18</v>
      </c>
      <c r="H83" s="132" t="n">
        <v>193</v>
      </c>
      <c r="I83" s="133" t="n">
        <v>89000</v>
      </c>
      <c r="J83" s="133" t="inlineStr">
        <is>
          <t>17</t>
        </is>
      </c>
      <c r="K83" s="133" t="n">
        <v>53000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82A</t>
        </is>
      </c>
      <c r="U83" s="9" t="n"/>
    </row>
    <row r="84" ht="12" customFormat="1" customHeight="1" s="37">
      <c r="A84" s="78" t="inlineStr">
        <is>
          <t>망월동 미사강변한신휴플러스</t>
        </is>
      </c>
      <c r="B84" s="79" t="inlineStr">
        <is>
          <t>15.01.</t>
        </is>
      </c>
      <c r="C84" s="129" t="n">
        <v>763</v>
      </c>
      <c r="D84" s="130" t="n">
        <v>112.7</v>
      </c>
      <c r="E84" s="131" t="n">
        <v>34</v>
      </c>
      <c r="F84" s="130" t="n">
        <v>85</v>
      </c>
      <c r="G84" s="17" t="n">
        <v>26</v>
      </c>
      <c r="H84" s="132" t="n">
        <v>192</v>
      </c>
      <c r="I84" s="133" t="n">
        <v>88000</v>
      </c>
      <c r="J84" s="133" t="inlineStr">
        <is>
          <t>중</t>
        </is>
      </c>
      <c r="K84" s="133" t="n">
        <v>53000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112B1</t>
        </is>
      </c>
      <c r="U84" s="9" t="n"/>
    </row>
    <row r="85" ht="12" customFormat="1" customHeight="1" s="37">
      <c r="A85" s="78" t="inlineStr">
        <is>
          <t>신장동 하남유시티대명루첸리버파크</t>
        </is>
      </c>
      <c r="B85" s="79" t="inlineStr">
        <is>
          <t>18.09.</t>
        </is>
      </c>
      <c r="C85" s="129" t="n">
        <v>854</v>
      </c>
      <c r="D85" s="130" t="n">
        <v>100.5</v>
      </c>
      <c r="E85" s="131" t="n">
        <v>30</v>
      </c>
      <c r="F85" s="130" t="n">
        <v>74.3</v>
      </c>
      <c r="G85" s="17" t="n">
        <v>22</v>
      </c>
      <c r="H85" s="132" t="n">
        <v>764</v>
      </c>
      <c r="I85" s="133" t="n">
        <v>87000</v>
      </c>
      <c r="J85" s="133" t="inlineStr">
        <is>
          <t>중</t>
        </is>
      </c>
      <c r="K85" s="133" t="n">
        <v>55000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100</v>
      </c>
      <c r="U85" s="9" t="n"/>
    </row>
    <row r="86" ht="12" customFormat="1" customHeight="1" s="37">
      <c r="A86" s="78" t="inlineStr">
        <is>
          <t>풍산동 미사강변동일하이빌</t>
        </is>
      </c>
      <c r="B86" s="79" t="inlineStr">
        <is>
          <t>18.02.</t>
        </is>
      </c>
      <c r="C86" s="129" t="n">
        <v>655</v>
      </c>
      <c r="D86" s="130" t="n">
        <v>81.2</v>
      </c>
      <c r="E86" s="131" t="n">
        <v>25</v>
      </c>
      <c r="F86" s="130" t="n">
        <v>59.9</v>
      </c>
      <c r="G86" s="17" t="n">
        <v>18</v>
      </c>
      <c r="H86" s="132" t="n">
        <v>260</v>
      </c>
      <c r="I86" s="133" t="n">
        <v>87000</v>
      </c>
      <c r="J86" s="133" t="inlineStr">
        <is>
          <t>6</t>
        </is>
      </c>
      <c r="K86" s="133" t="n">
        <v>53000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81A</t>
        </is>
      </c>
      <c r="U86" s="9" t="n"/>
    </row>
    <row r="87" ht="12" customFormat="1" customHeight="1" s="37">
      <c r="A87" s="78" t="inlineStr">
        <is>
          <t>망월동 미사강변한신휴플러스</t>
        </is>
      </c>
      <c r="B87" s="79" t="inlineStr">
        <is>
          <t>15.01.</t>
        </is>
      </c>
      <c r="C87" s="129" t="n">
        <v>763</v>
      </c>
      <c r="D87" s="130" t="n">
        <v>98.90000000000001</v>
      </c>
      <c r="E87" s="131" t="n">
        <v>30</v>
      </c>
      <c r="F87" s="130" t="n">
        <v>74.59999999999999</v>
      </c>
      <c r="G87" s="17" t="n">
        <v>23</v>
      </c>
      <c r="H87" s="132" t="n">
        <v>240</v>
      </c>
      <c r="I87" s="133" t="n">
        <v>86000</v>
      </c>
      <c r="J87" s="133" t="inlineStr">
        <is>
          <t>고</t>
        </is>
      </c>
      <c r="K87" s="133" t="n">
        <v>50000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98A</t>
        </is>
      </c>
      <c r="U87" s="9" t="n"/>
    </row>
    <row r="88" ht="12" customFormat="1" customHeight="1" s="37">
      <c r="A88" s="78" t="inlineStr">
        <is>
          <t>감이동 감일센트레빌</t>
        </is>
      </c>
      <c r="B88" s="79" t="inlineStr">
        <is>
          <t>20.03.</t>
        </is>
      </c>
      <c r="C88" s="129" t="n">
        <v>589</v>
      </c>
      <c r="D88" s="130" t="n">
        <v>71.5</v>
      </c>
      <c r="E88" s="131" t="n">
        <v>22</v>
      </c>
      <c r="F88" s="130" t="n">
        <v>51.8</v>
      </c>
      <c r="G88" s="17" t="n">
        <v>16</v>
      </c>
      <c r="H88" s="132" t="n">
        <v>99</v>
      </c>
      <c r="I88" s="133" t="n">
        <v>85000</v>
      </c>
      <c r="J88" s="133" t="inlineStr">
        <is>
          <t>중</t>
        </is>
      </c>
      <c r="K88" s="133" t="n">
        <v>47000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2</v>
      </c>
      <c r="R88" s="120" t="n">
        <v>1</v>
      </c>
      <c r="S88" s="120" t="inlineStr">
        <is>
          <t>계</t>
        </is>
      </c>
      <c r="T88" s="5" t="inlineStr">
        <is>
          <t>71A</t>
        </is>
      </c>
      <c r="U88" s="9" t="n"/>
    </row>
    <row r="89" ht="12" customFormat="1" customHeight="1" s="37">
      <c r="A89" s="78" t="inlineStr">
        <is>
          <t>망월동 미사강변골든센트로</t>
        </is>
      </c>
      <c r="B89" s="79" t="inlineStr">
        <is>
          <t>14.12.</t>
        </is>
      </c>
      <c r="C89" s="129" t="n">
        <v>1541</v>
      </c>
      <c r="D89" s="130" t="n">
        <v>82.5</v>
      </c>
      <c r="E89" s="131" t="n">
        <v>25</v>
      </c>
      <c r="F89" s="130" t="n">
        <v>60</v>
      </c>
      <c r="G89" s="17" t="n">
        <v>18</v>
      </c>
      <c r="H89" s="132" t="n">
        <v>438</v>
      </c>
      <c r="I89" s="133" t="n">
        <v>85000</v>
      </c>
      <c r="J89" s="133" t="inlineStr">
        <is>
          <t>고</t>
        </is>
      </c>
      <c r="K89" s="133" t="n">
        <v>52000</v>
      </c>
      <c r="L89" s="133" t="inlineStr">
        <is>
          <t>9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82A</t>
        </is>
      </c>
      <c r="U89" s="9" t="n"/>
    </row>
    <row r="90" ht="12" customFormat="1" customHeight="1" s="37">
      <c r="A90" s="78" t="inlineStr">
        <is>
          <t>망월동 미사강변파밀리에</t>
        </is>
      </c>
      <c r="B90" s="79" t="inlineStr">
        <is>
          <t>14.06.</t>
        </is>
      </c>
      <c r="C90" s="129" t="n">
        <v>976</v>
      </c>
      <c r="D90" s="130" t="n">
        <v>80</v>
      </c>
      <c r="E90" s="131" t="n">
        <v>24</v>
      </c>
      <c r="F90" s="130" t="n">
        <v>59.9</v>
      </c>
      <c r="G90" s="17" t="n">
        <v>18</v>
      </c>
      <c r="H90" s="132" t="n">
        <v>150</v>
      </c>
      <c r="I90" s="133" t="n">
        <v>85000</v>
      </c>
      <c r="J90" s="133" t="inlineStr">
        <is>
          <t>15</t>
        </is>
      </c>
      <c r="K90" s="133" t="n">
        <v>55000</v>
      </c>
      <c r="L90" s="133" t="inlineStr">
        <is>
          <t>고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80B</t>
        </is>
      </c>
      <c r="U90" s="9" t="n"/>
    </row>
    <row r="91" ht="12" customFormat="1" customHeight="1" s="37">
      <c r="A91" s="78" t="inlineStr">
        <is>
          <t>선동 미사강변센트리버</t>
        </is>
      </c>
      <c r="B91" s="79" t="inlineStr">
        <is>
          <t>16.09.</t>
        </is>
      </c>
      <c r="C91" s="129" t="n">
        <v>1145</v>
      </c>
      <c r="D91" s="130" t="n">
        <v>81.40000000000001</v>
      </c>
      <c r="E91" s="131" t="n">
        <v>25</v>
      </c>
      <c r="F91" s="130" t="n">
        <v>59.9</v>
      </c>
      <c r="G91" s="17" t="n">
        <v>18</v>
      </c>
      <c r="H91" s="132" t="n">
        <v>196</v>
      </c>
      <c r="I91" s="133" t="n">
        <v>85000</v>
      </c>
      <c r="J91" s="133" t="inlineStr">
        <is>
          <t>고</t>
        </is>
      </c>
      <c r="K91" s="133" t="n">
        <v>54500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81A</t>
        </is>
      </c>
      <c r="U91" s="9" t="n"/>
    </row>
    <row r="92" ht="12" customFormat="1" customHeight="1" s="37">
      <c r="A92" s="78" t="inlineStr">
        <is>
          <t>덕풍동 하남자이</t>
        </is>
      </c>
      <c r="B92" s="79" t="inlineStr">
        <is>
          <t>06.04.</t>
        </is>
      </c>
      <c r="C92" s="129" t="n">
        <v>875</v>
      </c>
      <c r="D92" s="130" t="n">
        <v>154.9</v>
      </c>
      <c r="E92" s="131" t="n">
        <v>47</v>
      </c>
      <c r="F92" s="130" t="n">
        <v>125.1</v>
      </c>
      <c r="G92" s="17" t="n">
        <v>38</v>
      </c>
      <c r="H92" s="132" t="n">
        <v>98</v>
      </c>
      <c r="I92" s="133" t="n">
        <v>84000</v>
      </c>
      <c r="J92" s="133" t="inlineStr">
        <is>
          <t>7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154</v>
      </c>
      <c r="U92" s="9" t="n"/>
    </row>
    <row r="93" ht="12" customFormat="1" customHeight="1" s="37">
      <c r="A93" s="78" t="inlineStr">
        <is>
          <t>망월동 미사강변사랑으로부영</t>
        </is>
      </c>
      <c r="B93" s="79" t="inlineStr">
        <is>
          <t>17.10.</t>
        </is>
      </c>
      <c r="C93" s="129" t="n">
        <v>1104</v>
      </c>
      <c r="D93" s="130" t="n">
        <v>84.5</v>
      </c>
      <c r="E93" s="131" t="n">
        <v>26</v>
      </c>
      <c r="F93" s="130" t="n">
        <v>60.9</v>
      </c>
      <c r="G93" s="17" t="n">
        <v>18</v>
      </c>
      <c r="H93" s="132" t="n">
        <v>196</v>
      </c>
      <c r="I93" s="133" t="n">
        <v>82000</v>
      </c>
      <c r="J93" s="133" t="inlineStr">
        <is>
          <t>중</t>
        </is>
      </c>
      <c r="K93" s="133" t="n">
        <v>55000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84</v>
      </c>
      <c r="U93" s="9" t="n"/>
    </row>
    <row r="94" ht="12" customFormat="1" customHeight="1" s="37">
      <c r="A94" s="78" t="inlineStr">
        <is>
          <t>풍산동 하남힐즈파크푸르지오2단지</t>
        </is>
      </c>
      <c r="B94" s="79" t="inlineStr">
        <is>
          <t>18.09.</t>
        </is>
      </c>
      <c r="C94" s="129" t="n">
        <v>456</v>
      </c>
      <c r="D94" s="130" t="n">
        <v>80.7</v>
      </c>
      <c r="E94" s="131" t="n">
        <v>24</v>
      </c>
      <c r="F94" s="130" t="n">
        <v>59.7</v>
      </c>
      <c r="G94" s="17" t="n">
        <v>18</v>
      </c>
      <c r="H94" s="132" t="n">
        <v>133</v>
      </c>
      <c r="I94" s="133" t="n">
        <v>82000</v>
      </c>
      <c r="J94" s="133" t="inlineStr">
        <is>
          <t>20</t>
        </is>
      </c>
      <c r="K94" s="133" t="n">
        <v>45000</v>
      </c>
      <c r="L94" s="133" t="inlineStr">
        <is>
          <t>고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80</v>
      </c>
      <c r="U94" s="9" t="n"/>
    </row>
    <row r="95" ht="12" customFormat="1" customHeight="1" s="37">
      <c r="A95" s="78" t="inlineStr">
        <is>
          <t>망월동 미사강변루나리움</t>
        </is>
      </c>
      <c r="B95" s="79" t="inlineStr">
        <is>
          <t>15.09.</t>
        </is>
      </c>
      <c r="C95" s="129" t="n">
        <v>1164</v>
      </c>
      <c r="D95" s="130" t="n">
        <v>79.3</v>
      </c>
      <c r="E95" s="131" t="n">
        <v>24</v>
      </c>
      <c r="F95" s="130" t="n">
        <v>59.9</v>
      </c>
      <c r="G95" s="17" t="n">
        <v>18</v>
      </c>
      <c r="H95" s="132" t="n">
        <v>261</v>
      </c>
      <c r="I95" s="133" t="n">
        <v>80000</v>
      </c>
      <c r="J95" s="133" t="inlineStr">
        <is>
          <t>중</t>
        </is>
      </c>
      <c r="K95" s="133" t="n">
        <v>50000</v>
      </c>
      <c r="L95" s="133" t="inlineStr">
        <is>
          <t>고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79A</t>
        </is>
      </c>
      <c r="U95" s="9" t="n"/>
    </row>
    <row r="96" ht="12" customFormat="1" customHeight="1" s="37">
      <c r="A96" s="78" t="inlineStr">
        <is>
          <t>풍산동 하남힐즈파크푸르지오1단지</t>
        </is>
      </c>
      <c r="B96" s="79" t="inlineStr">
        <is>
          <t>20.04.</t>
        </is>
      </c>
      <c r="C96" s="129" t="n">
        <v>404</v>
      </c>
      <c r="D96" s="130" t="n">
        <v>80.8</v>
      </c>
      <c r="E96" s="131" t="n">
        <v>24</v>
      </c>
      <c r="F96" s="130" t="n">
        <v>59.8</v>
      </c>
      <c r="G96" s="17" t="n">
        <v>18</v>
      </c>
      <c r="H96" s="132" t="n">
        <v>183</v>
      </c>
      <c r="I96" s="133" t="n">
        <v>80000</v>
      </c>
      <c r="J96" s="133" t="inlineStr">
        <is>
          <t>중</t>
        </is>
      </c>
      <c r="K96" s="133" t="n">
        <v>49000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80A</t>
        </is>
      </c>
      <c r="U96" s="9" t="n"/>
    </row>
    <row r="97" ht="12" customFormat="1" customHeight="1" s="37">
      <c r="A97" s="78" t="inlineStr">
        <is>
          <t>신장동 대명강변타운</t>
        </is>
      </c>
      <c r="B97" s="79" t="inlineStr">
        <is>
          <t>07.08.</t>
        </is>
      </c>
      <c r="C97" s="129" t="n">
        <v>1369</v>
      </c>
      <c r="D97" s="130" t="n">
        <v>111.6</v>
      </c>
      <c r="E97" s="131" t="n">
        <v>34</v>
      </c>
      <c r="F97" s="130" t="n">
        <v>84.8</v>
      </c>
      <c r="G97" s="17" t="n">
        <v>26</v>
      </c>
      <c r="H97" s="132" t="n">
        <v>1227</v>
      </c>
      <c r="I97" s="133" t="n">
        <v>79000</v>
      </c>
      <c r="J97" s="133" t="inlineStr">
        <is>
          <t>중</t>
        </is>
      </c>
      <c r="K97" s="133" t="n">
        <v>50000</v>
      </c>
      <c r="L97" s="133" t="inlineStr">
        <is>
          <t>24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</row>
    <row r="98" ht="12" customFormat="1" customHeight="1" s="37">
      <c r="A98" s="78" t="inlineStr">
        <is>
          <t>덕풍동 진모루마을현대</t>
        </is>
      </c>
      <c r="B98" s="79" t="inlineStr">
        <is>
          <t>00.12.</t>
        </is>
      </c>
      <c r="C98" s="129" t="n">
        <v>387</v>
      </c>
      <c r="D98" s="130" t="n">
        <v>109.9</v>
      </c>
      <c r="E98" s="131" t="n">
        <v>33</v>
      </c>
      <c r="F98" s="130" t="n">
        <v>85</v>
      </c>
      <c r="G98" s="17" t="n">
        <v>26</v>
      </c>
      <c r="H98" s="132" t="n">
        <v>308</v>
      </c>
      <c r="I98" s="133" t="n">
        <v>78000</v>
      </c>
      <c r="J98" s="133" t="inlineStr">
        <is>
          <t>6</t>
        </is>
      </c>
      <c r="K98" s="133" t="n">
        <v>43000</v>
      </c>
      <c r="L98" s="133" t="inlineStr">
        <is>
          <t>6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109A</t>
        </is>
      </c>
      <c r="U98" s="9" t="n"/>
    </row>
    <row r="99" ht="12" customFormat="1" customHeight="1" s="37">
      <c r="A99" s="78" t="inlineStr">
        <is>
          <t>덕풍동 하남한솔솔파크</t>
        </is>
      </c>
      <c r="B99" s="79" t="inlineStr">
        <is>
          <t>06.06.</t>
        </is>
      </c>
      <c r="C99" s="129" t="n">
        <v>616</v>
      </c>
      <c r="D99" s="130" t="n">
        <v>109.7</v>
      </c>
      <c r="E99" s="131" t="n">
        <v>33</v>
      </c>
      <c r="F99" s="130" t="n">
        <v>85</v>
      </c>
      <c r="G99" s="17" t="n">
        <v>26</v>
      </c>
      <c r="H99" s="132" t="n">
        <v>597</v>
      </c>
      <c r="I99" s="133" t="n">
        <v>78000</v>
      </c>
      <c r="J99" s="133" t="inlineStr">
        <is>
          <t>고</t>
        </is>
      </c>
      <c r="K99" s="133" t="n">
        <v>55000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109</v>
      </c>
      <c r="U99" s="9" t="n"/>
    </row>
    <row r="100" ht="12" customFormat="1" customHeight="1" s="37">
      <c r="A100" s="78" t="inlineStr">
        <is>
          <t>덕풍동 덕풍쌍용</t>
        </is>
      </c>
      <c r="B100" s="79" t="inlineStr">
        <is>
          <t>98.01.</t>
        </is>
      </c>
      <c r="C100" s="129" t="n">
        <v>585</v>
      </c>
      <c r="D100" s="130" t="n">
        <v>143.2</v>
      </c>
      <c r="E100" s="131" t="n">
        <v>43</v>
      </c>
      <c r="F100" s="130" t="n">
        <v>115</v>
      </c>
      <c r="G100" s="17" t="n">
        <v>35</v>
      </c>
      <c r="H100" s="132" t="n">
        <v>141</v>
      </c>
      <c r="I100" s="133" t="n">
        <v>76000</v>
      </c>
      <c r="J100" s="133" t="inlineStr">
        <is>
          <t>15</t>
        </is>
      </c>
      <c r="K100" s="133" t="n">
        <v>50000</v>
      </c>
      <c r="L100" s="133" t="inlineStr">
        <is>
          <t>13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143</v>
      </c>
      <c r="U100" s="9" t="n"/>
    </row>
    <row r="101" ht="12" customFormat="1" customHeight="1" s="37">
      <c r="A101" s="78" t="inlineStr">
        <is>
          <t>덕풍동 벽산블루밍</t>
        </is>
      </c>
      <c r="B101" s="79" t="inlineStr">
        <is>
          <t>07.04.</t>
        </is>
      </c>
      <c r="C101" s="129" t="n">
        <v>696</v>
      </c>
      <c r="D101" s="130" t="n">
        <v>107.5</v>
      </c>
      <c r="E101" s="131" t="n">
        <v>33</v>
      </c>
      <c r="F101" s="130" t="n">
        <v>85</v>
      </c>
      <c r="G101" s="17" t="n">
        <v>26</v>
      </c>
      <c r="H101" s="132" t="n">
        <v>464</v>
      </c>
      <c r="I101" s="133" t="n">
        <v>75000</v>
      </c>
      <c r="J101" s="133" t="inlineStr">
        <is>
          <t>8</t>
        </is>
      </c>
      <c r="K101" s="133" t="n">
        <v>58000</v>
      </c>
      <c r="L101" s="133" t="inlineStr">
        <is>
          <t>고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107</v>
      </c>
      <c r="U101" s="9" t="n"/>
    </row>
    <row r="102" ht="12" customFormat="1" customHeight="1" s="37">
      <c r="A102" s="78" t="inlineStr">
        <is>
          <t>신장동 더우개마을동일</t>
        </is>
      </c>
      <c r="B102" s="79" t="inlineStr">
        <is>
          <t>99.09.</t>
        </is>
      </c>
      <c r="C102" s="129" t="n">
        <v>438</v>
      </c>
      <c r="D102" s="130" t="n">
        <v>106.3</v>
      </c>
      <c r="E102" s="131" t="n">
        <v>32</v>
      </c>
      <c r="F102" s="130" t="n">
        <v>84.90000000000001</v>
      </c>
      <c r="G102" s="17" t="n">
        <v>26</v>
      </c>
      <c r="H102" s="132" t="n">
        <v>147</v>
      </c>
      <c r="I102" s="133" t="n">
        <v>75000</v>
      </c>
      <c r="J102" s="133" t="inlineStr">
        <is>
          <t>20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106</v>
      </c>
      <c r="U102" s="9" t="n"/>
    </row>
    <row r="103" ht="12" customFormat="1" customHeight="1" s="37">
      <c r="A103" s="78" t="inlineStr">
        <is>
          <t>덕풍동 벽산블루밍</t>
        </is>
      </c>
      <c r="B103" s="79" t="inlineStr">
        <is>
          <t>07.04.</t>
        </is>
      </c>
      <c r="C103" s="129" t="n">
        <v>696</v>
      </c>
      <c r="D103" s="130" t="n">
        <v>80.8</v>
      </c>
      <c r="E103" s="131" t="n">
        <v>24</v>
      </c>
      <c r="F103" s="130" t="n">
        <v>59.9</v>
      </c>
      <c r="G103" s="17" t="n">
        <v>18</v>
      </c>
      <c r="H103" s="132" t="n">
        <v>232</v>
      </c>
      <c r="I103" s="133" t="n">
        <v>73000</v>
      </c>
      <c r="J103" s="133" t="inlineStr">
        <is>
          <t>6</t>
        </is>
      </c>
      <c r="K103" s="133" t="n">
        <v>48000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8" t="inlineStr">
        <is>
          <t>덕풍동 하남자이</t>
        </is>
      </c>
      <c r="B104" s="79" t="inlineStr">
        <is>
          <t>06.04.</t>
        </is>
      </c>
      <c r="C104" s="129" t="n">
        <v>875</v>
      </c>
      <c r="D104" s="130" t="n">
        <v>107.8</v>
      </c>
      <c r="E104" s="131" t="n">
        <v>33</v>
      </c>
      <c r="F104" s="130" t="n">
        <v>85</v>
      </c>
      <c r="G104" s="17" t="n">
        <v>26</v>
      </c>
      <c r="H104" s="132" t="n">
        <v>593</v>
      </c>
      <c r="I104" s="133" t="n">
        <v>73000</v>
      </c>
      <c r="J104" s="133" t="inlineStr">
        <is>
          <t>12</t>
        </is>
      </c>
      <c r="K104" s="133" t="n">
        <v>50000</v>
      </c>
      <c r="L104" s="133" t="inlineStr">
        <is>
          <t>18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107</v>
      </c>
      <c r="U104" s="9" t="n"/>
    </row>
    <row r="105" ht="12" customFormat="1" customHeight="1" s="37">
      <c r="A105" s="78" t="inlineStr">
        <is>
          <t>신장동 에코타운1단지</t>
        </is>
      </c>
      <c r="B105" s="79" t="inlineStr">
        <is>
          <t>04.11.</t>
        </is>
      </c>
      <c r="C105" s="129" t="n">
        <v>525</v>
      </c>
      <c r="D105" s="130" t="n">
        <v>77</v>
      </c>
      <c r="E105" s="131" t="n">
        <v>23</v>
      </c>
      <c r="F105" s="130" t="n">
        <v>57.4</v>
      </c>
      <c r="G105" s="17" t="n">
        <v>17</v>
      </c>
      <c r="H105" s="132" t="n">
        <v>397</v>
      </c>
      <c r="I105" s="133" t="n">
        <v>71500</v>
      </c>
      <c r="J105" s="133" t="inlineStr">
        <is>
          <t>중</t>
        </is>
      </c>
      <c r="K105" s="133" t="n">
        <v>45000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복</t>
        </is>
      </c>
      <c r="T105" s="5" t="inlineStr">
        <is>
          <t>77A</t>
        </is>
      </c>
      <c r="U105" s="9" t="n"/>
    </row>
    <row r="106" ht="12" customFormat="1" customHeight="1" s="37">
      <c r="A106" s="78" t="inlineStr">
        <is>
          <t>덕풍동 덕풍서해</t>
        </is>
      </c>
      <c r="B106" s="79" t="inlineStr">
        <is>
          <t>96.04.</t>
        </is>
      </c>
      <c r="C106" s="129" t="n">
        <v>423</v>
      </c>
      <c r="D106" s="130" t="n">
        <v>124</v>
      </c>
      <c r="E106" s="131" t="n">
        <v>38</v>
      </c>
      <c r="F106" s="130" t="n">
        <v>103</v>
      </c>
      <c r="G106" s="17" t="n">
        <v>31</v>
      </c>
      <c r="H106" s="132" t="n">
        <v>36</v>
      </c>
      <c r="I106" s="133" t="n">
        <v>70000</v>
      </c>
      <c r="J106" s="133" t="inlineStr">
        <is>
          <t>중</t>
        </is>
      </c>
      <c r="K106" s="133" t="n">
        <v>45000</v>
      </c>
      <c r="L106" s="133" t="inlineStr">
        <is>
          <t>14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124</v>
      </c>
      <c r="U106" s="9" t="n"/>
    </row>
    <row r="107" ht="12" customFormat="1" customHeight="1" s="37">
      <c r="A107" s="78" t="inlineStr">
        <is>
          <t>창우동 꿈동산신안</t>
        </is>
      </c>
      <c r="B107" s="79" t="inlineStr">
        <is>
          <t>94.12.</t>
        </is>
      </c>
      <c r="C107" s="129" t="n">
        <v>1704</v>
      </c>
      <c r="D107" s="130" t="n">
        <v>107.7</v>
      </c>
      <c r="E107" s="131" t="n">
        <v>33</v>
      </c>
      <c r="F107" s="130" t="n">
        <v>85</v>
      </c>
      <c r="G107" s="17" t="n">
        <v>26</v>
      </c>
      <c r="H107" s="132" t="n">
        <v>1206</v>
      </c>
      <c r="I107" s="133" t="n">
        <v>70000</v>
      </c>
      <c r="J107" s="133" t="inlineStr">
        <is>
          <t>중</t>
        </is>
      </c>
      <c r="K107" s="133" t="n">
        <v>50000</v>
      </c>
      <c r="L107" s="133" t="inlineStr">
        <is>
          <t>10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107S</t>
        </is>
      </c>
      <c r="U107" s="9" t="n"/>
    </row>
    <row r="108" ht="12" customFormat="1" customHeight="1" s="37">
      <c r="A108" s="78" t="inlineStr">
        <is>
          <t>덕풍동 하남덕풍역파크어울림</t>
        </is>
      </c>
      <c r="B108" s="79" t="inlineStr">
        <is>
          <t>19.04.</t>
        </is>
      </c>
      <c r="C108" s="129" t="n">
        <v>383</v>
      </c>
      <c r="D108" s="130" t="n">
        <v>84.90000000000001</v>
      </c>
      <c r="E108" s="131" t="n">
        <v>26</v>
      </c>
      <c r="F108" s="130" t="n">
        <v>60</v>
      </c>
      <c r="G108" s="17" t="n">
        <v>18</v>
      </c>
      <c r="H108" s="132" t="n">
        <v>344</v>
      </c>
      <c r="I108" s="133" t="n">
        <v>69000</v>
      </c>
      <c r="J108" s="133" t="inlineStr">
        <is>
          <t>고</t>
        </is>
      </c>
      <c r="K108" s="133" t="n">
        <v>45000</v>
      </c>
      <c r="L108" s="133" t="inlineStr">
        <is>
          <t>중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7">
      <c r="A109" s="78" t="inlineStr">
        <is>
          <t>신장동 더우개마을동일</t>
        </is>
      </c>
      <c r="B109" s="79" t="inlineStr">
        <is>
          <t>99.09.</t>
        </is>
      </c>
      <c r="C109" s="129" t="n">
        <v>438</v>
      </c>
      <c r="D109" s="130" t="n">
        <v>79</v>
      </c>
      <c r="E109" s="131" t="n">
        <v>24</v>
      </c>
      <c r="F109" s="130" t="n">
        <v>60</v>
      </c>
      <c r="G109" s="17" t="n">
        <v>18</v>
      </c>
      <c r="H109" s="132" t="n">
        <v>80</v>
      </c>
      <c r="I109" s="133" t="n">
        <v>68000</v>
      </c>
      <c r="J109" s="133" t="inlineStr">
        <is>
          <t>19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n">
        <v>78</v>
      </c>
      <c r="U109" s="9" t="n"/>
    </row>
    <row r="110" ht="12" customFormat="1" customHeight="1" s="37">
      <c r="A110" s="78" t="inlineStr">
        <is>
          <t>덕풍동 덕풍쌍용</t>
        </is>
      </c>
      <c r="B110" s="79" t="inlineStr">
        <is>
          <t>98.01.</t>
        </is>
      </c>
      <c r="C110" s="129" t="n">
        <v>585</v>
      </c>
      <c r="D110" s="130" t="n">
        <v>105.8</v>
      </c>
      <c r="E110" s="131" t="n">
        <v>32</v>
      </c>
      <c r="F110" s="130" t="n">
        <v>85</v>
      </c>
      <c r="G110" s="17" t="n">
        <v>26</v>
      </c>
      <c r="H110" s="132" t="n">
        <v>207</v>
      </c>
      <c r="I110" s="133" t="n">
        <v>67000</v>
      </c>
      <c r="J110" s="133" t="inlineStr">
        <is>
          <t>5</t>
        </is>
      </c>
      <c r="K110" s="133" t="n">
        <v>46000</v>
      </c>
      <c r="L110" s="133" t="inlineStr">
        <is>
          <t>14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105</v>
      </c>
      <c r="U110" s="9" t="n"/>
    </row>
    <row r="111" ht="12" customFormat="1" customHeight="1" s="37">
      <c r="A111" s="78" t="inlineStr">
        <is>
          <t>덕풍동 라인</t>
        </is>
      </c>
      <c r="B111" s="79" t="inlineStr">
        <is>
          <t>97.04.</t>
        </is>
      </c>
      <c r="C111" s="129" t="n">
        <v>352</v>
      </c>
      <c r="D111" s="130" t="n">
        <v>107</v>
      </c>
      <c r="E111" s="131" t="n">
        <v>32</v>
      </c>
      <c r="F111" s="130" t="n">
        <v>84.7</v>
      </c>
      <c r="G111" s="17" t="n">
        <v>26</v>
      </c>
      <c r="H111" s="132" t="n">
        <v>176</v>
      </c>
      <c r="I111" s="133" t="n">
        <v>67000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106</v>
      </c>
      <c r="U111" s="9" t="n"/>
    </row>
    <row r="112" ht="12" customFormat="1" customHeight="1" s="37">
      <c r="A112" s="78" t="inlineStr">
        <is>
          <t>창우동 부영</t>
        </is>
      </c>
      <c r="B112" s="79" t="inlineStr">
        <is>
          <t>94.12.</t>
        </is>
      </c>
      <c r="C112" s="129" t="n">
        <v>2055</v>
      </c>
      <c r="D112" s="130" t="n">
        <v>81.59999999999999</v>
      </c>
      <c r="E112" s="131" t="n">
        <v>25</v>
      </c>
      <c r="F112" s="130" t="n">
        <v>60</v>
      </c>
      <c r="G112" s="17" t="n">
        <v>18</v>
      </c>
      <c r="H112" s="132" t="n">
        <v>915</v>
      </c>
      <c r="I112" s="133" t="n">
        <v>67000</v>
      </c>
      <c r="J112" s="133" t="inlineStr">
        <is>
          <t>9</t>
        </is>
      </c>
      <c r="K112" s="133" t="n">
        <v>37000</v>
      </c>
      <c r="L112" s="133" t="inlineStr">
        <is>
          <t>11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복</t>
        </is>
      </c>
      <c r="T112" s="5" t="n">
        <v>81</v>
      </c>
      <c r="U112" s="9" t="n"/>
    </row>
    <row r="113" ht="12" customFormat="1" customHeight="1" s="37">
      <c r="A113" s="78" t="inlineStr">
        <is>
          <t>덕풍동 한솔리치빌2단지</t>
        </is>
      </c>
      <c r="B113" s="79" t="inlineStr">
        <is>
          <t>02.12.</t>
        </is>
      </c>
      <c r="C113" s="129" t="n">
        <v>347</v>
      </c>
      <c r="D113" s="130" t="n">
        <v>114.2</v>
      </c>
      <c r="E113" s="131" t="n">
        <v>35</v>
      </c>
      <c r="F113" s="130" t="n">
        <v>84.40000000000001</v>
      </c>
      <c r="G113" s="17" t="n">
        <v>26</v>
      </c>
      <c r="H113" s="132" t="n">
        <v>322</v>
      </c>
      <c r="I113" s="133" t="n">
        <v>65000</v>
      </c>
      <c r="J113" s="133" t="inlineStr">
        <is>
          <t>10</t>
        </is>
      </c>
      <c r="K113" s="133" t="n">
        <v>47000</v>
      </c>
      <c r="L113" s="133" t="inlineStr">
        <is>
          <t>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8" t="inlineStr">
        <is>
          <t>덕풍동 한솔리치빌1단지</t>
        </is>
      </c>
      <c r="B114" s="79" t="inlineStr">
        <is>
          <t>02.12.</t>
        </is>
      </c>
      <c r="C114" s="129" t="n">
        <v>747</v>
      </c>
      <c r="D114" s="130" t="n">
        <v>115.8</v>
      </c>
      <c r="E114" s="131" t="n">
        <v>35</v>
      </c>
      <c r="F114" s="130" t="n">
        <v>84.8</v>
      </c>
      <c r="G114" s="17" t="n">
        <v>26</v>
      </c>
      <c r="H114" s="132" t="n">
        <v>747</v>
      </c>
      <c r="I114" s="133" t="n">
        <v>65000</v>
      </c>
      <c r="J114" s="133" t="inlineStr">
        <is>
          <t>9</t>
        </is>
      </c>
      <c r="K114" s="133" t="n">
        <v>45000</v>
      </c>
      <c r="L114" s="133" t="inlineStr">
        <is>
          <t>17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7">
      <c r="A115" s="78" t="inlineStr">
        <is>
          <t>덕풍동 하남자이</t>
        </is>
      </c>
      <c r="B115" s="79" t="inlineStr">
        <is>
          <t>06.04.</t>
        </is>
      </c>
      <c r="C115" s="129" t="n">
        <v>875</v>
      </c>
      <c r="D115" s="130" t="n">
        <v>81.3</v>
      </c>
      <c r="E115" s="131" t="n">
        <v>25</v>
      </c>
      <c r="F115" s="130" t="n">
        <v>60</v>
      </c>
      <c r="G115" s="17" t="n">
        <v>18</v>
      </c>
      <c r="H115" s="132" t="n">
        <v>104</v>
      </c>
      <c r="I115" s="133" t="n">
        <v>65000</v>
      </c>
      <c r="J115" s="133" t="inlineStr">
        <is>
          <t>21</t>
        </is>
      </c>
      <c r="K115" s="133" t="n">
        <v>45000</v>
      </c>
      <c r="L115" s="133" t="inlineStr">
        <is>
          <t>10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81</v>
      </c>
      <c r="U115" s="9" t="n"/>
    </row>
    <row r="116" ht="12" customFormat="1" customHeight="1" s="37">
      <c r="A116" s="78" t="inlineStr">
        <is>
          <t>신장동 한국</t>
        </is>
      </c>
      <c r="B116" s="79" t="inlineStr">
        <is>
          <t>96.08.</t>
        </is>
      </c>
      <c r="C116" s="129" t="n">
        <v>848</v>
      </c>
      <c r="D116" s="130" t="n">
        <v>78</v>
      </c>
      <c r="E116" s="131" t="n">
        <v>24</v>
      </c>
      <c r="F116" s="130" t="n">
        <v>59.9</v>
      </c>
      <c r="G116" s="17" t="n">
        <v>18</v>
      </c>
      <c r="H116" s="132" t="n">
        <v>720</v>
      </c>
      <c r="I116" s="133" t="n">
        <v>65000</v>
      </c>
      <c r="J116" s="133" t="inlineStr">
        <is>
          <t>11</t>
        </is>
      </c>
      <c r="K116" s="133" t="n">
        <v>40000</v>
      </c>
      <c r="L116" s="133" t="inlineStr">
        <is>
          <t>19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78</v>
      </c>
      <c r="U116" s="9" t="n"/>
    </row>
    <row r="117" ht="12" customFormat="1" customHeight="1" s="37">
      <c r="A117" s="78" t="inlineStr">
        <is>
          <t>덕풍동 덕풍현대</t>
        </is>
      </c>
      <c r="B117" s="79" t="inlineStr">
        <is>
          <t>97.12.</t>
        </is>
      </c>
      <c r="C117" s="129" t="n">
        <v>555</v>
      </c>
      <c r="D117" s="130" t="n">
        <v>108.6</v>
      </c>
      <c r="E117" s="131" t="n">
        <v>33</v>
      </c>
      <c r="F117" s="130" t="n">
        <v>84.8</v>
      </c>
      <c r="G117" s="17" t="n">
        <v>26</v>
      </c>
      <c r="H117" s="132" t="n">
        <v>353</v>
      </c>
      <c r="I117" s="133" t="n">
        <v>61000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n">
        <v>108</v>
      </c>
      <c r="U117" s="9" t="n"/>
    </row>
    <row r="118" ht="12" customFormat="1" customHeight="1" s="37">
      <c r="A118" s="78" t="inlineStr">
        <is>
          <t>덕풍동 덕풍서해</t>
        </is>
      </c>
      <c r="B118" s="79" t="inlineStr">
        <is>
          <t>96.04.</t>
        </is>
      </c>
      <c r="C118" s="129" t="n">
        <v>423</v>
      </c>
      <c r="D118" s="130" t="n">
        <v>105.2</v>
      </c>
      <c r="E118" s="131" t="n">
        <v>32</v>
      </c>
      <c r="F118" s="130" t="n">
        <v>84.90000000000001</v>
      </c>
      <c r="G118" s="17" t="n">
        <v>26</v>
      </c>
      <c r="H118" s="132" t="n">
        <v>174</v>
      </c>
      <c r="I118" s="133" t="n">
        <v>61000</v>
      </c>
      <c r="J118" s="133" t="inlineStr">
        <is>
          <t>13</t>
        </is>
      </c>
      <c r="K118" s="133" t="n">
        <v>50000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105</v>
      </c>
      <c r="U118" s="9" t="n"/>
    </row>
    <row r="119" ht="12" customFormat="1" customHeight="1" s="37">
      <c r="A119" s="78" t="inlineStr">
        <is>
          <t>덕풍동 라인</t>
        </is>
      </c>
      <c r="B119" s="79" t="inlineStr">
        <is>
          <t>97.04.</t>
        </is>
      </c>
      <c r="C119" s="129" t="n">
        <v>352</v>
      </c>
      <c r="D119" s="130" t="n">
        <v>83.09999999999999</v>
      </c>
      <c r="E119" s="131" t="n">
        <v>25</v>
      </c>
      <c r="F119" s="130" t="n">
        <v>59.4</v>
      </c>
      <c r="G119" s="17" t="n">
        <v>18</v>
      </c>
      <c r="H119" s="132" t="n">
        <v>176</v>
      </c>
      <c r="I119" s="133" t="n">
        <v>60000</v>
      </c>
      <c r="J119" s="133" t="inlineStr">
        <is>
          <t>10</t>
        </is>
      </c>
      <c r="K119" s="133" t="n">
        <v>41000</v>
      </c>
      <c r="L119" s="133" t="inlineStr">
        <is>
          <t>10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복</t>
        </is>
      </c>
      <c r="T119" s="5" t="n">
        <v>83</v>
      </c>
      <c r="U119" s="9" t="n"/>
    </row>
    <row r="120" ht="12" customFormat="1" customHeight="1" s="37">
      <c r="A120" s="78" t="inlineStr">
        <is>
          <t>덕풍동 덕풍쌍용</t>
        </is>
      </c>
      <c r="B120" s="79" t="inlineStr">
        <is>
          <t>98.01.</t>
        </is>
      </c>
      <c r="C120" s="129" t="n">
        <v>585</v>
      </c>
      <c r="D120" s="130" t="n">
        <v>74.5</v>
      </c>
      <c r="E120" s="131" t="n">
        <v>23</v>
      </c>
      <c r="F120" s="130" t="n">
        <v>59.8</v>
      </c>
      <c r="G120" s="17" t="n">
        <v>18</v>
      </c>
      <c r="H120" s="132" t="n">
        <v>168</v>
      </c>
      <c r="I120" s="133" t="n">
        <v>58000</v>
      </c>
      <c r="J120" s="133" t="inlineStr">
        <is>
          <t>고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74A</t>
        </is>
      </c>
      <c r="U120" s="9" t="n"/>
    </row>
    <row r="121" ht="12" customFormat="1" customHeight="1" s="37">
      <c r="A121" s="78" t="inlineStr">
        <is>
          <t>창우동 부영</t>
        </is>
      </c>
      <c r="B121" s="79" t="inlineStr">
        <is>
          <t>94.12.</t>
        </is>
      </c>
      <c r="C121" s="129" t="n">
        <v>2055</v>
      </c>
      <c r="D121" s="130" t="n">
        <v>67.40000000000001</v>
      </c>
      <c r="E121" s="131" t="n">
        <v>20</v>
      </c>
      <c r="F121" s="130" t="n">
        <v>49.6</v>
      </c>
      <c r="G121" s="17" t="n">
        <v>15</v>
      </c>
      <c r="H121" s="132" t="n">
        <v>1140</v>
      </c>
      <c r="I121" s="133" t="n">
        <v>57000</v>
      </c>
      <c r="J121" s="133" t="inlineStr">
        <is>
          <t>12</t>
        </is>
      </c>
      <c r="K121" s="133" t="n">
        <v>33000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67</v>
      </c>
      <c r="U121" s="9" t="n"/>
    </row>
    <row r="122" ht="12" customFormat="1" customHeight="1" s="37">
      <c r="A122" s="78" t="inlineStr">
        <is>
          <t>신장동 더우개마을동일</t>
        </is>
      </c>
      <c r="B122" s="79" t="inlineStr">
        <is>
          <t>99.09.</t>
        </is>
      </c>
      <c r="C122" s="129" t="n">
        <v>438</v>
      </c>
      <c r="D122" s="130" t="n">
        <v>64</v>
      </c>
      <c r="E122" s="131" t="n">
        <v>19</v>
      </c>
      <c r="F122" s="130" t="n">
        <v>45</v>
      </c>
      <c r="G122" s="17" t="n">
        <v>14</v>
      </c>
      <c r="H122" s="132" t="n">
        <v>51</v>
      </c>
      <c r="I122" s="133" t="n">
        <v>55000</v>
      </c>
      <c r="J122" s="133" t="inlineStr">
        <is>
          <t>11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계</t>
        </is>
      </c>
      <c r="T122" s="5" t="n">
        <v>63</v>
      </c>
      <c r="U122" s="9" t="n"/>
    </row>
    <row r="123" ht="12" customFormat="1" customHeight="1" s="37">
      <c r="A123" s="78" t="inlineStr">
        <is>
          <t>신장동 백송한신</t>
        </is>
      </c>
      <c r="B123" s="79" t="inlineStr">
        <is>
          <t>94.06.</t>
        </is>
      </c>
      <c r="C123" s="129" t="n">
        <v>641</v>
      </c>
      <c r="D123" s="130" t="n">
        <v>67.40000000000001</v>
      </c>
      <c r="E123" s="131" t="n">
        <v>20</v>
      </c>
      <c r="F123" s="130" t="n">
        <v>50</v>
      </c>
      <c r="G123" s="17" t="n">
        <v>15</v>
      </c>
      <c r="H123" s="132" t="n">
        <v>641</v>
      </c>
      <c r="I123" s="133" t="n">
        <v>54000</v>
      </c>
      <c r="J123" s="133" t="inlineStr">
        <is>
          <t>11</t>
        </is>
      </c>
      <c r="K123" s="133" t="n">
        <v>30000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67</v>
      </c>
      <c r="U123" s="9" t="n"/>
    </row>
    <row r="124" ht="12" customFormat="1" customHeight="1" s="37">
      <c r="A124" s="78" t="inlineStr">
        <is>
          <t>덕풍동 덕풍서해</t>
        </is>
      </c>
      <c r="B124" s="79" t="inlineStr">
        <is>
          <t>96.04.</t>
        </is>
      </c>
      <c r="C124" s="129" t="n">
        <v>423</v>
      </c>
      <c r="D124" s="130" t="n">
        <v>80.40000000000001</v>
      </c>
      <c r="E124" s="131" t="n">
        <v>24</v>
      </c>
      <c r="F124" s="130" t="n">
        <v>59</v>
      </c>
      <c r="G124" s="17" t="n">
        <v>18</v>
      </c>
      <c r="H124" s="132" t="n">
        <v>213</v>
      </c>
      <c r="I124" s="133" t="n">
        <v>52000</v>
      </c>
      <c r="J124" s="133" t="inlineStr">
        <is>
          <t>6</t>
        </is>
      </c>
      <c r="K124" s="133" t="n">
        <v>35000</v>
      </c>
      <c r="L124" s="133" t="inlineStr">
        <is>
          <t>6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복</t>
        </is>
      </c>
      <c r="T124" s="5" t="n">
        <v>80</v>
      </c>
      <c r="U124" s="9" t="n"/>
    </row>
    <row r="125" ht="12" customFormat="1" customHeight="1" s="37">
      <c r="A125" s="78" t="inlineStr">
        <is>
          <t>덕풍동 덕풍현대</t>
        </is>
      </c>
      <c r="B125" s="79" t="inlineStr">
        <is>
          <t>97.12.</t>
        </is>
      </c>
      <c r="C125" s="129" t="n">
        <v>555</v>
      </c>
      <c r="D125" s="130" t="n">
        <v>81.7</v>
      </c>
      <c r="E125" s="131" t="n">
        <v>25</v>
      </c>
      <c r="F125" s="130" t="n">
        <v>59.9</v>
      </c>
      <c r="G125" s="17" t="n">
        <v>18</v>
      </c>
      <c r="H125" s="132" t="n">
        <v>202</v>
      </c>
      <c r="I125" s="133" t="n">
        <v>51000</v>
      </c>
      <c r="J125" s="133" t="inlineStr">
        <is>
          <t>9</t>
        </is>
      </c>
      <c r="K125" s="133" t="n">
        <v>40000</v>
      </c>
      <c r="L125" s="133" t="inlineStr">
        <is>
          <t>18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8" t="inlineStr">
        <is>
          <t>신장동 백조현대</t>
        </is>
      </c>
      <c r="B126" s="79" t="inlineStr">
        <is>
          <t>94.07.</t>
        </is>
      </c>
      <c r="C126" s="129" t="n">
        <v>880</v>
      </c>
      <c r="D126" s="130" t="n">
        <v>68.2</v>
      </c>
      <c r="E126" s="131" t="n">
        <v>21</v>
      </c>
      <c r="F126" s="130" t="n">
        <v>50</v>
      </c>
      <c r="G126" s="17" t="n">
        <v>15</v>
      </c>
      <c r="H126" s="132" t="n">
        <v>880</v>
      </c>
      <c r="I126" s="133" t="n">
        <v>51000</v>
      </c>
      <c r="J126" s="133" t="inlineStr">
        <is>
          <t>고</t>
        </is>
      </c>
      <c r="K126" s="133" t="n">
        <v>33600</v>
      </c>
      <c r="L126" s="133" t="inlineStr">
        <is>
          <t>14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계</t>
        </is>
      </c>
      <c r="T126" s="5" t="n">
        <v>68</v>
      </c>
      <c r="U126" s="9" t="n"/>
    </row>
    <row r="127" ht="12" customFormat="1" customHeight="1" s="37">
      <c r="A127" s="78" t="inlineStr">
        <is>
          <t>감이동 하남감일한양수자인</t>
        </is>
      </c>
      <c r="B127" s="79" t="inlineStr">
        <is>
          <t>22.09.</t>
        </is>
      </c>
      <c r="C127" s="129" t="n">
        <v>512</v>
      </c>
      <c r="D127" s="130" t="n">
        <v>112.8</v>
      </c>
      <c r="E127" s="131" t="n">
        <v>34</v>
      </c>
      <c r="F127" s="130" t="n">
        <v>84.59999999999999</v>
      </c>
      <c r="G127" s="17" t="n">
        <v>26</v>
      </c>
      <c r="H127" s="132" t="n">
        <v>512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</row>
    <row r="128" ht="12" customFormat="1" customHeight="1" s="37">
      <c r="A128" s="78" t="inlineStr">
        <is>
          <t>감이동 감일푸르지오마크베르</t>
        </is>
      </c>
      <c r="B128" s="79" t="inlineStr">
        <is>
          <t>23.06.</t>
        </is>
      </c>
      <c r="C128" s="129" t="n">
        <v>496</v>
      </c>
      <c r="D128" s="130" t="n">
        <v>109.7</v>
      </c>
      <c r="E128" s="131" t="n">
        <v>33</v>
      </c>
      <c r="F128" s="130" t="n">
        <v>84.90000000000001</v>
      </c>
      <c r="G128" s="17" t="n">
        <v>26</v>
      </c>
      <c r="H128" s="132" t="n">
        <v>203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109B</t>
        </is>
      </c>
      <c r="U128" s="9" t="n"/>
    </row>
    <row r="129" ht="12" customFormat="1" customHeight="1" s="37">
      <c r="A129" s="78" t="inlineStr">
        <is>
          <t>감이동 감일푸르지오마크베르</t>
        </is>
      </c>
      <c r="B129" s="79" t="inlineStr">
        <is>
          <t>23.06.</t>
        </is>
      </c>
      <c r="C129" s="129" t="n">
        <v>496</v>
      </c>
      <c r="D129" s="130" t="n">
        <v>146.6</v>
      </c>
      <c r="E129" s="131" t="n">
        <v>44</v>
      </c>
      <c r="F129" s="130" t="n">
        <v>114.9</v>
      </c>
      <c r="G129" s="17" t="n">
        <v>35</v>
      </c>
      <c r="H129" s="132" t="n">
        <v>115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146A</t>
        </is>
      </c>
      <c r="U129" s="9" t="n"/>
    </row>
    <row r="130" ht="12" customFormat="1" customHeight="1" s="37">
      <c r="A130" s="78" t="inlineStr">
        <is>
          <t>감이동 감일에코앤e편한세상</t>
        </is>
      </c>
      <c r="B130" s="79" t="inlineStr">
        <is>
          <t>21.10.</t>
        </is>
      </c>
      <c r="C130" s="129" t="n">
        <v>866</v>
      </c>
      <c r="D130" s="130" t="n">
        <v>102.4</v>
      </c>
      <c r="E130" s="131" t="n">
        <v>31</v>
      </c>
      <c r="F130" s="130" t="n">
        <v>78</v>
      </c>
      <c r="G130" s="17" t="n">
        <v>24</v>
      </c>
      <c r="H130" s="132" t="n">
        <v>169</v>
      </c>
      <c r="I130" s="133" t="n"/>
      <c r="J130" s="133" t="n"/>
      <c r="K130" s="133" t="n">
        <v>57000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102A</t>
        </is>
      </c>
      <c r="U130" s="9" t="n"/>
    </row>
    <row r="131" ht="12" customFormat="1" customHeight="1" s="37">
      <c r="A131" s="78" t="inlineStr">
        <is>
          <t>감이동 감일에코앤e편한세상</t>
        </is>
      </c>
      <c r="B131" s="79" t="inlineStr">
        <is>
          <t>21.10.</t>
        </is>
      </c>
      <c r="C131" s="129" t="n">
        <v>866</v>
      </c>
      <c r="D131" s="130" t="n">
        <v>109.6</v>
      </c>
      <c r="E131" s="131" t="n">
        <v>33</v>
      </c>
      <c r="F131" s="130" t="n">
        <v>85</v>
      </c>
      <c r="G131" s="17" t="n">
        <v>26</v>
      </c>
      <c r="H131" s="132" t="n">
        <v>531</v>
      </c>
      <c r="I131" s="133" t="n"/>
      <c r="J131" s="133" t="n"/>
      <c r="K131" s="133" t="n">
        <v>60000</v>
      </c>
      <c r="L131" s="133" t="inlineStr">
        <is>
          <t>15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109A</t>
        </is>
      </c>
      <c r="U131" s="9" t="n"/>
    </row>
    <row r="132" ht="12" customFormat="1" customHeight="1" s="37">
      <c r="A132" s="78" t="inlineStr">
        <is>
          <t>감이동 하남감일A7</t>
        </is>
      </c>
      <c r="B132" s="79" t="inlineStr">
        <is>
          <t>22.08.</t>
        </is>
      </c>
      <c r="C132" s="129" t="n">
        <v>510</v>
      </c>
      <c r="D132" s="130" t="n">
        <v>66.3</v>
      </c>
      <c r="E132" s="131" t="n">
        <v>20</v>
      </c>
      <c r="F132" s="130" t="n">
        <v>46.9</v>
      </c>
      <c r="G132" s="17" t="n">
        <v>14</v>
      </c>
      <c r="H132" s="132" t="n">
        <v>204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계</t>
        </is>
      </c>
      <c r="T132" s="5" t="inlineStr">
        <is>
          <t>66A</t>
        </is>
      </c>
      <c r="U132" s="9" t="n"/>
    </row>
    <row r="133" ht="12" customFormat="1" customHeight="1" s="37">
      <c r="A133" s="78" t="inlineStr">
        <is>
          <t>감이동 하남감일A7</t>
        </is>
      </c>
      <c r="B133" s="79" t="inlineStr">
        <is>
          <t>22.08.</t>
        </is>
      </c>
      <c r="C133" s="129" t="n">
        <v>510</v>
      </c>
      <c r="D133" s="130" t="n">
        <v>78.3</v>
      </c>
      <c r="E133" s="131" t="n">
        <v>24</v>
      </c>
      <c r="F133" s="130" t="n">
        <v>55.4</v>
      </c>
      <c r="G133" s="17" t="n">
        <v>17</v>
      </c>
      <c r="H133" s="132" t="n">
        <v>285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2</v>
      </c>
      <c r="S133" s="120" t="inlineStr">
        <is>
          <t>계</t>
        </is>
      </c>
      <c r="T133" s="5" t="inlineStr">
        <is>
          <t>78A</t>
        </is>
      </c>
      <c r="U133" s="9" t="n"/>
    </row>
    <row r="134" ht="12" customFormat="1" customHeight="1" s="37">
      <c r="A134" s="78" t="inlineStr">
        <is>
          <t>감이동 하남감일스윗시티 B3블록</t>
        </is>
      </c>
      <c r="B134" s="79" t="inlineStr">
        <is>
          <t>21.10.</t>
        </is>
      </c>
      <c r="C134" s="129" t="n">
        <v>578</v>
      </c>
      <c r="D134" s="130" t="n">
        <v>99.5</v>
      </c>
      <c r="E134" s="131" t="n">
        <v>30</v>
      </c>
      <c r="F134" s="130" t="n">
        <v>74.7</v>
      </c>
      <c r="G134" s="17" t="n">
        <v>23</v>
      </c>
      <c r="H134" s="132" t="n">
        <v>174</v>
      </c>
      <c r="I134" s="133" t="n"/>
      <c r="J134" s="133" t="n"/>
      <c r="K134" s="133" t="n">
        <v>53000</v>
      </c>
      <c r="L134" s="133" t="inlineStr">
        <is>
          <t>7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99A</t>
        </is>
      </c>
      <c r="U134" s="9" t="n"/>
    </row>
    <row r="135" ht="12" customFormat="1" customHeight="1" s="37">
      <c r="A135" s="78" t="inlineStr">
        <is>
          <t>감이동 하남감일스윗시티 B3블록</t>
        </is>
      </c>
      <c r="B135" s="79" t="inlineStr">
        <is>
          <t>21.10.</t>
        </is>
      </c>
      <c r="C135" s="129" t="n">
        <v>578</v>
      </c>
      <c r="D135" s="130" t="n">
        <v>113.1</v>
      </c>
      <c r="E135" s="131" t="n">
        <v>34</v>
      </c>
      <c r="F135" s="130" t="n">
        <v>84.90000000000001</v>
      </c>
      <c r="G135" s="17" t="n">
        <v>26</v>
      </c>
      <c r="H135" s="132" t="n">
        <v>239</v>
      </c>
      <c r="I135" s="133" t="n"/>
      <c r="J135" s="133" t="n"/>
      <c r="K135" s="133" t="n">
        <v>67000</v>
      </c>
      <c r="L135" s="133" t="inlineStr">
        <is>
          <t>7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113A</t>
        </is>
      </c>
      <c r="U135" s="9" t="n"/>
    </row>
    <row r="136" ht="12" customFormat="1" customHeight="1" s="37">
      <c r="A136" s="78" t="inlineStr">
        <is>
          <t>감이동 하남감일스윗시티 B4블록</t>
        </is>
      </c>
      <c r="B136" s="79" t="inlineStr">
        <is>
          <t>21.10.</t>
        </is>
      </c>
      <c r="C136" s="129" t="n">
        <v>595</v>
      </c>
      <c r="D136" s="130" t="n">
        <v>100.1</v>
      </c>
      <c r="E136" s="131" t="n">
        <v>30</v>
      </c>
      <c r="F136" s="130" t="n">
        <v>74.7</v>
      </c>
      <c r="G136" s="17" t="n">
        <v>23</v>
      </c>
      <c r="H136" s="132" t="n">
        <v>165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100A</t>
        </is>
      </c>
      <c r="U136" s="9" t="n"/>
    </row>
    <row r="137" ht="12" customFormat="1" customHeight="1" s="37">
      <c r="A137" s="78" t="inlineStr">
        <is>
          <t>감이동 하남감일스윗시티 B4블록</t>
        </is>
      </c>
      <c r="B137" s="79" t="inlineStr">
        <is>
          <t>21.10.</t>
        </is>
      </c>
      <c r="C137" s="129" t="n">
        <v>595</v>
      </c>
      <c r="D137" s="130" t="n">
        <v>113.7</v>
      </c>
      <c r="E137" s="131" t="n">
        <v>34</v>
      </c>
      <c r="F137" s="130" t="n">
        <v>84.90000000000001</v>
      </c>
      <c r="G137" s="17" t="n">
        <v>26</v>
      </c>
      <c r="H137" s="132" t="n">
        <v>270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113A</t>
        </is>
      </c>
      <c r="U137" s="9" t="n"/>
    </row>
    <row r="138" ht="12" customFormat="1" customHeight="1" s="37">
      <c r="A138" s="78" t="inlineStr">
        <is>
          <t>감이동 힐스테이트포웰시티</t>
        </is>
      </c>
      <c r="B138" s="79" t="inlineStr">
        <is>
          <t>20.11.</t>
        </is>
      </c>
      <c r="C138" s="129" t="n">
        <v>932</v>
      </c>
      <c r="D138" s="130" t="n">
        <v>111.3</v>
      </c>
      <c r="E138" s="131" t="n">
        <v>34</v>
      </c>
      <c r="F138" s="130" t="n">
        <v>84.40000000000001</v>
      </c>
      <c r="G138" s="17" t="n">
        <v>26</v>
      </c>
      <c r="H138" s="132" t="n">
        <v>462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111</v>
      </c>
      <c r="U138" s="9" t="n"/>
    </row>
    <row r="139" ht="12" customFormat="1" customHeight="1" s="37">
      <c r="A139" s="78" t="inlineStr">
        <is>
          <t>감이동 감일센트레빌</t>
        </is>
      </c>
      <c r="B139" s="79" t="inlineStr">
        <is>
          <t>20.03.</t>
        </is>
      </c>
      <c r="C139" s="129" t="n">
        <v>589</v>
      </c>
      <c r="D139" s="130" t="n">
        <v>103.4</v>
      </c>
      <c r="E139" s="131" t="n">
        <v>31</v>
      </c>
      <c r="F139" s="130" t="n">
        <v>74.8</v>
      </c>
      <c r="G139" s="17" t="n">
        <v>23</v>
      </c>
      <c r="H139" s="132" t="n">
        <v>149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8" t="inlineStr">
        <is>
          <t>감일동 하남감일스윗시티(B1블록)</t>
        </is>
      </c>
      <c r="B140" s="79" t="inlineStr">
        <is>
          <t>21.05.</t>
        </is>
      </c>
      <c r="C140" s="129" t="n">
        <v>684</v>
      </c>
      <c r="D140" s="130" t="n">
        <v>103.2</v>
      </c>
      <c r="E140" s="131" t="n">
        <v>31</v>
      </c>
      <c r="F140" s="130" t="n">
        <v>74.90000000000001</v>
      </c>
      <c r="G140" s="17" t="n">
        <v>23</v>
      </c>
      <c r="H140" s="132" t="n">
        <v>74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103H</t>
        </is>
      </c>
      <c r="U140" s="9" t="n"/>
    </row>
    <row r="141" ht="12" customFormat="1" customHeight="1" s="37">
      <c r="A141" s="78" t="inlineStr">
        <is>
          <t>감일동 하남감일스윗시티(B1블록)</t>
        </is>
      </c>
      <c r="B141" s="79" t="inlineStr">
        <is>
          <t>21.05.</t>
        </is>
      </c>
      <c r="C141" s="129" t="n">
        <v>684</v>
      </c>
      <c r="D141" s="130" t="n">
        <v>117</v>
      </c>
      <c r="E141" s="131" t="n">
        <v>35</v>
      </c>
      <c r="F141" s="130" t="n">
        <v>84.90000000000001</v>
      </c>
      <c r="G141" s="17" t="n">
        <v>26</v>
      </c>
      <c r="H141" s="132" t="n">
        <v>136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116D</t>
        </is>
      </c>
      <c r="U141" s="9" t="n"/>
    </row>
    <row r="142" ht="12" customFormat="1" customHeight="1" s="37">
      <c r="A142" s="78" t="inlineStr">
        <is>
          <t>덕풍동 대동피렌체</t>
        </is>
      </c>
      <c r="B142" s="79" t="inlineStr">
        <is>
          <t>05.01.</t>
        </is>
      </c>
      <c r="C142" s="129" t="n">
        <v>232</v>
      </c>
      <c r="D142" s="130" t="n">
        <v>42.7</v>
      </c>
      <c r="E142" s="131" t="n">
        <v>13</v>
      </c>
      <c r="F142" s="130" t="n">
        <v>32</v>
      </c>
      <c r="G142" s="17" t="n">
        <v>10</v>
      </c>
      <c r="H142" s="132" t="n">
        <v>195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복</t>
        </is>
      </c>
      <c r="T142" s="5" t="n">
        <v>42</v>
      </c>
      <c r="U142" s="9" t="n"/>
    </row>
    <row r="143" ht="12" customFormat="1" customHeight="1" s="37">
      <c r="A143" s="78" t="inlineStr">
        <is>
          <t>덕풍동 한솔리치빌3단지</t>
        </is>
      </c>
      <c r="B143" s="79" t="inlineStr">
        <is>
          <t>05.01.</t>
        </is>
      </c>
      <c r="C143" s="129" t="n">
        <v>283</v>
      </c>
      <c r="D143" s="130" t="n">
        <v>110</v>
      </c>
      <c r="E143" s="131" t="n">
        <v>33</v>
      </c>
      <c r="F143" s="130" t="n">
        <v>85</v>
      </c>
      <c r="G143" s="17" t="n">
        <v>26</v>
      </c>
      <c r="H143" s="132" t="n">
        <v>236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110</v>
      </c>
      <c r="U143" s="9" t="n"/>
    </row>
    <row r="144" ht="12" customFormat="1" customHeight="1" s="37">
      <c r="A144" s="78" t="inlineStr">
        <is>
          <t>덕풍동 동원베네스트</t>
        </is>
      </c>
      <c r="B144" s="79" t="inlineStr">
        <is>
          <t>08.05.</t>
        </is>
      </c>
      <c r="C144" s="129" t="n">
        <v>217</v>
      </c>
      <c r="D144" s="130" t="n">
        <v>108.1</v>
      </c>
      <c r="E144" s="131" t="n">
        <v>33</v>
      </c>
      <c r="F144" s="130" t="n">
        <v>85</v>
      </c>
      <c r="G144" s="17" t="n">
        <v>26</v>
      </c>
      <c r="H144" s="132" t="n">
        <v>217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108</v>
      </c>
      <c r="U144" s="9" t="n"/>
    </row>
    <row r="145" ht="12" customFormat="1" customHeight="1" s="37">
      <c r="A145" s="78" t="inlineStr">
        <is>
          <t>덕풍동 KCC스위첸</t>
        </is>
      </c>
      <c r="B145" s="79" t="inlineStr">
        <is>
          <t>06.02.</t>
        </is>
      </c>
      <c r="C145" s="129" t="n">
        <v>244</v>
      </c>
      <c r="D145" s="130" t="n">
        <v>107.9</v>
      </c>
      <c r="E145" s="131" t="n">
        <v>33</v>
      </c>
      <c r="F145" s="130" t="n">
        <v>85</v>
      </c>
      <c r="G145" s="17" t="n">
        <v>26</v>
      </c>
      <c r="H145" s="132" t="n">
        <v>213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107A</t>
        </is>
      </c>
      <c r="U145" s="9" t="n"/>
    </row>
    <row r="146" ht="12" customFormat="1" customHeight="1" s="37">
      <c r="A146" s="78" t="inlineStr">
        <is>
          <t>덕풍동 한솔리치빌5단지</t>
        </is>
      </c>
      <c r="B146" s="79" t="inlineStr">
        <is>
          <t>06.02.</t>
        </is>
      </c>
      <c r="C146" s="129" t="n">
        <v>268</v>
      </c>
      <c r="D146" s="130" t="n">
        <v>82.5</v>
      </c>
      <c r="E146" s="131" t="n">
        <v>25</v>
      </c>
      <c r="F146" s="130" t="n">
        <v>60</v>
      </c>
      <c r="G146" s="17" t="n">
        <v>18</v>
      </c>
      <c r="H146" s="132" t="n">
        <v>40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82</v>
      </c>
      <c r="U146" s="9" t="n"/>
    </row>
    <row r="147" ht="12" customFormat="1" customHeight="1" s="37">
      <c r="A147" s="78" t="inlineStr">
        <is>
          <t>덕풍동 한솔리치빌5단지</t>
        </is>
      </c>
      <c r="B147" s="79" t="inlineStr">
        <is>
          <t>06.02.</t>
        </is>
      </c>
      <c r="C147" s="129" t="n">
        <v>268</v>
      </c>
      <c r="D147" s="130" t="n">
        <v>110.1</v>
      </c>
      <c r="E147" s="131" t="n">
        <v>33</v>
      </c>
      <c r="F147" s="130" t="n">
        <v>85</v>
      </c>
      <c r="G147" s="17" t="n">
        <v>26</v>
      </c>
      <c r="H147" s="132" t="n">
        <v>210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110A</t>
        </is>
      </c>
      <c r="U147" s="9" t="n"/>
    </row>
    <row r="148" ht="12" customFormat="1" customHeight="1" s="37">
      <c r="A148" s="78" t="inlineStr">
        <is>
          <t>덕풍동 더샵하남에디피스</t>
        </is>
      </c>
      <c r="B148" s="79" t="inlineStr">
        <is>
          <t>24.03.</t>
        </is>
      </c>
      <c r="C148" s="129" t="n">
        <v>980</v>
      </c>
      <c r="D148" s="130" t="n">
        <v>79.40000000000001</v>
      </c>
      <c r="E148" s="131" t="n">
        <v>24</v>
      </c>
      <c r="F148" s="130" t="n">
        <v>60</v>
      </c>
      <c r="G148" s="17" t="n">
        <v>18</v>
      </c>
      <c r="H148" s="132" t="n">
        <v>408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79A</t>
        </is>
      </c>
      <c r="U148" s="9" t="n"/>
    </row>
    <row r="149" ht="12" customFormat="1" customHeight="1" s="37">
      <c r="A149" s="78" t="inlineStr">
        <is>
          <t>덕풍동 더샵하남에디피스</t>
        </is>
      </c>
      <c r="B149" s="79" t="inlineStr">
        <is>
          <t>24.03.</t>
        </is>
      </c>
      <c r="C149" s="129" t="n">
        <v>980</v>
      </c>
      <c r="D149" s="130" t="n">
        <v>99.09999999999999</v>
      </c>
      <c r="E149" s="131" t="n">
        <v>30</v>
      </c>
      <c r="F149" s="130" t="n">
        <v>74.59999999999999</v>
      </c>
      <c r="G149" s="17" t="n">
        <v>23</v>
      </c>
      <c r="H149" s="132" t="n">
        <v>139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99</v>
      </c>
      <c r="U149" s="9" t="n"/>
    </row>
    <row r="150" ht="12" customFormat="1" customHeight="1" s="37">
      <c r="A150" s="78" t="inlineStr">
        <is>
          <t>덕풍동 더샵하남에디피스</t>
        </is>
      </c>
      <c r="B150" s="79" t="inlineStr">
        <is>
          <t>24.03.</t>
        </is>
      </c>
      <c r="C150" s="129" t="n">
        <v>980</v>
      </c>
      <c r="D150" s="130" t="n">
        <v>109.7</v>
      </c>
      <c r="E150" s="131" t="n">
        <v>33</v>
      </c>
      <c r="F150" s="130" t="n">
        <v>84.90000000000001</v>
      </c>
      <c r="G150" s="17" t="n">
        <v>26</v>
      </c>
      <c r="H150" s="132" t="n">
        <v>241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망월동 미사강변도시8단지스타힐스</t>
        </is>
      </c>
      <c r="B151" s="79" t="inlineStr">
        <is>
          <t>16.11.</t>
        </is>
      </c>
      <c r="C151" s="129" t="n">
        <v>1389</v>
      </c>
      <c r="D151" s="130" t="n">
        <v>71.40000000000001</v>
      </c>
      <c r="E151" s="131" t="n">
        <v>22</v>
      </c>
      <c r="F151" s="130" t="n">
        <v>51.7</v>
      </c>
      <c r="G151" s="17" t="n">
        <v>16</v>
      </c>
      <c r="H151" s="132" t="n">
        <v>273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계</t>
        </is>
      </c>
      <c r="T151" s="5" t="inlineStr">
        <is>
          <t>71A</t>
        </is>
      </c>
      <c r="U151" s="9" t="n"/>
    </row>
    <row r="152" ht="12" customFormat="1" customHeight="1" s="37">
      <c r="A152" s="78" t="inlineStr">
        <is>
          <t>망월동 미사역파라곤</t>
        </is>
      </c>
      <c r="B152" s="79" t="inlineStr">
        <is>
          <t>21.07.</t>
        </is>
      </c>
      <c r="C152" s="129" t="n">
        <v>925</v>
      </c>
      <c r="D152" s="130" t="n">
        <v>129.2</v>
      </c>
      <c r="E152" s="131" t="n">
        <v>39</v>
      </c>
      <c r="F152" s="130" t="n">
        <v>102.9</v>
      </c>
      <c r="G152" s="17" t="n">
        <v>31</v>
      </c>
      <c r="H152" s="132" t="n">
        <v>462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129</v>
      </c>
      <c r="U152" s="9" t="n"/>
    </row>
    <row r="153" ht="12" customFormat="1" customHeight="1" s="37">
      <c r="A153" s="78" t="inlineStr">
        <is>
          <t>망월동 미사역파라곤</t>
        </is>
      </c>
      <c r="B153" s="79" t="inlineStr">
        <is>
          <t>21.07.</t>
        </is>
      </c>
      <c r="C153" s="129" t="n">
        <v>925</v>
      </c>
      <c r="D153" s="130" t="n">
        <v>147.1</v>
      </c>
      <c r="E153" s="131" t="n">
        <v>44</v>
      </c>
      <c r="F153" s="130" t="n">
        <v>117</v>
      </c>
      <c r="G153" s="17" t="n">
        <v>35</v>
      </c>
      <c r="H153" s="132" t="n">
        <v>232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4</v>
      </c>
      <c r="R153" s="120" t="n">
        <v>2</v>
      </c>
      <c r="S153" s="120" t="inlineStr">
        <is>
          <t>계</t>
        </is>
      </c>
      <c r="T153" s="5" t="n">
        <v>147</v>
      </c>
      <c r="U153" s="9" t="n"/>
    </row>
    <row r="154" ht="12" customFormat="1" customHeight="1" s="37">
      <c r="A154" s="78" t="inlineStr">
        <is>
          <t>선동 리버나인</t>
        </is>
      </c>
      <c r="B154" s="79" t="inlineStr">
        <is>
          <t>14.07.</t>
        </is>
      </c>
      <c r="C154" s="129" t="n">
        <v>712</v>
      </c>
      <c r="D154" s="130" t="n">
        <v>99.90000000000001</v>
      </c>
      <c r="E154" s="131" t="n">
        <v>30</v>
      </c>
      <c r="F154" s="130" t="n">
        <v>75</v>
      </c>
      <c r="G154" s="17" t="n">
        <v>23</v>
      </c>
      <c r="H154" s="132" t="n">
        <v>132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99B</t>
        </is>
      </c>
      <c r="U154" s="9" t="n"/>
    </row>
    <row r="155" ht="12" customFormat="1" customHeight="1" s="37">
      <c r="A155" s="78" t="inlineStr">
        <is>
          <t>선동 미사강변도시베라체</t>
        </is>
      </c>
      <c r="B155" s="79" t="inlineStr">
        <is>
          <t>15.05.</t>
        </is>
      </c>
      <c r="C155" s="129" t="n">
        <v>615</v>
      </c>
      <c r="D155" s="130" t="n">
        <v>97</v>
      </c>
      <c r="E155" s="131" t="n">
        <v>29</v>
      </c>
      <c r="F155" s="130" t="n">
        <v>74.90000000000001</v>
      </c>
      <c r="G155" s="17" t="n">
        <v>23</v>
      </c>
      <c r="H155" s="132" t="n">
        <v>162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97A</t>
        </is>
      </c>
      <c r="U155" s="9" t="n"/>
    </row>
    <row r="156" ht="12" customFormat="1" customHeight="1" s="37">
      <c r="A156" s="78" t="inlineStr">
        <is>
          <t>신장동 대명강변타운</t>
        </is>
      </c>
      <c r="B156" s="79" t="inlineStr">
        <is>
          <t>07.08.</t>
        </is>
      </c>
      <c r="C156" s="129" t="n">
        <v>1369</v>
      </c>
      <c r="D156" s="130" t="n">
        <v>93.40000000000001</v>
      </c>
      <c r="E156" s="131" t="n">
        <v>28</v>
      </c>
      <c r="F156" s="130" t="n">
        <v>68.09999999999999</v>
      </c>
      <c r="G156" s="17" t="n">
        <v>21</v>
      </c>
      <c r="H156" s="132" t="n">
        <v>142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93</v>
      </c>
      <c r="U156" s="9" t="n"/>
    </row>
    <row r="157" ht="12" customFormat="1" customHeight="1" s="37">
      <c r="A157" s="78" t="inlineStr">
        <is>
          <t>신장동 벽산블루밍더클래식</t>
        </is>
      </c>
      <c r="B157" s="79" t="inlineStr">
        <is>
          <t>10.08.</t>
        </is>
      </c>
      <c r="C157" s="129" t="n">
        <v>220</v>
      </c>
      <c r="D157" s="130" t="n">
        <v>115.1</v>
      </c>
      <c r="E157" s="131" t="n">
        <v>35</v>
      </c>
      <c r="F157" s="130" t="n">
        <v>84.2</v>
      </c>
      <c r="G157" s="17" t="n">
        <v>25</v>
      </c>
      <c r="H157" s="132" t="n">
        <v>75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2</v>
      </c>
      <c r="S157" s="120" t="inlineStr">
        <is>
          <t>계</t>
        </is>
      </c>
      <c r="T157" s="5" t="inlineStr">
        <is>
          <t>115B</t>
        </is>
      </c>
      <c r="U157" s="9" t="n"/>
    </row>
    <row r="158" ht="12" customFormat="1" customHeight="1" s="37">
      <c r="A158" s="78" t="inlineStr">
        <is>
          <t>신장동 성원상떼빌</t>
        </is>
      </c>
      <c r="B158" s="79" t="inlineStr">
        <is>
          <t>03.11.</t>
        </is>
      </c>
      <c r="C158" s="129" t="n">
        <v>234</v>
      </c>
      <c r="D158" s="130" t="n">
        <v>39.8</v>
      </c>
      <c r="E158" s="131" t="n">
        <v>12</v>
      </c>
      <c r="F158" s="130" t="n">
        <v>25.7</v>
      </c>
      <c r="G158" s="17" t="n">
        <v>8</v>
      </c>
      <c r="H158" s="132" t="n">
        <v>36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1</v>
      </c>
      <c r="R158" s="120" t="n">
        <v>1</v>
      </c>
      <c r="S158" s="120" t="inlineStr">
        <is>
          <t>계</t>
        </is>
      </c>
      <c r="T158" s="5" t="inlineStr">
        <is>
          <t>39A</t>
        </is>
      </c>
      <c r="U158" s="9" t="n"/>
    </row>
    <row r="159" ht="12" customFormat="1" customHeight="1" s="37">
      <c r="A159" s="78" t="inlineStr">
        <is>
          <t>신장동 성원상떼빌</t>
        </is>
      </c>
      <c r="B159" s="79" t="inlineStr">
        <is>
          <t>03.11.</t>
        </is>
      </c>
      <c r="C159" s="129" t="n">
        <v>234</v>
      </c>
      <c r="D159" s="130" t="n">
        <v>54.2</v>
      </c>
      <c r="E159" s="131" t="n">
        <v>16</v>
      </c>
      <c r="F159" s="130" t="n">
        <v>35.1</v>
      </c>
      <c r="G159" s="17" t="n">
        <v>11</v>
      </c>
      <c r="H159" s="132" t="n">
        <v>47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54A4</t>
        </is>
      </c>
      <c r="U159" s="9" t="n"/>
    </row>
    <row r="160" ht="12" customFormat="1" customHeight="1" s="37">
      <c r="A160" s="78" t="inlineStr">
        <is>
          <t>신장동 성원상떼빌</t>
        </is>
      </c>
      <c r="B160" s="79" t="inlineStr">
        <is>
          <t>03.11.</t>
        </is>
      </c>
      <c r="C160" s="129" t="n">
        <v>234</v>
      </c>
      <c r="D160" s="130" t="n">
        <v>91.59999999999999</v>
      </c>
      <c r="E160" s="131" t="n">
        <v>28</v>
      </c>
      <c r="F160" s="130" t="n">
        <v>59.3</v>
      </c>
      <c r="G160" s="17" t="n">
        <v>18</v>
      </c>
      <c r="H160" s="132" t="n">
        <v>43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91</v>
      </c>
      <c r="U160" s="9" t="n"/>
    </row>
    <row r="161" ht="12" customFormat="1" customHeight="1" s="37">
      <c r="A161" s="78" t="inlineStr">
        <is>
          <t>신장동 성원상떼빌</t>
        </is>
      </c>
      <c r="B161" s="79" t="inlineStr">
        <is>
          <t>03.11.</t>
        </is>
      </c>
      <c r="C161" s="129" t="n">
        <v>234</v>
      </c>
      <c r="D161" s="130" t="n">
        <v>115</v>
      </c>
      <c r="E161" s="131" t="n">
        <v>35</v>
      </c>
      <c r="F161" s="130" t="n">
        <v>74.40000000000001</v>
      </c>
      <c r="G161" s="17" t="n">
        <v>23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114</v>
      </c>
      <c r="U161" s="9" t="n"/>
    </row>
    <row r="162" ht="12" customFormat="1" customHeight="1" s="37">
      <c r="A162" s="78" t="inlineStr">
        <is>
          <t>신장동 하남신장현대홈타운</t>
        </is>
      </c>
      <c r="B162" s="79" t="inlineStr">
        <is>
          <t>04.04.</t>
        </is>
      </c>
      <c r="C162" s="129" t="n">
        <v>212</v>
      </c>
      <c r="D162" s="130" t="n">
        <v>75.59999999999999</v>
      </c>
      <c r="E162" s="131" t="n">
        <v>23</v>
      </c>
      <c r="F162" s="130" t="n">
        <v>56.4</v>
      </c>
      <c r="G162" s="17" t="n">
        <v>17</v>
      </c>
      <c r="H162" s="132" t="n">
        <v>42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75</v>
      </c>
      <c r="U162" s="9" t="n"/>
    </row>
    <row r="163" ht="12" customFormat="1" customHeight="1" s="37">
      <c r="A163" s="78" t="inlineStr">
        <is>
          <t>신장동 하남신장현대홈타운</t>
        </is>
      </c>
      <c r="B163" s="79" t="inlineStr">
        <is>
          <t>04.04.</t>
        </is>
      </c>
      <c r="C163" s="129" t="n">
        <v>212</v>
      </c>
      <c r="D163" s="130" t="n">
        <v>101.2</v>
      </c>
      <c r="E163" s="131" t="n">
        <v>31</v>
      </c>
      <c r="F163" s="130" t="n">
        <v>80.59999999999999</v>
      </c>
      <c r="G163" s="17" t="n">
        <v>24</v>
      </c>
      <c r="H163" s="132" t="n">
        <v>170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n">
        <v>101</v>
      </c>
      <c r="U163" s="9" t="n"/>
    </row>
    <row r="164" ht="12" customFormat="1" customHeight="1" s="37">
      <c r="A164" s="78" t="inlineStr">
        <is>
          <t>신장동 한국</t>
        </is>
      </c>
      <c r="B164" s="79" t="inlineStr">
        <is>
          <t>96.08.</t>
        </is>
      </c>
      <c r="C164" s="129" t="n">
        <v>848</v>
      </c>
      <c r="D164" s="130" t="n">
        <v>60.9</v>
      </c>
      <c r="E164" s="131" t="n">
        <v>18</v>
      </c>
      <c r="F164" s="130" t="n">
        <v>44.6</v>
      </c>
      <c r="G164" s="17" t="n">
        <v>13</v>
      </c>
      <c r="H164" s="132" t="n">
        <v>128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60</v>
      </c>
      <c r="U164" s="9" t="n"/>
    </row>
    <row r="165" ht="12" customFormat="1" customHeight="1" s="37">
      <c r="A165" s="78" t="inlineStr">
        <is>
          <t>신장동 더우개마을동일</t>
        </is>
      </c>
      <c r="B165" s="79" t="inlineStr">
        <is>
          <t>99.09.</t>
        </is>
      </c>
      <c r="C165" s="129" t="n">
        <v>438</v>
      </c>
      <c r="D165" s="130" t="n">
        <v>219.7</v>
      </c>
      <c r="E165" s="131" t="n">
        <v>66</v>
      </c>
      <c r="F165" s="130" t="n">
        <v>181.6</v>
      </c>
      <c r="G165" s="17" t="n">
        <v>55</v>
      </c>
      <c r="H165" s="132" t="n">
        <v>40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4</v>
      </c>
      <c r="R165" s="120" t="n">
        <v>2</v>
      </c>
      <c r="S165" s="120" t="inlineStr">
        <is>
          <t>계</t>
        </is>
      </c>
      <c r="T165" s="5" t="n">
        <v>219</v>
      </c>
      <c r="U165" s="9" t="n"/>
    </row>
    <row r="166" ht="12" customFormat="1" customHeight="1" s="37">
      <c r="A166" s="78" t="inlineStr">
        <is>
          <t>풍산동 e편한세상미사</t>
        </is>
      </c>
      <c r="B166" s="79" t="inlineStr">
        <is>
          <t>18.06.</t>
        </is>
      </c>
      <c r="C166" s="129" t="n">
        <v>652</v>
      </c>
      <c r="D166" s="130" t="n">
        <v>94.09999999999999</v>
      </c>
      <c r="E166" s="131" t="n">
        <v>28</v>
      </c>
      <c r="F166" s="130" t="n">
        <v>69.90000000000001</v>
      </c>
      <c r="G166" s="17" t="n">
        <v>21</v>
      </c>
      <c r="H166" s="132" t="n">
        <v>145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94</v>
      </c>
      <c r="U166" s="9" t="n"/>
    </row>
    <row r="167" ht="12" customFormat="1" customHeight="1" s="37">
      <c r="A167" s="78" t="inlineStr">
        <is>
          <t>풍산동 하남힐즈파크푸르지오1단지</t>
        </is>
      </c>
      <c r="B167" s="79" t="inlineStr">
        <is>
          <t>20.04.</t>
        </is>
      </c>
      <c r="C167" s="129" t="n">
        <v>404</v>
      </c>
      <c r="D167" s="130" t="n">
        <v>75.59999999999999</v>
      </c>
      <c r="E167" s="131" t="n">
        <v>23</v>
      </c>
      <c r="F167" s="130" t="n">
        <v>52.3</v>
      </c>
      <c r="G167" s="17" t="n">
        <v>16</v>
      </c>
      <c r="H167" s="132" t="n">
        <v>110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계</t>
        </is>
      </c>
      <c r="T167" s="5" t="n">
        <v>75</v>
      </c>
      <c r="U167" s="9" t="n"/>
    </row>
    <row r="168" ht="12" customFormat="1" customHeight="1" s="37">
      <c r="A168" s="78" t="inlineStr">
        <is>
          <t>학암동 위례포레자이</t>
        </is>
      </c>
      <c r="B168" s="79" t="inlineStr">
        <is>
          <t>21.04.</t>
        </is>
      </c>
      <c r="C168" s="129" t="n">
        <v>558</v>
      </c>
      <c r="D168" s="130" t="n">
        <v>119.7</v>
      </c>
      <c r="E168" s="131" t="n">
        <v>36</v>
      </c>
      <c r="F168" s="130" t="n">
        <v>96</v>
      </c>
      <c r="G168" s="17" t="n">
        <v>29</v>
      </c>
      <c r="H168" s="132" t="n">
        <v>78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119A</t>
        </is>
      </c>
      <c r="U168" s="9" t="n"/>
    </row>
    <row r="169" ht="12" customFormat="1" customHeight="1" s="37">
      <c r="A169" s="78" t="inlineStr">
        <is>
          <t>학암동 위례포레자이</t>
        </is>
      </c>
      <c r="B169" s="79" t="inlineStr">
        <is>
          <t>21.04.</t>
        </is>
      </c>
      <c r="C169" s="129" t="n">
        <v>558</v>
      </c>
      <c r="D169" s="130" t="n">
        <v>126.9</v>
      </c>
      <c r="E169" s="131" t="n">
        <v>38</v>
      </c>
      <c r="F169" s="130" t="n">
        <v>101.8</v>
      </c>
      <c r="G169" s="17" t="n">
        <v>31</v>
      </c>
      <c r="H169" s="132" t="n">
        <v>239</v>
      </c>
      <c r="I169" s="133" t="n"/>
      <c r="J169" s="133" t="n"/>
      <c r="K169" s="133" t="n">
        <v>95000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126A</t>
        </is>
      </c>
      <c r="U169" s="9" t="n"/>
    </row>
    <row r="170" ht="12" customFormat="1" customHeight="1" s="37">
      <c r="A170" s="78" t="inlineStr">
        <is>
          <t>학암동 위례포레자이</t>
        </is>
      </c>
      <c r="B170" s="79" t="inlineStr">
        <is>
          <t>21.04.</t>
        </is>
      </c>
      <c r="C170" s="129" t="n">
        <v>558</v>
      </c>
      <c r="D170" s="130" t="n">
        <v>163.2</v>
      </c>
      <c r="E170" s="131" t="n">
        <v>49</v>
      </c>
      <c r="F170" s="130" t="n">
        <v>131.9</v>
      </c>
      <c r="G170" s="17" t="n">
        <v>40</v>
      </c>
      <c r="H170" s="132" t="n">
        <v>32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163</v>
      </c>
      <c r="U170" s="9" t="n"/>
    </row>
    <row r="171" ht="12" customFormat="1" customHeight="1" s="37">
      <c r="A171" s="78" t="inlineStr">
        <is>
          <t>학암동 위례A3-3a블럭</t>
        </is>
      </c>
      <c r="B171" s="79" t="inlineStr">
        <is>
          <t>23.06.</t>
        </is>
      </c>
      <c r="C171" s="129" t="n">
        <v>411</v>
      </c>
      <c r="D171" s="130" t="n">
        <v>71.8</v>
      </c>
      <c r="E171" s="131" t="n">
        <v>22</v>
      </c>
      <c r="F171" s="130" t="n">
        <v>52</v>
      </c>
      <c r="G171" s="17" t="n">
        <v>16</v>
      </c>
      <c r="H171" s="132" t="n">
        <v>107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2</v>
      </c>
      <c r="R171" s="120" t="n">
        <v>2</v>
      </c>
      <c r="S171" s="120" t="inlineStr">
        <is>
          <t>계</t>
        </is>
      </c>
      <c r="T171" s="5" t="n">
        <v>71</v>
      </c>
      <c r="U171" s="9" t="n"/>
    </row>
    <row r="172" ht="12" customFormat="1" customHeight="1" s="37">
      <c r="A172" s="78" t="inlineStr">
        <is>
          <t>학암동 위례A3-3a블럭</t>
        </is>
      </c>
      <c r="B172" s="79" t="inlineStr">
        <is>
          <t>23.06.</t>
        </is>
      </c>
      <c r="C172" s="129" t="n">
        <v>411</v>
      </c>
      <c r="D172" s="130" t="n">
        <v>82.5</v>
      </c>
      <c r="E172" s="131" t="n">
        <v>25</v>
      </c>
      <c r="F172" s="130" t="n">
        <v>59.8</v>
      </c>
      <c r="G172" s="17" t="n">
        <v>18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82A</t>
        </is>
      </c>
      <c r="U172" s="9" t="n"/>
    </row>
    <row r="173" ht="12" customFormat="1" customHeight="1" s="37">
      <c r="A173" s="78" t="inlineStr">
        <is>
          <t>학암동 위례신도시중흥S-클래스</t>
        </is>
      </c>
      <c r="B173" s="79" t="inlineStr">
        <is>
          <t>22.10.</t>
        </is>
      </c>
      <c r="C173" s="129" t="n">
        <v>475</v>
      </c>
      <c r="D173" s="130" t="n">
        <v>126.4</v>
      </c>
      <c r="E173" s="131" t="n">
        <v>38</v>
      </c>
      <c r="F173" s="130" t="n">
        <v>101.9</v>
      </c>
      <c r="G173" s="17" t="n">
        <v>31</v>
      </c>
      <c r="H173" s="132" t="n">
        <v>248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inlineStr">
        <is>
          <t>126A</t>
        </is>
      </c>
      <c r="U173" s="9" t="n"/>
    </row>
    <row r="174" ht="12" customFormat="1" customHeight="1" s="37">
      <c r="A174" s="78" t="inlineStr">
        <is>
          <t>학암동 위례신도시중흥S-클래스</t>
        </is>
      </c>
      <c r="B174" s="79" t="inlineStr">
        <is>
          <t>22.10.</t>
        </is>
      </c>
      <c r="C174" s="129" t="n">
        <v>475</v>
      </c>
      <c r="D174" s="130" t="n">
        <v>161.5</v>
      </c>
      <c r="E174" s="131" t="n">
        <v>49</v>
      </c>
      <c r="F174" s="130" t="n">
        <v>130.5</v>
      </c>
      <c r="G174" s="17" t="n">
        <v>39</v>
      </c>
      <c r="H174" s="132" t="n">
        <v>76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n">
        <v>161</v>
      </c>
      <c r="U174" s="9" t="n"/>
    </row>
    <row r="175" ht="12" customFormat="1" customHeight="1" s="37">
      <c r="A175" s="78" t="inlineStr">
        <is>
          <t>학암동 LH위례포엘리움</t>
        </is>
      </c>
      <c r="B175" s="79" t="inlineStr">
        <is>
          <t>21.09.</t>
        </is>
      </c>
      <c r="C175" s="129" t="n">
        <v>508</v>
      </c>
      <c r="D175" s="130" t="n">
        <v>68.59999999999999</v>
      </c>
      <c r="E175" s="131" t="n">
        <v>21</v>
      </c>
      <c r="F175" s="130" t="n">
        <v>46.9</v>
      </c>
      <c r="G175" s="17" t="n">
        <v>14</v>
      </c>
      <c r="H175" s="132" t="n">
        <v>115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계</t>
        </is>
      </c>
      <c r="T175" s="5" t="inlineStr">
        <is>
          <t>68A</t>
        </is>
      </c>
      <c r="U175" s="9" t="n"/>
    </row>
    <row r="176" ht="12" customFormat="1" customHeight="1" s="37">
      <c r="A176" s="78" t="inlineStr">
        <is>
          <t>학암동 LH위례포엘리움</t>
        </is>
      </c>
      <c r="B176" s="79" t="inlineStr">
        <is>
          <t>21.09.</t>
        </is>
      </c>
      <c r="C176" s="129" t="n">
        <v>508</v>
      </c>
      <c r="D176" s="130" t="n">
        <v>81.8</v>
      </c>
      <c r="E176" s="131" t="n">
        <v>25</v>
      </c>
      <c r="F176" s="130" t="n">
        <v>56</v>
      </c>
      <c r="G176" s="17" t="n">
        <v>17</v>
      </c>
      <c r="H176" s="132" t="n">
        <v>70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2</v>
      </c>
      <c r="S176" s="120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7">
      <c r="A177" s="78" t="inlineStr">
        <is>
          <t>학암동 힐스테이트센트럴위례</t>
        </is>
      </c>
      <c r="B177" s="79" t="inlineStr">
        <is>
          <t>21.05.</t>
        </is>
      </c>
      <c r="C177" s="129" t="n">
        <v>1078</v>
      </c>
      <c r="D177" s="130" t="n">
        <v>116.2</v>
      </c>
      <c r="E177" s="131" t="n">
        <v>35</v>
      </c>
      <c r="F177" s="130" t="n">
        <v>92.40000000000001</v>
      </c>
      <c r="G177" s="17" t="n">
        <v>28</v>
      </c>
      <c r="H177" s="132" t="n">
        <v>167</v>
      </c>
      <c r="I177" s="133" t="n"/>
      <c r="J177" s="133" t="n"/>
      <c r="K177" s="133" t="n">
        <v>80000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116</v>
      </c>
      <c r="U177" s="9" t="n"/>
    </row>
    <row r="178" ht="12" customFormat="1" customHeight="1" s="37">
      <c r="A178" s="78" t="inlineStr">
        <is>
          <t>학암동 힐스테이트센트럴위례</t>
        </is>
      </c>
      <c r="B178" s="79" t="inlineStr">
        <is>
          <t>21.05.</t>
        </is>
      </c>
      <c r="C178" s="129" t="n">
        <v>1078</v>
      </c>
      <c r="D178" s="130" t="n">
        <v>130.1</v>
      </c>
      <c r="E178" s="131" t="n">
        <v>39</v>
      </c>
      <c r="F178" s="130" t="n">
        <v>102.6</v>
      </c>
      <c r="G178" s="17" t="n">
        <v>31</v>
      </c>
      <c r="H178" s="132" t="n">
        <v>719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n">
        <v>130</v>
      </c>
      <c r="U178" s="9" t="n"/>
    </row>
    <row r="179" ht="12" customFormat="1" customHeight="1" s="37">
      <c r="A179" s="78" t="inlineStr">
        <is>
          <t>학암동 위례신도시우미린2차</t>
        </is>
      </c>
      <c r="B179" s="79" t="inlineStr">
        <is>
          <t>22.12.</t>
        </is>
      </c>
      <c r="C179" s="129" t="n">
        <v>420</v>
      </c>
      <c r="D179" s="130" t="n">
        <v>113.9</v>
      </c>
      <c r="E179" s="131" t="n">
        <v>34</v>
      </c>
      <c r="F179" s="130" t="n">
        <v>90.40000000000001</v>
      </c>
      <c r="G179" s="17" t="n">
        <v>27</v>
      </c>
      <c r="H179" s="132" t="n">
        <v>47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8" t="inlineStr">
        <is>
          <t>학암동 위례신도시우미린2차</t>
        </is>
      </c>
      <c r="B180" s="79" t="inlineStr">
        <is>
          <t>22.12.</t>
        </is>
      </c>
      <c r="C180" s="129" t="n">
        <v>420</v>
      </c>
      <c r="D180" s="130" t="n">
        <v>128.2</v>
      </c>
      <c r="E180" s="131" t="n">
        <v>39</v>
      </c>
      <c r="F180" s="130" t="n">
        <v>102.2</v>
      </c>
      <c r="G180" s="17" t="n">
        <v>31</v>
      </c>
      <c r="H180" s="132" t="n">
        <v>163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inlineStr">
        <is>
          <t>128A</t>
        </is>
      </c>
      <c r="U180" s="9" t="n"/>
    </row>
    <row r="181" ht="12" customFormat="1" customHeight="1" s="37">
      <c r="A181" s="78" t="inlineStr">
        <is>
          <t>학암동 위례신도시우미린2차</t>
        </is>
      </c>
      <c r="B181" s="79" t="inlineStr">
        <is>
          <t>22.12.</t>
        </is>
      </c>
      <c r="C181" s="129" t="n">
        <v>420</v>
      </c>
      <c r="D181" s="130" t="n">
        <v>149.3</v>
      </c>
      <c r="E181" s="131" t="n">
        <v>45</v>
      </c>
      <c r="F181" s="130" t="n">
        <v>119.3</v>
      </c>
      <c r="G181" s="17" t="n">
        <v>36</v>
      </c>
      <c r="H181" s="132" t="n">
        <v>144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inlineStr">
        <is>
          <t>149A</t>
        </is>
      </c>
      <c r="U181" s="9" t="n"/>
    </row>
    <row r="182" ht="12" customFormat="1" customHeight="1" s="37">
      <c r="A182" s="78" t="inlineStr">
        <is>
          <t>학암동 위례신도시우미린1차</t>
        </is>
      </c>
      <c r="B182" s="79" t="inlineStr">
        <is>
          <t>22.01.</t>
        </is>
      </c>
      <c r="C182" s="129" t="n">
        <v>875</v>
      </c>
      <c r="D182" s="130" t="n">
        <v>130.2</v>
      </c>
      <c r="E182" s="131" t="n">
        <v>39</v>
      </c>
      <c r="F182" s="130" t="n">
        <v>102.2</v>
      </c>
      <c r="G182" s="17" t="n">
        <v>31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4</v>
      </c>
      <c r="R182" s="120" t="n">
        <v>2</v>
      </c>
      <c r="S182" s="120" t="inlineStr">
        <is>
          <t>계</t>
        </is>
      </c>
      <c r="T182" s="5" t="inlineStr">
        <is>
          <t>130A</t>
        </is>
      </c>
      <c r="U182" s="9" t="n"/>
    </row>
    <row r="183" ht="12" customFormat="1" customHeight="1" s="37">
      <c r="A183" s="78" t="inlineStr">
        <is>
          <t>학암동 위례신도시우미린1차</t>
        </is>
      </c>
      <c r="B183" s="79" t="inlineStr">
        <is>
          <t>22.01.</t>
        </is>
      </c>
      <c r="C183" s="129" t="n">
        <v>875</v>
      </c>
      <c r="D183" s="130" t="n">
        <v>144</v>
      </c>
      <c r="E183" s="131" t="n">
        <v>44</v>
      </c>
      <c r="F183" s="130" t="n">
        <v>113.1</v>
      </c>
      <c r="G183" s="17" t="n">
        <v>34</v>
      </c>
      <c r="H183" s="132" t="n">
        <v>163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inlineStr">
        <is>
          <t>144A</t>
        </is>
      </c>
      <c r="U183" s="9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06" operator="greaterThan" dxfId="17">
      <formula>0.9</formula>
    </cfRule>
    <cfRule type="cellIs" priority="41607" operator="greaterThan" dxfId="16">
      <formula>0.85</formula>
    </cfRule>
  </conditionalFormatting>
  <conditionalFormatting sqref="N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5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5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5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5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5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5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5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5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5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5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6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6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7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7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7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7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8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8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8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8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8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8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8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8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9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9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9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9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9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9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0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0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0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1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1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1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1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1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1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1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1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1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2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2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2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2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2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3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3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3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3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3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4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4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4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4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4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5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5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5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6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6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6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6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6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6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7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7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7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7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7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7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8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8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8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83">
    <cfRule type="expression" priority="85732" dxfId="3">
      <formula>AND(IF(OR($Q4=1,$Q4=2),1,0),IF(#REF!&lt;=20,1,0))</formula>
    </cfRule>
    <cfRule type="expression" priority="85733" dxfId="2">
      <formula>AND(IF($Q4=2,1,0),IF(#REF!&lt;30,1,0))</formula>
    </cfRule>
    <cfRule type="expression" priority="85734" dxfId="1">
      <formula>AND(IF($Q4=3,1,0),IF(#REF!&lt;30,1,0))</formula>
    </cfRule>
    <cfRule type="expression" priority="857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875" bestFit="1" customWidth="1" style="119" min="1" max="1"/>
    <col width="3.375" customWidth="1" style="119" min="2" max="2"/>
    <col width="4.87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풍산동</t>
        </is>
      </c>
      <c r="E4" s="119" t="inlineStr">
        <is>
          <t>덕풍동</t>
        </is>
      </c>
      <c r="F4" s="119" t="inlineStr">
        <is>
          <t>선동</t>
        </is>
      </c>
      <c r="G4" s="119" t="inlineStr">
        <is>
          <t>신장동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강일동</t>
        </is>
      </c>
      <c r="G5" s="50" t="inlineStr">
        <is>
          <t>창우동</t>
        </is>
      </c>
    </row>
    <row r="6">
      <c r="A6" s="118" t="inlineStr">
        <is>
          <t>동3</t>
        </is>
      </c>
      <c r="D6" s="50" t="inlineStr">
        <is>
          <t>망월동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14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13</v>
      </c>
      <c r="B9" s="59" t="inlineStr">
        <is>
          <t>~</t>
        </is>
      </c>
      <c r="C9" s="145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12</v>
      </c>
      <c r="B10" s="55" t="inlineStr">
        <is>
          <t>~</t>
        </is>
      </c>
      <c r="C10" s="147" t="n">
        <v>13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3">
      <c r="A11" s="146" t="n">
        <v>11</v>
      </c>
      <c r="B11" s="55" t="inlineStr">
        <is>
          <t>~</t>
        </is>
      </c>
      <c r="C11" s="147" t="n">
        <v>12</v>
      </c>
      <c r="D11" s="56" t="inlineStr">
        <is>
          <t>미사강변푸르지오(34평/11.8)_x000D_
미사강변푸르지오(30평/11.5)_x000D_
미사강변동일하이빌(31평/11.0)_x000D_
미사강변더샵센트럴포레(29평/11.0)_x000D_
미사강변더샵센트럴포레(33평/11.0)</t>
        </is>
      </c>
      <c r="E11" s="56" t="n"/>
      <c r="F11" s="56" t="n"/>
      <c r="G11" s="56" t="inlineStr">
        <is>
          <t>하남유니온시티에일린의뜰(34평/11.3)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23">
      <c r="A12" s="146" t="n">
        <v>10</v>
      </c>
      <c r="B12" s="55" t="inlineStr">
        <is>
          <t>~</t>
        </is>
      </c>
      <c r="C12" s="147" t="n">
        <v>11</v>
      </c>
      <c r="D12" s="56" t="inlineStr">
        <is>
          <t>미사강변하우스디더레이크(34평/10.7)_x000D_
미사강변센트럴풍경채(33평/10.7)_x000D_
신안인스빌(33평/10.7)_x000D_
미사강변골든센트로(35평/10.5)_x000D_
미사강변파밀리에(34평/10.5)_x000D_
미사강변도시8단지스타힐스(35평/10.4)_x000D_
미사강변파밀리에(30평/10.1)_x000D_
미사강변도시12단지(34평/10.1)_x000D_
미사강변사랑으로부영(34평/10.0)_x000D_
미사강변루나리움(34평/10.0)_x000D_
미사강변도시8단지스타힐스(31평/10.0)_x000D_
미사강변동원로얄듀크(34평/10.0)_x000D_
e편한세상미사(34평/10.0)</t>
        </is>
      </c>
      <c r="E12" s="56" t="inlineStr">
        <is>
          <t>하남풍산아이파크1단지(34평/10.0)</t>
        </is>
      </c>
      <c r="F12" s="56" t="inlineStr">
        <is>
          <t>미사강변센트리버(35평/10.8)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08" customHeight="1" s="123">
      <c r="A13" s="148" t="n">
        <v>9</v>
      </c>
      <c r="B13" s="60" t="inlineStr">
        <is>
          <t>~</t>
        </is>
      </c>
      <c r="C13" s="149" t="n">
        <v>10</v>
      </c>
      <c r="D13" s="61" t="inlineStr">
        <is>
          <t>미사강변골든센트로(31평/9.7)_x000D_
미사강변센텀팰리스(34평/9.5)_x000D_
미사강변동일하이빌(35평/9.5)_x000D_
미사강변동원로얄듀크(30평/9.5)_x000D_
미사강변루나리움(30평/9.3)_x000D_
하남힐즈파크푸르지오2단지(34평/9.2)_x000D_
미사강변센텀팰리스(30평/9.0)_x000D_
미사강변하우스디더레이크(30평/9.0)_x000D_
미사강변도시12단지(30평/9.0)</t>
        </is>
      </c>
      <c r="E13" s="61" t="inlineStr">
        <is>
          <t>하남풍산아이파크5단지(34평/9.8)_x000D_
하남더샵센트럴뷰(34평/9.5)</t>
        </is>
      </c>
      <c r="F13" s="61" t="inlineStr">
        <is>
          <t>리버나인(34평/9.8)_x000D_
미사강변센트리버(31평/9.2)_x000D_
미사강변도시베라체(33평/9.0)</t>
        </is>
      </c>
      <c r="G13" s="61" t="inlineStr">
        <is>
          <t>하남유니온시티에일린의뜰(30평/9.2)_x000D_
에코타운2단지(34평/9.0)_x000D_
호반써밋에듀파크(25평/9.0)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23">
      <c r="A14" s="148" t="n">
        <v>8</v>
      </c>
      <c r="B14" s="60" t="inlineStr">
        <is>
          <t>~</t>
        </is>
      </c>
      <c r="C14" s="149" t="n">
        <v>9</v>
      </c>
      <c r="D14" s="61" t="inlineStr">
        <is>
          <t>미사강변도시8단지스타힐스(25평/8.9)_x000D_
미사강변한신휴플러스(34평/8.8)_x000D_
미사강변동일하이빌(25평/8.7)_x000D_
미사강변한신휴플러스(30평/8.6)_x000D_
미사강변골든센트로(25평/8.5)_x000D_
미사강변파밀리에(24평/8.5)_x000D_
미사강변사랑으로부영(26평/8.2)_x000D_
하남힐즈파크푸르지오2단지(24평/8.2)_x000D_
미사강변루나리움(24평/8.0)_x000D_
하남힐즈파크푸르지오1단지(24평/8.0)</t>
        </is>
      </c>
      <c r="E14" s="61" t="n"/>
      <c r="F14" s="61" t="inlineStr">
        <is>
          <t>미사강변센트리버(25평/8.5)</t>
        </is>
      </c>
      <c r="G14" s="61" t="inlineStr">
        <is>
          <t>하남유시티대명루첸리버파크(30평/8.7)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7</v>
      </c>
      <c r="B15" s="60" t="inlineStr">
        <is>
          <t>~</t>
        </is>
      </c>
      <c r="C15" s="149" t="n">
        <v>8</v>
      </c>
      <c r="D15" s="61" t="n"/>
      <c r="E15" s="61" t="inlineStr">
        <is>
          <t>진모루마을현대(33평/7.8)_x000D_
하남한솔솔파크(33평/7.8)_x000D_
벽산블루밍(33평/7.5)_x000D_
벽산블루밍(24평/7.3)_x000D_
하남자이(33평/7.3)</t>
        </is>
      </c>
      <c r="F15" s="61" t="n"/>
      <c r="G15" s="61" t="inlineStr">
        <is>
          <t>대명강변타운(34평/7.9)_x000D_
더우개마을동일(32평/7.5)_x000D_
에코타운1단지(23평/7.2)_x000D_
꿈동산신안(33평/7.0)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6</v>
      </c>
      <c r="B16" s="62" t="inlineStr">
        <is>
          <t>~</t>
        </is>
      </c>
      <c r="C16" s="151" t="n">
        <v>7</v>
      </c>
      <c r="D16" s="63" t="n"/>
      <c r="E16" s="63" t="inlineStr">
        <is>
          <t>하남덕풍역파크어울림(26평/6.9)_x000D_
덕풍쌍용(32평/6.7)_x000D_
라인(32평/6.7)_x000D_
한솔리치빌2단지(35평/6.5)_x000D_
한솔리치빌1단지(35평/6.5)_x000D_
하남자이(25평/6.5)_x000D_
덕풍현대(33평/6.1)_x000D_
덕풍서해(32평/6.1)_x000D_
라인(25평/6.0)</t>
        </is>
      </c>
      <c r="F16" s="63" t="n"/>
      <c r="G16" s="63" t="inlineStr">
        <is>
          <t>더우개마을동일(24평/6.8)_x000D_
부영(25평/6.7)_x000D_
한국(24평/6.5)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44" customHeight="1" s="123">
      <c r="A17" s="150" t="n"/>
      <c r="B17" s="62" t="inlineStr">
        <is>
          <t>~</t>
        </is>
      </c>
      <c r="C17" s="151" t="n">
        <v>6</v>
      </c>
      <c r="D17" s="63" t="inlineStr">
        <is>
          <t>미사강변도시8단지스타힐스(22평/0.0)_x000D_
e편한세상미사(28평/0.0)_x000D_
하남힐즈파크푸르지오1단지(23평/0.0)</t>
        </is>
      </c>
      <c r="E17" s="63" t="inlineStr">
        <is>
          <t>덕풍쌍용(23평/5.8)_x000D_
덕풍서해(24평/5.2)_x000D_
덕풍현대(25평/5.1)_x000D_
한솔리치빌3단지(33평/0.0)_x000D_
동원베네스트(33평/0.0)_x000D_
KCC스위첸(33평/0.0)_x000D_
한솔리치빌5단지(25평/0.0)_x000D_
한솔리치빌5단지(33평/0.0)_x000D_
더샵하남에디피스(24평/0.0)_x000D_
더샵하남에디피스(30평/0.0)_x000D_
더샵하남에디피스(33평/0.0)</t>
        </is>
      </c>
      <c r="F17" s="63" t="inlineStr">
        <is>
          <t>리버나인(30평/0.0)_x000D_
미사강변도시베라체(29평/0.0)</t>
        </is>
      </c>
      <c r="G17" s="63" t="inlineStr">
        <is>
          <t>부영(20평/5.7)_x000D_
더우개마을동일(19평/5.5)_x000D_
백송한신(20평/5.4)_x000D_
백조현대(21평/5.1)_x000D_
대명강변타운(28평/0.0)_x000D_
벽산블루밍더클래식(35평/0.0)_x000D_
성원상떼빌(16평/0.0)_x000D_
성원상떼빌(28평/0.0)_x000D_
성원상떼빌(35평/0.0)_x000D_
하남신장현대홈타운(23평/0.0)_x000D_
하남신장현대홈타운(31평/0.0)_x000D_
한국(18평/0.0)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미사강변푸르지오('16/11.8)_x000D_
미사강변푸르지오('16/11.5)_x000D_
미사강변동일하이빌('18/11.0)_x000D_
미사강변더샵센트럴포레('17/11.0)</t>
        </is>
      </c>
      <c r="E24" s="56" t="n"/>
      <c r="F24" s="56" t="n"/>
      <c r="G24" s="56" t="inlineStr">
        <is>
          <t>하남유니온시티에일린의뜰('17/11.3)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5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미사강변하우스디더레이크('16/10.7)_x000D_
미사강변센트럴풍경채('19/10.7)_x000D_
신안인스빌('19/10.7)_x000D_
미사강변골든센트로('14/10.5)_x000D_
미사강변파밀리에('14/10.5)_x000D_
미사강변도시8단지스타힐스('16/10.4)_x000D_
미사강변파밀리에('14/10.1)_x000D_
미사강변도시12단지('15/10.1)_x000D_
미사강변사랑으로부영('17/10.0)_x000D_
미사강변루나리움('15/10.0)_x000D_
미사강변도시8단지스타힐스('16/10.0)_x000D_
미사강변동원로얄듀크('16/10.0)_x000D_
e편한세상미사('18/10.0)</t>
        </is>
      </c>
      <c r="E25" s="56" t="inlineStr">
        <is>
          <t>하남풍산아이파크1단지('08/10.0)</t>
        </is>
      </c>
      <c r="F25" s="56" t="inlineStr">
        <is>
          <t>미사강변센트리버('16/10.8)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미사강변골든센트로('14/9.7)_x000D_
미사강변센텀팰리스('16/9.5)_x000D_
미사강변동일하이빌('18/9.5)_x000D_
미사강변동원로얄듀크('16/9.5)_x000D_
미사강변루나리움('15/9.3)_x000D_
하남힐즈파크푸르지오2단지('18/9.2)_x000D_
미사강변센텀팰리스('16/9.0)_x000D_
미사강변하우스디더레이크('16/9.0)_x000D_
미사강변도시12단지('15/9.0)</t>
        </is>
      </c>
      <c r="E26" s="61" t="inlineStr">
        <is>
          <t>하남풍산아이파크5단지('08/9.8)_x000D_
하남더샵센트럴뷰('16/9.5)</t>
        </is>
      </c>
      <c r="F26" s="61" t="inlineStr">
        <is>
          <t>리버나인('14/9.8)_x000D_
미사강변센트리버('16/9.2)_x000D_
미사강변도시베라체('15/9.0)</t>
        </is>
      </c>
      <c r="G26" s="61" t="inlineStr">
        <is>
          <t>하남유니온시티에일린의뜰('17/9.2)_x000D_
에코타운2단지('04/9.0)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미사강변한신휴플러스('15/8.8)_x000D_
미사강변한신휴플러스('15/8.6)</t>
        </is>
      </c>
      <c r="E27" s="61" t="n"/>
      <c r="F27" s="61" t="n"/>
      <c r="G27" s="61" t="inlineStr">
        <is>
          <t>하남유시티대명루첸리버파크('18/8.7)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48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진모루마을현대('00/7.8)_x000D_
하남한솔솔파크('06/7.8)_x000D_
벽산블루밍('07/7.5)_x000D_
하남자이('06/7.3)</t>
        </is>
      </c>
      <c r="F28" s="61" t="n"/>
      <c r="G28" s="61" t="inlineStr">
        <is>
          <t>대명강변타운('07/7.9)_x000D_
더우개마을동일('99/7.5)_x000D_
꿈동산신안('94/7.0)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72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덕풍쌍용('98/6.7)_x000D_
라인('97/6.7)_x000D_
한솔리치빌2단지('02/6.5)_x000D_
한솔리치빌1단지('02/6.5)_x000D_
덕풍현대('97/6.1)_x000D_
덕풍서해('96/6.1)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72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inlineStr">
        <is>
          <t>한솔리치빌3단지('05/0.0)_x000D_
동원베네스트('08/0.0)_x000D_
KCC스위첸('06/0.0)_x000D_
한솔리치빌5단지('06/0.0)_x000D_
더샵하남에디피스('24/0.0)_x000D_
더샵하남에디피스('24/0.0)</t>
        </is>
      </c>
      <c r="F30" s="63" t="inlineStr">
        <is>
          <t>리버나인('14/0.0)</t>
        </is>
      </c>
      <c r="G30" s="63" t="inlineStr">
        <is>
          <t>벽산블루밍더클래식('10/0.0)_x000D_
성원상떼빌('03/0.0)_x000D_
하남신장현대홈타운('04/0.0)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inlineStr">
        <is>
          <t>미사강변더샵센트럴포레('17/11.0)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inlineStr">
        <is>
          <t>호반써밋에듀파크('21/9.0)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미사강변도시8단지스타힐스('16/8.9)_x000D_
미사강변동일하이빌('18/8.7)_x000D_
미사강변골든센트로('14/8.5)_x000D_
미사강변파밀리에('14/8.5)_x000D_
미사강변사랑으로부영('17/8.2)_x000D_
하남힐즈파크푸르지오2단지('18/8.2)_x000D_
미사강변루나리움('15/8.0)_x000D_
하남힐즈파크푸르지오1단지('20/8.0)</t>
        </is>
      </c>
      <c r="E40" s="61" t="n"/>
      <c r="F40" s="61" t="inlineStr">
        <is>
          <t>미사강변센트리버('16/8.5)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벽산블루밍('07/7.3)</t>
        </is>
      </c>
      <c r="F41" s="61" t="n"/>
      <c r="G41" s="61" t="inlineStr">
        <is>
          <t>에코타운1단지('04/7.2)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하남덕풍역파크어울림('19/6.9)_x000D_
하남자이('06/6.5)_x000D_
라인('97/6.0)</t>
        </is>
      </c>
      <c r="F42" s="63" t="n"/>
      <c r="G42" s="63" t="inlineStr">
        <is>
          <t>더우개마을동일('99/6.8)_x000D_
부영('94/6.7)_x000D_
한국('96/6.5)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48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e편한세상미사('18/0.0)_x000D_
하남힐즈파크푸르지오1단지('20/0.0)</t>
        </is>
      </c>
      <c r="E43" s="63" t="inlineStr">
        <is>
          <t>덕풍쌍용('98/5.8)_x000D_
덕풍현대('97/5.1)_x000D_
한솔리치빌5단지('06/0.0)_x000D_
더샵하남에디피스('24/0.0)</t>
        </is>
      </c>
      <c r="F43" s="63" t="inlineStr">
        <is>
          <t>미사강변도시베라체('15/0.0)</t>
        </is>
      </c>
      <c r="G43" s="63" t="inlineStr">
        <is>
          <t>부영('94/5.7)_x000D_
대명강변타운('07/0.0)_x000D_
성원상떼빌('03/0.0)_x000D_
하남신장현대홈타운('04/0.0)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inlineStr">
        <is>
          <t>미사강변도시8단지스타힐스('16/0.0)</t>
        </is>
      </c>
      <c r="E56" s="63" t="inlineStr">
        <is>
          <t>덕풍서해('96/5.2)</t>
        </is>
      </c>
      <c r="F56" s="63" t="n"/>
      <c r="G56" s="63" t="inlineStr">
        <is>
          <t>백송한신('94/5.4)_x000D_
백조현대('94/5.1)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inlineStr">
        <is>
          <t>더우개마을동일('99/5.5)_x000D_
성원상떼빌('03/0.0)_x000D_
한국('96/0.0)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감일한라비발디</t>
        </is>
      </c>
      <c r="B6" s="10" t="inlineStr">
        <is>
          <t>'19.06.</t>
        </is>
      </c>
      <c r="C6" s="132" t="n">
        <v>934</v>
      </c>
      <c r="D6" s="130" t="n">
        <v>101.6</v>
      </c>
      <c r="E6" s="131" t="n">
        <v>31</v>
      </c>
      <c r="F6" s="130" t="n">
        <v>74.90000000000001</v>
      </c>
      <c r="G6" s="17" t="n">
        <v>23</v>
      </c>
      <c r="H6" s="132" t="n">
        <v>169</v>
      </c>
      <c r="I6" s="133" t="n">
        <v>99000</v>
      </c>
      <c r="J6" s="133" t="inlineStr">
        <is>
          <t>고</t>
        </is>
      </c>
      <c r="K6" s="133" t="n">
        <v>55000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감일한라비발디</t>
        </is>
      </c>
      <c r="B7" s="10" t="inlineStr">
        <is>
          <t>'19.06.</t>
        </is>
      </c>
      <c r="C7" s="132" t="n">
        <v>934</v>
      </c>
      <c r="D7" s="130" t="n">
        <v>115.1</v>
      </c>
      <c r="E7" s="131" t="n">
        <v>35</v>
      </c>
      <c r="F7" s="130" t="n">
        <v>84.90000000000001</v>
      </c>
      <c r="G7" s="17" t="n">
        <v>26</v>
      </c>
      <c r="H7" s="132" t="n">
        <v>592</v>
      </c>
      <c r="I7" s="133" t="n">
        <v>105000</v>
      </c>
      <c r="J7" s="133" t="inlineStr">
        <is>
          <t>중</t>
        </is>
      </c>
      <c r="K7" s="133" t="n">
        <v>58000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115A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감일한라비발디</t>
        </is>
      </c>
      <c r="B8" s="10" t="inlineStr">
        <is>
          <t>'19.06.</t>
        </is>
      </c>
      <c r="C8" s="132" t="n">
        <v>934</v>
      </c>
      <c r="D8" s="130" t="n">
        <v>115.1</v>
      </c>
      <c r="E8" s="131" t="n">
        <v>35</v>
      </c>
      <c r="F8" s="130" t="n">
        <v>84.90000000000001</v>
      </c>
      <c r="G8" s="17" t="n">
        <v>26</v>
      </c>
      <c r="H8" s="132" t="n">
        <v>173</v>
      </c>
      <c r="I8" s="133" t="n">
        <v>105000</v>
      </c>
      <c r="J8" s="133" t="inlineStr">
        <is>
          <t>중</t>
        </is>
      </c>
      <c r="K8" s="133" t="n">
        <v>58000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115B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더샵포웰시티</t>
        </is>
      </c>
      <c r="B10" s="10" t="inlineStr">
        <is>
          <t>'21.01.</t>
        </is>
      </c>
      <c r="C10" s="132" t="n">
        <v>881</v>
      </c>
      <c r="D10" s="130" t="n">
        <v>116.5</v>
      </c>
      <c r="E10" s="131" t="n">
        <v>35</v>
      </c>
      <c r="F10" s="130" t="n">
        <v>90.8</v>
      </c>
      <c r="G10" s="17" t="n">
        <v>27</v>
      </c>
      <c r="H10" s="132" t="n">
        <v>450</v>
      </c>
      <c r="I10" s="133" t="n">
        <v>145000</v>
      </c>
      <c r="J10" s="133" t="inlineStr">
        <is>
          <t>중</t>
        </is>
      </c>
      <c r="K10" s="133" t="n">
        <v>70000</v>
      </c>
      <c r="L10" s="133" t="inlineStr">
        <is>
          <t>13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더샵포웰시티</t>
        </is>
      </c>
      <c r="B11" s="10" t="inlineStr">
        <is>
          <t>'21.01.</t>
        </is>
      </c>
      <c r="C11" s="132" t="n">
        <v>881</v>
      </c>
      <c r="D11" s="130" t="n">
        <v>127.7</v>
      </c>
      <c r="E11" s="131" t="n">
        <v>39</v>
      </c>
      <c r="F11" s="130" t="n">
        <v>99.59999999999999</v>
      </c>
      <c r="G11" s="17" t="n">
        <v>30</v>
      </c>
      <c r="H11" s="132" t="n">
        <v>332</v>
      </c>
      <c r="I11" s="133" t="n">
        <v>169000</v>
      </c>
      <c r="J11" s="133" t="inlineStr">
        <is>
          <t>중</t>
        </is>
      </c>
      <c r="K11" s="133" t="n">
        <v>85000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127A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더샵포웰시티</t>
        </is>
      </c>
      <c r="B12" s="10" t="inlineStr">
        <is>
          <t>'21.01.</t>
        </is>
      </c>
      <c r="C12" s="132" t="n">
        <v>881</v>
      </c>
      <c r="D12" s="130" t="n">
        <v>128</v>
      </c>
      <c r="E12" s="131" t="n">
        <v>39</v>
      </c>
      <c r="F12" s="130" t="n">
        <v>99.40000000000001</v>
      </c>
      <c r="G12" s="17" t="n">
        <v>30</v>
      </c>
      <c r="H12" s="132" t="n">
        <v>84</v>
      </c>
      <c r="I12" s="133" t="n">
        <v>170000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128B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더샵포웰시티</t>
        </is>
      </c>
      <c r="B13" s="10" t="inlineStr">
        <is>
          <t>'21.01.</t>
        </is>
      </c>
      <c r="C13" s="132" t="n">
        <v>881</v>
      </c>
      <c r="D13" s="130" t="n">
        <v>162.8</v>
      </c>
      <c r="E13" s="131" t="n">
        <v>49</v>
      </c>
      <c r="F13" s="130" t="n">
        <v>125.9</v>
      </c>
      <c r="G13" s="17" t="n">
        <v>38</v>
      </c>
      <c r="H13" s="132" t="n">
        <v>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3</v>
      </c>
      <c r="S13" s="120" t="inlineStr">
        <is>
          <t>계</t>
        </is>
      </c>
      <c r="T13" s="5" t="n">
        <v>162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더샵포웰시티</t>
        </is>
      </c>
      <c r="B14" s="10" t="inlineStr">
        <is>
          <t>'21.01.</t>
        </is>
      </c>
      <c r="C14" s="132" t="n">
        <v>881</v>
      </c>
      <c r="D14" s="130" t="n">
        <v>200</v>
      </c>
      <c r="E14" s="131" t="n">
        <v>60</v>
      </c>
      <c r="F14" s="130" t="n">
        <v>152.5</v>
      </c>
      <c r="G14" s="17" t="n">
        <v>46</v>
      </c>
      <c r="H14" s="132" t="n">
        <v>8</v>
      </c>
      <c r="I14" s="133" t="n">
        <v>320000</v>
      </c>
      <c r="J14" s="133" t="inlineStr">
        <is>
          <t>21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199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하남감일한양수자인</t>
        </is>
      </c>
      <c r="B16" s="10" t="inlineStr">
        <is>
          <t>'22.09.</t>
        </is>
      </c>
      <c r="C16" s="132" t="n">
        <v>512</v>
      </c>
      <c r="D16" s="130" t="n">
        <v>112.8</v>
      </c>
      <c r="E16" s="131" t="n">
        <v>34</v>
      </c>
      <c r="F16" s="130" t="n">
        <v>84.59999999999999</v>
      </c>
      <c r="G16" s="17" t="n">
        <v>26</v>
      </c>
      <c r="H16" s="132" t="n">
        <v>512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112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감일푸르지오마크베르</t>
        </is>
      </c>
      <c r="B18" s="10" t="inlineStr">
        <is>
          <t>'23.06.</t>
        </is>
      </c>
      <c r="C18" s="132" t="n">
        <v>496</v>
      </c>
      <c r="D18" s="130" t="n">
        <v>109.7</v>
      </c>
      <c r="E18" s="131" t="n">
        <v>33</v>
      </c>
      <c r="F18" s="130" t="n">
        <v>84.90000000000001</v>
      </c>
      <c r="G18" s="17" t="n">
        <v>26</v>
      </c>
      <c r="H18" s="132" t="n">
        <v>203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109B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감일푸르지오마크베르</t>
        </is>
      </c>
      <c r="B19" s="10" t="inlineStr">
        <is>
          <t>'23.06.</t>
        </is>
      </c>
      <c r="C19" s="132" t="n">
        <v>496</v>
      </c>
      <c r="D19" s="130" t="n">
        <v>109.9</v>
      </c>
      <c r="E19" s="131" t="n">
        <v>33</v>
      </c>
      <c r="F19" s="130" t="n">
        <v>84.90000000000001</v>
      </c>
      <c r="G19" s="17" t="n">
        <v>26</v>
      </c>
      <c r="H19" s="132" t="n">
        <v>127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감일푸르지오마크베르</t>
        </is>
      </c>
      <c r="B20" s="10" t="inlineStr">
        <is>
          <t>'23.06.</t>
        </is>
      </c>
      <c r="C20" s="132" t="n">
        <v>496</v>
      </c>
      <c r="D20" s="130" t="n">
        <v>146.6</v>
      </c>
      <c r="E20" s="131" t="n">
        <v>44</v>
      </c>
      <c r="F20" s="130" t="n">
        <v>114.9</v>
      </c>
      <c r="G20" s="17" t="n">
        <v>35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146A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감일푸르지오마크베르</t>
        </is>
      </c>
      <c r="B21" s="10" t="inlineStr">
        <is>
          <t>'23.06.</t>
        </is>
      </c>
      <c r="C21" s="132" t="n">
        <v>496</v>
      </c>
      <c r="D21" s="130" t="n">
        <v>146.1</v>
      </c>
      <c r="E21" s="131" t="n">
        <v>44</v>
      </c>
      <c r="F21" s="130" t="n">
        <v>114.8</v>
      </c>
      <c r="G21" s="17" t="n">
        <v>35</v>
      </c>
      <c r="H21" s="132" t="n">
        <v>51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146B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포웰시티푸르지오라포레</t>
        </is>
      </c>
      <c r="B23" s="10" t="inlineStr">
        <is>
          <t>'21.02.</t>
        </is>
      </c>
      <c r="C23" s="132" t="n">
        <v>790</v>
      </c>
      <c r="D23" s="130" t="n">
        <v>116.3</v>
      </c>
      <c r="E23" s="131" t="n">
        <v>35</v>
      </c>
      <c r="F23" s="130" t="n">
        <v>90.8</v>
      </c>
      <c r="G23" s="17" t="n">
        <v>27</v>
      </c>
      <c r="H23" s="132" t="n">
        <v>86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포웰시티푸르지오라포레</t>
        </is>
      </c>
      <c r="B24" s="10" t="inlineStr">
        <is>
          <t>'21.02.</t>
        </is>
      </c>
      <c r="C24" s="132" t="n">
        <v>790</v>
      </c>
      <c r="D24" s="130" t="n">
        <v>117.7</v>
      </c>
      <c r="E24" s="131" t="n">
        <v>36</v>
      </c>
      <c r="F24" s="130" t="n">
        <v>90.2</v>
      </c>
      <c r="G24" s="17" t="n">
        <v>27</v>
      </c>
      <c r="H24" s="132" t="n">
        <v>173</v>
      </c>
      <c r="I24" s="133" t="n">
        <v>155000</v>
      </c>
      <c r="J24" s="133" t="inlineStr">
        <is>
          <t>중</t>
        </is>
      </c>
      <c r="K24" s="133" t="n">
        <v>75000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포웰시티푸르지오라포레</t>
        </is>
      </c>
      <c r="B25" s="10" t="inlineStr">
        <is>
          <t>'21.02.</t>
        </is>
      </c>
      <c r="C25" s="132" t="n">
        <v>790</v>
      </c>
      <c r="D25" s="130" t="n">
        <v>118.7</v>
      </c>
      <c r="E25" s="131" t="n">
        <v>36</v>
      </c>
      <c r="F25" s="130" t="n">
        <v>90.59999999999999</v>
      </c>
      <c r="G25" s="17" t="n">
        <v>27</v>
      </c>
      <c r="H25" s="132" t="n">
        <v>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118T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포웰시티푸르지오라포레</t>
        </is>
      </c>
      <c r="B26" s="10" t="inlineStr">
        <is>
          <t>'21.02.</t>
        </is>
      </c>
      <c r="C26" s="132" t="n">
        <v>790</v>
      </c>
      <c r="D26" s="130" t="n">
        <v>127.5</v>
      </c>
      <c r="E26" s="131" t="n">
        <v>39</v>
      </c>
      <c r="F26" s="130" t="n">
        <v>99.59999999999999</v>
      </c>
      <c r="G26" s="17" t="n">
        <v>30</v>
      </c>
      <c r="H26" s="132" t="n">
        <v>414</v>
      </c>
      <c r="I26" s="133" t="n">
        <v>170000</v>
      </c>
      <c r="J26" s="133" t="inlineStr">
        <is>
          <t>22</t>
        </is>
      </c>
      <c r="K26" s="133" t="n">
        <v>80000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포웰시티푸르지오라포레</t>
        </is>
      </c>
      <c r="B27" s="10" t="inlineStr">
        <is>
          <t>'21.02.</t>
        </is>
      </c>
      <c r="C27" s="132" t="n">
        <v>790</v>
      </c>
      <c r="D27" s="130" t="n">
        <v>127.8</v>
      </c>
      <c r="E27" s="131" t="n">
        <v>39</v>
      </c>
      <c r="F27" s="130" t="n">
        <v>99.40000000000001</v>
      </c>
      <c r="G27" s="17" t="n">
        <v>30</v>
      </c>
      <c r="H27" s="132" t="n">
        <v>111</v>
      </c>
      <c r="I27" s="133" t="n">
        <v>160000</v>
      </c>
      <c r="J27" s="133" t="inlineStr">
        <is>
          <t>고</t>
        </is>
      </c>
      <c r="K27" s="133" t="n">
        <v>100000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127B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포웰시티푸르지오라포레</t>
        </is>
      </c>
      <c r="B28" s="10" t="inlineStr">
        <is>
          <t>'21.02.</t>
        </is>
      </c>
      <c r="C28" s="132" t="n">
        <v>790</v>
      </c>
      <c r="D28" s="130" t="n">
        <v>199.6</v>
      </c>
      <c r="E28" s="131" t="n">
        <v>60</v>
      </c>
      <c r="F28" s="130" t="n">
        <v>152.5</v>
      </c>
      <c r="G28" s="17" t="n">
        <v>46</v>
      </c>
      <c r="H28" s="132" t="n">
        <v>2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3</v>
      </c>
      <c r="S28" s="120" t="inlineStr">
        <is>
          <t>계</t>
        </is>
      </c>
      <c r="T28" s="5" t="n">
        <v>199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감일에코앤e편한세상</t>
        </is>
      </c>
      <c r="B30" s="10" t="inlineStr">
        <is>
          <t>'21.10.</t>
        </is>
      </c>
      <c r="C30" s="132" t="n">
        <v>866</v>
      </c>
      <c r="D30" s="130" t="n">
        <v>100.6</v>
      </c>
      <c r="E30" s="131" t="n">
        <v>30</v>
      </c>
      <c r="F30" s="130" t="n">
        <v>78</v>
      </c>
      <c r="G30" s="17" t="n">
        <v>24</v>
      </c>
      <c r="H30" s="132" t="n">
        <v>163</v>
      </c>
      <c r="I30" s="133" t="n"/>
      <c r="J30" s="133" t="n"/>
      <c r="K30" s="133" t="n">
        <v>60000</v>
      </c>
      <c r="L30" s="133" t="inlineStr">
        <is>
          <t>22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100B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감일에코앤e편한세상</t>
        </is>
      </c>
      <c r="B31" s="10" t="inlineStr">
        <is>
          <t>'21.10.</t>
        </is>
      </c>
      <c r="C31" s="132" t="n">
        <v>866</v>
      </c>
      <c r="D31" s="130" t="n">
        <v>102.4</v>
      </c>
      <c r="E31" s="131" t="n">
        <v>31</v>
      </c>
      <c r="F31" s="130" t="n">
        <v>78</v>
      </c>
      <c r="G31" s="17" t="n">
        <v>24</v>
      </c>
      <c r="H31" s="132" t="n">
        <v>169</v>
      </c>
      <c r="I31" s="133" t="n"/>
      <c r="J31" s="133" t="n"/>
      <c r="K31" s="133" t="n">
        <v>55000</v>
      </c>
      <c r="L31" s="133" t="inlineStr">
        <is>
          <t>16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102A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감일에코앤e편한세상</t>
        </is>
      </c>
      <c r="B32" s="10" t="inlineStr">
        <is>
          <t>'21.10.</t>
        </is>
      </c>
      <c r="C32" s="132" t="n">
        <v>866</v>
      </c>
      <c r="D32" s="130" t="n">
        <v>109.6</v>
      </c>
      <c r="E32" s="131" t="n">
        <v>33</v>
      </c>
      <c r="F32" s="130" t="n">
        <v>85</v>
      </c>
      <c r="G32" s="17" t="n">
        <v>26</v>
      </c>
      <c r="H32" s="132" t="n">
        <v>531</v>
      </c>
      <c r="I32" s="133" t="n"/>
      <c r="J32" s="133" t="n"/>
      <c r="K32" s="133" t="n">
        <v>60000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감일에코앤e편한세상</t>
        </is>
      </c>
      <c r="B33" s="10" t="inlineStr">
        <is>
          <t>'21.10.</t>
        </is>
      </c>
      <c r="C33" s="132" t="n">
        <v>866</v>
      </c>
      <c r="D33" s="130" t="n">
        <v>112.5</v>
      </c>
      <c r="E33" s="131" t="n">
        <v>34</v>
      </c>
      <c r="F33" s="130" t="n">
        <v>85</v>
      </c>
      <c r="G33" s="17" t="n">
        <v>26</v>
      </c>
      <c r="H33" s="132" t="n">
        <v>3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2</v>
      </c>
      <c r="S33" s="120" t="inlineStr">
        <is>
          <t>계</t>
        </is>
      </c>
      <c r="T33" s="5" t="inlineStr">
        <is>
          <t>112B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하남감일A7</t>
        </is>
      </c>
      <c r="B35" s="10" t="inlineStr">
        <is>
          <t>'22.08.</t>
        </is>
      </c>
      <c r="C35" s="132" t="n">
        <v>510</v>
      </c>
      <c r="D35" s="130" t="n">
        <v>66.3</v>
      </c>
      <c r="E35" s="131" t="n">
        <v>20</v>
      </c>
      <c r="F35" s="130" t="n">
        <v>46.9</v>
      </c>
      <c r="G35" s="17" t="n">
        <v>14</v>
      </c>
      <c r="H35" s="132" t="n">
        <v>204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66A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하남감일A7</t>
        </is>
      </c>
      <c r="B36" s="10" t="inlineStr">
        <is>
          <t>'22.08.</t>
        </is>
      </c>
      <c r="C36" s="132" t="n">
        <v>510</v>
      </c>
      <c r="D36" s="130" t="n">
        <v>66</v>
      </c>
      <c r="E36" s="131" t="n">
        <v>20</v>
      </c>
      <c r="F36" s="130" t="n">
        <v>46.7</v>
      </c>
      <c r="G36" s="17" t="n">
        <v>14</v>
      </c>
      <c r="H36" s="132" t="n">
        <v>21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66B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하남감일A7</t>
        </is>
      </c>
      <c r="B37" s="10" t="inlineStr">
        <is>
          <t>'22.08.</t>
        </is>
      </c>
      <c r="C37" s="132" t="n">
        <v>510</v>
      </c>
      <c r="D37" s="130" t="n">
        <v>78.3</v>
      </c>
      <c r="E37" s="131" t="n">
        <v>24</v>
      </c>
      <c r="F37" s="130" t="n">
        <v>55.4</v>
      </c>
      <c r="G37" s="17" t="n">
        <v>17</v>
      </c>
      <c r="H37" s="132" t="n">
        <v>285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inlineStr">
        <is>
          <t>78A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하남감일스윗시티 B3블록</t>
        </is>
      </c>
      <c r="B39" s="10" t="inlineStr">
        <is>
          <t>'21.10.</t>
        </is>
      </c>
      <c r="C39" s="132" t="n">
        <v>578</v>
      </c>
      <c r="D39" s="130" t="n">
        <v>99.5</v>
      </c>
      <c r="E39" s="131" t="n">
        <v>30</v>
      </c>
      <c r="F39" s="130" t="n">
        <v>74.7</v>
      </c>
      <c r="G39" s="17" t="n">
        <v>23</v>
      </c>
      <c r="H39" s="132" t="n">
        <v>174</v>
      </c>
      <c r="I39" s="133" t="n"/>
      <c r="J39" s="133" t="n"/>
      <c r="K39" s="133" t="n">
        <v>53000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99A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하남감일스윗시티 B3블록</t>
        </is>
      </c>
      <c r="B40" s="10" t="inlineStr">
        <is>
          <t>'21.10.</t>
        </is>
      </c>
      <c r="C40" s="132" t="n">
        <v>578</v>
      </c>
      <c r="D40" s="130" t="n">
        <v>113.1</v>
      </c>
      <c r="E40" s="131" t="n">
        <v>34</v>
      </c>
      <c r="F40" s="130" t="n">
        <v>84.90000000000001</v>
      </c>
      <c r="G40" s="17" t="n">
        <v>26</v>
      </c>
      <c r="H40" s="132" t="n">
        <v>239</v>
      </c>
      <c r="I40" s="133" t="n"/>
      <c r="J40" s="133" t="n"/>
      <c r="K40" s="133" t="n">
        <v>20000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113A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하남감일스윗시티 B3블록</t>
        </is>
      </c>
      <c r="B41" s="10" t="inlineStr">
        <is>
          <t>'21.10.</t>
        </is>
      </c>
      <c r="C41" s="132" t="n">
        <v>578</v>
      </c>
      <c r="D41" s="130" t="n">
        <v>113.1</v>
      </c>
      <c r="E41" s="131" t="n">
        <v>34</v>
      </c>
      <c r="F41" s="130" t="n">
        <v>84.90000000000001</v>
      </c>
      <c r="G41" s="17" t="n">
        <v>26</v>
      </c>
      <c r="H41" s="132" t="n">
        <v>86</v>
      </c>
      <c r="I41" s="133" t="n"/>
      <c r="J41" s="133" t="n"/>
      <c r="K41" s="133" t="n">
        <v>20000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113C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하남감일스윗시티 B3블록</t>
        </is>
      </c>
      <c r="B42" s="10" t="inlineStr">
        <is>
          <t>'21.10.</t>
        </is>
      </c>
      <c r="C42" s="132" t="n">
        <v>578</v>
      </c>
      <c r="D42" s="130" t="n">
        <v>113.2</v>
      </c>
      <c r="E42" s="131" t="n">
        <v>34</v>
      </c>
      <c r="F42" s="130" t="n">
        <v>85</v>
      </c>
      <c r="G42" s="17" t="n">
        <v>26</v>
      </c>
      <c r="H42" s="132" t="n">
        <v>79</v>
      </c>
      <c r="I42" s="133" t="n"/>
      <c r="J42" s="133" t="n"/>
      <c r="K42" s="133" t="n">
        <v>60000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하남감일스윗시티 B4블록</t>
        </is>
      </c>
      <c r="B44" s="10" t="inlineStr">
        <is>
          <t>'21.10.</t>
        </is>
      </c>
      <c r="C44" s="132" t="n">
        <v>595</v>
      </c>
      <c r="D44" s="130" t="n">
        <v>100.1</v>
      </c>
      <c r="E44" s="131" t="n">
        <v>30</v>
      </c>
      <c r="F44" s="130" t="n">
        <v>74.7</v>
      </c>
      <c r="G44" s="17" t="n">
        <v>23</v>
      </c>
      <c r="H44" s="132" t="n">
        <v>165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100A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하남감일스윗시티 B4블록</t>
        </is>
      </c>
      <c r="B45" s="10" t="inlineStr">
        <is>
          <t>'21.10.</t>
        </is>
      </c>
      <c r="C45" s="132" t="n">
        <v>595</v>
      </c>
      <c r="D45" s="130" t="n">
        <v>113.7</v>
      </c>
      <c r="E45" s="131" t="n">
        <v>34</v>
      </c>
      <c r="F45" s="130" t="n">
        <v>84.90000000000001</v>
      </c>
      <c r="G45" s="17" t="n">
        <v>26</v>
      </c>
      <c r="H45" s="132" t="n">
        <v>270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113A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하남감일스윗시티 B4블록</t>
        </is>
      </c>
      <c r="B46" s="10" t="inlineStr">
        <is>
          <t>'21.10.</t>
        </is>
      </c>
      <c r="C46" s="132" t="n">
        <v>595</v>
      </c>
      <c r="D46" s="130" t="n">
        <v>113.7</v>
      </c>
      <c r="E46" s="131" t="n">
        <v>34</v>
      </c>
      <c r="F46" s="130" t="n">
        <v>84.90000000000001</v>
      </c>
      <c r="G46" s="17" t="n">
        <v>26</v>
      </c>
      <c r="H46" s="132" t="n">
        <v>84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113C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하남감일스윗시티 B4블록</t>
        </is>
      </c>
      <c r="B47" s="10" t="inlineStr">
        <is>
          <t>'21.10.</t>
        </is>
      </c>
      <c r="C47" s="132" t="n">
        <v>595</v>
      </c>
      <c r="D47" s="130" t="n">
        <v>113.8</v>
      </c>
      <c r="E47" s="131" t="n">
        <v>34</v>
      </c>
      <c r="F47" s="130" t="n">
        <v>85</v>
      </c>
      <c r="G47" s="17" t="n">
        <v>26</v>
      </c>
      <c r="H47" s="132" t="n">
        <v>76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힐스테이트포웰시티</t>
        </is>
      </c>
      <c r="B49" s="10" t="inlineStr">
        <is>
          <t>'20.11.</t>
        </is>
      </c>
      <c r="C49" s="132" t="n">
        <v>932</v>
      </c>
      <c r="D49" s="130" t="n">
        <v>97.90000000000001</v>
      </c>
      <c r="E49" s="131" t="n">
        <v>30</v>
      </c>
      <c r="F49" s="130" t="n">
        <v>73.8</v>
      </c>
      <c r="G49" s="17" t="n">
        <v>22</v>
      </c>
      <c r="H49" s="132" t="n">
        <v>470</v>
      </c>
      <c r="I49" s="133" t="n">
        <v>103000</v>
      </c>
      <c r="J49" s="133" t="inlineStr">
        <is>
          <t>5</t>
        </is>
      </c>
      <c r="K49" s="133" t="n">
        <v>53000</v>
      </c>
      <c r="L49" s="133" t="inlineStr">
        <is>
          <t>고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97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힐스테이트포웰시티</t>
        </is>
      </c>
      <c r="B50" s="10" t="inlineStr">
        <is>
          <t>'20.11.</t>
        </is>
      </c>
      <c r="C50" s="132" t="n">
        <v>932</v>
      </c>
      <c r="D50" s="130" t="n">
        <v>111.3</v>
      </c>
      <c r="E50" s="131" t="n">
        <v>34</v>
      </c>
      <c r="F50" s="130" t="n">
        <v>84.40000000000001</v>
      </c>
      <c r="G50" s="17" t="n">
        <v>26</v>
      </c>
      <c r="H50" s="132" t="n">
        <v>462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감일센트레빌</t>
        </is>
      </c>
      <c r="B52" s="10" t="inlineStr">
        <is>
          <t>'20.03.</t>
        </is>
      </c>
      <c r="C52" s="132" t="n">
        <v>589</v>
      </c>
      <c r="D52" s="130" t="n">
        <v>71.5</v>
      </c>
      <c r="E52" s="131" t="n">
        <v>22</v>
      </c>
      <c r="F52" s="130" t="n">
        <v>51.8</v>
      </c>
      <c r="G52" s="17" t="n">
        <v>16</v>
      </c>
      <c r="H52" s="132" t="n">
        <v>99</v>
      </c>
      <c r="I52" s="133" t="n">
        <v>87000</v>
      </c>
      <c r="J52" s="133" t="inlineStr">
        <is>
          <t>중</t>
        </is>
      </c>
      <c r="K52" s="133" t="n">
        <v>45000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71A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감일센트레빌</t>
        </is>
      </c>
      <c r="B53" s="10" t="inlineStr">
        <is>
          <t>'20.03.</t>
        </is>
      </c>
      <c r="C53" s="132" t="n">
        <v>589</v>
      </c>
      <c r="D53" s="130" t="n">
        <v>82.8</v>
      </c>
      <c r="E53" s="131" t="n">
        <v>25</v>
      </c>
      <c r="F53" s="130" t="n">
        <v>59.9</v>
      </c>
      <c r="G53" s="17" t="n">
        <v>18</v>
      </c>
      <c r="H53" s="132" t="n">
        <v>135</v>
      </c>
      <c r="I53" s="133" t="n">
        <v>90000</v>
      </c>
      <c r="J53" s="133" t="inlineStr">
        <is>
          <t>중</t>
        </is>
      </c>
      <c r="K53" s="133" t="n">
        <v>48000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82B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감일센트레빌</t>
        </is>
      </c>
      <c r="B54" s="10" t="inlineStr">
        <is>
          <t>'20.03.</t>
        </is>
      </c>
      <c r="C54" s="132" t="n">
        <v>589</v>
      </c>
      <c r="D54" s="130" t="n">
        <v>82.7</v>
      </c>
      <c r="E54" s="131" t="n">
        <v>25</v>
      </c>
      <c r="F54" s="130" t="n">
        <v>59.9</v>
      </c>
      <c r="G54" s="17" t="n">
        <v>18</v>
      </c>
      <c r="H54" s="132" t="n">
        <v>50</v>
      </c>
      <c r="I54" s="133" t="n">
        <v>89000</v>
      </c>
      <c r="J54" s="133" t="inlineStr">
        <is>
          <t>중</t>
        </is>
      </c>
      <c r="K54" s="133" t="n">
        <v>50000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82A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감일센트레빌</t>
        </is>
      </c>
      <c r="B55" s="10" t="inlineStr">
        <is>
          <t>'20.03.</t>
        </is>
      </c>
      <c r="C55" s="132" t="n">
        <v>589</v>
      </c>
      <c r="D55" s="130" t="n">
        <v>103.4</v>
      </c>
      <c r="E55" s="131" t="n">
        <v>31</v>
      </c>
      <c r="F55" s="130" t="n">
        <v>74.8</v>
      </c>
      <c r="G55" s="17" t="n">
        <v>23</v>
      </c>
      <c r="H55" s="132" t="n">
        <v>149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103A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감일센트레빌</t>
        </is>
      </c>
      <c r="B56" s="10" t="inlineStr">
        <is>
          <t>'20.03.</t>
        </is>
      </c>
      <c r="C56" s="132" t="n">
        <v>589</v>
      </c>
      <c r="D56" s="130" t="n">
        <v>117.1</v>
      </c>
      <c r="E56" s="131" t="n">
        <v>35</v>
      </c>
      <c r="F56" s="130" t="n">
        <v>84.8</v>
      </c>
      <c r="G56" s="17" t="n">
        <v>26</v>
      </c>
      <c r="H56" s="132" t="n">
        <v>156</v>
      </c>
      <c r="I56" s="133" t="n">
        <v>120000</v>
      </c>
      <c r="J56" s="133" t="inlineStr">
        <is>
          <t>고</t>
        </is>
      </c>
      <c r="K56" s="133" t="n">
        <v>61000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117A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23">
      <formula>AV4="X"</formula>
    </cfRule>
    <cfRule type="expression" priority="831" dxfId="22">
      <formula>AV4="후보"</formula>
    </cfRule>
  </conditionalFormatting>
  <conditionalFormatting sqref="AC1:AC2 AC4:AC6 N4:N5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N1:N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23">
      <formula>AV7="X"</formula>
    </cfRule>
    <cfRule type="expression" priority="810" dxfId="22">
      <formula>AV7="후보"</formula>
    </cfRule>
  </conditionalFormatting>
  <conditionalFormatting sqref="AC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23">
      <formula>AV8="X"</formula>
    </cfRule>
    <cfRule type="expression" priority="791" dxfId="22">
      <formula>AV8="후보"</formula>
    </cfRule>
  </conditionalFormatting>
  <conditionalFormatting sqref="AC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23">
      <formula>AV9="X"</formula>
    </cfRule>
    <cfRule type="expression" priority="772" dxfId="22">
      <formula>AV9="후보"</formula>
    </cfRule>
  </conditionalFormatting>
  <conditionalFormatting sqref="AC9 N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10">
    <cfRule type="expression" priority="766" dxfId="23">
      <formula>AV10="X"</formula>
    </cfRule>
    <cfRule type="expression" priority="767" dxfId="22">
      <formula>AV10="후보"</formula>
    </cfRule>
  </conditionalFormatting>
  <conditionalFormatting sqref="AC1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23">
      <formula>AV11="X"</formula>
    </cfRule>
    <cfRule type="expression" priority="748" dxfId="22">
      <formula>AV11="후보"</formula>
    </cfRule>
  </conditionalFormatting>
  <conditionalFormatting sqref="AC1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23">
      <formula>AV12="X"</formula>
    </cfRule>
    <cfRule type="expression" priority="729" dxfId="22">
      <formula>AV12="후보"</formula>
    </cfRule>
  </conditionalFormatting>
  <conditionalFormatting sqref="AC1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23">
      <formula>AV13="X"</formula>
    </cfRule>
    <cfRule type="expression" priority="710" dxfId="22">
      <formula>AV13="후보"</formula>
    </cfRule>
  </conditionalFormatting>
  <conditionalFormatting sqref="AC1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23">
      <formula>AV14="X"</formula>
    </cfRule>
    <cfRule type="expression" priority="691" dxfId="22">
      <formula>AV14="후보"</formula>
    </cfRule>
  </conditionalFormatting>
  <conditionalFormatting sqref="AC1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23">
      <formula>AV15="X"</formula>
    </cfRule>
    <cfRule type="expression" priority="672" dxfId="22">
      <formula>AV15="후보"</formula>
    </cfRule>
  </conditionalFormatting>
  <conditionalFormatting sqref="AC15 N1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23">
      <formula>AV17="X"</formula>
    </cfRule>
    <cfRule type="expression" priority="648" dxfId="22">
      <formula>AV17="후보"</formula>
    </cfRule>
  </conditionalFormatting>
  <conditionalFormatting sqref="AC17 N1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23">
      <formula>AV21="X"</formula>
    </cfRule>
    <cfRule type="expression" priority="586" dxfId="22">
      <formula>AV21="후보"</formula>
    </cfRule>
  </conditionalFormatting>
  <conditionalFormatting sqref="AC2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23">
      <formula>AV22="X"</formula>
    </cfRule>
    <cfRule type="expression" priority="567" dxfId="22">
      <formula>AV22="후보"</formula>
    </cfRule>
  </conditionalFormatting>
  <conditionalFormatting sqref="AC22 N2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23">
      <formula>AV25="X"</formula>
    </cfRule>
    <cfRule type="expression" priority="524" dxfId="22">
      <formula>AV25="후보"</formula>
    </cfRule>
  </conditionalFormatting>
  <conditionalFormatting sqref="AC2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23">
      <formula>AV26="X"</formula>
    </cfRule>
    <cfRule type="expression" priority="505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23">
      <formula>AV28="X"</formula>
    </cfRule>
    <cfRule type="expression" priority="467" dxfId="22">
      <formula>AV28="후보"</formula>
    </cfRule>
  </conditionalFormatting>
  <conditionalFormatting sqref="AC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23">
      <formula>AV29="X"</formula>
    </cfRule>
    <cfRule type="expression" priority="448" dxfId="22">
      <formula>AV29="후보"</formula>
    </cfRule>
  </conditionalFormatting>
  <conditionalFormatting sqref="AC29 N2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0">
    <cfRule type="expression" priority="442" dxfId="23">
      <formula>AV30="X"</formula>
    </cfRule>
    <cfRule type="expression" priority="443" dxfId="22">
      <formula>AV30="후보"</formula>
    </cfRule>
  </conditionalFormatting>
  <conditionalFormatting sqref="AC3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23">
      <formula>AV31="X"</formula>
    </cfRule>
    <cfRule type="expression" priority="424" dxfId="22">
      <formula>AV31="후보"</formula>
    </cfRule>
  </conditionalFormatting>
  <conditionalFormatting sqref="AC3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23">
      <formula>AV32="X"</formula>
    </cfRule>
    <cfRule type="expression" priority="405" dxfId="22">
      <formula>AV32="후보"</formula>
    </cfRule>
  </conditionalFormatting>
  <conditionalFormatting sqref="AC3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23">
      <formula>AV33="X"</formula>
    </cfRule>
    <cfRule type="expression" priority="386" dxfId="22">
      <formula>AV33="후보"</formula>
    </cfRule>
  </conditionalFormatting>
  <conditionalFormatting sqref="AC3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23">
      <formula>AV34="X"</formula>
    </cfRule>
    <cfRule type="expression" priority="367" dxfId="22">
      <formula>AV34="후보"</formula>
    </cfRule>
  </conditionalFormatting>
  <conditionalFormatting sqref="AC34 N3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23">
      <formula>AV37="X"</formula>
    </cfRule>
    <cfRule type="expression" priority="324" dxfId="22">
      <formula>AV37="후보"</formula>
    </cfRule>
  </conditionalFormatting>
  <conditionalFormatting sqref="AC3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23">
      <formula>AV38="X"</formula>
    </cfRule>
    <cfRule type="expression" priority="305" dxfId="22">
      <formula>AV38="후보"</formula>
    </cfRule>
  </conditionalFormatting>
  <conditionalFormatting sqref="AC38 N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23">
      <formula>AV41="X"</formula>
    </cfRule>
    <cfRule type="expression" priority="262" dxfId="22">
      <formula>AV41="후보"</formula>
    </cfRule>
  </conditionalFormatting>
  <conditionalFormatting sqref="AC4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23">
      <formula>AV42="X"</formula>
    </cfRule>
    <cfRule type="expression" priority="243" dxfId="22">
      <formula>AV42="후보"</formula>
    </cfRule>
  </conditionalFormatting>
  <conditionalFormatting sqref="AC4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23">
      <formula>AV43="X"</formula>
    </cfRule>
    <cfRule type="expression" priority="224" dxfId="22">
      <formula>AV43="후보"</formula>
    </cfRule>
  </conditionalFormatting>
  <conditionalFormatting sqref="AC43 N4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23">
      <formula>AV45="X"</formula>
    </cfRule>
    <cfRule type="expression" priority="200" dxfId="22">
      <formula>AV45="후보"</formula>
    </cfRule>
  </conditionalFormatting>
  <conditionalFormatting sqref="AC4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23">
      <formula>AV46="X"</formula>
    </cfRule>
    <cfRule type="expression" priority="181" dxfId="22">
      <formula>AV46="후보"</formula>
    </cfRule>
  </conditionalFormatting>
  <conditionalFormatting sqref="AC4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23">
      <formula>AV47="X"</formula>
    </cfRule>
    <cfRule type="expression" priority="162" dxfId="22">
      <formula>AV47="후보"</formula>
    </cfRule>
  </conditionalFormatting>
  <conditionalFormatting sqref="AC4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23">
      <formula>AV48="X"</formula>
    </cfRule>
    <cfRule type="expression" priority="143" dxfId="22">
      <formula>AV48="후보"</formula>
    </cfRule>
  </conditionalFormatting>
  <conditionalFormatting sqref="AC48 N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9">
    <cfRule type="expression" priority="137" dxfId="23">
      <formula>AV49="X"</formula>
    </cfRule>
    <cfRule type="expression" priority="138" dxfId="22">
      <formula>AV49="후보"</formula>
    </cfRule>
  </conditionalFormatting>
  <conditionalFormatting sqref="AC4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23">
      <formula>AV50="X"</formula>
    </cfRule>
    <cfRule type="expression" priority="119" dxfId="22">
      <formula>AV50="후보"</formula>
    </cfRule>
  </conditionalFormatting>
  <conditionalFormatting sqref="AC5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23">
      <formula>AV51="X"</formula>
    </cfRule>
    <cfRule type="expression" priority="100" dxfId="22">
      <formula>AV51="후보"</formula>
    </cfRule>
  </conditionalFormatting>
  <conditionalFormatting sqref="AC51 N5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하남감일스윗시티(B1블록)</t>
        </is>
      </c>
      <c r="B6" s="10" t="inlineStr">
        <is>
          <t>'21.05.</t>
        </is>
      </c>
      <c r="C6" s="132" t="n">
        <v>684</v>
      </c>
      <c r="D6" s="130" t="n">
        <v>103.2</v>
      </c>
      <c r="E6" s="131" t="n">
        <v>31</v>
      </c>
      <c r="F6" s="130" t="n">
        <v>74.90000000000001</v>
      </c>
      <c r="G6" s="17" t="n">
        <v>23</v>
      </c>
      <c r="H6" s="132" t="n">
        <v>74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103H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하남감일스윗시티(B1블록)</t>
        </is>
      </c>
      <c r="B7" s="10" t="inlineStr">
        <is>
          <t>'21.05.</t>
        </is>
      </c>
      <c r="C7" s="132" t="n">
        <v>684</v>
      </c>
      <c r="D7" s="130" t="n">
        <v>117</v>
      </c>
      <c r="E7" s="131" t="n">
        <v>35</v>
      </c>
      <c r="F7" s="130" t="n">
        <v>84.90000000000001</v>
      </c>
      <c r="G7" s="17" t="n">
        <v>26</v>
      </c>
      <c r="H7" s="132" t="n">
        <v>136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한솔리치빌2단지</t>
        </is>
      </c>
      <c r="B6" s="10" t="inlineStr">
        <is>
          <t>'02.12.</t>
        </is>
      </c>
      <c r="C6" s="132" t="n">
        <v>347</v>
      </c>
      <c r="D6" s="130" t="n">
        <v>88.2</v>
      </c>
      <c r="E6" s="131" t="n">
        <v>27</v>
      </c>
      <c r="F6" s="130" t="n">
        <v>59.6</v>
      </c>
      <c r="G6" s="17" t="n">
        <v>18</v>
      </c>
      <c r="H6" s="132" t="n">
        <v>25</v>
      </c>
      <c r="I6" s="133" t="n">
        <v>60000</v>
      </c>
      <c r="J6" s="133" t="inlineStr">
        <is>
          <t>중</t>
        </is>
      </c>
      <c r="K6" s="133" t="n">
        <v>41000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한솔리치빌2단지</t>
        </is>
      </c>
      <c r="B7" s="10" t="inlineStr">
        <is>
          <t>'02.12.</t>
        </is>
      </c>
      <c r="C7" s="132" t="n">
        <v>347</v>
      </c>
      <c r="D7" s="130" t="n">
        <v>114.2</v>
      </c>
      <c r="E7" s="131" t="n">
        <v>35</v>
      </c>
      <c r="F7" s="130" t="n">
        <v>84.40000000000001</v>
      </c>
      <c r="G7" s="17" t="n">
        <v>26</v>
      </c>
      <c r="H7" s="132" t="n">
        <v>322</v>
      </c>
      <c r="I7" s="133" t="n">
        <v>65000</v>
      </c>
      <c r="J7" s="133" t="inlineStr">
        <is>
          <t>10</t>
        </is>
      </c>
      <c r="K7" s="133" t="n">
        <v>47000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벽산블루밍</t>
        </is>
      </c>
      <c r="B9" s="10" t="inlineStr">
        <is>
          <t>'07.04.</t>
        </is>
      </c>
      <c r="C9" s="132" t="n">
        <v>696</v>
      </c>
      <c r="D9" s="130" t="n">
        <v>80.8</v>
      </c>
      <c r="E9" s="131" t="n">
        <v>24</v>
      </c>
      <c r="F9" s="130" t="n">
        <v>59.9</v>
      </c>
      <c r="G9" s="17" t="n">
        <v>18</v>
      </c>
      <c r="H9" s="132" t="n">
        <v>232</v>
      </c>
      <c r="I9" s="133" t="n">
        <v>73000</v>
      </c>
      <c r="J9" s="133" t="inlineStr">
        <is>
          <t>5</t>
        </is>
      </c>
      <c r="K9" s="133" t="n">
        <v>48000</v>
      </c>
      <c r="L9" s="133" t="inlineStr">
        <is>
          <t>14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벽산블루밍</t>
        </is>
      </c>
      <c r="B10" s="10" t="inlineStr">
        <is>
          <t>'07.04.</t>
        </is>
      </c>
      <c r="C10" s="132" t="n">
        <v>696</v>
      </c>
      <c r="D10" s="130" t="n">
        <v>107.5</v>
      </c>
      <c r="E10" s="131" t="n">
        <v>33</v>
      </c>
      <c r="F10" s="130" t="n">
        <v>85</v>
      </c>
      <c r="G10" s="17" t="n">
        <v>26</v>
      </c>
      <c r="H10" s="132" t="n">
        <v>464</v>
      </c>
      <c r="I10" s="133" t="n">
        <v>75000</v>
      </c>
      <c r="J10" s="133" t="inlineStr">
        <is>
          <t>8</t>
        </is>
      </c>
      <c r="K10" s="133" t="n">
        <v>55000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하남덕풍역파크어울림</t>
        </is>
      </c>
      <c r="B12" s="10" t="inlineStr">
        <is>
          <t>'19.04.</t>
        </is>
      </c>
      <c r="C12" s="132" t="n">
        <v>383</v>
      </c>
      <c r="D12" s="130" t="n">
        <v>84.90000000000001</v>
      </c>
      <c r="E12" s="131" t="n">
        <v>26</v>
      </c>
      <c r="F12" s="130" t="n">
        <v>60</v>
      </c>
      <c r="G12" s="17" t="n">
        <v>18</v>
      </c>
      <c r="H12" s="132" t="n">
        <v>344</v>
      </c>
      <c r="I12" s="133" t="n">
        <v>65000</v>
      </c>
      <c r="J12" s="133" t="inlineStr">
        <is>
          <t>16</t>
        </is>
      </c>
      <c r="K12" s="133" t="n">
        <v>50000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84A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하남덕풍역파크어울림</t>
        </is>
      </c>
      <c r="B13" s="10" t="inlineStr">
        <is>
          <t>'19.04.</t>
        </is>
      </c>
      <c r="C13" s="132" t="n">
        <v>383</v>
      </c>
      <c r="D13" s="130" t="n">
        <v>84.7</v>
      </c>
      <c r="E13" s="131" t="n">
        <v>26</v>
      </c>
      <c r="F13" s="130" t="n">
        <v>60</v>
      </c>
      <c r="G13" s="17" t="n">
        <v>18</v>
      </c>
      <c r="H13" s="132" t="n">
        <v>39</v>
      </c>
      <c r="I13" s="133" t="n">
        <v>70000</v>
      </c>
      <c r="J13" s="133" t="inlineStr">
        <is>
          <t>고</t>
        </is>
      </c>
      <c r="K13" s="133" t="n">
        <v>45000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84B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덕풍쌍용</t>
        </is>
      </c>
      <c r="B15" s="10" t="inlineStr">
        <is>
          <t>'98.01.</t>
        </is>
      </c>
      <c r="C15" s="132" t="n">
        <v>585</v>
      </c>
      <c r="D15" s="130" t="n">
        <v>74.5</v>
      </c>
      <c r="E15" s="131" t="n">
        <v>23</v>
      </c>
      <c r="F15" s="130" t="n">
        <v>59.8</v>
      </c>
      <c r="G15" s="17" t="n">
        <v>18</v>
      </c>
      <c r="H15" s="132" t="n">
        <v>168</v>
      </c>
      <c r="I15" s="133" t="n">
        <v>65000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inlineStr">
        <is>
          <t>74A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덕풍쌍용</t>
        </is>
      </c>
      <c r="B16" s="10" t="inlineStr">
        <is>
          <t>'98.01.</t>
        </is>
      </c>
      <c r="C16" s="132" t="n">
        <v>585</v>
      </c>
      <c r="D16" s="130" t="n">
        <v>74.5</v>
      </c>
      <c r="E16" s="131" t="n">
        <v>23</v>
      </c>
      <c r="F16" s="130" t="n">
        <v>59.8</v>
      </c>
      <c r="G16" s="17" t="n">
        <v>18</v>
      </c>
      <c r="H16" s="132" t="n">
        <v>69</v>
      </c>
      <c r="I16" s="133" t="n">
        <v>65000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inlineStr">
        <is>
          <t>74B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덕풍쌍용</t>
        </is>
      </c>
      <c r="B17" s="10" t="inlineStr">
        <is>
          <t>'98.01.</t>
        </is>
      </c>
      <c r="C17" s="132" t="n">
        <v>585</v>
      </c>
      <c r="D17" s="130" t="n">
        <v>105.8</v>
      </c>
      <c r="E17" s="131" t="n">
        <v>32</v>
      </c>
      <c r="F17" s="130" t="n">
        <v>85</v>
      </c>
      <c r="G17" s="17" t="n">
        <v>26</v>
      </c>
      <c r="H17" s="132" t="n">
        <v>207</v>
      </c>
      <c r="I17" s="133" t="n">
        <v>67000</v>
      </c>
      <c r="J17" s="133" t="inlineStr">
        <is>
          <t>5</t>
        </is>
      </c>
      <c r="K17" s="133" t="n">
        <v>47000</v>
      </c>
      <c r="L17" s="133" t="inlineStr">
        <is>
          <t>20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덕풍쌍용</t>
        </is>
      </c>
      <c r="B18" s="10" t="inlineStr">
        <is>
          <t>'98.01.</t>
        </is>
      </c>
      <c r="C18" s="132" t="n">
        <v>585</v>
      </c>
      <c r="D18" s="130" t="n">
        <v>143.2</v>
      </c>
      <c r="E18" s="131" t="n">
        <v>43</v>
      </c>
      <c r="F18" s="130" t="n">
        <v>115</v>
      </c>
      <c r="G18" s="17" t="n">
        <v>35</v>
      </c>
      <c r="H18" s="132" t="n">
        <v>141</v>
      </c>
      <c r="I18" s="133" t="n">
        <v>76000</v>
      </c>
      <c r="J18" s="133" t="inlineStr">
        <is>
          <t>15</t>
        </is>
      </c>
      <c r="K18" s="133" t="n">
        <v>50000</v>
      </c>
      <c r="L18" s="133" t="inlineStr">
        <is>
          <t>13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라인</t>
        </is>
      </c>
      <c r="B20" s="10" t="inlineStr">
        <is>
          <t>'97.04.</t>
        </is>
      </c>
      <c r="C20" s="132" t="n">
        <v>352</v>
      </c>
      <c r="D20" s="130" t="n">
        <v>83.09999999999999</v>
      </c>
      <c r="E20" s="131" t="n">
        <v>25</v>
      </c>
      <c r="F20" s="130" t="n">
        <v>59.4</v>
      </c>
      <c r="G20" s="17" t="n">
        <v>18</v>
      </c>
      <c r="H20" s="132" t="n">
        <v>176</v>
      </c>
      <c r="I20" s="133" t="n">
        <v>60000</v>
      </c>
      <c r="J20" s="133" t="inlineStr">
        <is>
          <t>10</t>
        </is>
      </c>
      <c r="K20" s="133" t="n">
        <v>41000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라인</t>
        </is>
      </c>
      <c r="B21" s="10" t="inlineStr">
        <is>
          <t>'97.04.</t>
        </is>
      </c>
      <c r="C21" s="132" t="n">
        <v>352</v>
      </c>
      <c r="D21" s="130" t="n">
        <v>107</v>
      </c>
      <c r="E21" s="131" t="n">
        <v>32</v>
      </c>
      <c r="F21" s="130" t="n">
        <v>84.7</v>
      </c>
      <c r="G21" s="17" t="n">
        <v>26</v>
      </c>
      <c r="H21" s="132" t="n">
        <v>176</v>
      </c>
      <c r="I21" s="133" t="n">
        <v>67000</v>
      </c>
      <c r="J21" s="133" t="inlineStr">
        <is>
          <t>중</t>
        </is>
      </c>
      <c r="K21" s="133" t="n">
        <v>45000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대동피렌체</t>
        </is>
      </c>
      <c r="B23" s="10" t="inlineStr">
        <is>
          <t>'05.01.</t>
        </is>
      </c>
      <c r="C23" s="132" t="n">
        <v>232</v>
      </c>
      <c r="D23" s="130" t="n">
        <v>34.2</v>
      </c>
      <c r="E23" s="131" t="n">
        <v>10</v>
      </c>
      <c r="F23" s="130" t="n">
        <v>25.6</v>
      </c>
      <c r="G23" s="17" t="n">
        <v>8</v>
      </c>
      <c r="H23" s="132" t="n">
        <v>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34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대동피렌체</t>
        </is>
      </c>
      <c r="B24" s="10" t="inlineStr">
        <is>
          <t>'05.01.</t>
        </is>
      </c>
      <c r="C24" s="132" t="n">
        <v>232</v>
      </c>
      <c r="D24" s="130" t="n">
        <v>40.1</v>
      </c>
      <c r="E24" s="131" t="n">
        <v>12</v>
      </c>
      <c r="F24" s="130" t="n">
        <v>30</v>
      </c>
      <c r="G24" s="17" t="n">
        <v>9</v>
      </c>
      <c r="H24" s="132" t="n">
        <v>12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대동피렌체</t>
        </is>
      </c>
      <c r="B25" s="10" t="inlineStr">
        <is>
          <t>'05.01.</t>
        </is>
      </c>
      <c r="C25" s="132" t="n">
        <v>232</v>
      </c>
      <c r="D25" s="130" t="n">
        <v>41.1</v>
      </c>
      <c r="E25" s="131" t="n">
        <v>12</v>
      </c>
      <c r="F25" s="130" t="n">
        <v>30.8</v>
      </c>
      <c r="G25" s="17" t="n">
        <v>9</v>
      </c>
      <c r="H25" s="132" t="n">
        <v>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복</t>
        </is>
      </c>
      <c r="T25" s="5" t="inlineStr">
        <is>
          <t>41B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대동피렌체</t>
        </is>
      </c>
      <c r="B26" s="10" t="inlineStr">
        <is>
          <t>'05.01.</t>
        </is>
      </c>
      <c r="C26" s="132" t="n">
        <v>232</v>
      </c>
      <c r="D26" s="130" t="n">
        <v>42.7</v>
      </c>
      <c r="E26" s="131" t="n">
        <v>13</v>
      </c>
      <c r="F26" s="130" t="n">
        <v>32</v>
      </c>
      <c r="G26" s="17" t="n">
        <v>10</v>
      </c>
      <c r="H26" s="132" t="n">
        <v>195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42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대동피렌체</t>
        </is>
      </c>
      <c r="B27" s="10" t="inlineStr">
        <is>
          <t>'05.01.</t>
        </is>
      </c>
      <c r="C27" s="132" t="n">
        <v>232</v>
      </c>
      <c r="D27" s="130" t="n">
        <v>60.9</v>
      </c>
      <c r="E27" s="131" t="n">
        <v>18</v>
      </c>
      <c r="F27" s="130" t="n">
        <v>45.6</v>
      </c>
      <c r="G27" s="17" t="n">
        <v>14</v>
      </c>
      <c r="H27" s="132" t="n">
        <v>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60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덕풍현대</t>
        </is>
      </c>
      <c r="B29" s="10" t="inlineStr">
        <is>
          <t>'97.12.</t>
        </is>
      </c>
      <c r="C29" s="132" t="n">
        <v>555</v>
      </c>
      <c r="D29" s="130" t="n">
        <v>81.7</v>
      </c>
      <c r="E29" s="131" t="n">
        <v>25</v>
      </c>
      <c r="F29" s="130" t="n">
        <v>59.9</v>
      </c>
      <c r="G29" s="17" t="n">
        <v>18</v>
      </c>
      <c r="H29" s="132" t="n">
        <v>202</v>
      </c>
      <c r="I29" s="133" t="n">
        <v>53000</v>
      </c>
      <c r="J29" s="133" t="inlineStr">
        <is>
          <t>16</t>
        </is>
      </c>
      <c r="K29" s="133" t="n">
        <v>40000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복</t>
        </is>
      </c>
      <c r="T29" s="5" t="n">
        <v>81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덕풍현대</t>
        </is>
      </c>
      <c r="B30" s="10" t="inlineStr">
        <is>
          <t>'97.12.</t>
        </is>
      </c>
      <c r="C30" s="132" t="n">
        <v>555</v>
      </c>
      <c r="D30" s="130" t="n">
        <v>108.6</v>
      </c>
      <c r="E30" s="131" t="n">
        <v>33</v>
      </c>
      <c r="F30" s="130" t="n">
        <v>84.8</v>
      </c>
      <c r="G30" s="17" t="n">
        <v>26</v>
      </c>
      <c r="H30" s="132" t="n">
        <v>353</v>
      </c>
      <c r="I30" s="133" t="n">
        <v>61000</v>
      </c>
      <c r="J30" s="133" t="inlineStr">
        <is>
          <t>5</t>
        </is>
      </c>
      <c r="K30" s="133" t="n">
        <v>45000</v>
      </c>
      <c r="L30" s="133" t="inlineStr">
        <is>
          <t>8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복</t>
        </is>
      </c>
      <c r="T30" s="5" t="n">
        <v>108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덕풍서해</t>
        </is>
      </c>
      <c r="B32" s="10" t="inlineStr">
        <is>
          <t>'96.04.</t>
        </is>
      </c>
      <c r="C32" s="132" t="n">
        <v>423</v>
      </c>
      <c r="D32" s="130" t="n">
        <v>80.40000000000001</v>
      </c>
      <c r="E32" s="131" t="n">
        <v>24</v>
      </c>
      <c r="F32" s="130" t="n">
        <v>59</v>
      </c>
      <c r="G32" s="17" t="n">
        <v>18</v>
      </c>
      <c r="H32" s="132" t="n">
        <v>213</v>
      </c>
      <c r="I32" s="133" t="n">
        <v>52000</v>
      </c>
      <c r="J32" s="133" t="inlineStr">
        <is>
          <t>6</t>
        </is>
      </c>
      <c r="K32" s="133" t="n">
        <v>32000</v>
      </c>
      <c r="L32" s="133" t="inlineStr">
        <is>
          <t>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복</t>
        </is>
      </c>
      <c r="T32" s="5" t="n">
        <v>80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덕풍서해</t>
        </is>
      </c>
      <c r="B33" s="10" t="inlineStr">
        <is>
          <t>'96.04.</t>
        </is>
      </c>
      <c r="C33" s="132" t="n">
        <v>423</v>
      </c>
      <c r="D33" s="130" t="n">
        <v>105.2</v>
      </c>
      <c r="E33" s="131" t="n">
        <v>32</v>
      </c>
      <c r="F33" s="130" t="n">
        <v>84.90000000000001</v>
      </c>
      <c r="G33" s="17" t="n">
        <v>26</v>
      </c>
      <c r="H33" s="132" t="n">
        <v>174</v>
      </c>
      <c r="I33" s="133" t="n">
        <v>61000</v>
      </c>
      <c r="J33" s="133" t="inlineStr">
        <is>
          <t>13</t>
        </is>
      </c>
      <c r="K33" s="133" t="n">
        <v>46000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덕풍서해</t>
        </is>
      </c>
      <c r="B34" s="10" t="inlineStr">
        <is>
          <t>'96.04.</t>
        </is>
      </c>
      <c r="C34" s="132" t="n">
        <v>423</v>
      </c>
      <c r="D34" s="130" t="n">
        <v>124</v>
      </c>
      <c r="E34" s="131" t="n">
        <v>38</v>
      </c>
      <c r="F34" s="130" t="n">
        <v>103</v>
      </c>
      <c r="G34" s="17" t="n">
        <v>31</v>
      </c>
      <c r="H34" s="132" t="n">
        <v>36</v>
      </c>
      <c r="I34" s="133" t="n">
        <v>70000</v>
      </c>
      <c r="J34" s="133" t="inlineStr">
        <is>
          <t>중</t>
        </is>
      </c>
      <c r="K34" s="133" t="n">
        <v>45000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124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하남풍산아이파크1단지</t>
        </is>
      </c>
      <c r="B36" s="10" t="inlineStr">
        <is>
          <t>'08.07.</t>
        </is>
      </c>
      <c r="C36" s="132" t="n">
        <v>686</v>
      </c>
      <c r="D36" s="130" t="n">
        <v>109.7</v>
      </c>
      <c r="E36" s="131" t="n">
        <v>33</v>
      </c>
      <c r="F36" s="130" t="n">
        <v>85</v>
      </c>
      <c r="G36" s="17" t="n">
        <v>26</v>
      </c>
      <c r="H36" s="132" t="n">
        <v>57</v>
      </c>
      <c r="I36" s="133" t="n">
        <v>100000</v>
      </c>
      <c r="J36" s="133" t="inlineStr">
        <is>
          <t>6</t>
        </is>
      </c>
      <c r="K36" s="133" t="n">
        <v>68000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109E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하남풍산아이파크1단지</t>
        </is>
      </c>
      <c r="B37" s="10" t="inlineStr">
        <is>
          <t>'08.07.</t>
        </is>
      </c>
      <c r="C37" s="132" t="n">
        <v>686</v>
      </c>
      <c r="D37" s="130" t="n">
        <v>111.6</v>
      </c>
      <c r="E37" s="131" t="n">
        <v>34</v>
      </c>
      <c r="F37" s="130" t="n">
        <v>85</v>
      </c>
      <c r="G37" s="17" t="n">
        <v>26</v>
      </c>
      <c r="H37" s="132" t="n">
        <v>136</v>
      </c>
      <c r="I37" s="133" t="n">
        <v>95000</v>
      </c>
      <c r="J37" s="133" t="inlineStr">
        <is>
          <t>중</t>
        </is>
      </c>
      <c r="K37" s="133" t="n">
        <v>55000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복</t>
        </is>
      </c>
      <c r="T37" s="5" t="inlineStr">
        <is>
          <t>111D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하남풍산아이파크1단지</t>
        </is>
      </c>
      <c r="B38" s="10" t="inlineStr">
        <is>
          <t>'08.07.</t>
        </is>
      </c>
      <c r="C38" s="132" t="n">
        <v>686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180</v>
      </c>
      <c r="I38" s="133" t="n">
        <v>100000</v>
      </c>
      <c r="J38" s="133" t="inlineStr">
        <is>
          <t>중</t>
        </is>
      </c>
      <c r="K38" s="133" t="n">
        <v>55000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하남풍산아이파크1단지</t>
        </is>
      </c>
      <c r="B39" s="10" t="inlineStr">
        <is>
          <t>'08.07.</t>
        </is>
      </c>
      <c r="C39" s="132" t="n">
        <v>686</v>
      </c>
      <c r="D39" s="130" t="n">
        <v>112.2</v>
      </c>
      <c r="E39" s="131" t="n">
        <v>34</v>
      </c>
      <c r="F39" s="130" t="n">
        <v>85</v>
      </c>
      <c r="G39" s="17" t="n">
        <v>26</v>
      </c>
      <c r="H39" s="132" t="n">
        <v>158</v>
      </c>
      <c r="I39" s="133" t="n">
        <v>100000</v>
      </c>
      <c r="J39" s="133" t="inlineStr">
        <is>
          <t>중</t>
        </is>
      </c>
      <c r="K39" s="133" t="n">
        <v>55000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복</t>
        </is>
      </c>
      <c r="T39" s="5" t="inlineStr">
        <is>
          <t>112C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하남풍산아이파크1단지</t>
        </is>
      </c>
      <c r="B40" s="10" t="inlineStr">
        <is>
          <t>'08.07.</t>
        </is>
      </c>
      <c r="C40" s="132" t="n">
        <v>686</v>
      </c>
      <c r="D40" s="130" t="n">
        <v>112.4</v>
      </c>
      <c r="E40" s="131" t="n">
        <v>34</v>
      </c>
      <c r="F40" s="130" t="n">
        <v>84.90000000000001</v>
      </c>
      <c r="G40" s="17" t="n">
        <v>26</v>
      </c>
      <c r="H40" s="132" t="n">
        <v>57</v>
      </c>
      <c r="I40" s="133" t="n">
        <v>95000</v>
      </c>
      <c r="J40" s="133" t="inlineStr">
        <is>
          <t>중</t>
        </is>
      </c>
      <c r="K40" s="133" t="n">
        <v>50000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하남풍산아이파크1단지</t>
        </is>
      </c>
      <c r="B41" s="10" t="inlineStr">
        <is>
          <t>'08.07.</t>
        </is>
      </c>
      <c r="C41" s="132" t="n">
        <v>686</v>
      </c>
      <c r="D41" s="130" t="n">
        <v>128.3</v>
      </c>
      <c r="E41" s="131" t="n">
        <v>39</v>
      </c>
      <c r="F41" s="130" t="n">
        <v>100.9</v>
      </c>
      <c r="G41" s="17" t="n">
        <v>31</v>
      </c>
      <c r="H41" s="132" t="n">
        <v>92</v>
      </c>
      <c r="I41" s="133" t="n">
        <v>119500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128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하남풍산아이파크1단지</t>
        </is>
      </c>
      <c r="B42" s="10" t="inlineStr">
        <is>
          <t>'08.07.</t>
        </is>
      </c>
      <c r="C42" s="132" t="n">
        <v>686</v>
      </c>
      <c r="D42" s="130" t="n">
        <v>134.2</v>
      </c>
      <c r="E42" s="131" t="n">
        <v>41</v>
      </c>
      <c r="F42" s="130" t="n">
        <v>101.7</v>
      </c>
      <c r="G42" s="17" t="n">
        <v>31</v>
      </c>
      <c r="H42" s="132" t="n">
        <v>6</v>
      </c>
      <c r="I42" s="133" t="n">
        <v>170000</v>
      </c>
      <c r="J42" s="133" t="inlineStr">
        <is>
          <t>15</t>
        </is>
      </c>
      <c r="K42" s="133" t="n">
        <v>90000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복</t>
        </is>
      </c>
      <c r="T42" s="5" t="n">
        <v>134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진모루마을현대</t>
        </is>
      </c>
      <c r="B44" s="10" t="inlineStr">
        <is>
          <t>'00.12.</t>
        </is>
      </c>
      <c r="C44" s="132" t="n">
        <v>387</v>
      </c>
      <c r="D44" s="130" t="n">
        <v>77.3</v>
      </c>
      <c r="E44" s="131" t="n">
        <v>23</v>
      </c>
      <c r="F44" s="130" t="n">
        <v>59.8</v>
      </c>
      <c r="G44" s="17" t="n">
        <v>18</v>
      </c>
      <c r="H44" s="132" t="n">
        <v>21</v>
      </c>
      <c r="I44" s="133" t="n">
        <v>71000</v>
      </c>
      <c r="J44" s="133" t="inlineStr">
        <is>
          <t>13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77A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진모루마을현대</t>
        </is>
      </c>
      <c r="B45" s="10" t="inlineStr">
        <is>
          <t>'00.12.</t>
        </is>
      </c>
      <c r="C45" s="132" t="n">
        <v>387</v>
      </c>
      <c r="D45" s="130" t="n">
        <v>77.59999999999999</v>
      </c>
      <c r="E45" s="131" t="n">
        <v>23</v>
      </c>
      <c r="F45" s="130" t="n">
        <v>60</v>
      </c>
      <c r="G45" s="17" t="n">
        <v>18</v>
      </c>
      <c r="H45" s="132" t="n">
        <v>18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inlineStr">
        <is>
          <t>77B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진모루마을현대</t>
        </is>
      </c>
      <c r="B46" s="10" t="inlineStr">
        <is>
          <t>'00.12.</t>
        </is>
      </c>
      <c r="C46" s="132" t="n">
        <v>387</v>
      </c>
      <c r="D46" s="130" t="n">
        <v>109.9</v>
      </c>
      <c r="E46" s="131" t="n">
        <v>33</v>
      </c>
      <c r="F46" s="130" t="n">
        <v>85</v>
      </c>
      <c r="G46" s="17" t="n">
        <v>26</v>
      </c>
      <c r="H46" s="132" t="n">
        <v>308</v>
      </c>
      <c r="I46" s="133" t="n">
        <v>78000</v>
      </c>
      <c r="J46" s="133" t="inlineStr">
        <is>
          <t>6</t>
        </is>
      </c>
      <c r="K46" s="133" t="n">
        <v>43000</v>
      </c>
      <c r="L46" s="133" t="inlineStr">
        <is>
          <t>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진모루마을현대</t>
        </is>
      </c>
      <c r="B47" s="10" t="inlineStr">
        <is>
          <t>'00.12.</t>
        </is>
      </c>
      <c r="C47" s="132" t="n">
        <v>387</v>
      </c>
      <c r="D47" s="130" t="n">
        <v>109.9</v>
      </c>
      <c r="E47" s="131" t="n">
        <v>33</v>
      </c>
      <c r="F47" s="130" t="n">
        <v>85</v>
      </c>
      <c r="G47" s="17" t="n">
        <v>26</v>
      </c>
      <c r="H47" s="132" t="n">
        <v>25</v>
      </c>
      <c r="I47" s="133" t="n">
        <v>78000</v>
      </c>
      <c r="J47" s="133" t="inlineStr">
        <is>
          <t>6</t>
        </is>
      </c>
      <c r="K47" s="133" t="n">
        <v>43000</v>
      </c>
      <c r="L47" s="133" t="inlineStr">
        <is>
          <t>6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진모루마을현대</t>
        </is>
      </c>
      <c r="B48" s="10" t="inlineStr">
        <is>
          <t>'00.12.</t>
        </is>
      </c>
      <c r="C48" s="132" t="n">
        <v>387</v>
      </c>
      <c r="D48" s="130" t="n">
        <v>109.7</v>
      </c>
      <c r="E48" s="131" t="n">
        <v>33</v>
      </c>
      <c r="F48" s="130" t="n">
        <v>84.8</v>
      </c>
      <c r="G48" s="17" t="n">
        <v>26</v>
      </c>
      <c r="H48" s="132" t="n">
        <v>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한솔리치빌1단지</t>
        </is>
      </c>
      <c r="B50" s="10" t="inlineStr">
        <is>
          <t>'02.12.</t>
        </is>
      </c>
      <c r="C50" s="132" t="n">
        <v>747</v>
      </c>
      <c r="D50" s="130" t="n">
        <v>115.8</v>
      </c>
      <c r="E50" s="131" t="n">
        <v>35</v>
      </c>
      <c r="F50" s="130" t="n">
        <v>84.8</v>
      </c>
      <c r="G50" s="17" t="n">
        <v>26</v>
      </c>
      <c r="H50" s="132" t="n">
        <v>747</v>
      </c>
      <c r="I50" s="133" t="n">
        <v>64000</v>
      </c>
      <c r="J50" s="133" t="inlineStr">
        <is>
          <t>6</t>
        </is>
      </c>
      <c r="K50" s="133" t="n">
        <v>43000</v>
      </c>
      <c r="L50" s="133" t="inlineStr">
        <is>
          <t>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115A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한솔리치빌3단지</t>
        </is>
      </c>
      <c r="B52" s="10" t="inlineStr">
        <is>
          <t>'05.01.</t>
        </is>
      </c>
      <c r="C52" s="132" t="n">
        <v>283</v>
      </c>
      <c r="D52" s="130" t="n">
        <v>81.8</v>
      </c>
      <c r="E52" s="131" t="n">
        <v>25</v>
      </c>
      <c r="F52" s="130" t="n">
        <v>60</v>
      </c>
      <c r="G52" s="17" t="n">
        <v>18</v>
      </c>
      <c r="H52" s="132" t="n">
        <v>20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81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한솔리치빌3단지</t>
        </is>
      </c>
      <c r="B53" s="10" t="inlineStr">
        <is>
          <t>'05.01.</t>
        </is>
      </c>
      <c r="C53" s="132" t="n">
        <v>283</v>
      </c>
      <c r="D53" s="130" t="n">
        <v>110</v>
      </c>
      <c r="E53" s="131" t="n">
        <v>33</v>
      </c>
      <c r="F53" s="130" t="n">
        <v>85</v>
      </c>
      <c r="G53" s="17" t="n">
        <v>26</v>
      </c>
      <c r="H53" s="132" t="n">
        <v>236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110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한솔리치빌3단지</t>
        </is>
      </c>
      <c r="B54" s="10" t="inlineStr">
        <is>
          <t>'05.01.</t>
        </is>
      </c>
      <c r="C54" s="132" t="n">
        <v>283</v>
      </c>
      <c r="D54" s="130" t="n">
        <v>110.3</v>
      </c>
      <c r="E54" s="131" t="n">
        <v>33</v>
      </c>
      <c r="F54" s="130" t="n">
        <v>84.8</v>
      </c>
      <c r="G54" s="17" t="n">
        <v>26</v>
      </c>
      <c r="H54" s="132" t="n">
        <v>19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110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한솔리치빌3단지</t>
        </is>
      </c>
      <c r="B55" s="10" t="inlineStr">
        <is>
          <t>'05.01.</t>
        </is>
      </c>
      <c r="C55" s="132" t="n">
        <v>283</v>
      </c>
      <c r="D55" s="130" t="n">
        <v>150.3</v>
      </c>
      <c r="E55" s="131" t="n">
        <v>45</v>
      </c>
      <c r="F55" s="130" t="n">
        <v>118.6</v>
      </c>
      <c r="G55" s="17" t="n">
        <v>36</v>
      </c>
      <c r="H55" s="132" t="n">
        <v>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150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하남더샵센트럴뷰</t>
        </is>
      </c>
      <c r="B57" s="10" t="inlineStr">
        <is>
          <t>'16.08.</t>
        </is>
      </c>
      <c r="C57" s="132" t="n">
        <v>672</v>
      </c>
      <c r="D57" s="130" t="n">
        <v>111.3</v>
      </c>
      <c r="E57" s="131" t="n">
        <v>34</v>
      </c>
      <c r="F57" s="130" t="n">
        <v>84.90000000000001</v>
      </c>
      <c r="G57" s="17" t="n">
        <v>26</v>
      </c>
      <c r="H57" s="132" t="n">
        <v>415</v>
      </c>
      <c r="I57" s="133" t="n">
        <v>95000</v>
      </c>
      <c r="J57" s="133" t="inlineStr">
        <is>
          <t>14</t>
        </is>
      </c>
      <c r="K57" s="133" t="n">
        <v>60000</v>
      </c>
      <c r="L57" s="133" t="inlineStr">
        <is>
          <t>8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하남더샵센트럴뷰</t>
        </is>
      </c>
      <c r="B58" s="10" t="inlineStr">
        <is>
          <t>'16.08.</t>
        </is>
      </c>
      <c r="C58" s="132" t="n">
        <v>672</v>
      </c>
      <c r="D58" s="130" t="n">
        <v>111.3</v>
      </c>
      <c r="E58" s="131" t="n">
        <v>34</v>
      </c>
      <c r="F58" s="130" t="n">
        <v>84.90000000000001</v>
      </c>
      <c r="G58" s="17" t="n">
        <v>26</v>
      </c>
      <c r="H58" s="132" t="n">
        <v>33</v>
      </c>
      <c r="I58" s="133" t="n">
        <v>95000</v>
      </c>
      <c r="J58" s="133" t="inlineStr">
        <is>
          <t>14</t>
        </is>
      </c>
      <c r="K58" s="133" t="n">
        <v>60000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111D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하남더샵센트럴뷰</t>
        </is>
      </c>
      <c r="B59" s="10" t="inlineStr">
        <is>
          <t>'16.08.</t>
        </is>
      </c>
      <c r="C59" s="132" t="n">
        <v>672</v>
      </c>
      <c r="D59" s="130" t="n">
        <v>112.3</v>
      </c>
      <c r="E59" s="131" t="n">
        <v>34</v>
      </c>
      <c r="F59" s="130" t="n">
        <v>84.3</v>
      </c>
      <c r="G59" s="17" t="n">
        <v>26</v>
      </c>
      <c r="H59" s="132" t="n">
        <v>132</v>
      </c>
      <c r="I59" s="133" t="n">
        <v>95000</v>
      </c>
      <c r="J59" s="133" t="inlineStr">
        <is>
          <t>12</t>
        </is>
      </c>
      <c r="K59" s="133" t="n">
        <v>60000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112B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하남더샵센트럴뷰</t>
        </is>
      </c>
      <c r="B60" s="10" t="inlineStr">
        <is>
          <t>'16.08.</t>
        </is>
      </c>
      <c r="C60" s="132" t="n">
        <v>672</v>
      </c>
      <c r="D60" s="130" t="n">
        <v>112.2</v>
      </c>
      <c r="E60" s="131" t="n">
        <v>34</v>
      </c>
      <c r="F60" s="130" t="n">
        <v>84.59999999999999</v>
      </c>
      <c r="G60" s="17" t="n">
        <v>26</v>
      </c>
      <c r="H60" s="132" t="n">
        <v>92</v>
      </c>
      <c r="I60" s="133" t="n">
        <v>110000</v>
      </c>
      <c r="J60" s="133" t="inlineStr">
        <is>
          <t>중</t>
        </is>
      </c>
      <c r="K60" s="133" t="n">
        <v>40000</v>
      </c>
      <c r="L60" s="133" t="inlineStr">
        <is>
          <t>11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112C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하남한솔솔파크</t>
        </is>
      </c>
      <c r="B62" s="10" t="inlineStr">
        <is>
          <t>'06.06.</t>
        </is>
      </c>
      <c r="C62" s="132" t="n">
        <v>616</v>
      </c>
      <c r="D62" s="130" t="n">
        <v>109.7</v>
      </c>
      <c r="E62" s="131" t="n">
        <v>33</v>
      </c>
      <c r="F62" s="130" t="n">
        <v>85</v>
      </c>
      <c r="G62" s="17" t="n">
        <v>26</v>
      </c>
      <c r="H62" s="132" t="n">
        <v>597</v>
      </c>
      <c r="I62" s="133" t="n">
        <v>74000</v>
      </c>
      <c r="J62" s="133" t="inlineStr">
        <is>
          <t>고</t>
        </is>
      </c>
      <c r="K62" s="133" t="n">
        <v>55000</v>
      </c>
      <c r="L62" s="133" t="inlineStr">
        <is>
          <t>15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109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하남한솔솔파크</t>
        </is>
      </c>
      <c r="B63" s="10" t="inlineStr">
        <is>
          <t>'06.06.</t>
        </is>
      </c>
      <c r="C63" s="132" t="n">
        <v>616</v>
      </c>
      <c r="D63" s="130" t="n">
        <v>145.6</v>
      </c>
      <c r="E63" s="131" t="n">
        <v>44</v>
      </c>
      <c r="F63" s="130" t="n">
        <v>115.7</v>
      </c>
      <c r="G63" s="17" t="n">
        <v>35</v>
      </c>
      <c r="H63" s="132" t="n">
        <v>19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145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동원베네스트</t>
        </is>
      </c>
      <c r="B65" s="10" t="inlineStr">
        <is>
          <t>'08.05.</t>
        </is>
      </c>
      <c r="C65" s="132" t="n">
        <v>217</v>
      </c>
      <c r="D65" s="130" t="n">
        <v>108.1</v>
      </c>
      <c r="E65" s="131" t="n">
        <v>33</v>
      </c>
      <c r="F65" s="130" t="n">
        <v>85</v>
      </c>
      <c r="G65" s="17" t="n">
        <v>26</v>
      </c>
      <c r="H65" s="132" t="n">
        <v>217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KCC스위첸</t>
        </is>
      </c>
      <c r="B67" s="10" t="inlineStr">
        <is>
          <t>'06.02.</t>
        </is>
      </c>
      <c r="C67" s="132" t="n">
        <v>244</v>
      </c>
      <c r="D67" s="130" t="n">
        <v>107.9</v>
      </c>
      <c r="E67" s="131" t="n">
        <v>33</v>
      </c>
      <c r="F67" s="130" t="n">
        <v>85</v>
      </c>
      <c r="G67" s="17" t="n">
        <v>26</v>
      </c>
      <c r="H67" s="132" t="n">
        <v>213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107A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KCC스위첸</t>
        </is>
      </c>
      <c r="B68" s="10" t="inlineStr">
        <is>
          <t>'06.02.</t>
        </is>
      </c>
      <c r="C68" s="132" t="n">
        <v>244</v>
      </c>
      <c r="D68" s="130" t="n">
        <v>107.9</v>
      </c>
      <c r="E68" s="131" t="n">
        <v>33</v>
      </c>
      <c r="F68" s="130" t="n">
        <v>85</v>
      </c>
      <c r="G68" s="17" t="n">
        <v>26</v>
      </c>
      <c r="H68" s="132" t="n">
        <v>19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107B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KCC스위첸</t>
        </is>
      </c>
      <c r="B69" s="10" t="inlineStr">
        <is>
          <t>'06.02.</t>
        </is>
      </c>
      <c r="C69" s="132" t="n">
        <v>244</v>
      </c>
      <c r="D69" s="130" t="n">
        <v>112</v>
      </c>
      <c r="E69" s="131" t="n">
        <v>34</v>
      </c>
      <c r="F69" s="130" t="n">
        <v>84.90000000000001</v>
      </c>
      <c r="G69" s="17" t="n">
        <v>26</v>
      </c>
      <c r="H69" s="132" t="n">
        <v>12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112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삼부르네상스</t>
        </is>
      </c>
      <c r="B71" s="10" t="inlineStr">
        <is>
          <t>'08.08.</t>
        </is>
      </c>
      <c r="C71" s="132" t="n">
        <v>471</v>
      </c>
      <c r="D71" s="130" t="n">
        <v>128.5</v>
      </c>
      <c r="E71" s="131" t="n">
        <v>39</v>
      </c>
      <c r="F71" s="130" t="n">
        <v>102</v>
      </c>
      <c r="G71" s="17" t="n">
        <v>31</v>
      </c>
      <c r="H71" s="132" t="n">
        <v>224</v>
      </c>
      <c r="I71" s="133" t="n">
        <v>115000</v>
      </c>
      <c r="J71" s="133" t="inlineStr">
        <is>
          <t>5</t>
        </is>
      </c>
      <c r="K71" s="133" t="n">
        <v>71000</v>
      </c>
      <c r="L71" s="133" t="inlineStr">
        <is>
          <t>6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128A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삼부르네상스</t>
        </is>
      </c>
      <c r="B72" s="10" t="inlineStr">
        <is>
          <t>'08.08.</t>
        </is>
      </c>
      <c r="C72" s="132" t="n">
        <v>471</v>
      </c>
      <c r="D72" s="130" t="n">
        <v>128.5</v>
      </c>
      <c r="E72" s="131" t="n">
        <v>39</v>
      </c>
      <c r="F72" s="130" t="n">
        <v>102</v>
      </c>
      <c r="G72" s="17" t="n">
        <v>31</v>
      </c>
      <c r="H72" s="132" t="n">
        <v>104</v>
      </c>
      <c r="I72" s="133" t="n">
        <v>115000</v>
      </c>
      <c r="J72" s="133" t="inlineStr">
        <is>
          <t>5</t>
        </is>
      </c>
      <c r="K72" s="133" t="n">
        <v>71000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128D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삼부르네상스</t>
        </is>
      </c>
      <c r="B73" s="10" t="inlineStr">
        <is>
          <t>'08.08.</t>
        </is>
      </c>
      <c r="C73" s="132" t="n">
        <v>471</v>
      </c>
      <c r="D73" s="130" t="n">
        <v>128.3</v>
      </c>
      <c r="E73" s="131" t="n">
        <v>39</v>
      </c>
      <c r="F73" s="130" t="n">
        <v>102</v>
      </c>
      <c r="G73" s="17" t="n">
        <v>31</v>
      </c>
      <c r="H73" s="132" t="n">
        <v>103</v>
      </c>
      <c r="I73" s="133" t="n">
        <v>105000</v>
      </c>
      <c r="J73" s="133" t="inlineStr">
        <is>
          <t>5</t>
        </is>
      </c>
      <c r="K73" s="133" t="n">
        <v>70000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128C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삼부르네상스</t>
        </is>
      </c>
      <c r="B74" s="10" t="inlineStr">
        <is>
          <t>'08.08.</t>
        </is>
      </c>
      <c r="C74" s="132" t="n">
        <v>471</v>
      </c>
      <c r="D74" s="130" t="n">
        <v>128.4</v>
      </c>
      <c r="E74" s="131" t="n">
        <v>39</v>
      </c>
      <c r="F74" s="130" t="n">
        <v>102</v>
      </c>
      <c r="G74" s="17" t="n">
        <v>31</v>
      </c>
      <c r="H74" s="132" t="n">
        <v>40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128B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하남자이</t>
        </is>
      </c>
      <c r="B76" s="10" t="inlineStr">
        <is>
          <t>'06.04.</t>
        </is>
      </c>
      <c r="C76" s="132" t="n">
        <v>875</v>
      </c>
      <c r="D76" s="130" t="n">
        <v>78.5</v>
      </c>
      <c r="E76" s="131" t="n">
        <v>24</v>
      </c>
      <c r="F76" s="130" t="n">
        <v>60</v>
      </c>
      <c r="G76" s="17" t="n">
        <v>18</v>
      </c>
      <c r="H76" s="132" t="n">
        <v>80</v>
      </c>
      <c r="I76" s="133" t="n">
        <v>64000</v>
      </c>
      <c r="J76" s="133" t="inlineStr">
        <is>
          <t>12</t>
        </is>
      </c>
      <c r="K76" s="133" t="n">
        <v>45000</v>
      </c>
      <c r="L76" s="133" t="inlineStr">
        <is>
          <t>7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하남자이</t>
        </is>
      </c>
      <c r="B77" s="10" t="inlineStr">
        <is>
          <t>'06.04.</t>
        </is>
      </c>
      <c r="C77" s="132" t="n">
        <v>875</v>
      </c>
      <c r="D77" s="130" t="n">
        <v>81.3</v>
      </c>
      <c r="E77" s="131" t="n">
        <v>25</v>
      </c>
      <c r="F77" s="130" t="n">
        <v>60</v>
      </c>
      <c r="G77" s="17" t="n">
        <v>18</v>
      </c>
      <c r="H77" s="132" t="n">
        <v>104</v>
      </c>
      <c r="I77" s="133" t="n">
        <v>68000</v>
      </c>
      <c r="J77" s="133" t="inlineStr">
        <is>
          <t>25</t>
        </is>
      </c>
      <c r="K77" s="133" t="n">
        <v>45000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81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하남자이</t>
        </is>
      </c>
      <c r="B78" s="10" t="inlineStr">
        <is>
          <t>'06.04.</t>
        </is>
      </c>
      <c r="C78" s="132" t="n">
        <v>875</v>
      </c>
      <c r="D78" s="130" t="n">
        <v>107.8</v>
      </c>
      <c r="E78" s="131" t="n">
        <v>33</v>
      </c>
      <c r="F78" s="130" t="n">
        <v>85</v>
      </c>
      <c r="G78" s="17" t="n">
        <v>26</v>
      </c>
      <c r="H78" s="132" t="n">
        <v>593</v>
      </c>
      <c r="I78" s="133" t="n">
        <v>70000</v>
      </c>
      <c r="J78" s="133" t="inlineStr">
        <is>
          <t>13</t>
        </is>
      </c>
      <c r="K78" s="133" t="n">
        <v>48000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107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하남자이</t>
        </is>
      </c>
      <c r="B79" s="10" t="inlineStr">
        <is>
          <t>'06.04.</t>
        </is>
      </c>
      <c r="C79" s="132" t="n">
        <v>875</v>
      </c>
      <c r="D79" s="130" t="n">
        <v>154.9</v>
      </c>
      <c r="E79" s="131" t="n">
        <v>47</v>
      </c>
      <c r="F79" s="130" t="n">
        <v>125.1</v>
      </c>
      <c r="G79" s="17" t="n">
        <v>38</v>
      </c>
      <c r="H79" s="132" t="n">
        <v>98</v>
      </c>
      <c r="I79" s="133" t="n">
        <v>84000</v>
      </c>
      <c r="J79" s="133" t="inlineStr">
        <is>
          <t>7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154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한솔리치빌5단지</t>
        </is>
      </c>
      <c r="B81" s="10" t="inlineStr">
        <is>
          <t>'06.02.</t>
        </is>
      </c>
      <c r="C81" s="132" t="n">
        <v>268</v>
      </c>
      <c r="D81" s="130" t="n">
        <v>82.5</v>
      </c>
      <c r="E81" s="131" t="n">
        <v>25</v>
      </c>
      <c r="F81" s="130" t="n">
        <v>60</v>
      </c>
      <c r="G81" s="17" t="n">
        <v>18</v>
      </c>
      <c r="H81" s="132" t="n">
        <v>40</v>
      </c>
      <c r="I81" s="133" t="n"/>
      <c r="J81" s="133" t="n"/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한솔리치빌5단지</t>
        </is>
      </c>
      <c r="B82" s="10" t="inlineStr">
        <is>
          <t>'06.02.</t>
        </is>
      </c>
      <c r="C82" s="132" t="n">
        <v>268</v>
      </c>
      <c r="D82" s="130" t="n">
        <v>109.8</v>
      </c>
      <c r="E82" s="131" t="n">
        <v>33</v>
      </c>
      <c r="F82" s="130" t="n">
        <v>84.90000000000001</v>
      </c>
      <c r="G82" s="17" t="n">
        <v>26</v>
      </c>
      <c r="H82" s="132" t="n">
        <v>18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109B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한솔리치빌5단지</t>
        </is>
      </c>
      <c r="B83" s="10" t="inlineStr">
        <is>
          <t>'06.02.</t>
        </is>
      </c>
      <c r="C83" s="132" t="n">
        <v>268</v>
      </c>
      <c r="D83" s="130" t="n">
        <v>110.1</v>
      </c>
      <c r="E83" s="131" t="n">
        <v>33</v>
      </c>
      <c r="F83" s="130" t="n">
        <v>85</v>
      </c>
      <c r="G83" s="17" t="n">
        <v>26</v>
      </c>
      <c r="H83" s="132" t="n">
        <v>210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110A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더샵하남에디피스</t>
        </is>
      </c>
      <c r="B85" s="10" t="inlineStr">
        <is>
          <t>'24.03.</t>
        </is>
      </c>
      <c r="C85" s="132" t="n">
        <v>980</v>
      </c>
      <c r="D85" s="130" t="n">
        <v>56</v>
      </c>
      <c r="E85" s="131" t="n">
        <v>17</v>
      </c>
      <c r="F85" s="130" t="n">
        <v>39.5</v>
      </c>
      <c r="G85" s="17" t="n">
        <v>12</v>
      </c>
      <c r="H85" s="132" t="n">
        <v>2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1</v>
      </c>
      <c r="R85" s="120" t="n">
        <v>1</v>
      </c>
      <c r="S85" s="120" t="inlineStr">
        <is>
          <t>계</t>
        </is>
      </c>
      <c r="T85" s="5" t="inlineStr">
        <is>
          <t>55B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더샵하남에디피스</t>
        </is>
      </c>
      <c r="B86" s="10" t="inlineStr">
        <is>
          <t>'24.03.</t>
        </is>
      </c>
      <c r="C86" s="132" t="n">
        <v>980</v>
      </c>
      <c r="D86" s="130" t="n">
        <v>56.1</v>
      </c>
      <c r="E86" s="131" t="n">
        <v>17</v>
      </c>
      <c r="F86" s="130" t="n">
        <v>39.4</v>
      </c>
      <c r="G86" s="17" t="n">
        <v>12</v>
      </c>
      <c r="H86" s="132" t="n">
        <v>10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1</v>
      </c>
      <c r="R86" s="120" t="n">
        <v>1</v>
      </c>
      <c r="S86" s="120" t="inlineStr">
        <is>
          <t>계</t>
        </is>
      </c>
      <c r="T86" s="5" t="inlineStr">
        <is>
          <t>56A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더샵하남에디피스</t>
        </is>
      </c>
      <c r="B87" s="10" t="inlineStr">
        <is>
          <t>'24.03.</t>
        </is>
      </c>
      <c r="C87" s="132" t="n">
        <v>980</v>
      </c>
      <c r="D87" s="130" t="n">
        <v>69.40000000000001</v>
      </c>
      <c r="E87" s="131" t="n">
        <v>21</v>
      </c>
      <c r="F87" s="130" t="n">
        <v>50.2</v>
      </c>
      <c r="G87" s="17" t="n">
        <v>15</v>
      </c>
      <c r="H87" s="132" t="n">
        <v>12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69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더샵하남에디피스</t>
        </is>
      </c>
      <c r="B88" s="10" t="inlineStr">
        <is>
          <t>'24.03.</t>
        </is>
      </c>
      <c r="C88" s="132" t="n">
        <v>980</v>
      </c>
      <c r="D88" s="130" t="n">
        <v>79.40000000000001</v>
      </c>
      <c r="E88" s="131" t="n">
        <v>24</v>
      </c>
      <c r="F88" s="130" t="n">
        <v>60</v>
      </c>
      <c r="G88" s="17" t="n">
        <v>18</v>
      </c>
      <c r="H88" s="132" t="n">
        <v>408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79A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더샵하남에디피스</t>
        </is>
      </c>
      <c r="B89" s="10" t="inlineStr">
        <is>
          <t>'24.03.</t>
        </is>
      </c>
      <c r="C89" s="132" t="n">
        <v>980</v>
      </c>
      <c r="D89" s="130" t="n">
        <v>79.7</v>
      </c>
      <c r="E89" s="131" t="n">
        <v>24</v>
      </c>
      <c r="F89" s="130" t="n">
        <v>59.9</v>
      </c>
      <c r="G89" s="17" t="n">
        <v>18</v>
      </c>
      <c r="H89" s="132" t="n">
        <v>118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79B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더샵하남에디피스</t>
        </is>
      </c>
      <c r="B90" s="10" t="inlineStr">
        <is>
          <t>'24.03.</t>
        </is>
      </c>
      <c r="C90" s="132" t="n">
        <v>980</v>
      </c>
      <c r="D90" s="130" t="n">
        <v>99.09999999999999</v>
      </c>
      <c r="E90" s="131" t="n">
        <v>30</v>
      </c>
      <c r="F90" s="130" t="n">
        <v>74.59999999999999</v>
      </c>
      <c r="G90" s="17" t="n">
        <v>23</v>
      </c>
      <c r="H90" s="132" t="n">
        <v>139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더샵하남에디피스</t>
        </is>
      </c>
      <c r="B91" s="10" t="inlineStr">
        <is>
          <t>'24.03.</t>
        </is>
      </c>
      <c r="C91" s="132" t="n">
        <v>980</v>
      </c>
      <c r="D91" s="130" t="n">
        <v>109.7</v>
      </c>
      <c r="E91" s="131" t="n">
        <v>33</v>
      </c>
      <c r="F91" s="130" t="n">
        <v>84.90000000000001</v>
      </c>
      <c r="G91" s="17" t="n">
        <v>26</v>
      </c>
      <c r="H91" s="132" t="n">
        <v>241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109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하남풍산아이파크5단지</t>
        </is>
      </c>
      <c r="B93" s="10" t="inlineStr">
        <is>
          <t>'08.07.</t>
        </is>
      </c>
      <c r="C93" s="132" t="n">
        <v>365</v>
      </c>
      <c r="D93" s="130" t="n">
        <v>109.6</v>
      </c>
      <c r="E93" s="131" t="n">
        <v>33</v>
      </c>
      <c r="F93" s="130" t="n">
        <v>85</v>
      </c>
      <c r="G93" s="17" t="n">
        <v>26</v>
      </c>
      <c r="H93" s="132" t="n">
        <v>41</v>
      </c>
      <c r="I93" s="133" t="n">
        <v>110000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109E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하남풍산아이파크5단지</t>
        </is>
      </c>
      <c r="B94" s="10" t="inlineStr">
        <is>
          <t>'08.07.</t>
        </is>
      </c>
      <c r="C94" s="132" t="n">
        <v>365</v>
      </c>
      <c r="D94" s="130" t="n">
        <v>110.9</v>
      </c>
      <c r="E94" s="131" t="n">
        <v>34</v>
      </c>
      <c r="F94" s="130" t="n">
        <v>85</v>
      </c>
      <c r="G94" s="17" t="n">
        <v>26</v>
      </c>
      <c r="H94" s="132" t="n">
        <v>78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복</t>
        </is>
      </c>
      <c r="T94" s="5" t="inlineStr">
        <is>
          <t>110C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하남풍산아이파크5단지</t>
        </is>
      </c>
      <c r="B95" s="10" t="inlineStr">
        <is>
          <t>'08.07.</t>
        </is>
      </c>
      <c r="C95" s="132" t="n">
        <v>365</v>
      </c>
      <c r="D95" s="130" t="n">
        <v>110.2</v>
      </c>
      <c r="E95" s="131" t="n">
        <v>33</v>
      </c>
      <c r="F95" s="130" t="n">
        <v>85</v>
      </c>
      <c r="G95" s="17" t="n">
        <v>26</v>
      </c>
      <c r="H95" s="132" t="n">
        <v>74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복</t>
        </is>
      </c>
      <c r="T95" s="5" t="inlineStr">
        <is>
          <t>110D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하남풍산아이파크5단지</t>
        </is>
      </c>
      <c r="B96" s="10" t="inlineStr">
        <is>
          <t>'08.07.</t>
        </is>
      </c>
      <c r="C96" s="132" t="n">
        <v>365</v>
      </c>
      <c r="D96" s="130" t="n">
        <v>111.8</v>
      </c>
      <c r="E96" s="131" t="n">
        <v>34</v>
      </c>
      <c r="F96" s="130" t="n">
        <v>85</v>
      </c>
      <c r="G96" s="17" t="n">
        <v>26</v>
      </c>
      <c r="H96" s="132" t="n">
        <v>131</v>
      </c>
      <c r="I96" s="133" t="n">
        <v>98000</v>
      </c>
      <c r="J96" s="133" t="inlineStr">
        <is>
          <t>5</t>
        </is>
      </c>
      <c r="K96" s="133" t="n">
        <v>55000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복</t>
        </is>
      </c>
      <c r="T96" s="5" t="inlineStr">
        <is>
          <t>111A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하남풍산아이파크5단지</t>
        </is>
      </c>
      <c r="B97" s="10" t="inlineStr">
        <is>
          <t>'08.07.</t>
        </is>
      </c>
      <c r="C97" s="132" t="n">
        <v>365</v>
      </c>
      <c r="D97" s="130" t="n">
        <v>112.3</v>
      </c>
      <c r="E97" s="131" t="n">
        <v>34</v>
      </c>
      <c r="F97" s="130" t="n">
        <v>84.90000000000001</v>
      </c>
      <c r="G97" s="17" t="n">
        <v>26</v>
      </c>
      <c r="H97" s="132" t="n">
        <v>41</v>
      </c>
      <c r="I97" s="133" t="n">
        <v>120000</v>
      </c>
      <c r="J97" s="133" t="inlineStr">
        <is>
          <t>12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112B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23">
      <formula>AV4="X"</formula>
    </cfRule>
    <cfRule type="expression" priority="1470" dxfId="22">
      <formula>AV4="후보"</formula>
    </cfRule>
  </conditionalFormatting>
  <conditionalFormatting sqref="AC1:AC2 AC4:AC6 N4:N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:N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23">
      <formula>AV7="X"</formula>
    </cfRule>
    <cfRule type="expression" priority="1449" dxfId="22">
      <formula>AV7="후보"</formula>
    </cfRule>
  </conditionalFormatting>
  <conditionalFormatting sqref="AC7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23">
      <formula>AV8="X"</formula>
    </cfRule>
    <cfRule type="expression" priority="1430" dxfId="22">
      <formula>AV8="후보"</formula>
    </cfRule>
  </conditionalFormatting>
  <conditionalFormatting sqref="AC8 N8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9">
    <cfRule type="expression" priority="1424" dxfId="23">
      <formula>AV9="X"</formula>
    </cfRule>
    <cfRule type="expression" priority="1425" dxfId="22">
      <formula>AV9="후보"</formula>
    </cfRule>
  </conditionalFormatting>
  <conditionalFormatting sqref="AC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23">
      <formula>AV10="X"</formula>
    </cfRule>
    <cfRule type="expression" priority="1406" dxfId="22">
      <formula>AV10="후보"</formula>
    </cfRule>
  </conditionalFormatting>
  <conditionalFormatting sqref="AC1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10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23">
      <formula>AV11="X"</formula>
    </cfRule>
    <cfRule type="expression" priority="1387" dxfId="22">
      <formula>AV11="후보"</formula>
    </cfRule>
  </conditionalFormatting>
  <conditionalFormatting sqref="AC11 N1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AV12">
    <cfRule type="expression" priority="1381" dxfId="23">
      <formula>AV12="X"</formula>
    </cfRule>
    <cfRule type="expression" priority="1382" dxfId="22">
      <formula>AV12="후보"</formula>
    </cfRule>
  </conditionalFormatting>
  <conditionalFormatting sqref="AC12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12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23">
      <formula>AV13="X"</formula>
    </cfRule>
    <cfRule type="expression" priority="1363" dxfId="22">
      <formula>AV13="후보"</formula>
    </cfRule>
  </conditionalFormatting>
  <conditionalFormatting sqref="AC13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13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23">
      <formula>AV14="X"</formula>
    </cfRule>
    <cfRule type="expression" priority="1344" dxfId="22">
      <formula>AV14="후보"</formula>
    </cfRule>
  </conditionalFormatting>
  <conditionalFormatting sqref="AC14 N14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AV15">
    <cfRule type="expression" priority="1338" dxfId="23">
      <formula>AV15="X"</formula>
    </cfRule>
    <cfRule type="expression" priority="1339" dxfId="22">
      <formula>AV15="후보"</formula>
    </cfRule>
  </conditionalFormatting>
  <conditionalFormatting sqref="AC1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1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23">
      <formula>AV16="X"</formula>
    </cfRule>
    <cfRule type="expression" priority="1320" dxfId="22">
      <formula>AV16="후보"</formula>
    </cfRule>
  </conditionalFormatting>
  <conditionalFormatting sqref="AC1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1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23">
      <formula>AV17="X"</formula>
    </cfRule>
    <cfRule type="expression" priority="1301" dxfId="22">
      <formula>AV17="후보"</formula>
    </cfRule>
  </conditionalFormatting>
  <conditionalFormatting sqref="AC1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1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23">
      <formula>AV18="X"</formula>
    </cfRule>
    <cfRule type="expression" priority="1282" dxfId="22">
      <formula>AV18="후보"</formula>
    </cfRule>
  </conditionalFormatting>
  <conditionalFormatting sqref="AC1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1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23">
      <formula>AV19="X"</formula>
    </cfRule>
    <cfRule type="expression" priority="1263" dxfId="22">
      <formula>AV19="후보"</formula>
    </cfRule>
  </conditionalFormatting>
  <conditionalFormatting sqref="AC19 N1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20">
    <cfRule type="expression" priority="1257" dxfId="23">
      <formula>AV20="X"</formula>
    </cfRule>
    <cfRule type="expression" priority="1258" dxfId="22">
      <formula>AV20="후보"</formula>
    </cfRule>
  </conditionalFormatting>
  <conditionalFormatting sqref="AC2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20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23">
      <formula>AV21="X"</formula>
    </cfRule>
    <cfRule type="expression" priority="1239" dxfId="22">
      <formula>AV21="후보"</formula>
    </cfRule>
  </conditionalFormatting>
  <conditionalFormatting sqref="AC21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21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23">
      <formula>AV22="X"</formula>
    </cfRule>
    <cfRule type="expression" priority="1220" dxfId="22">
      <formula>AV22="후보"</formula>
    </cfRule>
  </conditionalFormatting>
  <conditionalFormatting sqref="AC22 N2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23">
    <cfRule type="expression" priority="1214" dxfId="23">
      <formula>AV23="X"</formula>
    </cfRule>
    <cfRule type="expression" priority="1215" dxfId="22">
      <formula>AV23="후보"</formula>
    </cfRule>
  </conditionalFormatting>
  <conditionalFormatting sqref="AC2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2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23">
      <formula>AV24="X"</formula>
    </cfRule>
    <cfRule type="expression" priority="1196" dxfId="22">
      <formula>AV24="후보"</formula>
    </cfRule>
  </conditionalFormatting>
  <conditionalFormatting sqref="AC2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2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23">
      <formula>AV25="X"</formula>
    </cfRule>
    <cfRule type="expression" priority="1177" dxfId="22">
      <formula>AV25="후보"</formula>
    </cfRule>
  </conditionalFormatting>
  <conditionalFormatting sqref="AC2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2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23">
      <formula>AV26="X"</formula>
    </cfRule>
    <cfRule type="expression" priority="1158" dxfId="22">
      <formula>AV26="후보"</formula>
    </cfRule>
  </conditionalFormatting>
  <conditionalFormatting sqref="AC2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2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23">
      <formula>AV27="X"</formula>
    </cfRule>
    <cfRule type="expression" priority="1139" dxfId="22">
      <formula>AV27="후보"</formula>
    </cfRule>
  </conditionalFormatting>
  <conditionalFormatting sqref="AC2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2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23">
      <formula>AV28="X"</formula>
    </cfRule>
    <cfRule type="expression" priority="1120" dxfId="22">
      <formula>AV28="후보"</formula>
    </cfRule>
  </conditionalFormatting>
  <conditionalFormatting sqref="AC28 N2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29">
    <cfRule type="expression" priority="1114" dxfId="23">
      <formula>AV29="X"</formula>
    </cfRule>
    <cfRule type="expression" priority="1115" dxfId="22">
      <formula>AV29="후보"</formula>
    </cfRule>
  </conditionalFormatting>
  <conditionalFormatting sqref="AC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9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23">
      <formula>AV30="X"</formula>
    </cfRule>
    <cfRule type="expression" priority="1096" dxfId="22">
      <formula>AV30="후보"</formula>
    </cfRule>
  </conditionalFormatting>
  <conditionalFormatting sqref="AC30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30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23">
      <formula>AV31="X"</formula>
    </cfRule>
    <cfRule type="expression" priority="1077" dxfId="22">
      <formula>AV31="후보"</formula>
    </cfRule>
  </conditionalFormatting>
  <conditionalFormatting sqref="AC31 N31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32">
    <cfRule type="expression" priority="1071" dxfId="23">
      <formula>AV32="X"</formula>
    </cfRule>
    <cfRule type="expression" priority="1072" dxfId="22">
      <formula>AV32="후보"</formula>
    </cfRule>
  </conditionalFormatting>
  <conditionalFormatting sqref="AC3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23">
      <formula>AV33="X"</formula>
    </cfRule>
    <cfRule type="expression" priority="1053" dxfId="22">
      <formula>AV33="후보"</formula>
    </cfRule>
  </conditionalFormatting>
  <conditionalFormatting sqref="AC3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3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23">
      <formula>AV34="X"</formula>
    </cfRule>
    <cfRule type="expression" priority="1034" dxfId="22">
      <formula>AV34="후보"</formula>
    </cfRule>
  </conditionalFormatting>
  <conditionalFormatting sqref="AC3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3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23">
      <formula>AV35="X"</formula>
    </cfRule>
    <cfRule type="expression" priority="1015" dxfId="22">
      <formula>AV35="후보"</formula>
    </cfRule>
  </conditionalFormatting>
  <conditionalFormatting sqref="AC35 N3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36">
    <cfRule type="expression" priority="1009" dxfId="23">
      <formula>AV36="X"</formula>
    </cfRule>
    <cfRule type="expression" priority="1010" dxfId="22">
      <formula>AV36="후보"</formula>
    </cfRule>
  </conditionalFormatting>
  <conditionalFormatting sqref="AC3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23">
      <formula>AV37="X"</formula>
    </cfRule>
    <cfRule type="expression" priority="991" dxfId="22">
      <formula>AV37="후보"</formula>
    </cfRule>
  </conditionalFormatting>
  <conditionalFormatting sqref="AC3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23">
      <formula>AV38="X"</formula>
    </cfRule>
    <cfRule type="expression" priority="972" dxfId="22">
      <formula>AV38="후보"</formula>
    </cfRule>
  </conditionalFormatting>
  <conditionalFormatting sqref="AC3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23">
      <formula>AV39="X"</formula>
    </cfRule>
    <cfRule type="expression" priority="953" dxfId="22">
      <formula>AV39="후보"</formula>
    </cfRule>
  </conditionalFormatting>
  <conditionalFormatting sqref="AC3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23">
      <formula>AV40="X"</formula>
    </cfRule>
    <cfRule type="expression" priority="934" dxfId="22">
      <formula>AV40="후보"</formula>
    </cfRule>
  </conditionalFormatting>
  <conditionalFormatting sqref="AC4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4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23">
      <formula>AV41="X"</formula>
    </cfRule>
    <cfRule type="expression" priority="915" dxfId="22">
      <formula>AV41="후보"</formula>
    </cfRule>
  </conditionalFormatting>
  <conditionalFormatting sqref="AC4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4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23">
      <formula>AV42="X"</formula>
    </cfRule>
    <cfRule type="expression" priority="896" dxfId="22">
      <formula>AV42="후보"</formula>
    </cfRule>
  </conditionalFormatting>
  <conditionalFormatting sqref="AC4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23">
      <formula>AV43="X"</formula>
    </cfRule>
    <cfRule type="expression" priority="877" dxfId="22">
      <formula>AV43="후보"</formula>
    </cfRule>
  </conditionalFormatting>
  <conditionalFormatting sqref="AC43 N4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44">
    <cfRule type="expression" priority="871" dxfId="23">
      <formula>AV44="X"</formula>
    </cfRule>
    <cfRule type="expression" priority="872" dxfId="22">
      <formula>AV44="후보"</formula>
    </cfRule>
  </conditionalFormatting>
  <conditionalFormatting sqref="AC4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23">
      <formula>AV45="X"</formula>
    </cfRule>
    <cfRule type="expression" priority="853" dxfId="22">
      <formula>AV45="후보"</formula>
    </cfRule>
  </conditionalFormatting>
  <conditionalFormatting sqref="AC4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23">
      <formula>AV46="X"</formula>
    </cfRule>
    <cfRule type="expression" priority="834" dxfId="22">
      <formula>AV46="후보"</formula>
    </cfRule>
  </conditionalFormatting>
  <conditionalFormatting sqref="AC4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23">
      <formula>AV47="X"</formula>
    </cfRule>
    <cfRule type="expression" priority="815" dxfId="22">
      <formula>AV47="후보"</formula>
    </cfRule>
  </conditionalFormatting>
  <conditionalFormatting sqref="AC4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23">
      <formula>AV48="X"</formula>
    </cfRule>
    <cfRule type="expression" priority="796" dxfId="22">
      <formula>AV48="후보"</formula>
    </cfRule>
  </conditionalFormatting>
  <conditionalFormatting sqref="AC4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23">
      <formula>AV49="X"</formula>
    </cfRule>
    <cfRule type="expression" priority="777" dxfId="22">
      <formula>AV49="후보"</formula>
    </cfRule>
  </conditionalFormatting>
  <conditionalFormatting sqref="AC49 N4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50">
    <cfRule type="expression" priority="771" dxfId="23">
      <formula>AV50="X"</formula>
    </cfRule>
    <cfRule type="expression" priority="772" dxfId="22">
      <formula>AV50="후보"</formula>
    </cfRule>
  </conditionalFormatting>
  <conditionalFormatting sqref="AC5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23">
      <formula>AV51="X"</formula>
    </cfRule>
    <cfRule type="expression" priority="753" dxfId="22">
      <formula>AV51="후보"</formula>
    </cfRule>
  </conditionalFormatting>
  <conditionalFormatting sqref="AC51 N5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52">
    <cfRule type="expression" priority="747" dxfId="23">
      <formula>AV52="X"</formula>
    </cfRule>
    <cfRule type="expression" priority="748" dxfId="22">
      <formula>AV52="후보"</formula>
    </cfRule>
  </conditionalFormatting>
  <conditionalFormatting sqref="AC5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5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23">
      <formula>AV53="X"</formula>
    </cfRule>
    <cfRule type="expression" priority="729" dxfId="22">
      <formula>AV53="후보"</formula>
    </cfRule>
  </conditionalFormatting>
  <conditionalFormatting sqref="AC5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5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23">
      <formula>AV54="X"</formula>
    </cfRule>
    <cfRule type="expression" priority="710" dxfId="22">
      <formula>AV54="후보"</formula>
    </cfRule>
  </conditionalFormatting>
  <conditionalFormatting sqref="AC5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23">
      <formula>AV55="X"</formula>
    </cfRule>
    <cfRule type="expression" priority="691" dxfId="22">
      <formula>AV55="후보"</formula>
    </cfRule>
  </conditionalFormatting>
  <conditionalFormatting sqref="AC5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23">
      <formula>AV56="X"</formula>
    </cfRule>
    <cfRule type="expression" priority="672" dxfId="22">
      <formula>AV56="후보"</formula>
    </cfRule>
  </conditionalFormatting>
  <conditionalFormatting sqref="AC56 N5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7">
    <cfRule type="expression" priority="666" dxfId="23">
      <formula>AV57="X"</formula>
    </cfRule>
    <cfRule type="expression" priority="667" dxfId="22">
      <formula>AV57="후보"</formula>
    </cfRule>
  </conditionalFormatting>
  <conditionalFormatting sqref="AC5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23">
      <formula>AV58="X"</formula>
    </cfRule>
    <cfRule type="expression" priority="648" dxfId="22">
      <formula>AV58="후보"</formula>
    </cfRule>
  </conditionalFormatting>
  <conditionalFormatting sqref="AC5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23">
      <formula>AV59="X"</formula>
    </cfRule>
    <cfRule type="expression" priority="629" dxfId="22">
      <formula>AV59="후보"</formula>
    </cfRule>
  </conditionalFormatting>
  <conditionalFormatting sqref="AC5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23">
      <formula>AV60="X"</formula>
    </cfRule>
    <cfRule type="expression" priority="610" dxfId="22">
      <formula>AV60="후보"</formula>
    </cfRule>
  </conditionalFormatting>
  <conditionalFormatting sqref="AC6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23">
      <formula>AV61="X"</formula>
    </cfRule>
    <cfRule type="expression" priority="591" dxfId="22">
      <formula>AV61="후보"</formula>
    </cfRule>
  </conditionalFormatting>
  <conditionalFormatting sqref="AC61 N6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2">
    <cfRule type="expression" priority="585" dxfId="23">
      <formula>AV62="X"</formula>
    </cfRule>
    <cfRule type="expression" priority="586" dxfId="22">
      <formula>AV62="후보"</formula>
    </cfRule>
  </conditionalFormatting>
  <conditionalFormatting sqref="AC6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23">
      <formula>AV63="X"</formula>
    </cfRule>
    <cfRule type="expression" priority="567" dxfId="22">
      <formula>AV63="후보"</formula>
    </cfRule>
  </conditionalFormatting>
  <conditionalFormatting sqref="AC6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23">
      <formula>AV64="X"</formula>
    </cfRule>
    <cfRule type="expression" priority="548" dxfId="22">
      <formula>AV64="후보"</formula>
    </cfRule>
  </conditionalFormatting>
  <conditionalFormatting sqref="AC64 N6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5">
    <cfRule type="expression" priority="542" dxfId="23">
      <formula>AV65="X"</formula>
    </cfRule>
    <cfRule type="expression" priority="543" dxfId="22">
      <formula>AV65="후보"</formula>
    </cfRule>
  </conditionalFormatting>
  <conditionalFormatting sqref="AC6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23">
      <formula>AV66="X"</formula>
    </cfRule>
    <cfRule type="expression" priority="524" dxfId="22">
      <formula>AV66="후보"</formula>
    </cfRule>
  </conditionalFormatting>
  <conditionalFormatting sqref="AC66 N6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7">
    <cfRule type="expression" priority="518" dxfId="23">
      <formula>AV67="X"</formula>
    </cfRule>
    <cfRule type="expression" priority="519" dxfId="22">
      <formula>AV67="후보"</formula>
    </cfRule>
  </conditionalFormatting>
  <conditionalFormatting sqref="AC6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23">
      <formula>AV68="X"</formula>
    </cfRule>
    <cfRule type="expression" priority="500" dxfId="22">
      <formula>AV68="후보"</formula>
    </cfRule>
  </conditionalFormatting>
  <conditionalFormatting sqref="AC6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23">
      <formula>AV69="X"</formula>
    </cfRule>
    <cfRule type="expression" priority="481" dxfId="22">
      <formula>AV69="후보"</formula>
    </cfRule>
  </conditionalFormatting>
  <conditionalFormatting sqref="AC6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23">
      <formula>AV70="X"</formula>
    </cfRule>
    <cfRule type="expression" priority="462" dxfId="22">
      <formula>AV70="후보"</formula>
    </cfRule>
  </conditionalFormatting>
  <conditionalFormatting sqref="AC70 N7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71">
    <cfRule type="expression" priority="456" dxfId="23">
      <formula>AV71="X"</formula>
    </cfRule>
    <cfRule type="expression" priority="457" dxfId="22">
      <formula>AV71="후보"</formula>
    </cfRule>
  </conditionalFormatting>
  <conditionalFormatting sqref="AC7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23">
      <formula>AV72="X"</formula>
    </cfRule>
    <cfRule type="expression" priority="438" dxfId="22">
      <formula>AV72="후보"</formula>
    </cfRule>
  </conditionalFormatting>
  <conditionalFormatting sqref="AC7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23">
      <formula>AV73="X"</formula>
    </cfRule>
    <cfRule type="expression" priority="419" dxfId="22">
      <formula>AV73="후보"</formula>
    </cfRule>
  </conditionalFormatting>
  <conditionalFormatting sqref="AC7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23">
      <formula>AV74="X"</formula>
    </cfRule>
    <cfRule type="expression" priority="400" dxfId="22">
      <formula>AV74="후보"</formula>
    </cfRule>
  </conditionalFormatting>
  <conditionalFormatting sqref="AC7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23">
      <formula>AV75="X"</formula>
    </cfRule>
    <cfRule type="expression" priority="381" dxfId="22">
      <formula>AV75="후보"</formula>
    </cfRule>
  </conditionalFormatting>
  <conditionalFormatting sqref="AC75 N7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6">
    <cfRule type="expression" priority="375" dxfId="23">
      <formula>AV76="X"</formula>
    </cfRule>
    <cfRule type="expression" priority="376" dxfId="22">
      <formula>AV76="후보"</formula>
    </cfRule>
  </conditionalFormatting>
  <conditionalFormatting sqref="AC7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23">
      <formula>AV77="X"</formula>
    </cfRule>
    <cfRule type="expression" priority="357" dxfId="22">
      <formula>AV77="후보"</formula>
    </cfRule>
  </conditionalFormatting>
  <conditionalFormatting sqref="AC7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23">
      <formula>AV78="X"</formula>
    </cfRule>
    <cfRule type="expression" priority="338" dxfId="22">
      <formula>AV78="후보"</formula>
    </cfRule>
  </conditionalFormatting>
  <conditionalFormatting sqref="AC7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23">
      <formula>AV79="X"</formula>
    </cfRule>
    <cfRule type="expression" priority="319" dxfId="22">
      <formula>AV79="후보"</formula>
    </cfRule>
  </conditionalFormatting>
  <conditionalFormatting sqref="AC7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23">
      <formula>AV80="X"</formula>
    </cfRule>
    <cfRule type="expression" priority="300" dxfId="22">
      <formula>AV80="후보"</formula>
    </cfRule>
  </conditionalFormatting>
  <conditionalFormatting sqref="AC80 N8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1">
    <cfRule type="expression" priority="294" dxfId="23">
      <formula>AV81="X"</formula>
    </cfRule>
    <cfRule type="expression" priority="295" dxfId="22">
      <formula>AV81="후보"</formula>
    </cfRule>
  </conditionalFormatting>
  <conditionalFormatting sqref="AC8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23">
      <formula>AV82="X"</formula>
    </cfRule>
    <cfRule type="expression" priority="276" dxfId="22">
      <formula>AV82="후보"</formula>
    </cfRule>
  </conditionalFormatting>
  <conditionalFormatting sqref="AC8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23">
      <formula>AV83="X"</formula>
    </cfRule>
    <cfRule type="expression" priority="257" dxfId="22">
      <formula>AV83="후보"</formula>
    </cfRule>
  </conditionalFormatting>
  <conditionalFormatting sqref="AC8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23">
      <formula>AV84="X"</formula>
    </cfRule>
    <cfRule type="expression" priority="238" dxfId="22">
      <formula>AV84="후보"</formula>
    </cfRule>
  </conditionalFormatting>
  <conditionalFormatting sqref="AC84 N8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5">
    <cfRule type="expression" priority="232" dxfId="23">
      <formula>AV85="X"</formula>
    </cfRule>
    <cfRule type="expression" priority="233" dxfId="22">
      <formula>AV85="후보"</formula>
    </cfRule>
  </conditionalFormatting>
  <conditionalFormatting sqref="AC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23">
      <formula>AV86="X"</formula>
    </cfRule>
    <cfRule type="expression" priority="214" dxfId="22">
      <formula>AV86="후보"</formula>
    </cfRule>
  </conditionalFormatting>
  <conditionalFormatting sqref="AC8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23">
      <formula>AV87="X"</formula>
    </cfRule>
    <cfRule type="expression" priority="195" dxfId="22">
      <formula>AV87="후보"</formula>
    </cfRule>
  </conditionalFormatting>
  <conditionalFormatting sqref="AC8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23">
      <formula>AV88="X"</formula>
    </cfRule>
    <cfRule type="expression" priority="176" dxfId="22">
      <formula>AV88="후보"</formula>
    </cfRule>
  </conditionalFormatting>
  <conditionalFormatting sqref="AC8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23">
      <formula>AV89="X"</formula>
    </cfRule>
    <cfRule type="expression" priority="157" dxfId="22">
      <formula>AV89="후보"</formula>
    </cfRule>
  </conditionalFormatting>
  <conditionalFormatting sqref="AC8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23">
      <formula>AV90="X"</formula>
    </cfRule>
    <cfRule type="expression" priority="138" dxfId="22">
      <formula>AV90="후보"</formula>
    </cfRule>
  </conditionalFormatting>
  <conditionalFormatting sqref="AC9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23">
      <formula>AV91="X"</formula>
    </cfRule>
    <cfRule type="expression" priority="119" dxfId="22">
      <formula>AV91="후보"</formula>
    </cfRule>
  </conditionalFormatting>
  <conditionalFormatting sqref="AC9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23">
      <formula>AV92="X"</formula>
    </cfRule>
    <cfRule type="expression" priority="100" dxfId="22">
      <formula>AV92="후보"</formula>
    </cfRule>
  </conditionalFormatting>
  <conditionalFormatting sqref="AC92 N9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미사강변사랑으로부영</t>
        </is>
      </c>
      <c r="B6" s="10" t="inlineStr">
        <is>
          <t>'17.10.</t>
        </is>
      </c>
      <c r="C6" s="132" t="n">
        <v>1104</v>
      </c>
      <c r="D6" s="130" t="n">
        <v>84.5</v>
      </c>
      <c r="E6" s="131" t="n">
        <v>26</v>
      </c>
      <c r="F6" s="130" t="n">
        <v>60.9</v>
      </c>
      <c r="G6" s="17" t="n">
        <v>18</v>
      </c>
      <c r="H6" s="132" t="n">
        <v>196</v>
      </c>
      <c r="I6" s="133" t="n">
        <v>79000</v>
      </c>
      <c r="J6" s="133" t="inlineStr">
        <is>
          <t>고</t>
        </is>
      </c>
      <c r="K6" s="133" t="n">
        <v>52000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미사강변사랑으로부영</t>
        </is>
      </c>
      <c r="B7" s="10" t="inlineStr">
        <is>
          <t>'17.10.</t>
        </is>
      </c>
      <c r="C7" s="132" t="n">
        <v>1104</v>
      </c>
      <c r="D7" s="130" t="n">
        <v>113.8</v>
      </c>
      <c r="E7" s="131" t="n">
        <v>34</v>
      </c>
      <c r="F7" s="130" t="n">
        <v>85</v>
      </c>
      <c r="G7" s="17" t="n">
        <v>26</v>
      </c>
      <c r="H7" s="132" t="n">
        <v>452</v>
      </c>
      <c r="I7" s="133" t="n">
        <v>92000</v>
      </c>
      <c r="J7" s="133" t="inlineStr">
        <is>
          <t>18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미사강변사랑으로부영</t>
        </is>
      </c>
      <c r="B8" s="10" t="inlineStr">
        <is>
          <t>'17.10.</t>
        </is>
      </c>
      <c r="C8" s="132" t="n">
        <v>1104</v>
      </c>
      <c r="D8" s="130" t="n">
        <v>113.5</v>
      </c>
      <c r="E8" s="131" t="n">
        <v>34</v>
      </c>
      <c r="F8" s="130" t="n">
        <v>85</v>
      </c>
      <c r="G8" s="17" t="n">
        <v>26</v>
      </c>
      <c r="H8" s="132" t="n">
        <v>230</v>
      </c>
      <c r="I8" s="133" t="n">
        <v>89000</v>
      </c>
      <c r="J8" s="133" t="inlineStr">
        <is>
          <t>중</t>
        </is>
      </c>
      <c r="K8" s="133" t="n">
        <v>55000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미사강변사랑으로부영</t>
        </is>
      </c>
      <c r="B9" s="10" t="inlineStr">
        <is>
          <t>'17.10.</t>
        </is>
      </c>
      <c r="C9" s="132" t="n">
        <v>1104</v>
      </c>
      <c r="D9" s="130" t="n">
        <v>113.7</v>
      </c>
      <c r="E9" s="131" t="n">
        <v>34</v>
      </c>
      <c r="F9" s="130" t="n">
        <v>85</v>
      </c>
      <c r="G9" s="17" t="n">
        <v>26</v>
      </c>
      <c r="H9" s="132" t="n">
        <v>226</v>
      </c>
      <c r="I9" s="133" t="n">
        <v>89000</v>
      </c>
      <c r="J9" s="133" t="inlineStr">
        <is>
          <t>21</t>
        </is>
      </c>
      <c r="K9" s="133" t="n">
        <v>60000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113C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미사강변센텀팰리스</t>
        </is>
      </c>
      <c r="B11" s="10" t="inlineStr">
        <is>
          <t>'16.07.</t>
        </is>
      </c>
      <c r="C11" s="132" t="n">
        <v>1455</v>
      </c>
      <c r="D11" s="130" t="n">
        <v>98.3</v>
      </c>
      <c r="E11" s="131" t="n">
        <v>30</v>
      </c>
      <c r="F11" s="130" t="n">
        <v>74.90000000000001</v>
      </c>
      <c r="G11" s="17" t="n">
        <v>23</v>
      </c>
      <c r="H11" s="132" t="n">
        <v>249</v>
      </c>
      <c r="I11" s="133" t="n">
        <v>85000</v>
      </c>
      <c r="J11" s="133" t="inlineStr">
        <is>
          <t>26</t>
        </is>
      </c>
      <c r="K11" s="133" t="n">
        <v>50000</v>
      </c>
      <c r="L11" s="133" t="inlineStr">
        <is>
          <t>26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98A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미사강변센텀팰리스</t>
        </is>
      </c>
      <c r="B12" s="10" t="inlineStr">
        <is>
          <t>'16.07.</t>
        </is>
      </c>
      <c r="C12" s="132" t="n">
        <v>1455</v>
      </c>
      <c r="D12" s="130" t="n">
        <v>98.40000000000001</v>
      </c>
      <c r="E12" s="131" t="n">
        <v>30</v>
      </c>
      <c r="F12" s="130" t="n">
        <v>74.90000000000001</v>
      </c>
      <c r="G12" s="17" t="n">
        <v>23</v>
      </c>
      <c r="H12" s="132" t="n">
        <v>100</v>
      </c>
      <c r="I12" s="133" t="n">
        <v>91000</v>
      </c>
      <c r="J12" s="133" t="inlineStr">
        <is>
          <t>11</t>
        </is>
      </c>
      <c r="K12" s="133" t="n">
        <v>52000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98C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미사강변센텀팰리스</t>
        </is>
      </c>
      <c r="B13" s="10" t="inlineStr">
        <is>
          <t>'16.07.</t>
        </is>
      </c>
      <c r="C13" s="132" t="n">
        <v>1455</v>
      </c>
      <c r="D13" s="130" t="n">
        <v>98.40000000000001</v>
      </c>
      <c r="E13" s="131" t="n">
        <v>30</v>
      </c>
      <c r="F13" s="130" t="n">
        <v>74.90000000000001</v>
      </c>
      <c r="G13" s="17" t="n">
        <v>23</v>
      </c>
      <c r="H13" s="132" t="n">
        <v>65</v>
      </c>
      <c r="I13" s="133" t="n">
        <v>91000</v>
      </c>
      <c r="J13" s="133" t="inlineStr">
        <is>
          <t>11</t>
        </is>
      </c>
      <c r="K13" s="133" t="n">
        <v>52000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98B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미사강변센텀팰리스</t>
        </is>
      </c>
      <c r="B14" s="10" t="inlineStr">
        <is>
          <t>'16.07.</t>
        </is>
      </c>
      <c r="C14" s="132" t="n">
        <v>1455</v>
      </c>
      <c r="D14" s="130" t="n">
        <v>98.3</v>
      </c>
      <c r="E14" s="131" t="n">
        <v>30</v>
      </c>
      <c r="F14" s="130" t="n">
        <v>74.90000000000001</v>
      </c>
      <c r="G14" s="17" t="n">
        <v>23</v>
      </c>
      <c r="H14" s="132" t="n">
        <v>44</v>
      </c>
      <c r="I14" s="133" t="n">
        <v>85000</v>
      </c>
      <c r="J14" s="133" t="inlineStr">
        <is>
          <t>26</t>
        </is>
      </c>
      <c r="K14" s="133" t="n">
        <v>50000</v>
      </c>
      <c r="L14" s="133" t="inlineStr">
        <is>
          <t>26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98AN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미사강변센텀팰리스</t>
        </is>
      </c>
      <c r="B15" s="10" t="inlineStr">
        <is>
          <t>'16.07.</t>
        </is>
      </c>
      <c r="C15" s="132" t="n">
        <v>1455</v>
      </c>
      <c r="D15" s="130" t="n">
        <v>111.2</v>
      </c>
      <c r="E15" s="131" t="n">
        <v>34</v>
      </c>
      <c r="F15" s="130" t="n">
        <v>84.7</v>
      </c>
      <c r="G15" s="17" t="n">
        <v>26</v>
      </c>
      <c r="H15" s="132" t="n">
        <v>502</v>
      </c>
      <c r="I15" s="133" t="n">
        <v>89000</v>
      </c>
      <c r="J15" s="133" t="inlineStr">
        <is>
          <t>17</t>
        </is>
      </c>
      <c r="K15" s="133" t="n">
        <v>50000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111B1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미사강변센텀팰리스</t>
        </is>
      </c>
      <c r="B16" s="10" t="inlineStr">
        <is>
          <t>'16.07.</t>
        </is>
      </c>
      <c r="C16" s="132" t="n">
        <v>1455</v>
      </c>
      <c r="D16" s="130" t="n">
        <v>111.6</v>
      </c>
      <c r="E16" s="131" t="n">
        <v>34</v>
      </c>
      <c r="F16" s="130" t="n">
        <v>85</v>
      </c>
      <c r="G16" s="17" t="n">
        <v>26</v>
      </c>
      <c r="H16" s="132" t="n">
        <v>202</v>
      </c>
      <c r="I16" s="133" t="n">
        <v>100000</v>
      </c>
      <c r="J16" s="133" t="inlineStr">
        <is>
          <t>5</t>
        </is>
      </c>
      <c r="K16" s="133" t="n">
        <v>53000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미사강변센텀팰리스</t>
        </is>
      </c>
      <c r="B17" s="10" t="inlineStr">
        <is>
          <t>'16.07.</t>
        </is>
      </c>
      <c r="C17" s="132" t="n">
        <v>1455</v>
      </c>
      <c r="D17" s="130" t="n">
        <v>111.4</v>
      </c>
      <c r="E17" s="131" t="n">
        <v>34</v>
      </c>
      <c r="F17" s="130" t="n">
        <v>84.90000000000001</v>
      </c>
      <c r="G17" s="17" t="n">
        <v>26</v>
      </c>
      <c r="H17" s="132" t="n">
        <v>174</v>
      </c>
      <c r="I17" s="133" t="n">
        <v>100000</v>
      </c>
      <c r="J17" s="133" t="inlineStr">
        <is>
          <t>고</t>
        </is>
      </c>
      <c r="K17" s="133" t="n">
        <v>60000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111B3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미사강변센텀팰리스</t>
        </is>
      </c>
      <c r="B18" s="10" t="inlineStr">
        <is>
          <t>'16.07.</t>
        </is>
      </c>
      <c r="C18" s="132" t="n">
        <v>1455</v>
      </c>
      <c r="D18" s="130" t="n">
        <v>111.4</v>
      </c>
      <c r="E18" s="131" t="n">
        <v>34</v>
      </c>
      <c r="F18" s="130" t="n">
        <v>84.90000000000001</v>
      </c>
      <c r="G18" s="17" t="n">
        <v>26</v>
      </c>
      <c r="H18" s="132" t="n">
        <v>52</v>
      </c>
      <c r="I18" s="133" t="n">
        <v>100000</v>
      </c>
      <c r="J18" s="133" t="inlineStr">
        <is>
          <t>고</t>
        </is>
      </c>
      <c r="K18" s="133" t="n">
        <v>60000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111B2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미사강변센텀팰리스</t>
        </is>
      </c>
      <c r="B19" s="10" t="inlineStr">
        <is>
          <t>'16.07.</t>
        </is>
      </c>
      <c r="C19" s="132" t="n">
        <v>1455</v>
      </c>
      <c r="D19" s="130" t="n">
        <v>111.6</v>
      </c>
      <c r="E19" s="131" t="n">
        <v>34</v>
      </c>
      <c r="F19" s="130" t="n">
        <v>85</v>
      </c>
      <c r="G19" s="17" t="n">
        <v>26</v>
      </c>
      <c r="H19" s="132" t="n">
        <v>35</v>
      </c>
      <c r="I19" s="133" t="n">
        <v>100000</v>
      </c>
      <c r="J19" s="133" t="inlineStr">
        <is>
          <t>5</t>
        </is>
      </c>
      <c r="K19" s="133" t="n">
        <v>53000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미사강변센텀팰리스</t>
        </is>
      </c>
      <c r="B20" s="10" t="inlineStr">
        <is>
          <t>'16.07.</t>
        </is>
      </c>
      <c r="C20" s="132" t="n">
        <v>1455</v>
      </c>
      <c r="D20" s="130" t="n">
        <v>111.6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100000</v>
      </c>
      <c r="J20" s="133" t="inlineStr">
        <is>
          <t>5</t>
        </is>
      </c>
      <c r="K20" s="133" t="n">
        <v>53000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111AN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미사강변하우스디더레이크</t>
        </is>
      </c>
      <c r="B22" s="10" t="inlineStr">
        <is>
          <t>'16.05.</t>
        </is>
      </c>
      <c r="C22" s="132" t="n">
        <v>821</v>
      </c>
      <c r="D22" s="130" t="n">
        <v>99</v>
      </c>
      <c r="E22" s="131" t="n">
        <v>30</v>
      </c>
      <c r="F22" s="130" t="n">
        <v>74.90000000000001</v>
      </c>
      <c r="G22" s="17" t="n">
        <v>23</v>
      </c>
      <c r="H22" s="132" t="n">
        <v>192</v>
      </c>
      <c r="I22" s="133" t="n">
        <v>87000</v>
      </c>
      <c r="J22" s="133" t="inlineStr">
        <is>
          <t>21</t>
        </is>
      </c>
      <c r="K22" s="133" t="n">
        <v>55000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미사강변하우스디더레이크</t>
        </is>
      </c>
      <c r="B23" s="10" t="inlineStr">
        <is>
          <t>'16.05.</t>
        </is>
      </c>
      <c r="C23" s="132" t="n">
        <v>821</v>
      </c>
      <c r="D23" s="130" t="n">
        <v>99</v>
      </c>
      <c r="E23" s="131" t="n">
        <v>30</v>
      </c>
      <c r="F23" s="130" t="n">
        <v>74.90000000000001</v>
      </c>
      <c r="G23" s="17" t="n">
        <v>23</v>
      </c>
      <c r="H23" s="132" t="n">
        <v>27</v>
      </c>
      <c r="I23" s="133" t="n">
        <v>87000</v>
      </c>
      <c r="J23" s="133" t="inlineStr">
        <is>
          <t>21</t>
        </is>
      </c>
      <c r="K23" s="133" t="n">
        <v>55000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98AN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미사강변하우스디더레이크</t>
        </is>
      </c>
      <c r="B24" s="10" t="inlineStr">
        <is>
          <t>'16.05.</t>
        </is>
      </c>
      <c r="C24" s="132" t="n">
        <v>821</v>
      </c>
      <c r="D24" s="130" t="n">
        <v>99.09999999999999</v>
      </c>
      <c r="E24" s="131" t="n">
        <v>30</v>
      </c>
      <c r="F24" s="130" t="n">
        <v>74.90000000000001</v>
      </c>
      <c r="G24" s="17" t="n">
        <v>23</v>
      </c>
      <c r="H24" s="132" t="n">
        <v>30</v>
      </c>
      <c r="I24" s="133" t="n">
        <v>105000</v>
      </c>
      <c r="J24" s="133" t="inlineStr">
        <is>
          <t>8</t>
        </is>
      </c>
      <c r="K24" s="133" t="n">
        <v>60000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99B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미사강변하우스디더레이크</t>
        </is>
      </c>
      <c r="B25" s="10" t="inlineStr">
        <is>
          <t>'16.05.</t>
        </is>
      </c>
      <c r="C25" s="132" t="n">
        <v>821</v>
      </c>
      <c r="D25" s="130" t="n">
        <v>112</v>
      </c>
      <c r="E25" s="131" t="n">
        <v>34</v>
      </c>
      <c r="F25" s="130" t="n">
        <v>84.7</v>
      </c>
      <c r="G25" s="17" t="n">
        <v>26</v>
      </c>
      <c r="H25" s="132" t="n">
        <v>62</v>
      </c>
      <c r="I25" s="133" t="n">
        <v>111000</v>
      </c>
      <c r="J25" s="133" t="inlineStr">
        <is>
          <t>5</t>
        </is>
      </c>
      <c r="K25" s="133" t="n">
        <v>60000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111B1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미사강변하우스디더레이크</t>
        </is>
      </c>
      <c r="B26" s="10" t="inlineStr">
        <is>
          <t>'16.05.</t>
        </is>
      </c>
      <c r="C26" s="132" t="n">
        <v>821</v>
      </c>
      <c r="D26" s="130" t="n">
        <v>112.4</v>
      </c>
      <c r="E26" s="131" t="n">
        <v>34</v>
      </c>
      <c r="F26" s="130" t="n">
        <v>85</v>
      </c>
      <c r="G26" s="17" t="n">
        <v>26</v>
      </c>
      <c r="H26" s="132" t="n">
        <v>198</v>
      </c>
      <c r="I26" s="133" t="n">
        <v>100000</v>
      </c>
      <c r="J26" s="133" t="inlineStr">
        <is>
          <t>고</t>
        </is>
      </c>
      <c r="K26" s="133" t="n">
        <v>70000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미사강변하우스디더레이크</t>
        </is>
      </c>
      <c r="B27" s="10" t="inlineStr">
        <is>
          <t>'16.05.</t>
        </is>
      </c>
      <c r="C27" s="132" t="n">
        <v>821</v>
      </c>
      <c r="D27" s="130" t="n">
        <v>112.2</v>
      </c>
      <c r="E27" s="131" t="n">
        <v>34</v>
      </c>
      <c r="F27" s="130" t="n">
        <v>84.90000000000001</v>
      </c>
      <c r="G27" s="17" t="n">
        <v>26</v>
      </c>
      <c r="H27" s="132" t="n">
        <v>143</v>
      </c>
      <c r="I27" s="133" t="n">
        <v>110000</v>
      </c>
      <c r="J27" s="133" t="inlineStr">
        <is>
          <t>16</t>
        </is>
      </c>
      <c r="K27" s="133" t="n">
        <v>63000</v>
      </c>
      <c r="L27" s="133" t="inlineStr">
        <is>
          <t>16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112B2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미사강변하우스디더레이크</t>
        </is>
      </c>
      <c r="B28" s="10" t="inlineStr">
        <is>
          <t>'16.05.</t>
        </is>
      </c>
      <c r="C28" s="132" t="n">
        <v>821</v>
      </c>
      <c r="D28" s="130" t="n">
        <v>112.2</v>
      </c>
      <c r="E28" s="131" t="n">
        <v>34</v>
      </c>
      <c r="F28" s="130" t="n">
        <v>84.90000000000001</v>
      </c>
      <c r="G28" s="17" t="n">
        <v>26</v>
      </c>
      <c r="H28" s="132" t="n">
        <v>99</v>
      </c>
      <c r="I28" s="133" t="n">
        <v>110000</v>
      </c>
      <c r="J28" s="133" t="inlineStr">
        <is>
          <t>16</t>
        </is>
      </c>
      <c r="K28" s="133" t="n">
        <v>63000</v>
      </c>
      <c r="L28" s="133" t="inlineStr">
        <is>
          <t>16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112B3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미사강변하우스디더레이크</t>
        </is>
      </c>
      <c r="B29" s="10" t="inlineStr">
        <is>
          <t>'16.05.</t>
        </is>
      </c>
      <c r="C29" s="132" t="n">
        <v>821</v>
      </c>
      <c r="D29" s="130" t="n">
        <v>112.4</v>
      </c>
      <c r="E29" s="131" t="n">
        <v>34</v>
      </c>
      <c r="F29" s="130" t="n">
        <v>85</v>
      </c>
      <c r="G29" s="17" t="n">
        <v>26</v>
      </c>
      <c r="H29" s="132" t="n">
        <v>50</v>
      </c>
      <c r="I29" s="133" t="n">
        <v>100000</v>
      </c>
      <c r="J29" s="133" t="inlineStr">
        <is>
          <t>고</t>
        </is>
      </c>
      <c r="K29" s="133" t="n">
        <v>70000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112A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미사강변하우스디더레이크</t>
        </is>
      </c>
      <c r="B30" s="10" t="inlineStr">
        <is>
          <t>'16.05.</t>
        </is>
      </c>
      <c r="C30" s="132" t="n">
        <v>821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20</v>
      </c>
      <c r="I30" s="133" t="n">
        <v>100000</v>
      </c>
      <c r="J30" s="133" t="inlineStr">
        <is>
          <t>고</t>
        </is>
      </c>
      <c r="K30" s="133" t="n">
        <v>70000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112AN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미사강변도시16단지</t>
        </is>
      </c>
      <c r="B32" s="10" t="inlineStr">
        <is>
          <t>'15.10.</t>
        </is>
      </c>
      <c r="C32" s="132" t="n">
        <v>620</v>
      </c>
      <c r="D32" s="130" t="n">
        <v>73.90000000000001</v>
      </c>
      <c r="E32" s="131" t="n">
        <v>22</v>
      </c>
      <c r="F32" s="130" t="n">
        <v>51.7</v>
      </c>
      <c r="G32" s="17" t="n">
        <v>16</v>
      </c>
      <c r="H32" s="132" t="n">
        <v>14</v>
      </c>
      <c r="I32" s="133" t="n">
        <v>65000</v>
      </c>
      <c r="J32" s="133" t="inlineStr">
        <is>
          <t>9</t>
        </is>
      </c>
      <c r="K32" s="133" t="n">
        <v>35000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73A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미사강변도시16단지</t>
        </is>
      </c>
      <c r="B33" s="10" t="inlineStr">
        <is>
          <t>'15.10.</t>
        </is>
      </c>
      <c r="C33" s="132" t="n">
        <v>620</v>
      </c>
      <c r="D33" s="130" t="n">
        <v>73.90000000000001</v>
      </c>
      <c r="E33" s="131" t="n">
        <v>22</v>
      </c>
      <c r="F33" s="130" t="n">
        <v>51.7</v>
      </c>
      <c r="G33" s="17" t="n">
        <v>16</v>
      </c>
      <c r="H33" s="132" t="n">
        <v>6</v>
      </c>
      <c r="I33" s="133" t="n">
        <v>65000</v>
      </c>
      <c r="J33" s="133" t="inlineStr">
        <is>
          <t>9</t>
        </is>
      </c>
      <c r="K33" s="133" t="n">
        <v>35000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73B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미사강변도시16단지</t>
        </is>
      </c>
      <c r="B34" s="10" t="inlineStr">
        <is>
          <t>'15.10.</t>
        </is>
      </c>
      <c r="C34" s="132" t="n">
        <v>620</v>
      </c>
      <c r="D34" s="130" t="n">
        <v>74.2</v>
      </c>
      <c r="E34" s="131" t="n">
        <v>22</v>
      </c>
      <c r="F34" s="130" t="n">
        <v>51.9</v>
      </c>
      <c r="G34" s="17" t="n">
        <v>16</v>
      </c>
      <c r="H34" s="132" t="n">
        <v>3</v>
      </c>
      <c r="I34" s="133" t="n">
        <v>73000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74C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미사강변도시16단지</t>
        </is>
      </c>
      <c r="B35" s="10" t="inlineStr">
        <is>
          <t>'15.10.</t>
        </is>
      </c>
      <c r="C35" s="132" t="n">
        <v>620</v>
      </c>
      <c r="D35" s="130" t="n">
        <v>84.8</v>
      </c>
      <c r="E35" s="131" t="n">
        <v>26</v>
      </c>
      <c r="F35" s="130" t="n">
        <v>59.3</v>
      </c>
      <c r="G35" s="17" t="n">
        <v>18</v>
      </c>
      <c r="H35" s="132" t="n">
        <v>3</v>
      </c>
      <c r="I35" s="133" t="n">
        <v>80000</v>
      </c>
      <c r="J35" s="133" t="inlineStr">
        <is>
          <t>17</t>
        </is>
      </c>
      <c r="K35" s="133" t="n">
        <v>59000</v>
      </c>
      <c r="L35" s="133" t="inlineStr">
        <is>
          <t>중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84B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미사강변도시16단지</t>
        </is>
      </c>
      <c r="B36" s="10" t="inlineStr">
        <is>
          <t>'15.10.</t>
        </is>
      </c>
      <c r="C36" s="132" t="n">
        <v>620</v>
      </c>
      <c r="D36" s="130" t="n">
        <v>85.40000000000001</v>
      </c>
      <c r="E36" s="131" t="n">
        <v>26</v>
      </c>
      <c r="F36" s="130" t="n">
        <v>59.7</v>
      </c>
      <c r="G36" s="17" t="n">
        <v>18</v>
      </c>
      <c r="H36" s="132" t="n">
        <v>2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85A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미사강변루나리움</t>
        </is>
      </c>
      <c r="B38" s="10" t="inlineStr">
        <is>
          <t>'15.09.</t>
        </is>
      </c>
      <c r="C38" s="132" t="n">
        <v>1164</v>
      </c>
      <c r="D38" s="130" t="n">
        <v>79.3</v>
      </c>
      <c r="E38" s="131" t="n">
        <v>24</v>
      </c>
      <c r="F38" s="130" t="n">
        <v>59.9</v>
      </c>
      <c r="G38" s="17" t="n">
        <v>18</v>
      </c>
      <c r="H38" s="132" t="n">
        <v>261</v>
      </c>
      <c r="I38" s="133" t="n">
        <v>78000</v>
      </c>
      <c r="J38" s="133" t="inlineStr">
        <is>
          <t>중</t>
        </is>
      </c>
      <c r="K38" s="133" t="n">
        <v>50000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79A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미사강변루나리움</t>
        </is>
      </c>
      <c r="B39" s="10" t="inlineStr">
        <is>
          <t>'15.09.</t>
        </is>
      </c>
      <c r="C39" s="132" t="n">
        <v>1164</v>
      </c>
      <c r="D39" s="130" t="n">
        <v>79.3</v>
      </c>
      <c r="E39" s="131" t="n">
        <v>24</v>
      </c>
      <c r="F39" s="130" t="n">
        <v>59.8</v>
      </c>
      <c r="G39" s="17" t="n">
        <v>18</v>
      </c>
      <c r="H39" s="132" t="n">
        <v>78</v>
      </c>
      <c r="I39" s="133" t="n">
        <v>78000</v>
      </c>
      <c r="J39" s="133" t="inlineStr">
        <is>
          <t>17</t>
        </is>
      </c>
      <c r="K39" s="133" t="n">
        <v>50000</v>
      </c>
      <c r="L39" s="133" t="inlineStr">
        <is>
          <t>23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79B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미사강변루나리움</t>
        </is>
      </c>
      <c r="B40" s="10" t="inlineStr">
        <is>
          <t>'15.09.</t>
        </is>
      </c>
      <c r="C40" s="132" t="n">
        <v>1164</v>
      </c>
      <c r="D40" s="130" t="n">
        <v>79.3</v>
      </c>
      <c r="E40" s="131" t="n">
        <v>24</v>
      </c>
      <c r="F40" s="130" t="n">
        <v>59.8</v>
      </c>
      <c r="G40" s="17" t="n">
        <v>18</v>
      </c>
      <c r="H40" s="132" t="n">
        <v>29</v>
      </c>
      <c r="I40" s="133" t="n">
        <v>78000</v>
      </c>
      <c r="J40" s="133" t="inlineStr">
        <is>
          <t>17</t>
        </is>
      </c>
      <c r="K40" s="133" t="n">
        <v>50000</v>
      </c>
      <c r="L40" s="133" t="inlineStr">
        <is>
          <t>23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79BN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미사강변루나리움</t>
        </is>
      </c>
      <c r="B41" s="10" t="inlineStr">
        <is>
          <t>'15.09.</t>
        </is>
      </c>
      <c r="C41" s="132" t="n">
        <v>1164</v>
      </c>
      <c r="D41" s="130" t="n">
        <v>99.09999999999999</v>
      </c>
      <c r="E41" s="131" t="n">
        <v>30</v>
      </c>
      <c r="F41" s="130" t="n">
        <v>74.8</v>
      </c>
      <c r="G41" s="17" t="n">
        <v>23</v>
      </c>
      <c r="H41" s="132" t="n">
        <v>159</v>
      </c>
      <c r="I41" s="133" t="n">
        <v>95000</v>
      </c>
      <c r="J41" s="133" t="inlineStr">
        <is>
          <t>고</t>
        </is>
      </c>
      <c r="K41" s="133" t="n">
        <v>54000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99A1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미사강변루나리움</t>
        </is>
      </c>
      <c r="B42" s="10" t="inlineStr">
        <is>
          <t>'15.09.</t>
        </is>
      </c>
      <c r="C42" s="132" t="n">
        <v>1164</v>
      </c>
      <c r="D42" s="130" t="n">
        <v>99.09999999999999</v>
      </c>
      <c r="E42" s="131" t="n">
        <v>30</v>
      </c>
      <c r="F42" s="130" t="n">
        <v>74.8</v>
      </c>
      <c r="G42" s="17" t="n">
        <v>23</v>
      </c>
      <c r="H42" s="132" t="n">
        <v>29</v>
      </c>
      <c r="I42" s="133" t="n">
        <v>95000</v>
      </c>
      <c r="J42" s="133" t="inlineStr">
        <is>
          <t>고</t>
        </is>
      </c>
      <c r="K42" s="133" t="n">
        <v>54000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99A1N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미사강변루나리움</t>
        </is>
      </c>
      <c r="B43" s="10" t="inlineStr">
        <is>
          <t>'15.09.</t>
        </is>
      </c>
      <c r="C43" s="132" t="n">
        <v>1164</v>
      </c>
      <c r="D43" s="130" t="n">
        <v>99.09999999999999</v>
      </c>
      <c r="E43" s="131" t="n">
        <v>30</v>
      </c>
      <c r="F43" s="130" t="n">
        <v>74.8</v>
      </c>
      <c r="G43" s="17" t="n">
        <v>23</v>
      </c>
      <c r="H43" s="132" t="n">
        <v>24</v>
      </c>
      <c r="I43" s="133" t="n">
        <v>95000</v>
      </c>
      <c r="J43" s="133" t="inlineStr">
        <is>
          <t>고</t>
        </is>
      </c>
      <c r="K43" s="133" t="n">
        <v>54000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99A2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미사강변루나리움</t>
        </is>
      </c>
      <c r="B44" s="10" t="inlineStr">
        <is>
          <t>'15.09.</t>
        </is>
      </c>
      <c r="C44" s="132" t="n">
        <v>1164</v>
      </c>
      <c r="D44" s="130" t="n">
        <v>112.6</v>
      </c>
      <c r="E44" s="131" t="n">
        <v>34</v>
      </c>
      <c r="F44" s="130" t="n">
        <v>85</v>
      </c>
      <c r="G44" s="17" t="n">
        <v>26</v>
      </c>
      <c r="H44" s="132" t="n">
        <v>331</v>
      </c>
      <c r="I44" s="133" t="n">
        <v>96000</v>
      </c>
      <c r="J44" s="133" t="inlineStr">
        <is>
          <t>9</t>
        </is>
      </c>
      <c r="K44" s="133" t="n">
        <v>50000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112B1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미사강변루나리움</t>
        </is>
      </c>
      <c r="B45" s="10" t="inlineStr">
        <is>
          <t>'15.09.</t>
        </is>
      </c>
      <c r="C45" s="132" t="n">
        <v>1164</v>
      </c>
      <c r="D45" s="130" t="n">
        <v>112.6</v>
      </c>
      <c r="E45" s="131" t="n">
        <v>34</v>
      </c>
      <c r="F45" s="130" t="n">
        <v>85</v>
      </c>
      <c r="G45" s="17" t="n">
        <v>26</v>
      </c>
      <c r="H45" s="132" t="n">
        <v>87</v>
      </c>
      <c r="I45" s="133" t="n">
        <v>96000</v>
      </c>
      <c r="J45" s="133" t="inlineStr">
        <is>
          <t>9</t>
        </is>
      </c>
      <c r="K45" s="133" t="n">
        <v>50000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112B2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미사강변루나리움</t>
        </is>
      </c>
      <c r="B46" s="10" t="inlineStr">
        <is>
          <t>'15.09.</t>
        </is>
      </c>
      <c r="C46" s="132" t="n">
        <v>1164</v>
      </c>
      <c r="D46" s="130" t="n">
        <v>112.5</v>
      </c>
      <c r="E46" s="131" t="n">
        <v>34</v>
      </c>
      <c r="F46" s="130" t="n">
        <v>85</v>
      </c>
      <c r="G46" s="17" t="n">
        <v>26</v>
      </c>
      <c r="H46" s="132" t="n">
        <v>87</v>
      </c>
      <c r="I46" s="133" t="n">
        <v>115000</v>
      </c>
      <c r="J46" s="133" t="inlineStr">
        <is>
          <t>중</t>
        </is>
      </c>
      <c r="K46" s="133" t="n">
        <v>55000</v>
      </c>
      <c r="L46" s="133" t="inlineStr">
        <is>
          <t>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112B3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미사강변루나리움</t>
        </is>
      </c>
      <c r="B47" s="10" t="inlineStr">
        <is>
          <t>'15.09.</t>
        </is>
      </c>
      <c r="C47" s="132" t="n">
        <v>1164</v>
      </c>
      <c r="D47" s="130" t="n">
        <v>112.6</v>
      </c>
      <c r="E47" s="131" t="n">
        <v>34</v>
      </c>
      <c r="F47" s="130" t="n">
        <v>85</v>
      </c>
      <c r="G47" s="17" t="n">
        <v>26</v>
      </c>
      <c r="H47" s="132" t="n">
        <v>52</v>
      </c>
      <c r="I47" s="133" t="n">
        <v>96000</v>
      </c>
      <c r="J47" s="133" t="inlineStr">
        <is>
          <t>9</t>
        </is>
      </c>
      <c r="K47" s="133" t="n">
        <v>50000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미사강변루나리움</t>
        </is>
      </c>
      <c r="B48" s="10" t="inlineStr">
        <is>
          <t>'15.09.</t>
        </is>
      </c>
      <c r="C48" s="132" t="n">
        <v>1164</v>
      </c>
      <c r="D48" s="130" t="n">
        <v>112.6</v>
      </c>
      <c r="E48" s="131" t="n">
        <v>34</v>
      </c>
      <c r="F48" s="130" t="n">
        <v>85</v>
      </c>
      <c r="G48" s="17" t="n">
        <v>26</v>
      </c>
      <c r="H48" s="132" t="n">
        <v>27</v>
      </c>
      <c r="I48" s="133" t="n">
        <v>96000</v>
      </c>
      <c r="J48" s="133" t="inlineStr">
        <is>
          <t>9</t>
        </is>
      </c>
      <c r="K48" s="133" t="n">
        <v>50000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112B1N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미사강변푸르지오</t>
        </is>
      </c>
      <c r="B50" s="10" t="inlineStr">
        <is>
          <t>'16.04.</t>
        </is>
      </c>
      <c r="C50" s="132" t="n">
        <v>1188</v>
      </c>
      <c r="D50" s="130" t="n">
        <v>97.7</v>
      </c>
      <c r="E50" s="131" t="n">
        <v>30</v>
      </c>
      <c r="F50" s="130" t="n">
        <v>74.90000000000001</v>
      </c>
      <c r="G50" s="17" t="n">
        <v>23</v>
      </c>
      <c r="H50" s="132" t="n">
        <v>67</v>
      </c>
      <c r="I50" s="133" t="n">
        <v>115000</v>
      </c>
      <c r="J50" s="133" t="inlineStr">
        <is>
          <t>중</t>
        </is>
      </c>
      <c r="K50" s="133" t="n">
        <v>65000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97A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</t>
        </is>
      </c>
      <c r="B51" s="10" t="inlineStr">
        <is>
          <t>'16.04.</t>
        </is>
      </c>
      <c r="C51" s="132" t="n">
        <v>1188</v>
      </c>
      <c r="D51" s="130" t="n">
        <v>97.7</v>
      </c>
      <c r="E51" s="131" t="n">
        <v>30</v>
      </c>
      <c r="F51" s="130" t="n">
        <v>75</v>
      </c>
      <c r="G51" s="17" t="n">
        <v>23</v>
      </c>
      <c r="H51" s="132" t="n">
        <v>54</v>
      </c>
      <c r="I51" s="133" t="n">
        <v>115000</v>
      </c>
      <c r="J51" s="133" t="inlineStr">
        <is>
          <t>고</t>
        </is>
      </c>
      <c r="K51" s="133" t="n">
        <v>63000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97B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</t>
        </is>
      </c>
      <c r="B52" s="10" t="inlineStr">
        <is>
          <t>'16.04.</t>
        </is>
      </c>
      <c r="C52" s="132" t="n">
        <v>1188</v>
      </c>
      <c r="D52" s="130" t="n">
        <v>98.59999999999999</v>
      </c>
      <c r="E52" s="131" t="n">
        <v>30</v>
      </c>
      <c r="F52" s="130" t="n">
        <v>75</v>
      </c>
      <c r="G52" s="17" t="n">
        <v>23</v>
      </c>
      <c r="H52" s="132" t="n">
        <v>56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98C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</t>
        </is>
      </c>
      <c r="B53" s="10" t="inlineStr">
        <is>
          <t>'16.04.</t>
        </is>
      </c>
      <c r="C53" s="132" t="n">
        <v>1188</v>
      </c>
      <c r="D53" s="130" t="n">
        <v>99.09999999999999</v>
      </c>
      <c r="E53" s="131" t="n">
        <v>30</v>
      </c>
      <c r="F53" s="130" t="n">
        <v>75</v>
      </c>
      <c r="G53" s="17" t="n">
        <v>23</v>
      </c>
      <c r="H53" s="132" t="n">
        <v>20</v>
      </c>
      <c r="I53" s="133" t="n">
        <v>110000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</t>
        </is>
      </c>
      <c r="B54" s="10" t="inlineStr">
        <is>
          <t>'16.04.</t>
        </is>
      </c>
      <c r="C54" s="132" t="n">
        <v>1188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592</v>
      </c>
      <c r="I54" s="133" t="n">
        <v>118000</v>
      </c>
      <c r="J54" s="133" t="inlineStr">
        <is>
          <t>중</t>
        </is>
      </c>
      <c r="K54" s="133" t="n">
        <v>64000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</t>
        </is>
      </c>
      <c r="B55" s="10" t="inlineStr">
        <is>
          <t>'16.04.</t>
        </is>
      </c>
      <c r="C55" s="132" t="n">
        <v>1188</v>
      </c>
      <c r="D55" s="130" t="n">
        <v>111.6</v>
      </c>
      <c r="E55" s="131" t="n">
        <v>34</v>
      </c>
      <c r="F55" s="130" t="n">
        <v>85</v>
      </c>
      <c r="G55" s="17" t="n">
        <v>26</v>
      </c>
      <c r="H55" s="132" t="n">
        <v>300</v>
      </c>
      <c r="I55" s="133" t="n">
        <v>110000</v>
      </c>
      <c r="J55" s="133" t="inlineStr">
        <is>
          <t>고</t>
        </is>
      </c>
      <c r="K55" s="133" t="n">
        <v>63000</v>
      </c>
      <c r="L55" s="133" t="inlineStr">
        <is>
          <t>중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미사강변푸르지오</t>
        </is>
      </c>
      <c r="B56" s="10" t="inlineStr">
        <is>
          <t>'16.04.</t>
        </is>
      </c>
      <c r="C56" s="132" t="n">
        <v>1188</v>
      </c>
      <c r="D56" s="130" t="n">
        <v>112.3</v>
      </c>
      <c r="E56" s="131" t="n">
        <v>34</v>
      </c>
      <c r="F56" s="130" t="n">
        <v>85</v>
      </c>
      <c r="G56" s="17" t="n">
        <v>26</v>
      </c>
      <c r="H56" s="132" t="n">
        <v>99</v>
      </c>
      <c r="I56" s="133" t="n">
        <v>130000</v>
      </c>
      <c r="J56" s="133" t="inlineStr">
        <is>
          <t>고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112C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미사강변한신휴플러스</t>
        </is>
      </c>
      <c r="B58" s="10" t="inlineStr">
        <is>
          <t>'15.01.</t>
        </is>
      </c>
      <c r="C58" s="132" t="n">
        <v>763</v>
      </c>
      <c r="D58" s="130" t="n">
        <v>98.90000000000001</v>
      </c>
      <c r="E58" s="131" t="n">
        <v>30</v>
      </c>
      <c r="F58" s="130" t="n">
        <v>74.59999999999999</v>
      </c>
      <c r="G58" s="17" t="n">
        <v>23</v>
      </c>
      <c r="H58" s="132" t="n">
        <v>240</v>
      </c>
      <c r="I58" s="133" t="n">
        <v>80000</v>
      </c>
      <c r="J58" s="133" t="inlineStr">
        <is>
          <t>5</t>
        </is>
      </c>
      <c r="K58" s="133" t="n">
        <v>50000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98A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미사강변한신휴플러스</t>
        </is>
      </c>
      <c r="B59" s="10" t="inlineStr">
        <is>
          <t>'15.01.</t>
        </is>
      </c>
      <c r="C59" s="132" t="n">
        <v>763</v>
      </c>
      <c r="D59" s="130" t="n">
        <v>98.90000000000001</v>
      </c>
      <c r="E59" s="131" t="n">
        <v>30</v>
      </c>
      <c r="F59" s="130" t="n">
        <v>74.59999999999999</v>
      </c>
      <c r="G59" s="17" t="n">
        <v>23</v>
      </c>
      <c r="H59" s="132" t="n">
        <v>20</v>
      </c>
      <c r="I59" s="133" t="n">
        <v>80000</v>
      </c>
      <c r="J59" s="133" t="inlineStr">
        <is>
          <t>5</t>
        </is>
      </c>
      <c r="K59" s="133" t="n">
        <v>50000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98AN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미사강변한신휴플러스</t>
        </is>
      </c>
      <c r="B60" s="10" t="inlineStr">
        <is>
          <t>'15.01.</t>
        </is>
      </c>
      <c r="C60" s="132" t="n">
        <v>763</v>
      </c>
      <c r="D60" s="130" t="n">
        <v>112.7</v>
      </c>
      <c r="E60" s="131" t="n">
        <v>34</v>
      </c>
      <c r="F60" s="130" t="n">
        <v>85</v>
      </c>
      <c r="G60" s="17" t="n">
        <v>26</v>
      </c>
      <c r="H60" s="132" t="n">
        <v>192</v>
      </c>
      <c r="I60" s="133" t="n">
        <v>87000</v>
      </c>
      <c r="J60" s="133" t="inlineStr">
        <is>
          <t>중</t>
        </is>
      </c>
      <c r="K60" s="133" t="n">
        <v>52000</v>
      </c>
      <c r="L60" s="133" t="inlineStr">
        <is>
          <t>11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112B1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미사강변한신휴플러스</t>
        </is>
      </c>
      <c r="B61" s="10" t="inlineStr">
        <is>
          <t>'15.01.</t>
        </is>
      </c>
      <c r="C61" s="132" t="n">
        <v>763</v>
      </c>
      <c r="D61" s="130" t="n">
        <v>112.6</v>
      </c>
      <c r="E61" s="131" t="n">
        <v>34</v>
      </c>
      <c r="F61" s="130" t="n">
        <v>84.90000000000001</v>
      </c>
      <c r="G61" s="17" t="n">
        <v>26</v>
      </c>
      <c r="H61" s="132" t="n">
        <v>115</v>
      </c>
      <c r="I61" s="133" t="n">
        <v>90000</v>
      </c>
      <c r="J61" s="133" t="inlineStr">
        <is>
          <t>5</t>
        </is>
      </c>
      <c r="K61" s="133" t="n">
        <v>52000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112B2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미사강변한신휴플러스</t>
        </is>
      </c>
      <c r="B62" s="10" t="inlineStr">
        <is>
          <t>'15.01.</t>
        </is>
      </c>
      <c r="C62" s="132" t="n">
        <v>763</v>
      </c>
      <c r="D62" s="130" t="n">
        <v>112.3</v>
      </c>
      <c r="E62" s="131" t="n">
        <v>34</v>
      </c>
      <c r="F62" s="130" t="n">
        <v>84.7</v>
      </c>
      <c r="G62" s="17" t="n">
        <v>26</v>
      </c>
      <c r="H62" s="132" t="n">
        <v>88</v>
      </c>
      <c r="I62" s="133" t="n">
        <v>108000</v>
      </c>
      <c r="J62" s="133" t="inlineStr">
        <is>
          <t>중</t>
        </is>
      </c>
      <c r="K62" s="133" t="n">
        <v>60000</v>
      </c>
      <c r="L62" s="133" t="inlineStr">
        <is>
          <t>10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112C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미사강변한신휴플러스</t>
        </is>
      </c>
      <c r="B63" s="10" t="inlineStr">
        <is>
          <t>'15.01.</t>
        </is>
      </c>
      <c r="C63" s="132" t="n">
        <v>763</v>
      </c>
      <c r="D63" s="130" t="n">
        <v>112.6</v>
      </c>
      <c r="E63" s="131" t="n">
        <v>34</v>
      </c>
      <c r="F63" s="130" t="n">
        <v>85</v>
      </c>
      <c r="G63" s="17" t="n">
        <v>26</v>
      </c>
      <c r="H63" s="132" t="n">
        <v>76</v>
      </c>
      <c r="I63" s="133" t="n">
        <v>88000</v>
      </c>
      <c r="J63" s="133" t="inlineStr">
        <is>
          <t>중</t>
        </is>
      </c>
      <c r="K63" s="133" t="n">
        <v>54000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112B3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미사강변한신휴플러스</t>
        </is>
      </c>
      <c r="B64" s="10" t="inlineStr">
        <is>
          <t>'15.01.</t>
        </is>
      </c>
      <c r="C64" s="132" t="n">
        <v>763</v>
      </c>
      <c r="D64" s="130" t="n">
        <v>112.7</v>
      </c>
      <c r="E64" s="131" t="n">
        <v>34</v>
      </c>
      <c r="F64" s="130" t="n">
        <v>85</v>
      </c>
      <c r="G64" s="17" t="n">
        <v>26</v>
      </c>
      <c r="H64" s="132" t="n">
        <v>20</v>
      </c>
      <c r="I64" s="133" t="n">
        <v>87000</v>
      </c>
      <c r="J64" s="133" t="inlineStr">
        <is>
          <t>중</t>
        </is>
      </c>
      <c r="K64" s="133" t="n">
        <v>52000</v>
      </c>
      <c r="L64" s="133" t="inlineStr">
        <is>
          <t>11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112B1N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미사강변한신휴플러스</t>
        </is>
      </c>
      <c r="B65" s="10" t="inlineStr">
        <is>
          <t>'15.01.</t>
        </is>
      </c>
      <c r="C65" s="132" t="n">
        <v>763</v>
      </c>
      <c r="D65" s="130" t="n">
        <v>112.6</v>
      </c>
      <c r="E65" s="131" t="n">
        <v>34</v>
      </c>
      <c r="F65" s="130" t="n">
        <v>85</v>
      </c>
      <c r="G65" s="17" t="n">
        <v>26</v>
      </c>
      <c r="H65" s="132" t="n">
        <v>12</v>
      </c>
      <c r="I65" s="133" t="n">
        <v>88000</v>
      </c>
      <c r="J65" s="133" t="inlineStr">
        <is>
          <t>중</t>
        </is>
      </c>
      <c r="K65" s="133" t="n">
        <v>54000</v>
      </c>
      <c r="L65" s="133" t="inlineStr">
        <is>
          <t>고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112B3N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미사강변골든센트로</t>
        </is>
      </c>
      <c r="B67" s="10" t="inlineStr">
        <is>
          <t>'14.12.</t>
        </is>
      </c>
      <c r="C67" s="132" t="n">
        <v>1541</v>
      </c>
      <c r="D67" s="130" t="n">
        <v>82</v>
      </c>
      <c r="E67" s="131" t="n">
        <v>25</v>
      </c>
      <c r="F67" s="130" t="n">
        <v>59.6</v>
      </c>
      <c r="G67" s="17" t="n">
        <v>18</v>
      </c>
      <c r="H67" s="132" t="n">
        <v>75</v>
      </c>
      <c r="I67" s="133" t="n">
        <v>89000</v>
      </c>
      <c r="J67" s="133" t="inlineStr">
        <is>
          <t>5</t>
        </is>
      </c>
      <c r="K67" s="133" t="n">
        <v>53000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81B1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미사강변골든센트로</t>
        </is>
      </c>
      <c r="B68" s="10" t="inlineStr">
        <is>
          <t>'14.12.</t>
        </is>
      </c>
      <c r="C68" s="132" t="n">
        <v>1541</v>
      </c>
      <c r="D68" s="130" t="n">
        <v>82</v>
      </c>
      <c r="E68" s="131" t="n">
        <v>25</v>
      </c>
      <c r="F68" s="130" t="n">
        <v>59.6</v>
      </c>
      <c r="G68" s="17" t="n">
        <v>18</v>
      </c>
      <c r="H68" s="132" t="n">
        <v>26</v>
      </c>
      <c r="I68" s="133" t="n">
        <v>89000</v>
      </c>
      <c r="J68" s="133" t="inlineStr">
        <is>
          <t>5</t>
        </is>
      </c>
      <c r="K68" s="133" t="n">
        <v>53000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81B3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미사강변골든센트로</t>
        </is>
      </c>
      <c r="B69" s="10" t="inlineStr">
        <is>
          <t>'14.12.</t>
        </is>
      </c>
      <c r="C69" s="132" t="n">
        <v>1541</v>
      </c>
      <c r="D69" s="130" t="n">
        <v>82</v>
      </c>
      <c r="E69" s="131" t="n">
        <v>25</v>
      </c>
      <c r="F69" s="130" t="n">
        <v>59.6</v>
      </c>
      <c r="G69" s="17" t="n">
        <v>18</v>
      </c>
      <c r="H69" s="132" t="n">
        <v>23</v>
      </c>
      <c r="I69" s="133" t="n">
        <v>89000</v>
      </c>
      <c r="J69" s="133" t="inlineStr">
        <is>
          <t>5</t>
        </is>
      </c>
      <c r="K69" s="133" t="n">
        <v>53000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81B1N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미사강변골든센트로</t>
        </is>
      </c>
      <c r="B70" s="10" t="inlineStr">
        <is>
          <t>'14.12.</t>
        </is>
      </c>
      <c r="C70" s="132" t="n">
        <v>1541</v>
      </c>
      <c r="D70" s="130" t="n">
        <v>82</v>
      </c>
      <c r="E70" s="131" t="n">
        <v>25</v>
      </c>
      <c r="F70" s="130" t="n">
        <v>59.6</v>
      </c>
      <c r="G70" s="17" t="n">
        <v>18</v>
      </c>
      <c r="H70" s="132" t="n">
        <v>18</v>
      </c>
      <c r="I70" s="133" t="n">
        <v>89000</v>
      </c>
      <c r="J70" s="133" t="inlineStr">
        <is>
          <t>5</t>
        </is>
      </c>
      <c r="K70" s="133" t="n">
        <v>53000</v>
      </c>
      <c r="L70" s="133" t="inlineStr">
        <is>
          <t>7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81C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미사강변골든센트로</t>
        </is>
      </c>
      <c r="B71" s="10" t="inlineStr">
        <is>
          <t>'14.12.</t>
        </is>
      </c>
      <c r="C71" s="132" t="n">
        <v>1541</v>
      </c>
      <c r="D71" s="130" t="n">
        <v>82.5</v>
      </c>
      <c r="E71" s="131" t="n">
        <v>25</v>
      </c>
      <c r="F71" s="130" t="n">
        <v>60</v>
      </c>
      <c r="G71" s="17" t="n">
        <v>18</v>
      </c>
      <c r="H71" s="132" t="n">
        <v>438</v>
      </c>
      <c r="I71" s="133" t="n">
        <v>82000</v>
      </c>
      <c r="J71" s="133" t="inlineStr">
        <is>
          <t>18</t>
        </is>
      </c>
      <c r="K71" s="133" t="n">
        <v>53000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82A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미사강변골든센트로</t>
        </is>
      </c>
      <c r="B72" s="10" t="inlineStr">
        <is>
          <t>'14.12.</t>
        </is>
      </c>
      <c r="C72" s="132" t="n">
        <v>1541</v>
      </c>
      <c r="D72" s="130" t="n">
        <v>82.3</v>
      </c>
      <c r="E72" s="131" t="n">
        <v>25</v>
      </c>
      <c r="F72" s="130" t="n">
        <v>59.8</v>
      </c>
      <c r="G72" s="17" t="n">
        <v>18</v>
      </c>
      <c r="H72" s="132" t="n">
        <v>49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82B2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미사강변골든센트로</t>
        </is>
      </c>
      <c r="B73" s="10" t="inlineStr">
        <is>
          <t>'14.12.</t>
        </is>
      </c>
      <c r="C73" s="132" t="n">
        <v>1541</v>
      </c>
      <c r="D73" s="130" t="n">
        <v>103.1</v>
      </c>
      <c r="E73" s="131" t="n">
        <v>31</v>
      </c>
      <c r="F73" s="130" t="n">
        <v>75</v>
      </c>
      <c r="G73" s="17" t="n">
        <v>23</v>
      </c>
      <c r="H73" s="132" t="n">
        <v>236</v>
      </c>
      <c r="I73" s="133" t="n">
        <v>97000</v>
      </c>
      <c r="J73" s="133" t="inlineStr">
        <is>
          <t>26</t>
        </is>
      </c>
      <c r="K73" s="133" t="n">
        <v>58000</v>
      </c>
      <c r="L73" s="133" t="inlineStr">
        <is>
          <t>고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103A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미사강변골든센트로</t>
        </is>
      </c>
      <c r="B74" s="10" t="inlineStr">
        <is>
          <t>'14.12.</t>
        </is>
      </c>
      <c r="C74" s="132" t="n">
        <v>1541</v>
      </c>
      <c r="D74" s="130" t="n">
        <v>103.1</v>
      </c>
      <c r="E74" s="131" t="n">
        <v>31</v>
      </c>
      <c r="F74" s="130" t="n">
        <v>75</v>
      </c>
      <c r="G74" s="17" t="n">
        <v>23</v>
      </c>
      <c r="H74" s="132" t="n">
        <v>29</v>
      </c>
      <c r="I74" s="133" t="n">
        <v>97000</v>
      </c>
      <c r="J74" s="133" t="inlineStr">
        <is>
          <t>26</t>
        </is>
      </c>
      <c r="K74" s="133" t="n">
        <v>58000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103AN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미사강변골든센트로</t>
        </is>
      </c>
      <c r="B75" s="10" t="inlineStr">
        <is>
          <t>'14.12.</t>
        </is>
      </c>
      <c r="C75" s="132" t="n">
        <v>1541</v>
      </c>
      <c r="D75" s="130" t="n">
        <v>116.4</v>
      </c>
      <c r="E75" s="131" t="n">
        <v>35</v>
      </c>
      <c r="F75" s="130" t="n">
        <v>84.59999999999999</v>
      </c>
      <c r="G75" s="17" t="n">
        <v>26</v>
      </c>
      <c r="H75" s="132" t="n">
        <v>149</v>
      </c>
      <c r="I75" s="133" t="n">
        <v>105000</v>
      </c>
      <c r="J75" s="133" t="inlineStr">
        <is>
          <t>12</t>
        </is>
      </c>
      <c r="K75" s="133" t="n">
        <v>60000</v>
      </c>
      <c r="L75" s="133" t="inlineStr">
        <is>
          <t>12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116B1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미사강변골든센트로</t>
        </is>
      </c>
      <c r="B76" s="10" t="inlineStr">
        <is>
          <t>'14.12.</t>
        </is>
      </c>
      <c r="C76" s="132" t="n">
        <v>1541</v>
      </c>
      <c r="D76" s="130" t="n">
        <v>116.9</v>
      </c>
      <c r="E76" s="131" t="n">
        <v>35</v>
      </c>
      <c r="F76" s="130" t="n">
        <v>85</v>
      </c>
      <c r="G76" s="17" t="n">
        <v>26</v>
      </c>
      <c r="H76" s="132" t="n">
        <v>133</v>
      </c>
      <c r="I76" s="133" t="n">
        <v>110000</v>
      </c>
      <c r="J76" s="133" t="inlineStr">
        <is>
          <t>10</t>
        </is>
      </c>
      <c r="K76" s="133" t="n">
        <v>65000</v>
      </c>
      <c r="L76" s="133" t="inlineStr">
        <is>
          <t>19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116B3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미사강변골든센트로</t>
        </is>
      </c>
      <c r="B77" s="10" t="inlineStr">
        <is>
          <t>'14.12.</t>
        </is>
      </c>
      <c r="C77" s="132" t="n">
        <v>1541</v>
      </c>
      <c r="D77" s="130" t="n">
        <v>116.7</v>
      </c>
      <c r="E77" s="131" t="n">
        <v>35</v>
      </c>
      <c r="F77" s="130" t="n">
        <v>84.90000000000001</v>
      </c>
      <c r="G77" s="17" t="n">
        <v>26</v>
      </c>
      <c r="H77" s="132" t="n">
        <v>116</v>
      </c>
      <c r="I77" s="133" t="n">
        <v>105000</v>
      </c>
      <c r="J77" s="133" t="inlineStr">
        <is>
          <t>6</t>
        </is>
      </c>
      <c r="K77" s="133" t="n">
        <v>65000</v>
      </c>
      <c r="L77" s="133" t="inlineStr">
        <is>
          <t>14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116B2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미사강변골든센트로</t>
        </is>
      </c>
      <c r="B78" s="10" t="inlineStr">
        <is>
          <t>'14.12.</t>
        </is>
      </c>
      <c r="C78" s="132" t="n">
        <v>1541</v>
      </c>
      <c r="D78" s="130" t="n">
        <v>116.7</v>
      </c>
      <c r="E78" s="131" t="n">
        <v>35</v>
      </c>
      <c r="F78" s="130" t="n">
        <v>84.8</v>
      </c>
      <c r="G78" s="17" t="n">
        <v>26</v>
      </c>
      <c r="H78" s="132" t="n">
        <v>116</v>
      </c>
      <c r="I78" s="133" t="n">
        <v>100000</v>
      </c>
      <c r="J78" s="133" t="inlineStr">
        <is>
          <t>8</t>
        </is>
      </c>
      <c r="K78" s="133" t="n">
        <v>56000</v>
      </c>
      <c r="L78" s="133" t="inlineStr">
        <is>
          <t>12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116C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미사강변골든센트로</t>
        </is>
      </c>
      <c r="B79" s="10" t="inlineStr">
        <is>
          <t>'14.12.</t>
        </is>
      </c>
      <c r="C79" s="132" t="n">
        <v>1541</v>
      </c>
      <c r="D79" s="130" t="n">
        <v>116.6</v>
      </c>
      <c r="E79" s="131" t="n">
        <v>35</v>
      </c>
      <c r="F79" s="130" t="n">
        <v>84.8</v>
      </c>
      <c r="G79" s="17" t="n">
        <v>26</v>
      </c>
      <c r="H79" s="132" t="n">
        <v>105</v>
      </c>
      <c r="I79" s="133" t="n">
        <v>110000</v>
      </c>
      <c r="J79" s="133" t="inlineStr">
        <is>
          <t>12</t>
        </is>
      </c>
      <c r="K79" s="133" t="n">
        <v>65000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116A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미사강변골든센트로</t>
        </is>
      </c>
      <c r="B80" s="10" t="inlineStr">
        <is>
          <t>'14.12.</t>
        </is>
      </c>
      <c r="C80" s="132" t="n">
        <v>1541</v>
      </c>
      <c r="D80" s="130" t="n">
        <v>116.6</v>
      </c>
      <c r="E80" s="131" t="n">
        <v>35</v>
      </c>
      <c r="F80" s="130" t="n">
        <v>84.8</v>
      </c>
      <c r="G80" s="17" t="n">
        <v>26</v>
      </c>
      <c r="H80" s="132" t="n">
        <v>28</v>
      </c>
      <c r="I80" s="133" t="n">
        <v>110000</v>
      </c>
      <c r="J80" s="133" t="inlineStr">
        <is>
          <t>12</t>
        </is>
      </c>
      <c r="K80" s="133" t="n">
        <v>65000</v>
      </c>
      <c r="L80" s="133" t="inlineStr">
        <is>
          <t>12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116AN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미사강변파밀리에</t>
        </is>
      </c>
      <c r="B82" s="10" t="inlineStr">
        <is>
          <t>'14.06.</t>
        </is>
      </c>
      <c r="C82" s="132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85000</v>
      </c>
      <c r="J82" s="133" t="inlineStr">
        <is>
          <t>고</t>
        </is>
      </c>
      <c r="K82" s="133" t="n">
        <v>55000</v>
      </c>
      <c r="L82" s="133" t="inlineStr">
        <is>
          <t>고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80B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미사강변파밀리에</t>
        </is>
      </c>
      <c r="B83" s="10" t="inlineStr">
        <is>
          <t>'14.06.</t>
        </is>
      </c>
      <c r="C83" s="132" t="n">
        <v>976</v>
      </c>
      <c r="D83" s="130" t="n">
        <v>80.09999999999999</v>
      </c>
      <c r="E83" s="131" t="n">
        <v>24</v>
      </c>
      <c r="F83" s="130" t="n">
        <v>60</v>
      </c>
      <c r="G83" s="17" t="n">
        <v>18</v>
      </c>
      <c r="H83" s="132" t="n">
        <v>148</v>
      </c>
      <c r="I83" s="133" t="n">
        <v>90000</v>
      </c>
      <c r="J83" s="133" t="inlineStr">
        <is>
          <t>고</t>
        </is>
      </c>
      <c r="K83" s="133" t="n">
        <v>50000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inlineStr">
        <is>
          <t>미사강변파밀리에</t>
        </is>
      </c>
      <c r="B84" s="10" t="inlineStr">
        <is>
          <t>'14.06.</t>
        </is>
      </c>
      <c r="C84" s="132" t="n">
        <v>976</v>
      </c>
      <c r="D84" s="130" t="n">
        <v>99.90000000000001</v>
      </c>
      <c r="E84" s="131" t="n">
        <v>30</v>
      </c>
      <c r="F84" s="130" t="n">
        <v>74.8</v>
      </c>
      <c r="G84" s="17" t="n">
        <v>23</v>
      </c>
      <c r="H84" s="132" t="n">
        <v>183</v>
      </c>
      <c r="I84" s="133" t="n">
        <v>91000</v>
      </c>
      <c r="J84" s="133" t="inlineStr">
        <is>
          <t>8</t>
        </is>
      </c>
      <c r="K84" s="133" t="n">
        <v>58000</v>
      </c>
      <c r="L84" s="133" t="inlineStr">
        <is>
          <t>중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미사강변파밀리에</t>
        </is>
      </c>
      <c r="B85" s="10" t="inlineStr">
        <is>
          <t>'14.06.</t>
        </is>
      </c>
      <c r="C85" s="132" t="n">
        <v>976</v>
      </c>
      <c r="D85" s="130" t="n">
        <v>113.4</v>
      </c>
      <c r="E85" s="131" t="n">
        <v>34</v>
      </c>
      <c r="F85" s="130" t="n">
        <v>85</v>
      </c>
      <c r="G85" s="17" t="n">
        <v>26</v>
      </c>
      <c r="H85" s="132" t="n">
        <v>208</v>
      </c>
      <c r="I85" s="133" t="n">
        <v>105000</v>
      </c>
      <c r="J85" s="133" t="inlineStr">
        <is>
          <t>중</t>
        </is>
      </c>
      <c r="K85" s="133" t="n">
        <v>59000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113B2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미사강변파밀리에</t>
        </is>
      </c>
      <c r="B86" s="10" t="inlineStr">
        <is>
          <t>'14.06.</t>
        </is>
      </c>
      <c r="C86" s="132" t="n">
        <v>976</v>
      </c>
      <c r="D86" s="130" t="n">
        <v>113.2</v>
      </c>
      <c r="E86" s="131" t="n">
        <v>34</v>
      </c>
      <c r="F86" s="130" t="n">
        <v>84.8</v>
      </c>
      <c r="G86" s="17" t="n">
        <v>26</v>
      </c>
      <c r="H86" s="132" t="n">
        <v>191</v>
      </c>
      <c r="I86" s="133" t="n">
        <v>108000</v>
      </c>
      <c r="J86" s="133" t="inlineStr">
        <is>
          <t>중</t>
        </is>
      </c>
      <c r="K86" s="133" t="n">
        <v>66000</v>
      </c>
      <c r="L86" s="133" t="inlineStr">
        <is>
          <t>27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113B1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미사강변파밀리에</t>
        </is>
      </c>
      <c r="B87" s="10" t="inlineStr">
        <is>
          <t>'14.06.</t>
        </is>
      </c>
      <c r="C87" s="132" t="n">
        <v>976</v>
      </c>
      <c r="D87" s="130" t="n">
        <v>113.3</v>
      </c>
      <c r="E87" s="131" t="n">
        <v>34</v>
      </c>
      <c r="F87" s="130" t="n">
        <v>84.90000000000001</v>
      </c>
      <c r="G87" s="17" t="n">
        <v>26</v>
      </c>
      <c r="H87" s="132" t="n">
        <v>96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113C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미사강변도시8단지스타힐스</t>
        </is>
      </c>
      <c r="B89" s="10" t="inlineStr">
        <is>
          <t>'16.11.</t>
        </is>
      </c>
      <c r="C89" s="132" t="n">
        <v>1389</v>
      </c>
      <c r="D89" s="130" t="n">
        <v>71.40000000000001</v>
      </c>
      <c r="E89" s="131" t="n">
        <v>22</v>
      </c>
      <c r="F89" s="130" t="n">
        <v>51.7</v>
      </c>
      <c r="G89" s="17" t="n">
        <v>16</v>
      </c>
      <c r="H89" s="132" t="n">
        <v>273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2</v>
      </c>
      <c r="R89" s="120" t="n">
        <v>1</v>
      </c>
      <c r="S89" s="120" t="inlineStr">
        <is>
          <t>계</t>
        </is>
      </c>
      <c r="T89" s="5" t="inlineStr">
        <is>
          <t>71A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미사강변도시8단지스타힐스</t>
        </is>
      </c>
      <c r="B90" s="10" t="inlineStr">
        <is>
          <t>'16.11.</t>
        </is>
      </c>
      <c r="C90" s="132" t="n">
        <v>1389</v>
      </c>
      <c r="D90" s="130" t="n">
        <v>71.5</v>
      </c>
      <c r="E90" s="131" t="n">
        <v>22</v>
      </c>
      <c r="F90" s="130" t="n">
        <v>51.9</v>
      </c>
      <c r="G90" s="17" t="n">
        <v>16</v>
      </c>
      <c r="H90" s="132" t="n">
        <v>61</v>
      </c>
      <c r="I90" s="133" t="n">
        <v>83000</v>
      </c>
      <c r="J90" s="133" t="inlineStr">
        <is>
          <t>9</t>
        </is>
      </c>
      <c r="K90" s="133" t="n">
        <v>44000</v>
      </c>
      <c r="L90" s="133" t="inlineStr">
        <is>
          <t>9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2</v>
      </c>
      <c r="R90" s="120" t="n">
        <v>1</v>
      </c>
      <c r="S90" s="120" t="inlineStr">
        <is>
          <t>계</t>
        </is>
      </c>
      <c r="T90" s="5" t="inlineStr">
        <is>
          <t>71B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미사강변도시8단지스타힐스</t>
        </is>
      </c>
      <c r="B91" s="10" t="inlineStr">
        <is>
          <t>'16.11.</t>
        </is>
      </c>
      <c r="C91" s="132" t="n">
        <v>1389</v>
      </c>
      <c r="D91" s="130" t="n">
        <v>71.3</v>
      </c>
      <c r="E91" s="131" t="n">
        <v>22</v>
      </c>
      <c r="F91" s="130" t="n">
        <v>51.7</v>
      </c>
      <c r="G91" s="17" t="n">
        <v>16</v>
      </c>
      <c r="H91" s="132" t="n">
        <v>61</v>
      </c>
      <c r="I91" s="133" t="n">
        <v>70000</v>
      </c>
      <c r="J91" s="133" t="inlineStr">
        <is>
          <t>중</t>
        </is>
      </c>
      <c r="K91" s="133" t="n">
        <v>45000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71C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미사강변도시8단지스타힐스</t>
        </is>
      </c>
      <c r="B92" s="10" t="inlineStr">
        <is>
          <t>'16.11.</t>
        </is>
      </c>
      <c r="C92" s="132" t="n">
        <v>1389</v>
      </c>
      <c r="D92" s="130" t="n">
        <v>82.5</v>
      </c>
      <c r="E92" s="131" t="n">
        <v>25</v>
      </c>
      <c r="F92" s="130" t="n">
        <v>59.8</v>
      </c>
      <c r="G92" s="17" t="n">
        <v>18</v>
      </c>
      <c r="H92" s="132" t="n">
        <v>193</v>
      </c>
      <c r="I92" s="133" t="n">
        <v>87000</v>
      </c>
      <c r="J92" s="133" t="inlineStr">
        <is>
          <t>16</t>
        </is>
      </c>
      <c r="K92" s="133" t="n">
        <v>45000</v>
      </c>
      <c r="L92" s="133" t="inlineStr">
        <is>
          <t>고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82A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미사강변도시8단지스타힐스</t>
        </is>
      </c>
      <c r="B93" s="10" t="inlineStr">
        <is>
          <t>'16.11.</t>
        </is>
      </c>
      <c r="C93" s="132" t="n">
        <v>1389</v>
      </c>
      <c r="D93" s="130" t="n">
        <v>82.5</v>
      </c>
      <c r="E93" s="131" t="n">
        <v>25</v>
      </c>
      <c r="F93" s="130" t="n">
        <v>59.8</v>
      </c>
      <c r="G93" s="17" t="n">
        <v>18</v>
      </c>
      <c r="H93" s="132" t="n">
        <v>70</v>
      </c>
      <c r="I93" s="133" t="n">
        <v>87000</v>
      </c>
      <c r="J93" s="133" t="inlineStr">
        <is>
          <t>16</t>
        </is>
      </c>
      <c r="K93" s="133" t="n">
        <v>45000</v>
      </c>
      <c r="L93" s="133" t="inlineStr">
        <is>
          <t>고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82B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미사강변도시8단지스타힐스</t>
        </is>
      </c>
      <c r="B94" s="10" t="inlineStr">
        <is>
          <t>'16.11.</t>
        </is>
      </c>
      <c r="C94" s="132" t="n">
        <v>1389</v>
      </c>
      <c r="D94" s="130" t="n">
        <v>82.3</v>
      </c>
      <c r="E94" s="131" t="n">
        <v>25</v>
      </c>
      <c r="F94" s="130" t="n">
        <v>59.7</v>
      </c>
      <c r="G94" s="17" t="n">
        <v>18</v>
      </c>
      <c r="H94" s="132" t="n">
        <v>17</v>
      </c>
      <c r="I94" s="133" t="n">
        <v>93000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82A1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미사강변도시8단지스타힐스</t>
        </is>
      </c>
      <c r="B95" s="10" t="inlineStr">
        <is>
          <t>'16.11.</t>
        </is>
      </c>
      <c r="C95" s="132" t="n">
        <v>1389</v>
      </c>
      <c r="D95" s="130" t="n">
        <v>103.4</v>
      </c>
      <c r="E95" s="131" t="n">
        <v>31</v>
      </c>
      <c r="F95" s="130" t="n">
        <v>75</v>
      </c>
      <c r="G95" s="17" t="n">
        <v>23</v>
      </c>
      <c r="H95" s="132" t="n">
        <v>272</v>
      </c>
      <c r="I95" s="133" t="n">
        <v>90000</v>
      </c>
      <c r="J95" s="133" t="inlineStr">
        <is>
          <t>고</t>
        </is>
      </c>
      <c r="K95" s="133" t="n">
        <v>54500</v>
      </c>
      <c r="L95" s="133" t="inlineStr">
        <is>
          <t>중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103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미사강변도시8단지스타힐스</t>
        </is>
      </c>
      <c r="B96" s="10" t="inlineStr">
        <is>
          <t>'16.11.</t>
        </is>
      </c>
      <c r="C96" s="132" t="n">
        <v>1389</v>
      </c>
      <c r="D96" s="130" t="n">
        <v>117.1</v>
      </c>
      <c r="E96" s="131" t="n">
        <v>35</v>
      </c>
      <c r="F96" s="130" t="n">
        <v>84.90000000000001</v>
      </c>
      <c r="G96" s="17" t="n">
        <v>26</v>
      </c>
      <c r="H96" s="132" t="n">
        <v>358</v>
      </c>
      <c r="I96" s="133" t="n">
        <v>100000</v>
      </c>
      <c r="J96" s="133" t="inlineStr">
        <is>
          <t>9</t>
        </is>
      </c>
      <c r="K96" s="133" t="n">
        <v>58000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117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미사강변도시8단지스타힐스</t>
        </is>
      </c>
      <c r="B97" s="10" t="inlineStr">
        <is>
          <t>'16.11.</t>
        </is>
      </c>
      <c r="C97" s="132" t="n">
        <v>1389</v>
      </c>
      <c r="D97" s="130" t="n">
        <v>117.2</v>
      </c>
      <c r="E97" s="131" t="n">
        <v>35</v>
      </c>
      <c r="F97" s="130" t="n">
        <v>84.90000000000001</v>
      </c>
      <c r="G97" s="17" t="n">
        <v>26</v>
      </c>
      <c r="H97" s="132" t="n">
        <v>84</v>
      </c>
      <c r="I97" s="133" t="n">
        <v>100000</v>
      </c>
      <c r="J97" s="133" t="inlineStr">
        <is>
          <t>고</t>
        </is>
      </c>
      <c r="K97" s="133" t="n">
        <v>53000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n"/>
      <c r="B98" s="120" t="n"/>
      <c r="C98" s="6" t="n"/>
      <c r="D98" s="9" t="n"/>
      <c r="E98" s="14" t="n"/>
      <c r="F98" s="130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5" t="n"/>
      <c r="P98" s="135" t="n"/>
      <c r="Q98" s="131" t="n"/>
      <c r="R98" s="131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55">
        <f>IF(E98="","",E98)</f>
        <v/>
      </c>
      <c r="AJ98" s="120" t="n"/>
      <c r="AK98" s="120" t="n"/>
      <c r="AL98" s="120" t="n"/>
      <c r="AM98" s="120" t="n"/>
      <c r="AN98" s="120" t="n"/>
      <c r="AO98" s="120" t="n"/>
      <c r="AP98" s="120" t="n"/>
      <c r="AQ98" s="120" t="n"/>
      <c r="AR98" s="120" t="n"/>
      <c r="AS98" s="120" t="n"/>
      <c r="AT98" s="120" t="n"/>
      <c r="AU98" s="120" t="n"/>
      <c r="AV98" s="120" t="n"/>
    </row>
    <row r="99">
      <c r="A99" s="9" t="inlineStr">
        <is>
          <t>미사강변호반써밋</t>
        </is>
      </c>
      <c r="B99" s="10" t="inlineStr">
        <is>
          <t>'19.06.</t>
        </is>
      </c>
      <c r="C99" s="132" t="n">
        <v>846</v>
      </c>
      <c r="D99" s="130" t="n">
        <v>131.6</v>
      </c>
      <c r="E99" s="131" t="n">
        <v>40</v>
      </c>
      <c r="F99" s="130" t="n">
        <v>99.90000000000001</v>
      </c>
      <c r="G99" s="17" t="n">
        <v>30</v>
      </c>
      <c r="H99" s="132" t="n">
        <v>490</v>
      </c>
      <c r="I99" s="133" t="n">
        <v>127000</v>
      </c>
      <c r="J99" s="133" t="inlineStr">
        <is>
          <t>20</t>
        </is>
      </c>
      <c r="K99" s="133" t="n">
        <v>75000</v>
      </c>
      <c r="L99" s="133" t="inlineStr">
        <is>
          <t>고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131A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미사강변호반써밋</t>
        </is>
      </c>
      <c r="B100" s="10" t="inlineStr">
        <is>
          <t>'19.06.</t>
        </is>
      </c>
      <c r="C100" s="132" t="n">
        <v>846</v>
      </c>
      <c r="D100" s="130" t="n">
        <v>131.8</v>
      </c>
      <c r="E100" s="131" t="n">
        <v>40</v>
      </c>
      <c r="F100" s="130" t="n">
        <v>99.5</v>
      </c>
      <c r="G100" s="17" t="n">
        <v>30</v>
      </c>
      <c r="H100" s="132" t="n">
        <v>108</v>
      </c>
      <c r="I100" s="133" t="n">
        <v>125000</v>
      </c>
      <c r="J100" s="133" t="inlineStr">
        <is>
          <t>9</t>
        </is>
      </c>
      <c r="K100" s="133" t="n">
        <v>80000</v>
      </c>
      <c r="L100" s="133" t="inlineStr">
        <is>
          <t>중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131C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미사강변호반써밋</t>
        </is>
      </c>
      <c r="B101" s="10" t="inlineStr">
        <is>
          <t>'19.06.</t>
        </is>
      </c>
      <c r="C101" s="132" t="n">
        <v>846</v>
      </c>
      <c r="D101" s="130" t="n">
        <v>132.2</v>
      </c>
      <c r="E101" s="131" t="n">
        <v>40</v>
      </c>
      <c r="F101" s="130" t="n">
        <v>99.2</v>
      </c>
      <c r="G101" s="17" t="n">
        <v>30</v>
      </c>
      <c r="H101" s="132" t="n">
        <v>244</v>
      </c>
      <c r="I101" s="133" t="n">
        <v>127000</v>
      </c>
      <c r="J101" s="133" t="inlineStr">
        <is>
          <t>중</t>
        </is>
      </c>
      <c r="K101" s="133" t="n">
        <v>80000</v>
      </c>
      <c r="L101" s="133" t="inlineStr">
        <is>
          <t>16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inlineStr">
        <is>
          <t>132B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미사강변호반써밋</t>
        </is>
      </c>
      <c r="B102" s="10" t="inlineStr">
        <is>
          <t>'19.06.</t>
        </is>
      </c>
      <c r="C102" s="132" t="n">
        <v>846</v>
      </c>
      <c r="D102" s="130" t="n">
        <v>197</v>
      </c>
      <c r="E102" s="131" t="n">
        <v>60</v>
      </c>
      <c r="F102" s="130" t="n">
        <v>147.2</v>
      </c>
      <c r="G102" s="17" t="n">
        <v>45</v>
      </c>
      <c r="H102" s="132" t="n">
        <v>1</v>
      </c>
      <c r="I102" s="133" t="n">
        <v>370000</v>
      </c>
      <c r="J102" s="133" t="inlineStr">
        <is>
          <t>고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5</v>
      </c>
      <c r="R102" s="120" t="n">
        <v>3</v>
      </c>
      <c r="S102" s="120" t="inlineStr">
        <is>
          <t>계</t>
        </is>
      </c>
      <c r="T102" s="5" t="inlineStr">
        <is>
          <t>196A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미사강변호반써밋</t>
        </is>
      </c>
      <c r="B103" s="10" t="inlineStr">
        <is>
          <t>'19.06.</t>
        </is>
      </c>
      <c r="C103" s="132" t="n">
        <v>846</v>
      </c>
      <c r="D103" s="130" t="n">
        <v>199.7</v>
      </c>
      <c r="E103" s="131" t="n">
        <v>60</v>
      </c>
      <c r="F103" s="130" t="n">
        <v>149.3</v>
      </c>
      <c r="G103" s="17" t="n">
        <v>45</v>
      </c>
      <c r="H103" s="132" t="n">
        <v>1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5</v>
      </c>
      <c r="R103" s="120" t="n">
        <v>3</v>
      </c>
      <c r="S103" s="120" t="inlineStr">
        <is>
          <t>계</t>
        </is>
      </c>
      <c r="T103" s="5" t="inlineStr">
        <is>
          <t>199B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미사강변호반써밋</t>
        </is>
      </c>
      <c r="B104" s="10" t="inlineStr">
        <is>
          <t>'19.06.</t>
        </is>
      </c>
      <c r="C104" s="132" t="n">
        <v>846</v>
      </c>
      <c r="D104" s="130" t="n">
        <v>205.6</v>
      </c>
      <c r="E104" s="131" t="n">
        <v>62</v>
      </c>
      <c r="F104" s="130" t="n">
        <v>154.2</v>
      </c>
      <c r="G104" s="17" t="n">
        <v>47</v>
      </c>
      <c r="H104" s="132" t="n">
        <v>2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3</v>
      </c>
      <c r="S104" s="120" t="inlineStr">
        <is>
          <t>계</t>
        </is>
      </c>
      <c r="T104" s="5" t="n">
        <v>205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n"/>
      <c r="B105" s="120" t="n"/>
      <c r="C105" s="6" t="n"/>
      <c r="D105" s="9" t="n"/>
      <c r="E105" s="14" t="n"/>
      <c r="F105" s="130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5" t="n"/>
      <c r="P105" s="135" t="n"/>
      <c r="Q105" s="131" t="n"/>
      <c r="R105" s="131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5">
        <f>IF(E105="","",E105)</f>
        <v/>
      </c>
      <c r="AJ105" s="120" t="n"/>
      <c r="AK105" s="120" t="n"/>
      <c r="AL105" s="120" t="n"/>
      <c r="AM105" s="120" t="n"/>
      <c r="AN105" s="120" t="n"/>
      <c r="AO105" s="120" t="n"/>
      <c r="AP105" s="120" t="n"/>
      <c r="AQ105" s="120" t="n"/>
      <c r="AR105" s="120" t="n"/>
      <c r="AS105" s="120" t="n"/>
      <c r="AT105" s="120" t="n"/>
      <c r="AU105" s="120" t="n"/>
      <c r="AV105" s="120" t="n"/>
    </row>
    <row r="106">
      <c r="A106" s="9" t="inlineStr">
        <is>
          <t>미사역파라곤</t>
        </is>
      </c>
      <c r="B106" s="10" t="inlineStr">
        <is>
          <t>'21.07.</t>
        </is>
      </c>
      <c r="C106" s="132" t="n">
        <v>925</v>
      </c>
      <c r="D106" s="130" t="n">
        <v>129.2</v>
      </c>
      <c r="E106" s="131" t="n">
        <v>39</v>
      </c>
      <c r="F106" s="130" t="n">
        <v>102.9</v>
      </c>
      <c r="G106" s="17" t="n">
        <v>31</v>
      </c>
      <c r="H106" s="132" t="n">
        <v>462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129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미사역파라곤</t>
        </is>
      </c>
      <c r="B107" s="10" t="inlineStr">
        <is>
          <t>'21.07.</t>
        </is>
      </c>
      <c r="C107" s="132" t="n">
        <v>925</v>
      </c>
      <c r="D107" s="130" t="n">
        <v>135.5</v>
      </c>
      <c r="E107" s="131" t="n">
        <v>41</v>
      </c>
      <c r="F107" s="130" t="n">
        <v>107.7</v>
      </c>
      <c r="G107" s="17" t="n">
        <v>33</v>
      </c>
      <c r="H107" s="132" t="n">
        <v>229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135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미사역파라곤</t>
        </is>
      </c>
      <c r="B108" s="10" t="inlineStr">
        <is>
          <t>'21.07.</t>
        </is>
      </c>
      <c r="C108" s="132" t="n">
        <v>925</v>
      </c>
      <c r="D108" s="130" t="n">
        <v>147.1</v>
      </c>
      <c r="E108" s="131" t="n">
        <v>44</v>
      </c>
      <c r="F108" s="130" t="n">
        <v>117</v>
      </c>
      <c r="G108" s="17" t="n">
        <v>35</v>
      </c>
      <c r="H108" s="132" t="n">
        <v>232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147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미사역파라곤</t>
        </is>
      </c>
      <c r="B109" s="10" t="inlineStr">
        <is>
          <t>'21.07.</t>
        </is>
      </c>
      <c r="C109" s="132" t="n">
        <v>925</v>
      </c>
      <c r="D109" s="130" t="n">
        <v>244.6</v>
      </c>
      <c r="E109" s="131" t="n">
        <v>74</v>
      </c>
      <c r="F109" s="130" t="n">
        <v>195.6</v>
      </c>
      <c r="G109" s="17" t="n">
        <v>59</v>
      </c>
      <c r="H109" s="132" t="n">
        <v>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3</v>
      </c>
      <c r="S109" s="120" t="inlineStr">
        <is>
          <t>계</t>
        </is>
      </c>
      <c r="T109" s="5" t="n">
        <v>244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미사강변도시12단지</t>
        </is>
      </c>
      <c r="B111" s="10" t="inlineStr">
        <is>
          <t>'15.07.</t>
        </is>
      </c>
      <c r="C111" s="132" t="n">
        <v>664</v>
      </c>
      <c r="D111" s="130" t="n">
        <v>98.5</v>
      </c>
      <c r="E111" s="131" t="n">
        <v>30</v>
      </c>
      <c r="F111" s="130" t="n">
        <v>75</v>
      </c>
      <c r="G111" s="17" t="n">
        <v>23</v>
      </c>
      <c r="H111" s="132" t="n">
        <v>331</v>
      </c>
      <c r="I111" s="133" t="n">
        <v>91000</v>
      </c>
      <c r="J111" s="133" t="inlineStr">
        <is>
          <t>중</t>
        </is>
      </c>
      <c r="K111" s="133" t="n">
        <v>50000</v>
      </c>
      <c r="L111" s="133" t="inlineStr">
        <is>
          <t>고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98A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미사강변도시12단지</t>
        </is>
      </c>
      <c r="B112" s="10" t="inlineStr">
        <is>
          <t>'15.07.</t>
        </is>
      </c>
      <c r="C112" s="132" t="n">
        <v>664</v>
      </c>
      <c r="D112" s="130" t="n">
        <v>111.6</v>
      </c>
      <c r="E112" s="131" t="n">
        <v>34</v>
      </c>
      <c r="F112" s="130" t="n">
        <v>84.90000000000001</v>
      </c>
      <c r="G112" s="17" t="n">
        <v>26</v>
      </c>
      <c r="H112" s="132" t="n">
        <v>285</v>
      </c>
      <c r="I112" s="133" t="n">
        <v>100000</v>
      </c>
      <c r="J112" s="133" t="inlineStr">
        <is>
          <t>7</t>
        </is>
      </c>
      <c r="K112" s="133" t="n">
        <v>54000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111B2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미사강변도시12단지</t>
        </is>
      </c>
      <c r="B113" s="10" t="inlineStr">
        <is>
          <t>'15.07.</t>
        </is>
      </c>
      <c r="C113" s="132" t="n">
        <v>664</v>
      </c>
      <c r="D113" s="130" t="n">
        <v>111.4</v>
      </c>
      <c r="E113" s="131" t="n">
        <v>34</v>
      </c>
      <c r="F113" s="130" t="n">
        <v>84.8</v>
      </c>
      <c r="G113" s="17" t="n">
        <v>26</v>
      </c>
      <c r="H113" s="132" t="n">
        <v>48</v>
      </c>
      <c r="I113" s="133" t="n">
        <v>101000</v>
      </c>
      <c r="J113" s="133" t="inlineStr">
        <is>
          <t>8</t>
        </is>
      </c>
      <c r="K113" s="133" t="n">
        <v>60000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111B1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23">
      <formula>AV4="X"</formula>
    </cfRule>
    <cfRule type="expression" priority="1886" dxfId="22">
      <formula>AV4="후보"</formula>
    </cfRule>
  </conditionalFormatting>
  <conditionalFormatting sqref="AC1:AC2 AC4:AC6 N4:N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:N2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6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23">
      <formula>AV7="X"</formula>
    </cfRule>
    <cfRule type="expression" priority="1865" dxfId="22">
      <formula>AV7="후보"</formula>
    </cfRule>
  </conditionalFormatting>
  <conditionalFormatting sqref="AC7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7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23">
      <formula>AV8="X"</formula>
    </cfRule>
    <cfRule type="expression" priority="1846" dxfId="22">
      <formula>AV8="후보"</formula>
    </cfRule>
  </conditionalFormatting>
  <conditionalFormatting sqref="AC8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8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23">
      <formula>AV9="X"</formula>
    </cfRule>
    <cfRule type="expression" priority="1827" dxfId="22">
      <formula>AV9="후보"</formula>
    </cfRule>
  </conditionalFormatting>
  <conditionalFormatting sqref="AC9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9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23">
      <formula>AV10="X"</formula>
    </cfRule>
    <cfRule type="expression" priority="1808" dxfId="22">
      <formula>AV10="후보"</formula>
    </cfRule>
  </conditionalFormatting>
  <conditionalFormatting sqref="AC10 N10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AV11">
    <cfRule type="expression" priority="1802" dxfId="23">
      <formula>AV11="X"</formula>
    </cfRule>
    <cfRule type="expression" priority="1803" dxfId="22">
      <formula>AV11="후보"</formula>
    </cfRule>
  </conditionalFormatting>
  <conditionalFormatting sqref="AC11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23">
      <formula>AV12="X"</formula>
    </cfRule>
    <cfRule type="expression" priority="1784" dxfId="22">
      <formula>AV12="후보"</formula>
    </cfRule>
  </conditionalFormatting>
  <conditionalFormatting sqref="AC12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2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23">
      <formula>AV13="X"</formula>
    </cfRule>
    <cfRule type="expression" priority="1765" dxfId="22">
      <formula>AV13="후보"</formula>
    </cfRule>
  </conditionalFormatting>
  <conditionalFormatting sqref="AC1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23">
      <formula>AV14="X"</formula>
    </cfRule>
    <cfRule type="expression" priority="1746" dxfId="22">
      <formula>AV14="후보"</formula>
    </cfRule>
  </conditionalFormatting>
  <conditionalFormatting sqref="AC14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N14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23">
      <formula>AV15="X"</formula>
    </cfRule>
    <cfRule type="expression" priority="1727" dxfId="22">
      <formula>AV15="후보"</formula>
    </cfRule>
  </conditionalFormatting>
  <conditionalFormatting sqref="AC1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5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23">
      <formula>AV16="X"</formula>
    </cfRule>
    <cfRule type="expression" priority="1708" dxfId="22">
      <formula>AV16="후보"</formula>
    </cfRule>
  </conditionalFormatting>
  <conditionalFormatting sqref="AC16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23">
      <formula>AV17="X"</formula>
    </cfRule>
    <cfRule type="expression" priority="1689" dxfId="22">
      <formula>AV17="후보"</formula>
    </cfRule>
  </conditionalFormatting>
  <conditionalFormatting sqref="AC17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23">
      <formula>AV18="X"</formula>
    </cfRule>
    <cfRule type="expression" priority="1670" dxfId="22">
      <formula>AV18="후보"</formula>
    </cfRule>
  </conditionalFormatting>
  <conditionalFormatting sqref="AC18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23">
      <formula>AV19="X"</formula>
    </cfRule>
    <cfRule type="expression" priority="1651" dxfId="22">
      <formula>AV19="후보"</formula>
    </cfRule>
  </conditionalFormatting>
  <conditionalFormatting sqref="AC19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N19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23">
      <formula>AV20="X"</formula>
    </cfRule>
    <cfRule type="expression" priority="1632" dxfId="22">
      <formula>AV20="후보"</formula>
    </cfRule>
  </conditionalFormatting>
  <conditionalFormatting sqref="AC20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N20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23">
      <formula>AV21="X"</formula>
    </cfRule>
    <cfRule type="expression" priority="1613" dxfId="22">
      <formula>AV21="후보"</formula>
    </cfRule>
  </conditionalFormatting>
  <conditionalFormatting sqref="AC21 N21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AV22">
    <cfRule type="expression" priority="1607" dxfId="23">
      <formula>AV22="X"</formula>
    </cfRule>
    <cfRule type="expression" priority="1608" dxfId="22">
      <formula>AV22="후보"</formula>
    </cfRule>
  </conditionalFormatting>
  <conditionalFormatting sqref="AC2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23">
      <formula>AV23="X"</formula>
    </cfRule>
    <cfRule type="expression" priority="1589" dxfId="22">
      <formula>AV23="후보"</formula>
    </cfRule>
  </conditionalFormatting>
  <conditionalFormatting sqref="AC2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2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23">
      <formula>AV24="X"</formula>
    </cfRule>
    <cfRule type="expression" priority="1570" dxfId="22">
      <formula>AV24="후보"</formula>
    </cfRule>
  </conditionalFormatting>
  <conditionalFormatting sqref="AC2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2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23">
      <formula>AV25="X"</formula>
    </cfRule>
    <cfRule type="expression" priority="1551" dxfId="22">
      <formula>AV25="후보"</formula>
    </cfRule>
  </conditionalFormatting>
  <conditionalFormatting sqref="AC2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2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23">
      <formula>AV26="X"</formula>
    </cfRule>
    <cfRule type="expression" priority="1532" dxfId="22">
      <formula>AV26="후보"</formula>
    </cfRule>
  </conditionalFormatting>
  <conditionalFormatting sqref="AC2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26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23">
      <formula>AV27="X"</formula>
    </cfRule>
    <cfRule type="expression" priority="1513" dxfId="22">
      <formula>AV27="후보"</formula>
    </cfRule>
  </conditionalFormatting>
  <conditionalFormatting sqref="AC2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23">
      <formula>AV28="X"</formula>
    </cfRule>
    <cfRule type="expression" priority="1494" dxfId="22">
      <formula>AV28="후보"</formula>
    </cfRule>
  </conditionalFormatting>
  <conditionalFormatting sqref="AC28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23">
      <formula>AV29="X"</formula>
    </cfRule>
    <cfRule type="expression" priority="1475" dxfId="22">
      <formula>AV29="후보"</formula>
    </cfRule>
  </conditionalFormatting>
  <conditionalFormatting sqref="AC2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23">
      <formula>AV30="X"</formula>
    </cfRule>
    <cfRule type="expression" priority="1456" dxfId="22">
      <formula>AV30="후보"</formula>
    </cfRule>
  </conditionalFormatting>
  <conditionalFormatting sqref="AC3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23">
      <formula>AV31="X"</formula>
    </cfRule>
    <cfRule type="expression" priority="1437" dxfId="22">
      <formula>AV31="후보"</formula>
    </cfRule>
  </conditionalFormatting>
  <conditionalFormatting sqref="AC31 N3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32">
    <cfRule type="expression" priority="1431" dxfId="23">
      <formula>AV32="X"</formula>
    </cfRule>
    <cfRule type="expression" priority="1432" dxfId="22">
      <formula>AV32="후보"</formula>
    </cfRule>
  </conditionalFormatting>
  <conditionalFormatting sqref="AC3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23">
      <formula>AV33="X"</formula>
    </cfRule>
    <cfRule type="expression" priority="1413" dxfId="22">
      <formula>AV33="후보"</formula>
    </cfRule>
  </conditionalFormatting>
  <conditionalFormatting sqref="AC3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23">
      <formula>AV34="X"</formula>
    </cfRule>
    <cfRule type="expression" priority="1394" dxfId="22">
      <formula>AV34="후보"</formula>
    </cfRule>
  </conditionalFormatting>
  <conditionalFormatting sqref="AC3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23">
      <formula>AV35="X"</formula>
    </cfRule>
    <cfRule type="expression" priority="1375" dxfId="22">
      <formula>AV35="후보"</formula>
    </cfRule>
  </conditionalFormatting>
  <conditionalFormatting sqref="AC3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23">
      <formula>AV36="X"</formula>
    </cfRule>
    <cfRule type="expression" priority="1356" dxfId="22">
      <formula>AV36="후보"</formula>
    </cfRule>
  </conditionalFormatting>
  <conditionalFormatting sqref="AC3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23">
      <formula>AV37="X"</formula>
    </cfRule>
    <cfRule type="expression" priority="1337" dxfId="22">
      <formula>AV37="후보"</formula>
    </cfRule>
  </conditionalFormatting>
  <conditionalFormatting sqref="AC37 N3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AV38">
    <cfRule type="expression" priority="1331" dxfId="23">
      <formula>AV38="X"</formula>
    </cfRule>
    <cfRule type="expression" priority="1332" dxfId="22">
      <formula>AV38="후보"</formula>
    </cfRule>
  </conditionalFormatting>
  <conditionalFormatting sqref="AC3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23">
      <formula>AV39="X"</formula>
    </cfRule>
    <cfRule type="expression" priority="1313" dxfId="22">
      <formula>AV39="후보"</formula>
    </cfRule>
  </conditionalFormatting>
  <conditionalFormatting sqref="AC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23">
      <formula>AV40="X"</formula>
    </cfRule>
    <cfRule type="expression" priority="1294" dxfId="22">
      <formula>AV40="후보"</formula>
    </cfRule>
  </conditionalFormatting>
  <conditionalFormatting sqref="AC4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4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23">
      <formula>AV41="X"</formula>
    </cfRule>
    <cfRule type="expression" priority="1275" dxfId="22">
      <formula>AV41="후보"</formula>
    </cfRule>
  </conditionalFormatting>
  <conditionalFormatting sqref="AC4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4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23">
      <formula>AV42="X"</formula>
    </cfRule>
    <cfRule type="expression" priority="1256" dxfId="22">
      <formula>AV42="후보"</formula>
    </cfRule>
  </conditionalFormatting>
  <conditionalFormatting sqref="AC42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23">
      <formula>AV43="X"</formula>
    </cfRule>
    <cfRule type="expression" priority="1237" dxfId="22">
      <formula>AV43="후보"</formula>
    </cfRule>
  </conditionalFormatting>
  <conditionalFormatting sqref="AC43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23">
      <formula>AV44="X"</formula>
    </cfRule>
    <cfRule type="expression" priority="1218" dxfId="22">
      <formula>AV44="후보"</formula>
    </cfRule>
  </conditionalFormatting>
  <conditionalFormatting sqref="AC44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23">
      <formula>AV45="X"</formula>
    </cfRule>
    <cfRule type="expression" priority="1199" dxfId="22">
      <formula>AV45="후보"</formula>
    </cfRule>
  </conditionalFormatting>
  <conditionalFormatting sqref="AC4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45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23">
      <formula>AV46="X"</formula>
    </cfRule>
    <cfRule type="expression" priority="1180" dxfId="22">
      <formula>AV46="후보"</formula>
    </cfRule>
  </conditionalFormatting>
  <conditionalFormatting sqref="AC4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46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23">
      <formula>AV47="X"</formula>
    </cfRule>
    <cfRule type="expression" priority="1161" dxfId="22">
      <formula>AV47="후보"</formula>
    </cfRule>
  </conditionalFormatting>
  <conditionalFormatting sqref="AC47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47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23">
      <formula>AV48="X"</formula>
    </cfRule>
    <cfRule type="expression" priority="1142" dxfId="22">
      <formula>AV48="후보"</formula>
    </cfRule>
  </conditionalFormatting>
  <conditionalFormatting sqref="AC48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48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23">
      <formula>AV49="X"</formula>
    </cfRule>
    <cfRule type="expression" priority="1123" dxfId="22">
      <formula>AV49="후보"</formula>
    </cfRule>
  </conditionalFormatting>
  <conditionalFormatting sqref="AC49 N49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AV50">
    <cfRule type="expression" priority="1117" dxfId="23">
      <formula>AV50="X"</formula>
    </cfRule>
    <cfRule type="expression" priority="1118" dxfId="22">
      <formula>AV50="후보"</formula>
    </cfRule>
  </conditionalFormatting>
  <conditionalFormatting sqref="AC5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5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23">
      <formula>AV51="X"</formula>
    </cfRule>
    <cfRule type="expression" priority="1099" dxfId="22">
      <formula>AV51="후보"</formula>
    </cfRule>
  </conditionalFormatting>
  <conditionalFormatting sqref="AC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23">
      <formula>AV52="X"</formula>
    </cfRule>
    <cfRule type="expression" priority="1080" dxfId="22">
      <formula>AV52="후보"</formula>
    </cfRule>
  </conditionalFormatting>
  <conditionalFormatting sqref="AC5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23">
      <formula>AV53="X"</formula>
    </cfRule>
    <cfRule type="expression" priority="1061" dxfId="22">
      <formula>AV53="후보"</formula>
    </cfRule>
  </conditionalFormatting>
  <conditionalFormatting sqref="AC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23">
      <formula>AV54="X"</formula>
    </cfRule>
    <cfRule type="expression" priority="1042" dxfId="22">
      <formula>AV54="후보"</formula>
    </cfRule>
  </conditionalFormatting>
  <conditionalFormatting sqref="AC5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4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23">
      <formula>AV55="X"</formula>
    </cfRule>
    <cfRule type="expression" priority="1023" dxfId="22">
      <formula>AV55="후보"</formula>
    </cfRule>
  </conditionalFormatting>
  <conditionalFormatting sqref="AC55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5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23">
      <formula>AV56="X"</formula>
    </cfRule>
    <cfRule type="expression" priority="1004" dxfId="22">
      <formula>AV56="후보"</formula>
    </cfRule>
  </conditionalFormatting>
  <conditionalFormatting sqref="AC56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5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23">
      <formula>AV57="X"</formula>
    </cfRule>
    <cfRule type="expression" priority="985" dxfId="22">
      <formula>AV57="후보"</formula>
    </cfRule>
  </conditionalFormatting>
  <conditionalFormatting sqref="AC57 N5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58">
    <cfRule type="expression" priority="979" dxfId="23">
      <formula>AV58="X"</formula>
    </cfRule>
    <cfRule type="expression" priority="980" dxfId="22">
      <formula>AV58="후보"</formula>
    </cfRule>
  </conditionalFormatting>
  <conditionalFormatting sqref="AC5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5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23">
      <formula>AV59="X"</formula>
    </cfRule>
    <cfRule type="expression" priority="961" dxfId="22">
      <formula>AV59="후보"</formula>
    </cfRule>
  </conditionalFormatting>
  <conditionalFormatting sqref="AC5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5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23">
      <formula>AV60="X"</formula>
    </cfRule>
    <cfRule type="expression" priority="942" dxfId="22">
      <formula>AV60="후보"</formula>
    </cfRule>
  </conditionalFormatting>
  <conditionalFormatting sqref="AC6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23">
      <formula>AV61="X"</formula>
    </cfRule>
    <cfRule type="expression" priority="923" dxfId="22">
      <formula>AV61="후보"</formula>
    </cfRule>
  </conditionalFormatting>
  <conditionalFormatting sqref="AC6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23">
      <formula>AV62="X"</formula>
    </cfRule>
    <cfRule type="expression" priority="904" dxfId="22">
      <formula>AV62="후보"</formula>
    </cfRule>
  </conditionalFormatting>
  <conditionalFormatting sqref="AC6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23">
      <formula>AV63="X"</formula>
    </cfRule>
    <cfRule type="expression" priority="885" dxfId="22">
      <formula>AV63="후보"</formula>
    </cfRule>
  </conditionalFormatting>
  <conditionalFormatting sqref="AC6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23">
      <formula>AV64="X"</formula>
    </cfRule>
    <cfRule type="expression" priority="866" dxfId="22">
      <formula>AV64="후보"</formula>
    </cfRule>
  </conditionalFormatting>
  <conditionalFormatting sqref="AC6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23">
      <formula>AV65="X"</formula>
    </cfRule>
    <cfRule type="expression" priority="847" dxfId="22">
      <formula>AV65="후보"</formula>
    </cfRule>
  </conditionalFormatting>
  <conditionalFormatting sqref="AC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23">
      <formula>AV66="X"</formula>
    </cfRule>
    <cfRule type="expression" priority="828" dxfId="22">
      <formula>AV66="후보"</formula>
    </cfRule>
  </conditionalFormatting>
  <conditionalFormatting sqref="AC66 N6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67">
    <cfRule type="expression" priority="822" dxfId="23">
      <formula>AV67="X"</formula>
    </cfRule>
    <cfRule type="expression" priority="823" dxfId="22">
      <formula>AV67="후보"</formula>
    </cfRule>
  </conditionalFormatting>
  <conditionalFormatting sqref="AC6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23">
      <formula>AV68="X"</formula>
    </cfRule>
    <cfRule type="expression" priority="804" dxfId="22">
      <formula>AV68="후보"</formula>
    </cfRule>
  </conditionalFormatting>
  <conditionalFormatting sqref="AC6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23">
      <formula>AV69="X"</formula>
    </cfRule>
    <cfRule type="expression" priority="785" dxfId="22">
      <formula>AV69="후보"</formula>
    </cfRule>
  </conditionalFormatting>
  <conditionalFormatting sqref="AC6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23">
      <formula>AV70="X"</formula>
    </cfRule>
    <cfRule type="expression" priority="766" dxfId="22">
      <formula>AV70="후보"</formula>
    </cfRule>
  </conditionalFormatting>
  <conditionalFormatting sqref="AC7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7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23">
      <formula>AV71="X"</formula>
    </cfRule>
    <cfRule type="expression" priority="747" dxfId="22">
      <formula>AV71="후보"</formula>
    </cfRule>
  </conditionalFormatting>
  <conditionalFormatting sqref="AC7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23">
      <formula>AV72="X"</formula>
    </cfRule>
    <cfRule type="expression" priority="728" dxfId="22">
      <formula>AV72="후보"</formula>
    </cfRule>
  </conditionalFormatting>
  <conditionalFormatting sqref="AC7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7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23">
      <formula>AV73="X"</formula>
    </cfRule>
    <cfRule type="expression" priority="709" dxfId="22">
      <formula>AV73="후보"</formula>
    </cfRule>
  </conditionalFormatting>
  <conditionalFormatting sqref="AC7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3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23">
      <formula>AV74="X"</formula>
    </cfRule>
    <cfRule type="expression" priority="690" dxfId="22">
      <formula>AV74="후보"</formula>
    </cfRule>
  </conditionalFormatting>
  <conditionalFormatting sqref="AC74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4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23">
      <formula>AV75="X"</formula>
    </cfRule>
    <cfRule type="expression" priority="671" dxfId="22">
      <formula>AV75="후보"</formula>
    </cfRule>
  </conditionalFormatting>
  <conditionalFormatting sqref="AC75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23">
      <formula>AV76="X"</formula>
    </cfRule>
    <cfRule type="expression" priority="652" dxfId="22">
      <formula>AV76="후보"</formula>
    </cfRule>
  </conditionalFormatting>
  <conditionalFormatting sqref="AC7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23">
      <formula>AV77="X"</formula>
    </cfRule>
    <cfRule type="expression" priority="633" dxfId="22">
      <formula>AV77="후보"</formula>
    </cfRule>
  </conditionalFormatting>
  <conditionalFormatting sqref="AC7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23">
      <formula>AV78="X"</formula>
    </cfRule>
    <cfRule type="expression" priority="614" dxfId="22">
      <formula>AV78="후보"</formula>
    </cfRule>
  </conditionalFormatting>
  <conditionalFormatting sqref="AC7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23">
      <formula>AV79="X"</formula>
    </cfRule>
    <cfRule type="expression" priority="595" dxfId="22">
      <formula>AV79="후보"</formula>
    </cfRule>
  </conditionalFormatting>
  <conditionalFormatting sqref="AC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23">
      <formula>AV80="X"</formula>
    </cfRule>
    <cfRule type="expression" priority="576" dxfId="22">
      <formula>AV80="후보"</formula>
    </cfRule>
  </conditionalFormatting>
  <conditionalFormatting sqref="AC8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23">
      <formula>AV81="X"</formula>
    </cfRule>
    <cfRule type="expression" priority="557" dxfId="22">
      <formula>AV81="후보"</formula>
    </cfRule>
  </conditionalFormatting>
  <conditionalFormatting sqref="AC81 N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2">
    <cfRule type="expression" priority="551" dxfId="23">
      <formula>AV82="X"</formula>
    </cfRule>
    <cfRule type="expression" priority="552" dxfId="22">
      <formula>AV82="후보"</formula>
    </cfRule>
  </conditionalFormatting>
  <conditionalFormatting sqref="AC8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23">
      <formula>AV83="X"</formula>
    </cfRule>
    <cfRule type="expression" priority="533" dxfId="22">
      <formula>AV83="후보"</formula>
    </cfRule>
  </conditionalFormatting>
  <conditionalFormatting sqref="AC8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23">
      <formula>AV84="X"</formula>
    </cfRule>
    <cfRule type="expression" priority="514" dxfId="22">
      <formula>AV84="후보"</formula>
    </cfRule>
  </conditionalFormatting>
  <conditionalFormatting sqref="AC8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23">
      <formula>AV85="X"</formula>
    </cfRule>
    <cfRule type="expression" priority="495" dxfId="22">
      <formula>AV85="후보"</formula>
    </cfRule>
  </conditionalFormatting>
  <conditionalFormatting sqref="AC8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23">
      <formula>AV86="X"</formula>
    </cfRule>
    <cfRule type="expression" priority="476" dxfId="22">
      <formula>AV86="후보"</formula>
    </cfRule>
  </conditionalFormatting>
  <conditionalFormatting sqref="AC8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23">
      <formula>AV87="X"</formula>
    </cfRule>
    <cfRule type="expression" priority="457" dxfId="22">
      <formula>AV87="후보"</formula>
    </cfRule>
  </conditionalFormatting>
  <conditionalFormatting sqref="AC8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23">
      <formula>AV88="X"</formula>
    </cfRule>
    <cfRule type="expression" priority="438" dxfId="22">
      <formula>AV88="후보"</formula>
    </cfRule>
  </conditionalFormatting>
  <conditionalFormatting sqref="AC88 N8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89">
    <cfRule type="expression" priority="432" dxfId="23">
      <formula>AV89="X"</formula>
    </cfRule>
    <cfRule type="expression" priority="433" dxfId="22">
      <formula>AV89="후보"</formula>
    </cfRule>
  </conditionalFormatting>
  <conditionalFormatting sqref="AC8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23">
      <formula>AV90="X"</formula>
    </cfRule>
    <cfRule type="expression" priority="414" dxfId="22">
      <formula>AV90="후보"</formula>
    </cfRule>
  </conditionalFormatting>
  <conditionalFormatting sqref="AC9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23">
      <formula>AV91="X"</formula>
    </cfRule>
    <cfRule type="expression" priority="395" dxfId="22">
      <formula>AV91="후보"</formula>
    </cfRule>
  </conditionalFormatting>
  <conditionalFormatting sqref="AC9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23">
      <formula>AV92="X"</formula>
    </cfRule>
    <cfRule type="expression" priority="376" dxfId="22">
      <formula>AV92="후보"</formula>
    </cfRule>
  </conditionalFormatting>
  <conditionalFormatting sqref="AC9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23">
      <formula>AV93="X"</formula>
    </cfRule>
    <cfRule type="expression" priority="357" dxfId="22">
      <formula>AV93="후보"</formula>
    </cfRule>
  </conditionalFormatting>
  <conditionalFormatting sqref="AC9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23">
      <formula>AV94="X"</formula>
    </cfRule>
    <cfRule type="expression" priority="338" dxfId="22">
      <formula>AV94="후보"</formula>
    </cfRule>
  </conditionalFormatting>
  <conditionalFormatting sqref="AC9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23">
      <formula>AV95="X"</formula>
    </cfRule>
    <cfRule type="expression" priority="319" dxfId="22">
      <formula>AV95="후보"</formula>
    </cfRule>
  </conditionalFormatting>
  <conditionalFormatting sqref="AC9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23">
      <formula>AV96="X"</formula>
    </cfRule>
    <cfRule type="expression" priority="300" dxfId="22">
      <formula>AV96="후보"</formula>
    </cfRule>
  </conditionalFormatting>
  <conditionalFormatting sqref="AC9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23">
      <formula>AV97="X"</formula>
    </cfRule>
    <cfRule type="expression" priority="281" dxfId="22">
      <formula>AV97="후보"</formula>
    </cfRule>
  </conditionalFormatting>
  <conditionalFormatting sqref="AC9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23">
      <formula>AV98="X"</formula>
    </cfRule>
    <cfRule type="expression" priority="262" dxfId="22">
      <formula>AV98="후보"</formula>
    </cfRule>
  </conditionalFormatting>
  <conditionalFormatting sqref="AC98 N9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99">
    <cfRule type="expression" priority="256" dxfId="23">
      <formula>AV99="X"</formula>
    </cfRule>
    <cfRule type="expression" priority="257" dxfId="22">
      <formula>AV99="후보"</formula>
    </cfRule>
  </conditionalFormatting>
  <conditionalFormatting sqref="AC9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23">
      <formula>AV100="X"</formula>
    </cfRule>
    <cfRule type="expression" priority="238" dxfId="22">
      <formula>AV100="후보"</formula>
    </cfRule>
  </conditionalFormatting>
  <conditionalFormatting sqref="AC10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23">
      <formula>AV101="X"</formula>
    </cfRule>
    <cfRule type="expression" priority="219" dxfId="22">
      <formula>AV101="후보"</formula>
    </cfRule>
  </conditionalFormatting>
  <conditionalFormatting sqref="AC10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23">
      <formula>AV102="X"</formula>
    </cfRule>
    <cfRule type="expression" priority="200" dxfId="22">
      <formula>AV102="후보"</formula>
    </cfRule>
  </conditionalFormatting>
  <conditionalFormatting sqref="AC10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23">
      <formula>AV103="X"</formula>
    </cfRule>
    <cfRule type="expression" priority="181" dxfId="22">
      <formula>AV103="후보"</formula>
    </cfRule>
  </conditionalFormatting>
  <conditionalFormatting sqref="AC10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23">
      <formula>AV104="X"</formula>
    </cfRule>
    <cfRule type="expression" priority="162" dxfId="22">
      <formula>AV104="후보"</formula>
    </cfRule>
  </conditionalFormatting>
  <conditionalFormatting sqref="AC10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23">
      <formula>AV105="X"</formula>
    </cfRule>
    <cfRule type="expression" priority="143" dxfId="22">
      <formula>AV105="후보"</formula>
    </cfRule>
  </conditionalFormatting>
  <conditionalFormatting sqref="AC105 N1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6">
    <cfRule type="expression" priority="137" dxfId="23">
      <formula>AV106="X"</formula>
    </cfRule>
    <cfRule type="expression" priority="138" dxfId="22">
      <formula>AV106="후보"</formula>
    </cfRule>
  </conditionalFormatting>
  <conditionalFormatting sqref="AC10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23">
      <formula>AV107="X"</formula>
    </cfRule>
    <cfRule type="expression" priority="119" dxfId="22">
      <formula>AV107="후보"</formula>
    </cfRule>
  </conditionalFormatting>
  <conditionalFormatting sqref="AC10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23">
      <formula>AV108="X"</formula>
    </cfRule>
    <cfRule type="expression" priority="100" dxfId="22">
      <formula>AV108="후보"</formula>
    </cfRule>
  </conditionalFormatting>
  <conditionalFormatting sqref="AC10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23">
      <formula>AV109="X"</formula>
    </cfRule>
    <cfRule type="expression" priority="81" dxfId="22">
      <formula>AV109="후보"</formula>
    </cfRule>
  </conditionalFormatting>
  <conditionalFormatting sqref="AC10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23">
      <formula>AV110="X"</formula>
    </cfRule>
    <cfRule type="expression" priority="62" dxfId="22">
      <formula>AV110="후보"</formula>
    </cfRule>
  </conditionalFormatting>
  <conditionalFormatting sqref="AC110 N1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1">
    <cfRule type="expression" priority="56" dxfId="23">
      <formula>AV111="X"</formula>
    </cfRule>
    <cfRule type="expression" priority="57" dxfId="22">
      <formula>AV111="후보"</formula>
    </cfRule>
  </conditionalFormatting>
  <conditionalFormatting sqref="AC1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23">
      <formula>AV112="X"</formula>
    </cfRule>
    <cfRule type="expression" priority="38" dxfId="22">
      <formula>AV112="후보"</formula>
    </cfRule>
  </conditionalFormatting>
  <conditionalFormatting sqref="AC1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23">
      <formula>AV113="X"</formula>
    </cfRule>
    <cfRule type="expression" priority="19" dxfId="22">
      <formula>AV113="후보"</formula>
    </cfRule>
  </conditionalFormatting>
  <conditionalFormatting sqref="AC1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리버나인</t>
        </is>
      </c>
      <c r="B6" s="10" t="inlineStr">
        <is>
          <t>'14.07.</t>
        </is>
      </c>
      <c r="C6" s="132" t="n">
        <v>712</v>
      </c>
      <c r="D6" s="130" t="n">
        <v>99.90000000000001</v>
      </c>
      <c r="E6" s="131" t="n">
        <v>30</v>
      </c>
      <c r="F6" s="130" t="n">
        <v>75</v>
      </c>
      <c r="G6" s="17" t="n">
        <v>23</v>
      </c>
      <c r="H6" s="132" t="n">
        <v>132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99B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리버나인</t>
        </is>
      </c>
      <c r="B7" s="10" t="inlineStr">
        <is>
          <t>'14.07.</t>
        </is>
      </c>
      <c r="C7" s="132" t="n">
        <v>712</v>
      </c>
      <c r="D7" s="130" t="n">
        <v>99.90000000000001</v>
      </c>
      <c r="E7" s="131" t="n">
        <v>30</v>
      </c>
      <c r="F7" s="130" t="n">
        <v>75</v>
      </c>
      <c r="G7" s="17" t="n">
        <v>23</v>
      </c>
      <c r="H7" s="132" t="n">
        <v>64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99A1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리버나인</t>
        </is>
      </c>
      <c r="B8" s="10" t="inlineStr">
        <is>
          <t>'14.07.</t>
        </is>
      </c>
      <c r="C8" s="132" t="n">
        <v>712</v>
      </c>
      <c r="D8" s="130" t="n">
        <v>99.90000000000001</v>
      </c>
      <c r="E8" s="131" t="n">
        <v>30</v>
      </c>
      <c r="F8" s="130" t="n">
        <v>75</v>
      </c>
      <c r="G8" s="17" t="n">
        <v>23</v>
      </c>
      <c r="H8" s="132" t="n">
        <v>18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99A2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리버나인</t>
        </is>
      </c>
      <c r="B9" s="10" t="inlineStr">
        <is>
          <t>'14.07.</t>
        </is>
      </c>
      <c r="C9" s="132" t="n">
        <v>712</v>
      </c>
      <c r="D9" s="130" t="n">
        <v>99.90000000000001</v>
      </c>
      <c r="E9" s="131" t="n">
        <v>30</v>
      </c>
      <c r="F9" s="130" t="n">
        <v>75</v>
      </c>
      <c r="G9" s="17" t="n">
        <v>23</v>
      </c>
      <c r="H9" s="132" t="n">
        <v>15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99BN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리버나인</t>
        </is>
      </c>
      <c r="B10" s="10" t="inlineStr">
        <is>
          <t>'14.07.</t>
        </is>
      </c>
      <c r="C10" s="132" t="n">
        <v>712</v>
      </c>
      <c r="D10" s="130" t="n">
        <v>113.2</v>
      </c>
      <c r="E10" s="131" t="n">
        <v>34</v>
      </c>
      <c r="F10" s="130" t="n">
        <v>85</v>
      </c>
      <c r="G10" s="17" t="n">
        <v>26</v>
      </c>
      <c r="H10" s="132" t="n">
        <v>238</v>
      </c>
      <c r="I10" s="133" t="n">
        <v>95000</v>
      </c>
      <c r="J10" s="133" t="inlineStr">
        <is>
          <t>16</t>
        </is>
      </c>
      <c r="K10" s="133" t="n">
        <v>49000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리버나인</t>
        </is>
      </c>
      <c r="B11" s="10" t="inlineStr">
        <is>
          <t>'14.07.</t>
        </is>
      </c>
      <c r="C11" s="132" t="n">
        <v>712</v>
      </c>
      <c r="D11" s="130" t="n">
        <v>113.1</v>
      </c>
      <c r="E11" s="131" t="n">
        <v>34</v>
      </c>
      <c r="F11" s="130" t="n">
        <v>84.90000000000001</v>
      </c>
      <c r="G11" s="17" t="n">
        <v>26</v>
      </c>
      <c r="H11" s="132" t="n">
        <v>168</v>
      </c>
      <c r="I11" s="133" t="n">
        <v>95000</v>
      </c>
      <c r="J11" s="133" t="inlineStr">
        <is>
          <t>중</t>
        </is>
      </c>
      <c r="K11" s="133" t="n">
        <v>55000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113C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리버나인</t>
        </is>
      </c>
      <c r="B12" s="10" t="inlineStr">
        <is>
          <t>'14.07.</t>
        </is>
      </c>
      <c r="C12" s="132" t="n">
        <v>712</v>
      </c>
      <c r="D12" s="130" t="n">
        <v>113.1</v>
      </c>
      <c r="E12" s="131" t="n">
        <v>34</v>
      </c>
      <c r="F12" s="130" t="n">
        <v>84.90000000000001</v>
      </c>
      <c r="G12" s="17" t="n">
        <v>26</v>
      </c>
      <c r="H12" s="132" t="n">
        <v>49</v>
      </c>
      <c r="I12" s="133" t="n">
        <v>95000</v>
      </c>
      <c r="J12" s="133" t="inlineStr">
        <is>
          <t>중</t>
        </is>
      </c>
      <c r="K12" s="133" t="n">
        <v>55000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리버나인</t>
        </is>
      </c>
      <c r="B13" s="10" t="inlineStr">
        <is>
          <t>'14.07.</t>
        </is>
      </c>
      <c r="C13" s="132" t="n">
        <v>712</v>
      </c>
      <c r="D13" s="130" t="n">
        <v>113.2</v>
      </c>
      <c r="E13" s="131" t="n">
        <v>34</v>
      </c>
      <c r="F13" s="130" t="n">
        <v>85</v>
      </c>
      <c r="G13" s="17" t="n">
        <v>26</v>
      </c>
      <c r="H13" s="132" t="n">
        <v>28</v>
      </c>
      <c r="I13" s="133" t="n">
        <v>95000</v>
      </c>
      <c r="J13" s="133" t="inlineStr">
        <is>
          <t>16</t>
        </is>
      </c>
      <c r="K13" s="133" t="n">
        <v>49000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113BN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미사강변리버뷰자이</t>
        </is>
      </c>
      <c r="B15" s="10" t="inlineStr">
        <is>
          <t>'17.08.</t>
        </is>
      </c>
      <c r="C15" s="132" t="n">
        <v>555</v>
      </c>
      <c r="D15" s="130" t="n">
        <v>118.6</v>
      </c>
      <c r="E15" s="131" t="n">
        <v>36</v>
      </c>
      <c r="F15" s="130" t="n">
        <v>91.59999999999999</v>
      </c>
      <c r="G15" s="17" t="n">
        <v>28</v>
      </c>
      <c r="H15" s="132" t="n">
        <v>139</v>
      </c>
      <c r="I15" s="133" t="n">
        <v>125000</v>
      </c>
      <c r="J15" s="133" t="inlineStr">
        <is>
          <t>18</t>
        </is>
      </c>
      <c r="K15" s="133" t="n">
        <v>60000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118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미사강변리버뷰자이</t>
        </is>
      </c>
      <c r="B16" s="10" t="inlineStr">
        <is>
          <t>'17.08.</t>
        </is>
      </c>
      <c r="C16" s="132" t="n">
        <v>555</v>
      </c>
      <c r="D16" s="130" t="n">
        <v>125.4</v>
      </c>
      <c r="E16" s="131" t="n">
        <v>38</v>
      </c>
      <c r="F16" s="130" t="n">
        <v>98.59999999999999</v>
      </c>
      <c r="G16" s="17" t="n">
        <v>30</v>
      </c>
      <c r="H16" s="132" t="n">
        <v>131</v>
      </c>
      <c r="I16" s="133" t="n">
        <v>110000</v>
      </c>
      <c r="J16" s="133" t="inlineStr">
        <is>
          <t>고</t>
        </is>
      </c>
      <c r="K16" s="133" t="n">
        <v>85000</v>
      </c>
      <c r="L16" s="133" t="inlineStr">
        <is>
          <t>7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미사강변리버뷰자이</t>
        </is>
      </c>
      <c r="B17" s="10" t="inlineStr">
        <is>
          <t>'17.08.</t>
        </is>
      </c>
      <c r="C17" s="132" t="n">
        <v>555</v>
      </c>
      <c r="D17" s="130" t="n">
        <v>125.6</v>
      </c>
      <c r="E17" s="131" t="n">
        <v>38</v>
      </c>
      <c r="F17" s="130" t="n">
        <v>98.5</v>
      </c>
      <c r="G17" s="17" t="n">
        <v>30</v>
      </c>
      <c r="H17" s="132" t="n">
        <v>56</v>
      </c>
      <c r="I17" s="133" t="n">
        <v>120000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125B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미사강변리버뷰자이</t>
        </is>
      </c>
      <c r="B18" s="10" t="inlineStr">
        <is>
          <t>'17.08.</t>
        </is>
      </c>
      <c r="C18" s="132" t="n">
        <v>555</v>
      </c>
      <c r="D18" s="130" t="n">
        <v>125.5</v>
      </c>
      <c r="E18" s="131" t="n">
        <v>38</v>
      </c>
      <c r="F18" s="130" t="n">
        <v>98</v>
      </c>
      <c r="G18" s="17" t="n">
        <v>30</v>
      </c>
      <c r="H18" s="132" t="n">
        <v>52</v>
      </c>
      <c r="I18" s="133" t="n">
        <v>117000</v>
      </c>
      <c r="J18" s="133" t="inlineStr">
        <is>
          <t>고</t>
        </is>
      </c>
      <c r="K18" s="133" t="n">
        <v>70000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125C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미사강변리버뷰자이</t>
        </is>
      </c>
      <c r="B19" s="10" t="inlineStr">
        <is>
          <t>'17.08.</t>
        </is>
      </c>
      <c r="C19" s="132" t="n">
        <v>555</v>
      </c>
      <c r="D19" s="130" t="n">
        <v>131.2</v>
      </c>
      <c r="E19" s="131" t="n">
        <v>40</v>
      </c>
      <c r="F19" s="130" t="n">
        <v>102.8</v>
      </c>
      <c r="G19" s="17" t="n">
        <v>31</v>
      </c>
      <c r="H19" s="132" t="n">
        <v>44</v>
      </c>
      <c r="I19" s="133" t="n">
        <v>143000</v>
      </c>
      <c r="J19" s="133" t="inlineStr">
        <is>
          <t>23</t>
        </is>
      </c>
      <c r="K19" s="133" t="n">
        <v>85000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미사강변리버뷰자이</t>
        </is>
      </c>
      <c r="B20" s="10" t="inlineStr">
        <is>
          <t>'17.08.</t>
        </is>
      </c>
      <c r="C20" s="132" t="n">
        <v>555</v>
      </c>
      <c r="D20" s="130" t="n">
        <v>131.2</v>
      </c>
      <c r="E20" s="131" t="n">
        <v>40</v>
      </c>
      <c r="F20" s="130" t="n">
        <v>102.8</v>
      </c>
      <c r="G20" s="17" t="n">
        <v>31</v>
      </c>
      <c r="H20" s="132" t="n">
        <v>40</v>
      </c>
      <c r="I20" s="133" t="n">
        <v>143000</v>
      </c>
      <c r="J20" s="133" t="inlineStr">
        <is>
          <t>23</t>
        </is>
      </c>
      <c r="K20" s="133" t="n">
        <v>85000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미사강변리버뷰자이</t>
        </is>
      </c>
      <c r="B21" s="10" t="inlineStr">
        <is>
          <t>'17.08.</t>
        </is>
      </c>
      <c r="C21" s="132" t="n">
        <v>555</v>
      </c>
      <c r="D21" s="130" t="n">
        <v>132.2</v>
      </c>
      <c r="E21" s="131" t="n">
        <v>40</v>
      </c>
      <c r="F21" s="130" t="n">
        <v>102</v>
      </c>
      <c r="G21" s="17" t="n">
        <v>31</v>
      </c>
      <c r="H21" s="132" t="n">
        <v>83</v>
      </c>
      <c r="I21" s="133" t="n">
        <v>150000</v>
      </c>
      <c r="J21" s="133" t="inlineStr">
        <is>
          <t>고</t>
        </is>
      </c>
      <c r="K21" s="133" t="n">
        <v>70000</v>
      </c>
      <c r="L21" s="133" t="inlineStr">
        <is>
          <t>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132A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미사강변리버뷰자이</t>
        </is>
      </c>
      <c r="B22" s="10" t="inlineStr">
        <is>
          <t>'17.08.</t>
        </is>
      </c>
      <c r="C22" s="132" t="n">
        <v>555</v>
      </c>
      <c r="D22" s="130" t="n">
        <v>166.9</v>
      </c>
      <c r="E22" s="131" t="n">
        <v>50</v>
      </c>
      <c r="F22" s="130" t="n">
        <v>128.7</v>
      </c>
      <c r="G22" s="17" t="n">
        <v>39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5</v>
      </c>
      <c r="R22" s="120" t="n">
        <v>3</v>
      </c>
      <c r="S22" s="120" t="inlineStr">
        <is>
          <t>계</t>
        </is>
      </c>
      <c r="T22" s="5" t="n">
        <v>166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미사강변리버뷰자이</t>
        </is>
      </c>
      <c r="B23" s="10" t="inlineStr">
        <is>
          <t>'17.08.</t>
        </is>
      </c>
      <c r="C23" s="132" t="n">
        <v>555</v>
      </c>
      <c r="D23" s="130" t="n">
        <v>171.7</v>
      </c>
      <c r="E23" s="131" t="n">
        <v>52</v>
      </c>
      <c r="F23" s="130" t="n">
        <v>132.5</v>
      </c>
      <c r="G23" s="17" t="n">
        <v>40</v>
      </c>
      <c r="H23" s="132" t="n">
        <v>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3</v>
      </c>
      <c r="S23" s="120" t="inlineStr">
        <is>
          <t>계</t>
        </is>
      </c>
      <c r="T23" s="5" t="inlineStr">
        <is>
          <t>171A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미사강변리버뷰자이</t>
        </is>
      </c>
      <c r="B24" s="10" t="inlineStr">
        <is>
          <t>'17.08.</t>
        </is>
      </c>
      <c r="C24" s="132" t="n">
        <v>555</v>
      </c>
      <c r="D24" s="130" t="n">
        <v>171.8</v>
      </c>
      <c r="E24" s="131" t="n">
        <v>52</v>
      </c>
      <c r="F24" s="130" t="n">
        <v>132.4</v>
      </c>
      <c r="G24" s="17" t="n">
        <v>40</v>
      </c>
      <c r="H24" s="132" t="n">
        <v>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inlineStr">
        <is>
          <t>171B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미사강변리버뷰자이</t>
        </is>
      </c>
      <c r="B25" s="10" t="inlineStr">
        <is>
          <t>'17.08.</t>
        </is>
      </c>
      <c r="C25" s="132" t="n">
        <v>555</v>
      </c>
      <c r="D25" s="130" t="n">
        <v>171.3</v>
      </c>
      <c r="E25" s="131" t="n">
        <v>52</v>
      </c>
      <c r="F25" s="130" t="n">
        <v>132.5</v>
      </c>
      <c r="G25" s="17" t="n">
        <v>40</v>
      </c>
      <c r="H25" s="132" t="n">
        <v>2</v>
      </c>
      <c r="I25" s="133" t="n">
        <v>300000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5</v>
      </c>
      <c r="R25" s="120" t="n">
        <v>3</v>
      </c>
      <c r="S25" s="120" t="inlineStr">
        <is>
          <t>계</t>
        </is>
      </c>
      <c r="T25" s="5" t="inlineStr">
        <is>
          <t>171C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미사강변더샵리버포레</t>
        </is>
      </c>
      <c r="B27" s="10" t="inlineStr">
        <is>
          <t>'16.07.</t>
        </is>
      </c>
      <c r="C27" s="132" t="n">
        <v>875</v>
      </c>
      <c r="D27" s="130" t="n">
        <v>115.8</v>
      </c>
      <c r="E27" s="131" t="n">
        <v>35</v>
      </c>
      <c r="F27" s="130" t="n">
        <v>89.7</v>
      </c>
      <c r="G27" s="17" t="n">
        <v>27</v>
      </c>
      <c r="H27" s="132" t="n">
        <v>297</v>
      </c>
      <c r="I27" s="133" t="n">
        <v>115000</v>
      </c>
      <c r="J27" s="133" t="inlineStr">
        <is>
          <t>25</t>
        </is>
      </c>
      <c r="K27" s="133" t="n">
        <v>72000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115B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미사강변더샵리버포레</t>
        </is>
      </c>
      <c r="B28" s="10" t="inlineStr">
        <is>
          <t>'16.07.</t>
        </is>
      </c>
      <c r="C28" s="132" t="n">
        <v>875</v>
      </c>
      <c r="D28" s="130" t="n">
        <v>117</v>
      </c>
      <c r="E28" s="131" t="n">
        <v>35</v>
      </c>
      <c r="F28" s="130" t="n">
        <v>89.90000000000001</v>
      </c>
      <c r="G28" s="17" t="n">
        <v>27</v>
      </c>
      <c r="H28" s="132" t="n">
        <v>80</v>
      </c>
      <c r="I28" s="133" t="n">
        <v>130000</v>
      </c>
      <c r="J28" s="133" t="inlineStr">
        <is>
          <t>고</t>
        </is>
      </c>
      <c r="K28" s="133" t="n">
        <v>68000</v>
      </c>
      <c r="L28" s="133" t="inlineStr">
        <is>
          <t>26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inlineStr">
        <is>
          <t>116A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미사강변더샵리버포레</t>
        </is>
      </c>
      <c r="B29" s="10" t="inlineStr">
        <is>
          <t>'16.07.</t>
        </is>
      </c>
      <c r="C29" s="132" t="n">
        <v>875</v>
      </c>
      <c r="D29" s="130" t="n">
        <v>126</v>
      </c>
      <c r="E29" s="131" t="n">
        <v>38</v>
      </c>
      <c r="F29" s="130" t="n">
        <v>98.8</v>
      </c>
      <c r="G29" s="17" t="n">
        <v>30</v>
      </c>
      <c r="H29" s="132" t="n">
        <v>112</v>
      </c>
      <c r="I29" s="133" t="n">
        <v>149000</v>
      </c>
      <c r="J29" s="133" t="inlineStr">
        <is>
          <t>15</t>
        </is>
      </c>
      <c r="K29" s="133" t="n">
        <v>90000</v>
      </c>
      <c r="L29" s="133" t="inlineStr">
        <is>
          <t>15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125D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미사강변더샵리버포레</t>
        </is>
      </c>
      <c r="B30" s="10" t="inlineStr">
        <is>
          <t>'16.07.</t>
        </is>
      </c>
      <c r="C30" s="132" t="n">
        <v>875</v>
      </c>
      <c r="D30" s="130" t="n">
        <v>126.4</v>
      </c>
      <c r="E30" s="131" t="n">
        <v>38</v>
      </c>
      <c r="F30" s="130" t="n">
        <v>99</v>
      </c>
      <c r="G30" s="17" t="n">
        <v>30</v>
      </c>
      <c r="H30" s="132" t="n">
        <v>56</v>
      </c>
      <c r="I30" s="133" t="n">
        <v>153000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126C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미사강변더샵리버포레</t>
        </is>
      </c>
      <c r="B31" s="10" t="inlineStr">
        <is>
          <t>'16.07.</t>
        </is>
      </c>
      <c r="C31" s="132" t="n">
        <v>875</v>
      </c>
      <c r="D31" s="130" t="n">
        <v>127.4</v>
      </c>
      <c r="E31" s="131" t="n">
        <v>39</v>
      </c>
      <c r="F31" s="130" t="n">
        <v>98.5</v>
      </c>
      <c r="G31" s="17" t="n">
        <v>30</v>
      </c>
      <c r="H31" s="132" t="n">
        <v>84</v>
      </c>
      <c r="I31" s="133" t="n">
        <v>130000</v>
      </c>
      <c r="J31" s="133" t="inlineStr">
        <is>
          <t>중</t>
        </is>
      </c>
      <c r="K31" s="133" t="n">
        <v>80000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미사강변더샵리버포레</t>
        </is>
      </c>
      <c r="B32" s="10" t="inlineStr">
        <is>
          <t>'16.07.</t>
        </is>
      </c>
      <c r="C32" s="132" t="n">
        <v>875</v>
      </c>
      <c r="D32" s="130" t="n">
        <v>128.7</v>
      </c>
      <c r="E32" s="131" t="n">
        <v>39</v>
      </c>
      <c r="F32" s="130" t="n">
        <v>98.7</v>
      </c>
      <c r="G32" s="17" t="n">
        <v>30</v>
      </c>
      <c r="H32" s="132" t="n">
        <v>135</v>
      </c>
      <c r="I32" s="133" t="n">
        <v>134000</v>
      </c>
      <c r="J32" s="133" t="inlineStr">
        <is>
          <t>중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미사강변더샵리버포레</t>
        </is>
      </c>
      <c r="B33" s="10" t="inlineStr">
        <is>
          <t>'16.07.</t>
        </is>
      </c>
      <c r="C33" s="132" t="n">
        <v>875</v>
      </c>
      <c r="D33" s="130" t="n">
        <v>141.1</v>
      </c>
      <c r="E33" s="131" t="n">
        <v>43</v>
      </c>
      <c r="F33" s="130" t="n">
        <v>112.9</v>
      </c>
      <c r="G33" s="17" t="n">
        <v>34</v>
      </c>
      <c r="H33" s="132" t="n">
        <v>56</v>
      </c>
      <c r="I33" s="133" t="n">
        <v>160000</v>
      </c>
      <c r="J33" s="133" t="inlineStr">
        <is>
          <t>중</t>
        </is>
      </c>
      <c r="K33" s="133" t="n">
        <v>90000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141A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미사강변더샵리버포레</t>
        </is>
      </c>
      <c r="B34" s="10" t="inlineStr">
        <is>
          <t>'16.07.</t>
        </is>
      </c>
      <c r="C34" s="132" t="n">
        <v>875</v>
      </c>
      <c r="D34" s="130" t="n">
        <v>141.3</v>
      </c>
      <c r="E34" s="131" t="n">
        <v>43</v>
      </c>
      <c r="F34" s="130" t="n">
        <v>112.9</v>
      </c>
      <c r="G34" s="17" t="n">
        <v>34</v>
      </c>
      <c r="H34" s="132" t="n">
        <v>55</v>
      </c>
      <c r="I34" s="133" t="n">
        <v>190000</v>
      </c>
      <c r="J34" s="133" t="inlineStr">
        <is>
          <t>고</t>
        </is>
      </c>
      <c r="K34" s="133" t="n">
        <v>80000</v>
      </c>
      <c r="L34" s="133" t="inlineStr">
        <is>
          <t>25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141B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미사강변센트리버</t>
        </is>
      </c>
      <c r="B36" s="10" t="inlineStr">
        <is>
          <t>'16.09.</t>
        </is>
      </c>
      <c r="C36" s="132" t="n">
        <v>1145</v>
      </c>
      <c r="D36" s="130" t="n">
        <v>81.40000000000001</v>
      </c>
      <c r="E36" s="131" t="n">
        <v>25</v>
      </c>
      <c r="F36" s="130" t="n">
        <v>59.9</v>
      </c>
      <c r="G36" s="17" t="n">
        <v>18</v>
      </c>
      <c r="H36" s="132" t="n">
        <v>196</v>
      </c>
      <c r="I36" s="133" t="n">
        <v>85000</v>
      </c>
      <c r="J36" s="133" t="inlineStr">
        <is>
          <t>고</t>
        </is>
      </c>
      <c r="K36" s="133" t="n">
        <v>50000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81A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미사강변센트리버</t>
        </is>
      </c>
      <c r="B37" s="10" t="inlineStr">
        <is>
          <t>'16.09.</t>
        </is>
      </c>
      <c r="C37" s="132" t="n">
        <v>1145</v>
      </c>
      <c r="D37" s="130" t="n">
        <v>81.5</v>
      </c>
      <c r="E37" s="131" t="n">
        <v>25</v>
      </c>
      <c r="F37" s="130" t="n">
        <v>60</v>
      </c>
      <c r="G37" s="17" t="n">
        <v>18</v>
      </c>
      <c r="H37" s="132" t="n">
        <v>83</v>
      </c>
      <c r="I37" s="133" t="n">
        <v>85000</v>
      </c>
      <c r="J37" s="133" t="inlineStr">
        <is>
          <t>8</t>
        </is>
      </c>
      <c r="K37" s="133" t="n">
        <v>58000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81B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미사강변센트리버</t>
        </is>
      </c>
      <c r="B38" s="10" t="inlineStr">
        <is>
          <t>'16.09.</t>
        </is>
      </c>
      <c r="C38" s="132" t="n">
        <v>1145</v>
      </c>
      <c r="D38" s="130" t="n">
        <v>81.2</v>
      </c>
      <c r="E38" s="131" t="n">
        <v>25</v>
      </c>
      <c r="F38" s="130" t="n">
        <v>59.8</v>
      </c>
      <c r="G38" s="17" t="n">
        <v>18</v>
      </c>
      <c r="H38" s="132" t="n">
        <v>37</v>
      </c>
      <c r="I38" s="133" t="n">
        <v>90000</v>
      </c>
      <c r="J38" s="133" t="inlineStr">
        <is>
          <t>고</t>
        </is>
      </c>
      <c r="K38" s="133" t="n">
        <v>57000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81C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미사강변센트리버</t>
        </is>
      </c>
      <c r="B39" s="10" t="inlineStr">
        <is>
          <t>'16.09.</t>
        </is>
      </c>
      <c r="C39" s="132" t="n">
        <v>1145</v>
      </c>
      <c r="D39" s="130" t="n">
        <v>81.3</v>
      </c>
      <c r="E39" s="131" t="n">
        <v>25</v>
      </c>
      <c r="F39" s="130" t="n">
        <v>59.8</v>
      </c>
      <c r="G39" s="17" t="n">
        <v>18</v>
      </c>
      <c r="H39" s="132" t="n">
        <v>33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81A1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미사강변센트리버</t>
        </is>
      </c>
      <c r="B40" s="10" t="inlineStr">
        <is>
          <t>'16.09.</t>
        </is>
      </c>
      <c r="C40" s="132" t="n">
        <v>1145</v>
      </c>
      <c r="D40" s="130" t="n">
        <v>101.8</v>
      </c>
      <c r="E40" s="131" t="n">
        <v>31</v>
      </c>
      <c r="F40" s="130" t="n">
        <v>74.90000000000001</v>
      </c>
      <c r="G40" s="17" t="n">
        <v>23</v>
      </c>
      <c r="H40" s="132" t="n">
        <v>196</v>
      </c>
      <c r="I40" s="133" t="n">
        <v>90000</v>
      </c>
      <c r="J40" s="133" t="inlineStr">
        <is>
          <t>중</t>
        </is>
      </c>
      <c r="K40" s="133" t="n">
        <v>58000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미사강변센트리버</t>
        </is>
      </c>
      <c r="B41" s="10" t="inlineStr">
        <is>
          <t>'16.09.</t>
        </is>
      </c>
      <c r="C41" s="132" t="n">
        <v>1145</v>
      </c>
      <c r="D41" s="130" t="n">
        <v>101.9</v>
      </c>
      <c r="E41" s="131" t="n">
        <v>31</v>
      </c>
      <c r="F41" s="130" t="n">
        <v>75</v>
      </c>
      <c r="G41" s="17" t="n">
        <v>23</v>
      </c>
      <c r="H41" s="132" t="n">
        <v>46</v>
      </c>
      <c r="I41" s="133" t="n">
        <v>90000</v>
      </c>
      <c r="J41" s="133" t="inlineStr">
        <is>
          <t>13</t>
        </is>
      </c>
      <c r="K41" s="133" t="n">
        <v>55000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미사강변센트리버</t>
        </is>
      </c>
      <c r="B42" s="10" t="inlineStr">
        <is>
          <t>'16.09.</t>
        </is>
      </c>
      <c r="C42" s="132" t="n">
        <v>1145</v>
      </c>
      <c r="D42" s="130" t="n">
        <v>101.8</v>
      </c>
      <c r="E42" s="131" t="n">
        <v>31</v>
      </c>
      <c r="F42" s="130" t="n">
        <v>75</v>
      </c>
      <c r="G42" s="17" t="n">
        <v>23</v>
      </c>
      <c r="H42" s="132" t="n">
        <v>20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101C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미사강변센트리버</t>
        </is>
      </c>
      <c r="B43" s="10" t="inlineStr">
        <is>
          <t>'16.09.</t>
        </is>
      </c>
      <c r="C43" s="132" t="n">
        <v>1145</v>
      </c>
      <c r="D43" s="130" t="n">
        <v>115.3</v>
      </c>
      <c r="E43" s="131" t="n">
        <v>35</v>
      </c>
      <c r="F43" s="130" t="n">
        <v>84.90000000000001</v>
      </c>
      <c r="G43" s="17" t="n">
        <v>26</v>
      </c>
      <c r="H43" s="132" t="n">
        <v>206</v>
      </c>
      <c r="I43" s="133" t="n">
        <v>115000</v>
      </c>
      <c r="J43" s="133" t="inlineStr">
        <is>
          <t>중</t>
        </is>
      </c>
      <c r="K43" s="133" t="n">
        <v>60000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115C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미사강변센트리버</t>
        </is>
      </c>
      <c r="B44" s="10" t="inlineStr">
        <is>
          <t>'16.09.</t>
        </is>
      </c>
      <c r="C44" s="132" t="n">
        <v>1145</v>
      </c>
      <c r="D44" s="130" t="n">
        <v>115.4</v>
      </c>
      <c r="E44" s="131" t="n">
        <v>35</v>
      </c>
      <c r="F44" s="130" t="n">
        <v>84.90000000000001</v>
      </c>
      <c r="G44" s="17" t="n">
        <v>26</v>
      </c>
      <c r="H44" s="132" t="n">
        <v>156</v>
      </c>
      <c r="I44" s="133" t="n">
        <v>103000</v>
      </c>
      <c r="J44" s="133" t="inlineStr">
        <is>
          <t>고</t>
        </is>
      </c>
      <c r="K44" s="133" t="n">
        <v>60000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115B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미사강변센트리버</t>
        </is>
      </c>
      <c r="B45" s="10" t="inlineStr">
        <is>
          <t>'16.09.</t>
        </is>
      </c>
      <c r="C45" s="132" t="n">
        <v>1145</v>
      </c>
      <c r="D45" s="130" t="n">
        <v>115.2</v>
      </c>
      <c r="E45" s="131" t="n">
        <v>35</v>
      </c>
      <c r="F45" s="130" t="n">
        <v>84.8</v>
      </c>
      <c r="G45" s="17" t="n">
        <v>26</v>
      </c>
      <c r="H45" s="132" t="n">
        <v>87</v>
      </c>
      <c r="I45" s="133" t="n">
        <v>102000</v>
      </c>
      <c r="J45" s="133" t="inlineStr">
        <is>
          <t>18</t>
        </is>
      </c>
      <c r="K45" s="133" t="n">
        <v>62000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115A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미사강변센트리버</t>
        </is>
      </c>
      <c r="B46" s="10" t="inlineStr">
        <is>
          <t>'16.09.</t>
        </is>
      </c>
      <c r="C46" s="132" t="n">
        <v>1145</v>
      </c>
      <c r="D46" s="130" t="n">
        <v>115.4</v>
      </c>
      <c r="E46" s="131" t="n">
        <v>35</v>
      </c>
      <c r="F46" s="130" t="n">
        <v>84.90000000000001</v>
      </c>
      <c r="G46" s="17" t="n">
        <v>26</v>
      </c>
      <c r="H46" s="132" t="n">
        <v>85</v>
      </c>
      <c r="I46" s="133" t="n">
        <v>103000</v>
      </c>
      <c r="J46" s="133" t="inlineStr">
        <is>
          <t>고</t>
        </is>
      </c>
      <c r="K46" s="133" t="n">
        <v>60000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미사강변푸르지오2차</t>
        </is>
      </c>
      <c r="B48" s="10" t="inlineStr">
        <is>
          <t>'16.09.</t>
        </is>
      </c>
      <c r="C48" s="132" t="n">
        <v>1066</v>
      </c>
      <c r="D48" s="130" t="n">
        <v>121.6</v>
      </c>
      <c r="E48" s="131" t="n">
        <v>37</v>
      </c>
      <c r="F48" s="130" t="n">
        <v>93.90000000000001</v>
      </c>
      <c r="G48" s="17" t="n">
        <v>28</v>
      </c>
      <c r="H48" s="132" t="n">
        <v>257</v>
      </c>
      <c r="I48" s="133" t="n">
        <v>115000</v>
      </c>
      <c r="J48" s="133" t="inlineStr">
        <is>
          <t>중</t>
        </is>
      </c>
      <c r="K48" s="133" t="n">
        <v>68000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121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미사강변푸르지오2차</t>
        </is>
      </c>
      <c r="B49" s="10" t="inlineStr">
        <is>
          <t>'16.09.</t>
        </is>
      </c>
      <c r="C49" s="132" t="n">
        <v>1066</v>
      </c>
      <c r="D49" s="130" t="n">
        <v>131.5</v>
      </c>
      <c r="E49" s="131" t="n">
        <v>40</v>
      </c>
      <c r="F49" s="130" t="n">
        <v>101.8</v>
      </c>
      <c r="G49" s="17" t="n">
        <v>31</v>
      </c>
      <c r="H49" s="132" t="n">
        <v>365</v>
      </c>
      <c r="I49" s="133" t="n">
        <v>140000</v>
      </c>
      <c r="J49" s="133" t="inlineStr">
        <is>
          <t>고</t>
        </is>
      </c>
      <c r="K49" s="133" t="n">
        <v>69000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131A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미사강변푸르지오2차</t>
        </is>
      </c>
      <c r="B50" s="10" t="inlineStr">
        <is>
          <t>'16.09.</t>
        </is>
      </c>
      <c r="C50" s="132" t="n">
        <v>1066</v>
      </c>
      <c r="D50" s="130" t="n">
        <v>131.8</v>
      </c>
      <c r="E50" s="131" t="n">
        <v>40</v>
      </c>
      <c r="F50" s="130" t="n">
        <v>101.9</v>
      </c>
      <c r="G50" s="17" t="n">
        <v>31</v>
      </c>
      <c r="H50" s="132" t="n">
        <v>135</v>
      </c>
      <c r="I50" s="133" t="n">
        <v>150000</v>
      </c>
      <c r="J50" s="133" t="inlineStr">
        <is>
          <t>9</t>
        </is>
      </c>
      <c r="K50" s="133" t="n">
        <v>70000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131C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미사강변푸르지오2차</t>
        </is>
      </c>
      <c r="B51" s="10" t="inlineStr">
        <is>
          <t>'16.09.</t>
        </is>
      </c>
      <c r="C51" s="132" t="n">
        <v>1066</v>
      </c>
      <c r="D51" s="130" t="n">
        <v>131.4</v>
      </c>
      <c r="E51" s="131" t="n">
        <v>40</v>
      </c>
      <c r="F51" s="130" t="n">
        <v>101.9</v>
      </c>
      <c r="G51" s="17" t="n">
        <v>31</v>
      </c>
      <c r="H51" s="132" t="n">
        <v>38</v>
      </c>
      <c r="I51" s="133" t="n">
        <v>180000</v>
      </c>
      <c r="J51" s="133" t="inlineStr">
        <is>
          <t>고</t>
        </is>
      </c>
      <c r="K51" s="133" t="n">
        <v>75000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131E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미사강변푸르지오2차</t>
        </is>
      </c>
      <c r="B52" s="10" t="inlineStr">
        <is>
          <t>'16.09.</t>
        </is>
      </c>
      <c r="C52" s="132" t="n">
        <v>1066</v>
      </c>
      <c r="D52" s="130" t="n">
        <v>131.4</v>
      </c>
      <c r="E52" s="131" t="n">
        <v>40</v>
      </c>
      <c r="F52" s="130" t="n">
        <v>101.9</v>
      </c>
      <c r="G52" s="17" t="n">
        <v>31</v>
      </c>
      <c r="H52" s="132" t="n">
        <v>18</v>
      </c>
      <c r="I52" s="133" t="n">
        <v>180000</v>
      </c>
      <c r="J52" s="133" t="inlineStr">
        <is>
          <t>고</t>
        </is>
      </c>
      <c r="K52" s="133" t="n">
        <v>75000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131D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미사강변푸르지오2차</t>
        </is>
      </c>
      <c r="B53" s="10" t="inlineStr">
        <is>
          <t>'16.09.</t>
        </is>
      </c>
      <c r="C53" s="132" t="n">
        <v>1066</v>
      </c>
      <c r="D53" s="130" t="n">
        <v>132.1</v>
      </c>
      <c r="E53" s="131" t="n">
        <v>40</v>
      </c>
      <c r="F53" s="130" t="n">
        <v>101.9</v>
      </c>
      <c r="G53" s="17" t="n">
        <v>31</v>
      </c>
      <c r="H53" s="132" t="n">
        <v>249</v>
      </c>
      <c r="I53" s="133" t="n">
        <v>140000</v>
      </c>
      <c r="J53" s="133" t="inlineStr">
        <is>
          <t>6</t>
        </is>
      </c>
      <c r="K53" s="133" t="n">
        <v>85000</v>
      </c>
      <c r="L53" s="133" t="inlineStr">
        <is>
          <t>8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132B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미사강변푸르지오2차</t>
        </is>
      </c>
      <c r="B54" s="10" t="inlineStr">
        <is>
          <t>'16.09.</t>
        </is>
      </c>
      <c r="C54" s="132" t="n">
        <v>1066</v>
      </c>
      <c r="D54" s="130" t="n">
        <v>151</v>
      </c>
      <c r="E54" s="131" t="n">
        <v>46</v>
      </c>
      <c r="F54" s="130" t="n">
        <v>114.3</v>
      </c>
      <c r="G54" s="17" t="n">
        <v>35</v>
      </c>
      <c r="H54" s="132" t="n">
        <v>2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150A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미사강변푸르지오2차</t>
        </is>
      </c>
      <c r="B55" s="10" t="inlineStr">
        <is>
          <t>'16.09.</t>
        </is>
      </c>
      <c r="C55" s="132" t="n">
        <v>1066</v>
      </c>
      <c r="D55" s="130" t="n">
        <v>152.1</v>
      </c>
      <c r="E55" s="131" t="n">
        <v>46</v>
      </c>
      <c r="F55" s="130" t="n">
        <v>114.2</v>
      </c>
      <c r="G55" s="17" t="n">
        <v>35</v>
      </c>
      <c r="H55" s="132" t="n">
        <v>2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152B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리버스위트칸타빌</t>
        </is>
      </c>
      <c r="B57" s="10" t="inlineStr">
        <is>
          <t>'18.05.</t>
        </is>
      </c>
      <c r="C57" s="132" t="n">
        <v>550</v>
      </c>
      <c r="D57" s="130" t="n">
        <v>118.3</v>
      </c>
      <c r="E57" s="131" t="n">
        <v>36</v>
      </c>
      <c r="F57" s="130" t="n">
        <v>92.5</v>
      </c>
      <c r="G57" s="17" t="n">
        <v>28</v>
      </c>
      <c r="H57" s="132" t="n">
        <v>135</v>
      </c>
      <c r="I57" s="133" t="n">
        <v>110000</v>
      </c>
      <c r="J57" s="133" t="inlineStr">
        <is>
          <t>6</t>
        </is>
      </c>
      <c r="K57" s="133" t="n">
        <v>60000</v>
      </c>
      <c r="L57" s="133" t="inlineStr">
        <is>
          <t>23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리버스위트칸타빌</t>
        </is>
      </c>
      <c r="B58" s="10" t="inlineStr">
        <is>
          <t>'18.05.</t>
        </is>
      </c>
      <c r="C58" s="132" t="n">
        <v>550</v>
      </c>
      <c r="D58" s="130" t="n">
        <v>118.3</v>
      </c>
      <c r="E58" s="131" t="n">
        <v>36</v>
      </c>
      <c r="F58" s="130" t="n">
        <v>92.5</v>
      </c>
      <c r="G58" s="17" t="n">
        <v>28</v>
      </c>
      <c r="H58" s="132" t="n">
        <v>4</v>
      </c>
      <c r="I58" s="133" t="n">
        <v>110000</v>
      </c>
      <c r="J58" s="133" t="inlineStr">
        <is>
          <t>6</t>
        </is>
      </c>
      <c r="K58" s="133" t="n">
        <v>60000</v>
      </c>
      <c r="L58" s="133" t="inlineStr">
        <is>
          <t>23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inlineStr">
        <is>
          <t>118T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리버스위트칸타빌</t>
        </is>
      </c>
      <c r="B59" s="10" t="inlineStr">
        <is>
          <t>'18.05.</t>
        </is>
      </c>
      <c r="C59" s="132" t="n">
        <v>550</v>
      </c>
      <c r="D59" s="130" t="n">
        <v>122.5</v>
      </c>
      <c r="E59" s="131" t="n">
        <v>37</v>
      </c>
      <c r="F59" s="130" t="n">
        <v>95.40000000000001</v>
      </c>
      <c r="G59" s="17" t="n">
        <v>29</v>
      </c>
      <c r="H59" s="132" t="n">
        <v>131</v>
      </c>
      <c r="I59" s="133" t="n">
        <v>133000</v>
      </c>
      <c r="J59" s="133" t="inlineStr">
        <is>
          <t>고</t>
        </is>
      </c>
      <c r="K59" s="133" t="n">
        <v>70000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122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리버스위트칸타빌</t>
        </is>
      </c>
      <c r="B60" s="10" t="inlineStr">
        <is>
          <t>'18.05.</t>
        </is>
      </c>
      <c r="C60" s="132" t="n">
        <v>550</v>
      </c>
      <c r="D60" s="130" t="n">
        <v>125.8</v>
      </c>
      <c r="E60" s="131" t="n">
        <v>38</v>
      </c>
      <c r="F60" s="130" t="n">
        <v>97.7</v>
      </c>
      <c r="G60" s="17" t="n">
        <v>30</v>
      </c>
      <c r="H60" s="132" t="n">
        <v>81</v>
      </c>
      <c r="I60" s="133" t="n">
        <v>160000</v>
      </c>
      <c r="J60" s="133" t="inlineStr">
        <is>
          <t>고</t>
        </is>
      </c>
      <c r="K60" s="133" t="n">
        <v>73000</v>
      </c>
      <c r="L60" s="133" t="inlineStr">
        <is>
          <t>22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125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리버스위트칸타빌</t>
        </is>
      </c>
      <c r="B61" s="10" t="inlineStr">
        <is>
          <t>'18.05.</t>
        </is>
      </c>
      <c r="C61" s="132" t="n">
        <v>550</v>
      </c>
      <c r="D61" s="130" t="n">
        <v>125.8</v>
      </c>
      <c r="E61" s="131" t="n">
        <v>38</v>
      </c>
      <c r="F61" s="130" t="n">
        <v>97.7</v>
      </c>
      <c r="G61" s="17" t="n">
        <v>30</v>
      </c>
      <c r="H61" s="132" t="n">
        <v>3</v>
      </c>
      <c r="I61" s="133" t="n">
        <v>160000</v>
      </c>
      <c r="J61" s="133" t="inlineStr">
        <is>
          <t>고</t>
        </is>
      </c>
      <c r="K61" s="133" t="n">
        <v>73000</v>
      </c>
      <c r="L61" s="133" t="inlineStr">
        <is>
          <t>22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inlineStr">
        <is>
          <t>125T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리버스위트칸타빌</t>
        </is>
      </c>
      <c r="B62" s="10" t="inlineStr">
        <is>
          <t>'18.05.</t>
        </is>
      </c>
      <c r="C62" s="132" t="n">
        <v>550</v>
      </c>
      <c r="D62" s="130" t="n">
        <v>130.7</v>
      </c>
      <c r="E62" s="131" t="n">
        <v>40</v>
      </c>
      <c r="F62" s="130" t="n">
        <v>102.5</v>
      </c>
      <c r="G62" s="17" t="n">
        <v>31</v>
      </c>
      <c r="H62" s="132" t="n">
        <v>176</v>
      </c>
      <c r="I62" s="133" t="n">
        <v>120000</v>
      </c>
      <c r="J62" s="133" t="inlineStr">
        <is>
          <t>10</t>
        </is>
      </c>
      <c r="K62" s="133" t="n">
        <v>75000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130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리버스위트칸타빌</t>
        </is>
      </c>
      <c r="B63" s="10" t="inlineStr">
        <is>
          <t>'18.05.</t>
        </is>
      </c>
      <c r="C63" s="132" t="n">
        <v>550</v>
      </c>
      <c r="D63" s="130" t="n">
        <v>130.7</v>
      </c>
      <c r="E63" s="131" t="n">
        <v>40</v>
      </c>
      <c r="F63" s="130" t="n">
        <v>102.5</v>
      </c>
      <c r="G63" s="17" t="n">
        <v>31</v>
      </c>
      <c r="H63" s="132" t="n">
        <v>5</v>
      </c>
      <c r="I63" s="133" t="n">
        <v>120000</v>
      </c>
      <c r="J63" s="133" t="inlineStr">
        <is>
          <t>10</t>
        </is>
      </c>
      <c r="K63" s="133" t="n">
        <v>75000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130T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리버스위트칸타빌</t>
        </is>
      </c>
      <c r="B64" s="10" t="inlineStr">
        <is>
          <t>'18.05.</t>
        </is>
      </c>
      <c r="C64" s="132" t="n">
        <v>550</v>
      </c>
      <c r="D64" s="130" t="n">
        <v>164.2</v>
      </c>
      <c r="E64" s="131" t="n">
        <v>50</v>
      </c>
      <c r="F64" s="130" t="n">
        <v>126.7</v>
      </c>
      <c r="G64" s="17" t="n">
        <v>38</v>
      </c>
      <c r="H64" s="132" t="n">
        <v>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3</v>
      </c>
      <c r="S64" s="120" t="inlineStr">
        <is>
          <t>계</t>
        </is>
      </c>
      <c r="T64" s="5" t="n">
        <v>164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리버스위트칸타빌</t>
        </is>
      </c>
      <c r="B65" s="10" t="inlineStr">
        <is>
          <t>'18.05.</t>
        </is>
      </c>
      <c r="C65" s="132" t="n">
        <v>550</v>
      </c>
      <c r="D65" s="130" t="n">
        <v>180.1</v>
      </c>
      <c r="E65" s="131" t="n">
        <v>54</v>
      </c>
      <c r="F65" s="130" t="n">
        <v>138.8</v>
      </c>
      <c r="G65" s="17" t="n">
        <v>42</v>
      </c>
      <c r="H65" s="132" t="n">
        <v>3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5</v>
      </c>
      <c r="R65" s="120" t="n">
        <v>3</v>
      </c>
      <c r="S65" s="120" t="inlineStr">
        <is>
          <t>계</t>
        </is>
      </c>
      <c r="T65" s="5" t="n">
        <v>180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리버스위트칸타빌</t>
        </is>
      </c>
      <c r="B66" s="10" t="inlineStr">
        <is>
          <t>'18.05.</t>
        </is>
      </c>
      <c r="C66" s="132" t="n">
        <v>550</v>
      </c>
      <c r="D66" s="130" t="n">
        <v>185.6</v>
      </c>
      <c r="E66" s="131" t="n">
        <v>56</v>
      </c>
      <c r="F66" s="130" t="n">
        <v>143.7</v>
      </c>
      <c r="G66" s="17" t="n">
        <v>43</v>
      </c>
      <c r="H66" s="132" t="n">
        <v>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3</v>
      </c>
      <c r="S66" s="120" t="inlineStr">
        <is>
          <t>계</t>
        </is>
      </c>
      <c r="T66" s="5" t="n">
        <v>185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미사강변도시베라체</t>
        </is>
      </c>
      <c r="B68" s="10" t="inlineStr">
        <is>
          <t>'15.05.</t>
        </is>
      </c>
      <c r="C68" s="132" t="n">
        <v>615</v>
      </c>
      <c r="D68" s="130" t="n">
        <v>97</v>
      </c>
      <c r="E68" s="131" t="n">
        <v>29</v>
      </c>
      <c r="F68" s="130" t="n">
        <v>74.90000000000001</v>
      </c>
      <c r="G68" s="17" t="n">
        <v>23</v>
      </c>
      <c r="H68" s="132" t="n">
        <v>162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97A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미사강변도시베라체</t>
        </is>
      </c>
      <c r="B69" s="10" t="inlineStr">
        <is>
          <t>'15.05.</t>
        </is>
      </c>
      <c r="C69" s="132" t="n">
        <v>615</v>
      </c>
      <c r="D69" s="130" t="n">
        <v>97</v>
      </c>
      <c r="E69" s="131" t="n">
        <v>29</v>
      </c>
      <c r="F69" s="130" t="n">
        <v>74.90000000000001</v>
      </c>
      <c r="G69" s="17" t="n">
        <v>23</v>
      </c>
      <c r="H69" s="132" t="n">
        <v>20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97AN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미사강변도시베라체</t>
        </is>
      </c>
      <c r="B70" s="10" t="inlineStr">
        <is>
          <t>'15.05.</t>
        </is>
      </c>
      <c r="C70" s="132" t="n">
        <v>615</v>
      </c>
      <c r="D70" s="130" t="n">
        <v>110</v>
      </c>
      <c r="E70" s="131" t="n">
        <v>33</v>
      </c>
      <c r="F70" s="130" t="n">
        <v>84.8</v>
      </c>
      <c r="G70" s="17" t="n">
        <v>26</v>
      </c>
      <c r="H70" s="132" t="n">
        <v>47</v>
      </c>
      <c r="I70" s="133" t="n">
        <v>110000</v>
      </c>
      <c r="J70" s="133" t="inlineStr">
        <is>
          <t>중</t>
        </is>
      </c>
      <c r="K70" s="133" t="n">
        <v>57000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109A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미사강변도시베라체</t>
        </is>
      </c>
      <c r="B71" s="10" t="inlineStr">
        <is>
          <t>'15.05.</t>
        </is>
      </c>
      <c r="C71" s="132" t="n">
        <v>615</v>
      </c>
      <c r="D71" s="130" t="n">
        <v>110</v>
      </c>
      <c r="E71" s="131" t="n">
        <v>33</v>
      </c>
      <c r="F71" s="130" t="n">
        <v>84.90000000000001</v>
      </c>
      <c r="G71" s="17" t="n">
        <v>26</v>
      </c>
      <c r="H71" s="132" t="n">
        <v>366</v>
      </c>
      <c r="I71" s="133" t="n">
        <v>85000</v>
      </c>
      <c r="J71" s="133" t="inlineStr">
        <is>
          <t>중</t>
        </is>
      </c>
      <c r="K71" s="133" t="n">
        <v>54000</v>
      </c>
      <c r="L71" s="133" t="inlineStr">
        <is>
          <t>고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110B2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미사강변도시베라체</t>
        </is>
      </c>
      <c r="B72" s="10" t="inlineStr">
        <is>
          <t>'15.05.</t>
        </is>
      </c>
      <c r="C72" s="132" t="n">
        <v>615</v>
      </c>
      <c r="D72" s="130" t="n">
        <v>110</v>
      </c>
      <c r="E72" s="131" t="n">
        <v>33</v>
      </c>
      <c r="F72" s="130" t="n">
        <v>84.90000000000001</v>
      </c>
      <c r="G72" s="17" t="n">
        <v>26</v>
      </c>
      <c r="H72" s="132" t="n">
        <v>20</v>
      </c>
      <c r="I72" s="133" t="n">
        <v>85000</v>
      </c>
      <c r="J72" s="133" t="inlineStr">
        <is>
          <t>중</t>
        </is>
      </c>
      <c r="K72" s="133" t="n">
        <v>54000</v>
      </c>
      <c r="L72" s="133" t="inlineStr">
        <is>
          <t>고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110B2N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23">
      <formula>AV4="X"</formula>
    </cfRule>
    <cfRule type="expression" priority="1191" dxfId="22">
      <formula>AV4="후보"</formula>
    </cfRule>
  </conditionalFormatting>
  <conditionalFormatting sqref="AC1:AC2 AC4:AC6 N4:N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:N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23">
      <formula>AV7="X"</formula>
    </cfRule>
    <cfRule type="expression" priority="1170" dxfId="22">
      <formula>AV7="후보"</formula>
    </cfRule>
  </conditionalFormatting>
  <conditionalFormatting sqref="AC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7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23">
      <formula>AV8="X"</formula>
    </cfRule>
    <cfRule type="expression" priority="1151" dxfId="22">
      <formula>AV8="후보"</formula>
    </cfRule>
  </conditionalFormatting>
  <conditionalFormatting sqref="AC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23">
      <formula>AV9="X"</formula>
    </cfRule>
    <cfRule type="expression" priority="1132" dxfId="22">
      <formula>AV9="후보"</formula>
    </cfRule>
  </conditionalFormatting>
  <conditionalFormatting sqref="AC9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9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23">
      <formula>AV10="X"</formula>
    </cfRule>
    <cfRule type="expression" priority="1113" dxfId="22">
      <formula>AV10="후보"</formula>
    </cfRule>
  </conditionalFormatting>
  <conditionalFormatting sqref="AC10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10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23">
      <formula>AV11="X"</formula>
    </cfRule>
    <cfRule type="expression" priority="1094" dxfId="22">
      <formula>AV11="후보"</formula>
    </cfRule>
  </conditionalFormatting>
  <conditionalFormatting sqref="AC11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1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23">
      <formula>AV12="X"</formula>
    </cfRule>
    <cfRule type="expression" priority="1075" dxfId="22">
      <formula>AV12="후보"</formula>
    </cfRule>
  </conditionalFormatting>
  <conditionalFormatting sqref="AC1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1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23">
      <formula>AV13="X"</formula>
    </cfRule>
    <cfRule type="expression" priority="1056" dxfId="22">
      <formula>AV13="후보"</formula>
    </cfRule>
  </conditionalFormatting>
  <conditionalFormatting sqref="AC1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1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23">
      <formula>AV14="X"</formula>
    </cfRule>
    <cfRule type="expression" priority="1037" dxfId="22">
      <formula>AV14="후보"</formula>
    </cfRule>
  </conditionalFormatting>
  <conditionalFormatting sqref="AC14 N1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15">
    <cfRule type="expression" priority="1031" dxfId="23">
      <formula>AV15="X"</formula>
    </cfRule>
    <cfRule type="expression" priority="1032" dxfId="22">
      <formula>AV15="후보"</formula>
    </cfRule>
  </conditionalFormatting>
  <conditionalFormatting sqref="AC15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15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23">
      <formula>AV16="X"</formula>
    </cfRule>
    <cfRule type="expression" priority="1013" dxfId="22">
      <formula>AV16="후보"</formula>
    </cfRule>
  </conditionalFormatting>
  <conditionalFormatting sqref="AC1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1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23">
      <formula>AV17="X"</formula>
    </cfRule>
    <cfRule type="expression" priority="994" dxfId="22">
      <formula>AV17="후보"</formula>
    </cfRule>
  </conditionalFormatting>
  <conditionalFormatting sqref="AC1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23">
      <formula>AV18="X"</formula>
    </cfRule>
    <cfRule type="expression" priority="975" dxfId="22">
      <formula>AV18="후보"</formula>
    </cfRule>
  </conditionalFormatting>
  <conditionalFormatting sqref="AC18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1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23">
      <formula>AV19="X"</formula>
    </cfRule>
    <cfRule type="expression" priority="956" dxfId="22">
      <formula>AV19="후보"</formula>
    </cfRule>
  </conditionalFormatting>
  <conditionalFormatting sqref="AC1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23">
      <formula>AV20="X"</formula>
    </cfRule>
    <cfRule type="expression" priority="937" dxfId="22">
      <formula>AV20="후보"</formula>
    </cfRule>
  </conditionalFormatting>
  <conditionalFormatting sqref="AC2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 N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27">
    <cfRule type="expression" priority="817" dxfId="23">
      <formula>AV27="X"</formula>
    </cfRule>
    <cfRule type="expression" priority="818" dxfId="22">
      <formula>AV27="후보"</formula>
    </cfRule>
  </conditionalFormatting>
  <conditionalFormatting sqref="AC2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7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23">
      <formula>AV28="X"</formula>
    </cfRule>
    <cfRule type="expression" priority="799" dxfId="22">
      <formula>AV28="후보"</formula>
    </cfRule>
  </conditionalFormatting>
  <conditionalFormatting sqref="AC28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8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23">
      <formula>AV29="X"</formula>
    </cfRule>
    <cfRule type="expression" priority="780" dxfId="22">
      <formula>AV29="후보"</formula>
    </cfRule>
  </conditionalFormatting>
  <conditionalFormatting sqref="AC29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23">
      <formula>AV30="X"</formula>
    </cfRule>
    <cfRule type="expression" priority="761" dxfId="22">
      <formula>AV30="후보"</formula>
    </cfRule>
  </conditionalFormatting>
  <conditionalFormatting sqref="AC30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3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23">
      <formula>AV31="X"</formula>
    </cfRule>
    <cfRule type="expression" priority="742" dxfId="22">
      <formula>AV31="후보"</formula>
    </cfRule>
  </conditionalFormatting>
  <conditionalFormatting sqref="AC31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31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23">
      <formula>AV32="X"</formula>
    </cfRule>
    <cfRule type="expression" priority="723" dxfId="22">
      <formula>AV32="후보"</formula>
    </cfRule>
  </conditionalFormatting>
  <conditionalFormatting sqref="AC3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3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23">
      <formula>AV33="X"</formula>
    </cfRule>
    <cfRule type="expression" priority="704" dxfId="22">
      <formula>AV33="후보"</formula>
    </cfRule>
  </conditionalFormatting>
  <conditionalFormatting sqref="AC3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3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23">
      <formula>AV34="X"</formula>
    </cfRule>
    <cfRule type="expression" priority="685" dxfId="22">
      <formula>AV34="후보"</formula>
    </cfRule>
  </conditionalFormatting>
  <conditionalFormatting sqref="AC3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23">
      <formula>AV35="X"</formula>
    </cfRule>
    <cfRule type="expression" priority="666" dxfId="22">
      <formula>AV35="후보"</formula>
    </cfRule>
  </conditionalFormatting>
  <conditionalFormatting sqref="AC35 N3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36">
    <cfRule type="expression" priority="660" dxfId="23">
      <formula>AV36="X"</formula>
    </cfRule>
    <cfRule type="expression" priority="661" dxfId="22">
      <formula>AV36="후보"</formula>
    </cfRule>
  </conditionalFormatting>
  <conditionalFormatting sqref="AC36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36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23">
      <formula>AV37="X"</formula>
    </cfRule>
    <cfRule type="expression" priority="642" dxfId="22">
      <formula>AV37="후보"</formula>
    </cfRule>
  </conditionalFormatting>
  <conditionalFormatting sqref="AC37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37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23">
      <formula>AV38="X"</formula>
    </cfRule>
    <cfRule type="expression" priority="623" dxfId="22">
      <formula>AV38="후보"</formula>
    </cfRule>
  </conditionalFormatting>
  <conditionalFormatting sqref="AC38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38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23">
      <formula>AV39="X"</formula>
    </cfRule>
    <cfRule type="expression" priority="604" dxfId="22">
      <formula>AV39="후보"</formula>
    </cfRule>
  </conditionalFormatting>
  <conditionalFormatting sqref="AC3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9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23">
      <formula>AV40="X"</formula>
    </cfRule>
    <cfRule type="expression" priority="585" dxfId="22">
      <formula>AV40="후보"</formula>
    </cfRule>
  </conditionalFormatting>
  <conditionalFormatting sqref="AC40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0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23">
      <formula>AV41="X"</formula>
    </cfRule>
    <cfRule type="expression" priority="566" dxfId="22">
      <formula>AV41="후보"</formula>
    </cfRule>
  </conditionalFormatting>
  <conditionalFormatting sqref="AC4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23">
      <formula>AV42="X"</formula>
    </cfRule>
    <cfRule type="expression" priority="547" dxfId="22">
      <formula>AV42="후보"</formula>
    </cfRule>
  </conditionalFormatting>
  <conditionalFormatting sqref="AC4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23">
      <formula>AV43="X"</formula>
    </cfRule>
    <cfRule type="expression" priority="528" dxfId="22">
      <formula>AV43="후보"</formula>
    </cfRule>
  </conditionalFormatting>
  <conditionalFormatting sqref="AC4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23">
      <formula>AV44="X"</formula>
    </cfRule>
    <cfRule type="expression" priority="509" dxfId="22">
      <formula>AV44="후보"</formula>
    </cfRule>
  </conditionalFormatting>
  <conditionalFormatting sqref="AC4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23">
      <formula>AV45="X"</formula>
    </cfRule>
    <cfRule type="expression" priority="490" dxfId="22">
      <formula>AV45="후보"</formula>
    </cfRule>
  </conditionalFormatting>
  <conditionalFormatting sqref="AC4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 N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48">
    <cfRule type="expression" priority="446" dxfId="23">
      <formula>AV48="X"</formula>
    </cfRule>
    <cfRule type="expression" priority="447" dxfId="22">
      <formula>AV48="후보"</formula>
    </cfRule>
  </conditionalFormatting>
  <conditionalFormatting sqref="AC4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4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23">
      <formula>AV49="X"</formula>
    </cfRule>
    <cfRule type="expression" priority="428" dxfId="22">
      <formula>AV49="후보"</formula>
    </cfRule>
  </conditionalFormatting>
  <conditionalFormatting sqref="AC4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4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23">
      <formula>AV50="X"</formula>
    </cfRule>
    <cfRule type="expression" priority="409" dxfId="22">
      <formula>AV50="후보"</formula>
    </cfRule>
  </conditionalFormatting>
  <conditionalFormatting sqref="AC5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5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 N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57">
    <cfRule type="expression" priority="289" dxfId="23">
      <formula>AV57="X"</formula>
    </cfRule>
    <cfRule type="expression" priority="290" dxfId="22">
      <formula>AV57="후보"</formula>
    </cfRule>
  </conditionalFormatting>
  <conditionalFormatting sqref="AC5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 N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신장동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에코타운1단지</t>
        </is>
      </c>
      <c r="B6" s="10" t="inlineStr">
        <is>
          <t>'04.11.</t>
        </is>
      </c>
      <c r="C6" s="132" t="n">
        <v>525</v>
      </c>
      <c r="D6" s="130" t="n">
        <v>77</v>
      </c>
      <c r="E6" s="131" t="n">
        <v>23</v>
      </c>
      <c r="F6" s="130" t="n">
        <v>57.4</v>
      </c>
      <c r="G6" s="17" t="n">
        <v>17</v>
      </c>
      <c r="H6" s="132" t="n">
        <v>397</v>
      </c>
      <c r="I6" s="133" t="n">
        <v>70000</v>
      </c>
      <c r="J6" s="133" t="inlineStr">
        <is>
          <t>6</t>
        </is>
      </c>
      <c r="K6" s="133" t="n">
        <v>43000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inlineStr">
        <is>
          <t>77A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에코타운1단지</t>
        </is>
      </c>
      <c r="B7" s="10" t="inlineStr">
        <is>
          <t>'04.11.</t>
        </is>
      </c>
      <c r="C7" s="132" t="n">
        <v>525</v>
      </c>
      <c r="D7" s="130" t="n">
        <v>77</v>
      </c>
      <c r="E7" s="131" t="n">
        <v>23</v>
      </c>
      <c r="F7" s="130" t="n">
        <v>58.1</v>
      </c>
      <c r="G7" s="17" t="n">
        <v>18</v>
      </c>
      <c r="H7" s="132" t="n">
        <v>128</v>
      </c>
      <c r="I7" s="133" t="n">
        <v>75000</v>
      </c>
      <c r="J7" s="133" t="inlineStr">
        <is>
          <t>6</t>
        </is>
      </c>
      <c r="K7" s="133" t="n">
        <v>45000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inlineStr">
        <is>
          <t>77B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대명강변타운</t>
        </is>
      </c>
      <c r="B9" s="10" t="inlineStr">
        <is>
          <t>'07.08.</t>
        </is>
      </c>
      <c r="C9" s="132" t="n">
        <v>1369</v>
      </c>
      <c r="D9" s="130" t="n">
        <v>93.40000000000001</v>
      </c>
      <c r="E9" s="131" t="n">
        <v>28</v>
      </c>
      <c r="F9" s="130" t="n">
        <v>68.09999999999999</v>
      </c>
      <c r="G9" s="17" t="n">
        <v>21</v>
      </c>
      <c r="H9" s="132" t="n">
        <v>142</v>
      </c>
      <c r="I9" s="133" t="n">
        <v>70000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93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대명강변타운</t>
        </is>
      </c>
      <c r="B10" s="10" t="inlineStr">
        <is>
          <t>'07.08.</t>
        </is>
      </c>
      <c r="C10" s="132" t="n">
        <v>1369</v>
      </c>
      <c r="D10" s="130" t="n">
        <v>111.6</v>
      </c>
      <c r="E10" s="131" t="n">
        <v>34</v>
      </c>
      <c r="F10" s="130" t="n">
        <v>84.8</v>
      </c>
      <c r="G10" s="17" t="n">
        <v>26</v>
      </c>
      <c r="H10" s="132" t="n">
        <v>1227</v>
      </c>
      <c r="I10" s="133" t="n">
        <v>79000</v>
      </c>
      <c r="J10" s="133" t="inlineStr">
        <is>
          <t>8</t>
        </is>
      </c>
      <c r="K10" s="133" t="n">
        <v>50000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벽산블루밍더클래식</t>
        </is>
      </c>
      <c r="B12" s="10" t="inlineStr">
        <is>
          <t>'10.08.</t>
        </is>
      </c>
      <c r="C12" s="132" t="n">
        <v>220</v>
      </c>
      <c r="D12" s="130" t="n">
        <v>113.4</v>
      </c>
      <c r="E12" s="131" t="n">
        <v>34</v>
      </c>
      <c r="F12" s="130" t="n">
        <v>82.8</v>
      </c>
      <c r="G12" s="17" t="n">
        <v>25</v>
      </c>
      <c r="H12" s="132" t="n">
        <v>73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벽산블루밍더클래식</t>
        </is>
      </c>
      <c r="B13" s="10" t="inlineStr">
        <is>
          <t>'10.08.</t>
        </is>
      </c>
      <c r="C13" s="132" t="n">
        <v>220</v>
      </c>
      <c r="D13" s="130" t="n">
        <v>115.1</v>
      </c>
      <c r="E13" s="131" t="n">
        <v>35</v>
      </c>
      <c r="F13" s="130" t="n">
        <v>84.2</v>
      </c>
      <c r="G13" s="17" t="n">
        <v>25</v>
      </c>
      <c r="H13" s="132" t="n">
        <v>75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inlineStr">
        <is>
          <t>115B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벽산블루밍더클래식</t>
        </is>
      </c>
      <c r="B14" s="10" t="inlineStr">
        <is>
          <t>'10.08.</t>
        </is>
      </c>
      <c r="C14" s="132" t="n">
        <v>220</v>
      </c>
      <c r="D14" s="130" t="n">
        <v>116.6</v>
      </c>
      <c r="E14" s="131" t="n">
        <v>35</v>
      </c>
      <c r="F14" s="130" t="n">
        <v>84.90000000000001</v>
      </c>
      <c r="G14" s="17" t="n">
        <v>26</v>
      </c>
      <c r="H14" s="132" t="n">
        <v>18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2</v>
      </c>
      <c r="S14" s="120" t="inlineStr">
        <is>
          <t>계</t>
        </is>
      </c>
      <c r="T14" s="5" t="inlineStr">
        <is>
          <t>116C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벽산블루밍더클래식</t>
        </is>
      </c>
      <c r="B15" s="10" t="inlineStr">
        <is>
          <t>'10.08.</t>
        </is>
      </c>
      <c r="C15" s="132" t="n">
        <v>220</v>
      </c>
      <c r="D15" s="130" t="n">
        <v>116.6</v>
      </c>
      <c r="E15" s="131" t="n">
        <v>35</v>
      </c>
      <c r="F15" s="130" t="n">
        <v>84.90000000000001</v>
      </c>
      <c r="G15" s="17" t="n">
        <v>26</v>
      </c>
      <c r="H15" s="132" t="n">
        <v>18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116C-1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벽산블루밍더클래식</t>
        </is>
      </c>
      <c r="B16" s="10" t="inlineStr">
        <is>
          <t>'10.08.</t>
        </is>
      </c>
      <c r="C16" s="132" t="n">
        <v>220</v>
      </c>
      <c r="D16" s="130" t="n">
        <v>126.9</v>
      </c>
      <c r="E16" s="131" t="n">
        <v>38</v>
      </c>
      <c r="F16" s="130" t="n">
        <v>92.09999999999999</v>
      </c>
      <c r="G16" s="17" t="n">
        <v>28</v>
      </c>
      <c r="H16" s="132" t="n">
        <v>18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126D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벽산블루밍더클래식</t>
        </is>
      </c>
      <c r="B17" s="10" t="inlineStr">
        <is>
          <t>'10.08.</t>
        </is>
      </c>
      <c r="C17" s="132" t="n">
        <v>220</v>
      </c>
      <c r="D17" s="130" t="n">
        <v>126.9</v>
      </c>
      <c r="E17" s="131" t="n">
        <v>38</v>
      </c>
      <c r="F17" s="130" t="n">
        <v>92.3</v>
      </c>
      <c r="G17" s="17" t="n">
        <v>28</v>
      </c>
      <c r="H17" s="132" t="n">
        <v>18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126D-1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하남유시티대명루첸리버파크</t>
        </is>
      </c>
      <c r="B19" s="10" t="inlineStr">
        <is>
          <t>'18.09.</t>
        </is>
      </c>
      <c r="C19" s="132" t="n">
        <v>854</v>
      </c>
      <c r="D19" s="130" t="n">
        <v>100.5</v>
      </c>
      <c r="E19" s="131" t="n">
        <v>30</v>
      </c>
      <c r="F19" s="130" t="n">
        <v>74.3</v>
      </c>
      <c r="G19" s="17" t="n">
        <v>22</v>
      </c>
      <c r="H19" s="132" t="n">
        <v>764</v>
      </c>
      <c r="I19" s="133" t="n">
        <v>81000</v>
      </c>
      <c r="J19" s="133" t="inlineStr">
        <is>
          <t>중</t>
        </is>
      </c>
      <c r="K19" s="133" t="n">
        <v>55000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하남유시티대명루첸리버파크</t>
        </is>
      </c>
      <c r="B20" s="10" t="inlineStr">
        <is>
          <t>'18.09.</t>
        </is>
      </c>
      <c r="C20" s="132" t="n">
        <v>854</v>
      </c>
      <c r="D20" s="130" t="n">
        <v>100.8</v>
      </c>
      <c r="E20" s="131" t="n">
        <v>31</v>
      </c>
      <c r="F20" s="130" t="n">
        <v>74.40000000000001</v>
      </c>
      <c r="G20" s="17" t="n">
        <v>22</v>
      </c>
      <c r="H20" s="132" t="n">
        <v>90</v>
      </c>
      <c r="I20" s="133" t="n">
        <v>90000</v>
      </c>
      <c r="J20" s="133" t="inlineStr">
        <is>
          <t>고</t>
        </is>
      </c>
      <c r="K20" s="133" t="n">
        <v>60000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100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백조현대</t>
        </is>
      </c>
      <c r="B22" s="10" t="inlineStr">
        <is>
          <t>'94.07.</t>
        </is>
      </c>
      <c r="C22" s="132" t="n">
        <v>880</v>
      </c>
      <c r="D22" s="130" t="n">
        <v>68.2</v>
      </c>
      <c r="E22" s="131" t="n">
        <v>21</v>
      </c>
      <c r="F22" s="130" t="n">
        <v>50</v>
      </c>
      <c r="G22" s="17" t="n">
        <v>15</v>
      </c>
      <c r="H22" s="132" t="n">
        <v>880</v>
      </c>
      <c r="I22" s="133" t="n">
        <v>50000</v>
      </c>
      <c r="J22" s="133" t="inlineStr">
        <is>
          <t>19</t>
        </is>
      </c>
      <c r="K22" s="133" t="n">
        <v>31000</v>
      </c>
      <c r="L22" s="133" t="inlineStr">
        <is>
          <t>20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68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백송한신</t>
        </is>
      </c>
      <c r="B24" s="10" t="inlineStr">
        <is>
          <t>'94.06.</t>
        </is>
      </c>
      <c r="C24" s="132" t="n">
        <v>641</v>
      </c>
      <c r="D24" s="130" t="n">
        <v>67.40000000000001</v>
      </c>
      <c r="E24" s="131" t="n">
        <v>20</v>
      </c>
      <c r="F24" s="130" t="n">
        <v>50</v>
      </c>
      <c r="G24" s="17" t="n">
        <v>15</v>
      </c>
      <c r="H24" s="132" t="n">
        <v>641</v>
      </c>
      <c r="I24" s="133" t="n">
        <v>48000</v>
      </c>
      <c r="J24" s="133" t="inlineStr">
        <is>
          <t>12</t>
        </is>
      </c>
      <c r="K24" s="133" t="n">
        <v>30000</v>
      </c>
      <c r="L24" s="133" t="inlineStr">
        <is>
          <t>13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67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성원상떼빌</t>
        </is>
      </c>
      <c r="B26" s="10" t="inlineStr">
        <is>
          <t>'03.11.</t>
        </is>
      </c>
      <c r="C26" s="132" t="n">
        <v>234</v>
      </c>
      <c r="D26" s="130" t="n">
        <v>31.1</v>
      </c>
      <c r="E26" s="131" t="n">
        <v>9</v>
      </c>
      <c r="F26" s="130" t="n">
        <v>20.1</v>
      </c>
      <c r="G26" s="17" t="n">
        <v>6</v>
      </c>
      <c r="H26" s="132" t="n">
        <v>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31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성원상떼빌</t>
        </is>
      </c>
      <c r="B27" s="10" t="inlineStr">
        <is>
          <t>'03.11.</t>
        </is>
      </c>
      <c r="C27" s="132" t="n">
        <v>234</v>
      </c>
      <c r="D27" s="130" t="n">
        <v>36.7</v>
      </c>
      <c r="E27" s="131" t="n">
        <v>11</v>
      </c>
      <c r="F27" s="130" t="n">
        <v>23.8</v>
      </c>
      <c r="G27" s="17" t="n">
        <v>7</v>
      </c>
      <c r="H27" s="132" t="n">
        <v>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1</v>
      </c>
      <c r="R27" s="120" t="n">
        <v>1</v>
      </c>
      <c r="S27" s="120" t="inlineStr">
        <is>
          <t>계</t>
        </is>
      </c>
      <c r="T27" s="5" t="inlineStr">
        <is>
          <t>36Aa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성원상떼빌</t>
        </is>
      </c>
      <c r="B28" s="10" t="inlineStr">
        <is>
          <t>'03.11.</t>
        </is>
      </c>
      <c r="C28" s="132" t="n">
        <v>234</v>
      </c>
      <c r="D28" s="130" t="n">
        <v>38.7</v>
      </c>
      <c r="E28" s="131" t="n">
        <v>12</v>
      </c>
      <c r="F28" s="130" t="n">
        <v>25.1</v>
      </c>
      <c r="G28" s="17" t="n">
        <v>8</v>
      </c>
      <c r="H28" s="132" t="n">
        <v>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1</v>
      </c>
      <c r="R28" s="120" t="n">
        <v>1</v>
      </c>
      <c r="S28" s="120" t="inlineStr">
        <is>
          <t>계</t>
        </is>
      </c>
      <c r="T28" s="5" t="inlineStr">
        <is>
          <t>38B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성원상떼빌</t>
        </is>
      </c>
      <c r="B29" s="10" t="inlineStr">
        <is>
          <t>'03.11.</t>
        </is>
      </c>
      <c r="C29" s="132" t="n">
        <v>234</v>
      </c>
      <c r="D29" s="130" t="n">
        <v>39.8</v>
      </c>
      <c r="E29" s="131" t="n">
        <v>12</v>
      </c>
      <c r="F29" s="130" t="n">
        <v>25.7</v>
      </c>
      <c r="G29" s="17" t="n">
        <v>8</v>
      </c>
      <c r="H29" s="132" t="n">
        <v>36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1</v>
      </c>
      <c r="R29" s="120" t="n">
        <v>1</v>
      </c>
      <c r="S29" s="120" t="inlineStr">
        <is>
          <t>계</t>
        </is>
      </c>
      <c r="T29" s="5" t="inlineStr">
        <is>
          <t>39A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성원상떼빌</t>
        </is>
      </c>
      <c r="B30" s="10" t="inlineStr">
        <is>
          <t>'03.11.</t>
        </is>
      </c>
      <c r="C30" s="132" t="n">
        <v>234</v>
      </c>
      <c r="D30" s="130" t="n">
        <v>42.4</v>
      </c>
      <c r="E30" s="131" t="n">
        <v>13</v>
      </c>
      <c r="F30" s="130" t="n">
        <v>27.5</v>
      </c>
      <c r="G30" s="17" t="n">
        <v>8</v>
      </c>
      <c r="H30" s="132" t="n">
        <v>3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1</v>
      </c>
      <c r="R30" s="120" t="n">
        <v>1</v>
      </c>
      <c r="S30" s="120" t="inlineStr">
        <is>
          <t>계</t>
        </is>
      </c>
      <c r="T30" s="5" t="n">
        <v>42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성원상떼빌</t>
        </is>
      </c>
      <c r="B31" s="10" t="inlineStr">
        <is>
          <t>'03.11.</t>
        </is>
      </c>
      <c r="C31" s="132" t="n">
        <v>234</v>
      </c>
      <c r="D31" s="130" t="n">
        <v>45.8</v>
      </c>
      <c r="E31" s="131" t="n">
        <v>14</v>
      </c>
      <c r="F31" s="130" t="n">
        <v>29.6</v>
      </c>
      <c r="G31" s="17" t="n">
        <v>9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45Ca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성원상떼빌</t>
        </is>
      </c>
      <c r="B32" s="10" t="inlineStr">
        <is>
          <t>'03.11.</t>
        </is>
      </c>
      <c r="C32" s="132" t="n">
        <v>234</v>
      </c>
      <c r="D32" s="130" t="n">
        <v>45.8</v>
      </c>
      <c r="E32" s="131" t="n">
        <v>14</v>
      </c>
      <c r="F32" s="130" t="n">
        <v>29.6</v>
      </c>
      <c r="G32" s="17" t="n">
        <v>9</v>
      </c>
      <c r="H32" s="132" t="n">
        <v>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45C1a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성원상떼빌</t>
        </is>
      </c>
      <c r="B33" s="10" t="inlineStr">
        <is>
          <t>'03.11.</t>
        </is>
      </c>
      <c r="C33" s="132" t="n">
        <v>234</v>
      </c>
      <c r="D33" s="130" t="n">
        <v>47</v>
      </c>
      <c r="E33" s="131" t="n">
        <v>14</v>
      </c>
      <c r="F33" s="130" t="n">
        <v>30.4</v>
      </c>
      <c r="G33" s="17" t="n">
        <v>9</v>
      </c>
      <c r="H33" s="132" t="n">
        <v>14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n">
        <v>46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성원상떼빌</t>
        </is>
      </c>
      <c r="B34" s="10" t="inlineStr">
        <is>
          <t>'03.11.</t>
        </is>
      </c>
      <c r="C34" s="132" t="n">
        <v>234</v>
      </c>
      <c r="D34" s="130" t="n">
        <v>52.8</v>
      </c>
      <c r="E34" s="131" t="n">
        <v>16</v>
      </c>
      <c r="F34" s="130" t="n">
        <v>34.2</v>
      </c>
      <c r="G34" s="17" t="n">
        <v>10</v>
      </c>
      <c r="H34" s="132" t="n">
        <v>15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성원상떼빌</t>
        </is>
      </c>
      <c r="B35" s="10" t="inlineStr">
        <is>
          <t>'03.11.</t>
        </is>
      </c>
      <c r="C35" s="132" t="n">
        <v>234</v>
      </c>
      <c r="D35" s="130" t="n">
        <v>53</v>
      </c>
      <c r="E35" s="131" t="n">
        <v>16</v>
      </c>
      <c r="F35" s="130" t="n">
        <v>34.3</v>
      </c>
      <c r="G35" s="17" t="n">
        <v>10</v>
      </c>
      <c r="H35" s="132" t="n">
        <v>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53A1a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성원상떼빌</t>
        </is>
      </c>
      <c r="B36" s="10" t="inlineStr">
        <is>
          <t>'03.11.</t>
        </is>
      </c>
      <c r="C36" s="132" t="n">
        <v>234</v>
      </c>
      <c r="D36" s="130" t="n">
        <v>54.2</v>
      </c>
      <c r="E36" s="131" t="n">
        <v>16</v>
      </c>
      <c r="F36" s="130" t="n">
        <v>35.1</v>
      </c>
      <c r="G36" s="17" t="n">
        <v>11</v>
      </c>
      <c r="H36" s="132" t="n">
        <v>47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54A4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성원상떼빌</t>
        </is>
      </c>
      <c r="B37" s="10" t="inlineStr">
        <is>
          <t>'03.11.</t>
        </is>
      </c>
      <c r="C37" s="132" t="n">
        <v>234</v>
      </c>
      <c r="D37" s="130" t="n">
        <v>56.6</v>
      </c>
      <c r="E37" s="131" t="n">
        <v>17</v>
      </c>
      <c r="F37" s="130" t="n">
        <v>36.7</v>
      </c>
      <c r="G37" s="17" t="n">
        <v>11</v>
      </c>
      <c r="H37" s="132" t="n">
        <v>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56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성원상떼빌</t>
        </is>
      </c>
      <c r="B38" s="10" t="inlineStr">
        <is>
          <t>'03.11.</t>
        </is>
      </c>
      <c r="C38" s="132" t="n">
        <v>234</v>
      </c>
      <c r="D38" s="130" t="n">
        <v>65.7</v>
      </c>
      <c r="E38" s="131" t="n">
        <v>20</v>
      </c>
      <c r="F38" s="130" t="n">
        <v>42.5</v>
      </c>
      <c r="G38" s="17" t="n">
        <v>13</v>
      </c>
      <c r="H38" s="132" t="n">
        <v>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1</v>
      </c>
      <c r="S38" s="120" t="inlineStr">
        <is>
          <t>계</t>
        </is>
      </c>
      <c r="T38" s="5" t="n">
        <v>65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성원상떼빌</t>
        </is>
      </c>
      <c r="B39" s="10" t="inlineStr">
        <is>
          <t>'03.11.</t>
        </is>
      </c>
      <c r="C39" s="132" t="n">
        <v>234</v>
      </c>
      <c r="D39" s="130" t="n">
        <v>91.59999999999999</v>
      </c>
      <c r="E39" s="131" t="n">
        <v>28</v>
      </c>
      <c r="F39" s="130" t="n">
        <v>59.3</v>
      </c>
      <c r="G39" s="17" t="n">
        <v>18</v>
      </c>
      <c r="H39" s="132" t="n">
        <v>43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91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성원상떼빌</t>
        </is>
      </c>
      <c r="B40" s="10" t="inlineStr">
        <is>
          <t>'03.11.</t>
        </is>
      </c>
      <c r="C40" s="132" t="n">
        <v>234</v>
      </c>
      <c r="D40" s="130" t="n">
        <v>115</v>
      </c>
      <c r="E40" s="131" t="n">
        <v>35</v>
      </c>
      <c r="F40" s="130" t="n">
        <v>74.40000000000001</v>
      </c>
      <c r="G40" s="17" t="n">
        <v>23</v>
      </c>
      <c r="H40" s="132" t="n">
        <v>49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114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성원상떼빌</t>
        </is>
      </c>
      <c r="B41" s="10" t="inlineStr">
        <is>
          <t>'03.11.</t>
        </is>
      </c>
      <c r="C41" s="132" t="n">
        <v>234</v>
      </c>
      <c r="D41" s="130" t="n">
        <v>137.2</v>
      </c>
      <c r="E41" s="131" t="n">
        <v>41</v>
      </c>
      <c r="F41" s="130" t="n">
        <v>88.90000000000001</v>
      </c>
      <c r="G41" s="17" t="n">
        <v>27</v>
      </c>
      <c r="H41" s="132" t="n">
        <v>1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137D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하남신장현대홈타운</t>
        </is>
      </c>
      <c r="B43" s="10" t="inlineStr">
        <is>
          <t>'04.04.</t>
        </is>
      </c>
      <c r="C43" s="132" t="n">
        <v>212</v>
      </c>
      <c r="D43" s="130" t="n">
        <v>75.59999999999999</v>
      </c>
      <c r="E43" s="131" t="n">
        <v>23</v>
      </c>
      <c r="F43" s="130" t="n">
        <v>56.4</v>
      </c>
      <c r="G43" s="17" t="n">
        <v>17</v>
      </c>
      <c r="H43" s="132" t="n">
        <v>42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75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하남신장현대홈타운</t>
        </is>
      </c>
      <c r="B44" s="10" t="inlineStr">
        <is>
          <t>'04.04.</t>
        </is>
      </c>
      <c r="C44" s="132" t="n">
        <v>212</v>
      </c>
      <c r="D44" s="130" t="n">
        <v>101.2</v>
      </c>
      <c r="E44" s="131" t="n">
        <v>31</v>
      </c>
      <c r="F44" s="130" t="n">
        <v>80.59999999999999</v>
      </c>
      <c r="G44" s="17" t="n">
        <v>24</v>
      </c>
      <c r="H44" s="132" t="n">
        <v>170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101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에코타운3단지</t>
        </is>
      </c>
      <c r="B46" s="10" t="inlineStr">
        <is>
          <t>'04.11.</t>
        </is>
      </c>
      <c r="C46" s="132" t="n">
        <v>594</v>
      </c>
      <c r="D46" s="130" t="n">
        <v>125.9</v>
      </c>
      <c r="E46" s="131" t="n">
        <v>38</v>
      </c>
      <c r="F46" s="130" t="n">
        <v>98.59999999999999</v>
      </c>
      <c r="G46" s="17" t="n">
        <v>30</v>
      </c>
      <c r="H46" s="132" t="n">
        <v>88</v>
      </c>
      <c r="I46" s="133" t="n">
        <v>100000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125B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에코타운3단지</t>
        </is>
      </c>
      <c r="B47" s="10" t="inlineStr">
        <is>
          <t>'04.11.</t>
        </is>
      </c>
      <c r="C47" s="132" t="n">
        <v>594</v>
      </c>
      <c r="D47" s="130" t="n">
        <v>126.5</v>
      </c>
      <c r="E47" s="131" t="n">
        <v>38</v>
      </c>
      <c r="F47" s="130" t="n">
        <v>98.59999999999999</v>
      </c>
      <c r="G47" s="17" t="n">
        <v>30</v>
      </c>
      <c r="H47" s="132" t="n">
        <v>149</v>
      </c>
      <c r="I47" s="133" t="n">
        <v>93000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126A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에코타운3단지</t>
        </is>
      </c>
      <c r="B48" s="10" t="inlineStr">
        <is>
          <t>'04.11.</t>
        </is>
      </c>
      <c r="C48" s="132" t="n">
        <v>594</v>
      </c>
      <c r="D48" s="130" t="n">
        <v>128</v>
      </c>
      <c r="E48" s="131" t="n">
        <v>39</v>
      </c>
      <c r="F48" s="130" t="n">
        <v>98.8</v>
      </c>
      <c r="G48" s="17" t="n">
        <v>30</v>
      </c>
      <c r="H48" s="132" t="n">
        <v>66</v>
      </c>
      <c r="I48" s="133" t="n">
        <v>90000</v>
      </c>
      <c r="J48" s="133" t="inlineStr">
        <is>
          <t>고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128C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에코타운3단지</t>
        </is>
      </c>
      <c r="B49" s="10" t="inlineStr">
        <is>
          <t>'04.11.</t>
        </is>
      </c>
      <c r="C49" s="132" t="n">
        <v>594</v>
      </c>
      <c r="D49" s="130" t="n">
        <v>131.4</v>
      </c>
      <c r="E49" s="131" t="n">
        <v>40</v>
      </c>
      <c r="F49" s="130" t="n">
        <v>102</v>
      </c>
      <c r="G49" s="17" t="n">
        <v>31</v>
      </c>
      <c r="H49" s="132" t="n">
        <v>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131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에코타운3단지</t>
        </is>
      </c>
      <c r="B50" s="10" t="inlineStr">
        <is>
          <t>'04.11.</t>
        </is>
      </c>
      <c r="C50" s="132" t="n">
        <v>594</v>
      </c>
      <c r="D50" s="130" t="n">
        <v>156.9</v>
      </c>
      <c r="E50" s="131" t="n">
        <v>47</v>
      </c>
      <c r="F50" s="130" t="n">
        <v>126.8</v>
      </c>
      <c r="G50" s="17" t="n">
        <v>38</v>
      </c>
      <c r="H50" s="132" t="n">
        <v>112</v>
      </c>
      <c r="I50" s="133" t="n">
        <v>115000</v>
      </c>
      <c r="J50" s="133" t="inlineStr">
        <is>
          <t>고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156A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에코타운3단지</t>
        </is>
      </c>
      <c r="B51" s="10" t="inlineStr">
        <is>
          <t>'04.11.</t>
        </is>
      </c>
      <c r="C51" s="132" t="n">
        <v>594</v>
      </c>
      <c r="D51" s="130" t="n">
        <v>156.9</v>
      </c>
      <c r="E51" s="131" t="n">
        <v>47</v>
      </c>
      <c r="F51" s="130" t="n">
        <v>126.8</v>
      </c>
      <c r="G51" s="17" t="n">
        <v>38</v>
      </c>
      <c r="H51" s="132" t="n">
        <v>42</v>
      </c>
      <c r="I51" s="133" t="n">
        <v>115000</v>
      </c>
      <c r="J51" s="133" t="inlineStr">
        <is>
          <t>고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156C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에코타운3단지</t>
        </is>
      </c>
      <c r="B52" s="10" t="inlineStr">
        <is>
          <t>'04.11.</t>
        </is>
      </c>
      <c r="C52" s="132" t="n">
        <v>594</v>
      </c>
      <c r="D52" s="130" t="n">
        <v>156.9</v>
      </c>
      <c r="E52" s="131" t="n">
        <v>47</v>
      </c>
      <c r="F52" s="130" t="n">
        <v>126.8</v>
      </c>
      <c r="G52" s="17" t="n">
        <v>38</v>
      </c>
      <c r="H52" s="132" t="n">
        <v>39</v>
      </c>
      <c r="I52" s="133" t="n">
        <v>115000</v>
      </c>
      <c r="J52" s="133" t="inlineStr">
        <is>
          <t>고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156B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에코타운3단지</t>
        </is>
      </c>
      <c r="B53" s="10" t="inlineStr">
        <is>
          <t>'04.11.</t>
        </is>
      </c>
      <c r="C53" s="132" t="n">
        <v>594</v>
      </c>
      <c r="D53" s="130" t="n">
        <v>158.7</v>
      </c>
      <c r="E53" s="131" t="n">
        <v>48</v>
      </c>
      <c r="F53" s="130" t="n">
        <v>124.2</v>
      </c>
      <c r="G53" s="17" t="n">
        <v>38</v>
      </c>
      <c r="H53" s="132" t="n">
        <v>81</v>
      </c>
      <c r="I53" s="133" t="n">
        <v>108000</v>
      </c>
      <c r="J53" s="133" t="inlineStr">
        <is>
          <t>고</t>
        </is>
      </c>
      <c r="K53" s="133" t="n">
        <v>72000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158D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에코타운2단지</t>
        </is>
      </c>
      <c r="B55" s="10" t="inlineStr">
        <is>
          <t>'04.11.</t>
        </is>
      </c>
      <c r="C55" s="132" t="n">
        <v>488</v>
      </c>
      <c r="D55" s="130" t="n">
        <v>111.3</v>
      </c>
      <c r="E55" s="131" t="n">
        <v>34</v>
      </c>
      <c r="F55" s="130" t="n">
        <v>83.7</v>
      </c>
      <c r="G55" s="17" t="n">
        <v>25</v>
      </c>
      <c r="H55" s="132" t="n">
        <v>360</v>
      </c>
      <c r="I55" s="133" t="n">
        <v>90000</v>
      </c>
      <c r="J55" s="133" t="inlineStr">
        <is>
          <t>21</t>
        </is>
      </c>
      <c r="K55" s="133" t="n">
        <v>50000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에코타운2단지</t>
        </is>
      </c>
      <c r="B56" s="10" t="inlineStr">
        <is>
          <t>'04.11.</t>
        </is>
      </c>
      <c r="C56" s="132" t="n">
        <v>488</v>
      </c>
      <c r="D56" s="130" t="n">
        <v>111.2</v>
      </c>
      <c r="E56" s="131" t="n">
        <v>34</v>
      </c>
      <c r="F56" s="130" t="n">
        <v>83.7</v>
      </c>
      <c r="G56" s="17" t="n">
        <v>25</v>
      </c>
      <c r="H56" s="132" t="n">
        <v>44</v>
      </c>
      <c r="I56" s="133" t="n">
        <v>95000</v>
      </c>
      <c r="J56" s="133" t="inlineStr">
        <is>
          <t>20</t>
        </is>
      </c>
      <c r="K56" s="133" t="n">
        <v>55000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에코타운2단지</t>
        </is>
      </c>
      <c r="B57" s="10" t="inlineStr">
        <is>
          <t>'04.11.</t>
        </is>
      </c>
      <c r="C57" s="132" t="n">
        <v>488</v>
      </c>
      <c r="D57" s="130" t="n">
        <v>111.3</v>
      </c>
      <c r="E57" s="131" t="n">
        <v>34</v>
      </c>
      <c r="F57" s="130" t="n">
        <v>83.7</v>
      </c>
      <c r="G57" s="17" t="n">
        <v>25</v>
      </c>
      <c r="H57" s="132" t="n">
        <v>22</v>
      </c>
      <c r="I57" s="133" t="n">
        <v>90000</v>
      </c>
      <c r="J57" s="133" t="inlineStr">
        <is>
          <t>21</t>
        </is>
      </c>
      <c r="K57" s="133" t="n">
        <v>50000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에코타운2단지</t>
        </is>
      </c>
      <c r="B58" s="10" t="inlineStr">
        <is>
          <t>'04.11.</t>
        </is>
      </c>
      <c r="C58" s="132" t="n">
        <v>488</v>
      </c>
      <c r="D58" s="130" t="n">
        <v>112</v>
      </c>
      <c r="E58" s="131" t="n">
        <v>34</v>
      </c>
      <c r="F58" s="130" t="n">
        <v>83</v>
      </c>
      <c r="G58" s="17" t="n">
        <v>25</v>
      </c>
      <c r="H58" s="132" t="n">
        <v>62</v>
      </c>
      <c r="I58" s="133" t="n">
        <v>91000</v>
      </c>
      <c r="J58" s="133" t="inlineStr">
        <is>
          <t>고</t>
        </is>
      </c>
      <c r="K58" s="133" t="n">
        <v>53000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호반써밋에듀파크</t>
        </is>
      </c>
      <c r="B60" s="10" t="inlineStr">
        <is>
          <t>'21.08.</t>
        </is>
      </c>
      <c r="C60" s="132" t="n">
        <v>999</v>
      </c>
      <c r="D60" s="130" t="n">
        <v>81.8</v>
      </c>
      <c r="E60" s="131" t="n">
        <v>25</v>
      </c>
      <c r="F60" s="130" t="n">
        <v>59.9</v>
      </c>
      <c r="G60" s="17" t="n">
        <v>18</v>
      </c>
      <c r="H60" s="132" t="n">
        <v>335</v>
      </c>
      <c r="I60" s="133" t="n">
        <v>90000</v>
      </c>
      <c r="J60" s="133" t="inlineStr">
        <is>
          <t>고</t>
        </is>
      </c>
      <c r="K60" s="133" t="n">
        <v>58000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81A-1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호반써밋에듀파크</t>
        </is>
      </c>
      <c r="B61" s="10" t="inlineStr">
        <is>
          <t>'21.08.</t>
        </is>
      </c>
      <c r="C61" s="132" t="n">
        <v>999</v>
      </c>
      <c r="D61" s="130" t="n">
        <v>81.40000000000001</v>
      </c>
      <c r="E61" s="131" t="n">
        <v>25</v>
      </c>
      <c r="F61" s="130" t="n">
        <v>59.6</v>
      </c>
      <c r="G61" s="17" t="n">
        <v>18</v>
      </c>
      <c r="H61" s="132" t="n">
        <v>290</v>
      </c>
      <c r="I61" s="133" t="n"/>
      <c r="J61" s="133" t="n"/>
      <c r="K61" s="133" t="n">
        <v>58000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81A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호반써밋에듀파크</t>
        </is>
      </c>
      <c r="B62" s="10" t="inlineStr">
        <is>
          <t>'21.08.</t>
        </is>
      </c>
      <c r="C62" s="132" t="n">
        <v>999</v>
      </c>
      <c r="D62" s="130" t="n">
        <v>81.8</v>
      </c>
      <c r="E62" s="131" t="n">
        <v>25</v>
      </c>
      <c r="F62" s="130" t="n">
        <v>59.9</v>
      </c>
      <c r="G62" s="17" t="n">
        <v>18</v>
      </c>
      <c r="H62" s="132" t="n">
        <v>118</v>
      </c>
      <c r="I62" s="133" t="n">
        <v>90000</v>
      </c>
      <c r="J62" s="133" t="inlineStr">
        <is>
          <t>고</t>
        </is>
      </c>
      <c r="K62" s="133" t="n">
        <v>58000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81A-2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호반써밋에듀파크</t>
        </is>
      </c>
      <c r="B63" s="10" t="inlineStr">
        <is>
          <t>'21.08.</t>
        </is>
      </c>
      <c r="C63" s="132" t="n">
        <v>999</v>
      </c>
      <c r="D63" s="130" t="n">
        <v>82.8</v>
      </c>
      <c r="E63" s="131" t="n">
        <v>25</v>
      </c>
      <c r="F63" s="130" t="n">
        <v>59.9</v>
      </c>
      <c r="G63" s="17" t="n">
        <v>18</v>
      </c>
      <c r="H63" s="132" t="n">
        <v>110</v>
      </c>
      <c r="I63" s="133" t="n"/>
      <c r="J63" s="133" t="n"/>
      <c r="K63" s="133" t="n">
        <v>63000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82C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호반써밋에듀파크</t>
        </is>
      </c>
      <c r="B64" s="10" t="inlineStr">
        <is>
          <t>'21.08.</t>
        </is>
      </c>
      <c r="C64" s="132" t="n">
        <v>999</v>
      </c>
      <c r="D64" s="130" t="n">
        <v>83.59999999999999</v>
      </c>
      <c r="E64" s="131" t="n">
        <v>25</v>
      </c>
      <c r="F64" s="130" t="n">
        <v>60</v>
      </c>
      <c r="G64" s="17" t="n">
        <v>18</v>
      </c>
      <c r="H64" s="132" t="n">
        <v>146</v>
      </c>
      <c r="I64" s="133" t="n"/>
      <c r="J64" s="133" t="n"/>
      <c r="K64" s="133" t="n">
        <v>58000</v>
      </c>
      <c r="L64" s="133" t="inlineStr">
        <is>
          <t>21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83B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n"/>
      <c r="B65" s="120" t="n"/>
      <c r="C65" s="6" t="n"/>
      <c r="D65" s="9" t="n"/>
      <c r="E65" s="14" t="n"/>
      <c r="F65" s="130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5" t="n"/>
      <c r="P65" s="135" t="n"/>
      <c r="Q65" s="131" t="n"/>
      <c r="R65" s="131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5">
        <f>IF(E65="","",E65)</f>
        <v/>
      </c>
      <c r="AJ65" s="120" t="n"/>
      <c r="AK65" s="120" t="n"/>
      <c r="AL65" s="120" t="n"/>
      <c r="AM65" s="120" t="n"/>
      <c r="AN65" s="120" t="n"/>
      <c r="AO65" s="120" t="n"/>
      <c r="AP65" s="120" t="n"/>
      <c r="AQ65" s="120" t="n"/>
      <c r="AR65" s="120" t="n"/>
      <c r="AS65" s="120" t="n"/>
      <c r="AT65" s="120" t="n"/>
      <c r="AU65" s="120" t="n"/>
      <c r="AV65" s="120" t="n"/>
    </row>
    <row r="66">
      <c r="A66" s="9" t="inlineStr">
        <is>
          <t>하남유니온시티에일린의뜰</t>
        </is>
      </c>
      <c r="B66" s="10" t="inlineStr">
        <is>
          <t>'17.08.</t>
        </is>
      </c>
      <c r="C66" s="132" t="n">
        <v>754</v>
      </c>
      <c r="D66" s="130" t="n">
        <v>98.7</v>
      </c>
      <c r="E66" s="131" t="n">
        <v>30</v>
      </c>
      <c r="F66" s="130" t="n">
        <v>75</v>
      </c>
      <c r="G66" s="17" t="n">
        <v>23</v>
      </c>
      <c r="H66" s="132" t="n">
        <v>190</v>
      </c>
      <c r="I66" s="133" t="n">
        <v>92000</v>
      </c>
      <c r="J66" s="133" t="inlineStr">
        <is>
          <t>6</t>
        </is>
      </c>
      <c r="K66" s="133" t="n">
        <v>60000</v>
      </c>
      <c r="L66" s="133" t="inlineStr">
        <is>
          <t>9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98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하남유니온시티에일린의뜰</t>
        </is>
      </c>
      <c r="B67" s="10" t="inlineStr">
        <is>
          <t>'17.08.</t>
        </is>
      </c>
      <c r="C67" s="132" t="n">
        <v>754</v>
      </c>
      <c r="D67" s="130" t="n">
        <v>111.7</v>
      </c>
      <c r="E67" s="131" t="n">
        <v>34</v>
      </c>
      <c r="F67" s="130" t="n">
        <v>85</v>
      </c>
      <c r="G67" s="17" t="n">
        <v>26</v>
      </c>
      <c r="H67" s="132" t="n">
        <v>187</v>
      </c>
      <c r="I67" s="133" t="n">
        <v>103000</v>
      </c>
      <c r="J67" s="133" t="inlineStr">
        <is>
          <t>10</t>
        </is>
      </c>
      <c r="K67" s="133" t="n">
        <v>67000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111B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하남유니온시티에일린의뜰</t>
        </is>
      </c>
      <c r="B68" s="10" t="inlineStr">
        <is>
          <t>'17.08.</t>
        </is>
      </c>
      <c r="C68" s="132" t="n">
        <v>754</v>
      </c>
      <c r="D68" s="130" t="n">
        <v>112</v>
      </c>
      <c r="E68" s="131" t="n">
        <v>34</v>
      </c>
      <c r="F68" s="130" t="n">
        <v>85</v>
      </c>
      <c r="G68" s="17" t="n">
        <v>26</v>
      </c>
      <c r="H68" s="132" t="n">
        <v>189</v>
      </c>
      <c r="I68" s="133" t="n">
        <v>109000</v>
      </c>
      <c r="J68" s="133" t="inlineStr">
        <is>
          <t>15</t>
        </is>
      </c>
      <c r="K68" s="133" t="n">
        <v>70000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112C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하남유니온시티에일린의뜰</t>
        </is>
      </c>
      <c r="B69" s="10" t="inlineStr">
        <is>
          <t>'17.08.</t>
        </is>
      </c>
      <c r="C69" s="132" t="n">
        <v>754</v>
      </c>
      <c r="D69" s="130" t="n">
        <v>112.2</v>
      </c>
      <c r="E69" s="131" t="n">
        <v>34</v>
      </c>
      <c r="F69" s="130" t="n">
        <v>85</v>
      </c>
      <c r="G69" s="17" t="n">
        <v>26</v>
      </c>
      <c r="H69" s="132" t="n">
        <v>188</v>
      </c>
      <c r="I69" s="133" t="n">
        <v>105000</v>
      </c>
      <c r="J69" s="133" t="inlineStr">
        <is>
          <t>고</t>
        </is>
      </c>
      <c r="K69" s="133" t="n">
        <v>72000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112A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한국</t>
        </is>
      </c>
      <c r="B71" s="10" t="inlineStr">
        <is>
          <t>'96.08.</t>
        </is>
      </c>
      <c r="C71" s="132" t="n">
        <v>848</v>
      </c>
      <c r="D71" s="130" t="n">
        <v>60.9</v>
      </c>
      <c r="E71" s="131" t="n">
        <v>18</v>
      </c>
      <c r="F71" s="130" t="n">
        <v>44.6</v>
      </c>
      <c r="G71" s="17" t="n">
        <v>13</v>
      </c>
      <c r="H71" s="132" t="n">
        <v>128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1</v>
      </c>
      <c r="S71" s="120" t="inlineStr">
        <is>
          <t>복</t>
        </is>
      </c>
      <c r="T71" s="5" t="n">
        <v>60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한국</t>
        </is>
      </c>
      <c r="B72" s="10" t="inlineStr">
        <is>
          <t>'96.08.</t>
        </is>
      </c>
      <c r="C72" s="132" t="n">
        <v>848</v>
      </c>
      <c r="D72" s="130" t="n">
        <v>78</v>
      </c>
      <c r="E72" s="131" t="n">
        <v>24</v>
      </c>
      <c r="F72" s="130" t="n">
        <v>59.9</v>
      </c>
      <c r="G72" s="17" t="n">
        <v>18</v>
      </c>
      <c r="H72" s="132" t="n">
        <v>720</v>
      </c>
      <c r="I72" s="133" t="n">
        <v>61000</v>
      </c>
      <c r="J72" s="133" t="inlineStr">
        <is>
          <t>15</t>
        </is>
      </c>
      <c r="K72" s="133" t="n">
        <v>34000</v>
      </c>
      <c r="L72" s="133" t="inlineStr">
        <is>
          <t>17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78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n"/>
      <c r="B73" s="120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5">
        <f>IF(E73="","",E73)</f>
        <v/>
      </c>
      <c r="AJ73" s="120" t="n"/>
      <c r="AK73" s="120" t="n"/>
      <c r="AL73" s="120" t="n"/>
      <c r="AM73" s="120" t="n"/>
      <c r="AN73" s="120" t="n"/>
      <c r="AO73" s="120" t="n"/>
      <c r="AP73" s="120" t="n"/>
      <c r="AQ73" s="120" t="n"/>
      <c r="AR73" s="120" t="n"/>
      <c r="AS73" s="120" t="n"/>
      <c r="AT73" s="120" t="n"/>
      <c r="AU73" s="120" t="n"/>
      <c r="AV73" s="120" t="n"/>
    </row>
    <row r="74">
      <c r="A74" s="9" t="inlineStr">
        <is>
          <t>더우개마을동일</t>
        </is>
      </c>
      <c r="B74" s="10" t="inlineStr">
        <is>
          <t>'99.09.</t>
        </is>
      </c>
      <c r="C74" s="132" t="n">
        <v>438</v>
      </c>
      <c r="D74" s="130" t="n">
        <v>64</v>
      </c>
      <c r="E74" s="131" t="n">
        <v>19</v>
      </c>
      <c r="F74" s="130" t="n">
        <v>45</v>
      </c>
      <c r="G74" s="17" t="n">
        <v>14</v>
      </c>
      <c r="H74" s="132" t="n">
        <v>51</v>
      </c>
      <c r="I74" s="133" t="n">
        <v>55000</v>
      </c>
      <c r="J74" s="133" t="inlineStr">
        <is>
          <t>중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2</v>
      </c>
      <c r="R74" s="120" t="n">
        <v>1</v>
      </c>
      <c r="S74" s="120" t="inlineStr">
        <is>
          <t>계</t>
        </is>
      </c>
      <c r="T74" s="5" t="n">
        <v>63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더우개마을동일</t>
        </is>
      </c>
      <c r="B75" s="10" t="inlineStr">
        <is>
          <t>'99.09.</t>
        </is>
      </c>
      <c r="C75" s="132" t="n">
        <v>438</v>
      </c>
      <c r="D75" s="130" t="n">
        <v>79</v>
      </c>
      <c r="E75" s="131" t="n">
        <v>24</v>
      </c>
      <c r="F75" s="130" t="n">
        <v>60</v>
      </c>
      <c r="G75" s="17" t="n">
        <v>18</v>
      </c>
      <c r="H75" s="132" t="n">
        <v>80</v>
      </c>
      <c r="I75" s="133" t="n">
        <v>68000</v>
      </c>
      <c r="J75" s="133" t="inlineStr">
        <is>
          <t>19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1</v>
      </c>
      <c r="S75" s="120" t="inlineStr">
        <is>
          <t>계</t>
        </is>
      </c>
      <c r="T75" s="5" t="n">
        <v>78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더우개마을동일</t>
        </is>
      </c>
      <c r="B76" s="10" t="inlineStr">
        <is>
          <t>'99.09.</t>
        </is>
      </c>
      <c r="C76" s="132" t="n">
        <v>438</v>
      </c>
      <c r="D76" s="130" t="n">
        <v>106.3</v>
      </c>
      <c r="E76" s="131" t="n">
        <v>32</v>
      </c>
      <c r="F76" s="130" t="n">
        <v>84.90000000000001</v>
      </c>
      <c r="G76" s="17" t="n">
        <v>26</v>
      </c>
      <c r="H76" s="132" t="n">
        <v>147</v>
      </c>
      <c r="I76" s="133" t="n">
        <v>73000</v>
      </c>
      <c r="J76" s="133" t="inlineStr">
        <is>
          <t>9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더우개마을동일</t>
        </is>
      </c>
      <c r="B77" s="10" t="inlineStr">
        <is>
          <t>'99.09.</t>
        </is>
      </c>
      <c r="C77" s="132" t="n">
        <v>438</v>
      </c>
      <c r="D77" s="130" t="n">
        <v>158.5</v>
      </c>
      <c r="E77" s="131" t="n">
        <v>48</v>
      </c>
      <c r="F77" s="130" t="n">
        <v>134.2</v>
      </c>
      <c r="G77" s="17" t="n">
        <v>41</v>
      </c>
      <c r="H77" s="132" t="n">
        <v>80</v>
      </c>
      <c r="I77" s="133" t="n">
        <v>85000</v>
      </c>
      <c r="J77" s="133" t="inlineStr">
        <is>
          <t>중</t>
        </is>
      </c>
      <c r="K77" s="133" t="n">
        <v>65000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158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더우개마을동일</t>
        </is>
      </c>
      <c r="B78" s="10" t="inlineStr">
        <is>
          <t>'99.09.</t>
        </is>
      </c>
      <c r="C78" s="132" t="n">
        <v>438</v>
      </c>
      <c r="D78" s="130" t="n">
        <v>204.7</v>
      </c>
      <c r="E78" s="131" t="n">
        <v>62</v>
      </c>
      <c r="F78" s="130" t="n">
        <v>168.7</v>
      </c>
      <c r="G78" s="17" t="n">
        <v>51</v>
      </c>
      <c r="H78" s="132" t="n">
        <v>40</v>
      </c>
      <c r="I78" s="133" t="n">
        <v>110000</v>
      </c>
      <c r="J78" s="133" t="inlineStr">
        <is>
          <t>9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4</v>
      </c>
      <c r="R78" s="120" t="n">
        <v>2</v>
      </c>
      <c r="S78" s="120" t="inlineStr">
        <is>
          <t>계</t>
        </is>
      </c>
      <c r="T78" s="5" t="n">
        <v>204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더우개마을동일</t>
        </is>
      </c>
      <c r="B79" s="10" t="inlineStr">
        <is>
          <t>'99.09.</t>
        </is>
      </c>
      <c r="C79" s="132" t="n">
        <v>438</v>
      </c>
      <c r="D79" s="130" t="n">
        <v>219.7</v>
      </c>
      <c r="E79" s="131" t="n">
        <v>66</v>
      </c>
      <c r="F79" s="130" t="n">
        <v>181.6</v>
      </c>
      <c r="G79" s="17" t="n">
        <v>55</v>
      </c>
      <c r="H79" s="132" t="n">
        <v>40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219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 N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9">
    <cfRule type="expression" priority="1180" dxfId="23">
      <formula>AV9="X"</formula>
    </cfRule>
    <cfRule type="expression" priority="1181" dxfId="22">
      <formula>AV9="후보"</formula>
    </cfRule>
  </conditionalFormatting>
  <conditionalFormatting sqref="AC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9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 N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2">
    <cfRule type="expression" priority="1137" dxfId="23">
      <formula>AV12="X"</formula>
    </cfRule>
    <cfRule type="expression" priority="1138" dxfId="22">
      <formula>AV12="후보"</formula>
    </cfRule>
  </conditionalFormatting>
  <conditionalFormatting sqref="AC1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23">
      <formula>AV13="X"</formula>
    </cfRule>
    <cfRule type="expression" priority="1119" dxfId="22">
      <formula>AV13="후보"</formula>
    </cfRule>
  </conditionalFormatting>
  <conditionalFormatting sqref="AC1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 N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9">
    <cfRule type="expression" priority="1018" dxfId="23">
      <formula>AV19="X"</formula>
    </cfRule>
    <cfRule type="expression" priority="1019" dxfId="22">
      <formula>AV19="후보"</formula>
    </cfRule>
  </conditionalFormatting>
  <conditionalFormatting sqref="AC1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23">
      <formula>AV20="X"</formula>
    </cfRule>
    <cfRule type="expression" priority="1000" dxfId="22">
      <formula>AV20="후보"</formula>
    </cfRule>
  </conditionalFormatting>
  <conditionalFormatting sqref="AC2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0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23">
      <formula>AV21="X"</formula>
    </cfRule>
    <cfRule type="expression" priority="981" dxfId="22">
      <formula>AV21="후보"</formula>
    </cfRule>
  </conditionalFormatting>
  <conditionalFormatting sqref="AC21 N21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22">
    <cfRule type="expression" priority="975" dxfId="23">
      <formula>AV22="X"</formula>
    </cfRule>
    <cfRule type="expression" priority="976" dxfId="22">
      <formula>AV22="후보"</formula>
    </cfRule>
  </conditionalFormatting>
  <conditionalFormatting sqref="AC2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23">
      <formula>AV23="X"</formula>
    </cfRule>
    <cfRule type="expression" priority="957" dxfId="22">
      <formula>AV23="후보"</formula>
    </cfRule>
  </conditionalFormatting>
  <conditionalFormatting sqref="AC23 N2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24">
    <cfRule type="expression" priority="951" dxfId="23">
      <formula>AV24="X"</formula>
    </cfRule>
    <cfRule type="expression" priority="952" dxfId="22">
      <formula>AV24="후보"</formula>
    </cfRule>
  </conditionalFormatting>
  <conditionalFormatting sqref="AC24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4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23">
      <formula>AV25="X"</formula>
    </cfRule>
    <cfRule type="expression" priority="933" dxfId="22">
      <formula>AV25="후보"</formula>
    </cfRule>
  </conditionalFormatting>
  <conditionalFormatting sqref="AC25 N25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26">
    <cfRule type="expression" priority="927" dxfId="23">
      <formula>AV26="X"</formula>
    </cfRule>
    <cfRule type="expression" priority="928" dxfId="22">
      <formula>AV26="후보"</formula>
    </cfRule>
  </conditionalFormatting>
  <conditionalFormatting sqref="AC2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2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23">
      <formula>AV27="X"</formula>
    </cfRule>
    <cfRule type="expression" priority="909" dxfId="22">
      <formula>AV27="후보"</formula>
    </cfRule>
  </conditionalFormatting>
  <conditionalFormatting sqref="AC2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23">
      <formula>AV28="X"</formula>
    </cfRule>
    <cfRule type="expression" priority="890" dxfId="22">
      <formula>AV28="후보"</formula>
    </cfRule>
  </conditionalFormatting>
  <conditionalFormatting sqref="AC2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23">
      <formula>AV29="X"</formula>
    </cfRule>
    <cfRule type="expression" priority="871" dxfId="22">
      <formula>AV29="후보"</formula>
    </cfRule>
  </conditionalFormatting>
  <conditionalFormatting sqref="AC2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9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23">
      <formula>AV30="X"</formula>
    </cfRule>
    <cfRule type="expression" priority="852" dxfId="22">
      <formula>AV30="후보"</formula>
    </cfRule>
  </conditionalFormatting>
  <conditionalFormatting sqref="AC30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0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23">
      <formula>AV31="X"</formula>
    </cfRule>
    <cfRule type="expression" priority="833" dxfId="22">
      <formula>AV31="후보"</formula>
    </cfRule>
  </conditionalFormatting>
  <conditionalFormatting sqref="AC31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1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23">
      <formula>AV32="X"</formula>
    </cfRule>
    <cfRule type="expression" priority="814" dxfId="22">
      <formula>AV32="후보"</formula>
    </cfRule>
  </conditionalFormatting>
  <conditionalFormatting sqref="AC3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2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23">
      <formula>AV33="X"</formula>
    </cfRule>
    <cfRule type="expression" priority="795" dxfId="22">
      <formula>AV33="후보"</formula>
    </cfRule>
  </conditionalFormatting>
  <conditionalFormatting sqref="AC3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23">
      <formula>AV34="X"</formula>
    </cfRule>
    <cfRule type="expression" priority="776" dxfId="22">
      <formula>AV34="후보"</formula>
    </cfRule>
  </conditionalFormatting>
  <conditionalFormatting sqref="AC3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4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23">
      <formula>AV35="X"</formula>
    </cfRule>
    <cfRule type="expression" priority="757" dxfId="22">
      <formula>AV35="후보"</formula>
    </cfRule>
  </conditionalFormatting>
  <conditionalFormatting sqref="AC3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23">
      <formula>AV36="X"</formula>
    </cfRule>
    <cfRule type="expression" priority="738" dxfId="22">
      <formula>AV36="후보"</formula>
    </cfRule>
  </conditionalFormatting>
  <conditionalFormatting sqref="AC3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23">
      <formula>AV37="X"</formula>
    </cfRule>
    <cfRule type="expression" priority="719" dxfId="22">
      <formula>AV37="후보"</formula>
    </cfRule>
  </conditionalFormatting>
  <conditionalFormatting sqref="AC3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 N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3">
    <cfRule type="expression" priority="618" dxfId="23">
      <formula>AV43="X"</formula>
    </cfRule>
    <cfRule type="expression" priority="619" dxfId="22">
      <formula>AV43="후보"</formula>
    </cfRule>
  </conditionalFormatting>
  <conditionalFormatting sqref="AC4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23">
      <formula>AV44="X"</formula>
    </cfRule>
    <cfRule type="expression" priority="600" dxfId="22">
      <formula>AV44="후보"</formula>
    </cfRule>
  </conditionalFormatting>
  <conditionalFormatting sqref="AC4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 N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46">
    <cfRule type="expression" priority="575" dxfId="23">
      <formula>AV46="X"</formula>
    </cfRule>
    <cfRule type="expression" priority="576" dxfId="22">
      <formula>AV46="후보"</formula>
    </cfRule>
  </conditionalFormatting>
  <conditionalFormatting sqref="AC4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23">
      <formula>AV47="X"</formula>
    </cfRule>
    <cfRule type="expression" priority="557" dxfId="22">
      <formula>AV47="후보"</formula>
    </cfRule>
  </conditionalFormatting>
  <conditionalFormatting sqref="AC4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23">
      <formula>AV48="X"</formula>
    </cfRule>
    <cfRule type="expression" priority="538" dxfId="22">
      <formula>AV48="후보"</formula>
    </cfRule>
  </conditionalFormatting>
  <conditionalFormatting sqref="AC4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23">
      <formula>AV49="X"</formula>
    </cfRule>
    <cfRule type="expression" priority="519" dxfId="22">
      <formula>AV49="후보"</formula>
    </cfRule>
  </conditionalFormatting>
  <conditionalFormatting sqref="AC4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23">
      <formula>AV54="X"</formula>
    </cfRule>
    <cfRule type="expression" priority="424" dxfId="22">
      <formula>AV54="후보"</formula>
    </cfRule>
  </conditionalFormatting>
  <conditionalFormatting sqref="AC54 N5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23">
      <formula>AV59="X"</formula>
    </cfRule>
    <cfRule type="expression" priority="343" dxfId="22">
      <formula>AV59="후보"</formula>
    </cfRule>
  </conditionalFormatting>
  <conditionalFormatting sqref="AC59 N5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23">
      <formula>AV62="X"</formula>
    </cfRule>
    <cfRule type="expression" priority="300" dxfId="22">
      <formula>AV62="후보"</formula>
    </cfRule>
  </conditionalFormatting>
  <conditionalFormatting sqref="AC6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23">
      <formula>AV63="X"</formula>
    </cfRule>
    <cfRule type="expression" priority="281" dxfId="22">
      <formula>AV63="후보"</formula>
    </cfRule>
  </conditionalFormatting>
  <conditionalFormatting sqref="AC6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23">
      <formula>AV64="X"</formula>
    </cfRule>
    <cfRule type="expression" priority="262" dxfId="22">
      <formula>AV64="후보"</formula>
    </cfRule>
  </conditionalFormatting>
  <conditionalFormatting sqref="AC6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23">
      <formula>AV65="X"</formula>
    </cfRule>
    <cfRule type="expression" priority="243" dxfId="22">
      <formula>AV65="후보"</formula>
    </cfRule>
  </conditionalFormatting>
  <conditionalFormatting sqref="AC65 N6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 N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4">
    <cfRule type="expression" priority="113" dxfId="23">
      <formula>AV74="X"</formula>
    </cfRule>
    <cfRule type="expression" priority="114" dxfId="22">
      <formula>AV74="후보"</formula>
    </cfRule>
  </conditionalFormatting>
  <conditionalFormatting sqref="AC7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23">
      <formula>AV75="X"</formula>
    </cfRule>
    <cfRule type="expression" priority="95" dxfId="22">
      <formula>AV75="후보"</formula>
    </cfRule>
  </conditionalFormatting>
  <conditionalFormatting sqref="AC7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23">
      <formula>AV76="X"</formula>
    </cfRule>
    <cfRule type="expression" priority="76" dxfId="22">
      <formula>AV76="후보"</formula>
    </cfRule>
  </conditionalFormatting>
  <conditionalFormatting sqref="AC7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은행</t>
        </is>
      </c>
      <c r="B6" s="10" t="inlineStr">
        <is>
          <t>'94.05.</t>
        </is>
      </c>
      <c r="C6" s="132" t="n">
        <v>1360</v>
      </c>
      <c r="D6" s="130" t="n">
        <v>124.5</v>
      </c>
      <c r="E6" s="131" t="n">
        <v>38</v>
      </c>
      <c r="F6" s="130" t="n">
        <v>102</v>
      </c>
      <c r="G6" s="17" t="n">
        <v>31</v>
      </c>
      <c r="H6" s="132" t="n">
        <v>400</v>
      </c>
      <c r="I6" s="133" t="n">
        <v>90000</v>
      </c>
      <c r="J6" s="133" t="inlineStr">
        <is>
          <t>11</t>
        </is>
      </c>
      <c r="K6" s="133" t="n">
        <v>55000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124A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은행</t>
        </is>
      </c>
      <c r="B7" s="10" t="inlineStr">
        <is>
          <t>'94.05.</t>
        </is>
      </c>
      <c r="C7" s="132" t="n">
        <v>1360</v>
      </c>
      <c r="D7" s="130" t="n">
        <v>124.5</v>
      </c>
      <c r="E7" s="131" t="n">
        <v>38</v>
      </c>
      <c r="F7" s="130" t="n">
        <v>102</v>
      </c>
      <c r="G7" s="17" t="n">
        <v>31</v>
      </c>
      <c r="H7" s="132" t="n">
        <v>400</v>
      </c>
      <c r="I7" s="133" t="n">
        <v>90000</v>
      </c>
      <c r="J7" s="133" t="inlineStr">
        <is>
          <t>11</t>
        </is>
      </c>
      <c r="K7" s="133" t="n">
        <v>55000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은행</t>
        </is>
      </c>
      <c r="B8" s="10" t="inlineStr">
        <is>
          <t>'94.05.</t>
        </is>
      </c>
      <c r="C8" s="132" t="n">
        <v>1360</v>
      </c>
      <c r="D8" s="130" t="n">
        <v>159</v>
      </c>
      <c r="E8" s="131" t="n">
        <v>48</v>
      </c>
      <c r="F8" s="130" t="n">
        <v>135</v>
      </c>
      <c r="G8" s="17" t="n">
        <v>41</v>
      </c>
      <c r="H8" s="132" t="n">
        <v>280</v>
      </c>
      <c r="I8" s="133" t="n">
        <v>100000</v>
      </c>
      <c r="J8" s="133" t="inlineStr">
        <is>
          <t>18</t>
        </is>
      </c>
      <c r="K8" s="133" t="n">
        <v>70000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158A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은행</t>
        </is>
      </c>
      <c r="B9" s="10" t="inlineStr">
        <is>
          <t>'94.05.</t>
        </is>
      </c>
      <c r="C9" s="132" t="n">
        <v>1360</v>
      </c>
      <c r="D9" s="130" t="n">
        <v>158.9</v>
      </c>
      <c r="E9" s="131" t="n">
        <v>48</v>
      </c>
      <c r="F9" s="130" t="n">
        <v>135</v>
      </c>
      <c r="G9" s="17" t="n">
        <v>41</v>
      </c>
      <c r="H9" s="132" t="n">
        <v>280</v>
      </c>
      <c r="I9" s="133" t="n">
        <v>104000</v>
      </c>
      <c r="J9" s="133" t="inlineStr">
        <is>
          <t>5</t>
        </is>
      </c>
      <c r="K9" s="133" t="n">
        <v>65000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inlineStr">
        <is>
          <t>158B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부영</t>
        </is>
      </c>
      <c r="B11" s="10" t="inlineStr">
        <is>
          <t>'94.12.</t>
        </is>
      </c>
      <c r="C11" s="132" t="n">
        <v>2055</v>
      </c>
      <c r="D11" s="130" t="n">
        <v>67.40000000000001</v>
      </c>
      <c r="E11" s="131" t="n">
        <v>20</v>
      </c>
      <c r="F11" s="130" t="n">
        <v>49.6</v>
      </c>
      <c r="G11" s="17" t="n">
        <v>15</v>
      </c>
      <c r="H11" s="132" t="n">
        <v>1140</v>
      </c>
      <c r="I11" s="133" t="n">
        <v>52000</v>
      </c>
      <c r="J11" s="133" t="inlineStr">
        <is>
          <t>8</t>
        </is>
      </c>
      <c r="K11" s="133" t="n">
        <v>30000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67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부영</t>
        </is>
      </c>
      <c r="B12" s="10" t="inlineStr">
        <is>
          <t>'94.12.</t>
        </is>
      </c>
      <c r="C12" s="132" t="n">
        <v>2055</v>
      </c>
      <c r="D12" s="130" t="n">
        <v>81.59999999999999</v>
      </c>
      <c r="E12" s="131" t="n">
        <v>25</v>
      </c>
      <c r="F12" s="130" t="n">
        <v>60</v>
      </c>
      <c r="G12" s="17" t="n">
        <v>18</v>
      </c>
      <c r="H12" s="132" t="n">
        <v>915</v>
      </c>
      <c r="I12" s="133" t="n">
        <v>67000</v>
      </c>
      <c r="J12" s="133" t="inlineStr">
        <is>
          <t>10</t>
        </is>
      </c>
      <c r="K12" s="133" t="n">
        <v>35000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복</t>
        </is>
      </c>
      <c r="T12" s="5" t="n">
        <v>81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꿈동산신안</t>
        </is>
      </c>
      <c r="B14" s="10" t="inlineStr">
        <is>
          <t>'94.12.</t>
        </is>
      </c>
      <c r="C14" s="132" t="n">
        <v>1704</v>
      </c>
      <c r="D14" s="130" t="n">
        <v>107.7</v>
      </c>
      <c r="E14" s="131" t="n">
        <v>33</v>
      </c>
      <c r="F14" s="130" t="n">
        <v>85</v>
      </c>
      <c r="G14" s="17" t="n">
        <v>26</v>
      </c>
      <c r="H14" s="132" t="n">
        <v>1206</v>
      </c>
      <c r="I14" s="133" t="n">
        <v>70000</v>
      </c>
      <c r="J14" s="133" t="inlineStr">
        <is>
          <t>15</t>
        </is>
      </c>
      <c r="K14" s="133" t="n">
        <v>48000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107S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꿈동산신안</t>
        </is>
      </c>
      <c r="B15" s="10" t="inlineStr">
        <is>
          <t>'94.12.</t>
        </is>
      </c>
      <c r="C15" s="132" t="n">
        <v>1704</v>
      </c>
      <c r="D15" s="130" t="n">
        <v>107.7</v>
      </c>
      <c r="E15" s="131" t="n">
        <v>33</v>
      </c>
      <c r="F15" s="130" t="n">
        <v>84.90000000000001</v>
      </c>
      <c r="G15" s="17" t="n">
        <v>26</v>
      </c>
      <c r="H15" s="132" t="n">
        <v>498</v>
      </c>
      <c r="I15" s="133" t="n">
        <v>75000</v>
      </c>
      <c r="J15" s="133" t="inlineStr">
        <is>
          <t>17</t>
        </is>
      </c>
      <c r="K15" s="133" t="n">
        <v>49000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23">
      <formula>AV10="X"</formula>
    </cfRule>
    <cfRule type="expression" priority="86" dxfId="22">
      <formula>AV10="후보"</formula>
    </cfRule>
  </conditionalFormatting>
  <conditionalFormatting sqref="AC10 N1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미사강변센트럴풍경채</t>
        </is>
      </c>
      <c r="B6" s="10" t="inlineStr">
        <is>
          <t>'19.01.</t>
        </is>
      </c>
      <c r="C6" s="132" t="n">
        <v>726</v>
      </c>
      <c r="D6" s="130" t="n">
        <v>109.2</v>
      </c>
      <c r="E6" s="131" t="n">
        <v>33</v>
      </c>
      <c r="F6" s="130" t="n">
        <v>84.90000000000001</v>
      </c>
      <c r="G6" s="17" t="n">
        <v>26</v>
      </c>
      <c r="H6" s="132" t="n">
        <v>388</v>
      </c>
      <c r="I6" s="133" t="n">
        <v>107000</v>
      </c>
      <c r="J6" s="133" t="inlineStr">
        <is>
          <t>고</t>
        </is>
      </c>
      <c r="K6" s="133" t="n">
        <v>50000</v>
      </c>
      <c r="L6" s="133" t="inlineStr">
        <is>
          <t>26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미사강변센트럴풍경채</t>
        </is>
      </c>
      <c r="B7" s="10" t="inlineStr">
        <is>
          <t>'19.01.</t>
        </is>
      </c>
      <c r="C7" s="132" t="n">
        <v>726</v>
      </c>
      <c r="D7" s="130" t="n">
        <v>123.3</v>
      </c>
      <c r="E7" s="131" t="n">
        <v>37</v>
      </c>
      <c r="F7" s="130" t="n">
        <v>97.3</v>
      </c>
      <c r="G7" s="17" t="n">
        <v>29</v>
      </c>
      <c r="H7" s="132" t="n">
        <v>229</v>
      </c>
      <c r="I7" s="133" t="n">
        <v>125000</v>
      </c>
      <c r="J7" s="133" t="inlineStr">
        <is>
          <t>16</t>
        </is>
      </c>
      <c r="K7" s="133" t="n">
        <v>80000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미사강변센트럴풍경채</t>
        </is>
      </c>
      <c r="B8" s="10" t="inlineStr">
        <is>
          <t>'19.01.</t>
        </is>
      </c>
      <c r="C8" s="132" t="n">
        <v>726</v>
      </c>
      <c r="D8" s="130" t="n">
        <v>124.3</v>
      </c>
      <c r="E8" s="131" t="n">
        <v>38</v>
      </c>
      <c r="F8" s="130" t="n">
        <v>97.7</v>
      </c>
      <c r="G8" s="17" t="n">
        <v>30</v>
      </c>
      <c r="H8" s="132" t="n">
        <v>109</v>
      </c>
      <c r="I8" s="133" t="n">
        <v>115000</v>
      </c>
      <c r="J8" s="133" t="inlineStr">
        <is>
          <t>고</t>
        </is>
      </c>
      <c r="K8" s="133" t="n">
        <v>75000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124B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미사강변동일하이빌</t>
        </is>
      </c>
      <c r="B10" s="10" t="inlineStr">
        <is>
          <t>'18.02.</t>
        </is>
      </c>
      <c r="C10" s="132" t="n">
        <v>655</v>
      </c>
      <c r="D10" s="130" t="n">
        <v>81.2</v>
      </c>
      <c r="E10" s="131" t="n">
        <v>25</v>
      </c>
      <c r="F10" s="130" t="n">
        <v>59.9</v>
      </c>
      <c r="G10" s="17" t="n">
        <v>18</v>
      </c>
      <c r="H10" s="132" t="n">
        <v>260</v>
      </c>
      <c r="I10" s="133" t="n">
        <v>80000</v>
      </c>
      <c r="J10" s="133" t="inlineStr">
        <is>
          <t>6</t>
        </is>
      </c>
      <c r="K10" s="133" t="n">
        <v>50000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81A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미사강변동일하이빌</t>
        </is>
      </c>
      <c r="B11" s="10" t="inlineStr">
        <is>
          <t>'18.02.</t>
        </is>
      </c>
      <c r="C11" s="132" t="n">
        <v>655</v>
      </c>
      <c r="D11" s="130" t="n">
        <v>81.2</v>
      </c>
      <c r="E11" s="131" t="n">
        <v>25</v>
      </c>
      <c r="F11" s="130" t="n">
        <v>59.9</v>
      </c>
      <c r="G11" s="17" t="n">
        <v>18</v>
      </c>
      <c r="H11" s="132" t="n">
        <v>20</v>
      </c>
      <c r="I11" s="133" t="n">
        <v>80000</v>
      </c>
      <c r="J11" s="133" t="inlineStr">
        <is>
          <t>6</t>
        </is>
      </c>
      <c r="K11" s="133" t="n">
        <v>50000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81B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미사강변동일하이빌</t>
        </is>
      </c>
      <c r="B12" s="10" t="inlineStr">
        <is>
          <t>'18.02.</t>
        </is>
      </c>
      <c r="C12" s="132" t="n">
        <v>655</v>
      </c>
      <c r="D12" s="130" t="n">
        <v>101.6</v>
      </c>
      <c r="E12" s="131" t="n">
        <v>31</v>
      </c>
      <c r="F12" s="130" t="n">
        <v>74.90000000000001</v>
      </c>
      <c r="G12" s="17" t="n">
        <v>23</v>
      </c>
      <c r="H12" s="132" t="n">
        <v>72</v>
      </c>
      <c r="I12" s="133" t="n">
        <v>110000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미사강변동일하이빌</t>
        </is>
      </c>
      <c r="B13" s="10" t="inlineStr">
        <is>
          <t>'18.02.</t>
        </is>
      </c>
      <c r="C13" s="132" t="n">
        <v>655</v>
      </c>
      <c r="D13" s="130" t="n">
        <v>101.7</v>
      </c>
      <c r="E13" s="131" t="n">
        <v>31</v>
      </c>
      <c r="F13" s="130" t="n">
        <v>75</v>
      </c>
      <c r="G13" s="17" t="n">
        <v>23</v>
      </c>
      <c r="H13" s="132" t="n">
        <v>54</v>
      </c>
      <c r="I13" s="133" t="n">
        <v>95000</v>
      </c>
      <c r="J13" s="133" t="inlineStr">
        <is>
          <t>25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미사강변동일하이빌</t>
        </is>
      </c>
      <c r="B14" s="10" t="inlineStr">
        <is>
          <t>'18.02.</t>
        </is>
      </c>
      <c r="C14" s="132" t="n">
        <v>655</v>
      </c>
      <c r="D14" s="130" t="n">
        <v>115.2</v>
      </c>
      <c r="E14" s="131" t="n">
        <v>35</v>
      </c>
      <c r="F14" s="130" t="n">
        <v>85</v>
      </c>
      <c r="G14" s="17" t="n">
        <v>26</v>
      </c>
      <c r="H14" s="132" t="n">
        <v>176</v>
      </c>
      <c r="I14" s="133" t="n">
        <v>94000</v>
      </c>
      <c r="J14" s="133" t="inlineStr">
        <is>
          <t>13</t>
        </is>
      </c>
      <c r="K14" s="133" t="n">
        <v>65000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미사강변동일하이빌</t>
        </is>
      </c>
      <c r="B15" s="10" t="inlineStr">
        <is>
          <t>'18.02.</t>
        </is>
      </c>
      <c r="C15" s="132" t="n">
        <v>655</v>
      </c>
      <c r="D15" s="130" t="n">
        <v>115.2</v>
      </c>
      <c r="E15" s="131" t="n">
        <v>35</v>
      </c>
      <c r="F15" s="130" t="n">
        <v>84.90000000000001</v>
      </c>
      <c r="G15" s="17" t="n">
        <v>26</v>
      </c>
      <c r="H15" s="132" t="n">
        <v>73</v>
      </c>
      <c r="I15" s="133" t="n">
        <v>98000</v>
      </c>
      <c r="J15" s="133" t="inlineStr">
        <is>
          <t>중</t>
        </is>
      </c>
      <c r="K15" s="133" t="n">
        <v>55000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미사강변동원로얄듀크</t>
        </is>
      </c>
      <c r="B17" s="10" t="inlineStr">
        <is>
          <t>'16.04.</t>
        </is>
      </c>
      <c r="C17" s="132" t="n">
        <v>808</v>
      </c>
      <c r="D17" s="130" t="n">
        <v>99.90000000000001</v>
      </c>
      <c r="E17" s="131" t="n">
        <v>30</v>
      </c>
      <c r="F17" s="130" t="n">
        <v>74.7</v>
      </c>
      <c r="G17" s="17" t="n">
        <v>23</v>
      </c>
      <c r="H17" s="132" t="n">
        <v>208</v>
      </c>
      <c r="I17" s="133" t="n">
        <v>93000</v>
      </c>
      <c r="J17" s="133" t="inlineStr">
        <is>
          <t>고</t>
        </is>
      </c>
      <c r="K17" s="133" t="n">
        <v>65000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미사강변동원로얄듀크</t>
        </is>
      </c>
      <c r="B18" s="10" t="inlineStr">
        <is>
          <t>'16.04.</t>
        </is>
      </c>
      <c r="C18" s="132" t="n">
        <v>808</v>
      </c>
      <c r="D18" s="130" t="n">
        <v>112.5</v>
      </c>
      <c r="E18" s="131" t="n">
        <v>34</v>
      </c>
      <c r="F18" s="130" t="n">
        <v>84.40000000000001</v>
      </c>
      <c r="G18" s="17" t="n">
        <v>26</v>
      </c>
      <c r="H18" s="132" t="n">
        <v>599</v>
      </c>
      <c r="I18" s="133" t="n">
        <v>95000</v>
      </c>
      <c r="J18" s="133" t="inlineStr">
        <is>
          <t>6</t>
        </is>
      </c>
      <c r="K18" s="133" t="n">
        <v>60000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112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미사강변동원로얄듀크</t>
        </is>
      </c>
      <c r="B19" s="10" t="inlineStr">
        <is>
          <t>'16.04.</t>
        </is>
      </c>
      <c r="C19" s="132" t="n">
        <v>808</v>
      </c>
      <c r="D19" s="130" t="n">
        <v>112.5</v>
      </c>
      <c r="E19" s="131" t="n">
        <v>34</v>
      </c>
      <c r="F19" s="130" t="n">
        <v>84.40000000000001</v>
      </c>
      <c r="G19" s="17" t="n">
        <v>26</v>
      </c>
      <c r="H19" s="132" t="n">
        <v>1</v>
      </c>
      <c r="I19" s="133" t="n">
        <v>95000</v>
      </c>
      <c r="J19" s="133" t="inlineStr">
        <is>
          <t>6</t>
        </is>
      </c>
      <c r="K19" s="133" t="n">
        <v>60000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신안인스빌</t>
        </is>
      </c>
      <c r="B21" s="10" t="inlineStr">
        <is>
          <t>'19.01.</t>
        </is>
      </c>
      <c r="C21" s="132" t="n">
        <v>734</v>
      </c>
      <c r="D21" s="130" t="n">
        <v>110.6</v>
      </c>
      <c r="E21" s="131" t="n">
        <v>33</v>
      </c>
      <c r="F21" s="130" t="n">
        <v>84.3</v>
      </c>
      <c r="G21" s="17" t="n">
        <v>26</v>
      </c>
      <c r="H21" s="132" t="n">
        <v>390</v>
      </c>
      <c r="I21" s="133" t="n">
        <v>105000</v>
      </c>
      <c r="J21" s="133" t="inlineStr">
        <is>
          <t>중</t>
        </is>
      </c>
      <c r="K21" s="133" t="n">
        <v>70000</v>
      </c>
      <c r="L21" s="133" t="inlineStr">
        <is>
          <t>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신안인스빌</t>
        </is>
      </c>
      <c r="B22" s="10" t="inlineStr">
        <is>
          <t>'19.01.</t>
        </is>
      </c>
      <c r="C22" s="132" t="n">
        <v>734</v>
      </c>
      <c r="D22" s="130" t="n">
        <v>121.5</v>
      </c>
      <c r="E22" s="131" t="n">
        <v>37</v>
      </c>
      <c r="F22" s="130" t="n">
        <v>93</v>
      </c>
      <c r="G22" s="17" t="n">
        <v>28</v>
      </c>
      <c r="H22" s="132" t="n">
        <v>241</v>
      </c>
      <c r="I22" s="133" t="n">
        <v>102000</v>
      </c>
      <c r="J22" s="133" t="inlineStr">
        <is>
          <t>12</t>
        </is>
      </c>
      <c r="K22" s="133" t="n">
        <v>66000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121A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신안인스빌</t>
        </is>
      </c>
      <c r="B23" s="10" t="inlineStr">
        <is>
          <t>'19.01.</t>
        </is>
      </c>
      <c r="C23" s="132" t="n">
        <v>734</v>
      </c>
      <c r="D23" s="130" t="n">
        <v>122.2</v>
      </c>
      <c r="E23" s="131" t="n">
        <v>37</v>
      </c>
      <c r="F23" s="130" t="n">
        <v>93</v>
      </c>
      <c r="G23" s="17" t="n">
        <v>28</v>
      </c>
      <c r="H23" s="132" t="n">
        <v>103</v>
      </c>
      <c r="I23" s="133" t="n">
        <v>118000</v>
      </c>
      <c r="J23" s="133" t="inlineStr">
        <is>
          <t>고</t>
        </is>
      </c>
      <c r="K23" s="133" t="n">
        <v>75000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122B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e편한세상미사</t>
        </is>
      </c>
      <c r="B25" s="10" t="inlineStr">
        <is>
          <t>'18.06.</t>
        </is>
      </c>
      <c r="C25" s="132" t="n">
        <v>652</v>
      </c>
      <c r="D25" s="130" t="n">
        <v>94.09999999999999</v>
      </c>
      <c r="E25" s="131" t="n">
        <v>28</v>
      </c>
      <c r="F25" s="130" t="n">
        <v>69.90000000000001</v>
      </c>
      <c r="G25" s="17" t="n">
        <v>21</v>
      </c>
      <c r="H25" s="132" t="n">
        <v>145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e편한세상미사</t>
        </is>
      </c>
      <c r="B26" s="10" t="inlineStr">
        <is>
          <t>'18.06.</t>
        </is>
      </c>
      <c r="C26" s="132" t="n">
        <v>652</v>
      </c>
      <c r="D26" s="130" t="n">
        <v>112.9</v>
      </c>
      <c r="E26" s="131" t="n">
        <v>34</v>
      </c>
      <c r="F26" s="130" t="n">
        <v>84.90000000000001</v>
      </c>
      <c r="G26" s="17" t="n">
        <v>26</v>
      </c>
      <c r="H26" s="132" t="n">
        <v>507</v>
      </c>
      <c r="I26" s="133" t="n">
        <v>98000</v>
      </c>
      <c r="J26" s="133" t="inlineStr">
        <is>
          <t>19</t>
        </is>
      </c>
      <c r="K26" s="133" t="n">
        <v>57000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112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미사강변더샵센트럴포레</t>
        </is>
      </c>
      <c r="B28" s="10" t="inlineStr">
        <is>
          <t>'17.10.</t>
        </is>
      </c>
      <c r="C28" s="132" t="n">
        <v>487</v>
      </c>
      <c r="D28" s="130" t="n">
        <v>96.09999999999999</v>
      </c>
      <c r="E28" s="131" t="n">
        <v>29</v>
      </c>
      <c r="F28" s="130" t="n">
        <v>73</v>
      </c>
      <c r="G28" s="17" t="n">
        <v>22</v>
      </c>
      <c r="H28" s="132" t="n">
        <v>48</v>
      </c>
      <c r="I28" s="133" t="n">
        <v>100000</v>
      </c>
      <c r="J28" s="133" t="inlineStr">
        <is>
          <t>18</t>
        </is>
      </c>
      <c r="K28" s="133" t="n">
        <v>65000</v>
      </c>
      <c r="L28" s="133" t="inlineStr">
        <is>
          <t>중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96A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미사강변더샵센트럴포레</t>
        </is>
      </c>
      <c r="B29" s="10" t="inlineStr">
        <is>
          <t>'17.10.</t>
        </is>
      </c>
      <c r="C29" s="132" t="n">
        <v>487</v>
      </c>
      <c r="D29" s="130" t="n">
        <v>96.7</v>
      </c>
      <c r="E29" s="131" t="n">
        <v>29</v>
      </c>
      <c r="F29" s="130" t="n">
        <v>73.09999999999999</v>
      </c>
      <c r="G29" s="17" t="n">
        <v>22</v>
      </c>
      <c r="H29" s="132" t="n">
        <v>25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96B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미사강변더샵센트럴포레</t>
        </is>
      </c>
      <c r="B30" s="10" t="inlineStr">
        <is>
          <t>'17.10.</t>
        </is>
      </c>
      <c r="C30" s="132" t="n">
        <v>487</v>
      </c>
      <c r="D30" s="130" t="n">
        <v>110.4</v>
      </c>
      <c r="E30" s="131" t="n">
        <v>33</v>
      </c>
      <c r="F30" s="130" t="n">
        <v>84</v>
      </c>
      <c r="G30" s="17" t="n">
        <v>25</v>
      </c>
      <c r="H30" s="132" t="n">
        <v>128</v>
      </c>
      <c r="I30" s="133" t="n">
        <v>110000</v>
      </c>
      <c r="J30" s="133" t="inlineStr">
        <is>
          <t>고</t>
        </is>
      </c>
      <c r="K30" s="133" t="n">
        <v>70000</v>
      </c>
      <c r="L30" s="133" t="inlineStr">
        <is>
          <t>24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110A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미사강변더샵센트럴포레</t>
        </is>
      </c>
      <c r="B31" s="10" t="inlineStr">
        <is>
          <t>'17.10.</t>
        </is>
      </c>
      <c r="C31" s="132" t="n">
        <v>487</v>
      </c>
      <c r="D31" s="130" t="n">
        <v>110.5</v>
      </c>
      <c r="E31" s="131" t="n">
        <v>33</v>
      </c>
      <c r="F31" s="130" t="n">
        <v>84.09999999999999</v>
      </c>
      <c r="G31" s="17" t="n">
        <v>25</v>
      </c>
      <c r="H31" s="132" t="n">
        <v>58</v>
      </c>
      <c r="I31" s="133" t="n">
        <v>130000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미사강변더샵센트럴포레</t>
        </is>
      </c>
      <c r="B32" s="10" t="inlineStr">
        <is>
          <t>'17.10.</t>
        </is>
      </c>
      <c r="C32" s="132" t="n">
        <v>487</v>
      </c>
      <c r="D32" s="130" t="n">
        <v>122.4</v>
      </c>
      <c r="E32" s="131" t="n">
        <v>37</v>
      </c>
      <c r="F32" s="130" t="n">
        <v>93.09999999999999</v>
      </c>
      <c r="G32" s="17" t="n">
        <v>28</v>
      </c>
      <c r="H32" s="132" t="n">
        <v>58</v>
      </c>
      <c r="I32" s="133" t="n">
        <v>110000</v>
      </c>
      <c r="J32" s="133" t="inlineStr">
        <is>
          <t>22</t>
        </is>
      </c>
      <c r="K32" s="133" t="n">
        <v>80000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122B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미사강변더샵센트럴포레</t>
        </is>
      </c>
      <c r="B33" s="10" t="inlineStr">
        <is>
          <t>'17.10.</t>
        </is>
      </c>
      <c r="C33" s="132" t="n">
        <v>487</v>
      </c>
      <c r="D33" s="130" t="n">
        <v>122.5</v>
      </c>
      <c r="E33" s="131" t="n">
        <v>37</v>
      </c>
      <c r="F33" s="130" t="n">
        <v>93.40000000000001</v>
      </c>
      <c r="G33" s="17" t="n">
        <v>28</v>
      </c>
      <c r="H33" s="132" t="n">
        <v>58</v>
      </c>
      <c r="I33" s="133" t="n">
        <v>125000</v>
      </c>
      <c r="J33" s="133" t="inlineStr">
        <is>
          <t>고</t>
        </is>
      </c>
      <c r="K33" s="133" t="n">
        <v>76000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122C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미사강변더샵센트럴포레</t>
        </is>
      </c>
      <c r="B34" s="10" t="inlineStr">
        <is>
          <t>'17.10.</t>
        </is>
      </c>
      <c r="C34" s="132" t="n">
        <v>487</v>
      </c>
      <c r="D34" s="130" t="n">
        <v>122.3</v>
      </c>
      <c r="E34" s="131" t="n">
        <v>37</v>
      </c>
      <c r="F34" s="130" t="n">
        <v>93.2</v>
      </c>
      <c r="G34" s="17" t="n">
        <v>28</v>
      </c>
      <c r="H34" s="132" t="n">
        <v>56</v>
      </c>
      <c r="I34" s="133" t="n">
        <v>120000</v>
      </c>
      <c r="J34" s="133" t="inlineStr">
        <is>
          <t>12</t>
        </is>
      </c>
      <c r="K34" s="133" t="n">
        <v>80000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122A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미사강변더샵센트럴포레</t>
        </is>
      </c>
      <c r="B35" s="10" t="inlineStr">
        <is>
          <t>'17.10.</t>
        </is>
      </c>
      <c r="C35" s="132" t="n">
        <v>487</v>
      </c>
      <c r="D35" s="130" t="n">
        <v>132.4</v>
      </c>
      <c r="E35" s="131" t="n">
        <v>40</v>
      </c>
      <c r="F35" s="130" t="n">
        <v>101.8</v>
      </c>
      <c r="G35" s="17" t="n">
        <v>31</v>
      </c>
      <c r="H35" s="132" t="n">
        <v>56</v>
      </c>
      <c r="I35" s="133" t="n">
        <v>145000</v>
      </c>
      <c r="J35" s="133" t="inlineStr">
        <is>
          <t>27</t>
        </is>
      </c>
      <c r="K35" s="133" t="n">
        <v>66000</v>
      </c>
      <c r="L35" s="133" t="inlineStr">
        <is>
          <t>19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하남힐즈파크푸르지오1단지</t>
        </is>
      </c>
      <c r="B37" s="10" t="inlineStr">
        <is>
          <t>'20.04.</t>
        </is>
      </c>
      <c r="C37" s="132" t="n">
        <v>404</v>
      </c>
      <c r="D37" s="130" t="n">
        <v>75.59999999999999</v>
      </c>
      <c r="E37" s="131" t="n">
        <v>23</v>
      </c>
      <c r="F37" s="130" t="n">
        <v>52.3</v>
      </c>
      <c r="G37" s="17" t="n">
        <v>16</v>
      </c>
      <c r="H37" s="132" t="n">
        <v>110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75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하남힐즈파크푸르지오1단지</t>
        </is>
      </c>
      <c r="B38" s="10" t="inlineStr">
        <is>
          <t>'20.04.</t>
        </is>
      </c>
      <c r="C38" s="132" t="n">
        <v>404</v>
      </c>
      <c r="D38" s="130" t="n">
        <v>80.8</v>
      </c>
      <c r="E38" s="131" t="n">
        <v>24</v>
      </c>
      <c r="F38" s="130" t="n">
        <v>59.8</v>
      </c>
      <c r="G38" s="17" t="n">
        <v>18</v>
      </c>
      <c r="H38" s="132" t="n">
        <v>183</v>
      </c>
      <c r="I38" s="133" t="n">
        <v>80000</v>
      </c>
      <c r="J38" s="133" t="inlineStr">
        <is>
          <t>고</t>
        </is>
      </c>
      <c r="K38" s="133" t="n">
        <v>50000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80A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하남힐즈파크푸르지오1단지</t>
        </is>
      </c>
      <c r="B39" s="10" t="inlineStr">
        <is>
          <t>'20.04.</t>
        </is>
      </c>
      <c r="C39" s="132" t="n">
        <v>404</v>
      </c>
      <c r="D39" s="130" t="n">
        <v>80.5</v>
      </c>
      <c r="E39" s="131" t="n">
        <v>24</v>
      </c>
      <c r="F39" s="130" t="n">
        <v>59.7</v>
      </c>
      <c r="G39" s="17" t="n">
        <v>18</v>
      </c>
      <c r="H39" s="132" t="n">
        <v>111</v>
      </c>
      <c r="I39" s="133" t="n">
        <v>76000</v>
      </c>
      <c r="J39" s="133" t="inlineStr">
        <is>
          <t>중</t>
        </is>
      </c>
      <c r="K39" s="133" t="n">
        <v>55000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80B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하남힐즈파크푸르지오3단지</t>
        </is>
      </c>
      <c r="B41" s="10" t="inlineStr">
        <is>
          <t>'18.09.</t>
        </is>
      </c>
      <c r="C41" s="132" t="n">
        <v>358</v>
      </c>
      <c r="D41" s="130" t="n">
        <v>128.5</v>
      </c>
      <c r="E41" s="131" t="n">
        <v>39</v>
      </c>
      <c r="F41" s="130" t="n">
        <v>99</v>
      </c>
      <c r="G41" s="17" t="n">
        <v>30</v>
      </c>
      <c r="H41" s="132" t="n">
        <v>294</v>
      </c>
      <c r="I41" s="133" t="n">
        <v>97000</v>
      </c>
      <c r="J41" s="133" t="inlineStr">
        <is>
          <t>14</t>
        </is>
      </c>
      <c r="K41" s="133" t="n">
        <v>63000</v>
      </c>
      <c r="L41" s="133" t="inlineStr">
        <is>
          <t>22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하남힐즈파크푸르지오3단지</t>
        </is>
      </c>
      <c r="B42" s="10" t="inlineStr">
        <is>
          <t>'18.09.</t>
        </is>
      </c>
      <c r="C42" s="132" t="n">
        <v>358</v>
      </c>
      <c r="D42" s="130" t="n">
        <v>129.3</v>
      </c>
      <c r="E42" s="131" t="n">
        <v>39</v>
      </c>
      <c r="F42" s="130" t="n">
        <v>98.59999999999999</v>
      </c>
      <c r="G42" s="17" t="n">
        <v>30</v>
      </c>
      <c r="H42" s="132" t="n">
        <v>61</v>
      </c>
      <c r="I42" s="133" t="n">
        <v>98000</v>
      </c>
      <c r="J42" s="133" t="inlineStr">
        <is>
          <t>고</t>
        </is>
      </c>
      <c r="K42" s="133" t="n">
        <v>55000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129B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하남힐즈파크푸르지오3단지</t>
        </is>
      </c>
      <c r="B43" s="10" t="inlineStr">
        <is>
          <t>'18.09.</t>
        </is>
      </c>
      <c r="C43" s="132" t="n">
        <v>358</v>
      </c>
      <c r="D43" s="130" t="n">
        <v>187.6</v>
      </c>
      <c r="E43" s="131" t="n">
        <v>57</v>
      </c>
      <c r="F43" s="130" t="n">
        <v>141.9</v>
      </c>
      <c r="G43" s="17" t="n">
        <v>43</v>
      </c>
      <c r="H43" s="132" t="n">
        <v>3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3</v>
      </c>
      <c r="S43" s="120" t="inlineStr">
        <is>
          <t>계</t>
        </is>
      </c>
      <c r="T43" s="5" t="n">
        <v>187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하남힐즈파크푸르지오2단지</t>
        </is>
      </c>
      <c r="B45" s="10" t="inlineStr">
        <is>
          <t>'18.09.</t>
        </is>
      </c>
      <c r="C45" s="132" t="n">
        <v>456</v>
      </c>
      <c r="D45" s="130" t="n">
        <v>80.7</v>
      </c>
      <c r="E45" s="131" t="n">
        <v>24</v>
      </c>
      <c r="F45" s="130" t="n">
        <v>59.7</v>
      </c>
      <c r="G45" s="17" t="n">
        <v>18</v>
      </c>
      <c r="H45" s="132" t="n">
        <v>133</v>
      </c>
      <c r="I45" s="133" t="n">
        <v>82000</v>
      </c>
      <c r="J45" s="133" t="inlineStr">
        <is>
          <t>20</t>
        </is>
      </c>
      <c r="K45" s="133" t="n">
        <v>45000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80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하남힐즈파크푸르지오2단지</t>
        </is>
      </c>
      <c r="B46" s="10" t="inlineStr">
        <is>
          <t>'18.09.</t>
        </is>
      </c>
      <c r="C46" s="132" t="n">
        <v>456</v>
      </c>
      <c r="D46" s="130" t="n">
        <v>112.4</v>
      </c>
      <c r="E46" s="131" t="n">
        <v>34</v>
      </c>
      <c r="F46" s="130" t="n">
        <v>84.8</v>
      </c>
      <c r="G46" s="17" t="n">
        <v>26</v>
      </c>
      <c r="H46" s="132" t="n">
        <v>215</v>
      </c>
      <c r="I46" s="133" t="n">
        <v>84000</v>
      </c>
      <c r="J46" s="133" t="inlineStr">
        <is>
          <t>고</t>
        </is>
      </c>
      <c r="K46" s="133" t="n">
        <v>55000</v>
      </c>
      <c r="L46" s="133" t="inlineStr">
        <is>
          <t>13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112A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하남힐즈파크푸르지오2단지</t>
        </is>
      </c>
      <c r="B47" s="10" t="inlineStr">
        <is>
          <t>'18.09.</t>
        </is>
      </c>
      <c r="C47" s="132" t="n">
        <v>456</v>
      </c>
      <c r="D47" s="130" t="n">
        <v>113.6</v>
      </c>
      <c r="E47" s="131" t="n">
        <v>34</v>
      </c>
      <c r="F47" s="130" t="n">
        <v>84.09999999999999</v>
      </c>
      <c r="G47" s="17" t="n">
        <v>25</v>
      </c>
      <c r="H47" s="132" t="n">
        <v>108</v>
      </c>
      <c r="I47" s="133" t="n">
        <v>85000</v>
      </c>
      <c r="J47" s="133" t="inlineStr">
        <is>
          <t>고</t>
        </is>
      </c>
      <c r="K47" s="133" t="n">
        <v>65000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미사강변센트럴자이</t>
        </is>
      </c>
      <c r="B49" s="10" t="inlineStr">
        <is>
          <t>'17.02.</t>
        </is>
      </c>
      <c r="C49" s="132" t="n">
        <v>1222</v>
      </c>
      <c r="D49" s="130" t="n">
        <v>117.9</v>
      </c>
      <c r="E49" s="131" t="n">
        <v>36</v>
      </c>
      <c r="F49" s="130" t="n">
        <v>91.40000000000001</v>
      </c>
      <c r="G49" s="17" t="n">
        <v>28</v>
      </c>
      <c r="H49" s="132" t="n">
        <v>273</v>
      </c>
      <c r="I49" s="133" t="n">
        <v>120000</v>
      </c>
      <c r="J49" s="133" t="inlineStr">
        <is>
          <t>중</t>
        </is>
      </c>
      <c r="K49" s="133" t="n">
        <v>70000</v>
      </c>
      <c r="L49" s="133" t="inlineStr">
        <is>
          <t>16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117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미사강변센트럴자이</t>
        </is>
      </c>
      <c r="B50" s="10" t="inlineStr">
        <is>
          <t>'17.02.</t>
        </is>
      </c>
      <c r="C50" s="132" t="n">
        <v>1222</v>
      </c>
      <c r="D50" s="130" t="n">
        <v>123.5</v>
      </c>
      <c r="E50" s="131" t="n">
        <v>37</v>
      </c>
      <c r="F50" s="130" t="n">
        <v>97</v>
      </c>
      <c r="G50" s="17" t="n">
        <v>29</v>
      </c>
      <c r="H50" s="132" t="n">
        <v>380</v>
      </c>
      <c r="I50" s="133" t="n">
        <v>127000</v>
      </c>
      <c r="J50" s="133" t="inlineStr">
        <is>
          <t>중</t>
        </is>
      </c>
      <c r="K50" s="133" t="n">
        <v>78000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123A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미사강변센트럴자이</t>
        </is>
      </c>
      <c r="B51" s="10" t="inlineStr">
        <is>
          <t>'17.02.</t>
        </is>
      </c>
      <c r="C51" s="132" t="n">
        <v>1222</v>
      </c>
      <c r="D51" s="130" t="n">
        <v>123.4</v>
      </c>
      <c r="E51" s="131" t="n">
        <v>37</v>
      </c>
      <c r="F51" s="130" t="n">
        <v>96.40000000000001</v>
      </c>
      <c r="G51" s="17" t="n">
        <v>29</v>
      </c>
      <c r="H51" s="132" t="n">
        <v>279</v>
      </c>
      <c r="I51" s="133" t="n">
        <v>127000</v>
      </c>
      <c r="J51" s="133" t="inlineStr">
        <is>
          <t>중</t>
        </is>
      </c>
      <c r="K51" s="133" t="n">
        <v>80000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123C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미사강변센트럴자이</t>
        </is>
      </c>
      <c r="B52" s="10" t="inlineStr">
        <is>
          <t>'17.02.</t>
        </is>
      </c>
      <c r="C52" s="132" t="n">
        <v>1222</v>
      </c>
      <c r="D52" s="130" t="n">
        <v>123.6</v>
      </c>
      <c r="E52" s="131" t="n">
        <v>37</v>
      </c>
      <c r="F52" s="130" t="n">
        <v>96.8</v>
      </c>
      <c r="G52" s="17" t="n">
        <v>29</v>
      </c>
      <c r="H52" s="132" t="n">
        <v>139</v>
      </c>
      <c r="I52" s="133" t="n">
        <v>145000</v>
      </c>
      <c r="J52" s="133" t="inlineStr">
        <is>
          <t>25</t>
        </is>
      </c>
      <c r="K52" s="133" t="n">
        <v>74000</v>
      </c>
      <c r="L52" s="133" t="inlineStr">
        <is>
          <t>중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123B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미사강변센트럴자이</t>
        </is>
      </c>
      <c r="B53" s="10" t="inlineStr">
        <is>
          <t>'17.02.</t>
        </is>
      </c>
      <c r="C53" s="132" t="n">
        <v>1222</v>
      </c>
      <c r="D53" s="130" t="n">
        <v>130.1</v>
      </c>
      <c r="E53" s="131" t="n">
        <v>39</v>
      </c>
      <c r="F53" s="130" t="n">
        <v>101.8</v>
      </c>
      <c r="G53" s="17" t="n">
        <v>31</v>
      </c>
      <c r="H53" s="132" t="n">
        <v>135</v>
      </c>
      <c r="I53" s="133" t="n">
        <v>153000</v>
      </c>
      <c r="J53" s="133" t="inlineStr">
        <is>
          <t>중</t>
        </is>
      </c>
      <c r="K53" s="133" t="n">
        <v>83000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5</v>
      </c>
      <c r="R53" s="120" t="n">
        <v>2</v>
      </c>
      <c r="S53" s="120" t="inlineStr">
        <is>
          <t>계</t>
        </is>
      </c>
      <c r="T53" s="5" t="n">
        <v>130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미사강변센트럴자이</t>
        </is>
      </c>
      <c r="B54" s="10" t="inlineStr">
        <is>
          <t>'17.02.</t>
        </is>
      </c>
      <c r="C54" s="132" t="n">
        <v>1222</v>
      </c>
      <c r="D54" s="130" t="n">
        <v>171.8</v>
      </c>
      <c r="E54" s="131" t="n">
        <v>52</v>
      </c>
      <c r="F54" s="130" t="n">
        <v>132.9</v>
      </c>
      <c r="G54" s="17" t="n">
        <v>40</v>
      </c>
      <c r="H54" s="132" t="n">
        <v>10</v>
      </c>
      <c r="I54" s="133" t="n">
        <v>260000</v>
      </c>
      <c r="J54" s="133" t="inlineStr">
        <is>
          <t>29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5</v>
      </c>
      <c r="R54" s="120" t="n">
        <v>3</v>
      </c>
      <c r="S54" s="120" t="inlineStr">
        <is>
          <t>계</t>
        </is>
      </c>
      <c r="T54" s="5" t="inlineStr">
        <is>
          <t>171A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미사강변센트럴자이</t>
        </is>
      </c>
      <c r="B55" s="10" t="inlineStr">
        <is>
          <t>'17.02.</t>
        </is>
      </c>
      <c r="C55" s="132" t="n">
        <v>1222</v>
      </c>
      <c r="D55" s="130" t="n">
        <v>171</v>
      </c>
      <c r="E55" s="131" t="n">
        <v>52</v>
      </c>
      <c r="F55" s="130" t="n">
        <v>132.3</v>
      </c>
      <c r="G55" s="17" t="n">
        <v>40</v>
      </c>
      <c r="H55" s="132" t="n">
        <v>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5</v>
      </c>
      <c r="R55" s="120" t="n">
        <v>3</v>
      </c>
      <c r="S55" s="120" t="inlineStr">
        <is>
          <t>계</t>
        </is>
      </c>
      <c r="T55" s="5" t="inlineStr">
        <is>
          <t>171C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미사강변센트럴자이</t>
        </is>
      </c>
      <c r="B56" s="10" t="inlineStr">
        <is>
          <t>'17.02.</t>
        </is>
      </c>
      <c r="C56" s="132" t="n">
        <v>1222</v>
      </c>
      <c r="D56" s="130" t="n">
        <v>171.8</v>
      </c>
      <c r="E56" s="131" t="n">
        <v>52</v>
      </c>
      <c r="F56" s="130" t="n">
        <v>132.8</v>
      </c>
      <c r="G56" s="17" t="n">
        <v>40</v>
      </c>
      <c r="H56" s="132" t="n">
        <v>2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5</v>
      </c>
      <c r="R56" s="120" t="n">
        <v>3</v>
      </c>
      <c r="S56" s="120" t="inlineStr">
        <is>
          <t>계</t>
        </is>
      </c>
      <c r="T56" s="5" t="inlineStr">
        <is>
          <t>171B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23">
      <formula>AV4="X"</formula>
    </cfRule>
    <cfRule type="expression" priority="845" dxfId="22">
      <formula>AV4="후보"</formula>
    </cfRule>
  </conditionalFormatting>
  <conditionalFormatting sqref="AC1:AC2 AC4:AC6 N4:N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:N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23">
      <formula>AV7="X"</formula>
    </cfRule>
    <cfRule type="expression" priority="824" dxfId="22">
      <formula>AV7="후보"</formula>
    </cfRule>
  </conditionalFormatting>
  <conditionalFormatting sqref="AC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23">
      <formula>AV8="X"</formula>
    </cfRule>
    <cfRule type="expression" priority="805" dxfId="22">
      <formula>AV8="후보"</formula>
    </cfRule>
  </conditionalFormatting>
  <conditionalFormatting sqref="AC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23">
      <formula>AV9="X"</formula>
    </cfRule>
    <cfRule type="expression" priority="786" dxfId="22">
      <formula>AV9="후보"</formula>
    </cfRule>
  </conditionalFormatting>
  <conditionalFormatting sqref="AC9 N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0">
    <cfRule type="expression" priority="780" dxfId="23">
      <formula>AV10="X"</formula>
    </cfRule>
    <cfRule type="expression" priority="781" dxfId="22">
      <formula>AV10="후보"</formula>
    </cfRule>
  </conditionalFormatting>
  <conditionalFormatting sqref="AC1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23">
      <formula>AV11="X"</formula>
    </cfRule>
    <cfRule type="expression" priority="762" dxfId="22">
      <formula>AV11="후보"</formula>
    </cfRule>
  </conditionalFormatting>
  <conditionalFormatting sqref="AC1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23">
      <formula>AV12="X"</formula>
    </cfRule>
    <cfRule type="expression" priority="743" dxfId="22">
      <formula>AV12="후보"</formula>
    </cfRule>
  </conditionalFormatting>
  <conditionalFormatting sqref="AC1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23">
      <formula>AV13="X"</formula>
    </cfRule>
    <cfRule type="expression" priority="724" dxfId="22">
      <formula>AV13="후보"</formula>
    </cfRule>
  </conditionalFormatting>
  <conditionalFormatting sqref="AC1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23">
      <formula>AV14="X"</formula>
    </cfRule>
    <cfRule type="expression" priority="705" dxfId="22">
      <formula>AV14="후보"</formula>
    </cfRule>
  </conditionalFormatting>
  <conditionalFormatting sqref="AC1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23">
      <formula>AV15="X"</formula>
    </cfRule>
    <cfRule type="expression" priority="686" dxfId="22">
      <formula>AV15="후보"</formula>
    </cfRule>
  </conditionalFormatting>
  <conditionalFormatting sqref="AC1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 N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17">
    <cfRule type="expression" priority="661" dxfId="23">
      <formula>AV17="X"</formula>
    </cfRule>
    <cfRule type="expression" priority="662" dxfId="22">
      <formula>AV17="후보"</formula>
    </cfRule>
  </conditionalFormatting>
  <conditionalFormatting sqref="AC1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 N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21">
    <cfRule type="expression" priority="599" dxfId="23">
      <formula>AV21="X"</formula>
    </cfRule>
    <cfRule type="expression" priority="600" dxfId="22">
      <formula>AV21="후보"</formula>
    </cfRule>
  </conditionalFormatting>
  <conditionalFormatting sqref="AC2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23">
      <formula>AV22="X"</formula>
    </cfRule>
    <cfRule type="expression" priority="581" dxfId="22">
      <formula>AV22="후보"</formula>
    </cfRule>
  </conditionalFormatting>
  <conditionalFormatting sqref="AC2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 N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25">
    <cfRule type="expression" priority="537" dxfId="23">
      <formula>AV25="X"</formula>
    </cfRule>
    <cfRule type="expression" priority="538" dxfId="22">
      <formula>AV25="후보"</formula>
    </cfRule>
  </conditionalFormatting>
  <conditionalFormatting sqref="AC2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23">
      <formula>AV26="X"</formula>
    </cfRule>
    <cfRule type="expression" priority="519" dxfId="22">
      <formula>AV26="후보"</formula>
    </cfRule>
  </conditionalFormatting>
  <conditionalFormatting sqref="AC2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23">
      <formula>AV27="X"</formula>
    </cfRule>
    <cfRule type="expression" priority="500" dxfId="22">
      <formula>AV27="후보"</formula>
    </cfRule>
  </conditionalFormatting>
  <conditionalFormatting sqref="AC27 N2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8">
    <cfRule type="expression" priority="494" dxfId="23">
      <formula>AV28="X"</formula>
    </cfRule>
    <cfRule type="expression" priority="495" dxfId="22">
      <formula>AV28="후보"</formula>
    </cfRule>
  </conditionalFormatting>
  <conditionalFormatting sqref="AC2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23">
      <formula>AV29="X"</formula>
    </cfRule>
    <cfRule type="expression" priority="476" dxfId="22">
      <formula>AV29="후보"</formula>
    </cfRule>
  </conditionalFormatting>
  <conditionalFormatting sqref="AC2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23">
      <formula>AV30="X"</formula>
    </cfRule>
    <cfRule type="expression" priority="457" dxfId="22">
      <formula>AV30="후보"</formula>
    </cfRule>
  </conditionalFormatting>
  <conditionalFormatting sqref="AC3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23">
      <formula>AV31="X"</formula>
    </cfRule>
    <cfRule type="expression" priority="438" dxfId="22">
      <formula>AV31="후보"</formula>
    </cfRule>
  </conditionalFormatting>
  <conditionalFormatting sqref="AC3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1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23">
      <formula>AV32="X"</formula>
    </cfRule>
    <cfRule type="expression" priority="419" dxfId="22">
      <formula>AV32="후보"</formula>
    </cfRule>
  </conditionalFormatting>
  <conditionalFormatting sqref="AC32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2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23">
      <formula>AV33="X"</formula>
    </cfRule>
    <cfRule type="expression" priority="400" dxfId="22">
      <formula>AV33="후보"</formula>
    </cfRule>
  </conditionalFormatting>
  <conditionalFormatting sqref="AC3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23">
      <formula>AV34="X"</formula>
    </cfRule>
    <cfRule type="expression" priority="381" dxfId="22">
      <formula>AV34="후보"</formula>
    </cfRule>
  </conditionalFormatting>
  <conditionalFormatting sqref="AC3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 N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7">
    <cfRule type="expression" priority="337" dxfId="23">
      <formula>AV37="X"</formula>
    </cfRule>
    <cfRule type="expression" priority="338" dxfId="22">
      <formula>AV37="후보"</formula>
    </cfRule>
  </conditionalFormatting>
  <conditionalFormatting sqref="AC3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23">
      <formula>AV38="X"</formula>
    </cfRule>
    <cfRule type="expression" priority="319" dxfId="22">
      <formula>AV38="후보"</formula>
    </cfRule>
  </conditionalFormatting>
  <conditionalFormatting sqref="AC3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 N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1">
    <cfRule type="expression" priority="275" dxfId="23">
      <formula>AV41="X"</formula>
    </cfRule>
    <cfRule type="expression" priority="276" dxfId="22">
      <formula>AV41="후보"</formula>
    </cfRule>
  </conditionalFormatting>
  <conditionalFormatting sqref="AC4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23">
      <formula>AV42="X"</formula>
    </cfRule>
    <cfRule type="expression" priority="257" dxfId="22">
      <formula>AV42="후보"</formula>
    </cfRule>
  </conditionalFormatting>
  <conditionalFormatting sqref="AC4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23">
      <formula>AV43="X"</formula>
    </cfRule>
    <cfRule type="expression" priority="238" dxfId="22">
      <formula>AV43="후보"</formula>
    </cfRule>
  </conditionalFormatting>
  <conditionalFormatting sqref="AC4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 N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5">
    <cfRule type="expression" priority="213" dxfId="23">
      <formula>AV45="X"</formula>
    </cfRule>
    <cfRule type="expression" priority="214" dxfId="22">
      <formula>AV45="후보"</formula>
    </cfRule>
  </conditionalFormatting>
  <conditionalFormatting sqref="AC4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23">
      <formula>AV46="X"</formula>
    </cfRule>
    <cfRule type="expression" priority="195" dxfId="22">
      <formula>AV46="후보"</formula>
    </cfRule>
  </conditionalFormatting>
  <conditionalFormatting sqref="AC4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23">
      <formula>AV47="X"</formula>
    </cfRule>
    <cfRule type="expression" priority="176" dxfId="22">
      <formula>AV47="후보"</formula>
    </cfRule>
  </conditionalFormatting>
  <conditionalFormatting sqref="AC4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23">
      <formula>AV48="X"</formula>
    </cfRule>
    <cfRule type="expression" priority="157" dxfId="22">
      <formula>AV48="후보"</formula>
    </cfRule>
  </conditionalFormatting>
  <conditionalFormatting sqref="AC48 N4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9">
    <cfRule type="expression" priority="151" dxfId="23">
      <formula>AV49="X"</formula>
    </cfRule>
    <cfRule type="expression" priority="152" dxfId="22">
      <formula>AV49="후보"</formula>
    </cfRule>
  </conditionalFormatting>
  <conditionalFormatting sqref="AC4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23">
      <formula>AV50="X"</formula>
    </cfRule>
    <cfRule type="expression" priority="133" dxfId="22">
      <formula>AV50="후보"</formula>
    </cfRule>
  </conditionalFormatting>
  <conditionalFormatting sqref="AC5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23">
      <formula>AV51="X"</formula>
    </cfRule>
    <cfRule type="expression" priority="114" dxfId="22">
      <formula>AV51="후보"</formula>
    </cfRule>
  </conditionalFormatting>
  <conditionalFormatting sqref="AC5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학암동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위례포레자이</t>
        </is>
      </c>
      <c r="B6" s="10" t="inlineStr">
        <is>
          <t>'21.04.</t>
        </is>
      </c>
      <c r="C6" s="132" t="n">
        <v>558</v>
      </c>
      <c r="D6" s="130" t="n">
        <v>119.7</v>
      </c>
      <c r="E6" s="131" t="n">
        <v>36</v>
      </c>
      <c r="F6" s="130" t="n">
        <v>96</v>
      </c>
      <c r="G6" s="17" t="n">
        <v>29</v>
      </c>
      <c r="H6" s="132" t="n">
        <v>78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위례포레자이</t>
        </is>
      </c>
      <c r="B7" s="10" t="inlineStr">
        <is>
          <t>'21.04.</t>
        </is>
      </c>
      <c r="C7" s="132" t="n">
        <v>558</v>
      </c>
      <c r="D7" s="130" t="n">
        <v>120.3</v>
      </c>
      <c r="E7" s="131" t="n">
        <v>36</v>
      </c>
      <c r="F7" s="130" t="n">
        <v>95.90000000000001</v>
      </c>
      <c r="G7" s="17" t="n">
        <v>29</v>
      </c>
      <c r="H7" s="132" t="n">
        <v>43</v>
      </c>
      <c r="I7" s="133" t="n"/>
      <c r="J7" s="133" t="n"/>
      <c r="K7" s="133" t="n">
        <v>70000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위례포레자이</t>
        </is>
      </c>
      <c r="B8" s="10" t="inlineStr">
        <is>
          <t>'21.04.</t>
        </is>
      </c>
      <c r="C8" s="132" t="n">
        <v>558</v>
      </c>
      <c r="D8" s="130" t="n">
        <v>126.9</v>
      </c>
      <c r="E8" s="131" t="n">
        <v>38</v>
      </c>
      <c r="F8" s="130" t="n">
        <v>101.8</v>
      </c>
      <c r="G8" s="17" t="n">
        <v>31</v>
      </c>
      <c r="H8" s="132" t="n">
        <v>239</v>
      </c>
      <c r="I8" s="133" t="n"/>
      <c r="J8" s="133" t="n"/>
      <c r="K8" s="133" t="n">
        <v>80000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126A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위례포레자이</t>
        </is>
      </c>
      <c r="B9" s="10" t="inlineStr">
        <is>
          <t>'21.04.</t>
        </is>
      </c>
      <c r="C9" s="132" t="n">
        <v>558</v>
      </c>
      <c r="D9" s="130" t="n">
        <v>126.3</v>
      </c>
      <c r="E9" s="131" t="n">
        <v>38</v>
      </c>
      <c r="F9" s="130" t="n">
        <v>101.5</v>
      </c>
      <c r="G9" s="17" t="n">
        <v>31</v>
      </c>
      <c r="H9" s="132" t="n">
        <v>163</v>
      </c>
      <c r="I9" s="133" t="n"/>
      <c r="J9" s="133" t="n"/>
      <c r="K9" s="133" t="n">
        <v>78000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126B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위례포레자이</t>
        </is>
      </c>
      <c r="B10" s="10" t="inlineStr">
        <is>
          <t>'21.04.</t>
        </is>
      </c>
      <c r="C10" s="132" t="n">
        <v>558</v>
      </c>
      <c r="D10" s="130" t="n">
        <v>136.8</v>
      </c>
      <c r="E10" s="131" t="n">
        <v>41</v>
      </c>
      <c r="F10" s="130" t="n">
        <v>108.8</v>
      </c>
      <c r="G10" s="17" t="n">
        <v>33</v>
      </c>
      <c r="H10" s="132" t="n">
        <v>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136T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위례포레자이</t>
        </is>
      </c>
      <c r="B11" s="10" t="inlineStr">
        <is>
          <t>'21.04.</t>
        </is>
      </c>
      <c r="C11" s="132" t="n">
        <v>558</v>
      </c>
      <c r="D11" s="130" t="n">
        <v>163.2</v>
      </c>
      <c r="E11" s="131" t="n">
        <v>49</v>
      </c>
      <c r="F11" s="130" t="n">
        <v>131.9</v>
      </c>
      <c r="G11" s="17" t="n">
        <v>40</v>
      </c>
      <c r="H11" s="132" t="n">
        <v>32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163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위례A3-3a블럭</t>
        </is>
      </c>
      <c r="B13" s="10" t="inlineStr">
        <is>
          <t>'23.06.</t>
        </is>
      </c>
      <c r="C13" s="132" t="n">
        <v>411</v>
      </c>
      <c r="D13" s="130" t="n">
        <v>71.8</v>
      </c>
      <c r="E13" s="131" t="n">
        <v>22</v>
      </c>
      <c r="F13" s="130" t="n">
        <v>52</v>
      </c>
      <c r="G13" s="17" t="n">
        <v>16</v>
      </c>
      <c r="H13" s="132" t="n">
        <v>107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n">
        <v>71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위례A3-3a블럭</t>
        </is>
      </c>
      <c r="B14" s="10" t="inlineStr">
        <is>
          <t>'23.06.</t>
        </is>
      </c>
      <c r="C14" s="132" t="n">
        <v>411</v>
      </c>
      <c r="D14" s="130" t="n">
        <v>82.5</v>
      </c>
      <c r="E14" s="131" t="n">
        <v>25</v>
      </c>
      <c r="F14" s="130" t="n">
        <v>59.8</v>
      </c>
      <c r="G14" s="17" t="n">
        <v>18</v>
      </c>
      <c r="H14" s="132" t="n">
        <v>106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82A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위례A3-3a블럭</t>
        </is>
      </c>
      <c r="B15" s="10" t="inlineStr">
        <is>
          <t>'23.06.</t>
        </is>
      </c>
      <c r="C15" s="132" t="n">
        <v>411</v>
      </c>
      <c r="D15" s="130" t="n">
        <v>82.8</v>
      </c>
      <c r="E15" s="131" t="n">
        <v>25</v>
      </c>
      <c r="F15" s="130" t="n">
        <v>60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82B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위례A3-3a블럭</t>
        </is>
      </c>
      <c r="B16" s="10" t="inlineStr">
        <is>
          <t>'23.06.</t>
        </is>
      </c>
      <c r="C16" s="132" t="n">
        <v>411</v>
      </c>
      <c r="D16" s="130" t="n">
        <v>82.7</v>
      </c>
      <c r="E16" s="131" t="n">
        <v>25</v>
      </c>
      <c r="F16" s="130" t="n">
        <v>59.9</v>
      </c>
      <c r="G16" s="17" t="n">
        <v>18</v>
      </c>
      <c r="H16" s="132" t="n">
        <v>37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위례A3-3a블럭</t>
        </is>
      </c>
      <c r="B17" s="10" t="inlineStr">
        <is>
          <t>'23.06.</t>
        </is>
      </c>
      <c r="C17" s="132" t="n">
        <v>411</v>
      </c>
      <c r="D17" s="130" t="n">
        <v>82.40000000000001</v>
      </c>
      <c r="E17" s="131" t="n">
        <v>25</v>
      </c>
      <c r="F17" s="130" t="n">
        <v>59.7</v>
      </c>
      <c r="G17" s="17" t="n">
        <v>18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위례그린파크푸르지오</t>
        </is>
      </c>
      <c r="B19" s="10" t="inlineStr">
        <is>
          <t>'16.01.</t>
        </is>
      </c>
      <c r="C19" s="132" t="n">
        <v>972</v>
      </c>
      <c r="D19" s="130" t="n">
        <v>131</v>
      </c>
      <c r="E19" s="131" t="n">
        <v>40</v>
      </c>
      <c r="F19" s="130" t="n">
        <v>101.1</v>
      </c>
      <c r="G19" s="17" t="n">
        <v>31</v>
      </c>
      <c r="H19" s="132" t="n">
        <v>495</v>
      </c>
      <c r="I19" s="133" t="n">
        <v>145000</v>
      </c>
      <c r="J19" s="133" t="inlineStr">
        <is>
          <t>고</t>
        </is>
      </c>
      <c r="K19" s="133" t="n">
        <v>72000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위례그린파크푸르지오</t>
        </is>
      </c>
      <c r="B20" s="10" t="inlineStr">
        <is>
          <t>'16.01.</t>
        </is>
      </c>
      <c r="C20" s="132" t="n">
        <v>972</v>
      </c>
      <c r="D20" s="130" t="n">
        <v>130.9</v>
      </c>
      <c r="E20" s="131" t="n">
        <v>40</v>
      </c>
      <c r="F20" s="130" t="n">
        <v>101.9</v>
      </c>
      <c r="G20" s="17" t="n">
        <v>31</v>
      </c>
      <c r="H20" s="132" t="n">
        <v>238</v>
      </c>
      <c r="I20" s="133" t="n">
        <v>165000</v>
      </c>
      <c r="J20" s="133" t="inlineStr">
        <is>
          <t>중</t>
        </is>
      </c>
      <c r="K20" s="133" t="n">
        <v>75000</v>
      </c>
      <c r="L20" s="133" t="inlineStr">
        <is>
          <t>12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130C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위례그린파크푸르지오</t>
        </is>
      </c>
      <c r="B21" s="10" t="inlineStr">
        <is>
          <t>'16.01.</t>
        </is>
      </c>
      <c r="C21" s="132" t="n">
        <v>972</v>
      </c>
      <c r="D21" s="130" t="n">
        <v>131.8</v>
      </c>
      <c r="E21" s="131" t="n">
        <v>40</v>
      </c>
      <c r="F21" s="130" t="n">
        <v>102</v>
      </c>
      <c r="G21" s="17" t="n">
        <v>31</v>
      </c>
      <c r="H21" s="132" t="n">
        <v>124</v>
      </c>
      <c r="I21" s="133" t="n">
        <v>143000</v>
      </c>
      <c r="J21" s="133" t="inlineStr">
        <is>
          <t>14</t>
        </is>
      </c>
      <c r="K21" s="133" t="n">
        <v>75000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위례그린파크푸르지오</t>
        </is>
      </c>
      <c r="B22" s="10" t="inlineStr">
        <is>
          <t>'16.01.</t>
        </is>
      </c>
      <c r="C22" s="132" t="n">
        <v>972</v>
      </c>
      <c r="D22" s="130" t="n">
        <v>131.7</v>
      </c>
      <c r="E22" s="131" t="n">
        <v>40</v>
      </c>
      <c r="F22" s="130" t="n">
        <v>101.9</v>
      </c>
      <c r="G22" s="17" t="n">
        <v>31</v>
      </c>
      <c r="H22" s="132" t="n">
        <v>106</v>
      </c>
      <c r="I22" s="133" t="n">
        <v>150000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131D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위례그린파크푸르지오</t>
        </is>
      </c>
      <c r="B23" s="10" t="inlineStr">
        <is>
          <t>'16.01.</t>
        </is>
      </c>
      <c r="C23" s="132" t="n">
        <v>972</v>
      </c>
      <c r="D23" s="130" t="n">
        <v>150.6</v>
      </c>
      <c r="E23" s="131" t="n">
        <v>46</v>
      </c>
      <c r="F23" s="130" t="n">
        <v>113.9</v>
      </c>
      <c r="G23" s="17" t="n">
        <v>34</v>
      </c>
      <c r="H23" s="132" t="n">
        <v>5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inlineStr">
        <is>
          <t>150PA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위례그린파크푸르지오</t>
        </is>
      </c>
      <c r="B24" s="10" t="inlineStr">
        <is>
          <t>'16.01.</t>
        </is>
      </c>
      <c r="C24" s="132" t="n">
        <v>972</v>
      </c>
      <c r="D24" s="130" t="n">
        <v>151.1</v>
      </c>
      <c r="E24" s="131" t="n">
        <v>46</v>
      </c>
      <c r="F24" s="130" t="n">
        <v>114</v>
      </c>
      <c r="G24" s="17" t="n">
        <v>34</v>
      </c>
      <c r="H24" s="132" t="n">
        <v>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3</v>
      </c>
      <c r="S24" s="120" t="inlineStr">
        <is>
          <t>계</t>
        </is>
      </c>
      <c r="T24" s="5" t="inlineStr">
        <is>
          <t>151PB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위례신도시중흥S-클래스</t>
        </is>
      </c>
      <c r="B26" s="10" t="inlineStr">
        <is>
          <t>'22.10.</t>
        </is>
      </c>
      <c r="C26" s="132" t="n">
        <v>475</v>
      </c>
      <c r="D26" s="130" t="n">
        <v>126.4</v>
      </c>
      <c r="E26" s="131" t="n">
        <v>38</v>
      </c>
      <c r="F26" s="130" t="n">
        <v>101.9</v>
      </c>
      <c r="G26" s="17" t="n">
        <v>31</v>
      </c>
      <c r="H26" s="132" t="n">
        <v>248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126A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위례신도시중흥S-클래스</t>
        </is>
      </c>
      <c r="B27" s="10" t="inlineStr">
        <is>
          <t>'22.10.</t>
        </is>
      </c>
      <c r="C27" s="132" t="n">
        <v>475</v>
      </c>
      <c r="D27" s="130" t="n">
        <v>126.7</v>
      </c>
      <c r="E27" s="131" t="n">
        <v>38</v>
      </c>
      <c r="F27" s="130" t="n">
        <v>101.7</v>
      </c>
      <c r="G27" s="17" t="n">
        <v>31</v>
      </c>
      <c r="H27" s="132" t="n">
        <v>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126B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위례신도시중흥S-클래스</t>
        </is>
      </c>
      <c r="B28" s="10" t="inlineStr">
        <is>
          <t>'22.10.</t>
        </is>
      </c>
      <c r="C28" s="132" t="n">
        <v>475</v>
      </c>
      <c r="D28" s="130" t="n">
        <v>127.4</v>
      </c>
      <c r="E28" s="131" t="n">
        <v>39</v>
      </c>
      <c r="F28" s="130" t="n">
        <v>101.8</v>
      </c>
      <c r="G28" s="17" t="n">
        <v>31</v>
      </c>
      <c r="H28" s="132" t="n">
        <v>45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127C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위례신도시중흥S-클래스</t>
        </is>
      </c>
      <c r="B29" s="10" t="inlineStr">
        <is>
          <t>'22.10.</t>
        </is>
      </c>
      <c r="C29" s="132" t="n">
        <v>475</v>
      </c>
      <c r="D29" s="130" t="n">
        <v>161.5</v>
      </c>
      <c r="E29" s="131" t="n">
        <v>49</v>
      </c>
      <c r="F29" s="130" t="n">
        <v>130.5</v>
      </c>
      <c r="G29" s="17" t="n">
        <v>39</v>
      </c>
      <c r="H29" s="132" t="n">
        <v>76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위례신도시중흥S-클래스</t>
        </is>
      </c>
      <c r="B30" s="10" t="inlineStr">
        <is>
          <t>'22.10.</t>
        </is>
      </c>
      <c r="C30" s="132" t="n">
        <v>475</v>
      </c>
      <c r="D30" s="130" t="n">
        <v>180.4</v>
      </c>
      <c r="E30" s="131" t="n">
        <v>55</v>
      </c>
      <c r="F30" s="130" t="n">
        <v>145.9</v>
      </c>
      <c r="G30" s="17" t="n">
        <v>44</v>
      </c>
      <c r="H30" s="132" t="n">
        <v>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180T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위례신도시중흥S-클래스</t>
        </is>
      </c>
      <c r="B31" s="10" t="inlineStr">
        <is>
          <t>'22.10.</t>
        </is>
      </c>
      <c r="C31" s="132" t="n">
        <v>475</v>
      </c>
      <c r="D31" s="130" t="n">
        <v>214.7</v>
      </c>
      <c r="E31" s="131" t="n">
        <v>65</v>
      </c>
      <c r="F31" s="130" t="n">
        <v>172.5</v>
      </c>
      <c r="G31" s="17" t="n">
        <v>52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5</v>
      </c>
      <c r="R31" s="120" t="n">
        <v>3</v>
      </c>
      <c r="S31" s="120" t="inlineStr">
        <is>
          <t>계</t>
        </is>
      </c>
      <c r="T31" s="5" t="inlineStr">
        <is>
          <t>214P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위례신도시중흥S-클래스</t>
        </is>
      </c>
      <c r="B32" s="10" t="inlineStr">
        <is>
          <t>'22.10.</t>
        </is>
      </c>
      <c r="C32" s="132" t="n">
        <v>475</v>
      </c>
      <c r="D32" s="130" t="n">
        <v>293.1</v>
      </c>
      <c r="E32" s="131" t="n">
        <v>89</v>
      </c>
      <c r="F32" s="130" t="n">
        <v>237</v>
      </c>
      <c r="G32" s="17" t="n">
        <v>72</v>
      </c>
      <c r="H32" s="132" t="n">
        <v>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6</v>
      </c>
      <c r="R32" s="120" t="n">
        <v>4</v>
      </c>
      <c r="S32" s="120" t="inlineStr">
        <is>
          <t>계</t>
        </is>
      </c>
      <c r="T32" s="5" t="inlineStr">
        <is>
          <t>293T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플로리체위례</t>
        </is>
      </c>
      <c r="B34" s="10" t="inlineStr">
        <is>
          <t>'15.10.</t>
        </is>
      </c>
      <c r="C34" s="132" t="n">
        <v>970</v>
      </c>
      <c r="D34" s="130" t="n">
        <v>124.7</v>
      </c>
      <c r="E34" s="131" t="n">
        <v>38</v>
      </c>
      <c r="F34" s="130" t="n">
        <v>96</v>
      </c>
      <c r="G34" s="17" t="n">
        <v>29</v>
      </c>
      <c r="H34" s="132" t="n">
        <v>132</v>
      </c>
      <c r="I34" s="133" t="n">
        <v>165000</v>
      </c>
      <c r="J34" s="133" t="inlineStr">
        <is>
          <t>고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124A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플로리체위례</t>
        </is>
      </c>
      <c r="B35" s="10" t="inlineStr">
        <is>
          <t>'15.10.</t>
        </is>
      </c>
      <c r="C35" s="132" t="n">
        <v>970</v>
      </c>
      <c r="D35" s="130" t="n">
        <v>124.1</v>
      </c>
      <c r="E35" s="131" t="n">
        <v>38</v>
      </c>
      <c r="F35" s="130" t="n">
        <v>96</v>
      </c>
      <c r="G35" s="17" t="n">
        <v>29</v>
      </c>
      <c r="H35" s="132" t="n">
        <v>132</v>
      </c>
      <c r="I35" s="133" t="n">
        <v>165000</v>
      </c>
      <c r="J35" s="133" t="inlineStr">
        <is>
          <t>중</t>
        </is>
      </c>
      <c r="K35" s="133" t="n">
        <v>78000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124D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플로리체위례</t>
        </is>
      </c>
      <c r="B36" s="10" t="inlineStr">
        <is>
          <t>'15.10.</t>
        </is>
      </c>
      <c r="C36" s="132" t="n">
        <v>970</v>
      </c>
      <c r="D36" s="130" t="n">
        <v>124.4</v>
      </c>
      <c r="E36" s="131" t="n">
        <v>38</v>
      </c>
      <c r="F36" s="130" t="n">
        <v>96</v>
      </c>
      <c r="G36" s="17" t="n">
        <v>29</v>
      </c>
      <c r="H36" s="132" t="n">
        <v>95</v>
      </c>
      <c r="I36" s="133" t="n">
        <v>160000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124C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플로리체위례</t>
        </is>
      </c>
      <c r="B37" s="10" t="inlineStr">
        <is>
          <t>'15.10.</t>
        </is>
      </c>
      <c r="C37" s="132" t="n">
        <v>970</v>
      </c>
      <c r="D37" s="130" t="n">
        <v>125.2</v>
      </c>
      <c r="E37" s="131" t="n">
        <v>38</v>
      </c>
      <c r="F37" s="130" t="n">
        <v>96</v>
      </c>
      <c r="G37" s="17" t="n">
        <v>29</v>
      </c>
      <c r="H37" s="132" t="n">
        <v>243</v>
      </c>
      <c r="I37" s="133" t="n">
        <v>155000</v>
      </c>
      <c r="J37" s="133" t="inlineStr">
        <is>
          <t>12</t>
        </is>
      </c>
      <c r="K37" s="133" t="n">
        <v>85000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125B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플로리체위례</t>
        </is>
      </c>
      <c r="B38" s="10" t="inlineStr">
        <is>
          <t>'15.10.</t>
        </is>
      </c>
      <c r="C38" s="132" t="n">
        <v>970</v>
      </c>
      <c r="D38" s="130" t="n">
        <v>132.2</v>
      </c>
      <c r="E38" s="131" t="n">
        <v>40</v>
      </c>
      <c r="F38" s="130" t="n">
        <v>102</v>
      </c>
      <c r="G38" s="17" t="n">
        <v>31</v>
      </c>
      <c r="H38" s="132" t="n">
        <v>368</v>
      </c>
      <c r="I38" s="133" t="n">
        <v>165000</v>
      </c>
      <c r="J38" s="133" t="inlineStr">
        <is>
          <t>고</t>
        </is>
      </c>
      <c r="K38" s="133" t="n">
        <v>80000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132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위례신도시엠코타운센트로엘</t>
        </is>
      </c>
      <c r="B40" s="10" t="inlineStr">
        <is>
          <t>'16.06.</t>
        </is>
      </c>
      <c r="C40" s="132" t="n">
        <v>673</v>
      </c>
      <c r="D40" s="130" t="n">
        <v>124.5</v>
      </c>
      <c r="E40" s="131" t="n">
        <v>38</v>
      </c>
      <c r="F40" s="130" t="n">
        <v>95.40000000000001</v>
      </c>
      <c r="G40" s="17" t="n">
        <v>29</v>
      </c>
      <c r="H40" s="132" t="n">
        <v>161</v>
      </c>
      <c r="I40" s="133" t="n">
        <v>168000</v>
      </c>
      <c r="J40" s="133" t="inlineStr">
        <is>
          <t>7</t>
        </is>
      </c>
      <c r="K40" s="133" t="n">
        <v>80000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124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위례신도시엠코타운센트로엘</t>
        </is>
      </c>
      <c r="B41" s="10" t="inlineStr">
        <is>
          <t>'16.06.</t>
        </is>
      </c>
      <c r="C41" s="132" t="n">
        <v>673</v>
      </c>
      <c r="D41" s="130" t="n">
        <v>128.5</v>
      </c>
      <c r="E41" s="131" t="n">
        <v>39</v>
      </c>
      <c r="F41" s="130" t="n">
        <v>98.8</v>
      </c>
      <c r="G41" s="17" t="n">
        <v>30</v>
      </c>
      <c r="H41" s="132" t="n">
        <v>265</v>
      </c>
      <c r="I41" s="133" t="n">
        <v>170000</v>
      </c>
      <c r="J41" s="133" t="inlineStr">
        <is>
          <t>중</t>
        </is>
      </c>
      <c r="K41" s="133" t="n">
        <v>90000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위례신도시엠코타운센트로엘</t>
        </is>
      </c>
      <c r="B42" s="10" t="inlineStr">
        <is>
          <t>'16.06.</t>
        </is>
      </c>
      <c r="C42" s="132" t="n">
        <v>673</v>
      </c>
      <c r="D42" s="130" t="n">
        <v>128</v>
      </c>
      <c r="E42" s="131" t="n">
        <v>39</v>
      </c>
      <c r="F42" s="130" t="n">
        <v>98.8</v>
      </c>
      <c r="G42" s="17" t="n">
        <v>30</v>
      </c>
      <c r="H42" s="132" t="n">
        <v>247</v>
      </c>
      <c r="I42" s="133" t="n">
        <v>175000</v>
      </c>
      <c r="J42" s="133" t="inlineStr">
        <is>
          <t>중</t>
        </is>
      </c>
      <c r="K42" s="133" t="n">
        <v>85000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128A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LH위례포엘리움</t>
        </is>
      </c>
      <c r="B44" s="10" t="inlineStr">
        <is>
          <t>'21.09.</t>
        </is>
      </c>
      <c r="C44" s="132" t="n">
        <v>508</v>
      </c>
      <c r="D44" s="130" t="n">
        <v>68.59999999999999</v>
      </c>
      <c r="E44" s="131" t="n">
        <v>21</v>
      </c>
      <c r="F44" s="130" t="n">
        <v>46.9</v>
      </c>
      <c r="G44" s="17" t="n">
        <v>14</v>
      </c>
      <c r="H44" s="132" t="n">
        <v>115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계</t>
        </is>
      </c>
      <c r="T44" s="5" t="inlineStr">
        <is>
          <t>68A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LH위례포엘리움</t>
        </is>
      </c>
      <c r="B45" s="10" t="inlineStr">
        <is>
          <t>'21.09.</t>
        </is>
      </c>
      <c r="C45" s="132" t="n">
        <v>508</v>
      </c>
      <c r="D45" s="130" t="n">
        <v>68.5</v>
      </c>
      <c r="E45" s="131" t="n">
        <v>21</v>
      </c>
      <c r="F45" s="130" t="n">
        <v>46.8</v>
      </c>
      <c r="G45" s="17" t="n">
        <v>14</v>
      </c>
      <c r="H45" s="132" t="n">
        <v>68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계</t>
        </is>
      </c>
      <c r="T45" s="5" t="inlineStr">
        <is>
          <t>68B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LH위례포엘리움</t>
        </is>
      </c>
      <c r="B46" s="10" t="inlineStr">
        <is>
          <t>'21.09.</t>
        </is>
      </c>
      <c r="C46" s="132" t="n">
        <v>508</v>
      </c>
      <c r="D46" s="130" t="n">
        <v>68.40000000000001</v>
      </c>
      <c r="E46" s="131" t="n">
        <v>21</v>
      </c>
      <c r="F46" s="130" t="n">
        <v>46.8</v>
      </c>
      <c r="G46" s="17" t="n">
        <v>14</v>
      </c>
      <c r="H46" s="132" t="n">
        <v>14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inlineStr">
        <is>
          <t>68B-1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LH위례포엘리움</t>
        </is>
      </c>
      <c r="B47" s="10" t="inlineStr">
        <is>
          <t>'21.09.</t>
        </is>
      </c>
      <c r="C47" s="132" t="n">
        <v>508</v>
      </c>
      <c r="D47" s="130" t="n">
        <v>68.59999999999999</v>
      </c>
      <c r="E47" s="131" t="n">
        <v>21</v>
      </c>
      <c r="F47" s="130" t="n">
        <v>46.9</v>
      </c>
      <c r="G47" s="17" t="n">
        <v>14</v>
      </c>
      <c r="H47" s="132" t="n">
        <v>12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68A-1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LH위례포엘리움</t>
        </is>
      </c>
      <c r="B48" s="10" t="inlineStr">
        <is>
          <t>'21.09.</t>
        </is>
      </c>
      <c r="C48" s="132" t="n">
        <v>508</v>
      </c>
      <c r="D48" s="130" t="n">
        <v>81.8</v>
      </c>
      <c r="E48" s="131" t="n">
        <v>25</v>
      </c>
      <c r="F48" s="130" t="n">
        <v>56</v>
      </c>
      <c r="G48" s="17" t="n">
        <v>17</v>
      </c>
      <c r="H48" s="132" t="n">
        <v>70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2</v>
      </c>
      <c r="S48" s="120" t="inlineStr">
        <is>
          <t>계</t>
        </is>
      </c>
      <c r="T48" s="5" t="inlineStr">
        <is>
          <t>81A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LH위례포엘리움</t>
        </is>
      </c>
      <c r="B49" s="10" t="inlineStr">
        <is>
          <t>'21.09.</t>
        </is>
      </c>
      <c r="C49" s="132" t="n">
        <v>508</v>
      </c>
      <c r="D49" s="130" t="n">
        <v>81.8</v>
      </c>
      <c r="E49" s="131" t="n">
        <v>25</v>
      </c>
      <c r="F49" s="130" t="n">
        <v>56</v>
      </c>
      <c r="G49" s="17" t="n">
        <v>17</v>
      </c>
      <c r="H49" s="132" t="n">
        <v>45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2</v>
      </c>
      <c r="S49" s="120" t="inlineStr">
        <is>
          <t>계</t>
        </is>
      </c>
      <c r="T49" s="5" t="inlineStr">
        <is>
          <t>81B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LH위례포엘리움</t>
        </is>
      </c>
      <c r="B50" s="10" t="inlineStr">
        <is>
          <t>'21.09.</t>
        </is>
      </c>
      <c r="C50" s="132" t="n">
        <v>508</v>
      </c>
      <c r="D50" s="130" t="n">
        <v>81.8</v>
      </c>
      <c r="E50" s="131" t="n">
        <v>25</v>
      </c>
      <c r="F50" s="130" t="n">
        <v>56</v>
      </c>
      <c r="G50" s="17" t="n">
        <v>17</v>
      </c>
      <c r="H50" s="132" t="n">
        <v>12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2</v>
      </c>
      <c r="S50" s="120" t="inlineStr">
        <is>
          <t>계</t>
        </is>
      </c>
      <c r="T50" s="5" t="inlineStr">
        <is>
          <t>81B-1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LH위례포엘리움</t>
        </is>
      </c>
      <c r="B51" s="10" t="inlineStr">
        <is>
          <t>'21.09.</t>
        </is>
      </c>
      <c r="C51" s="132" t="n">
        <v>508</v>
      </c>
      <c r="D51" s="130" t="n">
        <v>81.8</v>
      </c>
      <c r="E51" s="131" t="n">
        <v>25</v>
      </c>
      <c r="F51" s="130" t="n">
        <v>56</v>
      </c>
      <c r="G51" s="17" t="n">
        <v>17</v>
      </c>
      <c r="H51" s="132" t="n">
        <v>9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2</v>
      </c>
      <c r="S51" s="120" t="inlineStr">
        <is>
          <t>계</t>
        </is>
      </c>
      <c r="T51" s="5" t="inlineStr">
        <is>
          <t>81A-1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위례신도시신안인스빌아스트로</t>
        </is>
      </c>
      <c r="B53" s="10" t="inlineStr">
        <is>
          <t>'17.02.</t>
        </is>
      </c>
      <c r="C53" s="132" t="n">
        <v>694</v>
      </c>
      <c r="D53" s="130" t="n">
        <v>123.8</v>
      </c>
      <c r="E53" s="131" t="n">
        <v>37</v>
      </c>
      <c r="F53" s="130" t="n">
        <v>97</v>
      </c>
      <c r="G53" s="17" t="n">
        <v>29</v>
      </c>
      <c r="H53" s="132" t="n">
        <v>273</v>
      </c>
      <c r="I53" s="133" t="n">
        <v>155000</v>
      </c>
      <c r="J53" s="133" t="inlineStr">
        <is>
          <t>중</t>
        </is>
      </c>
      <c r="K53" s="133" t="n">
        <v>75000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123A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위례신도시신안인스빌아스트로</t>
        </is>
      </c>
      <c r="B54" s="10" t="inlineStr">
        <is>
          <t>'17.02.</t>
        </is>
      </c>
      <c r="C54" s="132" t="n">
        <v>694</v>
      </c>
      <c r="D54" s="130" t="n">
        <v>124.7</v>
      </c>
      <c r="E54" s="131" t="n">
        <v>38</v>
      </c>
      <c r="F54" s="130" t="n">
        <v>96.90000000000001</v>
      </c>
      <c r="G54" s="17" t="n">
        <v>29</v>
      </c>
      <c r="H54" s="132" t="n">
        <v>197</v>
      </c>
      <c r="I54" s="133" t="n">
        <v>160000</v>
      </c>
      <c r="J54" s="133" t="inlineStr">
        <is>
          <t>중</t>
        </is>
      </c>
      <c r="K54" s="133" t="n">
        <v>80000</v>
      </c>
      <c r="L54" s="133" t="inlineStr">
        <is>
          <t>12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124B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위례신도시신안인스빌아스트로</t>
        </is>
      </c>
      <c r="B55" s="10" t="inlineStr">
        <is>
          <t>'17.02.</t>
        </is>
      </c>
      <c r="C55" s="132" t="n">
        <v>694</v>
      </c>
      <c r="D55" s="130" t="n">
        <v>131.3</v>
      </c>
      <c r="E55" s="131" t="n">
        <v>40</v>
      </c>
      <c r="F55" s="130" t="n">
        <v>101.2</v>
      </c>
      <c r="G55" s="17" t="n">
        <v>31</v>
      </c>
      <c r="H55" s="132" t="n">
        <v>149</v>
      </c>
      <c r="I55" s="133" t="n">
        <v>180000</v>
      </c>
      <c r="J55" s="133" t="inlineStr">
        <is>
          <t>18</t>
        </is>
      </c>
      <c r="K55" s="133" t="n">
        <v>90000</v>
      </c>
      <c r="L55" s="133" t="inlineStr">
        <is>
          <t>24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131A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위례신도시신안인스빌아스트로</t>
        </is>
      </c>
      <c r="B56" s="10" t="inlineStr">
        <is>
          <t>'17.02.</t>
        </is>
      </c>
      <c r="C56" s="132" t="n">
        <v>694</v>
      </c>
      <c r="D56" s="130" t="n">
        <v>131.2</v>
      </c>
      <c r="E56" s="131" t="n">
        <v>40</v>
      </c>
      <c r="F56" s="130" t="n">
        <v>101.7</v>
      </c>
      <c r="G56" s="17" t="n">
        <v>31</v>
      </c>
      <c r="H56" s="132" t="n">
        <v>75</v>
      </c>
      <c r="I56" s="133" t="n">
        <v>195000</v>
      </c>
      <c r="J56" s="133" t="inlineStr">
        <is>
          <t>5</t>
        </is>
      </c>
      <c r="K56" s="133" t="n">
        <v>85000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inlineStr">
        <is>
          <t>131B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힐스테이트센트럴위례</t>
        </is>
      </c>
      <c r="B58" s="10" t="inlineStr">
        <is>
          <t>'21.05.</t>
        </is>
      </c>
      <c r="C58" s="132" t="n">
        <v>1078</v>
      </c>
      <c r="D58" s="130" t="n">
        <v>116.2</v>
      </c>
      <c r="E58" s="131" t="n">
        <v>35</v>
      </c>
      <c r="F58" s="130" t="n">
        <v>92.40000000000001</v>
      </c>
      <c r="G58" s="17" t="n">
        <v>28</v>
      </c>
      <c r="H58" s="132" t="n">
        <v>167</v>
      </c>
      <c r="I58" s="133" t="n"/>
      <c r="J58" s="133" t="n"/>
      <c r="K58" s="133" t="n">
        <v>80000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116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힐스테이트센트럴위례</t>
        </is>
      </c>
      <c r="B59" s="10" t="inlineStr">
        <is>
          <t>'21.05.</t>
        </is>
      </c>
      <c r="C59" s="132" t="n">
        <v>1078</v>
      </c>
      <c r="D59" s="130" t="n">
        <v>126.3</v>
      </c>
      <c r="E59" s="131" t="n">
        <v>38</v>
      </c>
      <c r="F59" s="130" t="n">
        <v>98.7</v>
      </c>
      <c r="G59" s="17" t="n">
        <v>30</v>
      </c>
      <c r="H59" s="132" t="n">
        <v>192</v>
      </c>
      <c r="I59" s="133" t="n"/>
      <c r="J59" s="133" t="n"/>
      <c r="K59" s="133" t="n">
        <v>77000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126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힐스테이트센트럴위례</t>
        </is>
      </c>
      <c r="B60" s="10" t="inlineStr">
        <is>
          <t>'21.05.</t>
        </is>
      </c>
      <c r="C60" s="132" t="n">
        <v>1078</v>
      </c>
      <c r="D60" s="130" t="n">
        <v>130.1</v>
      </c>
      <c r="E60" s="131" t="n">
        <v>39</v>
      </c>
      <c r="F60" s="130" t="n">
        <v>102.6</v>
      </c>
      <c r="G60" s="17" t="n">
        <v>31</v>
      </c>
      <c r="H60" s="132" t="n">
        <v>719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130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위례신도시우미린2차</t>
        </is>
      </c>
      <c r="B62" s="10" t="inlineStr">
        <is>
          <t>'22.12.</t>
        </is>
      </c>
      <c r="C62" s="132" t="n">
        <v>420</v>
      </c>
      <c r="D62" s="130" t="n">
        <v>113.9</v>
      </c>
      <c r="E62" s="131" t="n">
        <v>34</v>
      </c>
      <c r="F62" s="130" t="n">
        <v>90.40000000000001</v>
      </c>
      <c r="G62" s="17" t="n">
        <v>27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inlineStr">
        <is>
          <t>113A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위례신도시우미린2차</t>
        </is>
      </c>
      <c r="B63" s="10" t="inlineStr">
        <is>
          <t>'22.12.</t>
        </is>
      </c>
      <c r="C63" s="132" t="n">
        <v>420</v>
      </c>
      <c r="D63" s="130" t="n">
        <v>128.2</v>
      </c>
      <c r="E63" s="131" t="n">
        <v>39</v>
      </c>
      <c r="F63" s="130" t="n">
        <v>102.2</v>
      </c>
      <c r="G63" s="17" t="n">
        <v>31</v>
      </c>
      <c r="H63" s="132" t="n">
        <v>163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128A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위례신도시우미린2차</t>
        </is>
      </c>
      <c r="B64" s="10" t="inlineStr">
        <is>
          <t>'22.12.</t>
        </is>
      </c>
      <c r="C64" s="132" t="n">
        <v>420</v>
      </c>
      <c r="D64" s="130" t="n">
        <v>129.9</v>
      </c>
      <c r="E64" s="131" t="n">
        <v>39</v>
      </c>
      <c r="F64" s="130" t="n">
        <v>102.5</v>
      </c>
      <c r="G64" s="17" t="n">
        <v>31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inlineStr">
        <is>
          <t>129B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위례신도시우미린2차</t>
        </is>
      </c>
      <c r="B65" s="10" t="inlineStr">
        <is>
          <t>'22.12.</t>
        </is>
      </c>
      <c r="C65" s="132" t="n">
        <v>420</v>
      </c>
      <c r="D65" s="130" t="n">
        <v>149.3</v>
      </c>
      <c r="E65" s="131" t="n">
        <v>45</v>
      </c>
      <c r="F65" s="130" t="n">
        <v>119.3</v>
      </c>
      <c r="G65" s="17" t="n">
        <v>36</v>
      </c>
      <c r="H65" s="132" t="n">
        <v>144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inlineStr">
        <is>
          <t>149A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위례신도시우미린1차</t>
        </is>
      </c>
      <c r="B67" s="10" t="inlineStr">
        <is>
          <t>'22.01.</t>
        </is>
      </c>
      <c r="C67" s="132" t="n">
        <v>875</v>
      </c>
      <c r="D67" s="130" t="n">
        <v>130.2</v>
      </c>
      <c r="E67" s="131" t="n">
        <v>39</v>
      </c>
      <c r="F67" s="130" t="n">
        <v>102.2</v>
      </c>
      <c r="G67" s="17" t="n">
        <v>31</v>
      </c>
      <c r="H67" s="132" t="n">
        <v>248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inlineStr">
        <is>
          <t>130A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위례신도시우미린1차</t>
        </is>
      </c>
      <c r="B68" s="10" t="inlineStr">
        <is>
          <t>'22.01.</t>
        </is>
      </c>
      <c r="C68" s="132" t="n">
        <v>875</v>
      </c>
      <c r="D68" s="130" t="n">
        <v>130</v>
      </c>
      <c r="E68" s="131" t="n">
        <v>39</v>
      </c>
      <c r="F68" s="130" t="n">
        <v>102.1</v>
      </c>
      <c r="G68" s="17" t="n">
        <v>31</v>
      </c>
      <c r="H68" s="132" t="n">
        <v>171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inlineStr">
        <is>
          <t>130A1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위례신도시우미린1차</t>
        </is>
      </c>
      <c r="B69" s="10" t="inlineStr">
        <is>
          <t>'22.01.</t>
        </is>
      </c>
      <c r="C69" s="132" t="n">
        <v>875</v>
      </c>
      <c r="D69" s="130" t="n">
        <v>130.4</v>
      </c>
      <c r="E69" s="131" t="n">
        <v>39</v>
      </c>
      <c r="F69" s="130" t="n">
        <v>102.4</v>
      </c>
      <c r="G69" s="17" t="n">
        <v>31</v>
      </c>
      <c r="H69" s="132" t="n">
        <v>10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130A2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위례신도시우미린1차</t>
        </is>
      </c>
      <c r="B70" s="10" t="inlineStr">
        <is>
          <t>'22.01.</t>
        </is>
      </c>
      <c r="C70" s="132" t="n">
        <v>875</v>
      </c>
      <c r="D70" s="130" t="n">
        <v>131.1</v>
      </c>
      <c r="E70" s="131" t="n">
        <v>40</v>
      </c>
      <c r="F70" s="130" t="n">
        <v>102.2</v>
      </c>
      <c r="G70" s="17" t="n">
        <v>31</v>
      </c>
      <c r="H70" s="132" t="n">
        <v>172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inlineStr">
        <is>
          <t>131C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위례신도시우미린1차</t>
        </is>
      </c>
      <c r="B71" s="10" t="inlineStr">
        <is>
          <t>'22.01.</t>
        </is>
      </c>
      <c r="C71" s="132" t="n">
        <v>875</v>
      </c>
      <c r="D71" s="130" t="n">
        <v>132</v>
      </c>
      <c r="E71" s="131" t="n">
        <v>40</v>
      </c>
      <c r="F71" s="130" t="n">
        <v>102.2</v>
      </c>
      <c r="G71" s="17" t="n">
        <v>31</v>
      </c>
      <c r="H71" s="132" t="n">
        <v>77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131B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위례신도시우미린1차</t>
        </is>
      </c>
      <c r="B72" s="10" t="inlineStr">
        <is>
          <t>'22.01.</t>
        </is>
      </c>
      <c r="C72" s="132" t="n">
        <v>875</v>
      </c>
      <c r="D72" s="130" t="n">
        <v>131.9</v>
      </c>
      <c r="E72" s="131" t="n">
        <v>40</v>
      </c>
      <c r="F72" s="130" t="n">
        <v>102.5</v>
      </c>
      <c r="G72" s="17" t="n">
        <v>31</v>
      </c>
      <c r="H72" s="132" t="n">
        <v>15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131D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위례신도시우미린1차</t>
        </is>
      </c>
      <c r="B73" s="10" t="inlineStr">
        <is>
          <t>'22.01.</t>
        </is>
      </c>
      <c r="C73" s="132" t="n">
        <v>875</v>
      </c>
      <c r="D73" s="130" t="n">
        <v>144</v>
      </c>
      <c r="E73" s="131" t="n">
        <v>44</v>
      </c>
      <c r="F73" s="130" t="n">
        <v>113.1</v>
      </c>
      <c r="G73" s="17" t="n">
        <v>34</v>
      </c>
      <c r="H73" s="132" t="n">
        <v>163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144A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위례신도시우미린1차</t>
        </is>
      </c>
      <c r="B74" s="10" t="inlineStr">
        <is>
          <t>'22.01.</t>
        </is>
      </c>
      <c r="C74" s="132" t="n">
        <v>875</v>
      </c>
      <c r="D74" s="130" t="n">
        <v>144.9</v>
      </c>
      <c r="E74" s="131" t="n">
        <v>44</v>
      </c>
      <c r="F74" s="130" t="n">
        <v>113.6</v>
      </c>
      <c r="G74" s="17" t="n">
        <v>34</v>
      </c>
      <c r="H74" s="132" t="n">
        <v>14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144A1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위례신도시우미린1차</t>
        </is>
      </c>
      <c r="B75" s="10" t="inlineStr">
        <is>
          <t>'22.01.</t>
        </is>
      </c>
      <c r="C75" s="132" t="n">
        <v>875</v>
      </c>
      <c r="D75" s="130" t="n">
        <v>144.9</v>
      </c>
      <c r="E75" s="131" t="n">
        <v>44</v>
      </c>
      <c r="F75" s="130" t="n">
        <v>114.9</v>
      </c>
      <c r="G75" s="17" t="n">
        <v>35</v>
      </c>
      <c r="H75" s="132" t="n">
        <v>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inlineStr">
        <is>
          <t>144T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n"/>
      <c r="B76" s="120" t="n"/>
      <c r="C76" s="6" t="n"/>
      <c r="D76" s="9" t="n"/>
      <c r="E76" s="14" t="n"/>
      <c r="F76" s="130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5" t="n"/>
      <c r="P76" s="135" t="n"/>
      <c r="Q76" s="131" t="n"/>
      <c r="R76" s="131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55">
        <f>IF(E76="","",E76)</f>
        <v/>
      </c>
      <c r="AJ76" s="120" t="n"/>
      <c r="AK76" s="120" t="n"/>
      <c r="AL76" s="120" t="n"/>
      <c r="AM76" s="120" t="n"/>
      <c r="AN76" s="120" t="n"/>
      <c r="AO76" s="120" t="n"/>
      <c r="AP76" s="120" t="n"/>
      <c r="AQ76" s="120" t="n"/>
      <c r="AR76" s="120" t="n"/>
      <c r="AS76" s="120" t="n"/>
      <c r="AT76" s="120" t="n"/>
      <c r="AU76" s="120" t="n"/>
      <c r="AV76" s="120" t="n"/>
    </row>
    <row r="77">
      <c r="A77" s="9" t="inlineStr">
        <is>
          <t>위례롯데캐슬</t>
        </is>
      </c>
      <c r="B77" s="10" t="inlineStr">
        <is>
          <t>'16.01.</t>
        </is>
      </c>
      <c r="C77" s="132" t="n">
        <v>1673</v>
      </c>
      <c r="D77" s="130" t="n">
        <v>101.5</v>
      </c>
      <c r="E77" s="131" t="n">
        <v>31</v>
      </c>
      <c r="F77" s="130" t="n">
        <v>75.5</v>
      </c>
      <c r="G77" s="17" t="n">
        <v>23</v>
      </c>
      <c r="H77" s="132" t="n">
        <v>292</v>
      </c>
      <c r="I77" s="133" t="n">
        <v>122000</v>
      </c>
      <c r="J77" s="133" t="inlineStr">
        <is>
          <t>15</t>
        </is>
      </c>
      <c r="K77" s="133" t="n">
        <v>63000</v>
      </c>
      <c r="L77" s="133" t="inlineStr">
        <is>
          <t>24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101B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위례롯데캐슬</t>
        </is>
      </c>
      <c r="B78" s="10" t="inlineStr">
        <is>
          <t>'16.01.</t>
        </is>
      </c>
      <c r="C78" s="132" t="n">
        <v>1673</v>
      </c>
      <c r="D78" s="130" t="n">
        <v>101.5</v>
      </c>
      <c r="E78" s="131" t="n">
        <v>31</v>
      </c>
      <c r="F78" s="130" t="n">
        <v>75.5</v>
      </c>
      <c r="G78" s="17" t="n">
        <v>23</v>
      </c>
      <c r="H78" s="132" t="n">
        <v>92</v>
      </c>
      <c r="I78" s="133" t="n">
        <v>122000</v>
      </c>
      <c r="J78" s="133" t="inlineStr">
        <is>
          <t>15</t>
        </is>
      </c>
      <c r="K78" s="133" t="n">
        <v>63000</v>
      </c>
      <c r="L78" s="133" t="inlineStr">
        <is>
          <t>24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위례롯데캐슬</t>
        </is>
      </c>
      <c r="B79" s="10" t="inlineStr">
        <is>
          <t>'16.01.</t>
        </is>
      </c>
      <c r="C79" s="132" t="n">
        <v>1673</v>
      </c>
      <c r="D79" s="130" t="n">
        <v>101.5</v>
      </c>
      <c r="E79" s="131" t="n">
        <v>31</v>
      </c>
      <c r="F79" s="130" t="n">
        <v>75.5</v>
      </c>
      <c r="G79" s="17" t="n">
        <v>23</v>
      </c>
      <c r="H79" s="132" t="n">
        <v>54</v>
      </c>
      <c r="I79" s="133" t="n">
        <v>122000</v>
      </c>
      <c r="J79" s="133" t="inlineStr">
        <is>
          <t>15</t>
        </is>
      </c>
      <c r="K79" s="133" t="n">
        <v>63000</v>
      </c>
      <c r="L79" s="133" t="inlineStr">
        <is>
          <t>24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101C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위례롯데캐슬</t>
        </is>
      </c>
      <c r="B80" s="10" t="inlineStr">
        <is>
          <t>'16.01.</t>
        </is>
      </c>
      <c r="C80" s="132" t="n">
        <v>1673</v>
      </c>
      <c r="D80" s="130" t="n">
        <v>114.2</v>
      </c>
      <c r="E80" s="131" t="n">
        <v>35</v>
      </c>
      <c r="F80" s="130" t="n">
        <v>85</v>
      </c>
      <c r="G80" s="17" t="n">
        <v>26</v>
      </c>
      <c r="H80" s="132" t="n">
        <v>699</v>
      </c>
      <c r="I80" s="133" t="n">
        <v>130000</v>
      </c>
      <c r="J80" s="133" t="inlineStr">
        <is>
          <t>중</t>
        </is>
      </c>
      <c r="K80" s="133" t="n">
        <v>60000</v>
      </c>
      <c r="L80" s="133" t="inlineStr">
        <is>
          <t>중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114A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위례롯데캐슬</t>
        </is>
      </c>
      <c r="B81" s="10" t="inlineStr">
        <is>
          <t>'16.01.</t>
        </is>
      </c>
      <c r="C81" s="132" t="n">
        <v>1673</v>
      </c>
      <c r="D81" s="130" t="n">
        <v>114.2</v>
      </c>
      <c r="E81" s="131" t="n">
        <v>35</v>
      </c>
      <c r="F81" s="130" t="n">
        <v>85</v>
      </c>
      <c r="G81" s="17" t="n">
        <v>26</v>
      </c>
      <c r="H81" s="132" t="n">
        <v>482</v>
      </c>
      <c r="I81" s="133" t="n">
        <v>130000</v>
      </c>
      <c r="J81" s="133" t="inlineStr">
        <is>
          <t>중</t>
        </is>
      </c>
      <c r="K81" s="133" t="n">
        <v>60000</v>
      </c>
      <c r="L81" s="133" t="inlineStr">
        <is>
          <t>중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114B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위례롯데캐슬</t>
        </is>
      </c>
      <c r="B82" s="10" t="inlineStr">
        <is>
          <t>'16.01.</t>
        </is>
      </c>
      <c r="C82" s="132" t="n">
        <v>1673</v>
      </c>
      <c r="D82" s="130" t="n">
        <v>114.2</v>
      </c>
      <c r="E82" s="131" t="n">
        <v>35</v>
      </c>
      <c r="F82" s="130" t="n">
        <v>85</v>
      </c>
      <c r="G82" s="17" t="n">
        <v>26</v>
      </c>
      <c r="H82" s="132" t="n">
        <v>54</v>
      </c>
      <c r="I82" s="133" t="n">
        <v>130000</v>
      </c>
      <c r="J82" s="133" t="inlineStr">
        <is>
          <t>중</t>
        </is>
      </c>
      <c r="K82" s="133" t="n">
        <v>60000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114C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 N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19">
    <cfRule type="expression" priority="1089" dxfId="23">
      <formula>AV19="X"</formula>
    </cfRule>
    <cfRule type="expression" priority="1090" dxfId="22">
      <formula>AV19="후보"</formula>
    </cfRule>
  </conditionalFormatting>
  <conditionalFormatting sqref="AC1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23">
      <formula>AV20="X"</formula>
    </cfRule>
    <cfRule type="expression" priority="1071" dxfId="22">
      <formula>AV20="후보"</formula>
    </cfRule>
  </conditionalFormatting>
  <conditionalFormatting sqref="AC2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0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23">
      <formula>AV21="X"</formula>
    </cfRule>
    <cfRule type="expression" priority="1052" dxfId="22">
      <formula>AV21="후보"</formula>
    </cfRule>
  </conditionalFormatting>
  <conditionalFormatting sqref="AC2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 N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6">
    <cfRule type="expression" priority="970" dxfId="23">
      <formula>AV26="X"</formula>
    </cfRule>
    <cfRule type="expression" priority="971" dxfId="22">
      <formula>AV26="후보"</formula>
    </cfRule>
  </conditionalFormatting>
  <conditionalFormatting sqref="AC2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23">
      <formula>AV27="X"</formula>
    </cfRule>
    <cfRule type="expression" priority="952" dxfId="22">
      <formula>AV27="후보"</formula>
    </cfRule>
  </conditionalFormatting>
  <conditionalFormatting sqref="AC2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 N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34">
    <cfRule type="expression" priority="832" dxfId="23">
      <formula>AV34="X"</formula>
    </cfRule>
    <cfRule type="expression" priority="833" dxfId="22">
      <formula>AV34="후보"</formula>
    </cfRule>
  </conditionalFormatting>
  <conditionalFormatting sqref="AC3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 N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40">
    <cfRule type="expression" priority="732" dxfId="23">
      <formula>AV40="X"</formula>
    </cfRule>
    <cfRule type="expression" priority="733" dxfId="22">
      <formula>AV40="후보"</formula>
    </cfRule>
  </conditionalFormatting>
  <conditionalFormatting sqref="AC4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4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23">
      <formula>AV41="X"</formula>
    </cfRule>
    <cfRule type="expression" priority="714" dxfId="22">
      <formula>AV41="후보"</formula>
    </cfRule>
  </conditionalFormatting>
  <conditionalFormatting sqref="AC4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4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23">
      <formula>AV42="X"</formula>
    </cfRule>
    <cfRule type="expression" priority="695" dxfId="22">
      <formula>AV42="후보"</formula>
    </cfRule>
  </conditionalFormatting>
  <conditionalFormatting sqref="AC4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4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23">
      <formula>AV43="X"</formula>
    </cfRule>
    <cfRule type="expression" priority="676" dxfId="22">
      <formula>AV43="후보"</formula>
    </cfRule>
  </conditionalFormatting>
  <conditionalFormatting sqref="AC43 N4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44">
    <cfRule type="expression" priority="670" dxfId="23">
      <formula>AV44="X"</formula>
    </cfRule>
    <cfRule type="expression" priority="671" dxfId="22">
      <formula>AV44="후보"</formula>
    </cfRule>
  </conditionalFormatting>
  <conditionalFormatting sqref="AC4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23">
      <formula>AV45="X"</formula>
    </cfRule>
    <cfRule type="expression" priority="652" dxfId="22">
      <formula>AV45="후보"</formula>
    </cfRule>
  </conditionalFormatting>
  <conditionalFormatting sqref="AC4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23">
      <formula>AV46="X"</formula>
    </cfRule>
    <cfRule type="expression" priority="633" dxfId="22">
      <formula>AV46="후보"</formula>
    </cfRule>
  </conditionalFormatting>
  <conditionalFormatting sqref="AC4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23">
      <formula>AV47="X"</formula>
    </cfRule>
    <cfRule type="expression" priority="614" dxfId="22">
      <formula>AV47="후보"</formula>
    </cfRule>
  </conditionalFormatting>
  <conditionalFormatting sqref="AC4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23">
      <formula>AV48="X"</formula>
    </cfRule>
    <cfRule type="expression" priority="595" dxfId="22">
      <formula>AV48="후보"</formula>
    </cfRule>
  </conditionalFormatting>
  <conditionalFormatting sqref="AC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23">
      <formula>AV49="X"</formula>
    </cfRule>
    <cfRule type="expression" priority="576" dxfId="22">
      <formula>AV49="후보"</formula>
    </cfRule>
  </conditionalFormatting>
  <conditionalFormatting sqref="AC4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23">
      <formula>AV50="X"</formula>
    </cfRule>
    <cfRule type="expression" priority="557" dxfId="22">
      <formula>AV50="후보"</formula>
    </cfRule>
  </conditionalFormatting>
  <conditionalFormatting sqref="AC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 N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53">
    <cfRule type="expression" priority="513" dxfId="23">
      <formula>AV53="X"</formula>
    </cfRule>
    <cfRule type="expression" priority="514" dxfId="22">
      <formula>AV53="후보"</formula>
    </cfRule>
  </conditionalFormatting>
  <conditionalFormatting sqref="AC5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23">
      <formula>AV54="X"</formula>
    </cfRule>
    <cfRule type="expression" priority="495" dxfId="22">
      <formula>AV54="후보"</formula>
    </cfRule>
  </conditionalFormatting>
  <conditionalFormatting sqref="AC5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23">
      <formula>AV55="X"</formula>
    </cfRule>
    <cfRule type="expression" priority="476" dxfId="22">
      <formula>AV55="후보"</formula>
    </cfRule>
  </conditionalFormatting>
  <conditionalFormatting sqref="AC5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23">
      <formula>AV56="X"</formula>
    </cfRule>
    <cfRule type="expression" priority="457" dxfId="22">
      <formula>AV56="후보"</formula>
    </cfRule>
  </conditionalFormatting>
  <conditionalFormatting sqref="AC5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23">
      <formula>AV57="X"</formula>
    </cfRule>
    <cfRule type="expression" priority="438" dxfId="22">
      <formula>AV57="후보"</formula>
    </cfRule>
  </conditionalFormatting>
  <conditionalFormatting sqref="AC57 N5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58">
    <cfRule type="expression" priority="432" dxfId="23">
      <formula>AV58="X"</formula>
    </cfRule>
    <cfRule type="expression" priority="433" dxfId="22">
      <formula>AV58="후보"</formula>
    </cfRule>
  </conditionalFormatting>
  <conditionalFormatting sqref="AC5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23">
      <formula>AV59="X"</formula>
    </cfRule>
    <cfRule type="expression" priority="414" dxfId="22">
      <formula>AV59="후보"</formula>
    </cfRule>
  </conditionalFormatting>
  <conditionalFormatting sqref="AC5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23">
      <formula>AV60="X"</formula>
    </cfRule>
    <cfRule type="expression" priority="395" dxfId="22">
      <formula>AV60="후보"</formula>
    </cfRule>
  </conditionalFormatting>
  <conditionalFormatting sqref="AC6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23">
      <formula>AV61="X"</formula>
    </cfRule>
    <cfRule type="expression" priority="376" dxfId="22">
      <formula>AV61="후보"</formula>
    </cfRule>
  </conditionalFormatting>
  <conditionalFormatting sqref="AC61 N6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62">
    <cfRule type="expression" priority="370" dxfId="23">
      <formula>AV62="X"</formula>
    </cfRule>
    <cfRule type="expression" priority="371" dxfId="22">
      <formula>AV62="후보"</formula>
    </cfRule>
  </conditionalFormatting>
  <conditionalFormatting sqref="AC6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23">
      <formula>AV63="X"</formula>
    </cfRule>
    <cfRule type="expression" priority="352" dxfId="22">
      <formula>AV63="후보"</formula>
    </cfRule>
  </conditionalFormatting>
  <conditionalFormatting sqref="AC6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23">
      <formula>AV64="X"</formula>
    </cfRule>
    <cfRule type="expression" priority="333" dxfId="22">
      <formula>AV64="후보"</formula>
    </cfRule>
  </conditionalFormatting>
  <conditionalFormatting sqref="AC6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23">
      <formula>AV65="X"</formula>
    </cfRule>
    <cfRule type="expression" priority="314" dxfId="22">
      <formula>AV65="후보"</formula>
    </cfRule>
  </conditionalFormatting>
  <conditionalFormatting sqref="AC6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23">
      <formula>AV66="X"</formula>
    </cfRule>
    <cfRule type="expression" priority="295" dxfId="22">
      <formula>AV66="후보"</formula>
    </cfRule>
  </conditionalFormatting>
  <conditionalFormatting sqref="AC66 N6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7">
    <cfRule type="expression" priority="289" dxfId="23">
      <formula>AV67="X"</formula>
    </cfRule>
    <cfRule type="expression" priority="290" dxfId="22">
      <formula>AV67="후보"</formula>
    </cfRule>
  </conditionalFormatting>
  <conditionalFormatting sqref="AC6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23">
      <formula>AV68="X"</formula>
    </cfRule>
    <cfRule type="expression" priority="271" dxfId="22">
      <formula>AV68="후보"</formula>
    </cfRule>
  </conditionalFormatting>
  <conditionalFormatting sqref="AC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23">
      <formula>AV69="X"</formula>
    </cfRule>
    <cfRule type="expression" priority="252" dxfId="22">
      <formula>AV69="후보"</formula>
    </cfRule>
  </conditionalFormatting>
  <conditionalFormatting sqref="AC6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23">
      <formula>AV70="X"</formula>
    </cfRule>
    <cfRule type="expression" priority="233" dxfId="22">
      <formula>AV70="후보"</formula>
    </cfRule>
  </conditionalFormatting>
  <conditionalFormatting sqref="AC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23">
      <formula>AV71="X"</formula>
    </cfRule>
    <cfRule type="expression" priority="214" dxfId="22">
      <formula>AV71="후보"</formula>
    </cfRule>
  </conditionalFormatting>
  <conditionalFormatting sqref="AC7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23">
      <formula>AV72="X"</formula>
    </cfRule>
    <cfRule type="expression" priority="195" dxfId="22">
      <formula>AV72="후보"</formula>
    </cfRule>
  </conditionalFormatting>
  <conditionalFormatting sqref="AC7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 N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7">
    <cfRule type="expression" priority="113" dxfId="23">
      <formula>AV77="X"</formula>
    </cfRule>
    <cfRule type="expression" priority="114" dxfId="22">
      <formula>AV77="후보"</formula>
    </cfRule>
  </conditionalFormatting>
  <conditionalFormatting sqref="AC7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23">
      <formula>AV78="X"</formula>
    </cfRule>
    <cfRule type="expression" priority="95" dxfId="22">
      <formula>AV78="후보"</formula>
    </cfRule>
  </conditionalFormatting>
  <conditionalFormatting sqref="AC7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2022-08-24T14:59:06Z</dcterms:modified>
  <cp:lastModifiedBy>MinsuKwon</cp:lastModifiedBy>
  <cp:lastPrinted>2018-04-28T10:52:41Z</cp:lastPrinted>
</cp:coreProperties>
</file>