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4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양식" sheetId="34" r:id="rId6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0">단지추출!$A$1:$U$3</definedName>
    <definedName name="_xlnm.Print_Area" localSheetId="1">단지추출_가격표용!$A$1:$U$3</definedName>
    <definedName name="_xlnm.Print_Area" localSheetId="5">양식!$A$1:$U$6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양식!$1:$3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62" l="1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<sst xmlns="http://schemas.openxmlformats.org/spreadsheetml/2006/main" count="884" uniqueCount="90">
  <si>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</si>
  <si>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</si>
  <si>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</si>
  <si>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</si>
  <si>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</si>
  <si>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</si>
  <si>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</si>
  <si>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</si>
  <si>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</si>
  <si>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</si>
  <si>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</si>
  <si>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</si>
  <si>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</si>
  <si>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</si>
  <si>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</si>
  <si>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</si>
  <si>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</si>
  <si>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</si>
  <si>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</si>
  <si>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</si>
  <si>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</si>
  <si>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</si>
  <si>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</si>
  <si>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</si>
  <si>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</si>
  <si>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</si>
  <si>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</si>
  <si>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</si>
  <si>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</si>
  <si>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</si>
  <si>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</si>
  <si>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</si>
  <si>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</si>
  <si>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</si>
  <si>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</si>
  <si>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</si>
  <si>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</si>
  <si>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</si>
  <si>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</si>
  <si>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</si>
  <si>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</si>
  <si>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</si>
  <si>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</si>
  <si>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</si>
  <si>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</si>
  <si>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</si>
  <si>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</si>
  <si>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</si>
  <si>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20평대</t>
    <phoneticPr fontId="2" type="noConversion"/>
  </si>
  <si>
    <t>30평대</t>
    <phoneticPr fontId="2" type="noConversion"/>
  </si>
  <si>
    <t>40평대↑</t>
    <phoneticPr fontId="2" type="noConversion"/>
  </si>
  <si>
    <t>30년 이상</t>
    <phoneticPr fontId="2" type="noConversion"/>
  </si>
  <si>
    <t>합계</t>
    <phoneticPr fontId="2" type="noConversion"/>
  </si>
  <si>
    <t>10~20년</t>
    <phoneticPr fontId="2" type="noConversion"/>
  </si>
  <si>
    <t>20~30년</t>
    <phoneticPr fontId="2" type="noConversion"/>
  </si>
  <si>
    <t>10년 이하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</si>
  <si>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</si>
  <si>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</si>
  <si>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</si>
  <si>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</si>
  <si>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</si>
  <si>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</si>
  <si>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</si>
  <si>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</si>
  <si>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</si>
  <si>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</si>
  <si>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</si>
  <si>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</si>
  <si>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</si>
  <si>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</si>
  <si>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</si>
  <si>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</si>
  <si>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</si>
  <si>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</si>
  <si>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</si>
  <si>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</si>
  <si>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</si>
  <si>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</t>
    <phoneticPr fontId="2" type="noConversion"/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</si>
  <si>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</si>
  <si>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</si>
  <si>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</si>
  <si>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</si>
  <si>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</si>
  <si>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</si>
  <si>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</si>
  <si>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/>
  </si>
  <si>
    <t>O</t>
    <phoneticPr fontId="2" type="noConversion"/>
  </si>
  <si>
    <t>평단가
(1000↓)</t>
  </si>
  <si>
    <t>동 이름 :</t>
    <phoneticPr fontId="2" type="noConversion"/>
  </si>
  <si>
    <t>KB 평면도입력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</si>
</sst>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0.0%"/>
    <numFmt numFmtId="185" formatCode="&quot;~&quot;General"/>
    <numFmt numFmtId="186" formatCode="General&quot;~&quot;"/>
    <numFmt numFmtId="187" formatCode="yyyy&quot;년&quot;\ m&quot;월&quot;\ d&quot;일&quot;;@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82" fontId="4" fillId="2" borderId="0" xfId="0" applyNumberFormat="1" applyFont="1" applyFill="1">
      <alignment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83" fontId="4" fillId="2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183" fontId="11" fillId="2" borderId="1" xfId="0" applyNumberFormat="1" applyFont="1" applyFill="1" applyBorder="1">
      <alignment vertical="center"/>
    </xf>
    <xf numFmtId="184" fontId="4" fillId="2" borderId="1" xfId="1" applyNumberFormat="1" applyFont="1" applyFill="1" applyBorder="1">
      <alignment vertical="center"/>
    </xf>
    <xf numFmtId="184" fontId="11" fillId="2" borderId="1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3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defaultColWidth="9" defaultRowHeight="14.1" customHeight="1" x14ac:dyDescent="0.3"/>
  <cols>
    <col min="1" max="1" width="22.5" style="92" bestFit="1" customWidth="1"/>
    <col min="2" max="2" width="5.625" style="92" bestFit="1" customWidth="1"/>
    <col min="3" max="3" width="6.625" style="92" bestFit="1" customWidth="1"/>
    <col min="4" max="4" width="5.625" style="92" bestFit="1" customWidth="1"/>
    <col min="5" max="5" width="4.625" style="92" bestFit="1" customWidth="1"/>
    <col min="6" max="6" width="5.625" style="92" bestFit="1" customWidth="1"/>
    <col min="7" max="7" width="4.625" style="92" bestFit="1" customWidth="1"/>
    <col min="8" max="8" width="6.625" style="92" bestFit="1" customWidth="1"/>
    <col min="9" max="9" width="7.75" style="92" bestFit="1" customWidth="1"/>
    <col min="10" max="10" width="4" style="92" bestFit="1" customWidth="1"/>
    <col min="11" max="11" width="6.875" style="92" bestFit="1" customWidth="1"/>
    <col min="12" max="12" width="4" style="92" bestFit="1" customWidth="1"/>
    <col min="13" max="13" width="6.875" style="92" bestFit="1" customWidth="1"/>
    <col min="14" max="14" width="4.625" style="92" bestFit="1" customWidth="1"/>
    <col min="15" max="16" width="7.625" style="92" bestFit="1" customWidth="1"/>
    <col min="17" max="19" width="3.25" style="92" bestFit="1" customWidth="1"/>
    <col min="20" max="20" width="10.125" style="92" customWidth="1"/>
    <col min="21" max="21" width="25" style="92" customWidth="1"/>
    <col min="22" max="22" width="2.25" style="92" customWidth="1"/>
    <col min="23" max="23" width="5.625" style="92" bestFit="1" customWidth="1"/>
    <col min="24" max="24" width="4.5" style="92" customWidth="1"/>
    <col min="25" max="25" width="6.25" style="92" bestFit="1" customWidth="1"/>
    <col min="26" max="26" width="7.75" style="92" bestFit="1" customWidth="1"/>
    <col min="27" max="27" width="7" style="92" bestFit="1" customWidth="1"/>
    <col min="28" max="28" width="6.875" style="92" bestFit="1" customWidth="1"/>
    <col min="29" max="29" width="4.625" style="92" bestFit="1" customWidth="1"/>
    <col min="30" max="30" width="7.625" style="92" bestFit="1" customWidth="1"/>
    <col min="31" max="31" width="3.25" style="92" bestFit="1" customWidth="1"/>
    <col min="32" max="32" width="4.625" style="92" bestFit="1" customWidth="1"/>
    <col min="33" max="33" width="2.125" style="92" customWidth="1"/>
    <col min="34" max="34" width="22.5" style="92" bestFit="1" customWidth="1"/>
    <col min="35" max="35" width="4.625" style="92" bestFit="1" customWidth="1"/>
    <col min="36" max="40" width="4.625" style="92" customWidth="1"/>
    <col min="41" max="41" width="9.125" style="92" bestFit="1" customWidth="1"/>
    <col min="42" max="43" width="7.625" style="92" bestFit="1" customWidth="1"/>
    <col min="44" max="44" width="9.125" style="92" bestFit="1" customWidth="1"/>
    <col min="45" max="45" width="6.125" style="92" bestFit="1" customWidth="1"/>
    <col min="46" max="46" width="8.625" style="92" bestFit="1" customWidth="1"/>
    <col min="47" max="47" width="9.125" style="92" bestFit="1" customWidth="1"/>
    <col min="48" max="48" width="7.625" style="9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77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32</v>
      </c>
      <c r="M1"/>
      <c r="N1" s="122" t="s">
        <v>57</v>
      </c>
      <c r="O1" s="122"/>
      <c r="P1" s="64">
        <v>0</v>
      </c>
      <c r="Q1" s="123" t="s">
        <v>58</v>
      </c>
      <c r="R1" s="123"/>
      <c r="S1" s="123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76</v>
      </c>
      <c r="AI1" s="42"/>
      <c r="AJ1" s="124" t="s">
        <v>78</v>
      </c>
      <c r="AK1" s="124"/>
      <c r="AL1" s="124"/>
      <c r="AM1" s="124"/>
      <c r="AN1" s="125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1" t="s">
        <v>61</v>
      </c>
      <c r="AY1" s="91" t="s">
        <v>62</v>
      </c>
      <c r="AZ1" s="68"/>
      <c r="BH1" s="42" t="s">
        <v>74</v>
      </c>
    </row>
    <row r="2" spans="1:60" ht="12" x14ac:dyDescent="0.3">
      <c r="A2" s="110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66</v>
      </c>
      <c r="AO2" s="120" t="s">
        <v>23</v>
      </c>
      <c r="AP2" s="126"/>
      <c r="AQ2" s="121"/>
      <c r="AR2" s="120" t="s">
        <v>24</v>
      </c>
      <c r="AS2" s="121"/>
      <c r="AT2" s="120" t="s">
        <v>25</v>
      </c>
      <c r="AU2" s="121"/>
      <c r="AV2" s="50" t="s">
        <v>36</v>
      </c>
      <c r="AX2" s="67">
        <v>2020</v>
      </c>
      <c r="AY2" s="67">
        <v>9</v>
      </c>
      <c r="AZ2" s="69"/>
      <c r="BH2" s="42" t="s">
        <v>75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2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2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2" t="s">
        <v>9</v>
      </c>
      <c r="V3" s="42"/>
      <c r="W3" s="50" t="s">
        <v>37</v>
      </c>
      <c r="X3" s="50" t="s">
        <v>4</v>
      </c>
      <c r="Y3" s="54" t="s">
        <v>6</v>
      </c>
      <c r="Z3" s="72" t="s">
        <v>0</v>
      </c>
      <c r="AA3" s="72" t="s">
        <v>1</v>
      </c>
      <c r="AB3" s="72" t="s">
        <v>2</v>
      </c>
      <c r="AC3" s="50" t="s">
        <v>5</v>
      </c>
      <c r="AD3" s="72" t="s">
        <v>3</v>
      </c>
      <c r="AE3" s="50" t="s">
        <v>7</v>
      </c>
      <c r="AF3" s="52" t="s">
        <v>8</v>
      </c>
      <c r="AG3" s="42"/>
      <c r="AH3" s="50" t="s">
        <v>79</v>
      </c>
      <c r="AI3" s="50" t="s">
        <v>80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81</v>
      </c>
      <c r="AP3" s="50" t="s">
        <v>82</v>
      </c>
      <c r="AQ3" s="50" t="s">
        <v>87</v>
      </c>
      <c r="AR3" s="50" t="s">
        <v>83</v>
      </c>
      <c r="AS3" s="50" t="s">
        <v>31</v>
      </c>
      <c r="AT3" s="55" t="s">
        <v>33</v>
      </c>
      <c r="AU3" s="50" t="s">
        <v>84</v>
      </c>
      <c r="AV3" s="50" t="s">
        <v>36</v>
      </c>
      <c r="AX3" s="18" t="s">
        <v>59</v>
      </c>
      <c r="AY3" s="18" t="s">
        <v>60</v>
      </c>
      <c r="AZ3" s="71"/>
      <c r="BA3" s="73"/>
      <c r="BB3" s="65">
        <v>2010</v>
      </c>
      <c r="BC3" s="65">
        <v>2000</v>
      </c>
      <c r="BD3" s="65">
        <v>1990</v>
      </c>
      <c r="BE3" s="66">
        <v>1990</v>
      </c>
      <c r="BF3" s="1"/>
    </row>
    <row r="4" spans="1:60" s="1" customFormat="1" ht="16.5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X4" s="62">
        <v>2011</v>
      </c>
      <c r="AY4" s="62">
        <v>4</v>
      </c>
      <c r="AZ4" s="92"/>
    </row>
    <row r="5" spans="1:60" s="1" customFormat="1" ht="16.5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X5" s="62">
        <v>2011</v>
      </c>
      <c r="AY5" s="62">
        <v>4</v>
      </c>
      <c r="AZ5" s="92"/>
    </row>
    <row r="6" spans="1:60" s="1" customFormat="1" ht="16.5" x14ac:dyDescent="0.3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X6" s="62">
        <v>2011</v>
      </c>
      <c r="AY6" s="62">
        <v>4</v>
      </c>
      <c r="AZ6" s="92"/>
    </row>
    <row r="7" spans="1:60" s="1" customFormat="1" ht="16.5" x14ac:dyDescent="0.3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X7" s="62">
        <v>2015</v>
      </c>
      <c r="AY7" s="62">
        <v>7</v>
      </c>
      <c r="AZ7" s="92"/>
    </row>
    <row r="8" spans="1:60" s="1" customFormat="1" ht="16.5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X8" s="62">
        <v>2015</v>
      </c>
      <c r="AY8" s="62">
        <v>7</v>
      </c>
      <c r="AZ8" s="92"/>
    </row>
    <row r="9" spans="1:60" s="1" customFormat="1" ht="16.5" x14ac:dyDescent="0.3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X9" s="62">
        <v>2015</v>
      </c>
      <c r="AY9" s="62">
        <v>7</v>
      </c>
      <c r="AZ9" s="92"/>
    </row>
    <row r="10" spans="1:60" s="1" customFormat="1" ht="16.5" x14ac:dyDescent="0.3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X10" s="62">
        <v>2012</v>
      </c>
      <c r="AY10" s="62">
        <v>5</v>
      </c>
      <c r="AZ10" s="92"/>
    </row>
    <row r="11" spans="1:60" s="1" customFormat="1" ht="16.5" x14ac:dyDescent="0.3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X11" s="62">
        <v>2012</v>
      </c>
      <c r="AY11" s="62">
        <v>5</v>
      </c>
      <c r="AZ11" s="92"/>
    </row>
    <row r="12" spans="1:60" s="1" customFormat="1" ht="16.5" x14ac:dyDescent="0.3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X12" s="62">
        <v>2012</v>
      </c>
      <c r="AY12" s="62">
        <v>5</v>
      </c>
      <c r="AZ12" s="92"/>
    </row>
    <row r="13" spans="1:60" s="1" customFormat="1" ht="16.5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X13" s="62">
        <v>2012</v>
      </c>
      <c r="AY13" s="62">
        <v>5</v>
      </c>
      <c r="AZ13" s="92"/>
    </row>
    <row r="14" spans="1:60" s="1" customFormat="1" ht="16.5" x14ac:dyDescent="0.3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X14" s="62">
        <v>2011</v>
      </c>
      <c r="AY14" s="62">
        <v>2</v>
      </c>
      <c r="AZ14" s="92"/>
    </row>
    <row r="15" spans="1:60" s="1" customFormat="1" ht="16.5" x14ac:dyDescent="0.3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X15" s="62">
        <v>2011</v>
      </c>
      <c r="AY15" s="62">
        <v>2</v>
      </c>
      <c r="AZ15" s="92"/>
    </row>
    <row r="16" spans="1:60" s="1" customFormat="1" ht="16.5" x14ac:dyDescent="0.3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X16" s="62">
        <v>2011</v>
      </c>
      <c r="AY16" s="62">
        <v>2</v>
      </c>
      <c r="AZ16" s="92"/>
    </row>
    <row r="17" spans="1:52" s="1" customFormat="1" ht="16.5" x14ac:dyDescent="0.3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X17" s="62">
        <v>2012</v>
      </c>
      <c r="AY17" s="62">
        <v>7</v>
      </c>
      <c r="AZ17" s="92"/>
    </row>
    <row r="18" spans="1:52" s="1" customFormat="1" ht="16.5" x14ac:dyDescent="0.3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X18" s="62">
        <v>2012</v>
      </c>
      <c r="AY18" s="62">
        <v>7</v>
      </c>
      <c r="AZ18" s="92"/>
    </row>
    <row r="19" spans="1:52" s="1" customFormat="1" ht="16.5" x14ac:dyDescent="0.3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X19" s="62">
        <v>2012</v>
      </c>
      <c r="AY19" s="62">
        <v>7</v>
      </c>
      <c r="AZ19" s="92"/>
    </row>
    <row r="20" spans="1:52" s="1" customFormat="1" ht="16.5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X20" s="62">
        <v>2012</v>
      </c>
      <c r="AY20" s="62">
        <v>7</v>
      </c>
      <c r="AZ20" s="92"/>
    </row>
    <row r="21" spans="1:52" s="1" customFormat="1" ht="16.5" x14ac:dyDescent="0.3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X21" s="62">
        <v>2011</v>
      </c>
      <c r="AY21" s="62">
        <v>2</v>
      </c>
      <c r="AZ21" s="92"/>
    </row>
    <row r="22" spans="1:52" s="1" customFormat="1" ht="16.5" x14ac:dyDescent="0.3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X22" s="62">
        <v>2011</v>
      </c>
      <c r="AY22" s="62">
        <v>2</v>
      </c>
      <c r="AZ22" s="92"/>
    </row>
    <row r="23" spans="1:52" s="1" customFormat="1" ht="16.5" x14ac:dyDescent="0.3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X23" s="62">
        <v>2011</v>
      </c>
      <c r="AY23" s="62">
        <v>2</v>
      </c>
      <c r="AZ23" s="92"/>
    </row>
    <row r="24" spans="1:52" s="1" customFormat="1" ht="16.5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X24" s="62">
        <v>2011</v>
      </c>
      <c r="AY24" s="62">
        <v>2</v>
      </c>
      <c r="AZ24" s="92"/>
    </row>
    <row r="25" spans="1:52" s="1" customFormat="1" ht="16.5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X25" s="62">
        <v>2011</v>
      </c>
      <c r="AY25" s="62">
        <v>2</v>
      </c>
      <c r="AZ25" s="92"/>
    </row>
    <row r="26" spans="1:52" s="1" customFormat="1" ht="16.5" x14ac:dyDescent="0.3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X26" s="62">
        <v>2009</v>
      </c>
      <c r="AY26" s="62">
        <v>9</v>
      </c>
      <c r="AZ26" s="92"/>
    </row>
    <row r="27" spans="1:52" s="1" customFormat="1" ht="16.5" x14ac:dyDescent="0.3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X27" s="62">
        <v>2009</v>
      </c>
      <c r="AY27" s="62">
        <v>9</v>
      </c>
      <c r="AZ27" s="92"/>
    </row>
    <row r="28" spans="1:52" s="1" customFormat="1" ht="16.5" x14ac:dyDescent="0.3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X28" s="62">
        <v>2009</v>
      </c>
      <c r="AY28" s="62">
        <v>9</v>
      </c>
      <c r="AZ28" s="92"/>
    </row>
    <row r="29" spans="1:52" s="1" customFormat="1" ht="16.5" x14ac:dyDescent="0.3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X29" s="62">
        <v>2009</v>
      </c>
      <c r="AY29" s="62">
        <v>9</v>
      </c>
      <c r="AZ29" s="92"/>
    </row>
    <row r="30" spans="1:52" s="1" customFormat="1" ht="16.5" x14ac:dyDescent="0.3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X30" s="62">
        <v>2009</v>
      </c>
      <c r="AY30" s="62">
        <v>9</v>
      </c>
      <c r="AZ30" s="92"/>
    </row>
    <row r="31" spans="1:52" s="1" customFormat="1" ht="16.5" x14ac:dyDescent="0.3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X31" s="62">
        <v>2010</v>
      </c>
      <c r="AY31" s="62">
        <v>3</v>
      </c>
      <c r="AZ31" s="92"/>
    </row>
    <row r="32" spans="1:52" s="1" customFormat="1" ht="16.5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X32" s="62">
        <v>2010</v>
      </c>
      <c r="AY32" s="62">
        <v>3</v>
      </c>
      <c r="AZ32" s="92"/>
    </row>
    <row r="33" spans="1:52" s="1" customFormat="1" ht="16.5" x14ac:dyDescent="0.3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X33" s="62">
        <v>2010</v>
      </c>
      <c r="AY33" s="62">
        <v>3</v>
      </c>
      <c r="AZ33" s="92"/>
    </row>
    <row r="34" spans="1:52" s="1" customFormat="1" ht="16.5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X34" s="62">
        <v>2010</v>
      </c>
      <c r="AY34" s="62">
        <v>3</v>
      </c>
      <c r="AZ34" s="92"/>
    </row>
    <row r="35" spans="1:52" s="1" customFormat="1" ht="16.5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X35" s="62">
        <v>2005</v>
      </c>
      <c r="AY35" s="62">
        <v>6</v>
      </c>
      <c r="AZ35" s="92"/>
    </row>
    <row r="36" spans="1:52" s="1" customFormat="1" ht="16.5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X36" s="62">
        <v>2005</v>
      </c>
      <c r="AY36" s="62">
        <v>6</v>
      </c>
      <c r="AZ36" s="92"/>
    </row>
    <row r="37" spans="1:52" s="1" customFormat="1" ht="16.5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X37" s="62">
        <v>2005</v>
      </c>
      <c r="AY37" s="62">
        <v>6</v>
      </c>
      <c r="AZ37" s="92"/>
    </row>
    <row r="38" spans="1:52" s="1" customFormat="1" ht="16.5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X38" s="62">
        <v>2005</v>
      </c>
      <c r="AY38" s="62">
        <v>3</v>
      </c>
      <c r="AZ38" s="92"/>
    </row>
    <row r="39" spans="1:52" s="1" customFormat="1" ht="16.5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X39" s="62">
        <v>2005</v>
      </c>
      <c r="AY39" s="62">
        <v>3</v>
      </c>
      <c r="AZ39" s="92"/>
    </row>
    <row r="40" spans="1:52" s="1" customFormat="1" ht="16.5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X40" s="62">
        <v>2005</v>
      </c>
      <c r="AY40" s="62">
        <v>7</v>
      </c>
      <c r="AZ40" s="92"/>
    </row>
    <row r="41" spans="1:52" s="1" customFormat="1" ht="16.5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X41" s="62">
        <v>2015</v>
      </c>
      <c r="AY41" s="62">
        <v>8</v>
      </c>
      <c r="AZ41" s="92"/>
    </row>
    <row r="42" spans="1:52" s="1" customFormat="1" ht="16.5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X42" s="62">
        <v>2015</v>
      </c>
      <c r="AY42" s="62">
        <v>8</v>
      </c>
      <c r="AZ42" s="92"/>
    </row>
    <row r="43" spans="1:52" s="1" customFormat="1" ht="16.5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X43" s="62">
        <v>2015</v>
      </c>
      <c r="AY43" s="62">
        <v>8</v>
      </c>
      <c r="AZ43" s="92"/>
    </row>
    <row r="44" spans="1:52" s="1" customFormat="1" ht="16.5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X44" s="62">
        <v>2015</v>
      </c>
      <c r="AY44" s="62">
        <v>8</v>
      </c>
      <c r="AZ44" s="92"/>
    </row>
    <row r="45" spans="1:52" s="1" customFormat="1" ht="16.5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X45" s="62">
        <v>2012</v>
      </c>
      <c r="AY45" s="62">
        <v>7</v>
      </c>
      <c r="AZ45" s="92"/>
    </row>
    <row r="46" spans="1:52" s="1" customFormat="1" ht="16.5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X46" s="62">
        <v>2012</v>
      </c>
      <c r="AY46" s="62">
        <v>7</v>
      </c>
      <c r="AZ46" s="92"/>
    </row>
    <row r="47" spans="1:52" s="1" customFormat="1" ht="16.5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X47" s="62">
        <v>2012</v>
      </c>
      <c r="AY47" s="62">
        <v>7</v>
      </c>
      <c r="AZ47" s="92"/>
    </row>
    <row r="48" spans="1:52" s="1" customFormat="1" ht="16.5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X48" s="62">
        <v>2012</v>
      </c>
      <c r="AY48" s="62">
        <v>7</v>
      </c>
      <c r="AZ48" s="92"/>
    </row>
    <row r="49" spans="1:52" s="1" customFormat="1" ht="16.5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X49" s="62">
        <v>2010</v>
      </c>
      <c r="AY49" s="62">
        <v>4</v>
      </c>
      <c r="AZ49" s="92"/>
    </row>
    <row r="50" spans="1:52" s="1" customFormat="1" ht="16.5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X50" s="62">
        <v>2010</v>
      </c>
      <c r="AY50" s="62">
        <v>4</v>
      </c>
      <c r="AZ50" s="92"/>
    </row>
    <row r="51" spans="1:52" s="1" customFormat="1" ht="16.5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X51" s="62">
        <v>2010</v>
      </c>
      <c r="AY51" s="62">
        <v>4</v>
      </c>
      <c r="AZ51" s="92"/>
    </row>
    <row r="52" spans="1:52" s="1" customFormat="1" ht="16.5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X52" s="62">
        <v>2010</v>
      </c>
      <c r="AY52" s="62">
        <v>4</v>
      </c>
      <c r="AZ52" s="92"/>
    </row>
    <row r="53" spans="1:52" s="1" customFormat="1" ht="16.5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X53" s="62">
        <v>2010</v>
      </c>
      <c r="AY53" s="62">
        <v>4</v>
      </c>
      <c r="AZ53" s="92"/>
    </row>
    <row r="54" spans="1:52" s="1" customFormat="1" ht="16.5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X54" s="62">
        <v>2009</v>
      </c>
      <c r="AY54" s="62">
        <v>9</v>
      </c>
      <c r="AZ54" s="92"/>
    </row>
    <row r="55" spans="1:52" s="1" customFormat="1" ht="16.5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X55" s="62">
        <v>2009</v>
      </c>
      <c r="AY55" s="62">
        <v>9</v>
      </c>
      <c r="AZ55" s="92"/>
    </row>
    <row r="56" spans="1:52" s="1" customFormat="1" ht="16.5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X56" s="62">
        <v>2009</v>
      </c>
      <c r="AY56" s="62">
        <v>9</v>
      </c>
      <c r="AZ56" s="92"/>
    </row>
    <row r="57" spans="1:52" s="1" customFormat="1" ht="16.5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X57" s="62">
        <v>2009</v>
      </c>
      <c r="AY57" s="62">
        <v>9</v>
      </c>
      <c r="AZ57" s="92"/>
    </row>
    <row r="58" spans="1:52" s="1" customFormat="1" ht="16.5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X58" s="62">
        <v>2015</v>
      </c>
      <c r="AY58" s="62">
        <v>1</v>
      </c>
      <c r="AZ58" s="92"/>
    </row>
    <row r="59" spans="1:52" s="1" customFormat="1" ht="16.5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X59" s="62">
        <v>2015</v>
      </c>
      <c r="AY59" s="62">
        <v>1</v>
      </c>
      <c r="AZ59" s="92"/>
    </row>
    <row r="60" spans="1:52" s="1" customFormat="1" ht="16.5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X60" s="62">
        <v>2015</v>
      </c>
      <c r="AY60" s="62">
        <v>1</v>
      </c>
      <c r="AZ60" s="92"/>
    </row>
    <row r="61" spans="1:52" s="1" customFormat="1" ht="16.5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X61" s="62">
        <v>2009</v>
      </c>
      <c r="AY61" s="62">
        <v>9</v>
      </c>
      <c r="AZ61" s="92"/>
    </row>
    <row r="62" spans="1:52" s="1" customFormat="1" ht="16.5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X62" s="62">
        <v>2009</v>
      </c>
      <c r="AY62" s="62">
        <v>9</v>
      </c>
      <c r="AZ62" s="92"/>
    </row>
    <row r="63" spans="1:52" s="1" customFormat="1" ht="16.5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X63" s="62">
        <v>2009</v>
      </c>
      <c r="AY63" s="62">
        <v>9</v>
      </c>
      <c r="AZ63" s="92"/>
    </row>
    <row r="64" spans="1:52" s="1" customFormat="1" ht="16.5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X64" s="62">
        <v>2009</v>
      </c>
      <c r="AY64" s="62">
        <v>9</v>
      </c>
      <c r="AZ64" s="92"/>
    </row>
    <row r="65" spans="1:58" s="1" customFormat="1" ht="16.5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X65" s="62">
        <v>2005</v>
      </c>
      <c r="AY65" s="62">
        <v>3</v>
      </c>
      <c r="AZ65" s="92"/>
    </row>
    <row r="66" spans="1:58" s="1" customFormat="1" ht="16.5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X66" s="62">
        <v>2005</v>
      </c>
      <c r="AY66" s="62">
        <v>3</v>
      </c>
      <c r="AZ66" s="92"/>
    </row>
    <row r="67" spans="1:58" s="1" customFormat="1" ht="16.5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X67" s="62">
        <v>2005</v>
      </c>
      <c r="AY67" s="62">
        <v>3</v>
      </c>
      <c r="AZ67" s="92"/>
    </row>
    <row r="68" spans="1:58" s="1" customFormat="1" ht="16.5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X68" s="62">
        <v>1994</v>
      </c>
      <c r="AY68" s="62">
        <v>5</v>
      </c>
      <c r="AZ68" s="62"/>
      <c r="BA68" s="113" t="s">
        <v>48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</row>
    <row r="69" spans="1:58" s="1" customFormat="1" ht="16.5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X69" s="62">
        <v>1994</v>
      </c>
      <c r="AY69" s="62">
        <v>5</v>
      </c>
      <c r="AZ69" s="62"/>
      <c r="BA69" s="113" t="s">
        <v>49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</row>
    <row r="70" spans="1:58" s="1" customFormat="1" ht="16.5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X70" s="62">
        <v>1994</v>
      </c>
      <c r="AY70" s="62">
        <v>5</v>
      </c>
      <c r="AZ70" s="62"/>
      <c r="BA70" s="115" t="s">
        <v>50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</row>
    <row r="71" spans="1:58" s="1" customFormat="1" ht="16.5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X71" s="62">
        <v>1995</v>
      </c>
      <c r="AY71" s="62">
        <v>8</v>
      </c>
      <c r="AZ71" s="62"/>
      <c r="BA71" s="3"/>
    </row>
    <row r="72" spans="1:58" s="1" customFormat="1" ht="16.5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X72" s="62">
        <v>1995</v>
      </c>
      <c r="AY72" s="62">
        <v>8</v>
      </c>
      <c r="AZ72" s="62"/>
      <c r="BA72" s="113"/>
      <c r="BB72" s="113" t="s">
        <v>55</v>
      </c>
      <c r="BC72" s="113" t="s">
        <v>53</v>
      </c>
      <c r="BD72" s="113" t="s">
        <v>54</v>
      </c>
      <c r="BE72" s="113" t="s">
        <v>51</v>
      </c>
      <c r="BF72" s="113" t="s">
        <v>52</v>
      </c>
    </row>
    <row r="73" spans="1:58" s="1" customFormat="1" ht="16.5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X73" s="62">
        <v>1994</v>
      </c>
      <c r="AY73" s="62">
        <v>12</v>
      </c>
      <c r="BA73" s="113" t="s">
        <v>48</v>
      </c>
      <c r="BB73" s="117" t="e">
        <v>#DIV/0!</v>
      </c>
      <c r="BC73" s="117" t="e">
        <v>#DIV/0!</v>
      </c>
      <c r="BD73" s="117" t="e">
        <v>#DIV/0!</v>
      </c>
      <c r="BE73" s="117" t="e">
        <v>#DIV/0!</v>
      </c>
      <c r="BF73" s="117" t="e">
        <v>#DIV/0!</v>
      </c>
    </row>
    <row r="74" spans="1:58" s="1" customFormat="1" ht="16.5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X74" s="62">
        <v>1993</v>
      </c>
      <c r="AY74" s="62">
        <v>6</v>
      </c>
      <c r="BA74" s="115" t="s">
        <v>50</v>
      </c>
      <c r="BB74" s="118" t="e">
        <v>#DIV/0!</v>
      </c>
      <c r="BC74" s="118" t="e">
        <v>#DIV/0!</v>
      </c>
      <c r="BD74" s="118" t="e">
        <v>#DIV/0!</v>
      </c>
      <c r="BE74" s="118" t="e">
        <v>#DIV/0!</v>
      </c>
      <c r="BF74" s="118" t="e">
        <v>#DIV/0!</v>
      </c>
    </row>
    <row r="75" spans="1:58" s="1" customFormat="1" ht="16.5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X75" s="62">
        <v>1993</v>
      </c>
      <c r="AY75" s="62">
        <v>6</v>
      </c>
      <c r="BA75" s="113" t="s">
        <v>52</v>
      </c>
      <c r="BB75" s="117" t="e">
        <v>#DIV/0!</v>
      </c>
      <c r="BC75" s="117" t="e">
        <v>#DIV/0!</v>
      </c>
      <c r="BD75" s="117" t="e">
        <v>#DIV/0!</v>
      </c>
      <c r="BE75" s="117" t="e">
        <v>#DIV/0!</v>
      </c>
      <c r="BF75" s="117" t="e">
        <v>#DIV/0!</v>
      </c>
    </row>
    <row r="76" spans="1:58" s="1" customFormat="1" ht="16.5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X76" s="62">
        <v>2019</v>
      </c>
      <c r="AY76" s="62">
        <v>3</v>
      </c>
    </row>
    <row r="77" spans="1:58" s="1" customFormat="1" ht="16.5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X77" s="62">
        <v>2019</v>
      </c>
      <c r="AY77" s="62">
        <v>3</v>
      </c>
    </row>
    <row r="78" spans="1:58" s="1" customFormat="1" ht="16.5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X78" s="62">
        <v>2019</v>
      </c>
      <c r="AY78" s="62">
        <v>3</v>
      </c>
    </row>
    <row r="79" spans="1:58" s="1" customFormat="1" ht="16.5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X79" s="62">
        <v>2019</v>
      </c>
      <c r="AY79" s="62">
        <v>3</v>
      </c>
    </row>
    <row r="80" spans="1:58" s="1" customFormat="1" ht="16.5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X80" s="62">
        <v>1993</v>
      </c>
      <c r="AY80" s="62">
        <v>8</v>
      </c>
    </row>
    <row r="81" spans="1:51" s="1" customFormat="1" ht="16.5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X81" s="62">
        <v>1993</v>
      </c>
      <c r="AY81" s="62">
        <v>8</v>
      </c>
    </row>
    <row r="82" spans="1:51" s="1" customFormat="1" ht="16.5" x14ac:dyDescent="0.3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X82" s="62">
        <v>1995</v>
      </c>
      <c r="AY82" s="62">
        <v>8</v>
      </c>
    </row>
    <row r="83" spans="1:51" s="1" customFormat="1" ht="16.5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X83" s="62">
        <v>1995</v>
      </c>
      <c r="AY83" s="62">
        <v>8</v>
      </c>
    </row>
    <row r="84" spans="1:51" s="1" customFormat="1" ht="16.5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X84" s="62">
        <v>1993</v>
      </c>
      <c r="AY84" s="62">
        <v>4</v>
      </c>
    </row>
    <row r="85" spans="1:51" s="1" customFormat="1" ht="16.5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X85" s="62">
        <v>1993</v>
      </c>
      <c r="AY85" s="62">
        <v>4</v>
      </c>
    </row>
    <row r="86" spans="1:51" s="1" customFormat="1" ht="16.5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X86" s="62">
        <v>1993</v>
      </c>
      <c r="AY86" s="62">
        <v>4</v>
      </c>
    </row>
    <row r="87" spans="1:51" s="1" customFormat="1" ht="16.5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X87" s="62">
        <v>2017</v>
      </c>
      <c r="AY87" s="62">
        <v>11</v>
      </c>
    </row>
    <row r="88" spans="1:51" s="1" customFormat="1" ht="16.5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X88" s="62">
        <v>2017</v>
      </c>
      <c r="AY88" s="62">
        <v>11</v>
      </c>
    </row>
    <row r="89" spans="1:51" s="1" customFormat="1" ht="16.5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X89" s="62">
        <v>1993</v>
      </c>
      <c r="AY89" s="62">
        <v>1</v>
      </c>
    </row>
    <row r="90" spans="1:51" s="1" customFormat="1" ht="16.5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X90" s="62">
        <v>2019</v>
      </c>
      <c r="AY90" s="62">
        <v>5</v>
      </c>
    </row>
    <row r="91" spans="1:51" s="1" customFormat="1" ht="16.5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X91" s="62">
        <v>2019</v>
      </c>
      <c r="AY91" s="62">
        <v>5</v>
      </c>
    </row>
    <row r="92" spans="1:51" s="1" customFormat="1" ht="16.5" x14ac:dyDescent="0.3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X92" s="62">
        <v>2019</v>
      </c>
      <c r="AY92" s="62">
        <v>5</v>
      </c>
    </row>
    <row r="93" spans="1:51" s="1" customFormat="1" ht="16.5" x14ac:dyDescent="0.3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X93" s="62">
        <v>1994</v>
      </c>
      <c r="AY93" s="62">
        <v>12</v>
      </c>
    </row>
    <row r="94" spans="1:51" s="1" customFormat="1" ht="16.5" x14ac:dyDescent="0.3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X94" s="62">
        <v>1994</v>
      </c>
      <c r="AY94" s="62">
        <v>12</v>
      </c>
    </row>
    <row r="95" spans="1:51" s="1" customFormat="1" ht="16.5" x14ac:dyDescent="0.3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X95" s="62">
        <v>1994</v>
      </c>
      <c r="AY95" s="62">
        <v>12</v>
      </c>
    </row>
    <row r="96" spans="1:51" s="1" customFormat="1" ht="16.5" x14ac:dyDescent="0.3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X96" s="62">
        <v>1994</v>
      </c>
      <c r="AY96" s="62">
        <v>4</v>
      </c>
    </row>
    <row r="97" spans="1:51" s="1" customFormat="1" ht="16.5" x14ac:dyDescent="0.3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X97" s="62">
        <v>1994</v>
      </c>
      <c r="AY97" s="62">
        <v>4</v>
      </c>
    </row>
    <row r="98" spans="1:51" s="1" customFormat="1" ht="16.5" x14ac:dyDescent="0.3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X98" s="62">
        <v>1994</v>
      </c>
      <c r="AY98" s="62">
        <v>6</v>
      </c>
    </row>
    <row r="99" spans="1:51" s="1" customFormat="1" ht="16.5" x14ac:dyDescent="0.3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X99" s="62">
        <v>1994</v>
      </c>
      <c r="AY99" s="62">
        <v>6</v>
      </c>
    </row>
    <row r="100" spans="1:51" s="1" customFormat="1" ht="16.5" x14ac:dyDescent="0.3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X100" s="62">
        <v>1994</v>
      </c>
      <c r="AY100" s="62">
        <v>6</v>
      </c>
    </row>
    <row r="101" spans="1:51" s="1" customFormat="1" ht="16.5" x14ac:dyDescent="0.3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X101" s="62">
        <v>1994</v>
      </c>
      <c r="AY101" s="62">
        <v>6</v>
      </c>
    </row>
    <row r="102" spans="1:51" s="1" customFormat="1" ht="16.5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X102" s="62">
        <v>1993</v>
      </c>
      <c r="AY102" s="62">
        <v>12</v>
      </c>
    </row>
    <row r="103" spans="1:51" s="1" customFormat="1" ht="16.5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X103" s="62">
        <v>1993</v>
      </c>
      <c r="AY103" s="62">
        <v>7</v>
      </c>
    </row>
    <row r="104" spans="1:51" s="1" customFormat="1" ht="16.5" x14ac:dyDescent="0.3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X104" s="62">
        <v>1994</v>
      </c>
      <c r="AY104" s="62">
        <v>4</v>
      </c>
    </row>
    <row r="105" spans="1:51" s="1" customFormat="1" ht="16.5" x14ac:dyDescent="0.3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X105" s="62">
        <v>1993</v>
      </c>
      <c r="AY105" s="62">
        <v>12</v>
      </c>
    </row>
    <row r="106" spans="1:51" s="1" customFormat="1" ht="16.5" x14ac:dyDescent="0.3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X106" s="62">
        <v>1993</v>
      </c>
      <c r="AY106" s="62">
        <v>12</v>
      </c>
    </row>
    <row r="107" spans="1:51" s="1" customFormat="1" ht="16.5" x14ac:dyDescent="0.3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X107" s="62">
        <v>1994</v>
      </c>
      <c r="AY107" s="62">
        <v>5</v>
      </c>
    </row>
    <row r="108" spans="1:51" s="1" customFormat="1" ht="16.5" x14ac:dyDescent="0.3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X108" s="62">
        <v>2019</v>
      </c>
      <c r="AY108" s="62">
        <v>4</v>
      </c>
    </row>
    <row r="109" spans="1:51" s="1" customFormat="1" ht="16.5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X109" s="62">
        <v>1993</v>
      </c>
      <c r="AY109" s="62">
        <v>8</v>
      </c>
    </row>
    <row r="110" spans="1:51" s="1" customFormat="1" ht="16.5" x14ac:dyDescent="0.3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X110" s="62">
        <v>1993</v>
      </c>
      <c r="AY110" s="62">
        <v>8</v>
      </c>
    </row>
    <row r="111" spans="1:51" s="1" customFormat="1" ht="16.5" x14ac:dyDescent="0.3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X111" s="62">
        <v>2019</v>
      </c>
      <c r="AY111" s="62">
        <v>3</v>
      </c>
    </row>
    <row r="112" spans="1:51" s="1" customFormat="1" ht="16.5" x14ac:dyDescent="0.3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X112" s="62">
        <v>2019</v>
      </c>
      <c r="AY112" s="62">
        <v>3</v>
      </c>
    </row>
    <row r="113" spans="1:58" s="1" customFormat="1" ht="16.5" x14ac:dyDescent="0.3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X113" s="62">
        <v>1994</v>
      </c>
      <c r="AY113" s="62">
        <v>9</v>
      </c>
    </row>
    <row r="114" spans="1:58" s="1" customFormat="1" ht="16.5" x14ac:dyDescent="0.3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X114" s="62">
        <v>1994</v>
      </c>
      <c r="AY114" s="62">
        <v>9</v>
      </c>
    </row>
    <row r="115" spans="1:58" s="1" customFormat="1" ht="16.5" x14ac:dyDescent="0.3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X115" s="62">
        <v>2019</v>
      </c>
      <c r="AY115" s="62">
        <v>9</v>
      </c>
    </row>
    <row r="116" spans="1:58" s="1" customFormat="1" ht="16.5" x14ac:dyDescent="0.3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X116" s="62">
        <v>1992</v>
      </c>
      <c r="AY116" s="62">
        <v>1</v>
      </c>
      <c r="AZ116" s="62"/>
      <c r="BA116" s="113" t="s">
        <v>48</v>
      </c>
      <c r="BB116" s="114">
        <v>0</v>
      </c>
      <c r="BC116" s="114">
        <v>0</v>
      </c>
      <c r="BD116" s="114">
        <v>0</v>
      </c>
      <c r="BE116" s="114">
        <v>0</v>
      </c>
      <c r="BF116" s="114">
        <v>0</v>
      </c>
    </row>
    <row r="117" spans="1:58" s="1" customFormat="1" ht="16.5" x14ac:dyDescent="0.3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X117" s="62">
        <v>1992</v>
      </c>
      <c r="AY117" s="62">
        <v>1</v>
      </c>
      <c r="AZ117" s="62"/>
      <c r="BA117" s="113" t="s">
        <v>49</v>
      </c>
      <c r="BB117" s="114">
        <v>0</v>
      </c>
      <c r="BC117" s="114">
        <v>0</v>
      </c>
      <c r="BD117" s="114">
        <v>0</v>
      </c>
      <c r="BE117" s="114">
        <v>0</v>
      </c>
      <c r="BF117" s="114">
        <v>0</v>
      </c>
    </row>
    <row r="118" spans="1:58" s="1" customFormat="1" ht="16.5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X118" s="62">
        <v>1993</v>
      </c>
      <c r="AY118" s="62">
        <v>1</v>
      </c>
      <c r="AZ118" s="62"/>
      <c r="BA118" s="113" t="s">
        <v>52</v>
      </c>
      <c r="BB118" s="114">
        <v>0</v>
      </c>
      <c r="BC118" s="114">
        <v>0</v>
      </c>
      <c r="BD118" s="114">
        <v>0</v>
      </c>
      <c r="BE118" s="114">
        <v>0</v>
      </c>
      <c r="BF118" s="114">
        <v>0</v>
      </c>
    </row>
    <row r="119" spans="1:58" s="1" customFormat="1" ht="16.5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X119" s="62">
        <v>1993</v>
      </c>
      <c r="AY119" s="62">
        <v>1</v>
      </c>
      <c r="AZ119" s="62"/>
      <c r="BA119" s="3"/>
    </row>
    <row r="120" spans="1:58" s="1" customFormat="1" ht="16.5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X120" s="62">
        <v>1993</v>
      </c>
      <c r="AY120" s="62">
        <v>1</v>
      </c>
      <c r="AZ120" s="62"/>
      <c r="BA120" s="113"/>
      <c r="BB120" s="113" t="s">
        <v>55</v>
      </c>
      <c r="BC120" s="113" t="s">
        <v>53</v>
      </c>
      <c r="BD120" s="113" t="s">
        <v>54</v>
      </c>
      <c r="BE120" s="113" t="s">
        <v>51</v>
      </c>
      <c r="BF120" s="113" t="s">
        <v>52</v>
      </c>
    </row>
    <row r="121" spans="1:58" s="1" customFormat="1" ht="16.5" x14ac:dyDescent="0.3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X121" s="62">
        <v>1995</v>
      </c>
      <c r="AY121" s="62">
        <v>8</v>
      </c>
      <c r="BA121" s="113" t="s">
        <v>48</v>
      </c>
      <c r="BB121" s="117" t="e">
        <v>#DIV/0!</v>
      </c>
      <c r="BC121" s="117" t="e">
        <v>#DIV/0!</v>
      </c>
      <c r="BD121" s="117" t="e">
        <v>#DIV/0!</v>
      </c>
      <c r="BE121" s="117" t="e">
        <v>#DIV/0!</v>
      </c>
      <c r="BF121" s="117" t="e">
        <v>#DIV/0!</v>
      </c>
    </row>
    <row r="122" spans="1:58" s="1" customFormat="1" ht="16.5" x14ac:dyDescent="0.3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X122" s="62">
        <v>1995</v>
      </c>
      <c r="AY122" s="62">
        <v>8</v>
      </c>
      <c r="BA122" s="113" t="s">
        <v>49</v>
      </c>
      <c r="BB122" s="117" t="e">
        <v>#DIV/0!</v>
      </c>
      <c r="BC122" s="117" t="e">
        <v>#DIV/0!</v>
      </c>
      <c r="BD122" s="117" t="e">
        <v>#DIV/0!</v>
      </c>
      <c r="BE122" s="117" t="e">
        <v>#DIV/0!</v>
      </c>
      <c r="BF122" s="117" t="e">
        <v>#DIV/0!</v>
      </c>
    </row>
    <row r="123" spans="1:58" s="1" customFormat="1" ht="16.5" x14ac:dyDescent="0.3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X123" s="62">
        <v>1992</v>
      </c>
      <c r="AY123" s="62">
        <v>5</v>
      </c>
      <c r="BA123" s="113" t="s">
        <v>52</v>
      </c>
      <c r="BB123" s="117" t="e">
        <v>#DIV/0!</v>
      </c>
      <c r="BC123" s="117" t="e">
        <v>#DIV/0!</v>
      </c>
      <c r="BD123" s="117" t="e">
        <v>#DIV/0!</v>
      </c>
      <c r="BE123" s="117" t="e">
        <v>#DIV/0!</v>
      </c>
      <c r="BF123" s="117" t="e">
        <v>#DIV/0!</v>
      </c>
    </row>
    <row r="124" spans="1:58" s="1" customFormat="1" ht="16.5" x14ac:dyDescent="0.3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X124" s="62">
        <v>1992</v>
      </c>
      <c r="AY124" s="62">
        <v>5</v>
      </c>
    </row>
    <row r="125" spans="1:58" s="1" customFormat="1" ht="16.5" x14ac:dyDescent="0.3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X125" s="62">
        <v>1992</v>
      </c>
      <c r="AY125" s="62">
        <v>5</v>
      </c>
    </row>
    <row r="126" spans="1:58" s="1" customFormat="1" ht="16.5" x14ac:dyDescent="0.3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X126" s="62">
        <v>1991</v>
      </c>
      <c r="AY126" s="62">
        <v>6</v>
      </c>
    </row>
    <row r="127" spans="1:58" s="1" customFormat="1" ht="16.5" x14ac:dyDescent="0.3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X127" s="62">
        <v>1991</v>
      </c>
      <c r="AY127" s="62">
        <v>6</v>
      </c>
    </row>
    <row r="128" spans="1:58" s="1" customFormat="1" ht="16.5" x14ac:dyDescent="0.3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X128" s="62">
        <v>1991</v>
      </c>
      <c r="AY128" s="62">
        <v>6</v>
      </c>
    </row>
    <row r="129" spans="1:58" s="1" customFormat="1" ht="16.5" x14ac:dyDescent="0.3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X129" s="62">
        <v>1991</v>
      </c>
      <c r="AY129" s="62">
        <v>6</v>
      </c>
    </row>
    <row r="130" spans="1:58" s="1" customFormat="1" ht="16.5" x14ac:dyDescent="0.3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X130" s="62">
        <v>1991</v>
      </c>
      <c r="AY130" s="62">
        <v>6</v>
      </c>
    </row>
    <row r="131" spans="1:58" s="1" customFormat="1" ht="16.5" x14ac:dyDescent="0.3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X131" s="62">
        <v>1991</v>
      </c>
      <c r="AY131" s="62">
        <v>6</v>
      </c>
    </row>
    <row r="132" spans="1:58" s="1" customFormat="1" ht="16.5" x14ac:dyDescent="0.3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X132" s="62">
        <v>1995</v>
      </c>
      <c r="AY132" s="62">
        <v>4</v>
      </c>
      <c r="AZ132" s="62"/>
      <c r="BA132" s="113" t="s">
        <v>48</v>
      </c>
      <c r="BB132" s="114">
        <v>0</v>
      </c>
      <c r="BC132" s="114">
        <v>0</v>
      </c>
      <c r="BD132" s="114">
        <v>0</v>
      </c>
      <c r="BE132" s="114">
        <v>0</v>
      </c>
      <c r="BF132" s="114">
        <v>0</v>
      </c>
    </row>
    <row r="133" spans="1:58" s="1" customFormat="1" ht="16.5" x14ac:dyDescent="0.3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X133" s="62">
        <v>1995</v>
      </c>
      <c r="AY133" s="62">
        <v>4</v>
      </c>
      <c r="AZ133" s="62"/>
      <c r="BA133" s="113" t="s">
        <v>49</v>
      </c>
      <c r="BB133" s="114">
        <v>0</v>
      </c>
      <c r="BC133" s="114">
        <v>0</v>
      </c>
      <c r="BD133" s="114">
        <v>0</v>
      </c>
      <c r="BE133" s="114">
        <v>0</v>
      </c>
      <c r="BF133" s="114">
        <v>0</v>
      </c>
    </row>
    <row r="134" spans="1:58" s="1" customFormat="1" ht="16.5" x14ac:dyDescent="0.3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X134" s="62">
        <v>1995</v>
      </c>
      <c r="AY134" s="62">
        <v>4</v>
      </c>
      <c r="AZ134" s="62"/>
      <c r="BA134" s="115" t="s">
        <v>50</v>
      </c>
      <c r="BB134" s="116">
        <v>0</v>
      </c>
      <c r="BC134" s="116">
        <v>0</v>
      </c>
      <c r="BD134" s="116">
        <v>0</v>
      </c>
      <c r="BE134" s="116">
        <v>0</v>
      </c>
      <c r="BF134" s="116">
        <v>0</v>
      </c>
    </row>
    <row r="135" spans="1:58" s="1" customFormat="1" ht="16.5" x14ac:dyDescent="0.3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X135" s="62">
        <v>1993</v>
      </c>
      <c r="AY135" s="62">
        <v>5</v>
      </c>
      <c r="AZ135" s="62"/>
      <c r="BA135" s="3"/>
    </row>
    <row r="136" spans="1:58" s="1" customFormat="1" ht="16.5" x14ac:dyDescent="0.3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X136" s="62">
        <v>1993</v>
      </c>
      <c r="AY136" s="62">
        <v>11</v>
      </c>
      <c r="AZ136" s="62"/>
      <c r="BA136" s="113" t="s">
        <v>47</v>
      </c>
      <c r="BB136" s="117" t="e">
        <v>#DIV/0!</v>
      </c>
      <c r="BC136" s="117" t="e">
        <v>#DIV/0!</v>
      </c>
      <c r="BD136" s="117" t="e">
        <v>#DIV/0!</v>
      </c>
      <c r="BE136" s="117" t="e">
        <v>#DIV/0!</v>
      </c>
      <c r="BF136" s="117" t="e">
        <v>#DIV/0!</v>
      </c>
    </row>
    <row r="137" spans="1:58" s="1" customFormat="1" ht="16.5" x14ac:dyDescent="0.3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X137" s="62">
        <v>1994</v>
      </c>
      <c r="AY137" s="62">
        <v>9</v>
      </c>
      <c r="BA137" s="113" t="s">
        <v>49</v>
      </c>
      <c r="BB137" s="117" t="e">
        <v>#DIV/0!</v>
      </c>
      <c r="BC137" s="117" t="e">
        <v>#DIV/0!</v>
      </c>
      <c r="BD137" s="117" t="e">
        <v>#DIV/0!</v>
      </c>
      <c r="BE137" s="117" t="e">
        <v>#DIV/0!</v>
      </c>
      <c r="BF137" s="117" t="e">
        <v>#DIV/0!</v>
      </c>
    </row>
    <row r="138" spans="1:58" s="1" customFormat="1" ht="16.5" x14ac:dyDescent="0.3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X138" s="62">
        <v>1994</v>
      </c>
      <c r="AY138" s="62">
        <v>9</v>
      </c>
      <c r="BA138" s="113" t="s">
        <v>52</v>
      </c>
      <c r="BB138" s="117" t="e">
        <v>#DIV/0!</v>
      </c>
      <c r="BC138" s="117" t="e">
        <v>#DIV/0!</v>
      </c>
      <c r="BD138" s="117" t="e">
        <v>#DIV/0!</v>
      </c>
      <c r="BE138" s="117" t="e">
        <v>#DIV/0!</v>
      </c>
      <c r="BF138" s="117" t="e">
        <v>#DIV/0!</v>
      </c>
    </row>
    <row r="139" spans="1:58" s="1" customFormat="1" ht="16.5" x14ac:dyDescent="0.3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X139" s="62">
        <v>1994</v>
      </c>
      <c r="AY139" s="62">
        <v>9</v>
      </c>
    </row>
    <row r="140" spans="1:58" s="1" customFormat="1" ht="16.5" x14ac:dyDescent="0.3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X140" s="62">
        <v>1992</v>
      </c>
      <c r="AY140" s="62">
        <v>5</v>
      </c>
    </row>
    <row r="141" spans="1:58" s="1" customFormat="1" ht="16.5" x14ac:dyDescent="0.3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X141" s="62">
        <v>1992</v>
      </c>
      <c r="AY141" s="62">
        <v>6</v>
      </c>
    </row>
    <row r="142" spans="1:58" s="1" customFormat="1" ht="16.5" x14ac:dyDescent="0.3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X142" s="62">
        <v>1992</v>
      </c>
      <c r="AY142" s="62">
        <v>6</v>
      </c>
    </row>
    <row r="143" spans="1:58" s="1" customFormat="1" ht="16.5" x14ac:dyDescent="0.3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X143" s="62">
        <v>1993</v>
      </c>
      <c r="AY143" s="62">
        <v>9</v>
      </c>
    </row>
    <row r="144" spans="1:58" s="1" customFormat="1" ht="16.5" x14ac:dyDescent="0.3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X144" s="62">
        <v>1993</v>
      </c>
      <c r="AY144" s="62">
        <v>9</v>
      </c>
    </row>
    <row r="145" spans="1:51" s="1" customFormat="1" ht="16.5" x14ac:dyDescent="0.3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X145" s="62">
        <v>1992</v>
      </c>
      <c r="AY145" s="62">
        <v>3</v>
      </c>
    </row>
    <row r="146" spans="1:51" s="1" customFormat="1" ht="16.5" x14ac:dyDescent="0.3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X146" s="62">
        <v>1992</v>
      </c>
      <c r="AY146" s="62">
        <v>3</v>
      </c>
    </row>
    <row r="147" spans="1:51" s="1" customFormat="1" ht="16.5" x14ac:dyDescent="0.3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X147" s="62">
        <v>1993</v>
      </c>
      <c r="AY147" s="62">
        <v>5</v>
      </c>
    </row>
    <row r="148" spans="1:51" s="1" customFormat="1" ht="16.5" x14ac:dyDescent="0.3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X148" s="62">
        <v>1993</v>
      </c>
      <c r="AY148" s="62">
        <v>5</v>
      </c>
    </row>
    <row r="149" spans="1:51" s="1" customFormat="1" ht="16.5" x14ac:dyDescent="0.3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X149" s="62">
        <v>1993</v>
      </c>
      <c r="AY149" s="62">
        <v>5</v>
      </c>
    </row>
    <row r="150" spans="1:51" s="1" customFormat="1" ht="16.5" x14ac:dyDescent="0.3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X150" s="62">
        <v>1993</v>
      </c>
      <c r="AY150" s="62">
        <v>5</v>
      </c>
    </row>
    <row r="151" spans="1:51" s="1" customFormat="1" ht="16.5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X151" s="62">
        <v>1992</v>
      </c>
      <c r="AY151" s="62">
        <v>12</v>
      </c>
    </row>
    <row r="152" spans="1:51" s="1" customFormat="1" ht="16.5" x14ac:dyDescent="0.3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X152" s="62">
        <v>1993</v>
      </c>
      <c r="AY152" s="62">
        <v>5</v>
      </c>
    </row>
    <row r="153" spans="1:51" s="1" customFormat="1" ht="16.5" x14ac:dyDescent="0.3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X153" s="62">
        <v>1993</v>
      </c>
      <c r="AY153" s="62">
        <v>5</v>
      </c>
    </row>
    <row r="154" spans="1:51" s="1" customFormat="1" ht="16.5" x14ac:dyDescent="0.3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X154" s="62">
        <v>1997</v>
      </c>
      <c r="AY154" s="62">
        <v>8</v>
      </c>
    </row>
    <row r="155" spans="1:51" s="1" customFormat="1" ht="16.5" x14ac:dyDescent="0.3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X155" s="62">
        <v>1997</v>
      </c>
      <c r="AY155" s="62">
        <v>8</v>
      </c>
    </row>
    <row r="156" spans="1:51" s="1" customFormat="1" ht="16.5" x14ac:dyDescent="0.3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X156" s="62">
        <v>1994</v>
      </c>
      <c r="AY156" s="62">
        <v>5</v>
      </c>
    </row>
    <row r="157" spans="1:51" s="1" customFormat="1" ht="16.5" x14ac:dyDescent="0.3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X157" s="62">
        <v>1994</v>
      </c>
      <c r="AY157" s="62">
        <v>2</v>
      </c>
    </row>
    <row r="158" spans="1:51" s="1" customFormat="1" ht="16.5" x14ac:dyDescent="0.3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X158" s="62">
        <v>1994</v>
      </c>
      <c r="AY158" s="62">
        <v>2</v>
      </c>
    </row>
    <row r="159" spans="1:51" s="1" customFormat="1" ht="16.5" x14ac:dyDescent="0.3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X159" s="62">
        <v>1994</v>
      </c>
      <c r="AY159" s="62">
        <v>2</v>
      </c>
    </row>
    <row r="160" spans="1:51" s="1" customFormat="1" ht="16.5" x14ac:dyDescent="0.3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X160" s="62">
        <v>1994</v>
      </c>
      <c r="AY160" s="62">
        <v>1</v>
      </c>
    </row>
    <row r="161" spans="1:58" s="1" customFormat="1" ht="16.5" x14ac:dyDescent="0.3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X161" s="62">
        <v>1994</v>
      </c>
      <c r="AY161" s="62">
        <v>1</v>
      </c>
    </row>
    <row r="162" spans="1:58" s="1" customFormat="1" ht="16.5" x14ac:dyDescent="0.3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X162" s="62">
        <v>1994</v>
      </c>
      <c r="AY162" s="62">
        <v>12</v>
      </c>
    </row>
    <row r="163" spans="1:58" s="1" customFormat="1" ht="16.5" x14ac:dyDescent="0.3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X163" s="62">
        <v>1992</v>
      </c>
      <c r="AY163" s="62">
        <v>6</v>
      </c>
    </row>
    <row r="164" spans="1:58" s="1" customFormat="1" ht="16.5" x14ac:dyDescent="0.3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X164" s="62">
        <v>1992</v>
      </c>
      <c r="AY164" s="62">
        <v>6</v>
      </c>
    </row>
    <row r="165" spans="1:58" s="1" customFormat="1" ht="16.5" x14ac:dyDescent="0.3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X165" s="62">
        <v>1992</v>
      </c>
      <c r="AY165" s="62">
        <v>5</v>
      </c>
    </row>
    <row r="166" spans="1:58" s="1" customFormat="1" ht="16.5" x14ac:dyDescent="0.3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X166" s="62">
        <v>1992</v>
      </c>
      <c r="AY166" s="62">
        <v>5</v>
      </c>
    </row>
    <row r="167" spans="1:58" s="1" customFormat="1" ht="16.5" x14ac:dyDescent="0.3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X167" s="62">
        <v>1994</v>
      </c>
      <c r="AY167" s="62">
        <v>3</v>
      </c>
    </row>
    <row r="168" spans="1:58" s="1" customFormat="1" ht="16.5" x14ac:dyDescent="0.3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X168" s="62">
        <v>1992</v>
      </c>
      <c r="AY168" s="62">
        <v>6</v>
      </c>
    </row>
    <row r="169" spans="1:58" s="1" customFormat="1" ht="16.5" x14ac:dyDescent="0.3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X169" s="62">
        <v>1992</v>
      </c>
      <c r="AY169" s="62">
        <v>6</v>
      </c>
    </row>
    <row r="170" spans="1:58" s="1" customFormat="1" ht="16.5" x14ac:dyDescent="0.3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X170" s="62">
        <v>1992</v>
      </c>
      <c r="AY170" s="62">
        <v>7</v>
      </c>
    </row>
    <row r="171" spans="1:58" s="1" customFormat="1" ht="16.5" x14ac:dyDescent="0.3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X171" s="62">
        <v>1993</v>
      </c>
      <c r="AY171" s="62">
        <v>11</v>
      </c>
      <c r="AZ171" s="62"/>
      <c r="BA171" s="113" t="s">
        <v>48</v>
      </c>
      <c r="BB171" s="114">
        <v>0</v>
      </c>
      <c r="BC171" s="114">
        <v>0</v>
      </c>
      <c r="BD171" s="114">
        <v>0</v>
      </c>
      <c r="BE171" s="114">
        <v>0</v>
      </c>
      <c r="BF171" s="114">
        <v>0</v>
      </c>
    </row>
    <row r="172" spans="1:58" s="1" customFormat="1" ht="16.5" x14ac:dyDescent="0.3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X172" s="62">
        <v>1993</v>
      </c>
      <c r="AY172" s="62">
        <v>11</v>
      </c>
      <c r="AZ172" s="62"/>
      <c r="BA172" s="113" t="s">
        <v>49</v>
      </c>
      <c r="BB172" s="114">
        <v>0</v>
      </c>
      <c r="BC172" s="114">
        <v>0</v>
      </c>
      <c r="BD172" s="114">
        <v>0</v>
      </c>
      <c r="BE172" s="114">
        <v>0</v>
      </c>
      <c r="BF172" s="114">
        <v>0</v>
      </c>
    </row>
    <row r="173" spans="1:58" s="1" customFormat="1" ht="16.5" x14ac:dyDescent="0.3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X173" s="62">
        <v>1993</v>
      </c>
      <c r="AY173" s="62">
        <v>11</v>
      </c>
      <c r="AZ173" s="62"/>
      <c r="BA173" s="115" t="s">
        <v>50</v>
      </c>
      <c r="BB173" s="116">
        <v>0</v>
      </c>
      <c r="BC173" s="116">
        <v>0</v>
      </c>
      <c r="BD173" s="116">
        <v>0</v>
      </c>
      <c r="BE173" s="116">
        <v>0</v>
      </c>
      <c r="BF173" s="116">
        <v>0</v>
      </c>
    </row>
    <row r="174" spans="1:58" s="1" customFormat="1" ht="16.5" x14ac:dyDescent="0.3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X174" s="62">
        <v>1993</v>
      </c>
      <c r="AY174" s="62">
        <v>11</v>
      </c>
      <c r="AZ174" s="62"/>
      <c r="BA174" s="113" t="s">
        <v>52</v>
      </c>
      <c r="BB174" s="114">
        <v>0</v>
      </c>
      <c r="BC174" s="114">
        <v>0</v>
      </c>
      <c r="BD174" s="114">
        <v>0</v>
      </c>
      <c r="BE174" s="114">
        <v>0</v>
      </c>
      <c r="BF174" s="114">
        <v>0</v>
      </c>
    </row>
    <row r="175" spans="1:58" s="1" customFormat="1" ht="16.5" x14ac:dyDescent="0.3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X175" s="62">
        <v>1995</v>
      </c>
      <c r="AY175" s="62">
        <v>12</v>
      </c>
      <c r="AZ175" s="62"/>
      <c r="BA175" s="113"/>
      <c r="BB175" s="113" t="s">
        <v>55</v>
      </c>
      <c r="BC175" s="113" t="s">
        <v>53</v>
      </c>
      <c r="BD175" s="113" t="s">
        <v>54</v>
      </c>
      <c r="BE175" s="113" t="s">
        <v>51</v>
      </c>
      <c r="BF175" s="113" t="s">
        <v>52</v>
      </c>
    </row>
    <row r="176" spans="1:58" s="1" customFormat="1" ht="16.5" x14ac:dyDescent="0.3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X176" s="62">
        <v>1995</v>
      </c>
      <c r="AY176" s="62">
        <v>12</v>
      </c>
      <c r="BA176" s="113" t="s">
        <v>48</v>
      </c>
      <c r="BB176" s="117" t="e">
        <v>#DIV/0!</v>
      </c>
      <c r="BC176" s="117" t="e">
        <v>#DIV/0!</v>
      </c>
      <c r="BD176" s="117" t="e">
        <v>#DIV/0!</v>
      </c>
      <c r="BE176" s="117" t="e">
        <v>#DIV/0!</v>
      </c>
      <c r="BF176" s="117" t="e">
        <v>#DIV/0!</v>
      </c>
    </row>
    <row r="177" spans="1:58" s="1" customFormat="1" ht="16.5" x14ac:dyDescent="0.3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X177" s="62">
        <v>1997</v>
      </c>
      <c r="AY177" s="62">
        <v>5</v>
      </c>
      <c r="BA177" s="115" t="s">
        <v>50</v>
      </c>
      <c r="BB177" s="118" t="e">
        <v>#DIV/0!</v>
      </c>
      <c r="BC177" s="118" t="e">
        <v>#DIV/0!</v>
      </c>
      <c r="BD177" s="118" t="e">
        <v>#DIV/0!</v>
      </c>
      <c r="BE177" s="118" t="e">
        <v>#DIV/0!</v>
      </c>
      <c r="BF177" s="118" t="e">
        <v>#DIV/0!</v>
      </c>
    </row>
    <row r="178" spans="1:58" s="1" customFormat="1" ht="16.5" x14ac:dyDescent="0.3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X178" s="62">
        <v>1997</v>
      </c>
      <c r="AY178" s="62">
        <v>5</v>
      </c>
      <c r="BA178" s="113" t="s">
        <v>52</v>
      </c>
      <c r="BB178" s="117" t="e">
        <v>#DIV/0!</v>
      </c>
      <c r="BC178" s="117" t="e">
        <v>#DIV/0!</v>
      </c>
      <c r="BD178" s="117" t="e">
        <v>#DIV/0!</v>
      </c>
      <c r="BE178" s="117" t="e">
        <v>#DIV/0!</v>
      </c>
      <c r="BF178" s="117" t="e">
        <v>#DIV/0!</v>
      </c>
    </row>
    <row r="179" spans="1:58" s="1" customFormat="1" ht="16.5" x14ac:dyDescent="0.3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X179" s="62">
        <v>1994</v>
      </c>
      <c r="AY179" s="62">
        <v>12</v>
      </c>
    </row>
    <row r="180" spans="1:58" s="1" customFormat="1" ht="16.5" x14ac:dyDescent="0.3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X180" s="62">
        <v>1994</v>
      </c>
      <c r="AY180" s="62">
        <v>12</v>
      </c>
    </row>
    <row r="181" spans="1:58" s="1" customFormat="1" ht="16.5" x14ac:dyDescent="0.3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X181" s="62">
        <v>1994</v>
      </c>
      <c r="AY181" s="62">
        <v>12</v>
      </c>
    </row>
    <row r="182" spans="1:58" s="1" customFormat="1" ht="16.5" x14ac:dyDescent="0.3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X182" s="62">
        <v>1994</v>
      </c>
      <c r="AY182" s="62">
        <v>12</v>
      </c>
    </row>
    <row r="183" spans="1:58" s="1" customFormat="1" ht="16.5" x14ac:dyDescent="0.3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X183" s="62">
        <v>1997</v>
      </c>
      <c r="AY183" s="62">
        <v>7</v>
      </c>
    </row>
    <row r="184" spans="1:58" s="1" customFormat="1" ht="16.5" x14ac:dyDescent="0.3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  <c r="AK184" s="92"/>
      <c r="AL184" s="92"/>
      <c r="AM184" s="92"/>
      <c r="AN184" s="92"/>
      <c r="AO184" s="92"/>
      <c r="AP184" s="92"/>
      <c r="AQ184" s="92"/>
      <c r="AR184" s="92"/>
      <c r="AS184" s="92"/>
      <c r="AT184" s="92"/>
      <c r="AU184" s="92"/>
      <c r="AV184" s="92"/>
      <c r="AX184" s="62">
        <v>1997</v>
      </c>
      <c r="AY184" s="62">
        <v>7</v>
      </c>
    </row>
    <row r="185" spans="1:58" s="1" customFormat="1" ht="16.5" x14ac:dyDescent="0.3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X185" s="62">
        <v>1996</v>
      </c>
      <c r="AY185" s="62">
        <v>3</v>
      </c>
    </row>
    <row r="186" spans="1:58" s="1" customFormat="1" ht="16.5" x14ac:dyDescent="0.3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X186" s="62">
        <v>1996</v>
      </c>
      <c r="AY186" s="62">
        <v>3</v>
      </c>
    </row>
    <row r="187" spans="1:58" s="1" customFormat="1" ht="16.5" x14ac:dyDescent="0.3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  <c r="AK187" s="92"/>
      <c r="AL187" s="92"/>
      <c r="AM187" s="92"/>
      <c r="AN187" s="92"/>
      <c r="AO187" s="92"/>
      <c r="AP187" s="92"/>
      <c r="AQ187" s="92"/>
      <c r="AR187" s="92"/>
      <c r="AS187" s="92"/>
      <c r="AT187" s="92"/>
      <c r="AU187" s="92"/>
      <c r="AV187" s="92"/>
      <c r="AX187" s="62">
        <v>1995</v>
      </c>
      <c r="AY187" s="62">
        <v>1</v>
      </c>
    </row>
    <row r="188" spans="1:58" s="1" customFormat="1" ht="16.5" x14ac:dyDescent="0.3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  <c r="AK188" s="92"/>
      <c r="AL188" s="92"/>
      <c r="AM188" s="92"/>
      <c r="AN188" s="92"/>
      <c r="AO188" s="92"/>
      <c r="AP188" s="92"/>
      <c r="AQ188" s="92"/>
      <c r="AR188" s="92"/>
      <c r="AS188" s="92"/>
      <c r="AT188" s="92"/>
      <c r="AU188" s="92"/>
      <c r="AV188" s="92"/>
      <c r="AX188" s="62">
        <v>1995</v>
      </c>
      <c r="AY188" s="62">
        <v>1</v>
      </c>
    </row>
    <row r="189" spans="1:58" s="1" customFormat="1" ht="16.5" x14ac:dyDescent="0.3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X189" s="62">
        <v>1995</v>
      </c>
      <c r="AY189" s="62">
        <v>1</v>
      </c>
    </row>
    <row r="190" spans="1:58" s="1" customFormat="1" ht="16.5" x14ac:dyDescent="0.3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X190" s="62">
        <v>1998</v>
      </c>
      <c r="AY190" s="62">
        <v>8</v>
      </c>
    </row>
    <row r="191" spans="1:58" s="1" customFormat="1" ht="16.5" x14ac:dyDescent="0.3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X191" s="62">
        <v>1998</v>
      </c>
      <c r="AY191" s="62">
        <v>8</v>
      </c>
    </row>
    <row r="192" spans="1:58" s="1" customFormat="1" ht="16.5" x14ac:dyDescent="0.3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X192" s="62">
        <v>1998</v>
      </c>
      <c r="AY192" s="62">
        <v>8</v>
      </c>
    </row>
    <row r="193" spans="1:51" s="1" customFormat="1" ht="16.5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X193" s="62">
        <v>1996</v>
      </c>
      <c r="AY193" s="62">
        <v>1</v>
      </c>
    </row>
    <row r="194" spans="1:51" s="1" customFormat="1" ht="16.5" x14ac:dyDescent="0.3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X194" s="62">
        <v>1996</v>
      </c>
      <c r="AY194" s="62">
        <v>1</v>
      </c>
    </row>
    <row r="195" spans="1:51" s="1" customFormat="1" ht="16.5" x14ac:dyDescent="0.3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X195" s="62">
        <v>1996</v>
      </c>
      <c r="AY195" s="62">
        <v>1</v>
      </c>
    </row>
    <row r="196" spans="1:51" s="1" customFormat="1" ht="16.5" x14ac:dyDescent="0.3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X196" s="62">
        <v>1997</v>
      </c>
      <c r="AY196" s="62">
        <v>12</v>
      </c>
    </row>
    <row r="197" spans="1:51" s="1" customFormat="1" ht="16.5" x14ac:dyDescent="0.3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X197" s="62">
        <v>1997</v>
      </c>
      <c r="AY197" s="62">
        <v>12</v>
      </c>
    </row>
    <row r="198" spans="1:51" s="1" customFormat="1" ht="16.5" x14ac:dyDescent="0.3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X198" s="62">
        <v>1998</v>
      </c>
      <c r="AY198" s="62">
        <v>3</v>
      </c>
    </row>
    <row r="199" spans="1:51" s="1" customFormat="1" ht="16.5" x14ac:dyDescent="0.3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X199" s="62">
        <v>1998</v>
      </c>
      <c r="AY199" s="62">
        <v>3</v>
      </c>
    </row>
    <row r="200" spans="1:51" s="1" customFormat="1" ht="16.5" x14ac:dyDescent="0.3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X200" s="62">
        <v>1998</v>
      </c>
      <c r="AY200" s="62">
        <v>3</v>
      </c>
    </row>
    <row r="201" spans="1:51" s="1" customFormat="1" ht="16.5" x14ac:dyDescent="0.3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X201" s="62">
        <v>1998</v>
      </c>
      <c r="AY201" s="62">
        <v>3</v>
      </c>
    </row>
    <row r="202" spans="1:51" s="1" customFormat="1" ht="16.5" x14ac:dyDescent="0.3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X202" s="62">
        <v>1997</v>
      </c>
      <c r="AY202" s="62">
        <v>8</v>
      </c>
    </row>
    <row r="203" spans="1:51" s="1" customFormat="1" ht="16.5" x14ac:dyDescent="0.3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X203" s="62">
        <v>1997</v>
      </c>
      <c r="AY203" s="62">
        <v>8</v>
      </c>
    </row>
    <row r="204" spans="1:51" s="1" customFormat="1" ht="16.5" x14ac:dyDescent="0.3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X204" s="62">
        <v>1997</v>
      </c>
      <c r="AY204" s="62">
        <v>8</v>
      </c>
    </row>
    <row r="205" spans="1:51" s="1" customFormat="1" ht="16.5" x14ac:dyDescent="0.3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X205" s="62">
        <v>1996</v>
      </c>
      <c r="AY205" s="62">
        <v>9</v>
      </c>
    </row>
    <row r="206" spans="1:51" s="1" customFormat="1" ht="16.5" x14ac:dyDescent="0.3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X206" s="62">
        <v>1996</v>
      </c>
      <c r="AY206" s="62">
        <v>9</v>
      </c>
    </row>
    <row r="207" spans="1:51" s="1" customFormat="1" ht="16.5" x14ac:dyDescent="0.3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X207" s="62">
        <v>1994</v>
      </c>
      <c r="AY207" s="62">
        <v>11</v>
      </c>
    </row>
    <row r="208" spans="1:51" s="1" customFormat="1" ht="16.5" x14ac:dyDescent="0.3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X208" s="62">
        <v>1994</v>
      </c>
      <c r="AY208" s="62">
        <v>11</v>
      </c>
    </row>
    <row r="209" spans="1:58" s="1" customFormat="1" ht="16.5" x14ac:dyDescent="0.3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X209" s="62">
        <v>1984</v>
      </c>
      <c r="AY209" s="62">
        <v>1</v>
      </c>
    </row>
    <row r="210" spans="1:58" s="1" customFormat="1" ht="16.5" x14ac:dyDescent="0.3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X210" s="62">
        <v>1984</v>
      </c>
      <c r="AY210" s="62">
        <v>1</v>
      </c>
    </row>
    <row r="211" spans="1:58" s="1" customFormat="1" ht="16.5" x14ac:dyDescent="0.3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X211" s="62">
        <v>1994</v>
      </c>
      <c r="AY211" s="62">
        <v>1</v>
      </c>
    </row>
    <row r="212" spans="1:58" s="1" customFormat="1" ht="16.5" x14ac:dyDescent="0.3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X212" s="62">
        <v>1994</v>
      </c>
      <c r="AY212" s="62">
        <v>1</v>
      </c>
    </row>
    <row r="213" spans="1:58" s="1" customFormat="1" ht="16.5" x14ac:dyDescent="0.3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X213" s="62">
        <v>1997</v>
      </c>
      <c r="AY213" s="62">
        <v>5</v>
      </c>
    </row>
    <row r="214" spans="1:58" s="1" customFormat="1" ht="16.5" x14ac:dyDescent="0.3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  <c r="AK214" s="92"/>
      <c r="AL214" s="92"/>
      <c r="AM214" s="92"/>
      <c r="AN214" s="92"/>
      <c r="AO214" s="92"/>
      <c r="AP214" s="92"/>
      <c r="AQ214" s="92"/>
      <c r="AR214" s="92"/>
      <c r="AS214" s="92"/>
      <c r="AT214" s="92"/>
      <c r="AU214" s="92"/>
      <c r="AV214" s="92"/>
      <c r="AX214" s="62">
        <v>1997</v>
      </c>
      <c r="AY214" s="62">
        <v>5</v>
      </c>
    </row>
    <row r="215" spans="1:58" s="1" customFormat="1" ht="16.5" x14ac:dyDescent="0.3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  <c r="AK215" s="92"/>
      <c r="AL215" s="92"/>
      <c r="AM215" s="92"/>
      <c r="AN215" s="92"/>
      <c r="AO215" s="92"/>
      <c r="AP215" s="92"/>
      <c r="AQ215" s="92"/>
      <c r="AR215" s="92"/>
      <c r="AS215" s="92"/>
      <c r="AT215" s="92"/>
      <c r="AU215" s="92"/>
      <c r="AV215" s="92"/>
      <c r="AX215" s="62">
        <v>1997</v>
      </c>
      <c r="AY215" s="62">
        <v>5</v>
      </c>
    </row>
    <row r="216" spans="1:58" s="1" customFormat="1" ht="16.5" x14ac:dyDescent="0.3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X216" s="62">
        <v>1997</v>
      </c>
      <c r="AY216" s="62">
        <v>11</v>
      </c>
    </row>
    <row r="217" spans="1:58" s="1" customFormat="1" ht="16.5" x14ac:dyDescent="0.3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X217" s="62">
        <v>1997</v>
      </c>
      <c r="AY217" s="62">
        <v>11</v>
      </c>
    </row>
    <row r="218" spans="1:58" s="1" customFormat="1" ht="16.5" x14ac:dyDescent="0.3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X218" s="62">
        <v>1997</v>
      </c>
      <c r="AY218" s="62">
        <v>11</v>
      </c>
    </row>
    <row r="219" spans="1:58" s="1" customFormat="1" ht="16.5" x14ac:dyDescent="0.3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X219" s="62">
        <v>2002</v>
      </c>
      <c r="AY219" s="62">
        <v>6</v>
      </c>
    </row>
    <row r="220" spans="1:58" s="1" customFormat="1" ht="16.5" x14ac:dyDescent="0.3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  <c r="AK220" s="92"/>
      <c r="AL220" s="92"/>
      <c r="AM220" s="92"/>
      <c r="AN220" s="92"/>
      <c r="AO220" s="92"/>
      <c r="AP220" s="92"/>
      <c r="AQ220" s="92"/>
      <c r="AR220" s="92"/>
      <c r="AS220" s="92"/>
      <c r="AT220" s="92"/>
      <c r="AU220" s="92"/>
      <c r="AV220" s="92"/>
      <c r="AX220" s="62">
        <v>2002</v>
      </c>
      <c r="AY220" s="62">
        <v>6</v>
      </c>
    </row>
    <row r="221" spans="1:58" s="1" customFormat="1" ht="16.5" x14ac:dyDescent="0.3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  <c r="AK221" s="92"/>
      <c r="AL221" s="92"/>
      <c r="AM221" s="92"/>
      <c r="AN221" s="92"/>
      <c r="AO221" s="92"/>
      <c r="AP221" s="92"/>
      <c r="AQ221" s="92"/>
      <c r="AR221" s="92"/>
      <c r="AS221" s="92"/>
      <c r="AT221" s="92"/>
      <c r="AU221" s="92"/>
      <c r="AV221" s="92"/>
      <c r="AX221" s="62">
        <v>1990</v>
      </c>
      <c r="AY221" s="62">
        <v>6</v>
      </c>
    </row>
    <row r="222" spans="1:58" s="1" customFormat="1" ht="16.5" x14ac:dyDescent="0.3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X222" s="62">
        <v>1990</v>
      </c>
      <c r="AY222" s="62">
        <v>6</v>
      </c>
    </row>
    <row r="223" spans="1:58" s="1" customFormat="1" ht="16.5" x14ac:dyDescent="0.3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  <c r="AK223" s="92"/>
      <c r="AL223" s="92"/>
      <c r="AM223" s="92"/>
      <c r="AN223" s="92"/>
      <c r="AO223" s="92"/>
      <c r="AP223" s="92"/>
      <c r="AQ223" s="92"/>
      <c r="AR223" s="92"/>
      <c r="AS223" s="92"/>
      <c r="AT223" s="92"/>
      <c r="AU223" s="92"/>
      <c r="AV223" s="92"/>
      <c r="AX223" s="62">
        <v>1994</v>
      </c>
      <c r="AY223" s="62">
        <v>1</v>
      </c>
      <c r="AZ223" s="62"/>
      <c r="BA223" s="113" t="s">
        <v>48</v>
      </c>
      <c r="BB223" s="114">
        <v>0</v>
      </c>
      <c r="BC223" s="114">
        <v>0</v>
      </c>
      <c r="BD223" s="114">
        <v>0</v>
      </c>
      <c r="BE223" s="114">
        <v>0</v>
      </c>
      <c r="BF223" s="114">
        <v>0</v>
      </c>
    </row>
    <row r="224" spans="1:58" s="1" customFormat="1" ht="16.5" x14ac:dyDescent="0.3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  <c r="AK224" s="92"/>
      <c r="AL224" s="92"/>
      <c r="AM224" s="92"/>
      <c r="AN224" s="92"/>
      <c r="AO224" s="92"/>
      <c r="AP224" s="92"/>
      <c r="AQ224" s="92"/>
      <c r="AR224" s="92"/>
      <c r="AS224" s="92"/>
      <c r="AT224" s="92"/>
      <c r="AU224" s="92"/>
      <c r="AV224" s="92"/>
      <c r="AX224" s="62">
        <v>1994</v>
      </c>
      <c r="AY224" s="62">
        <v>1</v>
      </c>
      <c r="AZ224" s="62"/>
      <c r="BA224" s="113" t="s">
        <v>49</v>
      </c>
      <c r="BB224" s="114">
        <v>0</v>
      </c>
      <c r="BC224" s="114">
        <v>0</v>
      </c>
      <c r="BD224" s="114">
        <v>0</v>
      </c>
      <c r="BE224" s="114">
        <v>0</v>
      </c>
      <c r="BF224" s="114">
        <v>0</v>
      </c>
    </row>
    <row r="225" spans="1:58" s="1" customFormat="1" ht="16.5" x14ac:dyDescent="0.3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X225" s="62">
        <v>1995</v>
      </c>
      <c r="AY225" s="62">
        <v>3</v>
      </c>
      <c r="AZ225" s="62"/>
      <c r="BA225" s="113" t="s">
        <v>52</v>
      </c>
      <c r="BB225" s="114">
        <v>0</v>
      </c>
      <c r="BC225" s="114">
        <v>0</v>
      </c>
      <c r="BD225" s="114">
        <v>0</v>
      </c>
      <c r="BE225" s="114">
        <v>0</v>
      </c>
      <c r="BF225" s="114">
        <v>0</v>
      </c>
    </row>
    <row r="226" spans="1:58" s="1" customFormat="1" ht="16.5" x14ac:dyDescent="0.3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X226" s="62">
        <v>1995</v>
      </c>
      <c r="AY226" s="62">
        <v>3</v>
      </c>
      <c r="AZ226" s="62"/>
      <c r="BA226" s="3"/>
    </row>
    <row r="227" spans="1:58" s="1" customFormat="1" ht="16.5" x14ac:dyDescent="0.3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X227" s="62">
        <v>1995</v>
      </c>
      <c r="AY227" s="62">
        <v>3</v>
      </c>
      <c r="AZ227" s="62"/>
      <c r="BA227" s="113"/>
      <c r="BB227" s="113" t="s">
        <v>55</v>
      </c>
      <c r="BC227" s="113" t="s">
        <v>53</v>
      </c>
      <c r="BD227" s="113" t="s">
        <v>54</v>
      </c>
      <c r="BE227" s="113" t="s">
        <v>51</v>
      </c>
      <c r="BF227" s="113" t="s">
        <v>52</v>
      </c>
    </row>
    <row r="228" spans="1:58" s="1" customFormat="1" ht="16.5" x14ac:dyDescent="0.3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X228" s="62">
        <v>1994</v>
      </c>
      <c r="AY228" s="62">
        <v>9</v>
      </c>
      <c r="BA228" s="113" t="s">
        <v>49</v>
      </c>
      <c r="BB228" s="117" t="e">
        <v>#DIV/0!</v>
      </c>
      <c r="BC228" s="117" t="e">
        <v>#DIV/0!</v>
      </c>
      <c r="BD228" s="117" t="e">
        <v>#DIV/0!</v>
      </c>
      <c r="BE228" s="117" t="e">
        <v>#DIV/0!</v>
      </c>
      <c r="BF228" s="117" t="e">
        <v>#DIV/0!</v>
      </c>
    </row>
    <row r="229" spans="1:58" s="1" customFormat="1" ht="16.5" x14ac:dyDescent="0.3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  <c r="AX229" s="62">
        <v>1993</v>
      </c>
      <c r="AY229" s="62">
        <v>11</v>
      </c>
      <c r="BA229" s="113" t="s">
        <v>52</v>
      </c>
      <c r="BB229" s="117" t="e">
        <v>#DIV/0!</v>
      </c>
      <c r="BC229" s="117" t="e">
        <v>#DIV/0!</v>
      </c>
      <c r="BD229" s="117" t="e">
        <v>#DIV/0!</v>
      </c>
      <c r="BE229" s="117" t="e">
        <v>#DIV/0!</v>
      </c>
      <c r="BF229" s="117" t="e">
        <v>#DIV/0!</v>
      </c>
    </row>
    <row r="230" spans="1:58" s="1" customFormat="1" ht="16.5" x14ac:dyDescent="0.3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  <c r="AX230" s="62">
        <v>2000</v>
      </c>
      <c r="AY230" s="62">
        <v>6</v>
      </c>
    </row>
    <row r="231" spans="1:58" s="1" customFormat="1" ht="16.5" x14ac:dyDescent="0.3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  <c r="AX231" s="62">
        <v>2000</v>
      </c>
      <c r="AY231" s="62">
        <v>6</v>
      </c>
    </row>
    <row r="232" spans="1:58" s="1" customFormat="1" ht="16.5" x14ac:dyDescent="0.3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X232" s="62">
        <v>1994</v>
      </c>
      <c r="AY232" s="62">
        <v>3</v>
      </c>
    </row>
    <row r="233" spans="1:58" s="1" customFormat="1" ht="16.5" x14ac:dyDescent="0.3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X233" s="62">
        <v>1993</v>
      </c>
      <c r="AY233" s="62">
        <v>6</v>
      </c>
    </row>
    <row r="234" spans="1:58" s="1" customFormat="1" ht="16.5" x14ac:dyDescent="0.3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X234" s="62" t="s">
        <v>85</v>
      </c>
      <c r="AY234" s="62" t="s">
        <v>85</v>
      </c>
      <c r="AZ234" s="92"/>
    </row>
    <row r="235" spans="1:58" s="1" customFormat="1" ht="16.5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  <c r="AX235" s="62" t="s">
        <v>85</v>
      </c>
      <c r="AY235" s="62" t="s">
        <v>85</v>
      </c>
      <c r="AZ235" s="92"/>
    </row>
    <row r="236" spans="1:58" s="1" customFormat="1" ht="16.5" x14ac:dyDescent="0.3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X236" s="62" t="s">
        <v>85</v>
      </c>
      <c r="AY236" s="62" t="s">
        <v>85</v>
      </c>
      <c r="AZ236" s="92"/>
    </row>
    <row r="237" spans="1:58" s="1" customFormat="1" ht="16.5" x14ac:dyDescent="0.3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X237" s="62" t="s">
        <v>85</v>
      </c>
      <c r="AY237" s="62" t="s">
        <v>85</v>
      </c>
      <c r="AZ237" s="92"/>
    </row>
    <row r="238" spans="1:58" s="1" customFormat="1" ht="16.5" x14ac:dyDescent="0.3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  <c r="AX238" s="62" t="s">
        <v>85</v>
      </c>
      <c r="AY238" s="62" t="s">
        <v>85</v>
      </c>
      <c r="AZ238" s="92"/>
    </row>
    <row r="239" spans="1:58" s="1" customFormat="1" ht="16.5" x14ac:dyDescent="0.3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  <c r="AX239" s="62" t="s">
        <v>85</v>
      </c>
      <c r="AY239" s="62" t="s">
        <v>85</v>
      </c>
      <c r="AZ239" s="92"/>
    </row>
    <row r="240" spans="1:58" s="1" customFormat="1" ht="16.5" x14ac:dyDescent="0.3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X240" s="62" t="s">
        <v>85</v>
      </c>
      <c r="AY240" s="62" t="s">
        <v>85</v>
      </c>
      <c r="AZ240" s="92"/>
    </row>
    <row r="241" spans="1:52" s="1" customFormat="1" ht="16.5" x14ac:dyDescent="0.3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X241" s="62" t="s">
        <v>85</v>
      </c>
      <c r="AY241" s="62" t="s">
        <v>85</v>
      </c>
      <c r="AZ241" s="92"/>
    </row>
    <row r="242" spans="1:52" s="1" customFormat="1" ht="16.5" x14ac:dyDescent="0.3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X242" s="62" t="s">
        <v>85</v>
      </c>
      <c r="AY242" s="62" t="s">
        <v>85</v>
      </c>
      <c r="AZ242" s="92"/>
    </row>
    <row r="243" spans="1:52" s="1" customFormat="1" ht="16.5" x14ac:dyDescent="0.3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X243" s="62" t="s">
        <v>85</v>
      </c>
      <c r="AY243" s="62" t="s">
        <v>85</v>
      </c>
      <c r="AZ243" s="92"/>
    </row>
    <row r="244" spans="1:52" s="1" customFormat="1" ht="16.5" x14ac:dyDescent="0.3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X244" s="62" t="s">
        <v>85</v>
      </c>
      <c r="AY244" s="62" t="s">
        <v>85</v>
      </c>
      <c r="AZ244" s="92"/>
    </row>
    <row r="245" spans="1:52" s="1" customFormat="1" ht="16.5" x14ac:dyDescent="0.3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X245" s="62" t="s">
        <v>85</v>
      </c>
      <c r="AY245" s="62" t="s">
        <v>85</v>
      </c>
      <c r="AZ245" s="92"/>
    </row>
    <row r="246" spans="1:52" s="1" customFormat="1" ht="16.5" x14ac:dyDescent="0.3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X246" s="62" t="s">
        <v>85</v>
      </c>
      <c r="AY246" s="62" t="s">
        <v>85</v>
      </c>
      <c r="AZ246" s="92"/>
    </row>
    <row r="247" spans="1:52" s="1" customFormat="1" ht="16.5" x14ac:dyDescent="0.3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X247" s="62" t="s">
        <v>85</v>
      </c>
      <c r="AY247" s="62" t="s">
        <v>85</v>
      </c>
      <c r="AZ247" s="92"/>
    </row>
    <row r="248" spans="1:52" s="1" customFormat="1" ht="16.5" x14ac:dyDescent="0.3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X248" s="62" t="s">
        <v>85</v>
      </c>
      <c r="AY248" s="62" t="s">
        <v>85</v>
      </c>
      <c r="AZ248" s="92"/>
    </row>
    <row r="249" spans="1:52" s="1" customFormat="1" ht="16.5" x14ac:dyDescent="0.3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X249" s="62" t="s">
        <v>85</v>
      </c>
      <c r="AY249" s="62" t="s">
        <v>85</v>
      </c>
      <c r="AZ249" s="92"/>
    </row>
    <row r="250" spans="1:52" s="1" customFormat="1" ht="16.5" x14ac:dyDescent="0.3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X250" s="62" t="s">
        <v>85</v>
      </c>
      <c r="AY250" s="62" t="s">
        <v>85</v>
      </c>
      <c r="AZ250" s="92"/>
    </row>
    <row r="251" spans="1:52" s="1" customFormat="1" ht="16.5" x14ac:dyDescent="0.3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X251" s="62" t="s">
        <v>85</v>
      </c>
      <c r="AY251" s="62" t="s">
        <v>85</v>
      </c>
      <c r="AZ251" s="92"/>
    </row>
    <row r="252" spans="1:52" s="1" customFormat="1" ht="16.5" x14ac:dyDescent="0.3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X252" s="62" t="s">
        <v>85</v>
      </c>
      <c r="AY252" s="62" t="s">
        <v>85</v>
      </c>
      <c r="AZ252" s="92"/>
    </row>
    <row r="253" spans="1:52" s="1" customFormat="1" ht="16.5" x14ac:dyDescent="0.3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X253" s="62" t="s">
        <v>85</v>
      </c>
      <c r="AY253" s="62" t="s">
        <v>85</v>
      </c>
      <c r="AZ253" s="92"/>
    </row>
    <row r="254" spans="1:52" s="1" customFormat="1" ht="16.5" x14ac:dyDescent="0.3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X254" s="62" t="s">
        <v>85</v>
      </c>
      <c r="AY254" s="62" t="s">
        <v>85</v>
      </c>
      <c r="AZ254" s="92"/>
    </row>
    <row r="255" spans="1:52" s="1" customFormat="1" ht="16.5" x14ac:dyDescent="0.3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X255" s="62" t="s">
        <v>85</v>
      </c>
      <c r="AY255" s="62" t="s">
        <v>85</v>
      </c>
      <c r="AZ255" s="92"/>
    </row>
    <row r="256" spans="1:52" s="1" customFormat="1" ht="16.5" x14ac:dyDescent="0.3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X256" s="62" t="s">
        <v>85</v>
      </c>
      <c r="AY256" s="62" t="s">
        <v>85</v>
      </c>
      <c r="AZ256" s="92"/>
    </row>
    <row r="257" spans="1:52" s="1" customFormat="1" ht="16.5" x14ac:dyDescent="0.3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X257" s="62" t="s">
        <v>85</v>
      </c>
      <c r="AY257" s="62" t="s">
        <v>85</v>
      </c>
      <c r="AZ257" s="92"/>
    </row>
    <row r="258" spans="1:52" s="1" customFormat="1" ht="16.5" x14ac:dyDescent="0.3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X258" s="62" t="s">
        <v>85</v>
      </c>
      <c r="AY258" s="62" t="s">
        <v>85</v>
      </c>
      <c r="AZ258" s="92"/>
    </row>
    <row r="259" spans="1:52" s="1" customFormat="1" ht="16.5" x14ac:dyDescent="0.3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X259" s="62" t="s">
        <v>85</v>
      </c>
      <c r="AY259" s="62" t="s">
        <v>85</v>
      </c>
      <c r="AZ259" s="92"/>
    </row>
    <row r="260" spans="1:52" s="1" customFormat="1" ht="16.5" x14ac:dyDescent="0.3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X260" s="62" t="s">
        <v>85</v>
      </c>
      <c r="AY260" s="62" t="s">
        <v>85</v>
      </c>
      <c r="AZ260" s="92"/>
    </row>
    <row r="261" spans="1:52" s="1" customFormat="1" ht="16.5" x14ac:dyDescent="0.3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X261" s="62" t="s">
        <v>85</v>
      </c>
      <c r="AY261" s="62" t="s">
        <v>85</v>
      </c>
      <c r="AZ261" s="92"/>
    </row>
    <row r="262" spans="1:52" s="1" customFormat="1" ht="16.5" x14ac:dyDescent="0.3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X262" s="62" t="s">
        <v>85</v>
      </c>
      <c r="AY262" s="62" t="s">
        <v>85</v>
      </c>
      <c r="AZ262" s="92"/>
    </row>
    <row r="263" spans="1:52" s="1" customFormat="1" ht="16.5" x14ac:dyDescent="0.3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X263" s="62" t="s">
        <v>85</v>
      </c>
      <c r="AY263" s="62" t="s">
        <v>85</v>
      </c>
      <c r="AZ263" s="92"/>
    </row>
    <row r="264" spans="1:52" s="1" customFormat="1" ht="16.5" x14ac:dyDescent="0.3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X264" s="62" t="s">
        <v>85</v>
      </c>
      <c r="AY264" s="62" t="s">
        <v>85</v>
      </c>
      <c r="AZ264" s="92"/>
    </row>
    <row r="265" spans="1:52" s="1" customFormat="1" ht="16.5" x14ac:dyDescent="0.3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X265" s="62" t="s">
        <v>85</v>
      </c>
      <c r="AY265" s="62" t="s">
        <v>85</v>
      </c>
      <c r="AZ265" s="92"/>
    </row>
    <row r="266" spans="1:52" s="1" customFormat="1" ht="16.5" x14ac:dyDescent="0.3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X266" s="62" t="s">
        <v>85</v>
      </c>
      <c r="AY266" s="62" t="s">
        <v>85</v>
      </c>
      <c r="AZ266" s="92"/>
    </row>
    <row r="267" spans="1:52" s="1" customFormat="1" ht="16.5" x14ac:dyDescent="0.3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X267" s="62" t="s">
        <v>85</v>
      </c>
      <c r="AY267" s="62" t="s">
        <v>85</v>
      </c>
      <c r="AZ267" s="92"/>
    </row>
    <row r="268" spans="1:52" s="1" customFormat="1" ht="16.5" x14ac:dyDescent="0.3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X268" s="62" t="s">
        <v>85</v>
      </c>
      <c r="AY268" s="62" t="s">
        <v>85</v>
      </c>
      <c r="AZ268" s="92"/>
    </row>
    <row r="269" spans="1:52" s="1" customFormat="1" ht="16.5" x14ac:dyDescent="0.3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X269" s="62" t="s">
        <v>85</v>
      </c>
      <c r="AY269" s="62" t="s">
        <v>85</v>
      </c>
      <c r="AZ269" s="92"/>
    </row>
    <row r="270" spans="1:52" s="1" customFormat="1" ht="16.5" x14ac:dyDescent="0.3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X270" s="62" t="s">
        <v>85</v>
      </c>
      <c r="AY270" s="62" t="s">
        <v>85</v>
      </c>
      <c r="AZ270" s="92"/>
    </row>
    <row r="271" spans="1:52" s="1" customFormat="1" ht="16.5" x14ac:dyDescent="0.3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X271" s="62" t="s">
        <v>85</v>
      </c>
      <c r="AY271" s="62" t="s">
        <v>85</v>
      </c>
      <c r="AZ271" s="92"/>
    </row>
    <row r="272" spans="1:52" s="1" customFormat="1" ht="16.5" x14ac:dyDescent="0.3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X272" s="62" t="s">
        <v>85</v>
      </c>
      <c r="AY272" s="62" t="s">
        <v>85</v>
      </c>
      <c r="AZ272" s="92"/>
    </row>
    <row r="273" spans="1:52" s="1" customFormat="1" ht="16.5" x14ac:dyDescent="0.3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X273" s="62" t="s">
        <v>85</v>
      </c>
      <c r="AY273" s="62" t="s">
        <v>85</v>
      </c>
      <c r="AZ273" s="92"/>
    </row>
    <row r="274" spans="1:52" s="1" customFormat="1" ht="16.5" x14ac:dyDescent="0.3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X274" s="62" t="s">
        <v>85</v>
      </c>
      <c r="AY274" s="62" t="s">
        <v>85</v>
      </c>
      <c r="AZ274" s="92"/>
    </row>
    <row r="275" spans="1:52" s="1" customFormat="1" ht="16.5" x14ac:dyDescent="0.3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X275" s="62" t="s">
        <v>85</v>
      </c>
      <c r="AY275" s="62" t="s">
        <v>85</v>
      </c>
      <c r="AZ275" s="92"/>
    </row>
    <row r="276" spans="1:52" s="1" customFormat="1" ht="16.5" x14ac:dyDescent="0.3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X276" s="62" t="s">
        <v>85</v>
      </c>
      <c r="AY276" s="62" t="s">
        <v>85</v>
      </c>
      <c r="AZ276" s="92"/>
    </row>
    <row r="277" spans="1:52" s="1" customFormat="1" ht="16.5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X277" s="62" t="s">
        <v>85</v>
      </c>
      <c r="AY277" s="62" t="s">
        <v>85</v>
      </c>
      <c r="AZ277" s="92"/>
    </row>
    <row r="278" spans="1:52" s="1" customFormat="1" ht="16.5" x14ac:dyDescent="0.3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X278" s="62" t="s">
        <v>85</v>
      </c>
      <c r="AY278" s="62" t="s">
        <v>85</v>
      </c>
      <c r="AZ278" s="92"/>
    </row>
    <row r="279" spans="1:52" s="1" customFormat="1" ht="16.5" x14ac:dyDescent="0.3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X279" s="62" t="s">
        <v>85</v>
      </c>
      <c r="AY279" s="62" t="s">
        <v>85</v>
      </c>
      <c r="AZ279" s="92"/>
    </row>
    <row r="280" spans="1:52" s="1" customFormat="1" ht="16.5" x14ac:dyDescent="0.3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X280" s="62" t="s">
        <v>85</v>
      </c>
      <c r="AY280" s="62" t="s">
        <v>85</v>
      </c>
      <c r="AZ280" s="92"/>
    </row>
    <row r="281" spans="1:52" s="1" customFormat="1" ht="16.5" x14ac:dyDescent="0.3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X281" s="62" t="s">
        <v>85</v>
      </c>
      <c r="AY281" s="62" t="s">
        <v>85</v>
      </c>
      <c r="AZ281" s="92"/>
    </row>
    <row r="282" spans="1:52" s="1" customFormat="1" ht="16.5" x14ac:dyDescent="0.3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X282" s="62" t="s">
        <v>85</v>
      </c>
      <c r="AY282" s="62" t="s">
        <v>85</v>
      </c>
      <c r="AZ282" s="92"/>
    </row>
    <row r="283" spans="1:52" s="1" customFormat="1" ht="16.5" x14ac:dyDescent="0.3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X283" s="62" t="s">
        <v>85</v>
      </c>
      <c r="AY283" s="62" t="s">
        <v>85</v>
      </c>
      <c r="AZ283" s="92"/>
    </row>
    <row r="284" spans="1:52" s="1" customFormat="1" ht="16.5" x14ac:dyDescent="0.3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X284" s="62" t="s">
        <v>85</v>
      </c>
      <c r="AY284" s="62" t="s">
        <v>85</v>
      </c>
      <c r="AZ284" s="92"/>
    </row>
    <row r="285" spans="1:52" s="1" customFormat="1" ht="16.5" x14ac:dyDescent="0.3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X285" s="62" t="s">
        <v>85</v>
      </c>
      <c r="AY285" s="62" t="s">
        <v>85</v>
      </c>
      <c r="AZ285" s="92"/>
    </row>
    <row r="286" spans="1:52" s="1" customFormat="1" ht="16.5" x14ac:dyDescent="0.3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X286" s="62" t="s">
        <v>85</v>
      </c>
      <c r="AY286" s="62" t="s">
        <v>85</v>
      </c>
      <c r="AZ286" s="92"/>
    </row>
    <row r="287" spans="1:52" s="1" customFormat="1" ht="16.5" x14ac:dyDescent="0.3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X287" s="62" t="s">
        <v>85</v>
      </c>
      <c r="AY287" s="62" t="s">
        <v>85</v>
      </c>
      <c r="AZ287" s="92"/>
    </row>
    <row r="288" spans="1:52" s="1" customFormat="1" ht="16.5" x14ac:dyDescent="0.3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X288" s="62" t="s">
        <v>85</v>
      </c>
      <c r="AY288" s="62" t="s">
        <v>85</v>
      </c>
      <c r="AZ288" s="92"/>
    </row>
    <row r="289" spans="1:52" s="1" customFormat="1" ht="16.5" x14ac:dyDescent="0.3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X289" s="62" t="s">
        <v>85</v>
      </c>
      <c r="AY289" s="62" t="s">
        <v>85</v>
      </c>
      <c r="AZ289" s="92"/>
    </row>
    <row r="290" spans="1:52" s="1" customFormat="1" ht="16.5" x14ac:dyDescent="0.3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X290" s="62" t="s">
        <v>85</v>
      </c>
      <c r="AY290" s="62" t="s">
        <v>85</v>
      </c>
      <c r="AZ290" s="92"/>
    </row>
    <row r="291" spans="1:52" s="1" customFormat="1" ht="16.5" x14ac:dyDescent="0.3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X291" s="62" t="s">
        <v>85</v>
      </c>
      <c r="AY291" s="62" t="s">
        <v>85</v>
      </c>
      <c r="AZ291" s="92"/>
    </row>
    <row r="292" spans="1:52" s="1" customFormat="1" ht="16.5" x14ac:dyDescent="0.3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X292" s="62" t="s">
        <v>85</v>
      </c>
      <c r="AY292" s="62" t="s">
        <v>85</v>
      </c>
      <c r="AZ292" s="92"/>
    </row>
    <row r="293" spans="1:52" s="1" customFormat="1" ht="16.5" x14ac:dyDescent="0.3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X293" s="62" t="s">
        <v>85</v>
      </c>
      <c r="AY293" s="62" t="s">
        <v>85</v>
      </c>
      <c r="AZ293" s="92"/>
    </row>
    <row r="294" spans="1:52" s="1" customFormat="1" ht="16.5" x14ac:dyDescent="0.3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X294" s="62" t="s">
        <v>85</v>
      </c>
      <c r="AY294" s="62" t="s">
        <v>85</v>
      </c>
      <c r="AZ294" s="92"/>
    </row>
    <row r="295" spans="1:52" s="1" customFormat="1" ht="16.5" x14ac:dyDescent="0.3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X295" s="62" t="s">
        <v>85</v>
      </c>
      <c r="AY295" s="62" t="s">
        <v>85</v>
      </c>
      <c r="AZ295" s="92"/>
    </row>
    <row r="296" spans="1:52" s="1" customFormat="1" ht="16.5" x14ac:dyDescent="0.3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X296" s="62" t="s">
        <v>85</v>
      </c>
      <c r="AY296" s="62" t="s">
        <v>85</v>
      </c>
      <c r="AZ296" s="92"/>
    </row>
    <row r="297" spans="1:52" s="1" customFormat="1" ht="16.5" x14ac:dyDescent="0.3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X297" s="62" t="s">
        <v>85</v>
      </c>
      <c r="AY297" s="62" t="s">
        <v>85</v>
      </c>
      <c r="AZ297" s="92"/>
    </row>
    <row r="298" spans="1:52" s="1" customFormat="1" ht="16.5" x14ac:dyDescent="0.3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X298" s="62" t="s">
        <v>85</v>
      </c>
      <c r="AY298" s="62" t="s">
        <v>85</v>
      </c>
      <c r="AZ298" s="92"/>
    </row>
    <row r="299" spans="1:52" s="1" customFormat="1" ht="16.5" x14ac:dyDescent="0.3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X299" s="62" t="s">
        <v>85</v>
      </c>
      <c r="AY299" s="62" t="s">
        <v>85</v>
      </c>
      <c r="AZ299" s="92"/>
    </row>
    <row r="300" spans="1:52" s="1" customFormat="1" ht="16.5" x14ac:dyDescent="0.3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X300" s="62" t="s">
        <v>85</v>
      </c>
      <c r="AY300" s="62" t="s">
        <v>85</v>
      </c>
      <c r="AZ300" s="92"/>
    </row>
    <row r="301" spans="1:52" s="1" customFormat="1" ht="16.5" x14ac:dyDescent="0.3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X301" s="62" t="s">
        <v>85</v>
      </c>
      <c r="AY301" s="62" t="s">
        <v>85</v>
      </c>
      <c r="AZ301" s="92"/>
    </row>
    <row r="302" spans="1:52" s="1" customFormat="1" ht="16.5" x14ac:dyDescent="0.3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X302" s="62" t="s">
        <v>85</v>
      </c>
      <c r="AY302" s="62" t="s">
        <v>85</v>
      </c>
      <c r="AZ302" s="92"/>
    </row>
    <row r="303" spans="1:52" s="1" customFormat="1" ht="16.5" x14ac:dyDescent="0.3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X303" s="62" t="s">
        <v>85</v>
      </c>
      <c r="AY303" s="62" t="s">
        <v>85</v>
      </c>
      <c r="AZ303" s="92"/>
    </row>
    <row r="304" spans="1:52" s="1" customFormat="1" ht="16.5" x14ac:dyDescent="0.3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X304" s="62" t="s">
        <v>85</v>
      </c>
      <c r="AY304" s="62" t="s">
        <v>85</v>
      </c>
      <c r="AZ304" s="92"/>
    </row>
    <row r="305" spans="1:52" s="1" customFormat="1" ht="16.5" x14ac:dyDescent="0.3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X305" s="62" t="s">
        <v>85</v>
      </c>
      <c r="AY305" s="62" t="s">
        <v>85</v>
      </c>
      <c r="AZ305" s="92"/>
    </row>
    <row r="306" spans="1:52" s="1" customFormat="1" ht="16.5" x14ac:dyDescent="0.3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X306" s="62" t="s">
        <v>85</v>
      </c>
      <c r="AY306" s="62" t="s">
        <v>85</v>
      </c>
      <c r="AZ306" s="92"/>
    </row>
    <row r="307" spans="1:52" s="1" customFormat="1" ht="16.5" x14ac:dyDescent="0.3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X307" s="62" t="s">
        <v>85</v>
      </c>
      <c r="AY307" s="62" t="s">
        <v>85</v>
      </c>
      <c r="AZ307" s="92"/>
    </row>
    <row r="308" spans="1:52" s="1" customFormat="1" ht="16.5" x14ac:dyDescent="0.3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X308" s="62" t="s">
        <v>85</v>
      </c>
      <c r="AY308" s="62" t="s">
        <v>85</v>
      </c>
      <c r="AZ308" s="92"/>
    </row>
    <row r="309" spans="1:52" s="1" customFormat="1" ht="16.5" x14ac:dyDescent="0.3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X309" s="62" t="s">
        <v>85</v>
      </c>
      <c r="AY309" s="62" t="s">
        <v>85</v>
      </c>
      <c r="AZ309" s="92"/>
    </row>
    <row r="310" spans="1:52" s="1" customFormat="1" ht="16.5" x14ac:dyDescent="0.3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X310" s="62" t="s">
        <v>85</v>
      </c>
      <c r="AY310" s="62" t="s">
        <v>85</v>
      </c>
      <c r="AZ310" s="92"/>
    </row>
    <row r="311" spans="1:52" s="1" customFormat="1" ht="16.5" x14ac:dyDescent="0.3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X311" s="62" t="s">
        <v>85</v>
      </c>
      <c r="AY311" s="62" t="s">
        <v>85</v>
      </c>
      <c r="AZ311" s="92"/>
    </row>
    <row r="312" spans="1:52" s="1" customFormat="1" ht="16.5" x14ac:dyDescent="0.3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X312" s="62" t="s">
        <v>85</v>
      </c>
      <c r="AY312" s="62" t="s">
        <v>85</v>
      </c>
      <c r="AZ312" s="92"/>
    </row>
    <row r="313" spans="1:52" s="1" customFormat="1" ht="16.5" x14ac:dyDescent="0.3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X313" s="62" t="s">
        <v>85</v>
      </c>
      <c r="AY313" s="62" t="s">
        <v>85</v>
      </c>
      <c r="AZ313" s="92"/>
    </row>
    <row r="314" spans="1:52" s="1" customFormat="1" ht="16.5" x14ac:dyDescent="0.3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X314" s="62" t="s">
        <v>85</v>
      </c>
      <c r="AY314" s="62" t="s">
        <v>85</v>
      </c>
      <c r="AZ314" s="92"/>
    </row>
    <row r="315" spans="1:52" s="1" customFormat="1" ht="16.5" x14ac:dyDescent="0.3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X315" s="62" t="s">
        <v>85</v>
      </c>
      <c r="AY315" s="62" t="s">
        <v>85</v>
      </c>
      <c r="AZ315" s="92"/>
    </row>
    <row r="316" spans="1:52" s="1" customFormat="1" ht="16.5" x14ac:dyDescent="0.3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X316" s="62" t="s">
        <v>85</v>
      </c>
      <c r="AY316" s="62" t="s">
        <v>85</v>
      </c>
      <c r="AZ316" s="92"/>
    </row>
    <row r="317" spans="1:52" s="1" customFormat="1" ht="16.5" x14ac:dyDescent="0.3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X317" s="62" t="s">
        <v>85</v>
      </c>
      <c r="AY317" s="62" t="s">
        <v>85</v>
      </c>
      <c r="AZ317" s="92"/>
    </row>
    <row r="318" spans="1:52" s="1" customFormat="1" ht="16.5" x14ac:dyDescent="0.3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X318" s="62" t="s">
        <v>85</v>
      </c>
      <c r="AY318" s="62" t="s">
        <v>85</v>
      </c>
      <c r="AZ318" s="92"/>
    </row>
    <row r="319" spans="1:52" s="1" customFormat="1" ht="16.5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X319" s="62" t="s">
        <v>85</v>
      </c>
      <c r="AY319" s="62" t="s">
        <v>85</v>
      </c>
      <c r="AZ319" s="92"/>
    </row>
    <row r="320" spans="1:52" s="1" customFormat="1" ht="16.5" x14ac:dyDescent="0.3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X320" s="62" t="s">
        <v>85</v>
      </c>
      <c r="AY320" s="62" t="s">
        <v>85</v>
      </c>
      <c r="AZ320" s="92"/>
    </row>
    <row r="321" spans="1:58" s="1" customFormat="1" ht="16.5" x14ac:dyDescent="0.3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X321" s="62" t="s">
        <v>85</v>
      </c>
      <c r="AY321" s="62" t="s">
        <v>85</v>
      </c>
      <c r="AZ321" s="92"/>
    </row>
    <row r="322" spans="1:58" s="1" customFormat="1" ht="16.5" x14ac:dyDescent="0.3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X322" s="62" t="s">
        <v>85</v>
      </c>
      <c r="AY322" s="62" t="s">
        <v>85</v>
      </c>
      <c r="AZ322" s="92"/>
    </row>
    <row r="323" spans="1:58" s="1" customFormat="1" ht="16.5" x14ac:dyDescent="0.3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X323" s="62" t="s">
        <v>85</v>
      </c>
      <c r="AY323" s="62" t="s">
        <v>85</v>
      </c>
      <c r="AZ323" s="92"/>
    </row>
    <row r="324" spans="1:58" s="1" customFormat="1" ht="16.5" x14ac:dyDescent="0.3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X324" s="62" t="s">
        <v>85</v>
      </c>
      <c r="AY324" s="62" t="s">
        <v>85</v>
      </c>
      <c r="AZ324" s="92"/>
    </row>
    <row r="325" spans="1:58" s="1" customFormat="1" ht="16.5" x14ac:dyDescent="0.3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X325" s="62" t="s">
        <v>85</v>
      </c>
      <c r="AY325" s="62" t="s">
        <v>85</v>
      </c>
      <c r="AZ325" s="92"/>
    </row>
    <row r="326" spans="1:58" s="1" customFormat="1" ht="16.5" x14ac:dyDescent="0.3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X326" s="62" t="s">
        <v>85</v>
      </c>
      <c r="AY326" s="62" t="s">
        <v>85</v>
      </c>
      <c r="AZ326" s="92"/>
    </row>
    <row r="327" spans="1:58" s="1" customFormat="1" ht="16.5" x14ac:dyDescent="0.3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X327" s="62" t="s">
        <v>85</v>
      </c>
      <c r="AY327" s="62" t="s">
        <v>85</v>
      </c>
      <c r="AZ327" s="92"/>
    </row>
    <row r="328" spans="1:58" s="1" customFormat="1" ht="16.5" x14ac:dyDescent="0.3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X328" s="62" t="s">
        <v>85</v>
      </c>
      <c r="AY328" s="62" t="s">
        <v>85</v>
      </c>
      <c r="AZ328" s="92"/>
    </row>
    <row r="329" spans="1:58" s="1" customFormat="1" ht="16.5" x14ac:dyDescent="0.3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X329" s="62" t="s">
        <v>85</v>
      </c>
      <c r="AY329" s="62" t="s">
        <v>85</v>
      </c>
      <c r="AZ329" s="92"/>
    </row>
    <row r="330" spans="1:58" s="1" customFormat="1" ht="16.5" x14ac:dyDescent="0.3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X330" s="62" t="s">
        <v>85</v>
      </c>
      <c r="AY330" s="62" t="s">
        <v>85</v>
      </c>
      <c r="AZ330" s="92"/>
    </row>
    <row r="331" spans="1:58" s="1" customFormat="1" ht="16.5" x14ac:dyDescent="0.3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X331" s="62" t="s">
        <v>85</v>
      </c>
      <c r="AY331" s="62" t="s">
        <v>85</v>
      </c>
      <c r="AZ331" s="92"/>
    </row>
    <row r="332" spans="1:58" s="1" customFormat="1" ht="16.5" x14ac:dyDescent="0.3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X332" s="62" t="s">
        <v>85</v>
      </c>
      <c r="AY332" s="62" t="s">
        <v>85</v>
      </c>
      <c r="AZ332" s="92"/>
    </row>
    <row r="333" spans="1:58" s="1" customFormat="1" ht="16.5" x14ac:dyDescent="0.3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X333" s="62" t="s">
        <v>85</v>
      </c>
      <c r="AY333" s="62" t="s">
        <v>85</v>
      </c>
      <c r="AZ333" s="92"/>
    </row>
    <row r="334" spans="1:58" s="1" customFormat="1" ht="16.5" x14ac:dyDescent="0.3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X334" s="62" t="s">
        <v>85</v>
      </c>
      <c r="AY334" s="62" t="s">
        <v>85</v>
      </c>
      <c r="AZ334" s="92"/>
    </row>
    <row r="335" spans="1:58" s="1" customFormat="1" ht="16.5" x14ac:dyDescent="0.3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X335" s="62" t="s">
        <v>85</v>
      </c>
      <c r="AY335" s="62" t="s">
        <v>85</v>
      </c>
      <c r="AZ335" s="92"/>
    </row>
    <row r="336" spans="1:58" s="1" customFormat="1" ht="16.5" x14ac:dyDescent="0.3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X336" s="62" t="s">
        <v>85</v>
      </c>
      <c r="AY336" s="62" t="s">
        <v>85</v>
      </c>
      <c r="AZ336" s="62"/>
      <c r="BA336" s="113" t="s">
        <v>48</v>
      </c>
      <c r="BB336" s="114">
        <v>0</v>
      </c>
      <c r="BC336" s="114">
        <v>0</v>
      </c>
      <c r="BD336" s="114">
        <v>0</v>
      </c>
      <c r="BE336" s="114">
        <v>0</v>
      </c>
      <c r="BF336" s="114">
        <v>0</v>
      </c>
    </row>
    <row r="337" spans="1:58" s="1" customFormat="1" ht="16.5" x14ac:dyDescent="0.3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X337" s="62" t="s">
        <v>85</v>
      </c>
      <c r="AY337" s="62" t="s">
        <v>85</v>
      </c>
      <c r="AZ337" s="62"/>
      <c r="BA337" s="113" t="s">
        <v>49</v>
      </c>
      <c r="BB337" s="114">
        <v>0</v>
      </c>
      <c r="BC337" s="114">
        <v>0</v>
      </c>
      <c r="BD337" s="114">
        <v>0</v>
      </c>
      <c r="BE337" s="114">
        <v>0</v>
      </c>
      <c r="BF337" s="114">
        <v>0</v>
      </c>
    </row>
    <row r="338" spans="1:58" s="1" customFormat="1" ht="16.5" x14ac:dyDescent="0.3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X338" s="62" t="s">
        <v>85</v>
      </c>
      <c r="AY338" s="62" t="s">
        <v>85</v>
      </c>
      <c r="AZ338" s="62"/>
      <c r="BA338" s="115" t="s">
        <v>50</v>
      </c>
      <c r="BB338" s="116">
        <v>0</v>
      </c>
      <c r="BC338" s="116">
        <v>0</v>
      </c>
      <c r="BD338" s="116">
        <v>0</v>
      </c>
      <c r="BE338" s="116">
        <v>0</v>
      </c>
      <c r="BF338" s="116">
        <v>0</v>
      </c>
    </row>
    <row r="339" spans="1:58" s="1" customFormat="1" ht="16.5" x14ac:dyDescent="0.3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X339" s="62" t="s">
        <v>85</v>
      </c>
      <c r="AY339" s="62" t="s">
        <v>85</v>
      </c>
      <c r="AZ339" s="62"/>
      <c r="BA339" s="3"/>
    </row>
    <row r="340" spans="1:58" s="1" customFormat="1" ht="16.5" x14ac:dyDescent="0.3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X340" s="62" t="s">
        <v>85</v>
      </c>
      <c r="AY340" s="62" t="s">
        <v>85</v>
      </c>
      <c r="AZ340" s="62"/>
      <c r="BA340" s="113"/>
      <c r="BB340" s="113" t="s">
        <v>55</v>
      </c>
      <c r="BC340" s="113" t="s">
        <v>53</v>
      </c>
      <c r="BD340" s="113" t="s">
        <v>54</v>
      </c>
      <c r="BE340" s="113" t="s">
        <v>51</v>
      </c>
      <c r="BF340" s="113" t="s">
        <v>52</v>
      </c>
    </row>
    <row r="341" spans="1:58" s="1" customFormat="1" ht="16.5" x14ac:dyDescent="0.3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X341" s="62" t="s">
        <v>85</v>
      </c>
      <c r="AY341" s="62" t="s">
        <v>85</v>
      </c>
      <c r="BA341" s="113" t="s">
        <v>48</v>
      </c>
      <c r="BB341" s="117" t="e">
        <v>#DIV/0!</v>
      </c>
      <c r="BC341" s="117" t="e">
        <v>#DIV/0!</v>
      </c>
      <c r="BD341" s="117" t="e">
        <v>#DIV/0!</v>
      </c>
      <c r="BE341" s="117" t="e">
        <v>#DIV/0!</v>
      </c>
      <c r="BF341" s="117" t="e">
        <v>#DIV/0!</v>
      </c>
    </row>
    <row r="342" spans="1:58" s="1" customFormat="1" ht="16.5" x14ac:dyDescent="0.3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X342" s="62" t="s">
        <v>85</v>
      </c>
      <c r="AY342" s="62" t="s">
        <v>85</v>
      </c>
      <c r="BA342" s="115" t="s">
        <v>50</v>
      </c>
      <c r="BB342" s="118" t="e">
        <v>#DIV/0!</v>
      </c>
      <c r="BC342" s="118" t="e">
        <v>#DIV/0!</v>
      </c>
      <c r="BD342" s="118" t="e">
        <v>#DIV/0!</v>
      </c>
      <c r="BE342" s="118" t="e">
        <v>#DIV/0!</v>
      </c>
      <c r="BF342" s="118" t="e">
        <v>#DIV/0!</v>
      </c>
    </row>
    <row r="343" spans="1:58" s="1" customFormat="1" ht="16.5" x14ac:dyDescent="0.3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X343" s="62" t="s">
        <v>85</v>
      </c>
      <c r="AY343" s="62" t="s">
        <v>85</v>
      </c>
      <c r="BA343" s="113" t="s">
        <v>52</v>
      </c>
      <c r="BB343" s="117" t="e">
        <v>#DIV/0!</v>
      </c>
      <c r="BC343" s="117" t="e">
        <v>#DIV/0!</v>
      </c>
      <c r="BD343" s="117" t="e">
        <v>#DIV/0!</v>
      </c>
      <c r="BE343" s="117" t="e">
        <v>#DIV/0!</v>
      </c>
      <c r="BF343" s="117" t="e">
        <v>#DIV/0!</v>
      </c>
    </row>
    <row r="344" spans="1:58" s="1" customFormat="1" ht="16.5" x14ac:dyDescent="0.3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X344" s="62" t="s">
        <v>85</v>
      </c>
      <c r="AY344" s="62" t="s">
        <v>85</v>
      </c>
    </row>
    <row r="345" spans="1:58" s="1" customFormat="1" ht="16.5" x14ac:dyDescent="0.3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X345" s="62" t="s">
        <v>85</v>
      </c>
      <c r="AY345" s="62" t="s">
        <v>85</v>
      </c>
    </row>
    <row r="346" spans="1:58" s="1" customFormat="1" ht="16.5" x14ac:dyDescent="0.3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X346" s="62" t="s">
        <v>85</v>
      </c>
      <c r="AY346" s="62" t="s">
        <v>85</v>
      </c>
    </row>
    <row r="347" spans="1:58" s="1" customFormat="1" ht="16.5" x14ac:dyDescent="0.3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X347" s="62" t="s">
        <v>85</v>
      </c>
      <c r="AY347" s="62" t="s">
        <v>85</v>
      </c>
    </row>
    <row r="348" spans="1:58" s="1" customFormat="1" ht="16.5" x14ac:dyDescent="0.3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X348" s="62" t="s">
        <v>85</v>
      </c>
      <c r="AY348" s="62" t="s">
        <v>85</v>
      </c>
    </row>
    <row r="349" spans="1:58" s="1" customFormat="1" ht="16.5" x14ac:dyDescent="0.3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X349" s="62" t="s">
        <v>85</v>
      </c>
      <c r="AY349" s="62" t="s">
        <v>85</v>
      </c>
    </row>
    <row r="350" spans="1:58" s="1" customFormat="1" ht="16.5" x14ac:dyDescent="0.3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X350" s="62" t="s">
        <v>85</v>
      </c>
      <c r="AY350" s="62" t="s">
        <v>85</v>
      </c>
    </row>
    <row r="351" spans="1:58" s="1" customFormat="1" ht="16.5" x14ac:dyDescent="0.3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X351" s="62" t="s">
        <v>85</v>
      </c>
      <c r="AY351" s="62" t="s">
        <v>85</v>
      </c>
    </row>
    <row r="352" spans="1:58" s="1" customFormat="1" ht="16.5" x14ac:dyDescent="0.3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X352" s="62" t="s">
        <v>85</v>
      </c>
      <c r="AY352" s="62" t="s">
        <v>85</v>
      </c>
    </row>
    <row r="353" spans="1:51" s="1" customFormat="1" ht="16.5" x14ac:dyDescent="0.3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X353" s="62" t="s">
        <v>85</v>
      </c>
      <c r="AY353" s="62" t="s">
        <v>85</v>
      </c>
    </row>
    <row r="354" spans="1:51" s="1" customFormat="1" ht="16.5" x14ac:dyDescent="0.3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X354" s="62" t="s">
        <v>85</v>
      </c>
      <c r="AY354" s="62" t="s">
        <v>85</v>
      </c>
    </row>
    <row r="355" spans="1:51" s="1" customFormat="1" ht="16.5" x14ac:dyDescent="0.3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X355" s="62" t="s">
        <v>85</v>
      </c>
      <c r="AY355" s="62" t="s">
        <v>85</v>
      </c>
    </row>
    <row r="356" spans="1:51" s="1" customFormat="1" ht="16.5" x14ac:dyDescent="0.3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X356" s="62" t="s">
        <v>85</v>
      </c>
      <c r="AY356" s="62" t="s">
        <v>85</v>
      </c>
    </row>
    <row r="357" spans="1:51" s="1" customFormat="1" ht="16.5" x14ac:dyDescent="0.3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X357" s="62" t="s">
        <v>85</v>
      </c>
      <c r="AY357" s="62" t="s">
        <v>85</v>
      </c>
    </row>
    <row r="358" spans="1:51" s="1" customFormat="1" ht="16.5" x14ac:dyDescent="0.3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X358" s="62" t="s">
        <v>85</v>
      </c>
      <c r="AY358" s="62" t="s">
        <v>85</v>
      </c>
    </row>
    <row r="359" spans="1:51" s="1" customFormat="1" ht="16.5" x14ac:dyDescent="0.3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X359" s="62" t="s">
        <v>85</v>
      </c>
      <c r="AY359" s="62" t="s">
        <v>85</v>
      </c>
    </row>
    <row r="360" spans="1:51" s="1" customFormat="1" ht="16.5" x14ac:dyDescent="0.3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X360" s="62" t="s">
        <v>85</v>
      </c>
      <c r="AY360" s="62" t="s">
        <v>85</v>
      </c>
    </row>
    <row r="361" spans="1:51" s="1" customFormat="1" ht="16.5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X361" s="62" t="s">
        <v>85</v>
      </c>
      <c r="AY361" s="62" t="s">
        <v>85</v>
      </c>
    </row>
    <row r="362" spans="1:51" s="1" customFormat="1" ht="16.5" x14ac:dyDescent="0.3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X362" s="62" t="s">
        <v>85</v>
      </c>
      <c r="AY362" s="62" t="s">
        <v>85</v>
      </c>
    </row>
    <row r="363" spans="1:51" s="1" customFormat="1" ht="16.5" x14ac:dyDescent="0.3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X363" s="62" t="s">
        <v>85</v>
      </c>
      <c r="AY363" s="62" t="s">
        <v>85</v>
      </c>
    </row>
    <row r="364" spans="1:51" s="1" customFormat="1" ht="16.5" x14ac:dyDescent="0.3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X364" s="62" t="s">
        <v>85</v>
      </c>
      <c r="AY364" s="62" t="s">
        <v>85</v>
      </c>
    </row>
    <row r="365" spans="1:51" s="1" customFormat="1" ht="16.5" x14ac:dyDescent="0.3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X365" s="62" t="s">
        <v>85</v>
      </c>
      <c r="AY365" s="62" t="s">
        <v>85</v>
      </c>
    </row>
    <row r="366" spans="1:51" s="1" customFormat="1" ht="16.5" x14ac:dyDescent="0.3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X366" s="62" t="s">
        <v>85</v>
      </c>
      <c r="AY366" s="62" t="s">
        <v>85</v>
      </c>
    </row>
    <row r="367" spans="1:51" s="1" customFormat="1" ht="16.5" x14ac:dyDescent="0.3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X367" s="62" t="s">
        <v>85</v>
      </c>
      <c r="AY367" s="62" t="s">
        <v>85</v>
      </c>
    </row>
    <row r="368" spans="1:51" s="1" customFormat="1" ht="16.5" x14ac:dyDescent="0.3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X368" s="62" t="s">
        <v>85</v>
      </c>
      <c r="AY368" s="62" t="s">
        <v>85</v>
      </c>
    </row>
    <row r="369" spans="1:51" s="1" customFormat="1" ht="16.5" x14ac:dyDescent="0.3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X369" s="62" t="s">
        <v>85</v>
      </c>
      <c r="AY369" s="62" t="s">
        <v>85</v>
      </c>
    </row>
    <row r="370" spans="1:51" s="1" customFormat="1" ht="16.5" x14ac:dyDescent="0.3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X370" s="62" t="s">
        <v>85</v>
      </c>
      <c r="AY370" s="62" t="s">
        <v>85</v>
      </c>
    </row>
    <row r="371" spans="1:51" s="1" customFormat="1" ht="16.5" x14ac:dyDescent="0.3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X371" s="62" t="s">
        <v>85</v>
      </c>
      <c r="AY371" s="62" t="s">
        <v>85</v>
      </c>
    </row>
    <row r="372" spans="1:51" s="1" customFormat="1" ht="16.5" x14ac:dyDescent="0.3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X372" s="62" t="s">
        <v>85</v>
      </c>
      <c r="AY372" s="62" t="s">
        <v>85</v>
      </c>
    </row>
    <row r="373" spans="1:51" s="1" customFormat="1" ht="16.5" x14ac:dyDescent="0.3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X373" s="62" t="s">
        <v>85</v>
      </c>
      <c r="AY373" s="62" t="s">
        <v>85</v>
      </c>
    </row>
    <row r="374" spans="1:51" s="1" customFormat="1" ht="16.5" x14ac:dyDescent="0.3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X374" s="62" t="s">
        <v>85</v>
      </c>
      <c r="AY374" s="62" t="s">
        <v>85</v>
      </c>
    </row>
    <row r="375" spans="1:51" s="1" customFormat="1" ht="16.5" x14ac:dyDescent="0.3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X375" s="62" t="s">
        <v>85</v>
      </c>
      <c r="AY375" s="62" t="s">
        <v>85</v>
      </c>
    </row>
    <row r="376" spans="1:51" s="1" customFormat="1" ht="16.5" x14ac:dyDescent="0.3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X376" s="62" t="s">
        <v>85</v>
      </c>
      <c r="AY376" s="62" t="s">
        <v>85</v>
      </c>
    </row>
    <row r="377" spans="1:51" s="1" customFormat="1" ht="16.5" x14ac:dyDescent="0.3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X377" s="62" t="s">
        <v>85</v>
      </c>
      <c r="AY377" s="62" t="s">
        <v>85</v>
      </c>
    </row>
    <row r="378" spans="1:51" s="1" customFormat="1" ht="16.5" x14ac:dyDescent="0.3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X378" s="62" t="s">
        <v>85</v>
      </c>
      <c r="AY378" s="62" t="s">
        <v>85</v>
      </c>
    </row>
    <row r="379" spans="1:51" s="1" customFormat="1" ht="16.5" x14ac:dyDescent="0.3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X379" s="62" t="s">
        <v>85</v>
      </c>
      <c r="AY379" s="62" t="s">
        <v>85</v>
      </c>
    </row>
    <row r="380" spans="1:51" s="1" customFormat="1" ht="16.5" x14ac:dyDescent="0.3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X380" s="62" t="s">
        <v>85</v>
      </c>
      <c r="AY380" s="62" t="s">
        <v>85</v>
      </c>
    </row>
    <row r="381" spans="1:51" s="1" customFormat="1" ht="16.5" x14ac:dyDescent="0.3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X381" s="62" t="s">
        <v>85</v>
      </c>
      <c r="AY381" s="62" t="s">
        <v>85</v>
      </c>
    </row>
    <row r="382" spans="1:51" s="1" customFormat="1" ht="16.5" x14ac:dyDescent="0.3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X382" s="62" t="s">
        <v>85</v>
      </c>
      <c r="AY382" s="62" t="s">
        <v>85</v>
      </c>
    </row>
    <row r="383" spans="1:51" s="1" customFormat="1" ht="16.5" x14ac:dyDescent="0.3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X383" s="62" t="s">
        <v>85</v>
      </c>
      <c r="AY383" s="62" t="s">
        <v>85</v>
      </c>
    </row>
    <row r="384" spans="1:51" s="1" customFormat="1" ht="16.5" x14ac:dyDescent="0.3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X384" s="62" t="s">
        <v>85</v>
      </c>
      <c r="AY384" s="62" t="s">
        <v>85</v>
      </c>
    </row>
    <row r="385" spans="1:51" s="1" customFormat="1" ht="16.5" x14ac:dyDescent="0.3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X385" s="62" t="s">
        <v>85</v>
      </c>
      <c r="AY385" s="62" t="s">
        <v>85</v>
      </c>
    </row>
    <row r="386" spans="1:51" s="1" customFormat="1" ht="16.5" x14ac:dyDescent="0.3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X386" s="62" t="s">
        <v>85</v>
      </c>
      <c r="AY386" s="62" t="s">
        <v>85</v>
      </c>
    </row>
    <row r="387" spans="1:51" s="1" customFormat="1" ht="16.5" x14ac:dyDescent="0.3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X387" s="62" t="s">
        <v>85</v>
      </c>
      <c r="AY387" s="62" t="s">
        <v>85</v>
      </c>
    </row>
    <row r="388" spans="1:51" s="1" customFormat="1" ht="16.5" x14ac:dyDescent="0.3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X388" s="62" t="s">
        <v>85</v>
      </c>
      <c r="AY388" s="62" t="s">
        <v>85</v>
      </c>
    </row>
    <row r="389" spans="1:51" s="1" customFormat="1" ht="16.5" x14ac:dyDescent="0.3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X389" s="62" t="s">
        <v>85</v>
      </c>
      <c r="AY389" s="62" t="s">
        <v>85</v>
      </c>
    </row>
    <row r="390" spans="1:51" s="1" customFormat="1" ht="16.5" x14ac:dyDescent="0.3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X390" s="62" t="s">
        <v>85</v>
      </c>
      <c r="AY390" s="62" t="s">
        <v>85</v>
      </c>
    </row>
    <row r="391" spans="1:51" s="1" customFormat="1" ht="16.5" x14ac:dyDescent="0.3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X391" s="62" t="s">
        <v>85</v>
      </c>
      <c r="AY391" s="62" t="s">
        <v>85</v>
      </c>
    </row>
    <row r="392" spans="1:51" s="1" customFormat="1" ht="16.5" x14ac:dyDescent="0.3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X392" s="62" t="s">
        <v>85</v>
      </c>
      <c r="AY392" s="62" t="s">
        <v>85</v>
      </c>
    </row>
    <row r="393" spans="1:51" s="1" customFormat="1" ht="16.5" x14ac:dyDescent="0.3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X393" s="62" t="s">
        <v>85</v>
      </c>
      <c r="AY393" s="62" t="s">
        <v>85</v>
      </c>
    </row>
    <row r="394" spans="1:51" s="1" customFormat="1" ht="16.5" x14ac:dyDescent="0.3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X394" s="62" t="s">
        <v>85</v>
      </c>
      <c r="AY394" s="62" t="s">
        <v>85</v>
      </c>
    </row>
    <row r="395" spans="1:51" s="1" customFormat="1" ht="16.5" x14ac:dyDescent="0.3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X395" s="62" t="s">
        <v>85</v>
      </c>
      <c r="AY395" s="62" t="s">
        <v>85</v>
      </c>
    </row>
    <row r="396" spans="1:51" s="1" customFormat="1" ht="16.5" x14ac:dyDescent="0.3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X396" s="62" t="s">
        <v>85</v>
      </c>
      <c r="AY396" s="62" t="s">
        <v>85</v>
      </c>
    </row>
    <row r="397" spans="1:51" s="1" customFormat="1" ht="16.5" x14ac:dyDescent="0.3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X397" s="62" t="s">
        <v>85</v>
      </c>
      <c r="AY397" s="62" t="s">
        <v>85</v>
      </c>
    </row>
    <row r="398" spans="1:51" s="1" customFormat="1" ht="16.5" x14ac:dyDescent="0.3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X398" s="62" t="s">
        <v>85</v>
      </c>
      <c r="AY398" s="62" t="s">
        <v>85</v>
      </c>
    </row>
    <row r="399" spans="1:51" s="1" customFormat="1" ht="16.5" x14ac:dyDescent="0.3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X399" s="62" t="s">
        <v>85</v>
      </c>
      <c r="AY399" s="62" t="s">
        <v>85</v>
      </c>
    </row>
    <row r="400" spans="1:51" s="1" customFormat="1" ht="16.5" x14ac:dyDescent="0.3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X400" s="62" t="s">
        <v>85</v>
      </c>
      <c r="AY400" s="62" t="s">
        <v>85</v>
      </c>
    </row>
    <row r="401" spans="1:58" s="1" customFormat="1" ht="16.5" x14ac:dyDescent="0.3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X401" s="62" t="s">
        <v>85</v>
      </c>
      <c r="AY401" s="62" t="s">
        <v>85</v>
      </c>
    </row>
    <row r="402" spans="1:58" s="1" customFormat="1" ht="16.5" x14ac:dyDescent="0.3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X402" s="62" t="s">
        <v>85</v>
      </c>
      <c r="AY402" s="62" t="s">
        <v>85</v>
      </c>
    </row>
    <row r="403" spans="1:58" s="1" customFormat="1" ht="16.5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X403" s="62" t="s">
        <v>85</v>
      </c>
      <c r="AY403" s="62" t="s">
        <v>85</v>
      </c>
    </row>
    <row r="404" spans="1:58" s="1" customFormat="1" ht="16.5" x14ac:dyDescent="0.3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X404" s="62" t="s">
        <v>85</v>
      </c>
      <c r="AY404" s="62" t="s">
        <v>85</v>
      </c>
      <c r="AZ404" s="62"/>
      <c r="BA404" s="113" t="s">
        <v>48</v>
      </c>
      <c r="BB404" s="114">
        <v>0</v>
      </c>
      <c r="BC404" s="114">
        <v>0</v>
      </c>
      <c r="BD404" s="114">
        <v>0</v>
      </c>
      <c r="BE404" s="114">
        <v>0</v>
      </c>
      <c r="BF404" s="114">
        <v>0</v>
      </c>
    </row>
    <row r="405" spans="1:58" s="1" customFormat="1" ht="16.5" x14ac:dyDescent="0.3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X405" s="62" t="s">
        <v>85</v>
      </c>
      <c r="AY405" s="62" t="s">
        <v>85</v>
      </c>
      <c r="AZ405" s="62"/>
      <c r="BA405" s="113" t="s">
        <v>49</v>
      </c>
      <c r="BB405" s="114">
        <v>0</v>
      </c>
      <c r="BC405" s="114">
        <v>0</v>
      </c>
      <c r="BD405" s="114">
        <v>0</v>
      </c>
      <c r="BE405" s="114">
        <v>0</v>
      </c>
      <c r="BF405" s="114">
        <v>0</v>
      </c>
    </row>
    <row r="406" spans="1:58" s="1" customFormat="1" ht="16.5" x14ac:dyDescent="0.3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X406" s="62" t="s">
        <v>85</v>
      </c>
      <c r="AY406" s="62" t="s">
        <v>85</v>
      </c>
      <c r="AZ406" s="62"/>
      <c r="BA406" s="113" t="s">
        <v>52</v>
      </c>
      <c r="BB406" s="114">
        <v>0</v>
      </c>
      <c r="BC406" s="114">
        <v>0</v>
      </c>
      <c r="BD406" s="114">
        <v>0</v>
      </c>
      <c r="BE406" s="114">
        <v>0</v>
      </c>
      <c r="BF406" s="114">
        <v>0</v>
      </c>
    </row>
    <row r="407" spans="1:58" s="1" customFormat="1" ht="16.5" x14ac:dyDescent="0.3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X407" s="62" t="s">
        <v>85</v>
      </c>
      <c r="AY407" s="62" t="s">
        <v>85</v>
      </c>
      <c r="AZ407" s="62"/>
      <c r="BA407" s="3"/>
    </row>
    <row r="408" spans="1:58" s="1" customFormat="1" ht="16.5" x14ac:dyDescent="0.3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X408" s="62" t="s">
        <v>85</v>
      </c>
      <c r="AY408" s="62" t="s">
        <v>85</v>
      </c>
      <c r="AZ408" s="62"/>
      <c r="BA408" s="113"/>
      <c r="BB408" s="113" t="s">
        <v>55</v>
      </c>
      <c r="BC408" s="113" t="s">
        <v>53</v>
      </c>
      <c r="BD408" s="113" t="s">
        <v>54</v>
      </c>
      <c r="BE408" s="113" t="s">
        <v>51</v>
      </c>
      <c r="BF408" s="113" t="s">
        <v>52</v>
      </c>
    </row>
    <row r="409" spans="1:58" s="1" customFormat="1" ht="16.5" x14ac:dyDescent="0.3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X409" s="62" t="s">
        <v>85</v>
      </c>
      <c r="AY409" s="62" t="s">
        <v>85</v>
      </c>
      <c r="BA409" s="113" t="s">
        <v>48</v>
      </c>
      <c r="BB409" s="117" t="e">
        <v>#DIV/0!</v>
      </c>
      <c r="BC409" s="117" t="e">
        <v>#DIV/0!</v>
      </c>
      <c r="BD409" s="117" t="e">
        <v>#DIV/0!</v>
      </c>
      <c r="BE409" s="117" t="e">
        <v>#DIV/0!</v>
      </c>
      <c r="BF409" s="117" t="e">
        <v>#DIV/0!</v>
      </c>
    </row>
    <row r="410" spans="1:58" s="1" customFormat="1" ht="16.5" x14ac:dyDescent="0.3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X410" s="62" t="s">
        <v>85</v>
      </c>
      <c r="AY410" s="62" t="s">
        <v>85</v>
      </c>
      <c r="BA410" s="113" t="s">
        <v>49</v>
      </c>
      <c r="BB410" s="117" t="e">
        <v>#DIV/0!</v>
      </c>
      <c r="BC410" s="117" t="e">
        <v>#DIV/0!</v>
      </c>
      <c r="BD410" s="117" t="e">
        <v>#DIV/0!</v>
      </c>
      <c r="BE410" s="117" t="e">
        <v>#DIV/0!</v>
      </c>
      <c r="BF410" s="117" t="e">
        <v>#DIV/0!</v>
      </c>
    </row>
    <row r="411" spans="1:58" s="1" customFormat="1" ht="16.5" x14ac:dyDescent="0.3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X411" s="62" t="s">
        <v>85</v>
      </c>
      <c r="AY411" s="62" t="s">
        <v>85</v>
      </c>
      <c r="BA411" s="113" t="s">
        <v>52</v>
      </c>
      <c r="BB411" s="117" t="e">
        <v>#DIV/0!</v>
      </c>
      <c r="BC411" s="117" t="e">
        <v>#DIV/0!</v>
      </c>
      <c r="BD411" s="117" t="e">
        <v>#DIV/0!</v>
      </c>
      <c r="BE411" s="117" t="e">
        <v>#DIV/0!</v>
      </c>
      <c r="BF411" s="117" t="e">
        <v>#DIV/0!</v>
      </c>
    </row>
    <row r="412" spans="1:58" s="1" customFormat="1" ht="16.5" x14ac:dyDescent="0.3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X412" s="62" t="s">
        <v>85</v>
      </c>
      <c r="AY412" s="62" t="s">
        <v>85</v>
      </c>
    </row>
    <row r="413" spans="1:58" s="1" customFormat="1" ht="16.5" x14ac:dyDescent="0.3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X413" s="62" t="s">
        <v>85</v>
      </c>
      <c r="AY413" s="62" t="s">
        <v>85</v>
      </c>
    </row>
    <row r="414" spans="1:58" s="1" customFormat="1" ht="16.5" x14ac:dyDescent="0.3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X414" s="62" t="s">
        <v>85</v>
      </c>
      <c r="AY414" s="62" t="s">
        <v>85</v>
      </c>
    </row>
    <row r="415" spans="1:58" s="1" customFormat="1" ht="16.5" x14ac:dyDescent="0.3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X415" s="62" t="s">
        <v>85</v>
      </c>
      <c r="AY415" s="62" t="s">
        <v>85</v>
      </c>
    </row>
    <row r="416" spans="1:58" s="1" customFormat="1" ht="16.5" x14ac:dyDescent="0.3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X416" s="62" t="s">
        <v>85</v>
      </c>
      <c r="AY416" s="62" t="s">
        <v>85</v>
      </c>
    </row>
    <row r="417" spans="1:58" s="1" customFormat="1" ht="16.5" x14ac:dyDescent="0.3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X417" s="62" t="s">
        <v>85</v>
      </c>
      <c r="AY417" s="62" t="s">
        <v>85</v>
      </c>
    </row>
    <row r="418" spans="1:58" s="1" customFormat="1" ht="16.5" x14ac:dyDescent="0.3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X418" s="62" t="s">
        <v>85</v>
      </c>
      <c r="AY418" s="62" t="s">
        <v>85</v>
      </c>
    </row>
    <row r="419" spans="1:58" s="1" customFormat="1" ht="16.5" x14ac:dyDescent="0.3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X419" s="62" t="s">
        <v>85</v>
      </c>
      <c r="AY419" s="62" t="s">
        <v>85</v>
      </c>
    </row>
    <row r="420" spans="1:58" s="1" customFormat="1" ht="16.5" x14ac:dyDescent="0.3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X420" s="62" t="s">
        <v>85</v>
      </c>
      <c r="AY420" s="62" t="s">
        <v>85</v>
      </c>
    </row>
    <row r="421" spans="1:58" s="1" customFormat="1" ht="16.5" x14ac:dyDescent="0.3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92"/>
      <c r="AP421" s="92"/>
      <c r="AQ421" s="92"/>
      <c r="AR421" s="92"/>
      <c r="AS421" s="92"/>
      <c r="AT421" s="92"/>
      <c r="AU421" s="92"/>
      <c r="AV421" s="92"/>
      <c r="AX421" s="62" t="s">
        <v>85</v>
      </c>
      <c r="AY421" s="62" t="s">
        <v>85</v>
      </c>
    </row>
    <row r="422" spans="1:58" s="1" customFormat="1" ht="16.5" x14ac:dyDescent="0.3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92"/>
      <c r="AP422" s="92"/>
      <c r="AQ422" s="92"/>
      <c r="AR422" s="92"/>
      <c r="AS422" s="92"/>
      <c r="AT422" s="92"/>
      <c r="AU422" s="92"/>
      <c r="AV422" s="92"/>
      <c r="AX422" s="62" t="s">
        <v>85</v>
      </c>
      <c r="AY422" s="62" t="s">
        <v>85</v>
      </c>
      <c r="AZ422" s="62"/>
      <c r="BA422" s="113" t="s">
        <v>48</v>
      </c>
      <c r="BB422" s="114">
        <v>0</v>
      </c>
      <c r="BC422" s="114">
        <v>0</v>
      </c>
      <c r="BD422" s="114">
        <v>0</v>
      </c>
      <c r="BE422" s="114">
        <v>0</v>
      </c>
      <c r="BF422" s="114">
        <v>0</v>
      </c>
    </row>
    <row r="423" spans="1:58" s="1" customFormat="1" ht="16.5" x14ac:dyDescent="0.3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92"/>
      <c r="AP423" s="92"/>
      <c r="AQ423" s="92"/>
      <c r="AR423" s="92"/>
      <c r="AS423" s="92"/>
      <c r="AT423" s="92"/>
      <c r="AU423" s="92"/>
      <c r="AV423" s="92"/>
      <c r="AX423" s="62" t="s">
        <v>85</v>
      </c>
      <c r="AY423" s="62" t="s">
        <v>85</v>
      </c>
      <c r="AZ423" s="62"/>
      <c r="BA423" s="113" t="s">
        <v>49</v>
      </c>
      <c r="BB423" s="114">
        <v>0</v>
      </c>
      <c r="BC423" s="114">
        <v>0</v>
      </c>
      <c r="BD423" s="114">
        <v>0</v>
      </c>
      <c r="BE423" s="114">
        <v>0</v>
      </c>
      <c r="BF423" s="114">
        <v>0</v>
      </c>
    </row>
    <row r="424" spans="1:58" s="1" customFormat="1" ht="16.5" x14ac:dyDescent="0.3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92"/>
      <c r="AP424" s="92"/>
      <c r="AQ424" s="92"/>
      <c r="AR424" s="92"/>
      <c r="AS424" s="92"/>
      <c r="AT424" s="92"/>
      <c r="AU424" s="92"/>
      <c r="AV424" s="92"/>
      <c r="AX424" s="62" t="s">
        <v>85</v>
      </c>
      <c r="AY424" s="62" t="s">
        <v>85</v>
      </c>
      <c r="AZ424" s="62"/>
      <c r="BA424" s="115" t="s">
        <v>50</v>
      </c>
      <c r="BB424" s="116">
        <v>0</v>
      </c>
      <c r="BC424" s="116">
        <v>0</v>
      </c>
      <c r="BD424" s="116">
        <v>0</v>
      </c>
      <c r="BE424" s="116">
        <v>0</v>
      </c>
      <c r="BF424" s="116">
        <v>0</v>
      </c>
    </row>
    <row r="425" spans="1:58" s="1" customFormat="1" ht="16.5" x14ac:dyDescent="0.3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92"/>
      <c r="AP425" s="92"/>
      <c r="AQ425" s="92"/>
      <c r="AR425" s="92"/>
      <c r="AS425" s="92"/>
      <c r="AT425" s="92"/>
      <c r="AU425" s="92"/>
      <c r="AV425" s="92"/>
      <c r="AX425" s="62" t="s">
        <v>85</v>
      </c>
      <c r="AY425" s="62" t="s">
        <v>85</v>
      </c>
      <c r="AZ425" s="62"/>
      <c r="BA425" s="3"/>
    </row>
    <row r="426" spans="1:58" s="1" customFormat="1" ht="16.5" x14ac:dyDescent="0.3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92"/>
      <c r="AP426" s="92"/>
      <c r="AQ426" s="92"/>
      <c r="AR426" s="92"/>
      <c r="AS426" s="92"/>
      <c r="AT426" s="92"/>
      <c r="AU426" s="92"/>
      <c r="AV426" s="92"/>
      <c r="AX426" s="62" t="s">
        <v>85</v>
      </c>
      <c r="AY426" s="62" t="s">
        <v>85</v>
      </c>
      <c r="AZ426" s="62"/>
      <c r="BA426" s="113" t="s">
        <v>47</v>
      </c>
      <c r="BB426" s="117" t="e">
        <v>#DIV/0!</v>
      </c>
      <c r="BC426" s="117" t="e">
        <v>#DIV/0!</v>
      </c>
      <c r="BD426" s="117" t="e">
        <v>#DIV/0!</v>
      </c>
      <c r="BE426" s="117" t="e">
        <v>#DIV/0!</v>
      </c>
      <c r="BF426" s="117" t="e">
        <v>#DIV/0!</v>
      </c>
    </row>
    <row r="427" spans="1:58" s="1" customFormat="1" ht="16.5" x14ac:dyDescent="0.3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92"/>
      <c r="AP427" s="92"/>
      <c r="AQ427" s="92"/>
      <c r="AR427" s="92"/>
      <c r="AS427" s="92"/>
      <c r="AT427" s="92"/>
      <c r="AU427" s="92"/>
      <c r="AV427" s="92"/>
      <c r="AX427" s="62" t="s">
        <v>85</v>
      </c>
      <c r="AY427" s="62" t="s">
        <v>85</v>
      </c>
      <c r="BA427" s="113" t="s">
        <v>49</v>
      </c>
      <c r="BB427" s="117" t="e">
        <v>#DIV/0!</v>
      </c>
      <c r="BC427" s="117" t="e">
        <v>#DIV/0!</v>
      </c>
      <c r="BD427" s="117" t="e">
        <v>#DIV/0!</v>
      </c>
      <c r="BE427" s="117" t="e">
        <v>#DIV/0!</v>
      </c>
      <c r="BF427" s="117" t="e">
        <v>#DIV/0!</v>
      </c>
    </row>
    <row r="428" spans="1:58" s="1" customFormat="1" ht="16.5" x14ac:dyDescent="0.3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92"/>
      <c r="AP428" s="92"/>
      <c r="AQ428" s="92"/>
      <c r="AR428" s="92"/>
      <c r="AS428" s="92"/>
      <c r="AT428" s="92"/>
      <c r="AU428" s="92"/>
      <c r="AV428" s="92"/>
      <c r="AX428" s="62" t="s">
        <v>85</v>
      </c>
      <c r="AY428" s="62" t="s">
        <v>85</v>
      </c>
      <c r="BA428" s="115" t="s">
        <v>50</v>
      </c>
      <c r="BB428" s="118" t="e">
        <v>#DIV/0!</v>
      </c>
      <c r="BC428" s="118" t="e">
        <v>#DIV/0!</v>
      </c>
      <c r="BD428" s="118" t="e">
        <v>#DIV/0!</v>
      </c>
      <c r="BE428" s="118" t="e">
        <v>#DIV/0!</v>
      </c>
      <c r="BF428" s="118" t="e">
        <v>#DIV/0!</v>
      </c>
    </row>
    <row r="429" spans="1:58" s="1" customFormat="1" ht="16.5" x14ac:dyDescent="0.3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92"/>
      <c r="AP429" s="92"/>
      <c r="AQ429" s="92"/>
      <c r="AR429" s="92"/>
      <c r="AS429" s="92"/>
      <c r="AT429" s="92"/>
      <c r="AU429" s="92"/>
      <c r="AV429" s="92"/>
      <c r="AX429" s="62" t="s">
        <v>85</v>
      </c>
      <c r="AY429" s="62" t="s">
        <v>85</v>
      </c>
      <c r="BA429" s="113" t="s">
        <v>52</v>
      </c>
      <c r="BB429" s="117" t="e">
        <v>#DIV/0!</v>
      </c>
      <c r="BC429" s="117" t="e">
        <v>#DIV/0!</v>
      </c>
      <c r="BD429" s="117" t="e">
        <v>#DIV/0!</v>
      </c>
      <c r="BE429" s="117" t="e">
        <v>#DIV/0!</v>
      </c>
      <c r="BF429" s="117" t="e">
        <v>#DIV/0!</v>
      </c>
    </row>
    <row r="430" spans="1:58" s="1" customFormat="1" ht="16.5" x14ac:dyDescent="0.3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92"/>
      <c r="AP430" s="92"/>
      <c r="AQ430" s="92"/>
      <c r="AR430" s="92"/>
      <c r="AS430" s="92"/>
      <c r="AT430" s="92"/>
      <c r="AU430" s="92"/>
      <c r="AV430" s="92"/>
      <c r="AX430" s="62" t="s">
        <v>85</v>
      </c>
      <c r="AY430" s="62" t="s">
        <v>85</v>
      </c>
    </row>
    <row r="431" spans="1:58" s="1" customFormat="1" ht="16.5" x14ac:dyDescent="0.3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92"/>
      <c r="AP431" s="92"/>
      <c r="AQ431" s="92"/>
      <c r="AR431" s="92"/>
      <c r="AS431" s="92"/>
      <c r="AT431" s="92"/>
      <c r="AU431" s="92"/>
      <c r="AV431" s="92"/>
      <c r="AX431" s="62" t="s">
        <v>85</v>
      </c>
      <c r="AY431" s="62" t="s">
        <v>85</v>
      </c>
    </row>
    <row r="432" spans="1:58" s="1" customFormat="1" ht="16.5" x14ac:dyDescent="0.3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X432" s="62" t="s">
        <v>85</v>
      </c>
      <c r="AY432" s="62" t="s">
        <v>85</v>
      </c>
    </row>
    <row r="433" spans="1:51" s="1" customFormat="1" ht="16.5" x14ac:dyDescent="0.3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X433" s="62" t="s">
        <v>85</v>
      </c>
      <c r="AY433" s="62" t="s">
        <v>85</v>
      </c>
    </row>
    <row r="434" spans="1:51" s="1" customFormat="1" ht="16.5" x14ac:dyDescent="0.3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92"/>
      <c r="AP434" s="92"/>
      <c r="AQ434" s="92"/>
      <c r="AR434" s="92"/>
      <c r="AS434" s="92"/>
      <c r="AT434" s="92"/>
      <c r="AU434" s="92"/>
      <c r="AV434" s="92"/>
      <c r="AX434" s="62" t="s">
        <v>85</v>
      </c>
      <c r="AY434" s="62" t="s">
        <v>85</v>
      </c>
    </row>
    <row r="435" spans="1:51" s="1" customFormat="1" ht="16.5" x14ac:dyDescent="0.3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92"/>
      <c r="AP435" s="92"/>
      <c r="AQ435" s="92"/>
      <c r="AR435" s="92"/>
      <c r="AS435" s="92"/>
      <c r="AT435" s="92"/>
      <c r="AU435" s="92"/>
      <c r="AV435" s="92"/>
      <c r="AX435" s="62" t="s">
        <v>85</v>
      </c>
      <c r="AY435" s="62" t="s">
        <v>85</v>
      </c>
    </row>
    <row r="436" spans="1:51" s="1" customFormat="1" ht="16.5" x14ac:dyDescent="0.3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92"/>
      <c r="AP436" s="92"/>
      <c r="AQ436" s="92"/>
      <c r="AR436" s="92"/>
      <c r="AS436" s="92"/>
      <c r="AT436" s="92"/>
      <c r="AU436" s="92"/>
      <c r="AV436" s="92"/>
      <c r="AX436" s="62" t="s">
        <v>85</v>
      </c>
      <c r="AY436" s="62" t="s">
        <v>85</v>
      </c>
    </row>
    <row r="437" spans="1:51" s="1" customFormat="1" ht="16.5" x14ac:dyDescent="0.3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92"/>
      <c r="AP437" s="92"/>
      <c r="AQ437" s="92"/>
      <c r="AR437" s="92"/>
      <c r="AS437" s="92"/>
      <c r="AT437" s="92"/>
      <c r="AU437" s="92"/>
      <c r="AV437" s="92"/>
      <c r="AX437" s="62" t="s">
        <v>85</v>
      </c>
      <c r="AY437" s="62" t="s">
        <v>85</v>
      </c>
    </row>
    <row r="438" spans="1:51" s="1" customFormat="1" ht="16.5" x14ac:dyDescent="0.3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92"/>
      <c r="AP438" s="92"/>
      <c r="AQ438" s="92"/>
      <c r="AR438" s="92"/>
      <c r="AS438" s="92"/>
      <c r="AT438" s="92"/>
      <c r="AU438" s="92"/>
      <c r="AV438" s="92"/>
      <c r="AX438" s="62" t="s">
        <v>85</v>
      </c>
      <c r="AY438" s="62" t="s">
        <v>85</v>
      </c>
    </row>
    <row r="439" spans="1:51" s="1" customFormat="1" ht="16.5" x14ac:dyDescent="0.3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92"/>
      <c r="AP439" s="92"/>
      <c r="AQ439" s="92"/>
      <c r="AR439" s="92"/>
      <c r="AS439" s="92"/>
      <c r="AT439" s="92"/>
      <c r="AU439" s="92"/>
      <c r="AV439" s="92"/>
      <c r="AX439" s="62" t="s">
        <v>85</v>
      </c>
      <c r="AY439" s="62" t="s">
        <v>85</v>
      </c>
    </row>
    <row r="440" spans="1:51" s="1" customFormat="1" ht="16.5" x14ac:dyDescent="0.3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92"/>
      <c r="AP440" s="92"/>
      <c r="AQ440" s="92"/>
      <c r="AR440" s="92"/>
      <c r="AS440" s="92"/>
      <c r="AT440" s="92"/>
      <c r="AU440" s="92"/>
      <c r="AV440" s="92"/>
      <c r="AX440" s="62" t="s">
        <v>85</v>
      </c>
      <c r="AY440" s="62" t="s">
        <v>85</v>
      </c>
    </row>
    <row r="441" spans="1:51" s="1" customFormat="1" ht="16.5" x14ac:dyDescent="0.3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92"/>
      <c r="AP441" s="92"/>
      <c r="AQ441" s="92"/>
      <c r="AR441" s="92"/>
      <c r="AS441" s="92"/>
      <c r="AT441" s="92"/>
      <c r="AU441" s="92"/>
      <c r="AV441" s="92"/>
      <c r="AX441" s="62" t="s">
        <v>85</v>
      </c>
      <c r="AY441" s="62" t="s">
        <v>85</v>
      </c>
    </row>
    <row r="442" spans="1:51" s="1" customFormat="1" ht="16.5" x14ac:dyDescent="0.3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92"/>
      <c r="AP442" s="92"/>
      <c r="AQ442" s="92"/>
      <c r="AR442" s="92"/>
      <c r="AS442" s="92"/>
      <c r="AT442" s="92"/>
      <c r="AU442" s="92"/>
      <c r="AV442" s="92"/>
      <c r="AX442" s="62" t="s">
        <v>85</v>
      </c>
      <c r="AY442" s="62" t="s">
        <v>85</v>
      </c>
    </row>
    <row r="443" spans="1:51" s="1" customFormat="1" ht="16.5" x14ac:dyDescent="0.3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92"/>
      <c r="AP443" s="92"/>
      <c r="AQ443" s="92"/>
      <c r="AR443" s="92"/>
      <c r="AS443" s="92"/>
      <c r="AT443" s="92"/>
      <c r="AU443" s="92"/>
      <c r="AV443" s="92"/>
      <c r="AX443" s="62" t="s">
        <v>85</v>
      </c>
      <c r="AY443" s="62" t="s">
        <v>85</v>
      </c>
    </row>
    <row r="444" spans="1:51" s="1" customFormat="1" ht="16.5" x14ac:dyDescent="0.3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92"/>
      <c r="AP444" s="92"/>
      <c r="AQ444" s="92"/>
      <c r="AR444" s="92"/>
      <c r="AS444" s="92"/>
      <c r="AT444" s="92"/>
      <c r="AU444" s="92"/>
      <c r="AV444" s="92"/>
      <c r="AX444" s="62" t="s">
        <v>85</v>
      </c>
      <c r="AY444" s="62" t="s">
        <v>85</v>
      </c>
    </row>
    <row r="445" spans="1:51" s="1" customFormat="1" ht="16.5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92"/>
      <c r="AP445" s="92"/>
      <c r="AQ445" s="92"/>
      <c r="AR445" s="92"/>
      <c r="AS445" s="92"/>
      <c r="AT445" s="92"/>
      <c r="AU445" s="92"/>
      <c r="AV445" s="92"/>
      <c r="AX445" s="62" t="s">
        <v>85</v>
      </c>
      <c r="AY445" s="62" t="s">
        <v>85</v>
      </c>
    </row>
    <row r="446" spans="1:51" s="1" customFormat="1" ht="16.5" x14ac:dyDescent="0.3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92"/>
      <c r="AP446" s="92"/>
      <c r="AQ446" s="92"/>
      <c r="AR446" s="92"/>
      <c r="AS446" s="92"/>
      <c r="AT446" s="92"/>
      <c r="AU446" s="92"/>
      <c r="AV446" s="92"/>
      <c r="AX446" s="62" t="s">
        <v>85</v>
      </c>
      <c r="AY446" s="62" t="s">
        <v>85</v>
      </c>
    </row>
    <row r="447" spans="1:51" s="1" customFormat="1" ht="16.5" x14ac:dyDescent="0.3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92"/>
      <c r="AP447" s="92"/>
      <c r="AQ447" s="92"/>
      <c r="AR447" s="92"/>
      <c r="AS447" s="92"/>
      <c r="AT447" s="92"/>
      <c r="AU447" s="92"/>
      <c r="AV447" s="92"/>
      <c r="AX447" s="62" t="s">
        <v>85</v>
      </c>
      <c r="AY447" s="62" t="s">
        <v>85</v>
      </c>
    </row>
    <row r="448" spans="1:51" s="1" customFormat="1" ht="16.5" x14ac:dyDescent="0.3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92"/>
      <c r="AP448" s="92"/>
      <c r="AQ448" s="92"/>
      <c r="AR448" s="92"/>
      <c r="AS448" s="92"/>
      <c r="AT448" s="92"/>
      <c r="AU448" s="92"/>
      <c r="AV448" s="92"/>
      <c r="AX448" s="62" t="s">
        <v>85</v>
      </c>
      <c r="AY448" s="62" t="s">
        <v>85</v>
      </c>
    </row>
    <row r="449" spans="1:58" s="1" customFormat="1" ht="16.5" x14ac:dyDescent="0.3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92"/>
      <c r="AP449" s="92"/>
      <c r="AQ449" s="92"/>
      <c r="AR449" s="92"/>
      <c r="AS449" s="92"/>
      <c r="AT449" s="92"/>
      <c r="AU449" s="92"/>
      <c r="AV449" s="92"/>
      <c r="AX449" s="62" t="s">
        <v>85</v>
      </c>
      <c r="AY449" s="62" t="s">
        <v>85</v>
      </c>
    </row>
    <row r="450" spans="1:58" s="1" customFormat="1" ht="16.5" x14ac:dyDescent="0.3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92"/>
      <c r="AP450" s="92"/>
      <c r="AQ450" s="92"/>
      <c r="AR450" s="92"/>
      <c r="AS450" s="92"/>
      <c r="AT450" s="92"/>
      <c r="AU450" s="92"/>
      <c r="AV450" s="92"/>
      <c r="AX450" s="62" t="s">
        <v>85</v>
      </c>
      <c r="AY450" s="62" t="s">
        <v>85</v>
      </c>
    </row>
    <row r="451" spans="1:58" s="1" customFormat="1" ht="16.5" x14ac:dyDescent="0.3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92"/>
      <c r="AP451" s="92"/>
      <c r="AQ451" s="92"/>
      <c r="AR451" s="92"/>
      <c r="AS451" s="92"/>
      <c r="AT451" s="92"/>
      <c r="AU451" s="92"/>
      <c r="AV451" s="92"/>
      <c r="AX451" s="62" t="s">
        <v>85</v>
      </c>
      <c r="AY451" s="62" t="s">
        <v>85</v>
      </c>
    </row>
    <row r="452" spans="1:58" s="1" customFormat="1" ht="16.5" x14ac:dyDescent="0.3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  <c r="AK452" s="92"/>
      <c r="AL452" s="92"/>
      <c r="AM452" s="92"/>
      <c r="AN452" s="92"/>
      <c r="AO452" s="92"/>
      <c r="AP452" s="92"/>
      <c r="AQ452" s="92"/>
      <c r="AR452" s="92"/>
      <c r="AS452" s="92"/>
      <c r="AT452" s="92"/>
      <c r="AU452" s="92"/>
      <c r="AV452" s="92"/>
      <c r="AX452" s="62" t="s">
        <v>85</v>
      </c>
      <c r="AY452" s="62" t="s">
        <v>85</v>
      </c>
    </row>
    <row r="453" spans="1:58" s="1" customFormat="1" ht="16.5" x14ac:dyDescent="0.3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  <c r="AK453" s="92"/>
      <c r="AL453" s="92"/>
      <c r="AM453" s="92"/>
      <c r="AN453" s="92"/>
      <c r="AO453" s="92"/>
      <c r="AP453" s="92"/>
      <c r="AQ453" s="92"/>
      <c r="AR453" s="92"/>
      <c r="AS453" s="92"/>
      <c r="AT453" s="92"/>
      <c r="AU453" s="92"/>
      <c r="AV453" s="92"/>
      <c r="AX453" s="62" t="s">
        <v>85</v>
      </c>
      <c r="AY453" s="62" t="s">
        <v>85</v>
      </c>
    </row>
    <row r="454" spans="1:58" s="1" customFormat="1" ht="16.5" x14ac:dyDescent="0.3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  <c r="AK454" s="92"/>
      <c r="AL454" s="92"/>
      <c r="AM454" s="92"/>
      <c r="AN454" s="92"/>
      <c r="AO454" s="92"/>
      <c r="AP454" s="92"/>
      <c r="AQ454" s="92"/>
      <c r="AR454" s="92"/>
      <c r="AS454" s="92"/>
      <c r="AT454" s="92"/>
      <c r="AU454" s="92"/>
      <c r="AV454" s="92"/>
      <c r="AX454" s="62" t="s">
        <v>85</v>
      </c>
      <c r="AY454" s="62" t="s">
        <v>85</v>
      </c>
    </row>
    <row r="455" spans="1:58" s="1" customFormat="1" ht="16.5" x14ac:dyDescent="0.3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  <c r="AK455" s="92"/>
      <c r="AL455" s="92"/>
      <c r="AM455" s="92"/>
      <c r="AN455" s="92"/>
      <c r="AO455" s="92"/>
      <c r="AP455" s="92"/>
      <c r="AQ455" s="92"/>
      <c r="AR455" s="92"/>
      <c r="AS455" s="92"/>
      <c r="AT455" s="92"/>
      <c r="AU455" s="92"/>
      <c r="AV455" s="92"/>
      <c r="AX455" s="62" t="s">
        <v>85</v>
      </c>
      <c r="AY455" s="62" t="s">
        <v>85</v>
      </c>
    </row>
    <row r="456" spans="1:58" s="1" customFormat="1" ht="16.5" x14ac:dyDescent="0.3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  <c r="AK456" s="92"/>
      <c r="AL456" s="92"/>
      <c r="AM456" s="92"/>
      <c r="AN456" s="92"/>
      <c r="AO456" s="92"/>
      <c r="AP456" s="92"/>
      <c r="AQ456" s="92"/>
      <c r="AR456" s="92"/>
      <c r="AS456" s="92"/>
      <c r="AT456" s="92"/>
      <c r="AU456" s="92"/>
      <c r="AV456" s="92"/>
      <c r="AX456" s="62" t="s">
        <v>85</v>
      </c>
      <c r="AY456" s="62" t="s">
        <v>85</v>
      </c>
    </row>
    <row r="457" spans="1:58" s="1" customFormat="1" ht="16.5" x14ac:dyDescent="0.3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92"/>
      <c r="AP457" s="92"/>
      <c r="AQ457" s="92"/>
      <c r="AR457" s="92"/>
      <c r="AS457" s="92"/>
      <c r="AT457" s="92"/>
      <c r="AU457" s="92"/>
      <c r="AV457" s="92"/>
      <c r="AX457" s="62" t="s">
        <v>85</v>
      </c>
      <c r="AY457" s="62" t="s">
        <v>85</v>
      </c>
    </row>
    <row r="458" spans="1:58" s="1" customFormat="1" ht="16.5" x14ac:dyDescent="0.3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  <c r="AK458" s="92"/>
      <c r="AL458" s="92"/>
      <c r="AM458" s="92"/>
      <c r="AN458" s="92"/>
      <c r="AO458" s="92"/>
      <c r="AP458" s="92"/>
      <c r="AQ458" s="92"/>
      <c r="AR458" s="92"/>
      <c r="AS458" s="92"/>
      <c r="AT458" s="92"/>
      <c r="AU458" s="92"/>
      <c r="AV458" s="92"/>
      <c r="AX458" s="62" t="s">
        <v>85</v>
      </c>
      <c r="AY458" s="62" t="s">
        <v>85</v>
      </c>
    </row>
    <row r="459" spans="1:58" s="1" customFormat="1" ht="16.5" x14ac:dyDescent="0.3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92"/>
      <c r="AP459" s="92"/>
      <c r="AQ459" s="92"/>
      <c r="AR459" s="92"/>
      <c r="AS459" s="92"/>
      <c r="AT459" s="92"/>
      <c r="AU459" s="92"/>
      <c r="AV459" s="92"/>
      <c r="AX459" s="62" t="s">
        <v>85</v>
      </c>
      <c r="AY459" s="62" t="s">
        <v>85</v>
      </c>
    </row>
    <row r="460" spans="1:58" s="1" customFormat="1" ht="16.5" x14ac:dyDescent="0.3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  <c r="AK460" s="92"/>
      <c r="AL460" s="92"/>
      <c r="AM460" s="92"/>
      <c r="AN460" s="92"/>
      <c r="AO460" s="92"/>
      <c r="AP460" s="92"/>
      <c r="AQ460" s="92"/>
      <c r="AR460" s="92"/>
      <c r="AS460" s="92"/>
      <c r="AT460" s="92"/>
      <c r="AU460" s="92"/>
      <c r="AV460" s="92"/>
      <c r="AX460" s="62" t="s">
        <v>85</v>
      </c>
      <c r="AY460" s="62" t="s">
        <v>85</v>
      </c>
    </row>
    <row r="461" spans="1:58" s="1" customFormat="1" ht="16.5" x14ac:dyDescent="0.3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  <c r="AK461" s="92"/>
      <c r="AL461" s="92"/>
      <c r="AM461" s="92"/>
      <c r="AN461" s="92"/>
      <c r="AO461" s="92"/>
      <c r="AP461" s="92"/>
      <c r="AQ461" s="92"/>
      <c r="AR461" s="92"/>
      <c r="AS461" s="92"/>
      <c r="AT461" s="92"/>
      <c r="AU461" s="92"/>
      <c r="AV461" s="92"/>
      <c r="AX461" s="62" t="s">
        <v>85</v>
      </c>
      <c r="AY461" s="62" t="s">
        <v>85</v>
      </c>
    </row>
    <row r="462" spans="1:58" s="1" customFormat="1" ht="16.5" x14ac:dyDescent="0.3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  <c r="AK462" s="92"/>
      <c r="AL462" s="92"/>
      <c r="AM462" s="92"/>
      <c r="AN462" s="92"/>
      <c r="AO462" s="92"/>
      <c r="AP462" s="92"/>
      <c r="AQ462" s="92"/>
      <c r="AR462" s="92"/>
      <c r="AS462" s="92"/>
      <c r="AT462" s="92"/>
      <c r="AU462" s="92"/>
      <c r="AV462" s="92"/>
      <c r="AX462" s="62" t="s">
        <v>85</v>
      </c>
      <c r="AY462" s="62" t="s">
        <v>85</v>
      </c>
    </row>
    <row r="463" spans="1:58" s="1" customFormat="1" ht="16.5" x14ac:dyDescent="0.3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  <c r="AK463" s="92"/>
      <c r="AL463" s="92"/>
      <c r="AM463" s="92"/>
      <c r="AN463" s="92"/>
      <c r="AO463" s="92"/>
      <c r="AP463" s="92"/>
      <c r="AQ463" s="92"/>
      <c r="AR463" s="92"/>
      <c r="AS463" s="92"/>
      <c r="AT463" s="92"/>
      <c r="AU463" s="92"/>
      <c r="AV463" s="92"/>
      <c r="AX463" s="62" t="s">
        <v>85</v>
      </c>
      <c r="AY463" s="62" t="s">
        <v>85</v>
      </c>
    </row>
    <row r="464" spans="1:58" s="1" customFormat="1" ht="16.5" x14ac:dyDescent="0.3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  <c r="AK464" s="92"/>
      <c r="AL464" s="92"/>
      <c r="AM464" s="92"/>
      <c r="AN464" s="92"/>
      <c r="AO464" s="92"/>
      <c r="AP464" s="92"/>
      <c r="AQ464" s="92"/>
      <c r="AR464" s="92"/>
      <c r="AS464" s="92"/>
      <c r="AT464" s="92"/>
      <c r="AU464" s="92"/>
      <c r="AV464" s="92"/>
      <c r="AX464" s="62" t="s">
        <v>85</v>
      </c>
      <c r="AY464" s="62" t="s">
        <v>85</v>
      </c>
      <c r="AZ464" s="62"/>
      <c r="BA464" s="113" t="s">
        <v>48</v>
      </c>
      <c r="BB464" s="114">
        <v>0</v>
      </c>
      <c r="BC464" s="114">
        <v>0</v>
      </c>
      <c r="BD464" s="114">
        <v>0</v>
      </c>
      <c r="BE464" s="114">
        <v>0</v>
      </c>
      <c r="BF464" s="114">
        <v>0</v>
      </c>
    </row>
    <row r="465" spans="1:58" s="1" customFormat="1" ht="16.5" x14ac:dyDescent="0.3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  <c r="AK465" s="92"/>
      <c r="AL465" s="92"/>
      <c r="AM465" s="92"/>
      <c r="AN465" s="92"/>
      <c r="AO465" s="92"/>
      <c r="AP465" s="92"/>
      <c r="AQ465" s="92"/>
      <c r="AR465" s="92"/>
      <c r="AS465" s="92"/>
      <c r="AT465" s="92"/>
      <c r="AU465" s="92"/>
      <c r="AV465" s="92"/>
      <c r="AX465" s="62" t="s">
        <v>85</v>
      </c>
      <c r="AY465" s="62" t="s">
        <v>85</v>
      </c>
      <c r="AZ465" s="62"/>
      <c r="BA465" s="113" t="s">
        <v>49</v>
      </c>
      <c r="BB465" s="114">
        <v>0</v>
      </c>
      <c r="BC465" s="114">
        <v>0</v>
      </c>
      <c r="BD465" s="114">
        <v>0</v>
      </c>
      <c r="BE465" s="114">
        <v>0</v>
      </c>
      <c r="BF465" s="114">
        <v>0</v>
      </c>
    </row>
    <row r="466" spans="1:58" s="1" customFormat="1" ht="16.5" x14ac:dyDescent="0.3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  <c r="AK466" s="92"/>
      <c r="AL466" s="92"/>
      <c r="AM466" s="92"/>
      <c r="AN466" s="92"/>
      <c r="AO466" s="92"/>
      <c r="AP466" s="92"/>
      <c r="AQ466" s="92"/>
      <c r="AR466" s="92"/>
      <c r="AS466" s="92"/>
      <c r="AT466" s="92"/>
      <c r="AU466" s="92"/>
      <c r="AV466" s="92"/>
      <c r="AX466" s="62" t="s">
        <v>85</v>
      </c>
      <c r="AY466" s="62" t="s">
        <v>85</v>
      </c>
      <c r="AZ466" s="62"/>
      <c r="BA466" s="115" t="s">
        <v>50</v>
      </c>
      <c r="BB466" s="116">
        <v>0</v>
      </c>
      <c r="BC466" s="116">
        <v>0</v>
      </c>
      <c r="BD466" s="116">
        <v>0</v>
      </c>
      <c r="BE466" s="116">
        <v>0</v>
      </c>
      <c r="BF466" s="116">
        <v>0</v>
      </c>
    </row>
    <row r="467" spans="1:58" s="1" customFormat="1" ht="16.5" x14ac:dyDescent="0.3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92"/>
      <c r="AP467" s="92"/>
      <c r="AQ467" s="92"/>
      <c r="AR467" s="92"/>
      <c r="AS467" s="92"/>
      <c r="AT467" s="92"/>
      <c r="AU467" s="92"/>
      <c r="AV467" s="92"/>
      <c r="AX467" s="62" t="s">
        <v>85</v>
      </c>
      <c r="AY467" s="62" t="s">
        <v>85</v>
      </c>
      <c r="AZ467" s="62"/>
      <c r="BA467" s="113" t="s">
        <v>52</v>
      </c>
      <c r="BB467" s="114">
        <v>0</v>
      </c>
      <c r="BC467" s="114">
        <v>0</v>
      </c>
      <c r="BD467" s="114">
        <v>0</v>
      </c>
      <c r="BE467" s="114">
        <v>0</v>
      </c>
      <c r="BF467" s="114">
        <v>0</v>
      </c>
    </row>
    <row r="468" spans="1:58" s="1" customFormat="1" ht="16.5" x14ac:dyDescent="0.3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  <c r="AK468" s="92"/>
      <c r="AL468" s="92"/>
      <c r="AM468" s="92"/>
      <c r="AN468" s="92"/>
      <c r="AO468" s="92"/>
      <c r="AP468" s="92"/>
      <c r="AQ468" s="92"/>
      <c r="AR468" s="92"/>
      <c r="AS468" s="92"/>
      <c r="AT468" s="92"/>
      <c r="AU468" s="92"/>
      <c r="AV468" s="92"/>
      <c r="AX468" s="62" t="s">
        <v>85</v>
      </c>
      <c r="AY468" s="62" t="s">
        <v>85</v>
      </c>
      <c r="AZ468" s="62"/>
      <c r="BA468" s="113"/>
      <c r="BB468" s="113" t="s">
        <v>55</v>
      </c>
      <c r="BC468" s="113" t="s">
        <v>53</v>
      </c>
      <c r="BD468" s="113" t="s">
        <v>54</v>
      </c>
      <c r="BE468" s="113" t="s">
        <v>51</v>
      </c>
      <c r="BF468" s="113" t="s">
        <v>52</v>
      </c>
    </row>
    <row r="469" spans="1:58" s="1" customFormat="1" ht="16.5" x14ac:dyDescent="0.3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  <c r="AK469" s="92"/>
      <c r="AL469" s="92"/>
      <c r="AM469" s="92"/>
      <c r="AN469" s="92"/>
      <c r="AO469" s="92"/>
      <c r="AP469" s="92"/>
      <c r="AQ469" s="92"/>
      <c r="AR469" s="92"/>
      <c r="AS469" s="92"/>
      <c r="AT469" s="92"/>
      <c r="AU469" s="92"/>
      <c r="AV469" s="92"/>
      <c r="AX469" s="62" t="s">
        <v>85</v>
      </c>
      <c r="AY469" s="62" t="s">
        <v>85</v>
      </c>
      <c r="AZ469" s="62"/>
      <c r="BA469" s="113" t="s">
        <v>47</v>
      </c>
      <c r="BB469" s="117" t="e">
        <v>#DIV/0!</v>
      </c>
      <c r="BC469" s="117" t="e">
        <v>#DIV/0!</v>
      </c>
      <c r="BD469" s="117" t="e">
        <v>#DIV/0!</v>
      </c>
      <c r="BE469" s="117" t="e">
        <v>#DIV/0!</v>
      </c>
      <c r="BF469" s="117" t="e">
        <v>#DIV/0!</v>
      </c>
    </row>
    <row r="470" spans="1:58" s="1" customFormat="1" ht="16.5" x14ac:dyDescent="0.3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  <c r="AK470" s="92"/>
      <c r="AL470" s="92"/>
      <c r="AM470" s="92"/>
      <c r="AN470" s="92"/>
      <c r="AO470" s="92"/>
      <c r="AP470" s="92"/>
      <c r="AQ470" s="92"/>
      <c r="AR470" s="92"/>
      <c r="AS470" s="92"/>
      <c r="AT470" s="92"/>
      <c r="AU470" s="92"/>
      <c r="AV470" s="92"/>
      <c r="AX470" s="62" t="s">
        <v>85</v>
      </c>
      <c r="AY470" s="62" t="s">
        <v>85</v>
      </c>
      <c r="BA470" s="113" t="s">
        <v>48</v>
      </c>
      <c r="BB470" s="117" t="e">
        <v>#DIV/0!</v>
      </c>
      <c r="BC470" s="117" t="e">
        <v>#DIV/0!</v>
      </c>
      <c r="BD470" s="117" t="e">
        <v>#DIV/0!</v>
      </c>
      <c r="BE470" s="117" t="e">
        <v>#DIV/0!</v>
      </c>
      <c r="BF470" s="117" t="e">
        <v>#DIV/0!</v>
      </c>
    </row>
    <row r="471" spans="1:58" s="1" customFormat="1" ht="16.5" x14ac:dyDescent="0.3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  <c r="AK471" s="92"/>
      <c r="AL471" s="92"/>
      <c r="AM471" s="92"/>
      <c r="AN471" s="92"/>
      <c r="AO471" s="92"/>
      <c r="AP471" s="92"/>
      <c r="AQ471" s="92"/>
      <c r="AR471" s="92"/>
      <c r="AS471" s="92"/>
      <c r="AT471" s="92"/>
      <c r="AU471" s="92"/>
      <c r="AV471" s="92"/>
      <c r="AX471" s="62" t="s">
        <v>85</v>
      </c>
      <c r="AY471" s="62" t="s">
        <v>85</v>
      </c>
      <c r="BA471" s="115" t="s">
        <v>50</v>
      </c>
      <c r="BB471" s="118" t="e">
        <v>#DIV/0!</v>
      </c>
      <c r="BC471" s="118" t="e">
        <v>#DIV/0!</v>
      </c>
      <c r="BD471" s="118" t="e">
        <v>#DIV/0!</v>
      </c>
      <c r="BE471" s="118" t="e">
        <v>#DIV/0!</v>
      </c>
      <c r="BF471" s="118" t="e">
        <v>#DIV/0!</v>
      </c>
    </row>
    <row r="472" spans="1:58" s="1" customFormat="1" ht="16.5" x14ac:dyDescent="0.3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  <c r="AK472" s="92"/>
      <c r="AL472" s="92"/>
      <c r="AM472" s="92"/>
      <c r="AN472" s="92"/>
      <c r="AO472" s="92"/>
      <c r="AP472" s="92"/>
      <c r="AQ472" s="92"/>
      <c r="AR472" s="92"/>
      <c r="AS472" s="92"/>
      <c r="AT472" s="92"/>
      <c r="AU472" s="92"/>
      <c r="AV472" s="92"/>
      <c r="AX472" s="62" t="s">
        <v>85</v>
      </c>
      <c r="AY472" s="62" t="s">
        <v>85</v>
      </c>
      <c r="BA472" s="113" t="s">
        <v>52</v>
      </c>
      <c r="BB472" s="117" t="e">
        <v>#DIV/0!</v>
      </c>
      <c r="BC472" s="117" t="e">
        <v>#DIV/0!</v>
      </c>
      <c r="BD472" s="117" t="e">
        <v>#DIV/0!</v>
      </c>
      <c r="BE472" s="117" t="e">
        <v>#DIV/0!</v>
      </c>
      <c r="BF472" s="117" t="e">
        <v>#DIV/0!</v>
      </c>
    </row>
    <row r="473" spans="1:58" s="1" customFormat="1" ht="16.5" x14ac:dyDescent="0.3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92"/>
      <c r="AP473" s="92"/>
      <c r="AQ473" s="92"/>
      <c r="AR473" s="92"/>
      <c r="AS473" s="92"/>
      <c r="AT473" s="92"/>
      <c r="AU473" s="92"/>
      <c r="AV473" s="92"/>
      <c r="AX473" s="62" t="s">
        <v>85</v>
      </c>
      <c r="AY473" s="62" t="s">
        <v>85</v>
      </c>
    </row>
    <row r="474" spans="1:58" s="1" customFormat="1" ht="16.5" x14ac:dyDescent="0.3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  <c r="AK474" s="92"/>
      <c r="AL474" s="92"/>
      <c r="AM474" s="92"/>
      <c r="AN474" s="92"/>
      <c r="AO474" s="92"/>
      <c r="AP474" s="92"/>
      <c r="AQ474" s="92"/>
      <c r="AR474" s="92"/>
      <c r="AS474" s="92"/>
      <c r="AT474" s="92"/>
      <c r="AU474" s="92"/>
      <c r="AV474" s="92"/>
      <c r="AX474" s="62" t="s">
        <v>85</v>
      </c>
      <c r="AY474" s="62" t="s">
        <v>85</v>
      </c>
    </row>
    <row r="475" spans="1:58" s="1" customFormat="1" ht="16.5" x14ac:dyDescent="0.3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  <c r="AK475" s="92"/>
      <c r="AL475" s="92"/>
      <c r="AM475" s="92"/>
      <c r="AN475" s="92"/>
      <c r="AO475" s="92"/>
      <c r="AP475" s="92"/>
      <c r="AQ475" s="92"/>
      <c r="AR475" s="92"/>
      <c r="AS475" s="92"/>
      <c r="AT475" s="92"/>
      <c r="AU475" s="92"/>
      <c r="AV475" s="92"/>
      <c r="AX475" s="62" t="s">
        <v>85</v>
      </c>
      <c r="AY475" s="62" t="s">
        <v>85</v>
      </c>
    </row>
    <row r="476" spans="1:58" s="1" customFormat="1" ht="16.5" x14ac:dyDescent="0.3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  <c r="AK476" s="92"/>
      <c r="AL476" s="92"/>
      <c r="AM476" s="92"/>
      <c r="AN476" s="92"/>
      <c r="AO476" s="92"/>
      <c r="AP476" s="92"/>
      <c r="AQ476" s="92"/>
      <c r="AR476" s="92"/>
      <c r="AS476" s="92"/>
      <c r="AT476" s="92"/>
      <c r="AU476" s="92"/>
      <c r="AV476" s="92"/>
      <c r="AX476" s="62" t="s">
        <v>85</v>
      </c>
      <c r="AY476" s="62" t="s">
        <v>85</v>
      </c>
    </row>
    <row r="477" spans="1:58" s="1" customFormat="1" ht="16.5" x14ac:dyDescent="0.3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  <c r="AK477" s="92"/>
      <c r="AL477" s="92"/>
      <c r="AM477" s="92"/>
      <c r="AN477" s="92"/>
      <c r="AO477" s="92"/>
      <c r="AP477" s="92"/>
      <c r="AQ477" s="92"/>
      <c r="AR477" s="92"/>
      <c r="AS477" s="92"/>
      <c r="AT477" s="92"/>
      <c r="AU477" s="92"/>
      <c r="AV477" s="92"/>
      <c r="AX477" s="62" t="s">
        <v>85</v>
      </c>
      <c r="AY477" s="62" t="s">
        <v>85</v>
      </c>
    </row>
    <row r="478" spans="1:58" s="1" customFormat="1" ht="16.5" x14ac:dyDescent="0.3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  <c r="AK478" s="92"/>
      <c r="AL478" s="92"/>
      <c r="AM478" s="92"/>
      <c r="AN478" s="92"/>
      <c r="AO478" s="92"/>
      <c r="AP478" s="92"/>
      <c r="AQ478" s="92"/>
      <c r="AR478" s="92"/>
      <c r="AS478" s="92"/>
      <c r="AT478" s="92"/>
      <c r="AU478" s="92"/>
      <c r="AV478" s="92"/>
      <c r="AX478" s="62" t="s">
        <v>85</v>
      </c>
      <c r="AY478" s="62" t="s">
        <v>85</v>
      </c>
    </row>
    <row r="479" spans="1:58" s="1" customFormat="1" ht="16.5" x14ac:dyDescent="0.3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  <c r="AK479" s="92"/>
      <c r="AL479" s="92"/>
      <c r="AM479" s="92"/>
      <c r="AN479" s="92"/>
      <c r="AO479" s="92"/>
      <c r="AP479" s="92"/>
      <c r="AQ479" s="92"/>
      <c r="AR479" s="92"/>
      <c r="AS479" s="92"/>
      <c r="AT479" s="92"/>
      <c r="AU479" s="92"/>
      <c r="AV479" s="92"/>
      <c r="AX479" s="62" t="s">
        <v>85</v>
      </c>
      <c r="AY479" s="62" t="s">
        <v>85</v>
      </c>
    </row>
    <row r="480" spans="1:58" s="1" customFormat="1" ht="16.5" x14ac:dyDescent="0.3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92"/>
      <c r="AP480" s="92"/>
      <c r="AQ480" s="92"/>
      <c r="AR480" s="92"/>
      <c r="AS480" s="92"/>
      <c r="AT480" s="92"/>
      <c r="AU480" s="92"/>
      <c r="AV480" s="92"/>
      <c r="AX480" s="62" t="s">
        <v>85</v>
      </c>
      <c r="AY480" s="62" t="s">
        <v>85</v>
      </c>
    </row>
    <row r="481" spans="1:51" s="1" customFormat="1" ht="16.5" x14ac:dyDescent="0.3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  <c r="AK481" s="92"/>
      <c r="AL481" s="92"/>
      <c r="AM481" s="92"/>
      <c r="AN481" s="92"/>
      <c r="AO481" s="92"/>
      <c r="AP481" s="92"/>
      <c r="AQ481" s="92"/>
      <c r="AR481" s="92"/>
      <c r="AS481" s="92"/>
      <c r="AT481" s="92"/>
      <c r="AU481" s="92"/>
      <c r="AV481" s="92"/>
      <c r="AX481" s="62" t="s">
        <v>85</v>
      </c>
      <c r="AY481" s="62" t="s">
        <v>85</v>
      </c>
    </row>
    <row r="482" spans="1:51" s="1" customFormat="1" ht="16.5" x14ac:dyDescent="0.3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  <c r="AK482" s="92"/>
      <c r="AL482" s="92"/>
      <c r="AM482" s="92"/>
      <c r="AN482" s="92"/>
      <c r="AO482" s="92"/>
      <c r="AP482" s="92"/>
      <c r="AQ482" s="92"/>
      <c r="AR482" s="92"/>
      <c r="AS482" s="92"/>
      <c r="AT482" s="92"/>
      <c r="AU482" s="92"/>
      <c r="AV482" s="92"/>
      <c r="AX482" s="62" t="s">
        <v>85</v>
      </c>
      <c r="AY482" s="62" t="s">
        <v>85</v>
      </c>
    </row>
    <row r="483" spans="1:51" s="1" customFormat="1" ht="16.5" x14ac:dyDescent="0.3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  <c r="AK483" s="92"/>
      <c r="AL483" s="92"/>
      <c r="AM483" s="92"/>
      <c r="AN483" s="92"/>
      <c r="AO483" s="92"/>
      <c r="AP483" s="92"/>
      <c r="AQ483" s="92"/>
      <c r="AR483" s="92"/>
      <c r="AS483" s="92"/>
      <c r="AT483" s="92"/>
      <c r="AU483" s="92"/>
      <c r="AV483" s="92"/>
      <c r="AX483" s="62" t="s">
        <v>85</v>
      </c>
      <c r="AY483" s="62" t="s">
        <v>85</v>
      </c>
    </row>
    <row r="484" spans="1:51" s="1" customFormat="1" ht="16.5" x14ac:dyDescent="0.3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  <c r="AK484" s="92"/>
      <c r="AL484" s="92"/>
      <c r="AM484" s="92"/>
      <c r="AN484" s="92"/>
      <c r="AO484" s="92"/>
      <c r="AP484" s="92"/>
      <c r="AQ484" s="92"/>
      <c r="AR484" s="92"/>
      <c r="AS484" s="92"/>
      <c r="AT484" s="92"/>
      <c r="AU484" s="92"/>
      <c r="AV484" s="92"/>
      <c r="AX484" s="62" t="s">
        <v>85</v>
      </c>
      <c r="AY484" s="62" t="s">
        <v>85</v>
      </c>
    </row>
    <row r="485" spans="1:51" s="1" customFormat="1" ht="16.5" x14ac:dyDescent="0.3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92"/>
      <c r="AP485" s="92"/>
      <c r="AQ485" s="92"/>
      <c r="AR485" s="92"/>
      <c r="AS485" s="92"/>
      <c r="AT485" s="92"/>
      <c r="AU485" s="92"/>
      <c r="AV485" s="92"/>
      <c r="AX485" s="62" t="s">
        <v>85</v>
      </c>
      <c r="AY485" s="62" t="s">
        <v>85</v>
      </c>
    </row>
    <row r="486" spans="1:51" s="1" customFormat="1" ht="16.5" x14ac:dyDescent="0.3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  <c r="AK486" s="92"/>
      <c r="AL486" s="92"/>
      <c r="AM486" s="92"/>
      <c r="AN486" s="92"/>
      <c r="AO486" s="92"/>
      <c r="AP486" s="92"/>
      <c r="AQ486" s="92"/>
      <c r="AR486" s="92"/>
      <c r="AS486" s="92"/>
      <c r="AT486" s="92"/>
      <c r="AU486" s="92"/>
      <c r="AV486" s="92"/>
      <c r="AX486" s="62" t="s">
        <v>85</v>
      </c>
      <c r="AY486" s="62" t="s">
        <v>85</v>
      </c>
    </row>
    <row r="487" spans="1:51" s="1" customFormat="1" ht="16.5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  <c r="AK487" s="92"/>
      <c r="AL487" s="92"/>
      <c r="AM487" s="92"/>
      <c r="AN487" s="92"/>
      <c r="AO487" s="92"/>
      <c r="AP487" s="92"/>
      <c r="AQ487" s="92"/>
      <c r="AR487" s="92"/>
      <c r="AS487" s="92"/>
      <c r="AT487" s="92"/>
      <c r="AU487" s="92"/>
      <c r="AV487" s="92"/>
      <c r="AX487" s="62" t="s">
        <v>85</v>
      </c>
      <c r="AY487" s="62" t="s">
        <v>85</v>
      </c>
    </row>
    <row r="488" spans="1:51" s="1" customFormat="1" ht="16.5" x14ac:dyDescent="0.3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  <c r="AK488" s="92"/>
      <c r="AL488" s="92"/>
      <c r="AM488" s="92"/>
      <c r="AN488" s="92"/>
      <c r="AO488" s="92"/>
      <c r="AP488" s="92"/>
      <c r="AQ488" s="92"/>
      <c r="AR488" s="92"/>
      <c r="AS488" s="92"/>
      <c r="AT488" s="92"/>
      <c r="AU488" s="92"/>
      <c r="AV488" s="92"/>
      <c r="AX488" s="62" t="s">
        <v>85</v>
      </c>
      <c r="AY488" s="62" t="s">
        <v>85</v>
      </c>
    </row>
    <row r="489" spans="1:51" s="1" customFormat="1" ht="16.5" x14ac:dyDescent="0.3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  <c r="AK489" s="92"/>
      <c r="AL489" s="92"/>
      <c r="AM489" s="92"/>
      <c r="AN489" s="92"/>
      <c r="AO489" s="92"/>
      <c r="AP489" s="92"/>
      <c r="AQ489" s="92"/>
      <c r="AR489" s="92"/>
      <c r="AS489" s="92"/>
      <c r="AT489" s="92"/>
      <c r="AU489" s="92"/>
      <c r="AV489" s="92"/>
      <c r="AX489" s="62" t="s">
        <v>85</v>
      </c>
      <c r="AY489" s="62" t="s">
        <v>85</v>
      </c>
    </row>
    <row r="490" spans="1:51" s="1" customFormat="1" ht="16.5" x14ac:dyDescent="0.3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92"/>
      <c r="AP490" s="92"/>
      <c r="AQ490" s="92"/>
      <c r="AR490" s="92"/>
      <c r="AS490" s="92"/>
      <c r="AT490" s="92"/>
      <c r="AU490" s="92"/>
      <c r="AV490" s="92"/>
      <c r="AX490" s="62" t="s">
        <v>85</v>
      </c>
      <c r="AY490" s="62" t="s">
        <v>85</v>
      </c>
    </row>
    <row r="491" spans="1:51" s="1" customFormat="1" ht="16.5" x14ac:dyDescent="0.3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  <c r="AK491" s="92"/>
      <c r="AL491" s="92"/>
      <c r="AM491" s="92"/>
      <c r="AN491" s="92"/>
      <c r="AO491" s="92"/>
      <c r="AP491" s="92"/>
      <c r="AQ491" s="92"/>
      <c r="AR491" s="92"/>
      <c r="AS491" s="92"/>
      <c r="AT491" s="92"/>
      <c r="AU491" s="92"/>
      <c r="AV491" s="92"/>
      <c r="AX491" s="62" t="s">
        <v>85</v>
      </c>
      <c r="AY491" s="62" t="s">
        <v>85</v>
      </c>
    </row>
    <row r="492" spans="1:51" s="1" customFormat="1" ht="16.5" x14ac:dyDescent="0.3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  <c r="AK492" s="92"/>
      <c r="AL492" s="92"/>
      <c r="AM492" s="92"/>
      <c r="AN492" s="92"/>
      <c r="AO492" s="92"/>
      <c r="AP492" s="92"/>
      <c r="AQ492" s="92"/>
      <c r="AR492" s="92"/>
      <c r="AS492" s="92"/>
      <c r="AT492" s="92"/>
      <c r="AU492" s="92"/>
      <c r="AV492" s="92"/>
      <c r="AX492" s="62" t="s">
        <v>85</v>
      </c>
      <c r="AY492" s="62" t="s">
        <v>85</v>
      </c>
    </row>
    <row r="493" spans="1:51" s="1" customFormat="1" ht="16.5" x14ac:dyDescent="0.3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  <c r="AK493" s="92"/>
      <c r="AL493" s="92"/>
      <c r="AM493" s="92"/>
      <c r="AN493" s="92"/>
      <c r="AO493" s="92"/>
      <c r="AP493" s="92"/>
      <c r="AQ493" s="92"/>
      <c r="AR493" s="92"/>
      <c r="AS493" s="92"/>
      <c r="AT493" s="92"/>
      <c r="AU493" s="92"/>
      <c r="AV493" s="92"/>
      <c r="AX493" s="62" t="s">
        <v>85</v>
      </c>
      <c r="AY493" s="62" t="s">
        <v>85</v>
      </c>
    </row>
    <row r="494" spans="1:51" s="1" customFormat="1" ht="16.5" x14ac:dyDescent="0.3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  <c r="AK494" s="92"/>
      <c r="AL494" s="92"/>
      <c r="AM494" s="92"/>
      <c r="AN494" s="92"/>
      <c r="AO494" s="92"/>
      <c r="AP494" s="92"/>
      <c r="AQ494" s="92"/>
      <c r="AR494" s="92"/>
      <c r="AS494" s="92"/>
      <c r="AT494" s="92"/>
      <c r="AU494" s="92"/>
      <c r="AV494" s="92"/>
      <c r="AX494" s="62" t="s">
        <v>85</v>
      </c>
      <c r="AY494" s="62" t="s">
        <v>85</v>
      </c>
    </row>
    <row r="495" spans="1:51" s="1" customFormat="1" ht="16.5" x14ac:dyDescent="0.3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  <c r="AK495" s="92"/>
      <c r="AL495" s="92"/>
      <c r="AM495" s="92"/>
      <c r="AN495" s="92"/>
      <c r="AO495" s="92"/>
      <c r="AP495" s="92"/>
      <c r="AQ495" s="92"/>
      <c r="AR495" s="92"/>
      <c r="AS495" s="92"/>
      <c r="AT495" s="92"/>
      <c r="AU495" s="92"/>
      <c r="AV495" s="92"/>
      <c r="AX495" s="62" t="s">
        <v>85</v>
      </c>
      <c r="AY495" s="62" t="s">
        <v>85</v>
      </c>
    </row>
    <row r="496" spans="1:51" s="1" customFormat="1" ht="16.5" x14ac:dyDescent="0.3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X496" s="62" t="s">
        <v>85</v>
      </c>
      <c r="AY496" s="62" t="s">
        <v>85</v>
      </c>
    </row>
    <row r="497" spans="1:51" s="1" customFormat="1" ht="16.5" x14ac:dyDescent="0.3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  <c r="AK497" s="92"/>
      <c r="AL497" s="92"/>
      <c r="AM497" s="92"/>
      <c r="AN497" s="92"/>
      <c r="AO497" s="92"/>
      <c r="AP497" s="92"/>
      <c r="AQ497" s="92"/>
      <c r="AR497" s="92"/>
      <c r="AS497" s="92"/>
      <c r="AT497" s="92"/>
      <c r="AU497" s="92"/>
      <c r="AV497" s="92"/>
      <c r="AX497" s="62" t="s">
        <v>85</v>
      </c>
      <c r="AY497" s="62" t="s">
        <v>85</v>
      </c>
    </row>
    <row r="498" spans="1:51" s="1" customFormat="1" ht="16.5" x14ac:dyDescent="0.3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  <c r="AK498" s="92"/>
      <c r="AL498" s="92"/>
      <c r="AM498" s="92"/>
      <c r="AN498" s="92"/>
      <c r="AO498" s="92"/>
      <c r="AP498" s="92"/>
      <c r="AQ498" s="92"/>
      <c r="AR498" s="92"/>
      <c r="AS498" s="92"/>
      <c r="AT498" s="92"/>
      <c r="AU498" s="92"/>
      <c r="AV498" s="92"/>
      <c r="AX498" s="62" t="s">
        <v>85</v>
      </c>
      <c r="AY498" s="62" t="s">
        <v>85</v>
      </c>
    </row>
    <row r="499" spans="1:51" s="1" customFormat="1" ht="16.5" x14ac:dyDescent="0.3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  <c r="AK499" s="92"/>
      <c r="AL499" s="92"/>
      <c r="AM499" s="92"/>
      <c r="AN499" s="92"/>
      <c r="AO499" s="92"/>
      <c r="AP499" s="92"/>
      <c r="AQ499" s="92"/>
      <c r="AR499" s="92"/>
      <c r="AS499" s="92"/>
      <c r="AT499" s="92"/>
      <c r="AU499" s="92"/>
      <c r="AV499" s="92"/>
      <c r="AX499" s="62" t="s">
        <v>85</v>
      </c>
      <c r="AY499" s="62" t="s">
        <v>85</v>
      </c>
    </row>
    <row r="500" spans="1:51" s="1" customFormat="1" ht="16.5" x14ac:dyDescent="0.3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  <c r="AK500" s="92"/>
      <c r="AL500" s="92"/>
      <c r="AM500" s="92"/>
      <c r="AN500" s="92"/>
      <c r="AO500" s="92"/>
      <c r="AP500" s="92"/>
      <c r="AQ500" s="92"/>
      <c r="AR500" s="92"/>
      <c r="AS500" s="92"/>
      <c r="AT500" s="92"/>
      <c r="AU500" s="92"/>
      <c r="AV500" s="92"/>
      <c r="AX500" s="62" t="s">
        <v>85</v>
      </c>
      <c r="AY500" s="62" t="s">
        <v>85</v>
      </c>
    </row>
    <row r="501" spans="1:51" s="1" customFormat="1" ht="16.5" x14ac:dyDescent="0.3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  <c r="AK501" s="92"/>
      <c r="AL501" s="92"/>
      <c r="AM501" s="92"/>
      <c r="AN501" s="92"/>
      <c r="AO501" s="92"/>
      <c r="AP501" s="92"/>
      <c r="AQ501" s="92"/>
      <c r="AR501" s="92"/>
      <c r="AS501" s="92"/>
      <c r="AT501" s="92"/>
      <c r="AU501" s="92"/>
      <c r="AV501" s="92"/>
      <c r="AX501" s="62" t="s">
        <v>85</v>
      </c>
      <c r="AY501" s="62" t="s">
        <v>85</v>
      </c>
    </row>
    <row r="502" spans="1:51" s="1" customFormat="1" ht="16.5" x14ac:dyDescent="0.3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92"/>
      <c r="AP502" s="92"/>
      <c r="AQ502" s="92"/>
      <c r="AR502" s="92"/>
      <c r="AS502" s="92"/>
      <c r="AT502" s="92"/>
      <c r="AU502" s="92"/>
      <c r="AV502" s="92"/>
      <c r="AX502" s="62" t="s">
        <v>85</v>
      </c>
      <c r="AY502" s="62" t="s">
        <v>85</v>
      </c>
    </row>
    <row r="503" spans="1:51" s="1" customFormat="1" ht="16.5" x14ac:dyDescent="0.3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  <c r="AK503" s="92"/>
      <c r="AL503" s="92"/>
      <c r="AM503" s="92"/>
      <c r="AN503" s="92"/>
      <c r="AO503" s="92"/>
      <c r="AP503" s="92"/>
      <c r="AQ503" s="92"/>
      <c r="AR503" s="92"/>
      <c r="AS503" s="92"/>
      <c r="AT503" s="92"/>
      <c r="AU503" s="92"/>
      <c r="AV503" s="92"/>
      <c r="AX503" s="62" t="s">
        <v>85</v>
      </c>
      <c r="AY503" s="62" t="s">
        <v>85</v>
      </c>
    </row>
    <row r="504" spans="1:51" s="1" customFormat="1" ht="16.5" x14ac:dyDescent="0.3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  <c r="AK504" s="92"/>
      <c r="AL504" s="92"/>
      <c r="AM504" s="92"/>
      <c r="AN504" s="92"/>
      <c r="AO504" s="92"/>
      <c r="AP504" s="92"/>
      <c r="AQ504" s="92"/>
      <c r="AR504" s="92"/>
      <c r="AS504" s="92"/>
      <c r="AT504" s="92"/>
      <c r="AU504" s="92"/>
      <c r="AV504" s="92"/>
      <c r="AX504" s="62" t="s">
        <v>85</v>
      </c>
      <c r="AY504" s="62" t="s">
        <v>85</v>
      </c>
    </row>
    <row r="505" spans="1:51" s="1" customFormat="1" ht="16.5" x14ac:dyDescent="0.3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92"/>
      <c r="AP505" s="92"/>
      <c r="AQ505" s="92"/>
      <c r="AR505" s="92"/>
      <c r="AS505" s="92"/>
      <c r="AT505" s="92"/>
      <c r="AU505" s="92"/>
      <c r="AV505" s="92"/>
      <c r="AX505" s="62" t="s">
        <v>85</v>
      </c>
      <c r="AY505" s="62" t="s">
        <v>85</v>
      </c>
    </row>
    <row r="506" spans="1:51" s="1" customFormat="1" ht="16.5" x14ac:dyDescent="0.3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X506" s="62" t="s">
        <v>85</v>
      </c>
      <c r="AY506" s="62" t="s">
        <v>85</v>
      </c>
    </row>
    <row r="507" spans="1:51" s="1" customFormat="1" ht="16.5" x14ac:dyDescent="0.3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  <c r="AK507" s="92"/>
      <c r="AL507" s="92"/>
      <c r="AM507" s="92"/>
      <c r="AN507" s="92"/>
      <c r="AO507" s="92"/>
      <c r="AP507" s="92"/>
      <c r="AQ507" s="92"/>
      <c r="AR507" s="92"/>
      <c r="AS507" s="92"/>
      <c r="AT507" s="92"/>
      <c r="AU507" s="92"/>
      <c r="AV507" s="92"/>
      <c r="AX507" s="62" t="s">
        <v>85</v>
      </c>
      <c r="AY507" s="62" t="s">
        <v>85</v>
      </c>
    </row>
    <row r="508" spans="1:51" s="1" customFormat="1" ht="16.5" x14ac:dyDescent="0.3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  <c r="AK508" s="92"/>
      <c r="AL508" s="92"/>
      <c r="AM508" s="92"/>
      <c r="AN508" s="92"/>
      <c r="AO508" s="92"/>
      <c r="AP508" s="92"/>
      <c r="AQ508" s="92"/>
      <c r="AR508" s="92"/>
      <c r="AS508" s="92"/>
      <c r="AT508" s="92"/>
      <c r="AU508" s="92"/>
      <c r="AV508" s="92"/>
      <c r="AX508" s="62" t="s">
        <v>85</v>
      </c>
      <c r="AY508" s="62" t="s">
        <v>85</v>
      </c>
    </row>
    <row r="509" spans="1:51" s="1" customFormat="1" ht="16.5" x14ac:dyDescent="0.3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92"/>
      <c r="AP509" s="92"/>
      <c r="AQ509" s="92"/>
      <c r="AR509" s="92"/>
      <c r="AS509" s="92"/>
      <c r="AT509" s="92"/>
      <c r="AU509" s="92"/>
      <c r="AV509" s="92"/>
      <c r="AX509" s="62" t="s">
        <v>85</v>
      </c>
      <c r="AY509" s="62" t="s">
        <v>85</v>
      </c>
    </row>
    <row r="510" spans="1:51" s="1" customFormat="1" ht="16.5" x14ac:dyDescent="0.3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92"/>
      <c r="AP510" s="92"/>
      <c r="AQ510" s="92"/>
      <c r="AR510" s="92"/>
      <c r="AS510" s="92"/>
      <c r="AT510" s="92"/>
      <c r="AU510" s="92"/>
      <c r="AV510" s="92"/>
      <c r="AX510" s="62" t="s">
        <v>85</v>
      </c>
      <c r="AY510" s="62" t="s">
        <v>85</v>
      </c>
    </row>
    <row r="511" spans="1:51" s="1" customFormat="1" ht="16.5" x14ac:dyDescent="0.3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92"/>
      <c r="AP511" s="92"/>
      <c r="AQ511" s="92"/>
      <c r="AR511" s="92"/>
      <c r="AS511" s="92"/>
      <c r="AT511" s="92"/>
      <c r="AU511" s="92"/>
      <c r="AV511" s="92"/>
      <c r="AX511" s="62" t="s">
        <v>85</v>
      </c>
      <c r="AY511" s="62" t="s">
        <v>85</v>
      </c>
    </row>
    <row r="512" spans="1:51" s="1" customFormat="1" ht="16.5" x14ac:dyDescent="0.3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92"/>
      <c r="AP512" s="92"/>
      <c r="AQ512" s="92"/>
      <c r="AR512" s="92"/>
      <c r="AS512" s="92"/>
      <c r="AT512" s="92"/>
      <c r="AU512" s="92"/>
      <c r="AV512" s="92"/>
      <c r="AX512" s="62" t="s">
        <v>85</v>
      </c>
      <c r="AY512" s="62" t="s">
        <v>85</v>
      </c>
    </row>
    <row r="513" spans="1:58" s="1" customFormat="1" ht="16.5" x14ac:dyDescent="0.3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92"/>
      <c r="AP513" s="92"/>
      <c r="AQ513" s="92"/>
      <c r="AR513" s="92"/>
      <c r="AS513" s="92"/>
      <c r="AT513" s="92"/>
      <c r="AU513" s="92"/>
      <c r="AV513" s="92"/>
      <c r="AX513" s="62" t="s">
        <v>85</v>
      </c>
      <c r="AY513" s="62" t="s">
        <v>85</v>
      </c>
    </row>
    <row r="514" spans="1:58" s="1" customFormat="1" ht="16.5" x14ac:dyDescent="0.3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92"/>
      <c r="AP514" s="92"/>
      <c r="AQ514" s="92"/>
      <c r="AR514" s="92"/>
      <c r="AS514" s="92"/>
      <c r="AT514" s="92"/>
      <c r="AU514" s="92"/>
      <c r="AV514" s="92"/>
      <c r="AX514" s="62" t="s">
        <v>85</v>
      </c>
      <c r="AY514" s="62" t="s">
        <v>85</v>
      </c>
    </row>
    <row r="515" spans="1:58" s="1" customFormat="1" ht="16.5" x14ac:dyDescent="0.3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92"/>
      <c r="AP515" s="92"/>
      <c r="AQ515" s="92"/>
      <c r="AR515" s="92"/>
      <c r="AS515" s="92"/>
      <c r="AT515" s="92"/>
      <c r="AU515" s="92"/>
      <c r="AV515" s="92"/>
      <c r="AX515" s="62" t="s">
        <v>85</v>
      </c>
      <c r="AY515" s="62" t="s">
        <v>85</v>
      </c>
    </row>
    <row r="516" spans="1:58" s="1" customFormat="1" ht="16.5" x14ac:dyDescent="0.3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92"/>
      <c r="AP516" s="92"/>
      <c r="AQ516" s="92"/>
      <c r="AR516" s="92"/>
      <c r="AS516" s="92"/>
      <c r="AT516" s="92"/>
      <c r="AU516" s="92"/>
      <c r="AV516" s="92"/>
      <c r="AX516" s="62" t="s">
        <v>85</v>
      </c>
      <c r="AY516" s="62" t="s">
        <v>85</v>
      </c>
    </row>
    <row r="517" spans="1:58" s="1" customFormat="1" ht="16.5" x14ac:dyDescent="0.3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92"/>
      <c r="AP517" s="92"/>
      <c r="AQ517" s="92"/>
      <c r="AR517" s="92"/>
      <c r="AS517" s="92"/>
      <c r="AT517" s="92"/>
      <c r="AU517" s="92"/>
      <c r="AV517" s="92"/>
      <c r="AX517" s="62" t="s">
        <v>85</v>
      </c>
      <c r="AY517" s="62" t="s">
        <v>85</v>
      </c>
    </row>
    <row r="518" spans="1:58" s="1" customFormat="1" ht="16.5" x14ac:dyDescent="0.3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92"/>
      <c r="AP518" s="92"/>
      <c r="AQ518" s="92"/>
      <c r="AR518" s="92"/>
      <c r="AS518" s="92"/>
      <c r="AT518" s="92"/>
      <c r="AU518" s="92"/>
      <c r="AV518" s="92"/>
      <c r="AX518" s="62" t="s">
        <v>85</v>
      </c>
      <c r="AY518" s="62" t="s">
        <v>85</v>
      </c>
    </row>
    <row r="519" spans="1:58" s="1" customFormat="1" ht="16.5" x14ac:dyDescent="0.3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92"/>
      <c r="AP519" s="92"/>
      <c r="AQ519" s="92"/>
      <c r="AR519" s="92"/>
      <c r="AS519" s="92"/>
      <c r="AT519" s="92"/>
      <c r="AU519" s="92"/>
      <c r="AV519" s="92"/>
      <c r="AX519" s="62" t="s">
        <v>85</v>
      </c>
      <c r="AY519" s="62" t="s">
        <v>85</v>
      </c>
    </row>
    <row r="520" spans="1:58" s="1" customFormat="1" ht="16.5" x14ac:dyDescent="0.3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92"/>
      <c r="AP520" s="92"/>
      <c r="AQ520" s="92"/>
      <c r="AR520" s="92"/>
      <c r="AS520" s="92"/>
      <c r="AT520" s="92"/>
      <c r="AU520" s="92"/>
      <c r="AV520" s="92"/>
      <c r="AX520" s="62" t="s">
        <v>85</v>
      </c>
      <c r="AY520" s="62" t="s">
        <v>85</v>
      </c>
    </row>
    <row r="521" spans="1:58" s="1" customFormat="1" ht="16.5" x14ac:dyDescent="0.3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  <c r="AK521" s="92"/>
      <c r="AL521" s="92"/>
      <c r="AM521" s="92"/>
      <c r="AN521" s="92"/>
      <c r="AO521" s="92"/>
      <c r="AP521" s="92"/>
      <c r="AQ521" s="92"/>
      <c r="AR521" s="92"/>
      <c r="AS521" s="92"/>
      <c r="AT521" s="92"/>
      <c r="AU521" s="92"/>
      <c r="AV521" s="92"/>
      <c r="AX521" s="62" t="s">
        <v>85</v>
      </c>
      <c r="AY521" s="62" t="s">
        <v>85</v>
      </c>
    </row>
    <row r="522" spans="1:58" s="1" customFormat="1" ht="16.5" x14ac:dyDescent="0.3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  <c r="AK522" s="92"/>
      <c r="AL522" s="92"/>
      <c r="AM522" s="92"/>
      <c r="AN522" s="92"/>
      <c r="AO522" s="92"/>
      <c r="AP522" s="92"/>
      <c r="AQ522" s="92"/>
      <c r="AR522" s="92"/>
      <c r="AS522" s="92"/>
      <c r="AT522" s="92"/>
      <c r="AU522" s="92"/>
      <c r="AV522" s="92"/>
      <c r="AX522" s="62" t="s">
        <v>85</v>
      </c>
      <c r="AY522" s="62" t="s">
        <v>85</v>
      </c>
    </row>
    <row r="523" spans="1:58" s="1" customFormat="1" ht="16.5" x14ac:dyDescent="0.3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  <c r="AK523" s="92"/>
      <c r="AL523" s="92"/>
      <c r="AM523" s="92"/>
      <c r="AN523" s="92"/>
      <c r="AO523" s="92"/>
      <c r="AP523" s="92"/>
      <c r="AQ523" s="92"/>
      <c r="AR523" s="92"/>
      <c r="AS523" s="92"/>
      <c r="AT523" s="92"/>
      <c r="AU523" s="92"/>
      <c r="AV523" s="92"/>
      <c r="AX523" s="62" t="s">
        <v>85</v>
      </c>
      <c r="AY523" s="62" t="s">
        <v>85</v>
      </c>
    </row>
    <row r="524" spans="1:58" s="1" customFormat="1" ht="16.5" x14ac:dyDescent="0.3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  <c r="AK524" s="92"/>
      <c r="AL524" s="92"/>
      <c r="AM524" s="92"/>
      <c r="AN524" s="92"/>
      <c r="AO524" s="92"/>
      <c r="AP524" s="92"/>
      <c r="AQ524" s="92"/>
      <c r="AR524" s="92"/>
      <c r="AS524" s="92"/>
      <c r="AT524" s="92"/>
      <c r="AU524" s="92"/>
      <c r="AV524" s="92"/>
      <c r="AX524" s="62" t="s">
        <v>85</v>
      </c>
      <c r="AY524" s="62" t="s">
        <v>85</v>
      </c>
    </row>
    <row r="525" spans="1:58" s="1" customFormat="1" ht="16.5" x14ac:dyDescent="0.3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  <c r="AK525" s="92"/>
      <c r="AL525" s="92"/>
      <c r="AM525" s="92"/>
      <c r="AN525" s="92"/>
      <c r="AO525" s="92"/>
      <c r="AP525" s="92"/>
      <c r="AQ525" s="92"/>
      <c r="AR525" s="92"/>
      <c r="AS525" s="92"/>
      <c r="AT525" s="92"/>
      <c r="AU525" s="92"/>
      <c r="AV525" s="92"/>
      <c r="AX525" s="62" t="s">
        <v>85</v>
      </c>
      <c r="AY525" s="62" t="s">
        <v>85</v>
      </c>
    </row>
    <row r="526" spans="1:58" s="1" customFormat="1" ht="16.5" x14ac:dyDescent="0.3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  <c r="AK526" s="92"/>
      <c r="AL526" s="92"/>
      <c r="AM526" s="92"/>
      <c r="AN526" s="92"/>
      <c r="AO526" s="92"/>
      <c r="AP526" s="92"/>
      <c r="AQ526" s="92"/>
      <c r="AR526" s="92"/>
      <c r="AS526" s="92"/>
      <c r="AT526" s="92"/>
      <c r="AU526" s="92"/>
      <c r="AV526" s="92"/>
      <c r="AX526" s="62" t="s">
        <v>85</v>
      </c>
      <c r="AY526" s="62" t="s">
        <v>85</v>
      </c>
    </row>
    <row r="527" spans="1:58" s="1" customFormat="1" ht="16.5" x14ac:dyDescent="0.3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  <c r="AK527" s="92"/>
      <c r="AL527" s="92"/>
      <c r="AM527" s="92"/>
      <c r="AN527" s="92"/>
      <c r="AO527" s="92"/>
      <c r="AP527" s="92"/>
      <c r="AQ527" s="92"/>
      <c r="AR527" s="92"/>
      <c r="AS527" s="92"/>
      <c r="AT527" s="92"/>
      <c r="AU527" s="92"/>
      <c r="AV527" s="92"/>
      <c r="AX527" s="62" t="s">
        <v>85</v>
      </c>
      <c r="AY527" s="62" t="s">
        <v>85</v>
      </c>
    </row>
    <row r="528" spans="1:58" s="1" customFormat="1" ht="16.5" x14ac:dyDescent="0.3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  <c r="AK528" s="92"/>
      <c r="AL528" s="92"/>
      <c r="AM528" s="92"/>
      <c r="AN528" s="92"/>
      <c r="AO528" s="92"/>
      <c r="AP528" s="92"/>
      <c r="AQ528" s="92"/>
      <c r="AR528" s="92"/>
      <c r="AS528" s="92"/>
      <c r="AT528" s="92"/>
      <c r="AU528" s="92"/>
      <c r="AV528" s="92"/>
      <c r="AX528" s="62" t="s">
        <v>85</v>
      </c>
      <c r="AY528" s="62" t="s">
        <v>85</v>
      </c>
      <c r="AZ528" s="62"/>
      <c r="BA528" s="113" t="s">
        <v>48</v>
      </c>
      <c r="BB528" s="114">
        <v>0</v>
      </c>
      <c r="BC528" s="114">
        <v>0</v>
      </c>
      <c r="BD528" s="114">
        <v>0</v>
      </c>
      <c r="BE528" s="114">
        <v>0</v>
      </c>
      <c r="BF528" s="114">
        <v>0</v>
      </c>
    </row>
    <row r="529" spans="1:58" s="1" customFormat="1" ht="16.5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  <c r="AK529" s="92"/>
      <c r="AL529" s="92"/>
      <c r="AM529" s="92"/>
      <c r="AN529" s="92"/>
      <c r="AO529" s="92"/>
      <c r="AP529" s="92"/>
      <c r="AQ529" s="92"/>
      <c r="AR529" s="92"/>
      <c r="AS529" s="92"/>
      <c r="AT529" s="92"/>
      <c r="AU529" s="92"/>
      <c r="AV529" s="92"/>
      <c r="AX529" s="62" t="s">
        <v>85</v>
      </c>
      <c r="AY529" s="62" t="s">
        <v>85</v>
      </c>
      <c r="AZ529" s="62"/>
      <c r="BA529" s="113" t="s">
        <v>49</v>
      </c>
      <c r="BB529" s="114">
        <v>0</v>
      </c>
      <c r="BC529" s="114">
        <v>0</v>
      </c>
      <c r="BD529" s="114">
        <v>0</v>
      </c>
      <c r="BE529" s="114">
        <v>0</v>
      </c>
      <c r="BF529" s="114">
        <v>0</v>
      </c>
    </row>
    <row r="530" spans="1:58" s="1" customFormat="1" ht="16.5" x14ac:dyDescent="0.3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  <c r="AK530" s="92"/>
      <c r="AL530" s="92"/>
      <c r="AM530" s="92"/>
      <c r="AN530" s="92"/>
      <c r="AO530" s="92"/>
      <c r="AP530" s="92"/>
      <c r="AQ530" s="92"/>
      <c r="AR530" s="92"/>
      <c r="AS530" s="92"/>
      <c r="AT530" s="92"/>
      <c r="AU530" s="92"/>
      <c r="AV530" s="92"/>
      <c r="AX530" s="62" t="s">
        <v>85</v>
      </c>
      <c r="AY530" s="62" t="s">
        <v>85</v>
      </c>
      <c r="AZ530" s="62"/>
      <c r="BA530" s="113" t="s">
        <v>52</v>
      </c>
      <c r="BB530" s="114">
        <v>0</v>
      </c>
      <c r="BC530" s="114">
        <v>0</v>
      </c>
      <c r="BD530" s="114">
        <v>0</v>
      </c>
      <c r="BE530" s="114">
        <v>0</v>
      </c>
      <c r="BF530" s="114">
        <v>0</v>
      </c>
    </row>
    <row r="531" spans="1:58" s="1" customFormat="1" ht="16.5" x14ac:dyDescent="0.3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  <c r="AK531" s="92"/>
      <c r="AL531" s="92"/>
      <c r="AM531" s="92"/>
      <c r="AN531" s="92"/>
      <c r="AO531" s="92"/>
      <c r="AP531" s="92"/>
      <c r="AQ531" s="92"/>
      <c r="AR531" s="92"/>
      <c r="AS531" s="92"/>
      <c r="AT531" s="92"/>
      <c r="AU531" s="92"/>
      <c r="AV531" s="92"/>
      <c r="AX531" s="62" t="s">
        <v>85</v>
      </c>
      <c r="AY531" s="62" t="s">
        <v>85</v>
      </c>
      <c r="AZ531" s="62"/>
      <c r="BA531" s="3"/>
    </row>
    <row r="532" spans="1:58" s="1" customFormat="1" ht="16.5" x14ac:dyDescent="0.3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  <c r="AK532" s="92"/>
      <c r="AL532" s="92"/>
      <c r="AM532" s="92"/>
      <c r="AN532" s="92"/>
      <c r="AO532" s="92"/>
      <c r="AP532" s="92"/>
      <c r="AQ532" s="92"/>
      <c r="AR532" s="92"/>
      <c r="AS532" s="92"/>
      <c r="AT532" s="92"/>
      <c r="AU532" s="92"/>
      <c r="AV532" s="92"/>
      <c r="AX532" s="62" t="s">
        <v>85</v>
      </c>
      <c r="AY532" s="62" t="s">
        <v>85</v>
      </c>
      <c r="AZ532" s="62"/>
      <c r="BA532" s="113"/>
      <c r="BB532" s="113" t="s">
        <v>55</v>
      </c>
      <c r="BC532" s="113" t="s">
        <v>53</v>
      </c>
      <c r="BD532" s="113" t="s">
        <v>54</v>
      </c>
      <c r="BE532" s="113" t="s">
        <v>51</v>
      </c>
      <c r="BF532" s="113" t="s">
        <v>52</v>
      </c>
    </row>
    <row r="533" spans="1:58" s="1" customFormat="1" ht="16.5" x14ac:dyDescent="0.3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  <c r="AK533" s="92"/>
      <c r="AL533" s="92"/>
      <c r="AM533" s="92"/>
      <c r="AN533" s="92"/>
      <c r="AO533" s="92"/>
      <c r="AP533" s="92"/>
      <c r="AQ533" s="92"/>
      <c r="AR533" s="92"/>
      <c r="AS533" s="92"/>
      <c r="AT533" s="92"/>
      <c r="AU533" s="92"/>
      <c r="AV533" s="92"/>
      <c r="AX533" s="62" t="s">
        <v>85</v>
      </c>
      <c r="AY533" s="62" t="s">
        <v>85</v>
      </c>
      <c r="BA533" s="113" t="s">
        <v>48</v>
      </c>
      <c r="BB533" s="117" t="e">
        <v>#DIV/0!</v>
      </c>
      <c r="BC533" s="117" t="e">
        <v>#DIV/0!</v>
      </c>
      <c r="BD533" s="117" t="e">
        <v>#DIV/0!</v>
      </c>
      <c r="BE533" s="117" t="e">
        <v>#DIV/0!</v>
      </c>
      <c r="BF533" s="117" t="e">
        <v>#DIV/0!</v>
      </c>
    </row>
    <row r="534" spans="1:58" s="1" customFormat="1" ht="16.5" x14ac:dyDescent="0.3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92"/>
      <c r="AP534" s="92"/>
      <c r="AQ534" s="92"/>
      <c r="AR534" s="92"/>
      <c r="AS534" s="92"/>
      <c r="AT534" s="92"/>
      <c r="AU534" s="92"/>
      <c r="AV534" s="92"/>
      <c r="AX534" s="62" t="s">
        <v>85</v>
      </c>
      <c r="AY534" s="62" t="s">
        <v>85</v>
      </c>
      <c r="BA534" s="113" t="s">
        <v>49</v>
      </c>
      <c r="BB534" s="117" t="e">
        <v>#DIV/0!</v>
      </c>
      <c r="BC534" s="117" t="e">
        <v>#DIV/0!</v>
      </c>
      <c r="BD534" s="117" t="e">
        <v>#DIV/0!</v>
      </c>
      <c r="BE534" s="117" t="e">
        <v>#DIV/0!</v>
      </c>
      <c r="BF534" s="117" t="e">
        <v>#DIV/0!</v>
      </c>
    </row>
    <row r="535" spans="1:58" s="1" customFormat="1" ht="16.5" x14ac:dyDescent="0.3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X535" s="62" t="s">
        <v>85</v>
      </c>
      <c r="AY535" s="62" t="s">
        <v>85</v>
      </c>
      <c r="BA535" s="113" t="s">
        <v>52</v>
      </c>
      <c r="BB535" s="117" t="e">
        <v>#DIV/0!</v>
      </c>
      <c r="BC535" s="117" t="e">
        <v>#DIV/0!</v>
      </c>
      <c r="BD535" s="117" t="e">
        <v>#DIV/0!</v>
      </c>
      <c r="BE535" s="117" t="e">
        <v>#DIV/0!</v>
      </c>
      <c r="BF535" s="117" t="e">
        <v>#DIV/0!</v>
      </c>
    </row>
    <row r="536" spans="1:58" s="1" customFormat="1" ht="16.5" x14ac:dyDescent="0.3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  <c r="AK536" s="92"/>
      <c r="AL536" s="92"/>
      <c r="AM536" s="92"/>
      <c r="AN536" s="92"/>
      <c r="AO536" s="92"/>
      <c r="AP536" s="92"/>
      <c r="AQ536" s="92"/>
      <c r="AR536" s="92"/>
      <c r="AS536" s="92"/>
      <c r="AT536" s="92"/>
      <c r="AU536" s="92"/>
      <c r="AV536" s="92"/>
      <c r="AX536" s="62" t="s">
        <v>85</v>
      </c>
      <c r="AY536" s="62" t="s">
        <v>85</v>
      </c>
    </row>
    <row r="537" spans="1:58" s="1" customFormat="1" ht="16.5" x14ac:dyDescent="0.3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  <c r="AK537" s="92"/>
      <c r="AL537" s="92"/>
      <c r="AM537" s="92"/>
      <c r="AN537" s="92"/>
      <c r="AO537" s="92"/>
      <c r="AP537" s="92"/>
      <c r="AQ537" s="92"/>
      <c r="AR537" s="92"/>
      <c r="AS537" s="92"/>
      <c r="AT537" s="92"/>
      <c r="AU537" s="92"/>
      <c r="AV537" s="92"/>
      <c r="AX537" s="62" t="s">
        <v>85</v>
      </c>
      <c r="AY537" s="62" t="s">
        <v>85</v>
      </c>
    </row>
    <row r="538" spans="1:58" s="1" customFormat="1" ht="16.5" x14ac:dyDescent="0.3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  <c r="AK538" s="92"/>
      <c r="AL538" s="92"/>
      <c r="AM538" s="92"/>
      <c r="AN538" s="92"/>
      <c r="AO538" s="92"/>
      <c r="AP538" s="92"/>
      <c r="AQ538" s="92"/>
      <c r="AR538" s="92"/>
      <c r="AS538" s="92"/>
      <c r="AT538" s="92"/>
      <c r="AU538" s="92"/>
      <c r="AV538" s="92"/>
      <c r="AX538" s="62" t="s">
        <v>85</v>
      </c>
      <c r="AY538" s="62" t="s">
        <v>85</v>
      </c>
    </row>
    <row r="539" spans="1:58" s="1" customFormat="1" ht="16.5" x14ac:dyDescent="0.3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  <c r="AK539" s="92"/>
      <c r="AL539" s="92"/>
      <c r="AM539" s="92"/>
      <c r="AN539" s="92"/>
      <c r="AO539" s="92"/>
      <c r="AP539" s="92"/>
      <c r="AQ539" s="92"/>
      <c r="AR539" s="92"/>
      <c r="AS539" s="92"/>
      <c r="AT539" s="92"/>
      <c r="AU539" s="92"/>
      <c r="AV539" s="92"/>
      <c r="AX539" s="62" t="s">
        <v>85</v>
      </c>
      <c r="AY539" s="62" t="s">
        <v>85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1" priority="69562" operator="lessThan">
      <formula>15.1</formula>
    </cfRule>
    <cfRule type="cellIs" dxfId="30" priority="69563" operator="lessThan">
      <formula>18.1</formula>
    </cfRule>
    <cfRule type="cellIs" dxfId="29" priority="69564" operator="lessThan">
      <formula>21.1</formula>
    </cfRule>
    <cfRule type="cellIs" dxfId="28" priority="69565" operator="lessThan">
      <formula>24.1</formula>
    </cfRule>
    <cfRule type="cellIs" dxfId="27" priority="69566" operator="lessThan">
      <formula>30</formula>
    </cfRule>
    <cfRule type="cellIs" dxfId="26" priority="69567" operator="lessThan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5" priority="69559" operator="greaterThan">
      <formula>0.9</formula>
    </cfRule>
    <cfRule type="cellIs" dxfId="24" priority="69560" operator="greaterThan">
      <formula>0.85</formula>
    </cfRule>
  </conditionalFormatting>
  <conditionalFormatting sqref="N2">
    <cfRule type="cellIs" dxfId="23" priority="69557" operator="greaterThan">
      <formula>0.9</formula>
    </cfRule>
    <cfRule type="cellIs" dxfId="22" priority="69558" operator="greaterThan">
      <formula>0.85</formula>
    </cfRule>
  </conditionalFormatting>
  <conditionalFormatting sqref="Z2">
    <cfRule type="colorScale" priority="69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9" bestFit="1" customWidth="1"/>
    <col min="2" max="2" width="5.625" style="119" bestFit="1" customWidth="1"/>
    <col min="3" max="3" width="6.625" style="119" bestFit="1" customWidth="1"/>
    <col min="4" max="4" width="5.625" style="119" bestFit="1" customWidth="1"/>
    <col min="5" max="5" width="4.625" style="119" bestFit="1" customWidth="1"/>
    <col min="6" max="6" width="5.625" style="119" bestFit="1" customWidth="1"/>
    <col min="7" max="7" width="4.625" style="119" bestFit="1" customWidth="1"/>
    <col min="8" max="8" width="6.625" style="119" bestFit="1" customWidth="1"/>
    <col min="9" max="9" width="7.75" style="119" bestFit="1" customWidth="1"/>
    <col min="10" max="10" width="4" style="119" bestFit="1" customWidth="1"/>
    <col min="11" max="11" width="6.875" style="119" bestFit="1" customWidth="1"/>
    <col min="12" max="12" width="4" style="119" bestFit="1" customWidth="1"/>
    <col min="13" max="13" width="6.875" style="119" bestFit="1" customWidth="1"/>
    <col min="14" max="14" width="4.625" style="119" bestFit="1" customWidth="1"/>
    <col min="15" max="16" width="7.625" style="119" bestFit="1" customWidth="1"/>
    <col min="17" max="19" width="3.25" style="119" bestFit="1" customWidth="1"/>
    <col min="20" max="20" width="10.125" style="119" customWidth="1"/>
    <col min="21" max="21" width="25" style="119" customWidth="1"/>
    <col min="22" max="22" width="9" style="119"/>
    <col min="23" max="16384" width="9" style="42"/>
  </cols>
  <sheetData>
    <row r="1" spans="1:22" ht="17.25" x14ac:dyDescent="0.3">
      <c r="A1" s="41" t="str">
        <f>단지추출!A1</f>
        <v>인천광역시 연수구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86</v>
      </c>
      <c r="M1"/>
      <c r="N1" s="122" t="s">
        <v>57</v>
      </c>
      <c r="O1" s="122"/>
      <c r="P1" s="64">
        <v>30</v>
      </c>
      <c r="Q1" s="123" t="s">
        <v>58</v>
      </c>
      <c r="R1" s="123"/>
      <c r="S1" s="123"/>
      <c r="T1" s="45"/>
      <c r="U1" s="42"/>
      <c r="V1" s="42"/>
    </row>
    <row r="2" spans="1:22" ht="12" x14ac:dyDescent="0.3">
      <c r="A2" s="110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10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10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101" t="s">
        <v>9</v>
      </c>
      <c r="V3" s="42"/>
    </row>
    <row r="4" spans="1:22" s="1" customFormat="1" ht="16.5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1:22" s="1" customFormat="1" ht="16.5" x14ac:dyDescent="0.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1:22" s="1" customFormat="1" ht="16.5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1:22" s="1" customFormat="1" ht="16.5" x14ac:dyDescent="0.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1:22" s="1" customFormat="1" ht="16.5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1:22" s="1" customFormat="1" ht="16.5" x14ac:dyDescent="0.3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1:22" s="1" customFormat="1" ht="16.5" x14ac:dyDescent="0.3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1:22" s="1" customFormat="1" ht="16.5" x14ac:dyDescent="0.3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1:22" s="1" customFormat="1" ht="16.5" x14ac:dyDescent="0.3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1:22" s="1" customFormat="1" ht="16.5" x14ac:dyDescent="0.3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1:22" s="1" customFormat="1" ht="16.5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 s="1" customFormat="1" ht="16.5" x14ac:dyDescent="0.3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1:22" s="1" customFormat="1" ht="16.5" x14ac:dyDescent="0.3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1:22" s="1" customFormat="1" ht="16.5" x14ac:dyDescent="0.3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1:22" s="1" customFormat="1" ht="16.5" x14ac:dyDescent="0.3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1:22" s="1" customFormat="1" ht="16.5" x14ac:dyDescent="0.3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1:22" s="1" customFormat="1" ht="16.5" x14ac:dyDescent="0.3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1:22" s="1" customFormat="1" ht="16.5" x14ac:dyDescent="0.3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1:22" s="1" customFormat="1" ht="16.5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</row>
    <row r="23" spans="1:22" s="1" customFormat="1" ht="16.5" x14ac:dyDescent="0.3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</row>
    <row r="24" spans="1:22" s="1" customFormat="1" ht="16.5" x14ac:dyDescent="0.3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</row>
    <row r="25" spans="1:22" s="1" customFormat="1" ht="16.5" x14ac:dyDescent="0.3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</row>
    <row r="26" spans="1:22" s="1" customFormat="1" ht="16.5" x14ac:dyDescent="0.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</row>
    <row r="27" spans="1:22" s="1" customFormat="1" ht="16.5" x14ac:dyDescent="0.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</row>
    <row r="28" spans="1:22" s="1" customFormat="1" ht="16.5" x14ac:dyDescent="0.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1:22" s="1" customFormat="1" ht="16.5" x14ac:dyDescent="0.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</row>
    <row r="30" spans="1:22" s="1" customFormat="1" ht="16.5" x14ac:dyDescent="0.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1:22" s="1" customFormat="1" ht="16.5" x14ac:dyDescent="0.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1:22" s="1" customFormat="1" ht="16.5" x14ac:dyDescent="0.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1:22" s="1" customFormat="1" ht="16.5" x14ac:dyDescent="0.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1:22" s="1" customFormat="1" ht="16.5" x14ac:dyDescent="0.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1:22" s="1" customFormat="1" ht="16.5" x14ac:dyDescent="0.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1:22" s="1" customFormat="1" ht="16.5" x14ac:dyDescent="0.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1:22" s="1" customFormat="1" ht="16.5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1:22" s="1" customFormat="1" ht="16.5" x14ac:dyDescent="0.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1:22" s="1" customFormat="1" ht="16.5" x14ac:dyDescent="0.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1:22" s="1" customFormat="1" ht="16.5" x14ac:dyDescent="0.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1:22" s="1" customFormat="1" ht="16.5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1:22" s="1" customFormat="1" ht="16.5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1:22" s="1" customFormat="1" ht="16.5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1:22" s="1" customFormat="1" ht="16.5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1:22" s="1" customFormat="1" ht="16.5" x14ac:dyDescent="0.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1:22" s="1" customFormat="1" ht="16.5" x14ac:dyDescent="0.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1:22" s="1" customFormat="1" ht="16.5" x14ac:dyDescent="0.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</row>
    <row r="48" spans="1:22" s="1" customFormat="1" ht="16.5" x14ac:dyDescent="0.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</row>
    <row r="49" spans="1:22" s="1" customFormat="1" ht="16.5" x14ac:dyDescent="0.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</row>
    <row r="50" spans="1:22" s="1" customFormat="1" ht="16.5" x14ac:dyDescent="0.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</row>
    <row r="51" spans="1:22" s="1" customFormat="1" ht="16.5" x14ac:dyDescent="0.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</row>
    <row r="52" spans="1:22" s="1" customFormat="1" ht="16.5" x14ac:dyDescent="0.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</row>
    <row r="53" spans="1:22" s="1" customFormat="1" ht="16.5" x14ac:dyDescent="0.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</row>
    <row r="54" spans="1:22" s="1" customFormat="1" ht="16.5" x14ac:dyDescent="0.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</row>
    <row r="55" spans="1:22" s="1" customFormat="1" ht="16.5" x14ac:dyDescent="0.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</row>
    <row r="56" spans="1:22" s="1" customFormat="1" ht="16.5" x14ac:dyDescent="0.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</row>
    <row r="57" spans="1:22" s="1" customFormat="1" ht="16.5" x14ac:dyDescent="0.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</row>
    <row r="58" spans="1:22" s="1" customFormat="1" ht="16.5" x14ac:dyDescent="0.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</row>
    <row r="59" spans="1:22" s="1" customFormat="1" ht="16.5" x14ac:dyDescent="0.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</row>
    <row r="60" spans="1:22" s="1" customFormat="1" ht="16.5" x14ac:dyDescent="0.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</row>
    <row r="61" spans="1:22" s="1" customFormat="1" ht="16.5" x14ac:dyDescent="0.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</row>
    <row r="62" spans="1:22" s="1" customFormat="1" ht="16.5" x14ac:dyDescent="0.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</row>
    <row r="63" spans="1:22" s="1" customFormat="1" ht="16.5" x14ac:dyDescent="0.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</row>
    <row r="64" spans="1:22" s="1" customFormat="1" ht="16.5" x14ac:dyDescent="0.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</row>
    <row r="65" spans="1:22" s="1" customFormat="1" ht="16.5" x14ac:dyDescent="0.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</row>
    <row r="66" spans="1:22" s="1" customFormat="1" ht="16.5" x14ac:dyDescent="0.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</row>
    <row r="67" spans="1:22" s="1" customFormat="1" ht="16.5" x14ac:dyDescent="0.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</row>
    <row r="68" spans="1:22" s="1" customFormat="1" ht="16.5" x14ac:dyDescent="0.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</row>
    <row r="69" spans="1:22" s="1" customFormat="1" ht="16.5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1:22" s="1" customFormat="1" ht="16.5" x14ac:dyDescent="0.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</row>
    <row r="71" spans="1:22" s="1" customFormat="1" ht="16.5" x14ac:dyDescent="0.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</row>
    <row r="72" spans="1:22" s="1" customFormat="1" ht="16.5" x14ac:dyDescent="0.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</row>
    <row r="73" spans="1:22" s="1" customFormat="1" ht="16.5" x14ac:dyDescent="0.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</row>
    <row r="74" spans="1:22" s="1" customFormat="1" ht="16.5" x14ac:dyDescent="0.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</row>
    <row r="75" spans="1:22" s="1" customFormat="1" ht="16.5" x14ac:dyDescent="0.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</row>
    <row r="76" spans="1:22" s="1" customFormat="1" ht="16.5" x14ac:dyDescent="0.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</row>
    <row r="77" spans="1:22" s="1" customFormat="1" ht="16.5" x14ac:dyDescent="0.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</row>
    <row r="78" spans="1:22" s="1" customFormat="1" ht="16.5" x14ac:dyDescent="0.3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</row>
    <row r="79" spans="1:22" s="1" customFormat="1" ht="16.5" x14ac:dyDescent="0.3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</row>
    <row r="80" spans="1:22" s="1" customFormat="1" ht="16.5" x14ac:dyDescent="0.3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</row>
    <row r="81" spans="1:22" s="1" customFormat="1" ht="16.5" x14ac:dyDescent="0.3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</row>
    <row r="82" spans="1:22" s="1" customFormat="1" ht="16.5" x14ac:dyDescent="0.3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</row>
    <row r="83" spans="1:22" s="1" customFormat="1" ht="16.5" x14ac:dyDescent="0.3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</row>
    <row r="84" spans="1:22" s="1" customFormat="1" ht="16.5" x14ac:dyDescent="0.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</row>
    <row r="85" spans="1:22" s="1" customFormat="1" ht="16.5" x14ac:dyDescent="0.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</row>
    <row r="86" spans="1:22" s="1" customFormat="1" ht="16.5" x14ac:dyDescent="0.3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</row>
    <row r="87" spans="1:22" s="1" customFormat="1" ht="16.5" x14ac:dyDescent="0.3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</row>
    <row r="88" spans="1:22" s="1" customFormat="1" ht="16.5" x14ac:dyDescent="0.3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</row>
    <row r="89" spans="1:22" s="1" customFormat="1" ht="16.5" x14ac:dyDescent="0.3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</row>
    <row r="90" spans="1:22" s="1" customFormat="1" ht="16.5" x14ac:dyDescent="0.3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</row>
    <row r="91" spans="1:22" s="1" customFormat="1" ht="16.5" x14ac:dyDescent="0.3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</row>
    <row r="92" spans="1:22" s="1" customFormat="1" ht="16.5" x14ac:dyDescent="0.3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</row>
    <row r="93" spans="1:22" s="1" customFormat="1" ht="16.5" x14ac:dyDescent="0.3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</row>
    <row r="94" spans="1:22" s="1" customFormat="1" ht="16.5" x14ac:dyDescent="0.3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</row>
    <row r="95" spans="1:22" s="1" customFormat="1" ht="16.5" x14ac:dyDescent="0.3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</row>
    <row r="96" spans="1:22" s="1" customFormat="1" ht="16.5" x14ac:dyDescent="0.3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</row>
    <row r="97" spans="1:22" s="1" customFormat="1" ht="16.5" x14ac:dyDescent="0.3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</row>
    <row r="98" spans="1:22" s="1" customFormat="1" ht="16.5" x14ac:dyDescent="0.3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</row>
    <row r="99" spans="1:22" s="1" customFormat="1" ht="16.5" x14ac:dyDescent="0.3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</row>
    <row r="100" spans="1:22" s="1" customFormat="1" ht="16.5" x14ac:dyDescent="0.3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</row>
    <row r="101" spans="1:22" s="1" customFormat="1" ht="16.5" x14ac:dyDescent="0.3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</row>
    <row r="102" spans="1:22" s="1" customFormat="1" ht="16.5" x14ac:dyDescent="0.3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</row>
    <row r="103" spans="1:22" s="1" customFormat="1" ht="16.5" x14ac:dyDescent="0.3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</row>
    <row r="104" spans="1:22" s="1" customFormat="1" ht="16.5" x14ac:dyDescent="0.3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</row>
    <row r="105" spans="1:22" s="1" customFormat="1" ht="16.5" x14ac:dyDescent="0.3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</row>
    <row r="106" spans="1:22" s="1" customFormat="1" ht="16.5" x14ac:dyDescent="0.3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</row>
    <row r="107" spans="1:22" s="1" customFormat="1" ht="16.5" x14ac:dyDescent="0.3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</row>
    <row r="108" spans="1:22" s="1" customFormat="1" ht="16.5" x14ac:dyDescent="0.3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</row>
    <row r="109" spans="1:22" s="1" customFormat="1" ht="16.5" x14ac:dyDescent="0.3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</row>
    <row r="110" spans="1:22" s="1" customFormat="1" ht="16.5" x14ac:dyDescent="0.3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</row>
    <row r="111" spans="1:22" s="1" customFormat="1" ht="16.5" x14ac:dyDescent="0.3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</row>
    <row r="112" spans="1:22" s="1" customFormat="1" ht="16.5" x14ac:dyDescent="0.3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</row>
    <row r="113" spans="1:22" s="1" customFormat="1" ht="16.5" x14ac:dyDescent="0.3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</row>
    <row r="114" spans="1:22" s="1" customFormat="1" ht="16.5" x14ac:dyDescent="0.3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</row>
    <row r="115" spans="1:22" s="1" customFormat="1" ht="16.5" x14ac:dyDescent="0.3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</row>
    <row r="116" spans="1:22" s="1" customFormat="1" ht="16.5" x14ac:dyDescent="0.3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</row>
    <row r="117" spans="1:22" s="1" customFormat="1" ht="16.5" x14ac:dyDescent="0.3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</row>
    <row r="118" spans="1:22" s="1" customFormat="1" ht="16.5" x14ac:dyDescent="0.3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</row>
    <row r="119" spans="1:22" s="1" customFormat="1" ht="16.5" x14ac:dyDescent="0.3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</row>
    <row r="120" spans="1:22" s="1" customFormat="1" ht="16.5" x14ac:dyDescent="0.3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</row>
    <row r="121" spans="1:22" s="1" customFormat="1" ht="16.5" x14ac:dyDescent="0.3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</row>
    <row r="122" spans="1:22" s="1" customFormat="1" ht="16.5" x14ac:dyDescent="0.3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</row>
    <row r="123" spans="1:22" s="1" customFormat="1" ht="16.5" x14ac:dyDescent="0.3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</row>
    <row r="124" spans="1:22" s="1" customFormat="1" ht="16.5" x14ac:dyDescent="0.3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</row>
    <row r="125" spans="1:22" s="1" customFormat="1" ht="16.5" x14ac:dyDescent="0.3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</row>
    <row r="126" spans="1:22" s="1" customFormat="1" ht="16.5" x14ac:dyDescent="0.3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</row>
    <row r="127" spans="1:22" s="1" customFormat="1" ht="16.5" x14ac:dyDescent="0.3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</row>
    <row r="128" spans="1:22" s="1" customFormat="1" ht="16.5" x14ac:dyDescent="0.3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</row>
    <row r="129" spans="1:22" s="1" customFormat="1" ht="16.5" x14ac:dyDescent="0.3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</row>
    <row r="130" spans="1:22" s="1" customFormat="1" ht="16.5" x14ac:dyDescent="0.3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</row>
    <row r="131" spans="1:22" s="1" customFormat="1" ht="16.5" x14ac:dyDescent="0.3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</row>
    <row r="132" spans="1:22" s="1" customFormat="1" ht="16.5" x14ac:dyDescent="0.3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</row>
    <row r="133" spans="1:22" s="1" customFormat="1" ht="16.5" x14ac:dyDescent="0.3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</row>
    <row r="134" spans="1:22" s="1" customFormat="1" ht="16.5" x14ac:dyDescent="0.3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</row>
    <row r="135" spans="1:22" s="1" customFormat="1" ht="16.5" x14ac:dyDescent="0.3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</row>
    <row r="136" spans="1:22" s="1" customFormat="1" ht="16.5" x14ac:dyDescent="0.3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</row>
    <row r="137" spans="1:22" s="1" customFormat="1" ht="16.5" x14ac:dyDescent="0.3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</row>
    <row r="138" spans="1:22" s="1" customFormat="1" ht="16.5" x14ac:dyDescent="0.3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</row>
    <row r="139" spans="1:22" s="1" customFormat="1" ht="16.5" x14ac:dyDescent="0.3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</row>
    <row r="140" spans="1:22" s="1" customFormat="1" ht="16.5" x14ac:dyDescent="0.3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</row>
    <row r="141" spans="1:22" s="1" customFormat="1" ht="16.5" x14ac:dyDescent="0.3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</row>
    <row r="142" spans="1:22" s="1" customFormat="1" ht="16.5" x14ac:dyDescent="0.3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</row>
    <row r="143" spans="1:22" s="1" customFormat="1" ht="16.5" x14ac:dyDescent="0.3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</row>
    <row r="144" spans="1:22" s="1" customFormat="1" ht="16.5" x14ac:dyDescent="0.3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</row>
    <row r="145" spans="1:22" s="1" customFormat="1" ht="16.5" x14ac:dyDescent="0.3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</row>
    <row r="146" spans="1:22" s="1" customFormat="1" ht="16.5" x14ac:dyDescent="0.3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</row>
    <row r="147" spans="1:22" s="1" customFormat="1" ht="16.5" x14ac:dyDescent="0.3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</row>
    <row r="148" spans="1:22" s="1" customFormat="1" ht="16.5" x14ac:dyDescent="0.3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</row>
    <row r="149" spans="1:22" s="1" customFormat="1" ht="16.5" x14ac:dyDescent="0.3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</row>
    <row r="150" spans="1:22" s="1" customFormat="1" ht="16.5" x14ac:dyDescent="0.3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</row>
    <row r="151" spans="1:22" s="1" customFormat="1" ht="16.5" x14ac:dyDescent="0.3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</row>
    <row r="152" spans="1:22" s="1" customFormat="1" ht="16.5" x14ac:dyDescent="0.3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</row>
    <row r="153" spans="1:22" s="1" customFormat="1" ht="16.5" x14ac:dyDescent="0.3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</row>
    <row r="154" spans="1:22" s="1" customFormat="1" ht="16.5" x14ac:dyDescent="0.3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</row>
    <row r="155" spans="1:22" s="1" customFormat="1" ht="16.5" x14ac:dyDescent="0.3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</row>
    <row r="156" spans="1:22" s="1" customFormat="1" ht="16.5" x14ac:dyDescent="0.3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</row>
    <row r="157" spans="1:22" s="1" customFormat="1" ht="16.5" x14ac:dyDescent="0.3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</row>
    <row r="158" spans="1:22" s="1" customFormat="1" ht="16.5" x14ac:dyDescent="0.3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</row>
    <row r="159" spans="1:22" s="1" customFormat="1" ht="16.5" x14ac:dyDescent="0.3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</row>
    <row r="160" spans="1:22" s="1" customFormat="1" ht="16.5" x14ac:dyDescent="0.3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</row>
    <row r="161" spans="1:22" s="1" customFormat="1" ht="16.5" x14ac:dyDescent="0.3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</row>
    <row r="162" spans="1:22" s="1" customFormat="1" ht="16.5" x14ac:dyDescent="0.3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</row>
    <row r="163" spans="1:22" s="1" customFormat="1" ht="16.5" x14ac:dyDescent="0.3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</row>
    <row r="164" spans="1:22" s="1" customFormat="1" ht="16.5" x14ac:dyDescent="0.3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</row>
    <row r="165" spans="1:22" s="1" customFormat="1" ht="16.5" x14ac:dyDescent="0.3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</row>
    <row r="166" spans="1:22" s="1" customFormat="1" ht="16.5" x14ac:dyDescent="0.3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</row>
    <row r="167" spans="1:22" s="1" customFormat="1" ht="16.5" x14ac:dyDescent="0.3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</row>
    <row r="168" spans="1:22" s="1" customFormat="1" ht="16.5" x14ac:dyDescent="0.3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</row>
    <row r="169" spans="1:22" s="1" customFormat="1" ht="16.5" x14ac:dyDescent="0.3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</row>
    <row r="170" spans="1:22" s="1" customFormat="1" ht="16.5" x14ac:dyDescent="0.3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</row>
    <row r="171" spans="1:22" s="1" customFormat="1" ht="16.5" x14ac:dyDescent="0.3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</row>
    <row r="172" spans="1:22" s="1" customFormat="1" ht="16.5" x14ac:dyDescent="0.3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</row>
    <row r="173" spans="1:22" s="1" customFormat="1" ht="16.5" x14ac:dyDescent="0.3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</row>
    <row r="174" spans="1:22" s="1" customFormat="1" ht="16.5" x14ac:dyDescent="0.3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</row>
    <row r="175" spans="1:22" s="1" customFormat="1" ht="16.5" x14ac:dyDescent="0.3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</row>
    <row r="176" spans="1:22" s="1" customFormat="1" ht="16.5" x14ac:dyDescent="0.3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</row>
    <row r="177" spans="1:22" s="1" customFormat="1" ht="16.5" x14ac:dyDescent="0.3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</row>
    <row r="178" spans="1:22" s="1" customFormat="1" ht="16.5" x14ac:dyDescent="0.3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</row>
    <row r="179" spans="1:22" s="1" customFormat="1" ht="16.5" x14ac:dyDescent="0.3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</row>
    <row r="180" spans="1:22" s="1" customFormat="1" ht="16.5" x14ac:dyDescent="0.3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</row>
    <row r="181" spans="1:22" s="1" customFormat="1" ht="16.5" x14ac:dyDescent="0.3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</row>
    <row r="182" spans="1:22" s="1" customFormat="1" ht="16.5" x14ac:dyDescent="0.3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</row>
    <row r="183" spans="1:22" s="1" customFormat="1" ht="16.5" x14ac:dyDescent="0.3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</row>
    <row r="184" spans="1:22" s="1" customFormat="1" ht="16.5" x14ac:dyDescent="0.3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</row>
    <row r="185" spans="1:22" s="1" customFormat="1" ht="16.5" x14ac:dyDescent="0.3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</row>
    <row r="186" spans="1:22" s="1" customFormat="1" ht="16.5" x14ac:dyDescent="0.3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</row>
    <row r="187" spans="1:22" s="1" customFormat="1" ht="16.5" x14ac:dyDescent="0.3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</row>
    <row r="188" spans="1:22" s="1" customFormat="1" ht="16.5" x14ac:dyDescent="0.3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</row>
    <row r="189" spans="1:22" s="1" customFormat="1" ht="16.5" x14ac:dyDescent="0.3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</row>
    <row r="190" spans="1:22" s="1" customFormat="1" ht="16.5" x14ac:dyDescent="0.3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</row>
    <row r="191" spans="1:22" s="1" customFormat="1" ht="16.5" x14ac:dyDescent="0.3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</row>
    <row r="192" spans="1:22" s="1" customFormat="1" ht="16.5" x14ac:dyDescent="0.3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</row>
    <row r="193" spans="1:22" s="1" customFormat="1" ht="16.5" x14ac:dyDescent="0.3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</row>
    <row r="194" spans="1:22" s="1" customFormat="1" ht="16.5" x14ac:dyDescent="0.3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</row>
    <row r="195" spans="1:22" s="1" customFormat="1" ht="16.5" x14ac:dyDescent="0.3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</row>
    <row r="196" spans="1:22" s="1" customFormat="1" ht="16.5" x14ac:dyDescent="0.3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</row>
    <row r="197" spans="1:22" s="1" customFormat="1" ht="16.5" x14ac:dyDescent="0.3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</row>
    <row r="198" spans="1:22" s="1" customFormat="1" ht="16.5" x14ac:dyDescent="0.3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</row>
    <row r="199" spans="1:22" s="1" customFormat="1" ht="16.5" x14ac:dyDescent="0.3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</row>
    <row r="200" spans="1:22" s="1" customFormat="1" ht="16.5" x14ac:dyDescent="0.3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</row>
    <row r="201" spans="1:22" s="1" customFormat="1" ht="16.5" x14ac:dyDescent="0.3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</row>
    <row r="202" spans="1:22" s="1" customFormat="1" ht="16.5" x14ac:dyDescent="0.3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</row>
    <row r="203" spans="1:22" s="1" customFormat="1" ht="16.5" x14ac:dyDescent="0.3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</row>
    <row r="204" spans="1:22" s="1" customFormat="1" ht="16.5" x14ac:dyDescent="0.3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</row>
    <row r="205" spans="1:22" s="1" customFormat="1" ht="16.5" x14ac:dyDescent="0.3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</row>
    <row r="206" spans="1:22" s="1" customFormat="1" ht="16.5" x14ac:dyDescent="0.3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</row>
    <row r="207" spans="1:22" s="1" customFormat="1" ht="16.5" x14ac:dyDescent="0.3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</row>
    <row r="208" spans="1:22" s="1" customFormat="1" ht="16.5" x14ac:dyDescent="0.3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</row>
    <row r="209" spans="1:22" s="1" customFormat="1" ht="16.5" x14ac:dyDescent="0.3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</row>
    <row r="210" spans="1:22" s="1" customFormat="1" ht="16.5" x14ac:dyDescent="0.3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</row>
    <row r="211" spans="1:22" s="1" customFormat="1" ht="16.5" x14ac:dyDescent="0.3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</row>
    <row r="212" spans="1:22" s="1" customFormat="1" ht="16.5" x14ac:dyDescent="0.3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</row>
    <row r="213" spans="1:22" s="1" customFormat="1" ht="16.5" x14ac:dyDescent="0.3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</row>
    <row r="214" spans="1:22" s="1" customFormat="1" ht="16.5" x14ac:dyDescent="0.3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</row>
    <row r="215" spans="1:22" s="1" customFormat="1" ht="16.5" x14ac:dyDescent="0.3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</row>
    <row r="216" spans="1:22" s="1" customFormat="1" ht="16.5" x14ac:dyDescent="0.3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</row>
    <row r="217" spans="1:22" s="1" customFormat="1" ht="16.5" x14ac:dyDescent="0.3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</row>
    <row r="218" spans="1:22" s="1" customFormat="1" ht="16.5" x14ac:dyDescent="0.3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</row>
    <row r="219" spans="1:22" s="1" customFormat="1" ht="16.5" x14ac:dyDescent="0.3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</row>
    <row r="220" spans="1:22" s="1" customFormat="1" ht="16.5" x14ac:dyDescent="0.3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</row>
    <row r="221" spans="1:22" s="1" customFormat="1" ht="16.5" x14ac:dyDescent="0.3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</row>
    <row r="222" spans="1:22" s="1" customFormat="1" ht="16.5" x14ac:dyDescent="0.3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</row>
    <row r="223" spans="1:22" s="1" customFormat="1" ht="16.5" x14ac:dyDescent="0.3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</row>
    <row r="224" spans="1:22" s="1" customFormat="1" ht="16.5" x14ac:dyDescent="0.3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</row>
    <row r="225" spans="1:22" s="1" customFormat="1" ht="16.5" x14ac:dyDescent="0.3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</row>
    <row r="226" spans="1:22" s="1" customFormat="1" ht="16.5" x14ac:dyDescent="0.3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</row>
    <row r="227" spans="1:22" s="1" customFormat="1" ht="16.5" x14ac:dyDescent="0.3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</row>
    <row r="228" spans="1:22" s="1" customFormat="1" ht="16.5" x14ac:dyDescent="0.3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</row>
    <row r="229" spans="1:22" s="1" customFormat="1" ht="16.5" x14ac:dyDescent="0.3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</row>
    <row r="230" spans="1:22" s="1" customFormat="1" ht="16.5" x14ac:dyDescent="0.3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</row>
    <row r="231" spans="1:22" s="1" customFormat="1" ht="16.5" x14ac:dyDescent="0.3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</row>
    <row r="232" spans="1:22" s="1" customFormat="1" ht="16.5" x14ac:dyDescent="0.3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</row>
    <row r="233" spans="1:22" s="1" customFormat="1" ht="16.5" x14ac:dyDescent="0.3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</row>
    <row r="234" spans="1:22" s="1" customFormat="1" ht="16.5" x14ac:dyDescent="0.3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</row>
    <row r="235" spans="1:22" s="1" customFormat="1" ht="16.5" x14ac:dyDescent="0.3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</row>
    <row r="236" spans="1:22" s="1" customFormat="1" ht="16.5" x14ac:dyDescent="0.3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</row>
    <row r="237" spans="1:22" s="1" customFormat="1" ht="16.5" x14ac:dyDescent="0.3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</row>
    <row r="238" spans="1:22" s="1" customFormat="1" ht="16.5" x14ac:dyDescent="0.3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</row>
    <row r="239" spans="1:22" s="1" customFormat="1" ht="16.5" x14ac:dyDescent="0.3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</row>
    <row r="240" spans="1:22" s="1" customFormat="1" ht="16.5" x14ac:dyDescent="0.3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</row>
    <row r="241" spans="1:22" s="1" customFormat="1" ht="16.5" x14ac:dyDescent="0.3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</row>
    <row r="242" spans="1:22" s="1" customFormat="1" ht="16.5" x14ac:dyDescent="0.3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</row>
    <row r="243" spans="1:22" s="1" customFormat="1" ht="16.5" x14ac:dyDescent="0.3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</row>
    <row r="244" spans="1:22" s="1" customFormat="1" ht="16.5" x14ac:dyDescent="0.3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</row>
    <row r="245" spans="1:22" s="1" customFormat="1" ht="16.5" x14ac:dyDescent="0.3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</row>
    <row r="246" spans="1:22" s="1" customFormat="1" ht="16.5" x14ac:dyDescent="0.3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</row>
    <row r="247" spans="1:22" s="1" customFormat="1" ht="16.5" x14ac:dyDescent="0.3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</row>
    <row r="248" spans="1:22" s="1" customFormat="1" ht="16.5" x14ac:dyDescent="0.3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</row>
    <row r="249" spans="1:22" s="1" customFormat="1" ht="16.5" x14ac:dyDescent="0.3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</row>
    <row r="250" spans="1:22" s="1" customFormat="1" ht="16.5" x14ac:dyDescent="0.3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</row>
    <row r="251" spans="1:22" s="1" customFormat="1" ht="16.5" x14ac:dyDescent="0.3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</row>
    <row r="252" spans="1:22" s="1" customFormat="1" ht="16.5" x14ac:dyDescent="0.3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</row>
    <row r="253" spans="1:22" s="1" customFormat="1" ht="16.5" x14ac:dyDescent="0.3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</row>
    <row r="254" spans="1:22" s="1" customFormat="1" ht="16.5" x14ac:dyDescent="0.3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</row>
    <row r="255" spans="1:22" s="1" customFormat="1" ht="16.5" x14ac:dyDescent="0.3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</row>
    <row r="256" spans="1:22" s="1" customFormat="1" ht="16.5" x14ac:dyDescent="0.3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</row>
    <row r="257" spans="1:22" s="1" customFormat="1" ht="16.5" x14ac:dyDescent="0.3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</row>
    <row r="258" spans="1:22" s="1" customFormat="1" ht="16.5" x14ac:dyDescent="0.3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</row>
    <row r="259" spans="1:22" s="1" customFormat="1" ht="16.5" x14ac:dyDescent="0.3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</row>
    <row r="260" spans="1:22" s="1" customFormat="1" ht="16.5" x14ac:dyDescent="0.3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</row>
    <row r="261" spans="1:22" s="1" customFormat="1" ht="16.5" x14ac:dyDescent="0.3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</row>
    <row r="262" spans="1:22" s="1" customFormat="1" ht="16.5" x14ac:dyDescent="0.3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</row>
    <row r="263" spans="1:22" s="1" customFormat="1" ht="16.5" x14ac:dyDescent="0.3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</row>
    <row r="264" spans="1:22" s="1" customFormat="1" ht="16.5" x14ac:dyDescent="0.3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</row>
    <row r="265" spans="1:22" s="1" customFormat="1" ht="16.5" x14ac:dyDescent="0.3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</row>
    <row r="266" spans="1:22" s="1" customFormat="1" ht="16.5" x14ac:dyDescent="0.3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</row>
    <row r="267" spans="1:22" s="1" customFormat="1" ht="16.5" x14ac:dyDescent="0.3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</row>
    <row r="268" spans="1:22" s="1" customFormat="1" ht="16.5" x14ac:dyDescent="0.3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</row>
    <row r="269" spans="1:22" s="1" customFormat="1" ht="16.5" x14ac:dyDescent="0.3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</row>
    <row r="270" spans="1:22" s="1" customFormat="1" ht="16.5" x14ac:dyDescent="0.3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</row>
    <row r="271" spans="1:22" s="1" customFormat="1" ht="16.5" x14ac:dyDescent="0.3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</row>
    <row r="272" spans="1:22" s="1" customFormat="1" ht="16.5" x14ac:dyDescent="0.3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</row>
    <row r="273" spans="1:22" s="1" customFormat="1" ht="16.5" x14ac:dyDescent="0.3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</row>
    <row r="274" spans="1:22" s="1" customFormat="1" ht="16.5" x14ac:dyDescent="0.3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</row>
    <row r="275" spans="1:22" s="1" customFormat="1" ht="16.5" x14ac:dyDescent="0.3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</row>
    <row r="276" spans="1:22" s="1" customFormat="1" ht="16.5" x14ac:dyDescent="0.3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</row>
    <row r="277" spans="1:22" s="1" customFormat="1" ht="16.5" x14ac:dyDescent="0.3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</row>
    <row r="278" spans="1:22" s="1" customFormat="1" ht="16.5" x14ac:dyDescent="0.3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</row>
    <row r="279" spans="1:22" s="1" customFormat="1" ht="16.5" x14ac:dyDescent="0.3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</row>
    <row r="280" spans="1:22" s="1" customFormat="1" ht="16.5" x14ac:dyDescent="0.3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</row>
    <row r="281" spans="1:22" s="1" customFormat="1" ht="16.5" x14ac:dyDescent="0.3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</row>
    <row r="282" spans="1:22" s="1" customFormat="1" ht="16.5" x14ac:dyDescent="0.3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</row>
    <row r="283" spans="1:22" s="1" customFormat="1" ht="16.5" x14ac:dyDescent="0.3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</row>
    <row r="284" spans="1:22" s="1" customFormat="1" ht="16.5" x14ac:dyDescent="0.3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</row>
    <row r="285" spans="1:22" s="1" customFormat="1" ht="16.5" x14ac:dyDescent="0.3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</row>
    <row r="286" spans="1:22" s="1" customFormat="1" ht="16.5" x14ac:dyDescent="0.3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</row>
    <row r="287" spans="1:22" s="1" customFormat="1" ht="16.5" x14ac:dyDescent="0.3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</row>
    <row r="288" spans="1:22" s="1" customFormat="1" ht="16.5" x14ac:dyDescent="0.3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</row>
    <row r="289" spans="1:22" s="1" customFormat="1" ht="16.5" x14ac:dyDescent="0.3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</row>
    <row r="290" spans="1:22" s="1" customFormat="1" ht="16.5" x14ac:dyDescent="0.3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</row>
    <row r="291" spans="1:22" s="1" customFormat="1" ht="16.5" x14ac:dyDescent="0.3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</row>
    <row r="292" spans="1:22" s="1" customFormat="1" ht="16.5" x14ac:dyDescent="0.3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</row>
    <row r="293" spans="1:22" s="1" customFormat="1" ht="16.5" x14ac:dyDescent="0.3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</row>
    <row r="294" spans="1:22" s="1" customFormat="1" ht="16.5" x14ac:dyDescent="0.3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</row>
    <row r="295" spans="1:22" s="1" customFormat="1" ht="16.5" x14ac:dyDescent="0.3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</row>
    <row r="296" spans="1:22" s="1" customFormat="1" ht="16.5" x14ac:dyDescent="0.3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</row>
    <row r="297" spans="1:22" s="1" customFormat="1" ht="16.5" x14ac:dyDescent="0.3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</row>
    <row r="298" spans="1:22" s="1" customFormat="1" ht="16.5" x14ac:dyDescent="0.3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</row>
    <row r="299" spans="1:22" s="1" customFormat="1" ht="16.5" x14ac:dyDescent="0.3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</row>
    <row r="300" spans="1:22" s="1" customFormat="1" ht="16.5" x14ac:dyDescent="0.3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</row>
    <row r="301" spans="1:22" s="1" customFormat="1" ht="16.5" x14ac:dyDescent="0.3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</row>
    <row r="302" spans="1:22" s="1" customFormat="1" ht="16.5" x14ac:dyDescent="0.3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</row>
    <row r="303" spans="1:22" s="1" customFormat="1" ht="16.5" x14ac:dyDescent="0.3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</row>
    <row r="304" spans="1:22" s="1" customFormat="1" ht="16.5" x14ac:dyDescent="0.3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</row>
    <row r="305" spans="1:22" s="1" customFormat="1" ht="16.5" x14ac:dyDescent="0.3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</row>
    <row r="306" spans="1:22" s="1" customFormat="1" ht="16.5" x14ac:dyDescent="0.3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</row>
    <row r="307" spans="1:22" s="1" customFormat="1" ht="16.5" x14ac:dyDescent="0.3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</row>
    <row r="308" spans="1:22" s="1" customFormat="1" ht="16.5" x14ac:dyDescent="0.3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</row>
    <row r="309" spans="1:22" s="1" customFormat="1" ht="16.5" x14ac:dyDescent="0.3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</row>
    <row r="310" spans="1:22" s="1" customFormat="1" ht="16.5" x14ac:dyDescent="0.3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</row>
    <row r="311" spans="1:22" s="1" customFormat="1" ht="16.5" x14ac:dyDescent="0.3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</row>
    <row r="312" spans="1:22" s="1" customFormat="1" ht="16.5" x14ac:dyDescent="0.3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</row>
    <row r="313" spans="1:22" s="1" customFormat="1" ht="16.5" x14ac:dyDescent="0.3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</row>
    <row r="314" spans="1:22" s="1" customFormat="1" ht="16.5" x14ac:dyDescent="0.3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</row>
    <row r="315" spans="1:22" s="1" customFormat="1" ht="16.5" x14ac:dyDescent="0.3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</row>
    <row r="316" spans="1:22" s="1" customFormat="1" ht="16.5" x14ac:dyDescent="0.3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</row>
    <row r="317" spans="1:22" s="1" customFormat="1" ht="16.5" x14ac:dyDescent="0.3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</row>
    <row r="318" spans="1:22" s="1" customFormat="1" ht="16.5" x14ac:dyDescent="0.3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</row>
    <row r="319" spans="1:22" s="1" customFormat="1" ht="16.5" x14ac:dyDescent="0.3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</row>
    <row r="320" spans="1:22" s="1" customFormat="1" ht="16.5" x14ac:dyDescent="0.3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</row>
    <row r="321" spans="1:22" s="1" customFormat="1" ht="16.5" x14ac:dyDescent="0.3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</row>
    <row r="322" spans="1:22" s="1" customFormat="1" ht="16.5" x14ac:dyDescent="0.3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</row>
    <row r="323" spans="1:22" s="1" customFormat="1" ht="16.5" x14ac:dyDescent="0.3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</row>
    <row r="324" spans="1:22" s="1" customFormat="1" ht="16.5" x14ac:dyDescent="0.3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</row>
    <row r="325" spans="1:22" s="1" customFormat="1" ht="16.5" x14ac:dyDescent="0.3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</row>
    <row r="326" spans="1:22" s="1" customFormat="1" ht="16.5" x14ac:dyDescent="0.3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</row>
    <row r="327" spans="1:22" s="1" customFormat="1" ht="16.5" x14ac:dyDescent="0.3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</row>
    <row r="328" spans="1:22" s="1" customFormat="1" ht="16.5" x14ac:dyDescent="0.3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</row>
    <row r="329" spans="1:22" s="1" customFormat="1" ht="16.5" x14ac:dyDescent="0.3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</row>
    <row r="330" spans="1:22" s="1" customFormat="1" ht="16.5" x14ac:dyDescent="0.3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</row>
    <row r="331" spans="1:22" s="1" customFormat="1" ht="16.5" x14ac:dyDescent="0.3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</row>
    <row r="332" spans="1:22" s="1" customFormat="1" ht="16.5" x14ac:dyDescent="0.3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</row>
    <row r="333" spans="1:22" s="1" customFormat="1" ht="16.5" x14ac:dyDescent="0.3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</row>
    <row r="334" spans="1:22" s="1" customFormat="1" ht="16.5" x14ac:dyDescent="0.3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</row>
    <row r="335" spans="1:22" s="1" customFormat="1" ht="16.5" x14ac:dyDescent="0.3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</row>
    <row r="336" spans="1:22" s="1" customFormat="1" ht="16.5" x14ac:dyDescent="0.3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</row>
    <row r="337" spans="1:22" s="1" customFormat="1" ht="16.5" x14ac:dyDescent="0.3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</row>
    <row r="338" spans="1:22" s="1" customFormat="1" ht="16.5" x14ac:dyDescent="0.3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</row>
    <row r="339" spans="1:22" s="1" customFormat="1" ht="16.5" x14ac:dyDescent="0.3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</row>
    <row r="340" spans="1:22" s="1" customFormat="1" ht="16.5" x14ac:dyDescent="0.3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</row>
    <row r="341" spans="1:22" s="1" customFormat="1" ht="16.5" x14ac:dyDescent="0.3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</row>
    <row r="342" spans="1:22" s="1" customFormat="1" ht="16.5" x14ac:dyDescent="0.3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</row>
    <row r="343" spans="1:22" s="1" customFormat="1" ht="16.5" x14ac:dyDescent="0.3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</row>
    <row r="344" spans="1:22" s="1" customFormat="1" ht="16.5" x14ac:dyDescent="0.3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</row>
    <row r="345" spans="1:22" s="1" customFormat="1" ht="16.5" x14ac:dyDescent="0.3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</row>
    <row r="346" spans="1:22" s="1" customFormat="1" ht="16.5" x14ac:dyDescent="0.3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</row>
    <row r="347" spans="1:22" s="1" customFormat="1" ht="16.5" x14ac:dyDescent="0.3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</row>
    <row r="348" spans="1:22" s="1" customFormat="1" ht="16.5" x14ac:dyDescent="0.3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</row>
    <row r="349" spans="1:22" s="1" customFormat="1" ht="16.5" x14ac:dyDescent="0.3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</row>
    <row r="350" spans="1:22" s="1" customFormat="1" ht="16.5" x14ac:dyDescent="0.3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</row>
    <row r="351" spans="1:22" s="1" customFormat="1" ht="16.5" x14ac:dyDescent="0.3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</row>
    <row r="352" spans="1:22" s="1" customFormat="1" ht="16.5" x14ac:dyDescent="0.3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</row>
    <row r="353" spans="1:22" s="1" customFormat="1" ht="16.5" x14ac:dyDescent="0.3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</row>
    <row r="354" spans="1:22" s="1" customFormat="1" ht="16.5" x14ac:dyDescent="0.3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</row>
    <row r="355" spans="1:22" s="1" customFormat="1" ht="16.5" x14ac:dyDescent="0.3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</row>
    <row r="356" spans="1:22" s="1" customFormat="1" ht="16.5" x14ac:dyDescent="0.3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</row>
    <row r="357" spans="1:22" s="1" customFormat="1" ht="16.5" x14ac:dyDescent="0.3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</row>
    <row r="358" spans="1:22" s="1" customFormat="1" ht="16.5" x14ac:dyDescent="0.3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</row>
    <row r="359" spans="1:22" s="1" customFormat="1" ht="16.5" x14ac:dyDescent="0.3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</row>
    <row r="360" spans="1:22" s="1" customFormat="1" ht="16.5" x14ac:dyDescent="0.3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</row>
    <row r="361" spans="1:22" s="1" customFormat="1" ht="16.5" x14ac:dyDescent="0.3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</row>
    <row r="362" spans="1:22" s="1" customFormat="1" ht="16.5" x14ac:dyDescent="0.3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</row>
    <row r="363" spans="1:22" s="1" customFormat="1" ht="16.5" x14ac:dyDescent="0.3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</row>
    <row r="364" spans="1:22" s="1" customFormat="1" ht="16.5" x14ac:dyDescent="0.3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</row>
    <row r="365" spans="1:22" s="1" customFormat="1" ht="16.5" x14ac:dyDescent="0.3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</row>
    <row r="366" spans="1:22" s="1" customFormat="1" ht="16.5" x14ac:dyDescent="0.3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</row>
    <row r="367" spans="1:22" s="1" customFormat="1" ht="16.5" x14ac:dyDescent="0.3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</row>
    <row r="368" spans="1:22" s="1" customFormat="1" ht="16.5" x14ac:dyDescent="0.3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</row>
    <row r="369" spans="1:22" s="1" customFormat="1" ht="16.5" x14ac:dyDescent="0.3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</row>
    <row r="370" spans="1:22" s="1" customFormat="1" ht="16.5" x14ac:dyDescent="0.3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</row>
    <row r="371" spans="1:22" s="1" customFormat="1" ht="16.5" x14ac:dyDescent="0.3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</row>
    <row r="372" spans="1:22" s="1" customFormat="1" ht="16.5" x14ac:dyDescent="0.3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</row>
    <row r="373" spans="1:22" s="1" customFormat="1" ht="16.5" x14ac:dyDescent="0.3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</row>
    <row r="374" spans="1:22" s="1" customFormat="1" ht="16.5" x14ac:dyDescent="0.3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</row>
    <row r="375" spans="1:22" s="1" customFormat="1" ht="16.5" x14ac:dyDescent="0.3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</row>
    <row r="376" spans="1:22" s="1" customFormat="1" ht="16.5" x14ac:dyDescent="0.3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</row>
    <row r="377" spans="1:22" s="1" customFormat="1" ht="16.5" x14ac:dyDescent="0.3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</row>
    <row r="378" spans="1:22" s="1" customFormat="1" ht="16.5" x14ac:dyDescent="0.3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</row>
    <row r="379" spans="1:22" s="1" customFormat="1" ht="16.5" x14ac:dyDescent="0.3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</row>
    <row r="380" spans="1:22" s="1" customFormat="1" ht="16.5" x14ac:dyDescent="0.3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</row>
    <row r="381" spans="1:22" s="1" customFormat="1" ht="16.5" x14ac:dyDescent="0.3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</row>
    <row r="382" spans="1:22" s="1" customFormat="1" ht="16.5" x14ac:dyDescent="0.3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</row>
    <row r="383" spans="1:22" s="1" customFormat="1" ht="16.5" x14ac:dyDescent="0.3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</row>
    <row r="384" spans="1:22" s="1" customFormat="1" ht="16.5" x14ac:dyDescent="0.3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</row>
    <row r="385" spans="1:22" s="1" customFormat="1" ht="16.5" x14ac:dyDescent="0.3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</row>
    <row r="386" spans="1:22" s="1" customFormat="1" ht="16.5" x14ac:dyDescent="0.3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</row>
    <row r="387" spans="1:22" s="1" customFormat="1" ht="16.5" x14ac:dyDescent="0.3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</row>
    <row r="388" spans="1:22" s="1" customFormat="1" ht="16.5" x14ac:dyDescent="0.3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</row>
    <row r="389" spans="1:22" s="1" customFormat="1" ht="16.5" x14ac:dyDescent="0.3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</row>
    <row r="390" spans="1:22" s="1" customFormat="1" ht="16.5" x14ac:dyDescent="0.3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</row>
    <row r="391" spans="1:22" s="1" customFormat="1" ht="16.5" x14ac:dyDescent="0.3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</row>
    <row r="392" spans="1:22" s="1" customFormat="1" ht="16.5" x14ac:dyDescent="0.3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</row>
    <row r="393" spans="1:22" s="1" customFormat="1" ht="16.5" x14ac:dyDescent="0.3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</row>
    <row r="394" spans="1:22" s="1" customFormat="1" ht="16.5" x14ac:dyDescent="0.3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</row>
    <row r="395" spans="1:22" s="1" customFormat="1" ht="16.5" x14ac:dyDescent="0.3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</row>
    <row r="396" spans="1:22" s="1" customFormat="1" ht="16.5" x14ac:dyDescent="0.3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</row>
    <row r="397" spans="1:22" s="1" customFormat="1" ht="16.5" x14ac:dyDescent="0.3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</row>
    <row r="398" spans="1:22" s="1" customFormat="1" ht="16.5" x14ac:dyDescent="0.3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</row>
    <row r="399" spans="1:22" s="1" customFormat="1" ht="16.5" x14ac:dyDescent="0.3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</row>
    <row r="400" spans="1:22" s="1" customFormat="1" ht="16.5" x14ac:dyDescent="0.3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</row>
    <row r="401" spans="1:22" s="1" customFormat="1" ht="16.5" x14ac:dyDescent="0.3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</row>
    <row r="402" spans="1:22" s="1" customFormat="1" ht="16.5" x14ac:dyDescent="0.3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</row>
    <row r="403" spans="1:22" s="1" customFormat="1" ht="16.5" x14ac:dyDescent="0.3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</row>
    <row r="404" spans="1:22" s="1" customFormat="1" ht="16.5" x14ac:dyDescent="0.3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</row>
    <row r="405" spans="1:22" s="1" customFormat="1" ht="16.5" x14ac:dyDescent="0.3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</row>
    <row r="406" spans="1:22" s="1" customFormat="1" ht="16.5" x14ac:dyDescent="0.3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</row>
    <row r="407" spans="1:22" s="1" customFormat="1" ht="16.5" x14ac:dyDescent="0.3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</row>
    <row r="408" spans="1:22" s="1" customFormat="1" ht="16.5" x14ac:dyDescent="0.3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</row>
    <row r="409" spans="1:22" s="1" customFormat="1" ht="16.5" x14ac:dyDescent="0.3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</row>
    <row r="410" spans="1:22" s="1" customFormat="1" ht="16.5" x14ac:dyDescent="0.3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</row>
    <row r="411" spans="1:22" s="1" customFormat="1" ht="16.5" x14ac:dyDescent="0.3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</row>
    <row r="412" spans="1:22" s="1" customFormat="1" ht="16.5" x14ac:dyDescent="0.3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</row>
    <row r="413" spans="1:22" s="1" customFormat="1" ht="16.5" x14ac:dyDescent="0.3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</row>
    <row r="414" spans="1:22" s="1" customFormat="1" ht="16.5" x14ac:dyDescent="0.3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</row>
    <row r="415" spans="1:22" s="1" customFormat="1" ht="16.5" x14ac:dyDescent="0.3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</row>
    <row r="416" spans="1:22" s="1" customFormat="1" ht="16.5" x14ac:dyDescent="0.3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</row>
    <row r="417" spans="1:22" s="1" customFormat="1" ht="16.5" x14ac:dyDescent="0.3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</row>
    <row r="418" spans="1:22" s="1" customFormat="1" ht="16.5" x14ac:dyDescent="0.3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</row>
    <row r="419" spans="1:22" s="1" customFormat="1" ht="16.5" x14ac:dyDescent="0.3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</row>
    <row r="420" spans="1:22" s="1" customFormat="1" ht="16.5" x14ac:dyDescent="0.3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</row>
    <row r="421" spans="1:22" s="1" customFormat="1" ht="16.5" x14ac:dyDescent="0.3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</row>
    <row r="422" spans="1:22" s="1" customFormat="1" ht="16.5" x14ac:dyDescent="0.3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</row>
    <row r="423" spans="1:22" s="1" customFormat="1" ht="16.5" x14ac:dyDescent="0.3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</row>
    <row r="424" spans="1:22" s="1" customFormat="1" ht="16.5" x14ac:dyDescent="0.3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</row>
    <row r="425" spans="1:22" s="1" customFormat="1" ht="16.5" x14ac:dyDescent="0.3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</row>
    <row r="426" spans="1:22" s="1" customFormat="1" ht="16.5" x14ac:dyDescent="0.3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</row>
    <row r="427" spans="1:22" s="1" customFormat="1" ht="16.5" x14ac:dyDescent="0.3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</row>
    <row r="428" spans="1:22" s="1" customFormat="1" ht="16.5" x14ac:dyDescent="0.3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</row>
    <row r="429" spans="1:22" s="1" customFormat="1" ht="16.5" x14ac:dyDescent="0.3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</row>
    <row r="430" spans="1:22" s="1" customFormat="1" ht="16.5" x14ac:dyDescent="0.3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</row>
    <row r="431" spans="1:22" s="1" customFormat="1" ht="16.5" x14ac:dyDescent="0.3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</row>
    <row r="432" spans="1:22" s="1" customFormat="1" ht="16.5" x14ac:dyDescent="0.3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</row>
    <row r="433" spans="1:22" s="1" customFormat="1" ht="16.5" x14ac:dyDescent="0.3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</row>
    <row r="434" spans="1:22" s="1" customFormat="1" ht="16.5" x14ac:dyDescent="0.3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</row>
    <row r="435" spans="1:22" s="1" customFormat="1" ht="16.5" x14ac:dyDescent="0.3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</row>
    <row r="436" spans="1:22" s="1" customFormat="1" ht="16.5" x14ac:dyDescent="0.3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</row>
    <row r="437" spans="1:22" s="1" customFormat="1" ht="16.5" x14ac:dyDescent="0.3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</row>
    <row r="438" spans="1:22" s="1" customFormat="1" ht="16.5" x14ac:dyDescent="0.3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</row>
    <row r="439" spans="1:22" s="1" customFormat="1" ht="16.5" x14ac:dyDescent="0.3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</row>
    <row r="440" spans="1:22" s="1" customFormat="1" ht="16.5" x14ac:dyDescent="0.3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</row>
    <row r="441" spans="1:22" s="1" customFormat="1" ht="16.5" x14ac:dyDescent="0.3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</row>
    <row r="442" spans="1:22" s="1" customFormat="1" ht="16.5" x14ac:dyDescent="0.3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</row>
    <row r="443" spans="1:22" s="1" customFormat="1" ht="16.5" x14ac:dyDescent="0.3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</row>
    <row r="444" spans="1:22" s="1" customFormat="1" ht="16.5" x14ac:dyDescent="0.3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</row>
    <row r="445" spans="1:22" s="1" customFormat="1" ht="16.5" x14ac:dyDescent="0.3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</row>
    <row r="446" spans="1:22" s="1" customFormat="1" ht="16.5" x14ac:dyDescent="0.3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</row>
    <row r="447" spans="1:22" s="1" customFormat="1" ht="16.5" x14ac:dyDescent="0.3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</row>
    <row r="448" spans="1:22" s="1" customFormat="1" ht="16.5" x14ac:dyDescent="0.3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</row>
    <row r="449" spans="1:22" s="1" customFormat="1" ht="16.5" x14ac:dyDescent="0.3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</row>
    <row r="450" spans="1:22" s="1" customFormat="1" ht="16.5" x14ac:dyDescent="0.3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</row>
  </sheetData>
  <mergeCells count="3">
    <mergeCell ref="J1:K1"/>
    <mergeCell ref="N1:O1"/>
    <mergeCell ref="Q1:S1"/>
  </mergeCells>
  <phoneticPr fontId="2" type="noConversion"/>
  <conditionalFormatting sqref="N2">
    <cfRule type="cellIs" dxfId="21" priority="34334" operator="greaterThan">
      <formula>0.9</formula>
    </cfRule>
    <cfRule type="cellIs" dxfId="20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4" bestFit="1" customWidth="1"/>
    <col min="2" max="2" width="3.375" style="74" customWidth="1"/>
    <col min="3" max="3" width="4.625" style="74" bestFit="1" customWidth="1"/>
    <col min="4" max="9" width="29.125" style="75" customWidth="1"/>
    <col min="10" max="23" width="25" style="75" customWidth="1"/>
    <col min="24" max="48" width="17.5" style="75"/>
    <col min="49" max="16384" width="17.5" style="74"/>
  </cols>
  <sheetData>
    <row r="1" spans="1:48" x14ac:dyDescent="0.3"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48" x14ac:dyDescent="0.3"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</row>
    <row r="3" spans="1:48" x14ac:dyDescent="0.3"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</row>
    <row r="4" spans="1:48" x14ac:dyDescent="0.3">
      <c r="A4" s="127" t="s">
        <v>67</v>
      </c>
      <c r="B4" s="127"/>
      <c r="C4" s="127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127" t="s">
        <v>68</v>
      </c>
      <c r="B5" s="127"/>
      <c r="C5" s="127"/>
    </row>
    <row r="6" spans="1:48" x14ac:dyDescent="0.3">
      <c r="A6" s="127" t="s">
        <v>69</v>
      </c>
      <c r="B6" s="127"/>
      <c r="C6" s="127"/>
    </row>
    <row r="7" spans="1:48" x14ac:dyDescent="0.3">
      <c r="A7" s="76" t="s">
        <v>70</v>
      </c>
      <c r="B7" s="77"/>
      <c r="C7" s="78"/>
      <c r="D7" s="79" t="str">
        <f>D4&amp;IF(D5="","",","&amp;D5)&amp;IF(D6="","",","&amp;D6)</f>
        <v/>
      </c>
      <c r="E7" s="79" t="str">
        <f t="shared" ref="E7:W7" si="0">E4&amp;IF(E5="","",","&amp;E5)&amp;IF(E6="","",","&amp;E6)</f>
        <v/>
      </c>
      <c r="F7" s="79" t="str">
        <f t="shared" si="0"/>
        <v/>
      </c>
      <c r="G7" s="79" t="str">
        <f t="shared" si="0"/>
        <v/>
      </c>
      <c r="H7" s="79" t="str">
        <f t="shared" si="0"/>
        <v/>
      </c>
      <c r="I7" s="79" t="str">
        <f t="shared" si="0"/>
        <v/>
      </c>
      <c r="J7" s="79" t="str">
        <f t="shared" si="0"/>
        <v/>
      </c>
      <c r="K7" s="79" t="str">
        <f t="shared" si="0"/>
        <v/>
      </c>
      <c r="L7" s="79" t="str">
        <f t="shared" si="0"/>
        <v/>
      </c>
      <c r="M7" s="79" t="str">
        <f t="shared" si="0"/>
        <v/>
      </c>
      <c r="N7" s="79" t="str">
        <f t="shared" si="0"/>
        <v/>
      </c>
      <c r="O7" s="79" t="str">
        <f t="shared" si="0"/>
        <v/>
      </c>
      <c r="P7" s="79" t="str">
        <f t="shared" si="0"/>
        <v/>
      </c>
      <c r="Q7" s="79" t="str">
        <f t="shared" si="0"/>
        <v/>
      </c>
      <c r="R7" s="79" t="str">
        <f t="shared" si="0"/>
        <v/>
      </c>
      <c r="S7" s="79" t="str">
        <f t="shared" si="0"/>
        <v/>
      </c>
      <c r="T7" s="79" t="str">
        <f t="shared" si="0"/>
        <v/>
      </c>
      <c r="U7" s="79" t="str">
        <f t="shared" si="0"/>
        <v/>
      </c>
      <c r="V7" s="79" t="str">
        <f t="shared" si="0"/>
        <v/>
      </c>
      <c r="W7" s="79" t="str">
        <f t="shared" si="0"/>
        <v/>
      </c>
    </row>
    <row r="8" spans="1:48" x14ac:dyDescent="0.3">
      <c r="A8" s="89">
        <v>8</v>
      </c>
      <c r="B8" s="82" t="s">
        <v>71</v>
      </c>
      <c r="C8" s="9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48" x14ac:dyDescent="0.3">
      <c r="A9" s="97">
        <v>7</v>
      </c>
      <c r="B9" s="84" t="s">
        <v>71</v>
      </c>
      <c r="C9" s="90">
        <v>8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48" x14ac:dyDescent="0.3">
      <c r="A10" s="98">
        <v>6</v>
      </c>
      <c r="B10" s="80" t="s">
        <v>71</v>
      </c>
      <c r="C10" s="94">
        <v>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48" x14ac:dyDescent="0.3">
      <c r="A11" s="98">
        <v>5</v>
      </c>
      <c r="B11" s="80" t="s">
        <v>71</v>
      </c>
      <c r="C11" s="94">
        <v>6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48" x14ac:dyDescent="0.3">
      <c r="A12" s="98">
        <v>4</v>
      </c>
      <c r="B12" s="80" t="s">
        <v>71</v>
      </c>
      <c r="C12" s="94">
        <v>5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48" x14ac:dyDescent="0.3">
      <c r="A13" s="99">
        <v>3</v>
      </c>
      <c r="B13" s="85" t="s">
        <v>71</v>
      </c>
      <c r="C13" s="95">
        <v>4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</row>
    <row r="14" spans="1:48" x14ac:dyDescent="0.3">
      <c r="A14" s="99">
        <v>2.5</v>
      </c>
      <c r="B14" s="85" t="s">
        <v>71</v>
      </c>
      <c r="C14" s="95">
        <v>3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</row>
    <row r="15" spans="1:48" x14ac:dyDescent="0.3">
      <c r="A15" s="99">
        <v>2</v>
      </c>
      <c r="B15" s="85" t="s">
        <v>71</v>
      </c>
      <c r="C15" s="95">
        <v>2.5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1:48" x14ac:dyDescent="0.3">
      <c r="A16" s="100">
        <v>1.5</v>
      </c>
      <c r="B16" s="87" t="s">
        <v>71</v>
      </c>
      <c r="C16" s="96">
        <v>2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</row>
    <row r="17" spans="1:23" x14ac:dyDescent="0.3">
      <c r="A17" s="100">
        <v>1</v>
      </c>
      <c r="B17" s="87" t="s">
        <v>71</v>
      </c>
      <c r="C17" s="96">
        <v>1.5</v>
      </c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</row>
    <row r="20" spans="1:23" x14ac:dyDescent="0.3">
      <c r="A20" s="76" t="s">
        <v>49</v>
      </c>
      <c r="B20" s="77"/>
      <c r="C20" s="78"/>
      <c r="D20" s="79" t="str">
        <f>D7</f>
        <v/>
      </c>
      <c r="E20" s="79" t="str">
        <f t="shared" ref="E20:W20" si="1">E7</f>
        <v/>
      </c>
      <c r="F20" s="79" t="str">
        <f t="shared" si="1"/>
        <v/>
      </c>
      <c r="G20" s="79" t="str">
        <f t="shared" si="1"/>
        <v/>
      </c>
      <c r="H20" s="79" t="str">
        <f t="shared" si="1"/>
        <v/>
      </c>
      <c r="I20" s="79" t="str">
        <f t="shared" si="1"/>
        <v/>
      </c>
      <c r="J20" s="79" t="str">
        <f t="shared" si="1"/>
        <v/>
      </c>
      <c r="K20" s="79" t="str">
        <f t="shared" si="1"/>
        <v/>
      </c>
      <c r="L20" s="79" t="str">
        <f t="shared" si="1"/>
        <v/>
      </c>
      <c r="M20" s="79" t="str">
        <f t="shared" si="1"/>
        <v/>
      </c>
      <c r="N20" s="79" t="str">
        <f t="shared" si="1"/>
        <v/>
      </c>
      <c r="O20" s="79" t="str">
        <f t="shared" si="1"/>
        <v/>
      </c>
      <c r="P20" s="79" t="str">
        <f t="shared" si="1"/>
        <v/>
      </c>
      <c r="Q20" s="79" t="str">
        <f t="shared" si="1"/>
        <v/>
      </c>
      <c r="R20" s="79" t="str">
        <f t="shared" si="1"/>
        <v/>
      </c>
      <c r="S20" s="79" t="str">
        <f t="shared" si="1"/>
        <v/>
      </c>
      <c r="T20" s="79" t="str">
        <f t="shared" si="1"/>
        <v/>
      </c>
      <c r="U20" s="79" t="str">
        <f t="shared" si="1"/>
        <v/>
      </c>
      <c r="V20" s="79" t="str">
        <f t="shared" si="1"/>
        <v/>
      </c>
      <c r="W20" s="79" t="str">
        <f t="shared" si="1"/>
        <v/>
      </c>
    </row>
    <row r="21" spans="1:23" x14ac:dyDescent="0.3">
      <c r="A21" s="89">
        <f>IF(A8="","",A8)</f>
        <v>8</v>
      </c>
      <c r="B21" s="82" t="str">
        <f>IF(B8="","",B8)</f>
        <v>~</v>
      </c>
      <c r="C21" s="93" t="str">
        <f>IF(C8="","",C8)</f>
        <v/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x14ac:dyDescent="0.3">
      <c r="A22" s="97">
        <f t="shared" ref="A22:C30" si="2">IF(A9="","",A9)</f>
        <v>7</v>
      </c>
      <c r="B22" s="84" t="str">
        <f t="shared" si="2"/>
        <v>~</v>
      </c>
      <c r="C22" s="90">
        <f t="shared" si="2"/>
        <v>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x14ac:dyDescent="0.3">
      <c r="A23" s="98">
        <f t="shared" si="2"/>
        <v>6</v>
      </c>
      <c r="B23" s="80" t="str">
        <f t="shared" si="2"/>
        <v>~</v>
      </c>
      <c r="C23" s="94">
        <f t="shared" si="2"/>
        <v>7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3">
      <c r="A24" s="98">
        <f t="shared" si="2"/>
        <v>5</v>
      </c>
      <c r="B24" s="80" t="str">
        <f t="shared" si="2"/>
        <v>~</v>
      </c>
      <c r="C24" s="94">
        <f t="shared" si="2"/>
        <v>6</v>
      </c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3">
      <c r="A25" s="98">
        <f t="shared" si="2"/>
        <v>4</v>
      </c>
      <c r="B25" s="80" t="str">
        <f t="shared" si="2"/>
        <v>~</v>
      </c>
      <c r="C25" s="94">
        <f t="shared" si="2"/>
        <v>5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3">
      <c r="A26" s="99">
        <f t="shared" si="2"/>
        <v>3</v>
      </c>
      <c r="B26" s="85" t="str">
        <f t="shared" si="2"/>
        <v>~</v>
      </c>
      <c r="C26" s="95">
        <f t="shared" si="2"/>
        <v>4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</row>
    <row r="27" spans="1:23" x14ac:dyDescent="0.3">
      <c r="A27" s="99">
        <f t="shared" si="2"/>
        <v>2.5</v>
      </c>
      <c r="B27" s="85" t="str">
        <f t="shared" si="2"/>
        <v>~</v>
      </c>
      <c r="C27" s="95">
        <f t="shared" si="2"/>
        <v>3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</row>
    <row r="28" spans="1:23" x14ac:dyDescent="0.3">
      <c r="A28" s="99">
        <f t="shared" si="2"/>
        <v>2</v>
      </c>
      <c r="B28" s="85" t="str">
        <f t="shared" si="2"/>
        <v>~</v>
      </c>
      <c r="C28" s="95">
        <f t="shared" si="2"/>
        <v>2.5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</row>
    <row r="29" spans="1:23" x14ac:dyDescent="0.3">
      <c r="A29" s="100">
        <f t="shared" si="2"/>
        <v>1.5</v>
      </c>
      <c r="B29" s="87" t="str">
        <f t="shared" si="2"/>
        <v>~</v>
      </c>
      <c r="C29" s="96">
        <f t="shared" si="2"/>
        <v>2</v>
      </c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3">
      <c r="A30" s="100">
        <f t="shared" si="2"/>
        <v>1</v>
      </c>
      <c r="B30" s="87" t="str">
        <f t="shared" si="2"/>
        <v>~</v>
      </c>
      <c r="C30" s="96">
        <f t="shared" si="2"/>
        <v>1.5</v>
      </c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3" spans="1:23" x14ac:dyDescent="0.3">
      <c r="A33" s="76" t="s">
        <v>72</v>
      </c>
      <c r="B33" s="77"/>
      <c r="C33" s="78"/>
      <c r="D33" s="79" t="str">
        <f>D20</f>
        <v/>
      </c>
      <c r="E33" s="79" t="str">
        <f t="shared" ref="E33:W33" si="3">E20</f>
        <v/>
      </c>
      <c r="F33" s="79" t="str">
        <f t="shared" si="3"/>
        <v/>
      </c>
      <c r="G33" s="79" t="str">
        <f t="shared" si="3"/>
        <v/>
      </c>
      <c r="H33" s="79" t="str">
        <f t="shared" si="3"/>
        <v/>
      </c>
      <c r="I33" s="79" t="str">
        <f t="shared" si="3"/>
        <v/>
      </c>
      <c r="J33" s="79" t="str">
        <f t="shared" si="3"/>
        <v/>
      </c>
      <c r="K33" s="79" t="str">
        <f t="shared" si="3"/>
        <v/>
      </c>
      <c r="L33" s="79" t="str">
        <f t="shared" si="3"/>
        <v/>
      </c>
      <c r="M33" s="79" t="str">
        <f t="shared" si="3"/>
        <v/>
      </c>
      <c r="N33" s="79" t="str">
        <f t="shared" si="3"/>
        <v/>
      </c>
      <c r="O33" s="79" t="str">
        <f t="shared" si="3"/>
        <v/>
      </c>
      <c r="P33" s="79" t="str">
        <f t="shared" si="3"/>
        <v/>
      </c>
      <c r="Q33" s="79" t="str">
        <f t="shared" si="3"/>
        <v/>
      </c>
      <c r="R33" s="79" t="str">
        <f t="shared" si="3"/>
        <v/>
      </c>
      <c r="S33" s="79" t="str">
        <f t="shared" si="3"/>
        <v/>
      </c>
      <c r="T33" s="79" t="str">
        <f t="shared" si="3"/>
        <v/>
      </c>
      <c r="U33" s="79" t="str">
        <f t="shared" si="3"/>
        <v/>
      </c>
      <c r="V33" s="79" t="str">
        <f t="shared" si="3"/>
        <v/>
      </c>
      <c r="W33" s="79" t="str">
        <f t="shared" si="3"/>
        <v/>
      </c>
    </row>
    <row r="34" spans="1:23" x14ac:dyDescent="0.3">
      <c r="A34" s="89">
        <f>IF(A21="","",A21)</f>
        <v>8</v>
      </c>
      <c r="B34" s="82" t="str">
        <f>IF(B21="","",B21)</f>
        <v>~</v>
      </c>
      <c r="C34" s="93" t="str">
        <f>IF(C21="","",C21)</f>
        <v/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35" spans="1:23" x14ac:dyDescent="0.3">
      <c r="A35" s="97">
        <f t="shared" ref="A35:C43" si="4">IF(A22="","",A22)</f>
        <v>7</v>
      </c>
      <c r="B35" s="84" t="str">
        <f t="shared" si="4"/>
        <v>~</v>
      </c>
      <c r="C35" s="90">
        <f t="shared" si="4"/>
        <v>8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</row>
    <row r="36" spans="1:23" x14ac:dyDescent="0.3">
      <c r="A36" s="98">
        <f t="shared" si="4"/>
        <v>6</v>
      </c>
      <c r="B36" s="80" t="str">
        <f t="shared" si="4"/>
        <v>~</v>
      </c>
      <c r="C36" s="94">
        <f t="shared" si="4"/>
        <v>7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3">
      <c r="A37" s="98">
        <f t="shared" si="4"/>
        <v>5</v>
      </c>
      <c r="B37" s="80" t="str">
        <f t="shared" si="4"/>
        <v>~</v>
      </c>
      <c r="C37" s="94">
        <f t="shared" si="4"/>
        <v>6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3">
      <c r="A38" s="98">
        <f t="shared" si="4"/>
        <v>4</v>
      </c>
      <c r="B38" s="80" t="str">
        <f t="shared" si="4"/>
        <v>~</v>
      </c>
      <c r="C38" s="94">
        <f t="shared" si="4"/>
        <v>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3">
      <c r="A39" s="99">
        <f t="shared" si="4"/>
        <v>3</v>
      </c>
      <c r="B39" s="85" t="str">
        <f t="shared" si="4"/>
        <v>~</v>
      </c>
      <c r="C39" s="95">
        <f t="shared" si="4"/>
        <v>4</v>
      </c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</row>
    <row r="40" spans="1:23" x14ac:dyDescent="0.3">
      <c r="A40" s="99">
        <f t="shared" si="4"/>
        <v>2.5</v>
      </c>
      <c r="B40" s="85" t="str">
        <f t="shared" si="4"/>
        <v>~</v>
      </c>
      <c r="C40" s="95">
        <f t="shared" si="4"/>
        <v>3</v>
      </c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</row>
    <row r="41" spans="1:23" x14ac:dyDescent="0.3">
      <c r="A41" s="99">
        <f t="shared" si="4"/>
        <v>2</v>
      </c>
      <c r="B41" s="85" t="str">
        <f t="shared" si="4"/>
        <v>~</v>
      </c>
      <c r="C41" s="95">
        <f t="shared" si="4"/>
        <v>2.5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</row>
    <row r="42" spans="1:23" x14ac:dyDescent="0.3">
      <c r="A42" s="100">
        <f t="shared" si="4"/>
        <v>1.5</v>
      </c>
      <c r="B42" s="87" t="str">
        <f t="shared" si="4"/>
        <v>~</v>
      </c>
      <c r="C42" s="96">
        <f t="shared" si="4"/>
        <v>2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3">
      <c r="A43" s="100">
        <f t="shared" si="4"/>
        <v>1</v>
      </c>
      <c r="B43" s="87" t="str">
        <f t="shared" si="4"/>
        <v>~</v>
      </c>
      <c r="C43" s="96">
        <f t="shared" si="4"/>
        <v>1.5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6" spans="1:23" x14ac:dyDescent="0.3">
      <c r="A46" s="76" t="s">
        <v>73</v>
      </c>
      <c r="B46" s="77"/>
      <c r="C46" s="78"/>
      <c r="D46" s="79" t="str">
        <f>D33</f>
        <v/>
      </c>
      <c r="E46" s="79" t="str">
        <f t="shared" ref="E46:W46" si="5">E33</f>
        <v/>
      </c>
      <c r="F46" s="79" t="str">
        <f t="shared" si="5"/>
        <v/>
      </c>
      <c r="G46" s="79" t="str">
        <f t="shared" si="5"/>
        <v/>
      </c>
      <c r="H46" s="79" t="str">
        <f t="shared" si="5"/>
        <v/>
      </c>
      <c r="I46" s="79" t="str">
        <f t="shared" si="5"/>
        <v/>
      </c>
      <c r="J46" s="79" t="str">
        <f t="shared" si="5"/>
        <v/>
      </c>
      <c r="K46" s="79" t="str">
        <f t="shared" si="5"/>
        <v/>
      </c>
      <c r="L46" s="79" t="str">
        <f t="shared" si="5"/>
        <v/>
      </c>
      <c r="M46" s="79" t="str">
        <f t="shared" si="5"/>
        <v/>
      </c>
      <c r="N46" s="79" t="str">
        <f t="shared" si="5"/>
        <v/>
      </c>
      <c r="O46" s="79" t="str">
        <f t="shared" si="5"/>
        <v/>
      </c>
      <c r="P46" s="79" t="str">
        <f t="shared" si="5"/>
        <v/>
      </c>
      <c r="Q46" s="79" t="str">
        <f t="shared" si="5"/>
        <v/>
      </c>
      <c r="R46" s="79" t="str">
        <f t="shared" si="5"/>
        <v/>
      </c>
      <c r="S46" s="79" t="str">
        <f t="shared" si="5"/>
        <v/>
      </c>
      <c r="T46" s="79" t="str">
        <f t="shared" si="5"/>
        <v/>
      </c>
      <c r="U46" s="79" t="str">
        <f t="shared" si="5"/>
        <v/>
      </c>
      <c r="V46" s="79" t="str">
        <f t="shared" si="5"/>
        <v/>
      </c>
      <c r="W46" s="79" t="str">
        <f t="shared" si="5"/>
        <v/>
      </c>
    </row>
    <row r="47" spans="1:23" x14ac:dyDescent="0.3">
      <c r="A47" s="89">
        <f>IF(A34="","",A34)</f>
        <v>8</v>
      </c>
      <c r="B47" s="82" t="str">
        <f>IF(B34="","",B34)</f>
        <v>~</v>
      </c>
      <c r="C47" s="93" t="str">
        <f>IF(C34="","",C34)</f>
        <v/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97">
        <f t="shared" ref="A48:C56" si="6">IF(A35="","",A35)</f>
        <v>7</v>
      </c>
      <c r="B48" s="84" t="str">
        <f t="shared" si="6"/>
        <v>~</v>
      </c>
      <c r="C48" s="90">
        <f t="shared" si="6"/>
        <v>8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</row>
    <row r="49" spans="1:23" x14ac:dyDescent="0.3">
      <c r="A49" s="98">
        <f t="shared" si="6"/>
        <v>6</v>
      </c>
      <c r="B49" s="80" t="str">
        <f t="shared" si="6"/>
        <v>~</v>
      </c>
      <c r="C49" s="94">
        <f t="shared" si="6"/>
        <v>7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3">
      <c r="A50" s="98">
        <f t="shared" si="6"/>
        <v>5</v>
      </c>
      <c r="B50" s="80" t="str">
        <f t="shared" si="6"/>
        <v>~</v>
      </c>
      <c r="C50" s="94">
        <f t="shared" si="6"/>
        <v>6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3">
      <c r="A51" s="98">
        <f t="shared" si="6"/>
        <v>4</v>
      </c>
      <c r="B51" s="80" t="str">
        <f t="shared" si="6"/>
        <v>~</v>
      </c>
      <c r="C51" s="94">
        <f t="shared" si="6"/>
        <v>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3">
      <c r="A52" s="99">
        <f t="shared" si="6"/>
        <v>3</v>
      </c>
      <c r="B52" s="85" t="str">
        <f t="shared" si="6"/>
        <v>~</v>
      </c>
      <c r="C52" s="95">
        <f t="shared" si="6"/>
        <v>4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</row>
    <row r="53" spans="1:23" x14ac:dyDescent="0.3">
      <c r="A53" s="99">
        <f t="shared" si="6"/>
        <v>2.5</v>
      </c>
      <c r="B53" s="85" t="str">
        <f t="shared" si="6"/>
        <v>~</v>
      </c>
      <c r="C53" s="95">
        <f t="shared" si="6"/>
        <v>3</v>
      </c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</row>
    <row r="54" spans="1:23" x14ac:dyDescent="0.3">
      <c r="A54" s="99">
        <f t="shared" si="6"/>
        <v>2</v>
      </c>
      <c r="B54" s="85" t="str">
        <f t="shared" si="6"/>
        <v>~</v>
      </c>
      <c r="C54" s="95">
        <f t="shared" si="6"/>
        <v>2.5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</row>
    <row r="55" spans="1:23" x14ac:dyDescent="0.3">
      <c r="A55" s="100">
        <f t="shared" si="6"/>
        <v>1.5</v>
      </c>
      <c r="B55" s="87" t="str">
        <f t="shared" si="6"/>
        <v>~</v>
      </c>
      <c r="C55" s="96">
        <f t="shared" si="6"/>
        <v>2</v>
      </c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3">
      <c r="A56" s="100">
        <f t="shared" si="6"/>
        <v>1</v>
      </c>
      <c r="B56" s="87" t="str">
        <f t="shared" si="6"/>
        <v>~</v>
      </c>
      <c r="C56" s="96">
        <f t="shared" si="6"/>
        <v>1.5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9" spans="1:23" x14ac:dyDescent="0.3">
      <c r="A59" s="76" t="s">
        <v>47</v>
      </c>
      <c r="B59" s="77"/>
      <c r="C59" s="78"/>
      <c r="D59" s="79" t="str">
        <f>D46</f>
        <v/>
      </c>
      <c r="E59" s="79" t="str">
        <f t="shared" ref="E59:W59" si="7">E46</f>
        <v/>
      </c>
      <c r="F59" s="79" t="str">
        <f t="shared" si="7"/>
        <v/>
      </c>
      <c r="G59" s="79" t="str">
        <f t="shared" si="7"/>
        <v/>
      </c>
      <c r="H59" s="79" t="str">
        <f t="shared" si="7"/>
        <v/>
      </c>
      <c r="I59" s="79" t="str">
        <f t="shared" si="7"/>
        <v/>
      </c>
      <c r="J59" s="79" t="str">
        <f t="shared" si="7"/>
        <v/>
      </c>
      <c r="K59" s="79" t="str">
        <f t="shared" si="7"/>
        <v/>
      </c>
      <c r="L59" s="79" t="str">
        <f t="shared" si="7"/>
        <v/>
      </c>
      <c r="M59" s="79" t="str">
        <f t="shared" si="7"/>
        <v/>
      </c>
      <c r="N59" s="79" t="str">
        <f t="shared" si="7"/>
        <v/>
      </c>
      <c r="O59" s="79" t="str">
        <f t="shared" si="7"/>
        <v/>
      </c>
      <c r="P59" s="79" t="str">
        <f t="shared" si="7"/>
        <v/>
      </c>
      <c r="Q59" s="79" t="str">
        <f t="shared" si="7"/>
        <v/>
      </c>
      <c r="R59" s="79" t="str">
        <f t="shared" si="7"/>
        <v/>
      </c>
      <c r="S59" s="79" t="str">
        <f t="shared" si="7"/>
        <v/>
      </c>
      <c r="T59" s="79" t="str">
        <f t="shared" si="7"/>
        <v/>
      </c>
      <c r="U59" s="79" t="str">
        <f t="shared" si="7"/>
        <v/>
      </c>
      <c r="V59" s="79" t="str">
        <f t="shared" si="7"/>
        <v/>
      </c>
      <c r="W59" s="79" t="str">
        <f t="shared" si="7"/>
        <v/>
      </c>
    </row>
    <row r="60" spans="1:23" x14ac:dyDescent="0.3">
      <c r="A60" s="89">
        <f>IF(A47="","",A47)</f>
        <v>8</v>
      </c>
      <c r="B60" s="82" t="str">
        <f>IF(B47="","",B47)</f>
        <v>~</v>
      </c>
      <c r="C60" s="93" t="str">
        <f>IF(C47="","",C47)</f>
        <v/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</row>
    <row r="61" spans="1:23" x14ac:dyDescent="0.3">
      <c r="A61" s="97">
        <f t="shared" ref="A61:C69" si="8">IF(A48="","",A48)</f>
        <v>7</v>
      </c>
      <c r="B61" s="84" t="str">
        <f t="shared" si="8"/>
        <v>~</v>
      </c>
      <c r="C61" s="90">
        <f t="shared" si="8"/>
        <v>8</v>
      </c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</row>
    <row r="62" spans="1:23" x14ac:dyDescent="0.3">
      <c r="A62" s="98">
        <f t="shared" si="8"/>
        <v>6</v>
      </c>
      <c r="B62" s="80" t="str">
        <f t="shared" si="8"/>
        <v>~</v>
      </c>
      <c r="C62" s="94">
        <f t="shared" si="8"/>
        <v>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3">
      <c r="A63" s="98">
        <f t="shared" si="8"/>
        <v>5</v>
      </c>
      <c r="B63" s="80" t="str">
        <f t="shared" si="8"/>
        <v>~</v>
      </c>
      <c r="C63" s="94">
        <f t="shared" si="8"/>
        <v>6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3">
      <c r="A64" s="98">
        <f t="shared" si="8"/>
        <v>4</v>
      </c>
      <c r="B64" s="80" t="str">
        <f t="shared" si="8"/>
        <v>~</v>
      </c>
      <c r="C64" s="94">
        <f t="shared" si="8"/>
        <v>5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3">
      <c r="A65" s="99">
        <f t="shared" si="8"/>
        <v>3</v>
      </c>
      <c r="B65" s="85" t="str">
        <f t="shared" si="8"/>
        <v>~</v>
      </c>
      <c r="C65" s="95">
        <f t="shared" si="8"/>
        <v>4</v>
      </c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</row>
    <row r="66" spans="1:23" x14ac:dyDescent="0.3">
      <c r="A66" s="99">
        <f t="shared" si="8"/>
        <v>2.5</v>
      </c>
      <c r="B66" s="85" t="str">
        <f t="shared" si="8"/>
        <v>~</v>
      </c>
      <c r="C66" s="95">
        <f t="shared" si="8"/>
        <v>3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</row>
    <row r="67" spans="1:23" x14ac:dyDescent="0.3">
      <c r="A67" s="99">
        <f t="shared" si="8"/>
        <v>2</v>
      </c>
      <c r="B67" s="85" t="str">
        <f t="shared" si="8"/>
        <v>~</v>
      </c>
      <c r="C67" s="95">
        <f t="shared" si="8"/>
        <v>2.5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</row>
    <row r="68" spans="1:23" x14ac:dyDescent="0.3">
      <c r="A68" s="100">
        <f t="shared" si="8"/>
        <v>1.5</v>
      </c>
      <c r="B68" s="87" t="str">
        <f t="shared" si="8"/>
        <v>~</v>
      </c>
      <c r="C68" s="96">
        <f t="shared" si="8"/>
        <v>2</v>
      </c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3">
      <c r="A69" s="100">
        <f t="shared" si="8"/>
        <v>1</v>
      </c>
      <c r="B69" s="87" t="str">
        <f t="shared" si="8"/>
        <v>~</v>
      </c>
      <c r="C69" s="96">
        <f t="shared" si="8"/>
        <v>1.5</v>
      </c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11" t="s">
        <v>88</v>
      </c>
      <c r="B1" s="112"/>
    </row>
    <row r="2" spans="1:2" x14ac:dyDescent="0.3">
      <c r="A2" t="s">
        <v>89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"/>
  <sheetViews>
    <sheetView tabSelected="1" zoomScaleNormal="100" workbookViewId="0">
      <selection activeCell="K11" sqref="K11"/>
    </sheetView>
  </sheetViews>
  <sheetFormatPr defaultRowHeight="16.5" x14ac:dyDescent="0.3"/>
  <sheetData/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65</v>
      </c>
      <c r="B4" s="102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2"/>
      <c r="T4" s="8"/>
      <c r="U4" s="13"/>
      <c r="W4" s="9"/>
      <c r="X4" s="9"/>
      <c r="Y4" s="32"/>
      <c r="Z4" s="9"/>
      <c r="AA4" s="9"/>
      <c r="AB4" s="9"/>
      <c r="AC4" s="9"/>
      <c r="AD4" s="9"/>
      <c r="AE4" s="102"/>
      <c r="AF4" s="8"/>
      <c r="AH4" s="36"/>
      <c r="AI4" s="37" t="str">
        <f>IF(E4="","",E4)</f>
        <v/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</row>
    <row r="5" spans="1:48" x14ac:dyDescent="0.3">
      <c r="A5" s="9"/>
      <c r="B5" s="102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동명 단지명('19.04,905^)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</row>
    <row r="6" spans="1:48" x14ac:dyDescent="0.3">
      <c r="A6" s="5" t="s">
        <v>10</v>
      </c>
      <c r="B6" s="16" t="s">
        <v>63</v>
      </c>
      <c r="C6" s="28">
        <v>905</v>
      </c>
      <c r="D6" s="25">
        <v>79.3</v>
      </c>
      <c r="E6" s="106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2" t="s">
        <v>64</v>
      </c>
      <c r="T6" s="8">
        <v>79</v>
      </c>
      <c r="U6" s="13"/>
      <c r="W6" s="25">
        <f>D6</f>
        <v>79.3</v>
      </c>
      <c r="X6" s="106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2" t="str">
        <f>S6</f>
        <v>계</v>
      </c>
      <c r="AF6" s="15" t="str">
        <f>Q6&amp;"/"&amp;R6</f>
        <v>3/2</v>
      </c>
      <c r="AH6" s="36" t="str">
        <f>IF(A6="","",A6)</f>
        <v>단지명</v>
      </c>
      <c r="AI6" s="106">
        <f>IF(E6="","",E6)</f>
        <v>24</v>
      </c>
      <c r="AJ6" s="102" t="str">
        <f>IF(AI6="","",$AJ$2)</f>
        <v>A-</v>
      </c>
      <c r="AK6" s="102" t="s">
        <v>42</v>
      </c>
      <c r="AL6" s="102" t="s">
        <v>45</v>
      </c>
      <c r="AM6" s="102" t="s">
        <v>46</v>
      </c>
      <c r="AN6" s="102" t="str">
        <f>IF(AI6="","",$AN$2)</f>
        <v>C</v>
      </c>
      <c r="AO6" s="102" t="str">
        <f>IF(N6="","",IF(N6&gt;=$AO$1/100,"O","X"))</f>
        <v/>
      </c>
      <c r="AP6" s="102" t="str">
        <f>IF(I6="","",IF(I6&lt;=$AP$1,"O","X"))</f>
        <v/>
      </c>
      <c r="AQ6" s="102" t="str">
        <f>IF(O6="","",IF(O6&lt;=$AQ$1,"O","X"))</f>
        <v>O</v>
      </c>
      <c r="AR6" s="102" t="str">
        <f>IF(M6="","",IF(M6&lt;=$AR$1,"O","X"))</f>
        <v>O</v>
      </c>
      <c r="AS6" s="102" t="s">
        <v>32</v>
      </c>
      <c r="AT6" s="102" t="str">
        <f>IF(OR(F6="",AI6=""),"",IF(AND((F6&lt;=85),(AI6&gt;=15)),"O","X"))</f>
        <v>O</v>
      </c>
      <c r="AU6" s="102" t="str">
        <f>IF(C6="","",IF(C6&gt;=$AU$1,"O","X"))</f>
        <v>O</v>
      </c>
      <c r="AV6" s="102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6</vt:i4>
      </vt:variant>
    </vt:vector>
  </HeadingPairs>
  <TitlesOfParts>
    <vt:vector size="12" baseType="lpstr">
      <vt:lpstr>단지추출</vt:lpstr>
      <vt:lpstr>단지추출_가격표용</vt:lpstr>
      <vt:lpstr>동별가격표</vt:lpstr>
      <vt:lpstr>정보입력(KB)</vt:lpstr>
      <vt:lpstr>정보입력</vt:lpstr>
      <vt:lpstr>양식</vt:lpstr>
      <vt:lpstr>단지추출!Print_Area</vt:lpstr>
      <vt:lpstr>단지추출_가격표용!Print_Area</vt:lpstr>
      <vt:lpstr>양식!Print_Area</vt:lpstr>
      <vt:lpstr>단지추출!Print_Titles</vt:lpstr>
      <vt:lpstr>단지추출_가격표용!Print_Titles</vt:lpstr>
      <vt:lpstr>양식!Print_Titles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2022-04-03T14:40:17Z</dcterms:modified>
</cp:coreProperties>
</file>