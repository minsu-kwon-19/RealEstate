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경화동" sheetId="6" state="visible" r:id="rId6"/>
    <sheet xmlns:r="http://schemas.openxmlformats.org/officeDocument/2006/relationships" name="남문동" sheetId="7" state="visible" r:id="rId7"/>
    <sheet xmlns:r="http://schemas.openxmlformats.org/officeDocument/2006/relationships" name="남양동" sheetId="8" state="visible" r:id="rId8"/>
    <sheet xmlns:r="http://schemas.openxmlformats.org/officeDocument/2006/relationships" name="두동" sheetId="9" state="visible" r:id="rId9"/>
    <sheet xmlns:r="http://schemas.openxmlformats.org/officeDocument/2006/relationships" name="마천동" sheetId="10" state="visible" r:id="rId10"/>
    <sheet xmlns:r="http://schemas.openxmlformats.org/officeDocument/2006/relationships" name="부흥동" sheetId="11" state="visible" r:id="rId11"/>
    <sheet xmlns:r="http://schemas.openxmlformats.org/officeDocument/2006/relationships" name="석동" sheetId="12" state="visible" r:id="rId12"/>
    <sheet xmlns:r="http://schemas.openxmlformats.org/officeDocument/2006/relationships" name="안골동" sheetId="13" state="visible" r:id="rId13"/>
    <sheet xmlns:r="http://schemas.openxmlformats.org/officeDocument/2006/relationships" name="용원동" sheetId="14" state="visible" r:id="rId14"/>
    <sheet xmlns:r="http://schemas.openxmlformats.org/officeDocument/2006/relationships" name="이동" sheetId="15" state="visible" r:id="rId15"/>
    <sheet xmlns:r="http://schemas.openxmlformats.org/officeDocument/2006/relationships" name="자은동" sheetId="16" state="visible" r:id="rId16"/>
    <sheet xmlns:r="http://schemas.openxmlformats.org/officeDocument/2006/relationships" name="장천동" sheetId="17" state="visible" r:id="rId17"/>
    <sheet xmlns:r="http://schemas.openxmlformats.org/officeDocument/2006/relationships" name="청안동" sheetId="18" state="visible" r:id="rId18"/>
    <sheet xmlns:r="http://schemas.openxmlformats.org/officeDocument/2006/relationships" name="풍호동" sheetId="19" state="visible" r:id="rId19"/>
    <sheet xmlns:r="http://schemas.openxmlformats.org/officeDocument/2006/relationships" name="양식" sheetId="20" state="visible" r:id="rId20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'단지추출_가격표용'!$A$3:$U$131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'경화동'!$1:$3</definedName>
    <definedName name="_xlnm.Print_Area" localSheetId="5">'경화동'!$A$1:$U$6</definedName>
    <definedName name="_xlnm.Print_Titles" localSheetId="6">'남문동'!$1:$3</definedName>
    <definedName name="_xlnm.Print_Area" localSheetId="6">'남문동'!$A$1:$U$6</definedName>
    <definedName name="_xlnm.Print_Titles" localSheetId="7">'남양동'!$1:$3</definedName>
    <definedName name="_xlnm.Print_Area" localSheetId="7">'남양동'!$A$1:$U$6</definedName>
    <definedName name="_xlnm.Print_Titles" localSheetId="8">'두동'!$1:$3</definedName>
    <definedName name="_xlnm.Print_Area" localSheetId="8">'두동'!$A$1:$U$6</definedName>
    <definedName name="_xlnm.Print_Titles" localSheetId="9">'마천동'!$1:$3</definedName>
    <definedName name="_xlnm.Print_Area" localSheetId="9">'마천동'!$A$1:$U$6</definedName>
    <definedName name="_xlnm.Print_Titles" localSheetId="10">'부흥동'!$1:$3</definedName>
    <definedName name="_xlnm.Print_Area" localSheetId="10">'부흥동'!$A$1:$U$6</definedName>
    <definedName name="_xlnm.Print_Titles" localSheetId="11">'석동'!$1:$3</definedName>
    <definedName name="_xlnm.Print_Area" localSheetId="11">'석동'!$A$1:$U$6</definedName>
    <definedName name="_xlnm.Print_Titles" localSheetId="12">'안골동'!$1:$3</definedName>
    <definedName name="_xlnm.Print_Area" localSheetId="12">'안골동'!$A$1:$U$6</definedName>
    <definedName name="_xlnm.Print_Titles" localSheetId="13">'용원동'!$1:$3</definedName>
    <definedName name="_xlnm.Print_Area" localSheetId="13">'용원동'!$A$1:$U$6</definedName>
    <definedName name="_xlnm.Print_Titles" localSheetId="14">'이동'!$1:$3</definedName>
    <definedName name="_xlnm.Print_Area" localSheetId="14">'이동'!$A$1:$U$6</definedName>
    <definedName name="_xlnm.Print_Titles" localSheetId="15">'자은동'!$1:$3</definedName>
    <definedName name="_xlnm.Print_Area" localSheetId="15">'자은동'!$A$1:$U$6</definedName>
    <definedName name="_xlnm.Print_Titles" localSheetId="16">'장천동'!$1:$3</definedName>
    <definedName name="_xlnm.Print_Area" localSheetId="16">'장천동'!$A$1:$U$6</definedName>
    <definedName name="_xlnm.Print_Titles" localSheetId="17">'청안동'!$1:$3</definedName>
    <definedName name="_xlnm.Print_Area" localSheetId="17">'청안동'!$A$1:$U$6</definedName>
    <definedName name="_xlnm.Print_Titles" localSheetId="18">'풍호동'!$1:$3</definedName>
    <definedName name="_xlnm.Print_Area" localSheetId="18">'풍호동'!$A$1:$U$6</definedName>
    <definedName name="_xlnm.Print_Titles" localSheetId="19">'양식'!$1:$3</definedName>
    <definedName name="_xlnm.Print_Area" localSheetId="19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5" fillId="4" borderId="1" applyAlignment="1" pivotButton="0" quotePrefix="0" xfId="0">
      <alignment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835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Relationship Type="http://schemas.microsoft.com/office/2006/relationships/vbaProject" Target="vbaProject.bin" Id="rId23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148" activePane="bottomRight" state="frozen"/>
      <selection activeCell="U15" sqref="U15"/>
      <selection pane="topRight" activeCell="U15" sqref="U15"/>
      <selection pane="bottomLeft" activeCell="U15" sqref="U15"/>
      <selection pane="bottomRight" activeCell="T165" sqref="T165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5">
      <c r="A1" s="24" t="inlineStr">
        <is>
          <t>창원시 진해구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6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5">
      <c r="A2" s="127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5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8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9" t="n">
        <v>2010</v>
      </c>
      <c r="BC3" s="129" t="n">
        <v>2000</v>
      </c>
      <c r="BD3" s="129" t="n">
        <v>1990</v>
      </c>
      <c r="BE3" s="130" t="n">
        <v>1990</v>
      </c>
      <c r="BF3" s="37" t="n"/>
    </row>
    <row r="4" ht="12" customFormat="1" customHeight="1" s="37">
      <c r="A4" s="75" t="inlineStr">
        <is>
          <t>경화동 두산위브</t>
        </is>
      </c>
      <c r="B4" s="76" t="inlineStr">
        <is>
          <t>17.02.</t>
        </is>
      </c>
      <c r="C4" s="131" t="n">
        <v>462</v>
      </c>
      <c r="D4" s="132" t="n">
        <v>80.3</v>
      </c>
      <c r="E4" s="133" t="n">
        <v>24</v>
      </c>
      <c r="F4" s="132" t="n">
        <v>59.9</v>
      </c>
      <c r="G4" s="17" t="n">
        <v>18</v>
      </c>
      <c r="H4" s="134" t="n">
        <v>71</v>
      </c>
      <c r="I4" s="135" t="n">
        <v>31000</v>
      </c>
      <c r="J4" s="135" t="inlineStr">
        <is>
          <t>중</t>
        </is>
      </c>
      <c r="K4" s="135" t="n"/>
      <c r="L4" s="135" t="n"/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n">
        <v>80</v>
      </c>
      <c r="U4" s="9" t="n"/>
      <c r="W4" s="132">
        <f>D4</f>
        <v/>
      </c>
      <c r="X4" s="133">
        <f>E4</f>
        <v/>
      </c>
      <c r="Y4" s="138">
        <f>H4</f>
        <v/>
      </c>
      <c r="Z4" s="136">
        <f>I4</f>
        <v/>
      </c>
      <c r="AA4" s="136">
        <f>K4</f>
        <v/>
      </c>
      <c r="AB4" s="136">
        <f>M4</f>
        <v/>
      </c>
      <c r="AC4" s="4">
        <f>N4</f>
        <v/>
      </c>
      <c r="AD4" s="137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3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경화동 두산위브</t>
        </is>
      </c>
      <c r="B5" s="76" t="inlineStr">
        <is>
          <t>17.02.</t>
        </is>
      </c>
      <c r="C5" s="131" t="n">
        <v>462</v>
      </c>
      <c r="D5" s="132" t="n">
        <v>98.59999999999999</v>
      </c>
      <c r="E5" s="133" t="n">
        <v>30</v>
      </c>
      <c r="F5" s="132" t="n">
        <v>73.90000000000001</v>
      </c>
      <c r="G5" s="17" t="n">
        <v>22</v>
      </c>
      <c r="H5" s="134" t="n">
        <v>13</v>
      </c>
      <c r="I5" s="135" t="n">
        <v>36000</v>
      </c>
      <c r="J5" s="135" t="inlineStr">
        <is>
          <t>중</t>
        </is>
      </c>
      <c r="K5" s="135" t="n"/>
      <c r="L5" s="135" t="n"/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98B</t>
        </is>
      </c>
      <c r="U5" s="9" t="n"/>
      <c r="W5" s="132">
        <f>D5</f>
        <v/>
      </c>
      <c r="X5" s="133">
        <f>E5</f>
        <v/>
      </c>
      <c r="Y5" s="138">
        <f>H5</f>
        <v/>
      </c>
      <c r="Z5" s="136">
        <f>I5</f>
        <v/>
      </c>
      <c r="AA5" s="136">
        <f>K5</f>
        <v/>
      </c>
      <c r="AB5" s="136">
        <f>M5</f>
        <v/>
      </c>
      <c r="AC5" s="4">
        <f>N5</f>
        <v/>
      </c>
      <c r="AD5" s="137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3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경화동 두산위브</t>
        </is>
      </c>
      <c r="B6" s="76" t="inlineStr">
        <is>
          <t>17.02.</t>
        </is>
      </c>
      <c r="C6" s="131" t="n">
        <v>462</v>
      </c>
      <c r="D6" s="132" t="n">
        <v>98.2</v>
      </c>
      <c r="E6" s="133" t="n">
        <v>30</v>
      </c>
      <c r="F6" s="132" t="n">
        <v>73.90000000000001</v>
      </c>
      <c r="G6" s="17" t="n">
        <v>22</v>
      </c>
      <c r="H6" s="134" t="n">
        <v>11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98A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경화동 두산위브</t>
        </is>
      </c>
      <c r="B7" s="76" t="inlineStr">
        <is>
          <t>17.02.</t>
        </is>
      </c>
      <c r="C7" s="131" t="n">
        <v>462</v>
      </c>
      <c r="D7" s="132" t="n">
        <v>99.40000000000001</v>
      </c>
      <c r="E7" s="133" t="n">
        <v>30</v>
      </c>
      <c r="F7" s="132" t="n">
        <v>74.7</v>
      </c>
      <c r="G7" s="17" t="n">
        <v>23</v>
      </c>
      <c r="H7" s="134" t="n">
        <v>147</v>
      </c>
      <c r="I7" s="135" t="n">
        <v>39500</v>
      </c>
      <c r="J7" s="135" t="inlineStr">
        <is>
          <t>고</t>
        </is>
      </c>
      <c r="K7" s="135" t="n">
        <v>30000</v>
      </c>
      <c r="L7" s="135" t="inlineStr">
        <is>
          <t>11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99C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경화동 두산위브</t>
        </is>
      </c>
      <c r="B8" s="76" t="inlineStr">
        <is>
          <t>17.02.</t>
        </is>
      </c>
      <c r="C8" s="131" t="n">
        <v>462</v>
      </c>
      <c r="D8" s="132" t="n">
        <v>112.8</v>
      </c>
      <c r="E8" s="133" t="n">
        <v>34</v>
      </c>
      <c r="F8" s="132" t="n">
        <v>84.90000000000001</v>
      </c>
      <c r="G8" s="17" t="n">
        <v>26</v>
      </c>
      <c r="H8" s="134" t="n">
        <v>59</v>
      </c>
      <c r="I8" s="135" t="n">
        <v>40500</v>
      </c>
      <c r="J8" s="135" t="inlineStr">
        <is>
          <t>중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112C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경화동 두산위브</t>
        </is>
      </c>
      <c r="B9" s="76" t="inlineStr">
        <is>
          <t>17.02.</t>
        </is>
      </c>
      <c r="C9" s="131" t="n">
        <v>462</v>
      </c>
      <c r="D9" s="132" t="n">
        <v>112.6</v>
      </c>
      <c r="E9" s="133" t="n">
        <v>34</v>
      </c>
      <c r="F9" s="132" t="n">
        <v>84.8</v>
      </c>
      <c r="G9" s="17" t="n">
        <v>26</v>
      </c>
      <c r="H9" s="134" t="n">
        <v>54</v>
      </c>
      <c r="I9" s="135" t="n">
        <v>39500</v>
      </c>
      <c r="J9" s="135" t="inlineStr">
        <is>
          <t>고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112B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경화동 두산위브</t>
        </is>
      </c>
      <c r="B10" s="76" t="inlineStr">
        <is>
          <t>17.02.</t>
        </is>
      </c>
      <c r="C10" s="131" t="n">
        <v>462</v>
      </c>
      <c r="D10" s="132" t="n">
        <v>113.2</v>
      </c>
      <c r="E10" s="133" t="n">
        <v>34</v>
      </c>
      <c r="F10" s="132" t="n">
        <v>85</v>
      </c>
      <c r="G10" s="17" t="n">
        <v>26</v>
      </c>
      <c r="H10" s="134" t="n">
        <v>60</v>
      </c>
      <c r="I10" s="135" t="n">
        <v>38500</v>
      </c>
      <c r="J10" s="135" t="inlineStr">
        <is>
          <t>고</t>
        </is>
      </c>
      <c r="K10" s="135" t="n">
        <v>34000</v>
      </c>
      <c r="L10" s="135" t="inlineStr">
        <is>
          <t>고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113A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경화동 두산위브</t>
        </is>
      </c>
      <c r="B11" s="76" t="inlineStr">
        <is>
          <t>17.02.</t>
        </is>
      </c>
      <c r="C11" s="131" t="n">
        <v>462</v>
      </c>
      <c r="D11" s="132" t="n">
        <v>113.2</v>
      </c>
      <c r="E11" s="133" t="n">
        <v>34</v>
      </c>
      <c r="F11" s="132" t="n">
        <v>84.90000000000001</v>
      </c>
      <c r="G11" s="17" t="n">
        <v>26</v>
      </c>
      <c r="H11" s="134" t="n">
        <v>47</v>
      </c>
      <c r="I11" s="135" t="n">
        <v>57000</v>
      </c>
      <c r="J11" s="135" t="inlineStr">
        <is>
          <t>고</t>
        </is>
      </c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113D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경화동 대동다숲</t>
        </is>
      </c>
      <c r="B12" s="76" t="inlineStr">
        <is>
          <t>06.08.</t>
        </is>
      </c>
      <c r="C12" s="131" t="n">
        <v>408</v>
      </c>
      <c r="D12" s="132" t="n">
        <v>111.1</v>
      </c>
      <c r="E12" s="133" t="n">
        <v>34</v>
      </c>
      <c r="F12" s="132" t="n">
        <v>85</v>
      </c>
      <c r="G12" s="17" t="n">
        <v>26</v>
      </c>
      <c r="H12" s="134" t="n">
        <v>378</v>
      </c>
      <c r="I12" s="135" t="n">
        <v>22500</v>
      </c>
      <c r="J12" s="135" t="inlineStr">
        <is>
          <t>고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111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경화동 대동다숲</t>
        </is>
      </c>
      <c r="B13" s="76" t="inlineStr">
        <is>
          <t>06.08.</t>
        </is>
      </c>
      <c r="C13" s="131" t="n">
        <v>408</v>
      </c>
      <c r="D13" s="132" t="n">
        <v>160.5</v>
      </c>
      <c r="E13" s="133" t="n">
        <v>49</v>
      </c>
      <c r="F13" s="132" t="n">
        <v>130.2</v>
      </c>
      <c r="G13" s="17" t="n">
        <v>39</v>
      </c>
      <c r="H13" s="134" t="n">
        <v>30</v>
      </c>
      <c r="I13" s="135" t="n">
        <v>35000</v>
      </c>
      <c r="J13" s="135" t="inlineStr">
        <is>
          <t>중</t>
        </is>
      </c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160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경화동 창원경화베스티움</t>
        </is>
      </c>
      <c r="B14" s="76" t="inlineStr">
        <is>
          <t>18.12.</t>
        </is>
      </c>
      <c r="C14" s="131" t="n">
        <v>285</v>
      </c>
      <c r="D14" s="132" t="n">
        <v>100.3</v>
      </c>
      <c r="E14" s="133" t="n">
        <v>30</v>
      </c>
      <c r="F14" s="132" t="n">
        <v>76.3</v>
      </c>
      <c r="G14" s="17" t="n">
        <v>23</v>
      </c>
      <c r="H14" s="134" t="n">
        <v>47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100A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3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경화동 창원경화베스티움</t>
        </is>
      </c>
      <c r="B15" s="76" t="inlineStr">
        <is>
          <t>18.12.</t>
        </is>
      </c>
      <c r="C15" s="131" t="n">
        <v>285</v>
      </c>
      <c r="D15" s="132" t="n">
        <v>100.1</v>
      </c>
      <c r="E15" s="133" t="n">
        <v>30</v>
      </c>
      <c r="F15" s="132" t="n">
        <v>76.09999999999999</v>
      </c>
      <c r="G15" s="17" t="n">
        <v>23</v>
      </c>
      <c r="H15" s="134" t="n">
        <v>5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100B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3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경화동 창원경화베스티움</t>
        </is>
      </c>
      <c r="B16" s="76" t="inlineStr">
        <is>
          <t>18.12.</t>
        </is>
      </c>
      <c r="C16" s="131" t="n">
        <v>285</v>
      </c>
      <c r="D16" s="132" t="n">
        <v>110.9</v>
      </c>
      <c r="E16" s="133" t="n">
        <v>34</v>
      </c>
      <c r="F16" s="132" t="n">
        <v>84.5</v>
      </c>
      <c r="G16" s="17" t="n">
        <v>26</v>
      </c>
      <c r="H16" s="134" t="n">
        <v>45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110C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경화동 창원경화베스티움</t>
        </is>
      </c>
      <c r="B17" s="76" t="inlineStr">
        <is>
          <t>18.12.</t>
        </is>
      </c>
      <c r="C17" s="131" t="n">
        <v>285</v>
      </c>
      <c r="D17" s="132" t="n">
        <v>111.3</v>
      </c>
      <c r="E17" s="133" t="n">
        <v>34</v>
      </c>
      <c r="F17" s="132" t="n">
        <v>85</v>
      </c>
      <c r="G17" s="17" t="n">
        <v>26</v>
      </c>
      <c r="H17" s="134" t="n">
        <v>90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inlineStr">
        <is>
          <t>111A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3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경화동 창원경화베스티움</t>
        </is>
      </c>
      <c r="B18" s="76" t="inlineStr">
        <is>
          <t>18.12.</t>
        </is>
      </c>
      <c r="C18" s="131" t="n">
        <v>285</v>
      </c>
      <c r="D18" s="132" t="n">
        <v>111.6</v>
      </c>
      <c r="E18" s="133" t="n">
        <v>34</v>
      </c>
      <c r="F18" s="132" t="n">
        <v>84.90000000000001</v>
      </c>
      <c r="G18" s="17" t="n">
        <v>26</v>
      </c>
      <c r="H18" s="134" t="n">
        <v>78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111B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3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경화동 창원경화베스티움</t>
        </is>
      </c>
      <c r="B19" s="76" t="inlineStr">
        <is>
          <t>18.12.</t>
        </is>
      </c>
      <c r="C19" s="131" t="n">
        <v>285</v>
      </c>
      <c r="D19" s="132" t="n">
        <v>111.1</v>
      </c>
      <c r="E19" s="133" t="n">
        <v>34</v>
      </c>
      <c r="F19" s="132" t="n">
        <v>84.7</v>
      </c>
      <c r="G19" s="17" t="n">
        <v>26</v>
      </c>
      <c r="H19" s="134" t="n">
        <v>14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111T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3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경화동 창원경화베스티움</t>
        </is>
      </c>
      <c r="B20" s="76" t="inlineStr">
        <is>
          <t>18.12.</t>
        </is>
      </c>
      <c r="C20" s="131" t="n">
        <v>285</v>
      </c>
      <c r="D20" s="132" t="n">
        <v>192.5</v>
      </c>
      <c r="E20" s="133" t="n">
        <v>58</v>
      </c>
      <c r="F20" s="132" t="n">
        <v>145.6</v>
      </c>
      <c r="G20" s="17" t="n">
        <v>44</v>
      </c>
      <c r="H20" s="134" t="n">
        <v>6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5</v>
      </c>
      <c r="R20" s="121" t="n">
        <v>3</v>
      </c>
      <c r="S20" s="121" t="inlineStr">
        <is>
          <t>계</t>
        </is>
      </c>
      <c r="T20" s="5" t="inlineStr">
        <is>
          <t>192P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3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경화동 경화삼정그린코아1단지</t>
        </is>
      </c>
      <c r="B21" s="76" t="inlineStr">
        <is>
          <t>05.08.</t>
        </is>
      </c>
      <c r="C21" s="131" t="n">
        <v>202</v>
      </c>
      <c r="D21" s="132" t="n">
        <v>111.2</v>
      </c>
      <c r="E21" s="133" t="n">
        <v>34</v>
      </c>
      <c r="F21" s="132" t="n">
        <v>84.90000000000001</v>
      </c>
      <c r="G21" s="17" t="n">
        <v>26</v>
      </c>
      <c r="H21" s="134" t="n">
        <v>202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111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경화동 경화주공</t>
        </is>
      </c>
      <c r="B22" s="76" t="inlineStr">
        <is>
          <t>86.11.</t>
        </is>
      </c>
      <c r="C22" s="131" t="n">
        <v>420</v>
      </c>
      <c r="D22" s="132" t="n">
        <v>37.4</v>
      </c>
      <c r="E22" s="133" t="n">
        <v>11</v>
      </c>
      <c r="F22" s="132" t="n">
        <v>32</v>
      </c>
      <c r="G22" s="17" t="n">
        <v>10</v>
      </c>
      <c r="H22" s="134" t="n">
        <v>220</v>
      </c>
      <c r="I22" s="135" t="n">
        <v>9000</v>
      </c>
      <c r="J22" s="135" t="inlineStr">
        <is>
          <t>고</t>
        </is>
      </c>
      <c r="K22" s="135" t="n">
        <v>3500</v>
      </c>
      <c r="L22" s="135" t="inlineStr">
        <is>
          <t>5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37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3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경화동 경화주공</t>
        </is>
      </c>
      <c r="B23" s="76" t="inlineStr">
        <is>
          <t>86.11.</t>
        </is>
      </c>
      <c r="C23" s="131" t="n">
        <v>420</v>
      </c>
      <c r="D23" s="132" t="n">
        <v>45.1</v>
      </c>
      <c r="E23" s="133" t="n">
        <v>14</v>
      </c>
      <c r="F23" s="132" t="n">
        <v>39.7</v>
      </c>
      <c r="G23" s="17" t="n">
        <v>12</v>
      </c>
      <c r="H23" s="134" t="n">
        <v>200</v>
      </c>
      <c r="I23" s="135" t="n">
        <v>10600</v>
      </c>
      <c r="J23" s="135" t="inlineStr">
        <is>
          <t>고</t>
        </is>
      </c>
      <c r="K23" s="135" t="n">
        <v>7500</v>
      </c>
      <c r="L23" s="135" t="inlineStr">
        <is>
          <t>5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45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3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경화동 포스코더샵</t>
        </is>
      </c>
      <c r="B24" s="76" t="inlineStr">
        <is>
          <t>05.11.</t>
        </is>
      </c>
      <c r="C24" s="131" t="n">
        <v>441</v>
      </c>
      <c r="D24" s="132" t="n">
        <v>111.5</v>
      </c>
      <c r="E24" s="133" t="n">
        <v>34</v>
      </c>
      <c r="F24" s="132" t="n">
        <v>84.90000000000001</v>
      </c>
      <c r="G24" s="17" t="n">
        <v>26</v>
      </c>
      <c r="H24" s="134" t="n">
        <v>351</v>
      </c>
      <c r="I24" s="135" t="n">
        <v>23500</v>
      </c>
      <c r="J24" s="135" t="inlineStr">
        <is>
          <t>고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111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3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경화동 포스코더샵</t>
        </is>
      </c>
      <c r="B25" s="76" t="inlineStr">
        <is>
          <t>05.11.</t>
        </is>
      </c>
      <c r="C25" s="131" t="n">
        <v>441</v>
      </c>
      <c r="D25" s="132" t="n">
        <v>113.6</v>
      </c>
      <c r="E25" s="133" t="n">
        <v>34</v>
      </c>
      <c r="F25" s="132" t="n">
        <v>84.90000000000001</v>
      </c>
      <c r="G25" s="17" t="n">
        <v>26</v>
      </c>
      <c r="H25" s="134" t="n">
        <v>90</v>
      </c>
      <c r="I25" s="135" t="n">
        <v>24000</v>
      </c>
      <c r="J25" s="135" t="inlineStr">
        <is>
          <t>중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113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3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남문동 진해남문리젠시빌란트더웰</t>
        </is>
      </c>
      <c r="B26" s="76" t="inlineStr">
        <is>
          <t>24.03.</t>
        </is>
      </c>
      <c r="C26" s="131" t="n">
        <v>458</v>
      </c>
      <c r="D26" s="132" t="n">
        <v>100.4</v>
      </c>
      <c r="E26" s="133" t="n">
        <v>30</v>
      </c>
      <c r="F26" s="132" t="n">
        <v>74.40000000000001</v>
      </c>
      <c r="G26" s="17" t="n">
        <v>23</v>
      </c>
      <c r="H26" s="134" t="n">
        <v>120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inlineStr">
        <is>
          <t>100A</t>
        </is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3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남문동 진해남문리젠시빌란트더웰</t>
        </is>
      </c>
      <c r="B27" s="76" t="inlineStr">
        <is>
          <t>24.03.</t>
        </is>
      </c>
      <c r="C27" s="131" t="n">
        <v>458</v>
      </c>
      <c r="D27" s="132" t="n">
        <v>101.4</v>
      </c>
      <c r="E27" s="133" t="n">
        <v>31</v>
      </c>
      <c r="F27" s="132" t="n">
        <v>74.90000000000001</v>
      </c>
      <c r="G27" s="17" t="n">
        <v>23</v>
      </c>
      <c r="H27" s="134" t="n">
        <v>24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101B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3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남문동 진해남문리젠시빌란트더웰</t>
        </is>
      </c>
      <c r="B28" s="76" t="inlineStr">
        <is>
          <t>24.03.</t>
        </is>
      </c>
      <c r="C28" s="131" t="n">
        <v>458</v>
      </c>
      <c r="D28" s="132" t="n">
        <v>112.9</v>
      </c>
      <c r="E28" s="133" t="n">
        <v>34</v>
      </c>
      <c r="F28" s="132" t="n">
        <v>84.90000000000001</v>
      </c>
      <c r="G28" s="17" t="n">
        <v>26</v>
      </c>
      <c r="H28" s="134" t="n">
        <v>314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112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3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남문동 진해남문하우스디</t>
        </is>
      </c>
      <c r="B29" s="76" t="inlineStr">
        <is>
          <t>19.01.</t>
        </is>
      </c>
      <c r="C29" s="131" t="n">
        <v>299</v>
      </c>
      <c r="D29" s="132" t="n">
        <v>95.2</v>
      </c>
      <c r="E29" s="133" t="n">
        <v>29</v>
      </c>
      <c r="F29" s="132" t="n">
        <v>73</v>
      </c>
      <c r="G29" s="17" t="n">
        <v>22</v>
      </c>
      <c r="H29" s="134" t="n">
        <v>40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95A-1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3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남문동 진해남문하우스디</t>
        </is>
      </c>
      <c r="B30" s="76" t="inlineStr">
        <is>
          <t>19.01.</t>
        </is>
      </c>
      <c r="C30" s="131" t="n">
        <v>299</v>
      </c>
      <c r="D30" s="132" t="n">
        <v>95.2</v>
      </c>
      <c r="E30" s="133" t="n">
        <v>29</v>
      </c>
      <c r="F30" s="132" t="n">
        <v>73</v>
      </c>
      <c r="G30" s="17" t="n">
        <v>22</v>
      </c>
      <c r="H30" s="134" t="n">
        <v>31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95A-2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3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남문동 진해남문하우스디</t>
        </is>
      </c>
      <c r="B31" s="76" t="inlineStr">
        <is>
          <t>19.01.</t>
        </is>
      </c>
      <c r="C31" s="131" t="n">
        <v>299</v>
      </c>
      <c r="D31" s="132" t="n">
        <v>110</v>
      </c>
      <c r="E31" s="133" t="n">
        <v>33</v>
      </c>
      <c r="F31" s="132" t="n">
        <v>84.90000000000001</v>
      </c>
      <c r="G31" s="17" t="n">
        <v>26</v>
      </c>
      <c r="H31" s="134" t="n">
        <v>96</v>
      </c>
      <c r="I31" s="135" t="n"/>
      <c r="J31" s="135" t="n"/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110B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3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남문동 진해남문하우스디</t>
        </is>
      </c>
      <c r="B32" s="76" t="inlineStr">
        <is>
          <t>19.01.</t>
        </is>
      </c>
      <c r="C32" s="131" t="n">
        <v>299</v>
      </c>
      <c r="D32" s="132" t="n">
        <v>110.2</v>
      </c>
      <c r="E32" s="133" t="n">
        <v>33</v>
      </c>
      <c r="F32" s="132" t="n">
        <v>84.90000000000001</v>
      </c>
      <c r="G32" s="17" t="n">
        <v>26</v>
      </c>
      <c r="H32" s="134" t="n">
        <v>48</v>
      </c>
      <c r="I32" s="135" t="n"/>
      <c r="J32" s="135" t="n"/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110A-2</t>
        </is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3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남문동 진해남문하우스디</t>
        </is>
      </c>
      <c r="B33" s="76" t="inlineStr">
        <is>
          <t>19.01.</t>
        </is>
      </c>
      <c r="C33" s="131" t="n">
        <v>299</v>
      </c>
      <c r="D33" s="132" t="n">
        <v>110.2</v>
      </c>
      <c r="E33" s="133" t="n">
        <v>33</v>
      </c>
      <c r="F33" s="132" t="n">
        <v>84.90000000000001</v>
      </c>
      <c r="G33" s="17" t="n">
        <v>26</v>
      </c>
      <c r="H33" s="134" t="n">
        <v>42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110A-1</t>
        </is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3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남문동 진해남문하우스디</t>
        </is>
      </c>
      <c r="B34" s="76" t="inlineStr">
        <is>
          <t>19.01.</t>
        </is>
      </c>
      <c r="C34" s="131" t="n">
        <v>299</v>
      </c>
      <c r="D34" s="132" t="n">
        <v>110.9</v>
      </c>
      <c r="E34" s="133" t="n">
        <v>34</v>
      </c>
      <c r="F34" s="132" t="n">
        <v>84.90000000000001</v>
      </c>
      <c r="G34" s="17" t="n">
        <v>26</v>
      </c>
      <c r="H34" s="134" t="n">
        <v>42</v>
      </c>
      <c r="I34" s="135" t="n"/>
      <c r="J34" s="135" t="n"/>
      <c r="K34" s="135" t="n"/>
      <c r="L34" s="135" t="n"/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110C</t>
        </is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3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남문동 남문호반베르디움</t>
        </is>
      </c>
      <c r="B35" s="76" t="inlineStr">
        <is>
          <t>18.06.</t>
        </is>
      </c>
      <c r="C35" s="131" t="n">
        <v>944</v>
      </c>
      <c r="D35" s="132" t="n">
        <v>97.2</v>
      </c>
      <c r="E35" s="133" t="n">
        <v>29</v>
      </c>
      <c r="F35" s="132" t="n">
        <v>72</v>
      </c>
      <c r="G35" s="17" t="n">
        <v>22</v>
      </c>
      <c r="H35" s="134" t="n">
        <v>371</v>
      </c>
      <c r="I35" s="135" t="n">
        <v>27000</v>
      </c>
      <c r="J35" s="135" t="inlineStr">
        <is>
          <t>고</t>
        </is>
      </c>
      <c r="K35" s="135" t="n">
        <v>20000</v>
      </c>
      <c r="L35" s="135" t="inlineStr">
        <is>
          <t>10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97A</t>
        </is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3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남문동 남문호반베르디움</t>
        </is>
      </c>
      <c r="B36" s="76" t="inlineStr">
        <is>
          <t>18.06.</t>
        </is>
      </c>
      <c r="C36" s="131" t="n">
        <v>944</v>
      </c>
      <c r="D36" s="132" t="n">
        <v>97.3</v>
      </c>
      <c r="E36" s="133" t="n">
        <v>29</v>
      </c>
      <c r="F36" s="132" t="n">
        <v>72</v>
      </c>
      <c r="G36" s="17" t="n">
        <v>22</v>
      </c>
      <c r="H36" s="134" t="n">
        <v>125</v>
      </c>
      <c r="I36" s="135" t="n">
        <v>27000</v>
      </c>
      <c r="J36" s="135" t="inlineStr">
        <is>
          <t>24</t>
        </is>
      </c>
      <c r="K36" s="135" t="n">
        <v>20000</v>
      </c>
      <c r="L36" s="135" t="inlineStr">
        <is>
          <t>11</t>
        </is>
      </c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97B</t>
        </is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3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남문동 남문호반베르디움</t>
        </is>
      </c>
      <c r="B37" s="76" t="inlineStr">
        <is>
          <t>18.06.</t>
        </is>
      </c>
      <c r="C37" s="131" t="n">
        <v>944</v>
      </c>
      <c r="D37" s="132" t="n">
        <v>110.2</v>
      </c>
      <c r="E37" s="133" t="n">
        <v>33</v>
      </c>
      <c r="F37" s="132" t="n">
        <v>85</v>
      </c>
      <c r="G37" s="17" t="n">
        <v>26</v>
      </c>
      <c r="H37" s="134" t="n">
        <v>448</v>
      </c>
      <c r="I37" s="135" t="n">
        <v>31000</v>
      </c>
      <c r="J37" s="135" t="inlineStr">
        <is>
          <t>5</t>
        </is>
      </c>
      <c r="K37" s="135" t="n">
        <v>24000</v>
      </c>
      <c r="L37" s="135" t="inlineStr">
        <is>
          <t>6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n">
        <v>110</v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3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남문동 진해남문시티프라디움2차</t>
        </is>
      </c>
      <c r="B38" s="76" t="inlineStr">
        <is>
          <t>17.12.</t>
        </is>
      </c>
      <c r="C38" s="131" t="n">
        <v>876</v>
      </c>
      <c r="D38" s="132" t="n">
        <v>96.5</v>
      </c>
      <c r="E38" s="133" t="n">
        <v>29</v>
      </c>
      <c r="F38" s="132" t="n">
        <v>74.09999999999999</v>
      </c>
      <c r="G38" s="17" t="n">
        <v>22</v>
      </c>
      <c r="H38" s="134" t="n">
        <v>115</v>
      </c>
      <c r="I38" s="135" t="n">
        <v>27000</v>
      </c>
      <c r="J38" s="135" t="inlineStr">
        <is>
          <t>중</t>
        </is>
      </c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96C</t>
        </is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3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남문동 진해남문시티프라디움2차</t>
        </is>
      </c>
      <c r="B39" s="76" t="inlineStr">
        <is>
          <t>17.12.</t>
        </is>
      </c>
      <c r="C39" s="131" t="n">
        <v>876</v>
      </c>
      <c r="D39" s="132" t="n">
        <v>96.5</v>
      </c>
      <c r="E39" s="133" t="n">
        <v>29</v>
      </c>
      <c r="F39" s="132" t="n">
        <v>74.3</v>
      </c>
      <c r="G39" s="17" t="n">
        <v>22</v>
      </c>
      <c r="H39" s="134" t="n">
        <v>113</v>
      </c>
      <c r="I39" s="135" t="n">
        <v>28000</v>
      </c>
      <c r="J39" s="135" t="inlineStr">
        <is>
          <t>고</t>
        </is>
      </c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96A</t>
        </is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3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남문동 진해남문시티프라디움2차</t>
        </is>
      </c>
      <c r="B40" s="76" t="inlineStr">
        <is>
          <t>17.12.</t>
        </is>
      </c>
      <c r="C40" s="131" t="n">
        <v>876</v>
      </c>
      <c r="D40" s="132" t="n">
        <v>96.90000000000001</v>
      </c>
      <c r="E40" s="133" t="n">
        <v>29</v>
      </c>
      <c r="F40" s="132" t="n">
        <v>74.5</v>
      </c>
      <c r="G40" s="17" t="n">
        <v>23</v>
      </c>
      <c r="H40" s="134" t="n">
        <v>64</v>
      </c>
      <c r="I40" s="135" t="n"/>
      <c r="J40" s="135" t="n"/>
      <c r="K40" s="135" t="n">
        <v>21000</v>
      </c>
      <c r="L40" s="135" t="inlineStr">
        <is>
          <t>고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96B</t>
        </is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3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남문동 진해남문시티프라디움2차</t>
        </is>
      </c>
      <c r="B41" s="76" t="inlineStr">
        <is>
          <t>17.12.</t>
        </is>
      </c>
      <c r="C41" s="131" t="n">
        <v>876</v>
      </c>
      <c r="D41" s="132" t="n">
        <v>109.3</v>
      </c>
      <c r="E41" s="133" t="n">
        <v>33</v>
      </c>
      <c r="F41" s="132" t="n">
        <v>85</v>
      </c>
      <c r="G41" s="17" t="n">
        <v>26</v>
      </c>
      <c r="H41" s="134" t="n">
        <v>584</v>
      </c>
      <c r="I41" s="135" t="n">
        <v>30000</v>
      </c>
      <c r="J41" s="135" t="inlineStr">
        <is>
          <t>중</t>
        </is>
      </c>
      <c r="K41" s="135" t="n">
        <v>22000</v>
      </c>
      <c r="L41" s="135" t="inlineStr">
        <is>
          <t>13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109</v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3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남문동 시티프라디움1차</t>
        </is>
      </c>
      <c r="B42" s="76" t="inlineStr">
        <is>
          <t>17.04.</t>
        </is>
      </c>
      <c r="C42" s="131" t="n">
        <v>1103</v>
      </c>
      <c r="D42" s="132" t="n">
        <v>83.90000000000001</v>
      </c>
      <c r="E42" s="133" t="n">
        <v>25</v>
      </c>
      <c r="F42" s="132" t="n">
        <v>60</v>
      </c>
      <c r="G42" s="17" t="n">
        <v>18</v>
      </c>
      <c r="H42" s="134" t="n">
        <v>430</v>
      </c>
      <c r="I42" s="135" t="n">
        <v>20500</v>
      </c>
      <c r="J42" s="135" t="inlineStr">
        <is>
          <t>고</t>
        </is>
      </c>
      <c r="K42" s="135" t="n">
        <v>17000</v>
      </c>
      <c r="L42" s="135" t="inlineStr">
        <is>
          <t>중</t>
        </is>
      </c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83A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3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남문동 시티프라디움1차</t>
        </is>
      </c>
      <c r="B43" s="76" t="inlineStr">
        <is>
          <t>17.04.</t>
        </is>
      </c>
      <c r="C43" s="131" t="n">
        <v>1103</v>
      </c>
      <c r="D43" s="132" t="n">
        <v>83.3</v>
      </c>
      <c r="E43" s="133" t="n">
        <v>25</v>
      </c>
      <c r="F43" s="132" t="n">
        <v>60</v>
      </c>
      <c r="G43" s="17" t="n">
        <v>18</v>
      </c>
      <c r="H43" s="134" t="n">
        <v>374</v>
      </c>
      <c r="I43" s="135" t="n">
        <v>21000</v>
      </c>
      <c r="J43" s="135" t="inlineStr">
        <is>
          <t>12</t>
        </is>
      </c>
      <c r="K43" s="135" t="n">
        <v>22000</v>
      </c>
      <c r="L43" s="135" t="inlineStr">
        <is>
          <t>고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83B</t>
        </is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3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남문동 시티프라디움1차</t>
        </is>
      </c>
      <c r="B44" s="76" t="inlineStr">
        <is>
          <t>17.04.</t>
        </is>
      </c>
      <c r="C44" s="131" t="n">
        <v>1103</v>
      </c>
      <c r="D44" s="132" t="n">
        <v>83.8</v>
      </c>
      <c r="E44" s="133" t="n">
        <v>25</v>
      </c>
      <c r="F44" s="132" t="n">
        <v>60</v>
      </c>
      <c r="G44" s="17" t="n">
        <v>18</v>
      </c>
      <c r="H44" s="134" t="n">
        <v>299</v>
      </c>
      <c r="I44" s="135" t="n">
        <v>20000</v>
      </c>
      <c r="J44" s="135" t="inlineStr">
        <is>
          <t>고</t>
        </is>
      </c>
      <c r="K44" s="135" t="n">
        <v>18500</v>
      </c>
      <c r="L44" s="135" t="inlineStr">
        <is>
          <t>24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83C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3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남양동 창원진해비전시티우방아이유쉘</t>
        </is>
      </c>
      <c r="B45" s="76" t="inlineStr">
        <is>
          <t>21.08.</t>
        </is>
      </c>
      <c r="C45" s="131" t="n">
        <v>564</v>
      </c>
      <c r="D45" s="132" t="n">
        <v>101.8</v>
      </c>
      <c r="E45" s="133" t="n">
        <v>31</v>
      </c>
      <c r="F45" s="132" t="n">
        <v>76.59999999999999</v>
      </c>
      <c r="G45" s="17" t="n">
        <v>23</v>
      </c>
      <c r="H45" s="134" t="n">
        <v>564</v>
      </c>
      <c r="I45" s="135" t="n">
        <v>23250</v>
      </c>
      <c r="J45" s="135" t="inlineStr">
        <is>
          <t>고</t>
        </is>
      </c>
      <c r="K45" s="135" t="n">
        <v>16500</v>
      </c>
      <c r="L45" s="135" t="inlineStr">
        <is>
          <t>11</t>
        </is>
      </c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101A</t>
        </is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3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남양동 남양에스티엑스칸</t>
        </is>
      </c>
      <c r="B46" s="76" t="inlineStr">
        <is>
          <t>09.02.</t>
        </is>
      </c>
      <c r="C46" s="131" t="n">
        <v>385</v>
      </c>
      <c r="D46" s="132" t="n">
        <v>110.4</v>
      </c>
      <c r="E46" s="133" t="n">
        <v>33</v>
      </c>
      <c r="F46" s="132" t="n">
        <v>85</v>
      </c>
      <c r="G46" s="17" t="n">
        <v>26</v>
      </c>
      <c r="H46" s="134" t="n">
        <v>24</v>
      </c>
      <c r="I46" s="135" t="n"/>
      <c r="J46" s="135" t="n"/>
      <c r="K46" s="135" t="n">
        <v>14000</v>
      </c>
      <c r="L46" s="135" t="inlineStr">
        <is>
          <t>중</t>
        </is>
      </c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110A</t>
        </is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3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남양동 남양에스티엑스칸</t>
        </is>
      </c>
      <c r="B47" s="76" t="inlineStr">
        <is>
          <t>09.02.</t>
        </is>
      </c>
      <c r="C47" s="131" t="n">
        <v>385</v>
      </c>
      <c r="D47" s="132" t="n">
        <v>110.7</v>
      </c>
      <c r="E47" s="133" t="n">
        <v>33</v>
      </c>
      <c r="F47" s="132" t="n">
        <v>85</v>
      </c>
      <c r="G47" s="17" t="n">
        <v>26</v>
      </c>
      <c r="H47" s="134" t="n">
        <v>13</v>
      </c>
      <c r="I47" s="135" t="n"/>
      <c r="J47" s="135" t="n"/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110B</t>
        </is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3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남양동 남양에스티엑스칸</t>
        </is>
      </c>
      <c r="B48" s="76" t="inlineStr">
        <is>
          <t>09.02.</t>
        </is>
      </c>
      <c r="C48" s="131" t="n">
        <v>385</v>
      </c>
      <c r="D48" s="132" t="n">
        <v>111.4</v>
      </c>
      <c r="E48" s="133" t="n">
        <v>34</v>
      </c>
      <c r="F48" s="132" t="n">
        <v>85</v>
      </c>
      <c r="G48" s="17" t="n">
        <v>26</v>
      </c>
      <c r="H48" s="134" t="n">
        <v>347</v>
      </c>
      <c r="I48" s="135" t="n">
        <v>18300</v>
      </c>
      <c r="J48" s="135" t="inlineStr">
        <is>
          <t>고</t>
        </is>
      </c>
      <c r="K48" s="135" t="n">
        <v>13500</v>
      </c>
      <c r="L48" s="135" t="inlineStr">
        <is>
          <t>중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111A</t>
        </is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3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남양동 남양에스티엑스칸</t>
        </is>
      </c>
      <c r="B49" s="76" t="inlineStr">
        <is>
          <t>09.02.</t>
        </is>
      </c>
      <c r="C49" s="131" t="n">
        <v>385</v>
      </c>
      <c r="D49" s="132" t="n">
        <v>111.4</v>
      </c>
      <c r="E49" s="133" t="n">
        <v>34</v>
      </c>
      <c r="F49" s="132" t="n">
        <v>85</v>
      </c>
      <c r="G49" s="17" t="n">
        <v>26</v>
      </c>
      <c r="H49" s="134" t="n">
        <v>1</v>
      </c>
      <c r="I49" s="135" t="n">
        <v>18300</v>
      </c>
      <c r="J49" s="135" t="inlineStr">
        <is>
          <t>고</t>
        </is>
      </c>
      <c r="K49" s="135" t="n">
        <v>13500</v>
      </c>
      <c r="L49" s="135" t="inlineStr">
        <is>
          <t>중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111B</t>
        </is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3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두동 청안해오름</t>
        </is>
      </c>
      <c r="B50" s="76" t="inlineStr">
        <is>
          <t>04.03.</t>
        </is>
      </c>
      <c r="C50" s="131" t="n">
        <v>274</v>
      </c>
      <c r="D50" s="132" t="n">
        <v>113</v>
      </c>
      <c r="E50" s="133" t="n">
        <v>34</v>
      </c>
      <c r="F50" s="132" t="n">
        <v>84.90000000000001</v>
      </c>
      <c r="G50" s="17" t="n">
        <v>26</v>
      </c>
      <c r="H50" s="134" t="n">
        <v>18</v>
      </c>
      <c r="I50" s="135" t="n"/>
      <c r="J50" s="135" t="n"/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112</v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3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마천동 진해신항만경남아너스빌</t>
        </is>
      </c>
      <c r="B51" s="76" t="inlineStr">
        <is>
          <t>08.08.</t>
        </is>
      </c>
      <c r="C51" s="131" t="n">
        <v>468</v>
      </c>
      <c r="D51" s="132" t="n">
        <v>84.3</v>
      </c>
      <c r="E51" s="133" t="n">
        <v>25</v>
      </c>
      <c r="F51" s="132" t="n">
        <v>59.7</v>
      </c>
      <c r="G51" s="17" t="n">
        <v>18</v>
      </c>
      <c r="H51" s="134" t="n">
        <v>180</v>
      </c>
      <c r="I51" s="135" t="n"/>
      <c r="J51" s="135" t="n"/>
      <c r="K51" s="135" t="n"/>
      <c r="L51" s="135" t="n"/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84</v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3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마천동 진해신항만경남아너스빌</t>
        </is>
      </c>
      <c r="B52" s="76" t="inlineStr">
        <is>
          <t>08.08.</t>
        </is>
      </c>
      <c r="C52" s="131" t="n">
        <v>468</v>
      </c>
      <c r="D52" s="132" t="n">
        <v>114.4</v>
      </c>
      <c r="E52" s="133" t="n">
        <v>35</v>
      </c>
      <c r="F52" s="132" t="n">
        <v>84.8</v>
      </c>
      <c r="G52" s="17" t="n">
        <v>26</v>
      </c>
      <c r="H52" s="134" t="n">
        <v>288</v>
      </c>
      <c r="I52" s="135" t="n">
        <v>18500</v>
      </c>
      <c r="J52" s="135" t="inlineStr">
        <is>
          <t>고</t>
        </is>
      </c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114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3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마천동 남명플럼빌리지</t>
        </is>
      </c>
      <c r="B53" s="76" t="inlineStr">
        <is>
          <t>04.03.</t>
        </is>
      </c>
      <c r="C53" s="131" t="n">
        <v>498</v>
      </c>
      <c r="D53" s="132" t="n">
        <v>79.40000000000001</v>
      </c>
      <c r="E53" s="133" t="n">
        <v>24</v>
      </c>
      <c r="F53" s="132" t="n">
        <v>59.9</v>
      </c>
      <c r="G53" s="17" t="n">
        <v>18</v>
      </c>
      <c r="H53" s="134" t="n">
        <v>390</v>
      </c>
      <c r="I53" s="135" t="n">
        <v>10000</v>
      </c>
      <c r="J53" s="135" t="inlineStr">
        <is>
          <t>10</t>
        </is>
      </c>
      <c r="K53" s="135" t="n"/>
      <c r="L53" s="135" t="n"/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79</v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3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마천동 남명플럼빌리지</t>
        </is>
      </c>
      <c r="B54" s="76" t="inlineStr">
        <is>
          <t>04.03.</t>
        </is>
      </c>
      <c r="C54" s="131" t="n">
        <v>498</v>
      </c>
      <c r="D54" s="132" t="n">
        <v>106.6</v>
      </c>
      <c r="E54" s="133" t="n">
        <v>32</v>
      </c>
      <c r="F54" s="132" t="n">
        <v>85</v>
      </c>
      <c r="G54" s="17" t="n">
        <v>26</v>
      </c>
      <c r="H54" s="134" t="n">
        <v>108</v>
      </c>
      <c r="I54" s="135" t="n"/>
      <c r="J54" s="135" t="n"/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106</v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3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부흥동 태영데시앙</t>
        </is>
      </c>
      <c r="B55" s="76" t="inlineStr">
        <is>
          <t>07.01.</t>
        </is>
      </c>
      <c r="C55" s="131" t="n">
        <v>204</v>
      </c>
      <c r="D55" s="132" t="n">
        <v>109.9</v>
      </c>
      <c r="E55" s="133" t="n">
        <v>33</v>
      </c>
      <c r="F55" s="132" t="n">
        <v>85</v>
      </c>
      <c r="G55" s="17" t="n">
        <v>26</v>
      </c>
      <c r="H55" s="134" t="n">
        <v>156</v>
      </c>
      <c r="I55" s="135" t="n"/>
      <c r="J55" s="135" t="n"/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109</v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3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부흥동 태영데시앙</t>
        </is>
      </c>
      <c r="B56" s="76" t="inlineStr">
        <is>
          <t>07.01.</t>
        </is>
      </c>
      <c r="C56" s="131" t="n">
        <v>204</v>
      </c>
      <c r="D56" s="132" t="n">
        <v>151.9</v>
      </c>
      <c r="E56" s="133" t="n">
        <v>46</v>
      </c>
      <c r="F56" s="132" t="n">
        <v>126.6</v>
      </c>
      <c r="G56" s="17" t="n">
        <v>38</v>
      </c>
      <c r="H56" s="134" t="n">
        <v>48</v>
      </c>
      <c r="I56" s="135" t="n"/>
      <c r="J56" s="135" t="n"/>
      <c r="K56" s="135" t="n"/>
      <c r="L56" s="135" t="n"/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n">
        <v>151</v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3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석동 진해GS자이</t>
        </is>
      </c>
      <c r="B57" s="76" t="inlineStr">
        <is>
          <t>06.04.</t>
        </is>
      </c>
      <c r="C57" s="131" t="n">
        <v>516</v>
      </c>
      <c r="D57" s="132" t="n">
        <v>115.4</v>
      </c>
      <c r="E57" s="133" t="n">
        <v>35</v>
      </c>
      <c r="F57" s="132" t="n">
        <v>84.90000000000001</v>
      </c>
      <c r="G57" s="17" t="n">
        <v>26</v>
      </c>
      <c r="H57" s="134" t="n">
        <v>404</v>
      </c>
      <c r="I57" s="135" t="n">
        <v>35300</v>
      </c>
      <c r="J57" s="135" t="inlineStr">
        <is>
          <t>14</t>
        </is>
      </c>
      <c r="K57" s="135" t="n">
        <v>29000</v>
      </c>
      <c r="L57" s="135" t="inlineStr">
        <is>
          <t>13</t>
        </is>
      </c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115</v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3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석동 진해GS자이</t>
        </is>
      </c>
      <c r="B58" s="76" t="inlineStr">
        <is>
          <t>06.04.</t>
        </is>
      </c>
      <c r="C58" s="131" t="n">
        <v>516</v>
      </c>
      <c r="D58" s="132" t="n">
        <v>158</v>
      </c>
      <c r="E58" s="133" t="n">
        <v>48</v>
      </c>
      <c r="F58" s="132" t="n">
        <v>125.3</v>
      </c>
      <c r="G58" s="17" t="n">
        <v>38</v>
      </c>
      <c r="H58" s="134" t="n">
        <v>84</v>
      </c>
      <c r="I58" s="135" t="n"/>
      <c r="J58" s="135" t="n"/>
      <c r="K58" s="135" t="n">
        <v>35000</v>
      </c>
      <c r="L58" s="135" t="inlineStr">
        <is>
          <t>9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158</v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3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석동 진해GS자이</t>
        </is>
      </c>
      <c r="B59" s="76" t="inlineStr">
        <is>
          <t>06.04.</t>
        </is>
      </c>
      <c r="C59" s="131" t="n">
        <v>516</v>
      </c>
      <c r="D59" s="132" t="n">
        <v>196.2</v>
      </c>
      <c r="E59" s="133" t="n">
        <v>59</v>
      </c>
      <c r="F59" s="132" t="n">
        <v>155.7</v>
      </c>
      <c r="G59" s="17" t="n">
        <v>47</v>
      </c>
      <c r="H59" s="134" t="n">
        <v>28</v>
      </c>
      <c r="I59" s="135" t="n"/>
      <c r="J59" s="135" t="n"/>
      <c r="K59" s="135" t="n"/>
      <c r="L59" s="135" t="n"/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21" t="n">
        <v>5</v>
      </c>
      <c r="R59" s="121" t="n">
        <v>2</v>
      </c>
      <c r="S59" s="121" t="inlineStr">
        <is>
          <t>계</t>
        </is>
      </c>
      <c r="T59" s="5" t="n">
        <v>196</v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3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석동 진해석동푸르지오</t>
        </is>
      </c>
      <c r="B60" s="76" t="inlineStr">
        <is>
          <t>06.08.</t>
        </is>
      </c>
      <c r="C60" s="131" t="n">
        <v>647</v>
      </c>
      <c r="D60" s="132" t="n">
        <v>116.9</v>
      </c>
      <c r="E60" s="133" t="n">
        <v>35</v>
      </c>
      <c r="F60" s="132" t="n">
        <v>85</v>
      </c>
      <c r="G60" s="17" t="n">
        <v>26</v>
      </c>
      <c r="H60" s="134" t="n">
        <v>343</v>
      </c>
      <c r="I60" s="135" t="n">
        <v>31000</v>
      </c>
      <c r="J60" s="135" t="inlineStr">
        <is>
          <t>중</t>
        </is>
      </c>
      <c r="K60" s="135" t="n">
        <v>27000</v>
      </c>
      <c r="L60" s="135" t="inlineStr">
        <is>
          <t>12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116A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3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석동 진해석동푸르지오</t>
        </is>
      </c>
      <c r="B61" s="76" t="inlineStr">
        <is>
          <t>06.08.</t>
        </is>
      </c>
      <c r="C61" s="131" t="n">
        <v>647</v>
      </c>
      <c r="D61" s="132" t="n">
        <v>116.9</v>
      </c>
      <c r="E61" s="133" t="n">
        <v>35</v>
      </c>
      <c r="F61" s="132" t="n">
        <v>85</v>
      </c>
      <c r="G61" s="17" t="n">
        <v>26</v>
      </c>
      <c r="H61" s="134" t="n">
        <v>90</v>
      </c>
      <c r="I61" s="135" t="n">
        <v>31000</v>
      </c>
      <c r="J61" s="135" t="inlineStr">
        <is>
          <t>중</t>
        </is>
      </c>
      <c r="K61" s="135" t="n">
        <v>27000</v>
      </c>
      <c r="L61" s="135" t="inlineStr">
        <is>
          <t>12</t>
        </is>
      </c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116B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3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석동 진해석동푸르지오</t>
        </is>
      </c>
      <c r="B62" s="76" t="inlineStr">
        <is>
          <t>06.08.</t>
        </is>
      </c>
      <c r="C62" s="131" t="n">
        <v>647</v>
      </c>
      <c r="D62" s="132" t="n">
        <v>149.1</v>
      </c>
      <c r="E62" s="133" t="n">
        <v>45</v>
      </c>
      <c r="F62" s="132" t="n">
        <v>116.5</v>
      </c>
      <c r="G62" s="17" t="n">
        <v>35</v>
      </c>
      <c r="H62" s="134" t="n">
        <v>134</v>
      </c>
      <c r="I62" s="135" t="n">
        <v>38000</v>
      </c>
      <c r="J62" s="135" t="inlineStr">
        <is>
          <t>중</t>
        </is>
      </c>
      <c r="K62" s="135" t="n">
        <v>32000</v>
      </c>
      <c r="L62" s="135" t="inlineStr">
        <is>
          <t>11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149</v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3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석동 진해석동푸르지오</t>
        </is>
      </c>
      <c r="B63" s="76" t="inlineStr">
        <is>
          <t>06.08.</t>
        </is>
      </c>
      <c r="C63" s="131" t="n">
        <v>647</v>
      </c>
      <c r="D63" s="132" t="n">
        <v>172.1</v>
      </c>
      <c r="E63" s="133" t="n">
        <v>52</v>
      </c>
      <c r="F63" s="132" t="n">
        <v>138</v>
      </c>
      <c r="G63" s="17" t="n">
        <v>42</v>
      </c>
      <c r="H63" s="134" t="n">
        <v>80</v>
      </c>
      <c r="I63" s="135" t="n">
        <v>40000</v>
      </c>
      <c r="J63" s="135" t="inlineStr">
        <is>
          <t>중</t>
        </is>
      </c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172</v>
      </c>
      <c r="U63" s="9" t="n"/>
      <c r="W63" s="132">
        <f>D63</f>
        <v/>
      </c>
      <c r="X63" s="133">
        <f>E63</f>
        <v/>
      </c>
      <c r="Y63" s="138">
        <f>H63</f>
        <v/>
      </c>
      <c r="Z63" s="136">
        <f>I63</f>
        <v/>
      </c>
      <c r="AA63" s="136">
        <f>K63</f>
        <v/>
      </c>
      <c r="AB63" s="136">
        <f>M63</f>
        <v/>
      </c>
      <c r="AC63" s="4">
        <f>N63</f>
        <v/>
      </c>
      <c r="AD63" s="137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3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석동 진해석동한솔솔파크1단지</t>
        </is>
      </c>
      <c r="B64" s="76" t="inlineStr">
        <is>
          <t>09.02.</t>
        </is>
      </c>
      <c r="C64" s="131" t="n">
        <v>264</v>
      </c>
      <c r="D64" s="132" t="n">
        <v>143.6</v>
      </c>
      <c r="E64" s="133" t="n">
        <v>43</v>
      </c>
      <c r="F64" s="132" t="n">
        <v>119.6</v>
      </c>
      <c r="G64" s="17" t="n">
        <v>36</v>
      </c>
      <c r="H64" s="134" t="n">
        <v>44</v>
      </c>
      <c r="I64" s="135" t="n"/>
      <c r="J64" s="135" t="n"/>
      <c r="K64" s="135" t="n"/>
      <c r="L64" s="135" t="n"/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143</v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3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석동 진해석동한솔솔파크1단지</t>
        </is>
      </c>
      <c r="B65" s="76" t="inlineStr">
        <is>
          <t>09.02.</t>
        </is>
      </c>
      <c r="C65" s="131" t="n">
        <v>264</v>
      </c>
      <c r="D65" s="132" t="n">
        <v>160.1</v>
      </c>
      <c r="E65" s="133" t="n">
        <v>48</v>
      </c>
      <c r="F65" s="132" t="n">
        <v>131.5</v>
      </c>
      <c r="G65" s="17" t="n">
        <v>40</v>
      </c>
      <c r="H65" s="134" t="n">
        <v>132</v>
      </c>
      <c r="I65" s="135" t="n"/>
      <c r="J65" s="135" t="n"/>
      <c r="K65" s="135" t="n"/>
      <c r="L65" s="135" t="n"/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21" t="n">
        <v>4</v>
      </c>
      <c r="R65" s="121" t="n">
        <v>2</v>
      </c>
      <c r="S65" s="121" t="inlineStr">
        <is>
          <t>계</t>
        </is>
      </c>
      <c r="T65" s="5" t="n">
        <v>160</v>
      </c>
      <c r="U65" s="9" t="n"/>
      <c r="W65" s="132">
        <f>D65</f>
        <v/>
      </c>
      <c r="X65" s="133">
        <f>E65</f>
        <v/>
      </c>
      <c r="Y65" s="138">
        <f>H65</f>
        <v/>
      </c>
      <c r="Z65" s="136">
        <f>I65</f>
        <v/>
      </c>
      <c r="AA65" s="136">
        <f>K65</f>
        <v/>
      </c>
      <c r="AB65" s="136">
        <f>M65</f>
        <v/>
      </c>
      <c r="AC65" s="4">
        <f>N65</f>
        <v/>
      </c>
      <c r="AD65" s="137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3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석동 진해석동한솔솔파크1단지</t>
        </is>
      </c>
      <c r="B66" s="76" t="inlineStr">
        <is>
          <t>09.02.</t>
        </is>
      </c>
      <c r="C66" s="131" t="n">
        <v>264</v>
      </c>
      <c r="D66" s="132" t="n">
        <v>183.9</v>
      </c>
      <c r="E66" s="133" t="n">
        <v>56</v>
      </c>
      <c r="F66" s="132" t="n">
        <v>153.3</v>
      </c>
      <c r="G66" s="17" t="n">
        <v>46</v>
      </c>
      <c r="H66" s="134" t="n">
        <v>88</v>
      </c>
      <c r="I66" s="135" t="n"/>
      <c r="J66" s="135" t="n"/>
      <c r="K66" s="135" t="n"/>
      <c r="L66" s="135" t="n"/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21" t="n">
        <v>4</v>
      </c>
      <c r="R66" s="121" t="n">
        <v>2</v>
      </c>
      <c r="S66" s="121" t="inlineStr">
        <is>
          <t>계</t>
        </is>
      </c>
      <c r="T66" s="5" t="n">
        <v>183</v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3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석동 벚꽃그린빌주공3단지</t>
        </is>
      </c>
      <c r="B67" s="76" t="inlineStr">
        <is>
          <t>03.03.</t>
        </is>
      </c>
      <c r="C67" s="131" t="n">
        <v>613</v>
      </c>
      <c r="D67" s="132" t="n">
        <v>82.8</v>
      </c>
      <c r="E67" s="133" t="n">
        <v>25</v>
      </c>
      <c r="F67" s="132" t="n">
        <v>66.7</v>
      </c>
      <c r="G67" s="17" t="n">
        <v>20</v>
      </c>
      <c r="H67" s="134" t="n">
        <v>20</v>
      </c>
      <c r="I67" s="135" t="n"/>
      <c r="J67" s="135" t="n"/>
      <c r="K67" s="135" t="n"/>
      <c r="L67" s="135" t="n"/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82</v>
      </c>
      <c r="U67" s="9" t="n"/>
      <c r="W67" s="132">
        <f>D67</f>
        <v/>
      </c>
      <c r="X67" s="133">
        <f>E67</f>
        <v/>
      </c>
      <c r="Y67" s="138">
        <f>H67</f>
        <v/>
      </c>
      <c r="Z67" s="136">
        <f>I67</f>
        <v/>
      </c>
      <c r="AA67" s="136">
        <f>K67</f>
        <v/>
      </c>
      <c r="AB67" s="136">
        <f>M67</f>
        <v/>
      </c>
      <c r="AC67" s="4">
        <f>N67</f>
        <v/>
      </c>
      <c r="AD67" s="137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3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석동 벚꽃그린빌주공3단지</t>
        </is>
      </c>
      <c r="B68" s="76" t="inlineStr">
        <is>
          <t>03.03.</t>
        </is>
      </c>
      <c r="C68" s="131" t="n">
        <v>613</v>
      </c>
      <c r="D68" s="132" t="n">
        <v>105.5</v>
      </c>
      <c r="E68" s="133" t="n">
        <v>32</v>
      </c>
      <c r="F68" s="132" t="n">
        <v>85</v>
      </c>
      <c r="G68" s="17" t="n">
        <v>26</v>
      </c>
      <c r="H68" s="134" t="n">
        <v>413</v>
      </c>
      <c r="I68" s="135" t="n">
        <v>33000</v>
      </c>
      <c r="J68" s="135" t="inlineStr">
        <is>
          <t>중</t>
        </is>
      </c>
      <c r="K68" s="135" t="n"/>
      <c r="L68" s="135" t="n"/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105B</t>
        </is>
      </c>
      <c r="U68" s="9" t="n"/>
      <c r="W68" s="132">
        <f>D68</f>
        <v/>
      </c>
      <c r="X68" s="133">
        <f>E68</f>
        <v/>
      </c>
      <c r="Y68" s="138">
        <f>H68</f>
        <v/>
      </c>
      <c r="Z68" s="136">
        <f>I68</f>
        <v/>
      </c>
      <c r="AA68" s="136">
        <f>K68</f>
        <v/>
      </c>
      <c r="AB68" s="136">
        <f>M68</f>
        <v/>
      </c>
      <c r="AC68" s="4">
        <f>N68</f>
        <v/>
      </c>
      <c r="AD68" s="137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3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석동 벚꽃그린빌주공3단지</t>
        </is>
      </c>
      <c r="B69" s="76" t="inlineStr">
        <is>
          <t>03.03.</t>
        </is>
      </c>
      <c r="C69" s="131" t="n">
        <v>613</v>
      </c>
      <c r="D69" s="132" t="n">
        <v>105.5</v>
      </c>
      <c r="E69" s="133" t="n">
        <v>32</v>
      </c>
      <c r="F69" s="132" t="n">
        <v>85</v>
      </c>
      <c r="G69" s="17" t="n">
        <v>26</v>
      </c>
      <c r="H69" s="134" t="n">
        <v>180</v>
      </c>
      <c r="I69" s="135" t="n">
        <v>33000</v>
      </c>
      <c r="J69" s="135" t="inlineStr">
        <is>
          <t>중</t>
        </is>
      </c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105A</t>
        </is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3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124" t="inlineStr">
        <is>
          <t>석동 진해석동우림필유</t>
        </is>
      </c>
      <c r="B70" s="76" t="inlineStr">
        <is>
          <t>08.03.</t>
        </is>
      </c>
      <c r="C70" s="131" t="n">
        <v>1192</v>
      </c>
      <c r="D70" s="132" t="n">
        <v>111.6</v>
      </c>
      <c r="E70" s="133" t="n">
        <v>34</v>
      </c>
      <c r="F70" s="132" t="n">
        <v>84.90000000000001</v>
      </c>
      <c r="G70" s="17" t="n">
        <v>26</v>
      </c>
      <c r="H70" s="134" t="n">
        <v>398</v>
      </c>
      <c r="I70" s="135" t="n">
        <v>43000</v>
      </c>
      <c r="J70" s="135" t="inlineStr">
        <is>
          <t>6</t>
        </is>
      </c>
      <c r="K70" s="135" t="n"/>
      <c r="L70" s="135" t="n"/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111</v>
      </c>
      <c r="U70" s="9" t="n"/>
      <c r="W70" s="132">
        <f>D70</f>
        <v/>
      </c>
      <c r="X70" s="133">
        <f>E70</f>
        <v/>
      </c>
      <c r="Y70" s="138">
        <f>H70</f>
        <v/>
      </c>
      <c r="Z70" s="136">
        <f>I70</f>
        <v/>
      </c>
      <c r="AA70" s="136">
        <f>K70</f>
        <v/>
      </c>
      <c r="AB70" s="136">
        <f>M70</f>
        <v/>
      </c>
      <c r="AC70" s="4">
        <f>N70</f>
        <v/>
      </c>
      <c r="AD70" s="137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3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124" t="inlineStr">
        <is>
          <t>석동 진해석동우림필유</t>
        </is>
      </c>
      <c r="B71" s="76" t="inlineStr">
        <is>
          <t>08.03.</t>
        </is>
      </c>
      <c r="C71" s="131" t="n">
        <v>1192</v>
      </c>
      <c r="D71" s="132" t="n">
        <v>112.5</v>
      </c>
      <c r="E71" s="133" t="n">
        <v>34</v>
      </c>
      <c r="F71" s="132" t="n">
        <v>85</v>
      </c>
      <c r="G71" s="17" t="n">
        <v>26</v>
      </c>
      <c r="H71" s="134" t="n">
        <v>238</v>
      </c>
      <c r="I71" s="135" t="n">
        <v>44000</v>
      </c>
      <c r="J71" s="135" t="inlineStr">
        <is>
          <t>고</t>
        </is>
      </c>
      <c r="K71" s="135" t="n"/>
      <c r="L71" s="135" t="n"/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112B</t>
        </is>
      </c>
      <c r="U71" s="9" t="n"/>
      <c r="W71" s="132">
        <f>D71</f>
        <v/>
      </c>
      <c r="X71" s="133">
        <f>E71</f>
        <v/>
      </c>
      <c r="Y71" s="138">
        <f>H71</f>
        <v/>
      </c>
      <c r="Z71" s="136">
        <f>I71</f>
        <v/>
      </c>
      <c r="AA71" s="136">
        <f>K71</f>
        <v/>
      </c>
      <c r="AB71" s="136">
        <f>M71</f>
        <v/>
      </c>
      <c r="AC71" s="4">
        <f>N71</f>
        <v/>
      </c>
      <c r="AD71" s="137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3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124" t="inlineStr">
        <is>
          <t>석동 진해석동우림필유</t>
        </is>
      </c>
      <c r="B72" s="76" t="inlineStr">
        <is>
          <t>08.03.</t>
        </is>
      </c>
      <c r="C72" s="131" t="n">
        <v>1192</v>
      </c>
      <c r="D72" s="132" t="n">
        <v>113.5</v>
      </c>
      <c r="E72" s="133" t="n">
        <v>34</v>
      </c>
      <c r="F72" s="132" t="n">
        <v>85</v>
      </c>
      <c r="G72" s="17" t="n">
        <v>26</v>
      </c>
      <c r="H72" s="134" t="n">
        <v>238</v>
      </c>
      <c r="I72" s="135" t="n">
        <v>41000</v>
      </c>
      <c r="J72" s="135" t="inlineStr">
        <is>
          <t>중</t>
        </is>
      </c>
      <c r="K72" s="135" t="n">
        <v>31000</v>
      </c>
      <c r="L72" s="135" t="inlineStr">
        <is>
          <t>고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113A</t>
        </is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3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124" t="inlineStr">
        <is>
          <t>석동 진해석동우림필유</t>
        </is>
      </c>
      <c r="B73" s="76" t="inlineStr">
        <is>
          <t>08.03.</t>
        </is>
      </c>
      <c r="C73" s="131" t="n">
        <v>1192</v>
      </c>
      <c r="D73" s="132" t="n">
        <v>163.7</v>
      </c>
      <c r="E73" s="133" t="n">
        <v>50</v>
      </c>
      <c r="F73" s="132" t="n">
        <v>133.4</v>
      </c>
      <c r="G73" s="17" t="n">
        <v>40</v>
      </c>
      <c r="H73" s="134" t="n">
        <v>146</v>
      </c>
      <c r="I73" s="135" t="n"/>
      <c r="J73" s="135" t="n"/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21" t="n">
        <v>4</v>
      </c>
      <c r="R73" s="121" t="n">
        <v>2</v>
      </c>
      <c r="S73" s="121" t="inlineStr">
        <is>
          <t>계</t>
        </is>
      </c>
      <c r="T73" s="5" t="n">
        <v>163</v>
      </c>
      <c r="U73" s="9" t="n"/>
      <c r="W73" s="132">
        <f>D73</f>
        <v/>
      </c>
      <c r="X73" s="133">
        <f>E73</f>
        <v/>
      </c>
      <c r="Y73" s="138">
        <f>H73</f>
        <v/>
      </c>
      <c r="Z73" s="136">
        <f>I73</f>
        <v/>
      </c>
      <c r="AA73" s="136">
        <f>K73</f>
        <v/>
      </c>
      <c r="AB73" s="136">
        <f>M73</f>
        <v/>
      </c>
      <c r="AC73" s="4">
        <f>N73</f>
        <v/>
      </c>
      <c r="AD73" s="137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3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124" t="inlineStr">
        <is>
          <t>석동 진해석동우림필유</t>
        </is>
      </c>
      <c r="B74" s="76" t="inlineStr">
        <is>
          <t>08.03.</t>
        </is>
      </c>
      <c r="C74" s="131" t="n">
        <v>1192</v>
      </c>
      <c r="D74" s="132" t="n">
        <v>175.8</v>
      </c>
      <c r="E74" s="133" t="n">
        <v>53</v>
      </c>
      <c r="F74" s="132" t="n">
        <v>133.8</v>
      </c>
      <c r="G74" s="17" t="n">
        <v>40</v>
      </c>
      <c r="H74" s="134" t="n">
        <v>4</v>
      </c>
      <c r="I74" s="135" t="n"/>
      <c r="J74" s="135" t="n"/>
      <c r="K74" s="135" t="n"/>
      <c r="L74" s="135" t="n"/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21" t="n">
        <v>4</v>
      </c>
      <c r="R74" s="121" t="n">
        <v>3</v>
      </c>
      <c r="S74" s="121" t="inlineStr">
        <is>
          <t>계</t>
        </is>
      </c>
      <c r="T74" s="5" t="inlineStr">
        <is>
          <t>175B</t>
        </is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3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124" t="inlineStr">
        <is>
          <t>석동 진해석동우림필유</t>
        </is>
      </c>
      <c r="B75" s="76" t="inlineStr">
        <is>
          <t>08.03.</t>
        </is>
      </c>
      <c r="C75" s="131" t="n">
        <v>1192</v>
      </c>
      <c r="D75" s="132" t="n">
        <v>177.3</v>
      </c>
      <c r="E75" s="133" t="n">
        <v>54</v>
      </c>
      <c r="F75" s="132" t="n">
        <v>132.1</v>
      </c>
      <c r="G75" s="17" t="n">
        <v>40</v>
      </c>
      <c r="H75" s="134" t="n">
        <v>4</v>
      </c>
      <c r="I75" s="135" t="n"/>
      <c r="J75" s="135" t="n"/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21" t="n">
        <v>4</v>
      </c>
      <c r="R75" s="121" t="n">
        <v>3</v>
      </c>
      <c r="S75" s="121" t="inlineStr">
        <is>
          <t>계</t>
        </is>
      </c>
      <c r="T75" s="5" t="inlineStr">
        <is>
          <t>177A</t>
        </is>
      </c>
      <c r="U75" s="9" t="n"/>
      <c r="W75" s="132">
        <f>D75</f>
        <v/>
      </c>
      <c r="X75" s="133">
        <f>E75</f>
        <v/>
      </c>
      <c r="Y75" s="138">
        <f>H75</f>
        <v/>
      </c>
      <c r="Z75" s="136">
        <f>I75</f>
        <v/>
      </c>
      <c r="AA75" s="136">
        <f>K75</f>
        <v/>
      </c>
      <c r="AB75" s="136">
        <f>M75</f>
        <v/>
      </c>
      <c r="AC75" s="4">
        <f>N75</f>
        <v/>
      </c>
      <c r="AD75" s="137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3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124" t="inlineStr">
        <is>
          <t>석동 진해석동우림필유</t>
        </is>
      </c>
      <c r="B76" s="76" t="inlineStr">
        <is>
          <t>08.03.</t>
        </is>
      </c>
      <c r="C76" s="131" t="n">
        <v>1192</v>
      </c>
      <c r="D76" s="132" t="n">
        <v>195.5</v>
      </c>
      <c r="E76" s="133" t="n">
        <v>59</v>
      </c>
      <c r="F76" s="132" t="n">
        <v>161.8</v>
      </c>
      <c r="G76" s="17" t="n">
        <v>49</v>
      </c>
      <c r="H76" s="134" t="n">
        <v>52</v>
      </c>
      <c r="I76" s="135" t="n">
        <v>58000</v>
      </c>
      <c r="J76" s="135" t="inlineStr">
        <is>
          <t>중</t>
        </is>
      </c>
      <c r="K76" s="135" t="n">
        <v>55000</v>
      </c>
      <c r="L76" s="135" t="inlineStr">
        <is>
          <t>9</t>
        </is>
      </c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21" t="n">
        <v>4</v>
      </c>
      <c r="R76" s="121" t="n">
        <v>3</v>
      </c>
      <c r="S76" s="121" t="inlineStr">
        <is>
          <t>계</t>
        </is>
      </c>
      <c r="T76" s="5" t="inlineStr">
        <is>
          <t>195B</t>
        </is>
      </c>
      <c r="U76" s="9" t="n"/>
      <c r="W76" s="132">
        <f>D76</f>
        <v/>
      </c>
      <c r="X76" s="133">
        <f>E76</f>
        <v/>
      </c>
      <c r="Y76" s="138">
        <f>H76</f>
        <v/>
      </c>
      <c r="Z76" s="136">
        <f>I76</f>
        <v/>
      </c>
      <c r="AA76" s="136">
        <f>K76</f>
        <v/>
      </c>
      <c r="AB76" s="136">
        <f>M76</f>
        <v/>
      </c>
      <c r="AC76" s="4">
        <f>N76</f>
        <v/>
      </c>
      <c r="AD76" s="137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3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124" t="inlineStr">
        <is>
          <t>석동 진해석동우림필유</t>
        </is>
      </c>
      <c r="B77" s="76" t="inlineStr">
        <is>
          <t>08.03.</t>
        </is>
      </c>
      <c r="C77" s="131" t="n">
        <v>1192</v>
      </c>
      <c r="D77" s="132" t="n">
        <v>196.4</v>
      </c>
      <c r="E77" s="133" t="n">
        <v>59</v>
      </c>
      <c r="F77" s="132" t="n">
        <v>159.7</v>
      </c>
      <c r="G77" s="17" t="n">
        <v>48</v>
      </c>
      <c r="H77" s="134" t="n">
        <v>51</v>
      </c>
      <c r="I77" s="135" t="n">
        <v>58000</v>
      </c>
      <c r="J77" s="135" t="inlineStr">
        <is>
          <t>중</t>
        </is>
      </c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inlineStr">
        <is>
          <t>196A</t>
        </is>
      </c>
      <c r="U77" s="9" t="n"/>
      <c r="W77" s="132">
        <f>D77</f>
        <v/>
      </c>
      <c r="X77" s="133">
        <f>E77</f>
        <v/>
      </c>
      <c r="Y77" s="138">
        <f>H77</f>
        <v/>
      </c>
      <c r="Z77" s="136">
        <f>I77</f>
        <v/>
      </c>
      <c r="AA77" s="136">
        <f>K77</f>
        <v/>
      </c>
      <c r="AB77" s="136">
        <f>M77</f>
        <v/>
      </c>
      <c r="AC77" s="4">
        <f>N77</f>
        <v/>
      </c>
      <c r="AD77" s="137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3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124" t="inlineStr">
        <is>
          <t>석동 진해석동우림필유</t>
        </is>
      </c>
      <c r="B78" s="76" t="inlineStr">
        <is>
          <t>08.03.</t>
        </is>
      </c>
      <c r="C78" s="131" t="n">
        <v>1192</v>
      </c>
      <c r="D78" s="132" t="n">
        <v>228.9</v>
      </c>
      <c r="E78" s="133" t="n">
        <v>69</v>
      </c>
      <c r="F78" s="132" t="n">
        <v>190</v>
      </c>
      <c r="G78" s="17" t="n">
        <v>57</v>
      </c>
      <c r="H78" s="134" t="n">
        <v>56</v>
      </c>
      <c r="I78" s="135" t="n">
        <v>75000</v>
      </c>
      <c r="J78" s="135" t="inlineStr">
        <is>
          <t>중</t>
        </is>
      </c>
      <c r="K78" s="135" t="n">
        <v>50000</v>
      </c>
      <c r="L78" s="135" t="inlineStr">
        <is>
          <t>고</t>
        </is>
      </c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21" t="n">
        <v>4</v>
      </c>
      <c r="R78" s="121" t="n">
        <v>3</v>
      </c>
      <c r="S78" s="121" t="inlineStr">
        <is>
          <t>계</t>
        </is>
      </c>
      <c r="T78" s="5" t="n">
        <v>228</v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3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124" t="inlineStr">
        <is>
          <t>석동 진해석동우림필유</t>
        </is>
      </c>
      <c r="B79" s="76" t="inlineStr">
        <is>
          <t>08.03.</t>
        </is>
      </c>
      <c r="C79" s="131" t="n">
        <v>1192</v>
      </c>
      <c r="D79" s="132" t="n">
        <v>307.5</v>
      </c>
      <c r="E79" s="133" t="n">
        <v>93</v>
      </c>
      <c r="F79" s="132" t="n">
        <v>258.7</v>
      </c>
      <c r="G79" s="17" t="n">
        <v>78</v>
      </c>
      <c r="H79" s="134" t="n">
        <v>3</v>
      </c>
      <c r="I79" s="135" t="n">
        <v>80000</v>
      </c>
      <c r="J79" s="135" t="inlineStr">
        <is>
          <t>고</t>
        </is>
      </c>
      <c r="K79" s="135" t="n"/>
      <c r="L79" s="135" t="n"/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21" t="n">
        <v>5</v>
      </c>
      <c r="R79" s="121" t="n">
        <v>3</v>
      </c>
      <c r="S79" s="121" t="inlineStr">
        <is>
          <t>계</t>
        </is>
      </c>
      <c r="T79" s="5" t="n">
        <v>307</v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3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124" t="inlineStr">
        <is>
          <t>석동 진해석동우림필유</t>
        </is>
      </c>
      <c r="B80" s="76" t="inlineStr">
        <is>
          <t>08.03.</t>
        </is>
      </c>
      <c r="C80" s="131" t="n">
        <v>1192</v>
      </c>
      <c r="D80" s="132" t="n">
        <v>313.8</v>
      </c>
      <c r="E80" s="133" t="n">
        <v>95</v>
      </c>
      <c r="F80" s="132" t="n">
        <v>266.2</v>
      </c>
      <c r="G80" s="17" t="n">
        <v>81</v>
      </c>
      <c r="H80" s="134" t="n">
        <v>2</v>
      </c>
      <c r="I80" s="135" t="n"/>
      <c r="J80" s="135" t="n"/>
      <c r="K80" s="135" t="n"/>
      <c r="L80" s="135" t="n"/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21" t="n">
        <v>5</v>
      </c>
      <c r="R80" s="121" t="n">
        <v>3</v>
      </c>
      <c r="S80" s="121" t="inlineStr">
        <is>
          <t>계</t>
        </is>
      </c>
      <c r="T80" s="5" t="n">
        <v>313</v>
      </c>
      <c r="U80" s="9" t="n"/>
      <c r="W80" s="132">
        <f>D80</f>
        <v/>
      </c>
      <c r="X80" s="133">
        <f>E80</f>
        <v/>
      </c>
      <c r="Y80" s="138">
        <f>H80</f>
        <v/>
      </c>
      <c r="Z80" s="136">
        <f>I80</f>
        <v/>
      </c>
      <c r="AA80" s="136">
        <f>K80</f>
        <v/>
      </c>
      <c r="AB80" s="136">
        <f>M80</f>
        <v/>
      </c>
      <c r="AC80" s="4">
        <f>N80</f>
        <v/>
      </c>
      <c r="AD80" s="137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3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석동 벚꽃그린빌주공4단지</t>
        </is>
      </c>
      <c r="B81" s="76" t="inlineStr">
        <is>
          <t>03.07.</t>
        </is>
      </c>
      <c r="C81" s="131" t="n">
        <v>397</v>
      </c>
      <c r="D81" s="132" t="n">
        <v>70.2</v>
      </c>
      <c r="E81" s="133" t="n">
        <v>21</v>
      </c>
      <c r="F81" s="132" t="n">
        <v>59.8</v>
      </c>
      <c r="G81" s="17" t="n">
        <v>18</v>
      </c>
      <c r="H81" s="134" t="n">
        <v>43</v>
      </c>
      <c r="I81" s="135" t="n"/>
      <c r="J81" s="135" t="n"/>
      <c r="K81" s="135" t="n"/>
      <c r="L81" s="135" t="n"/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21" t="n">
        <v>3</v>
      </c>
      <c r="R81" s="121" t="n">
        <v>1</v>
      </c>
      <c r="S81" s="121" t="inlineStr">
        <is>
          <t>복</t>
        </is>
      </c>
      <c r="T81" s="5" t="n">
        <v>70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3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석동 벚꽃그린빌주공4단지</t>
        </is>
      </c>
      <c r="B82" s="76" t="inlineStr">
        <is>
          <t>03.07.</t>
        </is>
      </c>
      <c r="C82" s="131" t="n">
        <v>397</v>
      </c>
      <c r="D82" s="132" t="n">
        <v>75.90000000000001</v>
      </c>
      <c r="E82" s="133" t="n">
        <v>23</v>
      </c>
      <c r="F82" s="132" t="n">
        <v>59.8</v>
      </c>
      <c r="G82" s="17" t="n">
        <v>18</v>
      </c>
      <c r="H82" s="134" t="n">
        <v>132</v>
      </c>
      <c r="I82" s="135" t="n">
        <v>22000</v>
      </c>
      <c r="J82" s="135" t="inlineStr">
        <is>
          <t>중</t>
        </is>
      </c>
      <c r="K82" s="135" t="n"/>
      <c r="L82" s="135" t="n"/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21" t="n">
        <v>3</v>
      </c>
      <c r="R82" s="121" t="n">
        <v>1</v>
      </c>
      <c r="S82" s="121" t="inlineStr">
        <is>
          <t>계</t>
        </is>
      </c>
      <c r="T82" s="5" t="n">
        <v>75</v>
      </c>
      <c r="U82" s="9" t="n"/>
      <c r="W82" s="132">
        <f>D82</f>
        <v/>
      </c>
      <c r="X82" s="133">
        <f>E82</f>
        <v/>
      </c>
      <c r="Y82" s="138">
        <f>H82</f>
        <v/>
      </c>
      <c r="Z82" s="136">
        <f>I82</f>
        <v/>
      </c>
      <c r="AA82" s="136">
        <f>K82</f>
        <v/>
      </c>
      <c r="AB82" s="136">
        <f>M82</f>
        <v/>
      </c>
      <c r="AC82" s="4">
        <f>N82</f>
        <v/>
      </c>
      <c r="AD82" s="137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3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석동 벚꽃그린빌주공4단지</t>
        </is>
      </c>
      <c r="B83" s="76" t="inlineStr">
        <is>
          <t>03.07.</t>
        </is>
      </c>
      <c r="C83" s="131" t="n">
        <v>397</v>
      </c>
      <c r="D83" s="132" t="n">
        <v>87.90000000000001</v>
      </c>
      <c r="E83" s="133" t="n">
        <v>27</v>
      </c>
      <c r="F83" s="132" t="n">
        <v>75</v>
      </c>
      <c r="G83" s="17" t="n">
        <v>23</v>
      </c>
      <c r="H83" s="134" t="n">
        <v>34</v>
      </c>
      <c r="I83" s="135" t="n"/>
      <c r="J83" s="135" t="n"/>
      <c r="K83" s="135" t="n"/>
      <c r="L83" s="135" t="n"/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21" t="n">
        <v>3</v>
      </c>
      <c r="R83" s="121" t="n">
        <v>2</v>
      </c>
      <c r="S83" s="121" t="inlineStr">
        <is>
          <t>복</t>
        </is>
      </c>
      <c r="T83" s="5" t="n">
        <v>87</v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3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석동 벚꽃그린빌주공4단지</t>
        </is>
      </c>
      <c r="B84" s="76" t="inlineStr">
        <is>
          <t>03.07.</t>
        </is>
      </c>
      <c r="C84" s="131" t="n">
        <v>397</v>
      </c>
      <c r="D84" s="132" t="n">
        <v>94.59999999999999</v>
      </c>
      <c r="E84" s="133" t="n">
        <v>29</v>
      </c>
      <c r="F84" s="132" t="n">
        <v>75</v>
      </c>
      <c r="G84" s="17" t="n">
        <v>23</v>
      </c>
      <c r="H84" s="134" t="n">
        <v>108</v>
      </c>
      <c r="I84" s="135" t="n"/>
      <c r="J84" s="135" t="n"/>
      <c r="K84" s="135" t="n"/>
      <c r="L84" s="135" t="n"/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94</v>
      </c>
      <c r="U84" s="9" t="n"/>
      <c r="W84" s="132">
        <f>D84</f>
        <v/>
      </c>
      <c r="X84" s="133">
        <f>E84</f>
        <v/>
      </c>
      <c r="Y84" s="138">
        <f>H84</f>
        <v/>
      </c>
      <c r="Z84" s="136">
        <f>I84</f>
        <v/>
      </c>
      <c r="AA84" s="136">
        <f>K84</f>
        <v/>
      </c>
      <c r="AB84" s="136">
        <f>M84</f>
        <v/>
      </c>
      <c r="AC84" s="4">
        <f>N84</f>
        <v/>
      </c>
      <c r="AD84" s="137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3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석동 벚꽃그린빌주공4단지</t>
        </is>
      </c>
      <c r="B85" s="76" t="inlineStr">
        <is>
          <t>03.07.</t>
        </is>
      </c>
      <c r="C85" s="131" t="n">
        <v>397</v>
      </c>
      <c r="D85" s="132" t="n">
        <v>99.59999999999999</v>
      </c>
      <c r="E85" s="133" t="n">
        <v>30</v>
      </c>
      <c r="F85" s="132" t="n">
        <v>85</v>
      </c>
      <c r="G85" s="17" t="n">
        <v>26</v>
      </c>
      <c r="H85" s="134" t="n">
        <v>20</v>
      </c>
      <c r="I85" s="135" t="n"/>
      <c r="J85" s="135" t="n"/>
      <c r="K85" s="135" t="n"/>
      <c r="L85" s="135" t="n"/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21" t="n">
        <v>3</v>
      </c>
      <c r="R85" s="121" t="n">
        <v>2</v>
      </c>
      <c r="S85" s="121" t="inlineStr">
        <is>
          <t>복</t>
        </is>
      </c>
      <c r="T85" s="5" t="n">
        <v>99</v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3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석동 벚꽃그린빌주공4단지</t>
        </is>
      </c>
      <c r="B86" s="76" t="inlineStr">
        <is>
          <t>03.07.</t>
        </is>
      </c>
      <c r="C86" s="131" t="n">
        <v>397</v>
      </c>
      <c r="D86" s="132" t="n">
        <v>107</v>
      </c>
      <c r="E86" s="133" t="n">
        <v>32</v>
      </c>
      <c r="F86" s="132" t="n">
        <v>85</v>
      </c>
      <c r="G86" s="17" t="n">
        <v>26</v>
      </c>
      <c r="H86" s="134" t="n">
        <v>60</v>
      </c>
      <c r="I86" s="135" t="n"/>
      <c r="J86" s="135" t="n"/>
      <c r="K86" s="135" t="n"/>
      <c r="L86" s="135" t="n"/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n">
        <v>107</v>
      </c>
      <c r="U86" s="9" t="n"/>
      <c r="W86" s="132">
        <f>D86</f>
        <v/>
      </c>
      <c r="X86" s="133">
        <f>E86</f>
        <v/>
      </c>
      <c r="Y86" s="138">
        <f>H86</f>
        <v/>
      </c>
      <c r="Z86" s="136">
        <f>I86</f>
        <v/>
      </c>
      <c r="AA86" s="136">
        <f>K86</f>
        <v/>
      </c>
      <c r="AB86" s="136">
        <f>M86</f>
        <v/>
      </c>
      <c r="AC86" s="4">
        <f>N86</f>
        <v/>
      </c>
      <c r="AD86" s="137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3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석동 벚꽃그린빌주공2단지</t>
        </is>
      </c>
      <c r="B87" s="76" t="inlineStr">
        <is>
          <t>03.07.</t>
        </is>
      </c>
      <c r="C87" s="131" t="n">
        <v>266</v>
      </c>
      <c r="D87" s="132" t="n">
        <v>63.3</v>
      </c>
      <c r="E87" s="133" t="n">
        <v>19</v>
      </c>
      <c r="F87" s="132" t="n">
        <v>51.7</v>
      </c>
      <c r="G87" s="17" t="n">
        <v>16</v>
      </c>
      <c r="H87" s="134" t="n">
        <v>80</v>
      </c>
      <c r="I87" s="135" t="n"/>
      <c r="J87" s="135" t="n"/>
      <c r="K87" s="135" t="n"/>
      <c r="L87" s="135" t="n"/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21" t="n">
        <v>3</v>
      </c>
      <c r="R87" s="121" t="n">
        <v>1</v>
      </c>
      <c r="S87" s="121" t="inlineStr">
        <is>
          <t>계</t>
        </is>
      </c>
      <c r="T87" s="5" t="n">
        <v>63</v>
      </c>
      <c r="U87" s="9" t="n"/>
      <c r="W87" s="132">
        <f>D87</f>
        <v/>
      </c>
      <c r="X87" s="133">
        <f>E87</f>
        <v/>
      </c>
      <c r="Y87" s="138">
        <f>H87</f>
        <v/>
      </c>
      <c r="Z87" s="136">
        <f>I87</f>
        <v/>
      </c>
      <c r="AA87" s="136">
        <f>K87</f>
        <v/>
      </c>
      <c r="AB87" s="136">
        <f>M87</f>
        <v/>
      </c>
      <c r="AC87" s="4">
        <f>N87</f>
        <v/>
      </c>
      <c r="AD87" s="137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3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석동 벚꽃그린빌주공2단지</t>
        </is>
      </c>
      <c r="B88" s="76" t="inlineStr">
        <is>
          <t>03.07.</t>
        </is>
      </c>
      <c r="C88" s="131" t="n">
        <v>266</v>
      </c>
      <c r="D88" s="132" t="n">
        <v>84.3</v>
      </c>
      <c r="E88" s="133" t="n">
        <v>26</v>
      </c>
      <c r="F88" s="132" t="n">
        <v>59.8</v>
      </c>
      <c r="G88" s="17" t="n">
        <v>18</v>
      </c>
      <c r="H88" s="134" t="n">
        <v>186</v>
      </c>
      <c r="I88" s="135" t="n"/>
      <c r="J88" s="135" t="n"/>
      <c r="K88" s="135" t="n"/>
      <c r="L88" s="135" t="n"/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84</v>
      </c>
      <c r="U88" s="9" t="n"/>
      <c r="W88" s="132">
        <f>D88</f>
        <v/>
      </c>
      <c r="X88" s="133">
        <f>E88</f>
        <v/>
      </c>
      <c r="Y88" s="138">
        <f>H88</f>
        <v/>
      </c>
      <c r="Z88" s="136">
        <f>I88</f>
        <v/>
      </c>
      <c r="AA88" s="136">
        <f>K88</f>
        <v/>
      </c>
      <c r="AB88" s="136">
        <f>M88</f>
        <v/>
      </c>
      <c r="AC88" s="4">
        <f>N88</f>
        <v/>
      </c>
      <c r="AD88" s="137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3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석동 주공</t>
        </is>
      </c>
      <c r="B89" s="76" t="inlineStr">
        <is>
          <t>91.11.</t>
        </is>
      </c>
      <c r="C89" s="131" t="n">
        <v>750</v>
      </c>
      <c r="D89" s="132" t="n">
        <v>42.4</v>
      </c>
      <c r="E89" s="133" t="n">
        <v>13</v>
      </c>
      <c r="F89" s="132" t="n">
        <v>32.8</v>
      </c>
      <c r="G89" s="17" t="n">
        <v>10</v>
      </c>
      <c r="H89" s="134" t="n">
        <v>327</v>
      </c>
      <c r="I89" s="135" t="n">
        <v>9500</v>
      </c>
      <c r="J89" s="135" t="inlineStr">
        <is>
          <t>5</t>
        </is>
      </c>
      <c r="K89" s="135" t="n"/>
      <c r="L89" s="135" t="n"/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21" t="n">
        <v>2</v>
      </c>
      <c r="R89" s="121" t="n">
        <v>1</v>
      </c>
      <c r="S89" s="121" t="inlineStr">
        <is>
          <t>계</t>
        </is>
      </c>
      <c r="T89" s="5" t="n">
        <v>42</v>
      </c>
      <c r="U89" s="9" t="n"/>
      <c r="W89" s="132">
        <f>D89</f>
        <v/>
      </c>
      <c r="X89" s="133">
        <f>E89</f>
        <v/>
      </c>
      <c r="Y89" s="138">
        <f>H89</f>
        <v/>
      </c>
      <c r="Z89" s="136">
        <f>I89</f>
        <v/>
      </c>
      <c r="AA89" s="136">
        <f>K89</f>
        <v/>
      </c>
      <c r="AB89" s="136">
        <f>M89</f>
        <v/>
      </c>
      <c r="AC89" s="4">
        <f>N89</f>
        <v/>
      </c>
      <c r="AD89" s="137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3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석동 주공</t>
        </is>
      </c>
      <c r="B90" s="76" t="inlineStr">
        <is>
          <t>91.11.</t>
        </is>
      </c>
      <c r="C90" s="131" t="n">
        <v>750</v>
      </c>
      <c r="D90" s="132" t="n">
        <v>54.8</v>
      </c>
      <c r="E90" s="133" t="n">
        <v>17</v>
      </c>
      <c r="F90" s="132" t="n">
        <v>42.5</v>
      </c>
      <c r="G90" s="17" t="n">
        <v>13</v>
      </c>
      <c r="H90" s="134" t="n">
        <v>302</v>
      </c>
      <c r="I90" s="135" t="n">
        <v>13000</v>
      </c>
      <c r="J90" s="135" t="inlineStr">
        <is>
          <t>고</t>
        </is>
      </c>
      <c r="K90" s="135" t="n">
        <v>8200</v>
      </c>
      <c r="L90" s="135" t="inlineStr">
        <is>
          <t>5</t>
        </is>
      </c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21" t="n">
        <v>2</v>
      </c>
      <c r="R90" s="121" t="n">
        <v>1</v>
      </c>
      <c r="S90" s="121" t="inlineStr">
        <is>
          <t>계</t>
        </is>
      </c>
      <c r="T90" s="5" t="inlineStr">
        <is>
          <t>54A</t>
        </is>
      </c>
      <c r="U90" s="9" t="n"/>
      <c r="W90" s="132">
        <f>D90</f>
        <v/>
      </c>
      <c r="X90" s="133">
        <f>E90</f>
        <v/>
      </c>
      <c r="Y90" s="138">
        <f>H90</f>
        <v/>
      </c>
      <c r="Z90" s="136">
        <f>I90</f>
        <v/>
      </c>
      <c r="AA90" s="136">
        <f>K90</f>
        <v/>
      </c>
      <c r="AB90" s="136">
        <f>M90</f>
        <v/>
      </c>
      <c r="AC90" s="4">
        <f>N90</f>
        <v/>
      </c>
      <c r="AD90" s="137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3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석동 주공</t>
        </is>
      </c>
      <c r="B91" s="76" t="inlineStr">
        <is>
          <t>91.11.</t>
        </is>
      </c>
      <c r="C91" s="131" t="n">
        <v>750</v>
      </c>
      <c r="D91" s="132" t="n">
        <v>55.4</v>
      </c>
      <c r="E91" s="133" t="n">
        <v>17</v>
      </c>
      <c r="F91" s="132" t="n">
        <v>42.8</v>
      </c>
      <c r="G91" s="17" t="n">
        <v>13</v>
      </c>
      <c r="H91" s="134" t="n">
        <v>1</v>
      </c>
      <c r="I91" s="135" t="n"/>
      <c r="J91" s="135" t="n"/>
      <c r="K91" s="135" t="n"/>
      <c r="L91" s="135" t="n"/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21" t="n">
        <v>2</v>
      </c>
      <c r="R91" s="121" t="n">
        <v>1</v>
      </c>
      <c r="S91" s="121" t="inlineStr">
        <is>
          <t>계</t>
        </is>
      </c>
      <c r="T91" s="5" t="inlineStr">
        <is>
          <t>55B</t>
        </is>
      </c>
      <c r="U91" s="9" t="n"/>
      <c r="W91" s="132">
        <f>D91</f>
        <v/>
      </c>
      <c r="X91" s="133">
        <f>E91</f>
        <v/>
      </c>
      <c r="Y91" s="138">
        <f>H91</f>
        <v/>
      </c>
      <c r="Z91" s="136">
        <f>I91</f>
        <v/>
      </c>
      <c r="AA91" s="136">
        <f>K91</f>
        <v/>
      </c>
      <c r="AB91" s="136">
        <f>M91</f>
        <v/>
      </c>
      <c r="AC91" s="4">
        <f>N91</f>
        <v/>
      </c>
      <c r="AD91" s="137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3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석동 주공</t>
        </is>
      </c>
      <c r="B92" s="76" t="inlineStr">
        <is>
          <t>91.11.</t>
        </is>
      </c>
      <c r="C92" s="131" t="n">
        <v>750</v>
      </c>
      <c r="D92" s="132" t="n">
        <v>57.9</v>
      </c>
      <c r="E92" s="133" t="n">
        <v>18</v>
      </c>
      <c r="F92" s="132" t="n">
        <v>47</v>
      </c>
      <c r="G92" s="17" t="n">
        <v>14</v>
      </c>
      <c r="H92" s="134" t="n">
        <v>60</v>
      </c>
      <c r="I92" s="135" t="n"/>
      <c r="J92" s="135" t="n"/>
      <c r="K92" s="135" t="n"/>
      <c r="L92" s="135" t="n"/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21" t="n">
        <v>3</v>
      </c>
      <c r="R92" s="121" t="n">
        <v>1</v>
      </c>
      <c r="S92" s="121" t="inlineStr">
        <is>
          <t>계</t>
        </is>
      </c>
      <c r="T92" s="5" t="inlineStr">
        <is>
          <t>57A</t>
        </is>
      </c>
      <c r="U92" s="9" t="n"/>
      <c r="W92" s="132">
        <f>D92</f>
        <v/>
      </c>
      <c r="X92" s="133">
        <f>E92</f>
        <v/>
      </c>
      <c r="Y92" s="138">
        <f>H92</f>
        <v/>
      </c>
      <c r="Z92" s="136">
        <f>I92</f>
        <v/>
      </c>
      <c r="AA92" s="136">
        <f>K92</f>
        <v/>
      </c>
      <c r="AB92" s="136">
        <f>M92</f>
        <v/>
      </c>
      <c r="AC92" s="4">
        <f>N92</f>
        <v/>
      </c>
      <c r="AD92" s="137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3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석동 주공</t>
        </is>
      </c>
      <c r="B93" s="76" t="inlineStr">
        <is>
          <t>91.11.</t>
        </is>
      </c>
      <c r="C93" s="131" t="n">
        <v>750</v>
      </c>
      <c r="D93" s="132" t="n">
        <v>58.2</v>
      </c>
      <c r="E93" s="133" t="n">
        <v>18</v>
      </c>
      <c r="F93" s="132" t="n">
        <v>47.3</v>
      </c>
      <c r="G93" s="17" t="n">
        <v>14</v>
      </c>
      <c r="H93" s="134" t="n">
        <v>60</v>
      </c>
      <c r="I93" s="135" t="n"/>
      <c r="J93" s="135" t="n"/>
      <c r="K93" s="135" t="n"/>
      <c r="L93" s="135" t="n"/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21" t="n">
        <v>3</v>
      </c>
      <c r="R93" s="121" t="n">
        <v>1</v>
      </c>
      <c r="S93" s="121" t="inlineStr">
        <is>
          <t>계</t>
        </is>
      </c>
      <c r="T93" s="5" t="inlineStr">
        <is>
          <t>58B</t>
        </is>
      </c>
      <c r="U93" s="9" t="n"/>
      <c r="W93" s="132">
        <f>D93</f>
        <v/>
      </c>
      <c r="X93" s="133">
        <f>E93</f>
        <v/>
      </c>
      <c r="Y93" s="138">
        <f>H93</f>
        <v/>
      </c>
      <c r="Z93" s="136">
        <f>I93</f>
        <v/>
      </c>
      <c r="AA93" s="136">
        <f>K93</f>
        <v/>
      </c>
      <c r="AB93" s="136">
        <f>M93</f>
        <v/>
      </c>
      <c r="AC93" s="4">
        <f>N93</f>
        <v/>
      </c>
      <c r="AD93" s="137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3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안골동 창원마린푸르지오2차</t>
        </is>
      </c>
      <c r="B94" s="76" t="inlineStr">
        <is>
          <t>16.10.</t>
        </is>
      </c>
      <c r="C94" s="131" t="n">
        <v>599</v>
      </c>
      <c r="D94" s="132" t="n">
        <v>82.8</v>
      </c>
      <c r="E94" s="133" t="n">
        <v>25</v>
      </c>
      <c r="F94" s="132" t="n">
        <v>59.9</v>
      </c>
      <c r="G94" s="17" t="n">
        <v>18</v>
      </c>
      <c r="H94" s="134" t="n">
        <v>63</v>
      </c>
      <c r="I94" s="135" t="n">
        <v>23000</v>
      </c>
      <c r="J94" s="135" t="inlineStr">
        <is>
          <t>5</t>
        </is>
      </c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n">
        <v>82</v>
      </c>
      <c r="U94" s="9" t="n"/>
      <c r="W94" s="132">
        <f>D94</f>
        <v/>
      </c>
      <c r="X94" s="133">
        <f>E94</f>
        <v/>
      </c>
      <c r="Y94" s="138">
        <f>H94</f>
        <v/>
      </c>
      <c r="Z94" s="136">
        <f>I94</f>
        <v/>
      </c>
      <c r="AA94" s="136">
        <f>K94</f>
        <v/>
      </c>
      <c r="AB94" s="136">
        <f>M94</f>
        <v/>
      </c>
      <c r="AC94" s="4">
        <f>N94</f>
        <v/>
      </c>
      <c r="AD94" s="137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3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안골동 창원마린푸르지오2차</t>
        </is>
      </c>
      <c r="B95" s="76" t="inlineStr">
        <is>
          <t>16.10.</t>
        </is>
      </c>
      <c r="C95" s="131" t="n">
        <v>599</v>
      </c>
      <c r="D95" s="132" t="n">
        <v>99.90000000000001</v>
      </c>
      <c r="E95" s="133" t="n">
        <v>30</v>
      </c>
      <c r="F95" s="132" t="n">
        <v>75</v>
      </c>
      <c r="G95" s="17" t="n">
        <v>23</v>
      </c>
      <c r="H95" s="134" t="n">
        <v>82</v>
      </c>
      <c r="I95" s="135" t="n">
        <v>29000</v>
      </c>
      <c r="J95" s="135" t="inlineStr">
        <is>
          <t>11</t>
        </is>
      </c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99B</t>
        </is>
      </c>
      <c r="U95" s="9" t="n"/>
      <c r="W95" s="132">
        <f>D95</f>
        <v/>
      </c>
      <c r="X95" s="133">
        <f>E95</f>
        <v/>
      </c>
      <c r="Y95" s="138">
        <f>H95</f>
        <v/>
      </c>
      <c r="Z95" s="136">
        <f>I95</f>
        <v/>
      </c>
      <c r="AA95" s="136">
        <f>K95</f>
        <v/>
      </c>
      <c r="AB95" s="136">
        <f>M95</f>
        <v/>
      </c>
      <c r="AC95" s="4">
        <f>N95</f>
        <v/>
      </c>
      <c r="AD95" s="137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3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안골동 창원마린푸르지오2차</t>
        </is>
      </c>
      <c r="B96" s="76" t="inlineStr">
        <is>
          <t>16.10.</t>
        </is>
      </c>
      <c r="C96" s="131" t="n">
        <v>599</v>
      </c>
      <c r="D96" s="132" t="n">
        <v>99.5</v>
      </c>
      <c r="E96" s="133" t="n">
        <v>30</v>
      </c>
      <c r="F96" s="132" t="n">
        <v>74.90000000000001</v>
      </c>
      <c r="G96" s="17" t="n">
        <v>23</v>
      </c>
      <c r="H96" s="134" t="n">
        <v>79</v>
      </c>
      <c r="I96" s="135" t="n">
        <v>28900</v>
      </c>
      <c r="J96" s="135" t="inlineStr">
        <is>
          <t>7</t>
        </is>
      </c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99A</t>
        </is>
      </c>
      <c r="U96" s="9" t="n"/>
      <c r="W96" s="132">
        <f>D96</f>
        <v/>
      </c>
      <c r="X96" s="133">
        <f>E96</f>
        <v/>
      </c>
      <c r="Y96" s="138">
        <f>H96</f>
        <v/>
      </c>
      <c r="Z96" s="136">
        <f>I96</f>
        <v/>
      </c>
      <c r="AA96" s="136">
        <f>K96</f>
        <v/>
      </c>
      <c r="AB96" s="136">
        <f>M96</f>
        <v/>
      </c>
      <c r="AC96" s="4">
        <f>N96</f>
        <v/>
      </c>
      <c r="AD96" s="137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3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안골동 창원마린푸르지오2차</t>
        </is>
      </c>
      <c r="B97" s="76" t="inlineStr">
        <is>
          <t>16.10.</t>
        </is>
      </c>
      <c r="C97" s="131" t="n">
        <v>599</v>
      </c>
      <c r="D97" s="132" t="n">
        <v>111.9</v>
      </c>
      <c r="E97" s="133" t="n">
        <v>34</v>
      </c>
      <c r="F97" s="132" t="n">
        <v>85</v>
      </c>
      <c r="G97" s="17" t="n">
        <v>26</v>
      </c>
      <c r="H97" s="134" t="n">
        <v>240</v>
      </c>
      <c r="I97" s="135" t="n"/>
      <c r="J97" s="135" t="n"/>
      <c r="K97" s="135" t="n"/>
      <c r="L97" s="135" t="n"/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inlineStr">
        <is>
          <t>111A</t>
        </is>
      </c>
      <c r="U97" s="9" t="n"/>
      <c r="W97" s="132">
        <f>D97</f>
        <v/>
      </c>
      <c r="X97" s="133">
        <f>E97</f>
        <v/>
      </c>
      <c r="Y97" s="138">
        <f>H97</f>
        <v/>
      </c>
      <c r="Z97" s="136">
        <f>I97</f>
        <v/>
      </c>
      <c r="AA97" s="136">
        <f>K97</f>
        <v/>
      </c>
      <c r="AB97" s="136">
        <f>M97</f>
        <v/>
      </c>
      <c r="AC97" s="4">
        <f>N97</f>
        <v/>
      </c>
      <c r="AD97" s="137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3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안골동 창원마린푸르지오2차</t>
        </is>
      </c>
      <c r="B98" s="76" t="inlineStr">
        <is>
          <t>16.10.</t>
        </is>
      </c>
      <c r="C98" s="131" t="n">
        <v>599</v>
      </c>
      <c r="D98" s="132" t="n">
        <v>112.7</v>
      </c>
      <c r="E98" s="133" t="n">
        <v>34</v>
      </c>
      <c r="F98" s="132" t="n">
        <v>84.90000000000001</v>
      </c>
      <c r="G98" s="17" t="n">
        <v>26</v>
      </c>
      <c r="H98" s="134" t="n">
        <v>135</v>
      </c>
      <c r="I98" s="135" t="n">
        <v>33000</v>
      </c>
      <c r="J98" s="135" t="inlineStr">
        <is>
          <t>5</t>
        </is>
      </c>
      <c r="K98" s="135" t="n"/>
      <c r="L98" s="135" t="n"/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112B</t>
        </is>
      </c>
      <c r="U98" s="9" t="n"/>
      <c r="W98" s="132">
        <f>D98</f>
        <v/>
      </c>
      <c r="X98" s="133">
        <f>E98</f>
        <v/>
      </c>
      <c r="Y98" s="138">
        <f>H98</f>
        <v/>
      </c>
      <c r="Z98" s="136">
        <f>I98</f>
        <v/>
      </c>
      <c r="AA98" s="136">
        <f>K98</f>
        <v/>
      </c>
      <c r="AB98" s="136">
        <f>M98</f>
        <v/>
      </c>
      <c r="AC98" s="4">
        <f>N98</f>
        <v/>
      </c>
      <c r="AD98" s="137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3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용원동 부산신항만이지더원1단지</t>
        </is>
      </c>
      <c r="B99" s="76" t="inlineStr">
        <is>
          <t>14.10.</t>
        </is>
      </c>
      <c r="C99" s="131" t="n">
        <v>340</v>
      </c>
      <c r="D99" s="132" t="n">
        <v>80.40000000000001</v>
      </c>
      <c r="E99" s="133" t="n">
        <v>24</v>
      </c>
      <c r="F99" s="132" t="n">
        <v>59.9</v>
      </c>
      <c r="G99" s="17" t="n">
        <v>18</v>
      </c>
      <c r="H99" s="134" t="n">
        <v>56</v>
      </c>
      <c r="I99" s="135" t="n">
        <v>20000</v>
      </c>
      <c r="J99" s="135" t="inlineStr">
        <is>
          <t>9</t>
        </is>
      </c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n">
        <v>80</v>
      </c>
      <c r="U99" s="9" t="n"/>
      <c r="W99" s="132">
        <f>D99</f>
        <v/>
      </c>
      <c r="X99" s="133">
        <f>E99</f>
        <v/>
      </c>
      <c r="Y99" s="138">
        <f>H99</f>
        <v/>
      </c>
      <c r="Z99" s="136">
        <f>I99</f>
        <v/>
      </c>
      <c r="AA99" s="136">
        <f>K99</f>
        <v/>
      </c>
      <c r="AB99" s="136">
        <f>M99</f>
        <v/>
      </c>
      <c r="AC99" s="4">
        <f>N99</f>
        <v/>
      </c>
      <c r="AD99" s="137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3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용원동 부산신항만이지더원1단지</t>
        </is>
      </c>
      <c r="B100" s="76" t="inlineStr">
        <is>
          <t>14.10.</t>
        </is>
      </c>
      <c r="C100" s="131" t="n">
        <v>340</v>
      </c>
      <c r="D100" s="132" t="n">
        <v>112.3</v>
      </c>
      <c r="E100" s="133" t="n">
        <v>34</v>
      </c>
      <c r="F100" s="132" t="n">
        <v>84.90000000000001</v>
      </c>
      <c r="G100" s="17" t="n">
        <v>26</v>
      </c>
      <c r="H100" s="134" t="n">
        <v>284</v>
      </c>
      <c r="I100" s="135" t="n">
        <v>26000</v>
      </c>
      <c r="J100" s="135" t="inlineStr">
        <is>
          <t>5</t>
        </is>
      </c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112</v>
      </c>
      <c r="U100" s="9" t="n"/>
      <c r="W100" s="132">
        <f>D100</f>
        <v/>
      </c>
      <c r="X100" s="133">
        <f>E100</f>
        <v/>
      </c>
      <c r="Y100" s="138">
        <f>H100</f>
        <v/>
      </c>
      <c r="Z100" s="136">
        <f>I100</f>
        <v/>
      </c>
      <c r="AA100" s="136">
        <f>K100</f>
        <v/>
      </c>
      <c r="AB100" s="136">
        <f>M100</f>
        <v/>
      </c>
      <c r="AC100" s="4">
        <f>N100</f>
        <v/>
      </c>
      <c r="AD100" s="137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3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용원동 부산신항만이지더원2단지</t>
        </is>
      </c>
      <c r="B101" s="76" t="inlineStr">
        <is>
          <t>14.10.</t>
        </is>
      </c>
      <c r="C101" s="131" t="n">
        <v>452</v>
      </c>
      <c r="D101" s="132" t="n">
        <v>80.40000000000001</v>
      </c>
      <c r="E101" s="133" t="n">
        <v>24</v>
      </c>
      <c r="F101" s="132" t="n">
        <v>59.9</v>
      </c>
      <c r="G101" s="17" t="n">
        <v>18</v>
      </c>
      <c r="H101" s="134" t="n">
        <v>112</v>
      </c>
      <c r="I101" s="135" t="n"/>
      <c r="J101" s="135" t="n"/>
      <c r="K101" s="135" t="n"/>
      <c r="L101" s="135" t="n"/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n">
        <v>80</v>
      </c>
      <c r="U101" s="9" t="n"/>
      <c r="W101" s="132">
        <f>D101</f>
        <v/>
      </c>
      <c r="X101" s="133">
        <f>E101</f>
        <v/>
      </c>
      <c r="Y101" s="138">
        <f>H101</f>
        <v/>
      </c>
      <c r="Z101" s="136">
        <f>I101</f>
        <v/>
      </c>
      <c r="AA101" s="136">
        <f>K101</f>
        <v/>
      </c>
      <c r="AB101" s="136">
        <f>M101</f>
        <v/>
      </c>
      <c r="AC101" s="4">
        <f>N101</f>
        <v/>
      </c>
      <c r="AD101" s="137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3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용원동 부산신항만이지더원2단지</t>
        </is>
      </c>
      <c r="B102" s="76" t="inlineStr">
        <is>
          <t>14.10.</t>
        </is>
      </c>
      <c r="C102" s="131" t="n">
        <v>452</v>
      </c>
      <c r="D102" s="132" t="n">
        <v>112.3</v>
      </c>
      <c r="E102" s="133" t="n">
        <v>34</v>
      </c>
      <c r="F102" s="132" t="n">
        <v>84.90000000000001</v>
      </c>
      <c r="G102" s="17" t="n">
        <v>26</v>
      </c>
      <c r="H102" s="134" t="n">
        <v>340</v>
      </c>
      <c r="I102" s="135" t="n">
        <v>26500</v>
      </c>
      <c r="J102" s="135" t="inlineStr">
        <is>
          <t>중</t>
        </is>
      </c>
      <c r="K102" s="135" t="n"/>
      <c r="L102" s="135" t="n"/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112</v>
      </c>
      <c r="U102" s="9" t="n"/>
      <c r="W102" s="132">
        <f>D102</f>
        <v/>
      </c>
      <c r="X102" s="133">
        <f>E102</f>
        <v/>
      </c>
      <c r="Y102" s="138">
        <f>H102</f>
        <v/>
      </c>
      <c r="Z102" s="136">
        <f>I102</f>
        <v/>
      </c>
      <c r="AA102" s="136">
        <f>K102</f>
        <v/>
      </c>
      <c r="AB102" s="136">
        <f>M102</f>
        <v/>
      </c>
      <c r="AC102" s="4">
        <f>N102</f>
        <v/>
      </c>
      <c r="AD102" s="137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3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용원동 일신님</t>
        </is>
      </c>
      <c r="B103" s="76" t="inlineStr">
        <is>
          <t>05.08.</t>
        </is>
      </c>
      <c r="C103" s="131" t="n">
        <v>869</v>
      </c>
      <c r="D103" s="132" t="n">
        <v>110.2</v>
      </c>
      <c r="E103" s="133" t="n">
        <v>33</v>
      </c>
      <c r="F103" s="132" t="n">
        <v>85</v>
      </c>
      <c r="G103" s="17" t="n">
        <v>26</v>
      </c>
      <c r="H103" s="134" t="n">
        <v>479</v>
      </c>
      <c r="I103" s="135" t="n">
        <v>23000</v>
      </c>
      <c r="J103" s="135" t="inlineStr">
        <is>
          <t>5</t>
        </is>
      </c>
      <c r="K103" s="135" t="n">
        <v>22500</v>
      </c>
      <c r="L103" s="135" t="inlineStr">
        <is>
          <t>7</t>
        </is>
      </c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n">
        <v>110</v>
      </c>
      <c r="U103" s="9" t="n"/>
      <c r="W103" s="132">
        <f>D103</f>
        <v/>
      </c>
      <c r="X103" s="133">
        <f>E103</f>
        <v/>
      </c>
      <c r="Y103" s="138">
        <f>H103</f>
        <v/>
      </c>
      <c r="Z103" s="136">
        <f>I103</f>
        <v/>
      </c>
      <c r="AA103" s="136">
        <f>K103</f>
        <v/>
      </c>
      <c r="AB103" s="136">
        <f>M103</f>
        <v/>
      </c>
      <c r="AC103" s="4">
        <f>N103</f>
        <v/>
      </c>
      <c r="AD103" s="137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3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용원동 일신님</t>
        </is>
      </c>
      <c r="B104" s="76" t="inlineStr">
        <is>
          <t>05.08.</t>
        </is>
      </c>
      <c r="C104" s="131" t="n">
        <v>869</v>
      </c>
      <c r="D104" s="132" t="n">
        <v>134.1</v>
      </c>
      <c r="E104" s="133" t="n">
        <v>41</v>
      </c>
      <c r="F104" s="132" t="n">
        <v>101.7</v>
      </c>
      <c r="G104" s="17" t="n">
        <v>31</v>
      </c>
      <c r="H104" s="134" t="n">
        <v>300</v>
      </c>
      <c r="I104" s="135" t="n">
        <v>28000</v>
      </c>
      <c r="J104" s="135" t="inlineStr">
        <is>
          <t>8</t>
        </is>
      </c>
      <c r="K104" s="135" t="n"/>
      <c r="L104" s="135" t="n"/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n">
        <v>134</v>
      </c>
      <c r="U104" s="9" t="n"/>
      <c r="W104" s="132">
        <f>D104</f>
        <v/>
      </c>
      <c r="X104" s="133">
        <f>E104</f>
        <v/>
      </c>
      <c r="Y104" s="138">
        <f>H104</f>
        <v/>
      </c>
      <c r="Z104" s="136">
        <f>I104</f>
        <v/>
      </c>
      <c r="AA104" s="136">
        <f>K104</f>
        <v/>
      </c>
      <c r="AB104" s="136">
        <f>M104</f>
        <v/>
      </c>
      <c r="AC104" s="4">
        <f>N104</f>
        <v/>
      </c>
      <c r="AD104" s="137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3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용원동 일신님</t>
        </is>
      </c>
      <c r="B105" s="76" t="inlineStr">
        <is>
          <t>05.08.</t>
        </is>
      </c>
      <c r="C105" s="131" t="n">
        <v>869</v>
      </c>
      <c r="D105" s="132" t="n">
        <v>158.4</v>
      </c>
      <c r="E105" s="133" t="n">
        <v>48</v>
      </c>
      <c r="F105" s="132" t="n">
        <v>121.4</v>
      </c>
      <c r="G105" s="17" t="n">
        <v>37</v>
      </c>
      <c r="H105" s="134" t="n">
        <v>90</v>
      </c>
      <c r="I105" s="135" t="n"/>
      <c r="J105" s="135" t="n"/>
      <c r="K105" s="135" t="n"/>
      <c r="L105" s="135" t="n"/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21" t="n">
        <v>4</v>
      </c>
      <c r="R105" s="121" t="n">
        <v>2</v>
      </c>
      <c r="S105" s="121" t="inlineStr">
        <is>
          <t>계</t>
        </is>
      </c>
      <c r="T105" s="5" t="n">
        <v>158</v>
      </c>
      <c r="U105" s="9" t="n"/>
      <c r="W105" s="132">
        <f>D105</f>
        <v/>
      </c>
      <c r="X105" s="133">
        <f>E105</f>
        <v/>
      </c>
      <c r="Y105" s="138">
        <f>H105</f>
        <v/>
      </c>
      <c r="Z105" s="136">
        <f>I105</f>
        <v/>
      </c>
      <c r="AA105" s="136">
        <f>K105</f>
        <v/>
      </c>
      <c r="AB105" s="136">
        <f>M105</f>
        <v/>
      </c>
      <c r="AC105" s="4">
        <f>N105</f>
        <v/>
      </c>
      <c r="AD105" s="137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3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용원동 부산신항사랑으로부영6블럭</t>
        </is>
      </c>
      <c r="B106" s="76" t="inlineStr">
        <is>
          <t>19.06.</t>
        </is>
      </c>
      <c r="C106" s="131" t="n">
        <v>539</v>
      </c>
      <c r="D106" s="132" t="n">
        <v>112.6</v>
      </c>
      <c r="E106" s="133" t="n">
        <v>34</v>
      </c>
      <c r="F106" s="132" t="n">
        <v>85</v>
      </c>
      <c r="G106" s="17" t="n">
        <v>26</v>
      </c>
      <c r="H106" s="134" t="n">
        <v>357</v>
      </c>
      <c r="I106" s="135" t="n"/>
      <c r="J106" s="135" t="n"/>
      <c r="K106" s="135" t="n"/>
      <c r="L106" s="135" t="n"/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inlineStr">
        <is>
          <t>112A</t>
        </is>
      </c>
      <c r="U106" s="9" t="n"/>
      <c r="W106" s="132">
        <f>D106</f>
        <v/>
      </c>
      <c r="X106" s="133">
        <f>E106</f>
        <v/>
      </c>
      <c r="Y106" s="138">
        <f>H106</f>
        <v/>
      </c>
      <c r="Z106" s="136">
        <f>I106</f>
        <v/>
      </c>
      <c r="AA106" s="136">
        <f>K106</f>
        <v/>
      </c>
      <c r="AB106" s="136">
        <f>M106</f>
        <v/>
      </c>
      <c r="AC106" s="4">
        <f>N106</f>
        <v/>
      </c>
      <c r="AD106" s="137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3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용원동 부산신항사랑으로부영6블럭</t>
        </is>
      </c>
      <c r="B107" s="76" t="inlineStr">
        <is>
          <t>19.06.</t>
        </is>
      </c>
      <c r="C107" s="131" t="n">
        <v>539</v>
      </c>
      <c r="D107" s="132" t="n">
        <v>113.3</v>
      </c>
      <c r="E107" s="133" t="n">
        <v>34</v>
      </c>
      <c r="F107" s="132" t="n">
        <v>84.90000000000001</v>
      </c>
      <c r="G107" s="17" t="n">
        <v>26</v>
      </c>
      <c r="H107" s="134" t="n">
        <v>95</v>
      </c>
      <c r="I107" s="135" t="n"/>
      <c r="J107" s="135" t="n"/>
      <c r="K107" s="135" t="n"/>
      <c r="L107" s="135" t="n"/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21" t="n">
        <v>3</v>
      </c>
      <c r="R107" s="121" t="n">
        <v>2</v>
      </c>
      <c r="S107" s="121" t="inlineStr">
        <is>
          <t>계</t>
        </is>
      </c>
      <c r="T107" s="5" t="inlineStr">
        <is>
          <t>113B</t>
        </is>
      </c>
      <c r="U107" s="9" t="n"/>
      <c r="W107" s="132">
        <f>D107</f>
        <v/>
      </c>
      <c r="X107" s="133">
        <f>E107</f>
        <v/>
      </c>
      <c r="Y107" s="138">
        <f>H107</f>
        <v/>
      </c>
      <c r="Z107" s="136">
        <f>I107</f>
        <v/>
      </c>
      <c r="AA107" s="136">
        <f>K107</f>
        <v/>
      </c>
      <c r="AB107" s="136">
        <f>M107</f>
        <v/>
      </c>
      <c r="AC107" s="4">
        <f>N107</f>
        <v/>
      </c>
      <c r="AD107" s="137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3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용원동 부산신항사랑으로부영6블럭</t>
        </is>
      </c>
      <c r="B108" s="76" t="inlineStr">
        <is>
          <t>19.06.</t>
        </is>
      </c>
      <c r="C108" s="131" t="n">
        <v>539</v>
      </c>
      <c r="D108" s="132" t="n">
        <v>113.2</v>
      </c>
      <c r="E108" s="133" t="n">
        <v>34</v>
      </c>
      <c r="F108" s="132" t="n">
        <v>84.59999999999999</v>
      </c>
      <c r="G108" s="17" t="n">
        <v>26</v>
      </c>
      <c r="H108" s="134" t="n">
        <v>87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inlineStr">
        <is>
          <t>113C</t>
        </is>
      </c>
      <c r="U108" s="9" t="n"/>
      <c r="W108" s="132">
        <f>D108</f>
        <v/>
      </c>
      <c r="X108" s="133">
        <f>E108</f>
        <v/>
      </c>
      <c r="Y108" s="138">
        <f>H108</f>
        <v/>
      </c>
      <c r="Z108" s="136">
        <f>I108</f>
        <v/>
      </c>
      <c r="AA108" s="136">
        <f>K108</f>
        <v/>
      </c>
      <c r="AB108" s="136">
        <f>M108</f>
        <v/>
      </c>
      <c r="AC108" s="4">
        <f>N108</f>
        <v/>
      </c>
      <c r="AD108" s="137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3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용원동 코아루</t>
        </is>
      </c>
      <c r="B109" s="76" t="inlineStr">
        <is>
          <t>05.09.</t>
        </is>
      </c>
      <c r="C109" s="131" t="n">
        <v>897</v>
      </c>
      <c r="D109" s="132" t="n">
        <v>112.6</v>
      </c>
      <c r="E109" s="133" t="n">
        <v>34</v>
      </c>
      <c r="F109" s="132" t="n">
        <v>84.7</v>
      </c>
      <c r="G109" s="17" t="n">
        <v>26</v>
      </c>
      <c r="H109" s="134" t="n">
        <v>597</v>
      </c>
      <c r="I109" s="135" t="n">
        <v>24000</v>
      </c>
      <c r="J109" s="135" t="inlineStr">
        <is>
          <t>고</t>
        </is>
      </c>
      <c r="K109" s="135" t="n">
        <v>22500</v>
      </c>
      <c r="L109" s="135" t="inlineStr">
        <is>
          <t>중</t>
        </is>
      </c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inlineStr">
        <is>
          <t>112A</t>
        </is>
      </c>
      <c r="U109" s="9" t="n"/>
      <c r="W109" s="132">
        <f>D109</f>
        <v/>
      </c>
      <c r="X109" s="133">
        <f>E109</f>
        <v/>
      </c>
      <c r="Y109" s="138">
        <f>H109</f>
        <v/>
      </c>
      <c r="Z109" s="136">
        <f>I109</f>
        <v/>
      </c>
      <c r="AA109" s="136">
        <f>K109</f>
        <v/>
      </c>
      <c r="AB109" s="136">
        <f>M109</f>
        <v/>
      </c>
      <c r="AC109" s="4">
        <f>N109</f>
        <v/>
      </c>
      <c r="AD109" s="137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3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용원동 코아루</t>
        </is>
      </c>
      <c r="B110" s="76" t="inlineStr">
        <is>
          <t>05.09.</t>
        </is>
      </c>
      <c r="C110" s="131" t="n">
        <v>897</v>
      </c>
      <c r="D110" s="132" t="n">
        <v>112.6</v>
      </c>
      <c r="E110" s="133" t="n">
        <v>34</v>
      </c>
      <c r="F110" s="132" t="n">
        <v>84.7</v>
      </c>
      <c r="G110" s="17" t="n">
        <v>26</v>
      </c>
      <c r="H110" s="134" t="n">
        <v>180</v>
      </c>
      <c r="I110" s="135" t="n">
        <v>24000</v>
      </c>
      <c r="J110" s="135" t="inlineStr">
        <is>
          <t>고</t>
        </is>
      </c>
      <c r="K110" s="135" t="n">
        <v>22500</v>
      </c>
      <c r="L110" s="135" t="inlineStr">
        <is>
          <t>중</t>
        </is>
      </c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inlineStr">
        <is>
          <t>112B</t>
        </is>
      </c>
      <c r="U110" s="9" t="n"/>
      <c r="W110" s="132">
        <f>D110</f>
        <v/>
      </c>
      <c r="X110" s="133">
        <f>E110</f>
        <v/>
      </c>
      <c r="Y110" s="138">
        <f>H110</f>
        <v/>
      </c>
      <c r="Z110" s="136">
        <f>I110</f>
        <v/>
      </c>
      <c r="AA110" s="136">
        <f>K110</f>
        <v/>
      </c>
      <c r="AB110" s="136">
        <f>M110</f>
        <v/>
      </c>
      <c r="AC110" s="4">
        <f>N110</f>
        <v/>
      </c>
      <c r="AD110" s="137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3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용원동 코아루</t>
        </is>
      </c>
      <c r="B111" s="76" t="inlineStr">
        <is>
          <t>05.09.</t>
        </is>
      </c>
      <c r="C111" s="131" t="n">
        <v>897</v>
      </c>
      <c r="D111" s="132" t="n">
        <v>149.6</v>
      </c>
      <c r="E111" s="133" t="n">
        <v>45</v>
      </c>
      <c r="F111" s="132" t="n">
        <v>120.4</v>
      </c>
      <c r="G111" s="17" t="n">
        <v>36</v>
      </c>
      <c r="H111" s="134" t="n">
        <v>120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149</v>
      </c>
      <c r="U111" s="9" t="n"/>
      <c r="W111" s="132">
        <f>D111</f>
        <v/>
      </c>
      <c r="X111" s="133">
        <f>E111</f>
        <v/>
      </c>
      <c r="Y111" s="138">
        <f>H111</f>
        <v/>
      </c>
      <c r="Z111" s="136">
        <f>I111</f>
        <v/>
      </c>
      <c r="AA111" s="136">
        <f>K111</f>
        <v/>
      </c>
      <c r="AB111" s="136">
        <f>M111</f>
        <v/>
      </c>
      <c r="AC111" s="4">
        <f>N111</f>
        <v/>
      </c>
      <c r="AD111" s="137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3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용원동 현대</t>
        </is>
      </c>
      <c r="B112" s="76" t="inlineStr">
        <is>
          <t>98.12.</t>
        </is>
      </c>
      <c r="C112" s="131" t="n">
        <v>508</v>
      </c>
      <c r="D112" s="132" t="n">
        <v>104.8</v>
      </c>
      <c r="E112" s="133" t="n">
        <v>32</v>
      </c>
      <c r="F112" s="132" t="n">
        <v>85</v>
      </c>
      <c r="G112" s="17" t="n">
        <v>26</v>
      </c>
      <c r="H112" s="134" t="n">
        <v>508</v>
      </c>
      <c r="I112" s="135" t="n">
        <v>17000</v>
      </c>
      <c r="J112" s="135" t="inlineStr">
        <is>
          <t>고</t>
        </is>
      </c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21" t="n">
        <v>3</v>
      </c>
      <c r="R112" s="121" t="n">
        <v>2</v>
      </c>
      <c r="S112" s="121" t="inlineStr">
        <is>
          <t>계</t>
        </is>
      </c>
      <c r="T112" s="5" t="n">
        <v>104</v>
      </c>
      <c r="U112" s="9" t="n"/>
      <c r="W112" s="132">
        <f>D112</f>
        <v/>
      </c>
      <c r="X112" s="133">
        <f>E112</f>
        <v/>
      </c>
      <c r="Y112" s="138">
        <f>H112</f>
        <v/>
      </c>
      <c r="Z112" s="136">
        <f>I112</f>
        <v/>
      </c>
      <c r="AA112" s="136">
        <f>K112</f>
        <v/>
      </c>
      <c r="AB112" s="136">
        <f>M112</f>
        <v/>
      </c>
      <c r="AC112" s="4">
        <f>N112</f>
        <v/>
      </c>
      <c r="AD112" s="137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3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이동 남흥</t>
        </is>
      </c>
      <c r="B113" s="76" t="inlineStr">
        <is>
          <t>91.12.</t>
        </is>
      </c>
      <c r="C113" s="131" t="n">
        <v>268</v>
      </c>
      <c r="D113" s="132" t="n">
        <v>89.3</v>
      </c>
      <c r="E113" s="133" t="n">
        <v>27</v>
      </c>
      <c r="F113" s="132" t="n">
        <v>77.2</v>
      </c>
      <c r="G113" s="17" t="n">
        <v>23</v>
      </c>
      <c r="H113" s="134" t="n">
        <v>108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89</v>
      </c>
      <c r="U113" s="9" t="n"/>
      <c r="W113" s="132">
        <f>D113</f>
        <v/>
      </c>
      <c r="X113" s="133">
        <f>E113</f>
        <v/>
      </c>
      <c r="Y113" s="138">
        <f>H113</f>
        <v/>
      </c>
      <c r="Z113" s="136">
        <f>I113</f>
        <v/>
      </c>
      <c r="AA113" s="136">
        <f>K113</f>
        <v/>
      </c>
      <c r="AB113" s="136">
        <f>M113</f>
        <v/>
      </c>
      <c r="AC113" s="4">
        <f>N113</f>
        <v/>
      </c>
      <c r="AD113" s="137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3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이동 남흥</t>
        </is>
      </c>
      <c r="B114" s="76" t="inlineStr">
        <is>
          <t>91.12.</t>
        </is>
      </c>
      <c r="C114" s="131" t="n">
        <v>268</v>
      </c>
      <c r="D114" s="132" t="n">
        <v>99.2</v>
      </c>
      <c r="E114" s="133" t="n">
        <v>30</v>
      </c>
      <c r="F114" s="132" t="n">
        <v>85</v>
      </c>
      <c r="G114" s="17" t="n">
        <v>26</v>
      </c>
      <c r="H114" s="134" t="n">
        <v>150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n">
        <v>99</v>
      </c>
      <c r="U114" s="9" t="n"/>
      <c r="W114" s="132">
        <f>D114</f>
        <v/>
      </c>
      <c r="X114" s="133">
        <f>E114</f>
        <v/>
      </c>
      <c r="Y114" s="138">
        <f>H114</f>
        <v/>
      </c>
      <c r="Z114" s="136">
        <f>I114</f>
        <v/>
      </c>
      <c r="AA114" s="136">
        <f>K114</f>
        <v/>
      </c>
      <c r="AB114" s="136">
        <f>M114</f>
        <v/>
      </c>
      <c r="AC114" s="4">
        <f>N114</f>
        <v/>
      </c>
      <c r="AD114" s="137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3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이동 남흥</t>
        </is>
      </c>
      <c r="B115" s="76" t="inlineStr">
        <is>
          <t>91.12.</t>
        </is>
      </c>
      <c r="C115" s="131" t="n">
        <v>268</v>
      </c>
      <c r="D115" s="132" t="n">
        <v>145.7</v>
      </c>
      <c r="E115" s="133" t="n">
        <v>44</v>
      </c>
      <c r="F115" s="132" t="n">
        <v>128.6</v>
      </c>
      <c r="G115" s="17" t="n">
        <v>39</v>
      </c>
      <c r="H115" s="134" t="n">
        <v>10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21" t="n">
        <v>4</v>
      </c>
      <c r="R115" s="121" t="n">
        <v>2</v>
      </c>
      <c r="S115" s="121" t="inlineStr">
        <is>
          <t>계</t>
        </is>
      </c>
      <c r="T115" s="5" t="n">
        <v>145</v>
      </c>
      <c r="U115" s="9" t="n"/>
      <c r="W115" s="132">
        <f>D115</f>
        <v/>
      </c>
      <c r="X115" s="133">
        <f>E115</f>
        <v/>
      </c>
      <c r="Y115" s="138">
        <f>H115</f>
        <v/>
      </c>
      <c r="Z115" s="136">
        <f>I115</f>
        <v/>
      </c>
      <c r="AA115" s="136">
        <f>K115</f>
        <v/>
      </c>
      <c r="AB115" s="136">
        <f>M115</f>
        <v/>
      </c>
      <c r="AC115" s="4">
        <f>N115</f>
        <v/>
      </c>
      <c r="AD115" s="137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3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이동 진해이동디에스아이존빌</t>
        </is>
      </c>
      <c r="B116" s="76" t="inlineStr">
        <is>
          <t>08.10.</t>
        </is>
      </c>
      <c r="C116" s="131" t="n">
        <v>328</v>
      </c>
      <c r="D116" s="132" t="n">
        <v>121.3</v>
      </c>
      <c r="E116" s="133" t="n">
        <v>37</v>
      </c>
      <c r="F116" s="132" t="n">
        <v>84.8</v>
      </c>
      <c r="G116" s="17" t="n">
        <v>26</v>
      </c>
      <c r="H116" s="134" t="n">
        <v>289</v>
      </c>
      <c r="I116" s="135" t="n">
        <v>36000</v>
      </c>
      <c r="J116" s="135" t="inlineStr">
        <is>
          <t>고</t>
        </is>
      </c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inlineStr">
        <is>
          <t>121A</t>
        </is>
      </c>
      <c r="U116" s="9" t="n"/>
      <c r="W116" s="132">
        <f>D116</f>
        <v/>
      </c>
      <c r="X116" s="133">
        <f>E116</f>
        <v/>
      </c>
      <c r="Y116" s="138">
        <f>H116</f>
        <v/>
      </c>
      <c r="Z116" s="136">
        <f>I116</f>
        <v/>
      </c>
      <c r="AA116" s="136">
        <f>K116</f>
        <v/>
      </c>
      <c r="AB116" s="136">
        <f>M116</f>
        <v/>
      </c>
      <c r="AC116" s="4">
        <f>N116</f>
        <v/>
      </c>
      <c r="AD116" s="137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3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이동 진해이동디에스아이존빌</t>
        </is>
      </c>
      <c r="B117" s="76" t="inlineStr">
        <is>
          <t>08.10.</t>
        </is>
      </c>
      <c r="C117" s="131" t="n">
        <v>328</v>
      </c>
      <c r="D117" s="132" t="n">
        <v>122.1</v>
      </c>
      <c r="E117" s="133" t="n">
        <v>37</v>
      </c>
      <c r="F117" s="132" t="n">
        <v>84.7</v>
      </c>
      <c r="G117" s="17" t="n">
        <v>26</v>
      </c>
      <c r="H117" s="134" t="n">
        <v>39</v>
      </c>
      <c r="I117" s="135" t="n">
        <v>36000</v>
      </c>
      <c r="J117" s="135" t="inlineStr">
        <is>
          <t>중</t>
        </is>
      </c>
      <c r="K117" s="135" t="n"/>
      <c r="L117" s="135" t="n"/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inlineStr">
        <is>
          <t>122B</t>
        </is>
      </c>
      <c r="U117" s="9" t="n"/>
      <c r="W117" s="132">
        <f>D117</f>
        <v/>
      </c>
      <c r="X117" s="133">
        <f>E117</f>
        <v/>
      </c>
      <c r="Y117" s="138">
        <f>H117</f>
        <v/>
      </c>
      <c r="Z117" s="136">
        <f>I117</f>
        <v/>
      </c>
      <c r="AA117" s="136">
        <f>K117</f>
        <v/>
      </c>
      <c r="AB117" s="136">
        <f>M117</f>
        <v/>
      </c>
      <c r="AC117" s="4">
        <f>N117</f>
        <v/>
      </c>
      <c r="AD117" s="137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3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자은동 자은프라임</t>
        </is>
      </c>
      <c r="B118" s="76" t="inlineStr">
        <is>
          <t>15.05.</t>
        </is>
      </c>
      <c r="C118" s="131" t="n">
        <v>1298</v>
      </c>
      <c r="D118" s="132" t="n">
        <v>81.09999999999999</v>
      </c>
      <c r="E118" s="133" t="n">
        <v>25</v>
      </c>
      <c r="F118" s="132" t="n">
        <v>59.9</v>
      </c>
      <c r="G118" s="17" t="n">
        <v>18</v>
      </c>
      <c r="H118" s="134" t="n">
        <v>393</v>
      </c>
      <c r="I118" s="135" t="n">
        <v>27500</v>
      </c>
      <c r="J118" s="135" t="inlineStr">
        <is>
          <t>10</t>
        </is>
      </c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81A</t>
        </is>
      </c>
      <c r="U118" s="9" t="n"/>
      <c r="W118" s="132">
        <f>D118</f>
        <v/>
      </c>
      <c r="X118" s="133">
        <f>E118</f>
        <v/>
      </c>
      <c r="Y118" s="138">
        <f>H118</f>
        <v/>
      </c>
      <c r="Z118" s="136">
        <f>I118</f>
        <v/>
      </c>
      <c r="AA118" s="136">
        <f>K118</f>
        <v/>
      </c>
      <c r="AB118" s="136">
        <f>M118</f>
        <v/>
      </c>
      <c r="AC118" s="4">
        <f>N118</f>
        <v/>
      </c>
      <c r="AD118" s="137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3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자은동 자은프라임</t>
        </is>
      </c>
      <c r="B119" s="76" t="inlineStr">
        <is>
          <t>15.05.</t>
        </is>
      </c>
      <c r="C119" s="131" t="n">
        <v>1298</v>
      </c>
      <c r="D119" s="132" t="n">
        <v>81.2</v>
      </c>
      <c r="E119" s="133" t="n">
        <v>25</v>
      </c>
      <c r="F119" s="132" t="n">
        <v>60</v>
      </c>
      <c r="G119" s="17" t="n">
        <v>18</v>
      </c>
      <c r="H119" s="134" t="n">
        <v>146</v>
      </c>
      <c r="I119" s="135" t="n">
        <v>27000</v>
      </c>
      <c r="J119" s="135" t="inlineStr">
        <is>
          <t>중</t>
        </is>
      </c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inlineStr">
        <is>
          <t>81C</t>
        </is>
      </c>
      <c r="U119" s="9" t="n"/>
      <c r="W119" s="132">
        <f>D119</f>
        <v/>
      </c>
      <c r="X119" s="133">
        <f>E119</f>
        <v/>
      </c>
      <c r="Y119" s="138">
        <f>H119</f>
        <v/>
      </c>
      <c r="Z119" s="136">
        <f>I119</f>
        <v/>
      </c>
      <c r="AA119" s="136">
        <f>K119</f>
        <v/>
      </c>
      <c r="AB119" s="136">
        <f>M119</f>
        <v/>
      </c>
      <c r="AC119" s="4">
        <f>N119</f>
        <v/>
      </c>
      <c r="AD119" s="137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3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자은동 자은프라임</t>
        </is>
      </c>
      <c r="B120" s="76" t="inlineStr">
        <is>
          <t>15.05.</t>
        </is>
      </c>
      <c r="C120" s="131" t="n">
        <v>1298</v>
      </c>
      <c r="D120" s="132" t="n">
        <v>81</v>
      </c>
      <c r="E120" s="133" t="n">
        <v>25</v>
      </c>
      <c r="F120" s="132" t="n">
        <v>59.8</v>
      </c>
      <c r="G120" s="17" t="n">
        <v>18</v>
      </c>
      <c r="H120" s="134" t="n">
        <v>65</v>
      </c>
      <c r="I120" s="135" t="n">
        <v>28500</v>
      </c>
      <c r="J120" s="135" t="inlineStr">
        <is>
          <t>고</t>
        </is>
      </c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inlineStr">
        <is>
          <t>81B</t>
        </is>
      </c>
      <c r="U120" s="9" t="n"/>
      <c r="W120" s="132">
        <f>D120</f>
        <v/>
      </c>
      <c r="X120" s="133">
        <f>E120</f>
        <v/>
      </c>
      <c r="Y120" s="138">
        <f>H120</f>
        <v/>
      </c>
      <c r="Z120" s="136">
        <f>I120</f>
        <v/>
      </c>
      <c r="AA120" s="136">
        <f>K120</f>
        <v/>
      </c>
      <c r="AB120" s="136">
        <f>M120</f>
        <v/>
      </c>
      <c r="AC120" s="4">
        <f>N120</f>
        <v/>
      </c>
      <c r="AD120" s="137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3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자은동 자은프라임</t>
        </is>
      </c>
      <c r="B121" s="76" t="inlineStr">
        <is>
          <t>15.05.</t>
        </is>
      </c>
      <c r="C121" s="131" t="n">
        <v>1298</v>
      </c>
      <c r="D121" s="132" t="n">
        <v>81.3</v>
      </c>
      <c r="E121" s="133" t="n">
        <v>25</v>
      </c>
      <c r="F121" s="132" t="n">
        <v>60</v>
      </c>
      <c r="G121" s="17" t="n">
        <v>18</v>
      </c>
      <c r="H121" s="134" t="n">
        <v>19</v>
      </c>
      <c r="I121" s="135" t="n"/>
      <c r="J121" s="135" t="n"/>
      <c r="K121" s="135" t="n"/>
      <c r="L121" s="135" t="n"/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81D</t>
        </is>
      </c>
      <c r="U121" s="9" t="n"/>
      <c r="W121" s="132">
        <f>D121</f>
        <v/>
      </c>
      <c r="X121" s="133">
        <f>E121</f>
        <v/>
      </c>
      <c r="Y121" s="138">
        <f>H121</f>
        <v/>
      </c>
      <c r="Z121" s="136">
        <f>I121</f>
        <v/>
      </c>
      <c r="AA121" s="136">
        <f>K121</f>
        <v/>
      </c>
      <c r="AB121" s="136">
        <f>M121</f>
        <v/>
      </c>
      <c r="AC121" s="4">
        <f>N121</f>
        <v/>
      </c>
      <c r="AD121" s="137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3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자은동 자은프라임</t>
        </is>
      </c>
      <c r="B122" s="76" t="inlineStr">
        <is>
          <t>15.05.</t>
        </is>
      </c>
      <c r="C122" s="131" t="n">
        <v>1298</v>
      </c>
      <c r="D122" s="132" t="n">
        <v>101.6</v>
      </c>
      <c r="E122" s="133" t="n">
        <v>31</v>
      </c>
      <c r="F122" s="132" t="n">
        <v>75</v>
      </c>
      <c r="G122" s="17" t="n">
        <v>23</v>
      </c>
      <c r="H122" s="134" t="n">
        <v>159</v>
      </c>
      <c r="I122" s="135" t="n">
        <v>34000</v>
      </c>
      <c r="J122" s="135" t="inlineStr">
        <is>
          <t>11</t>
        </is>
      </c>
      <c r="K122" s="135" t="n">
        <v>27000</v>
      </c>
      <c r="L122" s="135" t="inlineStr">
        <is>
          <t>8</t>
        </is>
      </c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inlineStr">
        <is>
          <t>101A</t>
        </is>
      </c>
      <c r="U122" s="9" t="n"/>
      <c r="W122" s="132">
        <f>D122</f>
        <v/>
      </c>
      <c r="X122" s="133">
        <f>E122</f>
        <v/>
      </c>
      <c r="Y122" s="138">
        <f>H122</f>
        <v/>
      </c>
      <c r="Z122" s="136">
        <f>I122</f>
        <v/>
      </c>
      <c r="AA122" s="136">
        <f>K122</f>
        <v/>
      </c>
      <c r="AB122" s="136">
        <f>M122</f>
        <v/>
      </c>
      <c r="AC122" s="4">
        <f>N122</f>
        <v/>
      </c>
      <c r="AD122" s="137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3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자은동 자은프라임</t>
        </is>
      </c>
      <c r="B123" s="76" t="inlineStr">
        <is>
          <t>15.05.</t>
        </is>
      </c>
      <c r="C123" s="131" t="n">
        <v>1298</v>
      </c>
      <c r="D123" s="132" t="n">
        <v>101</v>
      </c>
      <c r="E123" s="133" t="n">
        <v>31</v>
      </c>
      <c r="F123" s="132" t="n">
        <v>74.59999999999999</v>
      </c>
      <c r="G123" s="17" t="n">
        <v>23</v>
      </c>
      <c r="H123" s="134" t="n">
        <v>41</v>
      </c>
      <c r="I123" s="135" t="n"/>
      <c r="J123" s="135" t="n"/>
      <c r="K123" s="135" t="n"/>
      <c r="L123" s="135" t="n"/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101B</t>
        </is>
      </c>
      <c r="U123" s="9" t="n"/>
      <c r="W123" s="132">
        <f>D123</f>
        <v/>
      </c>
      <c r="X123" s="133">
        <f>E123</f>
        <v/>
      </c>
      <c r="Y123" s="138">
        <f>H123</f>
        <v/>
      </c>
      <c r="Z123" s="136">
        <f>I123</f>
        <v/>
      </c>
      <c r="AA123" s="136">
        <f>K123</f>
        <v/>
      </c>
      <c r="AB123" s="136">
        <f>M123</f>
        <v/>
      </c>
      <c r="AC123" s="4">
        <f>N123</f>
        <v/>
      </c>
      <c r="AD123" s="137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3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자은동 자은프라임</t>
        </is>
      </c>
      <c r="B124" s="76" t="inlineStr">
        <is>
          <t>15.05.</t>
        </is>
      </c>
      <c r="C124" s="131" t="n">
        <v>1298</v>
      </c>
      <c r="D124" s="132" t="n">
        <v>101.4</v>
      </c>
      <c r="E124" s="133" t="n">
        <v>31</v>
      </c>
      <c r="F124" s="132" t="n">
        <v>74.8</v>
      </c>
      <c r="G124" s="17" t="n">
        <v>23</v>
      </c>
      <c r="H124" s="134" t="n">
        <v>28</v>
      </c>
      <c r="I124" s="135" t="n"/>
      <c r="J124" s="135" t="n"/>
      <c r="K124" s="135" t="n"/>
      <c r="L124" s="135" t="n"/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inlineStr">
        <is>
          <t>101C</t>
        </is>
      </c>
      <c r="U124" s="9" t="n"/>
      <c r="W124" s="132">
        <f>D124</f>
        <v/>
      </c>
      <c r="X124" s="133">
        <f>E124</f>
        <v/>
      </c>
      <c r="Y124" s="138">
        <f>H124</f>
        <v/>
      </c>
      <c r="Z124" s="136">
        <f>I124</f>
        <v/>
      </c>
      <c r="AA124" s="136">
        <f>K124</f>
        <v/>
      </c>
      <c r="AB124" s="136">
        <f>M124</f>
        <v/>
      </c>
      <c r="AC124" s="4">
        <f>N124</f>
        <v/>
      </c>
      <c r="AD124" s="137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3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자은동 자은프라임</t>
        </is>
      </c>
      <c r="B125" s="76" t="inlineStr">
        <is>
          <t>15.05.</t>
        </is>
      </c>
      <c r="C125" s="131" t="n">
        <v>1298</v>
      </c>
      <c r="D125" s="132" t="n">
        <v>115</v>
      </c>
      <c r="E125" s="133" t="n">
        <v>35</v>
      </c>
      <c r="F125" s="132" t="n">
        <v>84.90000000000001</v>
      </c>
      <c r="G125" s="17" t="n">
        <v>26</v>
      </c>
      <c r="H125" s="134" t="n">
        <v>336</v>
      </c>
      <c r="I125" s="135" t="n">
        <v>39000</v>
      </c>
      <c r="J125" s="135" t="inlineStr">
        <is>
          <t>15</t>
        </is>
      </c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114A</t>
        </is>
      </c>
      <c r="U125" s="9" t="n"/>
      <c r="W125" s="132">
        <f>D125</f>
        <v/>
      </c>
      <c r="X125" s="133">
        <f>E125</f>
        <v/>
      </c>
      <c r="Y125" s="138">
        <f>H125</f>
        <v/>
      </c>
      <c r="Z125" s="136">
        <f>I125</f>
        <v/>
      </c>
      <c r="AA125" s="136">
        <f>K125</f>
        <v/>
      </c>
      <c r="AB125" s="136">
        <f>M125</f>
        <v/>
      </c>
      <c r="AC125" s="4">
        <f>N125</f>
        <v/>
      </c>
      <c r="AD125" s="137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3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자은동 자은프라임</t>
        </is>
      </c>
      <c r="B126" s="76" t="inlineStr">
        <is>
          <t>15.05.</t>
        </is>
      </c>
      <c r="C126" s="131" t="n">
        <v>1298</v>
      </c>
      <c r="D126" s="132" t="n">
        <v>115</v>
      </c>
      <c r="E126" s="133" t="n">
        <v>35</v>
      </c>
      <c r="F126" s="132" t="n">
        <v>84.90000000000001</v>
      </c>
      <c r="G126" s="17" t="n">
        <v>26</v>
      </c>
      <c r="H126" s="134" t="n">
        <v>111</v>
      </c>
      <c r="I126" s="135" t="n">
        <v>39000</v>
      </c>
      <c r="J126" s="135" t="inlineStr">
        <is>
          <t>15</t>
        </is>
      </c>
      <c r="K126" s="135" t="n"/>
      <c r="L126" s="135" t="n"/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115B</t>
        </is>
      </c>
      <c r="U126" s="9" t="n"/>
      <c r="W126" s="132">
        <f>D126</f>
        <v/>
      </c>
      <c r="X126" s="133">
        <f>E126</f>
        <v/>
      </c>
      <c r="Y126" s="138">
        <f>H126</f>
        <v/>
      </c>
      <c r="Z126" s="136">
        <f>I126</f>
        <v/>
      </c>
      <c r="AA126" s="136">
        <f>K126</f>
        <v/>
      </c>
      <c r="AB126" s="136">
        <f>M126</f>
        <v/>
      </c>
      <c r="AC126" s="4">
        <f>N126</f>
        <v/>
      </c>
      <c r="AD126" s="137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3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자은동 성원</t>
        </is>
      </c>
      <c r="B127" s="76" t="inlineStr">
        <is>
          <t>95.09.</t>
        </is>
      </c>
      <c r="C127" s="131" t="n">
        <v>650</v>
      </c>
      <c r="D127" s="132" t="n">
        <v>52.4</v>
      </c>
      <c r="E127" s="133" t="n">
        <v>16</v>
      </c>
      <c r="F127" s="132" t="n">
        <v>39.8</v>
      </c>
      <c r="G127" s="17" t="n">
        <v>12</v>
      </c>
      <c r="H127" s="134" t="n">
        <v>650</v>
      </c>
      <c r="I127" s="135" t="n">
        <v>10600</v>
      </c>
      <c r="J127" s="135" t="inlineStr">
        <is>
          <t>5</t>
        </is>
      </c>
      <c r="K127" s="135" t="n">
        <v>8000</v>
      </c>
      <c r="L127" s="135" t="inlineStr">
        <is>
          <t>5</t>
        </is>
      </c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21" t="n">
        <v>2</v>
      </c>
      <c r="R127" s="121" t="n">
        <v>1</v>
      </c>
      <c r="S127" s="121" t="inlineStr">
        <is>
          <t>복</t>
        </is>
      </c>
      <c r="T127" s="5" t="n">
        <v>52</v>
      </c>
      <c r="U127" s="9" t="n"/>
      <c r="W127" s="132">
        <f>D127</f>
        <v/>
      </c>
      <c r="X127" s="133">
        <f>E127</f>
        <v/>
      </c>
      <c r="Y127" s="138">
        <f>H127</f>
        <v/>
      </c>
      <c r="Z127" s="136">
        <f>I127</f>
        <v/>
      </c>
      <c r="AA127" s="136">
        <f>K127</f>
        <v/>
      </c>
      <c r="AB127" s="136">
        <f>M127</f>
        <v/>
      </c>
      <c r="AC127" s="4">
        <f>N127</f>
        <v/>
      </c>
      <c r="AD127" s="137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3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자은동 창원자은에일린의뜰</t>
        </is>
      </c>
      <c r="B128" s="76" t="inlineStr">
        <is>
          <t>17.10.</t>
        </is>
      </c>
      <c r="C128" s="131" t="n">
        <v>520</v>
      </c>
      <c r="D128" s="132" t="n">
        <v>110.9</v>
      </c>
      <c r="E128" s="133" t="n">
        <v>34</v>
      </c>
      <c r="F128" s="132" t="n">
        <v>84.90000000000001</v>
      </c>
      <c r="G128" s="17" t="n">
        <v>26</v>
      </c>
      <c r="H128" s="134" t="n">
        <v>224</v>
      </c>
      <c r="I128" s="135" t="n"/>
      <c r="J128" s="135" t="n"/>
      <c r="K128" s="135" t="n"/>
      <c r="L128" s="135" t="n"/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inlineStr">
        <is>
          <t>110A</t>
        </is>
      </c>
      <c r="U128" s="9" t="n"/>
      <c r="W128" s="132">
        <f>D128</f>
        <v/>
      </c>
      <c r="X128" s="133">
        <f>E128</f>
        <v/>
      </c>
      <c r="Y128" s="138">
        <f>H128</f>
        <v/>
      </c>
      <c r="Z128" s="136">
        <f>I128</f>
        <v/>
      </c>
      <c r="AA128" s="136">
        <f>K128</f>
        <v/>
      </c>
      <c r="AB128" s="136">
        <f>M128</f>
        <v/>
      </c>
      <c r="AC128" s="4">
        <f>N128</f>
        <v/>
      </c>
      <c r="AD128" s="137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3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자은동 창원자은에일린의뜰</t>
        </is>
      </c>
      <c r="B129" s="76" t="inlineStr">
        <is>
          <t>17.10.</t>
        </is>
      </c>
      <c r="C129" s="131" t="n">
        <v>520</v>
      </c>
      <c r="D129" s="132" t="n">
        <v>111</v>
      </c>
      <c r="E129" s="133" t="n">
        <v>34</v>
      </c>
      <c r="F129" s="132" t="n">
        <v>85</v>
      </c>
      <c r="G129" s="17" t="n">
        <v>26</v>
      </c>
      <c r="H129" s="134" t="n">
        <v>18</v>
      </c>
      <c r="I129" s="135" t="n">
        <v>43000</v>
      </c>
      <c r="J129" s="135" t="inlineStr">
        <is>
          <t>고</t>
        </is>
      </c>
      <c r="K129" s="135" t="n"/>
      <c r="L129" s="135" t="n"/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inlineStr">
        <is>
          <t>110C</t>
        </is>
      </c>
      <c r="U129" s="9" t="n"/>
      <c r="W129" s="132">
        <f>D129</f>
        <v/>
      </c>
      <c r="X129" s="133">
        <f>E129</f>
        <v/>
      </c>
      <c r="Y129" s="138">
        <f>H129</f>
        <v/>
      </c>
      <c r="Z129" s="136">
        <f>I129</f>
        <v/>
      </c>
      <c r="AA129" s="136">
        <f>K129</f>
        <v/>
      </c>
      <c r="AB129" s="136">
        <f>M129</f>
        <v/>
      </c>
      <c r="AC129" s="4">
        <f>N129</f>
        <v/>
      </c>
      <c r="AD129" s="137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3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자은동 창원자은에일린의뜰</t>
        </is>
      </c>
      <c r="B130" s="76" t="inlineStr">
        <is>
          <t>17.10.</t>
        </is>
      </c>
      <c r="C130" s="131" t="n">
        <v>520</v>
      </c>
      <c r="D130" s="132" t="n">
        <v>111.4</v>
      </c>
      <c r="E130" s="133" t="n">
        <v>34</v>
      </c>
      <c r="F130" s="132" t="n">
        <v>84.8</v>
      </c>
      <c r="G130" s="17" t="n">
        <v>26</v>
      </c>
      <c r="H130" s="134" t="n">
        <v>48</v>
      </c>
      <c r="I130" s="135" t="n">
        <v>47000</v>
      </c>
      <c r="J130" s="135" t="inlineStr">
        <is>
          <t>12</t>
        </is>
      </c>
      <c r="K130" s="135" t="n"/>
      <c r="L130" s="135" t="n"/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inlineStr">
        <is>
          <t>111B</t>
        </is>
      </c>
      <c r="U130" s="9" t="n"/>
      <c r="W130" s="132">
        <f>D130</f>
        <v/>
      </c>
      <c r="X130" s="133">
        <f>E130</f>
        <v/>
      </c>
      <c r="Y130" s="138">
        <f>H130</f>
        <v/>
      </c>
      <c r="Z130" s="136">
        <f>I130</f>
        <v/>
      </c>
      <c r="AA130" s="136">
        <f>K130</f>
        <v/>
      </c>
      <c r="AB130" s="136">
        <f>M130</f>
        <v/>
      </c>
      <c r="AC130" s="4">
        <f>N130</f>
        <v/>
      </c>
      <c r="AD130" s="137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3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자은동 창원자은에일린의뜰</t>
        </is>
      </c>
      <c r="B131" s="76" t="inlineStr">
        <is>
          <t>17.10.</t>
        </is>
      </c>
      <c r="C131" s="131" t="n">
        <v>520</v>
      </c>
      <c r="D131" s="132" t="n">
        <v>132</v>
      </c>
      <c r="E131" s="133" t="n">
        <v>40</v>
      </c>
      <c r="F131" s="132" t="n">
        <v>101.5</v>
      </c>
      <c r="G131" s="17" t="n">
        <v>31</v>
      </c>
      <c r="H131" s="134" t="n">
        <v>103</v>
      </c>
      <c r="I131" s="135" t="n">
        <v>60000</v>
      </c>
      <c r="J131" s="135" t="inlineStr">
        <is>
          <t>중</t>
        </is>
      </c>
      <c r="K131" s="135" t="n"/>
      <c r="L131" s="135" t="n"/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inlineStr">
        <is>
          <t>132A</t>
        </is>
      </c>
      <c r="U131" s="9" t="n"/>
      <c r="W131" s="132">
        <f>D131</f>
        <v/>
      </c>
      <c r="X131" s="133">
        <f>E131</f>
        <v/>
      </c>
      <c r="Y131" s="138">
        <f>H131</f>
        <v/>
      </c>
      <c r="Z131" s="136">
        <f>I131</f>
        <v/>
      </c>
      <c r="AA131" s="136">
        <f>K131</f>
        <v/>
      </c>
      <c r="AB131" s="136">
        <f>M131</f>
        <v/>
      </c>
      <c r="AC131" s="4">
        <f>N131</f>
        <v/>
      </c>
      <c r="AD131" s="137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3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자은동 창원자은에일린의뜰</t>
        </is>
      </c>
      <c r="B132" s="76" t="inlineStr">
        <is>
          <t>17.10.</t>
        </is>
      </c>
      <c r="C132" s="131" t="n">
        <v>520</v>
      </c>
      <c r="D132" s="132" t="n">
        <v>132</v>
      </c>
      <c r="E132" s="133" t="n">
        <v>40</v>
      </c>
      <c r="F132" s="132" t="n">
        <v>101.3</v>
      </c>
      <c r="G132" s="17" t="n">
        <v>31</v>
      </c>
      <c r="H132" s="134" t="n">
        <v>41</v>
      </c>
      <c r="I132" s="135" t="n">
        <v>53000</v>
      </c>
      <c r="J132" s="135" t="inlineStr">
        <is>
          <t>중</t>
        </is>
      </c>
      <c r="K132" s="135" t="n">
        <v>43000</v>
      </c>
      <c r="L132" s="135" t="inlineStr">
        <is>
          <t>10</t>
        </is>
      </c>
      <c r="M132" s="136">
        <f>I132-K132</f>
        <v/>
      </c>
      <c r="N132" s="4">
        <f>IF(ISERROR(K132/I132),"",K132/I132)</f>
        <v/>
      </c>
      <c r="O132" s="137">
        <f>I132/E132</f>
        <v/>
      </c>
      <c r="P132" s="137">
        <f>K132/E132</f>
        <v/>
      </c>
      <c r="Q132" s="121" t="n">
        <v>4</v>
      </c>
      <c r="R132" s="121" t="n">
        <v>2</v>
      </c>
      <c r="S132" s="121" t="inlineStr">
        <is>
          <t>계</t>
        </is>
      </c>
      <c r="T132" s="5" t="inlineStr">
        <is>
          <t>132B</t>
        </is>
      </c>
      <c r="U132" s="9" t="n"/>
      <c r="W132" s="132">
        <f>D132</f>
        <v/>
      </c>
      <c r="X132" s="133">
        <f>E132</f>
        <v/>
      </c>
      <c r="Y132" s="138">
        <f>H132</f>
        <v/>
      </c>
      <c r="Z132" s="136">
        <f>I132</f>
        <v/>
      </c>
      <c r="AA132" s="136">
        <f>K132</f>
        <v/>
      </c>
      <c r="AB132" s="136">
        <f>M132</f>
        <v/>
      </c>
      <c r="AC132" s="4">
        <f>N132</f>
        <v/>
      </c>
      <c r="AD132" s="137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3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자은동 창원자은에일린의뜰</t>
        </is>
      </c>
      <c r="B133" s="76" t="inlineStr">
        <is>
          <t>17.10.</t>
        </is>
      </c>
      <c r="C133" s="131" t="n">
        <v>520</v>
      </c>
      <c r="D133" s="132" t="n">
        <v>148.8</v>
      </c>
      <c r="E133" s="133" t="n">
        <v>45</v>
      </c>
      <c r="F133" s="132" t="n">
        <v>114.8</v>
      </c>
      <c r="G133" s="17" t="n">
        <v>35</v>
      </c>
      <c r="H133" s="134" t="n">
        <v>86</v>
      </c>
      <c r="I133" s="135" t="n">
        <v>57000</v>
      </c>
      <c r="J133" s="135" t="inlineStr">
        <is>
          <t>고</t>
        </is>
      </c>
      <c r="K133" s="135" t="n">
        <v>44000</v>
      </c>
      <c r="L133" s="135" t="inlineStr">
        <is>
          <t>19</t>
        </is>
      </c>
      <c r="M133" s="136">
        <f>I133-K133</f>
        <v/>
      </c>
      <c r="N133" s="4">
        <f>IF(ISERROR(K133/I133),"",K133/I133)</f>
        <v/>
      </c>
      <c r="O133" s="137">
        <f>I133/E133</f>
        <v/>
      </c>
      <c r="P133" s="137">
        <f>K133/E133</f>
        <v/>
      </c>
      <c r="Q133" s="121" t="n">
        <v>4</v>
      </c>
      <c r="R133" s="121" t="n">
        <v>2</v>
      </c>
      <c r="S133" s="121" t="inlineStr">
        <is>
          <t>계</t>
        </is>
      </c>
      <c r="T133" s="5" t="n">
        <v>148</v>
      </c>
      <c r="U133" s="9" t="n"/>
      <c r="W133" s="132">
        <f>D133</f>
        <v/>
      </c>
      <c r="X133" s="133">
        <f>E133</f>
        <v/>
      </c>
      <c r="Y133" s="138">
        <f>H133</f>
        <v/>
      </c>
      <c r="Z133" s="136">
        <f>I133</f>
        <v/>
      </c>
      <c r="AA133" s="136">
        <f>K133</f>
        <v/>
      </c>
      <c r="AB133" s="136">
        <f>M133</f>
        <v/>
      </c>
      <c r="AC133" s="4">
        <f>N133</f>
        <v/>
      </c>
      <c r="AD133" s="137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3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자은동 대동빌라트1단지</t>
        </is>
      </c>
      <c r="B134" s="76" t="inlineStr">
        <is>
          <t>96.12.</t>
        </is>
      </c>
      <c r="C134" s="131" t="n">
        <v>299</v>
      </c>
      <c r="D134" s="132" t="n">
        <v>104</v>
      </c>
      <c r="E134" s="133" t="n">
        <v>31</v>
      </c>
      <c r="F134" s="132" t="n">
        <v>84.90000000000001</v>
      </c>
      <c r="G134" s="17" t="n">
        <v>26</v>
      </c>
      <c r="H134" s="134" t="n">
        <v>251</v>
      </c>
      <c r="I134" s="135" t="n"/>
      <c r="J134" s="135" t="n"/>
      <c r="K134" s="135" t="n"/>
      <c r="L134" s="135" t="n"/>
      <c r="M134" s="136">
        <f>I134-K134</f>
        <v/>
      </c>
      <c r="N134" s="4">
        <f>IF(ISERROR(K134/I134),"",K134/I134)</f>
        <v/>
      </c>
      <c r="O134" s="137">
        <f>I134/E134</f>
        <v/>
      </c>
      <c r="P134" s="137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n">
        <v>103</v>
      </c>
      <c r="U134" s="9" t="n"/>
      <c r="W134" s="132">
        <f>D134</f>
        <v/>
      </c>
      <c r="X134" s="133">
        <f>E134</f>
        <v/>
      </c>
      <c r="Y134" s="138">
        <f>H134</f>
        <v/>
      </c>
      <c r="Z134" s="136">
        <f>I134</f>
        <v/>
      </c>
      <c r="AA134" s="136">
        <f>K134</f>
        <v/>
      </c>
      <c r="AB134" s="136">
        <f>M134</f>
        <v/>
      </c>
      <c r="AC134" s="4">
        <f>N134</f>
        <v/>
      </c>
      <c r="AD134" s="137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3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자은동 대동빌라트1단지</t>
        </is>
      </c>
      <c r="B135" s="76" t="inlineStr">
        <is>
          <t>96.12.</t>
        </is>
      </c>
      <c r="C135" s="131" t="n">
        <v>299</v>
      </c>
      <c r="D135" s="132" t="n">
        <v>160.6</v>
      </c>
      <c r="E135" s="133" t="n">
        <v>49</v>
      </c>
      <c r="F135" s="132" t="n">
        <v>130.4</v>
      </c>
      <c r="G135" s="17" t="n">
        <v>39</v>
      </c>
      <c r="H135" s="134" t="n">
        <v>48</v>
      </c>
      <c r="I135" s="135" t="n"/>
      <c r="J135" s="135" t="n"/>
      <c r="K135" s="135" t="n"/>
      <c r="L135" s="135" t="n"/>
      <c r="M135" s="136">
        <f>I135-K135</f>
        <v/>
      </c>
      <c r="N135" s="4">
        <f>IF(ISERROR(K135/I135),"",K135/I135)</f>
        <v/>
      </c>
      <c r="O135" s="137">
        <f>I135/E135</f>
        <v/>
      </c>
      <c r="P135" s="137">
        <f>K135/E135</f>
        <v/>
      </c>
      <c r="Q135" s="121" t="n">
        <v>4</v>
      </c>
      <c r="R135" s="121" t="n">
        <v>2</v>
      </c>
      <c r="S135" s="121" t="inlineStr">
        <is>
          <t>계</t>
        </is>
      </c>
      <c r="T135" s="5" t="n">
        <v>160</v>
      </c>
      <c r="U135" s="9" t="n"/>
      <c r="W135" s="132">
        <f>D135</f>
        <v/>
      </c>
      <c r="X135" s="133">
        <f>E135</f>
        <v/>
      </c>
      <c r="Y135" s="138">
        <f>H135</f>
        <v/>
      </c>
      <c r="Z135" s="136">
        <f>I135</f>
        <v/>
      </c>
      <c r="AA135" s="136">
        <f>K135</f>
        <v/>
      </c>
      <c r="AB135" s="136">
        <f>M135</f>
        <v/>
      </c>
      <c r="AC135" s="4">
        <f>N135</f>
        <v/>
      </c>
      <c r="AD135" s="137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3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자은동 진해자은벚꽃주공</t>
        </is>
      </c>
      <c r="B136" s="76" t="inlineStr">
        <is>
          <t>00.08.</t>
        </is>
      </c>
      <c r="C136" s="131" t="n">
        <v>600</v>
      </c>
      <c r="D136" s="132" t="n">
        <v>80</v>
      </c>
      <c r="E136" s="133" t="n">
        <v>24</v>
      </c>
      <c r="F136" s="132" t="n">
        <v>59.7</v>
      </c>
      <c r="G136" s="17" t="n">
        <v>18</v>
      </c>
      <c r="H136" s="134" t="n">
        <v>216</v>
      </c>
      <c r="I136" s="135" t="n"/>
      <c r="J136" s="135" t="n"/>
      <c r="K136" s="135" t="n">
        <v>16000</v>
      </c>
      <c r="L136" s="135" t="inlineStr">
        <is>
          <t>중</t>
        </is>
      </c>
      <c r="M136" s="136">
        <f>I136-K136</f>
        <v/>
      </c>
      <c r="N136" s="4">
        <f>IF(ISERROR(K136/I136),"",K136/I136)</f>
        <v/>
      </c>
      <c r="O136" s="137">
        <f>I136/E136</f>
        <v/>
      </c>
      <c r="P136" s="137">
        <f>K136/E136</f>
        <v/>
      </c>
      <c r="Q136" s="121" t="n">
        <v>3</v>
      </c>
      <c r="R136" s="121" t="n">
        <v>1</v>
      </c>
      <c r="S136" s="121" t="inlineStr">
        <is>
          <t>계</t>
        </is>
      </c>
      <c r="T136" s="5" t="inlineStr">
        <is>
          <t>80A</t>
        </is>
      </c>
      <c r="U136" s="9" t="n"/>
      <c r="W136" s="132">
        <f>D136</f>
        <v/>
      </c>
      <c r="X136" s="133">
        <f>E136</f>
        <v/>
      </c>
      <c r="Y136" s="138">
        <f>H136</f>
        <v/>
      </c>
      <c r="Z136" s="136">
        <f>I136</f>
        <v/>
      </c>
      <c r="AA136" s="136">
        <f>K136</f>
        <v/>
      </c>
      <c r="AB136" s="136">
        <f>M136</f>
        <v/>
      </c>
      <c r="AC136" s="4">
        <f>N136</f>
        <v/>
      </c>
      <c r="AD136" s="137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3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자은동 진해자은벚꽃주공</t>
        </is>
      </c>
      <c r="B137" s="76" t="inlineStr">
        <is>
          <t>00.08.</t>
        </is>
      </c>
      <c r="C137" s="131" t="n">
        <v>600</v>
      </c>
      <c r="D137" s="132" t="n">
        <v>80.40000000000001</v>
      </c>
      <c r="E137" s="133" t="n">
        <v>24</v>
      </c>
      <c r="F137" s="132" t="n">
        <v>60</v>
      </c>
      <c r="G137" s="17" t="n">
        <v>18</v>
      </c>
      <c r="H137" s="134" t="n">
        <v>24</v>
      </c>
      <c r="I137" s="135" t="n"/>
      <c r="J137" s="135" t="n"/>
      <c r="K137" s="135" t="n"/>
      <c r="L137" s="135" t="n"/>
      <c r="M137" s="136">
        <f>I137-K137</f>
        <v/>
      </c>
      <c r="N137" s="4">
        <f>IF(ISERROR(K137/I137),"",K137/I137)</f>
        <v/>
      </c>
      <c r="O137" s="137">
        <f>I137/E137</f>
        <v/>
      </c>
      <c r="P137" s="137">
        <f>K137/E137</f>
        <v/>
      </c>
      <c r="Q137" s="121" t="n">
        <v>3</v>
      </c>
      <c r="R137" s="121" t="n">
        <v>1</v>
      </c>
      <c r="S137" s="121" t="inlineStr">
        <is>
          <t>계</t>
        </is>
      </c>
      <c r="T137" s="5" t="inlineStr">
        <is>
          <t>80B</t>
        </is>
      </c>
      <c r="U137" s="9" t="n"/>
      <c r="W137" s="132">
        <f>D137</f>
        <v/>
      </c>
      <c r="X137" s="133">
        <f>E137</f>
        <v/>
      </c>
      <c r="Y137" s="138">
        <f>H137</f>
        <v/>
      </c>
      <c r="Z137" s="136">
        <f>I137</f>
        <v/>
      </c>
      <c r="AA137" s="136">
        <f>K137</f>
        <v/>
      </c>
      <c r="AB137" s="136">
        <f>M137</f>
        <v/>
      </c>
      <c r="AC137" s="4">
        <f>N137</f>
        <v/>
      </c>
      <c r="AD137" s="137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3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자은동 진해자은벚꽃주공</t>
        </is>
      </c>
      <c r="B138" s="76" t="inlineStr">
        <is>
          <t>00.08.</t>
        </is>
      </c>
      <c r="C138" s="131" t="n">
        <v>600</v>
      </c>
      <c r="D138" s="132" t="n">
        <v>101.3</v>
      </c>
      <c r="E138" s="133" t="n">
        <v>31</v>
      </c>
      <c r="F138" s="132" t="n">
        <v>75.59999999999999</v>
      </c>
      <c r="G138" s="17" t="n">
        <v>23</v>
      </c>
      <c r="H138" s="134" t="n">
        <v>72</v>
      </c>
      <c r="I138" s="135" t="n">
        <v>22000</v>
      </c>
      <c r="J138" s="135" t="inlineStr">
        <is>
          <t>7</t>
        </is>
      </c>
      <c r="K138" s="135" t="n"/>
      <c r="L138" s="135" t="n"/>
      <c r="M138" s="136">
        <f>I138-K138</f>
        <v/>
      </c>
      <c r="N138" s="4">
        <f>IF(ISERROR(K138/I138),"",K138/I138)</f>
        <v/>
      </c>
      <c r="O138" s="137">
        <f>I138/E138</f>
        <v/>
      </c>
      <c r="P138" s="137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inlineStr">
        <is>
          <t>101A</t>
        </is>
      </c>
      <c r="U138" s="9" t="n"/>
      <c r="W138" s="132">
        <f>D138</f>
        <v/>
      </c>
      <c r="X138" s="133">
        <f>E138</f>
        <v/>
      </c>
      <c r="Y138" s="138">
        <f>H138</f>
        <v/>
      </c>
      <c r="Z138" s="136">
        <f>I138</f>
        <v/>
      </c>
      <c r="AA138" s="136">
        <f>K138</f>
        <v/>
      </c>
      <c r="AB138" s="136">
        <f>M138</f>
        <v/>
      </c>
      <c r="AC138" s="4">
        <f>N138</f>
        <v/>
      </c>
      <c r="AD138" s="137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3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자은동 진해자은벚꽃주공</t>
        </is>
      </c>
      <c r="B139" s="76" t="inlineStr">
        <is>
          <t>00.08.</t>
        </is>
      </c>
      <c r="C139" s="131" t="n">
        <v>600</v>
      </c>
      <c r="D139" s="132" t="n">
        <v>101.3</v>
      </c>
      <c r="E139" s="133" t="n">
        <v>31</v>
      </c>
      <c r="F139" s="132" t="n">
        <v>75.59999999999999</v>
      </c>
      <c r="G139" s="17" t="n">
        <v>23</v>
      </c>
      <c r="H139" s="134" t="n">
        <v>60</v>
      </c>
      <c r="I139" s="135" t="n">
        <v>22000</v>
      </c>
      <c r="J139" s="135" t="inlineStr">
        <is>
          <t>7</t>
        </is>
      </c>
      <c r="K139" s="135" t="n"/>
      <c r="L139" s="135" t="n"/>
      <c r="M139" s="136">
        <f>I139-K139</f>
        <v/>
      </c>
      <c r="N139" s="4">
        <f>IF(ISERROR(K139/I139),"",K139/I139)</f>
        <v/>
      </c>
      <c r="O139" s="137">
        <f>I139/E139</f>
        <v/>
      </c>
      <c r="P139" s="137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inlineStr">
        <is>
          <t>101B</t>
        </is>
      </c>
      <c r="U139" s="9" t="n"/>
      <c r="W139" s="132">
        <f>D139</f>
        <v/>
      </c>
      <c r="X139" s="133">
        <f>E139</f>
        <v/>
      </c>
      <c r="Y139" s="138">
        <f>H139</f>
        <v/>
      </c>
      <c r="Z139" s="136">
        <f>I139</f>
        <v/>
      </c>
      <c r="AA139" s="136">
        <f>K139</f>
        <v/>
      </c>
      <c r="AB139" s="136">
        <f>M139</f>
        <v/>
      </c>
      <c r="AC139" s="4">
        <f>N139</f>
        <v/>
      </c>
      <c r="AD139" s="137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3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자은동 진해자은벚꽃주공</t>
        </is>
      </c>
      <c r="B140" s="76" t="inlineStr">
        <is>
          <t>00.08.</t>
        </is>
      </c>
      <c r="C140" s="131" t="n">
        <v>600</v>
      </c>
      <c r="D140" s="132" t="n">
        <v>101.6</v>
      </c>
      <c r="E140" s="133" t="n">
        <v>31</v>
      </c>
      <c r="F140" s="132" t="n">
        <v>75.8</v>
      </c>
      <c r="G140" s="17" t="n">
        <v>23</v>
      </c>
      <c r="H140" s="134" t="n">
        <v>48</v>
      </c>
      <c r="I140" s="135" t="n">
        <v>22000</v>
      </c>
      <c r="J140" s="135" t="inlineStr">
        <is>
          <t>7</t>
        </is>
      </c>
      <c r="K140" s="135" t="n"/>
      <c r="L140" s="135" t="n"/>
      <c r="M140" s="136">
        <f>I140-K140</f>
        <v/>
      </c>
      <c r="N140" s="4">
        <f>IF(ISERROR(K140/I140),"",K140/I140)</f>
        <v/>
      </c>
      <c r="O140" s="137">
        <f>I140/E140</f>
        <v/>
      </c>
      <c r="P140" s="137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101C</t>
        </is>
      </c>
      <c r="U140" s="9" t="n"/>
      <c r="W140" s="132">
        <f>D140</f>
        <v/>
      </c>
      <c r="X140" s="133">
        <f>E140</f>
        <v/>
      </c>
      <c r="Y140" s="138">
        <f>H140</f>
        <v/>
      </c>
      <c r="Z140" s="136">
        <f>I140</f>
        <v/>
      </c>
      <c r="AA140" s="136">
        <f>K140</f>
        <v/>
      </c>
      <c r="AB140" s="136">
        <f>M140</f>
        <v/>
      </c>
      <c r="AC140" s="4">
        <f>N140</f>
        <v/>
      </c>
      <c r="AD140" s="137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3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자은동 진해자은벚꽃주공</t>
        </is>
      </c>
      <c r="B141" s="76" t="inlineStr">
        <is>
          <t>00.08.</t>
        </is>
      </c>
      <c r="C141" s="131" t="n">
        <v>600</v>
      </c>
      <c r="D141" s="132" t="n">
        <v>113.4</v>
      </c>
      <c r="E141" s="133" t="n">
        <v>34</v>
      </c>
      <c r="F141" s="132" t="n">
        <v>84.59999999999999</v>
      </c>
      <c r="G141" s="17" t="n">
        <v>26</v>
      </c>
      <c r="H141" s="134" t="n">
        <v>70</v>
      </c>
      <c r="I141" s="135" t="n"/>
      <c r="J141" s="135" t="n"/>
      <c r="K141" s="135" t="n"/>
      <c r="L141" s="135" t="n"/>
      <c r="M141" s="136">
        <f>I141-K141</f>
        <v/>
      </c>
      <c r="N141" s="4">
        <f>IF(ISERROR(K141/I141),"",K141/I141)</f>
        <v/>
      </c>
      <c r="O141" s="137">
        <f>I141/E141</f>
        <v/>
      </c>
      <c r="P141" s="137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113A</t>
        </is>
      </c>
      <c r="U141" s="9" t="n"/>
      <c r="W141" s="132">
        <f>D141</f>
        <v/>
      </c>
      <c r="X141" s="133">
        <f>E141</f>
        <v/>
      </c>
      <c r="Y141" s="138">
        <f>H141</f>
        <v/>
      </c>
      <c r="Z141" s="136">
        <f>I141</f>
        <v/>
      </c>
      <c r="AA141" s="136">
        <f>K141</f>
        <v/>
      </c>
      <c r="AB141" s="136">
        <f>M141</f>
        <v/>
      </c>
      <c r="AC141" s="4">
        <f>N141</f>
        <v/>
      </c>
      <c r="AD141" s="137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3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자은동 진해자은벚꽃주공</t>
        </is>
      </c>
      <c r="B142" s="76" t="inlineStr">
        <is>
          <t>00.08.</t>
        </is>
      </c>
      <c r="C142" s="131" t="n">
        <v>600</v>
      </c>
      <c r="D142" s="132" t="n">
        <v>113.8</v>
      </c>
      <c r="E142" s="133" t="n">
        <v>34</v>
      </c>
      <c r="F142" s="132" t="n">
        <v>84.90000000000001</v>
      </c>
      <c r="G142" s="17" t="n">
        <v>26</v>
      </c>
      <c r="H142" s="134" t="n">
        <v>62</v>
      </c>
      <c r="I142" s="135" t="n"/>
      <c r="J142" s="135" t="n"/>
      <c r="K142" s="135" t="n"/>
      <c r="L142" s="135" t="n"/>
      <c r="M142" s="136">
        <f>I142-K142</f>
        <v/>
      </c>
      <c r="N142" s="4">
        <f>IF(ISERROR(K142/I142),"",K142/I142)</f>
        <v/>
      </c>
      <c r="O142" s="137">
        <f>I142/E142</f>
        <v/>
      </c>
      <c r="P142" s="137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113B</t>
        </is>
      </c>
      <c r="U142" s="9" t="n"/>
      <c r="W142" s="132">
        <f>D142</f>
        <v/>
      </c>
      <c r="X142" s="133">
        <f>E142</f>
        <v/>
      </c>
      <c r="Y142" s="138">
        <f>H142</f>
        <v/>
      </c>
      <c r="Z142" s="136">
        <f>I142</f>
        <v/>
      </c>
      <c r="AA142" s="136">
        <f>K142</f>
        <v/>
      </c>
      <c r="AB142" s="136">
        <f>M142</f>
        <v/>
      </c>
      <c r="AC142" s="4">
        <f>N142</f>
        <v/>
      </c>
      <c r="AD142" s="137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3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자은동 진해자은벚꽃주공</t>
        </is>
      </c>
      <c r="B143" s="76" t="inlineStr">
        <is>
          <t>00.08.</t>
        </is>
      </c>
      <c r="C143" s="131" t="n">
        <v>600</v>
      </c>
      <c r="D143" s="132" t="n">
        <v>113.8</v>
      </c>
      <c r="E143" s="133" t="n">
        <v>34</v>
      </c>
      <c r="F143" s="132" t="n">
        <v>84.90000000000001</v>
      </c>
      <c r="G143" s="17" t="n">
        <v>26</v>
      </c>
      <c r="H143" s="134" t="n">
        <v>48</v>
      </c>
      <c r="I143" s="135" t="n"/>
      <c r="J143" s="135" t="n"/>
      <c r="K143" s="135" t="n"/>
      <c r="L143" s="135" t="n"/>
      <c r="M143" s="136">
        <f>I143-K143</f>
        <v/>
      </c>
      <c r="N143" s="4">
        <f>IF(ISERROR(K143/I143),"",K143/I143)</f>
        <v/>
      </c>
      <c r="O143" s="137">
        <f>I143/E143</f>
        <v/>
      </c>
      <c r="P143" s="137">
        <f>K143/E143</f>
        <v/>
      </c>
      <c r="Q143" s="121" t="n">
        <v>3</v>
      </c>
      <c r="R143" s="121" t="n">
        <v>2</v>
      </c>
      <c r="S143" s="121" t="inlineStr">
        <is>
          <t>계</t>
        </is>
      </c>
      <c r="T143" s="5" t="inlineStr">
        <is>
          <t>113C</t>
        </is>
      </c>
      <c r="U143" s="9" t="n"/>
      <c r="W143" s="132">
        <f>D143</f>
        <v/>
      </c>
      <c r="X143" s="133">
        <f>E143</f>
        <v/>
      </c>
      <c r="Y143" s="138">
        <f>H143</f>
        <v/>
      </c>
      <c r="Z143" s="136">
        <f>I143</f>
        <v/>
      </c>
      <c r="AA143" s="136">
        <f>K143</f>
        <v/>
      </c>
      <c r="AB143" s="136">
        <f>M143</f>
        <v/>
      </c>
      <c r="AC143" s="4">
        <f>N143</f>
        <v/>
      </c>
      <c r="AD143" s="137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3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자은동 자은월드메르디앙</t>
        </is>
      </c>
      <c r="B144" s="76" t="inlineStr">
        <is>
          <t>08.01.</t>
        </is>
      </c>
      <c r="C144" s="131" t="n">
        <v>358</v>
      </c>
      <c r="D144" s="132" t="n">
        <v>112.9</v>
      </c>
      <c r="E144" s="133" t="n">
        <v>34</v>
      </c>
      <c r="F144" s="132" t="n">
        <v>84.90000000000001</v>
      </c>
      <c r="G144" s="17" t="n">
        <v>26</v>
      </c>
      <c r="H144" s="134" t="n">
        <v>55</v>
      </c>
      <c r="I144" s="135" t="n">
        <v>29000</v>
      </c>
      <c r="J144" s="135" t="inlineStr">
        <is>
          <t>중</t>
        </is>
      </c>
      <c r="K144" s="135" t="n"/>
      <c r="L144" s="135" t="n"/>
      <c r="M144" s="136">
        <f>I144-K144</f>
        <v/>
      </c>
      <c r="N144" s="4">
        <f>IF(ISERROR(K144/I144),"",K144/I144)</f>
        <v/>
      </c>
      <c r="O144" s="137">
        <f>I144/E144</f>
        <v/>
      </c>
      <c r="P144" s="137">
        <f>K144/E144</f>
        <v/>
      </c>
      <c r="Q144" s="121" t="n">
        <v>3</v>
      </c>
      <c r="R144" s="121" t="n">
        <v>2</v>
      </c>
      <c r="S144" s="121" t="inlineStr">
        <is>
          <t>복</t>
        </is>
      </c>
      <c r="T144" s="5" t="inlineStr">
        <is>
          <t>112B</t>
        </is>
      </c>
      <c r="U144" s="9" t="n"/>
      <c r="W144" s="132">
        <f>D144</f>
        <v/>
      </c>
      <c r="X144" s="133">
        <f>E144</f>
        <v/>
      </c>
      <c r="Y144" s="138">
        <f>H144</f>
        <v/>
      </c>
      <c r="Z144" s="136">
        <f>I144</f>
        <v/>
      </c>
      <c r="AA144" s="136">
        <f>K144</f>
        <v/>
      </c>
      <c r="AB144" s="136">
        <f>M144</f>
        <v/>
      </c>
      <c r="AC144" s="4">
        <f>N144</f>
        <v/>
      </c>
      <c r="AD144" s="137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3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자은동 자은월드메르디앙</t>
        </is>
      </c>
      <c r="B145" s="76" t="inlineStr">
        <is>
          <t>08.01.</t>
        </is>
      </c>
      <c r="C145" s="131" t="n">
        <v>358</v>
      </c>
      <c r="D145" s="132" t="n">
        <v>113.4</v>
      </c>
      <c r="E145" s="133" t="n">
        <v>34</v>
      </c>
      <c r="F145" s="132" t="n">
        <v>84.90000000000001</v>
      </c>
      <c r="G145" s="17" t="n">
        <v>26</v>
      </c>
      <c r="H145" s="134" t="n">
        <v>230</v>
      </c>
      <c r="I145" s="135" t="n">
        <v>30000</v>
      </c>
      <c r="J145" s="135" t="inlineStr">
        <is>
          <t>중</t>
        </is>
      </c>
      <c r="K145" s="135" t="n"/>
      <c r="L145" s="135" t="n"/>
      <c r="M145" s="136">
        <f>I145-K145</f>
        <v/>
      </c>
      <c r="N145" s="4">
        <f>IF(ISERROR(K145/I145),"",K145/I145)</f>
        <v/>
      </c>
      <c r="O145" s="137">
        <f>I145/E145</f>
        <v/>
      </c>
      <c r="P145" s="137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inlineStr">
        <is>
          <t>113A</t>
        </is>
      </c>
      <c r="U145" s="9" t="n"/>
      <c r="W145" s="132">
        <f>D145</f>
        <v/>
      </c>
      <c r="X145" s="133">
        <f>E145</f>
        <v/>
      </c>
      <c r="Y145" s="138">
        <f>H145</f>
        <v/>
      </c>
      <c r="Z145" s="136">
        <f>I145</f>
        <v/>
      </c>
      <c r="AA145" s="136">
        <f>K145</f>
        <v/>
      </c>
      <c r="AB145" s="136">
        <f>M145</f>
        <v/>
      </c>
      <c r="AC145" s="4">
        <f>N145</f>
        <v/>
      </c>
      <c r="AD145" s="137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3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자은동 자은월드메르디앙</t>
        </is>
      </c>
      <c r="B146" s="76" t="inlineStr">
        <is>
          <t>08.01.</t>
        </is>
      </c>
      <c r="C146" s="131" t="n">
        <v>358</v>
      </c>
      <c r="D146" s="132" t="n">
        <v>114.2</v>
      </c>
      <c r="E146" s="133" t="n">
        <v>35</v>
      </c>
      <c r="F146" s="132" t="n">
        <v>85</v>
      </c>
      <c r="G146" s="17" t="n">
        <v>26</v>
      </c>
      <c r="H146" s="134" t="n">
        <v>13</v>
      </c>
      <c r="I146" s="135" t="n"/>
      <c r="J146" s="135" t="n"/>
      <c r="K146" s="135" t="n"/>
      <c r="L146" s="135" t="n"/>
      <c r="M146" s="136">
        <f>I146-K146</f>
        <v/>
      </c>
      <c r="N146" s="4">
        <f>IF(ISERROR(K146/I146),"",K146/I146)</f>
        <v/>
      </c>
      <c r="O146" s="137">
        <f>I146/E146</f>
        <v/>
      </c>
      <c r="P146" s="137">
        <f>K146/E146</f>
        <v/>
      </c>
      <c r="Q146" s="121" t="n">
        <v>3</v>
      </c>
      <c r="R146" s="121" t="n">
        <v>2</v>
      </c>
      <c r="S146" s="121" t="inlineStr">
        <is>
          <t>복</t>
        </is>
      </c>
      <c r="T146" s="5" t="inlineStr">
        <is>
          <t>114C</t>
        </is>
      </c>
      <c r="U146" s="9" t="n"/>
      <c r="W146" s="132">
        <f>D146</f>
        <v/>
      </c>
      <c r="X146" s="133">
        <f>E146</f>
        <v/>
      </c>
      <c r="Y146" s="138">
        <f>H146</f>
        <v/>
      </c>
      <c r="Z146" s="136">
        <f>I146</f>
        <v/>
      </c>
      <c r="AA146" s="136">
        <f>K146</f>
        <v/>
      </c>
      <c r="AB146" s="136">
        <f>M146</f>
        <v/>
      </c>
      <c r="AC146" s="4">
        <f>N146</f>
        <v/>
      </c>
      <c r="AD146" s="137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3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자은동 자은월드메르디앙</t>
        </is>
      </c>
      <c r="B147" s="76" t="inlineStr">
        <is>
          <t>08.01.</t>
        </is>
      </c>
      <c r="C147" s="131" t="n">
        <v>358</v>
      </c>
      <c r="D147" s="132" t="n">
        <v>158.7</v>
      </c>
      <c r="E147" s="133" t="n">
        <v>48</v>
      </c>
      <c r="F147" s="132" t="n">
        <v>126.2</v>
      </c>
      <c r="G147" s="17" t="n">
        <v>38</v>
      </c>
      <c r="H147" s="134" t="n">
        <v>60</v>
      </c>
      <c r="I147" s="135" t="n">
        <v>36000</v>
      </c>
      <c r="J147" s="135" t="inlineStr">
        <is>
          <t>중</t>
        </is>
      </c>
      <c r="K147" s="135" t="n"/>
      <c r="L147" s="135" t="n"/>
      <c r="M147" s="136">
        <f>I147-K147</f>
        <v/>
      </c>
      <c r="N147" s="4">
        <f>IF(ISERROR(K147/I147),"",K147/I147)</f>
        <v/>
      </c>
      <c r="O147" s="137">
        <f>I147/E147</f>
        <v/>
      </c>
      <c r="P147" s="137">
        <f>K147/E147</f>
        <v/>
      </c>
      <c r="Q147" s="121" t="n">
        <v>4</v>
      </c>
      <c r="R147" s="121" t="n">
        <v>2</v>
      </c>
      <c r="S147" s="121" t="inlineStr">
        <is>
          <t>계</t>
        </is>
      </c>
      <c r="T147" s="5" t="n">
        <v>158</v>
      </c>
      <c r="U147" s="9" t="n"/>
      <c r="W147" s="132">
        <f>D147</f>
        <v/>
      </c>
      <c r="X147" s="133">
        <f>E147</f>
        <v/>
      </c>
      <c r="Y147" s="138">
        <f>H147</f>
        <v/>
      </c>
      <c r="Z147" s="136">
        <f>I147</f>
        <v/>
      </c>
      <c r="AA147" s="136">
        <f>K147</f>
        <v/>
      </c>
      <c r="AB147" s="136">
        <f>M147</f>
        <v/>
      </c>
      <c r="AC147" s="4">
        <f>N147</f>
        <v/>
      </c>
      <c r="AD147" s="137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3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자은동 협성DS이아이존빌</t>
        </is>
      </c>
      <c r="B148" s="76" t="inlineStr">
        <is>
          <t>14.06.</t>
        </is>
      </c>
      <c r="C148" s="131" t="n">
        <v>433</v>
      </c>
      <c r="D148" s="132" t="n">
        <v>79.7</v>
      </c>
      <c r="E148" s="133" t="n">
        <v>24</v>
      </c>
      <c r="F148" s="132" t="n">
        <v>59.9</v>
      </c>
      <c r="G148" s="17" t="n">
        <v>18</v>
      </c>
      <c r="H148" s="134" t="n">
        <v>113</v>
      </c>
      <c r="I148" s="135" t="n">
        <v>26500</v>
      </c>
      <c r="J148" s="135" t="inlineStr">
        <is>
          <t>중</t>
        </is>
      </c>
      <c r="K148" s="135" t="n"/>
      <c r="L148" s="135" t="n"/>
      <c r="M148" s="136">
        <f>I148-K148</f>
        <v/>
      </c>
      <c r="N148" s="4">
        <f>IF(ISERROR(K148/I148),"",K148/I148)</f>
        <v/>
      </c>
      <c r="O148" s="137">
        <f>I148/E148</f>
        <v/>
      </c>
      <c r="P148" s="137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79A</t>
        </is>
      </c>
      <c r="U148" s="9" t="n"/>
      <c r="W148" s="132">
        <f>D148</f>
        <v/>
      </c>
      <c r="X148" s="133">
        <f>E148</f>
        <v/>
      </c>
      <c r="Y148" s="138">
        <f>H148</f>
        <v/>
      </c>
      <c r="Z148" s="136">
        <f>I148</f>
        <v/>
      </c>
      <c r="AA148" s="136">
        <f>K148</f>
        <v/>
      </c>
      <c r="AB148" s="136">
        <f>M148</f>
        <v/>
      </c>
      <c r="AC148" s="4">
        <f>N148</f>
        <v/>
      </c>
      <c r="AD148" s="137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3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자은동 협성DS이아이존빌</t>
        </is>
      </c>
      <c r="B149" s="76" t="inlineStr">
        <is>
          <t>14.06.</t>
        </is>
      </c>
      <c r="C149" s="131" t="n">
        <v>433</v>
      </c>
      <c r="D149" s="132" t="n">
        <v>81</v>
      </c>
      <c r="E149" s="133" t="n">
        <v>24</v>
      </c>
      <c r="F149" s="132" t="n">
        <v>60</v>
      </c>
      <c r="G149" s="17" t="n">
        <v>18</v>
      </c>
      <c r="H149" s="134" t="n">
        <v>52</v>
      </c>
      <c r="I149" s="135" t="n">
        <v>26000</v>
      </c>
      <c r="J149" s="135" t="inlineStr">
        <is>
          <t>고</t>
        </is>
      </c>
      <c r="K149" s="135" t="n"/>
      <c r="L149" s="135" t="n"/>
      <c r="M149" s="136">
        <f>I149-K149</f>
        <v/>
      </c>
      <c r="N149" s="4">
        <f>IF(ISERROR(K149/I149),"",K149/I149)</f>
        <v/>
      </c>
      <c r="O149" s="137">
        <f>I149/E149</f>
        <v/>
      </c>
      <c r="P149" s="137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inlineStr">
        <is>
          <t>80B</t>
        </is>
      </c>
      <c r="U149" s="9" t="n"/>
      <c r="W149" s="132">
        <f>D149</f>
        <v/>
      </c>
      <c r="X149" s="133">
        <f>E149</f>
        <v/>
      </c>
      <c r="Y149" s="138">
        <f>H149</f>
        <v/>
      </c>
      <c r="Z149" s="136">
        <f>I149</f>
        <v/>
      </c>
      <c r="AA149" s="136">
        <f>K149</f>
        <v/>
      </c>
      <c r="AB149" s="136">
        <f>M149</f>
        <v/>
      </c>
      <c r="AC149" s="4">
        <f>N149</f>
        <v/>
      </c>
      <c r="AD149" s="137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3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자은동 협성DS이아이존빌</t>
        </is>
      </c>
      <c r="B150" s="76" t="inlineStr">
        <is>
          <t>14.06.</t>
        </is>
      </c>
      <c r="C150" s="131" t="n">
        <v>433</v>
      </c>
      <c r="D150" s="132" t="n">
        <v>112.3</v>
      </c>
      <c r="E150" s="133" t="n">
        <v>34</v>
      </c>
      <c r="F150" s="132" t="n">
        <v>85</v>
      </c>
      <c r="G150" s="17" t="n">
        <v>26</v>
      </c>
      <c r="H150" s="134" t="n">
        <v>106</v>
      </c>
      <c r="I150" s="135" t="n">
        <v>36500</v>
      </c>
      <c r="J150" s="135" t="inlineStr">
        <is>
          <t>중</t>
        </is>
      </c>
      <c r="K150" s="135" t="n"/>
      <c r="L150" s="135" t="n"/>
      <c r="M150" s="136">
        <f>I150-K150</f>
        <v/>
      </c>
      <c r="N150" s="4">
        <f>IF(ISERROR(K150/I150),"",K150/I150)</f>
        <v/>
      </c>
      <c r="O150" s="137">
        <f>I150/E150</f>
        <v/>
      </c>
      <c r="P150" s="137">
        <f>K150/E150</f>
        <v/>
      </c>
      <c r="Q150" s="121" t="n">
        <v>3</v>
      </c>
      <c r="R150" s="121" t="n">
        <v>2</v>
      </c>
      <c r="S150" s="121" t="inlineStr">
        <is>
          <t>계</t>
        </is>
      </c>
      <c r="T150" s="5" t="inlineStr">
        <is>
          <t>112A</t>
        </is>
      </c>
      <c r="U150" s="9" t="n"/>
      <c r="W150" s="132">
        <f>D150</f>
        <v/>
      </c>
      <c r="X150" s="133">
        <f>E150</f>
        <v/>
      </c>
      <c r="Y150" s="138">
        <f>H150</f>
        <v/>
      </c>
      <c r="Z150" s="136">
        <f>I150</f>
        <v/>
      </c>
      <c r="AA150" s="136">
        <f>K150</f>
        <v/>
      </c>
      <c r="AB150" s="136">
        <f>M150</f>
        <v/>
      </c>
      <c r="AC150" s="4">
        <f>N150</f>
        <v/>
      </c>
      <c r="AD150" s="137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3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자은동 협성DS이아이존빌</t>
        </is>
      </c>
      <c r="B151" s="76" t="inlineStr">
        <is>
          <t>14.06.</t>
        </is>
      </c>
      <c r="C151" s="131" t="n">
        <v>433</v>
      </c>
      <c r="D151" s="132" t="n">
        <v>113.9</v>
      </c>
      <c r="E151" s="133" t="n">
        <v>34</v>
      </c>
      <c r="F151" s="132" t="n">
        <v>85</v>
      </c>
      <c r="G151" s="17" t="n">
        <v>26</v>
      </c>
      <c r="H151" s="134" t="n">
        <v>162</v>
      </c>
      <c r="I151" s="135" t="n">
        <v>36500</v>
      </c>
      <c r="J151" s="135" t="inlineStr">
        <is>
          <t>중</t>
        </is>
      </c>
      <c r="K151" s="135" t="n"/>
      <c r="L151" s="135" t="n"/>
      <c r="M151" s="136">
        <f>I151-K151</f>
        <v/>
      </c>
      <c r="N151" s="4">
        <f>IF(ISERROR(K151/I151),"",K151/I151)</f>
        <v/>
      </c>
      <c r="O151" s="137">
        <f>I151/E151</f>
        <v/>
      </c>
      <c r="P151" s="137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inlineStr">
        <is>
          <t>113B</t>
        </is>
      </c>
      <c r="U151" s="9" t="n"/>
      <c r="W151" s="132">
        <f>D151</f>
        <v/>
      </c>
      <c r="X151" s="133">
        <f>E151</f>
        <v/>
      </c>
      <c r="Y151" s="138">
        <f>H151</f>
        <v/>
      </c>
      <c r="Z151" s="136">
        <f>I151</f>
        <v/>
      </c>
      <c r="AA151" s="136">
        <f>K151</f>
        <v/>
      </c>
      <c r="AB151" s="136">
        <f>M151</f>
        <v/>
      </c>
      <c r="AC151" s="4">
        <f>N151</f>
        <v/>
      </c>
      <c r="AD151" s="137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3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자은동 자은더샵</t>
        </is>
      </c>
      <c r="B152" s="76" t="inlineStr">
        <is>
          <t>05.11.</t>
        </is>
      </c>
      <c r="C152" s="131" t="n">
        <v>442</v>
      </c>
      <c r="D152" s="132" t="n">
        <v>99.7</v>
      </c>
      <c r="E152" s="133" t="n">
        <v>30</v>
      </c>
      <c r="F152" s="132" t="n">
        <v>74.2</v>
      </c>
      <c r="G152" s="17" t="n">
        <v>22</v>
      </c>
      <c r="H152" s="134" t="n">
        <v>58</v>
      </c>
      <c r="I152" s="135" t="n"/>
      <c r="J152" s="135" t="n"/>
      <c r="K152" s="135" t="n"/>
      <c r="L152" s="135" t="n"/>
      <c r="M152" s="136">
        <f>I152-K152</f>
        <v/>
      </c>
      <c r="N152" s="4">
        <f>IF(ISERROR(K152/I152),"",K152/I152)</f>
        <v/>
      </c>
      <c r="O152" s="137">
        <f>I152/E152</f>
        <v/>
      </c>
      <c r="P152" s="137">
        <f>K152/E152</f>
        <v/>
      </c>
      <c r="Q152" s="121" t="n">
        <v>3</v>
      </c>
      <c r="R152" s="121" t="n">
        <v>2</v>
      </c>
      <c r="S152" s="121" t="inlineStr">
        <is>
          <t>계</t>
        </is>
      </c>
      <c r="T152" s="5" t="n">
        <v>99</v>
      </c>
      <c r="U152" s="9" t="n"/>
      <c r="W152" s="132">
        <f>D152</f>
        <v/>
      </c>
      <c r="X152" s="133">
        <f>E152</f>
        <v/>
      </c>
      <c r="Y152" s="138">
        <f>H152</f>
        <v/>
      </c>
      <c r="Z152" s="136">
        <f>I152</f>
        <v/>
      </c>
      <c r="AA152" s="136">
        <f>K152</f>
        <v/>
      </c>
      <c r="AB152" s="136">
        <f>M152</f>
        <v/>
      </c>
      <c r="AC152" s="4">
        <f>N152</f>
        <v/>
      </c>
      <c r="AD152" s="137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3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자은동 자은더샵</t>
        </is>
      </c>
      <c r="B153" s="76" t="inlineStr">
        <is>
          <t>05.11.</t>
        </is>
      </c>
      <c r="C153" s="131" t="n">
        <v>442</v>
      </c>
      <c r="D153" s="132" t="n">
        <v>110.1</v>
      </c>
      <c r="E153" s="133" t="n">
        <v>33</v>
      </c>
      <c r="F153" s="132" t="n">
        <v>84.40000000000001</v>
      </c>
      <c r="G153" s="17" t="n">
        <v>26</v>
      </c>
      <c r="H153" s="134" t="n">
        <v>326</v>
      </c>
      <c r="I153" s="135" t="n">
        <v>25000</v>
      </c>
      <c r="J153" s="135" t="inlineStr">
        <is>
          <t>중</t>
        </is>
      </c>
      <c r="K153" s="135" t="n"/>
      <c r="L153" s="135" t="n"/>
      <c r="M153" s="136">
        <f>I153-K153</f>
        <v/>
      </c>
      <c r="N153" s="4">
        <f>IF(ISERROR(K153/I153),"",K153/I153)</f>
        <v/>
      </c>
      <c r="O153" s="137">
        <f>I153/E153</f>
        <v/>
      </c>
      <c r="P153" s="137">
        <f>K153/E153</f>
        <v/>
      </c>
      <c r="Q153" s="121" t="n">
        <v>3</v>
      </c>
      <c r="R153" s="121" t="n">
        <v>2</v>
      </c>
      <c r="S153" s="121" t="inlineStr">
        <is>
          <t>계</t>
        </is>
      </c>
      <c r="T153" s="5" t="n">
        <v>110</v>
      </c>
      <c r="U153" s="9" t="n"/>
      <c r="W153" s="132">
        <f>D153</f>
        <v/>
      </c>
      <c r="X153" s="133">
        <f>E153</f>
        <v/>
      </c>
      <c r="Y153" s="138">
        <f>H153</f>
        <v/>
      </c>
      <c r="Z153" s="136">
        <f>I153</f>
        <v/>
      </c>
      <c r="AA153" s="136">
        <f>K153</f>
        <v/>
      </c>
      <c r="AB153" s="136">
        <f>M153</f>
        <v/>
      </c>
      <c r="AC153" s="4">
        <f>N153</f>
        <v/>
      </c>
      <c r="AD153" s="137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3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자은동 자은더샵</t>
        </is>
      </c>
      <c r="B154" s="76" t="inlineStr">
        <is>
          <t>05.11.</t>
        </is>
      </c>
      <c r="C154" s="131" t="n">
        <v>442</v>
      </c>
      <c r="D154" s="132" t="n">
        <v>147.8</v>
      </c>
      <c r="E154" s="133" t="n">
        <v>45</v>
      </c>
      <c r="F154" s="132" t="n">
        <v>123.2</v>
      </c>
      <c r="G154" s="17" t="n">
        <v>37</v>
      </c>
      <c r="H154" s="134" t="n">
        <v>58</v>
      </c>
      <c r="I154" s="135" t="n">
        <v>35500</v>
      </c>
      <c r="J154" s="135" t="inlineStr">
        <is>
          <t>10</t>
        </is>
      </c>
      <c r="K154" s="135" t="n"/>
      <c r="L154" s="135" t="n"/>
      <c r="M154" s="136">
        <f>I154-K154</f>
        <v/>
      </c>
      <c r="N154" s="4">
        <f>IF(ISERROR(K154/I154),"",K154/I154)</f>
        <v/>
      </c>
      <c r="O154" s="137">
        <f>I154/E154</f>
        <v/>
      </c>
      <c r="P154" s="137">
        <f>K154/E154</f>
        <v/>
      </c>
      <c r="Q154" s="121" t="n">
        <v>4</v>
      </c>
      <c r="R154" s="121" t="n">
        <v>2</v>
      </c>
      <c r="S154" s="121" t="inlineStr">
        <is>
          <t>계</t>
        </is>
      </c>
      <c r="T154" s="5" t="n">
        <v>147</v>
      </c>
      <c r="U154" s="9" t="n"/>
      <c r="W154" s="132">
        <f>D154</f>
        <v/>
      </c>
      <c r="X154" s="133">
        <f>E154</f>
        <v/>
      </c>
      <c r="Y154" s="138">
        <f>H154</f>
        <v/>
      </c>
      <c r="Z154" s="136">
        <f>I154</f>
        <v/>
      </c>
      <c r="AA154" s="136">
        <f>K154</f>
        <v/>
      </c>
      <c r="AB154" s="136">
        <f>M154</f>
        <v/>
      </c>
      <c r="AC154" s="4">
        <f>N154</f>
        <v/>
      </c>
      <c r="AD154" s="137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3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124" t="inlineStr">
        <is>
          <t>자은동 자은중흥S-클래스</t>
        </is>
      </c>
      <c r="B155" s="76" t="inlineStr">
        <is>
          <t>17.02.</t>
        </is>
      </c>
      <c r="C155" s="131" t="n">
        <v>767</v>
      </c>
      <c r="D155" s="132" t="n">
        <v>100.9</v>
      </c>
      <c r="E155" s="133" t="n">
        <v>31</v>
      </c>
      <c r="F155" s="132" t="n">
        <v>76.2</v>
      </c>
      <c r="G155" s="17" t="n">
        <v>23</v>
      </c>
      <c r="H155" s="134" t="n">
        <v>212</v>
      </c>
      <c r="I155" s="135" t="n">
        <v>40500</v>
      </c>
      <c r="J155" s="135" t="inlineStr">
        <is>
          <t>고</t>
        </is>
      </c>
      <c r="K155" s="135" t="n">
        <v>32000</v>
      </c>
      <c r="L155" s="135" t="inlineStr">
        <is>
          <t>17</t>
        </is>
      </c>
      <c r="M155" s="136">
        <f>I155-K155</f>
        <v/>
      </c>
      <c r="N155" s="4">
        <f>IF(ISERROR(K155/I155),"",K155/I155)</f>
        <v/>
      </c>
      <c r="O155" s="137">
        <f>I155/E155</f>
        <v/>
      </c>
      <c r="P155" s="137">
        <f>K155/E155</f>
        <v/>
      </c>
      <c r="Q155" s="121" t="n">
        <v>3</v>
      </c>
      <c r="R155" s="121" t="n">
        <v>2</v>
      </c>
      <c r="S155" s="121" t="inlineStr">
        <is>
          <t>계</t>
        </is>
      </c>
      <c r="T155" s="5" t="n">
        <v>100</v>
      </c>
      <c r="U155" s="9" t="n"/>
      <c r="W155" s="132">
        <f>D155</f>
        <v/>
      </c>
      <c r="X155" s="133">
        <f>E155</f>
        <v/>
      </c>
      <c r="Y155" s="138">
        <f>H155</f>
        <v/>
      </c>
      <c r="Z155" s="136">
        <f>I155</f>
        <v/>
      </c>
      <c r="AA155" s="136">
        <f>K155</f>
        <v/>
      </c>
      <c r="AB155" s="136">
        <f>M155</f>
        <v/>
      </c>
      <c r="AC155" s="4">
        <f>N155</f>
        <v/>
      </c>
      <c r="AD155" s="137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3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124" t="inlineStr">
        <is>
          <t>자은동 자은중흥S-클래스</t>
        </is>
      </c>
      <c r="B156" s="76" t="inlineStr">
        <is>
          <t>17.02.</t>
        </is>
      </c>
      <c r="C156" s="131" t="n">
        <v>767</v>
      </c>
      <c r="D156" s="132" t="n">
        <v>112.4</v>
      </c>
      <c r="E156" s="133" t="n">
        <v>34</v>
      </c>
      <c r="F156" s="132" t="n">
        <v>84.90000000000001</v>
      </c>
      <c r="G156" s="17" t="n">
        <v>26</v>
      </c>
      <c r="H156" s="134" t="n">
        <v>555</v>
      </c>
      <c r="I156" s="135" t="n">
        <v>42000</v>
      </c>
      <c r="J156" s="135" t="inlineStr">
        <is>
          <t>중</t>
        </is>
      </c>
      <c r="K156" s="135" t="n">
        <v>35000</v>
      </c>
      <c r="L156" s="135" t="inlineStr">
        <is>
          <t>7</t>
        </is>
      </c>
      <c r="M156" s="136">
        <f>I156-K156</f>
        <v/>
      </c>
      <c r="N156" s="4">
        <f>IF(ISERROR(K156/I156),"",K156/I156)</f>
        <v/>
      </c>
      <c r="O156" s="137">
        <f>I156/E156</f>
        <v/>
      </c>
      <c r="P156" s="137">
        <f>K156/E156</f>
        <v/>
      </c>
      <c r="Q156" s="121" t="n">
        <v>3</v>
      </c>
      <c r="R156" s="121" t="n">
        <v>2</v>
      </c>
      <c r="S156" s="121" t="inlineStr">
        <is>
          <t>계</t>
        </is>
      </c>
      <c r="T156" s="5" t="n">
        <v>112</v>
      </c>
      <c r="U156" s="9" t="n"/>
      <c r="W156" s="132">
        <f>D156</f>
        <v/>
      </c>
      <c r="X156" s="133">
        <f>E156</f>
        <v/>
      </c>
      <c r="Y156" s="138">
        <f>H156</f>
        <v/>
      </c>
      <c r="Z156" s="136">
        <f>I156</f>
        <v/>
      </c>
      <c r="AA156" s="136">
        <f>K156</f>
        <v/>
      </c>
      <c r="AB156" s="136">
        <f>M156</f>
        <v/>
      </c>
      <c r="AC156" s="4">
        <f>N156</f>
        <v/>
      </c>
      <c r="AD156" s="137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3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자은동 삼성</t>
        </is>
      </c>
      <c r="B157" s="76" t="inlineStr">
        <is>
          <t>93.07.</t>
        </is>
      </c>
      <c r="C157" s="131" t="n">
        <v>370</v>
      </c>
      <c r="D157" s="132" t="n">
        <v>68.5</v>
      </c>
      <c r="E157" s="133" t="n">
        <v>21</v>
      </c>
      <c r="F157" s="132" t="n">
        <v>49.1</v>
      </c>
      <c r="G157" s="17" t="n">
        <v>15</v>
      </c>
      <c r="H157" s="134" t="n">
        <v>100</v>
      </c>
      <c r="I157" s="135" t="n">
        <v>11000</v>
      </c>
      <c r="J157" s="135" t="inlineStr">
        <is>
          <t>고</t>
        </is>
      </c>
      <c r="K157" s="135" t="n"/>
      <c r="L157" s="135" t="n"/>
      <c r="M157" s="136">
        <f>I157-K157</f>
        <v/>
      </c>
      <c r="N157" s="4">
        <f>IF(ISERROR(K157/I157),"",K157/I157)</f>
        <v/>
      </c>
      <c r="O157" s="137">
        <f>I157/E157</f>
        <v/>
      </c>
      <c r="P157" s="137">
        <f>K157/E157</f>
        <v/>
      </c>
      <c r="Q157" s="121" t="n">
        <v>2</v>
      </c>
      <c r="R157" s="121" t="n">
        <v>1</v>
      </c>
      <c r="S157" s="121" t="inlineStr">
        <is>
          <t>계</t>
        </is>
      </c>
      <c r="T157" s="5" t="n">
        <v>68</v>
      </c>
      <c r="U157" s="9" t="n"/>
      <c r="W157" s="132">
        <f>D157</f>
        <v/>
      </c>
      <c r="X157" s="133">
        <f>E157</f>
        <v/>
      </c>
      <c r="Y157" s="138">
        <f>H157</f>
        <v/>
      </c>
      <c r="Z157" s="136">
        <f>I157</f>
        <v/>
      </c>
      <c r="AA157" s="136">
        <f>K157</f>
        <v/>
      </c>
      <c r="AB157" s="136">
        <f>M157</f>
        <v/>
      </c>
      <c r="AC157" s="4">
        <f>N157</f>
        <v/>
      </c>
      <c r="AD157" s="137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3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자은동 삼성</t>
        </is>
      </c>
      <c r="B158" s="76" t="inlineStr">
        <is>
          <t>93.07.</t>
        </is>
      </c>
      <c r="C158" s="131" t="n">
        <v>370</v>
      </c>
      <c r="D158" s="132" t="n">
        <v>81.5</v>
      </c>
      <c r="E158" s="133" t="n">
        <v>25</v>
      </c>
      <c r="F158" s="132" t="n">
        <v>59.9</v>
      </c>
      <c r="G158" s="17" t="n">
        <v>18</v>
      </c>
      <c r="H158" s="134" t="n">
        <v>270</v>
      </c>
      <c r="I158" s="135" t="n">
        <v>13600</v>
      </c>
      <c r="J158" s="135" t="inlineStr">
        <is>
          <t>10</t>
        </is>
      </c>
      <c r="K158" s="135" t="n">
        <v>11500</v>
      </c>
      <c r="L158" s="135" t="inlineStr">
        <is>
          <t>8</t>
        </is>
      </c>
      <c r="M158" s="136">
        <f>I158-K158</f>
        <v/>
      </c>
      <c r="N158" s="4">
        <f>IF(ISERROR(K158/I158),"",K158/I158)</f>
        <v/>
      </c>
      <c r="O158" s="137">
        <f>I158/E158</f>
        <v/>
      </c>
      <c r="P158" s="137">
        <f>K158/E158</f>
        <v/>
      </c>
      <c r="Q158" s="121" t="n">
        <v>3</v>
      </c>
      <c r="R158" s="121" t="n">
        <v>1</v>
      </c>
      <c r="S158" s="121" t="inlineStr">
        <is>
          <t>계</t>
        </is>
      </c>
      <c r="T158" s="5" t="n">
        <v>81</v>
      </c>
      <c r="U158" s="9" t="n"/>
      <c r="W158" s="132">
        <f>D158</f>
        <v/>
      </c>
      <c r="X158" s="133">
        <f>E158</f>
        <v/>
      </c>
      <c r="Y158" s="138">
        <f>H158</f>
        <v/>
      </c>
      <c r="Z158" s="136">
        <f>I158</f>
        <v/>
      </c>
      <c r="AA158" s="136">
        <f>K158</f>
        <v/>
      </c>
      <c r="AB158" s="136">
        <f>M158</f>
        <v/>
      </c>
      <c r="AC158" s="4">
        <f>N158</f>
        <v/>
      </c>
      <c r="AD158" s="137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3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124" t="inlineStr">
        <is>
          <t>장천동 창원한신휴플러스오션파크</t>
        </is>
      </c>
      <c r="B159" s="76" t="inlineStr">
        <is>
          <t>16.05.</t>
        </is>
      </c>
      <c r="C159" s="131" t="n">
        <v>684</v>
      </c>
      <c r="D159" s="132" t="n">
        <v>89.7</v>
      </c>
      <c r="E159" s="133" t="n">
        <v>27</v>
      </c>
      <c r="F159" s="132" t="n">
        <v>69.8</v>
      </c>
      <c r="G159" s="17" t="n">
        <v>21</v>
      </c>
      <c r="H159" s="134" t="n">
        <v>101</v>
      </c>
      <c r="I159" s="135" t="n">
        <v>31200</v>
      </c>
      <c r="J159" s="135" t="inlineStr">
        <is>
          <t>고</t>
        </is>
      </c>
      <c r="K159" s="135" t="n"/>
      <c r="L159" s="135" t="n"/>
      <c r="M159" s="136">
        <f>I159-K159</f>
        <v/>
      </c>
      <c r="N159" s="4">
        <f>IF(ISERROR(K159/I159),"",K159/I159)</f>
        <v/>
      </c>
      <c r="O159" s="137">
        <f>I159/E159</f>
        <v/>
      </c>
      <c r="P159" s="137">
        <f>K159/E159</f>
        <v/>
      </c>
      <c r="Q159" s="121" t="n">
        <v>3</v>
      </c>
      <c r="R159" s="121" t="n">
        <v>2</v>
      </c>
      <c r="S159" s="121" t="inlineStr">
        <is>
          <t>계</t>
        </is>
      </c>
      <c r="T159" s="5" t="inlineStr">
        <is>
          <t>89A</t>
        </is>
      </c>
      <c r="U159" s="9" t="n"/>
      <c r="W159" s="132">
        <f>D159</f>
        <v/>
      </c>
      <c r="X159" s="133">
        <f>E159</f>
        <v/>
      </c>
      <c r="Y159" s="138">
        <f>H159</f>
        <v/>
      </c>
      <c r="Z159" s="136">
        <f>I159</f>
        <v/>
      </c>
      <c r="AA159" s="136">
        <f>K159</f>
        <v/>
      </c>
      <c r="AB159" s="136">
        <f>M159</f>
        <v/>
      </c>
      <c r="AC159" s="4">
        <f>N159</f>
        <v/>
      </c>
      <c r="AD159" s="137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3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124" t="inlineStr">
        <is>
          <t>장천동 창원한신휴플러스오션파크</t>
        </is>
      </c>
      <c r="B160" s="76" t="inlineStr">
        <is>
          <t>16.05.</t>
        </is>
      </c>
      <c r="C160" s="131" t="n">
        <v>684</v>
      </c>
      <c r="D160" s="132" t="n">
        <v>90.59999999999999</v>
      </c>
      <c r="E160" s="133" t="n">
        <v>27</v>
      </c>
      <c r="F160" s="132" t="n">
        <v>69.90000000000001</v>
      </c>
      <c r="G160" s="17" t="n">
        <v>21</v>
      </c>
      <c r="H160" s="134" t="n">
        <v>160</v>
      </c>
      <c r="I160" s="135" t="n">
        <v>32000</v>
      </c>
      <c r="J160" s="135" t="inlineStr">
        <is>
          <t>중</t>
        </is>
      </c>
      <c r="K160" s="135" t="n"/>
      <c r="L160" s="135" t="n"/>
      <c r="M160" s="136">
        <f>I160-K160</f>
        <v/>
      </c>
      <c r="N160" s="4">
        <f>IF(ISERROR(K160/I160),"",K160/I160)</f>
        <v/>
      </c>
      <c r="O160" s="137">
        <f>I160/E160</f>
        <v/>
      </c>
      <c r="P160" s="137">
        <f>K160/E160</f>
        <v/>
      </c>
      <c r="Q160" s="121" t="n">
        <v>3</v>
      </c>
      <c r="R160" s="121" t="n">
        <v>2</v>
      </c>
      <c r="S160" s="121" t="inlineStr">
        <is>
          <t>계</t>
        </is>
      </c>
      <c r="T160" s="5" t="inlineStr">
        <is>
          <t>90B</t>
        </is>
      </c>
      <c r="U160" s="9" t="n"/>
      <c r="W160" s="132">
        <f>D160</f>
        <v/>
      </c>
      <c r="X160" s="133">
        <f>E160</f>
        <v/>
      </c>
      <c r="Y160" s="138">
        <f>H160</f>
        <v/>
      </c>
      <c r="Z160" s="136">
        <f>I160</f>
        <v/>
      </c>
      <c r="AA160" s="136">
        <f>K160</f>
        <v/>
      </c>
      <c r="AB160" s="136">
        <f>M160</f>
        <v/>
      </c>
      <c r="AC160" s="4">
        <f>N160</f>
        <v/>
      </c>
      <c r="AD160" s="137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3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124" t="inlineStr">
        <is>
          <t>장천동 창원한신휴플러스오션파크</t>
        </is>
      </c>
      <c r="B161" s="76" t="inlineStr">
        <is>
          <t>16.05.</t>
        </is>
      </c>
      <c r="C161" s="131" t="n">
        <v>684</v>
      </c>
      <c r="D161" s="132" t="n">
        <v>109.7</v>
      </c>
      <c r="E161" s="133" t="n">
        <v>33</v>
      </c>
      <c r="F161" s="132" t="n">
        <v>84.5</v>
      </c>
      <c r="G161" s="17" t="n">
        <v>26</v>
      </c>
      <c r="H161" s="134" t="n">
        <v>217</v>
      </c>
      <c r="I161" s="135" t="n">
        <v>38500</v>
      </c>
      <c r="J161" s="135" t="inlineStr">
        <is>
          <t>6</t>
        </is>
      </c>
      <c r="K161" s="135" t="n"/>
      <c r="L161" s="135" t="n"/>
      <c r="M161" s="136">
        <f>I161-K161</f>
        <v/>
      </c>
      <c r="N161" s="4">
        <f>IF(ISERROR(K161/I161),"",K161/I161)</f>
        <v/>
      </c>
      <c r="O161" s="137">
        <f>I161/E161</f>
        <v/>
      </c>
      <c r="P161" s="137">
        <f>K161/E161</f>
        <v/>
      </c>
      <c r="Q161" s="121" t="n">
        <v>3</v>
      </c>
      <c r="R161" s="121" t="n">
        <v>2</v>
      </c>
      <c r="S161" s="121" t="inlineStr">
        <is>
          <t>계</t>
        </is>
      </c>
      <c r="T161" s="5" t="inlineStr">
        <is>
          <t>109A</t>
        </is>
      </c>
      <c r="U161" s="9" t="n"/>
      <c r="W161" s="132">
        <f>D161</f>
        <v/>
      </c>
      <c r="X161" s="133">
        <f>E161</f>
        <v/>
      </c>
      <c r="Y161" s="138">
        <f>H161</f>
        <v/>
      </c>
      <c r="Z161" s="136">
        <f>I161</f>
        <v/>
      </c>
      <c r="AA161" s="136">
        <f>K161</f>
        <v/>
      </c>
      <c r="AB161" s="136">
        <f>M161</f>
        <v/>
      </c>
      <c r="AC161" s="4">
        <f>N161</f>
        <v/>
      </c>
      <c r="AD161" s="137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3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124" t="inlineStr">
        <is>
          <t>장천동 창원한신휴플러스오션파크</t>
        </is>
      </c>
      <c r="B162" s="76" t="inlineStr">
        <is>
          <t>16.05.</t>
        </is>
      </c>
      <c r="C162" s="131" t="n">
        <v>684</v>
      </c>
      <c r="D162" s="132" t="n">
        <v>109.2</v>
      </c>
      <c r="E162" s="133" t="n">
        <v>33</v>
      </c>
      <c r="F162" s="132" t="n">
        <v>84.40000000000001</v>
      </c>
      <c r="G162" s="17" t="n">
        <v>26</v>
      </c>
      <c r="H162" s="134" t="n">
        <v>66</v>
      </c>
      <c r="I162" s="135" t="n">
        <v>39500</v>
      </c>
      <c r="J162" s="135" t="inlineStr">
        <is>
          <t>고</t>
        </is>
      </c>
      <c r="K162" s="135" t="n">
        <v>30000</v>
      </c>
      <c r="L162" s="135" t="inlineStr">
        <is>
          <t>중</t>
        </is>
      </c>
      <c r="M162" s="136">
        <f>I162-K162</f>
        <v/>
      </c>
      <c r="N162" s="4">
        <f>IF(ISERROR(K162/I162),"",K162/I162)</f>
        <v/>
      </c>
      <c r="O162" s="137">
        <f>I162/E162</f>
        <v/>
      </c>
      <c r="P162" s="137">
        <f>K162/E162</f>
        <v/>
      </c>
      <c r="Q162" s="121" t="n">
        <v>3</v>
      </c>
      <c r="R162" s="121" t="n">
        <v>2</v>
      </c>
      <c r="S162" s="121" t="inlineStr">
        <is>
          <t>계</t>
        </is>
      </c>
      <c r="T162" s="5" t="inlineStr">
        <is>
          <t>109D</t>
        </is>
      </c>
      <c r="U162" s="9" t="n"/>
      <c r="W162" s="132">
        <f>D162</f>
        <v/>
      </c>
      <c r="X162" s="133">
        <f>E162</f>
        <v/>
      </c>
      <c r="Y162" s="138">
        <f>H162</f>
        <v/>
      </c>
      <c r="Z162" s="136">
        <f>I162</f>
        <v/>
      </c>
      <c r="AA162" s="136">
        <f>K162</f>
        <v/>
      </c>
      <c r="AB162" s="136">
        <f>M162</f>
        <v/>
      </c>
      <c r="AC162" s="4">
        <f>N162</f>
        <v/>
      </c>
      <c r="AD162" s="137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3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124" t="inlineStr">
        <is>
          <t>장천동 창원한신휴플러스오션파크</t>
        </is>
      </c>
      <c r="B163" s="76" t="inlineStr">
        <is>
          <t>16.05.</t>
        </is>
      </c>
      <c r="C163" s="131" t="n">
        <v>684</v>
      </c>
      <c r="D163" s="132" t="n">
        <v>109.7</v>
      </c>
      <c r="E163" s="133" t="n">
        <v>33</v>
      </c>
      <c r="F163" s="132" t="n">
        <v>84.7</v>
      </c>
      <c r="G163" s="17" t="n">
        <v>26</v>
      </c>
      <c r="H163" s="134" t="n">
        <v>64</v>
      </c>
      <c r="I163" s="135" t="n">
        <v>40000</v>
      </c>
      <c r="J163" s="135" t="inlineStr">
        <is>
          <t>중</t>
        </is>
      </c>
      <c r="K163" s="135" t="n"/>
      <c r="L163" s="135" t="n"/>
      <c r="M163" s="136">
        <f>I163-K163</f>
        <v/>
      </c>
      <c r="N163" s="4">
        <f>IF(ISERROR(K163/I163),"",K163/I163)</f>
        <v/>
      </c>
      <c r="O163" s="137">
        <f>I163/E163</f>
        <v/>
      </c>
      <c r="P163" s="137">
        <f>K163/E163</f>
        <v/>
      </c>
      <c r="Q163" s="121" t="n">
        <v>3</v>
      </c>
      <c r="R163" s="121" t="n">
        <v>2</v>
      </c>
      <c r="S163" s="121" t="inlineStr">
        <is>
          <t>계</t>
        </is>
      </c>
      <c r="T163" s="5" t="inlineStr">
        <is>
          <t>109E</t>
        </is>
      </c>
      <c r="U163" s="9" t="n"/>
      <c r="W163" s="132">
        <f>D163</f>
        <v/>
      </c>
      <c r="X163" s="133">
        <f>E163</f>
        <v/>
      </c>
      <c r="Y163" s="138">
        <f>H163</f>
        <v/>
      </c>
      <c r="Z163" s="136">
        <f>I163</f>
        <v/>
      </c>
      <c r="AA163" s="136">
        <f>K163</f>
        <v/>
      </c>
      <c r="AB163" s="136">
        <f>M163</f>
        <v/>
      </c>
      <c r="AC163" s="4">
        <f>N163</f>
        <v/>
      </c>
      <c r="AD163" s="137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3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124" t="inlineStr">
        <is>
          <t>장천동 창원한신휴플러스오션파크</t>
        </is>
      </c>
      <c r="B164" s="76" t="inlineStr">
        <is>
          <t>16.05.</t>
        </is>
      </c>
      <c r="C164" s="131" t="n">
        <v>684</v>
      </c>
      <c r="D164" s="132" t="n">
        <v>109.5</v>
      </c>
      <c r="E164" s="133" t="n">
        <v>33</v>
      </c>
      <c r="F164" s="132" t="n">
        <v>85</v>
      </c>
      <c r="G164" s="17" t="n">
        <v>26</v>
      </c>
      <c r="H164" s="134" t="n">
        <v>44</v>
      </c>
      <c r="I164" s="135" t="n">
        <v>39800</v>
      </c>
      <c r="J164" s="135" t="inlineStr">
        <is>
          <t>중</t>
        </is>
      </c>
      <c r="K164" s="135" t="n">
        <v>32000</v>
      </c>
      <c r="L164" s="135" t="inlineStr">
        <is>
          <t>중</t>
        </is>
      </c>
      <c r="M164" s="136">
        <f>I164-K164</f>
        <v/>
      </c>
      <c r="N164" s="4">
        <f>IF(ISERROR(K164/I164),"",K164/I164)</f>
        <v/>
      </c>
      <c r="O164" s="137">
        <f>I164/E164</f>
        <v/>
      </c>
      <c r="P164" s="137">
        <f>K164/E164</f>
        <v/>
      </c>
      <c r="Q164" s="121" t="n">
        <v>3</v>
      </c>
      <c r="R164" s="121" t="n">
        <v>2</v>
      </c>
      <c r="S164" s="121" t="inlineStr">
        <is>
          <t>계</t>
        </is>
      </c>
      <c r="T164" s="5" t="inlineStr">
        <is>
          <t>109C</t>
        </is>
      </c>
      <c r="U164" s="9" t="n"/>
      <c r="W164" s="132">
        <f>D164</f>
        <v/>
      </c>
      <c r="X164" s="133">
        <f>E164</f>
        <v/>
      </c>
      <c r="Y164" s="138">
        <f>H164</f>
        <v/>
      </c>
      <c r="Z164" s="136">
        <f>I164</f>
        <v/>
      </c>
      <c r="AA164" s="136">
        <f>K164</f>
        <v/>
      </c>
      <c r="AB164" s="136">
        <f>M164</f>
        <v/>
      </c>
      <c r="AC164" s="4">
        <f>N164</f>
        <v/>
      </c>
      <c r="AD164" s="137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3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124" t="inlineStr">
        <is>
          <t>장천동 창원한신휴플러스오션파크</t>
        </is>
      </c>
      <c r="B165" s="76" t="inlineStr">
        <is>
          <t>16.05.</t>
        </is>
      </c>
      <c r="C165" s="131" t="n">
        <v>684</v>
      </c>
      <c r="D165" s="132" t="n">
        <v>109.4</v>
      </c>
      <c r="E165" s="133" t="n">
        <v>33</v>
      </c>
      <c r="F165" s="132" t="n">
        <v>84.7</v>
      </c>
      <c r="G165" s="17" t="n">
        <v>26</v>
      </c>
      <c r="H165" s="134" t="n">
        <v>22</v>
      </c>
      <c r="I165" s="135" t="n"/>
      <c r="J165" s="135" t="n"/>
      <c r="K165" s="135" t="n"/>
      <c r="L165" s="135" t="n"/>
      <c r="M165" s="136">
        <f>I165-K165</f>
        <v/>
      </c>
      <c r="N165" s="4">
        <f>IF(ISERROR(K165/I165),"",K165/I165)</f>
        <v/>
      </c>
      <c r="O165" s="137">
        <f>I165/E165</f>
        <v/>
      </c>
      <c r="P165" s="137">
        <f>K165/E165</f>
        <v/>
      </c>
      <c r="Q165" s="121" t="n">
        <v>3</v>
      </c>
      <c r="R165" s="121" t="n">
        <v>2</v>
      </c>
      <c r="S165" s="121" t="inlineStr">
        <is>
          <t>계</t>
        </is>
      </c>
      <c r="T165" s="5" t="inlineStr">
        <is>
          <t>109F</t>
        </is>
      </c>
      <c r="U165" s="9" t="n"/>
      <c r="W165" s="132">
        <f>D165</f>
        <v/>
      </c>
      <c r="X165" s="133">
        <f>E165</f>
        <v/>
      </c>
      <c r="Y165" s="138">
        <f>H165</f>
        <v/>
      </c>
      <c r="Z165" s="136">
        <f>I165</f>
        <v/>
      </c>
      <c r="AA165" s="136">
        <f>K165</f>
        <v/>
      </c>
      <c r="AB165" s="136">
        <f>M165</f>
        <v/>
      </c>
      <c r="AC165" s="4">
        <f>N165</f>
        <v/>
      </c>
      <c r="AD165" s="137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3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124" t="inlineStr">
        <is>
          <t>장천동 창원한신휴플러스오션파크</t>
        </is>
      </c>
      <c r="B166" s="76" t="inlineStr">
        <is>
          <t>16.05.</t>
        </is>
      </c>
      <c r="C166" s="131" t="n">
        <v>684</v>
      </c>
      <c r="D166" s="132" t="n">
        <v>113.8</v>
      </c>
      <c r="E166" s="133" t="n">
        <v>34</v>
      </c>
      <c r="F166" s="132" t="n">
        <v>84.5</v>
      </c>
      <c r="G166" s="17" t="n">
        <v>26</v>
      </c>
      <c r="H166" s="134" t="n">
        <v>10</v>
      </c>
      <c r="I166" s="135" t="n"/>
      <c r="J166" s="135" t="n"/>
      <c r="K166" s="135" t="n"/>
      <c r="L166" s="135" t="n"/>
      <c r="M166" s="136">
        <f>I166-K166</f>
        <v/>
      </c>
      <c r="N166" s="4">
        <f>IF(ISERROR(K166/I166),"",K166/I166)</f>
        <v/>
      </c>
      <c r="O166" s="137">
        <f>I166/E166</f>
        <v/>
      </c>
      <c r="P166" s="137">
        <f>K166/E166</f>
        <v/>
      </c>
      <c r="Q166" s="121" t="n">
        <v>3</v>
      </c>
      <c r="R166" s="121" t="n">
        <v>2</v>
      </c>
      <c r="S166" s="121" t="inlineStr">
        <is>
          <t>계</t>
        </is>
      </c>
      <c r="T166" s="5" t="inlineStr">
        <is>
          <t>113B</t>
        </is>
      </c>
      <c r="U166" s="9" t="n"/>
      <c r="W166" s="132">
        <f>D166</f>
        <v/>
      </c>
      <c r="X166" s="133">
        <f>E166</f>
        <v/>
      </c>
      <c r="Y166" s="138">
        <f>H166</f>
        <v/>
      </c>
      <c r="Z166" s="136">
        <f>I166</f>
        <v/>
      </c>
      <c r="AA166" s="136">
        <f>K166</f>
        <v/>
      </c>
      <c r="AB166" s="136">
        <f>M166</f>
        <v/>
      </c>
      <c r="AC166" s="4">
        <f>N166</f>
        <v/>
      </c>
      <c r="AD166" s="137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3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124" t="inlineStr">
        <is>
          <t>장천동 진해장천대동다숲</t>
        </is>
      </c>
      <c r="B167" s="76" t="inlineStr">
        <is>
          <t>07.12.</t>
        </is>
      </c>
      <c r="C167" s="131" t="n">
        <v>1264</v>
      </c>
      <c r="D167" s="132" t="n">
        <v>85.8</v>
      </c>
      <c r="E167" s="133" t="n">
        <v>26</v>
      </c>
      <c r="F167" s="132" t="n">
        <v>60</v>
      </c>
      <c r="G167" s="17" t="n">
        <v>18</v>
      </c>
      <c r="H167" s="134" t="n">
        <v>120</v>
      </c>
      <c r="I167" s="135" t="n">
        <v>25000</v>
      </c>
      <c r="J167" s="135" t="inlineStr">
        <is>
          <t>중</t>
        </is>
      </c>
      <c r="K167" s="135" t="n">
        <v>22500</v>
      </c>
      <c r="L167" s="135" t="inlineStr">
        <is>
          <t>고</t>
        </is>
      </c>
      <c r="M167" s="136">
        <f>I167-K167</f>
        <v/>
      </c>
      <c r="N167" s="4">
        <f>IF(ISERROR(K167/I167),"",K167/I167)</f>
        <v/>
      </c>
      <c r="O167" s="137">
        <f>I167/E167</f>
        <v/>
      </c>
      <c r="P167" s="137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85</v>
      </c>
      <c r="U167" s="9" t="n"/>
      <c r="W167" s="132">
        <f>D167</f>
        <v/>
      </c>
      <c r="X167" s="133">
        <f>E167</f>
        <v/>
      </c>
      <c r="Y167" s="138">
        <f>H167</f>
        <v/>
      </c>
      <c r="Z167" s="136">
        <f>I167</f>
        <v/>
      </c>
      <c r="AA167" s="136">
        <f>K167</f>
        <v/>
      </c>
      <c r="AB167" s="136">
        <f>M167</f>
        <v/>
      </c>
      <c r="AC167" s="4">
        <f>N167</f>
        <v/>
      </c>
      <c r="AD167" s="137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3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124" t="inlineStr">
        <is>
          <t>장천동 진해장천대동다숲</t>
        </is>
      </c>
      <c r="B168" s="76" t="inlineStr">
        <is>
          <t>07.12.</t>
        </is>
      </c>
      <c r="C168" s="131" t="n">
        <v>1264</v>
      </c>
      <c r="D168" s="132" t="n">
        <v>110.5</v>
      </c>
      <c r="E168" s="133" t="n">
        <v>33</v>
      </c>
      <c r="F168" s="132" t="n">
        <v>84.90000000000001</v>
      </c>
      <c r="G168" s="17" t="n">
        <v>26</v>
      </c>
      <c r="H168" s="134" t="n">
        <v>402</v>
      </c>
      <c r="I168" s="135" t="n">
        <v>32000</v>
      </c>
      <c r="J168" s="135" t="inlineStr">
        <is>
          <t>중</t>
        </is>
      </c>
      <c r="K168" s="135" t="n">
        <v>27500</v>
      </c>
      <c r="L168" s="135" t="inlineStr">
        <is>
          <t>고</t>
        </is>
      </c>
      <c r="M168" s="136">
        <f>I168-K168</f>
        <v/>
      </c>
      <c r="N168" s="4">
        <f>IF(ISERROR(K168/I168),"",K168/I168)</f>
        <v/>
      </c>
      <c r="O168" s="137">
        <f>I168/E168</f>
        <v/>
      </c>
      <c r="P168" s="137">
        <f>K168/E168</f>
        <v/>
      </c>
      <c r="Q168" s="121" t="n">
        <v>3</v>
      </c>
      <c r="R168" s="121" t="n">
        <v>2</v>
      </c>
      <c r="S168" s="121" t="inlineStr">
        <is>
          <t>계</t>
        </is>
      </c>
      <c r="T168" s="5" t="n">
        <v>110</v>
      </c>
      <c r="U168" s="9" t="n"/>
      <c r="W168" s="132">
        <f>D168</f>
        <v/>
      </c>
      <c r="X168" s="133">
        <f>E168</f>
        <v/>
      </c>
      <c r="Y168" s="138">
        <f>H168</f>
        <v/>
      </c>
      <c r="Z168" s="136">
        <f>I168</f>
        <v/>
      </c>
      <c r="AA168" s="136">
        <f>K168</f>
        <v/>
      </c>
      <c r="AB168" s="136">
        <f>M168</f>
        <v/>
      </c>
      <c r="AC168" s="4">
        <f>N168</f>
        <v/>
      </c>
      <c r="AD168" s="137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3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124" t="inlineStr">
        <is>
          <t>장천동 진해장천대동다숲</t>
        </is>
      </c>
      <c r="B169" s="76" t="inlineStr">
        <is>
          <t>07.12.</t>
        </is>
      </c>
      <c r="C169" s="131" t="n">
        <v>1264</v>
      </c>
      <c r="D169" s="132" t="n">
        <v>111.3</v>
      </c>
      <c r="E169" s="133" t="n">
        <v>34</v>
      </c>
      <c r="F169" s="132" t="n">
        <v>84.8</v>
      </c>
      <c r="G169" s="17" t="n">
        <v>26</v>
      </c>
      <c r="H169" s="134" t="n">
        <v>251</v>
      </c>
      <c r="I169" s="135" t="n">
        <v>31000</v>
      </c>
      <c r="J169" s="135" t="inlineStr">
        <is>
          <t>고</t>
        </is>
      </c>
      <c r="K169" s="135" t="n"/>
      <c r="L169" s="135" t="n"/>
      <c r="M169" s="136">
        <f>I169-K169</f>
        <v/>
      </c>
      <c r="N169" s="4">
        <f>IF(ISERROR(K169/I169),"",K169/I169)</f>
        <v/>
      </c>
      <c r="O169" s="137">
        <f>I169/E169</f>
        <v/>
      </c>
      <c r="P169" s="137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n">
        <v>111</v>
      </c>
      <c r="U169" s="9" t="n"/>
      <c r="W169" s="132">
        <f>D169</f>
        <v/>
      </c>
      <c r="X169" s="133">
        <f>E169</f>
        <v/>
      </c>
      <c r="Y169" s="138">
        <f>H169</f>
        <v/>
      </c>
      <c r="Z169" s="136">
        <f>I169</f>
        <v/>
      </c>
      <c r="AA169" s="136">
        <f>K169</f>
        <v/>
      </c>
      <c r="AB169" s="136">
        <f>M169</f>
        <v/>
      </c>
      <c r="AC169" s="4">
        <f>N169</f>
        <v/>
      </c>
      <c r="AD169" s="137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3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124" t="inlineStr">
        <is>
          <t>장천동 진해장천대동다숲</t>
        </is>
      </c>
      <c r="B170" s="76" t="inlineStr">
        <is>
          <t>07.12.</t>
        </is>
      </c>
      <c r="C170" s="131" t="n">
        <v>1264</v>
      </c>
      <c r="D170" s="132" t="n">
        <v>117.9</v>
      </c>
      <c r="E170" s="133" t="n">
        <v>36</v>
      </c>
      <c r="F170" s="132" t="n">
        <v>85</v>
      </c>
      <c r="G170" s="17" t="n">
        <v>26</v>
      </c>
      <c r="H170" s="134" t="n">
        <v>253</v>
      </c>
      <c r="I170" s="135" t="n">
        <v>31500</v>
      </c>
      <c r="J170" s="135" t="inlineStr">
        <is>
          <t>중</t>
        </is>
      </c>
      <c r="K170" s="135" t="n"/>
      <c r="L170" s="135" t="n"/>
      <c r="M170" s="136">
        <f>I170-K170</f>
        <v/>
      </c>
      <c r="N170" s="4">
        <f>IF(ISERROR(K170/I170),"",K170/I170)</f>
        <v/>
      </c>
      <c r="O170" s="137">
        <f>I170/E170</f>
        <v/>
      </c>
      <c r="P170" s="137">
        <f>K170/E170</f>
        <v/>
      </c>
      <c r="Q170" s="121" t="n">
        <v>3</v>
      </c>
      <c r="R170" s="121" t="n">
        <v>2</v>
      </c>
      <c r="S170" s="121" t="inlineStr">
        <is>
          <t>계</t>
        </is>
      </c>
      <c r="T170" s="5" t="n">
        <v>117</v>
      </c>
      <c r="U170" s="9" t="n"/>
      <c r="W170" s="132">
        <f>D170</f>
        <v/>
      </c>
      <c r="X170" s="133">
        <f>E170</f>
        <v/>
      </c>
      <c r="Y170" s="138">
        <f>H170</f>
        <v/>
      </c>
      <c r="Z170" s="136">
        <f>I170</f>
        <v/>
      </c>
      <c r="AA170" s="136">
        <f>K170</f>
        <v/>
      </c>
      <c r="AB170" s="136">
        <f>M170</f>
        <v/>
      </c>
      <c r="AC170" s="4">
        <f>N170</f>
        <v/>
      </c>
      <c r="AD170" s="137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3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124" t="inlineStr">
        <is>
          <t>장천동 진해장천대동다숲</t>
        </is>
      </c>
      <c r="B171" s="76" t="inlineStr">
        <is>
          <t>07.12.</t>
        </is>
      </c>
      <c r="C171" s="131" t="n">
        <v>1264</v>
      </c>
      <c r="D171" s="132" t="n">
        <v>156.2</v>
      </c>
      <c r="E171" s="133" t="n">
        <v>47</v>
      </c>
      <c r="F171" s="132" t="n">
        <v>122.1</v>
      </c>
      <c r="G171" s="17" t="n">
        <v>37</v>
      </c>
      <c r="H171" s="134" t="n">
        <v>90</v>
      </c>
      <c r="I171" s="135" t="n">
        <v>44000</v>
      </c>
      <c r="J171" s="135" t="inlineStr">
        <is>
          <t>중</t>
        </is>
      </c>
      <c r="K171" s="135" t="n"/>
      <c r="L171" s="135" t="n"/>
      <c r="M171" s="136">
        <f>I171-K171</f>
        <v/>
      </c>
      <c r="N171" s="4">
        <f>IF(ISERROR(K171/I171),"",K171/I171)</f>
        <v/>
      </c>
      <c r="O171" s="137">
        <f>I171/E171</f>
        <v/>
      </c>
      <c r="P171" s="137">
        <f>K171/E171</f>
        <v/>
      </c>
      <c r="Q171" s="121" t="n">
        <v>4</v>
      </c>
      <c r="R171" s="121" t="n">
        <v>2</v>
      </c>
      <c r="S171" s="121" t="inlineStr">
        <is>
          <t>계</t>
        </is>
      </c>
      <c r="T171" s="5" t="n">
        <v>156</v>
      </c>
      <c r="U171" s="9" t="n"/>
      <c r="W171" s="132">
        <f>D171</f>
        <v/>
      </c>
      <c r="X171" s="133">
        <f>E171</f>
        <v/>
      </c>
      <c r="Y171" s="138">
        <f>H171</f>
        <v/>
      </c>
      <c r="Z171" s="136">
        <f>I171</f>
        <v/>
      </c>
      <c r="AA171" s="136">
        <f>K171</f>
        <v/>
      </c>
      <c r="AB171" s="136">
        <f>M171</f>
        <v/>
      </c>
      <c r="AC171" s="4">
        <f>N171</f>
        <v/>
      </c>
      <c r="AD171" s="137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3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124" t="inlineStr">
        <is>
          <t>장천동 진해장천대동다숲</t>
        </is>
      </c>
      <c r="B172" s="76" t="inlineStr">
        <is>
          <t>07.12.</t>
        </is>
      </c>
      <c r="C172" s="131" t="n">
        <v>1264</v>
      </c>
      <c r="D172" s="132" t="n">
        <v>184.1</v>
      </c>
      <c r="E172" s="133" t="n">
        <v>56</v>
      </c>
      <c r="F172" s="132" t="n">
        <v>141.4</v>
      </c>
      <c r="G172" s="17" t="n">
        <v>43</v>
      </c>
      <c r="H172" s="134" t="n">
        <v>90</v>
      </c>
      <c r="I172" s="135" t="n">
        <v>52000</v>
      </c>
      <c r="J172" s="135" t="inlineStr">
        <is>
          <t>중</t>
        </is>
      </c>
      <c r="K172" s="135" t="n"/>
      <c r="L172" s="135" t="n"/>
      <c r="M172" s="136">
        <f>I172-K172</f>
        <v/>
      </c>
      <c r="N172" s="4">
        <f>IF(ISERROR(K172/I172),"",K172/I172)</f>
        <v/>
      </c>
      <c r="O172" s="137">
        <f>I172/E172</f>
        <v/>
      </c>
      <c r="P172" s="137">
        <f>K172/E172</f>
        <v/>
      </c>
      <c r="Q172" s="121" t="n">
        <v>4</v>
      </c>
      <c r="R172" s="121" t="n">
        <v>2</v>
      </c>
      <c r="S172" s="121" t="inlineStr">
        <is>
          <t>계</t>
        </is>
      </c>
      <c r="T172" s="5" t="n">
        <v>184</v>
      </c>
      <c r="U172" s="9" t="n"/>
      <c r="W172" s="132">
        <f>D172</f>
        <v/>
      </c>
      <c r="X172" s="133">
        <f>E172</f>
        <v/>
      </c>
      <c r="Y172" s="138">
        <f>H172</f>
        <v/>
      </c>
      <c r="Z172" s="136">
        <f>I172</f>
        <v/>
      </c>
      <c r="AA172" s="136">
        <f>K172</f>
        <v/>
      </c>
      <c r="AB172" s="136">
        <f>M172</f>
        <v/>
      </c>
      <c r="AC172" s="4">
        <f>N172</f>
        <v/>
      </c>
      <c r="AD172" s="137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3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124" t="inlineStr">
        <is>
          <t>장천동 진해장천대동다숲</t>
        </is>
      </c>
      <c r="B173" s="76" t="inlineStr">
        <is>
          <t>07.12.</t>
        </is>
      </c>
      <c r="C173" s="131" t="n">
        <v>1264</v>
      </c>
      <c r="D173" s="132" t="n">
        <v>213.6</v>
      </c>
      <c r="E173" s="133" t="n">
        <v>65</v>
      </c>
      <c r="F173" s="132" t="n">
        <v>177.8</v>
      </c>
      <c r="G173" s="17" t="n">
        <v>54</v>
      </c>
      <c r="H173" s="134" t="n">
        <v>28</v>
      </c>
      <c r="I173" s="135" t="n">
        <v>57000</v>
      </c>
      <c r="J173" s="135" t="inlineStr">
        <is>
          <t>중</t>
        </is>
      </c>
      <c r="K173" s="135" t="n"/>
      <c r="L173" s="135" t="n"/>
      <c r="M173" s="136">
        <f>I173-K173</f>
        <v/>
      </c>
      <c r="N173" s="4">
        <f>IF(ISERROR(K173/I173),"",K173/I173)</f>
        <v/>
      </c>
      <c r="O173" s="137">
        <f>I173/E173</f>
        <v/>
      </c>
      <c r="P173" s="137">
        <f>K173/E173</f>
        <v/>
      </c>
      <c r="Q173" s="121" t="n">
        <v>5</v>
      </c>
      <c r="R173" s="121" t="n">
        <v>2</v>
      </c>
      <c r="S173" s="121" t="inlineStr">
        <is>
          <t>계</t>
        </is>
      </c>
      <c r="T173" s="5" t="n">
        <v>213</v>
      </c>
      <c r="U173" s="9" t="n"/>
      <c r="W173" s="132">
        <f>D173</f>
        <v/>
      </c>
      <c r="X173" s="133">
        <f>E173</f>
        <v/>
      </c>
      <c r="Y173" s="138">
        <f>H173</f>
        <v/>
      </c>
      <c r="Z173" s="136">
        <f>I173</f>
        <v/>
      </c>
      <c r="AA173" s="136">
        <f>K173</f>
        <v/>
      </c>
      <c r="AB173" s="136">
        <f>M173</f>
        <v/>
      </c>
      <c r="AC173" s="4">
        <f>N173</f>
        <v/>
      </c>
      <c r="AD173" s="137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3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124" t="inlineStr">
        <is>
          <t>장천동 진해장천대동다숲</t>
        </is>
      </c>
      <c r="B174" s="76" t="inlineStr">
        <is>
          <t>07.12.</t>
        </is>
      </c>
      <c r="C174" s="131" t="n">
        <v>1264</v>
      </c>
      <c r="D174" s="132" t="n">
        <v>263.4</v>
      </c>
      <c r="E174" s="133" t="n">
        <v>80</v>
      </c>
      <c r="F174" s="132" t="n">
        <v>225.5</v>
      </c>
      <c r="G174" s="17" t="n">
        <v>68</v>
      </c>
      <c r="H174" s="134" t="n">
        <v>30</v>
      </c>
      <c r="I174" s="135" t="n">
        <v>62500</v>
      </c>
      <c r="J174" s="135" t="inlineStr">
        <is>
          <t>중</t>
        </is>
      </c>
      <c r="K174" s="135" t="n"/>
      <c r="L174" s="135" t="n"/>
      <c r="M174" s="136">
        <f>I174-K174</f>
        <v/>
      </c>
      <c r="N174" s="4">
        <f>IF(ISERROR(K174/I174),"",K174/I174)</f>
        <v/>
      </c>
      <c r="O174" s="137">
        <f>I174/E174</f>
        <v/>
      </c>
      <c r="P174" s="137">
        <f>K174/E174</f>
        <v/>
      </c>
      <c r="Q174" s="121" t="n">
        <v>5</v>
      </c>
      <c r="R174" s="121" t="n">
        <v>3</v>
      </c>
      <c r="S174" s="121" t="inlineStr">
        <is>
          <t>계</t>
        </is>
      </c>
      <c r="T174" s="5" t="n">
        <v>263</v>
      </c>
      <c r="U174" s="9" t="n"/>
      <c r="W174" s="132">
        <f>D174</f>
        <v/>
      </c>
      <c r="X174" s="133">
        <f>E174</f>
        <v/>
      </c>
      <c r="Y174" s="138">
        <f>H174</f>
        <v/>
      </c>
      <c r="Z174" s="136">
        <f>I174</f>
        <v/>
      </c>
      <c r="AA174" s="136">
        <f>K174</f>
        <v/>
      </c>
      <c r="AB174" s="136">
        <f>M174</f>
        <v/>
      </c>
      <c r="AC174" s="4">
        <f>N174</f>
        <v/>
      </c>
      <c r="AD174" s="137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3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장천동 벽산e솔렌스힐</t>
        </is>
      </c>
      <c r="B175" s="76" t="inlineStr">
        <is>
          <t>08.07.</t>
        </is>
      </c>
      <c r="C175" s="131" t="n">
        <v>282</v>
      </c>
      <c r="D175" s="132" t="n">
        <v>109.7</v>
      </c>
      <c r="E175" s="133" t="n">
        <v>33</v>
      </c>
      <c r="F175" s="132" t="n">
        <v>84.90000000000001</v>
      </c>
      <c r="G175" s="17" t="n">
        <v>26</v>
      </c>
      <c r="H175" s="134" t="n">
        <v>147</v>
      </c>
      <c r="I175" s="135" t="n"/>
      <c r="J175" s="135" t="n"/>
      <c r="K175" s="135" t="n"/>
      <c r="L175" s="135" t="n"/>
      <c r="M175" s="136">
        <f>I175-K175</f>
        <v/>
      </c>
      <c r="N175" s="4">
        <f>IF(ISERROR(K175/I175),"",K175/I175)</f>
        <v/>
      </c>
      <c r="O175" s="137">
        <f>I175/E175</f>
        <v/>
      </c>
      <c r="P175" s="137">
        <f>K175/E175</f>
        <v/>
      </c>
      <c r="Q175" s="121" t="n">
        <v>3</v>
      </c>
      <c r="R175" s="121" t="n">
        <v>2</v>
      </c>
      <c r="S175" s="121" t="inlineStr">
        <is>
          <t>계</t>
        </is>
      </c>
      <c r="T175" s="5" t="n">
        <v>109</v>
      </c>
      <c r="U175" s="9" t="n"/>
      <c r="W175" s="132">
        <f>D175</f>
        <v/>
      </c>
      <c r="X175" s="133">
        <f>E175</f>
        <v/>
      </c>
      <c r="Y175" s="138">
        <f>H175</f>
        <v/>
      </c>
      <c r="Z175" s="136">
        <f>I175</f>
        <v/>
      </c>
      <c r="AA175" s="136">
        <f>K175</f>
        <v/>
      </c>
      <c r="AB175" s="136">
        <f>M175</f>
        <v/>
      </c>
      <c r="AC175" s="4">
        <f>N175</f>
        <v/>
      </c>
      <c r="AD175" s="137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3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장천동 벽산e솔렌스힐</t>
        </is>
      </c>
      <c r="B176" s="76" t="inlineStr">
        <is>
          <t>08.07.</t>
        </is>
      </c>
      <c r="C176" s="131" t="n">
        <v>282</v>
      </c>
      <c r="D176" s="132" t="n">
        <v>151.2</v>
      </c>
      <c r="E176" s="133" t="n">
        <v>46</v>
      </c>
      <c r="F176" s="132" t="n">
        <v>120.7</v>
      </c>
      <c r="G176" s="17" t="n">
        <v>37</v>
      </c>
      <c r="H176" s="134" t="n">
        <v>45</v>
      </c>
      <c r="I176" s="135" t="n"/>
      <c r="J176" s="135" t="n"/>
      <c r="K176" s="135" t="n"/>
      <c r="L176" s="135" t="n"/>
      <c r="M176" s="136">
        <f>I176-K176</f>
        <v/>
      </c>
      <c r="N176" s="4">
        <f>IF(ISERROR(K176/I176),"",K176/I176)</f>
        <v/>
      </c>
      <c r="O176" s="137">
        <f>I176/E176</f>
        <v/>
      </c>
      <c r="P176" s="137">
        <f>K176/E176</f>
        <v/>
      </c>
      <c r="Q176" s="121" t="n">
        <v>4</v>
      </c>
      <c r="R176" s="121" t="n">
        <v>2</v>
      </c>
      <c r="S176" s="121" t="inlineStr">
        <is>
          <t>계</t>
        </is>
      </c>
      <c r="T176" s="5" t="n">
        <v>151</v>
      </c>
      <c r="U176" s="9" t="n"/>
      <c r="W176" s="132">
        <f>D176</f>
        <v/>
      </c>
      <c r="X176" s="133">
        <f>E176</f>
        <v/>
      </c>
      <c r="Y176" s="138">
        <f>H176</f>
        <v/>
      </c>
      <c r="Z176" s="136">
        <f>I176</f>
        <v/>
      </c>
      <c r="AA176" s="136">
        <f>K176</f>
        <v/>
      </c>
      <c r="AB176" s="136">
        <f>M176</f>
        <v/>
      </c>
      <c r="AC176" s="4">
        <f>N176</f>
        <v/>
      </c>
      <c r="AD176" s="137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3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장천동 벽산e솔렌스힐</t>
        </is>
      </c>
      <c r="B177" s="76" t="inlineStr">
        <is>
          <t>08.07.</t>
        </is>
      </c>
      <c r="C177" s="131" t="n">
        <v>282</v>
      </c>
      <c r="D177" s="132" t="n">
        <v>174.5</v>
      </c>
      <c r="E177" s="133" t="n">
        <v>53</v>
      </c>
      <c r="F177" s="132" t="n">
        <v>140.5</v>
      </c>
      <c r="G177" s="17" t="n">
        <v>42</v>
      </c>
      <c r="H177" s="134" t="n">
        <v>90</v>
      </c>
      <c r="I177" s="135" t="n"/>
      <c r="J177" s="135" t="n"/>
      <c r="K177" s="135" t="n"/>
      <c r="L177" s="135" t="n"/>
      <c r="M177" s="136">
        <f>I177-K177</f>
        <v/>
      </c>
      <c r="N177" s="4">
        <f>IF(ISERROR(K177/I177),"",K177/I177)</f>
        <v/>
      </c>
      <c r="O177" s="137">
        <f>I177/E177</f>
        <v/>
      </c>
      <c r="P177" s="137">
        <f>K177/E177</f>
        <v/>
      </c>
      <c r="Q177" s="121" t="n">
        <v>4</v>
      </c>
      <c r="R177" s="121" t="n">
        <v>2</v>
      </c>
      <c r="S177" s="121" t="inlineStr">
        <is>
          <t>계</t>
        </is>
      </c>
      <c r="T177" s="5" t="n">
        <v>174</v>
      </c>
      <c r="U177" s="9" t="n"/>
      <c r="W177" s="132">
        <f>D177</f>
        <v/>
      </c>
      <c r="X177" s="133">
        <f>E177</f>
        <v/>
      </c>
      <c r="Y177" s="138">
        <f>H177</f>
        <v/>
      </c>
      <c r="Z177" s="136">
        <f>I177</f>
        <v/>
      </c>
      <c r="AA177" s="136">
        <f>K177</f>
        <v/>
      </c>
      <c r="AB177" s="136">
        <f>M177</f>
        <v/>
      </c>
      <c r="AC177" s="4">
        <f>N177</f>
        <v/>
      </c>
      <c r="AD177" s="137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3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청안동 부영2차</t>
        </is>
      </c>
      <c r="B178" s="76" t="inlineStr">
        <is>
          <t>02.05.</t>
        </is>
      </c>
      <c r="C178" s="131" t="n">
        <v>440</v>
      </c>
      <c r="D178" s="132" t="n">
        <v>77.8</v>
      </c>
      <c r="E178" s="133" t="n">
        <v>24</v>
      </c>
      <c r="F178" s="132" t="n">
        <v>59.8</v>
      </c>
      <c r="G178" s="17" t="n">
        <v>18</v>
      </c>
      <c r="H178" s="134" t="n">
        <v>440</v>
      </c>
      <c r="I178" s="135" t="n">
        <v>12000</v>
      </c>
      <c r="J178" s="135" t="inlineStr">
        <is>
          <t>13</t>
        </is>
      </c>
      <c r="K178" s="135" t="n"/>
      <c r="L178" s="135" t="n"/>
      <c r="M178" s="136">
        <f>I178-K178</f>
        <v/>
      </c>
      <c r="N178" s="4">
        <f>IF(ISERROR(K178/I178),"",K178/I178)</f>
        <v/>
      </c>
      <c r="O178" s="137">
        <f>I178/E178</f>
        <v/>
      </c>
      <c r="P178" s="137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77</v>
      </c>
      <c r="U178" s="9" t="n"/>
      <c r="W178" s="132">
        <f>D178</f>
        <v/>
      </c>
      <c r="X178" s="133">
        <f>E178</f>
        <v/>
      </c>
      <c r="Y178" s="138">
        <f>H178</f>
        <v/>
      </c>
      <c r="Z178" s="136">
        <f>I178</f>
        <v/>
      </c>
      <c r="AA178" s="136">
        <f>K178</f>
        <v/>
      </c>
      <c r="AB178" s="136">
        <f>M178</f>
        <v/>
      </c>
      <c r="AC178" s="4">
        <f>N178</f>
        <v/>
      </c>
      <c r="AD178" s="137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3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청안동 부영3차</t>
        </is>
      </c>
      <c r="B179" s="76" t="inlineStr">
        <is>
          <t>03.02.</t>
        </is>
      </c>
      <c r="C179" s="131" t="n">
        <v>1275</v>
      </c>
      <c r="D179" s="132" t="n">
        <v>68</v>
      </c>
      <c r="E179" s="133" t="n">
        <v>21</v>
      </c>
      <c r="F179" s="132" t="n">
        <v>49.8</v>
      </c>
      <c r="G179" s="17" t="n">
        <v>15</v>
      </c>
      <c r="H179" s="134" t="n">
        <v>705</v>
      </c>
      <c r="I179" s="135" t="n">
        <v>8000</v>
      </c>
      <c r="J179" s="135" t="inlineStr">
        <is>
          <t>6</t>
        </is>
      </c>
      <c r="K179" s="135" t="n">
        <v>8000</v>
      </c>
      <c r="L179" s="135" t="inlineStr">
        <is>
          <t>15</t>
        </is>
      </c>
      <c r="M179" s="136">
        <f>I179-K179</f>
        <v/>
      </c>
      <c r="N179" s="4">
        <f>IF(ISERROR(K179/I179),"",K179/I179)</f>
        <v/>
      </c>
      <c r="O179" s="137">
        <f>I179/E179</f>
        <v/>
      </c>
      <c r="P179" s="137">
        <f>K179/E179</f>
        <v/>
      </c>
      <c r="Q179" s="121" t="n">
        <v>2</v>
      </c>
      <c r="R179" s="121" t="n">
        <v>1</v>
      </c>
      <c r="S179" s="121" t="inlineStr">
        <is>
          <t>복</t>
        </is>
      </c>
      <c r="T179" s="5" t="n">
        <v>67</v>
      </c>
      <c r="U179" s="9" t="n"/>
      <c r="W179" s="132">
        <f>D179</f>
        <v/>
      </c>
      <c r="X179" s="133">
        <f>E179</f>
        <v/>
      </c>
      <c r="Y179" s="138">
        <f>H179</f>
        <v/>
      </c>
      <c r="Z179" s="136">
        <f>I179</f>
        <v/>
      </c>
      <c r="AA179" s="136">
        <f>K179</f>
        <v/>
      </c>
      <c r="AB179" s="136">
        <f>M179</f>
        <v/>
      </c>
      <c r="AC179" s="4">
        <f>N179</f>
        <v/>
      </c>
      <c r="AD179" s="137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3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청안동 부영3차</t>
        </is>
      </c>
      <c r="B180" s="76" t="inlineStr">
        <is>
          <t>03.02.</t>
        </is>
      </c>
      <c r="C180" s="131" t="n">
        <v>1275</v>
      </c>
      <c r="D180" s="132" t="n">
        <v>78.2</v>
      </c>
      <c r="E180" s="133" t="n">
        <v>24</v>
      </c>
      <c r="F180" s="132" t="n">
        <v>59.8</v>
      </c>
      <c r="G180" s="17" t="n">
        <v>18</v>
      </c>
      <c r="H180" s="134" t="n">
        <v>570</v>
      </c>
      <c r="I180" s="135" t="n">
        <v>13000</v>
      </c>
      <c r="J180" s="135" t="inlineStr">
        <is>
          <t>12</t>
        </is>
      </c>
      <c r="K180" s="135" t="n"/>
      <c r="L180" s="135" t="n"/>
      <c r="M180" s="136">
        <f>I180-K180</f>
        <v/>
      </c>
      <c r="N180" s="4">
        <f>IF(ISERROR(K180/I180),"",K180/I180)</f>
        <v/>
      </c>
      <c r="O180" s="137">
        <f>I180/E180</f>
        <v/>
      </c>
      <c r="P180" s="137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n">
        <v>78</v>
      </c>
      <c r="U180" s="9" t="n"/>
      <c r="W180" s="132">
        <f>D180</f>
        <v/>
      </c>
      <c r="X180" s="133">
        <f>E180</f>
        <v/>
      </c>
      <c r="Y180" s="138">
        <f>H180</f>
        <v/>
      </c>
      <c r="Z180" s="136">
        <f>I180</f>
        <v/>
      </c>
      <c r="AA180" s="136">
        <f>K180</f>
        <v/>
      </c>
      <c r="AB180" s="136">
        <f>M180</f>
        <v/>
      </c>
      <c r="AC180" s="4">
        <f>N180</f>
        <v/>
      </c>
      <c r="AD180" s="137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3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청안동 부영1차</t>
        </is>
      </c>
      <c r="B181" s="76" t="inlineStr">
        <is>
          <t>02.01.</t>
        </is>
      </c>
      <c r="C181" s="131" t="n">
        <v>906</v>
      </c>
      <c r="D181" s="132" t="n">
        <v>113.3</v>
      </c>
      <c r="E181" s="133" t="n">
        <v>34</v>
      </c>
      <c r="F181" s="132" t="n">
        <v>85</v>
      </c>
      <c r="G181" s="17" t="n">
        <v>26</v>
      </c>
      <c r="H181" s="134" t="n">
        <v>906</v>
      </c>
      <c r="I181" s="135" t="n"/>
      <c r="J181" s="135" t="n"/>
      <c r="K181" s="135" t="n"/>
      <c r="L181" s="135" t="n"/>
      <c r="M181" s="136">
        <f>I181-K181</f>
        <v/>
      </c>
      <c r="N181" s="4">
        <f>IF(ISERROR(K181/I181),"",K181/I181)</f>
        <v/>
      </c>
      <c r="O181" s="137">
        <f>I181/E181</f>
        <v/>
      </c>
      <c r="P181" s="137">
        <f>K181/E181</f>
        <v/>
      </c>
      <c r="Q181" s="121" t="n">
        <v>3</v>
      </c>
      <c r="R181" s="121" t="n">
        <v>2</v>
      </c>
      <c r="S181" s="121" t="inlineStr">
        <is>
          <t>계</t>
        </is>
      </c>
      <c r="T181" s="5" t="n">
        <v>113</v>
      </c>
      <c r="U181" s="9" t="n"/>
      <c r="W181" s="132">
        <f>D181</f>
        <v/>
      </c>
      <c r="X181" s="133">
        <f>E181</f>
        <v/>
      </c>
      <c r="Y181" s="138">
        <f>H181</f>
        <v/>
      </c>
      <c r="Z181" s="136">
        <f>I181</f>
        <v/>
      </c>
      <c r="AA181" s="136">
        <f>K181</f>
        <v/>
      </c>
      <c r="AB181" s="136">
        <f>M181</f>
        <v/>
      </c>
      <c r="AC181" s="4">
        <f>N181</f>
        <v/>
      </c>
      <c r="AD181" s="137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3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청안동 풍림</t>
        </is>
      </c>
      <c r="B182" s="76" t="inlineStr">
        <is>
          <t>00.12.</t>
        </is>
      </c>
      <c r="C182" s="131" t="n">
        <v>1170</v>
      </c>
      <c r="D182" s="132" t="n">
        <v>76.90000000000001</v>
      </c>
      <c r="E182" s="133" t="n">
        <v>23</v>
      </c>
      <c r="F182" s="132" t="n">
        <v>60</v>
      </c>
      <c r="G182" s="17" t="n">
        <v>18</v>
      </c>
      <c r="H182" s="134" t="n">
        <v>1170</v>
      </c>
      <c r="I182" s="135" t="n">
        <v>11500</v>
      </c>
      <c r="J182" s="135" t="inlineStr">
        <is>
          <t>11</t>
        </is>
      </c>
      <c r="K182" s="135" t="n">
        <v>12000</v>
      </c>
      <c r="L182" s="135" t="inlineStr">
        <is>
          <t>11</t>
        </is>
      </c>
      <c r="M182" s="136">
        <f>I182-K182</f>
        <v/>
      </c>
      <c r="N182" s="4">
        <f>IF(ISERROR(K182/I182),"",K182/I182)</f>
        <v/>
      </c>
      <c r="O182" s="137">
        <f>I182/E182</f>
        <v/>
      </c>
      <c r="P182" s="137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76</v>
      </c>
      <c r="U182" s="9" t="n"/>
      <c r="W182" s="132">
        <f>D182</f>
        <v/>
      </c>
      <c r="X182" s="133">
        <f>E182</f>
        <v/>
      </c>
      <c r="Y182" s="138">
        <f>H182</f>
        <v/>
      </c>
      <c r="Z182" s="136">
        <f>I182</f>
        <v/>
      </c>
      <c r="AA182" s="136">
        <f>K182</f>
        <v/>
      </c>
      <c r="AB182" s="136">
        <f>M182</f>
        <v/>
      </c>
      <c r="AC182" s="4">
        <f>N182</f>
        <v/>
      </c>
      <c r="AD182" s="137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3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청안동 해인로즈빌</t>
        </is>
      </c>
      <c r="B183" s="76" t="inlineStr">
        <is>
          <t>02.04.</t>
        </is>
      </c>
      <c r="C183" s="131" t="n">
        <v>1140</v>
      </c>
      <c r="D183" s="132" t="n">
        <v>77</v>
      </c>
      <c r="E183" s="133" t="n">
        <v>23</v>
      </c>
      <c r="F183" s="132" t="n">
        <v>59.8</v>
      </c>
      <c r="G183" s="17" t="n">
        <v>18</v>
      </c>
      <c r="H183" s="134" t="n">
        <v>210</v>
      </c>
      <c r="I183" s="135" t="n">
        <v>11000</v>
      </c>
      <c r="J183" s="135" t="inlineStr">
        <is>
          <t>11</t>
        </is>
      </c>
      <c r="K183" s="135" t="n">
        <v>13000</v>
      </c>
      <c r="L183" s="135" t="inlineStr">
        <is>
          <t>중</t>
        </is>
      </c>
      <c r="M183" s="136">
        <f>I183-K183</f>
        <v/>
      </c>
      <c r="N183" s="4">
        <f>IF(ISERROR(K183/I183),"",K183/I183)</f>
        <v/>
      </c>
      <c r="O183" s="137">
        <f>I183/E183</f>
        <v/>
      </c>
      <c r="P183" s="137">
        <f>K183/E183</f>
        <v/>
      </c>
      <c r="Q183" s="121" t="n">
        <v>2</v>
      </c>
      <c r="R183" s="121" t="n">
        <v>1</v>
      </c>
      <c r="S183" s="121" t="inlineStr">
        <is>
          <t>계</t>
        </is>
      </c>
      <c r="T183" s="5" t="inlineStr">
        <is>
          <t>77C</t>
        </is>
      </c>
      <c r="U183" s="9" t="n"/>
      <c r="W183" s="132">
        <f>D183</f>
        <v/>
      </c>
      <c r="X183" s="133">
        <f>E183</f>
        <v/>
      </c>
      <c r="Y183" s="138">
        <f>H183</f>
        <v/>
      </c>
      <c r="Z183" s="136">
        <f>I183</f>
        <v/>
      </c>
      <c r="AA183" s="136">
        <f>K183</f>
        <v/>
      </c>
      <c r="AB183" s="136">
        <f>M183</f>
        <v/>
      </c>
      <c r="AC183" s="4">
        <f>N183</f>
        <v/>
      </c>
      <c r="AD183" s="137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3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청안동 해인로즈빌</t>
        </is>
      </c>
      <c r="B184" s="76" t="inlineStr">
        <is>
          <t>02.04.</t>
        </is>
      </c>
      <c r="C184" s="131" t="n">
        <v>1140</v>
      </c>
      <c r="D184" s="132" t="n">
        <v>79</v>
      </c>
      <c r="E184" s="133" t="n">
        <v>24</v>
      </c>
      <c r="F184" s="132" t="n">
        <v>60</v>
      </c>
      <c r="G184" s="17" t="n">
        <v>18</v>
      </c>
      <c r="H184" s="134" t="n">
        <v>690</v>
      </c>
      <c r="I184" s="135" t="n">
        <v>12000</v>
      </c>
      <c r="J184" s="135" t="inlineStr">
        <is>
          <t>13</t>
        </is>
      </c>
      <c r="K184" s="135" t="n">
        <v>12500</v>
      </c>
      <c r="L184" s="135" t="inlineStr">
        <is>
          <t>중</t>
        </is>
      </c>
      <c r="M184" s="136">
        <f>I184-K184</f>
        <v/>
      </c>
      <c r="N184" s="4">
        <f>IF(ISERROR(K184/I184),"",K184/I184)</f>
        <v/>
      </c>
      <c r="O184" s="137">
        <f>I184/E184</f>
        <v/>
      </c>
      <c r="P184" s="137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78A</t>
        </is>
      </c>
      <c r="U184" s="9" t="n"/>
      <c r="W184" s="132">
        <f>D184</f>
        <v/>
      </c>
      <c r="X184" s="133">
        <f>E184</f>
        <v/>
      </c>
      <c r="Y184" s="138">
        <f>H184</f>
        <v/>
      </c>
      <c r="Z184" s="136">
        <f>I184</f>
        <v/>
      </c>
      <c r="AA184" s="136">
        <f>K184</f>
        <v/>
      </c>
      <c r="AB184" s="136">
        <f>M184</f>
        <v/>
      </c>
      <c r="AC184" s="4">
        <f>N184</f>
        <v/>
      </c>
      <c r="AD184" s="137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3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청안동 해인로즈빌</t>
        </is>
      </c>
      <c r="B185" s="76" t="inlineStr">
        <is>
          <t>02.04.</t>
        </is>
      </c>
      <c r="C185" s="131" t="n">
        <v>1140</v>
      </c>
      <c r="D185" s="132" t="n">
        <v>78.90000000000001</v>
      </c>
      <c r="E185" s="133" t="n">
        <v>24</v>
      </c>
      <c r="F185" s="132" t="n">
        <v>59.9</v>
      </c>
      <c r="G185" s="17" t="n">
        <v>18</v>
      </c>
      <c r="H185" s="134" t="n">
        <v>240</v>
      </c>
      <c r="I185" s="135" t="n"/>
      <c r="J185" s="135" t="n"/>
      <c r="K185" s="135" t="n"/>
      <c r="L185" s="135" t="n"/>
      <c r="M185" s="136">
        <f>I185-K185</f>
        <v/>
      </c>
      <c r="N185" s="4">
        <f>IF(ISERROR(K185/I185),"",K185/I185)</f>
        <v/>
      </c>
      <c r="O185" s="137">
        <f>I185/E185</f>
        <v/>
      </c>
      <c r="P185" s="137">
        <f>K185/E185</f>
        <v/>
      </c>
      <c r="Q185" s="121" t="n">
        <v>2</v>
      </c>
      <c r="R185" s="121" t="n">
        <v>1</v>
      </c>
      <c r="S185" s="121" t="inlineStr">
        <is>
          <t>계</t>
        </is>
      </c>
      <c r="T185" s="5" t="inlineStr">
        <is>
          <t>78B</t>
        </is>
      </c>
      <c r="U185" s="9" t="n"/>
      <c r="W185" s="132">
        <f>D185</f>
        <v/>
      </c>
      <c r="X185" s="133">
        <f>E185</f>
        <v/>
      </c>
      <c r="Y185" s="138">
        <f>H185</f>
        <v/>
      </c>
      <c r="Z185" s="136">
        <f>I185</f>
        <v/>
      </c>
      <c r="AA185" s="136">
        <f>K185</f>
        <v/>
      </c>
      <c r="AB185" s="136">
        <f>M185</f>
        <v/>
      </c>
      <c r="AC185" s="4">
        <f>N185</f>
        <v/>
      </c>
      <c r="AD185" s="137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3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풍호동 경동윈츠빌</t>
        </is>
      </c>
      <c r="B186" s="76" t="inlineStr">
        <is>
          <t>04.05.</t>
        </is>
      </c>
      <c r="C186" s="131" t="n">
        <v>248</v>
      </c>
      <c r="D186" s="132" t="n">
        <v>109</v>
      </c>
      <c r="E186" s="133" t="n">
        <v>33</v>
      </c>
      <c r="F186" s="132" t="n">
        <v>84.40000000000001</v>
      </c>
      <c r="G186" s="17" t="n">
        <v>26</v>
      </c>
      <c r="H186" s="134" t="n">
        <v>160</v>
      </c>
      <c r="I186" s="135" t="n"/>
      <c r="J186" s="135" t="n"/>
      <c r="K186" s="135" t="n"/>
      <c r="L186" s="135" t="n"/>
      <c r="M186" s="136">
        <f>I186-K186</f>
        <v/>
      </c>
      <c r="N186" s="4">
        <f>IF(ISERROR(K186/I186),"",K186/I186)</f>
        <v/>
      </c>
      <c r="O186" s="137">
        <f>I186/E186</f>
        <v/>
      </c>
      <c r="P186" s="137">
        <f>K186/E186</f>
        <v/>
      </c>
      <c r="Q186" s="121" t="n">
        <v>3</v>
      </c>
      <c r="R186" s="121" t="n">
        <v>2</v>
      </c>
      <c r="S186" s="121" t="inlineStr">
        <is>
          <t>계</t>
        </is>
      </c>
      <c r="T186" s="5" t="n">
        <v>109</v>
      </c>
      <c r="U186" s="9" t="n"/>
      <c r="W186" s="132">
        <f>D186</f>
        <v/>
      </c>
      <c r="X186" s="133">
        <f>E186</f>
        <v/>
      </c>
      <c r="Y186" s="138">
        <f>H186</f>
        <v/>
      </c>
      <c r="Z186" s="136">
        <f>I186</f>
        <v/>
      </c>
      <c r="AA186" s="136">
        <f>K186</f>
        <v/>
      </c>
      <c r="AB186" s="136">
        <f>M186</f>
        <v/>
      </c>
      <c r="AC186" s="4">
        <f>N186</f>
        <v/>
      </c>
      <c r="AD186" s="137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3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풍호동 경동윈츠빌</t>
        </is>
      </c>
      <c r="B187" s="76" t="inlineStr">
        <is>
          <t>04.05.</t>
        </is>
      </c>
      <c r="C187" s="131" t="n">
        <v>248</v>
      </c>
      <c r="D187" s="132" t="n">
        <v>139.5</v>
      </c>
      <c r="E187" s="133" t="n">
        <v>42</v>
      </c>
      <c r="F187" s="132" t="n">
        <v>115.9</v>
      </c>
      <c r="G187" s="17" t="n">
        <v>35</v>
      </c>
      <c r="H187" s="134" t="n">
        <v>88</v>
      </c>
      <c r="I187" s="135" t="n"/>
      <c r="J187" s="135" t="n"/>
      <c r="K187" s="135" t="n"/>
      <c r="L187" s="135" t="n"/>
      <c r="M187" s="136">
        <f>I187-K187</f>
        <v/>
      </c>
      <c r="N187" s="4">
        <f>IF(ISERROR(K187/I187),"",K187/I187)</f>
        <v/>
      </c>
      <c r="O187" s="137">
        <f>I187/E187</f>
        <v/>
      </c>
      <c r="P187" s="137">
        <f>K187/E187</f>
        <v/>
      </c>
      <c r="Q187" s="121" t="n">
        <v>3</v>
      </c>
      <c r="R187" s="121" t="n">
        <v>2</v>
      </c>
      <c r="S187" s="121" t="inlineStr">
        <is>
          <t>계</t>
        </is>
      </c>
      <c r="T187" s="5" t="n">
        <v>139</v>
      </c>
      <c r="U187" s="9" t="n"/>
      <c r="W187" s="132">
        <f>D187</f>
        <v/>
      </c>
      <c r="X187" s="133">
        <f>E187</f>
        <v/>
      </c>
      <c r="Y187" s="138">
        <f>H187</f>
        <v/>
      </c>
      <c r="Z187" s="136">
        <f>I187</f>
        <v/>
      </c>
      <c r="AA187" s="136">
        <f>K187</f>
        <v/>
      </c>
      <c r="AB187" s="136">
        <f>M187</f>
        <v/>
      </c>
      <c r="AC187" s="4">
        <f>N187</f>
        <v/>
      </c>
      <c r="AD187" s="137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3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124" t="inlineStr">
        <is>
          <t>풍호동 창원마린푸르지오1단지</t>
        </is>
      </c>
      <c r="B188" s="76" t="inlineStr">
        <is>
          <t>15.10.</t>
        </is>
      </c>
      <c r="C188" s="131" t="n">
        <v>1822</v>
      </c>
      <c r="D188" s="132" t="n">
        <v>81.40000000000001</v>
      </c>
      <c r="E188" s="133" t="n">
        <v>25</v>
      </c>
      <c r="F188" s="132" t="n">
        <v>60</v>
      </c>
      <c r="G188" s="17" t="n">
        <v>18</v>
      </c>
      <c r="H188" s="134" t="n">
        <v>124</v>
      </c>
      <c r="I188" s="135" t="n">
        <v>33000</v>
      </c>
      <c r="J188" s="135" t="inlineStr">
        <is>
          <t>중</t>
        </is>
      </c>
      <c r="K188" s="135" t="n"/>
      <c r="L188" s="135" t="n"/>
      <c r="M188" s="136">
        <f>I188-K188</f>
        <v/>
      </c>
      <c r="N188" s="4">
        <f>IF(ISERROR(K188/I188),"",K188/I188)</f>
        <v/>
      </c>
      <c r="O188" s="137">
        <f>I188/E188</f>
        <v/>
      </c>
      <c r="P188" s="137">
        <f>K188/E188</f>
        <v/>
      </c>
      <c r="Q188" s="121" t="n">
        <v>3</v>
      </c>
      <c r="R188" s="121" t="n">
        <v>2</v>
      </c>
      <c r="S188" s="121" t="inlineStr">
        <is>
          <t>계</t>
        </is>
      </c>
      <c r="T188" s="5" t="n">
        <v>81</v>
      </c>
      <c r="U188" s="9" t="n"/>
      <c r="W188" s="132">
        <f>D188</f>
        <v/>
      </c>
      <c r="X188" s="133">
        <f>E188</f>
        <v/>
      </c>
      <c r="Y188" s="138">
        <f>H188</f>
        <v/>
      </c>
      <c r="Z188" s="136">
        <f>I188</f>
        <v/>
      </c>
      <c r="AA188" s="136">
        <f>K188</f>
        <v/>
      </c>
      <c r="AB188" s="136">
        <f>M188</f>
        <v/>
      </c>
      <c r="AC188" s="4">
        <f>N188</f>
        <v/>
      </c>
      <c r="AD188" s="137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3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124" t="inlineStr">
        <is>
          <t>풍호동 창원마린푸르지오1단지</t>
        </is>
      </c>
      <c r="B189" s="76" t="inlineStr">
        <is>
          <t>15.10.</t>
        </is>
      </c>
      <c r="C189" s="131" t="n">
        <v>1822</v>
      </c>
      <c r="D189" s="132" t="n">
        <v>89.09999999999999</v>
      </c>
      <c r="E189" s="133" t="n">
        <v>27</v>
      </c>
      <c r="F189" s="132" t="n">
        <v>66</v>
      </c>
      <c r="G189" s="17" t="n">
        <v>20</v>
      </c>
      <c r="H189" s="134" t="n">
        <v>15</v>
      </c>
      <c r="I189" s="135" t="n"/>
      <c r="J189" s="135" t="n"/>
      <c r="K189" s="135" t="n"/>
      <c r="L189" s="135" t="n"/>
      <c r="M189" s="136">
        <f>I189-K189</f>
        <v/>
      </c>
      <c r="N189" s="4">
        <f>IF(ISERROR(K189/I189),"",K189/I189)</f>
        <v/>
      </c>
      <c r="O189" s="137">
        <f>I189/E189</f>
        <v/>
      </c>
      <c r="P189" s="137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n">
        <v>89</v>
      </c>
      <c r="U189" s="9" t="n"/>
      <c r="W189" s="132">
        <f>D189</f>
        <v/>
      </c>
      <c r="X189" s="133">
        <f>E189</f>
        <v/>
      </c>
      <c r="Y189" s="138">
        <f>H189</f>
        <v/>
      </c>
      <c r="Z189" s="136">
        <f>I189</f>
        <v/>
      </c>
      <c r="AA189" s="136">
        <f>K189</f>
        <v/>
      </c>
      <c r="AB189" s="136">
        <f>M189</f>
        <v/>
      </c>
      <c r="AC189" s="4">
        <f>N189</f>
        <v/>
      </c>
      <c r="AD189" s="137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3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124" t="inlineStr">
        <is>
          <t>풍호동 창원마린푸르지오1단지</t>
        </is>
      </c>
      <c r="B190" s="76" t="inlineStr">
        <is>
          <t>15.10.</t>
        </is>
      </c>
      <c r="C190" s="131" t="n">
        <v>1822</v>
      </c>
      <c r="D190" s="132" t="n">
        <v>98</v>
      </c>
      <c r="E190" s="133" t="n">
        <v>30</v>
      </c>
      <c r="F190" s="132" t="n">
        <v>73</v>
      </c>
      <c r="G190" s="17" t="n">
        <v>22</v>
      </c>
      <c r="H190" s="134" t="n">
        <v>42</v>
      </c>
      <c r="I190" s="135" t="n">
        <v>36500</v>
      </c>
      <c r="J190" s="135" t="inlineStr">
        <is>
          <t>5</t>
        </is>
      </c>
      <c r="K190" s="135" t="n">
        <v>27000</v>
      </c>
      <c r="L190" s="135" t="inlineStr">
        <is>
          <t>중</t>
        </is>
      </c>
      <c r="M190" s="136">
        <f>I190-K190</f>
        <v/>
      </c>
      <c r="N190" s="4">
        <f>IF(ISERROR(K190/I190),"",K190/I190)</f>
        <v/>
      </c>
      <c r="O190" s="137">
        <f>I190/E190</f>
        <v/>
      </c>
      <c r="P190" s="137">
        <f>K190/E190</f>
        <v/>
      </c>
      <c r="Q190" s="121" t="n">
        <v>3</v>
      </c>
      <c r="R190" s="121" t="n">
        <v>2</v>
      </c>
      <c r="S190" s="121" t="inlineStr">
        <is>
          <t>계</t>
        </is>
      </c>
      <c r="T190" s="5" t="inlineStr">
        <is>
          <t>97D</t>
        </is>
      </c>
      <c r="U190" s="9" t="n"/>
      <c r="W190" s="132">
        <f>D190</f>
        <v/>
      </c>
      <c r="X190" s="133">
        <f>E190</f>
        <v/>
      </c>
      <c r="Y190" s="138">
        <f>H190</f>
        <v/>
      </c>
      <c r="Z190" s="136">
        <f>I190</f>
        <v/>
      </c>
      <c r="AA190" s="136">
        <f>K190</f>
        <v/>
      </c>
      <c r="AB190" s="136">
        <f>M190</f>
        <v/>
      </c>
      <c r="AC190" s="4">
        <f>N190</f>
        <v/>
      </c>
      <c r="AD190" s="137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3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2" customFormat="1" customHeight="1" s="37">
      <c r="A191" s="124" t="inlineStr">
        <is>
          <t>풍호동 창원마린푸르지오1단지</t>
        </is>
      </c>
      <c r="B191" s="76" t="inlineStr">
        <is>
          <t>15.10.</t>
        </is>
      </c>
      <c r="C191" s="131" t="n">
        <v>1822</v>
      </c>
      <c r="D191" s="132" t="n">
        <v>98.3</v>
      </c>
      <c r="E191" s="133" t="n">
        <v>30</v>
      </c>
      <c r="F191" s="132" t="n">
        <v>73</v>
      </c>
      <c r="G191" s="17" t="n">
        <v>22</v>
      </c>
      <c r="H191" s="134" t="n">
        <v>201</v>
      </c>
      <c r="I191" s="135" t="n"/>
      <c r="J191" s="135" t="n"/>
      <c r="K191" s="135" t="n"/>
      <c r="L191" s="135" t="n"/>
      <c r="M191" s="136">
        <f>I191-K191</f>
        <v/>
      </c>
      <c r="N191" s="4">
        <f>IF(ISERROR(K191/I191),"",K191/I191)</f>
        <v/>
      </c>
      <c r="O191" s="137">
        <f>I191/E191</f>
        <v/>
      </c>
      <c r="P191" s="137">
        <f>K191/E191</f>
        <v/>
      </c>
      <c r="Q191" s="121" t="n">
        <v>3</v>
      </c>
      <c r="R191" s="121" t="n">
        <v>2</v>
      </c>
      <c r="S191" s="121" t="inlineStr">
        <is>
          <t>계</t>
        </is>
      </c>
      <c r="T191" s="5" t="inlineStr">
        <is>
          <t>98A</t>
        </is>
      </c>
      <c r="U191" s="9" t="n"/>
      <c r="W191" s="132">
        <f>D191</f>
        <v/>
      </c>
      <c r="X191" s="133">
        <f>E191</f>
        <v/>
      </c>
      <c r="Y191" s="138">
        <f>H191</f>
        <v/>
      </c>
      <c r="Z191" s="136">
        <f>I191</f>
        <v/>
      </c>
      <c r="AA191" s="136">
        <f>K191</f>
        <v/>
      </c>
      <c r="AB191" s="136">
        <f>M191</f>
        <v/>
      </c>
      <c r="AC191" s="4">
        <f>N191</f>
        <v/>
      </c>
      <c r="AD191" s="137">
        <f>O191</f>
        <v/>
      </c>
      <c r="AE191" s="121">
        <f>S191</f>
        <v/>
      </c>
      <c r="AF191" s="121">
        <f>Q191&amp;"/"&amp;R191</f>
        <v/>
      </c>
      <c r="AH191" s="20">
        <f>IF(A191="","",A191)</f>
        <v/>
      </c>
      <c r="AI191" s="133">
        <f>IF(E191="","",E191)</f>
        <v/>
      </c>
      <c r="AJ191" s="121">
        <f>IF(AI191="","",$AJ$2)</f>
        <v/>
      </c>
      <c r="AK191" s="121" t="inlineStr">
        <is>
          <t>A</t>
        </is>
      </c>
      <c r="AL191" s="121" t="inlineStr">
        <is>
          <t>A+</t>
        </is>
      </c>
      <c r="AM191" s="121" t="inlineStr">
        <is>
          <t>B+</t>
        </is>
      </c>
      <c r="AN191" s="121">
        <f>IF(AI191="","",$AN$2)</f>
        <v/>
      </c>
      <c r="AO191" s="121">
        <f>IF(N191="","",IF(N191&gt;=$AO$1/100,"O","X"))</f>
        <v/>
      </c>
      <c r="AP191" s="121">
        <f>IF(I191="","",IF(I191&lt;=$AP$1,"O","X"))</f>
        <v/>
      </c>
      <c r="AQ191" s="121">
        <f>IF(O191="","",IF(O191&lt;=$AQ$1,"O","X"))</f>
        <v/>
      </c>
      <c r="AR191" s="121">
        <f>IF(M191="","",IF(M191&lt;=$AR$1,"O","X"))</f>
        <v/>
      </c>
      <c r="AS191" s="121" t="inlineStr">
        <is>
          <t>X</t>
        </is>
      </c>
      <c r="AT191" s="121">
        <f>IF(OR(F191="",AI191=""),"",IF(AND((F191&lt;=85),(AI191&gt;=15)),"O","X"))</f>
        <v/>
      </c>
      <c r="AU191" s="121">
        <f>IF(C191="","",IF(C191&gt;=$AU$1,"O","X"))</f>
        <v/>
      </c>
      <c r="AV191" s="121">
        <f>IF(AO191="","",IF(AND(AO191="O",AP191="O",AR191="O",AT191="O",AU191="O"),"후보","X"))</f>
        <v/>
      </c>
    </row>
    <row r="192" ht="12" customFormat="1" customHeight="1" s="37">
      <c r="A192" s="124" t="inlineStr">
        <is>
          <t>풍호동 창원마린푸르지오1단지</t>
        </is>
      </c>
      <c r="B192" s="76" t="inlineStr">
        <is>
          <t>15.10.</t>
        </is>
      </c>
      <c r="C192" s="131" t="n">
        <v>1822</v>
      </c>
      <c r="D192" s="132" t="n">
        <v>98.7</v>
      </c>
      <c r="E192" s="133" t="n">
        <v>30</v>
      </c>
      <c r="F192" s="132" t="n">
        <v>73</v>
      </c>
      <c r="G192" s="17" t="n">
        <v>22</v>
      </c>
      <c r="H192" s="134" t="n">
        <v>92</v>
      </c>
      <c r="I192" s="135" t="n">
        <v>38000</v>
      </c>
      <c r="J192" s="135" t="inlineStr">
        <is>
          <t>9</t>
        </is>
      </c>
      <c r="K192" s="135" t="n"/>
      <c r="L192" s="135" t="n"/>
      <c r="M192" s="136">
        <f>I192-K192</f>
        <v/>
      </c>
      <c r="N192" s="4">
        <f>IF(ISERROR(K192/I192),"",K192/I192)</f>
        <v/>
      </c>
      <c r="O192" s="137">
        <f>I192/E192</f>
        <v/>
      </c>
      <c r="P192" s="137">
        <f>K192/E192</f>
        <v/>
      </c>
      <c r="Q192" s="121" t="n">
        <v>3</v>
      </c>
      <c r="R192" s="121" t="n">
        <v>2</v>
      </c>
      <c r="S192" s="121" t="inlineStr">
        <is>
          <t>계</t>
        </is>
      </c>
      <c r="T192" s="5" t="inlineStr">
        <is>
          <t>98B</t>
        </is>
      </c>
      <c r="U192" s="9" t="n"/>
      <c r="W192" s="132">
        <f>D192</f>
        <v/>
      </c>
      <c r="X192" s="133">
        <f>E192</f>
        <v/>
      </c>
      <c r="Y192" s="138">
        <f>H192</f>
        <v/>
      </c>
      <c r="Z192" s="136">
        <f>I192</f>
        <v/>
      </c>
      <c r="AA192" s="136">
        <f>K192</f>
        <v/>
      </c>
      <c r="AB192" s="136">
        <f>M192</f>
        <v/>
      </c>
      <c r="AC192" s="4">
        <f>N192</f>
        <v/>
      </c>
      <c r="AD192" s="137">
        <f>O192</f>
        <v/>
      </c>
      <c r="AE192" s="121">
        <f>S192</f>
        <v/>
      </c>
      <c r="AF192" s="121">
        <f>Q192&amp;"/"&amp;R192</f>
        <v/>
      </c>
      <c r="AH192" s="20">
        <f>IF(A192="","",A192)</f>
        <v/>
      </c>
      <c r="AI192" s="133">
        <f>IF(E192="","",E192)</f>
        <v/>
      </c>
      <c r="AJ192" s="121">
        <f>IF(AI192="","",$AJ$2)</f>
        <v/>
      </c>
      <c r="AK192" s="121" t="inlineStr">
        <is>
          <t>A</t>
        </is>
      </c>
      <c r="AL192" s="121" t="inlineStr">
        <is>
          <t>A+</t>
        </is>
      </c>
      <c r="AM192" s="121" t="inlineStr">
        <is>
          <t>B+</t>
        </is>
      </c>
      <c r="AN192" s="121">
        <f>IF(AI192="","",$AN$2)</f>
        <v/>
      </c>
      <c r="AO192" s="121">
        <f>IF(N192="","",IF(N192&gt;=$AO$1/100,"O","X"))</f>
        <v/>
      </c>
      <c r="AP192" s="121">
        <f>IF(I192="","",IF(I192&lt;=$AP$1,"O","X"))</f>
        <v/>
      </c>
      <c r="AQ192" s="121">
        <f>IF(O192="","",IF(O192&lt;=$AQ$1,"O","X"))</f>
        <v/>
      </c>
      <c r="AR192" s="121">
        <f>IF(M192="","",IF(M192&lt;=$AR$1,"O","X"))</f>
        <v/>
      </c>
      <c r="AS192" s="121" t="inlineStr">
        <is>
          <t>X</t>
        </is>
      </c>
      <c r="AT192" s="121">
        <f>IF(OR(F192="",AI192=""),"",IF(AND((F192&lt;=85),(AI192&gt;=15)),"O","X"))</f>
        <v/>
      </c>
      <c r="AU192" s="121">
        <f>IF(C192="","",IF(C192&gt;=$AU$1,"O","X"))</f>
        <v/>
      </c>
      <c r="AV192" s="121">
        <f>IF(AO192="","",IF(AND(AO192="O",AP192="O",AR192="O",AT192="O",AU192="O"),"후보","X"))</f>
        <v/>
      </c>
    </row>
    <row r="193" ht="12" customFormat="1" customHeight="1" s="37">
      <c r="A193" s="124" t="inlineStr">
        <is>
          <t>풍호동 창원마린푸르지오1단지</t>
        </is>
      </c>
      <c r="B193" s="76" t="inlineStr">
        <is>
          <t>15.10.</t>
        </is>
      </c>
      <c r="C193" s="131" t="n">
        <v>1822</v>
      </c>
      <c r="D193" s="132" t="n">
        <v>98.09999999999999</v>
      </c>
      <c r="E193" s="133" t="n">
        <v>30</v>
      </c>
      <c r="F193" s="132" t="n">
        <v>73</v>
      </c>
      <c r="G193" s="17" t="n">
        <v>22</v>
      </c>
      <c r="H193" s="134" t="n">
        <v>48</v>
      </c>
      <c r="I193" s="135" t="n">
        <v>38500</v>
      </c>
      <c r="J193" s="135" t="inlineStr">
        <is>
          <t>7</t>
        </is>
      </c>
      <c r="K193" s="135" t="n"/>
      <c r="L193" s="135" t="n"/>
      <c r="M193" s="136">
        <f>I193-K193</f>
        <v/>
      </c>
      <c r="N193" s="4">
        <f>IF(ISERROR(K193/I193),"",K193/I193)</f>
        <v/>
      </c>
      <c r="O193" s="137">
        <f>I193/E193</f>
        <v/>
      </c>
      <c r="P193" s="137">
        <f>K193/E193</f>
        <v/>
      </c>
      <c r="Q193" s="121" t="n">
        <v>3</v>
      </c>
      <c r="R193" s="121" t="n">
        <v>2</v>
      </c>
      <c r="S193" s="121" t="inlineStr">
        <is>
          <t>계</t>
        </is>
      </c>
      <c r="T193" s="5" t="inlineStr">
        <is>
          <t>98C</t>
        </is>
      </c>
      <c r="U193" s="9" t="n"/>
      <c r="W193" s="132">
        <f>D193</f>
        <v/>
      </c>
      <c r="X193" s="133">
        <f>E193</f>
        <v/>
      </c>
      <c r="Y193" s="138">
        <f>H193</f>
        <v/>
      </c>
      <c r="Z193" s="136">
        <f>I193</f>
        <v/>
      </c>
      <c r="AA193" s="136">
        <f>K193</f>
        <v/>
      </c>
      <c r="AB193" s="136">
        <f>M193</f>
        <v/>
      </c>
      <c r="AC193" s="4">
        <f>N193</f>
        <v/>
      </c>
      <c r="AD193" s="137">
        <f>O193</f>
        <v/>
      </c>
      <c r="AE193" s="121">
        <f>S193</f>
        <v/>
      </c>
      <c r="AF193" s="121">
        <f>Q193&amp;"/"&amp;R193</f>
        <v/>
      </c>
      <c r="AH193" s="20">
        <f>IF(A193="","",A193)</f>
        <v/>
      </c>
      <c r="AI193" s="133">
        <f>IF(E193="","",E193)</f>
        <v/>
      </c>
      <c r="AJ193" s="121">
        <f>IF(AI193="","",$AJ$2)</f>
        <v/>
      </c>
      <c r="AK193" s="121" t="inlineStr">
        <is>
          <t>A</t>
        </is>
      </c>
      <c r="AL193" s="121" t="inlineStr">
        <is>
          <t>A+</t>
        </is>
      </c>
      <c r="AM193" s="121" t="inlineStr">
        <is>
          <t>B+</t>
        </is>
      </c>
      <c r="AN193" s="121">
        <f>IF(AI193="","",$AN$2)</f>
        <v/>
      </c>
      <c r="AO193" s="121">
        <f>IF(N193="","",IF(N193&gt;=$AO$1/100,"O","X"))</f>
        <v/>
      </c>
      <c r="AP193" s="121">
        <f>IF(I193="","",IF(I193&lt;=$AP$1,"O","X"))</f>
        <v/>
      </c>
      <c r="AQ193" s="121">
        <f>IF(O193="","",IF(O193&lt;=$AQ$1,"O","X"))</f>
        <v/>
      </c>
      <c r="AR193" s="121">
        <f>IF(M193="","",IF(M193&lt;=$AR$1,"O","X"))</f>
        <v/>
      </c>
      <c r="AS193" s="121" t="inlineStr">
        <is>
          <t>X</t>
        </is>
      </c>
      <c r="AT193" s="121">
        <f>IF(OR(F193="",AI193=""),"",IF(AND((F193&lt;=85),(AI193&gt;=15)),"O","X"))</f>
        <v/>
      </c>
      <c r="AU193" s="121">
        <f>IF(C193="","",IF(C193&gt;=$AU$1,"O","X"))</f>
        <v/>
      </c>
      <c r="AV193" s="121">
        <f>IF(AO193="","",IF(AND(AO193="O",AP193="O",AR193="O",AT193="O",AU193="O"),"후보","X"))</f>
        <v/>
      </c>
    </row>
    <row r="194" ht="12" customFormat="1" customHeight="1" s="37">
      <c r="A194" s="124" t="inlineStr">
        <is>
          <t>풍호동 창원마린푸르지오1단지</t>
        </is>
      </c>
      <c r="B194" s="76" t="inlineStr">
        <is>
          <t>15.10.</t>
        </is>
      </c>
      <c r="C194" s="131" t="n">
        <v>1822</v>
      </c>
      <c r="D194" s="132" t="n">
        <v>104.3</v>
      </c>
      <c r="E194" s="133" t="n">
        <v>32</v>
      </c>
      <c r="F194" s="132" t="n">
        <v>77.8</v>
      </c>
      <c r="G194" s="17" t="n">
        <v>24</v>
      </c>
      <c r="H194" s="134" t="n">
        <v>12</v>
      </c>
      <c r="I194" s="135" t="n"/>
      <c r="J194" s="135" t="n"/>
      <c r="K194" s="135" t="n"/>
      <c r="L194" s="135" t="n"/>
      <c r="M194" s="136">
        <f>I194-K194</f>
        <v/>
      </c>
      <c r="N194" s="4">
        <f>IF(ISERROR(K194/I194),"",K194/I194)</f>
        <v/>
      </c>
      <c r="O194" s="137">
        <f>I194/E194</f>
        <v/>
      </c>
      <c r="P194" s="137">
        <f>K194/E194</f>
        <v/>
      </c>
      <c r="Q194" s="121" t="n">
        <v>3</v>
      </c>
      <c r="R194" s="121" t="n">
        <v>2</v>
      </c>
      <c r="S194" s="121" t="inlineStr">
        <is>
          <t>계</t>
        </is>
      </c>
      <c r="T194" s="5" t="inlineStr">
        <is>
          <t>104A</t>
        </is>
      </c>
      <c r="U194" s="9" t="n"/>
      <c r="W194" s="132">
        <f>D194</f>
        <v/>
      </c>
      <c r="X194" s="133">
        <f>E194</f>
        <v/>
      </c>
      <c r="Y194" s="138">
        <f>H194</f>
        <v/>
      </c>
      <c r="Z194" s="136">
        <f>I194</f>
        <v/>
      </c>
      <c r="AA194" s="136">
        <f>K194</f>
        <v/>
      </c>
      <c r="AB194" s="136">
        <f>M194</f>
        <v/>
      </c>
      <c r="AC194" s="4">
        <f>N194</f>
        <v/>
      </c>
      <c r="AD194" s="137">
        <f>O194</f>
        <v/>
      </c>
      <c r="AE194" s="121">
        <f>S194</f>
        <v/>
      </c>
      <c r="AF194" s="121">
        <f>Q194&amp;"/"&amp;R194</f>
        <v/>
      </c>
      <c r="AH194" s="20">
        <f>IF(A194="","",A194)</f>
        <v/>
      </c>
      <c r="AI194" s="133">
        <f>IF(E194="","",E194)</f>
        <v/>
      </c>
      <c r="AJ194" s="121">
        <f>IF(AI194="","",$AJ$2)</f>
        <v/>
      </c>
      <c r="AK194" s="121" t="inlineStr">
        <is>
          <t>A</t>
        </is>
      </c>
      <c r="AL194" s="121" t="inlineStr">
        <is>
          <t>A+</t>
        </is>
      </c>
      <c r="AM194" s="121" t="inlineStr">
        <is>
          <t>B+</t>
        </is>
      </c>
      <c r="AN194" s="121">
        <f>IF(AI194="","",$AN$2)</f>
        <v/>
      </c>
      <c r="AO194" s="121">
        <f>IF(N194="","",IF(N194&gt;=$AO$1/100,"O","X"))</f>
        <v/>
      </c>
      <c r="AP194" s="121">
        <f>IF(I194="","",IF(I194&lt;=$AP$1,"O","X"))</f>
        <v/>
      </c>
      <c r="AQ194" s="121">
        <f>IF(O194="","",IF(O194&lt;=$AQ$1,"O","X"))</f>
        <v/>
      </c>
      <c r="AR194" s="121">
        <f>IF(M194="","",IF(M194&lt;=$AR$1,"O","X"))</f>
        <v/>
      </c>
      <c r="AS194" s="121" t="inlineStr">
        <is>
          <t>X</t>
        </is>
      </c>
      <c r="AT194" s="121">
        <f>IF(OR(F194="",AI194=""),"",IF(AND((F194&lt;=85),(AI194&gt;=15)),"O","X"))</f>
        <v/>
      </c>
      <c r="AU194" s="121">
        <f>IF(C194="","",IF(C194&gt;=$AU$1,"O","X"))</f>
        <v/>
      </c>
      <c r="AV194" s="121">
        <f>IF(AO194="","",IF(AND(AO194="O",AP194="O",AR194="O",AT194="O",AU194="O"),"후보","X"))</f>
        <v/>
      </c>
    </row>
    <row r="195" ht="12" customFormat="1" customHeight="1" s="37">
      <c r="A195" s="124" t="inlineStr">
        <is>
          <t>풍호동 창원마린푸르지오1단지</t>
        </is>
      </c>
      <c r="B195" s="76" t="inlineStr">
        <is>
          <t>15.10.</t>
        </is>
      </c>
      <c r="C195" s="131" t="n">
        <v>1822</v>
      </c>
      <c r="D195" s="132" t="n">
        <v>104.7</v>
      </c>
      <c r="E195" s="133" t="n">
        <v>32</v>
      </c>
      <c r="F195" s="132" t="n">
        <v>77.7</v>
      </c>
      <c r="G195" s="17" t="n">
        <v>24</v>
      </c>
      <c r="H195" s="134" t="n">
        <v>12</v>
      </c>
      <c r="I195" s="135" t="n"/>
      <c r="J195" s="135" t="n"/>
      <c r="K195" s="135" t="n"/>
      <c r="L195" s="135" t="n"/>
      <c r="M195" s="136">
        <f>I195-K195</f>
        <v/>
      </c>
      <c r="N195" s="4">
        <f>IF(ISERROR(K195/I195),"",K195/I195)</f>
        <v/>
      </c>
      <c r="O195" s="137">
        <f>I195/E195</f>
        <v/>
      </c>
      <c r="P195" s="137">
        <f>K195/E195</f>
        <v/>
      </c>
      <c r="Q195" s="121" t="n">
        <v>3</v>
      </c>
      <c r="R195" s="121" t="n">
        <v>2</v>
      </c>
      <c r="S195" s="121" t="inlineStr">
        <is>
          <t>계</t>
        </is>
      </c>
      <c r="T195" s="5" t="inlineStr">
        <is>
          <t>104B</t>
        </is>
      </c>
      <c r="U195" s="9" t="n"/>
      <c r="W195" s="132">
        <f>D195</f>
        <v/>
      </c>
      <c r="X195" s="133">
        <f>E195</f>
        <v/>
      </c>
      <c r="Y195" s="138">
        <f>H195</f>
        <v/>
      </c>
      <c r="Z195" s="136">
        <f>I195</f>
        <v/>
      </c>
      <c r="AA195" s="136">
        <f>K195</f>
        <v/>
      </c>
      <c r="AB195" s="136">
        <f>M195</f>
        <v/>
      </c>
      <c r="AC195" s="4">
        <f>N195</f>
        <v/>
      </c>
      <c r="AD195" s="137">
        <f>O195</f>
        <v/>
      </c>
      <c r="AE195" s="121">
        <f>S195</f>
        <v/>
      </c>
      <c r="AF195" s="121">
        <f>Q195&amp;"/"&amp;R195</f>
        <v/>
      </c>
      <c r="AH195" s="20">
        <f>IF(A195="","",A195)</f>
        <v/>
      </c>
      <c r="AI195" s="133">
        <f>IF(E195="","",E195)</f>
        <v/>
      </c>
      <c r="AJ195" s="121">
        <f>IF(AI195="","",$AJ$2)</f>
        <v/>
      </c>
      <c r="AK195" s="121" t="inlineStr">
        <is>
          <t>A</t>
        </is>
      </c>
      <c r="AL195" s="121" t="inlineStr">
        <is>
          <t>A+</t>
        </is>
      </c>
      <c r="AM195" s="121" t="inlineStr">
        <is>
          <t>B+</t>
        </is>
      </c>
      <c r="AN195" s="121">
        <f>IF(AI195="","",$AN$2)</f>
        <v/>
      </c>
      <c r="AO195" s="121">
        <f>IF(N195="","",IF(N195&gt;=$AO$1/100,"O","X"))</f>
        <v/>
      </c>
      <c r="AP195" s="121">
        <f>IF(I195="","",IF(I195&lt;=$AP$1,"O","X"))</f>
        <v/>
      </c>
      <c r="AQ195" s="121">
        <f>IF(O195="","",IF(O195&lt;=$AQ$1,"O","X"))</f>
        <v/>
      </c>
      <c r="AR195" s="121">
        <f>IF(M195="","",IF(M195&lt;=$AR$1,"O","X"))</f>
        <v/>
      </c>
      <c r="AS195" s="121" t="inlineStr">
        <is>
          <t>X</t>
        </is>
      </c>
      <c r="AT195" s="121">
        <f>IF(OR(F195="",AI195=""),"",IF(AND((F195&lt;=85),(AI195&gt;=15)),"O","X"))</f>
        <v/>
      </c>
      <c r="AU195" s="121">
        <f>IF(C195="","",IF(C195&gt;=$AU$1,"O","X"))</f>
        <v/>
      </c>
      <c r="AV195" s="121">
        <f>IF(AO195="","",IF(AND(AO195="O",AP195="O",AR195="O",AT195="O",AU195="O"),"후보","X"))</f>
        <v/>
      </c>
    </row>
    <row r="196" ht="12" customFormat="1" customHeight="1" s="37">
      <c r="A196" s="124" t="inlineStr">
        <is>
          <t>풍호동 창원마린푸르지오1단지</t>
        </is>
      </c>
      <c r="B196" s="76" t="inlineStr">
        <is>
          <t>15.10.</t>
        </is>
      </c>
      <c r="C196" s="131" t="n">
        <v>1822</v>
      </c>
      <c r="D196" s="132" t="n">
        <v>113.8</v>
      </c>
      <c r="E196" s="133" t="n">
        <v>34</v>
      </c>
      <c r="F196" s="132" t="n">
        <v>85</v>
      </c>
      <c r="G196" s="17" t="n">
        <v>26</v>
      </c>
      <c r="H196" s="134" t="n">
        <v>693</v>
      </c>
      <c r="I196" s="135" t="n">
        <v>46500</v>
      </c>
      <c r="J196" s="135" t="inlineStr">
        <is>
          <t>5</t>
        </is>
      </c>
      <c r="K196" s="135" t="n">
        <v>34000</v>
      </c>
      <c r="L196" s="135" t="inlineStr">
        <is>
          <t>중</t>
        </is>
      </c>
      <c r="M196" s="136">
        <f>I196-K196</f>
        <v/>
      </c>
      <c r="N196" s="4">
        <f>IF(ISERROR(K196/I196),"",K196/I196)</f>
        <v/>
      </c>
      <c r="O196" s="137">
        <f>I196/E196</f>
        <v/>
      </c>
      <c r="P196" s="137">
        <f>K196/E196</f>
        <v/>
      </c>
      <c r="Q196" s="121" t="n">
        <v>3</v>
      </c>
      <c r="R196" s="121" t="n">
        <v>2</v>
      </c>
      <c r="S196" s="121" t="inlineStr">
        <is>
          <t>계</t>
        </is>
      </c>
      <c r="T196" s="5" t="inlineStr">
        <is>
          <t>113A</t>
        </is>
      </c>
      <c r="U196" s="9" t="n"/>
      <c r="W196" s="132">
        <f>D196</f>
        <v/>
      </c>
      <c r="X196" s="133">
        <f>E196</f>
        <v/>
      </c>
      <c r="Y196" s="138">
        <f>H196</f>
        <v/>
      </c>
      <c r="Z196" s="136">
        <f>I196</f>
        <v/>
      </c>
      <c r="AA196" s="136">
        <f>K196</f>
        <v/>
      </c>
      <c r="AB196" s="136">
        <f>M196</f>
        <v/>
      </c>
      <c r="AC196" s="4">
        <f>N196</f>
        <v/>
      </c>
      <c r="AD196" s="137">
        <f>O196</f>
        <v/>
      </c>
      <c r="AE196" s="121">
        <f>S196</f>
        <v/>
      </c>
      <c r="AF196" s="121">
        <f>Q196&amp;"/"&amp;R196</f>
        <v/>
      </c>
      <c r="AH196" s="20">
        <f>IF(A196="","",A196)</f>
        <v/>
      </c>
      <c r="AI196" s="133">
        <f>IF(E196="","",E196)</f>
        <v/>
      </c>
      <c r="AJ196" s="121">
        <f>IF(AI196="","",$AJ$2)</f>
        <v/>
      </c>
      <c r="AK196" s="121" t="inlineStr">
        <is>
          <t>A</t>
        </is>
      </c>
      <c r="AL196" s="121" t="inlineStr">
        <is>
          <t>A+</t>
        </is>
      </c>
      <c r="AM196" s="121" t="inlineStr">
        <is>
          <t>B+</t>
        </is>
      </c>
      <c r="AN196" s="121">
        <f>IF(AI196="","",$AN$2)</f>
        <v/>
      </c>
      <c r="AO196" s="121">
        <f>IF(N196="","",IF(N196&gt;=$AO$1/100,"O","X"))</f>
        <v/>
      </c>
      <c r="AP196" s="121">
        <f>IF(I196="","",IF(I196&lt;=$AP$1,"O","X"))</f>
        <v/>
      </c>
      <c r="AQ196" s="121">
        <f>IF(O196="","",IF(O196&lt;=$AQ$1,"O","X"))</f>
        <v/>
      </c>
      <c r="AR196" s="121">
        <f>IF(M196="","",IF(M196&lt;=$AR$1,"O","X"))</f>
        <v/>
      </c>
      <c r="AS196" s="121" t="inlineStr">
        <is>
          <t>X</t>
        </is>
      </c>
      <c r="AT196" s="121">
        <f>IF(OR(F196="",AI196=""),"",IF(AND((F196&lt;=85),(AI196&gt;=15)),"O","X"))</f>
        <v/>
      </c>
      <c r="AU196" s="121">
        <f>IF(C196="","",IF(C196&gt;=$AU$1,"O","X"))</f>
        <v/>
      </c>
      <c r="AV196" s="121">
        <f>IF(AO196="","",IF(AND(AO196="O",AP196="O",AR196="O",AT196="O",AU196="O"),"후보","X"))</f>
        <v/>
      </c>
    </row>
    <row r="197" ht="12" customFormat="1" customHeight="1" s="37">
      <c r="A197" s="124" t="inlineStr">
        <is>
          <t>풍호동 창원마린푸르지오1단지</t>
        </is>
      </c>
      <c r="B197" s="76" t="inlineStr">
        <is>
          <t>15.10.</t>
        </is>
      </c>
      <c r="C197" s="131" t="n">
        <v>1822</v>
      </c>
      <c r="D197" s="132" t="n">
        <v>113.3</v>
      </c>
      <c r="E197" s="133" t="n">
        <v>34</v>
      </c>
      <c r="F197" s="132" t="n">
        <v>85</v>
      </c>
      <c r="G197" s="17" t="n">
        <v>26</v>
      </c>
      <c r="H197" s="134" t="n">
        <v>204</v>
      </c>
      <c r="I197" s="135" t="n">
        <v>47500</v>
      </c>
      <c r="J197" s="135" t="inlineStr">
        <is>
          <t>중</t>
        </is>
      </c>
      <c r="K197" s="135" t="n"/>
      <c r="L197" s="135" t="n"/>
      <c r="M197" s="136">
        <f>I197-K197</f>
        <v/>
      </c>
      <c r="N197" s="4">
        <f>IF(ISERROR(K197/I197),"",K197/I197)</f>
        <v/>
      </c>
      <c r="O197" s="137">
        <f>I197/E197</f>
        <v/>
      </c>
      <c r="P197" s="137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inlineStr">
        <is>
          <t>113C</t>
        </is>
      </c>
      <c r="U197" s="9" t="n"/>
      <c r="W197" s="132">
        <f>D197</f>
        <v/>
      </c>
      <c r="X197" s="133">
        <f>E197</f>
        <v/>
      </c>
      <c r="Y197" s="138">
        <f>H197</f>
        <v/>
      </c>
      <c r="Z197" s="136">
        <f>I197</f>
        <v/>
      </c>
      <c r="AA197" s="136">
        <f>K197</f>
        <v/>
      </c>
      <c r="AB197" s="136">
        <f>M197</f>
        <v/>
      </c>
      <c r="AC197" s="4">
        <f>N197</f>
        <v/>
      </c>
      <c r="AD197" s="137">
        <f>O197</f>
        <v/>
      </c>
      <c r="AE197" s="121">
        <f>S197</f>
        <v/>
      </c>
      <c r="AF197" s="121">
        <f>Q197&amp;"/"&amp;R197</f>
        <v/>
      </c>
      <c r="AH197" s="20">
        <f>IF(A197="","",A197)</f>
        <v/>
      </c>
      <c r="AI197" s="133">
        <f>IF(E197="","",E197)</f>
        <v/>
      </c>
      <c r="AJ197" s="121">
        <f>IF(AI197="","",$AJ$2)</f>
        <v/>
      </c>
      <c r="AK197" s="121" t="inlineStr">
        <is>
          <t>A</t>
        </is>
      </c>
      <c r="AL197" s="121" t="inlineStr">
        <is>
          <t>A+</t>
        </is>
      </c>
      <c r="AM197" s="121" t="inlineStr">
        <is>
          <t>B+</t>
        </is>
      </c>
      <c r="AN197" s="121">
        <f>IF(AI197="","",$AN$2)</f>
        <v/>
      </c>
      <c r="AO197" s="121">
        <f>IF(N197="","",IF(N197&gt;=$AO$1/100,"O","X"))</f>
        <v/>
      </c>
      <c r="AP197" s="121">
        <f>IF(I197="","",IF(I197&lt;=$AP$1,"O","X"))</f>
        <v/>
      </c>
      <c r="AQ197" s="121">
        <f>IF(O197="","",IF(O197&lt;=$AQ$1,"O","X"))</f>
        <v/>
      </c>
      <c r="AR197" s="121">
        <f>IF(M197="","",IF(M197&lt;=$AR$1,"O","X"))</f>
        <v/>
      </c>
      <c r="AS197" s="121" t="inlineStr">
        <is>
          <t>X</t>
        </is>
      </c>
      <c r="AT197" s="121">
        <f>IF(OR(F197="",AI197=""),"",IF(AND((F197&lt;=85),(AI197&gt;=15)),"O","X"))</f>
        <v/>
      </c>
      <c r="AU197" s="121">
        <f>IF(C197="","",IF(C197&gt;=$AU$1,"O","X"))</f>
        <v/>
      </c>
      <c r="AV197" s="121">
        <f>IF(AO197="","",IF(AND(AO197="O",AP197="O",AR197="O",AT197="O",AU197="O"),"후보","X"))</f>
        <v/>
      </c>
    </row>
    <row r="198" ht="12" customFormat="1" customHeight="1" s="37">
      <c r="A198" s="124" t="inlineStr">
        <is>
          <t>풍호동 창원마린푸르지오1단지</t>
        </is>
      </c>
      <c r="B198" s="76" t="inlineStr">
        <is>
          <t>15.10.</t>
        </is>
      </c>
      <c r="C198" s="131" t="n">
        <v>1822</v>
      </c>
      <c r="D198" s="132" t="n">
        <v>114</v>
      </c>
      <c r="E198" s="133" t="n">
        <v>34</v>
      </c>
      <c r="F198" s="132" t="n">
        <v>85</v>
      </c>
      <c r="G198" s="17" t="n">
        <v>26</v>
      </c>
      <c r="H198" s="134" t="n">
        <v>201</v>
      </c>
      <c r="I198" s="135" t="n">
        <v>47500</v>
      </c>
      <c r="J198" s="135" t="inlineStr">
        <is>
          <t>고</t>
        </is>
      </c>
      <c r="K198" s="135" t="n"/>
      <c r="L198" s="135" t="n"/>
      <c r="M198" s="136">
        <f>I198-K198</f>
        <v/>
      </c>
      <c r="N198" s="4">
        <f>IF(ISERROR(K198/I198),"",K198/I198)</f>
        <v/>
      </c>
      <c r="O198" s="137">
        <f>I198/E198</f>
        <v/>
      </c>
      <c r="P198" s="137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inlineStr">
        <is>
          <t>114B</t>
        </is>
      </c>
      <c r="U198" s="9" t="n"/>
      <c r="W198" s="132">
        <f>D198</f>
        <v/>
      </c>
      <c r="X198" s="133">
        <f>E198</f>
        <v/>
      </c>
      <c r="Y198" s="138">
        <f>H198</f>
        <v/>
      </c>
      <c r="Z198" s="136">
        <f>I198</f>
        <v/>
      </c>
      <c r="AA198" s="136">
        <f>K198</f>
        <v/>
      </c>
      <c r="AB198" s="136">
        <f>M198</f>
        <v/>
      </c>
      <c r="AC198" s="4">
        <f>N198</f>
        <v/>
      </c>
      <c r="AD198" s="137">
        <f>O198</f>
        <v/>
      </c>
      <c r="AE198" s="121">
        <f>S198</f>
        <v/>
      </c>
      <c r="AF198" s="121">
        <f>Q198&amp;"/"&amp;R198</f>
        <v/>
      </c>
      <c r="AH198" s="20">
        <f>IF(A198="","",A198)</f>
        <v/>
      </c>
      <c r="AI198" s="133">
        <f>IF(E198="","",E198)</f>
        <v/>
      </c>
      <c r="AJ198" s="121">
        <f>IF(AI198="","",$AJ$2)</f>
        <v/>
      </c>
      <c r="AK198" s="121" t="inlineStr">
        <is>
          <t>A</t>
        </is>
      </c>
      <c r="AL198" s="121" t="inlineStr">
        <is>
          <t>A+</t>
        </is>
      </c>
      <c r="AM198" s="121" t="inlineStr">
        <is>
          <t>B+</t>
        </is>
      </c>
      <c r="AN198" s="121">
        <f>IF(AI198="","",$AN$2)</f>
        <v/>
      </c>
      <c r="AO198" s="121">
        <f>IF(N198="","",IF(N198&gt;=$AO$1/100,"O","X"))</f>
        <v/>
      </c>
      <c r="AP198" s="121">
        <f>IF(I198="","",IF(I198&lt;=$AP$1,"O","X"))</f>
        <v/>
      </c>
      <c r="AQ198" s="121">
        <f>IF(O198="","",IF(O198&lt;=$AQ$1,"O","X"))</f>
        <v/>
      </c>
      <c r="AR198" s="121">
        <f>IF(M198="","",IF(M198&lt;=$AR$1,"O","X"))</f>
        <v/>
      </c>
      <c r="AS198" s="121" t="inlineStr">
        <is>
          <t>X</t>
        </is>
      </c>
      <c r="AT198" s="121">
        <f>IF(OR(F198="",AI198=""),"",IF(AND((F198&lt;=85),(AI198&gt;=15)),"O","X"))</f>
        <v/>
      </c>
      <c r="AU198" s="121">
        <f>IF(C198="","",IF(C198&gt;=$AU$1,"O","X"))</f>
        <v/>
      </c>
      <c r="AV198" s="121">
        <f>IF(AO198="","",IF(AND(AO198="O",AP198="O",AR198="O",AT198="O",AU198="O"),"후보","X"))</f>
        <v/>
      </c>
    </row>
    <row r="199" ht="12" customFormat="1" customHeight="1" s="37">
      <c r="A199" s="124" t="inlineStr">
        <is>
          <t>풍호동 창원마린푸르지오1단지</t>
        </is>
      </c>
      <c r="B199" s="76" t="inlineStr">
        <is>
          <t>15.10.</t>
        </is>
      </c>
      <c r="C199" s="131" t="n">
        <v>1822</v>
      </c>
      <c r="D199" s="132" t="n">
        <v>129.3</v>
      </c>
      <c r="E199" s="133" t="n">
        <v>39</v>
      </c>
      <c r="F199" s="132" t="n">
        <v>104</v>
      </c>
      <c r="G199" s="17" t="n">
        <v>31</v>
      </c>
      <c r="H199" s="134" t="n">
        <v>177</v>
      </c>
      <c r="I199" s="135" t="n"/>
      <c r="J199" s="135" t="n"/>
      <c r="K199" s="135" t="n"/>
      <c r="L199" s="135" t="n"/>
      <c r="M199" s="136">
        <f>I199-K199</f>
        <v/>
      </c>
      <c r="N199" s="4">
        <f>IF(ISERROR(K199/I199),"",K199/I199)</f>
        <v/>
      </c>
      <c r="O199" s="137">
        <f>I199/E199</f>
        <v/>
      </c>
      <c r="P199" s="137">
        <f>K199/E199</f>
        <v/>
      </c>
      <c r="Q199" s="121" t="n">
        <v>4</v>
      </c>
      <c r="R199" s="121" t="n">
        <v>2</v>
      </c>
      <c r="S199" s="121" t="inlineStr">
        <is>
          <t>계</t>
        </is>
      </c>
      <c r="T199" s="5" t="n">
        <v>129</v>
      </c>
      <c r="U199" s="9" t="n"/>
      <c r="W199" s="132">
        <f>D199</f>
        <v/>
      </c>
      <c r="X199" s="133">
        <f>E199</f>
        <v/>
      </c>
      <c r="Y199" s="138">
        <f>H199</f>
        <v/>
      </c>
      <c r="Z199" s="136">
        <f>I199</f>
        <v/>
      </c>
      <c r="AA199" s="136">
        <f>K199</f>
        <v/>
      </c>
      <c r="AB199" s="136">
        <f>M199</f>
        <v/>
      </c>
      <c r="AC199" s="4">
        <f>N199</f>
        <v/>
      </c>
      <c r="AD199" s="137">
        <f>O199</f>
        <v/>
      </c>
      <c r="AE199" s="121">
        <f>S199</f>
        <v/>
      </c>
      <c r="AF199" s="121">
        <f>Q199&amp;"/"&amp;R199</f>
        <v/>
      </c>
      <c r="AH199" s="20">
        <f>IF(A199="","",A199)</f>
        <v/>
      </c>
      <c r="AI199" s="133">
        <f>IF(E199="","",E199)</f>
        <v/>
      </c>
      <c r="AJ199" s="121">
        <f>IF(AI199="","",$AJ$2)</f>
        <v/>
      </c>
      <c r="AK199" s="121" t="inlineStr">
        <is>
          <t>A</t>
        </is>
      </c>
      <c r="AL199" s="121" t="inlineStr">
        <is>
          <t>A+</t>
        </is>
      </c>
      <c r="AM199" s="121" t="inlineStr">
        <is>
          <t>B+</t>
        </is>
      </c>
      <c r="AN199" s="121">
        <f>IF(AI199="","",$AN$2)</f>
        <v/>
      </c>
      <c r="AO199" s="121">
        <f>IF(N199="","",IF(N199&gt;=$AO$1/100,"O","X"))</f>
        <v/>
      </c>
      <c r="AP199" s="121">
        <f>IF(I199="","",IF(I199&lt;=$AP$1,"O","X"))</f>
        <v/>
      </c>
      <c r="AQ199" s="121">
        <f>IF(O199="","",IF(O199&lt;=$AQ$1,"O","X"))</f>
        <v/>
      </c>
      <c r="AR199" s="121">
        <f>IF(M199="","",IF(M199&lt;=$AR$1,"O","X"))</f>
        <v/>
      </c>
      <c r="AS199" s="121" t="inlineStr">
        <is>
          <t>X</t>
        </is>
      </c>
      <c r="AT199" s="121">
        <f>IF(OR(F199="",AI199=""),"",IF(AND((F199&lt;=85),(AI199&gt;=15)),"O","X"))</f>
        <v/>
      </c>
      <c r="AU199" s="121">
        <f>IF(C199="","",IF(C199&gt;=$AU$1,"O","X"))</f>
        <v/>
      </c>
      <c r="AV199" s="121">
        <f>IF(AO199="","",IF(AND(AO199="O",AP199="O",AR199="O",AT199="O",AU199="O"),"후보","X"))</f>
        <v/>
      </c>
    </row>
    <row r="200" ht="12" customFormat="1" customHeight="1" s="37">
      <c r="A200" s="124" t="inlineStr">
        <is>
          <t>풍호동 창원마린푸르지오1단지</t>
        </is>
      </c>
      <c r="B200" s="76" t="inlineStr">
        <is>
          <t>15.10.</t>
        </is>
      </c>
      <c r="C200" s="131" t="n">
        <v>1822</v>
      </c>
      <c r="D200" s="132" t="n">
        <v>142.1</v>
      </c>
      <c r="E200" s="133" t="n">
        <v>43</v>
      </c>
      <c r="F200" s="132" t="n">
        <v>114.9</v>
      </c>
      <c r="G200" s="17" t="n">
        <v>35</v>
      </c>
      <c r="H200" s="134" t="n">
        <v>1</v>
      </c>
      <c r="I200" s="135" t="n"/>
      <c r="J200" s="135" t="n"/>
      <c r="K200" s="135" t="n"/>
      <c r="L200" s="135" t="n"/>
      <c r="M200" s="136">
        <f>I200-K200</f>
        <v/>
      </c>
      <c r="N200" s="4">
        <f>IF(ISERROR(K200/I200),"",K200/I200)</f>
        <v/>
      </c>
      <c r="O200" s="137">
        <f>I200/E200</f>
        <v/>
      </c>
      <c r="P200" s="137">
        <f>K200/E200</f>
        <v/>
      </c>
      <c r="Q200" s="121" t="n">
        <v>4</v>
      </c>
      <c r="R200" s="121" t="n">
        <v>2</v>
      </c>
      <c r="S200" s="121" t="inlineStr">
        <is>
          <t>계</t>
        </is>
      </c>
      <c r="T200" s="5" t="n">
        <v>142</v>
      </c>
      <c r="U200" s="9" t="n"/>
      <c r="W200" s="132">
        <f>D200</f>
        <v/>
      </c>
      <c r="X200" s="133">
        <f>E200</f>
        <v/>
      </c>
      <c r="Y200" s="138">
        <f>H200</f>
        <v/>
      </c>
      <c r="Z200" s="136">
        <f>I200</f>
        <v/>
      </c>
      <c r="AA200" s="136">
        <f>K200</f>
        <v/>
      </c>
      <c r="AB200" s="136">
        <f>M200</f>
        <v/>
      </c>
      <c r="AC200" s="4">
        <f>N200</f>
        <v/>
      </c>
      <c r="AD200" s="137">
        <f>O200</f>
        <v/>
      </c>
      <c r="AE200" s="121">
        <f>S200</f>
        <v/>
      </c>
      <c r="AF200" s="121">
        <f>Q200&amp;"/"&amp;R200</f>
        <v/>
      </c>
      <c r="AH200" s="20">
        <f>IF(A200="","",A200)</f>
        <v/>
      </c>
      <c r="AI200" s="133">
        <f>IF(E200="","",E200)</f>
        <v/>
      </c>
      <c r="AJ200" s="121">
        <f>IF(AI200="","",$AJ$2)</f>
        <v/>
      </c>
      <c r="AK200" s="121" t="inlineStr">
        <is>
          <t>A</t>
        </is>
      </c>
      <c r="AL200" s="121" t="inlineStr">
        <is>
          <t>A+</t>
        </is>
      </c>
      <c r="AM200" s="121" t="inlineStr">
        <is>
          <t>B+</t>
        </is>
      </c>
      <c r="AN200" s="121">
        <f>IF(AI200="","",$AN$2)</f>
        <v/>
      </c>
      <c r="AO200" s="121">
        <f>IF(N200="","",IF(N200&gt;=$AO$1/100,"O","X"))</f>
        <v/>
      </c>
      <c r="AP200" s="121">
        <f>IF(I200="","",IF(I200&lt;=$AP$1,"O","X"))</f>
        <v/>
      </c>
      <c r="AQ200" s="121">
        <f>IF(O200="","",IF(O200&lt;=$AQ$1,"O","X"))</f>
        <v/>
      </c>
      <c r="AR200" s="121">
        <f>IF(M200="","",IF(M200&lt;=$AR$1,"O","X"))</f>
        <v/>
      </c>
      <c r="AS200" s="121" t="inlineStr">
        <is>
          <t>X</t>
        </is>
      </c>
      <c r="AT200" s="121">
        <f>IF(OR(F200="",AI200=""),"",IF(AND((F200&lt;=85),(AI200&gt;=15)),"O","X"))</f>
        <v/>
      </c>
      <c r="AU200" s="121">
        <f>IF(C200="","",IF(C200&gt;=$AU$1,"O","X"))</f>
        <v/>
      </c>
      <c r="AV200" s="121">
        <f>IF(AO200="","",IF(AND(AO200="O",AP200="O",AR200="O",AT200="O",AU200="O"),"후보","X"))</f>
        <v/>
      </c>
    </row>
    <row r="201" ht="12" customFormat="1" customHeight="1" s="37">
      <c r="A201" s="75" t="inlineStr">
        <is>
          <t>풍호동 디에스아이존빌</t>
        </is>
      </c>
      <c r="B201" s="76" t="inlineStr">
        <is>
          <t>02.01.</t>
        </is>
      </c>
      <c r="C201" s="131" t="n">
        <v>372</v>
      </c>
      <c r="D201" s="132" t="n">
        <v>78.59999999999999</v>
      </c>
      <c r="E201" s="133" t="n">
        <v>24</v>
      </c>
      <c r="F201" s="132" t="n">
        <v>60</v>
      </c>
      <c r="G201" s="17" t="n">
        <v>18</v>
      </c>
      <c r="H201" s="134" t="n">
        <v>132</v>
      </c>
      <c r="I201" s="135" t="n">
        <v>17000</v>
      </c>
      <c r="J201" s="135" t="inlineStr">
        <is>
          <t>5</t>
        </is>
      </c>
      <c r="K201" s="135" t="n"/>
      <c r="L201" s="135" t="n"/>
      <c r="M201" s="136">
        <f>I201-K201</f>
        <v/>
      </c>
      <c r="N201" s="4">
        <f>IF(ISERROR(K201/I201),"",K201/I201)</f>
        <v/>
      </c>
      <c r="O201" s="137">
        <f>I201/E201</f>
        <v/>
      </c>
      <c r="P201" s="137">
        <f>K201/E201</f>
        <v/>
      </c>
      <c r="Q201" s="121" t="n">
        <v>3</v>
      </c>
      <c r="R201" s="121" t="n">
        <v>2</v>
      </c>
      <c r="S201" s="121" t="inlineStr">
        <is>
          <t>계</t>
        </is>
      </c>
      <c r="T201" s="5" t="n">
        <v>78</v>
      </c>
      <c r="U201" s="9" t="n"/>
      <c r="W201" s="132">
        <f>D201</f>
        <v/>
      </c>
      <c r="X201" s="133">
        <f>E201</f>
        <v/>
      </c>
      <c r="Y201" s="138">
        <f>H201</f>
        <v/>
      </c>
      <c r="Z201" s="136">
        <f>I201</f>
        <v/>
      </c>
      <c r="AA201" s="136">
        <f>K201</f>
        <v/>
      </c>
      <c r="AB201" s="136">
        <f>M201</f>
        <v/>
      </c>
      <c r="AC201" s="4">
        <f>N201</f>
        <v/>
      </c>
      <c r="AD201" s="137">
        <f>O201</f>
        <v/>
      </c>
      <c r="AE201" s="121">
        <f>S201</f>
        <v/>
      </c>
      <c r="AF201" s="121">
        <f>Q201&amp;"/"&amp;R201</f>
        <v/>
      </c>
      <c r="AH201" s="20">
        <f>IF(A201="","",A201)</f>
        <v/>
      </c>
      <c r="AI201" s="133">
        <f>IF(E201="","",E201)</f>
        <v/>
      </c>
      <c r="AJ201" s="121">
        <f>IF(AI201="","",$AJ$2)</f>
        <v/>
      </c>
      <c r="AK201" s="121" t="inlineStr">
        <is>
          <t>A</t>
        </is>
      </c>
      <c r="AL201" s="121" t="inlineStr">
        <is>
          <t>A+</t>
        </is>
      </c>
      <c r="AM201" s="121" t="inlineStr">
        <is>
          <t>B+</t>
        </is>
      </c>
      <c r="AN201" s="121">
        <f>IF(AI201="","",$AN$2)</f>
        <v/>
      </c>
      <c r="AO201" s="121">
        <f>IF(N201="","",IF(N201&gt;=$AO$1/100,"O","X"))</f>
        <v/>
      </c>
      <c r="AP201" s="121">
        <f>IF(I201="","",IF(I201&lt;=$AP$1,"O","X"))</f>
        <v/>
      </c>
      <c r="AQ201" s="121">
        <f>IF(O201="","",IF(O201&lt;=$AQ$1,"O","X"))</f>
        <v/>
      </c>
      <c r="AR201" s="121">
        <f>IF(M201="","",IF(M201&lt;=$AR$1,"O","X"))</f>
        <v/>
      </c>
      <c r="AS201" s="121" t="inlineStr">
        <is>
          <t>X</t>
        </is>
      </c>
      <c r="AT201" s="121">
        <f>IF(OR(F201="",AI201=""),"",IF(AND((F201&lt;=85),(AI201&gt;=15)),"O","X"))</f>
        <v/>
      </c>
      <c r="AU201" s="121">
        <f>IF(C201="","",IF(C201&gt;=$AU$1,"O","X"))</f>
        <v/>
      </c>
      <c r="AV201" s="121">
        <f>IF(AO201="","",IF(AND(AO201="O",AP201="O",AR201="O",AT201="O",AU201="O"),"후보","X"))</f>
        <v/>
      </c>
    </row>
    <row r="202" ht="12" customFormat="1" customHeight="1" s="37">
      <c r="A202" s="75" t="inlineStr">
        <is>
          <t>풍호동 디에스아이존빌</t>
        </is>
      </c>
      <c r="B202" s="76" t="inlineStr">
        <is>
          <t>02.01.</t>
        </is>
      </c>
      <c r="C202" s="131" t="n">
        <v>372</v>
      </c>
      <c r="D202" s="132" t="n">
        <v>95.2</v>
      </c>
      <c r="E202" s="133" t="n">
        <v>29</v>
      </c>
      <c r="F202" s="132" t="n">
        <v>76.2</v>
      </c>
      <c r="G202" s="17" t="n">
        <v>23</v>
      </c>
      <c r="H202" s="134" t="n">
        <v>72</v>
      </c>
      <c r="I202" s="135" t="n">
        <v>23000</v>
      </c>
      <c r="J202" s="135" t="inlineStr">
        <is>
          <t>5</t>
        </is>
      </c>
      <c r="K202" s="135" t="n"/>
      <c r="L202" s="135" t="n"/>
      <c r="M202" s="136">
        <f>I202-K202</f>
        <v/>
      </c>
      <c r="N202" s="4">
        <f>IF(ISERROR(K202/I202),"",K202/I202)</f>
        <v/>
      </c>
      <c r="O202" s="137">
        <f>I202/E202</f>
        <v/>
      </c>
      <c r="P202" s="137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n">
        <v>95</v>
      </c>
      <c r="U202" s="9" t="n"/>
      <c r="W202" s="132">
        <f>D202</f>
        <v/>
      </c>
      <c r="X202" s="133">
        <f>E202</f>
        <v/>
      </c>
      <c r="Y202" s="138">
        <f>H202</f>
        <v/>
      </c>
      <c r="Z202" s="136">
        <f>I202</f>
        <v/>
      </c>
      <c r="AA202" s="136">
        <f>K202</f>
        <v/>
      </c>
      <c r="AB202" s="136">
        <f>M202</f>
        <v/>
      </c>
      <c r="AC202" s="4">
        <f>N202</f>
        <v/>
      </c>
      <c r="AD202" s="137">
        <f>O202</f>
        <v/>
      </c>
      <c r="AE202" s="121">
        <f>S202</f>
        <v/>
      </c>
      <c r="AF202" s="121">
        <f>Q202&amp;"/"&amp;R202</f>
        <v/>
      </c>
      <c r="AH202" s="20">
        <f>IF(A202="","",A202)</f>
        <v/>
      </c>
      <c r="AI202" s="133">
        <f>IF(E202="","",E202)</f>
        <v/>
      </c>
      <c r="AJ202" s="121">
        <f>IF(AI202="","",$AJ$2)</f>
        <v/>
      </c>
      <c r="AK202" s="121" t="inlineStr">
        <is>
          <t>A</t>
        </is>
      </c>
      <c r="AL202" s="121" t="inlineStr">
        <is>
          <t>A+</t>
        </is>
      </c>
      <c r="AM202" s="121" t="inlineStr">
        <is>
          <t>B+</t>
        </is>
      </c>
      <c r="AN202" s="121">
        <f>IF(AI202="","",$AN$2)</f>
        <v/>
      </c>
      <c r="AO202" s="121">
        <f>IF(N202="","",IF(N202&gt;=$AO$1/100,"O","X"))</f>
        <v/>
      </c>
      <c r="AP202" s="121">
        <f>IF(I202="","",IF(I202&lt;=$AP$1,"O","X"))</f>
        <v/>
      </c>
      <c r="AQ202" s="121">
        <f>IF(O202="","",IF(O202&lt;=$AQ$1,"O","X"))</f>
        <v/>
      </c>
      <c r="AR202" s="121">
        <f>IF(M202="","",IF(M202&lt;=$AR$1,"O","X"))</f>
        <v/>
      </c>
      <c r="AS202" s="121" t="inlineStr">
        <is>
          <t>X</t>
        </is>
      </c>
      <c r="AT202" s="121">
        <f>IF(OR(F202="",AI202=""),"",IF(AND((F202&lt;=85),(AI202&gt;=15)),"O","X"))</f>
        <v/>
      </c>
      <c r="AU202" s="121">
        <f>IF(C202="","",IF(C202&gt;=$AU$1,"O","X"))</f>
        <v/>
      </c>
      <c r="AV202" s="121">
        <f>IF(AO202="","",IF(AND(AO202="O",AP202="O",AR202="O",AT202="O",AU202="O"),"후보","X"))</f>
        <v/>
      </c>
    </row>
    <row r="203" ht="12" customFormat="1" customHeight="1" s="37">
      <c r="A203" s="75" t="inlineStr">
        <is>
          <t>풍호동 디에스아이존빌</t>
        </is>
      </c>
      <c r="B203" s="76" t="inlineStr">
        <is>
          <t>02.01.</t>
        </is>
      </c>
      <c r="C203" s="131" t="n">
        <v>372</v>
      </c>
      <c r="D203" s="132" t="n">
        <v>103.1</v>
      </c>
      <c r="E203" s="133" t="n">
        <v>31</v>
      </c>
      <c r="F203" s="132" t="n">
        <v>84.59999999999999</v>
      </c>
      <c r="G203" s="17" t="n">
        <v>26</v>
      </c>
      <c r="H203" s="134" t="n">
        <v>120</v>
      </c>
      <c r="I203" s="135" t="n">
        <v>20500</v>
      </c>
      <c r="J203" s="135" t="inlineStr">
        <is>
          <t>중</t>
        </is>
      </c>
      <c r="K203" s="135" t="n"/>
      <c r="L203" s="135" t="n"/>
      <c r="M203" s="136">
        <f>I203-K203</f>
        <v/>
      </c>
      <c r="N203" s="4">
        <f>IF(ISERROR(K203/I203),"",K203/I203)</f>
        <v/>
      </c>
      <c r="O203" s="137">
        <f>I203/E203</f>
        <v/>
      </c>
      <c r="P203" s="137">
        <f>K203/E203</f>
        <v/>
      </c>
      <c r="Q203" s="121" t="n">
        <v>3</v>
      </c>
      <c r="R203" s="121" t="n">
        <v>2</v>
      </c>
      <c r="S203" s="121" t="inlineStr">
        <is>
          <t>계</t>
        </is>
      </c>
      <c r="T203" s="5" t="n">
        <v>103</v>
      </c>
      <c r="U203" s="9" t="n"/>
      <c r="W203" s="132">
        <f>D203</f>
        <v/>
      </c>
      <c r="X203" s="133">
        <f>E203</f>
        <v/>
      </c>
      <c r="Y203" s="138">
        <f>H203</f>
        <v/>
      </c>
      <c r="Z203" s="136">
        <f>I203</f>
        <v/>
      </c>
      <c r="AA203" s="136">
        <f>K203</f>
        <v/>
      </c>
      <c r="AB203" s="136">
        <f>M203</f>
        <v/>
      </c>
      <c r="AC203" s="4">
        <f>N203</f>
        <v/>
      </c>
      <c r="AD203" s="137">
        <f>O203</f>
        <v/>
      </c>
      <c r="AE203" s="121">
        <f>S203</f>
        <v/>
      </c>
      <c r="AF203" s="121">
        <f>Q203&amp;"/"&amp;R203</f>
        <v/>
      </c>
      <c r="AH203" s="20">
        <f>IF(A203="","",A203)</f>
        <v/>
      </c>
      <c r="AI203" s="133">
        <f>IF(E203="","",E203)</f>
        <v/>
      </c>
      <c r="AJ203" s="121">
        <f>IF(AI203="","",$AJ$2)</f>
        <v/>
      </c>
      <c r="AK203" s="121" t="inlineStr">
        <is>
          <t>A</t>
        </is>
      </c>
      <c r="AL203" s="121" t="inlineStr">
        <is>
          <t>A+</t>
        </is>
      </c>
      <c r="AM203" s="121" t="inlineStr">
        <is>
          <t>B+</t>
        </is>
      </c>
      <c r="AN203" s="121">
        <f>IF(AI203="","",$AN$2)</f>
        <v/>
      </c>
      <c r="AO203" s="121">
        <f>IF(N203="","",IF(N203&gt;=$AO$1/100,"O","X"))</f>
        <v/>
      </c>
      <c r="AP203" s="121">
        <f>IF(I203="","",IF(I203&lt;=$AP$1,"O","X"))</f>
        <v/>
      </c>
      <c r="AQ203" s="121">
        <f>IF(O203="","",IF(O203&lt;=$AQ$1,"O","X"))</f>
        <v/>
      </c>
      <c r="AR203" s="121">
        <f>IF(M203="","",IF(M203&lt;=$AR$1,"O","X"))</f>
        <v/>
      </c>
      <c r="AS203" s="121" t="inlineStr">
        <is>
          <t>X</t>
        </is>
      </c>
      <c r="AT203" s="121">
        <f>IF(OR(F203="",AI203=""),"",IF(AND((F203&lt;=85),(AI203&gt;=15)),"O","X"))</f>
        <v/>
      </c>
      <c r="AU203" s="121">
        <f>IF(C203="","",IF(C203&gt;=$AU$1,"O","X"))</f>
        <v/>
      </c>
      <c r="AV203" s="121">
        <f>IF(AO203="","",IF(AND(AO203="O",AP203="O",AR203="O",AT203="O",AU203="O"),"후보","X"))</f>
        <v/>
      </c>
    </row>
    <row r="204" ht="12" customFormat="1" customHeight="1" s="37">
      <c r="A204" s="75" t="inlineStr">
        <is>
          <t>풍호동 디에스아이존빌</t>
        </is>
      </c>
      <c r="B204" s="76" t="inlineStr">
        <is>
          <t>02.01.</t>
        </is>
      </c>
      <c r="C204" s="131" t="n">
        <v>372</v>
      </c>
      <c r="D204" s="132" t="n">
        <v>126.6</v>
      </c>
      <c r="E204" s="133" t="n">
        <v>38</v>
      </c>
      <c r="F204" s="132" t="n">
        <v>107.7</v>
      </c>
      <c r="G204" s="17" t="n">
        <v>33</v>
      </c>
      <c r="H204" s="134" t="n">
        <v>48</v>
      </c>
      <c r="I204" s="135" t="n"/>
      <c r="J204" s="135" t="n"/>
      <c r="K204" s="135" t="n"/>
      <c r="L204" s="135" t="n"/>
      <c r="M204" s="136">
        <f>I204-K204</f>
        <v/>
      </c>
      <c r="N204" s="4">
        <f>IF(ISERROR(K204/I204),"",K204/I204)</f>
        <v/>
      </c>
      <c r="O204" s="137">
        <f>I204/E204</f>
        <v/>
      </c>
      <c r="P204" s="137">
        <f>K204/E204</f>
        <v/>
      </c>
      <c r="Q204" s="121" t="n">
        <v>4</v>
      </c>
      <c r="R204" s="121" t="n">
        <v>2</v>
      </c>
      <c r="S204" s="121" t="inlineStr">
        <is>
          <t>계</t>
        </is>
      </c>
      <c r="T204" s="5" t="n">
        <v>126</v>
      </c>
      <c r="U204" s="9" t="n"/>
      <c r="W204" s="132">
        <f>D204</f>
        <v/>
      </c>
      <c r="X204" s="133">
        <f>E204</f>
        <v/>
      </c>
      <c r="Y204" s="138">
        <f>H204</f>
        <v/>
      </c>
      <c r="Z204" s="136">
        <f>I204</f>
        <v/>
      </c>
      <c r="AA204" s="136">
        <f>K204</f>
        <v/>
      </c>
      <c r="AB204" s="136">
        <f>M204</f>
        <v/>
      </c>
      <c r="AC204" s="4">
        <f>N204</f>
        <v/>
      </c>
      <c r="AD204" s="137">
        <f>O204</f>
        <v/>
      </c>
      <c r="AE204" s="121">
        <f>S204</f>
        <v/>
      </c>
      <c r="AF204" s="121">
        <f>Q204&amp;"/"&amp;R204</f>
        <v/>
      </c>
      <c r="AH204" s="20">
        <f>IF(A204="","",A204)</f>
        <v/>
      </c>
      <c r="AI204" s="133">
        <f>IF(E204="","",E204)</f>
        <v/>
      </c>
      <c r="AJ204" s="121">
        <f>IF(AI204="","",$AJ$2)</f>
        <v/>
      </c>
      <c r="AK204" s="121" t="inlineStr">
        <is>
          <t>A</t>
        </is>
      </c>
      <c r="AL204" s="121" t="inlineStr">
        <is>
          <t>A+</t>
        </is>
      </c>
      <c r="AM204" s="121" t="inlineStr">
        <is>
          <t>B+</t>
        </is>
      </c>
      <c r="AN204" s="121">
        <f>IF(AI204="","",$AN$2)</f>
        <v/>
      </c>
      <c r="AO204" s="121">
        <f>IF(N204="","",IF(N204&gt;=$AO$1/100,"O","X"))</f>
        <v/>
      </c>
      <c r="AP204" s="121">
        <f>IF(I204="","",IF(I204&lt;=$AP$1,"O","X"))</f>
        <v/>
      </c>
      <c r="AQ204" s="121">
        <f>IF(O204="","",IF(O204&lt;=$AQ$1,"O","X"))</f>
        <v/>
      </c>
      <c r="AR204" s="121">
        <f>IF(M204="","",IF(M204&lt;=$AR$1,"O","X"))</f>
        <v/>
      </c>
      <c r="AS204" s="121" t="inlineStr">
        <is>
          <t>X</t>
        </is>
      </c>
      <c r="AT204" s="121">
        <f>IF(OR(F204="",AI204=""),"",IF(AND((F204&lt;=85),(AI204&gt;=15)),"O","X"))</f>
        <v/>
      </c>
      <c r="AU204" s="121">
        <f>IF(C204="","",IF(C204&gt;=$AU$1,"O","X"))</f>
        <v/>
      </c>
      <c r="AV204" s="121">
        <f>IF(AO204="","",IF(AND(AO204="O",AP204="O",AR204="O",AT204="O",AU204="O"),"후보","X"))</f>
        <v/>
      </c>
    </row>
    <row r="205" ht="12" customFormat="1" customHeight="1" s="37">
      <c r="A205" s="75" t="inlineStr">
        <is>
          <t>풍호동 우성</t>
        </is>
      </c>
      <c r="B205" s="76" t="inlineStr">
        <is>
          <t>93.12.</t>
        </is>
      </c>
      <c r="C205" s="131" t="n">
        <v>1763</v>
      </c>
      <c r="D205" s="132" t="n">
        <v>79.90000000000001</v>
      </c>
      <c r="E205" s="133" t="n">
        <v>24</v>
      </c>
      <c r="F205" s="132" t="n">
        <v>59.9</v>
      </c>
      <c r="G205" s="17" t="n">
        <v>18</v>
      </c>
      <c r="H205" s="134" t="n">
        <v>548</v>
      </c>
      <c r="I205" s="135" t="n">
        <v>13800</v>
      </c>
      <c r="J205" s="135" t="inlineStr">
        <is>
          <t>5</t>
        </is>
      </c>
      <c r="K205" s="135" t="n"/>
      <c r="L205" s="135" t="n"/>
      <c r="M205" s="136">
        <f>I205-K205</f>
        <v/>
      </c>
      <c r="N205" s="4">
        <f>IF(ISERROR(K205/I205),"",K205/I205)</f>
        <v/>
      </c>
      <c r="O205" s="137">
        <f>I205/E205</f>
        <v/>
      </c>
      <c r="P205" s="137">
        <f>K205/E205</f>
        <v/>
      </c>
      <c r="Q205" s="121" t="n">
        <v>2</v>
      </c>
      <c r="R205" s="121" t="n">
        <v>1</v>
      </c>
      <c r="S205" s="121" t="inlineStr">
        <is>
          <t>계</t>
        </is>
      </c>
      <c r="T205" s="5" t="n">
        <v>79</v>
      </c>
      <c r="U205" s="9" t="n"/>
      <c r="W205" s="132">
        <f>D205</f>
        <v/>
      </c>
      <c r="X205" s="133">
        <f>E205</f>
        <v/>
      </c>
      <c r="Y205" s="138">
        <f>H205</f>
        <v/>
      </c>
      <c r="Z205" s="136">
        <f>I205</f>
        <v/>
      </c>
      <c r="AA205" s="136">
        <f>K205</f>
        <v/>
      </c>
      <c r="AB205" s="136">
        <f>M205</f>
        <v/>
      </c>
      <c r="AC205" s="4">
        <f>N205</f>
        <v/>
      </c>
      <c r="AD205" s="137">
        <f>O205</f>
        <v/>
      </c>
      <c r="AE205" s="121">
        <f>S205</f>
        <v/>
      </c>
      <c r="AF205" s="121">
        <f>Q205&amp;"/"&amp;R205</f>
        <v/>
      </c>
      <c r="AH205" s="20">
        <f>IF(A205="","",A205)</f>
        <v/>
      </c>
      <c r="AI205" s="133">
        <f>IF(E205="","",E205)</f>
        <v/>
      </c>
      <c r="AJ205" s="121">
        <f>IF(AI205="","",$AJ$2)</f>
        <v/>
      </c>
      <c r="AK205" s="121" t="inlineStr">
        <is>
          <t>A</t>
        </is>
      </c>
      <c r="AL205" s="121" t="inlineStr">
        <is>
          <t>A+</t>
        </is>
      </c>
      <c r="AM205" s="121" t="inlineStr">
        <is>
          <t>B+</t>
        </is>
      </c>
      <c r="AN205" s="121">
        <f>IF(AI205="","",$AN$2)</f>
        <v/>
      </c>
      <c r="AO205" s="121">
        <f>IF(N205="","",IF(N205&gt;=$AO$1/100,"O","X"))</f>
        <v/>
      </c>
      <c r="AP205" s="121">
        <f>IF(I205="","",IF(I205&lt;=$AP$1,"O","X"))</f>
        <v/>
      </c>
      <c r="AQ205" s="121">
        <f>IF(O205="","",IF(O205&lt;=$AQ$1,"O","X"))</f>
        <v/>
      </c>
      <c r="AR205" s="121">
        <f>IF(M205="","",IF(M205&lt;=$AR$1,"O","X"))</f>
        <v/>
      </c>
      <c r="AS205" s="121" t="inlineStr">
        <is>
          <t>X</t>
        </is>
      </c>
      <c r="AT205" s="121">
        <f>IF(OR(F205="",AI205=""),"",IF(AND((F205&lt;=85),(AI205&gt;=15)),"O","X"))</f>
        <v/>
      </c>
      <c r="AU205" s="121">
        <f>IF(C205="","",IF(C205&gt;=$AU$1,"O","X"))</f>
        <v/>
      </c>
      <c r="AV205" s="121">
        <f>IF(AO205="","",IF(AND(AO205="O",AP205="O",AR205="O",AT205="O",AU205="O"),"후보","X"))</f>
        <v/>
      </c>
    </row>
    <row r="206" ht="12" customFormat="1" customHeight="1" s="37">
      <c r="A206" s="75" t="inlineStr">
        <is>
          <t>풍호동 우성</t>
        </is>
      </c>
      <c r="B206" s="76" t="inlineStr">
        <is>
          <t>93.12.</t>
        </is>
      </c>
      <c r="C206" s="131" t="n">
        <v>1763</v>
      </c>
      <c r="D206" s="132" t="n">
        <v>86.7</v>
      </c>
      <c r="E206" s="133" t="n">
        <v>26</v>
      </c>
      <c r="F206" s="132" t="n">
        <v>69.59999999999999</v>
      </c>
      <c r="G206" s="17" t="n">
        <v>21</v>
      </c>
      <c r="H206" s="134" t="n">
        <v>114</v>
      </c>
      <c r="I206" s="135" t="n">
        <v>18500</v>
      </c>
      <c r="J206" s="135" t="inlineStr">
        <is>
          <t>중</t>
        </is>
      </c>
      <c r="K206" s="135" t="n"/>
      <c r="L206" s="135" t="n"/>
      <c r="M206" s="136">
        <f>I206-K206</f>
        <v/>
      </c>
      <c r="N206" s="4">
        <f>IF(ISERROR(K206/I206),"",K206/I206)</f>
        <v/>
      </c>
      <c r="O206" s="137">
        <f>I206/E206</f>
        <v/>
      </c>
      <c r="P206" s="137">
        <f>K206/E206</f>
        <v/>
      </c>
      <c r="Q206" s="121" t="n">
        <v>3</v>
      </c>
      <c r="R206" s="121" t="n">
        <v>1</v>
      </c>
      <c r="S206" s="121" t="inlineStr">
        <is>
          <t>계</t>
        </is>
      </c>
      <c r="T206" s="5" t="n">
        <v>86</v>
      </c>
      <c r="U206" s="9" t="n"/>
      <c r="W206" s="132">
        <f>D206</f>
        <v/>
      </c>
      <c r="X206" s="133">
        <f>E206</f>
        <v/>
      </c>
      <c r="Y206" s="138">
        <f>H206</f>
        <v/>
      </c>
      <c r="Z206" s="136">
        <f>I206</f>
        <v/>
      </c>
      <c r="AA206" s="136">
        <f>K206</f>
        <v/>
      </c>
      <c r="AB206" s="136">
        <f>M206</f>
        <v/>
      </c>
      <c r="AC206" s="4">
        <f>N206</f>
        <v/>
      </c>
      <c r="AD206" s="137">
        <f>O206</f>
        <v/>
      </c>
      <c r="AE206" s="121">
        <f>S206</f>
        <v/>
      </c>
      <c r="AF206" s="121">
        <f>Q206&amp;"/"&amp;R206</f>
        <v/>
      </c>
      <c r="AH206" s="20">
        <f>IF(A206="","",A206)</f>
        <v/>
      </c>
      <c r="AI206" s="133">
        <f>IF(E206="","",E206)</f>
        <v/>
      </c>
      <c r="AJ206" s="121">
        <f>IF(AI206="","",$AJ$2)</f>
        <v/>
      </c>
      <c r="AK206" s="121" t="inlineStr">
        <is>
          <t>A</t>
        </is>
      </c>
      <c r="AL206" s="121" t="inlineStr">
        <is>
          <t>A+</t>
        </is>
      </c>
      <c r="AM206" s="121" t="inlineStr">
        <is>
          <t>B+</t>
        </is>
      </c>
      <c r="AN206" s="121">
        <f>IF(AI206="","",$AN$2)</f>
        <v/>
      </c>
      <c r="AO206" s="121">
        <f>IF(N206="","",IF(N206&gt;=$AO$1/100,"O","X"))</f>
        <v/>
      </c>
      <c r="AP206" s="121">
        <f>IF(I206="","",IF(I206&lt;=$AP$1,"O","X"))</f>
        <v/>
      </c>
      <c r="AQ206" s="121">
        <f>IF(O206="","",IF(O206&lt;=$AQ$1,"O","X"))</f>
        <v/>
      </c>
      <c r="AR206" s="121">
        <f>IF(M206="","",IF(M206&lt;=$AR$1,"O","X"))</f>
        <v/>
      </c>
      <c r="AS206" s="121" t="inlineStr">
        <is>
          <t>X</t>
        </is>
      </c>
      <c r="AT206" s="121">
        <f>IF(OR(F206="",AI206=""),"",IF(AND((F206&lt;=85),(AI206&gt;=15)),"O","X"))</f>
        <v/>
      </c>
      <c r="AU206" s="121">
        <f>IF(C206="","",IF(C206&gt;=$AU$1,"O","X"))</f>
        <v/>
      </c>
      <c r="AV206" s="121">
        <f>IF(AO206="","",IF(AND(AO206="O",AP206="O",AR206="O",AT206="O",AU206="O"),"후보","X"))</f>
        <v/>
      </c>
    </row>
    <row r="207" ht="12" customFormat="1" customHeight="1" s="37">
      <c r="A207" s="75" t="inlineStr">
        <is>
          <t>풍호동 우성</t>
        </is>
      </c>
      <c r="B207" s="76" t="inlineStr">
        <is>
          <t>93.12.</t>
        </is>
      </c>
      <c r="C207" s="131" t="n">
        <v>1763</v>
      </c>
      <c r="D207" s="132" t="n">
        <v>94.90000000000001</v>
      </c>
      <c r="E207" s="133" t="n">
        <v>29</v>
      </c>
      <c r="F207" s="132" t="n">
        <v>77.09999999999999</v>
      </c>
      <c r="G207" s="17" t="n">
        <v>23</v>
      </c>
      <c r="H207" s="134" t="n">
        <v>110</v>
      </c>
      <c r="I207" s="135" t="n"/>
      <c r="J207" s="135" t="n"/>
      <c r="K207" s="135" t="n"/>
      <c r="L207" s="135" t="n"/>
      <c r="M207" s="136">
        <f>I207-K207</f>
        <v/>
      </c>
      <c r="N207" s="4">
        <f>IF(ISERROR(K207/I207),"",K207/I207)</f>
        <v/>
      </c>
      <c r="O207" s="137">
        <f>I207/E207</f>
        <v/>
      </c>
      <c r="P207" s="137">
        <f>K207/E207</f>
        <v/>
      </c>
      <c r="Q207" s="121" t="n">
        <v>3</v>
      </c>
      <c r="R207" s="121" t="n">
        <v>1</v>
      </c>
      <c r="S207" s="121" t="inlineStr">
        <is>
          <t>계</t>
        </is>
      </c>
      <c r="T207" s="5" t="n">
        <v>94</v>
      </c>
      <c r="U207" s="9" t="n"/>
      <c r="W207" s="132">
        <f>D207</f>
        <v/>
      </c>
      <c r="X207" s="133">
        <f>E207</f>
        <v/>
      </c>
      <c r="Y207" s="138">
        <f>H207</f>
        <v/>
      </c>
      <c r="Z207" s="136">
        <f>I207</f>
        <v/>
      </c>
      <c r="AA207" s="136">
        <f>K207</f>
        <v/>
      </c>
      <c r="AB207" s="136">
        <f>M207</f>
        <v/>
      </c>
      <c r="AC207" s="4">
        <f>N207</f>
        <v/>
      </c>
      <c r="AD207" s="137">
        <f>O207</f>
        <v/>
      </c>
      <c r="AE207" s="121">
        <f>S207</f>
        <v/>
      </c>
      <c r="AF207" s="121">
        <f>Q207&amp;"/"&amp;R207</f>
        <v/>
      </c>
      <c r="AH207" s="20">
        <f>IF(A207="","",A207)</f>
        <v/>
      </c>
      <c r="AI207" s="133">
        <f>IF(E207="","",E207)</f>
        <v/>
      </c>
      <c r="AJ207" s="121">
        <f>IF(AI207="","",$AJ$2)</f>
        <v/>
      </c>
      <c r="AK207" s="121" t="inlineStr">
        <is>
          <t>A</t>
        </is>
      </c>
      <c r="AL207" s="121" t="inlineStr">
        <is>
          <t>A+</t>
        </is>
      </c>
      <c r="AM207" s="121" t="inlineStr">
        <is>
          <t>B+</t>
        </is>
      </c>
      <c r="AN207" s="121">
        <f>IF(AI207="","",$AN$2)</f>
        <v/>
      </c>
      <c r="AO207" s="121">
        <f>IF(N207="","",IF(N207&gt;=$AO$1/100,"O","X"))</f>
        <v/>
      </c>
      <c r="AP207" s="121">
        <f>IF(I207="","",IF(I207&lt;=$AP$1,"O","X"))</f>
        <v/>
      </c>
      <c r="AQ207" s="121">
        <f>IF(O207="","",IF(O207&lt;=$AQ$1,"O","X"))</f>
        <v/>
      </c>
      <c r="AR207" s="121">
        <f>IF(M207="","",IF(M207&lt;=$AR$1,"O","X"))</f>
        <v/>
      </c>
      <c r="AS207" s="121" t="inlineStr">
        <is>
          <t>X</t>
        </is>
      </c>
      <c r="AT207" s="121">
        <f>IF(OR(F207="",AI207=""),"",IF(AND((F207&lt;=85),(AI207&gt;=15)),"O","X"))</f>
        <v/>
      </c>
      <c r="AU207" s="121">
        <f>IF(C207="","",IF(C207&gt;=$AU$1,"O","X"))</f>
        <v/>
      </c>
      <c r="AV207" s="121">
        <f>IF(AO207="","",IF(AND(AO207="O",AP207="O",AR207="O",AT207="O",AU207="O"),"후보","X"))</f>
        <v/>
      </c>
    </row>
    <row r="208" ht="12" customFormat="1" customHeight="1" s="37">
      <c r="A208" s="75" t="inlineStr">
        <is>
          <t>풍호동 우성</t>
        </is>
      </c>
      <c r="B208" s="76" t="inlineStr">
        <is>
          <t>93.12.</t>
        </is>
      </c>
      <c r="C208" s="131" t="n">
        <v>1763</v>
      </c>
      <c r="D208" s="132" t="n">
        <v>103.5</v>
      </c>
      <c r="E208" s="133" t="n">
        <v>31</v>
      </c>
      <c r="F208" s="132" t="n">
        <v>84.8</v>
      </c>
      <c r="G208" s="17" t="n">
        <v>26</v>
      </c>
      <c r="H208" s="134" t="n">
        <v>785</v>
      </c>
      <c r="I208" s="135" t="n">
        <v>21000</v>
      </c>
      <c r="J208" s="135" t="inlineStr">
        <is>
          <t>5</t>
        </is>
      </c>
      <c r="K208" s="135" t="n">
        <v>18000</v>
      </c>
      <c r="L208" s="135" t="inlineStr">
        <is>
          <t>10</t>
        </is>
      </c>
      <c r="M208" s="136">
        <f>I208-K208</f>
        <v/>
      </c>
      <c r="N208" s="4">
        <f>IF(ISERROR(K208/I208),"",K208/I208)</f>
        <v/>
      </c>
      <c r="O208" s="137">
        <f>I208/E208</f>
        <v/>
      </c>
      <c r="P208" s="137">
        <f>K208/E208</f>
        <v/>
      </c>
      <c r="Q208" s="121" t="n">
        <v>3</v>
      </c>
      <c r="R208" s="121" t="n">
        <v>2</v>
      </c>
      <c r="S208" s="121" t="inlineStr">
        <is>
          <t>계</t>
        </is>
      </c>
      <c r="T208" s="5" t="n">
        <v>103</v>
      </c>
      <c r="U208" s="9" t="n"/>
      <c r="W208" s="132">
        <f>D208</f>
        <v/>
      </c>
      <c r="X208" s="133">
        <f>E208</f>
        <v/>
      </c>
      <c r="Y208" s="138">
        <f>H208</f>
        <v/>
      </c>
      <c r="Z208" s="136">
        <f>I208</f>
        <v/>
      </c>
      <c r="AA208" s="136">
        <f>K208</f>
        <v/>
      </c>
      <c r="AB208" s="136">
        <f>M208</f>
        <v/>
      </c>
      <c r="AC208" s="4">
        <f>N208</f>
        <v/>
      </c>
      <c r="AD208" s="137">
        <f>O208</f>
        <v/>
      </c>
      <c r="AE208" s="121">
        <f>S208</f>
        <v/>
      </c>
      <c r="AF208" s="121">
        <f>Q208&amp;"/"&amp;R208</f>
        <v/>
      </c>
      <c r="AH208" s="20">
        <f>IF(A208="","",A208)</f>
        <v/>
      </c>
      <c r="AI208" s="133">
        <f>IF(E208="","",E208)</f>
        <v/>
      </c>
      <c r="AJ208" s="121">
        <f>IF(AI208="","",$AJ$2)</f>
        <v/>
      </c>
      <c r="AK208" s="121" t="inlineStr">
        <is>
          <t>A</t>
        </is>
      </c>
      <c r="AL208" s="121" t="inlineStr">
        <is>
          <t>A+</t>
        </is>
      </c>
      <c r="AM208" s="121" t="inlineStr">
        <is>
          <t>B+</t>
        </is>
      </c>
      <c r="AN208" s="121">
        <f>IF(AI208="","",$AN$2)</f>
        <v/>
      </c>
      <c r="AO208" s="121">
        <f>IF(N208="","",IF(N208&gt;=$AO$1/100,"O","X"))</f>
        <v/>
      </c>
      <c r="AP208" s="121">
        <f>IF(I208="","",IF(I208&lt;=$AP$1,"O","X"))</f>
        <v/>
      </c>
      <c r="AQ208" s="121">
        <f>IF(O208="","",IF(O208&lt;=$AQ$1,"O","X"))</f>
        <v/>
      </c>
      <c r="AR208" s="121">
        <f>IF(M208="","",IF(M208&lt;=$AR$1,"O","X"))</f>
        <v/>
      </c>
      <c r="AS208" s="121" t="inlineStr">
        <is>
          <t>X</t>
        </is>
      </c>
      <c r="AT208" s="121">
        <f>IF(OR(F208="",AI208=""),"",IF(AND((F208&lt;=85),(AI208&gt;=15)),"O","X"))</f>
        <v/>
      </c>
      <c r="AU208" s="121">
        <f>IF(C208="","",IF(C208&gt;=$AU$1,"O","X"))</f>
        <v/>
      </c>
      <c r="AV208" s="121">
        <f>IF(AO208="","",IF(AND(AO208="O",AP208="O",AR208="O",AT208="O",AU208="O"),"후보","X"))</f>
        <v/>
      </c>
    </row>
    <row r="209" ht="12" customFormat="1" customHeight="1" s="37">
      <c r="A209" s="75" t="inlineStr">
        <is>
          <t>풍호동 우성</t>
        </is>
      </c>
      <c r="B209" s="76" t="inlineStr">
        <is>
          <t>93.12.</t>
        </is>
      </c>
      <c r="C209" s="131" t="n">
        <v>1763</v>
      </c>
      <c r="D209" s="132" t="n">
        <v>123</v>
      </c>
      <c r="E209" s="133" t="n">
        <v>37</v>
      </c>
      <c r="F209" s="132" t="n">
        <v>101.7</v>
      </c>
      <c r="G209" s="17" t="n">
        <v>31</v>
      </c>
      <c r="H209" s="134" t="n">
        <v>50</v>
      </c>
      <c r="I209" s="135" t="n"/>
      <c r="J209" s="135" t="n"/>
      <c r="K209" s="135" t="n"/>
      <c r="L209" s="135" t="n"/>
      <c r="M209" s="136">
        <f>I209-K209</f>
        <v/>
      </c>
      <c r="N209" s="4">
        <f>IF(ISERROR(K209/I209),"",K209/I209)</f>
        <v/>
      </c>
      <c r="O209" s="137">
        <f>I209/E209</f>
        <v/>
      </c>
      <c r="P209" s="137">
        <f>K209/E209</f>
        <v/>
      </c>
      <c r="Q209" s="121" t="n">
        <v>4</v>
      </c>
      <c r="R209" s="121" t="n">
        <v>2</v>
      </c>
      <c r="S209" s="121" t="inlineStr">
        <is>
          <t>계</t>
        </is>
      </c>
      <c r="T209" s="5" t="n">
        <v>123</v>
      </c>
      <c r="U209" s="9" t="n"/>
      <c r="W209" s="132">
        <f>D209</f>
        <v/>
      </c>
      <c r="X209" s="133">
        <f>E209</f>
        <v/>
      </c>
      <c r="Y209" s="138">
        <f>H209</f>
        <v/>
      </c>
      <c r="Z209" s="136">
        <f>I209</f>
        <v/>
      </c>
      <c r="AA209" s="136">
        <f>K209</f>
        <v/>
      </c>
      <c r="AB209" s="136">
        <f>M209</f>
        <v/>
      </c>
      <c r="AC209" s="4">
        <f>N209</f>
        <v/>
      </c>
      <c r="AD209" s="137">
        <f>O209</f>
        <v/>
      </c>
      <c r="AE209" s="121">
        <f>S209</f>
        <v/>
      </c>
      <c r="AF209" s="121">
        <f>Q209&amp;"/"&amp;R209</f>
        <v/>
      </c>
      <c r="AH209" s="20">
        <f>IF(A209="","",A209)</f>
        <v/>
      </c>
      <c r="AI209" s="133">
        <f>IF(E209="","",E209)</f>
        <v/>
      </c>
      <c r="AJ209" s="121">
        <f>IF(AI209="","",$AJ$2)</f>
        <v/>
      </c>
      <c r="AK209" s="121" t="inlineStr">
        <is>
          <t>A</t>
        </is>
      </c>
      <c r="AL209" s="121" t="inlineStr">
        <is>
          <t>A+</t>
        </is>
      </c>
      <c r="AM209" s="121" t="inlineStr">
        <is>
          <t>B+</t>
        </is>
      </c>
      <c r="AN209" s="121">
        <f>IF(AI209="","",$AN$2)</f>
        <v/>
      </c>
      <c r="AO209" s="121">
        <f>IF(N209="","",IF(N209&gt;=$AO$1/100,"O","X"))</f>
        <v/>
      </c>
      <c r="AP209" s="121">
        <f>IF(I209="","",IF(I209&lt;=$AP$1,"O","X"))</f>
        <v/>
      </c>
      <c r="AQ209" s="121">
        <f>IF(O209="","",IF(O209&lt;=$AQ$1,"O","X"))</f>
        <v/>
      </c>
      <c r="AR209" s="121">
        <f>IF(M209="","",IF(M209&lt;=$AR$1,"O","X"))</f>
        <v/>
      </c>
      <c r="AS209" s="121" t="inlineStr">
        <is>
          <t>X</t>
        </is>
      </c>
      <c r="AT209" s="121">
        <f>IF(OR(F209="",AI209=""),"",IF(AND((F209&lt;=85),(AI209&gt;=15)),"O","X"))</f>
        <v/>
      </c>
      <c r="AU209" s="121">
        <f>IF(C209="","",IF(C209&gt;=$AU$1,"O","X"))</f>
        <v/>
      </c>
      <c r="AV209" s="121">
        <f>IF(AO209="","",IF(AND(AO209="O",AP209="O",AR209="O",AT209="O",AU209="O"),"후보","X"))</f>
        <v/>
      </c>
    </row>
    <row r="210" ht="12" customFormat="1" customHeight="1" s="37">
      <c r="A210" s="75" t="inlineStr">
        <is>
          <t>풍호동 우성</t>
        </is>
      </c>
      <c r="B210" s="76" t="inlineStr">
        <is>
          <t>93.12.</t>
        </is>
      </c>
      <c r="C210" s="131" t="n">
        <v>1763</v>
      </c>
      <c r="D210" s="132" t="n">
        <v>153.4</v>
      </c>
      <c r="E210" s="133" t="n">
        <v>46</v>
      </c>
      <c r="F210" s="132" t="n">
        <v>129.6</v>
      </c>
      <c r="G210" s="17" t="n">
        <v>39</v>
      </c>
      <c r="H210" s="134" t="n">
        <v>156</v>
      </c>
      <c r="I210" s="135" t="n"/>
      <c r="J210" s="135" t="n"/>
      <c r="K210" s="135" t="n"/>
      <c r="L210" s="135" t="n"/>
      <c r="M210" s="136">
        <f>I210-K210</f>
        <v/>
      </c>
      <c r="N210" s="4">
        <f>IF(ISERROR(K210/I210),"",K210/I210)</f>
        <v/>
      </c>
      <c r="O210" s="137">
        <f>I210/E210</f>
        <v/>
      </c>
      <c r="P210" s="137">
        <f>K210/E210</f>
        <v/>
      </c>
      <c r="Q210" s="121" t="n">
        <v>4</v>
      </c>
      <c r="R210" s="121" t="n">
        <v>2</v>
      </c>
      <c r="S210" s="121" t="inlineStr">
        <is>
          <t>계</t>
        </is>
      </c>
      <c r="T210" s="5" t="n">
        <v>153</v>
      </c>
      <c r="U210" s="9" t="n"/>
      <c r="W210" s="132">
        <f>D210</f>
        <v/>
      </c>
      <c r="X210" s="133">
        <f>E210</f>
        <v/>
      </c>
      <c r="Y210" s="138">
        <f>H210</f>
        <v/>
      </c>
      <c r="Z210" s="136">
        <f>I210</f>
        <v/>
      </c>
      <c r="AA210" s="136">
        <f>K210</f>
        <v/>
      </c>
      <c r="AB210" s="136">
        <f>M210</f>
        <v/>
      </c>
      <c r="AC210" s="4">
        <f>N210</f>
        <v/>
      </c>
      <c r="AD210" s="137">
        <f>O210</f>
        <v/>
      </c>
      <c r="AE210" s="121">
        <f>S210</f>
        <v/>
      </c>
      <c r="AF210" s="121">
        <f>Q210&amp;"/"&amp;R210</f>
        <v/>
      </c>
      <c r="AH210" s="20">
        <f>IF(A210="","",A210)</f>
        <v/>
      </c>
      <c r="AI210" s="133">
        <f>IF(E210="","",E210)</f>
        <v/>
      </c>
      <c r="AJ210" s="121">
        <f>IF(AI210="","",$AJ$2)</f>
        <v/>
      </c>
      <c r="AK210" s="121" t="inlineStr">
        <is>
          <t>A</t>
        </is>
      </c>
      <c r="AL210" s="121" t="inlineStr">
        <is>
          <t>A+</t>
        </is>
      </c>
      <c r="AM210" s="121" t="inlineStr">
        <is>
          <t>B+</t>
        </is>
      </c>
      <c r="AN210" s="121">
        <f>IF(AI210="","",$AN$2)</f>
        <v/>
      </c>
      <c r="AO210" s="121">
        <f>IF(N210="","",IF(N210&gt;=$AO$1/100,"O","X"))</f>
        <v/>
      </c>
      <c r="AP210" s="121">
        <f>IF(I210="","",IF(I210&lt;=$AP$1,"O","X"))</f>
        <v/>
      </c>
      <c r="AQ210" s="121">
        <f>IF(O210="","",IF(O210&lt;=$AQ$1,"O","X"))</f>
        <v/>
      </c>
      <c r="AR210" s="121">
        <f>IF(M210="","",IF(M210&lt;=$AR$1,"O","X"))</f>
        <v/>
      </c>
      <c r="AS210" s="121" t="inlineStr">
        <is>
          <t>X</t>
        </is>
      </c>
      <c r="AT210" s="121">
        <f>IF(OR(F210="",AI210=""),"",IF(AND((F210&lt;=85),(AI210&gt;=15)),"O","X"))</f>
        <v/>
      </c>
      <c r="AU210" s="121">
        <f>IF(C210="","",IF(C210&gt;=$AU$1,"O","X"))</f>
        <v/>
      </c>
      <c r="AV210" s="121">
        <f>IF(AO210="","",IF(AND(AO210="O",AP210="O",AR210="O",AT210="O",AU210="O"),"후보","X"))</f>
        <v/>
      </c>
    </row>
    <row r="211" ht="12" customFormat="1" customHeight="1" s="37">
      <c r="A211" s="75" t="inlineStr">
        <is>
          <t>풍호동 풍호시영</t>
        </is>
      </c>
      <c r="B211" s="76" t="inlineStr">
        <is>
          <t>91.01.</t>
        </is>
      </c>
      <c r="C211" s="131" t="n">
        <v>460</v>
      </c>
      <c r="D211" s="132" t="n">
        <v>58.8</v>
      </c>
      <c r="E211" s="133" t="n">
        <v>18</v>
      </c>
      <c r="F211" s="132" t="n">
        <v>49.8</v>
      </c>
      <c r="G211" s="17" t="n">
        <v>15</v>
      </c>
      <c r="H211" s="134" t="n">
        <v>460</v>
      </c>
      <c r="I211" s="135" t="n">
        <v>13200</v>
      </c>
      <c r="J211" s="135" t="inlineStr">
        <is>
          <t>5</t>
        </is>
      </c>
      <c r="K211" s="135" t="n">
        <v>9000</v>
      </c>
      <c r="L211" s="135" t="inlineStr">
        <is>
          <t>5</t>
        </is>
      </c>
      <c r="M211" s="136">
        <f>I211-K211</f>
        <v/>
      </c>
      <c r="N211" s="4">
        <f>IF(ISERROR(K211/I211),"",K211/I211)</f>
        <v/>
      </c>
      <c r="O211" s="137">
        <f>I211/E211</f>
        <v/>
      </c>
      <c r="P211" s="137">
        <f>K211/E211</f>
        <v/>
      </c>
      <c r="Q211" s="121" t="n">
        <v>2</v>
      </c>
      <c r="R211" s="121" t="n">
        <v>1</v>
      </c>
      <c r="S211" s="121" t="inlineStr">
        <is>
          <t>계</t>
        </is>
      </c>
      <c r="T211" s="5" t="n">
        <v>58</v>
      </c>
      <c r="U211" s="9" t="n"/>
      <c r="W211" s="132">
        <f>D211</f>
        <v/>
      </c>
      <c r="X211" s="133">
        <f>E211</f>
        <v/>
      </c>
      <c r="Y211" s="138">
        <f>H211</f>
        <v/>
      </c>
      <c r="Z211" s="136">
        <f>I211</f>
        <v/>
      </c>
      <c r="AA211" s="136">
        <f>K211</f>
        <v/>
      </c>
      <c r="AB211" s="136">
        <f>M211</f>
        <v/>
      </c>
      <c r="AC211" s="4">
        <f>N211</f>
        <v/>
      </c>
      <c r="AD211" s="137">
        <f>O211</f>
        <v/>
      </c>
      <c r="AE211" s="121">
        <f>S211</f>
        <v/>
      </c>
      <c r="AF211" s="121">
        <f>Q211&amp;"/"&amp;R211</f>
        <v/>
      </c>
      <c r="AH211" s="20">
        <f>IF(A211="","",A211)</f>
        <v/>
      </c>
      <c r="AI211" s="133">
        <f>IF(E211="","",E211)</f>
        <v/>
      </c>
      <c r="AJ211" s="121">
        <f>IF(AI211="","",$AJ$2)</f>
        <v/>
      </c>
      <c r="AK211" s="121" t="inlineStr">
        <is>
          <t>A</t>
        </is>
      </c>
      <c r="AL211" s="121" t="inlineStr">
        <is>
          <t>A+</t>
        </is>
      </c>
      <c r="AM211" s="121" t="inlineStr">
        <is>
          <t>B+</t>
        </is>
      </c>
      <c r="AN211" s="121">
        <f>IF(AI211="","",$AN$2)</f>
        <v/>
      </c>
      <c r="AO211" s="121">
        <f>IF(N211="","",IF(N211&gt;=$AO$1/100,"O","X"))</f>
        <v/>
      </c>
      <c r="AP211" s="121">
        <f>IF(I211="","",IF(I211&lt;=$AP$1,"O","X"))</f>
        <v/>
      </c>
      <c r="AQ211" s="121">
        <f>IF(O211="","",IF(O211&lt;=$AQ$1,"O","X"))</f>
        <v/>
      </c>
      <c r="AR211" s="121">
        <f>IF(M211="","",IF(M211&lt;=$AR$1,"O","X"))</f>
        <v/>
      </c>
      <c r="AS211" s="121" t="inlineStr">
        <is>
          <t>X</t>
        </is>
      </c>
      <c r="AT211" s="121">
        <f>IF(OR(F211="",AI211=""),"",IF(AND((F211&lt;=85),(AI211&gt;=15)),"O","X"))</f>
        <v/>
      </c>
      <c r="AU211" s="121">
        <f>IF(C211="","",IF(C211&gt;=$AU$1,"O","X"))</f>
        <v/>
      </c>
      <c r="AV211" s="121">
        <f>IF(AO211="","",IF(AND(AO211="O",AP211="O",AR211="O",AT211="O",AU211="O"),"후보","X"))</f>
        <v/>
      </c>
    </row>
    <row r="212" ht="12" customFormat="1" customHeight="1" s="37">
      <c r="A212" s="124" t="inlineStr">
        <is>
          <t>풍호동 창원마린푸르지오2단지</t>
        </is>
      </c>
      <c r="B212" s="76" t="inlineStr">
        <is>
          <t>15.10.</t>
        </is>
      </c>
      <c r="C212" s="131" t="n">
        <v>310</v>
      </c>
      <c r="D212" s="132" t="n">
        <v>112.9</v>
      </c>
      <c r="E212" s="133" t="n">
        <v>34</v>
      </c>
      <c r="F212" s="132" t="n">
        <v>85</v>
      </c>
      <c r="G212" s="17" t="n">
        <v>26</v>
      </c>
      <c r="H212" s="134" t="n">
        <v>79</v>
      </c>
      <c r="I212" s="135" t="n">
        <v>44000</v>
      </c>
      <c r="J212" s="135" t="inlineStr">
        <is>
          <t>고</t>
        </is>
      </c>
      <c r="K212" s="135" t="n">
        <v>36000</v>
      </c>
      <c r="L212" s="135" t="inlineStr">
        <is>
          <t>8</t>
        </is>
      </c>
      <c r="M212" s="136">
        <f>I212-K212</f>
        <v/>
      </c>
      <c r="N212" s="4">
        <f>IF(ISERROR(K212/I212),"",K212/I212)</f>
        <v/>
      </c>
      <c r="O212" s="137">
        <f>I212/E212</f>
        <v/>
      </c>
      <c r="P212" s="137">
        <f>K212/E212</f>
        <v/>
      </c>
      <c r="Q212" s="121" t="n">
        <v>3</v>
      </c>
      <c r="R212" s="121" t="n">
        <v>2</v>
      </c>
      <c r="S212" s="121" t="inlineStr">
        <is>
          <t>계</t>
        </is>
      </c>
      <c r="T212" s="5" t="inlineStr">
        <is>
          <t>112C</t>
        </is>
      </c>
      <c r="U212" s="9" t="n"/>
      <c r="W212" s="132">
        <f>D212</f>
        <v/>
      </c>
      <c r="X212" s="133">
        <f>E212</f>
        <v/>
      </c>
      <c r="Y212" s="138">
        <f>H212</f>
        <v/>
      </c>
      <c r="Z212" s="136">
        <f>I212</f>
        <v/>
      </c>
      <c r="AA212" s="136">
        <f>K212</f>
        <v/>
      </c>
      <c r="AB212" s="136">
        <f>M212</f>
        <v/>
      </c>
      <c r="AC212" s="4">
        <f>N212</f>
        <v/>
      </c>
      <c r="AD212" s="137">
        <f>O212</f>
        <v/>
      </c>
      <c r="AE212" s="121">
        <f>S212</f>
        <v/>
      </c>
      <c r="AF212" s="121">
        <f>Q212&amp;"/"&amp;R212</f>
        <v/>
      </c>
      <c r="AH212" s="20">
        <f>IF(A212="","",A212)</f>
        <v/>
      </c>
      <c r="AI212" s="133">
        <f>IF(E212="","",E212)</f>
        <v/>
      </c>
      <c r="AJ212" s="121">
        <f>IF(AI212="","",$AJ$2)</f>
        <v/>
      </c>
      <c r="AK212" s="121" t="inlineStr">
        <is>
          <t>A</t>
        </is>
      </c>
      <c r="AL212" s="121" t="inlineStr">
        <is>
          <t>A+</t>
        </is>
      </c>
      <c r="AM212" s="121" t="inlineStr">
        <is>
          <t>B+</t>
        </is>
      </c>
      <c r="AN212" s="121">
        <f>IF(AI212="","",$AN$2)</f>
        <v/>
      </c>
      <c r="AO212" s="121">
        <f>IF(N212="","",IF(N212&gt;=$AO$1/100,"O","X"))</f>
        <v/>
      </c>
      <c r="AP212" s="121">
        <f>IF(I212="","",IF(I212&lt;=$AP$1,"O","X"))</f>
        <v/>
      </c>
      <c r="AQ212" s="121">
        <f>IF(O212="","",IF(O212&lt;=$AQ$1,"O","X"))</f>
        <v/>
      </c>
      <c r="AR212" s="121">
        <f>IF(M212="","",IF(M212&lt;=$AR$1,"O","X"))</f>
        <v/>
      </c>
      <c r="AS212" s="121" t="inlineStr">
        <is>
          <t>X</t>
        </is>
      </c>
      <c r="AT212" s="121">
        <f>IF(OR(F212="",AI212=""),"",IF(AND((F212&lt;=85),(AI212&gt;=15)),"O","X"))</f>
        <v/>
      </c>
      <c r="AU212" s="121">
        <f>IF(C212="","",IF(C212&gt;=$AU$1,"O","X"))</f>
        <v/>
      </c>
      <c r="AV212" s="121">
        <f>IF(AO212="","",IF(AND(AO212="O",AP212="O",AR212="O",AT212="O",AU212="O"),"후보","X"))</f>
        <v/>
      </c>
    </row>
    <row r="213" ht="12" customFormat="1" customHeight="1" s="37">
      <c r="A213" s="124" t="inlineStr">
        <is>
          <t>풍호동 창원마린푸르지오2단지</t>
        </is>
      </c>
      <c r="B213" s="76" t="inlineStr">
        <is>
          <t>15.10.</t>
        </is>
      </c>
      <c r="C213" s="131" t="n">
        <v>310</v>
      </c>
      <c r="D213" s="132" t="n">
        <v>112.9</v>
      </c>
      <c r="E213" s="133" t="n">
        <v>34</v>
      </c>
      <c r="F213" s="132" t="n">
        <v>85</v>
      </c>
      <c r="G213" s="17" t="n">
        <v>26</v>
      </c>
      <c r="H213" s="134" t="n">
        <v>78</v>
      </c>
      <c r="I213" s="135" t="n">
        <v>44000</v>
      </c>
      <c r="J213" s="135" t="inlineStr">
        <is>
          <t>고</t>
        </is>
      </c>
      <c r="K213" s="135" t="n">
        <v>36000</v>
      </c>
      <c r="L213" s="135" t="inlineStr">
        <is>
          <t>8</t>
        </is>
      </c>
      <c r="M213" s="136">
        <f>I213-K213</f>
        <v/>
      </c>
      <c r="N213" s="4">
        <f>IF(ISERROR(K213/I213),"",K213/I213)</f>
        <v/>
      </c>
      <c r="O213" s="137">
        <f>I213/E213</f>
        <v/>
      </c>
      <c r="P213" s="137">
        <f>K213/E213</f>
        <v/>
      </c>
      <c r="Q213" s="121" t="n">
        <v>3</v>
      </c>
      <c r="R213" s="121" t="n">
        <v>2</v>
      </c>
      <c r="S213" s="121" t="inlineStr">
        <is>
          <t>계</t>
        </is>
      </c>
      <c r="T213" s="5" t="inlineStr">
        <is>
          <t>112A</t>
        </is>
      </c>
      <c r="U213" s="9" t="n"/>
      <c r="W213" s="132">
        <f>D213</f>
        <v/>
      </c>
      <c r="X213" s="133">
        <f>E213</f>
        <v/>
      </c>
      <c r="Y213" s="138">
        <f>H213</f>
        <v/>
      </c>
      <c r="Z213" s="136">
        <f>I213</f>
        <v/>
      </c>
      <c r="AA213" s="136">
        <f>K213</f>
        <v/>
      </c>
      <c r="AB213" s="136">
        <f>M213</f>
        <v/>
      </c>
      <c r="AC213" s="4">
        <f>N213</f>
        <v/>
      </c>
      <c r="AD213" s="137">
        <f>O213</f>
        <v/>
      </c>
      <c r="AE213" s="121">
        <f>S213</f>
        <v/>
      </c>
      <c r="AF213" s="121">
        <f>Q213&amp;"/"&amp;R213</f>
        <v/>
      </c>
      <c r="AH213" s="20">
        <f>IF(A213="","",A213)</f>
        <v/>
      </c>
      <c r="AI213" s="133">
        <f>IF(E213="","",E213)</f>
        <v/>
      </c>
      <c r="AJ213" s="121">
        <f>IF(AI213="","",$AJ$2)</f>
        <v/>
      </c>
      <c r="AK213" s="121" t="inlineStr">
        <is>
          <t>A</t>
        </is>
      </c>
      <c r="AL213" s="121" t="inlineStr">
        <is>
          <t>A+</t>
        </is>
      </c>
      <c r="AM213" s="121" t="inlineStr">
        <is>
          <t>B+</t>
        </is>
      </c>
      <c r="AN213" s="121">
        <f>IF(AI213="","",$AN$2)</f>
        <v/>
      </c>
      <c r="AO213" s="121">
        <f>IF(N213="","",IF(N213&gt;=$AO$1/100,"O","X"))</f>
        <v/>
      </c>
      <c r="AP213" s="121">
        <f>IF(I213="","",IF(I213&lt;=$AP$1,"O","X"))</f>
        <v/>
      </c>
      <c r="AQ213" s="121">
        <f>IF(O213="","",IF(O213&lt;=$AQ$1,"O","X"))</f>
        <v/>
      </c>
      <c r="AR213" s="121">
        <f>IF(M213="","",IF(M213&lt;=$AR$1,"O","X"))</f>
        <v/>
      </c>
      <c r="AS213" s="121" t="inlineStr">
        <is>
          <t>X</t>
        </is>
      </c>
      <c r="AT213" s="121">
        <f>IF(OR(F213="",AI213=""),"",IF(AND((F213&lt;=85),(AI213&gt;=15)),"O","X"))</f>
        <v/>
      </c>
      <c r="AU213" s="121">
        <f>IF(C213="","",IF(C213&gt;=$AU$1,"O","X"))</f>
        <v/>
      </c>
      <c r="AV213" s="121">
        <f>IF(AO213="","",IF(AND(AO213="O",AP213="O",AR213="O",AT213="O",AU213="O"),"후보","X"))</f>
        <v/>
      </c>
    </row>
    <row r="214" ht="12" customFormat="1" customHeight="1" s="37">
      <c r="A214" s="124" t="inlineStr">
        <is>
          <t>풍호동 창원마린푸르지오2단지</t>
        </is>
      </c>
      <c r="B214" s="76" t="inlineStr">
        <is>
          <t>15.10.</t>
        </is>
      </c>
      <c r="C214" s="131" t="n">
        <v>310</v>
      </c>
      <c r="D214" s="132" t="n">
        <v>113.7</v>
      </c>
      <c r="E214" s="133" t="n">
        <v>34</v>
      </c>
      <c r="F214" s="132" t="n">
        <v>85</v>
      </c>
      <c r="G214" s="17" t="n">
        <v>26</v>
      </c>
      <c r="H214" s="134" t="n">
        <v>153</v>
      </c>
      <c r="I214" s="135" t="n">
        <v>44000</v>
      </c>
      <c r="J214" s="135" t="inlineStr">
        <is>
          <t>고</t>
        </is>
      </c>
      <c r="K214" s="135" t="n">
        <v>35000</v>
      </c>
      <c r="L214" s="135" t="inlineStr">
        <is>
          <t>중</t>
        </is>
      </c>
      <c r="M214" s="136">
        <f>I214-K214</f>
        <v/>
      </c>
      <c r="N214" s="4">
        <f>IF(ISERROR(K214/I214),"",K214/I214)</f>
        <v/>
      </c>
      <c r="O214" s="137">
        <f>I214/E214</f>
        <v/>
      </c>
      <c r="P214" s="137">
        <f>K214/E214</f>
        <v/>
      </c>
      <c r="Q214" s="121" t="n">
        <v>3</v>
      </c>
      <c r="R214" s="121" t="n">
        <v>2</v>
      </c>
      <c r="S214" s="121" t="inlineStr">
        <is>
          <t>계</t>
        </is>
      </c>
      <c r="T214" s="5" t="inlineStr">
        <is>
          <t>113B</t>
        </is>
      </c>
      <c r="U214" s="9" t="n"/>
      <c r="W214" s="132">
        <f>D214</f>
        <v/>
      </c>
      <c r="X214" s="133">
        <f>E214</f>
        <v/>
      </c>
      <c r="Y214" s="138">
        <f>H214</f>
        <v/>
      </c>
      <c r="Z214" s="136">
        <f>I214</f>
        <v/>
      </c>
      <c r="AA214" s="136">
        <f>K214</f>
        <v/>
      </c>
      <c r="AB214" s="136">
        <f>M214</f>
        <v/>
      </c>
      <c r="AC214" s="4">
        <f>N214</f>
        <v/>
      </c>
      <c r="AD214" s="137">
        <f>O214</f>
        <v/>
      </c>
      <c r="AE214" s="121">
        <f>S214</f>
        <v/>
      </c>
      <c r="AF214" s="121">
        <f>Q214&amp;"/"&amp;R214</f>
        <v/>
      </c>
      <c r="AH214" s="20">
        <f>IF(A214="","",A214)</f>
        <v/>
      </c>
      <c r="AI214" s="133">
        <f>IF(E214="","",E214)</f>
        <v/>
      </c>
      <c r="AJ214" s="121">
        <f>IF(AI214="","",$AJ$2)</f>
        <v/>
      </c>
      <c r="AK214" s="121" t="inlineStr">
        <is>
          <t>A</t>
        </is>
      </c>
      <c r="AL214" s="121" t="inlineStr">
        <is>
          <t>A+</t>
        </is>
      </c>
      <c r="AM214" s="121" t="inlineStr">
        <is>
          <t>B+</t>
        </is>
      </c>
      <c r="AN214" s="121">
        <f>IF(AI214="","",$AN$2)</f>
        <v/>
      </c>
      <c r="AO214" s="121">
        <f>IF(N214="","",IF(N214&gt;=$AO$1/100,"O","X"))</f>
        <v/>
      </c>
      <c r="AP214" s="121">
        <f>IF(I214="","",IF(I214&lt;=$AP$1,"O","X"))</f>
        <v/>
      </c>
      <c r="AQ214" s="121">
        <f>IF(O214="","",IF(O214&lt;=$AQ$1,"O","X"))</f>
        <v/>
      </c>
      <c r="AR214" s="121">
        <f>IF(M214="","",IF(M214&lt;=$AR$1,"O","X"))</f>
        <v/>
      </c>
      <c r="AS214" s="121" t="inlineStr">
        <is>
          <t>X</t>
        </is>
      </c>
      <c r="AT214" s="121">
        <f>IF(OR(F214="",AI214=""),"",IF(AND((F214&lt;=85),(AI214&gt;=15)),"O","X"))</f>
        <v/>
      </c>
      <c r="AU214" s="121">
        <f>IF(C214="","",IF(C214&gt;=$AU$1,"O","X"))</f>
        <v/>
      </c>
      <c r="AV214" s="121">
        <f>IF(AO214="","",IF(AND(AO214="O",AP214="O",AR214="O",AT214="O",AU214="O"),"후보","X"))</f>
        <v/>
      </c>
    </row>
    <row r="215" ht="12" customFormat="1" customHeight="1" s="37">
      <c r="A215" s="75" t="inlineStr">
        <is>
          <t>풍호동 주공</t>
        </is>
      </c>
      <c r="B215" s="76" t="inlineStr">
        <is>
          <t>90.08.</t>
        </is>
      </c>
      <c r="C215" s="131" t="n">
        <v>390</v>
      </c>
      <c r="D215" s="132" t="n">
        <v>49.5</v>
      </c>
      <c r="E215" s="133" t="n">
        <v>15</v>
      </c>
      <c r="F215" s="132" t="n">
        <v>39.3</v>
      </c>
      <c r="G215" s="17" t="n">
        <v>12</v>
      </c>
      <c r="H215" s="134" t="n">
        <v>150</v>
      </c>
      <c r="I215" s="135" t="n">
        <v>9500</v>
      </c>
      <c r="J215" s="135" t="inlineStr">
        <is>
          <t>고</t>
        </is>
      </c>
      <c r="K215" s="135" t="n">
        <v>6800</v>
      </c>
      <c r="L215" s="135" t="inlineStr">
        <is>
          <t>5</t>
        </is>
      </c>
      <c r="M215" s="136">
        <f>I215-K215</f>
        <v/>
      </c>
      <c r="N215" s="4">
        <f>IF(ISERROR(K215/I215),"",K215/I215)</f>
        <v/>
      </c>
      <c r="O215" s="137">
        <f>I215/E215</f>
        <v/>
      </c>
      <c r="P215" s="137">
        <f>K215/E215</f>
        <v/>
      </c>
      <c r="Q215" s="121" t="n">
        <v>2</v>
      </c>
      <c r="R215" s="121" t="n">
        <v>1</v>
      </c>
      <c r="S215" s="121" t="inlineStr">
        <is>
          <t>계</t>
        </is>
      </c>
      <c r="T215" s="5" t="n">
        <v>49</v>
      </c>
      <c r="U215" s="9" t="n"/>
      <c r="W215" s="132">
        <f>D215</f>
        <v/>
      </c>
      <c r="X215" s="133">
        <f>E215</f>
        <v/>
      </c>
      <c r="Y215" s="138">
        <f>H215</f>
        <v/>
      </c>
      <c r="Z215" s="136">
        <f>I215</f>
        <v/>
      </c>
      <c r="AA215" s="136">
        <f>K215</f>
        <v/>
      </c>
      <c r="AB215" s="136">
        <f>M215</f>
        <v/>
      </c>
      <c r="AC215" s="4">
        <f>N215</f>
        <v/>
      </c>
      <c r="AD215" s="137">
        <f>O215</f>
        <v/>
      </c>
      <c r="AE215" s="121">
        <f>S215</f>
        <v/>
      </c>
      <c r="AF215" s="121">
        <f>Q215&amp;"/"&amp;R215</f>
        <v/>
      </c>
      <c r="AH215" s="20">
        <f>IF(A215="","",A215)</f>
        <v/>
      </c>
      <c r="AI215" s="133">
        <f>IF(E215="","",E215)</f>
        <v/>
      </c>
      <c r="AJ215" s="121">
        <f>IF(AI215="","",$AJ$2)</f>
        <v/>
      </c>
      <c r="AK215" s="121" t="inlineStr">
        <is>
          <t>A</t>
        </is>
      </c>
      <c r="AL215" s="121" t="inlineStr">
        <is>
          <t>A+</t>
        </is>
      </c>
      <c r="AM215" s="121" t="inlineStr">
        <is>
          <t>B+</t>
        </is>
      </c>
      <c r="AN215" s="121">
        <f>IF(AI215="","",$AN$2)</f>
        <v/>
      </c>
      <c r="AO215" s="121">
        <f>IF(N215="","",IF(N215&gt;=$AO$1/100,"O","X"))</f>
        <v/>
      </c>
      <c r="AP215" s="121">
        <f>IF(I215="","",IF(I215&lt;=$AP$1,"O","X"))</f>
        <v/>
      </c>
      <c r="AQ215" s="121">
        <f>IF(O215="","",IF(O215&lt;=$AQ$1,"O","X"))</f>
        <v/>
      </c>
      <c r="AR215" s="121">
        <f>IF(M215="","",IF(M215&lt;=$AR$1,"O","X"))</f>
        <v/>
      </c>
      <c r="AS215" s="121" t="inlineStr">
        <is>
          <t>X</t>
        </is>
      </c>
      <c r="AT215" s="121">
        <f>IF(OR(F215="",AI215=""),"",IF(AND((F215&lt;=85),(AI215&gt;=15)),"O","X"))</f>
        <v/>
      </c>
      <c r="AU215" s="121">
        <f>IF(C215="","",IF(C215&gt;=$AU$1,"O","X"))</f>
        <v/>
      </c>
      <c r="AV215" s="121">
        <f>IF(AO215="","",IF(AND(AO215="O",AP215="O",AR215="O",AT215="O",AU215="O"),"후보","X"))</f>
        <v/>
      </c>
    </row>
    <row r="216" ht="12" customFormat="1" customHeight="1" s="37">
      <c r="A216" s="75" t="inlineStr">
        <is>
          <t>풍호동 주공</t>
        </is>
      </c>
      <c r="B216" s="76" t="inlineStr">
        <is>
          <t>90.08.</t>
        </is>
      </c>
      <c r="C216" s="131" t="n">
        <v>390</v>
      </c>
      <c r="D216" s="132" t="n">
        <v>49.9</v>
      </c>
      <c r="E216" s="133" t="n">
        <v>15</v>
      </c>
      <c r="F216" s="132" t="n">
        <v>39.7</v>
      </c>
      <c r="G216" s="17" t="n">
        <v>12</v>
      </c>
      <c r="H216" s="134" t="n">
        <v>120</v>
      </c>
      <c r="I216" s="135" t="n">
        <v>9500</v>
      </c>
      <c r="J216" s="135" t="inlineStr">
        <is>
          <t>고</t>
        </is>
      </c>
      <c r="K216" s="135" t="n">
        <v>7000</v>
      </c>
      <c r="L216" s="135" t="inlineStr">
        <is>
          <t>고</t>
        </is>
      </c>
      <c r="M216" s="136">
        <f>I216-K216</f>
        <v/>
      </c>
      <c r="N216" s="4">
        <f>IF(ISERROR(K216/I216),"",K216/I216)</f>
        <v/>
      </c>
      <c r="O216" s="137">
        <f>I216/E216</f>
        <v/>
      </c>
      <c r="P216" s="137">
        <f>K216/E216</f>
        <v/>
      </c>
      <c r="Q216" s="121" t="n">
        <v>2</v>
      </c>
      <c r="R216" s="121" t="n">
        <v>1</v>
      </c>
      <c r="S216" s="121" t="inlineStr">
        <is>
          <t>계</t>
        </is>
      </c>
      <c r="T216" s="5" t="inlineStr">
        <is>
          <t>49S</t>
        </is>
      </c>
      <c r="U216" s="9" t="n"/>
      <c r="W216" s="132">
        <f>D216</f>
        <v/>
      </c>
      <c r="X216" s="133">
        <f>E216</f>
        <v/>
      </c>
      <c r="Y216" s="138">
        <f>H216</f>
        <v/>
      </c>
      <c r="Z216" s="136">
        <f>I216</f>
        <v/>
      </c>
      <c r="AA216" s="136">
        <f>K216</f>
        <v/>
      </c>
      <c r="AB216" s="136">
        <f>M216</f>
        <v/>
      </c>
      <c r="AC216" s="4">
        <f>N216</f>
        <v/>
      </c>
      <c r="AD216" s="137">
        <f>O216</f>
        <v/>
      </c>
      <c r="AE216" s="121">
        <f>S216</f>
        <v/>
      </c>
      <c r="AF216" s="121">
        <f>Q216&amp;"/"&amp;R216</f>
        <v/>
      </c>
      <c r="AH216" s="20">
        <f>IF(A216="","",A216)</f>
        <v/>
      </c>
      <c r="AI216" s="133">
        <f>IF(E216="","",E216)</f>
        <v/>
      </c>
      <c r="AJ216" s="121">
        <f>IF(AI216="","",$AJ$2)</f>
        <v/>
      </c>
      <c r="AK216" s="121" t="inlineStr">
        <is>
          <t>A</t>
        </is>
      </c>
      <c r="AL216" s="121" t="inlineStr">
        <is>
          <t>A+</t>
        </is>
      </c>
      <c r="AM216" s="121" t="inlineStr">
        <is>
          <t>B+</t>
        </is>
      </c>
      <c r="AN216" s="121">
        <f>IF(AI216="","",$AN$2)</f>
        <v/>
      </c>
      <c r="AO216" s="121">
        <f>IF(N216="","",IF(N216&gt;=$AO$1/100,"O","X"))</f>
        <v/>
      </c>
      <c r="AP216" s="121">
        <f>IF(I216="","",IF(I216&lt;=$AP$1,"O","X"))</f>
        <v/>
      </c>
      <c r="AQ216" s="121">
        <f>IF(O216="","",IF(O216&lt;=$AQ$1,"O","X"))</f>
        <v/>
      </c>
      <c r="AR216" s="121">
        <f>IF(M216="","",IF(M216&lt;=$AR$1,"O","X"))</f>
        <v/>
      </c>
      <c r="AS216" s="121" t="inlineStr">
        <is>
          <t>X</t>
        </is>
      </c>
      <c r="AT216" s="121">
        <f>IF(OR(F216="",AI216=""),"",IF(AND((F216&lt;=85),(AI216&gt;=15)),"O","X"))</f>
        <v/>
      </c>
      <c r="AU216" s="121">
        <f>IF(C216="","",IF(C216&gt;=$AU$1,"O","X"))</f>
        <v/>
      </c>
      <c r="AV216" s="121">
        <f>IF(AO216="","",IF(AND(AO216="O",AP216="O",AR216="O",AT216="O",AU216="O"),"후보","X"))</f>
        <v/>
      </c>
    </row>
    <row r="217" ht="12" customFormat="1" customHeight="1" s="37">
      <c r="A217" s="75" t="inlineStr">
        <is>
          <t>풍호동 주공</t>
        </is>
      </c>
      <c r="B217" s="76" t="inlineStr">
        <is>
          <t>90.08.</t>
        </is>
      </c>
      <c r="C217" s="131" t="n">
        <v>390</v>
      </c>
      <c r="D217" s="132" t="n">
        <v>57.6</v>
      </c>
      <c r="E217" s="133" t="n">
        <v>17</v>
      </c>
      <c r="F217" s="132" t="n">
        <v>46.7</v>
      </c>
      <c r="G217" s="17" t="n">
        <v>14</v>
      </c>
      <c r="H217" s="134" t="n">
        <v>60</v>
      </c>
      <c r="I217" s="135" t="n"/>
      <c r="J217" s="135" t="n"/>
      <c r="K217" s="135" t="n"/>
      <c r="L217" s="135" t="n"/>
      <c r="M217" s="136">
        <f>I217-K217</f>
        <v/>
      </c>
      <c r="N217" s="4">
        <f>IF(ISERROR(K217/I217),"",K217/I217)</f>
        <v/>
      </c>
      <c r="O217" s="137">
        <f>I217/E217</f>
        <v/>
      </c>
      <c r="P217" s="137">
        <f>K217/E217</f>
        <v/>
      </c>
      <c r="Q217" s="121" t="n">
        <v>2</v>
      </c>
      <c r="R217" s="121" t="n">
        <v>1</v>
      </c>
      <c r="S217" s="121" t="inlineStr">
        <is>
          <t>계</t>
        </is>
      </c>
      <c r="T217" s="5" t="n">
        <v>57</v>
      </c>
      <c r="U217" s="9" t="n"/>
      <c r="W217" s="132">
        <f>D217</f>
        <v/>
      </c>
      <c r="X217" s="133">
        <f>E217</f>
        <v/>
      </c>
      <c r="Y217" s="138">
        <f>H217</f>
        <v/>
      </c>
      <c r="Z217" s="136">
        <f>I217</f>
        <v/>
      </c>
      <c r="AA217" s="136">
        <f>K217</f>
        <v/>
      </c>
      <c r="AB217" s="136">
        <f>M217</f>
        <v/>
      </c>
      <c r="AC217" s="4">
        <f>N217</f>
        <v/>
      </c>
      <c r="AD217" s="137">
        <f>O217</f>
        <v/>
      </c>
      <c r="AE217" s="121">
        <f>S217</f>
        <v/>
      </c>
      <c r="AF217" s="121">
        <f>Q217&amp;"/"&amp;R217</f>
        <v/>
      </c>
      <c r="AH217" s="20">
        <f>IF(A217="","",A217)</f>
        <v/>
      </c>
      <c r="AI217" s="133">
        <f>IF(E217="","",E217)</f>
        <v/>
      </c>
      <c r="AJ217" s="121">
        <f>IF(AI217="","",$AJ$2)</f>
        <v/>
      </c>
      <c r="AK217" s="121" t="inlineStr">
        <is>
          <t>A</t>
        </is>
      </c>
      <c r="AL217" s="121" t="inlineStr">
        <is>
          <t>A+</t>
        </is>
      </c>
      <c r="AM217" s="121" t="inlineStr">
        <is>
          <t>B+</t>
        </is>
      </c>
      <c r="AN217" s="121">
        <f>IF(AI217="","",$AN$2)</f>
        <v/>
      </c>
      <c r="AO217" s="121">
        <f>IF(N217="","",IF(N217&gt;=$AO$1/100,"O","X"))</f>
        <v/>
      </c>
      <c r="AP217" s="121">
        <f>IF(I217="","",IF(I217&lt;=$AP$1,"O","X"))</f>
        <v/>
      </c>
      <c r="AQ217" s="121">
        <f>IF(O217="","",IF(O217&lt;=$AQ$1,"O","X"))</f>
        <v/>
      </c>
      <c r="AR217" s="121">
        <f>IF(M217="","",IF(M217&lt;=$AR$1,"O","X"))</f>
        <v/>
      </c>
      <c r="AS217" s="121" t="inlineStr">
        <is>
          <t>X</t>
        </is>
      </c>
      <c r="AT217" s="121">
        <f>IF(OR(F217="",AI217=""),"",IF(AND((F217&lt;=85),(AI217&gt;=15)),"O","X"))</f>
        <v/>
      </c>
      <c r="AU217" s="121">
        <f>IF(C217="","",IF(C217&gt;=$AU$1,"O","X"))</f>
        <v/>
      </c>
      <c r="AV217" s="121">
        <f>IF(AO217="","",IF(AND(AO217="O",AP217="O",AR217="O",AT217="O",AU217="O"),"후보","X"))</f>
        <v/>
      </c>
    </row>
    <row r="218" ht="12" customFormat="1" customHeight="1" s="37">
      <c r="A218" s="75" t="inlineStr">
        <is>
          <t>풍호동 주공</t>
        </is>
      </c>
      <c r="B218" s="76" t="inlineStr">
        <is>
          <t>90.08.</t>
        </is>
      </c>
      <c r="C218" s="131" t="n">
        <v>390</v>
      </c>
      <c r="D218" s="132" t="n">
        <v>57.9</v>
      </c>
      <c r="E218" s="133" t="n">
        <v>18</v>
      </c>
      <c r="F218" s="132" t="n">
        <v>47</v>
      </c>
      <c r="G218" s="17" t="n">
        <v>14</v>
      </c>
      <c r="H218" s="134" t="n">
        <v>60</v>
      </c>
      <c r="I218" s="135" t="n">
        <v>12500</v>
      </c>
      <c r="J218" s="135" t="inlineStr">
        <is>
          <t>중</t>
        </is>
      </c>
      <c r="K218" s="135" t="n">
        <v>7400</v>
      </c>
      <c r="L218" s="135" t="inlineStr">
        <is>
          <t>5</t>
        </is>
      </c>
      <c r="M218" s="136">
        <f>I218-K218</f>
        <v/>
      </c>
      <c r="N218" s="4">
        <f>IF(ISERROR(K218/I218),"",K218/I218)</f>
        <v/>
      </c>
      <c r="O218" s="137">
        <f>I218/E218</f>
        <v/>
      </c>
      <c r="P218" s="137">
        <f>K218/E218</f>
        <v/>
      </c>
      <c r="Q218" s="121" t="n">
        <v>2</v>
      </c>
      <c r="R218" s="121" t="n">
        <v>1</v>
      </c>
      <c r="S218" s="121" t="inlineStr">
        <is>
          <t>계</t>
        </is>
      </c>
      <c r="T218" s="5" t="inlineStr">
        <is>
          <t>57S</t>
        </is>
      </c>
      <c r="U218" s="9" t="n"/>
      <c r="W218" s="132">
        <f>D218</f>
        <v/>
      </c>
      <c r="X218" s="133">
        <f>E218</f>
        <v/>
      </c>
      <c r="Y218" s="138">
        <f>H218</f>
        <v/>
      </c>
      <c r="Z218" s="136">
        <f>I218</f>
        <v/>
      </c>
      <c r="AA218" s="136">
        <f>K218</f>
        <v/>
      </c>
      <c r="AB218" s="136">
        <f>M218</f>
        <v/>
      </c>
      <c r="AC218" s="4">
        <f>N218</f>
        <v/>
      </c>
      <c r="AD218" s="137">
        <f>O218</f>
        <v/>
      </c>
      <c r="AE218" s="121">
        <f>S218</f>
        <v/>
      </c>
      <c r="AF218" s="121">
        <f>Q218&amp;"/"&amp;R218</f>
        <v/>
      </c>
      <c r="AH218" s="20">
        <f>IF(A218="","",A218)</f>
        <v/>
      </c>
      <c r="AI218" s="133">
        <f>IF(E218="","",E218)</f>
        <v/>
      </c>
      <c r="AJ218" s="121">
        <f>IF(AI218="","",$AJ$2)</f>
        <v/>
      </c>
      <c r="AK218" s="121" t="inlineStr">
        <is>
          <t>A</t>
        </is>
      </c>
      <c r="AL218" s="121" t="inlineStr">
        <is>
          <t>A+</t>
        </is>
      </c>
      <c r="AM218" s="121" t="inlineStr">
        <is>
          <t>B+</t>
        </is>
      </c>
      <c r="AN218" s="121">
        <f>IF(AI218="","",$AN$2)</f>
        <v/>
      </c>
      <c r="AO218" s="121">
        <f>IF(N218="","",IF(N218&gt;=$AO$1/100,"O","X"))</f>
        <v/>
      </c>
      <c r="AP218" s="121">
        <f>IF(I218="","",IF(I218&lt;=$AP$1,"O","X"))</f>
        <v/>
      </c>
      <c r="AQ218" s="121">
        <f>IF(O218="","",IF(O218&lt;=$AQ$1,"O","X"))</f>
        <v/>
      </c>
      <c r="AR218" s="121">
        <f>IF(M218="","",IF(M218&lt;=$AR$1,"O","X"))</f>
        <v/>
      </c>
      <c r="AS218" s="121" t="inlineStr">
        <is>
          <t>X</t>
        </is>
      </c>
      <c r="AT218" s="121">
        <f>IF(OR(F218="",AI218=""),"",IF(AND((F218&lt;=85),(AI218&gt;=15)),"O","X"))</f>
        <v/>
      </c>
      <c r="AU218" s="121">
        <f>IF(C218="","",IF(C218&gt;=$AU$1,"O","X"))</f>
        <v/>
      </c>
      <c r="AV218" s="121">
        <f>IF(AO218="","",IF(AND(AO218="O",AP218="O",AR218="O",AT218="O",AU218="O"),"후보","X"))</f>
        <v/>
      </c>
    </row>
    <row r="219" ht="12" customFormat="1" customHeight="1" s="37">
      <c r="A219" s="75" t="inlineStr">
        <is>
          <t>풍호동 풍호한림리츠빌</t>
        </is>
      </c>
      <c r="B219" s="76" t="inlineStr">
        <is>
          <t>05.06.</t>
        </is>
      </c>
      <c r="C219" s="131" t="n">
        <v>620</v>
      </c>
      <c r="D219" s="132" t="n">
        <v>114.8</v>
      </c>
      <c r="E219" s="133" t="n">
        <v>35</v>
      </c>
      <c r="F219" s="132" t="n">
        <v>85</v>
      </c>
      <c r="G219" s="17" t="n">
        <v>26</v>
      </c>
      <c r="H219" s="134" t="n">
        <v>384</v>
      </c>
      <c r="I219" s="135" t="n">
        <v>30000</v>
      </c>
      <c r="J219" s="135" t="inlineStr">
        <is>
          <t>중</t>
        </is>
      </c>
      <c r="K219" s="135" t="n">
        <v>27000</v>
      </c>
      <c r="L219" s="135" t="inlineStr">
        <is>
          <t>중</t>
        </is>
      </c>
      <c r="M219" s="136">
        <f>I219-K219</f>
        <v/>
      </c>
      <c r="N219" s="4">
        <f>IF(ISERROR(K219/I219),"",K219/I219)</f>
        <v/>
      </c>
      <c r="O219" s="137">
        <f>I219/E219</f>
        <v/>
      </c>
      <c r="P219" s="137">
        <f>K219/E219</f>
        <v/>
      </c>
      <c r="Q219" s="121" t="n">
        <v>3</v>
      </c>
      <c r="R219" s="121" t="n">
        <v>2</v>
      </c>
      <c r="S219" s="121" t="inlineStr">
        <is>
          <t>계</t>
        </is>
      </c>
      <c r="T219" s="5" t="n">
        <v>114</v>
      </c>
      <c r="U219" s="9" t="n"/>
      <c r="W219" s="132">
        <f>D219</f>
        <v/>
      </c>
      <c r="X219" s="133">
        <f>E219</f>
        <v/>
      </c>
      <c r="Y219" s="138">
        <f>H219</f>
        <v/>
      </c>
      <c r="Z219" s="136">
        <f>I219</f>
        <v/>
      </c>
      <c r="AA219" s="136">
        <f>K219</f>
        <v/>
      </c>
      <c r="AB219" s="136">
        <f>M219</f>
        <v/>
      </c>
      <c r="AC219" s="4">
        <f>N219</f>
        <v/>
      </c>
      <c r="AD219" s="137">
        <f>O219</f>
        <v/>
      </c>
      <c r="AE219" s="121">
        <f>S219</f>
        <v/>
      </c>
      <c r="AF219" s="121">
        <f>Q219&amp;"/"&amp;R219</f>
        <v/>
      </c>
      <c r="AH219" s="20">
        <f>IF(A219="","",A219)</f>
        <v/>
      </c>
      <c r="AI219" s="133">
        <f>IF(E219="","",E219)</f>
        <v/>
      </c>
      <c r="AJ219" s="121">
        <f>IF(AI219="","",$AJ$2)</f>
        <v/>
      </c>
      <c r="AK219" s="121" t="inlineStr">
        <is>
          <t>A</t>
        </is>
      </c>
      <c r="AL219" s="121" t="inlineStr">
        <is>
          <t>A+</t>
        </is>
      </c>
      <c r="AM219" s="121" t="inlineStr">
        <is>
          <t>B+</t>
        </is>
      </c>
      <c r="AN219" s="121">
        <f>IF(AI219="","",$AN$2)</f>
        <v/>
      </c>
      <c r="AO219" s="121">
        <f>IF(N219="","",IF(N219&gt;=$AO$1/100,"O","X"))</f>
        <v/>
      </c>
      <c r="AP219" s="121">
        <f>IF(I219="","",IF(I219&lt;=$AP$1,"O","X"))</f>
        <v/>
      </c>
      <c r="AQ219" s="121">
        <f>IF(O219="","",IF(O219&lt;=$AQ$1,"O","X"))</f>
        <v/>
      </c>
      <c r="AR219" s="121">
        <f>IF(M219="","",IF(M219&lt;=$AR$1,"O","X"))</f>
        <v/>
      </c>
      <c r="AS219" s="121" t="inlineStr">
        <is>
          <t>X</t>
        </is>
      </c>
      <c r="AT219" s="121">
        <f>IF(OR(F219="",AI219=""),"",IF(AND((F219&lt;=85),(AI219&gt;=15)),"O","X"))</f>
        <v/>
      </c>
      <c r="AU219" s="121">
        <f>IF(C219="","",IF(C219&gt;=$AU$1,"O","X"))</f>
        <v/>
      </c>
      <c r="AV219" s="121">
        <f>IF(AO219="","",IF(AND(AO219="O",AP219="O",AR219="O",AT219="O",AU219="O"),"후보","X"))</f>
        <v/>
      </c>
    </row>
    <row r="220" ht="12" customFormat="1" customHeight="1" s="37">
      <c r="A220" s="75" t="inlineStr">
        <is>
          <t>풍호동 풍호한림리츠빌</t>
        </is>
      </c>
      <c r="B220" s="76" t="inlineStr">
        <is>
          <t>05.06.</t>
        </is>
      </c>
      <c r="C220" s="131" t="n">
        <v>620</v>
      </c>
      <c r="D220" s="132" t="n">
        <v>159.8</v>
      </c>
      <c r="E220" s="133" t="n">
        <v>48</v>
      </c>
      <c r="F220" s="132" t="n">
        <v>131.6</v>
      </c>
      <c r="G220" s="17" t="n">
        <v>40</v>
      </c>
      <c r="H220" s="134" t="n">
        <v>180</v>
      </c>
      <c r="I220" s="135" t="n">
        <v>40000</v>
      </c>
      <c r="J220" s="135" t="inlineStr">
        <is>
          <t>중</t>
        </is>
      </c>
      <c r="K220" s="135" t="n"/>
      <c r="L220" s="135" t="n"/>
      <c r="M220" s="136">
        <f>I220-K220</f>
        <v/>
      </c>
      <c r="N220" s="4">
        <f>IF(ISERROR(K220/I220),"",K220/I220)</f>
        <v/>
      </c>
      <c r="O220" s="137">
        <f>I220/E220</f>
        <v/>
      </c>
      <c r="P220" s="137">
        <f>K220/E220</f>
        <v/>
      </c>
      <c r="Q220" s="121" t="n">
        <v>4</v>
      </c>
      <c r="R220" s="121" t="n">
        <v>2</v>
      </c>
      <c r="S220" s="121" t="inlineStr">
        <is>
          <t>계</t>
        </is>
      </c>
      <c r="T220" s="5" t="n">
        <v>159</v>
      </c>
      <c r="U220" s="9" t="n"/>
      <c r="W220" s="132">
        <f>D220</f>
        <v/>
      </c>
      <c r="X220" s="133">
        <f>E220</f>
        <v/>
      </c>
      <c r="Y220" s="138">
        <f>H220</f>
        <v/>
      </c>
      <c r="Z220" s="136">
        <f>I220</f>
        <v/>
      </c>
      <c r="AA220" s="136">
        <f>K220</f>
        <v/>
      </c>
      <c r="AB220" s="136">
        <f>M220</f>
        <v/>
      </c>
      <c r="AC220" s="4">
        <f>N220</f>
        <v/>
      </c>
      <c r="AD220" s="137">
        <f>O220</f>
        <v/>
      </c>
      <c r="AE220" s="121">
        <f>S220</f>
        <v/>
      </c>
      <c r="AF220" s="121">
        <f>Q220&amp;"/"&amp;R220</f>
        <v/>
      </c>
      <c r="AH220" s="20">
        <f>IF(A220="","",A220)</f>
        <v/>
      </c>
      <c r="AI220" s="133">
        <f>IF(E220="","",E220)</f>
        <v/>
      </c>
      <c r="AJ220" s="121">
        <f>IF(AI220="","",$AJ$2)</f>
        <v/>
      </c>
      <c r="AK220" s="121" t="inlineStr">
        <is>
          <t>A</t>
        </is>
      </c>
      <c r="AL220" s="121" t="inlineStr">
        <is>
          <t>A+</t>
        </is>
      </c>
      <c r="AM220" s="121" t="inlineStr">
        <is>
          <t>B+</t>
        </is>
      </c>
      <c r="AN220" s="121">
        <f>IF(AI220="","",$AN$2)</f>
        <v/>
      </c>
      <c r="AO220" s="121">
        <f>IF(N220="","",IF(N220&gt;=$AO$1/100,"O","X"))</f>
        <v/>
      </c>
      <c r="AP220" s="121">
        <f>IF(I220="","",IF(I220&lt;=$AP$1,"O","X"))</f>
        <v/>
      </c>
      <c r="AQ220" s="121">
        <f>IF(O220="","",IF(O220&lt;=$AQ$1,"O","X"))</f>
        <v/>
      </c>
      <c r="AR220" s="121">
        <f>IF(M220="","",IF(M220&lt;=$AR$1,"O","X"))</f>
        <v/>
      </c>
      <c r="AS220" s="121" t="inlineStr">
        <is>
          <t>X</t>
        </is>
      </c>
      <c r="AT220" s="121">
        <f>IF(OR(F220="",AI220=""),"",IF(AND((F220&lt;=85),(AI220&gt;=15)),"O","X"))</f>
        <v/>
      </c>
      <c r="AU220" s="121">
        <f>IF(C220="","",IF(C220&gt;=$AU$1,"O","X"))</f>
        <v/>
      </c>
      <c r="AV220" s="121">
        <f>IF(AO220="","",IF(AND(AO220="O",AP220="O",AR220="O",AT220="O",AU220="O"),"후보","X"))</f>
        <v/>
      </c>
    </row>
    <row r="221" ht="12" customFormat="1" customHeight="1" s="37">
      <c r="A221" s="75" t="inlineStr">
        <is>
          <t>풍호동 풍호한림리츠빌</t>
        </is>
      </c>
      <c r="B221" s="76" t="inlineStr">
        <is>
          <t>05.06.</t>
        </is>
      </c>
      <c r="C221" s="131" t="n">
        <v>620</v>
      </c>
      <c r="D221" s="132" t="n">
        <v>219.5</v>
      </c>
      <c r="E221" s="133" t="n">
        <v>66</v>
      </c>
      <c r="F221" s="132" t="n">
        <v>189.6</v>
      </c>
      <c r="G221" s="17" t="n">
        <v>57</v>
      </c>
      <c r="H221" s="134" t="n">
        <v>56</v>
      </c>
      <c r="I221" s="135" t="n">
        <v>47000</v>
      </c>
      <c r="J221" s="135" t="inlineStr">
        <is>
          <t>중</t>
        </is>
      </c>
      <c r="K221" s="135" t="n"/>
      <c r="L221" s="135" t="n"/>
      <c r="M221" s="136">
        <f>I221-K221</f>
        <v/>
      </c>
      <c r="N221" s="4">
        <f>IF(ISERROR(K221/I221),"",K221/I221)</f>
        <v/>
      </c>
      <c r="O221" s="137">
        <f>I221/E221</f>
        <v/>
      </c>
      <c r="P221" s="137">
        <f>K221/E221</f>
        <v/>
      </c>
      <c r="Q221" s="121" t="n">
        <v>5</v>
      </c>
      <c r="R221" s="121" t="n">
        <v>2</v>
      </c>
      <c r="S221" s="121" t="inlineStr">
        <is>
          <t>계</t>
        </is>
      </c>
      <c r="T221" s="5" t="n">
        <v>219</v>
      </c>
      <c r="U221" s="9" t="n"/>
      <c r="W221" s="132">
        <f>D221</f>
        <v/>
      </c>
      <c r="X221" s="133">
        <f>E221</f>
        <v/>
      </c>
      <c r="Y221" s="138">
        <f>H221</f>
        <v/>
      </c>
      <c r="Z221" s="136">
        <f>I221</f>
        <v/>
      </c>
      <c r="AA221" s="136">
        <f>K221</f>
        <v/>
      </c>
      <c r="AB221" s="136">
        <f>M221</f>
        <v/>
      </c>
      <c r="AC221" s="4">
        <f>N221</f>
        <v/>
      </c>
      <c r="AD221" s="137">
        <f>O221</f>
        <v/>
      </c>
      <c r="AE221" s="121">
        <f>S221</f>
        <v/>
      </c>
      <c r="AF221" s="121">
        <f>Q221&amp;"/"&amp;R221</f>
        <v/>
      </c>
      <c r="AH221" s="20">
        <f>IF(A221="","",A221)</f>
        <v/>
      </c>
      <c r="AI221" s="133">
        <f>IF(E221="","",E221)</f>
        <v/>
      </c>
      <c r="AJ221" s="121">
        <f>IF(AI221="","",$AJ$2)</f>
        <v/>
      </c>
      <c r="AK221" s="121" t="inlineStr">
        <is>
          <t>A</t>
        </is>
      </c>
      <c r="AL221" s="121" t="inlineStr">
        <is>
          <t>A+</t>
        </is>
      </c>
      <c r="AM221" s="121" t="inlineStr">
        <is>
          <t>B+</t>
        </is>
      </c>
      <c r="AN221" s="121">
        <f>IF(AI221="","",$AN$2)</f>
        <v/>
      </c>
      <c r="AO221" s="121">
        <f>IF(N221="","",IF(N221&gt;=$AO$1/100,"O","X"))</f>
        <v/>
      </c>
      <c r="AP221" s="121">
        <f>IF(I221="","",IF(I221&lt;=$AP$1,"O","X"))</f>
        <v/>
      </c>
      <c r="AQ221" s="121">
        <f>IF(O221="","",IF(O221&lt;=$AQ$1,"O","X"))</f>
        <v/>
      </c>
      <c r="AR221" s="121">
        <f>IF(M221="","",IF(M221&lt;=$AR$1,"O","X"))</f>
        <v/>
      </c>
      <c r="AS221" s="121" t="inlineStr">
        <is>
          <t>X</t>
        </is>
      </c>
      <c r="AT221" s="121">
        <f>IF(OR(F221="",AI221=""),"",IF(AND((F221&lt;=85),(AI221&gt;=15)),"O","X"))</f>
        <v/>
      </c>
      <c r="AU221" s="121">
        <f>IF(C221="","",IF(C221&gt;=$AU$1,"O","X"))</f>
        <v/>
      </c>
      <c r="AV221" s="121">
        <f>IF(AO221="","",IF(AND(AO221="O",AP221="O",AR221="O",AT221="O",AU221="O"),"후보","X"))</f>
        <v/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9" t="n">
        <v>1990</v>
      </c>
      <c r="AY222" s="139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9" t="n">
        <v>1994</v>
      </c>
      <c r="AY223" s="139" t="n">
        <v>1</v>
      </c>
      <c r="AZ223" s="139" t="n"/>
      <c r="BA223" s="121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9" t="n">
        <v>1994</v>
      </c>
      <c r="AY224" s="139" t="n">
        <v>1</v>
      </c>
      <c r="AZ224" s="139" t="n"/>
      <c r="BA224" s="121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9" t="n">
        <v>1995</v>
      </c>
      <c r="AY225" s="139" t="n">
        <v>3</v>
      </c>
      <c r="AZ225" s="139" t="n"/>
      <c r="BA225" s="121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9" t="n">
        <v>1995</v>
      </c>
      <c r="AY226" s="139" t="n">
        <v>3</v>
      </c>
      <c r="AZ226" s="139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9" t="n">
        <v>1995</v>
      </c>
      <c r="AY227" s="139" t="n">
        <v>3</v>
      </c>
      <c r="AZ227" s="139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9" t="n">
        <v>1994</v>
      </c>
      <c r="AY228" s="139" t="n">
        <v>9</v>
      </c>
      <c r="BA228" s="121" t="inlineStr">
        <is>
          <t>30평대</t>
        </is>
      </c>
      <c r="BB228" s="141" t="e">
        <v>#DIV/0!</v>
      </c>
      <c r="BC228" s="141" t="e">
        <v>#DIV/0!</v>
      </c>
      <c r="BD228" s="141" t="e">
        <v>#DIV/0!</v>
      </c>
      <c r="BE228" s="141" t="e">
        <v>#DIV/0!</v>
      </c>
      <c r="BF228" s="141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9" t="n">
        <v>1993</v>
      </c>
      <c r="AY229" s="139" t="n">
        <v>11</v>
      </c>
      <c r="BA229" s="121" t="inlineStr">
        <is>
          <t>합계</t>
        </is>
      </c>
      <c r="BB229" s="141" t="e">
        <v>#DIV/0!</v>
      </c>
      <c r="BC229" s="141" t="e">
        <v>#DIV/0!</v>
      </c>
      <c r="BD229" s="141" t="e">
        <v>#DIV/0!</v>
      </c>
      <c r="BE229" s="141" t="e">
        <v>#DIV/0!</v>
      </c>
      <c r="BF229" s="141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9" t="n">
        <v>2000</v>
      </c>
      <c r="AY230" s="139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9" t="n">
        <v>2000</v>
      </c>
      <c r="AY231" s="139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9" t="n">
        <v>1994</v>
      </c>
      <c r="AY232" s="139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9" t="n">
        <v>1993</v>
      </c>
      <c r="AY233" s="139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9" t="n"/>
      <c r="AY234" s="139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9" t="n"/>
      <c r="AY235" s="139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9" t="n"/>
      <c r="AY236" s="139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9" t="n"/>
      <c r="AY237" s="139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9" t="n"/>
      <c r="AY238" s="139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9" t="n"/>
      <c r="AY239" s="139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9" t="n"/>
      <c r="AY240" s="139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9" t="n"/>
      <c r="AY241" s="139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9" t="n"/>
      <c r="AY242" s="139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9" t="n"/>
      <c r="AY243" s="139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9" t="n"/>
      <c r="AY244" s="139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9" t="n"/>
      <c r="AY245" s="139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9" t="n"/>
      <c r="AY246" s="139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9" t="n"/>
      <c r="AY247" s="139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9" t="n"/>
      <c r="AY248" s="139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9" t="n"/>
      <c r="AY249" s="139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9" t="n"/>
      <c r="AY250" s="139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9" t="n"/>
      <c r="AY251" s="139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9" t="n"/>
      <c r="AY252" s="139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9" t="n"/>
      <c r="AY253" s="139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9" t="n"/>
      <c r="AY254" s="139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9" t="n"/>
      <c r="AY255" s="139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9" t="n"/>
      <c r="AY256" s="139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9" t="n"/>
      <c r="AY257" s="139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9" t="n"/>
      <c r="AY258" s="139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9" t="n"/>
      <c r="AY259" s="139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9" t="n"/>
      <c r="AY260" s="139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9" t="n"/>
      <c r="AY261" s="139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9" t="n"/>
      <c r="AY262" s="139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9" t="n"/>
      <c r="AY263" s="139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9" t="n"/>
      <c r="AY264" s="139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9" t="n"/>
      <c r="AY265" s="139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9" t="n"/>
      <c r="AY266" s="139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9" t="n"/>
      <c r="AY267" s="139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9" t="n"/>
      <c r="AY268" s="139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9" t="n"/>
      <c r="AY269" s="139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9" t="n"/>
      <c r="AY270" s="139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9" t="n"/>
      <c r="AY271" s="139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9" t="n"/>
      <c r="AY272" s="139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9" t="n"/>
      <c r="AY273" s="139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9" t="n"/>
      <c r="AY274" s="139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9" t="n"/>
      <c r="AY275" s="139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9" t="n"/>
      <c r="AY276" s="139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9" t="n"/>
      <c r="AY277" s="139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9" t="n"/>
      <c r="AY278" s="139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9" t="n"/>
      <c r="AY279" s="139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9" t="n"/>
      <c r="AY280" s="139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9" t="n"/>
      <c r="AY281" s="139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9" t="n"/>
      <c r="AY282" s="139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9" t="n"/>
      <c r="AY283" s="139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9" t="n"/>
      <c r="AY284" s="139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9" t="n"/>
      <c r="AY285" s="139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9" t="n"/>
      <c r="AY286" s="139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9" t="n"/>
      <c r="AY287" s="139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9" t="n"/>
      <c r="AY288" s="139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9" t="n"/>
      <c r="AY289" s="139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9" t="n"/>
      <c r="AY290" s="139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9" t="n"/>
      <c r="AY291" s="139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9" t="n"/>
      <c r="AY292" s="139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9" t="n"/>
      <c r="AY293" s="139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9" t="n"/>
      <c r="AY294" s="139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9" t="n"/>
      <c r="AY295" s="139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9" t="n"/>
      <c r="AY296" s="139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9" t="n"/>
      <c r="AY297" s="139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9" t="n"/>
      <c r="AY298" s="139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9" t="n"/>
      <c r="AY299" s="139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9" t="n"/>
      <c r="AY300" s="139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9" t="n"/>
      <c r="AY301" s="139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9" t="n"/>
      <c r="AY302" s="139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9" t="n"/>
      <c r="AY303" s="139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9" t="n"/>
      <c r="AY304" s="139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9" t="n"/>
      <c r="AY305" s="139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9" t="n"/>
      <c r="AY306" s="139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9" t="n"/>
      <c r="AY307" s="139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9" t="n"/>
      <c r="AY308" s="139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9" t="n"/>
      <c r="AY309" s="139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9" t="n"/>
      <c r="AY310" s="139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9" t="n"/>
      <c r="AY311" s="139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9" t="n"/>
      <c r="AY312" s="139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9" t="n"/>
      <c r="AY313" s="139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9" t="n"/>
      <c r="AY314" s="139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9" t="n"/>
      <c r="AY315" s="139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9" t="n"/>
      <c r="AY316" s="139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9" t="n"/>
      <c r="AY317" s="139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9" t="n"/>
      <c r="AY318" s="139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9" t="n"/>
      <c r="AY319" s="139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9" t="n"/>
      <c r="AY320" s="139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9" t="n"/>
      <c r="AY321" s="139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9" t="n"/>
      <c r="AY322" s="139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9" t="n"/>
      <c r="AY323" s="139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9" t="n"/>
      <c r="AY324" s="139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9" t="n"/>
      <c r="AY325" s="139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9" t="n"/>
      <c r="AY326" s="139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9" t="n"/>
      <c r="AY327" s="139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9" t="n"/>
      <c r="AY328" s="139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9" t="n"/>
      <c r="AY329" s="139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9" t="n"/>
      <c r="AY330" s="139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9" t="n"/>
      <c r="AY331" s="139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9" t="n"/>
      <c r="AY332" s="139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9" t="n"/>
      <c r="AY333" s="139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9" t="n"/>
      <c r="AY334" s="139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9" t="n"/>
      <c r="AY335" s="139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9" t="n"/>
      <c r="AY336" s="139" t="n"/>
      <c r="AZ336" s="139" t="n"/>
      <c r="BA336" s="121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9" t="n"/>
      <c r="AY337" s="139" t="n"/>
      <c r="AZ337" s="139" t="n"/>
      <c r="BA337" s="121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9" t="n"/>
      <c r="AY338" s="139" t="n"/>
      <c r="AZ338" s="139" t="n"/>
      <c r="BA338" s="73" t="inlineStr">
        <is>
          <t>40평대↑</t>
        </is>
      </c>
      <c r="BB338" s="142" t="n">
        <v>0</v>
      </c>
      <c r="BC338" s="142" t="n">
        <v>0</v>
      </c>
      <c r="BD338" s="142" t="n">
        <v>0</v>
      </c>
      <c r="BE338" s="142" t="n">
        <v>0</v>
      </c>
      <c r="BF338" s="142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9" t="n"/>
      <c r="AY339" s="139" t="n"/>
      <c r="AZ339" s="139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9" t="n"/>
      <c r="AY340" s="139" t="n"/>
      <c r="AZ340" s="139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9" t="n"/>
      <c r="AY341" s="139" t="n"/>
      <c r="BA341" s="121" t="inlineStr">
        <is>
          <t>20평대</t>
        </is>
      </c>
      <c r="BB341" s="141" t="e">
        <v>#DIV/0!</v>
      </c>
      <c r="BC341" s="141" t="e">
        <v>#DIV/0!</v>
      </c>
      <c r="BD341" s="141" t="e">
        <v>#DIV/0!</v>
      </c>
      <c r="BE341" s="141" t="e">
        <v>#DIV/0!</v>
      </c>
      <c r="BF341" s="141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9" t="n"/>
      <c r="AY342" s="139" t="n"/>
      <c r="BA342" s="73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9" t="n"/>
      <c r="AY343" s="139" t="n"/>
      <c r="BA343" s="121" t="inlineStr">
        <is>
          <t>합계</t>
        </is>
      </c>
      <c r="BB343" s="141" t="e">
        <v>#DIV/0!</v>
      </c>
      <c r="BC343" s="141" t="e">
        <v>#DIV/0!</v>
      </c>
      <c r="BD343" s="141" t="e">
        <v>#DIV/0!</v>
      </c>
      <c r="BE343" s="141" t="e">
        <v>#DIV/0!</v>
      </c>
      <c r="BF343" s="141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9" t="n"/>
      <c r="AY344" s="139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9" t="n"/>
      <c r="AY345" s="139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9" t="n"/>
      <c r="AY346" s="139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9" t="n"/>
      <c r="AY347" s="139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9" t="n"/>
      <c r="AY348" s="139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9" t="n"/>
      <c r="AY349" s="139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9" t="n"/>
      <c r="AY350" s="139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9" t="n"/>
      <c r="AY351" s="139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9" t="n"/>
      <c r="AY352" s="139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9" t="n"/>
      <c r="AY353" s="139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9" t="n"/>
      <c r="AY354" s="139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9" t="n"/>
      <c r="AY355" s="139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9" t="n"/>
      <c r="AY356" s="139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9" t="n"/>
      <c r="AY357" s="139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9" t="n"/>
      <c r="AY358" s="139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9" t="n"/>
      <c r="AY359" s="139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9" t="n"/>
      <c r="AY360" s="139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9" t="n"/>
      <c r="AY361" s="139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9" t="n"/>
      <c r="AY362" s="139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9" t="n"/>
      <c r="AY363" s="139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9" t="n"/>
      <c r="AY364" s="139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9" t="n"/>
      <c r="AY365" s="139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9" t="n"/>
      <c r="AY366" s="139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9" t="n"/>
      <c r="AY367" s="139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9" t="n"/>
      <c r="AY368" s="139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9" t="n"/>
      <c r="AY369" s="139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9" t="n"/>
      <c r="AY370" s="139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9" t="n"/>
      <c r="AY371" s="139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9" t="n"/>
      <c r="AY372" s="139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9" t="n"/>
      <c r="AY373" s="139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9" t="n"/>
      <c r="AY374" s="139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9" t="n"/>
      <c r="AY375" s="139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9" t="n"/>
      <c r="AY376" s="139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9" t="n"/>
      <c r="AY377" s="139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9" t="n"/>
      <c r="AY378" s="139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9" t="n"/>
      <c r="AY379" s="139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9" t="n"/>
      <c r="AY380" s="139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9" t="n"/>
      <c r="AY381" s="139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9" t="n"/>
      <c r="AY382" s="139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9" t="n"/>
      <c r="AY383" s="139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9" t="n"/>
      <c r="AY384" s="139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9" t="n"/>
      <c r="AY385" s="139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9" t="n"/>
      <c r="AY386" s="139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9" t="n"/>
      <c r="AY387" s="139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9" t="n"/>
      <c r="AY388" s="139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9" t="n"/>
      <c r="AY389" s="139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9" t="n"/>
      <c r="AY390" s="139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9" t="n"/>
      <c r="AY391" s="139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9" t="n"/>
      <c r="AY392" s="139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9" t="n"/>
      <c r="AY393" s="139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9" t="n"/>
      <c r="AY394" s="139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9" t="n"/>
      <c r="AY395" s="139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9" t="n"/>
      <c r="AY396" s="139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9" t="n"/>
      <c r="AY397" s="139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9" t="n"/>
      <c r="AY398" s="139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9" t="n"/>
      <c r="AY399" s="139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9" t="n"/>
      <c r="AY400" s="139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9" t="n"/>
      <c r="AY401" s="139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9" t="n"/>
      <c r="AY402" s="139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9" t="n"/>
      <c r="AY403" s="139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9" t="n"/>
      <c r="AY404" s="139" t="n"/>
      <c r="AZ404" s="139" t="n"/>
      <c r="BA404" s="121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9" t="n"/>
      <c r="AY405" s="139" t="n"/>
      <c r="AZ405" s="139" t="n"/>
      <c r="BA405" s="121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9" t="n"/>
      <c r="AY406" s="139" t="n"/>
      <c r="AZ406" s="139" t="n"/>
      <c r="BA406" s="121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9" t="n"/>
      <c r="AY407" s="139" t="n"/>
      <c r="AZ407" s="139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9" t="n"/>
      <c r="AY408" s="139" t="n"/>
      <c r="AZ408" s="139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9" t="n"/>
      <c r="AY409" s="139" t="n"/>
      <c r="BA409" s="121" t="inlineStr">
        <is>
          <t>20평대</t>
        </is>
      </c>
      <c r="BB409" s="141" t="e">
        <v>#DIV/0!</v>
      </c>
      <c r="BC409" s="141" t="e">
        <v>#DIV/0!</v>
      </c>
      <c r="BD409" s="141" t="e">
        <v>#DIV/0!</v>
      </c>
      <c r="BE409" s="141" t="e">
        <v>#DIV/0!</v>
      </c>
      <c r="BF409" s="141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9" t="n"/>
      <c r="AY410" s="139" t="n"/>
      <c r="BA410" s="121" t="inlineStr">
        <is>
          <t>30평대</t>
        </is>
      </c>
      <c r="BB410" s="141" t="e">
        <v>#DIV/0!</v>
      </c>
      <c r="BC410" s="141" t="e">
        <v>#DIV/0!</v>
      </c>
      <c r="BD410" s="141" t="e">
        <v>#DIV/0!</v>
      </c>
      <c r="BE410" s="141" t="e">
        <v>#DIV/0!</v>
      </c>
      <c r="BF410" s="141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9" t="n"/>
      <c r="AY411" s="139" t="n"/>
      <c r="BA411" s="121" t="inlineStr">
        <is>
          <t>합계</t>
        </is>
      </c>
      <c r="BB411" s="141" t="e">
        <v>#DIV/0!</v>
      </c>
      <c r="BC411" s="141" t="e">
        <v>#DIV/0!</v>
      </c>
      <c r="BD411" s="141" t="e">
        <v>#DIV/0!</v>
      </c>
      <c r="BE411" s="141" t="e">
        <v>#DIV/0!</v>
      </c>
      <c r="BF411" s="141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9" t="n"/>
      <c r="AY412" s="139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9" t="n"/>
      <c r="AY413" s="139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9" t="n"/>
      <c r="AY414" s="139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9" t="n"/>
      <c r="AY415" s="139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9" t="n"/>
      <c r="AY416" s="139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9" t="n"/>
      <c r="AY417" s="139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9" t="n"/>
      <c r="AY418" s="139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9" t="n"/>
      <c r="AY419" s="139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9" t="n"/>
      <c r="AY420" s="139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9" t="n"/>
      <c r="AY421" s="139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9" t="n"/>
      <c r="AY422" s="139" t="n"/>
      <c r="AZ422" s="139" t="n"/>
      <c r="BA422" s="121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9" t="n"/>
      <c r="AY423" s="139" t="n"/>
      <c r="AZ423" s="139" t="n"/>
      <c r="BA423" s="121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9" t="n"/>
      <c r="AY424" s="139" t="n"/>
      <c r="AZ424" s="139" t="n"/>
      <c r="BA424" s="73" t="inlineStr">
        <is>
          <t>40평대↑</t>
        </is>
      </c>
      <c r="BB424" s="142" t="n">
        <v>0</v>
      </c>
      <c r="BC424" s="142" t="n">
        <v>0</v>
      </c>
      <c r="BD424" s="142" t="n">
        <v>0</v>
      </c>
      <c r="BE424" s="142" t="n">
        <v>0</v>
      </c>
      <c r="BF424" s="142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9" t="n"/>
      <c r="AY425" s="139" t="n"/>
      <c r="AZ425" s="139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9" t="n"/>
      <c r="AY426" s="139" t="n"/>
      <c r="AZ426" s="139" t="n"/>
      <c r="BA426" s="121" t="inlineStr">
        <is>
          <t>10평대</t>
        </is>
      </c>
      <c r="BB426" s="141" t="e">
        <v>#DIV/0!</v>
      </c>
      <c r="BC426" s="141" t="e">
        <v>#DIV/0!</v>
      </c>
      <c r="BD426" s="141" t="e">
        <v>#DIV/0!</v>
      </c>
      <c r="BE426" s="141" t="e">
        <v>#DIV/0!</v>
      </c>
      <c r="BF426" s="141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9" t="n"/>
      <c r="AY427" s="139" t="n"/>
      <c r="BA427" s="121" t="inlineStr">
        <is>
          <t>30평대</t>
        </is>
      </c>
      <c r="BB427" s="141" t="e">
        <v>#DIV/0!</v>
      </c>
      <c r="BC427" s="141" t="e">
        <v>#DIV/0!</v>
      </c>
      <c r="BD427" s="141" t="e">
        <v>#DIV/0!</v>
      </c>
      <c r="BE427" s="141" t="e">
        <v>#DIV/0!</v>
      </c>
      <c r="BF427" s="141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9" t="n"/>
      <c r="AY428" s="139" t="n"/>
      <c r="BA428" s="73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9" t="n"/>
      <c r="AY429" s="139" t="n"/>
      <c r="BA429" s="121" t="inlineStr">
        <is>
          <t>합계</t>
        </is>
      </c>
      <c r="BB429" s="141" t="e">
        <v>#DIV/0!</v>
      </c>
      <c r="BC429" s="141" t="e">
        <v>#DIV/0!</v>
      </c>
      <c r="BD429" s="141" t="e">
        <v>#DIV/0!</v>
      </c>
      <c r="BE429" s="141" t="e">
        <v>#DIV/0!</v>
      </c>
      <c r="BF429" s="141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9" t="n"/>
      <c r="AY430" s="139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9" t="n"/>
      <c r="AY431" s="139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9" t="n"/>
      <c r="AY432" s="139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9" t="n"/>
      <c r="AY433" s="139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9" t="n"/>
      <c r="AY434" s="139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9" t="n"/>
      <c r="AY435" s="139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9" t="n"/>
      <c r="AY436" s="139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9" t="n"/>
      <c r="AY437" s="139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9" t="n"/>
      <c r="AY438" s="139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9" t="n"/>
      <c r="AY439" s="139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9" t="n"/>
      <c r="AY440" s="139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9" t="n"/>
      <c r="AY441" s="139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9" t="n"/>
      <c r="AY442" s="139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9" t="n"/>
      <c r="AY443" s="139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9" t="n"/>
      <c r="AY444" s="139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9" t="n"/>
      <c r="AY445" s="139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9" t="n"/>
      <c r="AY446" s="139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9" t="n"/>
      <c r="AY447" s="139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9" t="n"/>
      <c r="AY448" s="139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9" t="n"/>
      <c r="AY449" s="139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9" t="n"/>
      <c r="AY450" s="139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9" t="n"/>
      <c r="AY451" s="139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9" t="n"/>
      <c r="AY452" s="139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9" t="n"/>
      <c r="AY453" s="139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9" t="n"/>
      <c r="AY454" s="139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9" t="n"/>
      <c r="AY455" s="139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9" t="n"/>
      <c r="AY456" s="139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9" t="n"/>
      <c r="AY457" s="139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9" t="n"/>
      <c r="AY458" s="139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9" t="n"/>
      <c r="AY459" s="139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9" t="n"/>
      <c r="AY460" s="139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9" t="n"/>
      <c r="AY461" s="139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9" t="n"/>
      <c r="AY462" s="139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9" t="n"/>
      <c r="AY463" s="139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9" t="n"/>
      <c r="AY464" s="139" t="n"/>
      <c r="AZ464" s="139" t="n"/>
      <c r="BA464" s="121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9" t="n"/>
      <c r="AY465" s="139" t="n"/>
      <c r="AZ465" s="139" t="n"/>
      <c r="BA465" s="121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9" t="n"/>
      <c r="AY466" s="139" t="n"/>
      <c r="AZ466" s="139" t="n"/>
      <c r="BA466" s="73" t="inlineStr">
        <is>
          <t>40평대↑</t>
        </is>
      </c>
      <c r="BB466" s="142" t="n">
        <v>0</v>
      </c>
      <c r="BC466" s="142" t="n">
        <v>0</v>
      </c>
      <c r="BD466" s="142" t="n">
        <v>0</v>
      </c>
      <c r="BE466" s="142" t="n">
        <v>0</v>
      </c>
      <c r="BF466" s="142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9" t="n"/>
      <c r="AY467" s="139" t="n"/>
      <c r="AZ467" s="139" t="n"/>
      <c r="BA467" s="121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9" t="n"/>
      <c r="AY468" s="139" t="n"/>
      <c r="AZ468" s="139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9" t="n"/>
      <c r="AY469" s="139" t="n"/>
      <c r="AZ469" s="139" t="n"/>
      <c r="BA469" s="121" t="inlineStr">
        <is>
          <t>10평대</t>
        </is>
      </c>
      <c r="BB469" s="141" t="e">
        <v>#DIV/0!</v>
      </c>
      <c r="BC469" s="141" t="e">
        <v>#DIV/0!</v>
      </c>
      <c r="BD469" s="141" t="e">
        <v>#DIV/0!</v>
      </c>
      <c r="BE469" s="141" t="e">
        <v>#DIV/0!</v>
      </c>
      <c r="BF469" s="141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9" t="n"/>
      <c r="AY470" s="139" t="n"/>
      <c r="BA470" s="121" t="inlineStr">
        <is>
          <t>20평대</t>
        </is>
      </c>
      <c r="BB470" s="141" t="e">
        <v>#DIV/0!</v>
      </c>
      <c r="BC470" s="141" t="e">
        <v>#DIV/0!</v>
      </c>
      <c r="BD470" s="141" t="e">
        <v>#DIV/0!</v>
      </c>
      <c r="BE470" s="141" t="e">
        <v>#DIV/0!</v>
      </c>
      <c r="BF470" s="141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9" t="n"/>
      <c r="AY471" s="139" t="n"/>
      <c r="BA471" s="73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9" t="n"/>
      <c r="AY472" s="139" t="n"/>
      <c r="BA472" s="121" t="inlineStr">
        <is>
          <t>합계</t>
        </is>
      </c>
      <c r="BB472" s="141" t="e">
        <v>#DIV/0!</v>
      </c>
      <c r="BC472" s="141" t="e">
        <v>#DIV/0!</v>
      </c>
      <c r="BD472" s="141" t="e">
        <v>#DIV/0!</v>
      </c>
      <c r="BE472" s="141" t="e">
        <v>#DIV/0!</v>
      </c>
      <c r="BF472" s="141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9" t="n"/>
      <c r="AY473" s="139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9" t="n"/>
      <c r="AY474" s="139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9" t="n"/>
      <c r="AY475" s="139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9" t="n"/>
      <c r="AY476" s="139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9" t="n"/>
      <c r="AY477" s="139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9" t="n"/>
      <c r="AY478" s="139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9" t="n"/>
      <c r="AY479" s="139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9" t="n"/>
      <c r="AY480" s="139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9" t="n"/>
      <c r="AY481" s="139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9" t="n"/>
      <c r="AY482" s="139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9" t="n"/>
      <c r="AY483" s="139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9" t="n"/>
      <c r="AY484" s="139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9" t="n"/>
      <c r="AY485" s="139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9" t="n"/>
      <c r="AY486" s="139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9" t="n"/>
      <c r="AY487" s="139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9" t="n"/>
      <c r="AY488" s="139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9" t="n"/>
      <c r="AY489" s="139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9" t="n"/>
      <c r="AY490" s="139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9" t="n"/>
      <c r="AY491" s="139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9" t="n"/>
      <c r="AY492" s="139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9" t="n"/>
      <c r="AY493" s="139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9" t="n"/>
      <c r="AY494" s="139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9" t="n"/>
      <c r="AY495" s="139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9" t="n"/>
      <c r="AY496" s="139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9" t="n"/>
      <c r="AY497" s="139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9" t="n"/>
      <c r="AY498" s="139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9" t="n"/>
      <c r="AY499" s="139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9" t="n"/>
      <c r="AY500" s="139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9" t="n"/>
      <c r="AY501" s="139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9" t="n"/>
      <c r="AY502" s="139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9" t="n"/>
      <c r="AY503" s="139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9" t="n"/>
      <c r="AY504" s="139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9" t="n"/>
      <c r="AY505" s="139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9" t="n"/>
      <c r="AY506" s="139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9" t="n"/>
      <c r="AY507" s="139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9" t="n"/>
      <c r="AY508" s="139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9" t="n"/>
      <c r="AY509" s="139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9" t="n"/>
      <c r="AY510" s="139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9" t="n"/>
      <c r="AY511" s="139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9" t="n"/>
      <c r="AY512" s="139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9" t="n"/>
      <c r="AY513" s="139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9" t="n"/>
      <c r="AY514" s="139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9" t="n"/>
      <c r="AY515" s="139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9" t="n"/>
      <c r="AY516" s="139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9" t="n"/>
      <c r="AY517" s="139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9" t="n"/>
      <c r="AY518" s="139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9" t="n"/>
      <c r="AY519" s="139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9" t="n"/>
      <c r="AY520" s="139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9" t="n"/>
      <c r="AY521" s="139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9" t="n"/>
      <c r="AY522" s="139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9" t="n"/>
      <c r="AY523" s="139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9" t="n"/>
      <c r="AY524" s="139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9" t="n"/>
      <c r="AY525" s="139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9" t="n"/>
      <c r="AY526" s="139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9" t="n"/>
      <c r="AY527" s="139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9" t="n"/>
      <c r="AY528" s="139" t="n"/>
      <c r="AZ528" s="139" t="n"/>
      <c r="BA528" s="121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9" t="n"/>
      <c r="AY529" s="139" t="n"/>
      <c r="AZ529" s="139" t="n"/>
      <c r="BA529" s="121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9" t="n"/>
      <c r="AY530" s="139" t="n"/>
      <c r="AZ530" s="139" t="n"/>
      <c r="BA530" s="121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9" t="n"/>
      <c r="AY531" s="139" t="n"/>
      <c r="AZ531" s="139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9" t="n"/>
      <c r="AY532" s="139" t="n"/>
      <c r="AZ532" s="139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9" t="n"/>
      <c r="AY533" s="139" t="n"/>
      <c r="BA533" s="121" t="inlineStr">
        <is>
          <t>20평대</t>
        </is>
      </c>
      <c r="BB533" s="141" t="e">
        <v>#DIV/0!</v>
      </c>
      <c r="BC533" s="141" t="e">
        <v>#DIV/0!</v>
      </c>
      <c r="BD533" s="141" t="e">
        <v>#DIV/0!</v>
      </c>
      <c r="BE533" s="141" t="e">
        <v>#DIV/0!</v>
      </c>
      <c r="BF533" s="141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9" t="n"/>
      <c r="AY534" s="139" t="n"/>
      <c r="BA534" s="121" t="inlineStr">
        <is>
          <t>30평대</t>
        </is>
      </c>
      <c r="BB534" s="141" t="e">
        <v>#DIV/0!</v>
      </c>
      <c r="BC534" s="141" t="e">
        <v>#DIV/0!</v>
      </c>
      <c r="BD534" s="141" t="e">
        <v>#DIV/0!</v>
      </c>
      <c r="BE534" s="141" t="e">
        <v>#DIV/0!</v>
      </c>
      <c r="BF534" s="141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9" t="n"/>
      <c r="AY535" s="139" t="n"/>
      <c r="BA535" s="121" t="inlineStr">
        <is>
          <t>합계</t>
        </is>
      </c>
      <c r="BB535" s="141" t="e">
        <v>#DIV/0!</v>
      </c>
      <c r="BC535" s="141" t="e">
        <v>#DIV/0!</v>
      </c>
      <c r="BD535" s="141" t="e">
        <v>#DIV/0!</v>
      </c>
      <c r="BE535" s="141" t="e">
        <v>#DIV/0!</v>
      </c>
      <c r="BF535" s="141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9" t="n"/>
      <c r="AY536" s="139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9" t="n"/>
      <c r="AY537" s="139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9" t="n"/>
      <c r="AY538" s="139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9" t="n"/>
      <c r="AY539" s="139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7410" operator="lessThan" dxfId="2">
      <formula>15.1</formula>
    </cfRule>
    <cfRule type="cellIs" priority="77411" operator="lessThan" dxfId="8350">
      <formula>18.1</formula>
    </cfRule>
    <cfRule type="cellIs" priority="77412" operator="lessThan" dxfId="8349">
      <formula>21.1</formula>
    </cfRule>
    <cfRule type="cellIs" priority="77413" operator="lessThan" dxfId="8348">
      <formula>24.1</formula>
    </cfRule>
    <cfRule type="cellIs" priority="77414" operator="lessThan" dxfId="1">
      <formula>30</formula>
    </cfRule>
    <cfRule type="cellIs" priority="77415" operator="lessThan" dxfId="8346">
      <formula>34.1</formula>
    </cfRule>
  </conditionalFormatting>
  <conditionalFormatting sqref="Z3">
    <cfRule type="colorScale" priority="7740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7407" operator="greaterThan" dxfId="17">
      <formula>0.9</formula>
    </cfRule>
    <cfRule type="cellIs" priority="77408" operator="greaterThan" dxfId="16">
      <formula>0.85</formula>
    </cfRule>
  </conditionalFormatting>
  <conditionalFormatting sqref="N2">
    <cfRule type="cellIs" priority="77405" operator="greaterThan" dxfId="17">
      <formula>0.9</formula>
    </cfRule>
    <cfRule type="cellIs" priority="77406" operator="greaterThan" dxfId="16">
      <formula>0.85</formula>
    </cfRule>
  </conditionalFormatting>
  <conditionalFormatting sqref="AV4">
    <cfRule type="expression" priority="3923" dxfId="23">
      <formula>AV4="X"</formula>
    </cfRule>
    <cfRule type="expression" priority="3924" dxfId="22">
      <formula>AV4="후보"</formula>
    </cfRule>
  </conditionalFormatting>
  <conditionalFormatting sqref="AC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">
    <cfRule type="expression" priority="3915" dxfId="3">
      <formula>AND(IF(OR($Q4=1,$Q4=2),1,0),IF($X4&lt;=20,1,0))</formula>
    </cfRule>
    <cfRule type="expression" priority="3916" dxfId="2">
      <formula>AND(IF($Q4=2,1,0),IF($X4&lt;30,1,0))</formula>
    </cfRule>
    <cfRule type="expression" priority="3917" dxfId="1">
      <formula>AND(IF($Q4=3,1,0),IF($X4&lt;30,1,0))</formula>
    </cfRule>
    <cfRule type="expression" priority="3918" dxfId="0">
      <formula>AND(IF($Q4=3,1,IF($Q4=4,1,0)),IF($F4&lt;=85,1,0))</formula>
    </cfRule>
  </conditionalFormatting>
  <conditionalFormatting sqref="X4">
    <cfRule type="expression" priority="3911" dxfId="3">
      <formula>AND(IF(OR($Q4=1,$Q4=2),1,0),IF($X4&lt;=20,1,0))</formula>
    </cfRule>
    <cfRule type="expression" priority="3912" dxfId="2">
      <formula>AND(IF($Q4=2,1,0),IF($X4&lt;30,1,0))</formula>
    </cfRule>
    <cfRule type="expression" priority="3913" dxfId="1">
      <formula>AND(IF($Q4=3,1,0),IF($X4&lt;30,1,0))</formula>
    </cfRule>
    <cfRule type="expression" priority="3914" dxfId="0">
      <formula>AND(IF($Q4=3,1,IF($Q4=4,1,0)),IF($F4&lt;=85,1,0))</formula>
    </cfRule>
  </conditionalFormatting>
  <conditionalFormatting sqref="AI4">
    <cfRule type="expression" priority="3907" dxfId="3">
      <formula>AND(IF(OR($Q4=1,$Q4=2),1,0),IF($X4&lt;=20,1,0))</formula>
    </cfRule>
    <cfRule type="expression" priority="3908" dxfId="2">
      <formula>AND(IF($Q4=2,1,0),IF($X4&lt;30,1,0))</formula>
    </cfRule>
    <cfRule type="expression" priority="3909" dxfId="1">
      <formula>AND(IF($Q4=3,1,0),IF($X4&lt;30,1,0))</formula>
    </cfRule>
    <cfRule type="expression" priority="3910" dxfId="0">
      <formula>AND(IF($Q4=3,1,IF($Q4=4,1,0)),IF($F4&lt;=85,1,0))</formula>
    </cfRule>
  </conditionalFormatting>
  <conditionalFormatting sqref="AV5">
    <cfRule type="expression" priority="3905" dxfId="23">
      <formula>AV5="X"</formula>
    </cfRule>
    <cfRule type="expression" priority="3906" dxfId="22">
      <formula>AV5="후보"</formula>
    </cfRule>
  </conditionalFormatting>
  <conditionalFormatting sqref="AC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">
    <cfRule type="expression" priority="3897" dxfId="3">
      <formula>AND(IF(OR($Q5=1,$Q5=2),1,0),IF($X5&lt;=20,1,0))</formula>
    </cfRule>
    <cfRule type="expression" priority="3898" dxfId="2">
      <formula>AND(IF($Q5=2,1,0),IF($X5&lt;30,1,0))</formula>
    </cfRule>
    <cfRule type="expression" priority="3899" dxfId="1">
      <formula>AND(IF($Q5=3,1,0),IF($X5&lt;30,1,0))</formula>
    </cfRule>
    <cfRule type="expression" priority="3900" dxfId="0">
      <formula>AND(IF($Q5=3,1,IF($Q5=4,1,0)),IF($F5&lt;=85,1,0))</formula>
    </cfRule>
  </conditionalFormatting>
  <conditionalFormatting sqref="X5">
    <cfRule type="expression" priority="3893" dxfId="3">
      <formula>AND(IF(OR($Q5=1,$Q5=2),1,0),IF($X5&lt;=20,1,0))</formula>
    </cfRule>
    <cfRule type="expression" priority="3894" dxfId="2">
      <formula>AND(IF($Q5=2,1,0),IF($X5&lt;30,1,0))</formula>
    </cfRule>
    <cfRule type="expression" priority="3895" dxfId="1">
      <formula>AND(IF($Q5=3,1,0),IF($X5&lt;30,1,0))</formula>
    </cfRule>
    <cfRule type="expression" priority="3896" dxfId="0">
      <formula>AND(IF($Q5=3,1,IF($Q5=4,1,0)),IF($F5&lt;=85,1,0))</formula>
    </cfRule>
  </conditionalFormatting>
  <conditionalFormatting sqref="AI5">
    <cfRule type="expression" priority="3889" dxfId="3">
      <formula>AND(IF(OR($Q5=1,$Q5=2),1,0),IF($X5&lt;=20,1,0))</formula>
    </cfRule>
    <cfRule type="expression" priority="3890" dxfId="2">
      <formula>AND(IF($Q5=2,1,0),IF($X5&lt;30,1,0))</formula>
    </cfRule>
    <cfRule type="expression" priority="3891" dxfId="1">
      <formula>AND(IF($Q5=3,1,0),IF($X5&lt;30,1,0))</formula>
    </cfRule>
    <cfRule type="expression" priority="3892" dxfId="0">
      <formula>AND(IF($Q5=3,1,IF($Q5=4,1,0)),IF($F5&lt;=85,1,0))</formula>
    </cfRule>
  </conditionalFormatting>
  <conditionalFormatting sqref="AV6">
    <cfRule type="expression" priority="3887" dxfId="23">
      <formula>AV6="X"</formula>
    </cfRule>
    <cfRule type="expression" priority="3888" dxfId="22">
      <formula>AV6="후보"</formula>
    </cfRule>
  </conditionalFormatting>
  <conditionalFormatting sqref="AC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6">
    <cfRule type="expression" priority="3879" dxfId="3">
      <formula>AND(IF(OR($Q6=1,$Q6=2),1,0),IF($X6&lt;=20,1,0))</formula>
    </cfRule>
    <cfRule type="expression" priority="3880" dxfId="2">
      <formula>AND(IF($Q6=2,1,0),IF($X6&lt;30,1,0))</formula>
    </cfRule>
    <cfRule type="expression" priority="3881" dxfId="1">
      <formula>AND(IF($Q6=3,1,0),IF($X6&lt;30,1,0))</formula>
    </cfRule>
    <cfRule type="expression" priority="3882" dxfId="0">
      <formula>AND(IF($Q6=3,1,IF($Q6=4,1,0)),IF($F6&lt;=85,1,0))</formula>
    </cfRule>
  </conditionalFormatting>
  <conditionalFormatting sqref="X6">
    <cfRule type="expression" priority="3875" dxfId="3">
      <formula>AND(IF(OR($Q6=1,$Q6=2),1,0),IF($X6&lt;=20,1,0))</formula>
    </cfRule>
    <cfRule type="expression" priority="3876" dxfId="2">
      <formula>AND(IF($Q6=2,1,0),IF($X6&lt;30,1,0))</formula>
    </cfRule>
    <cfRule type="expression" priority="3877" dxfId="1">
      <formula>AND(IF($Q6=3,1,0),IF($X6&lt;30,1,0))</formula>
    </cfRule>
    <cfRule type="expression" priority="3878" dxfId="0">
      <formula>AND(IF($Q6=3,1,IF($Q6=4,1,0)),IF($F6&lt;=85,1,0))</formula>
    </cfRule>
  </conditionalFormatting>
  <conditionalFormatting sqref="AI6">
    <cfRule type="expression" priority="3871" dxfId="3">
      <formula>AND(IF(OR($Q6=1,$Q6=2),1,0),IF($X6&lt;=20,1,0))</formula>
    </cfRule>
    <cfRule type="expression" priority="3872" dxfId="2">
      <formula>AND(IF($Q6=2,1,0),IF($X6&lt;30,1,0))</formula>
    </cfRule>
    <cfRule type="expression" priority="3873" dxfId="1">
      <formula>AND(IF($Q6=3,1,0),IF($X6&lt;30,1,0))</formula>
    </cfRule>
    <cfRule type="expression" priority="3874" dxfId="0">
      <formula>AND(IF($Q6=3,1,IF($Q6=4,1,0)),IF($F6&lt;=85,1,0))</formula>
    </cfRule>
  </conditionalFormatting>
  <conditionalFormatting sqref="AV7">
    <cfRule type="expression" priority="3869" dxfId="23">
      <formula>AV7="X"</formula>
    </cfRule>
    <cfRule type="expression" priority="3870" dxfId="22">
      <formula>AV7="후보"</formula>
    </cfRule>
  </conditionalFormatting>
  <conditionalFormatting sqref="AC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7">
    <cfRule type="expression" priority="3861" dxfId="3">
      <formula>AND(IF(OR($Q7=1,$Q7=2),1,0),IF($X7&lt;=20,1,0))</formula>
    </cfRule>
    <cfRule type="expression" priority="3862" dxfId="2">
      <formula>AND(IF($Q7=2,1,0),IF($X7&lt;30,1,0))</formula>
    </cfRule>
    <cfRule type="expression" priority="3863" dxfId="1">
      <formula>AND(IF($Q7=3,1,0),IF($X7&lt;30,1,0))</formula>
    </cfRule>
    <cfRule type="expression" priority="3864" dxfId="0">
      <formula>AND(IF($Q7=3,1,IF($Q7=4,1,0)),IF($F7&lt;=85,1,0))</formula>
    </cfRule>
  </conditionalFormatting>
  <conditionalFormatting sqref="X7">
    <cfRule type="expression" priority="3857" dxfId="3">
      <formula>AND(IF(OR($Q7=1,$Q7=2),1,0),IF($X7&lt;=20,1,0))</formula>
    </cfRule>
    <cfRule type="expression" priority="3858" dxfId="2">
      <formula>AND(IF($Q7=2,1,0),IF($X7&lt;30,1,0))</formula>
    </cfRule>
    <cfRule type="expression" priority="3859" dxfId="1">
      <formula>AND(IF($Q7=3,1,0),IF($X7&lt;30,1,0))</formula>
    </cfRule>
    <cfRule type="expression" priority="3860" dxfId="0">
      <formula>AND(IF($Q7=3,1,IF($Q7=4,1,0)),IF($F7&lt;=85,1,0))</formula>
    </cfRule>
  </conditionalFormatting>
  <conditionalFormatting sqref="AI7">
    <cfRule type="expression" priority="3853" dxfId="3">
      <formula>AND(IF(OR($Q7=1,$Q7=2),1,0),IF($X7&lt;=20,1,0))</formula>
    </cfRule>
    <cfRule type="expression" priority="3854" dxfId="2">
      <formula>AND(IF($Q7=2,1,0),IF($X7&lt;30,1,0))</formula>
    </cfRule>
    <cfRule type="expression" priority="3855" dxfId="1">
      <formula>AND(IF($Q7=3,1,0),IF($X7&lt;30,1,0))</formula>
    </cfRule>
    <cfRule type="expression" priority="3856" dxfId="0">
      <formula>AND(IF($Q7=3,1,IF($Q7=4,1,0)),IF($F7&lt;=85,1,0))</formula>
    </cfRule>
  </conditionalFormatting>
  <conditionalFormatting sqref="AV8">
    <cfRule type="expression" priority="3851" dxfId="23">
      <formula>AV8="X"</formula>
    </cfRule>
    <cfRule type="expression" priority="3852" dxfId="22">
      <formula>AV8="후보"</formula>
    </cfRule>
  </conditionalFormatting>
  <conditionalFormatting sqref="AC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8">
    <cfRule type="expression" priority="3843" dxfId="3">
      <formula>AND(IF(OR($Q8=1,$Q8=2),1,0),IF($X8&lt;=20,1,0))</formula>
    </cfRule>
    <cfRule type="expression" priority="3844" dxfId="2">
      <formula>AND(IF($Q8=2,1,0),IF($X8&lt;30,1,0))</formula>
    </cfRule>
    <cfRule type="expression" priority="3845" dxfId="1">
      <formula>AND(IF($Q8=3,1,0),IF($X8&lt;30,1,0))</formula>
    </cfRule>
    <cfRule type="expression" priority="3846" dxfId="0">
      <formula>AND(IF($Q8=3,1,IF($Q8=4,1,0)),IF($F8&lt;=85,1,0))</formula>
    </cfRule>
  </conditionalFormatting>
  <conditionalFormatting sqref="X8">
    <cfRule type="expression" priority="3839" dxfId="3">
      <formula>AND(IF(OR($Q8=1,$Q8=2),1,0),IF($X8&lt;=20,1,0))</formula>
    </cfRule>
    <cfRule type="expression" priority="3840" dxfId="2">
      <formula>AND(IF($Q8=2,1,0),IF($X8&lt;30,1,0))</formula>
    </cfRule>
    <cfRule type="expression" priority="3841" dxfId="1">
      <formula>AND(IF($Q8=3,1,0),IF($X8&lt;30,1,0))</formula>
    </cfRule>
    <cfRule type="expression" priority="3842" dxfId="0">
      <formula>AND(IF($Q8=3,1,IF($Q8=4,1,0)),IF($F8&lt;=85,1,0))</formula>
    </cfRule>
  </conditionalFormatting>
  <conditionalFormatting sqref="AI8">
    <cfRule type="expression" priority="3835" dxfId="3">
      <formula>AND(IF(OR($Q8=1,$Q8=2),1,0),IF($X8&lt;=20,1,0))</formula>
    </cfRule>
    <cfRule type="expression" priority="3836" dxfId="2">
      <formula>AND(IF($Q8=2,1,0),IF($X8&lt;30,1,0))</formula>
    </cfRule>
    <cfRule type="expression" priority="3837" dxfId="1">
      <formula>AND(IF($Q8=3,1,0),IF($X8&lt;30,1,0))</formula>
    </cfRule>
    <cfRule type="expression" priority="3838" dxfId="0">
      <formula>AND(IF($Q8=3,1,IF($Q8=4,1,0)),IF($F8&lt;=85,1,0))</formula>
    </cfRule>
  </conditionalFormatting>
  <conditionalFormatting sqref="AV9">
    <cfRule type="expression" priority="3833" dxfId="23">
      <formula>AV9="X"</formula>
    </cfRule>
    <cfRule type="expression" priority="3834" dxfId="22">
      <formula>AV9="후보"</formula>
    </cfRule>
  </conditionalFormatting>
  <conditionalFormatting sqref="AC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9">
    <cfRule type="expression" priority="3825" dxfId="3">
      <formula>AND(IF(OR($Q9=1,$Q9=2),1,0),IF($X9&lt;=20,1,0))</formula>
    </cfRule>
    <cfRule type="expression" priority="3826" dxfId="2">
      <formula>AND(IF($Q9=2,1,0),IF($X9&lt;30,1,0))</formula>
    </cfRule>
    <cfRule type="expression" priority="3827" dxfId="1">
      <formula>AND(IF($Q9=3,1,0),IF($X9&lt;30,1,0))</formula>
    </cfRule>
    <cfRule type="expression" priority="3828" dxfId="0">
      <formula>AND(IF($Q9=3,1,IF($Q9=4,1,0)),IF($F9&lt;=85,1,0))</formula>
    </cfRule>
  </conditionalFormatting>
  <conditionalFormatting sqref="X9">
    <cfRule type="expression" priority="3821" dxfId="3">
      <formula>AND(IF(OR($Q9=1,$Q9=2),1,0),IF($X9&lt;=20,1,0))</formula>
    </cfRule>
    <cfRule type="expression" priority="3822" dxfId="2">
      <formula>AND(IF($Q9=2,1,0),IF($X9&lt;30,1,0))</formula>
    </cfRule>
    <cfRule type="expression" priority="3823" dxfId="1">
      <formula>AND(IF($Q9=3,1,0),IF($X9&lt;30,1,0))</formula>
    </cfRule>
    <cfRule type="expression" priority="3824" dxfId="0">
      <formula>AND(IF($Q9=3,1,IF($Q9=4,1,0)),IF($F9&lt;=85,1,0))</formula>
    </cfRule>
  </conditionalFormatting>
  <conditionalFormatting sqref="AI9">
    <cfRule type="expression" priority="3817" dxfId="3">
      <formula>AND(IF(OR($Q9=1,$Q9=2),1,0),IF($X9&lt;=20,1,0))</formula>
    </cfRule>
    <cfRule type="expression" priority="3818" dxfId="2">
      <formula>AND(IF($Q9=2,1,0),IF($X9&lt;30,1,0))</formula>
    </cfRule>
    <cfRule type="expression" priority="3819" dxfId="1">
      <formula>AND(IF($Q9=3,1,0),IF($X9&lt;30,1,0))</formula>
    </cfRule>
    <cfRule type="expression" priority="3820" dxfId="0">
      <formula>AND(IF($Q9=3,1,IF($Q9=4,1,0)),IF($F9&lt;=85,1,0))</formula>
    </cfRule>
  </conditionalFormatting>
  <conditionalFormatting sqref="AV10">
    <cfRule type="expression" priority="3815" dxfId="23">
      <formula>AV10="X"</formula>
    </cfRule>
    <cfRule type="expression" priority="3816" dxfId="22">
      <formula>AV10="후보"</formula>
    </cfRule>
  </conditionalFormatting>
  <conditionalFormatting sqref="AC1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0">
    <cfRule type="expression" priority="3807" dxfId="3">
      <formula>AND(IF(OR($Q10=1,$Q10=2),1,0),IF($X10&lt;=20,1,0))</formula>
    </cfRule>
    <cfRule type="expression" priority="3808" dxfId="2">
      <formula>AND(IF($Q10=2,1,0),IF($X10&lt;30,1,0))</formula>
    </cfRule>
    <cfRule type="expression" priority="3809" dxfId="1">
      <formula>AND(IF($Q10=3,1,0),IF($X10&lt;30,1,0))</formula>
    </cfRule>
    <cfRule type="expression" priority="3810" dxfId="0">
      <formula>AND(IF($Q10=3,1,IF($Q10=4,1,0)),IF($F10&lt;=85,1,0))</formula>
    </cfRule>
  </conditionalFormatting>
  <conditionalFormatting sqref="X10">
    <cfRule type="expression" priority="3803" dxfId="3">
      <formula>AND(IF(OR($Q10=1,$Q10=2),1,0),IF($X10&lt;=20,1,0))</formula>
    </cfRule>
    <cfRule type="expression" priority="3804" dxfId="2">
      <formula>AND(IF($Q10=2,1,0),IF($X10&lt;30,1,0))</formula>
    </cfRule>
    <cfRule type="expression" priority="3805" dxfId="1">
      <formula>AND(IF($Q10=3,1,0),IF($X10&lt;30,1,0))</formula>
    </cfRule>
    <cfRule type="expression" priority="3806" dxfId="0">
      <formula>AND(IF($Q10=3,1,IF($Q10=4,1,0)),IF($F10&lt;=85,1,0))</formula>
    </cfRule>
  </conditionalFormatting>
  <conditionalFormatting sqref="AI10">
    <cfRule type="expression" priority="3799" dxfId="3">
      <formula>AND(IF(OR($Q10=1,$Q10=2),1,0),IF($X10&lt;=20,1,0))</formula>
    </cfRule>
    <cfRule type="expression" priority="3800" dxfId="2">
      <formula>AND(IF($Q10=2,1,0),IF($X10&lt;30,1,0))</formula>
    </cfRule>
    <cfRule type="expression" priority="3801" dxfId="1">
      <formula>AND(IF($Q10=3,1,0),IF($X10&lt;30,1,0))</formula>
    </cfRule>
    <cfRule type="expression" priority="3802" dxfId="0">
      <formula>AND(IF($Q10=3,1,IF($Q10=4,1,0)),IF($F10&lt;=85,1,0))</formula>
    </cfRule>
  </conditionalFormatting>
  <conditionalFormatting sqref="AV11">
    <cfRule type="expression" priority="3797" dxfId="23">
      <formula>AV11="X"</formula>
    </cfRule>
    <cfRule type="expression" priority="3798" dxfId="22">
      <formula>AV11="후보"</formula>
    </cfRule>
  </conditionalFormatting>
  <conditionalFormatting sqref="AC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1">
    <cfRule type="expression" priority="3789" dxfId="3">
      <formula>AND(IF(OR($Q11=1,$Q11=2),1,0),IF($X11&lt;=20,1,0))</formula>
    </cfRule>
    <cfRule type="expression" priority="3790" dxfId="2">
      <formula>AND(IF($Q11=2,1,0),IF($X11&lt;30,1,0))</formula>
    </cfRule>
    <cfRule type="expression" priority="3791" dxfId="1">
      <formula>AND(IF($Q11=3,1,0),IF($X11&lt;30,1,0))</formula>
    </cfRule>
    <cfRule type="expression" priority="3792" dxfId="0">
      <formula>AND(IF($Q11=3,1,IF($Q11=4,1,0)),IF($F11&lt;=85,1,0))</formula>
    </cfRule>
  </conditionalFormatting>
  <conditionalFormatting sqref="X11">
    <cfRule type="expression" priority="3785" dxfId="3">
      <formula>AND(IF(OR($Q11=1,$Q11=2),1,0),IF($X11&lt;=20,1,0))</formula>
    </cfRule>
    <cfRule type="expression" priority="3786" dxfId="2">
      <formula>AND(IF($Q11=2,1,0),IF($X11&lt;30,1,0))</formula>
    </cfRule>
    <cfRule type="expression" priority="3787" dxfId="1">
      <formula>AND(IF($Q11=3,1,0),IF($X11&lt;30,1,0))</formula>
    </cfRule>
    <cfRule type="expression" priority="3788" dxfId="0">
      <formula>AND(IF($Q11=3,1,IF($Q11=4,1,0)),IF($F11&lt;=85,1,0))</formula>
    </cfRule>
  </conditionalFormatting>
  <conditionalFormatting sqref="AI11">
    <cfRule type="expression" priority="3781" dxfId="3">
      <formula>AND(IF(OR($Q11=1,$Q11=2),1,0),IF($X11&lt;=20,1,0))</formula>
    </cfRule>
    <cfRule type="expression" priority="3782" dxfId="2">
      <formula>AND(IF($Q11=2,1,0),IF($X11&lt;30,1,0))</formula>
    </cfRule>
    <cfRule type="expression" priority="3783" dxfId="1">
      <formula>AND(IF($Q11=3,1,0),IF($X11&lt;30,1,0))</formula>
    </cfRule>
    <cfRule type="expression" priority="3784" dxfId="0">
      <formula>AND(IF($Q11=3,1,IF($Q11=4,1,0)),IF($F11&lt;=85,1,0))</formula>
    </cfRule>
  </conditionalFormatting>
  <conditionalFormatting sqref="AV12">
    <cfRule type="expression" priority="3779" dxfId="23">
      <formula>AV12="X"</formula>
    </cfRule>
    <cfRule type="expression" priority="3780" dxfId="22">
      <formula>AV12="후보"</formula>
    </cfRule>
  </conditionalFormatting>
  <conditionalFormatting sqref="AC1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2">
    <cfRule type="expression" priority="3771" dxfId="3">
      <formula>AND(IF(OR($Q12=1,$Q12=2),1,0),IF($X12&lt;=20,1,0))</formula>
    </cfRule>
    <cfRule type="expression" priority="3772" dxfId="2">
      <formula>AND(IF($Q12=2,1,0),IF($X12&lt;30,1,0))</formula>
    </cfRule>
    <cfRule type="expression" priority="3773" dxfId="1">
      <formula>AND(IF($Q12=3,1,0),IF($X12&lt;30,1,0))</formula>
    </cfRule>
    <cfRule type="expression" priority="3774" dxfId="0">
      <formula>AND(IF($Q12=3,1,IF($Q12=4,1,0)),IF($F12&lt;=85,1,0))</formula>
    </cfRule>
  </conditionalFormatting>
  <conditionalFormatting sqref="X12">
    <cfRule type="expression" priority="3767" dxfId="3">
      <formula>AND(IF(OR($Q12=1,$Q12=2),1,0),IF($X12&lt;=20,1,0))</formula>
    </cfRule>
    <cfRule type="expression" priority="3768" dxfId="2">
      <formula>AND(IF($Q12=2,1,0),IF($X12&lt;30,1,0))</formula>
    </cfRule>
    <cfRule type="expression" priority="3769" dxfId="1">
      <formula>AND(IF($Q12=3,1,0),IF($X12&lt;30,1,0))</formula>
    </cfRule>
    <cfRule type="expression" priority="3770" dxfId="0">
      <formula>AND(IF($Q12=3,1,IF($Q12=4,1,0)),IF($F12&lt;=85,1,0))</formula>
    </cfRule>
  </conditionalFormatting>
  <conditionalFormatting sqref="AI12">
    <cfRule type="expression" priority="3763" dxfId="3">
      <formula>AND(IF(OR($Q12=1,$Q12=2),1,0),IF($X12&lt;=20,1,0))</formula>
    </cfRule>
    <cfRule type="expression" priority="3764" dxfId="2">
      <formula>AND(IF($Q12=2,1,0),IF($X12&lt;30,1,0))</formula>
    </cfRule>
    <cfRule type="expression" priority="3765" dxfId="1">
      <formula>AND(IF($Q12=3,1,0),IF($X12&lt;30,1,0))</formula>
    </cfRule>
    <cfRule type="expression" priority="3766" dxfId="0">
      <formula>AND(IF($Q12=3,1,IF($Q12=4,1,0)),IF($F12&lt;=85,1,0))</formula>
    </cfRule>
  </conditionalFormatting>
  <conditionalFormatting sqref="AV13">
    <cfRule type="expression" priority="3761" dxfId="23">
      <formula>AV13="X"</formula>
    </cfRule>
    <cfRule type="expression" priority="3762" dxfId="22">
      <formula>AV13="후보"</formula>
    </cfRule>
  </conditionalFormatting>
  <conditionalFormatting sqref="AC1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3">
    <cfRule type="expression" priority="3753" dxfId="3">
      <formula>AND(IF(OR($Q13=1,$Q13=2),1,0),IF($X13&lt;=20,1,0))</formula>
    </cfRule>
    <cfRule type="expression" priority="3754" dxfId="2">
      <formula>AND(IF($Q13=2,1,0),IF($X13&lt;30,1,0))</formula>
    </cfRule>
    <cfRule type="expression" priority="3755" dxfId="1">
      <formula>AND(IF($Q13=3,1,0),IF($X13&lt;30,1,0))</formula>
    </cfRule>
    <cfRule type="expression" priority="3756" dxfId="0">
      <formula>AND(IF($Q13=3,1,IF($Q13=4,1,0)),IF($F13&lt;=85,1,0))</formula>
    </cfRule>
  </conditionalFormatting>
  <conditionalFormatting sqref="X13">
    <cfRule type="expression" priority="3749" dxfId="3">
      <formula>AND(IF(OR($Q13=1,$Q13=2),1,0),IF($X13&lt;=20,1,0))</formula>
    </cfRule>
    <cfRule type="expression" priority="3750" dxfId="2">
      <formula>AND(IF($Q13=2,1,0),IF($X13&lt;30,1,0))</formula>
    </cfRule>
    <cfRule type="expression" priority="3751" dxfId="1">
      <formula>AND(IF($Q13=3,1,0),IF($X13&lt;30,1,0))</formula>
    </cfRule>
    <cfRule type="expression" priority="3752" dxfId="0">
      <formula>AND(IF($Q13=3,1,IF($Q13=4,1,0)),IF($F13&lt;=85,1,0))</formula>
    </cfRule>
  </conditionalFormatting>
  <conditionalFormatting sqref="AI13">
    <cfRule type="expression" priority="3745" dxfId="3">
      <formula>AND(IF(OR($Q13=1,$Q13=2),1,0),IF($X13&lt;=20,1,0))</formula>
    </cfRule>
    <cfRule type="expression" priority="3746" dxfId="2">
      <formula>AND(IF($Q13=2,1,0),IF($X13&lt;30,1,0))</formula>
    </cfRule>
    <cfRule type="expression" priority="3747" dxfId="1">
      <formula>AND(IF($Q13=3,1,0),IF($X13&lt;30,1,0))</formula>
    </cfRule>
    <cfRule type="expression" priority="3748" dxfId="0">
      <formula>AND(IF($Q13=3,1,IF($Q13=4,1,0)),IF($F13&lt;=85,1,0))</formula>
    </cfRule>
  </conditionalFormatting>
  <conditionalFormatting sqref="AV14">
    <cfRule type="expression" priority="3743" dxfId="23">
      <formula>AV14="X"</formula>
    </cfRule>
    <cfRule type="expression" priority="3744" dxfId="22">
      <formula>AV14="후보"</formula>
    </cfRule>
  </conditionalFormatting>
  <conditionalFormatting sqref="AC1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4">
    <cfRule type="expression" priority="3735" dxfId="3">
      <formula>AND(IF(OR($Q14=1,$Q14=2),1,0),IF($X14&lt;=20,1,0))</formula>
    </cfRule>
    <cfRule type="expression" priority="3736" dxfId="2">
      <formula>AND(IF($Q14=2,1,0),IF($X14&lt;30,1,0))</formula>
    </cfRule>
    <cfRule type="expression" priority="3737" dxfId="1">
      <formula>AND(IF($Q14=3,1,0),IF($X14&lt;30,1,0))</formula>
    </cfRule>
    <cfRule type="expression" priority="3738" dxfId="0">
      <formula>AND(IF($Q14=3,1,IF($Q14=4,1,0)),IF($F14&lt;=85,1,0))</formula>
    </cfRule>
  </conditionalFormatting>
  <conditionalFormatting sqref="X14">
    <cfRule type="expression" priority="3731" dxfId="3">
      <formula>AND(IF(OR($Q14=1,$Q14=2),1,0),IF($X14&lt;=20,1,0))</formula>
    </cfRule>
    <cfRule type="expression" priority="3732" dxfId="2">
      <formula>AND(IF($Q14=2,1,0),IF($X14&lt;30,1,0))</formula>
    </cfRule>
    <cfRule type="expression" priority="3733" dxfId="1">
      <formula>AND(IF($Q14=3,1,0),IF($X14&lt;30,1,0))</formula>
    </cfRule>
    <cfRule type="expression" priority="3734" dxfId="0">
      <formula>AND(IF($Q14=3,1,IF($Q14=4,1,0)),IF($F14&lt;=85,1,0))</formula>
    </cfRule>
  </conditionalFormatting>
  <conditionalFormatting sqref="AI14">
    <cfRule type="expression" priority="3727" dxfId="3">
      <formula>AND(IF(OR($Q14=1,$Q14=2),1,0),IF($X14&lt;=20,1,0))</formula>
    </cfRule>
    <cfRule type="expression" priority="3728" dxfId="2">
      <formula>AND(IF($Q14=2,1,0),IF($X14&lt;30,1,0))</formula>
    </cfRule>
    <cfRule type="expression" priority="3729" dxfId="1">
      <formula>AND(IF($Q14=3,1,0),IF($X14&lt;30,1,0))</formula>
    </cfRule>
    <cfRule type="expression" priority="3730" dxfId="0">
      <formula>AND(IF($Q14=3,1,IF($Q14=4,1,0)),IF($F14&lt;=85,1,0))</formula>
    </cfRule>
  </conditionalFormatting>
  <conditionalFormatting sqref="AV15">
    <cfRule type="expression" priority="3725" dxfId="23">
      <formula>AV15="X"</formula>
    </cfRule>
    <cfRule type="expression" priority="3726" dxfId="22">
      <formula>AV15="후보"</formula>
    </cfRule>
  </conditionalFormatting>
  <conditionalFormatting sqref="AC1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5">
    <cfRule type="expression" priority="3717" dxfId="3">
      <formula>AND(IF(OR($Q15=1,$Q15=2),1,0),IF($X15&lt;=20,1,0))</formula>
    </cfRule>
    <cfRule type="expression" priority="3718" dxfId="2">
      <formula>AND(IF($Q15=2,1,0),IF($X15&lt;30,1,0))</formula>
    </cfRule>
    <cfRule type="expression" priority="3719" dxfId="1">
      <formula>AND(IF($Q15=3,1,0),IF($X15&lt;30,1,0))</formula>
    </cfRule>
    <cfRule type="expression" priority="3720" dxfId="0">
      <formula>AND(IF($Q15=3,1,IF($Q15=4,1,0)),IF($F15&lt;=85,1,0))</formula>
    </cfRule>
  </conditionalFormatting>
  <conditionalFormatting sqref="X15">
    <cfRule type="expression" priority="3713" dxfId="3">
      <formula>AND(IF(OR($Q15=1,$Q15=2),1,0),IF($X15&lt;=20,1,0))</formula>
    </cfRule>
    <cfRule type="expression" priority="3714" dxfId="2">
      <formula>AND(IF($Q15=2,1,0),IF($X15&lt;30,1,0))</formula>
    </cfRule>
    <cfRule type="expression" priority="3715" dxfId="1">
      <formula>AND(IF($Q15=3,1,0),IF($X15&lt;30,1,0))</formula>
    </cfRule>
    <cfRule type="expression" priority="3716" dxfId="0">
      <formula>AND(IF($Q15=3,1,IF($Q15=4,1,0)),IF($F15&lt;=85,1,0))</formula>
    </cfRule>
  </conditionalFormatting>
  <conditionalFormatting sqref="AI15">
    <cfRule type="expression" priority="3709" dxfId="3">
      <formula>AND(IF(OR($Q15=1,$Q15=2),1,0),IF($X15&lt;=20,1,0))</formula>
    </cfRule>
    <cfRule type="expression" priority="3710" dxfId="2">
      <formula>AND(IF($Q15=2,1,0),IF($X15&lt;30,1,0))</formula>
    </cfRule>
    <cfRule type="expression" priority="3711" dxfId="1">
      <formula>AND(IF($Q15=3,1,0),IF($X15&lt;30,1,0))</formula>
    </cfRule>
    <cfRule type="expression" priority="3712" dxfId="0">
      <formula>AND(IF($Q15=3,1,IF($Q15=4,1,0)),IF($F15&lt;=85,1,0))</formula>
    </cfRule>
  </conditionalFormatting>
  <conditionalFormatting sqref="AV16">
    <cfRule type="expression" priority="3707" dxfId="23">
      <formula>AV16="X"</formula>
    </cfRule>
    <cfRule type="expression" priority="3708" dxfId="22">
      <formula>AV16="후보"</formula>
    </cfRule>
  </conditionalFormatting>
  <conditionalFormatting sqref="AC1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6">
    <cfRule type="expression" priority="3699" dxfId="3">
      <formula>AND(IF(OR($Q16=1,$Q16=2),1,0),IF($X16&lt;=20,1,0))</formula>
    </cfRule>
    <cfRule type="expression" priority="3700" dxfId="2">
      <formula>AND(IF($Q16=2,1,0),IF($X16&lt;30,1,0))</formula>
    </cfRule>
    <cfRule type="expression" priority="3701" dxfId="1">
      <formula>AND(IF($Q16=3,1,0),IF($X16&lt;30,1,0))</formula>
    </cfRule>
    <cfRule type="expression" priority="3702" dxfId="0">
      <formula>AND(IF($Q16=3,1,IF($Q16=4,1,0)),IF($F16&lt;=85,1,0))</formula>
    </cfRule>
  </conditionalFormatting>
  <conditionalFormatting sqref="X16">
    <cfRule type="expression" priority="3695" dxfId="3">
      <formula>AND(IF(OR($Q16=1,$Q16=2),1,0),IF($X16&lt;=20,1,0))</formula>
    </cfRule>
    <cfRule type="expression" priority="3696" dxfId="2">
      <formula>AND(IF($Q16=2,1,0),IF($X16&lt;30,1,0))</formula>
    </cfRule>
    <cfRule type="expression" priority="3697" dxfId="1">
      <formula>AND(IF($Q16=3,1,0),IF($X16&lt;30,1,0))</formula>
    </cfRule>
    <cfRule type="expression" priority="3698" dxfId="0">
      <formula>AND(IF($Q16=3,1,IF($Q16=4,1,0)),IF($F16&lt;=85,1,0))</formula>
    </cfRule>
  </conditionalFormatting>
  <conditionalFormatting sqref="AI16">
    <cfRule type="expression" priority="3691" dxfId="3">
      <formula>AND(IF(OR($Q16=1,$Q16=2),1,0),IF($X16&lt;=20,1,0))</formula>
    </cfRule>
    <cfRule type="expression" priority="3692" dxfId="2">
      <formula>AND(IF($Q16=2,1,0),IF($X16&lt;30,1,0))</formula>
    </cfRule>
    <cfRule type="expression" priority="3693" dxfId="1">
      <formula>AND(IF($Q16=3,1,0),IF($X16&lt;30,1,0))</formula>
    </cfRule>
    <cfRule type="expression" priority="3694" dxfId="0">
      <formula>AND(IF($Q16=3,1,IF($Q16=4,1,0)),IF($F16&lt;=85,1,0))</formula>
    </cfRule>
  </conditionalFormatting>
  <conditionalFormatting sqref="AV17">
    <cfRule type="expression" priority="3689" dxfId="23">
      <formula>AV17="X"</formula>
    </cfRule>
    <cfRule type="expression" priority="3690" dxfId="22">
      <formula>AV17="후보"</formula>
    </cfRule>
  </conditionalFormatting>
  <conditionalFormatting sqref="AC1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7">
    <cfRule type="expression" priority="3681" dxfId="3">
      <formula>AND(IF(OR($Q17=1,$Q17=2),1,0),IF($X17&lt;=20,1,0))</formula>
    </cfRule>
    <cfRule type="expression" priority="3682" dxfId="2">
      <formula>AND(IF($Q17=2,1,0),IF($X17&lt;30,1,0))</formula>
    </cfRule>
    <cfRule type="expression" priority="3683" dxfId="1">
      <formula>AND(IF($Q17=3,1,0),IF($X17&lt;30,1,0))</formula>
    </cfRule>
    <cfRule type="expression" priority="3684" dxfId="0">
      <formula>AND(IF($Q17=3,1,IF($Q17=4,1,0)),IF($F17&lt;=85,1,0))</formula>
    </cfRule>
  </conditionalFormatting>
  <conditionalFormatting sqref="X17">
    <cfRule type="expression" priority="3677" dxfId="3">
      <formula>AND(IF(OR($Q17=1,$Q17=2),1,0),IF($X17&lt;=20,1,0))</formula>
    </cfRule>
    <cfRule type="expression" priority="3678" dxfId="2">
      <formula>AND(IF($Q17=2,1,0),IF($X17&lt;30,1,0))</formula>
    </cfRule>
    <cfRule type="expression" priority="3679" dxfId="1">
      <formula>AND(IF($Q17=3,1,0),IF($X17&lt;30,1,0))</formula>
    </cfRule>
    <cfRule type="expression" priority="3680" dxfId="0">
      <formula>AND(IF($Q17=3,1,IF($Q17=4,1,0)),IF($F17&lt;=85,1,0))</formula>
    </cfRule>
  </conditionalFormatting>
  <conditionalFormatting sqref="AI17">
    <cfRule type="expression" priority="3673" dxfId="3">
      <formula>AND(IF(OR($Q17=1,$Q17=2),1,0),IF($X17&lt;=20,1,0))</formula>
    </cfRule>
    <cfRule type="expression" priority="3674" dxfId="2">
      <formula>AND(IF($Q17=2,1,0),IF($X17&lt;30,1,0))</formula>
    </cfRule>
    <cfRule type="expression" priority="3675" dxfId="1">
      <formula>AND(IF($Q17=3,1,0),IF($X17&lt;30,1,0))</formula>
    </cfRule>
    <cfRule type="expression" priority="3676" dxfId="0">
      <formula>AND(IF($Q17=3,1,IF($Q17=4,1,0)),IF($F17&lt;=85,1,0))</formula>
    </cfRule>
  </conditionalFormatting>
  <conditionalFormatting sqref="AV18">
    <cfRule type="expression" priority="3671" dxfId="23">
      <formula>AV18="X"</formula>
    </cfRule>
    <cfRule type="expression" priority="3672" dxfId="22">
      <formula>AV18="후보"</formula>
    </cfRule>
  </conditionalFormatting>
  <conditionalFormatting sqref="AC1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1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18">
    <cfRule type="expression" priority="3663" dxfId="3">
      <formula>AND(IF(OR($Q18=1,$Q18=2),1,0),IF($X18&lt;=20,1,0))</formula>
    </cfRule>
    <cfRule type="expression" priority="3664" dxfId="2">
      <formula>AND(IF($Q18=2,1,0),IF($X18&lt;30,1,0))</formula>
    </cfRule>
    <cfRule type="expression" priority="3665" dxfId="1">
      <formula>AND(IF($Q18=3,1,0),IF($X18&lt;30,1,0))</formula>
    </cfRule>
    <cfRule type="expression" priority="3666" dxfId="0">
      <formula>AND(IF($Q18=3,1,IF($Q18=4,1,0)),IF($F18&lt;=85,1,0))</formula>
    </cfRule>
  </conditionalFormatting>
  <conditionalFormatting sqref="X18">
    <cfRule type="expression" priority="3659" dxfId="3">
      <formula>AND(IF(OR($Q18=1,$Q18=2),1,0),IF($X18&lt;=20,1,0))</formula>
    </cfRule>
    <cfRule type="expression" priority="3660" dxfId="2">
      <formula>AND(IF($Q18=2,1,0),IF($X18&lt;30,1,0))</formula>
    </cfRule>
    <cfRule type="expression" priority="3661" dxfId="1">
      <formula>AND(IF($Q18=3,1,0),IF($X18&lt;30,1,0))</formula>
    </cfRule>
    <cfRule type="expression" priority="3662" dxfId="0">
      <formula>AND(IF($Q18=3,1,IF($Q18=4,1,0)),IF($F18&lt;=85,1,0))</formula>
    </cfRule>
  </conditionalFormatting>
  <conditionalFormatting sqref="AI18">
    <cfRule type="expression" priority="3655" dxfId="3">
      <formula>AND(IF(OR($Q18=1,$Q18=2),1,0),IF($X18&lt;=20,1,0))</formula>
    </cfRule>
    <cfRule type="expression" priority="3656" dxfId="2">
      <formula>AND(IF($Q18=2,1,0),IF($X18&lt;30,1,0))</formula>
    </cfRule>
    <cfRule type="expression" priority="3657" dxfId="1">
      <formula>AND(IF($Q18=3,1,0),IF($X18&lt;30,1,0))</formula>
    </cfRule>
    <cfRule type="expression" priority="3658" dxfId="0">
      <formula>AND(IF($Q18=3,1,IF($Q18=4,1,0)),IF($F18&lt;=85,1,0))</formula>
    </cfRule>
  </conditionalFormatting>
  <conditionalFormatting sqref="AV19">
    <cfRule type="expression" priority="3653" dxfId="23">
      <formula>AV19="X"</formula>
    </cfRule>
    <cfRule type="expression" priority="3654" dxfId="22">
      <formula>AV19="후보"</formula>
    </cfRule>
  </conditionalFormatting>
  <conditionalFormatting sqref="AC1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1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19">
    <cfRule type="expression" priority="3645" dxfId="3">
      <formula>AND(IF(OR($Q19=1,$Q19=2),1,0),IF($X19&lt;=20,1,0))</formula>
    </cfRule>
    <cfRule type="expression" priority="3646" dxfId="2">
      <formula>AND(IF($Q19=2,1,0),IF($X19&lt;30,1,0))</formula>
    </cfRule>
    <cfRule type="expression" priority="3647" dxfId="1">
      <formula>AND(IF($Q19=3,1,0),IF($X19&lt;30,1,0))</formula>
    </cfRule>
    <cfRule type="expression" priority="3648" dxfId="0">
      <formula>AND(IF($Q19=3,1,IF($Q19=4,1,0)),IF($F19&lt;=85,1,0))</formula>
    </cfRule>
  </conditionalFormatting>
  <conditionalFormatting sqref="X19">
    <cfRule type="expression" priority="3641" dxfId="3">
      <formula>AND(IF(OR($Q19=1,$Q19=2),1,0),IF($X19&lt;=20,1,0))</formula>
    </cfRule>
    <cfRule type="expression" priority="3642" dxfId="2">
      <formula>AND(IF($Q19=2,1,0),IF($X19&lt;30,1,0))</formula>
    </cfRule>
    <cfRule type="expression" priority="3643" dxfId="1">
      <formula>AND(IF($Q19=3,1,0),IF($X19&lt;30,1,0))</formula>
    </cfRule>
    <cfRule type="expression" priority="3644" dxfId="0">
      <formula>AND(IF($Q19=3,1,IF($Q19=4,1,0)),IF($F19&lt;=85,1,0))</formula>
    </cfRule>
  </conditionalFormatting>
  <conditionalFormatting sqref="AI19">
    <cfRule type="expression" priority="3637" dxfId="3">
      <formula>AND(IF(OR($Q19=1,$Q19=2),1,0),IF($X19&lt;=20,1,0))</formula>
    </cfRule>
    <cfRule type="expression" priority="3638" dxfId="2">
      <formula>AND(IF($Q19=2,1,0),IF($X19&lt;30,1,0))</formula>
    </cfRule>
    <cfRule type="expression" priority="3639" dxfId="1">
      <formula>AND(IF($Q19=3,1,0),IF($X19&lt;30,1,0))</formula>
    </cfRule>
    <cfRule type="expression" priority="3640" dxfId="0">
      <formula>AND(IF($Q19=3,1,IF($Q19=4,1,0)),IF($F19&lt;=85,1,0))</formula>
    </cfRule>
  </conditionalFormatting>
  <conditionalFormatting sqref="AV20">
    <cfRule type="expression" priority="3635" dxfId="23">
      <formula>AV20="X"</formula>
    </cfRule>
    <cfRule type="expression" priority="3636" dxfId="22">
      <formula>AV20="후보"</formula>
    </cfRule>
  </conditionalFormatting>
  <conditionalFormatting sqref="AC2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0">
    <cfRule type="expression" priority="3627" dxfId="3">
      <formula>AND(IF(OR($Q20=1,$Q20=2),1,0),IF($X20&lt;=20,1,0))</formula>
    </cfRule>
    <cfRule type="expression" priority="3628" dxfId="2">
      <formula>AND(IF($Q20=2,1,0),IF($X20&lt;30,1,0))</formula>
    </cfRule>
    <cfRule type="expression" priority="3629" dxfId="1">
      <formula>AND(IF($Q20=3,1,0),IF($X20&lt;30,1,0))</formula>
    </cfRule>
    <cfRule type="expression" priority="3630" dxfId="0">
      <formula>AND(IF($Q20=3,1,IF($Q20=4,1,0)),IF($F20&lt;=85,1,0))</formula>
    </cfRule>
  </conditionalFormatting>
  <conditionalFormatting sqref="X20">
    <cfRule type="expression" priority="3623" dxfId="3">
      <formula>AND(IF(OR($Q20=1,$Q20=2),1,0),IF($X20&lt;=20,1,0))</formula>
    </cfRule>
    <cfRule type="expression" priority="3624" dxfId="2">
      <formula>AND(IF($Q20=2,1,0),IF($X20&lt;30,1,0))</formula>
    </cfRule>
    <cfRule type="expression" priority="3625" dxfId="1">
      <formula>AND(IF($Q20=3,1,0),IF($X20&lt;30,1,0))</formula>
    </cfRule>
    <cfRule type="expression" priority="3626" dxfId="0">
      <formula>AND(IF($Q20=3,1,IF($Q20=4,1,0)),IF($F20&lt;=85,1,0))</formula>
    </cfRule>
  </conditionalFormatting>
  <conditionalFormatting sqref="AI20">
    <cfRule type="expression" priority="3619" dxfId="3">
      <formula>AND(IF(OR($Q20=1,$Q20=2),1,0),IF($X20&lt;=20,1,0))</formula>
    </cfRule>
    <cfRule type="expression" priority="3620" dxfId="2">
      <formula>AND(IF($Q20=2,1,0),IF($X20&lt;30,1,0))</formula>
    </cfRule>
    <cfRule type="expression" priority="3621" dxfId="1">
      <formula>AND(IF($Q20=3,1,0),IF($X20&lt;30,1,0))</formula>
    </cfRule>
    <cfRule type="expression" priority="3622" dxfId="0">
      <formula>AND(IF($Q20=3,1,IF($Q20=4,1,0)),IF($F20&lt;=85,1,0))</formula>
    </cfRule>
  </conditionalFormatting>
  <conditionalFormatting sqref="AV21">
    <cfRule type="expression" priority="3617" dxfId="23">
      <formula>AV21="X"</formula>
    </cfRule>
    <cfRule type="expression" priority="3618" dxfId="22">
      <formula>AV21="후보"</formula>
    </cfRule>
  </conditionalFormatting>
  <conditionalFormatting sqref="AC2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1">
    <cfRule type="expression" priority="3609" dxfId="3">
      <formula>AND(IF(OR($Q21=1,$Q21=2),1,0),IF($X21&lt;=20,1,0))</formula>
    </cfRule>
    <cfRule type="expression" priority="3610" dxfId="2">
      <formula>AND(IF($Q21=2,1,0),IF($X21&lt;30,1,0))</formula>
    </cfRule>
    <cfRule type="expression" priority="3611" dxfId="1">
      <formula>AND(IF($Q21=3,1,0),IF($X21&lt;30,1,0))</formula>
    </cfRule>
    <cfRule type="expression" priority="3612" dxfId="0">
      <formula>AND(IF($Q21=3,1,IF($Q21=4,1,0)),IF($F21&lt;=85,1,0))</formula>
    </cfRule>
  </conditionalFormatting>
  <conditionalFormatting sqref="X21">
    <cfRule type="expression" priority="3605" dxfId="3">
      <formula>AND(IF(OR($Q21=1,$Q21=2),1,0),IF($X21&lt;=20,1,0))</formula>
    </cfRule>
    <cfRule type="expression" priority="3606" dxfId="2">
      <formula>AND(IF($Q21=2,1,0),IF($X21&lt;30,1,0))</formula>
    </cfRule>
    <cfRule type="expression" priority="3607" dxfId="1">
      <formula>AND(IF($Q21=3,1,0),IF($X21&lt;30,1,0))</formula>
    </cfRule>
    <cfRule type="expression" priority="3608" dxfId="0">
      <formula>AND(IF($Q21=3,1,IF($Q21=4,1,0)),IF($F21&lt;=85,1,0))</formula>
    </cfRule>
  </conditionalFormatting>
  <conditionalFormatting sqref="AI21">
    <cfRule type="expression" priority="3601" dxfId="3">
      <formula>AND(IF(OR($Q21=1,$Q21=2),1,0),IF($X21&lt;=20,1,0))</formula>
    </cfRule>
    <cfRule type="expression" priority="3602" dxfId="2">
      <formula>AND(IF($Q21=2,1,0),IF($X21&lt;30,1,0))</formula>
    </cfRule>
    <cfRule type="expression" priority="3603" dxfId="1">
      <formula>AND(IF($Q21=3,1,0),IF($X21&lt;30,1,0))</formula>
    </cfRule>
    <cfRule type="expression" priority="3604" dxfId="0">
      <formula>AND(IF($Q21=3,1,IF($Q21=4,1,0)),IF($F21&lt;=85,1,0))</formula>
    </cfRule>
  </conditionalFormatting>
  <conditionalFormatting sqref="AV22">
    <cfRule type="expression" priority="3599" dxfId="23">
      <formula>AV22="X"</formula>
    </cfRule>
    <cfRule type="expression" priority="3600" dxfId="22">
      <formula>AV22="후보"</formula>
    </cfRule>
  </conditionalFormatting>
  <conditionalFormatting sqref="AC2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2">
    <cfRule type="expression" priority="3591" dxfId="3">
      <formula>AND(IF(OR($Q22=1,$Q22=2),1,0),IF($X22&lt;=20,1,0))</formula>
    </cfRule>
    <cfRule type="expression" priority="3592" dxfId="2">
      <formula>AND(IF($Q22=2,1,0),IF($X22&lt;30,1,0))</formula>
    </cfRule>
    <cfRule type="expression" priority="3593" dxfId="1">
      <formula>AND(IF($Q22=3,1,0),IF($X22&lt;30,1,0))</formula>
    </cfRule>
    <cfRule type="expression" priority="3594" dxfId="0">
      <formula>AND(IF($Q22=3,1,IF($Q22=4,1,0)),IF($F22&lt;=85,1,0))</formula>
    </cfRule>
  </conditionalFormatting>
  <conditionalFormatting sqref="X22">
    <cfRule type="expression" priority="3587" dxfId="3">
      <formula>AND(IF(OR($Q22=1,$Q22=2),1,0),IF($X22&lt;=20,1,0))</formula>
    </cfRule>
    <cfRule type="expression" priority="3588" dxfId="2">
      <formula>AND(IF($Q22=2,1,0),IF($X22&lt;30,1,0))</formula>
    </cfRule>
    <cfRule type="expression" priority="3589" dxfId="1">
      <formula>AND(IF($Q22=3,1,0),IF($X22&lt;30,1,0))</formula>
    </cfRule>
    <cfRule type="expression" priority="3590" dxfId="0">
      <formula>AND(IF($Q22=3,1,IF($Q22=4,1,0)),IF($F22&lt;=85,1,0))</formula>
    </cfRule>
  </conditionalFormatting>
  <conditionalFormatting sqref="AI22">
    <cfRule type="expression" priority="3583" dxfId="3">
      <formula>AND(IF(OR($Q22=1,$Q22=2),1,0),IF($X22&lt;=20,1,0))</formula>
    </cfRule>
    <cfRule type="expression" priority="3584" dxfId="2">
      <formula>AND(IF($Q22=2,1,0),IF($X22&lt;30,1,0))</formula>
    </cfRule>
    <cfRule type="expression" priority="3585" dxfId="1">
      <formula>AND(IF($Q22=3,1,0),IF($X22&lt;30,1,0))</formula>
    </cfRule>
    <cfRule type="expression" priority="3586" dxfId="0">
      <formula>AND(IF($Q22=3,1,IF($Q22=4,1,0)),IF($F22&lt;=85,1,0))</formula>
    </cfRule>
  </conditionalFormatting>
  <conditionalFormatting sqref="AV23">
    <cfRule type="expression" priority="3581" dxfId="23">
      <formula>AV23="X"</formula>
    </cfRule>
    <cfRule type="expression" priority="3582" dxfId="22">
      <formula>AV23="후보"</formula>
    </cfRule>
  </conditionalFormatting>
  <conditionalFormatting sqref="AC2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3">
    <cfRule type="expression" priority="3573" dxfId="3">
      <formula>AND(IF(OR($Q23=1,$Q23=2),1,0),IF($X23&lt;=20,1,0))</formula>
    </cfRule>
    <cfRule type="expression" priority="3574" dxfId="2">
      <formula>AND(IF($Q23=2,1,0),IF($X23&lt;30,1,0))</formula>
    </cfRule>
    <cfRule type="expression" priority="3575" dxfId="1">
      <formula>AND(IF($Q23=3,1,0),IF($X23&lt;30,1,0))</formula>
    </cfRule>
    <cfRule type="expression" priority="3576" dxfId="0">
      <formula>AND(IF($Q23=3,1,IF($Q23=4,1,0)),IF($F23&lt;=85,1,0))</formula>
    </cfRule>
  </conditionalFormatting>
  <conditionalFormatting sqref="X23">
    <cfRule type="expression" priority="3569" dxfId="3">
      <formula>AND(IF(OR($Q23=1,$Q23=2),1,0),IF($X23&lt;=20,1,0))</formula>
    </cfRule>
    <cfRule type="expression" priority="3570" dxfId="2">
      <formula>AND(IF($Q23=2,1,0),IF($X23&lt;30,1,0))</formula>
    </cfRule>
    <cfRule type="expression" priority="3571" dxfId="1">
      <formula>AND(IF($Q23=3,1,0),IF($X23&lt;30,1,0))</formula>
    </cfRule>
    <cfRule type="expression" priority="3572" dxfId="0">
      <formula>AND(IF($Q23=3,1,IF($Q23=4,1,0)),IF($F23&lt;=85,1,0))</formula>
    </cfRule>
  </conditionalFormatting>
  <conditionalFormatting sqref="AI23">
    <cfRule type="expression" priority="3565" dxfId="3">
      <formula>AND(IF(OR($Q23=1,$Q23=2),1,0),IF($X23&lt;=20,1,0))</formula>
    </cfRule>
    <cfRule type="expression" priority="3566" dxfId="2">
      <formula>AND(IF($Q23=2,1,0),IF($X23&lt;30,1,0))</formula>
    </cfRule>
    <cfRule type="expression" priority="3567" dxfId="1">
      <formula>AND(IF($Q23=3,1,0),IF($X23&lt;30,1,0))</formula>
    </cfRule>
    <cfRule type="expression" priority="3568" dxfId="0">
      <formula>AND(IF($Q23=3,1,IF($Q23=4,1,0)),IF($F23&lt;=85,1,0))</formula>
    </cfRule>
  </conditionalFormatting>
  <conditionalFormatting sqref="AV24">
    <cfRule type="expression" priority="3563" dxfId="23">
      <formula>AV24="X"</formula>
    </cfRule>
    <cfRule type="expression" priority="3564" dxfId="22">
      <formula>AV24="후보"</formula>
    </cfRule>
  </conditionalFormatting>
  <conditionalFormatting sqref="AC2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4">
    <cfRule type="expression" priority="3555" dxfId="3">
      <formula>AND(IF(OR($Q24=1,$Q24=2),1,0),IF($X24&lt;=20,1,0))</formula>
    </cfRule>
    <cfRule type="expression" priority="3556" dxfId="2">
      <formula>AND(IF($Q24=2,1,0),IF($X24&lt;30,1,0))</formula>
    </cfRule>
    <cfRule type="expression" priority="3557" dxfId="1">
      <formula>AND(IF($Q24=3,1,0),IF($X24&lt;30,1,0))</formula>
    </cfRule>
    <cfRule type="expression" priority="3558" dxfId="0">
      <formula>AND(IF($Q24=3,1,IF($Q24=4,1,0)),IF($F24&lt;=85,1,0))</formula>
    </cfRule>
  </conditionalFormatting>
  <conditionalFormatting sqref="X24">
    <cfRule type="expression" priority="3551" dxfId="3">
      <formula>AND(IF(OR($Q24=1,$Q24=2),1,0),IF($X24&lt;=20,1,0))</formula>
    </cfRule>
    <cfRule type="expression" priority="3552" dxfId="2">
      <formula>AND(IF($Q24=2,1,0),IF($X24&lt;30,1,0))</formula>
    </cfRule>
    <cfRule type="expression" priority="3553" dxfId="1">
      <formula>AND(IF($Q24=3,1,0),IF($X24&lt;30,1,0))</formula>
    </cfRule>
    <cfRule type="expression" priority="3554" dxfId="0">
      <formula>AND(IF($Q24=3,1,IF($Q24=4,1,0)),IF($F24&lt;=85,1,0))</formula>
    </cfRule>
  </conditionalFormatting>
  <conditionalFormatting sqref="AI24">
    <cfRule type="expression" priority="3547" dxfId="3">
      <formula>AND(IF(OR($Q24=1,$Q24=2),1,0),IF($X24&lt;=20,1,0))</formula>
    </cfRule>
    <cfRule type="expression" priority="3548" dxfId="2">
      <formula>AND(IF($Q24=2,1,0),IF($X24&lt;30,1,0))</formula>
    </cfRule>
    <cfRule type="expression" priority="3549" dxfId="1">
      <formula>AND(IF($Q24=3,1,0),IF($X24&lt;30,1,0))</formula>
    </cfRule>
    <cfRule type="expression" priority="3550" dxfId="0">
      <formula>AND(IF($Q24=3,1,IF($Q24=4,1,0)),IF($F24&lt;=85,1,0))</formula>
    </cfRule>
  </conditionalFormatting>
  <conditionalFormatting sqref="AV25">
    <cfRule type="expression" priority="3545" dxfId="23">
      <formula>AV25="X"</formula>
    </cfRule>
    <cfRule type="expression" priority="3546" dxfId="22">
      <formula>AV25="후보"</formula>
    </cfRule>
  </conditionalFormatting>
  <conditionalFormatting sqref="AC2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5">
    <cfRule type="expression" priority="3537" dxfId="3">
      <formula>AND(IF(OR($Q25=1,$Q25=2),1,0),IF($X25&lt;=20,1,0))</formula>
    </cfRule>
    <cfRule type="expression" priority="3538" dxfId="2">
      <formula>AND(IF($Q25=2,1,0),IF($X25&lt;30,1,0))</formula>
    </cfRule>
    <cfRule type="expression" priority="3539" dxfId="1">
      <formula>AND(IF($Q25=3,1,0),IF($X25&lt;30,1,0))</formula>
    </cfRule>
    <cfRule type="expression" priority="3540" dxfId="0">
      <formula>AND(IF($Q25=3,1,IF($Q25=4,1,0)),IF($F25&lt;=85,1,0))</formula>
    </cfRule>
  </conditionalFormatting>
  <conditionalFormatting sqref="X25">
    <cfRule type="expression" priority="3533" dxfId="3">
      <formula>AND(IF(OR($Q25=1,$Q25=2),1,0),IF($X25&lt;=20,1,0))</formula>
    </cfRule>
    <cfRule type="expression" priority="3534" dxfId="2">
      <formula>AND(IF($Q25=2,1,0),IF($X25&lt;30,1,0))</formula>
    </cfRule>
    <cfRule type="expression" priority="3535" dxfId="1">
      <formula>AND(IF($Q25=3,1,0),IF($X25&lt;30,1,0))</formula>
    </cfRule>
    <cfRule type="expression" priority="3536" dxfId="0">
      <formula>AND(IF($Q25=3,1,IF($Q25=4,1,0)),IF($F25&lt;=85,1,0))</formula>
    </cfRule>
  </conditionalFormatting>
  <conditionalFormatting sqref="AI25">
    <cfRule type="expression" priority="3529" dxfId="3">
      <formula>AND(IF(OR($Q25=1,$Q25=2),1,0),IF($X25&lt;=20,1,0))</formula>
    </cfRule>
    <cfRule type="expression" priority="3530" dxfId="2">
      <formula>AND(IF($Q25=2,1,0),IF($X25&lt;30,1,0))</formula>
    </cfRule>
    <cfRule type="expression" priority="3531" dxfId="1">
      <formula>AND(IF($Q25=3,1,0),IF($X25&lt;30,1,0))</formula>
    </cfRule>
    <cfRule type="expression" priority="3532" dxfId="0">
      <formula>AND(IF($Q25=3,1,IF($Q25=4,1,0)),IF($F25&lt;=85,1,0))</formula>
    </cfRule>
  </conditionalFormatting>
  <conditionalFormatting sqref="AV26">
    <cfRule type="expression" priority="3527" dxfId="23">
      <formula>AV26="X"</formula>
    </cfRule>
    <cfRule type="expression" priority="3528" dxfId="22">
      <formula>AV26="후보"</formula>
    </cfRule>
  </conditionalFormatting>
  <conditionalFormatting sqref="AC2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6">
    <cfRule type="expression" priority="3519" dxfId="3">
      <formula>AND(IF(OR($Q26=1,$Q26=2),1,0),IF($X26&lt;=20,1,0))</formula>
    </cfRule>
    <cfRule type="expression" priority="3520" dxfId="2">
      <formula>AND(IF($Q26=2,1,0),IF($X26&lt;30,1,0))</formula>
    </cfRule>
    <cfRule type="expression" priority="3521" dxfId="1">
      <formula>AND(IF($Q26=3,1,0),IF($X26&lt;30,1,0))</formula>
    </cfRule>
    <cfRule type="expression" priority="3522" dxfId="0">
      <formula>AND(IF($Q26=3,1,IF($Q26=4,1,0)),IF($F26&lt;=85,1,0))</formula>
    </cfRule>
  </conditionalFormatting>
  <conditionalFormatting sqref="X26">
    <cfRule type="expression" priority="3515" dxfId="3">
      <formula>AND(IF(OR($Q26=1,$Q26=2),1,0),IF($X26&lt;=20,1,0))</formula>
    </cfRule>
    <cfRule type="expression" priority="3516" dxfId="2">
      <formula>AND(IF($Q26=2,1,0),IF($X26&lt;30,1,0))</formula>
    </cfRule>
    <cfRule type="expression" priority="3517" dxfId="1">
      <formula>AND(IF($Q26=3,1,0),IF($X26&lt;30,1,0))</formula>
    </cfRule>
    <cfRule type="expression" priority="3518" dxfId="0">
      <formula>AND(IF($Q26=3,1,IF($Q26=4,1,0)),IF($F26&lt;=85,1,0))</formula>
    </cfRule>
  </conditionalFormatting>
  <conditionalFormatting sqref="AI26">
    <cfRule type="expression" priority="3511" dxfId="3">
      <formula>AND(IF(OR($Q26=1,$Q26=2),1,0),IF($X26&lt;=20,1,0))</formula>
    </cfRule>
    <cfRule type="expression" priority="3512" dxfId="2">
      <formula>AND(IF($Q26=2,1,0),IF($X26&lt;30,1,0))</formula>
    </cfRule>
    <cfRule type="expression" priority="3513" dxfId="1">
      <formula>AND(IF($Q26=3,1,0),IF($X26&lt;30,1,0))</formula>
    </cfRule>
    <cfRule type="expression" priority="3514" dxfId="0">
      <formula>AND(IF($Q26=3,1,IF($Q26=4,1,0)),IF($F26&lt;=85,1,0))</formula>
    </cfRule>
  </conditionalFormatting>
  <conditionalFormatting sqref="AV27">
    <cfRule type="expression" priority="3509" dxfId="23">
      <formula>AV27="X"</formula>
    </cfRule>
    <cfRule type="expression" priority="3510" dxfId="22">
      <formula>AV27="후보"</formula>
    </cfRule>
  </conditionalFormatting>
  <conditionalFormatting sqref="AC2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7">
    <cfRule type="expression" priority="3501" dxfId="3">
      <formula>AND(IF(OR($Q27=1,$Q27=2),1,0),IF($X27&lt;=20,1,0))</formula>
    </cfRule>
    <cfRule type="expression" priority="3502" dxfId="2">
      <formula>AND(IF($Q27=2,1,0),IF($X27&lt;30,1,0))</formula>
    </cfRule>
    <cfRule type="expression" priority="3503" dxfId="1">
      <formula>AND(IF($Q27=3,1,0),IF($X27&lt;30,1,0))</formula>
    </cfRule>
    <cfRule type="expression" priority="3504" dxfId="0">
      <formula>AND(IF($Q27=3,1,IF($Q27=4,1,0)),IF($F27&lt;=85,1,0))</formula>
    </cfRule>
  </conditionalFormatting>
  <conditionalFormatting sqref="X27">
    <cfRule type="expression" priority="3497" dxfId="3">
      <formula>AND(IF(OR($Q27=1,$Q27=2),1,0),IF($X27&lt;=20,1,0))</formula>
    </cfRule>
    <cfRule type="expression" priority="3498" dxfId="2">
      <formula>AND(IF($Q27=2,1,0),IF($X27&lt;30,1,0))</formula>
    </cfRule>
    <cfRule type="expression" priority="3499" dxfId="1">
      <formula>AND(IF($Q27=3,1,0),IF($X27&lt;30,1,0))</formula>
    </cfRule>
    <cfRule type="expression" priority="3500" dxfId="0">
      <formula>AND(IF($Q27=3,1,IF($Q27=4,1,0)),IF($F27&lt;=85,1,0))</formula>
    </cfRule>
  </conditionalFormatting>
  <conditionalFormatting sqref="AI27">
    <cfRule type="expression" priority="3493" dxfId="3">
      <formula>AND(IF(OR($Q27=1,$Q27=2),1,0),IF($X27&lt;=20,1,0))</formula>
    </cfRule>
    <cfRule type="expression" priority="3494" dxfId="2">
      <formula>AND(IF($Q27=2,1,0),IF($X27&lt;30,1,0))</formula>
    </cfRule>
    <cfRule type="expression" priority="3495" dxfId="1">
      <formula>AND(IF($Q27=3,1,0),IF($X27&lt;30,1,0))</formula>
    </cfRule>
    <cfRule type="expression" priority="3496" dxfId="0">
      <formula>AND(IF($Q27=3,1,IF($Q27=4,1,0)),IF($F27&lt;=85,1,0))</formula>
    </cfRule>
  </conditionalFormatting>
  <conditionalFormatting sqref="AV28">
    <cfRule type="expression" priority="3491" dxfId="23">
      <formula>AV28="X"</formula>
    </cfRule>
    <cfRule type="expression" priority="3492" dxfId="22">
      <formula>AV28="후보"</formula>
    </cfRule>
  </conditionalFormatting>
  <conditionalFormatting sqref="AC2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8">
    <cfRule type="expression" priority="3483" dxfId="3">
      <formula>AND(IF(OR($Q28=1,$Q28=2),1,0),IF($X28&lt;=20,1,0))</formula>
    </cfRule>
    <cfRule type="expression" priority="3484" dxfId="2">
      <formula>AND(IF($Q28=2,1,0),IF($X28&lt;30,1,0))</formula>
    </cfRule>
    <cfRule type="expression" priority="3485" dxfId="1">
      <formula>AND(IF($Q28=3,1,0),IF($X28&lt;30,1,0))</formula>
    </cfRule>
    <cfRule type="expression" priority="3486" dxfId="0">
      <formula>AND(IF($Q28=3,1,IF($Q28=4,1,0)),IF($F28&lt;=85,1,0))</formula>
    </cfRule>
  </conditionalFormatting>
  <conditionalFormatting sqref="X28">
    <cfRule type="expression" priority="3479" dxfId="3">
      <formula>AND(IF(OR($Q28=1,$Q28=2),1,0),IF($X28&lt;=20,1,0))</formula>
    </cfRule>
    <cfRule type="expression" priority="3480" dxfId="2">
      <formula>AND(IF($Q28=2,1,0),IF($X28&lt;30,1,0))</formula>
    </cfRule>
    <cfRule type="expression" priority="3481" dxfId="1">
      <formula>AND(IF($Q28=3,1,0),IF($X28&lt;30,1,0))</formula>
    </cfRule>
    <cfRule type="expression" priority="3482" dxfId="0">
      <formula>AND(IF($Q28=3,1,IF($Q28=4,1,0)),IF($F28&lt;=85,1,0))</formula>
    </cfRule>
  </conditionalFormatting>
  <conditionalFormatting sqref="AI28">
    <cfRule type="expression" priority="3475" dxfId="3">
      <formula>AND(IF(OR($Q28=1,$Q28=2),1,0),IF($X28&lt;=20,1,0))</formula>
    </cfRule>
    <cfRule type="expression" priority="3476" dxfId="2">
      <formula>AND(IF($Q28=2,1,0),IF($X28&lt;30,1,0))</formula>
    </cfRule>
    <cfRule type="expression" priority="3477" dxfId="1">
      <formula>AND(IF($Q28=3,1,0),IF($X28&lt;30,1,0))</formula>
    </cfRule>
    <cfRule type="expression" priority="3478" dxfId="0">
      <formula>AND(IF($Q28=3,1,IF($Q28=4,1,0)),IF($F28&lt;=85,1,0))</formula>
    </cfRule>
  </conditionalFormatting>
  <conditionalFormatting sqref="AV29">
    <cfRule type="expression" priority="3473" dxfId="23">
      <formula>AV29="X"</formula>
    </cfRule>
    <cfRule type="expression" priority="3474" dxfId="22">
      <formula>AV29="후보"</formula>
    </cfRule>
  </conditionalFormatting>
  <conditionalFormatting sqref="AC2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9">
    <cfRule type="expression" priority="3465" dxfId="3">
      <formula>AND(IF(OR($Q29=1,$Q29=2),1,0),IF($X29&lt;=20,1,0))</formula>
    </cfRule>
    <cfRule type="expression" priority="3466" dxfId="2">
      <formula>AND(IF($Q29=2,1,0),IF($X29&lt;30,1,0))</formula>
    </cfRule>
    <cfRule type="expression" priority="3467" dxfId="1">
      <formula>AND(IF($Q29=3,1,0),IF($X29&lt;30,1,0))</formula>
    </cfRule>
    <cfRule type="expression" priority="3468" dxfId="0">
      <formula>AND(IF($Q29=3,1,IF($Q29=4,1,0)),IF($F29&lt;=85,1,0))</formula>
    </cfRule>
  </conditionalFormatting>
  <conditionalFormatting sqref="X29">
    <cfRule type="expression" priority="3461" dxfId="3">
      <formula>AND(IF(OR($Q29=1,$Q29=2),1,0),IF($X29&lt;=20,1,0))</formula>
    </cfRule>
    <cfRule type="expression" priority="3462" dxfId="2">
      <formula>AND(IF($Q29=2,1,0),IF($X29&lt;30,1,0))</formula>
    </cfRule>
    <cfRule type="expression" priority="3463" dxfId="1">
      <formula>AND(IF($Q29=3,1,0),IF($X29&lt;30,1,0))</formula>
    </cfRule>
    <cfRule type="expression" priority="3464" dxfId="0">
      <formula>AND(IF($Q29=3,1,IF($Q29=4,1,0)),IF($F29&lt;=85,1,0))</formula>
    </cfRule>
  </conditionalFormatting>
  <conditionalFormatting sqref="AI29">
    <cfRule type="expression" priority="3457" dxfId="3">
      <formula>AND(IF(OR($Q29=1,$Q29=2),1,0),IF($X29&lt;=20,1,0))</formula>
    </cfRule>
    <cfRule type="expression" priority="3458" dxfId="2">
      <formula>AND(IF($Q29=2,1,0),IF($X29&lt;30,1,0))</formula>
    </cfRule>
    <cfRule type="expression" priority="3459" dxfId="1">
      <formula>AND(IF($Q29=3,1,0),IF($X29&lt;30,1,0))</formula>
    </cfRule>
    <cfRule type="expression" priority="3460" dxfId="0">
      <formula>AND(IF($Q29=3,1,IF($Q29=4,1,0)),IF($F29&lt;=85,1,0))</formula>
    </cfRule>
  </conditionalFormatting>
  <conditionalFormatting sqref="AV30">
    <cfRule type="expression" priority="3455" dxfId="23">
      <formula>AV30="X"</formula>
    </cfRule>
    <cfRule type="expression" priority="3456" dxfId="22">
      <formula>AV30="후보"</formula>
    </cfRule>
  </conditionalFormatting>
  <conditionalFormatting sqref="AC3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0">
    <cfRule type="expression" priority="3447" dxfId="3">
      <formula>AND(IF(OR($Q30=1,$Q30=2),1,0),IF($X30&lt;=20,1,0))</formula>
    </cfRule>
    <cfRule type="expression" priority="3448" dxfId="2">
      <formula>AND(IF($Q30=2,1,0),IF($X30&lt;30,1,0))</formula>
    </cfRule>
    <cfRule type="expression" priority="3449" dxfId="1">
      <formula>AND(IF($Q30=3,1,0),IF($X30&lt;30,1,0))</formula>
    </cfRule>
    <cfRule type="expression" priority="3450" dxfId="0">
      <formula>AND(IF($Q30=3,1,IF($Q30=4,1,0)),IF($F30&lt;=85,1,0))</formula>
    </cfRule>
  </conditionalFormatting>
  <conditionalFormatting sqref="X30">
    <cfRule type="expression" priority="3443" dxfId="3">
      <formula>AND(IF(OR($Q30=1,$Q30=2),1,0),IF($X30&lt;=20,1,0))</formula>
    </cfRule>
    <cfRule type="expression" priority="3444" dxfId="2">
      <formula>AND(IF($Q30=2,1,0),IF($X30&lt;30,1,0))</formula>
    </cfRule>
    <cfRule type="expression" priority="3445" dxfId="1">
      <formula>AND(IF($Q30=3,1,0),IF($X30&lt;30,1,0))</formula>
    </cfRule>
    <cfRule type="expression" priority="3446" dxfId="0">
      <formula>AND(IF($Q30=3,1,IF($Q30=4,1,0)),IF($F30&lt;=85,1,0))</formula>
    </cfRule>
  </conditionalFormatting>
  <conditionalFormatting sqref="AI30">
    <cfRule type="expression" priority="3439" dxfId="3">
      <formula>AND(IF(OR($Q30=1,$Q30=2),1,0),IF($X30&lt;=20,1,0))</formula>
    </cfRule>
    <cfRule type="expression" priority="3440" dxfId="2">
      <formula>AND(IF($Q30=2,1,0),IF($X30&lt;30,1,0))</formula>
    </cfRule>
    <cfRule type="expression" priority="3441" dxfId="1">
      <formula>AND(IF($Q30=3,1,0),IF($X30&lt;30,1,0))</formula>
    </cfRule>
    <cfRule type="expression" priority="3442" dxfId="0">
      <formula>AND(IF($Q30=3,1,IF($Q30=4,1,0)),IF($F30&lt;=85,1,0))</formula>
    </cfRule>
  </conditionalFormatting>
  <conditionalFormatting sqref="AV31">
    <cfRule type="expression" priority="3437" dxfId="23">
      <formula>AV31="X"</formula>
    </cfRule>
    <cfRule type="expression" priority="3438" dxfId="22">
      <formula>AV31="후보"</formula>
    </cfRule>
  </conditionalFormatting>
  <conditionalFormatting sqref="AC3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1">
    <cfRule type="expression" priority="3429" dxfId="3">
      <formula>AND(IF(OR($Q31=1,$Q31=2),1,0),IF($X31&lt;=20,1,0))</formula>
    </cfRule>
    <cfRule type="expression" priority="3430" dxfId="2">
      <formula>AND(IF($Q31=2,1,0),IF($X31&lt;30,1,0))</formula>
    </cfRule>
    <cfRule type="expression" priority="3431" dxfId="1">
      <formula>AND(IF($Q31=3,1,0),IF($X31&lt;30,1,0))</formula>
    </cfRule>
    <cfRule type="expression" priority="3432" dxfId="0">
      <formula>AND(IF($Q31=3,1,IF($Q31=4,1,0)),IF($F31&lt;=85,1,0))</formula>
    </cfRule>
  </conditionalFormatting>
  <conditionalFormatting sqref="X31">
    <cfRule type="expression" priority="3425" dxfId="3">
      <formula>AND(IF(OR($Q31=1,$Q31=2),1,0),IF($X31&lt;=20,1,0))</formula>
    </cfRule>
    <cfRule type="expression" priority="3426" dxfId="2">
      <formula>AND(IF($Q31=2,1,0),IF($X31&lt;30,1,0))</formula>
    </cfRule>
    <cfRule type="expression" priority="3427" dxfId="1">
      <formula>AND(IF($Q31=3,1,0),IF($X31&lt;30,1,0))</formula>
    </cfRule>
    <cfRule type="expression" priority="3428" dxfId="0">
      <formula>AND(IF($Q31=3,1,IF($Q31=4,1,0)),IF($F31&lt;=85,1,0))</formula>
    </cfRule>
  </conditionalFormatting>
  <conditionalFormatting sqref="AI31">
    <cfRule type="expression" priority="3421" dxfId="3">
      <formula>AND(IF(OR($Q31=1,$Q31=2),1,0),IF($X31&lt;=20,1,0))</formula>
    </cfRule>
    <cfRule type="expression" priority="3422" dxfId="2">
      <formula>AND(IF($Q31=2,1,0),IF($X31&lt;30,1,0))</formula>
    </cfRule>
    <cfRule type="expression" priority="3423" dxfId="1">
      <formula>AND(IF($Q31=3,1,0),IF($X31&lt;30,1,0))</formula>
    </cfRule>
    <cfRule type="expression" priority="3424" dxfId="0">
      <formula>AND(IF($Q31=3,1,IF($Q31=4,1,0)),IF($F31&lt;=85,1,0))</formula>
    </cfRule>
  </conditionalFormatting>
  <conditionalFormatting sqref="AV32">
    <cfRule type="expression" priority="3419" dxfId="23">
      <formula>AV32="X"</formula>
    </cfRule>
    <cfRule type="expression" priority="3420" dxfId="22">
      <formula>AV32="후보"</formula>
    </cfRule>
  </conditionalFormatting>
  <conditionalFormatting sqref="AC3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2">
    <cfRule type="expression" priority="3411" dxfId="3">
      <formula>AND(IF(OR($Q32=1,$Q32=2),1,0),IF($X32&lt;=20,1,0))</formula>
    </cfRule>
    <cfRule type="expression" priority="3412" dxfId="2">
      <formula>AND(IF($Q32=2,1,0),IF($X32&lt;30,1,0))</formula>
    </cfRule>
    <cfRule type="expression" priority="3413" dxfId="1">
      <formula>AND(IF($Q32=3,1,0),IF($X32&lt;30,1,0))</formula>
    </cfRule>
    <cfRule type="expression" priority="3414" dxfId="0">
      <formula>AND(IF($Q32=3,1,IF($Q32=4,1,0)),IF($F32&lt;=85,1,0))</formula>
    </cfRule>
  </conditionalFormatting>
  <conditionalFormatting sqref="X32">
    <cfRule type="expression" priority="3407" dxfId="3">
      <formula>AND(IF(OR($Q32=1,$Q32=2),1,0),IF($X32&lt;=20,1,0))</formula>
    </cfRule>
    <cfRule type="expression" priority="3408" dxfId="2">
      <formula>AND(IF($Q32=2,1,0),IF($X32&lt;30,1,0))</formula>
    </cfRule>
    <cfRule type="expression" priority="3409" dxfId="1">
      <formula>AND(IF($Q32=3,1,0),IF($X32&lt;30,1,0))</formula>
    </cfRule>
    <cfRule type="expression" priority="3410" dxfId="0">
      <formula>AND(IF($Q32=3,1,IF($Q32=4,1,0)),IF($F32&lt;=85,1,0))</formula>
    </cfRule>
  </conditionalFormatting>
  <conditionalFormatting sqref="AI32">
    <cfRule type="expression" priority="3403" dxfId="3">
      <formula>AND(IF(OR($Q32=1,$Q32=2),1,0),IF($X32&lt;=20,1,0))</formula>
    </cfRule>
    <cfRule type="expression" priority="3404" dxfId="2">
      <formula>AND(IF($Q32=2,1,0),IF($X32&lt;30,1,0))</formula>
    </cfRule>
    <cfRule type="expression" priority="3405" dxfId="1">
      <formula>AND(IF($Q32=3,1,0),IF($X32&lt;30,1,0))</formula>
    </cfRule>
    <cfRule type="expression" priority="3406" dxfId="0">
      <formula>AND(IF($Q32=3,1,IF($Q32=4,1,0)),IF($F32&lt;=85,1,0))</formula>
    </cfRule>
  </conditionalFormatting>
  <conditionalFormatting sqref="AV33">
    <cfRule type="expression" priority="3401" dxfId="23">
      <formula>AV33="X"</formula>
    </cfRule>
    <cfRule type="expression" priority="3402" dxfId="22">
      <formula>AV33="후보"</formula>
    </cfRule>
  </conditionalFormatting>
  <conditionalFormatting sqref="AC3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3">
    <cfRule type="expression" priority="3393" dxfId="3">
      <formula>AND(IF(OR($Q33=1,$Q33=2),1,0),IF($X33&lt;=20,1,0))</formula>
    </cfRule>
    <cfRule type="expression" priority="3394" dxfId="2">
      <formula>AND(IF($Q33=2,1,0),IF($X33&lt;30,1,0))</formula>
    </cfRule>
    <cfRule type="expression" priority="3395" dxfId="1">
      <formula>AND(IF($Q33=3,1,0),IF($X33&lt;30,1,0))</formula>
    </cfRule>
    <cfRule type="expression" priority="3396" dxfId="0">
      <formula>AND(IF($Q33=3,1,IF($Q33=4,1,0)),IF($F33&lt;=85,1,0))</formula>
    </cfRule>
  </conditionalFormatting>
  <conditionalFormatting sqref="X33">
    <cfRule type="expression" priority="3389" dxfId="3">
      <formula>AND(IF(OR($Q33=1,$Q33=2),1,0),IF($X33&lt;=20,1,0))</formula>
    </cfRule>
    <cfRule type="expression" priority="3390" dxfId="2">
      <formula>AND(IF($Q33=2,1,0),IF($X33&lt;30,1,0))</formula>
    </cfRule>
    <cfRule type="expression" priority="3391" dxfId="1">
      <formula>AND(IF($Q33=3,1,0),IF($X33&lt;30,1,0))</formula>
    </cfRule>
    <cfRule type="expression" priority="3392" dxfId="0">
      <formula>AND(IF($Q33=3,1,IF($Q33=4,1,0)),IF($F33&lt;=85,1,0))</formula>
    </cfRule>
  </conditionalFormatting>
  <conditionalFormatting sqref="AI33">
    <cfRule type="expression" priority="3385" dxfId="3">
      <formula>AND(IF(OR($Q33=1,$Q33=2),1,0),IF($X33&lt;=20,1,0))</formula>
    </cfRule>
    <cfRule type="expression" priority="3386" dxfId="2">
      <formula>AND(IF($Q33=2,1,0),IF($X33&lt;30,1,0))</formula>
    </cfRule>
    <cfRule type="expression" priority="3387" dxfId="1">
      <formula>AND(IF($Q33=3,1,0),IF($X33&lt;30,1,0))</formula>
    </cfRule>
    <cfRule type="expression" priority="3388" dxfId="0">
      <formula>AND(IF($Q33=3,1,IF($Q33=4,1,0)),IF($F33&lt;=85,1,0))</formula>
    </cfRule>
  </conditionalFormatting>
  <conditionalFormatting sqref="AV34">
    <cfRule type="expression" priority="3383" dxfId="23">
      <formula>AV34="X"</formula>
    </cfRule>
    <cfRule type="expression" priority="3384" dxfId="22">
      <formula>AV34="후보"</formula>
    </cfRule>
  </conditionalFormatting>
  <conditionalFormatting sqref="AC3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4">
    <cfRule type="expression" priority="3375" dxfId="3">
      <formula>AND(IF(OR($Q34=1,$Q34=2),1,0),IF($X34&lt;=20,1,0))</formula>
    </cfRule>
    <cfRule type="expression" priority="3376" dxfId="2">
      <formula>AND(IF($Q34=2,1,0),IF($X34&lt;30,1,0))</formula>
    </cfRule>
    <cfRule type="expression" priority="3377" dxfId="1">
      <formula>AND(IF($Q34=3,1,0),IF($X34&lt;30,1,0))</formula>
    </cfRule>
    <cfRule type="expression" priority="3378" dxfId="0">
      <formula>AND(IF($Q34=3,1,IF($Q34=4,1,0)),IF($F34&lt;=85,1,0))</formula>
    </cfRule>
  </conditionalFormatting>
  <conditionalFormatting sqref="X34">
    <cfRule type="expression" priority="3371" dxfId="3">
      <formula>AND(IF(OR($Q34=1,$Q34=2),1,0),IF($X34&lt;=20,1,0))</formula>
    </cfRule>
    <cfRule type="expression" priority="3372" dxfId="2">
      <formula>AND(IF($Q34=2,1,0),IF($X34&lt;30,1,0))</formula>
    </cfRule>
    <cfRule type="expression" priority="3373" dxfId="1">
      <formula>AND(IF($Q34=3,1,0),IF($X34&lt;30,1,0))</formula>
    </cfRule>
    <cfRule type="expression" priority="3374" dxfId="0">
      <formula>AND(IF($Q34=3,1,IF($Q34=4,1,0)),IF($F34&lt;=85,1,0))</formula>
    </cfRule>
  </conditionalFormatting>
  <conditionalFormatting sqref="AI34">
    <cfRule type="expression" priority="3367" dxfId="3">
      <formula>AND(IF(OR($Q34=1,$Q34=2),1,0),IF($X34&lt;=20,1,0))</formula>
    </cfRule>
    <cfRule type="expression" priority="3368" dxfId="2">
      <formula>AND(IF($Q34=2,1,0),IF($X34&lt;30,1,0))</formula>
    </cfRule>
    <cfRule type="expression" priority="3369" dxfId="1">
      <formula>AND(IF($Q34=3,1,0),IF($X34&lt;30,1,0))</formula>
    </cfRule>
    <cfRule type="expression" priority="3370" dxfId="0">
      <formula>AND(IF($Q34=3,1,IF($Q34=4,1,0)),IF($F34&lt;=85,1,0))</formula>
    </cfRule>
  </conditionalFormatting>
  <conditionalFormatting sqref="AV35">
    <cfRule type="expression" priority="3365" dxfId="23">
      <formula>AV35="X"</formula>
    </cfRule>
    <cfRule type="expression" priority="3366" dxfId="22">
      <formula>AV35="후보"</formula>
    </cfRule>
  </conditionalFormatting>
  <conditionalFormatting sqref="AC3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5">
    <cfRule type="expression" priority="3357" dxfId="3">
      <formula>AND(IF(OR($Q35=1,$Q35=2),1,0),IF($X35&lt;=20,1,0))</formula>
    </cfRule>
    <cfRule type="expression" priority="3358" dxfId="2">
      <formula>AND(IF($Q35=2,1,0),IF($X35&lt;30,1,0))</formula>
    </cfRule>
    <cfRule type="expression" priority="3359" dxfId="1">
      <formula>AND(IF($Q35=3,1,0),IF($X35&lt;30,1,0))</formula>
    </cfRule>
    <cfRule type="expression" priority="3360" dxfId="0">
      <formula>AND(IF($Q35=3,1,IF($Q35=4,1,0)),IF($F35&lt;=85,1,0))</formula>
    </cfRule>
  </conditionalFormatting>
  <conditionalFormatting sqref="X35">
    <cfRule type="expression" priority="3353" dxfId="3">
      <formula>AND(IF(OR($Q35=1,$Q35=2),1,0),IF($X35&lt;=20,1,0))</formula>
    </cfRule>
    <cfRule type="expression" priority="3354" dxfId="2">
      <formula>AND(IF($Q35=2,1,0),IF($X35&lt;30,1,0))</formula>
    </cfRule>
    <cfRule type="expression" priority="3355" dxfId="1">
      <formula>AND(IF($Q35=3,1,0),IF($X35&lt;30,1,0))</formula>
    </cfRule>
    <cfRule type="expression" priority="3356" dxfId="0">
      <formula>AND(IF($Q35=3,1,IF($Q35=4,1,0)),IF($F35&lt;=85,1,0))</formula>
    </cfRule>
  </conditionalFormatting>
  <conditionalFormatting sqref="AI35">
    <cfRule type="expression" priority="3349" dxfId="3">
      <formula>AND(IF(OR($Q35=1,$Q35=2),1,0),IF($X35&lt;=20,1,0))</formula>
    </cfRule>
    <cfRule type="expression" priority="3350" dxfId="2">
      <formula>AND(IF($Q35=2,1,0),IF($X35&lt;30,1,0))</formula>
    </cfRule>
    <cfRule type="expression" priority="3351" dxfId="1">
      <formula>AND(IF($Q35=3,1,0),IF($X35&lt;30,1,0))</formula>
    </cfRule>
    <cfRule type="expression" priority="3352" dxfId="0">
      <formula>AND(IF($Q35=3,1,IF($Q35=4,1,0)),IF($F35&lt;=85,1,0))</formula>
    </cfRule>
  </conditionalFormatting>
  <conditionalFormatting sqref="AV36">
    <cfRule type="expression" priority="3347" dxfId="23">
      <formula>AV36="X"</formula>
    </cfRule>
    <cfRule type="expression" priority="3348" dxfId="22">
      <formula>AV36="후보"</formula>
    </cfRule>
  </conditionalFormatting>
  <conditionalFormatting sqref="AC3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6">
    <cfRule type="expression" priority="3339" dxfId="3">
      <formula>AND(IF(OR($Q36=1,$Q36=2),1,0),IF($X36&lt;=20,1,0))</formula>
    </cfRule>
    <cfRule type="expression" priority="3340" dxfId="2">
      <formula>AND(IF($Q36=2,1,0),IF($X36&lt;30,1,0))</formula>
    </cfRule>
    <cfRule type="expression" priority="3341" dxfId="1">
      <formula>AND(IF($Q36=3,1,0),IF($X36&lt;30,1,0))</formula>
    </cfRule>
    <cfRule type="expression" priority="3342" dxfId="0">
      <formula>AND(IF($Q36=3,1,IF($Q36=4,1,0)),IF($F36&lt;=85,1,0))</formula>
    </cfRule>
  </conditionalFormatting>
  <conditionalFormatting sqref="X36">
    <cfRule type="expression" priority="3335" dxfId="3">
      <formula>AND(IF(OR($Q36=1,$Q36=2),1,0),IF($X36&lt;=20,1,0))</formula>
    </cfRule>
    <cfRule type="expression" priority="3336" dxfId="2">
      <formula>AND(IF($Q36=2,1,0),IF($X36&lt;30,1,0))</formula>
    </cfRule>
    <cfRule type="expression" priority="3337" dxfId="1">
      <formula>AND(IF($Q36=3,1,0),IF($X36&lt;30,1,0))</formula>
    </cfRule>
    <cfRule type="expression" priority="3338" dxfId="0">
      <formula>AND(IF($Q36=3,1,IF($Q36=4,1,0)),IF($F36&lt;=85,1,0))</formula>
    </cfRule>
  </conditionalFormatting>
  <conditionalFormatting sqref="AI36">
    <cfRule type="expression" priority="3331" dxfId="3">
      <formula>AND(IF(OR($Q36=1,$Q36=2),1,0),IF($X36&lt;=20,1,0))</formula>
    </cfRule>
    <cfRule type="expression" priority="3332" dxfId="2">
      <formula>AND(IF($Q36=2,1,0),IF($X36&lt;30,1,0))</formula>
    </cfRule>
    <cfRule type="expression" priority="3333" dxfId="1">
      <formula>AND(IF($Q36=3,1,0),IF($X36&lt;30,1,0))</formula>
    </cfRule>
    <cfRule type="expression" priority="3334" dxfId="0">
      <formula>AND(IF($Q36=3,1,IF($Q36=4,1,0)),IF($F36&lt;=85,1,0))</formula>
    </cfRule>
  </conditionalFormatting>
  <conditionalFormatting sqref="AV37">
    <cfRule type="expression" priority="3329" dxfId="23">
      <formula>AV37="X"</formula>
    </cfRule>
    <cfRule type="expression" priority="3330" dxfId="22">
      <formula>AV37="후보"</formula>
    </cfRule>
  </conditionalFormatting>
  <conditionalFormatting sqref="AC3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7">
    <cfRule type="expression" priority="3321" dxfId="3">
      <formula>AND(IF(OR($Q37=1,$Q37=2),1,0),IF($X37&lt;=20,1,0))</formula>
    </cfRule>
    <cfRule type="expression" priority="3322" dxfId="2">
      <formula>AND(IF($Q37=2,1,0),IF($X37&lt;30,1,0))</formula>
    </cfRule>
    <cfRule type="expression" priority="3323" dxfId="1">
      <formula>AND(IF($Q37=3,1,0),IF($X37&lt;30,1,0))</formula>
    </cfRule>
    <cfRule type="expression" priority="3324" dxfId="0">
      <formula>AND(IF($Q37=3,1,IF($Q37=4,1,0)),IF($F37&lt;=85,1,0))</formula>
    </cfRule>
  </conditionalFormatting>
  <conditionalFormatting sqref="X37">
    <cfRule type="expression" priority="3317" dxfId="3">
      <formula>AND(IF(OR($Q37=1,$Q37=2),1,0),IF($X37&lt;=20,1,0))</formula>
    </cfRule>
    <cfRule type="expression" priority="3318" dxfId="2">
      <formula>AND(IF($Q37=2,1,0),IF($X37&lt;30,1,0))</formula>
    </cfRule>
    <cfRule type="expression" priority="3319" dxfId="1">
      <formula>AND(IF($Q37=3,1,0),IF($X37&lt;30,1,0))</formula>
    </cfRule>
    <cfRule type="expression" priority="3320" dxfId="0">
      <formula>AND(IF($Q37=3,1,IF($Q37=4,1,0)),IF($F37&lt;=85,1,0))</formula>
    </cfRule>
  </conditionalFormatting>
  <conditionalFormatting sqref="AI37">
    <cfRule type="expression" priority="3313" dxfId="3">
      <formula>AND(IF(OR($Q37=1,$Q37=2),1,0),IF($X37&lt;=20,1,0))</formula>
    </cfRule>
    <cfRule type="expression" priority="3314" dxfId="2">
      <formula>AND(IF($Q37=2,1,0),IF($X37&lt;30,1,0))</formula>
    </cfRule>
    <cfRule type="expression" priority="3315" dxfId="1">
      <formula>AND(IF($Q37=3,1,0),IF($X37&lt;30,1,0))</formula>
    </cfRule>
    <cfRule type="expression" priority="3316" dxfId="0">
      <formula>AND(IF($Q37=3,1,IF($Q37=4,1,0)),IF($F37&lt;=85,1,0))</formula>
    </cfRule>
  </conditionalFormatting>
  <conditionalFormatting sqref="AV38">
    <cfRule type="expression" priority="3311" dxfId="23">
      <formula>AV38="X"</formula>
    </cfRule>
    <cfRule type="expression" priority="3312" dxfId="22">
      <formula>AV38="후보"</formula>
    </cfRule>
  </conditionalFormatting>
  <conditionalFormatting sqref="AC3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8">
    <cfRule type="expression" priority="3303" dxfId="3">
      <formula>AND(IF(OR($Q38=1,$Q38=2),1,0),IF($X38&lt;=20,1,0))</formula>
    </cfRule>
    <cfRule type="expression" priority="3304" dxfId="2">
      <formula>AND(IF($Q38=2,1,0),IF($X38&lt;30,1,0))</formula>
    </cfRule>
    <cfRule type="expression" priority="3305" dxfId="1">
      <formula>AND(IF($Q38=3,1,0),IF($X38&lt;30,1,0))</formula>
    </cfRule>
    <cfRule type="expression" priority="3306" dxfId="0">
      <formula>AND(IF($Q38=3,1,IF($Q38=4,1,0)),IF($F38&lt;=85,1,0))</formula>
    </cfRule>
  </conditionalFormatting>
  <conditionalFormatting sqref="X38">
    <cfRule type="expression" priority="3299" dxfId="3">
      <formula>AND(IF(OR($Q38=1,$Q38=2),1,0),IF($X38&lt;=20,1,0))</formula>
    </cfRule>
    <cfRule type="expression" priority="3300" dxfId="2">
      <formula>AND(IF($Q38=2,1,0),IF($X38&lt;30,1,0))</formula>
    </cfRule>
    <cfRule type="expression" priority="3301" dxfId="1">
      <formula>AND(IF($Q38=3,1,0),IF($X38&lt;30,1,0))</formula>
    </cfRule>
    <cfRule type="expression" priority="3302" dxfId="0">
      <formula>AND(IF($Q38=3,1,IF($Q38=4,1,0)),IF($F38&lt;=85,1,0))</formula>
    </cfRule>
  </conditionalFormatting>
  <conditionalFormatting sqref="AI38">
    <cfRule type="expression" priority="3295" dxfId="3">
      <formula>AND(IF(OR($Q38=1,$Q38=2),1,0),IF($X38&lt;=20,1,0))</formula>
    </cfRule>
    <cfRule type="expression" priority="3296" dxfId="2">
      <formula>AND(IF($Q38=2,1,0),IF($X38&lt;30,1,0))</formula>
    </cfRule>
    <cfRule type="expression" priority="3297" dxfId="1">
      <formula>AND(IF($Q38=3,1,0),IF($X38&lt;30,1,0))</formula>
    </cfRule>
    <cfRule type="expression" priority="3298" dxfId="0">
      <formula>AND(IF($Q38=3,1,IF($Q38=4,1,0)),IF($F38&lt;=85,1,0))</formula>
    </cfRule>
  </conditionalFormatting>
  <conditionalFormatting sqref="AV39">
    <cfRule type="expression" priority="3293" dxfId="23">
      <formula>AV39="X"</formula>
    </cfRule>
    <cfRule type="expression" priority="3294" dxfId="22">
      <formula>AV39="후보"</formula>
    </cfRule>
  </conditionalFormatting>
  <conditionalFormatting sqref="AC3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9">
    <cfRule type="expression" priority="3285" dxfId="3">
      <formula>AND(IF(OR($Q39=1,$Q39=2),1,0),IF($X39&lt;=20,1,0))</formula>
    </cfRule>
    <cfRule type="expression" priority="3286" dxfId="2">
      <formula>AND(IF($Q39=2,1,0),IF($X39&lt;30,1,0))</formula>
    </cfRule>
    <cfRule type="expression" priority="3287" dxfId="1">
      <formula>AND(IF($Q39=3,1,0),IF($X39&lt;30,1,0))</formula>
    </cfRule>
    <cfRule type="expression" priority="3288" dxfId="0">
      <formula>AND(IF($Q39=3,1,IF($Q39=4,1,0)),IF($F39&lt;=85,1,0))</formula>
    </cfRule>
  </conditionalFormatting>
  <conditionalFormatting sqref="X39">
    <cfRule type="expression" priority="3281" dxfId="3">
      <formula>AND(IF(OR($Q39=1,$Q39=2),1,0),IF($X39&lt;=20,1,0))</formula>
    </cfRule>
    <cfRule type="expression" priority="3282" dxfId="2">
      <formula>AND(IF($Q39=2,1,0),IF($X39&lt;30,1,0))</formula>
    </cfRule>
    <cfRule type="expression" priority="3283" dxfId="1">
      <formula>AND(IF($Q39=3,1,0),IF($X39&lt;30,1,0))</formula>
    </cfRule>
    <cfRule type="expression" priority="3284" dxfId="0">
      <formula>AND(IF($Q39=3,1,IF($Q39=4,1,0)),IF($F39&lt;=85,1,0))</formula>
    </cfRule>
  </conditionalFormatting>
  <conditionalFormatting sqref="AI39">
    <cfRule type="expression" priority="3277" dxfId="3">
      <formula>AND(IF(OR($Q39=1,$Q39=2),1,0),IF($X39&lt;=20,1,0))</formula>
    </cfRule>
    <cfRule type="expression" priority="3278" dxfId="2">
      <formula>AND(IF($Q39=2,1,0),IF($X39&lt;30,1,0))</formula>
    </cfRule>
    <cfRule type="expression" priority="3279" dxfId="1">
      <formula>AND(IF($Q39=3,1,0),IF($X39&lt;30,1,0))</formula>
    </cfRule>
    <cfRule type="expression" priority="3280" dxfId="0">
      <formula>AND(IF($Q39=3,1,IF($Q39=4,1,0)),IF($F39&lt;=85,1,0))</formula>
    </cfRule>
  </conditionalFormatting>
  <conditionalFormatting sqref="AV40">
    <cfRule type="expression" priority="3275" dxfId="23">
      <formula>AV40="X"</formula>
    </cfRule>
    <cfRule type="expression" priority="3276" dxfId="22">
      <formula>AV40="후보"</formula>
    </cfRule>
  </conditionalFormatting>
  <conditionalFormatting sqref="AC4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0">
    <cfRule type="expression" priority="3267" dxfId="3">
      <formula>AND(IF(OR($Q40=1,$Q40=2),1,0),IF($X40&lt;=20,1,0))</formula>
    </cfRule>
    <cfRule type="expression" priority="3268" dxfId="2">
      <formula>AND(IF($Q40=2,1,0),IF($X40&lt;30,1,0))</formula>
    </cfRule>
    <cfRule type="expression" priority="3269" dxfId="1">
      <formula>AND(IF($Q40=3,1,0),IF($X40&lt;30,1,0))</formula>
    </cfRule>
    <cfRule type="expression" priority="3270" dxfId="0">
      <formula>AND(IF($Q40=3,1,IF($Q40=4,1,0)),IF($F40&lt;=85,1,0))</formula>
    </cfRule>
  </conditionalFormatting>
  <conditionalFormatting sqref="X40">
    <cfRule type="expression" priority="3263" dxfId="3">
      <formula>AND(IF(OR($Q40=1,$Q40=2),1,0),IF($X40&lt;=20,1,0))</formula>
    </cfRule>
    <cfRule type="expression" priority="3264" dxfId="2">
      <formula>AND(IF($Q40=2,1,0),IF($X40&lt;30,1,0))</formula>
    </cfRule>
    <cfRule type="expression" priority="3265" dxfId="1">
      <formula>AND(IF($Q40=3,1,0),IF($X40&lt;30,1,0))</formula>
    </cfRule>
    <cfRule type="expression" priority="3266" dxfId="0">
      <formula>AND(IF($Q40=3,1,IF($Q40=4,1,0)),IF($F40&lt;=85,1,0))</formula>
    </cfRule>
  </conditionalFormatting>
  <conditionalFormatting sqref="AI40">
    <cfRule type="expression" priority="3259" dxfId="3">
      <formula>AND(IF(OR($Q40=1,$Q40=2),1,0),IF($X40&lt;=20,1,0))</formula>
    </cfRule>
    <cfRule type="expression" priority="3260" dxfId="2">
      <formula>AND(IF($Q40=2,1,0),IF($X40&lt;30,1,0))</formula>
    </cfRule>
    <cfRule type="expression" priority="3261" dxfId="1">
      <formula>AND(IF($Q40=3,1,0),IF($X40&lt;30,1,0))</formula>
    </cfRule>
    <cfRule type="expression" priority="3262" dxfId="0">
      <formula>AND(IF($Q40=3,1,IF($Q40=4,1,0)),IF($F40&lt;=85,1,0))</formula>
    </cfRule>
  </conditionalFormatting>
  <conditionalFormatting sqref="AV41">
    <cfRule type="expression" priority="3257" dxfId="23">
      <formula>AV41="X"</formula>
    </cfRule>
    <cfRule type="expression" priority="3258" dxfId="22">
      <formula>AV41="후보"</formula>
    </cfRule>
  </conditionalFormatting>
  <conditionalFormatting sqref="AC4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1">
    <cfRule type="expression" priority="3249" dxfId="3">
      <formula>AND(IF(OR($Q41=1,$Q41=2),1,0),IF($X41&lt;=20,1,0))</formula>
    </cfRule>
    <cfRule type="expression" priority="3250" dxfId="2">
      <formula>AND(IF($Q41=2,1,0),IF($X41&lt;30,1,0))</formula>
    </cfRule>
    <cfRule type="expression" priority="3251" dxfId="1">
      <formula>AND(IF($Q41=3,1,0),IF($X41&lt;30,1,0))</formula>
    </cfRule>
    <cfRule type="expression" priority="3252" dxfId="0">
      <formula>AND(IF($Q41=3,1,IF($Q41=4,1,0)),IF($F41&lt;=85,1,0))</formula>
    </cfRule>
  </conditionalFormatting>
  <conditionalFormatting sqref="X41">
    <cfRule type="expression" priority="3245" dxfId="3">
      <formula>AND(IF(OR($Q41=1,$Q41=2),1,0),IF($X41&lt;=20,1,0))</formula>
    </cfRule>
    <cfRule type="expression" priority="3246" dxfId="2">
      <formula>AND(IF($Q41=2,1,0),IF($X41&lt;30,1,0))</formula>
    </cfRule>
    <cfRule type="expression" priority="3247" dxfId="1">
      <formula>AND(IF($Q41=3,1,0),IF($X41&lt;30,1,0))</formula>
    </cfRule>
    <cfRule type="expression" priority="3248" dxfId="0">
      <formula>AND(IF($Q41=3,1,IF($Q41=4,1,0)),IF($F41&lt;=85,1,0))</formula>
    </cfRule>
  </conditionalFormatting>
  <conditionalFormatting sqref="AI41">
    <cfRule type="expression" priority="3241" dxfId="3">
      <formula>AND(IF(OR($Q41=1,$Q41=2),1,0),IF($X41&lt;=20,1,0))</formula>
    </cfRule>
    <cfRule type="expression" priority="3242" dxfId="2">
      <formula>AND(IF($Q41=2,1,0),IF($X41&lt;30,1,0))</formula>
    </cfRule>
    <cfRule type="expression" priority="3243" dxfId="1">
      <formula>AND(IF($Q41=3,1,0),IF($X41&lt;30,1,0))</formula>
    </cfRule>
    <cfRule type="expression" priority="3244" dxfId="0">
      <formula>AND(IF($Q41=3,1,IF($Q41=4,1,0)),IF($F41&lt;=85,1,0))</formula>
    </cfRule>
  </conditionalFormatting>
  <conditionalFormatting sqref="AV42">
    <cfRule type="expression" priority="3239" dxfId="23">
      <formula>AV42="X"</formula>
    </cfRule>
    <cfRule type="expression" priority="3240" dxfId="22">
      <formula>AV42="후보"</formula>
    </cfRule>
  </conditionalFormatting>
  <conditionalFormatting sqref="AC4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2">
    <cfRule type="expression" priority="3231" dxfId="3">
      <formula>AND(IF(OR($Q42=1,$Q42=2),1,0),IF($X42&lt;=20,1,0))</formula>
    </cfRule>
    <cfRule type="expression" priority="3232" dxfId="2">
      <formula>AND(IF($Q42=2,1,0),IF($X42&lt;30,1,0))</formula>
    </cfRule>
    <cfRule type="expression" priority="3233" dxfId="1">
      <formula>AND(IF($Q42=3,1,0),IF($X42&lt;30,1,0))</formula>
    </cfRule>
    <cfRule type="expression" priority="3234" dxfId="0">
      <formula>AND(IF($Q42=3,1,IF($Q42=4,1,0)),IF($F42&lt;=85,1,0))</formula>
    </cfRule>
  </conditionalFormatting>
  <conditionalFormatting sqref="X42">
    <cfRule type="expression" priority="3227" dxfId="3">
      <formula>AND(IF(OR($Q42=1,$Q42=2),1,0),IF($X42&lt;=20,1,0))</formula>
    </cfRule>
    <cfRule type="expression" priority="3228" dxfId="2">
      <formula>AND(IF($Q42=2,1,0),IF($X42&lt;30,1,0))</formula>
    </cfRule>
    <cfRule type="expression" priority="3229" dxfId="1">
      <formula>AND(IF($Q42=3,1,0),IF($X42&lt;30,1,0))</formula>
    </cfRule>
    <cfRule type="expression" priority="3230" dxfId="0">
      <formula>AND(IF($Q42=3,1,IF($Q42=4,1,0)),IF($F42&lt;=85,1,0))</formula>
    </cfRule>
  </conditionalFormatting>
  <conditionalFormatting sqref="AI42">
    <cfRule type="expression" priority="3223" dxfId="3">
      <formula>AND(IF(OR($Q42=1,$Q42=2),1,0),IF($X42&lt;=20,1,0))</formula>
    </cfRule>
    <cfRule type="expression" priority="3224" dxfId="2">
      <formula>AND(IF($Q42=2,1,0),IF($X42&lt;30,1,0))</formula>
    </cfRule>
    <cfRule type="expression" priority="3225" dxfId="1">
      <formula>AND(IF($Q42=3,1,0),IF($X42&lt;30,1,0))</formula>
    </cfRule>
    <cfRule type="expression" priority="3226" dxfId="0">
      <formula>AND(IF($Q42=3,1,IF($Q42=4,1,0)),IF($F42&lt;=85,1,0))</formula>
    </cfRule>
  </conditionalFormatting>
  <conditionalFormatting sqref="AV43">
    <cfRule type="expression" priority="3221" dxfId="23">
      <formula>AV43="X"</formula>
    </cfRule>
    <cfRule type="expression" priority="3222" dxfId="22">
      <formula>AV43="후보"</formula>
    </cfRule>
  </conditionalFormatting>
  <conditionalFormatting sqref="AC4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3">
    <cfRule type="expression" priority="3213" dxfId="3">
      <formula>AND(IF(OR($Q43=1,$Q43=2),1,0),IF($X43&lt;=20,1,0))</formula>
    </cfRule>
    <cfRule type="expression" priority="3214" dxfId="2">
      <formula>AND(IF($Q43=2,1,0),IF($X43&lt;30,1,0))</formula>
    </cfRule>
    <cfRule type="expression" priority="3215" dxfId="1">
      <formula>AND(IF($Q43=3,1,0),IF($X43&lt;30,1,0))</formula>
    </cfRule>
    <cfRule type="expression" priority="3216" dxfId="0">
      <formula>AND(IF($Q43=3,1,IF($Q43=4,1,0)),IF($F43&lt;=85,1,0))</formula>
    </cfRule>
  </conditionalFormatting>
  <conditionalFormatting sqref="X43">
    <cfRule type="expression" priority="3209" dxfId="3">
      <formula>AND(IF(OR($Q43=1,$Q43=2),1,0),IF($X43&lt;=20,1,0))</formula>
    </cfRule>
    <cfRule type="expression" priority="3210" dxfId="2">
      <formula>AND(IF($Q43=2,1,0),IF($X43&lt;30,1,0))</formula>
    </cfRule>
    <cfRule type="expression" priority="3211" dxfId="1">
      <formula>AND(IF($Q43=3,1,0),IF($X43&lt;30,1,0))</formula>
    </cfRule>
    <cfRule type="expression" priority="3212" dxfId="0">
      <formula>AND(IF($Q43=3,1,IF($Q43=4,1,0)),IF($F43&lt;=85,1,0))</formula>
    </cfRule>
  </conditionalFormatting>
  <conditionalFormatting sqref="AI43">
    <cfRule type="expression" priority="3205" dxfId="3">
      <formula>AND(IF(OR($Q43=1,$Q43=2),1,0),IF($X43&lt;=20,1,0))</formula>
    </cfRule>
    <cfRule type="expression" priority="3206" dxfId="2">
      <formula>AND(IF($Q43=2,1,0),IF($X43&lt;30,1,0))</formula>
    </cfRule>
    <cfRule type="expression" priority="3207" dxfId="1">
      <formula>AND(IF($Q43=3,1,0),IF($X43&lt;30,1,0))</formula>
    </cfRule>
    <cfRule type="expression" priority="3208" dxfId="0">
      <formula>AND(IF($Q43=3,1,IF($Q43=4,1,0)),IF($F43&lt;=85,1,0))</formula>
    </cfRule>
  </conditionalFormatting>
  <conditionalFormatting sqref="AV44">
    <cfRule type="expression" priority="3203" dxfId="23">
      <formula>AV44="X"</formula>
    </cfRule>
    <cfRule type="expression" priority="3204" dxfId="22">
      <formula>AV44="후보"</formula>
    </cfRule>
  </conditionalFormatting>
  <conditionalFormatting sqref="AC4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4">
    <cfRule type="expression" priority="3195" dxfId="3">
      <formula>AND(IF(OR($Q44=1,$Q44=2),1,0),IF($X44&lt;=20,1,0))</formula>
    </cfRule>
    <cfRule type="expression" priority="3196" dxfId="2">
      <formula>AND(IF($Q44=2,1,0),IF($X44&lt;30,1,0))</formula>
    </cfRule>
    <cfRule type="expression" priority="3197" dxfId="1">
      <formula>AND(IF($Q44=3,1,0),IF($X44&lt;30,1,0))</formula>
    </cfRule>
    <cfRule type="expression" priority="3198" dxfId="0">
      <formula>AND(IF($Q44=3,1,IF($Q44=4,1,0)),IF($F44&lt;=85,1,0))</formula>
    </cfRule>
  </conditionalFormatting>
  <conditionalFormatting sqref="X44">
    <cfRule type="expression" priority="3191" dxfId="3">
      <formula>AND(IF(OR($Q44=1,$Q44=2),1,0),IF($X44&lt;=20,1,0))</formula>
    </cfRule>
    <cfRule type="expression" priority="3192" dxfId="2">
      <formula>AND(IF($Q44=2,1,0),IF($X44&lt;30,1,0))</formula>
    </cfRule>
    <cfRule type="expression" priority="3193" dxfId="1">
      <formula>AND(IF($Q44=3,1,0),IF($X44&lt;30,1,0))</formula>
    </cfRule>
    <cfRule type="expression" priority="3194" dxfId="0">
      <formula>AND(IF($Q44=3,1,IF($Q44=4,1,0)),IF($F44&lt;=85,1,0))</formula>
    </cfRule>
  </conditionalFormatting>
  <conditionalFormatting sqref="AI44">
    <cfRule type="expression" priority="3187" dxfId="3">
      <formula>AND(IF(OR($Q44=1,$Q44=2),1,0),IF($X44&lt;=20,1,0))</formula>
    </cfRule>
    <cfRule type="expression" priority="3188" dxfId="2">
      <formula>AND(IF($Q44=2,1,0),IF($X44&lt;30,1,0))</formula>
    </cfRule>
    <cfRule type="expression" priority="3189" dxfId="1">
      <formula>AND(IF($Q44=3,1,0),IF($X44&lt;30,1,0))</formula>
    </cfRule>
    <cfRule type="expression" priority="3190" dxfId="0">
      <formula>AND(IF($Q44=3,1,IF($Q44=4,1,0)),IF($F44&lt;=85,1,0))</formula>
    </cfRule>
  </conditionalFormatting>
  <conditionalFormatting sqref="AV45">
    <cfRule type="expression" priority="3185" dxfId="23">
      <formula>AV45="X"</formula>
    </cfRule>
    <cfRule type="expression" priority="3186" dxfId="22">
      <formula>AV45="후보"</formula>
    </cfRule>
  </conditionalFormatting>
  <conditionalFormatting sqref="AC4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5">
    <cfRule type="expression" priority="3177" dxfId="3">
      <formula>AND(IF(OR($Q45=1,$Q45=2),1,0),IF($X45&lt;=20,1,0))</formula>
    </cfRule>
    <cfRule type="expression" priority="3178" dxfId="2">
      <formula>AND(IF($Q45=2,1,0),IF($X45&lt;30,1,0))</formula>
    </cfRule>
    <cfRule type="expression" priority="3179" dxfId="1">
      <formula>AND(IF($Q45=3,1,0),IF($X45&lt;30,1,0))</formula>
    </cfRule>
    <cfRule type="expression" priority="3180" dxfId="0">
      <formula>AND(IF($Q45=3,1,IF($Q45=4,1,0)),IF($F45&lt;=85,1,0))</formula>
    </cfRule>
  </conditionalFormatting>
  <conditionalFormatting sqref="X45">
    <cfRule type="expression" priority="3173" dxfId="3">
      <formula>AND(IF(OR($Q45=1,$Q45=2),1,0),IF($X45&lt;=20,1,0))</formula>
    </cfRule>
    <cfRule type="expression" priority="3174" dxfId="2">
      <formula>AND(IF($Q45=2,1,0),IF($X45&lt;30,1,0))</formula>
    </cfRule>
    <cfRule type="expression" priority="3175" dxfId="1">
      <formula>AND(IF($Q45=3,1,0),IF($X45&lt;30,1,0))</formula>
    </cfRule>
    <cfRule type="expression" priority="3176" dxfId="0">
      <formula>AND(IF($Q45=3,1,IF($Q45=4,1,0)),IF($F45&lt;=85,1,0))</formula>
    </cfRule>
  </conditionalFormatting>
  <conditionalFormatting sqref="AI45">
    <cfRule type="expression" priority="3169" dxfId="3">
      <formula>AND(IF(OR($Q45=1,$Q45=2),1,0),IF($X45&lt;=20,1,0))</formula>
    </cfRule>
    <cfRule type="expression" priority="3170" dxfId="2">
      <formula>AND(IF($Q45=2,1,0),IF($X45&lt;30,1,0))</formula>
    </cfRule>
    <cfRule type="expression" priority="3171" dxfId="1">
      <formula>AND(IF($Q45=3,1,0),IF($X45&lt;30,1,0))</formula>
    </cfRule>
    <cfRule type="expression" priority="3172" dxfId="0">
      <formula>AND(IF($Q45=3,1,IF($Q45=4,1,0)),IF($F45&lt;=85,1,0))</formula>
    </cfRule>
  </conditionalFormatting>
  <conditionalFormatting sqref="AV46">
    <cfRule type="expression" priority="3167" dxfId="23">
      <formula>AV46="X"</formula>
    </cfRule>
    <cfRule type="expression" priority="3168" dxfId="22">
      <formula>AV46="후보"</formula>
    </cfRule>
  </conditionalFormatting>
  <conditionalFormatting sqref="AC4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6">
    <cfRule type="expression" priority="3159" dxfId="3">
      <formula>AND(IF(OR($Q46=1,$Q46=2),1,0),IF($X46&lt;=20,1,0))</formula>
    </cfRule>
    <cfRule type="expression" priority="3160" dxfId="2">
      <formula>AND(IF($Q46=2,1,0),IF($X46&lt;30,1,0))</formula>
    </cfRule>
    <cfRule type="expression" priority="3161" dxfId="1">
      <formula>AND(IF($Q46=3,1,0),IF($X46&lt;30,1,0))</formula>
    </cfRule>
    <cfRule type="expression" priority="3162" dxfId="0">
      <formula>AND(IF($Q46=3,1,IF($Q46=4,1,0)),IF($F46&lt;=85,1,0))</formula>
    </cfRule>
  </conditionalFormatting>
  <conditionalFormatting sqref="X46">
    <cfRule type="expression" priority="3155" dxfId="3">
      <formula>AND(IF(OR($Q46=1,$Q46=2),1,0),IF($X46&lt;=20,1,0))</formula>
    </cfRule>
    <cfRule type="expression" priority="3156" dxfId="2">
      <formula>AND(IF($Q46=2,1,0),IF($X46&lt;30,1,0))</formula>
    </cfRule>
    <cfRule type="expression" priority="3157" dxfId="1">
      <formula>AND(IF($Q46=3,1,0),IF($X46&lt;30,1,0))</formula>
    </cfRule>
    <cfRule type="expression" priority="3158" dxfId="0">
      <formula>AND(IF($Q46=3,1,IF($Q46=4,1,0)),IF($F46&lt;=85,1,0))</formula>
    </cfRule>
  </conditionalFormatting>
  <conditionalFormatting sqref="AI46">
    <cfRule type="expression" priority="3151" dxfId="3">
      <formula>AND(IF(OR($Q46=1,$Q46=2),1,0),IF($X46&lt;=20,1,0))</formula>
    </cfRule>
    <cfRule type="expression" priority="3152" dxfId="2">
      <formula>AND(IF($Q46=2,1,0),IF($X46&lt;30,1,0))</formula>
    </cfRule>
    <cfRule type="expression" priority="3153" dxfId="1">
      <formula>AND(IF($Q46=3,1,0),IF($X46&lt;30,1,0))</formula>
    </cfRule>
    <cfRule type="expression" priority="3154" dxfId="0">
      <formula>AND(IF($Q46=3,1,IF($Q46=4,1,0)),IF($F46&lt;=85,1,0))</formula>
    </cfRule>
  </conditionalFormatting>
  <conditionalFormatting sqref="AV47">
    <cfRule type="expression" priority="3149" dxfId="23">
      <formula>AV47="X"</formula>
    </cfRule>
    <cfRule type="expression" priority="3150" dxfId="22">
      <formula>AV47="후보"</formula>
    </cfRule>
  </conditionalFormatting>
  <conditionalFormatting sqref="AC4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7">
    <cfRule type="expression" priority="3141" dxfId="3">
      <formula>AND(IF(OR($Q47=1,$Q47=2),1,0),IF($X47&lt;=20,1,0))</formula>
    </cfRule>
    <cfRule type="expression" priority="3142" dxfId="2">
      <formula>AND(IF($Q47=2,1,0),IF($X47&lt;30,1,0))</formula>
    </cfRule>
    <cfRule type="expression" priority="3143" dxfId="1">
      <formula>AND(IF($Q47=3,1,0),IF($X47&lt;30,1,0))</formula>
    </cfRule>
    <cfRule type="expression" priority="3144" dxfId="0">
      <formula>AND(IF($Q47=3,1,IF($Q47=4,1,0)),IF($F47&lt;=85,1,0))</formula>
    </cfRule>
  </conditionalFormatting>
  <conditionalFormatting sqref="X47">
    <cfRule type="expression" priority="3137" dxfId="3">
      <formula>AND(IF(OR($Q47=1,$Q47=2),1,0),IF($X47&lt;=20,1,0))</formula>
    </cfRule>
    <cfRule type="expression" priority="3138" dxfId="2">
      <formula>AND(IF($Q47=2,1,0),IF($X47&lt;30,1,0))</formula>
    </cfRule>
    <cfRule type="expression" priority="3139" dxfId="1">
      <formula>AND(IF($Q47=3,1,0),IF($X47&lt;30,1,0))</formula>
    </cfRule>
    <cfRule type="expression" priority="3140" dxfId="0">
      <formula>AND(IF($Q47=3,1,IF($Q47=4,1,0)),IF($F47&lt;=85,1,0))</formula>
    </cfRule>
  </conditionalFormatting>
  <conditionalFormatting sqref="AI47">
    <cfRule type="expression" priority="3133" dxfId="3">
      <formula>AND(IF(OR($Q47=1,$Q47=2),1,0),IF($X47&lt;=20,1,0))</formula>
    </cfRule>
    <cfRule type="expression" priority="3134" dxfId="2">
      <formula>AND(IF($Q47=2,1,0),IF($X47&lt;30,1,0))</formula>
    </cfRule>
    <cfRule type="expression" priority="3135" dxfId="1">
      <formula>AND(IF($Q47=3,1,0),IF($X47&lt;30,1,0))</formula>
    </cfRule>
    <cfRule type="expression" priority="3136" dxfId="0">
      <formula>AND(IF($Q47=3,1,IF($Q47=4,1,0)),IF($F47&lt;=85,1,0))</formula>
    </cfRule>
  </conditionalFormatting>
  <conditionalFormatting sqref="AV48">
    <cfRule type="expression" priority="3131" dxfId="23">
      <formula>AV48="X"</formula>
    </cfRule>
    <cfRule type="expression" priority="3132" dxfId="22">
      <formula>AV48="후보"</formula>
    </cfRule>
  </conditionalFormatting>
  <conditionalFormatting sqref="AC4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8">
    <cfRule type="expression" priority="3123" dxfId="3">
      <formula>AND(IF(OR($Q48=1,$Q48=2),1,0),IF($X48&lt;=20,1,0))</formula>
    </cfRule>
    <cfRule type="expression" priority="3124" dxfId="2">
      <formula>AND(IF($Q48=2,1,0),IF($X48&lt;30,1,0))</formula>
    </cfRule>
    <cfRule type="expression" priority="3125" dxfId="1">
      <formula>AND(IF($Q48=3,1,0),IF($X48&lt;30,1,0))</formula>
    </cfRule>
    <cfRule type="expression" priority="3126" dxfId="0">
      <formula>AND(IF($Q48=3,1,IF($Q48=4,1,0)),IF($F48&lt;=85,1,0))</formula>
    </cfRule>
  </conditionalFormatting>
  <conditionalFormatting sqref="X48">
    <cfRule type="expression" priority="3119" dxfId="3">
      <formula>AND(IF(OR($Q48=1,$Q48=2),1,0),IF($X48&lt;=20,1,0))</formula>
    </cfRule>
    <cfRule type="expression" priority="3120" dxfId="2">
      <formula>AND(IF($Q48=2,1,0),IF($X48&lt;30,1,0))</formula>
    </cfRule>
    <cfRule type="expression" priority="3121" dxfId="1">
      <formula>AND(IF($Q48=3,1,0),IF($X48&lt;30,1,0))</formula>
    </cfRule>
    <cfRule type="expression" priority="3122" dxfId="0">
      <formula>AND(IF($Q48=3,1,IF($Q48=4,1,0)),IF($F48&lt;=85,1,0))</formula>
    </cfRule>
  </conditionalFormatting>
  <conditionalFormatting sqref="AI48">
    <cfRule type="expression" priority="3115" dxfId="3">
      <formula>AND(IF(OR($Q48=1,$Q48=2),1,0),IF($X48&lt;=20,1,0))</formula>
    </cfRule>
    <cfRule type="expression" priority="3116" dxfId="2">
      <formula>AND(IF($Q48=2,1,0),IF($X48&lt;30,1,0))</formula>
    </cfRule>
    <cfRule type="expression" priority="3117" dxfId="1">
      <formula>AND(IF($Q48=3,1,0),IF($X48&lt;30,1,0))</formula>
    </cfRule>
    <cfRule type="expression" priority="3118" dxfId="0">
      <formula>AND(IF($Q48=3,1,IF($Q48=4,1,0)),IF($F48&lt;=85,1,0))</formula>
    </cfRule>
  </conditionalFormatting>
  <conditionalFormatting sqref="AV49">
    <cfRule type="expression" priority="3113" dxfId="23">
      <formula>AV49="X"</formula>
    </cfRule>
    <cfRule type="expression" priority="3114" dxfId="22">
      <formula>AV49="후보"</formula>
    </cfRule>
  </conditionalFormatting>
  <conditionalFormatting sqref="AC4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9">
    <cfRule type="expression" priority="3105" dxfId="3">
      <formula>AND(IF(OR($Q49=1,$Q49=2),1,0),IF($X49&lt;=20,1,0))</formula>
    </cfRule>
    <cfRule type="expression" priority="3106" dxfId="2">
      <formula>AND(IF($Q49=2,1,0),IF($X49&lt;30,1,0))</formula>
    </cfRule>
    <cfRule type="expression" priority="3107" dxfId="1">
      <formula>AND(IF($Q49=3,1,0),IF($X49&lt;30,1,0))</formula>
    </cfRule>
    <cfRule type="expression" priority="3108" dxfId="0">
      <formula>AND(IF($Q49=3,1,IF($Q49=4,1,0)),IF($F49&lt;=85,1,0))</formula>
    </cfRule>
  </conditionalFormatting>
  <conditionalFormatting sqref="X49">
    <cfRule type="expression" priority="3101" dxfId="3">
      <formula>AND(IF(OR($Q49=1,$Q49=2),1,0),IF($X49&lt;=20,1,0))</formula>
    </cfRule>
    <cfRule type="expression" priority="3102" dxfId="2">
      <formula>AND(IF($Q49=2,1,0),IF($X49&lt;30,1,0))</formula>
    </cfRule>
    <cfRule type="expression" priority="3103" dxfId="1">
      <formula>AND(IF($Q49=3,1,0),IF($X49&lt;30,1,0))</formula>
    </cfRule>
    <cfRule type="expression" priority="3104" dxfId="0">
      <formula>AND(IF($Q49=3,1,IF($Q49=4,1,0)),IF($F49&lt;=85,1,0))</formula>
    </cfRule>
  </conditionalFormatting>
  <conditionalFormatting sqref="AI49">
    <cfRule type="expression" priority="3097" dxfId="3">
      <formula>AND(IF(OR($Q49=1,$Q49=2),1,0),IF($X49&lt;=20,1,0))</formula>
    </cfRule>
    <cfRule type="expression" priority="3098" dxfId="2">
      <formula>AND(IF($Q49=2,1,0),IF($X49&lt;30,1,0))</formula>
    </cfRule>
    <cfRule type="expression" priority="3099" dxfId="1">
      <formula>AND(IF($Q49=3,1,0),IF($X49&lt;30,1,0))</formula>
    </cfRule>
    <cfRule type="expression" priority="3100" dxfId="0">
      <formula>AND(IF($Q49=3,1,IF($Q49=4,1,0)),IF($F49&lt;=85,1,0))</formula>
    </cfRule>
  </conditionalFormatting>
  <conditionalFormatting sqref="AV50">
    <cfRule type="expression" priority="3095" dxfId="23">
      <formula>AV50="X"</formula>
    </cfRule>
    <cfRule type="expression" priority="3096" dxfId="22">
      <formula>AV50="후보"</formula>
    </cfRule>
  </conditionalFormatting>
  <conditionalFormatting sqref="AC5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0">
    <cfRule type="expression" priority="3087" dxfId="3">
      <formula>AND(IF(OR($Q50=1,$Q50=2),1,0),IF($X50&lt;=20,1,0))</formula>
    </cfRule>
    <cfRule type="expression" priority="3088" dxfId="2">
      <formula>AND(IF($Q50=2,1,0),IF($X50&lt;30,1,0))</formula>
    </cfRule>
    <cfRule type="expression" priority="3089" dxfId="1">
      <formula>AND(IF($Q50=3,1,0),IF($X50&lt;30,1,0))</formula>
    </cfRule>
    <cfRule type="expression" priority="3090" dxfId="0">
      <formula>AND(IF($Q50=3,1,IF($Q50=4,1,0)),IF($F50&lt;=85,1,0))</formula>
    </cfRule>
  </conditionalFormatting>
  <conditionalFormatting sqref="X50">
    <cfRule type="expression" priority="3083" dxfId="3">
      <formula>AND(IF(OR($Q50=1,$Q50=2),1,0),IF($X50&lt;=20,1,0))</formula>
    </cfRule>
    <cfRule type="expression" priority="3084" dxfId="2">
      <formula>AND(IF($Q50=2,1,0),IF($X50&lt;30,1,0))</formula>
    </cfRule>
    <cfRule type="expression" priority="3085" dxfId="1">
      <formula>AND(IF($Q50=3,1,0),IF($X50&lt;30,1,0))</formula>
    </cfRule>
    <cfRule type="expression" priority="3086" dxfId="0">
      <formula>AND(IF($Q50=3,1,IF($Q50=4,1,0)),IF($F50&lt;=85,1,0))</formula>
    </cfRule>
  </conditionalFormatting>
  <conditionalFormatting sqref="AI50">
    <cfRule type="expression" priority="3079" dxfId="3">
      <formula>AND(IF(OR($Q50=1,$Q50=2),1,0),IF($X50&lt;=20,1,0))</formula>
    </cfRule>
    <cfRule type="expression" priority="3080" dxfId="2">
      <formula>AND(IF($Q50=2,1,0),IF($X50&lt;30,1,0))</formula>
    </cfRule>
    <cfRule type="expression" priority="3081" dxfId="1">
      <formula>AND(IF($Q50=3,1,0),IF($X50&lt;30,1,0))</formula>
    </cfRule>
    <cfRule type="expression" priority="3082" dxfId="0">
      <formula>AND(IF($Q50=3,1,IF($Q50=4,1,0)),IF($F50&lt;=85,1,0))</formula>
    </cfRule>
  </conditionalFormatting>
  <conditionalFormatting sqref="AV51">
    <cfRule type="expression" priority="3077" dxfId="23">
      <formula>AV51="X"</formula>
    </cfRule>
    <cfRule type="expression" priority="3078" dxfId="22">
      <formula>AV51="후보"</formula>
    </cfRule>
  </conditionalFormatting>
  <conditionalFormatting sqref="AC5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1">
    <cfRule type="expression" priority="3069" dxfId="3">
      <formula>AND(IF(OR($Q51=1,$Q51=2),1,0),IF($X51&lt;=20,1,0))</formula>
    </cfRule>
    <cfRule type="expression" priority="3070" dxfId="2">
      <formula>AND(IF($Q51=2,1,0),IF($X51&lt;30,1,0))</formula>
    </cfRule>
    <cfRule type="expression" priority="3071" dxfId="1">
      <formula>AND(IF($Q51=3,1,0),IF($X51&lt;30,1,0))</formula>
    </cfRule>
    <cfRule type="expression" priority="3072" dxfId="0">
      <formula>AND(IF($Q51=3,1,IF($Q51=4,1,0)),IF($F51&lt;=85,1,0))</formula>
    </cfRule>
  </conditionalFormatting>
  <conditionalFormatting sqref="X51">
    <cfRule type="expression" priority="3065" dxfId="3">
      <formula>AND(IF(OR($Q51=1,$Q51=2),1,0),IF($X51&lt;=20,1,0))</formula>
    </cfRule>
    <cfRule type="expression" priority="3066" dxfId="2">
      <formula>AND(IF($Q51=2,1,0),IF($X51&lt;30,1,0))</formula>
    </cfRule>
    <cfRule type="expression" priority="3067" dxfId="1">
      <formula>AND(IF($Q51=3,1,0),IF($X51&lt;30,1,0))</formula>
    </cfRule>
    <cfRule type="expression" priority="3068" dxfId="0">
      <formula>AND(IF($Q51=3,1,IF($Q51=4,1,0)),IF($F51&lt;=85,1,0))</formula>
    </cfRule>
  </conditionalFormatting>
  <conditionalFormatting sqref="AI51">
    <cfRule type="expression" priority="3061" dxfId="3">
      <formula>AND(IF(OR($Q51=1,$Q51=2),1,0),IF($X51&lt;=20,1,0))</formula>
    </cfRule>
    <cfRule type="expression" priority="3062" dxfId="2">
      <formula>AND(IF($Q51=2,1,0),IF($X51&lt;30,1,0))</formula>
    </cfRule>
    <cfRule type="expression" priority="3063" dxfId="1">
      <formula>AND(IF($Q51=3,1,0),IF($X51&lt;30,1,0))</formula>
    </cfRule>
    <cfRule type="expression" priority="3064" dxfId="0">
      <formula>AND(IF($Q51=3,1,IF($Q51=4,1,0)),IF($F51&lt;=85,1,0))</formula>
    </cfRule>
  </conditionalFormatting>
  <conditionalFormatting sqref="AV52">
    <cfRule type="expression" priority="3059" dxfId="23">
      <formula>AV52="X"</formula>
    </cfRule>
    <cfRule type="expression" priority="3060" dxfId="22">
      <formula>AV52="후보"</formula>
    </cfRule>
  </conditionalFormatting>
  <conditionalFormatting sqref="AC5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2">
    <cfRule type="expression" priority="3051" dxfId="3">
      <formula>AND(IF(OR($Q52=1,$Q52=2),1,0),IF($X52&lt;=20,1,0))</formula>
    </cfRule>
    <cfRule type="expression" priority="3052" dxfId="2">
      <formula>AND(IF($Q52=2,1,0),IF($X52&lt;30,1,0))</formula>
    </cfRule>
    <cfRule type="expression" priority="3053" dxfId="1">
      <formula>AND(IF($Q52=3,1,0),IF($X52&lt;30,1,0))</formula>
    </cfRule>
    <cfRule type="expression" priority="3054" dxfId="0">
      <formula>AND(IF($Q52=3,1,IF($Q52=4,1,0)),IF($F52&lt;=85,1,0))</formula>
    </cfRule>
  </conditionalFormatting>
  <conditionalFormatting sqref="X52">
    <cfRule type="expression" priority="3047" dxfId="3">
      <formula>AND(IF(OR($Q52=1,$Q52=2),1,0),IF($X52&lt;=20,1,0))</formula>
    </cfRule>
    <cfRule type="expression" priority="3048" dxfId="2">
      <formula>AND(IF($Q52=2,1,0),IF($X52&lt;30,1,0))</formula>
    </cfRule>
    <cfRule type="expression" priority="3049" dxfId="1">
      <formula>AND(IF($Q52=3,1,0),IF($X52&lt;30,1,0))</formula>
    </cfRule>
    <cfRule type="expression" priority="3050" dxfId="0">
      <formula>AND(IF($Q52=3,1,IF($Q52=4,1,0)),IF($F52&lt;=85,1,0))</formula>
    </cfRule>
  </conditionalFormatting>
  <conditionalFormatting sqref="AI52">
    <cfRule type="expression" priority="3043" dxfId="3">
      <formula>AND(IF(OR($Q52=1,$Q52=2),1,0),IF($X52&lt;=20,1,0))</formula>
    </cfRule>
    <cfRule type="expression" priority="3044" dxfId="2">
      <formula>AND(IF($Q52=2,1,0),IF($X52&lt;30,1,0))</formula>
    </cfRule>
    <cfRule type="expression" priority="3045" dxfId="1">
      <formula>AND(IF($Q52=3,1,0),IF($X52&lt;30,1,0))</formula>
    </cfRule>
    <cfRule type="expression" priority="3046" dxfId="0">
      <formula>AND(IF($Q52=3,1,IF($Q52=4,1,0)),IF($F52&lt;=85,1,0))</formula>
    </cfRule>
  </conditionalFormatting>
  <conditionalFormatting sqref="AV53">
    <cfRule type="expression" priority="3041" dxfId="23">
      <formula>AV53="X"</formula>
    </cfRule>
    <cfRule type="expression" priority="3042" dxfId="22">
      <formula>AV53="후보"</formula>
    </cfRule>
  </conditionalFormatting>
  <conditionalFormatting sqref="AC5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3">
    <cfRule type="expression" priority="3033" dxfId="3">
      <formula>AND(IF(OR($Q53=1,$Q53=2),1,0),IF($X53&lt;=20,1,0))</formula>
    </cfRule>
    <cfRule type="expression" priority="3034" dxfId="2">
      <formula>AND(IF($Q53=2,1,0),IF($X53&lt;30,1,0))</formula>
    </cfRule>
    <cfRule type="expression" priority="3035" dxfId="1">
      <formula>AND(IF($Q53=3,1,0),IF($X53&lt;30,1,0))</formula>
    </cfRule>
    <cfRule type="expression" priority="3036" dxfId="0">
      <formula>AND(IF($Q53=3,1,IF($Q53=4,1,0)),IF($F53&lt;=85,1,0))</formula>
    </cfRule>
  </conditionalFormatting>
  <conditionalFormatting sqref="X53">
    <cfRule type="expression" priority="3029" dxfId="3">
      <formula>AND(IF(OR($Q53=1,$Q53=2),1,0),IF($X53&lt;=20,1,0))</formula>
    </cfRule>
    <cfRule type="expression" priority="3030" dxfId="2">
      <formula>AND(IF($Q53=2,1,0),IF($X53&lt;30,1,0))</formula>
    </cfRule>
    <cfRule type="expression" priority="3031" dxfId="1">
      <formula>AND(IF($Q53=3,1,0),IF($X53&lt;30,1,0))</formula>
    </cfRule>
    <cfRule type="expression" priority="3032" dxfId="0">
      <formula>AND(IF($Q53=3,1,IF($Q53=4,1,0)),IF($F53&lt;=85,1,0))</formula>
    </cfRule>
  </conditionalFormatting>
  <conditionalFormatting sqref="AI53">
    <cfRule type="expression" priority="3025" dxfId="3">
      <formula>AND(IF(OR($Q53=1,$Q53=2),1,0),IF($X53&lt;=20,1,0))</formula>
    </cfRule>
    <cfRule type="expression" priority="3026" dxfId="2">
      <formula>AND(IF($Q53=2,1,0),IF($X53&lt;30,1,0))</formula>
    </cfRule>
    <cfRule type="expression" priority="3027" dxfId="1">
      <formula>AND(IF($Q53=3,1,0),IF($X53&lt;30,1,0))</formula>
    </cfRule>
    <cfRule type="expression" priority="3028" dxfId="0">
      <formula>AND(IF($Q53=3,1,IF($Q53=4,1,0)),IF($F53&lt;=85,1,0))</formula>
    </cfRule>
  </conditionalFormatting>
  <conditionalFormatting sqref="AV54">
    <cfRule type="expression" priority="3023" dxfId="23">
      <formula>AV54="X"</formula>
    </cfRule>
    <cfRule type="expression" priority="3024" dxfId="22">
      <formula>AV54="후보"</formula>
    </cfRule>
  </conditionalFormatting>
  <conditionalFormatting sqref="AC5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4">
    <cfRule type="expression" priority="3015" dxfId="3">
      <formula>AND(IF(OR($Q54=1,$Q54=2),1,0),IF($X54&lt;=20,1,0))</formula>
    </cfRule>
    <cfRule type="expression" priority="3016" dxfId="2">
      <formula>AND(IF($Q54=2,1,0),IF($X54&lt;30,1,0))</formula>
    </cfRule>
    <cfRule type="expression" priority="3017" dxfId="1">
      <formula>AND(IF($Q54=3,1,0),IF($X54&lt;30,1,0))</formula>
    </cfRule>
    <cfRule type="expression" priority="3018" dxfId="0">
      <formula>AND(IF($Q54=3,1,IF($Q54=4,1,0)),IF($F54&lt;=85,1,0))</formula>
    </cfRule>
  </conditionalFormatting>
  <conditionalFormatting sqref="X54">
    <cfRule type="expression" priority="3011" dxfId="3">
      <formula>AND(IF(OR($Q54=1,$Q54=2),1,0),IF($X54&lt;=20,1,0))</formula>
    </cfRule>
    <cfRule type="expression" priority="3012" dxfId="2">
      <formula>AND(IF($Q54=2,1,0),IF($X54&lt;30,1,0))</formula>
    </cfRule>
    <cfRule type="expression" priority="3013" dxfId="1">
      <formula>AND(IF($Q54=3,1,0),IF($X54&lt;30,1,0))</formula>
    </cfRule>
    <cfRule type="expression" priority="3014" dxfId="0">
      <formula>AND(IF($Q54=3,1,IF($Q54=4,1,0)),IF($F54&lt;=85,1,0))</formula>
    </cfRule>
  </conditionalFormatting>
  <conditionalFormatting sqref="AI54">
    <cfRule type="expression" priority="3007" dxfId="3">
      <formula>AND(IF(OR($Q54=1,$Q54=2),1,0),IF($X54&lt;=20,1,0))</formula>
    </cfRule>
    <cfRule type="expression" priority="3008" dxfId="2">
      <formula>AND(IF($Q54=2,1,0),IF($X54&lt;30,1,0))</formula>
    </cfRule>
    <cfRule type="expression" priority="3009" dxfId="1">
      <formula>AND(IF($Q54=3,1,0),IF($X54&lt;30,1,0))</formula>
    </cfRule>
    <cfRule type="expression" priority="3010" dxfId="0">
      <formula>AND(IF($Q54=3,1,IF($Q54=4,1,0)),IF($F54&lt;=85,1,0))</formula>
    </cfRule>
  </conditionalFormatting>
  <conditionalFormatting sqref="AV55">
    <cfRule type="expression" priority="3005" dxfId="23">
      <formula>AV55="X"</formula>
    </cfRule>
    <cfRule type="expression" priority="3006" dxfId="22">
      <formula>AV55="후보"</formula>
    </cfRule>
  </conditionalFormatting>
  <conditionalFormatting sqref="AC5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5">
    <cfRule type="expression" priority="2997" dxfId="3">
      <formula>AND(IF(OR($Q55=1,$Q55=2),1,0),IF($X55&lt;=20,1,0))</formula>
    </cfRule>
    <cfRule type="expression" priority="2998" dxfId="2">
      <formula>AND(IF($Q55=2,1,0),IF($X55&lt;30,1,0))</formula>
    </cfRule>
    <cfRule type="expression" priority="2999" dxfId="1">
      <formula>AND(IF($Q55=3,1,0),IF($X55&lt;30,1,0))</formula>
    </cfRule>
    <cfRule type="expression" priority="3000" dxfId="0">
      <formula>AND(IF($Q55=3,1,IF($Q55=4,1,0)),IF($F55&lt;=85,1,0))</formula>
    </cfRule>
  </conditionalFormatting>
  <conditionalFormatting sqref="X55">
    <cfRule type="expression" priority="2993" dxfId="3">
      <formula>AND(IF(OR($Q55=1,$Q55=2),1,0),IF($X55&lt;=20,1,0))</formula>
    </cfRule>
    <cfRule type="expression" priority="2994" dxfId="2">
      <formula>AND(IF($Q55=2,1,0),IF($X55&lt;30,1,0))</formula>
    </cfRule>
    <cfRule type="expression" priority="2995" dxfId="1">
      <formula>AND(IF($Q55=3,1,0),IF($X55&lt;30,1,0))</formula>
    </cfRule>
    <cfRule type="expression" priority="2996" dxfId="0">
      <formula>AND(IF($Q55=3,1,IF($Q55=4,1,0)),IF($F55&lt;=85,1,0))</formula>
    </cfRule>
  </conditionalFormatting>
  <conditionalFormatting sqref="AI55">
    <cfRule type="expression" priority="2989" dxfId="3">
      <formula>AND(IF(OR($Q55=1,$Q55=2),1,0),IF($X55&lt;=20,1,0))</formula>
    </cfRule>
    <cfRule type="expression" priority="2990" dxfId="2">
      <formula>AND(IF($Q55=2,1,0),IF($X55&lt;30,1,0))</formula>
    </cfRule>
    <cfRule type="expression" priority="2991" dxfId="1">
      <formula>AND(IF($Q55=3,1,0),IF($X55&lt;30,1,0))</formula>
    </cfRule>
    <cfRule type="expression" priority="2992" dxfId="0">
      <formula>AND(IF($Q55=3,1,IF($Q55=4,1,0)),IF($F55&lt;=85,1,0))</formula>
    </cfRule>
  </conditionalFormatting>
  <conditionalFormatting sqref="AV56">
    <cfRule type="expression" priority="2987" dxfId="23">
      <formula>AV56="X"</formula>
    </cfRule>
    <cfRule type="expression" priority="2988" dxfId="22">
      <formula>AV56="후보"</formula>
    </cfRule>
  </conditionalFormatting>
  <conditionalFormatting sqref="AC5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6">
    <cfRule type="expression" priority="2979" dxfId="3">
      <formula>AND(IF(OR($Q56=1,$Q56=2),1,0),IF($X56&lt;=20,1,0))</formula>
    </cfRule>
    <cfRule type="expression" priority="2980" dxfId="2">
      <formula>AND(IF($Q56=2,1,0),IF($X56&lt;30,1,0))</formula>
    </cfRule>
    <cfRule type="expression" priority="2981" dxfId="1">
      <formula>AND(IF($Q56=3,1,0),IF($X56&lt;30,1,0))</formula>
    </cfRule>
    <cfRule type="expression" priority="2982" dxfId="0">
      <formula>AND(IF($Q56=3,1,IF($Q56=4,1,0)),IF($F56&lt;=85,1,0))</formula>
    </cfRule>
  </conditionalFormatting>
  <conditionalFormatting sqref="X56">
    <cfRule type="expression" priority="2975" dxfId="3">
      <formula>AND(IF(OR($Q56=1,$Q56=2),1,0),IF($X56&lt;=20,1,0))</formula>
    </cfRule>
    <cfRule type="expression" priority="2976" dxfId="2">
      <formula>AND(IF($Q56=2,1,0),IF($X56&lt;30,1,0))</formula>
    </cfRule>
    <cfRule type="expression" priority="2977" dxfId="1">
      <formula>AND(IF($Q56=3,1,0),IF($X56&lt;30,1,0))</formula>
    </cfRule>
    <cfRule type="expression" priority="2978" dxfId="0">
      <formula>AND(IF($Q56=3,1,IF($Q56=4,1,0)),IF($F56&lt;=85,1,0))</formula>
    </cfRule>
  </conditionalFormatting>
  <conditionalFormatting sqref="AI56">
    <cfRule type="expression" priority="2971" dxfId="3">
      <formula>AND(IF(OR($Q56=1,$Q56=2),1,0),IF($X56&lt;=20,1,0))</formula>
    </cfRule>
    <cfRule type="expression" priority="2972" dxfId="2">
      <formula>AND(IF($Q56=2,1,0),IF($X56&lt;30,1,0))</formula>
    </cfRule>
    <cfRule type="expression" priority="2973" dxfId="1">
      <formula>AND(IF($Q56=3,1,0),IF($X56&lt;30,1,0))</formula>
    </cfRule>
    <cfRule type="expression" priority="2974" dxfId="0">
      <formula>AND(IF($Q56=3,1,IF($Q56=4,1,0)),IF($F56&lt;=85,1,0))</formula>
    </cfRule>
  </conditionalFormatting>
  <conditionalFormatting sqref="AV57">
    <cfRule type="expression" priority="2969" dxfId="23">
      <formula>AV57="X"</formula>
    </cfRule>
    <cfRule type="expression" priority="2970" dxfId="22">
      <formula>AV57="후보"</formula>
    </cfRule>
  </conditionalFormatting>
  <conditionalFormatting sqref="AC5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7">
    <cfRule type="expression" priority="2961" dxfId="3">
      <formula>AND(IF(OR($Q57=1,$Q57=2),1,0),IF($X57&lt;=20,1,0))</formula>
    </cfRule>
    <cfRule type="expression" priority="2962" dxfId="2">
      <formula>AND(IF($Q57=2,1,0),IF($X57&lt;30,1,0))</formula>
    </cfRule>
    <cfRule type="expression" priority="2963" dxfId="1">
      <formula>AND(IF($Q57=3,1,0),IF($X57&lt;30,1,0))</formula>
    </cfRule>
    <cfRule type="expression" priority="2964" dxfId="0">
      <formula>AND(IF($Q57=3,1,IF($Q57=4,1,0)),IF($F57&lt;=85,1,0))</formula>
    </cfRule>
  </conditionalFormatting>
  <conditionalFormatting sqref="X57">
    <cfRule type="expression" priority="2957" dxfId="3">
      <formula>AND(IF(OR($Q57=1,$Q57=2),1,0),IF($X57&lt;=20,1,0))</formula>
    </cfRule>
    <cfRule type="expression" priority="2958" dxfId="2">
      <formula>AND(IF($Q57=2,1,0),IF($X57&lt;30,1,0))</formula>
    </cfRule>
    <cfRule type="expression" priority="2959" dxfId="1">
      <formula>AND(IF($Q57=3,1,0),IF($X57&lt;30,1,0))</formula>
    </cfRule>
    <cfRule type="expression" priority="2960" dxfId="0">
      <formula>AND(IF($Q57=3,1,IF($Q57=4,1,0)),IF($F57&lt;=85,1,0))</formula>
    </cfRule>
  </conditionalFormatting>
  <conditionalFormatting sqref="AI57">
    <cfRule type="expression" priority="2953" dxfId="3">
      <formula>AND(IF(OR($Q57=1,$Q57=2),1,0),IF($X57&lt;=20,1,0))</formula>
    </cfRule>
    <cfRule type="expression" priority="2954" dxfId="2">
      <formula>AND(IF($Q57=2,1,0),IF($X57&lt;30,1,0))</formula>
    </cfRule>
    <cfRule type="expression" priority="2955" dxfId="1">
      <formula>AND(IF($Q57=3,1,0),IF($X57&lt;30,1,0))</formula>
    </cfRule>
    <cfRule type="expression" priority="2956" dxfId="0">
      <formula>AND(IF($Q57=3,1,IF($Q57=4,1,0)),IF($F57&lt;=85,1,0))</formula>
    </cfRule>
  </conditionalFormatting>
  <conditionalFormatting sqref="AV58">
    <cfRule type="expression" priority="2951" dxfId="23">
      <formula>AV58="X"</formula>
    </cfRule>
    <cfRule type="expression" priority="2952" dxfId="22">
      <formula>AV58="후보"</formula>
    </cfRule>
  </conditionalFormatting>
  <conditionalFormatting sqref="AC5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">
    <cfRule type="expression" priority="2943" dxfId="3">
      <formula>AND(IF(OR($Q58=1,$Q58=2),1,0),IF($X58&lt;=20,1,0))</formula>
    </cfRule>
    <cfRule type="expression" priority="2944" dxfId="2">
      <formula>AND(IF($Q58=2,1,0),IF($X58&lt;30,1,0))</formula>
    </cfRule>
    <cfRule type="expression" priority="2945" dxfId="1">
      <formula>AND(IF($Q58=3,1,0),IF($X58&lt;30,1,0))</formula>
    </cfRule>
    <cfRule type="expression" priority="2946" dxfId="0">
      <formula>AND(IF($Q58=3,1,IF($Q58=4,1,0)),IF($F58&lt;=85,1,0))</formula>
    </cfRule>
  </conditionalFormatting>
  <conditionalFormatting sqref="X58">
    <cfRule type="expression" priority="2939" dxfId="3">
      <formula>AND(IF(OR($Q58=1,$Q58=2),1,0),IF($X58&lt;=20,1,0))</formula>
    </cfRule>
    <cfRule type="expression" priority="2940" dxfId="2">
      <formula>AND(IF($Q58=2,1,0),IF($X58&lt;30,1,0))</formula>
    </cfRule>
    <cfRule type="expression" priority="2941" dxfId="1">
      <formula>AND(IF($Q58=3,1,0),IF($X58&lt;30,1,0))</formula>
    </cfRule>
    <cfRule type="expression" priority="2942" dxfId="0">
      <formula>AND(IF($Q58=3,1,IF($Q58=4,1,0)),IF($F58&lt;=85,1,0))</formula>
    </cfRule>
  </conditionalFormatting>
  <conditionalFormatting sqref="AI58">
    <cfRule type="expression" priority="2935" dxfId="3">
      <formula>AND(IF(OR($Q58=1,$Q58=2),1,0),IF($X58&lt;=20,1,0))</formula>
    </cfRule>
    <cfRule type="expression" priority="2936" dxfId="2">
      <formula>AND(IF($Q58=2,1,0),IF($X58&lt;30,1,0))</formula>
    </cfRule>
    <cfRule type="expression" priority="2937" dxfId="1">
      <formula>AND(IF($Q58=3,1,0),IF($X58&lt;30,1,0))</formula>
    </cfRule>
    <cfRule type="expression" priority="2938" dxfId="0">
      <formula>AND(IF($Q58=3,1,IF($Q58=4,1,0)),IF($F58&lt;=85,1,0))</formula>
    </cfRule>
  </conditionalFormatting>
  <conditionalFormatting sqref="AV59">
    <cfRule type="expression" priority="2933" dxfId="23">
      <formula>AV59="X"</formula>
    </cfRule>
    <cfRule type="expression" priority="2934" dxfId="22">
      <formula>AV59="후보"</formula>
    </cfRule>
  </conditionalFormatting>
  <conditionalFormatting sqref="AC5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9">
    <cfRule type="expression" priority="2925" dxfId="3">
      <formula>AND(IF(OR($Q59=1,$Q59=2),1,0),IF($X59&lt;=20,1,0))</formula>
    </cfRule>
    <cfRule type="expression" priority="2926" dxfId="2">
      <formula>AND(IF($Q59=2,1,0),IF($X59&lt;30,1,0))</formula>
    </cfRule>
    <cfRule type="expression" priority="2927" dxfId="1">
      <formula>AND(IF($Q59=3,1,0),IF($X59&lt;30,1,0))</formula>
    </cfRule>
    <cfRule type="expression" priority="2928" dxfId="0">
      <formula>AND(IF($Q59=3,1,IF($Q59=4,1,0)),IF($F59&lt;=85,1,0))</formula>
    </cfRule>
  </conditionalFormatting>
  <conditionalFormatting sqref="X59">
    <cfRule type="expression" priority="2921" dxfId="3">
      <formula>AND(IF(OR($Q59=1,$Q59=2),1,0),IF($X59&lt;=20,1,0))</formula>
    </cfRule>
    <cfRule type="expression" priority="2922" dxfId="2">
      <formula>AND(IF($Q59=2,1,0),IF($X59&lt;30,1,0))</formula>
    </cfRule>
    <cfRule type="expression" priority="2923" dxfId="1">
      <formula>AND(IF($Q59=3,1,0),IF($X59&lt;30,1,0))</formula>
    </cfRule>
    <cfRule type="expression" priority="2924" dxfId="0">
      <formula>AND(IF($Q59=3,1,IF($Q59=4,1,0)),IF($F59&lt;=85,1,0))</formula>
    </cfRule>
  </conditionalFormatting>
  <conditionalFormatting sqref="AI59">
    <cfRule type="expression" priority="2917" dxfId="3">
      <formula>AND(IF(OR($Q59=1,$Q59=2),1,0),IF($X59&lt;=20,1,0))</formula>
    </cfRule>
    <cfRule type="expression" priority="2918" dxfId="2">
      <formula>AND(IF($Q59=2,1,0),IF($X59&lt;30,1,0))</formula>
    </cfRule>
    <cfRule type="expression" priority="2919" dxfId="1">
      <formula>AND(IF($Q59=3,1,0),IF($X59&lt;30,1,0))</formula>
    </cfRule>
    <cfRule type="expression" priority="2920" dxfId="0">
      <formula>AND(IF($Q59=3,1,IF($Q59=4,1,0)),IF($F59&lt;=85,1,0))</formula>
    </cfRule>
  </conditionalFormatting>
  <conditionalFormatting sqref="AV60">
    <cfRule type="expression" priority="2915" dxfId="23">
      <formula>AV60="X"</formula>
    </cfRule>
    <cfRule type="expression" priority="2916" dxfId="22">
      <formula>AV60="후보"</formula>
    </cfRule>
  </conditionalFormatting>
  <conditionalFormatting sqref="AC6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6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60">
    <cfRule type="expression" priority="2907" dxfId="3">
      <formula>AND(IF(OR($Q60=1,$Q60=2),1,0),IF($X60&lt;=20,1,0))</formula>
    </cfRule>
    <cfRule type="expression" priority="2908" dxfId="2">
      <formula>AND(IF($Q60=2,1,0),IF($X60&lt;30,1,0))</formula>
    </cfRule>
    <cfRule type="expression" priority="2909" dxfId="1">
      <formula>AND(IF($Q60=3,1,0),IF($X60&lt;30,1,0))</formula>
    </cfRule>
    <cfRule type="expression" priority="2910" dxfId="0">
      <formula>AND(IF($Q60=3,1,IF($Q60=4,1,0)),IF($F60&lt;=85,1,0))</formula>
    </cfRule>
  </conditionalFormatting>
  <conditionalFormatting sqref="X60">
    <cfRule type="expression" priority="2903" dxfId="3">
      <formula>AND(IF(OR($Q60=1,$Q60=2),1,0),IF($X60&lt;=20,1,0))</formula>
    </cfRule>
    <cfRule type="expression" priority="2904" dxfId="2">
      <formula>AND(IF($Q60=2,1,0),IF($X60&lt;30,1,0))</formula>
    </cfRule>
    <cfRule type="expression" priority="2905" dxfId="1">
      <formula>AND(IF($Q60=3,1,0),IF($X60&lt;30,1,0))</formula>
    </cfRule>
    <cfRule type="expression" priority="2906" dxfId="0">
      <formula>AND(IF($Q60=3,1,IF($Q60=4,1,0)),IF($F60&lt;=85,1,0))</formula>
    </cfRule>
  </conditionalFormatting>
  <conditionalFormatting sqref="AI60">
    <cfRule type="expression" priority="2899" dxfId="3">
      <formula>AND(IF(OR($Q60=1,$Q60=2),1,0),IF($X60&lt;=20,1,0))</formula>
    </cfRule>
    <cfRule type="expression" priority="2900" dxfId="2">
      <formula>AND(IF($Q60=2,1,0),IF($X60&lt;30,1,0))</formula>
    </cfRule>
    <cfRule type="expression" priority="2901" dxfId="1">
      <formula>AND(IF($Q60=3,1,0),IF($X60&lt;30,1,0))</formula>
    </cfRule>
    <cfRule type="expression" priority="2902" dxfId="0">
      <formula>AND(IF($Q60=3,1,IF($Q60=4,1,0)),IF($F60&lt;=85,1,0))</formula>
    </cfRule>
  </conditionalFormatting>
  <conditionalFormatting sqref="AV61">
    <cfRule type="expression" priority="2897" dxfId="23">
      <formula>AV61="X"</formula>
    </cfRule>
    <cfRule type="expression" priority="2898" dxfId="22">
      <formula>AV61="후보"</formula>
    </cfRule>
  </conditionalFormatting>
  <conditionalFormatting sqref="AC6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6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61">
    <cfRule type="expression" priority="2889" dxfId="3">
      <formula>AND(IF(OR($Q61=1,$Q61=2),1,0),IF($X61&lt;=20,1,0))</formula>
    </cfRule>
    <cfRule type="expression" priority="2890" dxfId="2">
      <formula>AND(IF($Q61=2,1,0),IF($X61&lt;30,1,0))</formula>
    </cfRule>
    <cfRule type="expression" priority="2891" dxfId="1">
      <formula>AND(IF($Q61=3,1,0),IF($X61&lt;30,1,0))</formula>
    </cfRule>
    <cfRule type="expression" priority="2892" dxfId="0">
      <formula>AND(IF($Q61=3,1,IF($Q61=4,1,0)),IF($F61&lt;=85,1,0))</formula>
    </cfRule>
  </conditionalFormatting>
  <conditionalFormatting sqref="X61">
    <cfRule type="expression" priority="2885" dxfId="3">
      <formula>AND(IF(OR($Q61=1,$Q61=2),1,0),IF($X61&lt;=20,1,0))</formula>
    </cfRule>
    <cfRule type="expression" priority="2886" dxfId="2">
      <formula>AND(IF($Q61=2,1,0),IF($X61&lt;30,1,0))</formula>
    </cfRule>
    <cfRule type="expression" priority="2887" dxfId="1">
      <formula>AND(IF($Q61=3,1,0),IF($X61&lt;30,1,0))</formula>
    </cfRule>
    <cfRule type="expression" priority="2888" dxfId="0">
      <formula>AND(IF($Q61=3,1,IF($Q61=4,1,0)),IF($F61&lt;=85,1,0))</formula>
    </cfRule>
  </conditionalFormatting>
  <conditionalFormatting sqref="AI61">
    <cfRule type="expression" priority="2881" dxfId="3">
      <formula>AND(IF(OR($Q61=1,$Q61=2),1,0),IF($X61&lt;=20,1,0))</formula>
    </cfRule>
    <cfRule type="expression" priority="2882" dxfId="2">
      <formula>AND(IF($Q61=2,1,0),IF($X61&lt;30,1,0))</formula>
    </cfRule>
    <cfRule type="expression" priority="2883" dxfId="1">
      <formula>AND(IF($Q61=3,1,0),IF($X61&lt;30,1,0))</formula>
    </cfRule>
    <cfRule type="expression" priority="2884" dxfId="0">
      <formula>AND(IF($Q61=3,1,IF($Q61=4,1,0)),IF($F61&lt;=85,1,0))</formula>
    </cfRule>
  </conditionalFormatting>
  <conditionalFormatting sqref="AV62">
    <cfRule type="expression" priority="2879" dxfId="23">
      <formula>AV62="X"</formula>
    </cfRule>
    <cfRule type="expression" priority="2880" dxfId="22">
      <formula>AV62="후보"</formula>
    </cfRule>
  </conditionalFormatting>
  <conditionalFormatting sqref="AC6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6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62">
    <cfRule type="expression" priority="2871" dxfId="3">
      <formula>AND(IF(OR($Q62=1,$Q62=2),1,0),IF($X62&lt;=20,1,0))</formula>
    </cfRule>
    <cfRule type="expression" priority="2872" dxfId="2">
      <formula>AND(IF($Q62=2,1,0),IF($X62&lt;30,1,0))</formula>
    </cfRule>
    <cfRule type="expression" priority="2873" dxfId="1">
      <formula>AND(IF($Q62=3,1,0),IF($X62&lt;30,1,0))</formula>
    </cfRule>
    <cfRule type="expression" priority="2874" dxfId="0">
      <formula>AND(IF($Q62=3,1,IF($Q62=4,1,0)),IF($F62&lt;=85,1,0))</formula>
    </cfRule>
  </conditionalFormatting>
  <conditionalFormatting sqref="X62">
    <cfRule type="expression" priority="2867" dxfId="3">
      <formula>AND(IF(OR($Q62=1,$Q62=2),1,0),IF($X62&lt;=20,1,0))</formula>
    </cfRule>
    <cfRule type="expression" priority="2868" dxfId="2">
      <formula>AND(IF($Q62=2,1,0),IF($X62&lt;30,1,0))</formula>
    </cfRule>
    <cfRule type="expression" priority="2869" dxfId="1">
      <formula>AND(IF($Q62=3,1,0),IF($X62&lt;30,1,0))</formula>
    </cfRule>
    <cfRule type="expression" priority="2870" dxfId="0">
      <formula>AND(IF($Q62=3,1,IF($Q62=4,1,0)),IF($F62&lt;=85,1,0))</formula>
    </cfRule>
  </conditionalFormatting>
  <conditionalFormatting sqref="AI62">
    <cfRule type="expression" priority="2863" dxfId="3">
      <formula>AND(IF(OR($Q62=1,$Q62=2),1,0),IF($X62&lt;=20,1,0))</formula>
    </cfRule>
    <cfRule type="expression" priority="2864" dxfId="2">
      <formula>AND(IF($Q62=2,1,0),IF($X62&lt;30,1,0))</formula>
    </cfRule>
    <cfRule type="expression" priority="2865" dxfId="1">
      <formula>AND(IF($Q62=3,1,0),IF($X62&lt;30,1,0))</formula>
    </cfRule>
    <cfRule type="expression" priority="2866" dxfId="0">
      <formula>AND(IF($Q62=3,1,IF($Q62=4,1,0)),IF($F62&lt;=85,1,0))</formula>
    </cfRule>
  </conditionalFormatting>
  <conditionalFormatting sqref="AV63">
    <cfRule type="expression" priority="2861" dxfId="23">
      <formula>AV63="X"</formula>
    </cfRule>
    <cfRule type="expression" priority="2862" dxfId="22">
      <formula>AV63="후보"</formula>
    </cfRule>
  </conditionalFormatting>
  <conditionalFormatting sqref="AC6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6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63">
    <cfRule type="expression" priority="2853" dxfId="3">
      <formula>AND(IF(OR($Q63=1,$Q63=2),1,0),IF($X63&lt;=20,1,0))</formula>
    </cfRule>
    <cfRule type="expression" priority="2854" dxfId="2">
      <formula>AND(IF($Q63=2,1,0),IF($X63&lt;30,1,0))</formula>
    </cfRule>
    <cfRule type="expression" priority="2855" dxfId="1">
      <formula>AND(IF($Q63=3,1,0),IF($X63&lt;30,1,0))</formula>
    </cfRule>
    <cfRule type="expression" priority="2856" dxfId="0">
      <formula>AND(IF($Q63=3,1,IF($Q63=4,1,0)),IF($F63&lt;=85,1,0))</formula>
    </cfRule>
  </conditionalFormatting>
  <conditionalFormatting sqref="X63">
    <cfRule type="expression" priority="2849" dxfId="3">
      <formula>AND(IF(OR($Q63=1,$Q63=2),1,0),IF($X63&lt;=20,1,0))</formula>
    </cfRule>
    <cfRule type="expression" priority="2850" dxfId="2">
      <formula>AND(IF($Q63=2,1,0),IF($X63&lt;30,1,0))</formula>
    </cfRule>
    <cfRule type="expression" priority="2851" dxfId="1">
      <formula>AND(IF($Q63=3,1,0),IF($X63&lt;30,1,0))</formula>
    </cfRule>
    <cfRule type="expression" priority="2852" dxfId="0">
      <formula>AND(IF($Q63=3,1,IF($Q63=4,1,0)),IF($F63&lt;=85,1,0))</formula>
    </cfRule>
  </conditionalFormatting>
  <conditionalFormatting sqref="AI63">
    <cfRule type="expression" priority="2845" dxfId="3">
      <formula>AND(IF(OR($Q63=1,$Q63=2),1,0),IF($X63&lt;=20,1,0))</formula>
    </cfRule>
    <cfRule type="expression" priority="2846" dxfId="2">
      <formula>AND(IF($Q63=2,1,0),IF($X63&lt;30,1,0))</formula>
    </cfRule>
    <cfRule type="expression" priority="2847" dxfId="1">
      <formula>AND(IF($Q63=3,1,0),IF($X63&lt;30,1,0))</formula>
    </cfRule>
    <cfRule type="expression" priority="2848" dxfId="0">
      <formula>AND(IF($Q63=3,1,IF($Q63=4,1,0)),IF($F63&lt;=85,1,0))</formula>
    </cfRule>
  </conditionalFormatting>
  <conditionalFormatting sqref="AV64">
    <cfRule type="expression" priority="2843" dxfId="23">
      <formula>AV64="X"</formula>
    </cfRule>
    <cfRule type="expression" priority="2844" dxfId="22">
      <formula>AV64="후보"</formula>
    </cfRule>
  </conditionalFormatting>
  <conditionalFormatting sqref="AC6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6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64">
    <cfRule type="expression" priority="2835" dxfId="3">
      <formula>AND(IF(OR($Q64=1,$Q64=2),1,0),IF($X64&lt;=20,1,0))</formula>
    </cfRule>
    <cfRule type="expression" priority="2836" dxfId="2">
      <formula>AND(IF($Q64=2,1,0),IF($X64&lt;30,1,0))</formula>
    </cfRule>
    <cfRule type="expression" priority="2837" dxfId="1">
      <formula>AND(IF($Q64=3,1,0),IF($X64&lt;30,1,0))</formula>
    </cfRule>
    <cfRule type="expression" priority="2838" dxfId="0">
      <formula>AND(IF($Q64=3,1,IF($Q64=4,1,0)),IF($F64&lt;=85,1,0))</formula>
    </cfRule>
  </conditionalFormatting>
  <conditionalFormatting sqref="X64">
    <cfRule type="expression" priority="2831" dxfId="3">
      <formula>AND(IF(OR($Q64=1,$Q64=2),1,0),IF($X64&lt;=20,1,0))</formula>
    </cfRule>
    <cfRule type="expression" priority="2832" dxfId="2">
      <formula>AND(IF($Q64=2,1,0),IF($X64&lt;30,1,0))</formula>
    </cfRule>
    <cfRule type="expression" priority="2833" dxfId="1">
      <formula>AND(IF($Q64=3,1,0),IF($X64&lt;30,1,0))</formula>
    </cfRule>
    <cfRule type="expression" priority="2834" dxfId="0">
      <formula>AND(IF($Q64=3,1,IF($Q64=4,1,0)),IF($F64&lt;=85,1,0))</formula>
    </cfRule>
  </conditionalFormatting>
  <conditionalFormatting sqref="AI64">
    <cfRule type="expression" priority="2827" dxfId="3">
      <formula>AND(IF(OR($Q64=1,$Q64=2),1,0),IF($X64&lt;=20,1,0))</formula>
    </cfRule>
    <cfRule type="expression" priority="2828" dxfId="2">
      <formula>AND(IF($Q64=2,1,0),IF($X64&lt;30,1,0))</formula>
    </cfRule>
    <cfRule type="expression" priority="2829" dxfId="1">
      <formula>AND(IF($Q64=3,1,0),IF($X64&lt;30,1,0))</formula>
    </cfRule>
    <cfRule type="expression" priority="2830" dxfId="0">
      <formula>AND(IF($Q64=3,1,IF($Q64=4,1,0)),IF($F64&lt;=85,1,0))</formula>
    </cfRule>
  </conditionalFormatting>
  <conditionalFormatting sqref="AV65">
    <cfRule type="expression" priority="2825" dxfId="23">
      <formula>AV65="X"</formula>
    </cfRule>
    <cfRule type="expression" priority="2826" dxfId="22">
      <formula>AV65="후보"</formula>
    </cfRule>
  </conditionalFormatting>
  <conditionalFormatting sqref="AC6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6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65">
    <cfRule type="expression" priority="2817" dxfId="3">
      <formula>AND(IF(OR($Q65=1,$Q65=2),1,0),IF($X65&lt;=20,1,0))</formula>
    </cfRule>
    <cfRule type="expression" priority="2818" dxfId="2">
      <formula>AND(IF($Q65=2,1,0),IF($X65&lt;30,1,0))</formula>
    </cfRule>
    <cfRule type="expression" priority="2819" dxfId="1">
      <formula>AND(IF($Q65=3,1,0),IF($X65&lt;30,1,0))</formula>
    </cfRule>
    <cfRule type="expression" priority="2820" dxfId="0">
      <formula>AND(IF($Q65=3,1,IF($Q65=4,1,0)),IF($F65&lt;=85,1,0))</formula>
    </cfRule>
  </conditionalFormatting>
  <conditionalFormatting sqref="X65">
    <cfRule type="expression" priority="2813" dxfId="3">
      <formula>AND(IF(OR($Q65=1,$Q65=2),1,0),IF($X65&lt;=20,1,0))</formula>
    </cfRule>
    <cfRule type="expression" priority="2814" dxfId="2">
      <formula>AND(IF($Q65=2,1,0),IF($X65&lt;30,1,0))</formula>
    </cfRule>
    <cfRule type="expression" priority="2815" dxfId="1">
      <formula>AND(IF($Q65=3,1,0),IF($X65&lt;30,1,0))</formula>
    </cfRule>
    <cfRule type="expression" priority="2816" dxfId="0">
      <formula>AND(IF($Q65=3,1,IF($Q65=4,1,0)),IF($F65&lt;=85,1,0))</formula>
    </cfRule>
  </conditionalFormatting>
  <conditionalFormatting sqref="AI65">
    <cfRule type="expression" priority="2809" dxfId="3">
      <formula>AND(IF(OR($Q65=1,$Q65=2),1,0),IF($X65&lt;=20,1,0))</formula>
    </cfRule>
    <cfRule type="expression" priority="2810" dxfId="2">
      <formula>AND(IF($Q65=2,1,0),IF($X65&lt;30,1,0))</formula>
    </cfRule>
    <cfRule type="expression" priority="2811" dxfId="1">
      <formula>AND(IF($Q65=3,1,0),IF($X65&lt;30,1,0))</formula>
    </cfRule>
    <cfRule type="expression" priority="2812" dxfId="0">
      <formula>AND(IF($Q65=3,1,IF($Q65=4,1,0)),IF($F65&lt;=85,1,0))</formula>
    </cfRule>
  </conditionalFormatting>
  <conditionalFormatting sqref="AV66">
    <cfRule type="expression" priority="2807" dxfId="23">
      <formula>AV66="X"</formula>
    </cfRule>
    <cfRule type="expression" priority="2808" dxfId="22">
      <formula>AV66="후보"</formula>
    </cfRule>
  </conditionalFormatting>
  <conditionalFormatting sqref="AC6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6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66">
    <cfRule type="expression" priority="2799" dxfId="3">
      <formula>AND(IF(OR($Q66=1,$Q66=2),1,0),IF($X66&lt;=20,1,0))</formula>
    </cfRule>
    <cfRule type="expression" priority="2800" dxfId="2">
      <formula>AND(IF($Q66=2,1,0),IF($X66&lt;30,1,0))</formula>
    </cfRule>
    <cfRule type="expression" priority="2801" dxfId="1">
      <formula>AND(IF($Q66=3,1,0),IF($X66&lt;30,1,0))</formula>
    </cfRule>
    <cfRule type="expression" priority="2802" dxfId="0">
      <formula>AND(IF($Q66=3,1,IF($Q66=4,1,0)),IF($F66&lt;=85,1,0))</formula>
    </cfRule>
  </conditionalFormatting>
  <conditionalFormatting sqref="X66">
    <cfRule type="expression" priority="2795" dxfId="3">
      <formula>AND(IF(OR($Q66=1,$Q66=2),1,0),IF($X66&lt;=20,1,0))</formula>
    </cfRule>
    <cfRule type="expression" priority="2796" dxfId="2">
      <formula>AND(IF($Q66=2,1,0),IF($X66&lt;30,1,0))</formula>
    </cfRule>
    <cfRule type="expression" priority="2797" dxfId="1">
      <formula>AND(IF($Q66=3,1,0),IF($X66&lt;30,1,0))</formula>
    </cfRule>
    <cfRule type="expression" priority="2798" dxfId="0">
      <formula>AND(IF($Q66=3,1,IF($Q66=4,1,0)),IF($F66&lt;=85,1,0))</formula>
    </cfRule>
  </conditionalFormatting>
  <conditionalFormatting sqref="AI66">
    <cfRule type="expression" priority="2791" dxfId="3">
      <formula>AND(IF(OR($Q66=1,$Q66=2),1,0),IF($X66&lt;=20,1,0))</formula>
    </cfRule>
    <cfRule type="expression" priority="2792" dxfId="2">
      <formula>AND(IF($Q66=2,1,0),IF($X66&lt;30,1,0))</formula>
    </cfRule>
    <cfRule type="expression" priority="2793" dxfId="1">
      <formula>AND(IF($Q66=3,1,0),IF($X66&lt;30,1,0))</formula>
    </cfRule>
    <cfRule type="expression" priority="2794" dxfId="0">
      <formula>AND(IF($Q66=3,1,IF($Q66=4,1,0)),IF($F66&lt;=85,1,0))</formula>
    </cfRule>
  </conditionalFormatting>
  <conditionalFormatting sqref="AV67">
    <cfRule type="expression" priority="2789" dxfId="23">
      <formula>AV67="X"</formula>
    </cfRule>
    <cfRule type="expression" priority="2790" dxfId="22">
      <formula>AV67="후보"</formula>
    </cfRule>
  </conditionalFormatting>
  <conditionalFormatting sqref="AC6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6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67">
    <cfRule type="expression" priority="2781" dxfId="3">
      <formula>AND(IF(OR($Q67=1,$Q67=2),1,0),IF($X67&lt;=20,1,0))</formula>
    </cfRule>
    <cfRule type="expression" priority="2782" dxfId="2">
      <formula>AND(IF($Q67=2,1,0),IF($X67&lt;30,1,0))</formula>
    </cfRule>
    <cfRule type="expression" priority="2783" dxfId="1">
      <formula>AND(IF($Q67=3,1,0),IF($X67&lt;30,1,0))</formula>
    </cfRule>
    <cfRule type="expression" priority="2784" dxfId="0">
      <formula>AND(IF($Q67=3,1,IF($Q67=4,1,0)),IF($F67&lt;=85,1,0))</formula>
    </cfRule>
  </conditionalFormatting>
  <conditionalFormatting sqref="X67">
    <cfRule type="expression" priority="2777" dxfId="3">
      <formula>AND(IF(OR($Q67=1,$Q67=2),1,0),IF($X67&lt;=20,1,0))</formula>
    </cfRule>
    <cfRule type="expression" priority="2778" dxfId="2">
      <formula>AND(IF($Q67=2,1,0),IF($X67&lt;30,1,0))</formula>
    </cfRule>
    <cfRule type="expression" priority="2779" dxfId="1">
      <formula>AND(IF($Q67=3,1,0),IF($X67&lt;30,1,0))</formula>
    </cfRule>
    <cfRule type="expression" priority="2780" dxfId="0">
      <formula>AND(IF($Q67=3,1,IF($Q67=4,1,0)),IF($F67&lt;=85,1,0))</formula>
    </cfRule>
  </conditionalFormatting>
  <conditionalFormatting sqref="AI67">
    <cfRule type="expression" priority="2773" dxfId="3">
      <formula>AND(IF(OR($Q67=1,$Q67=2),1,0),IF($X67&lt;=20,1,0))</formula>
    </cfRule>
    <cfRule type="expression" priority="2774" dxfId="2">
      <formula>AND(IF($Q67=2,1,0),IF($X67&lt;30,1,0))</formula>
    </cfRule>
    <cfRule type="expression" priority="2775" dxfId="1">
      <formula>AND(IF($Q67=3,1,0),IF($X67&lt;30,1,0))</formula>
    </cfRule>
    <cfRule type="expression" priority="2776" dxfId="0">
      <formula>AND(IF($Q67=3,1,IF($Q67=4,1,0)),IF($F67&lt;=85,1,0))</formula>
    </cfRule>
  </conditionalFormatting>
  <conditionalFormatting sqref="AV68">
    <cfRule type="expression" priority="2771" dxfId="23">
      <formula>AV68="X"</formula>
    </cfRule>
    <cfRule type="expression" priority="2772" dxfId="22">
      <formula>AV68="후보"</formula>
    </cfRule>
  </conditionalFormatting>
  <conditionalFormatting sqref="AC6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6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68">
    <cfRule type="expression" priority="2763" dxfId="3">
      <formula>AND(IF(OR($Q68=1,$Q68=2),1,0),IF($X68&lt;=20,1,0))</formula>
    </cfRule>
    <cfRule type="expression" priority="2764" dxfId="2">
      <formula>AND(IF($Q68=2,1,0),IF($X68&lt;30,1,0))</formula>
    </cfRule>
    <cfRule type="expression" priority="2765" dxfId="1">
      <formula>AND(IF($Q68=3,1,0),IF($X68&lt;30,1,0))</formula>
    </cfRule>
    <cfRule type="expression" priority="2766" dxfId="0">
      <formula>AND(IF($Q68=3,1,IF($Q68=4,1,0)),IF($F68&lt;=85,1,0))</formula>
    </cfRule>
  </conditionalFormatting>
  <conditionalFormatting sqref="X68">
    <cfRule type="expression" priority="2759" dxfId="3">
      <formula>AND(IF(OR($Q68=1,$Q68=2),1,0),IF($X68&lt;=20,1,0))</formula>
    </cfRule>
    <cfRule type="expression" priority="2760" dxfId="2">
      <formula>AND(IF($Q68=2,1,0),IF($X68&lt;30,1,0))</formula>
    </cfRule>
    <cfRule type="expression" priority="2761" dxfId="1">
      <formula>AND(IF($Q68=3,1,0),IF($X68&lt;30,1,0))</formula>
    </cfRule>
    <cfRule type="expression" priority="2762" dxfId="0">
      <formula>AND(IF($Q68=3,1,IF($Q68=4,1,0)),IF($F68&lt;=85,1,0))</formula>
    </cfRule>
  </conditionalFormatting>
  <conditionalFormatting sqref="AI68">
    <cfRule type="expression" priority="2755" dxfId="3">
      <formula>AND(IF(OR($Q68=1,$Q68=2),1,0),IF($X68&lt;=20,1,0))</formula>
    </cfRule>
    <cfRule type="expression" priority="2756" dxfId="2">
      <formula>AND(IF($Q68=2,1,0),IF($X68&lt;30,1,0))</formula>
    </cfRule>
    <cfRule type="expression" priority="2757" dxfId="1">
      <formula>AND(IF($Q68=3,1,0),IF($X68&lt;30,1,0))</formula>
    </cfRule>
    <cfRule type="expression" priority="2758" dxfId="0">
      <formula>AND(IF($Q68=3,1,IF($Q68=4,1,0)),IF($F68&lt;=85,1,0))</formula>
    </cfRule>
  </conditionalFormatting>
  <conditionalFormatting sqref="AV69">
    <cfRule type="expression" priority="2753" dxfId="23">
      <formula>AV69="X"</formula>
    </cfRule>
    <cfRule type="expression" priority="2754" dxfId="22">
      <formula>AV69="후보"</formula>
    </cfRule>
  </conditionalFormatting>
  <conditionalFormatting sqref="AC6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6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69">
    <cfRule type="expression" priority="2745" dxfId="3">
      <formula>AND(IF(OR($Q69=1,$Q69=2),1,0),IF($X69&lt;=20,1,0))</formula>
    </cfRule>
    <cfRule type="expression" priority="2746" dxfId="2">
      <formula>AND(IF($Q69=2,1,0),IF($X69&lt;30,1,0))</formula>
    </cfRule>
    <cfRule type="expression" priority="2747" dxfId="1">
      <formula>AND(IF($Q69=3,1,0),IF($X69&lt;30,1,0))</formula>
    </cfRule>
    <cfRule type="expression" priority="2748" dxfId="0">
      <formula>AND(IF($Q69=3,1,IF($Q69=4,1,0)),IF($F69&lt;=85,1,0))</formula>
    </cfRule>
  </conditionalFormatting>
  <conditionalFormatting sqref="X69">
    <cfRule type="expression" priority="2741" dxfId="3">
      <formula>AND(IF(OR($Q69=1,$Q69=2),1,0),IF($X69&lt;=20,1,0))</formula>
    </cfRule>
    <cfRule type="expression" priority="2742" dxfId="2">
      <formula>AND(IF($Q69=2,1,0),IF($X69&lt;30,1,0))</formula>
    </cfRule>
    <cfRule type="expression" priority="2743" dxfId="1">
      <formula>AND(IF($Q69=3,1,0),IF($X69&lt;30,1,0))</formula>
    </cfRule>
    <cfRule type="expression" priority="2744" dxfId="0">
      <formula>AND(IF($Q69=3,1,IF($Q69=4,1,0)),IF($F69&lt;=85,1,0))</formula>
    </cfRule>
  </conditionalFormatting>
  <conditionalFormatting sqref="AI69">
    <cfRule type="expression" priority="2737" dxfId="3">
      <formula>AND(IF(OR($Q69=1,$Q69=2),1,0),IF($X69&lt;=20,1,0))</formula>
    </cfRule>
    <cfRule type="expression" priority="2738" dxfId="2">
      <formula>AND(IF($Q69=2,1,0),IF($X69&lt;30,1,0))</formula>
    </cfRule>
    <cfRule type="expression" priority="2739" dxfId="1">
      <formula>AND(IF($Q69=3,1,0),IF($X69&lt;30,1,0))</formula>
    </cfRule>
    <cfRule type="expression" priority="2740" dxfId="0">
      <formula>AND(IF($Q69=3,1,IF($Q69=4,1,0)),IF($F69&lt;=85,1,0))</formula>
    </cfRule>
  </conditionalFormatting>
  <conditionalFormatting sqref="AV70">
    <cfRule type="expression" priority="2735" dxfId="23">
      <formula>AV70="X"</formula>
    </cfRule>
    <cfRule type="expression" priority="2736" dxfId="22">
      <formula>AV70="후보"</formula>
    </cfRule>
  </conditionalFormatting>
  <conditionalFormatting sqref="AC7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7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70">
    <cfRule type="expression" priority="2727" dxfId="3">
      <formula>AND(IF(OR($Q70=1,$Q70=2),1,0),IF($X70&lt;=20,1,0))</formula>
    </cfRule>
    <cfRule type="expression" priority="2728" dxfId="2">
      <formula>AND(IF($Q70=2,1,0),IF($X70&lt;30,1,0))</formula>
    </cfRule>
    <cfRule type="expression" priority="2729" dxfId="1">
      <formula>AND(IF($Q70=3,1,0),IF($X70&lt;30,1,0))</formula>
    </cfRule>
    <cfRule type="expression" priority="2730" dxfId="0">
      <formula>AND(IF($Q70=3,1,IF($Q70=4,1,0)),IF($F70&lt;=85,1,0))</formula>
    </cfRule>
  </conditionalFormatting>
  <conditionalFormatting sqref="X70">
    <cfRule type="expression" priority="2723" dxfId="3">
      <formula>AND(IF(OR($Q70=1,$Q70=2),1,0),IF($X70&lt;=20,1,0))</formula>
    </cfRule>
    <cfRule type="expression" priority="2724" dxfId="2">
      <formula>AND(IF($Q70=2,1,0),IF($X70&lt;30,1,0))</formula>
    </cfRule>
    <cfRule type="expression" priority="2725" dxfId="1">
      <formula>AND(IF($Q70=3,1,0),IF($X70&lt;30,1,0))</formula>
    </cfRule>
    <cfRule type="expression" priority="2726" dxfId="0">
      <formula>AND(IF($Q70=3,1,IF($Q70=4,1,0)),IF($F70&lt;=85,1,0))</formula>
    </cfRule>
  </conditionalFormatting>
  <conditionalFormatting sqref="AI70">
    <cfRule type="expression" priority="2719" dxfId="3">
      <formula>AND(IF(OR($Q70=1,$Q70=2),1,0),IF($X70&lt;=20,1,0))</formula>
    </cfRule>
    <cfRule type="expression" priority="2720" dxfId="2">
      <formula>AND(IF($Q70=2,1,0),IF($X70&lt;30,1,0))</formula>
    </cfRule>
    <cfRule type="expression" priority="2721" dxfId="1">
      <formula>AND(IF($Q70=3,1,0),IF($X70&lt;30,1,0))</formula>
    </cfRule>
    <cfRule type="expression" priority="2722" dxfId="0">
      <formula>AND(IF($Q70=3,1,IF($Q70=4,1,0)),IF($F70&lt;=85,1,0))</formula>
    </cfRule>
  </conditionalFormatting>
  <conditionalFormatting sqref="AV71">
    <cfRule type="expression" priority="2717" dxfId="23">
      <formula>AV71="X"</formula>
    </cfRule>
    <cfRule type="expression" priority="2718" dxfId="22">
      <formula>AV71="후보"</formula>
    </cfRule>
  </conditionalFormatting>
  <conditionalFormatting sqref="AC7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7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71">
    <cfRule type="expression" priority="2709" dxfId="3">
      <formula>AND(IF(OR($Q71=1,$Q71=2),1,0),IF($X71&lt;=20,1,0))</formula>
    </cfRule>
    <cfRule type="expression" priority="2710" dxfId="2">
      <formula>AND(IF($Q71=2,1,0),IF($X71&lt;30,1,0))</formula>
    </cfRule>
    <cfRule type="expression" priority="2711" dxfId="1">
      <formula>AND(IF($Q71=3,1,0),IF($X71&lt;30,1,0))</formula>
    </cfRule>
    <cfRule type="expression" priority="2712" dxfId="0">
      <formula>AND(IF($Q71=3,1,IF($Q71=4,1,0)),IF($F71&lt;=85,1,0))</formula>
    </cfRule>
  </conditionalFormatting>
  <conditionalFormatting sqref="X71">
    <cfRule type="expression" priority="2705" dxfId="3">
      <formula>AND(IF(OR($Q71=1,$Q71=2),1,0),IF($X71&lt;=20,1,0))</formula>
    </cfRule>
    <cfRule type="expression" priority="2706" dxfId="2">
      <formula>AND(IF($Q71=2,1,0),IF($X71&lt;30,1,0))</formula>
    </cfRule>
    <cfRule type="expression" priority="2707" dxfId="1">
      <formula>AND(IF($Q71=3,1,0),IF($X71&lt;30,1,0))</formula>
    </cfRule>
    <cfRule type="expression" priority="2708" dxfId="0">
      <formula>AND(IF($Q71=3,1,IF($Q71=4,1,0)),IF($F71&lt;=85,1,0))</formula>
    </cfRule>
  </conditionalFormatting>
  <conditionalFormatting sqref="AI71">
    <cfRule type="expression" priority="2701" dxfId="3">
      <formula>AND(IF(OR($Q71=1,$Q71=2),1,0),IF($X71&lt;=20,1,0))</formula>
    </cfRule>
    <cfRule type="expression" priority="2702" dxfId="2">
      <formula>AND(IF($Q71=2,1,0),IF($X71&lt;30,1,0))</formula>
    </cfRule>
    <cfRule type="expression" priority="2703" dxfId="1">
      <formula>AND(IF($Q71=3,1,0),IF($X71&lt;30,1,0))</formula>
    </cfRule>
    <cfRule type="expression" priority="2704" dxfId="0">
      <formula>AND(IF($Q71=3,1,IF($Q71=4,1,0)),IF($F71&lt;=85,1,0))</formula>
    </cfRule>
  </conditionalFormatting>
  <conditionalFormatting sqref="AV72">
    <cfRule type="expression" priority="2699" dxfId="23">
      <formula>AV72="X"</formula>
    </cfRule>
    <cfRule type="expression" priority="2700" dxfId="22">
      <formula>AV72="후보"</formula>
    </cfRule>
  </conditionalFormatting>
  <conditionalFormatting sqref="AC7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7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72">
    <cfRule type="expression" priority="2691" dxfId="3">
      <formula>AND(IF(OR($Q72=1,$Q72=2),1,0),IF($X72&lt;=20,1,0))</formula>
    </cfRule>
    <cfRule type="expression" priority="2692" dxfId="2">
      <formula>AND(IF($Q72=2,1,0),IF($X72&lt;30,1,0))</formula>
    </cfRule>
    <cfRule type="expression" priority="2693" dxfId="1">
      <formula>AND(IF($Q72=3,1,0),IF($X72&lt;30,1,0))</formula>
    </cfRule>
    <cfRule type="expression" priority="2694" dxfId="0">
      <formula>AND(IF($Q72=3,1,IF($Q72=4,1,0)),IF($F72&lt;=85,1,0))</formula>
    </cfRule>
  </conditionalFormatting>
  <conditionalFormatting sqref="X72">
    <cfRule type="expression" priority="2687" dxfId="3">
      <formula>AND(IF(OR($Q72=1,$Q72=2),1,0),IF($X72&lt;=20,1,0))</formula>
    </cfRule>
    <cfRule type="expression" priority="2688" dxfId="2">
      <formula>AND(IF($Q72=2,1,0),IF($X72&lt;30,1,0))</formula>
    </cfRule>
    <cfRule type="expression" priority="2689" dxfId="1">
      <formula>AND(IF($Q72=3,1,0),IF($X72&lt;30,1,0))</formula>
    </cfRule>
    <cfRule type="expression" priority="2690" dxfId="0">
      <formula>AND(IF($Q72=3,1,IF($Q72=4,1,0)),IF($F72&lt;=85,1,0))</formula>
    </cfRule>
  </conditionalFormatting>
  <conditionalFormatting sqref="AI72">
    <cfRule type="expression" priority="2683" dxfId="3">
      <formula>AND(IF(OR($Q72=1,$Q72=2),1,0),IF($X72&lt;=20,1,0))</formula>
    </cfRule>
    <cfRule type="expression" priority="2684" dxfId="2">
      <formula>AND(IF($Q72=2,1,0),IF($X72&lt;30,1,0))</formula>
    </cfRule>
    <cfRule type="expression" priority="2685" dxfId="1">
      <formula>AND(IF($Q72=3,1,0),IF($X72&lt;30,1,0))</formula>
    </cfRule>
    <cfRule type="expression" priority="2686" dxfId="0">
      <formula>AND(IF($Q72=3,1,IF($Q72=4,1,0)),IF($F72&lt;=85,1,0))</formula>
    </cfRule>
  </conditionalFormatting>
  <conditionalFormatting sqref="AV73">
    <cfRule type="expression" priority="2681" dxfId="23">
      <formula>AV73="X"</formula>
    </cfRule>
    <cfRule type="expression" priority="2682" dxfId="22">
      <formula>AV73="후보"</formula>
    </cfRule>
  </conditionalFormatting>
  <conditionalFormatting sqref="AC7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7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73">
    <cfRule type="expression" priority="2673" dxfId="3">
      <formula>AND(IF(OR($Q73=1,$Q73=2),1,0),IF($X73&lt;=20,1,0))</formula>
    </cfRule>
    <cfRule type="expression" priority="2674" dxfId="2">
      <formula>AND(IF($Q73=2,1,0),IF($X73&lt;30,1,0))</formula>
    </cfRule>
    <cfRule type="expression" priority="2675" dxfId="1">
      <formula>AND(IF($Q73=3,1,0),IF($X73&lt;30,1,0))</formula>
    </cfRule>
    <cfRule type="expression" priority="2676" dxfId="0">
      <formula>AND(IF($Q73=3,1,IF($Q73=4,1,0)),IF($F73&lt;=85,1,0))</formula>
    </cfRule>
  </conditionalFormatting>
  <conditionalFormatting sqref="X73">
    <cfRule type="expression" priority="2669" dxfId="3">
      <formula>AND(IF(OR($Q73=1,$Q73=2),1,0),IF($X73&lt;=20,1,0))</formula>
    </cfRule>
    <cfRule type="expression" priority="2670" dxfId="2">
      <formula>AND(IF($Q73=2,1,0),IF($X73&lt;30,1,0))</formula>
    </cfRule>
    <cfRule type="expression" priority="2671" dxfId="1">
      <formula>AND(IF($Q73=3,1,0),IF($X73&lt;30,1,0))</formula>
    </cfRule>
    <cfRule type="expression" priority="2672" dxfId="0">
      <formula>AND(IF($Q73=3,1,IF($Q73=4,1,0)),IF($F73&lt;=85,1,0))</formula>
    </cfRule>
  </conditionalFormatting>
  <conditionalFormatting sqref="AI73">
    <cfRule type="expression" priority="2665" dxfId="3">
      <formula>AND(IF(OR($Q73=1,$Q73=2),1,0),IF($X73&lt;=20,1,0))</formula>
    </cfRule>
    <cfRule type="expression" priority="2666" dxfId="2">
      <formula>AND(IF($Q73=2,1,0),IF($X73&lt;30,1,0))</formula>
    </cfRule>
    <cfRule type="expression" priority="2667" dxfId="1">
      <formula>AND(IF($Q73=3,1,0),IF($X73&lt;30,1,0))</formula>
    </cfRule>
    <cfRule type="expression" priority="2668" dxfId="0">
      <formula>AND(IF($Q73=3,1,IF($Q73=4,1,0)),IF($F73&lt;=85,1,0))</formula>
    </cfRule>
  </conditionalFormatting>
  <conditionalFormatting sqref="AV74">
    <cfRule type="expression" priority="2663" dxfId="23">
      <formula>AV74="X"</formula>
    </cfRule>
    <cfRule type="expression" priority="2664" dxfId="22">
      <formula>AV74="후보"</formula>
    </cfRule>
  </conditionalFormatting>
  <conditionalFormatting sqref="AC7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7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74">
    <cfRule type="expression" priority="2655" dxfId="3">
      <formula>AND(IF(OR($Q74=1,$Q74=2),1,0),IF($X74&lt;=20,1,0))</formula>
    </cfRule>
    <cfRule type="expression" priority="2656" dxfId="2">
      <formula>AND(IF($Q74=2,1,0),IF($X74&lt;30,1,0))</formula>
    </cfRule>
    <cfRule type="expression" priority="2657" dxfId="1">
      <formula>AND(IF($Q74=3,1,0),IF($X74&lt;30,1,0))</formula>
    </cfRule>
    <cfRule type="expression" priority="2658" dxfId="0">
      <formula>AND(IF($Q74=3,1,IF($Q74=4,1,0)),IF($F74&lt;=85,1,0))</formula>
    </cfRule>
  </conditionalFormatting>
  <conditionalFormatting sqref="X74">
    <cfRule type="expression" priority="2651" dxfId="3">
      <formula>AND(IF(OR($Q74=1,$Q74=2),1,0),IF($X74&lt;=20,1,0))</formula>
    </cfRule>
    <cfRule type="expression" priority="2652" dxfId="2">
      <formula>AND(IF($Q74=2,1,0),IF($X74&lt;30,1,0))</formula>
    </cfRule>
    <cfRule type="expression" priority="2653" dxfId="1">
      <formula>AND(IF($Q74=3,1,0),IF($X74&lt;30,1,0))</formula>
    </cfRule>
    <cfRule type="expression" priority="2654" dxfId="0">
      <formula>AND(IF($Q74=3,1,IF($Q74=4,1,0)),IF($F74&lt;=85,1,0))</formula>
    </cfRule>
  </conditionalFormatting>
  <conditionalFormatting sqref="AI74">
    <cfRule type="expression" priority="2647" dxfId="3">
      <formula>AND(IF(OR($Q74=1,$Q74=2),1,0),IF($X74&lt;=20,1,0))</formula>
    </cfRule>
    <cfRule type="expression" priority="2648" dxfId="2">
      <formula>AND(IF($Q74=2,1,0),IF($X74&lt;30,1,0))</formula>
    </cfRule>
    <cfRule type="expression" priority="2649" dxfId="1">
      <formula>AND(IF($Q74=3,1,0),IF($X74&lt;30,1,0))</formula>
    </cfRule>
    <cfRule type="expression" priority="2650" dxfId="0">
      <formula>AND(IF($Q74=3,1,IF($Q74=4,1,0)),IF($F74&lt;=85,1,0))</formula>
    </cfRule>
  </conditionalFormatting>
  <conditionalFormatting sqref="AV75">
    <cfRule type="expression" priority="2645" dxfId="23">
      <formula>AV75="X"</formula>
    </cfRule>
    <cfRule type="expression" priority="2646" dxfId="22">
      <formula>AV75="후보"</formula>
    </cfRule>
  </conditionalFormatting>
  <conditionalFormatting sqref="AC7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7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75">
    <cfRule type="expression" priority="2637" dxfId="3">
      <formula>AND(IF(OR($Q75=1,$Q75=2),1,0),IF($X75&lt;=20,1,0))</formula>
    </cfRule>
    <cfRule type="expression" priority="2638" dxfId="2">
      <formula>AND(IF($Q75=2,1,0),IF($X75&lt;30,1,0))</formula>
    </cfRule>
    <cfRule type="expression" priority="2639" dxfId="1">
      <formula>AND(IF($Q75=3,1,0),IF($X75&lt;30,1,0))</formula>
    </cfRule>
    <cfRule type="expression" priority="2640" dxfId="0">
      <formula>AND(IF($Q75=3,1,IF($Q75=4,1,0)),IF($F75&lt;=85,1,0))</formula>
    </cfRule>
  </conditionalFormatting>
  <conditionalFormatting sqref="X75">
    <cfRule type="expression" priority="2633" dxfId="3">
      <formula>AND(IF(OR($Q75=1,$Q75=2),1,0),IF($X75&lt;=20,1,0))</formula>
    </cfRule>
    <cfRule type="expression" priority="2634" dxfId="2">
      <formula>AND(IF($Q75=2,1,0),IF($X75&lt;30,1,0))</formula>
    </cfRule>
    <cfRule type="expression" priority="2635" dxfId="1">
      <formula>AND(IF($Q75=3,1,0),IF($X75&lt;30,1,0))</formula>
    </cfRule>
    <cfRule type="expression" priority="2636" dxfId="0">
      <formula>AND(IF($Q75=3,1,IF($Q75=4,1,0)),IF($F75&lt;=85,1,0))</formula>
    </cfRule>
  </conditionalFormatting>
  <conditionalFormatting sqref="AI75">
    <cfRule type="expression" priority="2629" dxfId="3">
      <formula>AND(IF(OR($Q75=1,$Q75=2),1,0),IF($X75&lt;=20,1,0))</formula>
    </cfRule>
    <cfRule type="expression" priority="2630" dxfId="2">
      <formula>AND(IF($Q75=2,1,0),IF($X75&lt;30,1,0))</formula>
    </cfRule>
    <cfRule type="expression" priority="2631" dxfId="1">
      <formula>AND(IF($Q75=3,1,0),IF($X75&lt;30,1,0))</formula>
    </cfRule>
    <cfRule type="expression" priority="2632" dxfId="0">
      <formula>AND(IF($Q75=3,1,IF($Q75=4,1,0)),IF($F75&lt;=85,1,0))</formula>
    </cfRule>
  </conditionalFormatting>
  <conditionalFormatting sqref="AV76">
    <cfRule type="expression" priority="2627" dxfId="23">
      <formula>AV76="X"</formula>
    </cfRule>
    <cfRule type="expression" priority="2628" dxfId="22">
      <formula>AV76="후보"</formula>
    </cfRule>
  </conditionalFormatting>
  <conditionalFormatting sqref="AC7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7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76">
    <cfRule type="expression" priority="2619" dxfId="3">
      <formula>AND(IF(OR($Q76=1,$Q76=2),1,0),IF($X76&lt;=20,1,0))</formula>
    </cfRule>
    <cfRule type="expression" priority="2620" dxfId="2">
      <formula>AND(IF($Q76=2,1,0),IF($X76&lt;30,1,0))</formula>
    </cfRule>
    <cfRule type="expression" priority="2621" dxfId="1">
      <formula>AND(IF($Q76=3,1,0),IF($X76&lt;30,1,0))</formula>
    </cfRule>
    <cfRule type="expression" priority="2622" dxfId="0">
      <formula>AND(IF($Q76=3,1,IF($Q76=4,1,0)),IF($F76&lt;=85,1,0))</formula>
    </cfRule>
  </conditionalFormatting>
  <conditionalFormatting sqref="X76">
    <cfRule type="expression" priority="2615" dxfId="3">
      <formula>AND(IF(OR($Q76=1,$Q76=2),1,0),IF($X76&lt;=20,1,0))</formula>
    </cfRule>
    <cfRule type="expression" priority="2616" dxfId="2">
      <formula>AND(IF($Q76=2,1,0),IF($X76&lt;30,1,0))</formula>
    </cfRule>
    <cfRule type="expression" priority="2617" dxfId="1">
      <formula>AND(IF($Q76=3,1,0),IF($X76&lt;30,1,0))</formula>
    </cfRule>
    <cfRule type="expression" priority="2618" dxfId="0">
      <formula>AND(IF($Q76=3,1,IF($Q76=4,1,0)),IF($F76&lt;=85,1,0))</formula>
    </cfRule>
  </conditionalFormatting>
  <conditionalFormatting sqref="AI76">
    <cfRule type="expression" priority="2611" dxfId="3">
      <formula>AND(IF(OR($Q76=1,$Q76=2),1,0),IF($X76&lt;=20,1,0))</formula>
    </cfRule>
    <cfRule type="expression" priority="2612" dxfId="2">
      <formula>AND(IF($Q76=2,1,0),IF($X76&lt;30,1,0))</formula>
    </cfRule>
    <cfRule type="expression" priority="2613" dxfId="1">
      <formula>AND(IF($Q76=3,1,0),IF($X76&lt;30,1,0))</formula>
    </cfRule>
    <cfRule type="expression" priority="2614" dxfId="0">
      <formula>AND(IF($Q76=3,1,IF($Q76=4,1,0)),IF($F76&lt;=85,1,0))</formula>
    </cfRule>
  </conditionalFormatting>
  <conditionalFormatting sqref="AV77">
    <cfRule type="expression" priority="2609" dxfId="23">
      <formula>AV77="X"</formula>
    </cfRule>
    <cfRule type="expression" priority="2610" dxfId="22">
      <formula>AV77="후보"</formula>
    </cfRule>
  </conditionalFormatting>
  <conditionalFormatting sqref="AC7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7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77">
    <cfRule type="expression" priority="2601" dxfId="3">
      <formula>AND(IF(OR($Q77=1,$Q77=2),1,0),IF($X77&lt;=20,1,0))</formula>
    </cfRule>
    <cfRule type="expression" priority="2602" dxfId="2">
      <formula>AND(IF($Q77=2,1,0),IF($X77&lt;30,1,0))</formula>
    </cfRule>
    <cfRule type="expression" priority="2603" dxfId="1">
      <formula>AND(IF($Q77=3,1,0),IF($X77&lt;30,1,0))</formula>
    </cfRule>
    <cfRule type="expression" priority="2604" dxfId="0">
      <formula>AND(IF($Q77=3,1,IF($Q77=4,1,0)),IF($F77&lt;=85,1,0))</formula>
    </cfRule>
  </conditionalFormatting>
  <conditionalFormatting sqref="X77">
    <cfRule type="expression" priority="2597" dxfId="3">
      <formula>AND(IF(OR($Q77=1,$Q77=2),1,0),IF($X77&lt;=20,1,0))</formula>
    </cfRule>
    <cfRule type="expression" priority="2598" dxfId="2">
      <formula>AND(IF($Q77=2,1,0),IF($X77&lt;30,1,0))</formula>
    </cfRule>
    <cfRule type="expression" priority="2599" dxfId="1">
      <formula>AND(IF($Q77=3,1,0),IF($X77&lt;30,1,0))</formula>
    </cfRule>
    <cfRule type="expression" priority="2600" dxfId="0">
      <formula>AND(IF($Q77=3,1,IF($Q77=4,1,0)),IF($F77&lt;=85,1,0))</formula>
    </cfRule>
  </conditionalFormatting>
  <conditionalFormatting sqref="AI77">
    <cfRule type="expression" priority="2593" dxfId="3">
      <formula>AND(IF(OR($Q77=1,$Q77=2),1,0),IF($X77&lt;=20,1,0))</formula>
    </cfRule>
    <cfRule type="expression" priority="2594" dxfId="2">
      <formula>AND(IF($Q77=2,1,0),IF($X77&lt;30,1,0))</formula>
    </cfRule>
    <cfRule type="expression" priority="2595" dxfId="1">
      <formula>AND(IF($Q77=3,1,0),IF($X77&lt;30,1,0))</formula>
    </cfRule>
    <cfRule type="expression" priority="2596" dxfId="0">
      <formula>AND(IF($Q77=3,1,IF($Q77=4,1,0)),IF($F77&lt;=85,1,0))</formula>
    </cfRule>
  </conditionalFormatting>
  <conditionalFormatting sqref="AV78">
    <cfRule type="expression" priority="2591" dxfId="23">
      <formula>AV78="X"</formula>
    </cfRule>
    <cfRule type="expression" priority="2592" dxfId="22">
      <formula>AV78="후보"</formula>
    </cfRule>
  </conditionalFormatting>
  <conditionalFormatting sqref="AC7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7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78">
    <cfRule type="expression" priority="2583" dxfId="3">
      <formula>AND(IF(OR($Q78=1,$Q78=2),1,0),IF($X78&lt;=20,1,0))</formula>
    </cfRule>
    <cfRule type="expression" priority="2584" dxfId="2">
      <formula>AND(IF($Q78=2,1,0),IF($X78&lt;30,1,0))</formula>
    </cfRule>
    <cfRule type="expression" priority="2585" dxfId="1">
      <formula>AND(IF($Q78=3,1,0),IF($X78&lt;30,1,0))</formula>
    </cfRule>
    <cfRule type="expression" priority="2586" dxfId="0">
      <formula>AND(IF($Q78=3,1,IF($Q78=4,1,0)),IF($F78&lt;=85,1,0))</formula>
    </cfRule>
  </conditionalFormatting>
  <conditionalFormatting sqref="X78">
    <cfRule type="expression" priority="2579" dxfId="3">
      <formula>AND(IF(OR($Q78=1,$Q78=2),1,0),IF($X78&lt;=20,1,0))</formula>
    </cfRule>
    <cfRule type="expression" priority="2580" dxfId="2">
      <formula>AND(IF($Q78=2,1,0),IF($X78&lt;30,1,0))</formula>
    </cfRule>
    <cfRule type="expression" priority="2581" dxfId="1">
      <formula>AND(IF($Q78=3,1,0),IF($X78&lt;30,1,0))</formula>
    </cfRule>
    <cfRule type="expression" priority="2582" dxfId="0">
      <formula>AND(IF($Q78=3,1,IF($Q78=4,1,0)),IF($F78&lt;=85,1,0))</formula>
    </cfRule>
  </conditionalFormatting>
  <conditionalFormatting sqref="AI78">
    <cfRule type="expression" priority="2575" dxfId="3">
      <formula>AND(IF(OR($Q78=1,$Q78=2),1,0),IF($X78&lt;=20,1,0))</formula>
    </cfRule>
    <cfRule type="expression" priority="2576" dxfId="2">
      <formula>AND(IF($Q78=2,1,0),IF($X78&lt;30,1,0))</formula>
    </cfRule>
    <cfRule type="expression" priority="2577" dxfId="1">
      <formula>AND(IF($Q78=3,1,0),IF($X78&lt;30,1,0))</formula>
    </cfRule>
    <cfRule type="expression" priority="2578" dxfId="0">
      <formula>AND(IF($Q78=3,1,IF($Q78=4,1,0)),IF($F78&lt;=85,1,0))</formula>
    </cfRule>
  </conditionalFormatting>
  <conditionalFormatting sqref="AV79">
    <cfRule type="expression" priority="2573" dxfId="23">
      <formula>AV79="X"</formula>
    </cfRule>
    <cfRule type="expression" priority="2574" dxfId="22">
      <formula>AV79="후보"</formula>
    </cfRule>
  </conditionalFormatting>
  <conditionalFormatting sqref="AC7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7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79">
    <cfRule type="expression" priority="2565" dxfId="3">
      <formula>AND(IF(OR($Q79=1,$Q79=2),1,0),IF($X79&lt;=20,1,0))</formula>
    </cfRule>
    <cfRule type="expression" priority="2566" dxfId="2">
      <formula>AND(IF($Q79=2,1,0),IF($X79&lt;30,1,0))</formula>
    </cfRule>
    <cfRule type="expression" priority="2567" dxfId="1">
      <formula>AND(IF($Q79=3,1,0),IF($X79&lt;30,1,0))</formula>
    </cfRule>
    <cfRule type="expression" priority="2568" dxfId="0">
      <formula>AND(IF($Q79=3,1,IF($Q79=4,1,0)),IF($F79&lt;=85,1,0))</formula>
    </cfRule>
  </conditionalFormatting>
  <conditionalFormatting sqref="X79">
    <cfRule type="expression" priority="2561" dxfId="3">
      <formula>AND(IF(OR($Q79=1,$Q79=2),1,0),IF($X79&lt;=20,1,0))</formula>
    </cfRule>
    <cfRule type="expression" priority="2562" dxfId="2">
      <formula>AND(IF($Q79=2,1,0),IF($X79&lt;30,1,0))</formula>
    </cfRule>
    <cfRule type="expression" priority="2563" dxfId="1">
      <formula>AND(IF($Q79=3,1,0),IF($X79&lt;30,1,0))</formula>
    </cfRule>
    <cfRule type="expression" priority="2564" dxfId="0">
      <formula>AND(IF($Q79=3,1,IF($Q79=4,1,0)),IF($F79&lt;=85,1,0))</formula>
    </cfRule>
  </conditionalFormatting>
  <conditionalFormatting sqref="AI79">
    <cfRule type="expression" priority="2557" dxfId="3">
      <formula>AND(IF(OR($Q79=1,$Q79=2),1,0),IF($X79&lt;=20,1,0))</formula>
    </cfRule>
    <cfRule type="expression" priority="2558" dxfId="2">
      <formula>AND(IF($Q79=2,1,0),IF($X79&lt;30,1,0))</formula>
    </cfRule>
    <cfRule type="expression" priority="2559" dxfId="1">
      <formula>AND(IF($Q79=3,1,0),IF($X79&lt;30,1,0))</formula>
    </cfRule>
    <cfRule type="expression" priority="2560" dxfId="0">
      <formula>AND(IF($Q79=3,1,IF($Q79=4,1,0)),IF($F79&lt;=85,1,0))</formula>
    </cfRule>
  </conditionalFormatting>
  <conditionalFormatting sqref="AV80">
    <cfRule type="expression" priority="2555" dxfId="23">
      <formula>AV80="X"</formula>
    </cfRule>
    <cfRule type="expression" priority="2556" dxfId="22">
      <formula>AV80="후보"</formula>
    </cfRule>
  </conditionalFormatting>
  <conditionalFormatting sqref="AC8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8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80">
    <cfRule type="expression" priority="2547" dxfId="3">
      <formula>AND(IF(OR($Q80=1,$Q80=2),1,0),IF($X80&lt;=20,1,0))</formula>
    </cfRule>
    <cfRule type="expression" priority="2548" dxfId="2">
      <formula>AND(IF($Q80=2,1,0),IF($X80&lt;30,1,0))</formula>
    </cfRule>
    <cfRule type="expression" priority="2549" dxfId="1">
      <formula>AND(IF($Q80=3,1,0),IF($X80&lt;30,1,0))</formula>
    </cfRule>
    <cfRule type="expression" priority="2550" dxfId="0">
      <formula>AND(IF($Q80=3,1,IF($Q80=4,1,0)),IF($F80&lt;=85,1,0))</formula>
    </cfRule>
  </conditionalFormatting>
  <conditionalFormatting sqref="X80">
    <cfRule type="expression" priority="2543" dxfId="3">
      <formula>AND(IF(OR($Q80=1,$Q80=2),1,0),IF($X80&lt;=20,1,0))</formula>
    </cfRule>
    <cfRule type="expression" priority="2544" dxfId="2">
      <formula>AND(IF($Q80=2,1,0),IF($X80&lt;30,1,0))</formula>
    </cfRule>
    <cfRule type="expression" priority="2545" dxfId="1">
      <formula>AND(IF($Q80=3,1,0),IF($X80&lt;30,1,0))</formula>
    </cfRule>
    <cfRule type="expression" priority="2546" dxfId="0">
      <formula>AND(IF($Q80=3,1,IF($Q80=4,1,0)),IF($F80&lt;=85,1,0))</formula>
    </cfRule>
  </conditionalFormatting>
  <conditionalFormatting sqref="AI80">
    <cfRule type="expression" priority="2539" dxfId="3">
      <formula>AND(IF(OR($Q80=1,$Q80=2),1,0),IF($X80&lt;=20,1,0))</formula>
    </cfRule>
    <cfRule type="expression" priority="2540" dxfId="2">
      <formula>AND(IF($Q80=2,1,0),IF($X80&lt;30,1,0))</formula>
    </cfRule>
    <cfRule type="expression" priority="2541" dxfId="1">
      <formula>AND(IF($Q80=3,1,0),IF($X80&lt;30,1,0))</formula>
    </cfRule>
    <cfRule type="expression" priority="2542" dxfId="0">
      <formula>AND(IF($Q80=3,1,IF($Q80=4,1,0)),IF($F80&lt;=85,1,0))</formula>
    </cfRule>
  </conditionalFormatting>
  <conditionalFormatting sqref="AV81">
    <cfRule type="expression" priority="2537" dxfId="23">
      <formula>AV81="X"</formula>
    </cfRule>
    <cfRule type="expression" priority="2538" dxfId="22">
      <formula>AV81="후보"</formula>
    </cfRule>
  </conditionalFormatting>
  <conditionalFormatting sqref="AC8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8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81">
    <cfRule type="expression" priority="2529" dxfId="3">
      <formula>AND(IF(OR($Q81=1,$Q81=2),1,0),IF($X81&lt;=20,1,0))</formula>
    </cfRule>
    <cfRule type="expression" priority="2530" dxfId="2">
      <formula>AND(IF($Q81=2,1,0),IF($X81&lt;30,1,0))</formula>
    </cfRule>
    <cfRule type="expression" priority="2531" dxfId="1">
      <formula>AND(IF($Q81=3,1,0),IF($X81&lt;30,1,0))</formula>
    </cfRule>
    <cfRule type="expression" priority="2532" dxfId="0">
      <formula>AND(IF($Q81=3,1,IF($Q81=4,1,0)),IF($F81&lt;=85,1,0))</formula>
    </cfRule>
  </conditionalFormatting>
  <conditionalFormatting sqref="X81">
    <cfRule type="expression" priority="2525" dxfId="3">
      <formula>AND(IF(OR($Q81=1,$Q81=2),1,0),IF($X81&lt;=20,1,0))</formula>
    </cfRule>
    <cfRule type="expression" priority="2526" dxfId="2">
      <formula>AND(IF($Q81=2,1,0),IF($X81&lt;30,1,0))</formula>
    </cfRule>
    <cfRule type="expression" priority="2527" dxfId="1">
      <formula>AND(IF($Q81=3,1,0),IF($X81&lt;30,1,0))</formula>
    </cfRule>
    <cfRule type="expression" priority="2528" dxfId="0">
      <formula>AND(IF($Q81=3,1,IF($Q81=4,1,0)),IF($F81&lt;=85,1,0))</formula>
    </cfRule>
  </conditionalFormatting>
  <conditionalFormatting sqref="AI81">
    <cfRule type="expression" priority="2521" dxfId="3">
      <formula>AND(IF(OR($Q81=1,$Q81=2),1,0),IF($X81&lt;=20,1,0))</formula>
    </cfRule>
    <cfRule type="expression" priority="2522" dxfId="2">
      <formula>AND(IF($Q81=2,1,0),IF($X81&lt;30,1,0))</formula>
    </cfRule>
    <cfRule type="expression" priority="2523" dxfId="1">
      <formula>AND(IF($Q81=3,1,0),IF($X81&lt;30,1,0))</formula>
    </cfRule>
    <cfRule type="expression" priority="2524" dxfId="0">
      <formula>AND(IF($Q81=3,1,IF($Q81=4,1,0)),IF($F81&lt;=85,1,0))</formula>
    </cfRule>
  </conditionalFormatting>
  <conditionalFormatting sqref="AV82">
    <cfRule type="expression" priority="2519" dxfId="23">
      <formula>AV82="X"</formula>
    </cfRule>
    <cfRule type="expression" priority="2520" dxfId="22">
      <formula>AV82="후보"</formula>
    </cfRule>
  </conditionalFormatting>
  <conditionalFormatting sqref="AC8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8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82">
    <cfRule type="expression" priority="2511" dxfId="3">
      <formula>AND(IF(OR($Q82=1,$Q82=2),1,0),IF($X82&lt;=20,1,0))</formula>
    </cfRule>
    <cfRule type="expression" priority="2512" dxfId="2">
      <formula>AND(IF($Q82=2,1,0),IF($X82&lt;30,1,0))</formula>
    </cfRule>
    <cfRule type="expression" priority="2513" dxfId="1">
      <formula>AND(IF($Q82=3,1,0),IF($X82&lt;30,1,0))</formula>
    </cfRule>
    <cfRule type="expression" priority="2514" dxfId="0">
      <formula>AND(IF($Q82=3,1,IF($Q82=4,1,0)),IF($F82&lt;=85,1,0))</formula>
    </cfRule>
  </conditionalFormatting>
  <conditionalFormatting sqref="X82">
    <cfRule type="expression" priority="2507" dxfId="3">
      <formula>AND(IF(OR($Q82=1,$Q82=2),1,0),IF($X82&lt;=20,1,0))</formula>
    </cfRule>
    <cfRule type="expression" priority="2508" dxfId="2">
      <formula>AND(IF($Q82=2,1,0),IF($X82&lt;30,1,0))</formula>
    </cfRule>
    <cfRule type="expression" priority="2509" dxfId="1">
      <formula>AND(IF($Q82=3,1,0),IF($X82&lt;30,1,0))</formula>
    </cfRule>
    <cfRule type="expression" priority="2510" dxfId="0">
      <formula>AND(IF($Q82=3,1,IF($Q82=4,1,0)),IF($F82&lt;=85,1,0))</formula>
    </cfRule>
  </conditionalFormatting>
  <conditionalFormatting sqref="AI82">
    <cfRule type="expression" priority="2503" dxfId="3">
      <formula>AND(IF(OR($Q82=1,$Q82=2),1,0),IF($X82&lt;=20,1,0))</formula>
    </cfRule>
    <cfRule type="expression" priority="2504" dxfId="2">
      <formula>AND(IF($Q82=2,1,0),IF($X82&lt;30,1,0))</formula>
    </cfRule>
    <cfRule type="expression" priority="2505" dxfId="1">
      <formula>AND(IF($Q82=3,1,0),IF($X82&lt;30,1,0))</formula>
    </cfRule>
    <cfRule type="expression" priority="2506" dxfId="0">
      <formula>AND(IF($Q82=3,1,IF($Q82=4,1,0)),IF($F82&lt;=85,1,0))</formula>
    </cfRule>
  </conditionalFormatting>
  <conditionalFormatting sqref="AV83">
    <cfRule type="expression" priority="2501" dxfId="23">
      <formula>AV83="X"</formula>
    </cfRule>
    <cfRule type="expression" priority="2502" dxfId="22">
      <formula>AV83="후보"</formula>
    </cfRule>
  </conditionalFormatting>
  <conditionalFormatting sqref="AC8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8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83">
    <cfRule type="expression" priority="2493" dxfId="3">
      <formula>AND(IF(OR($Q83=1,$Q83=2),1,0),IF($X83&lt;=20,1,0))</formula>
    </cfRule>
    <cfRule type="expression" priority="2494" dxfId="2">
      <formula>AND(IF($Q83=2,1,0),IF($X83&lt;30,1,0))</formula>
    </cfRule>
    <cfRule type="expression" priority="2495" dxfId="1">
      <formula>AND(IF($Q83=3,1,0),IF($X83&lt;30,1,0))</formula>
    </cfRule>
    <cfRule type="expression" priority="2496" dxfId="0">
      <formula>AND(IF($Q83=3,1,IF($Q83=4,1,0)),IF($F83&lt;=85,1,0))</formula>
    </cfRule>
  </conditionalFormatting>
  <conditionalFormatting sqref="X83">
    <cfRule type="expression" priority="2489" dxfId="3">
      <formula>AND(IF(OR($Q83=1,$Q83=2),1,0),IF($X83&lt;=20,1,0))</formula>
    </cfRule>
    <cfRule type="expression" priority="2490" dxfId="2">
      <formula>AND(IF($Q83=2,1,0),IF($X83&lt;30,1,0))</formula>
    </cfRule>
    <cfRule type="expression" priority="2491" dxfId="1">
      <formula>AND(IF($Q83=3,1,0),IF($X83&lt;30,1,0))</formula>
    </cfRule>
    <cfRule type="expression" priority="2492" dxfId="0">
      <formula>AND(IF($Q83=3,1,IF($Q83=4,1,0)),IF($F83&lt;=85,1,0))</formula>
    </cfRule>
  </conditionalFormatting>
  <conditionalFormatting sqref="AI83">
    <cfRule type="expression" priority="2485" dxfId="3">
      <formula>AND(IF(OR($Q83=1,$Q83=2),1,0),IF($X83&lt;=20,1,0))</formula>
    </cfRule>
    <cfRule type="expression" priority="2486" dxfId="2">
      <formula>AND(IF($Q83=2,1,0),IF($X83&lt;30,1,0))</formula>
    </cfRule>
    <cfRule type="expression" priority="2487" dxfId="1">
      <formula>AND(IF($Q83=3,1,0),IF($X83&lt;30,1,0))</formula>
    </cfRule>
    <cfRule type="expression" priority="2488" dxfId="0">
      <formula>AND(IF($Q83=3,1,IF($Q83=4,1,0)),IF($F83&lt;=85,1,0))</formula>
    </cfRule>
  </conditionalFormatting>
  <conditionalFormatting sqref="AV84">
    <cfRule type="expression" priority="2483" dxfId="23">
      <formula>AV84="X"</formula>
    </cfRule>
    <cfRule type="expression" priority="2484" dxfId="22">
      <formula>AV84="후보"</formula>
    </cfRule>
  </conditionalFormatting>
  <conditionalFormatting sqref="AC8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8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84">
    <cfRule type="expression" priority="2475" dxfId="3">
      <formula>AND(IF(OR($Q84=1,$Q84=2),1,0),IF($X84&lt;=20,1,0))</formula>
    </cfRule>
    <cfRule type="expression" priority="2476" dxfId="2">
      <formula>AND(IF($Q84=2,1,0),IF($X84&lt;30,1,0))</formula>
    </cfRule>
    <cfRule type="expression" priority="2477" dxfId="1">
      <formula>AND(IF($Q84=3,1,0),IF($X84&lt;30,1,0))</formula>
    </cfRule>
    <cfRule type="expression" priority="2478" dxfId="0">
      <formula>AND(IF($Q84=3,1,IF($Q84=4,1,0)),IF($F84&lt;=85,1,0))</formula>
    </cfRule>
  </conditionalFormatting>
  <conditionalFormatting sqref="X84">
    <cfRule type="expression" priority="2471" dxfId="3">
      <formula>AND(IF(OR($Q84=1,$Q84=2),1,0),IF($X84&lt;=20,1,0))</formula>
    </cfRule>
    <cfRule type="expression" priority="2472" dxfId="2">
      <formula>AND(IF($Q84=2,1,0),IF($X84&lt;30,1,0))</formula>
    </cfRule>
    <cfRule type="expression" priority="2473" dxfId="1">
      <formula>AND(IF($Q84=3,1,0),IF($X84&lt;30,1,0))</formula>
    </cfRule>
    <cfRule type="expression" priority="2474" dxfId="0">
      <formula>AND(IF($Q84=3,1,IF($Q84=4,1,0)),IF($F84&lt;=85,1,0))</formula>
    </cfRule>
  </conditionalFormatting>
  <conditionalFormatting sqref="AI84">
    <cfRule type="expression" priority="2467" dxfId="3">
      <formula>AND(IF(OR($Q84=1,$Q84=2),1,0),IF($X84&lt;=20,1,0))</formula>
    </cfRule>
    <cfRule type="expression" priority="2468" dxfId="2">
      <formula>AND(IF($Q84=2,1,0),IF($X84&lt;30,1,0))</formula>
    </cfRule>
    <cfRule type="expression" priority="2469" dxfId="1">
      <formula>AND(IF($Q84=3,1,0),IF($X84&lt;30,1,0))</formula>
    </cfRule>
    <cfRule type="expression" priority="2470" dxfId="0">
      <formula>AND(IF($Q84=3,1,IF($Q84=4,1,0)),IF($F84&lt;=85,1,0))</formula>
    </cfRule>
  </conditionalFormatting>
  <conditionalFormatting sqref="AV85">
    <cfRule type="expression" priority="2465" dxfId="23">
      <formula>AV85="X"</formula>
    </cfRule>
    <cfRule type="expression" priority="2466" dxfId="22">
      <formula>AV85="후보"</formula>
    </cfRule>
  </conditionalFormatting>
  <conditionalFormatting sqref="AC8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8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85">
    <cfRule type="expression" priority="2457" dxfId="3">
      <formula>AND(IF(OR($Q85=1,$Q85=2),1,0),IF($X85&lt;=20,1,0))</formula>
    </cfRule>
    <cfRule type="expression" priority="2458" dxfId="2">
      <formula>AND(IF($Q85=2,1,0),IF($X85&lt;30,1,0))</formula>
    </cfRule>
    <cfRule type="expression" priority="2459" dxfId="1">
      <formula>AND(IF($Q85=3,1,0),IF($X85&lt;30,1,0))</formula>
    </cfRule>
    <cfRule type="expression" priority="2460" dxfId="0">
      <formula>AND(IF($Q85=3,1,IF($Q85=4,1,0)),IF($F85&lt;=85,1,0))</formula>
    </cfRule>
  </conditionalFormatting>
  <conditionalFormatting sqref="X85">
    <cfRule type="expression" priority="2453" dxfId="3">
      <formula>AND(IF(OR($Q85=1,$Q85=2),1,0),IF($X85&lt;=20,1,0))</formula>
    </cfRule>
    <cfRule type="expression" priority="2454" dxfId="2">
      <formula>AND(IF($Q85=2,1,0),IF($X85&lt;30,1,0))</formula>
    </cfRule>
    <cfRule type="expression" priority="2455" dxfId="1">
      <formula>AND(IF($Q85=3,1,0),IF($X85&lt;30,1,0))</formula>
    </cfRule>
    <cfRule type="expression" priority="2456" dxfId="0">
      <formula>AND(IF($Q85=3,1,IF($Q85=4,1,0)),IF($F85&lt;=85,1,0))</formula>
    </cfRule>
  </conditionalFormatting>
  <conditionalFormatting sqref="AI85">
    <cfRule type="expression" priority="2449" dxfId="3">
      <formula>AND(IF(OR($Q85=1,$Q85=2),1,0),IF($X85&lt;=20,1,0))</formula>
    </cfRule>
    <cfRule type="expression" priority="2450" dxfId="2">
      <formula>AND(IF($Q85=2,1,0),IF($X85&lt;30,1,0))</formula>
    </cfRule>
    <cfRule type="expression" priority="2451" dxfId="1">
      <formula>AND(IF($Q85=3,1,0),IF($X85&lt;30,1,0))</formula>
    </cfRule>
    <cfRule type="expression" priority="2452" dxfId="0">
      <formula>AND(IF($Q85=3,1,IF($Q85=4,1,0)),IF($F85&lt;=85,1,0))</formula>
    </cfRule>
  </conditionalFormatting>
  <conditionalFormatting sqref="AV86">
    <cfRule type="expression" priority="2447" dxfId="23">
      <formula>AV86="X"</formula>
    </cfRule>
    <cfRule type="expression" priority="2448" dxfId="22">
      <formula>AV86="후보"</formula>
    </cfRule>
  </conditionalFormatting>
  <conditionalFormatting sqref="AC8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8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86">
    <cfRule type="expression" priority="2439" dxfId="3">
      <formula>AND(IF(OR($Q86=1,$Q86=2),1,0),IF($X86&lt;=20,1,0))</formula>
    </cfRule>
    <cfRule type="expression" priority="2440" dxfId="2">
      <formula>AND(IF($Q86=2,1,0),IF($X86&lt;30,1,0))</formula>
    </cfRule>
    <cfRule type="expression" priority="2441" dxfId="1">
      <formula>AND(IF($Q86=3,1,0),IF($X86&lt;30,1,0))</formula>
    </cfRule>
    <cfRule type="expression" priority="2442" dxfId="0">
      <formula>AND(IF($Q86=3,1,IF($Q86=4,1,0)),IF($F86&lt;=85,1,0))</formula>
    </cfRule>
  </conditionalFormatting>
  <conditionalFormatting sqref="X86">
    <cfRule type="expression" priority="2435" dxfId="3">
      <formula>AND(IF(OR($Q86=1,$Q86=2),1,0),IF($X86&lt;=20,1,0))</formula>
    </cfRule>
    <cfRule type="expression" priority="2436" dxfId="2">
      <formula>AND(IF($Q86=2,1,0),IF($X86&lt;30,1,0))</formula>
    </cfRule>
    <cfRule type="expression" priority="2437" dxfId="1">
      <formula>AND(IF($Q86=3,1,0),IF($X86&lt;30,1,0))</formula>
    </cfRule>
    <cfRule type="expression" priority="2438" dxfId="0">
      <formula>AND(IF($Q86=3,1,IF($Q86=4,1,0)),IF($F86&lt;=85,1,0))</formula>
    </cfRule>
  </conditionalFormatting>
  <conditionalFormatting sqref="AI86">
    <cfRule type="expression" priority="2431" dxfId="3">
      <formula>AND(IF(OR($Q86=1,$Q86=2),1,0),IF($X86&lt;=20,1,0))</formula>
    </cfRule>
    <cfRule type="expression" priority="2432" dxfId="2">
      <formula>AND(IF($Q86=2,1,0),IF($X86&lt;30,1,0))</formula>
    </cfRule>
    <cfRule type="expression" priority="2433" dxfId="1">
      <formula>AND(IF($Q86=3,1,0),IF($X86&lt;30,1,0))</formula>
    </cfRule>
    <cfRule type="expression" priority="2434" dxfId="0">
      <formula>AND(IF($Q86=3,1,IF($Q86=4,1,0)),IF($F86&lt;=85,1,0))</formula>
    </cfRule>
  </conditionalFormatting>
  <conditionalFormatting sqref="AV87">
    <cfRule type="expression" priority="2429" dxfId="23">
      <formula>AV87="X"</formula>
    </cfRule>
    <cfRule type="expression" priority="2430" dxfId="22">
      <formula>AV87="후보"</formula>
    </cfRule>
  </conditionalFormatting>
  <conditionalFormatting sqref="AC8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8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87">
    <cfRule type="expression" priority="2421" dxfId="3">
      <formula>AND(IF(OR($Q87=1,$Q87=2),1,0),IF($X87&lt;=20,1,0))</formula>
    </cfRule>
    <cfRule type="expression" priority="2422" dxfId="2">
      <formula>AND(IF($Q87=2,1,0),IF($X87&lt;30,1,0))</formula>
    </cfRule>
    <cfRule type="expression" priority="2423" dxfId="1">
      <formula>AND(IF($Q87=3,1,0),IF($X87&lt;30,1,0))</formula>
    </cfRule>
    <cfRule type="expression" priority="2424" dxfId="0">
      <formula>AND(IF($Q87=3,1,IF($Q87=4,1,0)),IF($F87&lt;=85,1,0))</formula>
    </cfRule>
  </conditionalFormatting>
  <conditionalFormatting sqref="X87">
    <cfRule type="expression" priority="2417" dxfId="3">
      <formula>AND(IF(OR($Q87=1,$Q87=2),1,0),IF($X87&lt;=20,1,0))</formula>
    </cfRule>
    <cfRule type="expression" priority="2418" dxfId="2">
      <formula>AND(IF($Q87=2,1,0),IF($X87&lt;30,1,0))</formula>
    </cfRule>
    <cfRule type="expression" priority="2419" dxfId="1">
      <formula>AND(IF($Q87=3,1,0),IF($X87&lt;30,1,0))</formula>
    </cfRule>
    <cfRule type="expression" priority="2420" dxfId="0">
      <formula>AND(IF($Q87=3,1,IF($Q87=4,1,0)),IF($F87&lt;=85,1,0))</formula>
    </cfRule>
  </conditionalFormatting>
  <conditionalFormatting sqref="AI87">
    <cfRule type="expression" priority="2413" dxfId="3">
      <formula>AND(IF(OR($Q87=1,$Q87=2),1,0),IF($X87&lt;=20,1,0))</formula>
    </cfRule>
    <cfRule type="expression" priority="2414" dxfId="2">
      <formula>AND(IF($Q87=2,1,0),IF($X87&lt;30,1,0))</formula>
    </cfRule>
    <cfRule type="expression" priority="2415" dxfId="1">
      <formula>AND(IF($Q87=3,1,0),IF($X87&lt;30,1,0))</formula>
    </cfRule>
    <cfRule type="expression" priority="2416" dxfId="0">
      <formula>AND(IF($Q87=3,1,IF($Q87=4,1,0)),IF($F87&lt;=85,1,0))</formula>
    </cfRule>
  </conditionalFormatting>
  <conditionalFormatting sqref="AV88">
    <cfRule type="expression" priority="2411" dxfId="23">
      <formula>AV88="X"</formula>
    </cfRule>
    <cfRule type="expression" priority="2412" dxfId="22">
      <formula>AV88="후보"</formula>
    </cfRule>
  </conditionalFormatting>
  <conditionalFormatting sqref="AC8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8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88">
    <cfRule type="expression" priority="2403" dxfId="3">
      <formula>AND(IF(OR($Q88=1,$Q88=2),1,0),IF($X88&lt;=20,1,0))</formula>
    </cfRule>
    <cfRule type="expression" priority="2404" dxfId="2">
      <formula>AND(IF($Q88=2,1,0),IF($X88&lt;30,1,0))</formula>
    </cfRule>
    <cfRule type="expression" priority="2405" dxfId="1">
      <formula>AND(IF($Q88=3,1,0),IF($X88&lt;30,1,0))</formula>
    </cfRule>
    <cfRule type="expression" priority="2406" dxfId="0">
      <formula>AND(IF($Q88=3,1,IF($Q88=4,1,0)),IF($F88&lt;=85,1,0))</formula>
    </cfRule>
  </conditionalFormatting>
  <conditionalFormatting sqref="X88">
    <cfRule type="expression" priority="2399" dxfId="3">
      <formula>AND(IF(OR($Q88=1,$Q88=2),1,0),IF($X88&lt;=20,1,0))</formula>
    </cfRule>
    <cfRule type="expression" priority="2400" dxfId="2">
      <formula>AND(IF($Q88=2,1,0),IF($X88&lt;30,1,0))</formula>
    </cfRule>
    <cfRule type="expression" priority="2401" dxfId="1">
      <formula>AND(IF($Q88=3,1,0),IF($X88&lt;30,1,0))</formula>
    </cfRule>
    <cfRule type="expression" priority="2402" dxfId="0">
      <formula>AND(IF($Q88=3,1,IF($Q88=4,1,0)),IF($F88&lt;=85,1,0))</formula>
    </cfRule>
  </conditionalFormatting>
  <conditionalFormatting sqref="AI88">
    <cfRule type="expression" priority="2395" dxfId="3">
      <formula>AND(IF(OR($Q88=1,$Q88=2),1,0),IF($X88&lt;=20,1,0))</formula>
    </cfRule>
    <cfRule type="expression" priority="2396" dxfId="2">
      <formula>AND(IF($Q88=2,1,0),IF($X88&lt;30,1,0))</formula>
    </cfRule>
    <cfRule type="expression" priority="2397" dxfId="1">
      <formula>AND(IF($Q88=3,1,0),IF($X88&lt;30,1,0))</formula>
    </cfRule>
    <cfRule type="expression" priority="2398" dxfId="0">
      <formula>AND(IF($Q88=3,1,IF($Q88=4,1,0)),IF($F88&lt;=85,1,0))</formula>
    </cfRule>
  </conditionalFormatting>
  <conditionalFormatting sqref="AV89">
    <cfRule type="expression" priority="2393" dxfId="23">
      <formula>AV89="X"</formula>
    </cfRule>
    <cfRule type="expression" priority="2394" dxfId="22">
      <formula>AV89="후보"</formula>
    </cfRule>
  </conditionalFormatting>
  <conditionalFormatting sqref="AC8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8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89">
    <cfRule type="expression" priority="2385" dxfId="3">
      <formula>AND(IF(OR($Q89=1,$Q89=2),1,0),IF($X89&lt;=20,1,0))</formula>
    </cfRule>
    <cfRule type="expression" priority="2386" dxfId="2">
      <formula>AND(IF($Q89=2,1,0),IF($X89&lt;30,1,0))</formula>
    </cfRule>
    <cfRule type="expression" priority="2387" dxfId="1">
      <formula>AND(IF($Q89=3,1,0),IF($X89&lt;30,1,0))</formula>
    </cfRule>
    <cfRule type="expression" priority="2388" dxfId="0">
      <formula>AND(IF($Q89=3,1,IF($Q89=4,1,0)),IF($F89&lt;=85,1,0))</formula>
    </cfRule>
  </conditionalFormatting>
  <conditionalFormatting sqref="X89">
    <cfRule type="expression" priority="2381" dxfId="3">
      <formula>AND(IF(OR($Q89=1,$Q89=2),1,0),IF($X89&lt;=20,1,0))</formula>
    </cfRule>
    <cfRule type="expression" priority="2382" dxfId="2">
      <formula>AND(IF($Q89=2,1,0),IF($X89&lt;30,1,0))</formula>
    </cfRule>
    <cfRule type="expression" priority="2383" dxfId="1">
      <formula>AND(IF($Q89=3,1,0),IF($X89&lt;30,1,0))</formula>
    </cfRule>
    <cfRule type="expression" priority="2384" dxfId="0">
      <formula>AND(IF($Q89=3,1,IF($Q89=4,1,0)),IF($F89&lt;=85,1,0))</formula>
    </cfRule>
  </conditionalFormatting>
  <conditionalFormatting sqref="AI89">
    <cfRule type="expression" priority="2377" dxfId="3">
      <formula>AND(IF(OR($Q89=1,$Q89=2),1,0),IF($X89&lt;=20,1,0))</formula>
    </cfRule>
    <cfRule type="expression" priority="2378" dxfId="2">
      <formula>AND(IF($Q89=2,1,0),IF($X89&lt;30,1,0))</formula>
    </cfRule>
    <cfRule type="expression" priority="2379" dxfId="1">
      <formula>AND(IF($Q89=3,1,0),IF($X89&lt;30,1,0))</formula>
    </cfRule>
    <cfRule type="expression" priority="2380" dxfId="0">
      <formula>AND(IF($Q89=3,1,IF($Q89=4,1,0)),IF($F89&lt;=85,1,0))</formula>
    </cfRule>
  </conditionalFormatting>
  <conditionalFormatting sqref="AV90">
    <cfRule type="expression" priority="2375" dxfId="23">
      <formula>AV90="X"</formula>
    </cfRule>
    <cfRule type="expression" priority="2376" dxfId="22">
      <formula>AV90="후보"</formula>
    </cfRule>
  </conditionalFormatting>
  <conditionalFormatting sqref="AC9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0">
    <cfRule type="expression" priority="2367" dxfId="3">
      <formula>AND(IF(OR($Q90=1,$Q90=2),1,0),IF($X90&lt;=20,1,0))</formula>
    </cfRule>
    <cfRule type="expression" priority="2368" dxfId="2">
      <formula>AND(IF($Q90=2,1,0),IF($X90&lt;30,1,0))</formula>
    </cfRule>
    <cfRule type="expression" priority="2369" dxfId="1">
      <formula>AND(IF($Q90=3,1,0),IF($X90&lt;30,1,0))</formula>
    </cfRule>
    <cfRule type="expression" priority="2370" dxfId="0">
      <formula>AND(IF($Q90=3,1,IF($Q90=4,1,0)),IF($F90&lt;=85,1,0))</formula>
    </cfRule>
  </conditionalFormatting>
  <conditionalFormatting sqref="X90">
    <cfRule type="expression" priority="2363" dxfId="3">
      <formula>AND(IF(OR($Q90=1,$Q90=2),1,0),IF($X90&lt;=20,1,0))</formula>
    </cfRule>
    <cfRule type="expression" priority="2364" dxfId="2">
      <formula>AND(IF($Q90=2,1,0),IF($X90&lt;30,1,0))</formula>
    </cfRule>
    <cfRule type="expression" priority="2365" dxfId="1">
      <formula>AND(IF($Q90=3,1,0),IF($X90&lt;30,1,0))</formula>
    </cfRule>
    <cfRule type="expression" priority="2366" dxfId="0">
      <formula>AND(IF($Q90=3,1,IF($Q90=4,1,0)),IF($F90&lt;=85,1,0))</formula>
    </cfRule>
  </conditionalFormatting>
  <conditionalFormatting sqref="AI90">
    <cfRule type="expression" priority="2359" dxfId="3">
      <formula>AND(IF(OR($Q90=1,$Q90=2),1,0),IF($X90&lt;=20,1,0))</formula>
    </cfRule>
    <cfRule type="expression" priority="2360" dxfId="2">
      <formula>AND(IF($Q90=2,1,0),IF($X90&lt;30,1,0))</formula>
    </cfRule>
    <cfRule type="expression" priority="2361" dxfId="1">
      <formula>AND(IF($Q90=3,1,0),IF($X90&lt;30,1,0))</formula>
    </cfRule>
    <cfRule type="expression" priority="2362" dxfId="0">
      <formula>AND(IF($Q90=3,1,IF($Q90=4,1,0)),IF($F90&lt;=85,1,0))</formula>
    </cfRule>
  </conditionalFormatting>
  <conditionalFormatting sqref="AV91">
    <cfRule type="expression" priority="2357" dxfId="23">
      <formula>AV91="X"</formula>
    </cfRule>
    <cfRule type="expression" priority="2358" dxfId="22">
      <formula>AV91="후보"</formula>
    </cfRule>
  </conditionalFormatting>
  <conditionalFormatting sqref="AC9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9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91">
    <cfRule type="expression" priority="2349" dxfId="3">
      <formula>AND(IF(OR($Q91=1,$Q91=2),1,0),IF($X91&lt;=20,1,0))</formula>
    </cfRule>
    <cfRule type="expression" priority="2350" dxfId="2">
      <formula>AND(IF($Q91=2,1,0),IF($X91&lt;30,1,0))</formula>
    </cfRule>
    <cfRule type="expression" priority="2351" dxfId="1">
      <formula>AND(IF($Q91=3,1,0),IF($X91&lt;30,1,0))</formula>
    </cfRule>
    <cfRule type="expression" priority="2352" dxfId="0">
      <formula>AND(IF($Q91=3,1,IF($Q91=4,1,0)),IF($F91&lt;=85,1,0))</formula>
    </cfRule>
  </conditionalFormatting>
  <conditionalFormatting sqref="X91">
    <cfRule type="expression" priority="2345" dxfId="3">
      <formula>AND(IF(OR($Q91=1,$Q91=2),1,0),IF($X91&lt;=20,1,0))</formula>
    </cfRule>
    <cfRule type="expression" priority="2346" dxfId="2">
      <formula>AND(IF($Q91=2,1,0),IF($X91&lt;30,1,0))</formula>
    </cfRule>
    <cfRule type="expression" priority="2347" dxfId="1">
      <formula>AND(IF($Q91=3,1,0),IF($X91&lt;30,1,0))</formula>
    </cfRule>
    <cfRule type="expression" priority="2348" dxfId="0">
      <formula>AND(IF($Q91=3,1,IF($Q91=4,1,0)),IF($F91&lt;=85,1,0))</formula>
    </cfRule>
  </conditionalFormatting>
  <conditionalFormatting sqref="AI91">
    <cfRule type="expression" priority="2341" dxfId="3">
      <formula>AND(IF(OR($Q91=1,$Q91=2),1,0),IF($X91&lt;=20,1,0))</formula>
    </cfRule>
    <cfRule type="expression" priority="2342" dxfId="2">
      <formula>AND(IF($Q91=2,1,0),IF($X91&lt;30,1,0))</formula>
    </cfRule>
    <cfRule type="expression" priority="2343" dxfId="1">
      <formula>AND(IF($Q91=3,1,0),IF($X91&lt;30,1,0))</formula>
    </cfRule>
    <cfRule type="expression" priority="2344" dxfId="0">
      <formula>AND(IF($Q91=3,1,IF($Q91=4,1,0)),IF($F91&lt;=85,1,0))</formula>
    </cfRule>
  </conditionalFormatting>
  <conditionalFormatting sqref="AV92">
    <cfRule type="expression" priority="2339" dxfId="23">
      <formula>AV92="X"</formula>
    </cfRule>
    <cfRule type="expression" priority="2340" dxfId="22">
      <formula>AV92="후보"</formula>
    </cfRule>
  </conditionalFormatting>
  <conditionalFormatting sqref="AC9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9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92">
    <cfRule type="expression" priority="2331" dxfId="3">
      <formula>AND(IF(OR($Q92=1,$Q92=2),1,0),IF($X92&lt;=20,1,0))</formula>
    </cfRule>
    <cfRule type="expression" priority="2332" dxfId="2">
      <formula>AND(IF($Q92=2,1,0),IF($X92&lt;30,1,0))</formula>
    </cfRule>
    <cfRule type="expression" priority="2333" dxfId="1">
      <formula>AND(IF($Q92=3,1,0),IF($X92&lt;30,1,0))</formula>
    </cfRule>
    <cfRule type="expression" priority="2334" dxfId="0">
      <formula>AND(IF($Q92=3,1,IF($Q92=4,1,0)),IF($F92&lt;=85,1,0))</formula>
    </cfRule>
  </conditionalFormatting>
  <conditionalFormatting sqref="X92">
    <cfRule type="expression" priority="2327" dxfId="3">
      <formula>AND(IF(OR($Q92=1,$Q92=2),1,0),IF($X92&lt;=20,1,0))</formula>
    </cfRule>
    <cfRule type="expression" priority="2328" dxfId="2">
      <formula>AND(IF($Q92=2,1,0),IF($X92&lt;30,1,0))</formula>
    </cfRule>
    <cfRule type="expression" priority="2329" dxfId="1">
      <formula>AND(IF($Q92=3,1,0),IF($X92&lt;30,1,0))</formula>
    </cfRule>
    <cfRule type="expression" priority="2330" dxfId="0">
      <formula>AND(IF($Q92=3,1,IF($Q92=4,1,0)),IF($F92&lt;=85,1,0))</formula>
    </cfRule>
  </conditionalFormatting>
  <conditionalFormatting sqref="AI92">
    <cfRule type="expression" priority="2323" dxfId="3">
      <formula>AND(IF(OR($Q92=1,$Q92=2),1,0),IF($X92&lt;=20,1,0))</formula>
    </cfRule>
    <cfRule type="expression" priority="2324" dxfId="2">
      <formula>AND(IF($Q92=2,1,0),IF($X92&lt;30,1,0))</formula>
    </cfRule>
    <cfRule type="expression" priority="2325" dxfId="1">
      <formula>AND(IF($Q92=3,1,0),IF($X92&lt;30,1,0))</formula>
    </cfRule>
    <cfRule type="expression" priority="2326" dxfId="0">
      <formula>AND(IF($Q92=3,1,IF($Q92=4,1,0)),IF($F92&lt;=85,1,0))</formula>
    </cfRule>
  </conditionalFormatting>
  <conditionalFormatting sqref="AV93">
    <cfRule type="expression" priority="2321" dxfId="23">
      <formula>AV93="X"</formula>
    </cfRule>
    <cfRule type="expression" priority="2322" dxfId="22">
      <formula>AV93="후보"</formula>
    </cfRule>
  </conditionalFormatting>
  <conditionalFormatting sqref="AC9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9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93">
    <cfRule type="expression" priority="2313" dxfId="3">
      <formula>AND(IF(OR($Q93=1,$Q93=2),1,0),IF($X93&lt;=20,1,0))</formula>
    </cfRule>
    <cfRule type="expression" priority="2314" dxfId="2">
      <formula>AND(IF($Q93=2,1,0),IF($X93&lt;30,1,0))</formula>
    </cfRule>
    <cfRule type="expression" priority="2315" dxfId="1">
      <formula>AND(IF($Q93=3,1,0),IF($X93&lt;30,1,0))</formula>
    </cfRule>
    <cfRule type="expression" priority="2316" dxfId="0">
      <formula>AND(IF($Q93=3,1,IF($Q93=4,1,0)),IF($F93&lt;=85,1,0))</formula>
    </cfRule>
  </conditionalFormatting>
  <conditionalFormatting sqref="X93">
    <cfRule type="expression" priority="2309" dxfId="3">
      <formula>AND(IF(OR($Q93=1,$Q93=2),1,0),IF($X93&lt;=20,1,0))</formula>
    </cfRule>
    <cfRule type="expression" priority="2310" dxfId="2">
      <formula>AND(IF($Q93=2,1,0),IF($X93&lt;30,1,0))</formula>
    </cfRule>
    <cfRule type="expression" priority="2311" dxfId="1">
      <formula>AND(IF($Q93=3,1,0),IF($X93&lt;30,1,0))</formula>
    </cfRule>
    <cfRule type="expression" priority="2312" dxfId="0">
      <formula>AND(IF($Q93=3,1,IF($Q93=4,1,0)),IF($F93&lt;=85,1,0))</formula>
    </cfRule>
  </conditionalFormatting>
  <conditionalFormatting sqref="AI93">
    <cfRule type="expression" priority="2305" dxfId="3">
      <formula>AND(IF(OR($Q93=1,$Q93=2),1,0),IF($X93&lt;=20,1,0))</formula>
    </cfRule>
    <cfRule type="expression" priority="2306" dxfId="2">
      <formula>AND(IF($Q93=2,1,0),IF($X93&lt;30,1,0))</formula>
    </cfRule>
    <cfRule type="expression" priority="2307" dxfId="1">
      <formula>AND(IF($Q93=3,1,0),IF($X93&lt;30,1,0))</formula>
    </cfRule>
    <cfRule type="expression" priority="2308" dxfId="0">
      <formula>AND(IF($Q93=3,1,IF($Q93=4,1,0)),IF($F93&lt;=85,1,0))</formula>
    </cfRule>
  </conditionalFormatting>
  <conditionalFormatting sqref="AV94">
    <cfRule type="expression" priority="2303" dxfId="23">
      <formula>AV94="X"</formula>
    </cfRule>
    <cfRule type="expression" priority="2304" dxfId="22">
      <formula>AV94="후보"</formula>
    </cfRule>
  </conditionalFormatting>
  <conditionalFormatting sqref="AC9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9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94">
    <cfRule type="expression" priority="2295" dxfId="3">
      <formula>AND(IF(OR($Q94=1,$Q94=2),1,0),IF($X94&lt;=20,1,0))</formula>
    </cfRule>
    <cfRule type="expression" priority="2296" dxfId="2">
      <formula>AND(IF($Q94=2,1,0),IF($X94&lt;30,1,0))</formula>
    </cfRule>
    <cfRule type="expression" priority="2297" dxfId="1">
      <formula>AND(IF($Q94=3,1,0),IF($X94&lt;30,1,0))</formula>
    </cfRule>
    <cfRule type="expression" priority="2298" dxfId="0">
      <formula>AND(IF($Q94=3,1,IF($Q94=4,1,0)),IF($F94&lt;=85,1,0))</formula>
    </cfRule>
  </conditionalFormatting>
  <conditionalFormatting sqref="X94">
    <cfRule type="expression" priority="2291" dxfId="3">
      <formula>AND(IF(OR($Q94=1,$Q94=2),1,0),IF($X94&lt;=20,1,0))</formula>
    </cfRule>
    <cfRule type="expression" priority="2292" dxfId="2">
      <formula>AND(IF($Q94=2,1,0),IF($X94&lt;30,1,0))</formula>
    </cfRule>
    <cfRule type="expression" priority="2293" dxfId="1">
      <formula>AND(IF($Q94=3,1,0),IF($X94&lt;30,1,0))</formula>
    </cfRule>
    <cfRule type="expression" priority="2294" dxfId="0">
      <formula>AND(IF($Q94=3,1,IF($Q94=4,1,0)),IF($F94&lt;=85,1,0))</formula>
    </cfRule>
  </conditionalFormatting>
  <conditionalFormatting sqref="AI94">
    <cfRule type="expression" priority="2287" dxfId="3">
      <formula>AND(IF(OR($Q94=1,$Q94=2),1,0),IF($X94&lt;=20,1,0))</formula>
    </cfRule>
    <cfRule type="expression" priority="2288" dxfId="2">
      <formula>AND(IF($Q94=2,1,0),IF($X94&lt;30,1,0))</formula>
    </cfRule>
    <cfRule type="expression" priority="2289" dxfId="1">
      <formula>AND(IF($Q94=3,1,0),IF($X94&lt;30,1,0))</formula>
    </cfRule>
    <cfRule type="expression" priority="2290" dxfId="0">
      <formula>AND(IF($Q94=3,1,IF($Q94=4,1,0)),IF($F94&lt;=85,1,0))</formula>
    </cfRule>
  </conditionalFormatting>
  <conditionalFormatting sqref="AV95">
    <cfRule type="expression" priority="2285" dxfId="23">
      <formula>AV95="X"</formula>
    </cfRule>
    <cfRule type="expression" priority="2286" dxfId="22">
      <formula>AV95="후보"</formula>
    </cfRule>
  </conditionalFormatting>
  <conditionalFormatting sqref="AC9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9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95">
    <cfRule type="expression" priority="2277" dxfId="3">
      <formula>AND(IF(OR($Q95=1,$Q95=2),1,0),IF($X95&lt;=20,1,0))</formula>
    </cfRule>
    <cfRule type="expression" priority="2278" dxfId="2">
      <formula>AND(IF($Q95=2,1,0),IF($X95&lt;30,1,0))</formula>
    </cfRule>
    <cfRule type="expression" priority="2279" dxfId="1">
      <formula>AND(IF($Q95=3,1,0),IF($X95&lt;30,1,0))</formula>
    </cfRule>
    <cfRule type="expression" priority="2280" dxfId="0">
      <formula>AND(IF($Q95=3,1,IF($Q95=4,1,0)),IF($F95&lt;=85,1,0))</formula>
    </cfRule>
  </conditionalFormatting>
  <conditionalFormatting sqref="X95">
    <cfRule type="expression" priority="2273" dxfId="3">
      <formula>AND(IF(OR($Q95=1,$Q95=2),1,0),IF($X95&lt;=20,1,0))</formula>
    </cfRule>
    <cfRule type="expression" priority="2274" dxfId="2">
      <formula>AND(IF($Q95=2,1,0),IF($X95&lt;30,1,0))</formula>
    </cfRule>
    <cfRule type="expression" priority="2275" dxfId="1">
      <formula>AND(IF($Q95=3,1,0),IF($X95&lt;30,1,0))</formula>
    </cfRule>
    <cfRule type="expression" priority="2276" dxfId="0">
      <formula>AND(IF($Q95=3,1,IF($Q95=4,1,0)),IF($F95&lt;=85,1,0))</formula>
    </cfRule>
  </conditionalFormatting>
  <conditionalFormatting sqref="AI95">
    <cfRule type="expression" priority="2269" dxfId="3">
      <formula>AND(IF(OR($Q95=1,$Q95=2),1,0),IF($X95&lt;=20,1,0))</formula>
    </cfRule>
    <cfRule type="expression" priority="2270" dxfId="2">
      <formula>AND(IF($Q95=2,1,0),IF($X95&lt;30,1,0))</formula>
    </cfRule>
    <cfRule type="expression" priority="2271" dxfId="1">
      <formula>AND(IF($Q95=3,1,0),IF($X95&lt;30,1,0))</formula>
    </cfRule>
    <cfRule type="expression" priority="2272" dxfId="0">
      <formula>AND(IF($Q95=3,1,IF($Q95=4,1,0)),IF($F95&lt;=85,1,0))</formula>
    </cfRule>
  </conditionalFormatting>
  <conditionalFormatting sqref="AV96">
    <cfRule type="expression" priority="2267" dxfId="23">
      <formula>AV96="X"</formula>
    </cfRule>
    <cfRule type="expression" priority="2268" dxfId="22">
      <formula>AV96="후보"</formula>
    </cfRule>
  </conditionalFormatting>
  <conditionalFormatting sqref="AC9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9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96">
    <cfRule type="expression" priority="2259" dxfId="3">
      <formula>AND(IF(OR($Q96=1,$Q96=2),1,0),IF($X96&lt;=20,1,0))</formula>
    </cfRule>
    <cfRule type="expression" priority="2260" dxfId="2">
      <formula>AND(IF($Q96=2,1,0),IF($X96&lt;30,1,0))</formula>
    </cfRule>
    <cfRule type="expression" priority="2261" dxfId="1">
      <formula>AND(IF($Q96=3,1,0),IF($X96&lt;30,1,0))</formula>
    </cfRule>
    <cfRule type="expression" priority="2262" dxfId="0">
      <formula>AND(IF($Q96=3,1,IF($Q96=4,1,0)),IF($F96&lt;=85,1,0))</formula>
    </cfRule>
  </conditionalFormatting>
  <conditionalFormatting sqref="X96">
    <cfRule type="expression" priority="2255" dxfId="3">
      <formula>AND(IF(OR($Q96=1,$Q96=2),1,0),IF($X96&lt;=20,1,0))</formula>
    </cfRule>
    <cfRule type="expression" priority="2256" dxfId="2">
      <formula>AND(IF($Q96=2,1,0),IF($X96&lt;30,1,0))</formula>
    </cfRule>
    <cfRule type="expression" priority="2257" dxfId="1">
      <formula>AND(IF($Q96=3,1,0),IF($X96&lt;30,1,0))</formula>
    </cfRule>
    <cfRule type="expression" priority="2258" dxfId="0">
      <formula>AND(IF($Q96=3,1,IF($Q96=4,1,0)),IF($F96&lt;=85,1,0))</formula>
    </cfRule>
  </conditionalFormatting>
  <conditionalFormatting sqref="AI96">
    <cfRule type="expression" priority="2251" dxfId="3">
      <formula>AND(IF(OR($Q96=1,$Q96=2),1,0),IF($X96&lt;=20,1,0))</formula>
    </cfRule>
    <cfRule type="expression" priority="2252" dxfId="2">
      <formula>AND(IF($Q96=2,1,0),IF($X96&lt;30,1,0))</formula>
    </cfRule>
    <cfRule type="expression" priority="2253" dxfId="1">
      <formula>AND(IF($Q96=3,1,0),IF($X96&lt;30,1,0))</formula>
    </cfRule>
    <cfRule type="expression" priority="2254" dxfId="0">
      <formula>AND(IF($Q96=3,1,IF($Q96=4,1,0)),IF($F96&lt;=85,1,0))</formula>
    </cfRule>
  </conditionalFormatting>
  <conditionalFormatting sqref="AV97">
    <cfRule type="expression" priority="2249" dxfId="23">
      <formula>AV97="X"</formula>
    </cfRule>
    <cfRule type="expression" priority="2250" dxfId="22">
      <formula>AV97="후보"</formula>
    </cfRule>
  </conditionalFormatting>
  <conditionalFormatting sqref="AC9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9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97">
    <cfRule type="expression" priority="2241" dxfId="3">
      <formula>AND(IF(OR($Q97=1,$Q97=2),1,0),IF($X97&lt;=20,1,0))</formula>
    </cfRule>
    <cfRule type="expression" priority="2242" dxfId="2">
      <formula>AND(IF($Q97=2,1,0),IF($X97&lt;30,1,0))</formula>
    </cfRule>
    <cfRule type="expression" priority="2243" dxfId="1">
      <formula>AND(IF($Q97=3,1,0),IF($X97&lt;30,1,0))</formula>
    </cfRule>
    <cfRule type="expression" priority="2244" dxfId="0">
      <formula>AND(IF($Q97=3,1,IF($Q97=4,1,0)),IF($F97&lt;=85,1,0))</formula>
    </cfRule>
  </conditionalFormatting>
  <conditionalFormatting sqref="X97">
    <cfRule type="expression" priority="2237" dxfId="3">
      <formula>AND(IF(OR($Q97=1,$Q97=2),1,0),IF($X97&lt;=20,1,0))</formula>
    </cfRule>
    <cfRule type="expression" priority="2238" dxfId="2">
      <formula>AND(IF($Q97=2,1,0),IF($X97&lt;30,1,0))</formula>
    </cfRule>
    <cfRule type="expression" priority="2239" dxfId="1">
      <formula>AND(IF($Q97=3,1,0),IF($X97&lt;30,1,0))</formula>
    </cfRule>
    <cfRule type="expression" priority="2240" dxfId="0">
      <formula>AND(IF($Q97=3,1,IF($Q97=4,1,0)),IF($F97&lt;=85,1,0))</formula>
    </cfRule>
  </conditionalFormatting>
  <conditionalFormatting sqref="AI97">
    <cfRule type="expression" priority="2233" dxfId="3">
      <formula>AND(IF(OR($Q97=1,$Q97=2),1,0),IF($X97&lt;=20,1,0))</formula>
    </cfRule>
    <cfRule type="expression" priority="2234" dxfId="2">
      <formula>AND(IF($Q97=2,1,0),IF($X97&lt;30,1,0))</formula>
    </cfRule>
    <cfRule type="expression" priority="2235" dxfId="1">
      <formula>AND(IF($Q97=3,1,0),IF($X97&lt;30,1,0))</formula>
    </cfRule>
    <cfRule type="expression" priority="2236" dxfId="0">
      <formula>AND(IF($Q97=3,1,IF($Q97=4,1,0)),IF($F97&lt;=85,1,0))</formula>
    </cfRule>
  </conditionalFormatting>
  <conditionalFormatting sqref="AV98">
    <cfRule type="expression" priority="2231" dxfId="23">
      <formula>AV98="X"</formula>
    </cfRule>
    <cfRule type="expression" priority="2232" dxfId="22">
      <formula>AV98="후보"</formula>
    </cfRule>
  </conditionalFormatting>
  <conditionalFormatting sqref="AC9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9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98">
    <cfRule type="expression" priority="2223" dxfId="3">
      <formula>AND(IF(OR($Q98=1,$Q98=2),1,0),IF($X98&lt;=20,1,0))</formula>
    </cfRule>
    <cfRule type="expression" priority="2224" dxfId="2">
      <formula>AND(IF($Q98=2,1,0),IF($X98&lt;30,1,0))</formula>
    </cfRule>
    <cfRule type="expression" priority="2225" dxfId="1">
      <formula>AND(IF($Q98=3,1,0),IF($X98&lt;30,1,0))</formula>
    </cfRule>
    <cfRule type="expression" priority="2226" dxfId="0">
      <formula>AND(IF($Q98=3,1,IF($Q98=4,1,0)),IF($F98&lt;=85,1,0))</formula>
    </cfRule>
  </conditionalFormatting>
  <conditionalFormatting sqref="X98">
    <cfRule type="expression" priority="2219" dxfId="3">
      <formula>AND(IF(OR($Q98=1,$Q98=2),1,0),IF($X98&lt;=20,1,0))</formula>
    </cfRule>
    <cfRule type="expression" priority="2220" dxfId="2">
      <formula>AND(IF($Q98=2,1,0),IF($X98&lt;30,1,0))</formula>
    </cfRule>
    <cfRule type="expression" priority="2221" dxfId="1">
      <formula>AND(IF($Q98=3,1,0),IF($X98&lt;30,1,0))</formula>
    </cfRule>
    <cfRule type="expression" priority="2222" dxfId="0">
      <formula>AND(IF($Q98=3,1,IF($Q98=4,1,0)),IF($F98&lt;=85,1,0))</formula>
    </cfRule>
  </conditionalFormatting>
  <conditionalFormatting sqref="AI98">
    <cfRule type="expression" priority="2215" dxfId="3">
      <formula>AND(IF(OR($Q98=1,$Q98=2),1,0),IF($X98&lt;=20,1,0))</formula>
    </cfRule>
    <cfRule type="expression" priority="2216" dxfId="2">
      <formula>AND(IF($Q98=2,1,0),IF($X98&lt;30,1,0))</formula>
    </cfRule>
    <cfRule type="expression" priority="2217" dxfId="1">
      <formula>AND(IF($Q98=3,1,0),IF($X98&lt;30,1,0))</formula>
    </cfRule>
    <cfRule type="expression" priority="2218" dxfId="0">
      <formula>AND(IF($Q98=3,1,IF($Q98=4,1,0)),IF($F98&lt;=85,1,0))</formula>
    </cfRule>
  </conditionalFormatting>
  <conditionalFormatting sqref="AV99">
    <cfRule type="expression" priority="2213" dxfId="23">
      <formula>AV99="X"</formula>
    </cfRule>
    <cfRule type="expression" priority="2214" dxfId="22">
      <formula>AV99="후보"</formula>
    </cfRule>
  </conditionalFormatting>
  <conditionalFormatting sqref="AC9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9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99">
    <cfRule type="expression" priority="2205" dxfId="3">
      <formula>AND(IF(OR($Q99=1,$Q99=2),1,0),IF($X99&lt;=20,1,0))</formula>
    </cfRule>
    <cfRule type="expression" priority="2206" dxfId="2">
      <formula>AND(IF($Q99=2,1,0),IF($X99&lt;30,1,0))</formula>
    </cfRule>
    <cfRule type="expression" priority="2207" dxfId="1">
      <formula>AND(IF($Q99=3,1,0),IF($X99&lt;30,1,0))</formula>
    </cfRule>
    <cfRule type="expression" priority="2208" dxfId="0">
      <formula>AND(IF($Q99=3,1,IF($Q99=4,1,0)),IF($F99&lt;=85,1,0))</formula>
    </cfRule>
  </conditionalFormatting>
  <conditionalFormatting sqref="X99">
    <cfRule type="expression" priority="2201" dxfId="3">
      <formula>AND(IF(OR($Q99=1,$Q99=2),1,0),IF($X99&lt;=20,1,0))</formula>
    </cfRule>
    <cfRule type="expression" priority="2202" dxfId="2">
      <formula>AND(IF($Q99=2,1,0),IF($X99&lt;30,1,0))</formula>
    </cfRule>
    <cfRule type="expression" priority="2203" dxfId="1">
      <formula>AND(IF($Q99=3,1,0),IF($X99&lt;30,1,0))</formula>
    </cfRule>
    <cfRule type="expression" priority="2204" dxfId="0">
      <formula>AND(IF($Q99=3,1,IF($Q99=4,1,0)),IF($F99&lt;=85,1,0))</formula>
    </cfRule>
  </conditionalFormatting>
  <conditionalFormatting sqref="AI99">
    <cfRule type="expression" priority="2197" dxfId="3">
      <formula>AND(IF(OR($Q99=1,$Q99=2),1,0),IF($X99&lt;=20,1,0))</formula>
    </cfRule>
    <cfRule type="expression" priority="2198" dxfId="2">
      <formula>AND(IF($Q99=2,1,0),IF($X99&lt;30,1,0))</formula>
    </cfRule>
    <cfRule type="expression" priority="2199" dxfId="1">
      <formula>AND(IF($Q99=3,1,0),IF($X99&lt;30,1,0))</formula>
    </cfRule>
    <cfRule type="expression" priority="2200" dxfId="0">
      <formula>AND(IF($Q99=3,1,IF($Q99=4,1,0)),IF($F99&lt;=85,1,0))</formula>
    </cfRule>
  </conditionalFormatting>
  <conditionalFormatting sqref="AV100">
    <cfRule type="expression" priority="2195" dxfId="23">
      <formula>AV100="X"</formula>
    </cfRule>
    <cfRule type="expression" priority="2196" dxfId="22">
      <formula>AV100="후보"</formula>
    </cfRule>
  </conditionalFormatting>
  <conditionalFormatting sqref="AC10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10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100">
    <cfRule type="expression" priority="2187" dxfId="3">
      <formula>AND(IF(OR($Q100=1,$Q100=2),1,0),IF($X100&lt;=20,1,0))</formula>
    </cfRule>
    <cfRule type="expression" priority="2188" dxfId="2">
      <formula>AND(IF($Q100=2,1,0),IF($X100&lt;30,1,0))</formula>
    </cfRule>
    <cfRule type="expression" priority="2189" dxfId="1">
      <formula>AND(IF($Q100=3,1,0),IF($X100&lt;30,1,0))</formula>
    </cfRule>
    <cfRule type="expression" priority="2190" dxfId="0">
      <formula>AND(IF($Q100=3,1,IF($Q100=4,1,0)),IF($F100&lt;=85,1,0))</formula>
    </cfRule>
  </conditionalFormatting>
  <conditionalFormatting sqref="X100">
    <cfRule type="expression" priority="2183" dxfId="3">
      <formula>AND(IF(OR($Q100=1,$Q100=2),1,0),IF($X100&lt;=20,1,0))</formula>
    </cfRule>
    <cfRule type="expression" priority="2184" dxfId="2">
      <formula>AND(IF($Q100=2,1,0),IF($X100&lt;30,1,0))</formula>
    </cfRule>
    <cfRule type="expression" priority="2185" dxfId="1">
      <formula>AND(IF($Q100=3,1,0),IF($X100&lt;30,1,0))</formula>
    </cfRule>
    <cfRule type="expression" priority="2186" dxfId="0">
      <formula>AND(IF($Q100=3,1,IF($Q100=4,1,0)),IF($F100&lt;=85,1,0))</formula>
    </cfRule>
  </conditionalFormatting>
  <conditionalFormatting sqref="AI100">
    <cfRule type="expression" priority="2179" dxfId="3">
      <formula>AND(IF(OR($Q100=1,$Q100=2),1,0),IF($X100&lt;=20,1,0))</formula>
    </cfRule>
    <cfRule type="expression" priority="2180" dxfId="2">
      <formula>AND(IF($Q100=2,1,0),IF($X100&lt;30,1,0))</formula>
    </cfRule>
    <cfRule type="expression" priority="2181" dxfId="1">
      <formula>AND(IF($Q100=3,1,0),IF($X100&lt;30,1,0))</formula>
    </cfRule>
    <cfRule type="expression" priority="2182" dxfId="0">
      <formula>AND(IF($Q100=3,1,IF($Q100=4,1,0)),IF($F100&lt;=85,1,0))</formula>
    </cfRule>
  </conditionalFormatting>
  <conditionalFormatting sqref="AV101">
    <cfRule type="expression" priority="2177" dxfId="23">
      <formula>AV101="X"</formula>
    </cfRule>
    <cfRule type="expression" priority="2178" dxfId="22">
      <formula>AV101="후보"</formula>
    </cfRule>
  </conditionalFormatting>
  <conditionalFormatting sqref="AC10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0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101">
    <cfRule type="expression" priority="2169" dxfId="3">
      <formula>AND(IF(OR($Q101=1,$Q101=2),1,0),IF($X101&lt;=20,1,0))</formula>
    </cfRule>
    <cfRule type="expression" priority="2170" dxfId="2">
      <formula>AND(IF($Q101=2,1,0),IF($X101&lt;30,1,0))</formula>
    </cfRule>
    <cfRule type="expression" priority="2171" dxfId="1">
      <formula>AND(IF($Q101=3,1,0),IF($X101&lt;30,1,0))</formula>
    </cfRule>
    <cfRule type="expression" priority="2172" dxfId="0">
      <formula>AND(IF($Q101=3,1,IF($Q101=4,1,0)),IF($F101&lt;=85,1,0))</formula>
    </cfRule>
  </conditionalFormatting>
  <conditionalFormatting sqref="X101">
    <cfRule type="expression" priority="2165" dxfId="3">
      <formula>AND(IF(OR($Q101=1,$Q101=2),1,0),IF($X101&lt;=20,1,0))</formula>
    </cfRule>
    <cfRule type="expression" priority="2166" dxfId="2">
      <formula>AND(IF($Q101=2,1,0),IF($X101&lt;30,1,0))</formula>
    </cfRule>
    <cfRule type="expression" priority="2167" dxfId="1">
      <formula>AND(IF($Q101=3,1,0),IF($X101&lt;30,1,0))</formula>
    </cfRule>
    <cfRule type="expression" priority="2168" dxfId="0">
      <formula>AND(IF($Q101=3,1,IF($Q101=4,1,0)),IF($F101&lt;=85,1,0))</formula>
    </cfRule>
  </conditionalFormatting>
  <conditionalFormatting sqref="AI101">
    <cfRule type="expression" priority="2161" dxfId="3">
      <formula>AND(IF(OR($Q101=1,$Q101=2),1,0),IF($X101&lt;=20,1,0))</formula>
    </cfRule>
    <cfRule type="expression" priority="2162" dxfId="2">
      <formula>AND(IF($Q101=2,1,0),IF($X101&lt;30,1,0))</formula>
    </cfRule>
    <cfRule type="expression" priority="2163" dxfId="1">
      <formula>AND(IF($Q101=3,1,0),IF($X101&lt;30,1,0))</formula>
    </cfRule>
    <cfRule type="expression" priority="2164" dxfId="0">
      <formula>AND(IF($Q101=3,1,IF($Q101=4,1,0)),IF($F101&lt;=85,1,0))</formula>
    </cfRule>
  </conditionalFormatting>
  <conditionalFormatting sqref="AV102">
    <cfRule type="expression" priority="2159" dxfId="23">
      <formula>AV102="X"</formula>
    </cfRule>
    <cfRule type="expression" priority="2160" dxfId="22">
      <formula>AV102="후보"</formula>
    </cfRule>
  </conditionalFormatting>
  <conditionalFormatting sqref="AC10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0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02">
    <cfRule type="expression" priority="2151" dxfId="3">
      <formula>AND(IF(OR($Q102=1,$Q102=2),1,0),IF($X102&lt;=20,1,0))</formula>
    </cfRule>
    <cfRule type="expression" priority="2152" dxfId="2">
      <formula>AND(IF($Q102=2,1,0),IF($X102&lt;30,1,0))</formula>
    </cfRule>
    <cfRule type="expression" priority="2153" dxfId="1">
      <formula>AND(IF($Q102=3,1,0),IF($X102&lt;30,1,0))</formula>
    </cfRule>
    <cfRule type="expression" priority="2154" dxfId="0">
      <formula>AND(IF($Q102=3,1,IF($Q102=4,1,0)),IF($F102&lt;=85,1,0))</formula>
    </cfRule>
  </conditionalFormatting>
  <conditionalFormatting sqref="X102">
    <cfRule type="expression" priority="2147" dxfId="3">
      <formula>AND(IF(OR($Q102=1,$Q102=2),1,0),IF($X102&lt;=20,1,0))</formula>
    </cfRule>
    <cfRule type="expression" priority="2148" dxfId="2">
      <formula>AND(IF($Q102=2,1,0),IF($X102&lt;30,1,0))</formula>
    </cfRule>
    <cfRule type="expression" priority="2149" dxfId="1">
      <formula>AND(IF($Q102=3,1,0),IF($X102&lt;30,1,0))</formula>
    </cfRule>
    <cfRule type="expression" priority="2150" dxfId="0">
      <formula>AND(IF($Q102=3,1,IF($Q102=4,1,0)),IF($F102&lt;=85,1,0))</formula>
    </cfRule>
  </conditionalFormatting>
  <conditionalFormatting sqref="AI102">
    <cfRule type="expression" priority="2143" dxfId="3">
      <formula>AND(IF(OR($Q102=1,$Q102=2),1,0),IF($X102&lt;=20,1,0))</formula>
    </cfRule>
    <cfRule type="expression" priority="2144" dxfId="2">
      <formula>AND(IF($Q102=2,1,0),IF($X102&lt;30,1,0))</formula>
    </cfRule>
    <cfRule type="expression" priority="2145" dxfId="1">
      <formula>AND(IF($Q102=3,1,0),IF($X102&lt;30,1,0))</formula>
    </cfRule>
    <cfRule type="expression" priority="2146" dxfId="0">
      <formula>AND(IF($Q102=3,1,IF($Q102=4,1,0)),IF($F102&lt;=85,1,0))</formula>
    </cfRule>
  </conditionalFormatting>
  <conditionalFormatting sqref="AV103">
    <cfRule type="expression" priority="2141" dxfId="23">
      <formula>AV103="X"</formula>
    </cfRule>
    <cfRule type="expression" priority="2142" dxfId="22">
      <formula>AV103="후보"</formula>
    </cfRule>
  </conditionalFormatting>
  <conditionalFormatting sqref="AC10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10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103">
    <cfRule type="expression" priority="2133" dxfId="3">
      <formula>AND(IF(OR($Q103=1,$Q103=2),1,0),IF($X103&lt;=20,1,0))</formula>
    </cfRule>
    <cfRule type="expression" priority="2134" dxfId="2">
      <formula>AND(IF($Q103=2,1,0),IF($X103&lt;30,1,0))</formula>
    </cfRule>
    <cfRule type="expression" priority="2135" dxfId="1">
      <formula>AND(IF($Q103=3,1,0),IF($X103&lt;30,1,0))</formula>
    </cfRule>
    <cfRule type="expression" priority="2136" dxfId="0">
      <formula>AND(IF($Q103=3,1,IF($Q103=4,1,0)),IF($F103&lt;=85,1,0))</formula>
    </cfRule>
  </conditionalFormatting>
  <conditionalFormatting sqref="X103">
    <cfRule type="expression" priority="2129" dxfId="3">
      <formula>AND(IF(OR($Q103=1,$Q103=2),1,0),IF($X103&lt;=20,1,0))</formula>
    </cfRule>
    <cfRule type="expression" priority="2130" dxfId="2">
      <formula>AND(IF($Q103=2,1,0),IF($X103&lt;30,1,0))</formula>
    </cfRule>
    <cfRule type="expression" priority="2131" dxfId="1">
      <formula>AND(IF($Q103=3,1,0),IF($X103&lt;30,1,0))</formula>
    </cfRule>
    <cfRule type="expression" priority="2132" dxfId="0">
      <formula>AND(IF($Q103=3,1,IF($Q103=4,1,0)),IF($F103&lt;=85,1,0))</formula>
    </cfRule>
  </conditionalFormatting>
  <conditionalFormatting sqref="AI103">
    <cfRule type="expression" priority="2125" dxfId="3">
      <formula>AND(IF(OR($Q103=1,$Q103=2),1,0),IF($X103&lt;=20,1,0))</formula>
    </cfRule>
    <cfRule type="expression" priority="2126" dxfId="2">
      <formula>AND(IF($Q103=2,1,0),IF($X103&lt;30,1,0))</formula>
    </cfRule>
    <cfRule type="expression" priority="2127" dxfId="1">
      <formula>AND(IF($Q103=3,1,0),IF($X103&lt;30,1,0))</formula>
    </cfRule>
    <cfRule type="expression" priority="2128" dxfId="0">
      <formula>AND(IF($Q103=3,1,IF($Q103=4,1,0)),IF($F103&lt;=85,1,0))</formula>
    </cfRule>
  </conditionalFormatting>
  <conditionalFormatting sqref="AV104">
    <cfRule type="expression" priority="2123" dxfId="23">
      <formula>AV104="X"</formula>
    </cfRule>
    <cfRule type="expression" priority="2124" dxfId="22">
      <formula>AV104="후보"</formula>
    </cfRule>
  </conditionalFormatting>
  <conditionalFormatting sqref="AC10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10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104">
    <cfRule type="expression" priority="2115" dxfId="3">
      <formula>AND(IF(OR($Q104=1,$Q104=2),1,0),IF($X104&lt;=20,1,0))</formula>
    </cfRule>
    <cfRule type="expression" priority="2116" dxfId="2">
      <formula>AND(IF($Q104=2,1,0),IF($X104&lt;30,1,0))</formula>
    </cfRule>
    <cfRule type="expression" priority="2117" dxfId="1">
      <formula>AND(IF($Q104=3,1,0),IF($X104&lt;30,1,0))</formula>
    </cfRule>
    <cfRule type="expression" priority="2118" dxfId="0">
      <formula>AND(IF($Q104=3,1,IF($Q104=4,1,0)),IF($F104&lt;=85,1,0))</formula>
    </cfRule>
  </conditionalFormatting>
  <conditionalFormatting sqref="X104">
    <cfRule type="expression" priority="2111" dxfId="3">
      <formula>AND(IF(OR($Q104=1,$Q104=2),1,0),IF($X104&lt;=20,1,0))</formula>
    </cfRule>
    <cfRule type="expression" priority="2112" dxfId="2">
      <formula>AND(IF($Q104=2,1,0),IF($X104&lt;30,1,0))</formula>
    </cfRule>
    <cfRule type="expression" priority="2113" dxfId="1">
      <formula>AND(IF($Q104=3,1,0),IF($X104&lt;30,1,0))</formula>
    </cfRule>
    <cfRule type="expression" priority="2114" dxfId="0">
      <formula>AND(IF($Q104=3,1,IF($Q104=4,1,0)),IF($F104&lt;=85,1,0))</formula>
    </cfRule>
  </conditionalFormatting>
  <conditionalFormatting sqref="AI104">
    <cfRule type="expression" priority="2107" dxfId="3">
      <formula>AND(IF(OR($Q104=1,$Q104=2),1,0),IF($X104&lt;=20,1,0))</formula>
    </cfRule>
    <cfRule type="expression" priority="2108" dxfId="2">
      <formula>AND(IF($Q104=2,1,0),IF($X104&lt;30,1,0))</formula>
    </cfRule>
    <cfRule type="expression" priority="2109" dxfId="1">
      <formula>AND(IF($Q104=3,1,0),IF($X104&lt;30,1,0))</formula>
    </cfRule>
    <cfRule type="expression" priority="2110" dxfId="0">
      <formula>AND(IF($Q104=3,1,IF($Q104=4,1,0)),IF($F104&lt;=85,1,0))</formula>
    </cfRule>
  </conditionalFormatting>
  <conditionalFormatting sqref="AV105">
    <cfRule type="expression" priority="2105" dxfId="23">
      <formula>AV105="X"</formula>
    </cfRule>
    <cfRule type="expression" priority="2106" dxfId="22">
      <formula>AV105="후보"</formula>
    </cfRule>
  </conditionalFormatting>
  <conditionalFormatting sqref="AC10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0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05">
    <cfRule type="expression" priority="2097" dxfId="3">
      <formula>AND(IF(OR($Q105=1,$Q105=2),1,0),IF($X105&lt;=20,1,0))</formula>
    </cfRule>
    <cfRule type="expression" priority="2098" dxfId="2">
      <formula>AND(IF($Q105=2,1,0),IF($X105&lt;30,1,0))</formula>
    </cfRule>
    <cfRule type="expression" priority="2099" dxfId="1">
      <formula>AND(IF($Q105=3,1,0),IF($X105&lt;30,1,0))</formula>
    </cfRule>
    <cfRule type="expression" priority="2100" dxfId="0">
      <formula>AND(IF($Q105=3,1,IF($Q105=4,1,0)),IF($F105&lt;=85,1,0))</formula>
    </cfRule>
  </conditionalFormatting>
  <conditionalFormatting sqref="X105">
    <cfRule type="expression" priority="2093" dxfId="3">
      <formula>AND(IF(OR($Q105=1,$Q105=2),1,0),IF($X105&lt;=20,1,0))</formula>
    </cfRule>
    <cfRule type="expression" priority="2094" dxfId="2">
      <formula>AND(IF($Q105=2,1,0),IF($X105&lt;30,1,0))</formula>
    </cfRule>
    <cfRule type="expression" priority="2095" dxfId="1">
      <formula>AND(IF($Q105=3,1,0),IF($X105&lt;30,1,0))</formula>
    </cfRule>
    <cfRule type="expression" priority="2096" dxfId="0">
      <formula>AND(IF($Q105=3,1,IF($Q105=4,1,0)),IF($F105&lt;=85,1,0))</formula>
    </cfRule>
  </conditionalFormatting>
  <conditionalFormatting sqref="AI105">
    <cfRule type="expression" priority="2089" dxfId="3">
      <formula>AND(IF(OR($Q105=1,$Q105=2),1,0),IF($X105&lt;=20,1,0))</formula>
    </cfRule>
    <cfRule type="expression" priority="2090" dxfId="2">
      <formula>AND(IF($Q105=2,1,0),IF($X105&lt;30,1,0))</formula>
    </cfRule>
    <cfRule type="expression" priority="2091" dxfId="1">
      <formula>AND(IF($Q105=3,1,0),IF($X105&lt;30,1,0))</formula>
    </cfRule>
    <cfRule type="expression" priority="2092" dxfId="0">
      <formula>AND(IF($Q105=3,1,IF($Q105=4,1,0)),IF($F105&lt;=85,1,0))</formula>
    </cfRule>
  </conditionalFormatting>
  <conditionalFormatting sqref="AV106">
    <cfRule type="expression" priority="2087" dxfId="23">
      <formula>AV106="X"</formula>
    </cfRule>
    <cfRule type="expression" priority="2088" dxfId="22">
      <formula>AV106="후보"</formula>
    </cfRule>
  </conditionalFormatting>
  <conditionalFormatting sqref="AC10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0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06">
    <cfRule type="expression" priority="2079" dxfId="3">
      <formula>AND(IF(OR($Q106=1,$Q106=2),1,0),IF($X106&lt;=20,1,0))</formula>
    </cfRule>
    <cfRule type="expression" priority="2080" dxfId="2">
      <formula>AND(IF($Q106=2,1,0),IF($X106&lt;30,1,0))</formula>
    </cfRule>
    <cfRule type="expression" priority="2081" dxfId="1">
      <formula>AND(IF($Q106=3,1,0),IF($X106&lt;30,1,0))</formula>
    </cfRule>
    <cfRule type="expression" priority="2082" dxfId="0">
      <formula>AND(IF($Q106=3,1,IF($Q106=4,1,0)),IF($F106&lt;=85,1,0))</formula>
    </cfRule>
  </conditionalFormatting>
  <conditionalFormatting sqref="X106">
    <cfRule type="expression" priority="2075" dxfId="3">
      <formula>AND(IF(OR($Q106=1,$Q106=2),1,0),IF($X106&lt;=20,1,0))</formula>
    </cfRule>
    <cfRule type="expression" priority="2076" dxfId="2">
      <formula>AND(IF($Q106=2,1,0),IF($X106&lt;30,1,0))</formula>
    </cfRule>
    <cfRule type="expression" priority="2077" dxfId="1">
      <formula>AND(IF($Q106=3,1,0),IF($X106&lt;30,1,0))</formula>
    </cfRule>
    <cfRule type="expression" priority="2078" dxfId="0">
      <formula>AND(IF($Q106=3,1,IF($Q106=4,1,0)),IF($F106&lt;=85,1,0))</formula>
    </cfRule>
  </conditionalFormatting>
  <conditionalFormatting sqref="AI106">
    <cfRule type="expression" priority="2071" dxfId="3">
      <formula>AND(IF(OR($Q106=1,$Q106=2),1,0),IF($X106&lt;=20,1,0))</formula>
    </cfRule>
    <cfRule type="expression" priority="2072" dxfId="2">
      <formula>AND(IF($Q106=2,1,0),IF($X106&lt;30,1,0))</formula>
    </cfRule>
    <cfRule type="expression" priority="2073" dxfId="1">
      <formula>AND(IF($Q106=3,1,0),IF($X106&lt;30,1,0))</formula>
    </cfRule>
    <cfRule type="expression" priority="2074" dxfId="0">
      <formula>AND(IF($Q106=3,1,IF($Q106=4,1,0)),IF($F106&lt;=85,1,0))</formula>
    </cfRule>
  </conditionalFormatting>
  <conditionalFormatting sqref="AV107">
    <cfRule type="expression" priority="2069" dxfId="23">
      <formula>AV107="X"</formula>
    </cfRule>
    <cfRule type="expression" priority="2070" dxfId="22">
      <formula>AV107="후보"</formula>
    </cfRule>
  </conditionalFormatting>
  <conditionalFormatting sqref="AC10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10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107">
    <cfRule type="expression" priority="2061" dxfId="3">
      <formula>AND(IF(OR($Q107=1,$Q107=2),1,0),IF($X107&lt;=20,1,0))</formula>
    </cfRule>
    <cfRule type="expression" priority="2062" dxfId="2">
      <formula>AND(IF($Q107=2,1,0),IF($X107&lt;30,1,0))</formula>
    </cfRule>
    <cfRule type="expression" priority="2063" dxfId="1">
      <formula>AND(IF($Q107=3,1,0),IF($X107&lt;30,1,0))</formula>
    </cfRule>
    <cfRule type="expression" priority="2064" dxfId="0">
      <formula>AND(IF($Q107=3,1,IF($Q107=4,1,0)),IF($F107&lt;=85,1,0))</formula>
    </cfRule>
  </conditionalFormatting>
  <conditionalFormatting sqref="X107">
    <cfRule type="expression" priority="2057" dxfId="3">
      <formula>AND(IF(OR($Q107=1,$Q107=2),1,0),IF($X107&lt;=20,1,0))</formula>
    </cfRule>
    <cfRule type="expression" priority="2058" dxfId="2">
      <formula>AND(IF($Q107=2,1,0),IF($X107&lt;30,1,0))</formula>
    </cfRule>
    <cfRule type="expression" priority="2059" dxfId="1">
      <formula>AND(IF($Q107=3,1,0),IF($X107&lt;30,1,0))</formula>
    </cfRule>
    <cfRule type="expression" priority="2060" dxfId="0">
      <formula>AND(IF($Q107=3,1,IF($Q107=4,1,0)),IF($F107&lt;=85,1,0))</formula>
    </cfRule>
  </conditionalFormatting>
  <conditionalFormatting sqref="AI107">
    <cfRule type="expression" priority="2053" dxfId="3">
      <formula>AND(IF(OR($Q107=1,$Q107=2),1,0),IF($X107&lt;=20,1,0))</formula>
    </cfRule>
    <cfRule type="expression" priority="2054" dxfId="2">
      <formula>AND(IF($Q107=2,1,0),IF($X107&lt;30,1,0))</formula>
    </cfRule>
    <cfRule type="expression" priority="2055" dxfId="1">
      <formula>AND(IF($Q107=3,1,0),IF($X107&lt;30,1,0))</formula>
    </cfRule>
    <cfRule type="expression" priority="2056" dxfId="0">
      <formula>AND(IF($Q107=3,1,IF($Q107=4,1,0)),IF($F107&lt;=85,1,0))</formula>
    </cfRule>
  </conditionalFormatting>
  <conditionalFormatting sqref="AV108">
    <cfRule type="expression" priority="2051" dxfId="23">
      <formula>AV108="X"</formula>
    </cfRule>
    <cfRule type="expression" priority="2052" dxfId="22">
      <formula>AV108="후보"</formula>
    </cfRule>
  </conditionalFormatting>
  <conditionalFormatting sqref="AC10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0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08">
    <cfRule type="expression" priority="2043" dxfId="3">
      <formula>AND(IF(OR($Q108=1,$Q108=2),1,0),IF($X108&lt;=20,1,0))</formula>
    </cfRule>
    <cfRule type="expression" priority="2044" dxfId="2">
      <formula>AND(IF($Q108=2,1,0),IF($X108&lt;30,1,0))</formula>
    </cfRule>
    <cfRule type="expression" priority="2045" dxfId="1">
      <formula>AND(IF($Q108=3,1,0),IF($X108&lt;30,1,0))</formula>
    </cfRule>
    <cfRule type="expression" priority="2046" dxfId="0">
      <formula>AND(IF($Q108=3,1,IF($Q108=4,1,0)),IF($F108&lt;=85,1,0))</formula>
    </cfRule>
  </conditionalFormatting>
  <conditionalFormatting sqref="X108">
    <cfRule type="expression" priority="2039" dxfId="3">
      <formula>AND(IF(OR($Q108=1,$Q108=2),1,0),IF($X108&lt;=20,1,0))</formula>
    </cfRule>
    <cfRule type="expression" priority="2040" dxfId="2">
      <formula>AND(IF($Q108=2,1,0),IF($X108&lt;30,1,0))</formula>
    </cfRule>
    <cfRule type="expression" priority="2041" dxfId="1">
      <formula>AND(IF($Q108=3,1,0),IF($X108&lt;30,1,0))</formula>
    </cfRule>
    <cfRule type="expression" priority="2042" dxfId="0">
      <formula>AND(IF($Q108=3,1,IF($Q108=4,1,0)),IF($F108&lt;=85,1,0))</formula>
    </cfRule>
  </conditionalFormatting>
  <conditionalFormatting sqref="AI108">
    <cfRule type="expression" priority="2035" dxfId="3">
      <formula>AND(IF(OR($Q108=1,$Q108=2),1,0),IF($X108&lt;=20,1,0))</formula>
    </cfRule>
    <cfRule type="expression" priority="2036" dxfId="2">
      <formula>AND(IF($Q108=2,1,0),IF($X108&lt;30,1,0))</formula>
    </cfRule>
    <cfRule type="expression" priority="2037" dxfId="1">
      <formula>AND(IF($Q108=3,1,0),IF($X108&lt;30,1,0))</formula>
    </cfRule>
    <cfRule type="expression" priority="2038" dxfId="0">
      <formula>AND(IF($Q108=3,1,IF($Q108=4,1,0)),IF($F108&lt;=85,1,0))</formula>
    </cfRule>
  </conditionalFormatting>
  <conditionalFormatting sqref="AV109">
    <cfRule type="expression" priority="2033" dxfId="23">
      <formula>AV109="X"</formula>
    </cfRule>
    <cfRule type="expression" priority="2034" dxfId="22">
      <formula>AV109="후보"</formula>
    </cfRule>
  </conditionalFormatting>
  <conditionalFormatting sqref="AC10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10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109">
    <cfRule type="expression" priority="2025" dxfId="3">
      <formula>AND(IF(OR($Q109=1,$Q109=2),1,0),IF($X109&lt;=20,1,0))</formula>
    </cfRule>
    <cfRule type="expression" priority="2026" dxfId="2">
      <formula>AND(IF($Q109=2,1,0),IF($X109&lt;30,1,0))</formula>
    </cfRule>
    <cfRule type="expression" priority="2027" dxfId="1">
      <formula>AND(IF($Q109=3,1,0),IF($X109&lt;30,1,0))</formula>
    </cfRule>
    <cfRule type="expression" priority="2028" dxfId="0">
      <formula>AND(IF($Q109=3,1,IF($Q109=4,1,0)),IF($F109&lt;=85,1,0))</formula>
    </cfRule>
  </conditionalFormatting>
  <conditionalFormatting sqref="X109">
    <cfRule type="expression" priority="2021" dxfId="3">
      <formula>AND(IF(OR($Q109=1,$Q109=2),1,0),IF($X109&lt;=20,1,0))</formula>
    </cfRule>
    <cfRule type="expression" priority="2022" dxfId="2">
      <formula>AND(IF($Q109=2,1,0),IF($X109&lt;30,1,0))</formula>
    </cfRule>
    <cfRule type="expression" priority="2023" dxfId="1">
      <formula>AND(IF($Q109=3,1,0),IF($X109&lt;30,1,0))</formula>
    </cfRule>
    <cfRule type="expression" priority="2024" dxfId="0">
      <formula>AND(IF($Q109=3,1,IF($Q109=4,1,0)),IF($F109&lt;=85,1,0))</formula>
    </cfRule>
  </conditionalFormatting>
  <conditionalFormatting sqref="AI109">
    <cfRule type="expression" priority="2017" dxfId="3">
      <formula>AND(IF(OR($Q109=1,$Q109=2),1,0),IF($X109&lt;=20,1,0))</formula>
    </cfRule>
    <cfRule type="expression" priority="2018" dxfId="2">
      <formula>AND(IF($Q109=2,1,0),IF($X109&lt;30,1,0))</formula>
    </cfRule>
    <cfRule type="expression" priority="2019" dxfId="1">
      <formula>AND(IF($Q109=3,1,0),IF($X109&lt;30,1,0))</formula>
    </cfRule>
    <cfRule type="expression" priority="2020" dxfId="0">
      <formula>AND(IF($Q109=3,1,IF($Q109=4,1,0)),IF($F109&lt;=85,1,0))</formula>
    </cfRule>
  </conditionalFormatting>
  <conditionalFormatting sqref="AV110">
    <cfRule type="expression" priority="2015" dxfId="23">
      <formula>AV110="X"</formula>
    </cfRule>
    <cfRule type="expression" priority="2016" dxfId="22">
      <formula>AV110="후보"</formula>
    </cfRule>
  </conditionalFormatting>
  <conditionalFormatting sqref="AC11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11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110">
    <cfRule type="expression" priority="2007" dxfId="3">
      <formula>AND(IF(OR($Q110=1,$Q110=2),1,0),IF($X110&lt;=20,1,0))</formula>
    </cfRule>
    <cfRule type="expression" priority="2008" dxfId="2">
      <formula>AND(IF($Q110=2,1,0),IF($X110&lt;30,1,0))</formula>
    </cfRule>
    <cfRule type="expression" priority="2009" dxfId="1">
      <formula>AND(IF($Q110=3,1,0),IF($X110&lt;30,1,0))</formula>
    </cfRule>
    <cfRule type="expression" priority="2010" dxfId="0">
      <formula>AND(IF($Q110=3,1,IF($Q110=4,1,0)),IF($F110&lt;=85,1,0))</formula>
    </cfRule>
  </conditionalFormatting>
  <conditionalFormatting sqref="X110">
    <cfRule type="expression" priority="2003" dxfId="3">
      <formula>AND(IF(OR($Q110=1,$Q110=2),1,0),IF($X110&lt;=20,1,0))</formula>
    </cfRule>
    <cfRule type="expression" priority="2004" dxfId="2">
      <formula>AND(IF($Q110=2,1,0),IF($X110&lt;30,1,0))</formula>
    </cfRule>
    <cfRule type="expression" priority="2005" dxfId="1">
      <formula>AND(IF($Q110=3,1,0),IF($X110&lt;30,1,0))</formula>
    </cfRule>
    <cfRule type="expression" priority="2006" dxfId="0">
      <formula>AND(IF($Q110=3,1,IF($Q110=4,1,0)),IF($F110&lt;=85,1,0))</formula>
    </cfRule>
  </conditionalFormatting>
  <conditionalFormatting sqref="AI110">
    <cfRule type="expression" priority="1999" dxfId="3">
      <formula>AND(IF(OR($Q110=1,$Q110=2),1,0),IF($X110&lt;=20,1,0))</formula>
    </cfRule>
    <cfRule type="expression" priority="2000" dxfId="2">
      <formula>AND(IF($Q110=2,1,0),IF($X110&lt;30,1,0))</formula>
    </cfRule>
    <cfRule type="expression" priority="2001" dxfId="1">
      <formula>AND(IF($Q110=3,1,0),IF($X110&lt;30,1,0))</formula>
    </cfRule>
    <cfRule type="expression" priority="2002" dxfId="0">
      <formula>AND(IF($Q110=3,1,IF($Q110=4,1,0)),IF($F110&lt;=85,1,0))</formula>
    </cfRule>
  </conditionalFormatting>
  <conditionalFormatting sqref="AV111">
    <cfRule type="expression" priority="1997" dxfId="23">
      <formula>AV111="X"</formula>
    </cfRule>
    <cfRule type="expression" priority="1998" dxfId="22">
      <formula>AV111="후보"</formula>
    </cfRule>
  </conditionalFormatting>
  <conditionalFormatting sqref="AC11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1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11">
    <cfRule type="expression" priority="1989" dxfId="3">
      <formula>AND(IF(OR($Q111=1,$Q111=2),1,0),IF($X111&lt;=20,1,0))</formula>
    </cfRule>
    <cfRule type="expression" priority="1990" dxfId="2">
      <formula>AND(IF($Q111=2,1,0),IF($X111&lt;30,1,0))</formula>
    </cfRule>
    <cfRule type="expression" priority="1991" dxfId="1">
      <formula>AND(IF($Q111=3,1,0),IF($X111&lt;30,1,0))</formula>
    </cfRule>
    <cfRule type="expression" priority="1992" dxfId="0">
      <formula>AND(IF($Q111=3,1,IF($Q111=4,1,0)),IF($F111&lt;=85,1,0))</formula>
    </cfRule>
  </conditionalFormatting>
  <conditionalFormatting sqref="X111">
    <cfRule type="expression" priority="1985" dxfId="3">
      <formula>AND(IF(OR($Q111=1,$Q111=2),1,0),IF($X111&lt;=20,1,0))</formula>
    </cfRule>
    <cfRule type="expression" priority="1986" dxfId="2">
      <formula>AND(IF($Q111=2,1,0),IF($X111&lt;30,1,0))</formula>
    </cfRule>
    <cfRule type="expression" priority="1987" dxfId="1">
      <formula>AND(IF($Q111=3,1,0),IF($X111&lt;30,1,0))</formula>
    </cfRule>
    <cfRule type="expression" priority="1988" dxfId="0">
      <formula>AND(IF($Q111=3,1,IF($Q111=4,1,0)),IF($F111&lt;=85,1,0))</formula>
    </cfRule>
  </conditionalFormatting>
  <conditionalFormatting sqref="AI111">
    <cfRule type="expression" priority="1981" dxfId="3">
      <formula>AND(IF(OR($Q111=1,$Q111=2),1,0),IF($X111&lt;=20,1,0))</formula>
    </cfRule>
    <cfRule type="expression" priority="1982" dxfId="2">
      <formula>AND(IF($Q111=2,1,0),IF($X111&lt;30,1,0))</formula>
    </cfRule>
    <cfRule type="expression" priority="1983" dxfId="1">
      <formula>AND(IF($Q111=3,1,0),IF($X111&lt;30,1,0))</formula>
    </cfRule>
    <cfRule type="expression" priority="1984" dxfId="0">
      <formula>AND(IF($Q111=3,1,IF($Q111=4,1,0)),IF($F111&lt;=85,1,0))</formula>
    </cfRule>
  </conditionalFormatting>
  <conditionalFormatting sqref="AV112">
    <cfRule type="expression" priority="1979" dxfId="23">
      <formula>AV112="X"</formula>
    </cfRule>
    <cfRule type="expression" priority="1980" dxfId="22">
      <formula>AV112="후보"</formula>
    </cfRule>
  </conditionalFormatting>
  <conditionalFormatting sqref="AC11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11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112">
    <cfRule type="expression" priority="1971" dxfId="3">
      <formula>AND(IF(OR($Q112=1,$Q112=2),1,0),IF($X112&lt;=20,1,0))</formula>
    </cfRule>
    <cfRule type="expression" priority="1972" dxfId="2">
      <formula>AND(IF($Q112=2,1,0),IF($X112&lt;30,1,0))</formula>
    </cfRule>
    <cfRule type="expression" priority="1973" dxfId="1">
      <formula>AND(IF($Q112=3,1,0),IF($X112&lt;30,1,0))</formula>
    </cfRule>
    <cfRule type="expression" priority="1974" dxfId="0">
      <formula>AND(IF($Q112=3,1,IF($Q112=4,1,0)),IF($F112&lt;=85,1,0))</formula>
    </cfRule>
  </conditionalFormatting>
  <conditionalFormatting sqref="X112">
    <cfRule type="expression" priority="1967" dxfId="3">
      <formula>AND(IF(OR($Q112=1,$Q112=2),1,0),IF($X112&lt;=20,1,0))</formula>
    </cfRule>
    <cfRule type="expression" priority="1968" dxfId="2">
      <formula>AND(IF($Q112=2,1,0),IF($X112&lt;30,1,0))</formula>
    </cfRule>
    <cfRule type="expression" priority="1969" dxfId="1">
      <formula>AND(IF($Q112=3,1,0),IF($X112&lt;30,1,0))</formula>
    </cfRule>
    <cfRule type="expression" priority="1970" dxfId="0">
      <formula>AND(IF($Q112=3,1,IF($Q112=4,1,0)),IF($F112&lt;=85,1,0))</formula>
    </cfRule>
  </conditionalFormatting>
  <conditionalFormatting sqref="AI112">
    <cfRule type="expression" priority="1963" dxfId="3">
      <formula>AND(IF(OR($Q112=1,$Q112=2),1,0),IF($X112&lt;=20,1,0))</formula>
    </cfRule>
    <cfRule type="expression" priority="1964" dxfId="2">
      <formula>AND(IF($Q112=2,1,0),IF($X112&lt;30,1,0))</formula>
    </cfRule>
    <cfRule type="expression" priority="1965" dxfId="1">
      <formula>AND(IF($Q112=3,1,0),IF($X112&lt;30,1,0))</formula>
    </cfRule>
    <cfRule type="expression" priority="1966" dxfId="0">
      <formula>AND(IF($Q112=3,1,IF($Q112=4,1,0)),IF($F112&lt;=85,1,0))</formula>
    </cfRule>
  </conditionalFormatting>
  <conditionalFormatting sqref="AV113">
    <cfRule type="expression" priority="1961" dxfId="23">
      <formula>AV113="X"</formula>
    </cfRule>
    <cfRule type="expression" priority="1962" dxfId="22">
      <formula>AV113="후보"</formula>
    </cfRule>
  </conditionalFormatting>
  <conditionalFormatting sqref="AC11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11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113">
    <cfRule type="expression" priority="1953" dxfId="3">
      <formula>AND(IF(OR($Q113=1,$Q113=2),1,0),IF($X113&lt;=20,1,0))</formula>
    </cfRule>
    <cfRule type="expression" priority="1954" dxfId="2">
      <formula>AND(IF($Q113=2,1,0),IF($X113&lt;30,1,0))</formula>
    </cfRule>
    <cfRule type="expression" priority="1955" dxfId="1">
      <formula>AND(IF($Q113=3,1,0),IF($X113&lt;30,1,0))</formula>
    </cfRule>
    <cfRule type="expression" priority="1956" dxfId="0">
      <formula>AND(IF($Q113=3,1,IF($Q113=4,1,0)),IF($F113&lt;=85,1,0))</formula>
    </cfRule>
  </conditionalFormatting>
  <conditionalFormatting sqref="X113">
    <cfRule type="expression" priority="1949" dxfId="3">
      <formula>AND(IF(OR($Q113=1,$Q113=2),1,0),IF($X113&lt;=20,1,0))</formula>
    </cfRule>
    <cfRule type="expression" priority="1950" dxfId="2">
      <formula>AND(IF($Q113=2,1,0),IF($X113&lt;30,1,0))</formula>
    </cfRule>
    <cfRule type="expression" priority="1951" dxfId="1">
      <formula>AND(IF($Q113=3,1,0),IF($X113&lt;30,1,0))</formula>
    </cfRule>
    <cfRule type="expression" priority="1952" dxfId="0">
      <formula>AND(IF($Q113=3,1,IF($Q113=4,1,0)),IF($F113&lt;=85,1,0))</formula>
    </cfRule>
  </conditionalFormatting>
  <conditionalFormatting sqref="AI113">
    <cfRule type="expression" priority="1945" dxfId="3">
      <formula>AND(IF(OR($Q113=1,$Q113=2),1,0),IF($X113&lt;=20,1,0))</formula>
    </cfRule>
    <cfRule type="expression" priority="1946" dxfId="2">
      <formula>AND(IF($Q113=2,1,0),IF($X113&lt;30,1,0))</formula>
    </cfRule>
    <cfRule type="expression" priority="1947" dxfId="1">
      <formula>AND(IF($Q113=3,1,0),IF($X113&lt;30,1,0))</formula>
    </cfRule>
    <cfRule type="expression" priority="1948" dxfId="0">
      <formula>AND(IF($Q113=3,1,IF($Q113=4,1,0)),IF($F113&lt;=85,1,0))</formula>
    </cfRule>
  </conditionalFormatting>
  <conditionalFormatting sqref="AV114">
    <cfRule type="expression" priority="1943" dxfId="23">
      <formula>AV114="X"</formula>
    </cfRule>
    <cfRule type="expression" priority="1944" dxfId="22">
      <formula>AV114="후보"</formula>
    </cfRule>
  </conditionalFormatting>
  <conditionalFormatting sqref="AC11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11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114">
    <cfRule type="expression" priority="1935" dxfId="3">
      <formula>AND(IF(OR($Q114=1,$Q114=2),1,0),IF($X114&lt;=20,1,0))</formula>
    </cfRule>
    <cfRule type="expression" priority="1936" dxfId="2">
      <formula>AND(IF($Q114=2,1,0),IF($X114&lt;30,1,0))</formula>
    </cfRule>
    <cfRule type="expression" priority="1937" dxfId="1">
      <formula>AND(IF($Q114=3,1,0),IF($X114&lt;30,1,0))</formula>
    </cfRule>
    <cfRule type="expression" priority="1938" dxfId="0">
      <formula>AND(IF($Q114=3,1,IF($Q114=4,1,0)),IF($F114&lt;=85,1,0))</formula>
    </cfRule>
  </conditionalFormatting>
  <conditionalFormatting sqref="X114">
    <cfRule type="expression" priority="1931" dxfId="3">
      <formula>AND(IF(OR($Q114=1,$Q114=2),1,0),IF($X114&lt;=20,1,0))</formula>
    </cfRule>
    <cfRule type="expression" priority="1932" dxfId="2">
      <formula>AND(IF($Q114=2,1,0),IF($X114&lt;30,1,0))</formula>
    </cfRule>
    <cfRule type="expression" priority="1933" dxfId="1">
      <formula>AND(IF($Q114=3,1,0),IF($X114&lt;30,1,0))</formula>
    </cfRule>
    <cfRule type="expression" priority="1934" dxfId="0">
      <formula>AND(IF($Q114=3,1,IF($Q114=4,1,0)),IF($F114&lt;=85,1,0))</formula>
    </cfRule>
  </conditionalFormatting>
  <conditionalFormatting sqref="AI114">
    <cfRule type="expression" priority="1927" dxfId="3">
      <formula>AND(IF(OR($Q114=1,$Q114=2),1,0),IF($X114&lt;=20,1,0))</formula>
    </cfRule>
    <cfRule type="expression" priority="1928" dxfId="2">
      <formula>AND(IF($Q114=2,1,0),IF($X114&lt;30,1,0))</formula>
    </cfRule>
    <cfRule type="expression" priority="1929" dxfId="1">
      <formula>AND(IF($Q114=3,1,0),IF($X114&lt;30,1,0))</formula>
    </cfRule>
    <cfRule type="expression" priority="1930" dxfId="0">
      <formula>AND(IF($Q114=3,1,IF($Q114=4,1,0)),IF($F114&lt;=85,1,0))</formula>
    </cfRule>
  </conditionalFormatting>
  <conditionalFormatting sqref="AV115">
    <cfRule type="expression" priority="1925" dxfId="23">
      <formula>AV115="X"</formula>
    </cfRule>
    <cfRule type="expression" priority="1926" dxfId="22">
      <formula>AV115="후보"</formula>
    </cfRule>
  </conditionalFormatting>
  <conditionalFormatting sqref="AC11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1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15">
    <cfRule type="expression" priority="1917" dxfId="3">
      <formula>AND(IF(OR($Q115=1,$Q115=2),1,0),IF($X115&lt;=20,1,0))</formula>
    </cfRule>
    <cfRule type="expression" priority="1918" dxfId="2">
      <formula>AND(IF($Q115=2,1,0),IF($X115&lt;30,1,0))</formula>
    </cfRule>
    <cfRule type="expression" priority="1919" dxfId="1">
      <formula>AND(IF($Q115=3,1,0),IF($X115&lt;30,1,0))</formula>
    </cfRule>
    <cfRule type="expression" priority="1920" dxfId="0">
      <formula>AND(IF($Q115=3,1,IF($Q115=4,1,0)),IF($F115&lt;=85,1,0))</formula>
    </cfRule>
  </conditionalFormatting>
  <conditionalFormatting sqref="X115">
    <cfRule type="expression" priority="1913" dxfId="3">
      <formula>AND(IF(OR($Q115=1,$Q115=2),1,0),IF($X115&lt;=20,1,0))</formula>
    </cfRule>
    <cfRule type="expression" priority="1914" dxfId="2">
      <formula>AND(IF($Q115=2,1,0),IF($X115&lt;30,1,0))</formula>
    </cfRule>
    <cfRule type="expression" priority="1915" dxfId="1">
      <formula>AND(IF($Q115=3,1,0),IF($X115&lt;30,1,0))</formula>
    </cfRule>
    <cfRule type="expression" priority="1916" dxfId="0">
      <formula>AND(IF($Q115=3,1,IF($Q115=4,1,0)),IF($F115&lt;=85,1,0))</formula>
    </cfRule>
  </conditionalFormatting>
  <conditionalFormatting sqref="AI115">
    <cfRule type="expression" priority="1909" dxfId="3">
      <formula>AND(IF(OR($Q115=1,$Q115=2),1,0),IF($X115&lt;=20,1,0))</formula>
    </cfRule>
    <cfRule type="expression" priority="1910" dxfId="2">
      <formula>AND(IF($Q115=2,1,0),IF($X115&lt;30,1,0))</formula>
    </cfRule>
    <cfRule type="expression" priority="1911" dxfId="1">
      <formula>AND(IF($Q115=3,1,0),IF($X115&lt;30,1,0))</formula>
    </cfRule>
    <cfRule type="expression" priority="1912" dxfId="0">
      <formula>AND(IF($Q115=3,1,IF($Q115=4,1,0)),IF($F115&lt;=85,1,0))</formula>
    </cfRule>
  </conditionalFormatting>
  <conditionalFormatting sqref="AV116">
    <cfRule type="expression" priority="1907" dxfId="23">
      <formula>AV116="X"</formula>
    </cfRule>
    <cfRule type="expression" priority="1908" dxfId="22">
      <formula>AV116="후보"</formula>
    </cfRule>
  </conditionalFormatting>
  <conditionalFormatting sqref="AC11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11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116">
    <cfRule type="expression" priority="1899" dxfId="3">
      <formula>AND(IF(OR($Q116=1,$Q116=2),1,0),IF($X116&lt;=20,1,0))</formula>
    </cfRule>
    <cfRule type="expression" priority="1900" dxfId="2">
      <formula>AND(IF($Q116=2,1,0),IF($X116&lt;30,1,0))</formula>
    </cfRule>
    <cfRule type="expression" priority="1901" dxfId="1">
      <formula>AND(IF($Q116=3,1,0),IF($X116&lt;30,1,0))</formula>
    </cfRule>
    <cfRule type="expression" priority="1902" dxfId="0">
      <formula>AND(IF($Q116=3,1,IF($Q116=4,1,0)),IF($F116&lt;=85,1,0))</formula>
    </cfRule>
  </conditionalFormatting>
  <conditionalFormatting sqref="X116">
    <cfRule type="expression" priority="1895" dxfId="3">
      <formula>AND(IF(OR($Q116=1,$Q116=2),1,0),IF($X116&lt;=20,1,0))</formula>
    </cfRule>
    <cfRule type="expression" priority="1896" dxfId="2">
      <formula>AND(IF($Q116=2,1,0),IF($X116&lt;30,1,0))</formula>
    </cfRule>
    <cfRule type="expression" priority="1897" dxfId="1">
      <formula>AND(IF($Q116=3,1,0),IF($X116&lt;30,1,0))</formula>
    </cfRule>
    <cfRule type="expression" priority="1898" dxfId="0">
      <formula>AND(IF($Q116=3,1,IF($Q116=4,1,0)),IF($F116&lt;=85,1,0))</formula>
    </cfRule>
  </conditionalFormatting>
  <conditionalFormatting sqref="AI116">
    <cfRule type="expression" priority="1891" dxfId="3">
      <formula>AND(IF(OR($Q116=1,$Q116=2),1,0),IF($X116&lt;=20,1,0))</formula>
    </cfRule>
    <cfRule type="expression" priority="1892" dxfId="2">
      <formula>AND(IF($Q116=2,1,0),IF($X116&lt;30,1,0))</formula>
    </cfRule>
    <cfRule type="expression" priority="1893" dxfId="1">
      <formula>AND(IF($Q116=3,1,0),IF($X116&lt;30,1,0))</formula>
    </cfRule>
    <cfRule type="expression" priority="1894" dxfId="0">
      <formula>AND(IF($Q116=3,1,IF($Q116=4,1,0)),IF($F116&lt;=85,1,0))</formula>
    </cfRule>
  </conditionalFormatting>
  <conditionalFormatting sqref="AV117">
    <cfRule type="expression" priority="1889" dxfId="23">
      <formula>AV117="X"</formula>
    </cfRule>
    <cfRule type="expression" priority="1890" dxfId="22">
      <formula>AV117="후보"</formula>
    </cfRule>
  </conditionalFormatting>
  <conditionalFormatting sqref="AC11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1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17">
    <cfRule type="expression" priority="1881" dxfId="3">
      <formula>AND(IF(OR($Q117=1,$Q117=2),1,0),IF($X117&lt;=20,1,0))</formula>
    </cfRule>
    <cfRule type="expression" priority="1882" dxfId="2">
      <formula>AND(IF($Q117=2,1,0),IF($X117&lt;30,1,0))</formula>
    </cfRule>
    <cfRule type="expression" priority="1883" dxfId="1">
      <formula>AND(IF($Q117=3,1,0),IF($X117&lt;30,1,0))</formula>
    </cfRule>
    <cfRule type="expression" priority="1884" dxfId="0">
      <formula>AND(IF($Q117=3,1,IF($Q117=4,1,0)),IF($F117&lt;=85,1,0))</formula>
    </cfRule>
  </conditionalFormatting>
  <conditionalFormatting sqref="X117">
    <cfRule type="expression" priority="1877" dxfId="3">
      <formula>AND(IF(OR($Q117=1,$Q117=2),1,0),IF($X117&lt;=20,1,0))</formula>
    </cfRule>
    <cfRule type="expression" priority="1878" dxfId="2">
      <formula>AND(IF($Q117=2,1,0),IF($X117&lt;30,1,0))</formula>
    </cfRule>
    <cfRule type="expression" priority="1879" dxfId="1">
      <formula>AND(IF($Q117=3,1,0),IF($X117&lt;30,1,0))</formula>
    </cfRule>
    <cfRule type="expression" priority="1880" dxfId="0">
      <formula>AND(IF($Q117=3,1,IF($Q117=4,1,0)),IF($F117&lt;=85,1,0))</formula>
    </cfRule>
  </conditionalFormatting>
  <conditionalFormatting sqref="AI117">
    <cfRule type="expression" priority="1873" dxfId="3">
      <formula>AND(IF(OR($Q117=1,$Q117=2),1,0),IF($X117&lt;=20,1,0))</formula>
    </cfRule>
    <cfRule type="expression" priority="1874" dxfId="2">
      <formula>AND(IF($Q117=2,1,0),IF($X117&lt;30,1,0))</formula>
    </cfRule>
    <cfRule type="expression" priority="1875" dxfId="1">
      <formula>AND(IF($Q117=3,1,0),IF($X117&lt;30,1,0))</formula>
    </cfRule>
    <cfRule type="expression" priority="1876" dxfId="0">
      <formula>AND(IF($Q117=3,1,IF($Q117=4,1,0)),IF($F117&lt;=85,1,0))</formula>
    </cfRule>
  </conditionalFormatting>
  <conditionalFormatting sqref="AV118">
    <cfRule type="expression" priority="1871" dxfId="23">
      <formula>AV118="X"</formula>
    </cfRule>
    <cfRule type="expression" priority="1872" dxfId="22">
      <formula>AV118="후보"</formula>
    </cfRule>
  </conditionalFormatting>
  <conditionalFormatting sqref="AC11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11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118">
    <cfRule type="expression" priority="1863" dxfId="3">
      <formula>AND(IF(OR($Q118=1,$Q118=2),1,0),IF($X118&lt;=20,1,0))</formula>
    </cfRule>
    <cfRule type="expression" priority="1864" dxfId="2">
      <formula>AND(IF($Q118=2,1,0),IF($X118&lt;30,1,0))</formula>
    </cfRule>
    <cfRule type="expression" priority="1865" dxfId="1">
      <formula>AND(IF($Q118=3,1,0),IF($X118&lt;30,1,0))</formula>
    </cfRule>
    <cfRule type="expression" priority="1866" dxfId="0">
      <formula>AND(IF($Q118=3,1,IF($Q118=4,1,0)),IF($F118&lt;=85,1,0))</formula>
    </cfRule>
  </conditionalFormatting>
  <conditionalFormatting sqref="X118">
    <cfRule type="expression" priority="1859" dxfId="3">
      <formula>AND(IF(OR($Q118=1,$Q118=2),1,0),IF($X118&lt;=20,1,0))</formula>
    </cfRule>
    <cfRule type="expression" priority="1860" dxfId="2">
      <formula>AND(IF($Q118=2,1,0),IF($X118&lt;30,1,0))</formula>
    </cfRule>
    <cfRule type="expression" priority="1861" dxfId="1">
      <formula>AND(IF($Q118=3,1,0),IF($X118&lt;30,1,0))</formula>
    </cfRule>
    <cfRule type="expression" priority="1862" dxfId="0">
      <formula>AND(IF($Q118=3,1,IF($Q118=4,1,0)),IF($F118&lt;=85,1,0))</formula>
    </cfRule>
  </conditionalFormatting>
  <conditionalFormatting sqref="AI118">
    <cfRule type="expression" priority="1855" dxfId="3">
      <formula>AND(IF(OR($Q118=1,$Q118=2),1,0),IF($X118&lt;=20,1,0))</formula>
    </cfRule>
    <cfRule type="expression" priority="1856" dxfId="2">
      <formula>AND(IF($Q118=2,1,0),IF($X118&lt;30,1,0))</formula>
    </cfRule>
    <cfRule type="expression" priority="1857" dxfId="1">
      <formula>AND(IF($Q118=3,1,0),IF($X118&lt;30,1,0))</formula>
    </cfRule>
    <cfRule type="expression" priority="1858" dxfId="0">
      <formula>AND(IF($Q118=3,1,IF($Q118=4,1,0)),IF($F118&lt;=85,1,0))</formula>
    </cfRule>
  </conditionalFormatting>
  <conditionalFormatting sqref="AV119">
    <cfRule type="expression" priority="1853" dxfId="23">
      <formula>AV119="X"</formula>
    </cfRule>
    <cfRule type="expression" priority="1854" dxfId="22">
      <formula>AV119="후보"</formula>
    </cfRule>
  </conditionalFormatting>
  <conditionalFormatting sqref="AC11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1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19">
    <cfRule type="expression" priority="1845" dxfId="3">
      <formula>AND(IF(OR($Q119=1,$Q119=2),1,0),IF($X119&lt;=20,1,0))</formula>
    </cfRule>
    <cfRule type="expression" priority="1846" dxfId="2">
      <formula>AND(IF($Q119=2,1,0),IF($X119&lt;30,1,0))</formula>
    </cfRule>
    <cfRule type="expression" priority="1847" dxfId="1">
      <formula>AND(IF($Q119=3,1,0),IF($X119&lt;30,1,0))</formula>
    </cfRule>
    <cfRule type="expression" priority="1848" dxfId="0">
      <formula>AND(IF($Q119=3,1,IF($Q119=4,1,0)),IF($F119&lt;=85,1,0))</formula>
    </cfRule>
  </conditionalFormatting>
  <conditionalFormatting sqref="X119">
    <cfRule type="expression" priority="1841" dxfId="3">
      <formula>AND(IF(OR($Q119=1,$Q119=2),1,0),IF($X119&lt;=20,1,0))</formula>
    </cfRule>
    <cfRule type="expression" priority="1842" dxfId="2">
      <formula>AND(IF($Q119=2,1,0),IF($X119&lt;30,1,0))</formula>
    </cfRule>
    <cfRule type="expression" priority="1843" dxfId="1">
      <formula>AND(IF($Q119=3,1,0),IF($X119&lt;30,1,0))</formula>
    </cfRule>
    <cfRule type="expression" priority="1844" dxfId="0">
      <formula>AND(IF($Q119=3,1,IF($Q119=4,1,0)),IF($F119&lt;=85,1,0))</formula>
    </cfRule>
  </conditionalFormatting>
  <conditionalFormatting sqref="AI119">
    <cfRule type="expression" priority="1837" dxfId="3">
      <formula>AND(IF(OR($Q119=1,$Q119=2),1,0),IF($X119&lt;=20,1,0))</formula>
    </cfRule>
    <cfRule type="expression" priority="1838" dxfId="2">
      <formula>AND(IF($Q119=2,1,0),IF($X119&lt;30,1,0))</formula>
    </cfRule>
    <cfRule type="expression" priority="1839" dxfId="1">
      <formula>AND(IF($Q119=3,1,0),IF($X119&lt;30,1,0))</formula>
    </cfRule>
    <cfRule type="expression" priority="1840" dxfId="0">
      <formula>AND(IF($Q119=3,1,IF($Q119=4,1,0)),IF($F119&lt;=85,1,0))</formula>
    </cfRule>
  </conditionalFormatting>
  <conditionalFormatting sqref="AV120">
    <cfRule type="expression" priority="1835" dxfId="23">
      <formula>AV120="X"</formula>
    </cfRule>
    <cfRule type="expression" priority="1836" dxfId="22">
      <formula>AV120="후보"</formula>
    </cfRule>
  </conditionalFormatting>
  <conditionalFormatting sqref="AC12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2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20">
    <cfRule type="expression" priority="1827" dxfId="3">
      <formula>AND(IF(OR($Q120=1,$Q120=2),1,0),IF($X120&lt;=20,1,0))</formula>
    </cfRule>
    <cfRule type="expression" priority="1828" dxfId="2">
      <formula>AND(IF($Q120=2,1,0),IF($X120&lt;30,1,0))</formula>
    </cfRule>
    <cfRule type="expression" priority="1829" dxfId="1">
      <formula>AND(IF($Q120=3,1,0),IF($X120&lt;30,1,0))</formula>
    </cfRule>
    <cfRule type="expression" priority="1830" dxfId="0">
      <formula>AND(IF($Q120=3,1,IF($Q120=4,1,0)),IF($F120&lt;=85,1,0))</formula>
    </cfRule>
  </conditionalFormatting>
  <conditionalFormatting sqref="X120">
    <cfRule type="expression" priority="1823" dxfId="3">
      <formula>AND(IF(OR($Q120=1,$Q120=2),1,0),IF($X120&lt;=20,1,0))</formula>
    </cfRule>
    <cfRule type="expression" priority="1824" dxfId="2">
      <formula>AND(IF($Q120=2,1,0),IF($X120&lt;30,1,0))</formula>
    </cfRule>
    <cfRule type="expression" priority="1825" dxfId="1">
      <formula>AND(IF($Q120=3,1,0),IF($X120&lt;30,1,0))</formula>
    </cfRule>
    <cfRule type="expression" priority="1826" dxfId="0">
      <formula>AND(IF($Q120=3,1,IF($Q120=4,1,0)),IF($F120&lt;=85,1,0))</formula>
    </cfRule>
  </conditionalFormatting>
  <conditionalFormatting sqref="AI120">
    <cfRule type="expression" priority="1819" dxfId="3">
      <formula>AND(IF(OR($Q120=1,$Q120=2),1,0),IF($X120&lt;=20,1,0))</formula>
    </cfRule>
    <cfRule type="expression" priority="1820" dxfId="2">
      <formula>AND(IF($Q120=2,1,0),IF($X120&lt;30,1,0))</formula>
    </cfRule>
    <cfRule type="expression" priority="1821" dxfId="1">
      <formula>AND(IF($Q120=3,1,0),IF($X120&lt;30,1,0))</formula>
    </cfRule>
    <cfRule type="expression" priority="1822" dxfId="0">
      <formula>AND(IF($Q120=3,1,IF($Q120=4,1,0)),IF($F120&lt;=85,1,0))</formula>
    </cfRule>
  </conditionalFormatting>
  <conditionalFormatting sqref="AV121">
    <cfRule type="expression" priority="1817" dxfId="23">
      <formula>AV121="X"</formula>
    </cfRule>
    <cfRule type="expression" priority="1818" dxfId="22">
      <formula>AV121="후보"</formula>
    </cfRule>
  </conditionalFormatting>
  <conditionalFormatting sqref="AC12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12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121">
    <cfRule type="expression" priority="1809" dxfId="3">
      <formula>AND(IF(OR($Q121=1,$Q121=2),1,0),IF($X121&lt;=20,1,0))</formula>
    </cfRule>
    <cfRule type="expression" priority="1810" dxfId="2">
      <formula>AND(IF($Q121=2,1,0),IF($X121&lt;30,1,0))</formula>
    </cfRule>
    <cfRule type="expression" priority="1811" dxfId="1">
      <formula>AND(IF($Q121=3,1,0),IF($X121&lt;30,1,0))</formula>
    </cfRule>
    <cfRule type="expression" priority="1812" dxfId="0">
      <formula>AND(IF($Q121=3,1,IF($Q121=4,1,0)),IF($F121&lt;=85,1,0))</formula>
    </cfRule>
  </conditionalFormatting>
  <conditionalFormatting sqref="X121">
    <cfRule type="expression" priority="1805" dxfId="3">
      <formula>AND(IF(OR($Q121=1,$Q121=2),1,0),IF($X121&lt;=20,1,0))</formula>
    </cfRule>
    <cfRule type="expression" priority="1806" dxfId="2">
      <formula>AND(IF($Q121=2,1,0),IF($X121&lt;30,1,0))</formula>
    </cfRule>
    <cfRule type="expression" priority="1807" dxfId="1">
      <formula>AND(IF($Q121=3,1,0),IF($X121&lt;30,1,0))</formula>
    </cfRule>
    <cfRule type="expression" priority="1808" dxfId="0">
      <formula>AND(IF($Q121=3,1,IF($Q121=4,1,0)),IF($F121&lt;=85,1,0))</formula>
    </cfRule>
  </conditionalFormatting>
  <conditionalFormatting sqref="AI121">
    <cfRule type="expression" priority="1801" dxfId="3">
      <formula>AND(IF(OR($Q121=1,$Q121=2),1,0),IF($X121&lt;=20,1,0))</formula>
    </cfRule>
    <cfRule type="expression" priority="1802" dxfId="2">
      <formula>AND(IF($Q121=2,1,0),IF($X121&lt;30,1,0))</formula>
    </cfRule>
    <cfRule type="expression" priority="1803" dxfId="1">
      <formula>AND(IF($Q121=3,1,0),IF($X121&lt;30,1,0))</formula>
    </cfRule>
    <cfRule type="expression" priority="1804" dxfId="0">
      <formula>AND(IF($Q121=3,1,IF($Q121=4,1,0)),IF($F121&lt;=85,1,0))</formula>
    </cfRule>
  </conditionalFormatting>
  <conditionalFormatting sqref="AV122">
    <cfRule type="expression" priority="1799" dxfId="23">
      <formula>AV122="X"</formula>
    </cfRule>
    <cfRule type="expression" priority="1800" dxfId="22">
      <formula>AV122="후보"</formula>
    </cfRule>
  </conditionalFormatting>
  <conditionalFormatting sqref="AC12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12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122">
    <cfRule type="expression" priority="1791" dxfId="3">
      <formula>AND(IF(OR($Q122=1,$Q122=2),1,0),IF($X122&lt;=20,1,0))</formula>
    </cfRule>
    <cfRule type="expression" priority="1792" dxfId="2">
      <formula>AND(IF($Q122=2,1,0),IF($X122&lt;30,1,0))</formula>
    </cfRule>
    <cfRule type="expression" priority="1793" dxfId="1">
      <formula>AND(IF($Q122=3,1,0),IF($X122&lt;30,1,0))</formula>
    </cfRule>
    <cfRule type="expression" priority="1794" dxfId="0">
      <formula>AND(IF($Q122=3,1,IF($Q122=4,1,0)),IF($F122&lt;=85,1,0))</formula>
    </cfRule>
  </conditionalFormatting>
  <conditionalFormatting sqref="X122">
    <cfRule type="expression" priority="1787" dxfId="3">
      <formula>AND(IF(OR($Q122=1,$Q122=2),1,0),IF($X122&lt;=20,1,0))</formula>
    </cfRule>
    <cfRule type="expression" priority="1788" dxfId="2">
      <formula>AND(IF($Q122=2,1,0),IF($X122&lt;30,1,0))</formula>
    </cfRule>
    <cfRule type="expression" priority="1789" dxfId="1">
      <formula>AND(IF($Q122=3,1,0),IF($X122&lt;30,1,0))</formula>
    </cfRule>
    <cfRule type="expression" priority="1790" dxfId="0">
      <formula>AND(IF($Q122=3,1,IF($Q122=4,1,0)),IF($F122&lt;=85,1,0))</formula>
    </cfRule>
  </conditionalFormatting>
  <conditionalFormatting sqref="AI122">
    <cfRule type="expression" priority="1783" dxfId="3">
      <formula>AND(IF(OR($Q122=1,$Q122=2),1,0),IF($X122&lt;=20,1,0))</formula>
    </cfRule>
    <cfRule type="expression" priority="1784" dxfId="2">
      <formula>AND(IF($Q122=2,1,0),IF($X122&lt;30,1,0))</formula>
    </cfRule>
    <cfRule type="expression" priority="1785" dxfId="1">
      <formula>AND(IF($Q122=3,1,0),IF($X122&lt;30,1,0))</formula>
    </cfRule>
    <cfRule type="expression" priority="1786" dxfId="0">
      <formula>AND(IF($Q122=3,1,IF($Q122=4,1,0)),IF($F122&lt;=85,1,0))</formula>
    </cfRule>
  </conditionalFormatting>
  <conditionalFormatting sqref="AV123">
    <cfRule type="expression" priority="1781" dxfId="23">
      <formula>AV123="X"</formula>
    </cfRule>
    <cfRule type="expression" priority="1782" dxfId="22">
      <formula>AV123="후보"</formula>
    </cfRule>
  </conditionalFormatting>
  <conditionalFormatting sqref="AC12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2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23">
    <cfRule type="expression" priority="1773" dxfId="3">
      <formula>AND(IF(OR($Q123=1,$Q123=2),1,0),IF($X123&lt;=20,1,0))</formula>
    </cfRule>
    <cfRule type="expression" priority="1774" dxfId="2">
      <formula>AND(IF($Q123=2,1,0),IF($X123&lt;30,1,0))</formula>
    </cfRule>
    <cfRule type="expression" priority="1775" dxfId="1">
      <formula>AND(IF($Q123=3,1,0),IF($X123&lt;30,1,0))</formula>
    </cfRule>
    <cfRule type="expression" priority="1776" dxfId="0">
      <formula>AND(IF($Q123=3,1,IF($Q123=4,1,0)),IF($F123&lt;=85,1,0))</formula>
    </cfRule>
  </conditionalFormatting>
  <conditionalFormatting sqref="X123">
    <cfRule type="expression" priority="1769" dxfId="3">
      <formula>AND(IF(OR($Q123=1,$Q123=2),1,0),IF($X123&lt;=20,1,0))</formula>
    </cfRule>
    <cfRule type="expression" priority="1770" dxfId="2">
      <formula>AND(IF($Q123=2,1,0),IF($X123&lt;30,1,0))</formula>
    </cfRule>
    <cfRule type="expression" priority="1771" dxfId="1">
      <formula>AND(IF($Q123=3,1,0),IF($X123&lt;30,1,0))</formula>
    </cfRule>
    <cfRule type="expression" priority="1772" dxfId="0">
      <formula>AND(IF($Q123=3,1,IF($Q123=4,1,0)),IF($F123&lt;=85,1,0))</formula>
    </cfRule>
  </conditionalFormatting>
  <conditionalFormatting sqref="AI123">
    <cfRule type="expression" priority="1765" dxfId="3">
      <formula>AND(IF(OR($Q123=1,$Q123=2),1,0),IF($X123&lt;=20,1,0))</formula>
    </cfRule>
    <cfRule type="expression" priority="1766" dxfId="2">
      <formula>AND(IF($Q123=2,1,0),IF($X123&lt;30,1,0))</formula>
    </cfRule>
    <cfRule type="expression" priority="1767" dxfId="1">
      <formula>AND(IF($Q123=3,1,0),IF($X123&lt;30,1,0))</formula>
    </cfRule>
    <cfRule type="expression" priority="1768" dxfId="0">
      <formula>AND(IF($Q123=3,1,IF($Q123=4,1,0)),IF($F123&lt;=85,1,0))</formula>
    </cfRule>
  </conditionalFormatting>
  <conditionalFormatting sqref="AV124">
    <cfRule type="expression" priority="1763" dxfId="23">
      <formula>AV124="X"</formula>
    </cfRule>
    <cfRule type="expression" priority="1764" dxfId="22">
      <formula>AV124="후보"</formula>
    </cfRule>
  </conditionalFormatting>
  <conditionalFormatting sqref="AC12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2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24">
    <cfRule type="expression" priority="1755" dxfId="3">
      <formula>AND(IF(OR($Q124=1,$Q124=2),1,0),IF($X124&lt;=20,1,0))</formula>
    </cfRule>
    <cfRule type="expression" priority="1756" dxfId="2">
      <formula>AND(IF($Q124=2,1,0),IF($X124&lt;30,1,0))</formula>
    </cfRule>
    <cfRule type="expression" priority="1757" dxfId="1">
      <formula>AND(IF($Q124=3,1,0),IF($X124&lt;30,1,0))</formula>
    </cfRule>
    <cfRule type="expression" priority="1758" dxfId="0">
      <formula>AND(IF($Q124=3,1,IF($Q124=4,1,0)),IF($F124&lt;=85,1,0))</formula>
    </cfRule>
  </conditionalFormatting>
  <conditionalFormatting sqref="X124">
    <cfRule type="expression" priority="1751" dxfId="3">
      <formula>AND(IF(OR($Q124=1,$Q124=2),1,0),IF($X124&lt;=20,1,0))</formula>
    </cfRule>
    <cfRule type="expression" priority="1752" dxfId="2">
      <formula>AND(IF($Q124=2,1,0),IF($X124&lt;30,1,0))</formula>
    </cfRule>
    <cfRule type="expression" priority="1753" dxfId="1">
      <formula>AND(IF($Q124=3,1,0),IF($X124&lt;30,1,0))</formula>
    </cfRule>
    <cfRule type="expression" priority="1754" dxfId="0">
      <formula>AND(IF($Q124=3,1,IF($Q124=4,1,0)),IF($F124&lt;=85,1,0))</formula>
    </cfRule>
  </conditionalFormatting>
  <conditionalFormatting sqref="AI124">
    <cfRule type="expression" priority="1747" dxfId="3">
      <formula>AND(IF(OR($Q124=1,$Q124=2),1,0),IF($X124&lt;=20,1,0))</formula>
    </cfRule>
    <cfRule type="expression" priority="1748" dxfId="2">
      <formula>AND(IF($Q124=2,1,0),IF($X124&lt;30,1,0))</formula>
    </cfRule>
    <cfRule type="expression" priority="1749" dxfId="1">
      <formula>AND(IF($Q124=3,1,0),IF($X124&lt;30,1,0))</formula>
    </cfRule>
    <cfRule type="expression" priority="1750" dxfId="0">
      <formula>AND(IF($Q124=3,1,IF($Q124=4,1,0)),IF($F124&lt;=85,1,0))</formula>
    </cfRule>
  </conditionalFormatting>
  <conditionalFormatting sqref="AV125">
    <cfRule type="expression" priority="1745" dxfId="23">
      <formula>AV125="X"</formula>
    </cfRule>
    <cfRule type="expression" priority="1746" dxfId="22">
      <formula>AV125="후보"</formula>
    </cfRule>
  </conditionalFormatting>
  <conditionalFormatting sqref="AC12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2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25">
    <cfRule type="expression" priority="1737" dxfId="3">
      <formula>AND(IF(OR($Q125=1,$Q125=2),1,0),IF($X125&lt;=20,1,0))</formula>
    </cfRule>
    <cfRule type="expression" priority="1738" dxfId="2">
      <formula>AND(IF($Q125=2,1,0),IF($X125&lt;30,1,0))</formula>
    </cfRule>
    <cfRule type="expression" priority="1739" dxfId="1">
      <formula>AND(IF($Q125=3,1,0),IF($X125&lt;30,1,0))</formula>
    </cfRule>
    <cfRule type="expression" priority="1740" dxfId="0">
      <formula>AND(IF($Q125=3,1,IF($Q125=4,1,0)),IF($F125&lt;=85,1,0))</formula>
    </cfRule>
  </conditionalFormatting>
  <conditionalFormatting sqref="X125">
    <cfRule type="expression" priority="1733" dxfId="3">
      <formula>AND(IF(OR($Q125=1,$Q125=2),1,0),IF($X125&lt;=20,1,0))</formula>
    </cfRule>
    <cfRule type="expression" priority="1734" dxfId="2">
      <formula>AND(IF($Q125=2,1,0),IF($X125&lt;30,1,0))</formula>
    </cfRule>
    <cfRule type="expression" priority="1735" dxfId="1">
      <formula>AND(IF($Q125=3,1,0),IF($X125&lt;30,1,0))</formula>
    </cfRule>
    <cfRule type="expression" priority="1736" dxfId="0">
      <formula>AND(IF($Q125=3,1,IF($Q125=4,1,0)),IF($F125&lt;=85,1,0))</formula>
    </cfRule>
  </conditionalFormatting>
  <conditionalFormatting sqref="AI125">
    <cfRule type="expression" priority="1729" dxfId="3">
      <formula>AND(IF(OR($Q125=1,$Q125=2),1,0),IF($X125&lt;=20,1,0))</formula>
    </cfRule>
    <cfRule type="expression" priority="1730" dxfId="2">
      <formula>AND(IF($Q125=2,1,0),IF($X125&lt;30,1,0))</formula>
    </cfRule>
    <cfRule type="expression" priority="1731" dxfId="1">
      <formula>AND(IF($Q125=3,1,0),IF($X125&lt;30,1,0))</formula>
    </cfRule>
    <cfRule type="expression" priority="1732" dxfId="0">
      <formula>AND(IF($Q125=3,1,IF($Q125=4,1,0)),IF($F125&lt;=85,1,0))</formula>
    </cfRule>
  </conditionalFormatting>
  <conditionalFormatting sqref="AV126">
    <cfRule type="expression" priority="1727" dxfId="23">
      <formula>AV126="X"</formula>
    </cfRule>
    <cfRule type="expression" priority="1728" dxfId="22">
      <formula>AV126="후보"</formula>
    </cfRule>
  </conditionalFormatting>
  <conditionalFormatting sqref="AC12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12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126">
    <cfRule type="expression" priority="1719" dxfId="3">
      <formula>AND(IF(OR($Q126=1,$Q126=2),1,0),IF($X126&lt;=20,1,0))</formula>
    </cfRule>
    <cfRule type="expression" priority="1720" dxfId="2">
      <formula>AND(IF($Q126=2,1,0),IF($X126&lt;30,1,0))</formula>
    </cfRule>
    <cfRule type="expression" priority="1721" dxfId="1">
      <formula>AND(IF($Q126=3,1,0),IF($X126&lt;30,1,0))</formula>
    </cfRule>
    <cfRule type="expression" priority="1722" dxfId="0">
      <formula>AND(IF($Q126=3,1,IF($Q126=4,1,0)),IF($F126&lt;=85,1,0))</formula>
    </cfRule>
  </conditionalFormatting>
  <conditionalFormatting sqref="X126">
    <cfRule type="expression" priority="1715" dxfId="3">
      <formula>AND(IF(OR($Q126=1,$Q126=2),1,0),IF($X126&lt;=20,1,0))</formula>
    </cfRule>
    <cfRule type="expression" priority="1716" dxfId="2">
      <formula>AND(IF($Q126=2,1,0),IF($X126&lt;30,1,0))</formula>
    </cfRule>
    <cfRule type="expression" priority="1717" dxfId="1">
      <formula>AND(IF($Q126=3,1,0),IF($X126&lt;30,1,0))</formula>
    </cfRule>
    <cfRule type="expression" priority="1718" dxfId="0">
      <formula>AND(IF($Q126=3,1,IF($Q126=4,1,0)),IF($F126&lt;=85,1,0))</formula>
    </cfRule>
  </conditionalFormatting>
  <conditionalFormatting sqref="AI126">
    <cfRule type="expression" priority="1711" dxfId="3">
      <formula>AND(IF(OR($Q126=1,$Q126=2),1,0),IF($X126&lt;=20,1,0))</formula>
    </cfRule>
    <cfRule type="expression" priority="1712" dxfId="2">
      <formula>AND(IF($Q126=2,1,0),IF($X126&lt;30,1,0))</formula>
    </cfRule>
    <cfRule type="expression" priority="1713" dxfId="1">
      <formula>AND(IF($Q126=3,1,0),IF($X126&lt;30,1,0))</formula>
    </cfRule>
    <cfRule type="expression" priority="1714" dxfId="0">
      <formula>AND(IF($Q126=3,1,IF($Q126=4,1,0)),IF($F126&lt;=85,1,0))</formula>
    </cfRule>
  </conditionalFormatting>
  <conditionalFormatting sqref="AV127">
    <cfRule type="expression" priority="1709" dxfId="23">
      <formula>AV127="X"</formula>
    </cfRule>
    <cfRule type="expression" priority="1710" dxfId="22">
      <formula>AV127="후보"</formula>
    </cfRule>
  </conditionalFormatting>
  <conditionalFormatting sqref="AC12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12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127">
    <cfRule type="expression" priority="1701" dxfId="3">
      <formula>AND(IF(OR($Q127=1,$Q127=2),1,0),IF($X127&lt;=20,1,0))</formula>
    </cfRule>
    <cfRule type="expression" priority="1702" dxfId="2">
      <formula>AND(IF($Q127=2,1,0),IF($X127&lt;30,1,0))</formula>
    </cfRule>
    <cfRule type="expression" priority="1703" dxfId="1">
      <formula>AND(IF($Q127=3,1,0),IF($X127&lt;30,1,0))</formula>
    </cfRule>
    <cfRule type="expression" priority="1704" dxfId="0">
      <formula>AND(IF($Q127=3,1,IF($Q127=4,1,0)),IF($F127&lt;=85,1,0))</formula>
    </cfRule>
  </conditionalFormatting>
  <conditionalFormatting sqref="X127">
    <cfRule type="expression" priority="1697" dxfId="3">
      <formula>AND(IF(OR($Q127=1,$Q127=2),1,0),IF($X127&lt;=20,1,0))</formula>
    </cfRule>
    <cfRule type="expression" priority="1698" dxfId="2">
      <formula>AND(IF($Q127=2,1,0),IF($X127&lt;30,1,0))</formula>
    </cfRule>
    <cfRule type="expression" priority="1699" dxfId="1">
      <formula>AND(IF($Q127=3,1,0),IF($X127&lt;30,1,0))</formula>
    </cfRule>
    <cfRule type="expression" priority="1700" dxfId="0">
      <formula>AND(IF($Q127=3,1,IF($Q127=4,1,0)),IF($F127&lt;=85,1,0))</formula>
    </cfRule>
  </conditionalFormatting>
  <conditionalFormatting sqref="AI127">
    <cfRule type="expression" priority="1693" dxfId="3">
      <formula>AND(IF(OR($Q127=1,$Q127=2),1,0),IF($X127&lt;=20,1,0))</formula>
    </cfRule>
    <cfRule type="expression" priority="1694" dxfId="2">
      <formula>AND(IF($Q127=2,1,0),IF($X127&lt;30,1,0))</formula>
    </cfRule>
    <cfRule type="expression" priority="1695" dxfId="1">
      <formula>AND(IF($Q127=3,1,0),IF($X127&lt;30,1,0))</formula>
    </cfRule>
    <cfRule type="expression" priority="1696" dxfId="0">
      <formula>AND(IF($Q127=3,1,IF($Q127=4,1,0)),IF($F127&lt;=85,1,0))</formula>
    </cfRule>
  </conditionalFormatting>
  <conditionalFormatting sqref="AV128">
    <cfRule type="expression" priority="1691" dxfId="23">
      <formula>AV128="X"</formula>
    </cfRule>
    <cfRule type="expression" priority="1692" dxfId="22">
      <formula>AV128="후보"</formula>
    </cfRule>
  </conditionalFormatting>
  <conditionalFormatting sqref="AC12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2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28">
    <cfRule type="expression" priority="1683" dxfId="3">
      <formula>AND(IF(OR($Q128=1,$Q128=2),1,0),IF($X128&lt;=20,1,0))</formula>
    </cfRule>
    <cfRule type="expression" priority="1684" dxfId="2">
      <formula>AND(IF($Q128=2,1,0),IF($X128&lt;30,1,0))</formula>
    </cfRule>
    <cfRule type="expression" priority="1685" dxfId="1">
      <formula>AND(IF($Q128=3,1,0),IF($X128&lt;30,1,0))</formula>
    </cfRule>
    <cfRule type="expression" priority="1686" dxfId="0">
      <formula>AND(IF($Q128=3,1,IF($Q128=4,1,0)),IF($F128&lt;=85,1,0))</formula>
    </cfRule>
  </conditionalFormatting>
  <conditionalFormatting sqref="X128">
    <cfRule type="expression" priority="1679" dxfId="3">
      <formula>AND(IF(OR($Q128=1,$Q128=2),1,0),IF($X128&lt;=20,1,0))</formula>
    </cfRule>
    <cfRule type="expression" priority="1680" dxfId="2">
      <formula>AND(IF($Q128=2,1,0),IF($X128&lt;30,1,0))</formula>
    </cfRule>
    <cfRule type="expression" priority="1681" dxfId="1">
      <formula>AND(IF($Q128=3,1,0),IF($X128&lt;30,1,0))</formula>
    </cfRule>
    <cfRule type="expression" priority="1682" dxfId="0">
      <formula>AND(IF($Q128=3,1,IF($Q128=4,1,0)),IF($F128&lt;=85,1,0))</formula>
    </cfRule>
  </conditionalFormatting>
  <conditionalFormatting sqref="AI128">
    <cfRule type="expression" priority="1675" dxfId="3">
      <formula>AND(IF(OR($Q128=1,$Q128=2),1,0),IF($X128&lt;=20,1,0))</formula>
    </cfRule>
    <cfRule type="expression" priority="1676" dxfId="2">
      <formula>AND(IF($Q128=2,1,0),IF($X128&lt;30,1,0))</formula>
    </cfRule>
    <cfRule type="expression" priority="1677" dxfId="1">
      <formula>AND(IF($Q128=3,1,0),IF($X128&lt;30,1,0))</formula>
    </cfRule>
    <cfRule type="expression" priority="1678" dxfId="0">
      <formula>AND(IF($Q128=3,1,IF($Q128=4,1,0)),IF($F128&lt;=85,1,0))</formula>
    </cfRule>
  </conditionalFormatting>
  <conditionalFormatting sqref="AV129">
    <cfRule type="expression" priority="1673" dxfId="23">
      <formula>AV129="X"</formula>
    </cfRule>
    <cfRule type="expression" priority="1674" dxfId="22">
      <formula>AV129="후보"</formula>
    </cfRule>
  </conditionalFormatting>
  <conditionalFormatting sqref="AC12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2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29">
    <cfRule type="expression" priority="1665" dxfId="3">
      <formula>AND(IF(OR($Q129=1,$Q129=2),1,0),IF($X129&lt;=20,1,0))</formula>
    </cfRule>
    <cfRule type="expression" priority="1666" dxfId="2">
      <formula>AND(IF($Q129=2,1,0),IF($X129&lt;30,1,0))</formula>
    </cfRule>
    <cfRule type="expression" priority="1667" dxfId="1">
      <formula>AND(IF($Q129=3,1,0),IF($X129&lt;30,1,0))</formula>
    </cfRule>
    <cfRule type="expression" priority="1668" dxfId="0">
      <formula>AND(IF($Q129=3,1,IF($Q129=4,1,0)),IF($F129&lt;=85,1,0))</formula>
    </cfRule>
  </conditionalFormatting>
  <conditionalFormatting sqref="X129">
    <cfRule type="expression" priority="1661" dxfId="3">
      <formula>AND(IF(OR($Q129=1,$Q129=2),1,0),IF($X129&lt;=20,1,0))</formula>
    </cfRule>
    <cfRule type="expression" priority="1662" dxfId="2">
      <formula>AND(IF($Q129=2,1,0),IF($X129&lt;30,1,0))</formula>
    </cfRule>
    <cfRule type="expression" priority="1663" dxfId="1">
      <formula>AND(IF($Q129=3,1,0),IF($X129&lt;30,1,0))</formula>
    </cfRule>
    <cfRule type="expression" priority="1664" dxfId="0">
      <formula>AND(IF($Q129=3,1,IF($Q129=4,1,0)),IF($F129&lt;=85,1,0))</formula>
    </cfRule>
  </conditionalFormatting>
  <conditionalFormatting sqref="AI129">
    <cfRule type="expression" priority="1657" dxfId="3">
      <formula>AND(IF(OR($Q129=1,$Q129=2),1,0),IF($X129&lt;=20,1,0))</formula>
    </cfRule>
    <cfRule type="expression" priority="1658" dxfId="2">
      <formula>AND(IF($Q129=2,1,0),IF($X129&lt;30,1,0))</formula>
    </cfRule>
    <cfRule type="expression" priority="1659" dxfId="1">
      <formula>AND(IF($Q129=3,1,0),IF($X129&lt;30,1,0))</formula>
    </cfRule>
    <cfRule type="expression" priority="1660" dxfId="0">
      <formula>AND(IF($Q129=3,1,IF($Q129=4,1,0)),IF($F129&lt;=85,1,0))</formula>
    </cfRule>
  </conditionalFormatting>
  <conditionalFormatting sqref="AV130">
    <cfRule type="expression" priority="1655" dxfId="23">
      <formula>AV130="X"</formula>
    </cfRule>
    <cfRule type="expression" priority="1656" dxfId="22">
      <formula>AV130="후보"</formula>
    </cfRule>
  </conditionalFormatting>
  <conditionalFormatting sqref="AC13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13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130">
    <cfRule type="expression" priority="1647" dxfId="3">
      <formula>AND(IF(OR($Q130=1,$Q130=2),1,0),IF($X130&lt;=20,1,0))</formula>
    </cfRule>
    <cfRule type="expression" priority="1648" dxfId="2">
      <formula>AND(IF($Q130=2,1,0),IF($X130&lt;30,1,0))</formula>
    </cfRule>
    <cfRule type="expression" priority="1649" dxfId="1">
      <formula>AND(IF($Q130=3,1,0),IF($X130&lt;30,1,0))</formula>
    </cfRule>
    <cfRule type="expression" priority="1650" dxfId="0">
      <formula>AND(IF($Q130=3,1,IF($Q130=4,1,0)),IF($F130&lt;=85,1,0))</formula>
    </cfRule>
  </conditionalFormatting>
  <conditionalFormatting sqref="X130">
    <cfRule type="expression" priority="1643" dxfId="3">
      <formula>AND(IF(OR($Q130=1,$Q130=2),1,0),IF($X130&lt;=20,1,0))</formula>
    </cfRule>
    <cfRule type="expression" priority="1644" dxfId="2">
      <formula>AND(IF($Q130=2,1,0),IF($X130&lt;30,1,0))</formula>
    </cfRule>
    <cfRule type="expression" priority="1645" dxfId="1">
      <formula>AND(IF($Q130=3,1,0),IF($X130&lt;30,1,0))</formula>
    </cfRule>
    <cfRule type="expression" priority="1646" dxfId="0">
      <formula>AND(IF($Q130=3,1,IF($Q130=4,1,0)),IF($F130&lt;=85,1,0))</formula>
    </cfRule>
  </conditionalFormatting>
  <conditionalFormatting sqref="AI130">
    <cfRule type="expression" priority="1639" dxfId="3">
      <formula>AND(IF(OR($Q130=1,$Q130=2),1,0),IF($X130&lt;=20,1,0))</formula>
    </cfRule>
    <cfRule type="expression" priority="1640" dxfId="2">
      <formula>AND(IF($Q130=2,1,0),IF($X130&lt;30,1,0))</formula>
    </cfRule>
    <cfRule type="expression" priority="1641" dxfId="1">
      <formula>AND(IF($Q130=3,1,0),IF($X130&lt;30,1,0))</formula>
    </cfRule>
    <cfRule type="expression" priority="1642" dxfId="0">
      <formula>AND(IF($Q130=3,1,IF($Q130=4,1,0)),IF($F130&lt;=85,1,0))</formula>
    </cfRule>
  </conditionalFormatting>
  <conditionalFormatting sqref="AV131">
    <cfRule type="expression" priority="1637" dxfId="23">
      <formula>AV131="X"</formula>
    </cfRule>
    <cfRule type="expression" priority="1638" dxfId="22">
      <formula>AV131="후보"</formula>
    </cfRule>
  </conditionalFormatting>
  <conditionalFormatting sqref="AC13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3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31">
    <cfRule type="expression" priority="1629" dxfId="3">
      <formula>AND(IF(OR($Q131=1,$Q131=2),1,0),IF($X131&lt;=20,1,0))</formula>
    </cfRule>
    <cfRule type="expression" priority="1630" dxfId="2">
      <formula>AND(IF($Q131=2,1,0),IF($X131&lt;30,1,0))</formula>
    </cfRule>
    <cfRule type="expression" priority="1631" dxfId="1">
      <formula>AND(IF($Q131=3,1,0),IF($X131&lt;30,1,0))</formula>
    </cfRule>
    <cfRule type="expression" priority="1632" dxfId="0">
      <formula>AND(IF($Q131=3,1,IF($Q131=4,1,0)),IF($F131&lt;=85,1,0))</formula>
    </cfRule>
  </conditionalFormatting>
  <conditionalFormatting sqref="X131">
    <cfRule type="expression" priority="1625" dxfId="3">
      <formula>AND(IF(OR($Q131=1,$Q131=2),1,0),IF($X131&lt;=20,1,0))</formula>
    </cfRule>
    <cfRule type="expression" priority="1626" dxfId="2">
      <formula>AND(IF($Q131=2,1,0),IF($X131&lt;30,1,0))</formula>
    </cfRule>
    <cfRule type="expression" priority="1627" dxfId="1">
      <formula>AND(IF($Q131=3,1,0),IF($X131&lt;30,1,0))</formula>
    </cfRule>
    <cfRule type="expression" priority="1628" dxfId="0">
      <formula>AND(IF($Q131=3,1,IF($Q131=4,1,0)),IF($F131&lt;=85,1,0))</formula>
    </cfRule>
  </conditionalFormatting>
  <conditionalFormatting sqref="AI131">
    <cfRule type="expression" priority="1621" dxfId="3">
      <formula>AND(IF(OR($Q131=1,$Q131=2),1,0),IF($X131&lt;=20,1,0))</formula>
    </cfRule>
    <cfRule type="expression" priority="1622" dxfId="2">
      <formula>AND(IF($Q131=2,1,0),IF($X131&lt;30,1,0))</formula>
    </cfRule>
    <cfRule type="expression" priority="1623" dxfId="1">
      <formula>AND(IF($Q131=3,1,0),IF($X131&lt;30,1,0))</formula>
    </cfRule>
    <cfRule type="expression" priority="1624" dxfId="0">
      <formula>AND(IF($Q131=3,1,IF($Q131=4,1,0)),IF($F131&lt;=85,1,0))</formula>
    </cfRule>
  </conditionalFormatting>
  <conditionalFormatting sqref="AV132">
    <cfRule type="expression" priority="1619" dxfId="23">
      <formula>AV132="X"</formula>
    </cfRule>
    <cfRule type="expression" priority="1620" dxfId="22">
      <formula>AV132="후보"</formula>
    </cfRule>
  </conditionalFormatting>
  <conditionalFormatting sqref="AC13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3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32">
    <cfRule type="expression" priority="1611" dxfId="3">
      <formula>AND(IF(OR($Q132=1,$Q132=2),1,0),IF($X132&lt;=20,1,0))</formula>
    </cfRule>
    <cfRule type="expression" priority="1612" dxfId="2">
      <formula>AND(IF($Q132=2,1,0),IF($X132&lt;30,1,0))</formula>
    </cfRule>
    <cfRule type="expression" priority="1613" dxfId="1">
      <formula>AND(IF($Q132=3,1,0),IF($X132&lt;30,1,0))</formula>
    </cfRule>
    <cfRule type="expression" priority="1614" dxfId="0">
      <formula>AND(IF($Q132=3,1,IF($Q132=4,1,0)),IF($F132&lt;=85,1,0))</formula>
    </cfRule>
  </conditionalFormatting>
  <conditionalFormatting sqref="X132">
    <cfRule type="expression" priority="1607" dxfId="3">
      <formula>AND(IF(OR($Q132=1,$Q132=2),1,0),IF($X132&lt;=20,1,0))</formula>
    </cfRule>
    <cfRule type="expression" priority="1608" dxfId="2">
      <formula>AND(IF($Q132=2,1,0),IF($X132&lt;30,1,0))</formula>
    </cfRule>
    <cfRule type="expression" priority="1609" dxfId="1">
      <formula>AND(IF($Q132=3,1,0),IF($X132&lt;30,1,0))</formula>
    </cfRule>
    <cfRule type="expression" priority="1610" dxfId="0">
      <formula>AND(IF($Q132=3,1,IF($Q132=4,1,0)),IF($F132&lt;=85,1,0))</formula>
    </cfRule>
  </conditionalFormatting>
  <conditionalFormatting sqref="AI132">
    <cfRule type="expression" priority="1603" dxfId="3">
      <formula>AND(IF(OR($Q132=1,$Q132=2),1,0),IF($X132&lt;=20,1,0))</formula>
    </cfRule>
    <cfRule type="expression" priority="1604" dxfId="2">
      <formula>AND(IF($Q132=2,1,0),IF($X132&lt;30,1,0))</formula>
    </cfRule>
    <cfRule type="expression" priority="1605" dxfId="1">
      <formula>AND(IF($Q132=3,1,0),IF($X132&lt;30,1,0))</formula>
    </cfRule>
    <cfRule type="expression" priority="1606" dxfId="0">
      <formula>AND(IF($Q132=3,1,IF($Q132=4,1,0)),IF($F132&lt;=85,1,0))</formula>
    </cfRule>
  </conditionalFormatting>
  <conditionalFormatting sqref="AV133">
    <cfRule type="expression" priority="1601" dxfId="23">
      <formula>AV133="X"</formula>
    </cfRule>
    <cfRule type="expression" priority="1602" dxfId="22">
      <formula>AV133="후보"</formula>
    </cfRule>
  </conditionalFormatting>
  <conditionalFormatting sqref="AC13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3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33">
    <cfRule type="expression" priority="1593" dxfId="3">
      <formula>AND(IF(OR($Q133=1,$Q133=2),1,0),IF($X133&lt;=20,1,0))</formula>
    </cfRule>
    <cfRule type="expression" priority="1594" dxfId="2">
      <formula>AND(IF($Q133=2,1,0),IF($X133&lt;30,1,0))</formula>
    </cfRule>
    <cfRule type="expression" priority="1595" dxfId="1">
      <formula>AND(IF($Q133=3,1,0),IF($X133&lt;30,1,0))</formula>
    </cfRule>
    <cfRule type="expression" priority="1596" dxfId="0">
      <formula>AND(IF($Q133=3,1,IF($Q133=4,1,0)),IF($F133&lt;=85,1,0))</formula>
    </cfRule>
  </conditionalFormatting>
  <conditionalFormatting sqref="X133">
    <cfRule type="expression" priority="1589" dxfId="3">
      <formula>AND(IF(OR($Q133=1,$Q133=2),1,0),IF($X133&lt;=20,1,0))</formula>
    </cfRule>
    <cfRule type="expression" priority="1590" dxfId="2">
      <formula>AND(IF($Q133=2,1,0),IF($X133&lt;30,1,0))</formula>
    </cfRule>
    <cfRule type="expression" priority="1591" dxfId="1">
      <formula>AND(IF($Q133=3,1,0),IF($X133&lt;30,1,0))</formula>
    </cfRule>
    <cfRule type="expression" priority="1592" dxfId="0">
      <formula>AND(IF($Q133=3,1,IF($Q133=4,1,0)),IF($F133&lt;=85,1,0))</formula>
    </cfRule>
  </conditionalFormatting>
  <conditionalFormatting sqref="AI133">
    <cfRule type="expression" priority="1585" dxfId="3">
      <formula>AND(IF(OR($Q133=1,$Q133=2),1,0),IF($X133&lt;=20,1,0))</formula>
    </cfRule>
    <cfRule type="expression" priority="1586" dxfId="2">
      <formula>AND(IF($Q133=2,1,0),IF($X133&lt;30,1,0))</formula>
    </cfRule>
    <cfRule type="expression" priority="1587" dxfId="1">
      <formula>AND(IF($Q133=3,1,0),IF($X133&lt;30,1,0))</formula>
    </cfRule>
    <cfRule type="expression" priority="1588" dxfId="0">
      <formula>AND(IF($Q133=3,1,IF($Q133=4,1,0)),IF($F133&lt;=85,1,0))</formula>
    </cfRule>
  </conditionalFormatting>
  <conditionalFormatting sqref="AV134">
    <cfRule type="expression" priority="1583" dxfId="23">
      <formula>AV134="X"</formula>
    </cfRule>
    <cfRule type="expression" priority="1584" dxfId="22">
      <formula>AV134="후보"</formula>
    </cfRule>
  </conditionalFormatting>
  <conditionalFormatting sqref="AC13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3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34">
    <cfRule type="expression" priority="1575" dxfId="3">
      <formula>AND(IF(OR($Q134=1,$Q134=2),1,0),IF($X134&lt;=20,1,0))</formula>
    </cfRule>
    <cfRule type="expression" priority="1576" dxfId="2">
      <formula>AND(IF($Q134=2,1,0),IF($X134&lt;30,1,0))</formula>
    </cfRule>
    <cfRule type="expression" priority="1577" dxfId="1">
      <formula>AND(IF($Q134=3,1,0),IF($X134&lt;30,1,0))</formula>
    </cfRule>
    <cfRule type="expression" priority="1578" dxfId="0">
      <formula>AND(IF($Q134=3,1,IF($Q134=4,1,0)),IF($F134&lt;=85,1,0))</formula>
    </cfRule>
  </conditionalFormatting>
  <conditionalFormatting sqref="X134">
    <cfRule type="expression" priority="1571" dxfId="3">
      <formula>AND(IF(OR($Q134=1,$Q134=2),1,0),IF($X134&lt;=20,1,0))</formula>
    </cfRule>
    <cfRule type="expression" priority="1572" dxfId="2">
      <formula>AND(IF($Q134=2,1,0),IF($X134&lt;30,1,0))</formula>
    </cfRule>
    <cfRule type="expression" priority="1573" dxfId="1">
      <formula>AND(IF($Q134=3,1,0),IF($X134&lt;30,1,0))</formula>
    </cfRule>
    <cfRule type="expression" priority="1574" dxfId="0">
      <formula>AND(IF($Q134=3,1,IF($Q134=4,1,0)),IF($F134&lt;=85,1,0))</formula>
    </cfRule>
  </conditionalFormatting>
  <conditionalFormatting sqref="AI134">
    <cfRule type="expression" priority="1567" dxfId="3">
      <formula>AND(IF(OR($Q134=1,$Q134=2),1,0),IF($X134&lt;=20,1,0))</formula>
    </cfRule>
    <cfRule type="expression" priority="1568" dxfId="2">
      <formula>AND(IF($Q134=2,1,0),IF($X134&lt;30,1,0))</formula>
    </cfRule>
    <cfRule type="expression" priority="1569" dxfId="1">
      <formula>AND(IF($Q134=3,1,0),IF($X134&lt;30,1,0))</formula>
    </cfRule>
    <cfRule type="expression" priority="1570" dxfId="0">
      <formula>AND(IF($Q134=3,1,IF($Q134=4,1,0)),IF($F134&lt;=85,1,0))</formula>
    </cfRule>
  </conditionalFormatting>
  <conditionalFormatting sqref="AV135">
    <cfRule type="expression" priority="1565" dxfId="23">
      <formula>AV135="X"</formula>
    </cfRule>
    <cfRule type="expression" priority="1566" dxfId="22">
      <formula>AV135="후보"</formula>
    </cfRule>
  </conditionalFormatting>
  <conditionalFormatting sqref="AC13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3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35">
    <cfRule type="expression" priority="1557" dxfId="3">
      <formula>AND(IF(OR($Q135=1,$Q135=2),1,0),IF($X135&lt;=20,1,0))</formula>
    </cfRule>
    <cfRule type="expression" priority="1558" dxfId="2">
      <formula>AND(IF($Q135=2,1,0),IF($X135&lt;30,1,0))</formula>
    </cfRule>
    <cfRule type="expression" priority="1559" dxfId="1">
      <formula>AND(IF($Q135=3,1,0),IF($X135&lt;30,1,0))</formula>
    </cfRule>
    <cfRule type="expression" priority="1560" dxfId="0">
      <formula>AND(IF($Q135=3,1,IF($Q135=4,1,0)),IF($F135&lt;=85,1,0))</formula>
    </cfRule>
  </conditionalFormatting>
  <conditionalFormatting sqref="X135">
    <cfRule type="expression" priority="1553" dxfId="3">
      <formula>AND(IF(OR($Q135=1,$Q135=2),1,0),IF($X135&lt;=20,1,0))</formula>
    </cfRule>
    <cfRule type="expression" priority="1554" dxfId="2">
      <formula>AND(IF($Q135=2,1,0),IF($X135&lt;30,1,0))</formula>
    </cfRule>
    <cfRule type="expression" priority="1555" dxfId="1">
      <formula>AND(IF($Q135=3,1,0),IF($X135&lt;30,1,0))</formula>
    </cfRule>
    <cfRule type="expression" priority="1556" dxfId="0">
      <formula>AND(IF($Q135=3,1,IF($Q135=4,1,0)),IF($F135&lt;=85,1,0))</formula>
    </cfRule>
  </conditionalFormatting>
  <conditionalFormatting sqref="AI135">
    <cfRule type="expression" priority="1549" dxfId="3">
      <formula>AND(IF(OR($Q135=1,$Q135=2),1,0),IF($X135&lt;=20,1,0))</formula>
    </cfRule>
    <cfRule type="expression" priority="1550" dxfId="2">
      <formula>AND(IF($Q135=2,1,0),IF($X135&lt;30,1,0))</formula>
    </cfRule>
    <cfRule type="expression" priority="1551" dxfId="1">
      <formula>AND(IF($Q135=3,1,0),IF($X135&lt;30,1,0))</formula>
    </cfRule>
    <cfRule type="expression" priority="1552" dxfId="0">
      <formula>AND(IF($Q135=3,1,IF($Q135=4,1,0)),IF($F135&lt;=85,1,0))</formula>
    </cfRule>
  </conditionalFormatting>
  <conditionalFormatting sqref="AV136">
    <cfRule type="expression" priority="1547" dxfId="23">
      <formula>AV136="X"</formula>
    </cfRule>
    <cfRule type="expression" priority="1548" dxfId="22">
      <formula>AV136="후보"</formula>
    </cfRule>
  </conditionalFormatting>
  <conditionalFormatting sqref="AC13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3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36">
    <cfRule type="expression" priority="1539" dxfId="3">
      <formula>AND(IF(OR($Q136=1,$Q136=2),1,0),IF($X136&lt;=20,1,0))</formula>
    </cfRule>
    <cfRule type="expression" priority="1540" dxfId="2">
      <formula>AND(IF($Q136=2,1,0),IF($X136&lt;30,1,0))</formula>
    </cfRule>
    <cfRule type="expression" priority="1541" dxfId="1">
      <formula>AND(IF($Q136=3,1,0),IF($X136&lt;30,1,0))</formula>
    </cfRule>
    <cfRule type="expression" priority="1542" dxfId="0">
      <formula>AND(IF($Q136=3,1,IF($Q136=4,1,0)),IF($F136&lt;=85,1,0))</formula>
    </cfRule>
  </conditionalFormatting>
  <conditionalFormatting sqref="X136">
    <cfRule type="expression" priority="1535" dxfId="3">
      <formula>AND(IF(OR($Q136=1,$Q136=2),1,0),IF($X136&lt;=20,1,0))</formula>
    </cfRule>
    <cfRule type="expression" priority="1536" dxfId="2">
      <formula>AND(IF($Q136=2,1,0),IF($X136&lt;30,1,0))</formula>
    </cfRule>
    <cfRule type="expression" priority="1537" dxfId="1">
      <formula>AND(IF($Q136=3,1,0),IF($X136&lt;30,1,0))</formula>
    </cfRule>
    <cfRule type="expression" priority="1538" dxfId="0">
      <formula>AND(IF($Q136=3,1,IF($Q136=4,1,0)),IF($F136&lt;=85,1,0))</formula>
    </cfRule>
  </conditionalFormatting>
  <conditionalFormatting sqref="AI136">
    <cfRule type="expression" priority="1531" dxfId="3">
      <formula>AND(IF(OR($Q136=1,$Q136=2),1,0),IF($X136&lt;=20,1,0))</formula>
    </cfRule>
    <cfRule type="expression" priority="1532" dxfId="2">
      <formula>AND(IF($Q136=2,1,0),IF($X136&lt;30,1,0))</formula>
    </cfRule>
    <cfRule type="expression" priority="1533" dxfId="1">
      <formula>AND(IF($Q136=3,1,0),IF($X136&lt;30,1,0))</formula>
    </cfRule>
    <cfRule type="expression" priority="1534" dxfId="0">
      <formula>AND(IF($Q136=3,1,IF($Q136=4,1,0)),IF($F136&lt;=85,1,0))</formula>
    </cfRule>
  </conditionalFormatting>
  <conditionalFormatting sqref="AV137">
    <cfRule type="expression" priority="1529" dxfId="23">
      <formula>AV137="X"</formula>
    </cfRule>
    <cfRule type="expression" priority="1530" dxfId="22">
      <formula>AV137="후보"</formula>
    </cfRule>
  </conditionalFormatting>
  <conditionalFormatting sqref="AC13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3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37">
    <cfRule type="expression" priority="1521" dxfId="3">
      <formula>AND(IF(OR($Q137=1,$Q137=2),1,0),IF($X137&lt;=20,1,0))</formula>
    </cfRule>
    <cfRule type="expression" priority="1522" dxfId="2">
      <formula>AND(IF($Q137=2,1,0),IF($X137&lt;30,1,0))</formula>
    </cfRule>
    <cfRule type="expression" priority="1523" dxfId="1">
      <formula>AND(IF($Q137=3,1,0),IF($X137&lt;30,1,0))</formula>
    </cfRule>
    <cfRule type="expression" priority="1524" dxfId="0">
      <formula>AND(IF($Q137=3,1,IF($Q137=4,1,0)),IF($F137&lt;=85,1,0))</formula>
    </cfRule>
  </conditionalFormatting>
  <conditionalFormatting sqref="X137">
    <cfRule type="expression" priority="1517" dxfId="3">
      <formula>AND(IF(OR($Q137=1,$Q137=2),1,0),IF($X137&lt;=20,1,0))</formula>
    </cfRule>
    <cfRule type="expression" priority="1518" dxfId="2">
      <formula>AND(IF($Q137=2,1,0),IF($X137&lt;30,1,0))</formula>
    </cfRule>
    <cfRule type="expression" priority="1519" dxfId="1">
      <formula>AND(IF($Q137=3,1,0),IF($X137&lt;30,1,0))</formula>
    </cfRule>
    <cfRule type="expression" priority="1520" dxfId="0">
      <formula>AND(IF($Q137=3,1,IF($Q137=4,1,0)),IF($F137&lt;=85,1,0))</formula>
    </cfRule>
  </conditionalFormatting>
  <conditionalFormatting sqref="AI137">
    <cfRule type="expression" priority="1513" dxfId="3">
      <formula>AND(IF(OR($Q137=1,$Q137=2),1,0),IF($X137&lt;=20,1,0))</formula>
    </cfRule>
    <cfRule type="expression" priority="1514" dxfId="2">
      <formula>AND(IF($Q137=2,1,0),IF($X137&lt;30,1,0))</formula>
    </cfRule>
    <cfRule type="expression" priority="1515" dxfId="1">
      <formula>AND(IF($Q137=3,1,0),IF($X137&lt;30,1,0))</formula>
    </cfRule>
    <cfRule type="expression" priority="1516" dxfId="0">
      <formula>AND(IF($Q137=3,1,IF($Q137=4,1,0)),IF($F137&lt;=85,1,0))</formula>
    </cfRule>
  </conditionalFormatting>
  <conditionalFormatting sqref="AV138">
    <cfRule type="expression" priority="1511" dxfId="23">
      <formula>AV138="X"</formula>
    </cfRule>
    <cfRule type="expression" priority="1512" dxfId="22">
      <formula>AV138="후보"</formula>
    </cfRule>
  </conditionalFormatting>
  <conditionalFormatting sqref="AC13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3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38">
    <cfRule type="expression" priority="1503" dxfId="3">
      <formula>AND(IF(OR($Q138=1,$Q138=2),1,0),IF($X138&lt;=20,1,0))</formula>
    </cfRule>
    <cfRule type="expression" priority="1504" dxfId="2">
      <formula>AND(IF($Q138=2,1,0),IF($X138&lt;30,1,0))</formula>
    </cfRule>
    <cfRule type="expression" priority="1505" dxfId="1">
      <formula>AND(IF($Q138=3,1,0),IF($X138&lt;30,1,0))</formula>
    </cfRule>
    <cfRule type="expression" priority="1506" dxfId="0">
      <formula>AND(IF($Q138=3,1,IF($Q138=4,1,0)),IF($F138&lt;=85,1,0))</formula>
    </cfRule>
  </conditionalFormatting>
  <conditionalFormatting sqref="X138">
    <cfRule type="expression" priority="1499" dxfId="3">
      <formula>AND(IF(OR($Q138=1,$Q138=2),1,0),IF($X138&lt;=20,1,0))</formula>
    </cfRule>
    <cfRule type="expression" priority="1500" dxfId="2">
      <formula>AND(IF($Q138=2,1,0),IF($X138&lt;30,1,0))</formula>
    </cfRule>
    <cfRule type="expression" priority="1501" dxfId="1">
      <formula>AND(IF($Q138=3,1,0),IF($X138&lt;30,1,0))</formula>
    </cfRule>
    <cfRule type="expression" priority="1502" dxfId="0">
      <formula>AND(IF($Q138=3,1,IF($Q138=4,1,0)),IF($F138&lt;=85,1,0))</formula>
    </cfRule>
  </conditionalFormatting>
  <conditionalFormatting sqref="AI138">
    <cfRule type="expression" priority="1495" dxfId="3">
      <formula>AND(IF(OR($Q138=1,$Q138=2),1,0),IF($X138&lt;=20,1,0))</formula>
    </cfRule>
    <cfRule type="expression" priority="1496" dxfId="2">
      <formula>AND(IF($Q138=2,1,0),IF($X138&lt;30,1,0))</formula>
    </cfRule>
    <cfRule type="expression" priority="1497" dxfId="1">
      <formula>AND(IF($Q138=3,1,0),IF($X138&lt;30,1,0))</formula>
    </cfRule>
    <cfRule type="expression" priority="1498" dxfId="0">
      <formula>AND(IF($Q138=3,1,IF($Q138=4,1,0)),IF($F138&lt;=85,1,0))</formula>
    </cfRule>
  </conditionalFormatting>
  <conditionalFormatting sqref="AV139">
    <cfRule type="expression" priority="1493" dxfId="23">
      <formula>AV139="X"</formula>
    </cfRule>
    <cfRule type="expression" priority="1494" dxfId="22">
      <formula>AV139="후보"</formula>
    </cfRule>
  </conditionalFormatting>
  <conditionalFormatting sqref="AC13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3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39">
    <cfRule type="expression" priority="1485" dxfId="3">
      <formula>AND(IF(OR($Q139=1,$Q139=2),1,0),IF($X139&lt;=20,1,0))</formula>
    </cfRule>
    <cfRule type="expression" priority="1486" dxfId="2">
      <formula>AND(IF($Q139=2,1,0),IF($X139&lt;30,1,0))</formula>
    </cfRule>
    <cfRule type="expression" priority="1487" dxfId="1">
      <formula>AND(IF($Q139=3,1,0),IF($X139&lt;30,1,0))</formula>
    </cfRule>
    <cfRule type="expression" priority="1488" dxfId="0">
      <formula>AND(IF($Q139=3,1,IF($Q139=4,1,0)),IF($F139&lt;=85,1,0))</formula>
    </cfRule>
  </conditionalFormatting>
  <conditionalFormatting sqref="X139">
    <cfRule type="expression" priority="1481" dxfId="3">
      <formula>AND(IF(OR($Q139=1,$Q139=2),1,0),IF($X139&lt;=20,1,0))</formula>
    </cfRule>
    <cfRule type="expression" priority="1482" dxfId="2">
      <formula>AND(IF($Q139=2,1,0),IF($X139&lt;30,1,0))</formula>
    </cfRule>
    <cfRule type="expression" priority="1483" dxfId="1">
      <formula>AND(IF($Q139=3,1,0),IF($X139&lt;30,1,0))</formula>
    </cfRule>
    <cfRule type="expression" priority="1484" dxfId="0">
      <formula>AND(IF($Q139=3,1,IF($Q139=4,1,0)),IF($F139&lt;=85,1,0))</formula>
    </cfRule>
  </conditionalFormatting>
  <conditionalFormatting sqref="AI139">
    <cfRule type="expression" priority="1477" dxfId="3">
      <formula>AND(IF(OR($Q139=1,$Q139=2),1,0),IF($X139&lt;=20,1,0))</formula>
    </cfRule>
    <cfRule type="expression" priority="1478" dxfId="2">
      <formula>AND(IF($Q139=2,1,0),IF($X139&lt;30,1,0))</formula>
    </cfRule>
    <cfRule type="expression" priority="1479" dxfId="1">
      <formula>AND(IF($Q139=3,1,0),IF($X139&lt;30,1,0))</formula>
    </cfRule>
    <cfRule type="expression" priority="1480" dxfId="0">
      <formula>AND(IF($Q139=3,1,IF($Q139=4,1,0)),IF($F139&lt;=85,1,0))</formula>
    </cfRule>
  </conditionalFormatting>
  <conditionalFormatting sqref="AV140">
    <cfRule type="expression" priority="1475" dxfId="23">
      <formula>AV140="X"</formula>
    </cfRule>
    <cfRule type="expression" priority="1476" dxfId="22">
      <formula>AV140="후보"</formula>
    </cfRule>
  </conditionalFormatting>
  <conditionalFormatting sqref="AC14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4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40">
    <cfRule type="expression" priority="1467" dxfId="3">
      <formula>AND(IF(OR($Q140=1,$Q140=2),1,0),IF($X140&lt;=20,1,0))</formula>
    </cfRule>
    <cfRule type="expression" priority="1468" dxfId="2">
      <formula>AND(IF($Q140=2,1,0),IF($X140&lt;30,1,0))</formula>
    </cfRule>
    <cfRule type="expression" priority="1469" dxfId="1">
      <formula>AND(IF($Q140=3,1,0),IF($X140&lt;30,1,0))</formula>
    </cfRule>
    <cfRule type="expression" priority="1470" dxfId="0">
      <formula>AND(IF($Q140=3,1,IF($Q140=4,1,0)),IF($F140&lt;=85,1,0))</formula>
    </cfRule>
  </conditionalFormatting>
  <conditionalFormatting sqref="X140">
    <cfRule type="expression" priority="1463" dxfId="3">
      <formula>AND(IF(OR($Q140=1,$Q140=2),1,0),IF($X140&lt;=20,1,0))</formula>
    </cfRule>
    <cfRule type="expression" priority="1464" dxfId="2">
      <formula>AND(IF($Q140=2,1,0),IF($X140&lt;30,1,0))</formula>
    </cfRule>
    <cfRule type="expression" priority="1465" dxfId="1">
      <formula>AND(IF($Q140=3,1,0),IF($X140&lt;30,1,0))</formula>
    </cfRule>
    <cfRule type="expression" priority="1466" dxfId="0">
      <formula>AND(IF($Q140=3,1,IF($Q140=4,1,0)),IF($F140&lt;=85,1,0))</formula>
    </cfRule>
  </conditionalFormatting>
  <conditionalFormatting sqref="AI140">
    <cfRule type="expression" priority="1459" dxfId="3">
      <formula>AND(IF(OR($Q140=1,$Q140=2),1,0),IF($X140&lt;=20,1,0))</formula>
    </cfRule>
    <cfRule type="expression" priority="1460" dxfId="2">
      <formula>AND(IF($Q140=2,1,0),IF($X140&lt;30,1,0))</formula>
    </cfRule>
    <cfRule type="expression" priority="1461" dxfId="1">
      <formula>AND(IF($Q140=3,1,0),IF($X140&lt;30,1,0))</formula>
    </cfRule>
    <cfRule type="expression" priority="1462" dxfId="0">
      <formula>AND(IF($Q140=3,1,IF($Q140=4,1,0)),IF($F140&lt;=85,1,0))</formula>
    </cfRule>
  </conditionalFormatting>
  <conditionalFormatting sqref="AV141">
    <cfRule type="expression" priority="1457" dxfId="23">
      <formula>AV141="X"</formula>
    </cfRule>
    <cfRule type="expression" priority="1458" dxfId="22">
      <formula>AV141="후보"</formula>
    </cfRule>
  </conditionalFormatting>
  <conditionalFormatting sqref="AC14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4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41">
    <cfRule type="expression" priority="1449" dxfId="3">
      <formula>AND(IF(OR($Q141=1,$Q141=2),1,0),IF($X141&lt;=20,1,0))</formula>
    </cfRule>
    <cfRule type="expression" priority="1450" dxfId="2">
      <formula>AND(IF($Q141=2,1,0),IF($X141&lt;30,1,0))</formula>
    </cfRule>
    <cfRule type="expression" priority="1451" dxfId="1">
      <formula>AND(IF($Q141=3,1,0),IF($X141&lt;30,1,0))</formula>
    </cfRule>
    <cfRule type="expression" priority="1452" dxfId="0">
      <formula>AND(IF($Q141=3,1,IF($Q141=4,1,0)),IF($F141&lt;=85,1,0))</formula>
    </cfRule>
  </conditionalFormatting>
  <conditionalFormatting sqref="X141">
    <cfRule type="expression" priority="1445" dxfId="3">
      <formula>AND(IF(OR($Q141=1,$Q141=2),1,0),IF($X141&lt;=20,1,0))</formula>
    </cfRule>
    <cfRule type="expression" priority="1446" dxfId="2">
      <formula>AND(IF($Q141=2,1,0),IF($X141&lt;30,1,0))</formula>
    </cfRule>
    <cfRule type="expression" priority="1447" dxfId="1">
      <formula>AND(IF($Q141=3,1,0),IF($X141&lt;30,1,0))</formula>
    </cfRule>
    <cfRule type="expression" priority="1448" dxfId="0">
      <formula>AND(IF($Q141=3,1,IF($Q141=4,1,0)),IF($F141&lt;=85,1,0))</formula>
    </cfRule>
  </conditionalFormatting>
  <conditionalFormatting sqref="AI141">
    <cfRule type="expression" priority="1441" dxfId="3">
      <formula>AND(IF(OR($Q141=1,$Q141=2),1,0),IF($X141&lt;=20,1,0))</formula>
    </cfRule>
    <cfRule type="expression" priority="1442" dxfId="2">
      <formula>AND(IF($Q141=2,1,0),IF($X141&lt;30,1,0))</formula>
    </cfRule>
    <cfRule type="expression" priority="1443" dxfId="1">
      <formula>AND(IF($Q141=3,1,0),IF($X141&lt;30,1,0))</formula>
    </cfRule>
    <cfRule type="expression" priority="1444" dxfId="0">
      <formula>AND(IF($Q141=3,1,IF($Q141=4,1,0)),IF($F141&lt;=85,1,0))</formula>
    </cfRule>
  </conditionalFormatting>
  <conditionalFormatting sqref="AV142">
    <cfRule type="expression" priority="1439" dxfId="23">
      <formula>AV142="X"</formula>
    </cfRule>
    <cfRule type="expression" priority="1440" dxfId="22">
      <formula>AV142="후보"</formula>
    </cfRule>
  </conditionalFormatting>
  <conditionalFormatting sqref="AC14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4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42">
    <cfRule type="expression" priority="1431" dxfId="3">
      <formula>AND(IF(OR($Q142=1,$Q142=2),1,0),IF($X142&lt;=20,1,0))</formula>
    </cfRule>
    <cfRule type="expression" priority="1432" dxfId="2">
      <formula>AND(IF($Q142=2,1,0),IF($X142&lt;30,1,0))</formula>
    </cfRule>
    <cfRule type="expression" priority="1433" dxfId="1">
      <formula>AND(IF($Q142=3,1,0),IF($X142&lt;30,1,0))</formula>
    </cfRule>
    <cfRule type="expression" priority="1434" dxfId="0">
      <formula>AND(IF($Q142=3,1,IF($Q142=4,1,0)),IF($F142&lt;=85,1,0))</formula>
    </cfRule>
  </conditionalFormatting>
  <conditionalFormatting sqref="X142">
    <cfRule type="expression" priority="1427" dxfId="3">
      <formula>AND(IF(OR($Q142=1,$Q142=2),1,0),IF($X142&lt;=20,1,0))</formula>
    </cfRule>
    <cfRule type="expression" priority="1428" dxfId="2">
      <formula>AND(IF($Q142=2,1,0),IF($X142&lt;30,1,0))</formula>
    </cfRule>
    <cfRule type="expression" priority="1429" dxfId="1">
      <formula>AND(IF($Q142=3,1,0),IF($X142&lt;30,1,0))</formula>
    </cfRule>
    <cfRule type="expression" priority="1430" dxfId="0">
      <formula>AND(IF($Q142=3,1,IF($Q142=4,1,0)),IF($F142&lt;=85,1,0))</formula>
    </cfRule>
  </conditionalFormatting>
  <conditionalFormatting sqref="AI142">
    <cfRule type="expression" priority="1423" dxfId="3">
      <formula>AND(IF(OR($Q142=1,$Q142=2),1,0),IF($X142&lt;=20,1,0))</formula>
    </cfRule>
    <cfRule type="expression" priority="1424" dxfId="2">
      <formula>AND(IF($Q142=2,1,0),IF($X142&lt;30,1,0))</formula>
    </cfRule>
    <cfRule type="expression" priority="1425" dxfId="1">
      <formula>AND(IF($Q142=3,1,0),IF($X142&lt;30,1,0))</formula>
    </cfRule>
    <cfRule type="expression" priority="1426" dxfId="0">
      <formula>AND(IF($Q142=3,1,IF($Q142=4,1,0)),IF($F142&lt;=85,1,0))</formula>
    </cfRule>
  </conditionalFormatting>
  <conditionalFormatting sqref="AV143">
    <cfRule type="expression" priority="1421" dxfId="23">
      <formula>AV143="X"</formula>
    </cfRule>
    <cfRule type="expression" priority="1422" dxfId="22">
      <formula>AV143="후보"</formula>
    </cfRule>
  </conditionalFormatting>
  <conditionalFormatting sqref="AC14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4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43">
    <cfRule type="expression" priority="1413" dxfId="3">
      <formula>AND(IF(OR($Q143=1,$Q143=2),1,0),IF($X143&lt;=20,1,0))</formula>
    </cfRule>
    <cfRule type="expression" priority="1414" dxfId="2">
      <formula>AND(IF($Q143=2,1,0),IF($X143&lt;30,1,0))</formula>
    </cfRule>
    <cfRule type="expression" priority="1415" dxfId="1">
      <formula>AND(IF($Q143=3,1,0),IF($X143&lt;30,1,0))</formula>
    </cfRule>
    <cfRule type="expression" priority="1416" dxfId="0">
      <formula>AND(IF($Q143=3,1,IF($Q143=4,1,0)),IF($F143&lt;=85,1,0))</formula>
    </cfRule>
  </conditionalFormatting>
  <conditionalFormatting sqref="X143">
    <cfRule type="expression" priority="1409" dxfId="3">
      <formula>AND(IF(OR($Q143=1,$Q143=2),1,0),IF($X143&lt;=20,1,0))</formula>
    </cfRule>
    <cfRule type="expression" priority="1410" dxfId="2">
      <formula>AND(IF($Q143=2,1,0),IF($X143&lt;30,1,0))</formula>
    </cfRule>
    <cfRule type="expression" priority="1411" dxfId="1">
      <formula>AND(IF($Q143=3,1,0),IF($X143&lt;30,1,0))</formula>
    </cfRule>
    <cfRule type="expression" priority="1412" dxfId="0">
      <formula>AND(IF($Q143=3,1,IF($Q143=4,1,0)),IF($F143&lt;=85,1,0))</formula>
    </cfRule>
  </conditionalFormatting>
  <conditionalFormatting sqref="AI143">
    <cfRule type="expression" priority="1405" dxfId="3">
      <formula>AND(IF(OR($Q143=1,$Q143=2),1,0),IF($X143&lt;=20,1,0))</formula>
    </cfRule>
    <cfRule type="expression" priority="1406" dxfId="2">
      <formula>AND(IF($Q143=2,1,0),IF($X143&lt;30,1,0))</formula>
    </cfRule>
    <cfRule type="expression" priority="1407" dxfId="1">
      <formula>AND(IF($Q143=3,1,0),IF($X143&lt;30,1,0))</formula>
    </cfRule>
    <cfRule type="expression" priority="1408" dxfId="0">
      <formula>AND(IF($Q143=3,1,IF($Q143=4,1,0)),IF($F143&lt;=85,1,0))</formula>
    </cfRule>
  </conditionalFormatting>
  <conditionalFormatting sqref="AV144">
    <cfRule type="expression" priority="1403" dxfId="23">
      <formula>AV144="X"</formula>
    </cfRule>
    <cfRule type="expression" priority="1404" dxfId="22">
      <formula>AV144="후보"</formula>
    </cfRule>
  </conditionalFormatting>
  <conditionalFormatting sqref="AC14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4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44">
    <cfRule type="expression" priority="1395" dxfId="3">
      <formula>AND(IF(OR($Q144=1,$Q144=2),1,0),IF($X144&lt;=20,1,0))</formula>
    </cfRule>
    <cfRule type="expression" priority="1396" dxfId="2">
      <formula>AND(IF($Q144=2,1,0),IF($X144&lt;30,1,0))</formula>
    </cfRule>
    <cfRule type="expression" priority="1397" dxfId="1">
      <formula>AND(IF($Q144=3,1,0),IF($X144&lt;30,1,0))</formula>
    </cfRule>
    <cfRule type="expression" priority="1398" dxfId="0">
      <formula>AND(IF($Q144=3,1,IF($Q144=4,1,0)),IF($F144&lt;=85,1,0))</formula>
    </cfRule>
  </conditionalFormatting>
  <conditionalFormatting sqref="X144">
    <cfRule type="expression" priority="1391" dxfId="3">
      <formula>AND(IF(OR($Q144=1,$Q144=2),1,0),IF($X144&lt;=20,1,0))</formula>
    </cfRule>
    <cfRule type="expression" priority="1392" dxfId="2">
      <formula>AND(IF($Q144=2,1,0),IF($X144&lt;30,1,0))</formula>
    </cfRule>
    <cfRule type="expression" priority="1393" dxfId="1">
      <formula>AND(IF($Q144=3,1,0),IF($X144&lt;30,1,0))</formula>
    </cfRule>
    <cfRule type="expression" priority="1394" dxfId="0">
      <formula>AND(IF($Q144=3,1,IF($Q144=4,1,0)),IF($F144&lt;=85,1,0))</formula>
    </cfRule>
  </conditionalFormatting>
  <conditionalFormatting sqref="AI144">
    <cfRule type="expression" priority="1387" dxfId="3">
      <formula>AND(IF(OR($Q144=1,$Q144=2),1,0),IF($X144&lt;=20,1,0))</formula>
    </cfRule>
    <cfRule type="expression" priority="1388" dxfId="2">
      <formula>AND(IF($Q144=2,1,0),IF($X144&lt;30,1,0))</formula>
    </cfRule>
    <cfRule type="expression" priority="1389" dxfId="1">
      <formula>AND(IF($Q144=3,1,0),IF($X144&lt;30,1,0))</formula>
    </cfRule>
    <cfRule type="expression" priority="1390" dxfId="0">
      <formula>AND(IF($Q144=3,1,IF($Q144=4,1,0)),IF($F144&lt;=85,1,0))</formula>
    </cfRule>
  </conditionalFormatting>
  <conditionalFormatting sqref="AV145">
    <cfRule type="expression" priority="1385" dxfId="23">
      <formula>AV145="X"</formula>
    </cfRule>
    <cfRule type="expression" priority="1386" dxfId="22">
      <formula>AV145="후보"</formula>
    </cfRule>
  </conditionalFormatting>
  <conditionalFormatting sqref="AC14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4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45">
    <cfRule type="expression" priority="1377" dxfId="3">
      <formula>AND(IF(OR($Q145=1,$Q145=2),1,0),IF($X145&lt;=20,1,0))</formula>
    </cfRule>
    <cfRule type="expression" priority="1378" dxfId="2">
      <formula>AND(IF($Q145=2,1,0),IF($X145&lt;30,1,0))</formula>
    </cfRule>
    <cfRule type="expression" priority="1379" dxfId="1">
      <formula>AND(IF($Q145=3,1,0),IF($X145&lt;30,1,0))</formula>
    </cfRule>
    <cfRule type="expression" priority="1380" dxfId="0">
      <formula>AND(IF($Q145=3,1,IF($Q145=4,1,0)),IF($F145&lt;=85,1,0))</formula>
    </cfRule>
  </conditionalFormatting>
  <conditionalFormatting sqref="X145">
    <cfRule type="expression" priority="1373" dxfId="3">
      <formula>AND(IF(OR($Q145=1,$Q145=2),1,0),IF($X145&lt;=20,1,0))</formula>
    </cfRule>
    <cfRule type="expression" priority="1374" dxfId="2">
      <formula>AND(IF($Q145=2,1,0),IF($X145&lt;30,1,0))</formula>
    </cfRule>
    <cfRule type="expression" priority="1375" dxfId="1">
      <formula>AND(IF($Q145=3,1,0),IF($X145&lt;30,1,0))</formula>
    </cfRule>
    <cfRule type="expression" priority="1376" dxfId="0">
      <formula>AND(IF($Q145=3,1,IF($Q145=4,1,0)),IF($F145&lt;=85,1,0))</formula>
    </cfRule>
  </conditionalFormatting>
  <conditionalFormatting sqref="AI145">
    <cfRule type="expression" priority="1369" dxfId="3">
      <formula>AND(IF(OR($Q145=1,$Q145=2),1,0),IF($X145&lt;=20,1,0))</formula>
    </cfRule>
    <cfRule type="expression" priority="1370" dxfId="2">
      <formula>AND(IF($Q145=2,1,0),IF($X145&lt;30,1,0))</formula>
    </cfRule>
    <cfRule type="expression" priority="1371" dxfId="1">
      <formula>AND(IF($Q145=3,1,0),IF($X145&lt;30,1,0))</formula>
    </cfRule>
    <cfRule type="expression" priority="1372" dxfId="0">
      <formula>AND(IF($Q145=3,1,IF($Q145=4,1,0)),IF($F145&lt;=85,1,0))</formula>
    </cfRule>
  </conditionalFormatting>
  <conditionalFormatting sqref="AV146">
    <cfRule type="expression" priority="1367" dxfId="23">
      <formula>AV146="X"</formula>
    </cfRule>
    <cfRule type="expression" priority="1368" dxfId="22">
      <formula>AV146="후보"</formula>
    </cfRule>
  </conditionalFormatting>
  <conditionalFormatting sqref="AC14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4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46">
    <cfRule type="expression" priority="1359" dxfId="3">
      <formula>AND(IF(OR($Q146=1,$Q146=2),1,0),IF($X146&lt;=20,1,0))</formula>
    </cfRule>
    <cfRule type="expression" priority="1360" dxfId="2">
      <formula>AND(IF($Q146=2,1,0),IF($X146&lt;30,1,0))</formula>
    </cfRule>
    <cfRule type="expression" priority="1361" dxfId="1">
      <formula>AND(IF($Q146=3,1,0),IF($X146&lt;30,1,0))</formula>
    </cfRule>
    <cfRule type="expression" priority="1362" dxfId="0">
      <formula>AND(IF($Q146=3,1,IF($Q146=4,1,0)),IF($F146&lt;=85,1,0))</formula>
    </cfRule>
  </conditionalFormatting>
  <conditionalFormatting sqref="X146">
    <cfRule type="expression" priority="1355" dxfId="3">
      <formula>AND(IF(OR($Q146=1,$Q146=2),1,0),IF($X146&lt;=20,1,0))</formula>
    </cfRule>
    <cfRule type="expression" priority="1356" dxfId="2">
      <formula>AND(IF($Q146=2,1,0),IF($X146&lt;30,1,0))</formula>
    </cfRule>
    <cfRule type="expression" priority="1357" dxfId="1">
      <formula>AND(IF($Q146=3,1,0),IF($X146&lt;30,1,0))</formula>
    </cfRule>
    <cfRule type="expression" priority="1358" dxfId="0">
      <formula>AND(IF($Q146=3,1,IF($Q146=4,1,0)),IF($F146&lt;=85,1,0))</formula>
    </cfRule>
  </conditionalFormatting>
  <conditionalFormatting sqref="AI146">
    <cfRule type="expression" priority="1351" dxfId="3">
      <formula>AND(IF(OR($Q146=1,$Q146=2),1,0),IF($X146&lt;=20,1,0))</formula>
    </cfRule>
    <cfRule type="expression" priority="1352" dxfId="2">
      <formula>AND(IF($Q146=2,1,0),IF($X146&lt;30,1,0))</formula>
    </cfRule>
    <cfRule type="expression" priority="1353" dxfId="1">
      <formula>AND(IF($Q146=3,1,0),IF($X146&lt;30,1,0))</formula>
    </cfRule>
    <cfRule type="expression" priority="1354" dxfId="0">
      <formula>AND(IF($Q146=3,1,IF($Q146=4,1,0)),IF($F146&lt;=85,1,0))</formula>
    </cfRule>
  </conditionalFormatting>
  <conditionalFormatting sqref="AV147">
    <cfRule type="expression" priority="1349" dxfId="23">
      <formula>AV147="X"</formula>
    </cfRule>
    <cfRule type="expression" priority="1350" dxfId="22">
      <formula>AV147="후보"</formula>
    </cfRule>
  </conditionalFormatting>
  <conditionalFormatting sqref="AC14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4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47">
    <cfRule type="expression" priority="1341" dxfId="3">
      <formula>AND(IF(OR($Q147=1,$Q147=2),1,0),IF($X147&lt;=20,1,0))</formula>
    </cfRule>
    <cfRule type="expression" priority="1342" dxfId="2">
      <formula>AND(IF($Q147=2,1,0),IF($X147&lt;30,1,0))</formula>
    </cfRule>
    <cfRule type="expression" priority="1343" dxfId="1">
      <formula>AND(IF($Q147=3,1,0),IF($X147&lt;30,1,0))</formula>
    </cfRule>
    <cfRule type="expression" priority="1344" dxfId="0">
      <formula>AND(IF($Q147=3,1,IF($Q147=4,1,0)),IF($F147&lt;=85,1,0))</formula>
    </cfRule>
  </conditionalFormatting>
  <conditionalFormatting sqref="X147">
    <cfRule type="expression" priority="1337" dxfId="3">
      <formula>AND(IF(OR($Q147=1,$Q147=2),1,0),IF($X147&lt;=20,1,0))</formula>
    </cfRule>
    <cfRule type="expression" priority="1338" dxfId="2">
      <formula>AND(IF($Q147=2,1,0),IF($X147&lt;30,1,0))</formula>
    </cfRule>
    <cfRule type="expression" priority="1339" dxfId="1">
      <formula>AND(IF($Q147=3,1,0),IF($X147&lt;30,1,0))</formula>
    </cfRule>
    <cfRule type="expression" priority="1340" dxfId="0">
      <formula>AND(IF($Q147=3,1,IF($Q147=4,1,0)),IF($F147&lt;=85,1,0))</formula>
    </cfRule>
  </conditionalFormatting>
  <conditionalFormatting sqref="AI147">
    <cfRule type="expression" priority="1333" dxfId="3">
      <formula>AND(IF(OR($Q147=1,$Q147=2),1,0),IF($X147&lt;=20,1,0))</formula>
    </cfRule>
    <cfRule type="expression" priority="1334" dxfId="2">
      <formula>AND(IF($Q147=2,1,0),IF($X147&lt;30,1,0))</formula>
    </cfRule>
    <cfRule type="expression" priority="1335" dxfId="1">
      <formula>AND(IF($Q147=3,1,0),IF($X147&lt;30,1,0))</formula>
    </cfRule>
    <cfRule type="expression" priority="1336" dxfId="0">
      <formula>AND(IF($Q147=3,1,IF($Q147=4,1,0)),IF($F147&lt;=85,1,0))</formula>
    </cfRule>
  </conditionalFormatting>
  <conditionalFormatting sqref="AV148">
    <cfRule type="expression" priority="1331" dxfId="23">
      <formula>AV148="X"</formula>
    </cfRule>
    <cfRule type="expression" priority="1332" dxfId="22">
      <formula>AV148="후보"</formula>
    </cfRule>
  </conditionalFormatting>
  <conditionalFormatting sqref="AC14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4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48">
    <cfRule type="expression" priority="1323" dxfId="3">
      <formula>AND(IF(OR($Q148=1,$Q148=2),1,0),IF($X148&lt;=20,1,0))</formula>
    </cfRule>
    <cfRule type="expression" priority="1324" dxfId="2">
      <formula>AND(IF($Q148=2,1,0),IF($X148&lt;30,1,0))</formula>
    </cfRule>
    <cfRule type="expression" priority="1325" dxfId="1">
      <formula>AND(IF($Q148=3,1,0),IF($X148&lt;30,1,0))</formula>
    </cfRule>
    <cfRule type="expression" priority="1326" dxfId="0">
      <formula>AND(IF($Q148=3,1,IF($Q148=4,1,0)),IF($F148&lt;=85,1,0))</formula>
    </cfRule>
  </conditionalFormatting>
  <conditionalFormatting sqref="X148">
    <cfRule type="expression" priority="1319" dxfId="3">
      <formula>AND(IF(OR($Q148=1,$Q148=2),1,0),IF($X148&lt;=20,1,0))</formula>
    </cfRule>
    <cfRule type="expression" priority="1320" dxfId="2">
      <formula>AND(IF($Q148=2,1,0),IF($X148&lt;30,1,0))</formula>
    </cfRule>
    <cfRule type="expression" priority="1321" dxfId="1">
      <formula>AND(IF($Q148=3,1,0),IF($X148&lt;30,1,0))</formula>
    </cfRule>
    <cfRule type="expression" priority="1322" dxfId="0">
      <formula>AND(IF($Q148=3,1,IF($Q148=4,1,0)),IF($F148&lt;=85,1,0))</formula>
    </cfRule>
  </conditionalFormatting>
  <conditionalFormatting sqref="AI148">
    <cfRule type="expression" priority="1315" dxfId="3">
      <formula>AND(IF(OR($Q148=1,$Q148=2),1,0),IF($X148&lt;=20,1,0))</formula>
    </cfRule>
    <cfRule type="expression" priority="1316" dxfId="2">
      <formula>AND(IF($Q148=2,1,0),IF($X148&lt;30,1,0))</formula>
    </cfRule>
    <cfRule type="expression" priority="1317" dxfId="1">
      <formula>AND(IF($Q148=3,1,0),IF($X148&lt;30,1,0))</formula>
    </cfRule>
    <cfRule type="expression" priority="1318" dxfId="0">
      <formula>AND(IF($Q148=3,1,IF($Q148=4,1,0)),IF($F148&lt;=85,1,0))</formula>
    </cfRule>
  </conditionalFormatting>
  <conditionalFormatting sqref="AV149">
    <cfRule type="expression" priority="1313" dxfId="23">
      <formula>AV149="X"</formula>
    </cfRule>
    <cfRule type="expression" priority="1314" dxfId="22">
      <formula>AV149="후보"</formula>
    </cfRule>
  </conditionalFormatting>
  <conditionalFormatting sqref="AC14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4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49">
    <cfRule type="expression" priority="1305" dxfId="3">
      <formula>AND(IF(OR($Q149=1,$Q149=2),1,0),IF($X149&lt;=20,1,0))</formula>
    </cfRule>
    <cfRule type="expression" priority="1306" dxfId="2">
      <formula>AND(IF($Q149=2,1,0),IF($X149&lt;30,1,0))</formula>
    </cfRule>
    <cfRule type="expression" priority="1307" dxfId="1">
      <formula>AND(IF($Q149=3,1,0),IF($X149&lt;30,1,0))</formula>
    </cfRule>
    <cfRule type="expression" priority="1308" dxfId="0">
      <formula>AND(IF($Q149=3,1,IF($Q149=4,1,0)),IF($F149&lt;=85,1,0))</formula>
    </cfRule>
  </conditionalFormatting>
  <conditionalFormatting sqref="X149">
    <cfRule type="expression" priority="1301" dxfId="3">
      <formula>AND(IF(OR($Q149=1,$Q149=2),1,0),IF($X149&lt;=20,1,0))</formula>
    </cfRule>
    <cfRule type="expression" priority="1302" dxfId="2">
      <formula>AND(IF($Q149=2,1,0),IF($X149&lt;30,1,0))</formula>
    </cfRule>
    <cfRule type="expression" priority="1303" dxfId="1">
      <formula>AND(IF($Q149=3,1,0),IF($X149&lt;30,1,0))</formula>
    </cfRule>
    <cfRule type="expression" priority="1304" dxfId="0">
      <formula>AND(IF($Q149=3,1,IF($Q149=4,1,0)),IF($F149&lt;=85,1,0))</formula>
    </cfRule>
  </conditionalFormatting>
  <conditionalFormatting sqref="AI149">
    <cfRule type="expression" priority="1297" dxfId="3">
      <formula>AND(IF(OR($Q149=1,$Q149=2),1,0),IF($X149&lt;=20,1,0))</formula>
    </cfRule>
    <cfRule type="expression" priority="1298" dxfId="2">
      <formula>AND(IF($Q149=2,1,0),IF($X149&lt;30,1,0))</formula>
    </cfRule>
    <cfRule type="expression" priority="1299" dxfId="1">
      <formula>AND(IF($Q149=3,1,0),IF($X149&lt;30,1,0))</formula>
    </cfRule>
    <cfRule type="expression" priority="1300" dxfId="0">
      <formula>AND(IF($Q149=3,1,IF($Q149=4,1,0)),IF($F149&lt;=85,1,0))</formula>
    </cfRule>
  </conditionalFormatting>
  <conditionalFormatting sqref="AV150">
    <cfRule type="expression" priority="1295" dxfId="23">
      <formula>AV150="X"</formula>
    </cfRule>
    <cfRule type="expression" priority="1296" dxfId="22">
      <formula>AV150="후보"</formula>
    </cfRule>
  </conditionalFormatting>
  <conditionalFormatting sqref="AC15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5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50">
    <cfRule type="expression" priority="1287" dxfId="3">
      <formula>AND(IF(OR($Q150=1,$Q150=2),1,0),IF($X150&lt;=20,1,0))</formula>
    </cfRule>
    <cfRule type="expression" priority="1288" dxfId="2">
      <formula>AND(IF($Q150=2,1,0),IF($X150&lt;30,1,0))</formula>
    </cfRule>
    <cfRule type="expression" priority="1289" dxfId="1">
      <formula>AND(IF($Q150=3,1,0),IF($X150&lt;30,1,0))</formula>
    </cfRule>
    <cfRule type="expression" priority="1290" dxfId="0">
      <formula>AND(IF($Q150=3,1,IF($Q150=4,1,0)),IF($F150&lt;=85,1,0))</formula>
    </cfRule>
  </conditionalFormatting>
  <conditionalFormatting sqref="X150">
    <cfRule type="expression" priority="1283" dxfId="3">
      <formula>AND(IF(OR($Q150=1,$Q150=2),1,0),IF($X150&lt;=20,1,0))</formula>
    </cfRule>
    <cfRule type="expression" priority="1284" dxfId="2">
      <formula>AND(IF($Q150=2,1,0),IF($X150&lt;30,1,0))</formula>
    </cfRule>
    <cfRule type="expression" priority="1285" dxfId="1">
      <formula>AND(IF($Q150=3,1,0),IF($X150&lt;30,1,0))</formula>
    </cfRule>
    <cfRule type="expression" priority="1286" dxfId="0">
      <formula>AND(IF($Q150=3,1,IF($Q150=4,1,0)),IF($F150&lt;=85,1,0))</formula>
    </cfRule>
  </conditionalFormatting>
  <conditionalFormatting sqref="AI150">
    <cfRule type="expression" priority="1279" dxfId="3">
      <formula>AND(IF(OR($Q150=1,$Q150=2),1,0),IF($X150&lt;=20,1,0))</formula>
    </cfRule>
    <cfRule type="expression" priority="1280" dxfId="2">
      <formula>AND(IF($Q150=2,1,0),IF($X150&lt;30,1,0))</formula>
    </cfRule>
    <cfRule type="expression" priority="1281" dxfId="1">
      <formula>AND(IF($Q150=3,1,0),IF($X150&lt;30,1,0))</formula>
    </cfRule>
    <cfRule type="expression" priority="1282" dxfId="0">
      <formula>AND(IF($Q150=3,1,IF($Q150=4,1,0)),IF($F150&lt;=85,1,0))</formula>
    </cfRule>
  </conditionalFormatting>
  <conditionalFormatting sqref="AV151">
    <cfRule type="expression" priority="1277" dxfId="23">
      <formula>AV151="X"</formula>
    </cfRule>
    <cfRule type="expression" priority="1278" dxfId="22">
      <formula>AV151="후보"</formula>
    </cfRule>
  </conditionalFormatting>
  <conditionalFormatting sqref="AC15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5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51">
    <cfRule type="expression" priority="1269" dxfId="3">
      <formula>AND(IF(OR($Q151=1,$Q151=2),1,0),IF($X151&lt;=20,1,0))</formula>
    </cfRule>
    <cfRule type="expression" priority="1270" dxfId="2">
      <formula>AND(IF($Q151=2,1,0),IF($X151&lt;30,1,0))</formula>
    </cfRule>
    <cfRule type="expression" priority="1271" dxfId="1">
      <formula>AND(IF($Q151=3,1,0),IF($X151&lt;30,1,0))</formula>
    </cfRule>
    <cfRule type="expression" priority="1272" dxfId="0">
      <formula>AND(IF($Q151=3,1,IF($Q151=4,1,0)),IF($F151&lt;=85,1,0))</formula>
    </cfRule>
  </conditionalFormatting>
  <conditionalFormatting sqref="X151">
    <cfRule type="expression" priority="1265" dxfId="3">
      <formula>AND(IF(OR($Q151=1,$Q151=2),1,0),IF($X151&lt;=20,1,0))</formula>
    </cfRule>
    <cfRule type="expression" priority="1266" dxfId="2">
      <formula>AND(IF($Q151=2,1,0),IF($X151&lt;30,1,0))</formula>
    </cfRule>
    <cfRule type="expression" priority="1267" dxfId="1">
      <formula>AND(IF($Q151=3,1,0),IF($X151&lt;30,1,0))</formula>
    </cfRule>
    <cfRule type="expression" priority="1268" dxfId="0">
      <formula>AND(IF($Q151=3,1,IF($Q151=4,1,0)),IF($F151&lt;=85,1,0))</formula>
    </cfRule>
  </conditionalFormatting>
  <conditionalFormatting sqref="AI151">
    <cfRule type="expression" priority="1261" dxfId="3">
      <formula>AND(IF(OR($Q151=1,$Q151=2),1,0),IF($X151&lt;=20,1,0))</formula>
    </cfRule>
    <cfRule type="expression" priority="1262" dxfId="2">
      <formula>AND(IF($Q151=2,1,0),IF($X151&lt;30,1,0))</formula>
    </cfRule>
    <cfRule type="expression" priority="1263" dxfId="1">
      <formula>AND(IF($Q151=3,1,0),IF($X151&lt;30,1,0))</formula>
    </cfRule>
    <cfRule type="expression" priority="1264" dxfId="0">
      <formula>AND(IF($Q151=3,1,IF($Q151=4,1,0)),IF($F151&lt;=85,1,0))</formula>
    </cfRule>
  </conditionalFormatting>
  <conditionalFormatting sqref="AV152">
    <cfRule type="expression" priority="1259" dxfId="23">
      <formula>AV152="X"</formula>
    </cfRule>
    <cfRule type="expression" priority="1260" dxfId="22">
      <formula>AV152="후보"</formula>
    </cfRule>
  </conditionalFormatting>
  <conditionalFormatting sqref="AC15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5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52">
    <cfRule type="expression" priority="1251" dxfId="3">
      <formula>AND(IF(OR($Q152=1,$Q152=2),1,0),IF($X152&lt;=20,1,0))</formula>
    </cfRule>
    <cfRule type="expression" priority="1252" dxfId="2">
      <formula>AND(IF($Q152=2,1,0),IF($X152&lt;30,1,0))</formula>
    </cfRule>
    <cfRule type="expression" priority="1253" dxfId="1">
      <formula>AND(IF($Q152=3,1,0),IF($X152&lt;30,1,0))</formula>
    </cfRule>
    <cfRule type="expression" priority="1254" dxfId="0">
      <formula>AND(IF($Q152=3,1,IF($Q152=4,1,0)),IF($F152&lt;=85,1,0))</formula>
    </cfRule>
  </conditionalFormatting>
  <conditionalFormatting sqref="X152">
    <cfRule type="expression" priority="1247" dxfId="3">
      <formula>AND(IF(OR($Q152=1,$Q152=2),1,0),IF($X152&lt;=20,1,0))</formula>
    </cfRule>
    <cfRule type="expression" priority="1248" dxfId="2">
      <formula>AND(IF($Q152=2,1,0),IF($X152&lt;30,1,0))</formula>
    </cfRule>
    <cfRule type="expression" priority="1249" dxfId="1">
      <formula>AND(IF($Q152=3,1,0),IF($X152&lt;30,1,0))</formula>
    </cfRule>
    <cfRule type="expression" priority="1250" dxfId="0">
      <formula>AND(IF($Q152=3,1,IF($Q152=4,1,0)),IF($F152&lt;=85,1,0))</formula>
    </cfRule>
  </conditionalFormatting>
  <conditionalFormatting sqref="AI152">
    <cfRule type="expression" priority="1243" dxfId="3">
      <formula>AND(IF(OR($Q152=1,$Q152=2),1,0),IF($X152&lt;=20,1,0))</formula>
    </cfRule>
    <cfRule type="expression" priority="1244" dxfId="2">
      <formula>AND(IF($Q152=2,1,0),IF($X152&lt;30,1,0))</formula>
    </cfRule>
    <cfRule type="expression" priority="1245" dxfId="1">
      <formula>AND(IF($Q152=3,1,0),IF($X152&lt;30,1,0))</formula>
    </cfRule>
    <cfRule type="expression" priority="1246" dxfId="0">
      <formula>AND(IF($Q152=3,1,IF($Q152=4,1,0)),IF($F152&lt;=85,1,0))</formula>
    </cfRule>
  </conditionalFormatting>
  <conditionalFormatting sqref="AV153">
    <cfRule type="expression" priority="1241" dxfId="23">
      <formula>AV153="X"</formula>
    </cfRule>
    <cfRule type="expression" priority="1242" dxfId="22">
      <formula>AV153="후보"</formula>
    </cfRule>
  </conditionalFormatting>
  <conditionalFormatting sqref="AC15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5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53">
    <cfRule type="expression" priority="1233" dxfId="3">
      <formula>AND(IF(OR($Q153=1,$Q153=2),1,0),IF($X153&lt;=20,1,0))</formula>
    </cfRule>
    <cfRule type="expression" priority="1234" dxfId="2">
      <formula>AND(IF($Q153=2,1,0),IF($X153&lt;30,1,0))</formula>
    </cfRule>
    <cfRule type="expression" priority="1235" dxfId="1">
      <formula>AND(IF($Q153=3,1,0),IF($X153&lt;30,1,0))</formula>
    </cfRule>
    <cfRule type="expression" priority="1236" dxfId="0">
      <formula>AND(IF($Q153=3,1,IF($Q153=4,1,0)),IF($F153&lt;=85,1,0))</formula>
    </cfRule>
  </conditionalFormatting>
  <conditionalFormatting sqref="X153">
    <cfRule type="expression" priority="1229" dxfId="3">
      <formula>AND(IF(OR($Q153=1,$Q153=2),1,0),IF($X153&lt;=20,1,0))</formula>
    </cfRule>
    <cfRule type="expression" priority="1230" dxfId="2">
      <formula>AND(IF($Q153=2,1,0),IF($X153&lt;30,1,0))</formula>
    </cfRule>
    <cfRule type="expression" priority="1231" dxfId="1">
      <formula>AND(IF($Q153=3,1,0),IF($X153&lt;30,1,0))</formula>
    </cfRule>
    <cfRule type="expression" priority="1232" dxfId="0">
      <formula>AND(IF($Q153=3,1,IF($Q153=4,1,0)),IF($F153&lt;=85,1,0))</formula>
    </cfRule>
  </conditionalFormatting>
  <conditionalFormatting sqref="AI153">
    <cfRule type="expression" priority="1225" dxfId="3">
      <formula>AND(IF(OR($Q153=1,$Q153=2),1,0),IF($X153&lt;=20,1,0))</formula>
    </cfRule>
    <cfRule type="expression" priority="1226" dxfId="2">
      <formula>AND(IF($Q153=2,1,0),IF($X153&lt;30,1,0))</formula>
    </cfRule>
    <cfRule type="expression" priority="1227" dxfId="1">
      <formula>AND(IF($Q153=3,1,0),IF($X153&lt;30,1,0))</formula>
    </cfRule>
    <cfRule type="expression" priority="1228" dxfId="0">
      <formula>AND(IF($Q153=3,1,IF($Q153=4,1,0)),IF($F153&lt;=85,1,0))</formula>
    </cfRule>
  </conditionalFormatting>
  <conditionalFormatting sqref="AV154">
    <cfRule type="expression" priority="1223" dxfId="23">
      <formula>AV154="X"</formula>
    </cfRule>
    <cfRule type="expression" priority="1224" dxfId="22">
      <formula>AV154="후보"</formula>
    </cfRule>
  </conditionalFormatting>
  <conditionalFormatting sqref="AC15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5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54">
    <cfRule type="expression" priority="1215" dxfId="3">
      <formula>AND(IF(OR($Q154=1,$Q154=2),1,0),IF($X154&lt;=20,1,0))</formula>
    </cfRule>
    <cfRule type="expression" priority="1216" dxfId="2">
      <formula>AND(IF($Q154=2,1,0),IF($X154&lt;30,1,0))</formula>
    </cfRule>
    <cfRule type="expression" priority="1217" dxfId="1">
      <formula>AND(IF($Q154=3,1,0),IF($X154&lt;30,1,0))</formula>
    </cfRule>
    <cfRule type="expression" priority="1218" dxfId="0">
      <formula>AND(IF($Q154=3,1,IF($Q154=4,1,0)),IF($F154&lt;=85,1,0))</formula>
    </cfRule>
  </conditionalFormatting>
  <conditionalFormatting sqref="X154">
    <cfRule type="expression" priority="1211" dxfId="3">
      <formula>AND(IF(OR($Q154=1,$Q154=2),1,0),IF($X154&lt;=20,1,0))</formula>
    </cfRule>
    <cfRule type="expression" priority="1212" dxfId="2">
      <formula>AND(IF($Q154=2,1,0),IF($X154&lt;30,1,0))</formula>
    </cfRule>
    <cfRule type="expression" priority="1213" dxfId="1">
      <formula>AND(IF($Q154=3,1,0),IF($X154&lt;30,1,0))</formula>
    </cfRule>
    <cfRule type="expression" priority="1214" dxfId="0">
      <formula>AND(IF($Q154=3,1,IF($Q154=4,1,0)),IF($F154&lt;=85,1,0))</formula>
    </cfRule>
  </conditionalFormatting>
  <conditionalFormatting sqref="AI154">
    <cfRule type="expression" priority="1207" dxfId="3">
      <formula>AND(IF(OR($Q154=1,$Q154=2),1,0),IF($X154&lt;=20,1,0))</formula>
    </cfRule>
    <cfRule type="expression" priority="1208" dxfId="2">
      <formula>AND(IF($Q154=2,1,0),IF($X154&lt;30,1,0))</formula>
    </cfRule>
    <cfRule type="expression" priority="1209" dxfId="1">
      <formula>AND(IF($Q154=3,1,0),IF($X154&lt;30,1,0))</formula>
    </cfRule>
    <cfRule type="expression" priority="1210" dxfId="0">
      <formula>AND(IF($Q154=3,1,IF($Q154=4,1,0)),IF($F154&lt;=85,1,0))</formula>
    </cfRule>
  </conditionalFormatting>
  <conditionalFormatting sqref="AV155">
    <cfRule type="expression" priority="1205" dxfId="23">
      <formula>AV155="X"</formula>
    </cfRule>
    <cfRule type="expression" priority="1206" dxfId="22">
      <formula>AV155="후보"</formula>
    </cfRule>
  </conditionalFormatting>
  <conditionalFormatting sqref="AC15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5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55">
    <cfRule type="expression" priority="1197" dxfId="3">
      <formula>AND(IF(OR($Q155=1,$Q155=2),1,0),IF($X155&lt;=20,1,0))</formula>
    </cfRule>
    <cfRule type="expression" priority="1198" dxfId="2">
      <formula>AND(IF($Q155=2,1,0),IF($X155&lt;30,1,0))</formula>
    </cfRule>
    <cfRule type="expression" priority="1199" dxfId="1">
      <formula>AND(IF($Q155=3,1,0),IF($X155&lt;30,1,0))</formula>
    </cfRule>
    <cfRule type="expression" priority="1200" dxfId="0">
      <formula>AND(IF($Q155=3,1,IF($Q155=4,1,0)),IF($F155&lt;=85,1,0))</formula>
    </cfRule>
  </conditionalFormatting>
  <conditionalFormatting sqref="X155">
    <cfRule type="expression" priority="1193" dxfId="3">
      <formula>AND(IF(OR($Q155=1,$Q155=2),1,0),IF($X155&lt;=20,1,0))</formula>
    </cfRule>
    <cfRule type="expression" priority="1194" dxfId="2">
      <formula>AND(IF($Q155=2,1,0),IF($X155&lt;30,1,0))</formula>
    </cfRule>
    <cfRule type="expression" priority="1195" dxfId="1">
      <formula>AND(IF($Q155=3,1,0),IF($X155&lt;30,1,0))</formula>
    </cfRule>
    <cfRule type="expression" priority="1196" dxfId="0">
      <formula>AND(IF($Q155=3,1,IF($Q155=4,1,0)),IF($F155&lt;=85,1,0))</formula>
    </cfRule>
  </conditionalFormatting>
  <conditionalFormatting sqref="AI155">
    <cfRule type="expression" priority="1189" dxfId="3">
      <formula>AND(IF(OR($Q155=1,$Q155=2),1,0),IF($X155&lt;=20,1,0))</formula>
    </cfRule>
    <cfRule type="expression" priority="1190" dxfId="2">
      <formula>AND(IF($Q155=2,1,0),IF($X155&lt;30,1,0))</formula>
    </cfRule>
    <cfRule type="expression" priority="1191" dxfId="1">
      <formula>AND(IF($Q155=3,1,0),IF($X155&lt;30,1,0))</formula>
    </cfRule>
    <cfRule type="expression" priority="1192" dxfId="0">
      <formula>AND(IF($Q155=3,1,IF($Q155=4,1,0)),IF($F155&lt;=85,1,0))</formula>
    </cfRule>
  </conditionalFormatting>
  <conditionalFormatting sqref="AV156">
    <cfRule type="expression" priority="1187" dxfId="23">
      <formula>AV156="X"</formula>
    </cfRule>
    <cfRule type="expression" priority="1188" dxfId="22">
      <formula>AV156="후보"</formula>
    </cfRule>
  </conditionalFormatting>
  <conditionalFormatting sqref="AC15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5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56">
    <cfRule type="expression" priority="1179" dxfId="3">
      <formula>AND(IF(OR($Q156=1,$Q156=2),1,0),IF($X156&lt;=20,1,0))</formula>
    </cfRule>
    <cfRule type="expression" priority="1180" dxfId="2">
      <formula>AND(IF($Q156=2,1,0),IF($X156&lt;30,1,0))</formula>
    </cfRule>
    <cfRule type="expression" priority="1181" dxfId="1">
      <formula>AND(IF($Q156=3,1,0),IF($X156&lt;30,1,0))</formula>
    </cfRule>
    <cfRule type="expression" priority="1182" dxfId="0">
      <formula>AND(IF($Q156=3,1,IF($Q156=4,1,0)),IF($F156&lt;=85,1,0))</formula>
    </cfRule>
  </conditionalFormatting>
  <conditionalFormatting sqref="X156">
    <cfRule type="expression" priority="1175" dxfId="3">
      <formula>AND(IF(OR($Q156=1,$Q156=2),1,0),IF($X156&lt;=20,1,0))</formula>
    </cfRule>
    <cfRule type="expression" priority="1176" dxfId="2">
      <formula>AND(IF($Q156=2,1,0),IF($X156&lt;30,1,0))</formula>
    </cfRule>
    <cfRule type="expression" priority="1177" dxfId="1">
      <formula>AND(IF($Q156=3,1,0),IF($X156&lt;30,1,0))</formula>
    </cfRule>
    <cfRule type="expression" priority="1178" dxfId="0">
      <formula>AND(IF($Q156=3,1,IF($Q156=4,1,0)),IF($F156&lt;=85,1,0))</formula>
    </cfRule>
  </conditionalFormatting>
  <conditionalFormatting sqref="AI156">
    <cfRule type="expression" priority="1171" dxfId="3">
      <formula>AND(IF(OR($Q156=1,$Q156=2),1,0),IF($X156&lt;=20,1,0))</formula>
    </cfRule>
    <cfRule type="expression" priority="1172" dxfId="2">
      <formula>AND(IF($Q156=2,1,0),IF($X156&lt;30,1,0))</formula>
    </cfRule>
    <cfRule type="expression" priority="1173" dxfId="1">
      <formula>AND(IF($Q156=3,1,0),IF($X156&lt;30,1,0))</formula>
    </cfRule>
    <cfRule type="expression" priority="1174" dxfId="0">
      <formula>AND(IF($Q156=3,1,IF($Q156=4,1,0)),IF($F156&lt;=85,1,0))</formula>
    </cfRule>
  </conditionalFormatting>
  <conditionalFormatting sqref="AV157">
    <cfRule type="expression" priority="1169" dxfId="23">
      <formula>AV157="X"</formula>
    </cfRule>
    <cfRule type="expression" priority="1170" dxfId="22">
      <formula>AV157="후보"</formula>
    </cfRule>
  </conditionalFormatting>
  <conditionalFormatting sqref="AC15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5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57">
    <cfRule type="expression" priority="1161" dxfId="3">
      <formula>AND(IF(OR($Q157=1,$Q157=2),1,0),IF($X157&lt;=20,1,0))</formula>
    </cfRule>
    <cfRule type="expression" priority="1162" dxfId="2">
      <formula>AND(IF($Q157=2,1,0),IF($X157&lt;30,1,0))</formula>
    </cfRule>
    <cfRule type="expression" priority="1163" dxfId="1">
      <formula>AND(IF($Q157=3,1,0),IF($X157&lt;30,1,0))</formula>
    </cfRule>
    <cfRule type="expression" priority="1164" dxfId="0">
      <formula>AND(IF($Q157=3,1,IF($Q157=4,1,0)),IF($F157&lt;=85,1,0))</formula>
    </cfRule>
  </conditionalFormatting>
  <conditionalFormatting sqref="X157">
    <cfRule type="expression" priority="1157" dxfId="3">
      <formula>AND(IF(OR($Q157=1,$Q157=2),1,0),IF($X157&lt;=20,1,0))</formula>
    </cfRule>
    <cfRule type="expression" priority="1158" dxfId="2">
      <formula>AND(IF($Q157=2,1,0),IF($X157&lt;30,1,0))</formula>
    </cfRule>
    <cfRule type="expression" priority="1159" dxfId="1">
      <formula>AND(IF($Q157=3,1,0),IF($X157&lt;30,1,0))</formula>
    </cfRule>
    <cfRule type="expression" priority="1160" dxfId="0">
      <formula>AND(IF($Q157=3,1,IF($Q157=4,1,0)),IF($F157&lt;=85,1,0))</formula>
    </cfRule>
  </conditionalFormatting>
  <conditionalFormatting sqref="AI157">
    <cfRule type="expression" priority="1153" dxfId="3">
      <formula>AND(IF(OR($Q157=1,$Q157=2),1,0),IF($X157&lt;=20,1,0))</formula>
    </cfRule>
    <cfRule type="expression" priority="1154" dxfId="2">
      <formula>AND(IF($Q157=2,1,0),IF($X157&lt;30,1,0))</formula>
    </cfRule>
    <cfRule type="expression" priority="1155" dxfId="1">
      <formula>AND(IF($Q157=3,1,0),IF($X157&lt;30,1,0))</formula>
    </cfRule>
    <cfRule type="expression" priority="1156" dxfId="0">
      <formula>AND(IF($Q157=3,1,IF($Q157=4,1,0)),IF($F157&lt;=85,1,0))</formula>
    </cfRule>
  </conditionalFormatting>
  <conditionalFormatting sqref="AV158">
    <cfRule type="expression" priority="1151" dxfId="23">
      <formula>AV158="X"</formula>
    </cfRule>
    <cfRule type="expression" priority="1152" dxfId="22">
      <formula>AV158="후보"</formula>
    </cfRule>
  </conditionalFormatting>
  <conditionalFormatting sqref="AC15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5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58">
    <cfRule type="expression" priority="1143" dxfId="3">
      <formula>AND(IF(OR($Q158=1,$Q158=2),1,0),IF($X158&lt;=20,1,0))</formula>
    </cfRule>
    <cfRule type="expression" priority="1144" dxfId="2">
      <formula>AND(IF($Q158=2,1,0),IF($X158&lt;30,1,0))</formula>
    </cfRule>
    <cfRule type="expression" priority="1145" dxfId="1">
      <formula>AND(IF($Q158=3,1,0),IF($X158&lt;30,1,0))</formula>
    </cfRule>
    <cfRule type="expression" priority="1146" dxfId="0">
      <formula>AND(IF($Q158=3,1,IF($Q158=4,1,0)),IF($F158&lt;=85,1,0))</formula>
    </cfRule>
  </conditionalFormatting>
  <conditionalFormatting sqref="X158">
    <cfRule type="expression" priority="1139" dxfId="3">
      <formula>AND(IF(OR($Q158=1,$Q158=2),1,0),IF($X158&lt;=20,1,0))</formula>
    </cfRule>
    <cfRule type="expression" priority="1140" dxfId="2">
      <formula>AND(IF($Q158=2,1,0),IF($X158&lt;30,1,0))</formula>
    </cfRule>
    <cfRule type="expression" priority="1141" dxfId="1">
      <formula>AND(IF($Q158=3,1,0),IF($X158&lt;30,1,0))</formula>
    </cfRule>
    <cfRule type="expression" priority="1142" dxfId="0">
      <formula>AND(IF($Q158=3,1,IF($Q158=4,1,0)),IF($F158&lt;=85,1,0))</formula>
    </cfRule>
  </conditionalFormatting>
  <conditionalFormatting sqref="AI158">
    <cfRule type="expression" priority="1135" dxfId="3">
      <formula>AND(IF(OR($Q158=1,$Q158=2),1,0),IF($X158&lt;=20,1,0))</formula>
    </cfRule>
    <cfRule type="expression" priority="1136" dxfId="2">
      <formula>AND(IF($Q158=2,1,0),IF($X158&lt;30,1,0))</formula>
    </cfRule>
    <cfRule type="expression" priority="1137" dxfId="1">
      <formula>AND(IF($Q158=3,1,0),IF($X158&lt;30,1,0))</formula>
    </cfRule>
    <cfRule type="expression" priority="1138" dxfId="0">
      <formula>AND(IF($Q158=3,1,IF($Q158=4,1,0)),IF($F158&lt;=85,1,0))</formula>
    </cfRule>
  </conditionalFormatting>
  <conditionalFormatting sqref="AV159">
    <cfRule type="expression" priority="1133" dxfId="23">
      <formula>AV159="X"</formula>
    </cfRule>
    <cfRule type="expression" priority="1134" dxfId="22">
      <formula>AV159="후보"</formula>
    </cfRule>
  </conditionalFormatting>
  <conditionalFormatting sqref="AC15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5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59">
    <cfRule type="expression" priority="1125" dxfId="3">
      <formula>AND(IF(OR($Q159=1,$Q159=2),1,0),IF($X159&lt;=20,1,0))</formula>
    </cfRule>
    <cfRule type="expression" priority="1126" dxfId="2">
      <formula>AND(IF($Q159=2,1,0),IF($X159&lt;30,1,0))</formula>
    </cfRule>
    <cfRule type="expression" priority="1127" dxfId="1">
      <formula>AND(IF($Q159=3,1,0),IF($X159&lt;30,1,0))</formula>
    </cfRule>
    <cfRule type="expression" priority="1128" dxfId="0">
      <formula>AND(IF($Q159=3,1,IF($Q159=4,1,0)),IF($F159&lt;=85,1,0))</formula>
    </cfRule>
  </conditionalFormatting>
  <conditionalFormatting sqref="X159">
    <cfRule type="expression" priority="1121" dxfId="3">
      <formula>AND(IF(OR($Q159=1,$Q159=2),1,0),IF($X159&lt;=20,1,0))</formula>
    </cfRule>
    <cfRule type="expression" priority="1122" dxfId="2">
      <formula>AND(IF($Q159=2,1,0),IF($X159&lt;30,1,0))</formula>
    </cfRule>
    <cfRule type="expression" priority="1123" dxfId="1">
      <formula>AND(IF($Q159=3,1,0),IF($X159&lt;30,1,0))</formula>
    </cfRule>
    <cfRule type="expression" priority="1124" dxfId="0">
      <formula>AND(IF($Q159=3,1,IF($Q159=4,1,0)),IF($F159&lt;=85,1,0))</formula>
    </cfRule>
  </conditionalFormatting>
  <conditionalFormatting sqref="AI159">
    <cfRule type="expression" priority="1117" dxfId="3">
      <formula>AND(IF(OR($Q159=1,$Q159=2),1,0),IF($X159&lt;=20,1,0))</formula>
    </cfRule>
    <cfRule type="expression" priority="1118" dxfId="2">
      <formula>AND(IF($Q159=2,1,0),IF($X159&lt;30,1,0))</formula>
    </cfRule>
    <cfRule type="expression" priority="1119" dxfId="1">
      <formula>AND(IF($Q159=3,1,0),IF($X159&lt;30,1,0))</formula>
    </cfRule>
    <cfRule type="expression" priority="1120" dxfId="0">
      <formula>AND(IF($Q159=3,1,IF($Q159=4,1,0)),IF($F159&lt;=85,1,0))</formula>
    </cfRule>
  </conditionalFormatting>
  <conditionalFormatting sqref="AV160">
    <cfRule type="expression" priority="1115" dxfId="23">
      <formula>AV160="X"</formula>
    </cfRule>
    <cfRule type="expression" priority="1116" dxfId="22">
      <formula>AV160="후보"</formula>
    </cfRule>
  </conditionalFormatting>
  <conditionalFormatting sqref="AC16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6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60">
    <cfRule type="expression" priority="1107" dxfId="3">
      <formula>AND(IF(OR($Q160=1,$Q160=2),1,0),IF($X160&lt;=20,1,0))</formula>
    </cfRule>
    <cfRule type="expression" priority="1108" dxfId="2">
      <formula>AND(IF($Q160=2,1,0),IF($X160&lt;30,1,0))</formula>
    </cfRule>
    <cfRule type="expression" priority="1109" dxfId="1">
      <formula>AND(IF($Q160=3,1,0),IF($X160&lt;30,1,0))</formula>
    </cfRule>
    <cfRule type="expression" priority="1110" dxfId="0">
      <formula>AND(IF($Q160=3,1,IF($Q160=4,1,0)),IF($F160&lt;=85,1,0))</formula>
    </cfRule>
  </conditionalFormatting>
  <conditionalFormatting sqref="X160">
    <cfRule type="expression" priority="1103" dxfId="3">
      <formula>AND(IF(OR($Q160=1,$Q160=2),1,0),IF($X160&lt;=20,1,0))</formula>
    </cfRule>
    <cfRule type="expression" priority="1104" dxfId="2">
      <formula>AND(IF($Q160=2,1,0),IF($X160&lt;30,1,0))</formula>
    </cfRule>
    <cfRule type="expression" priority="1105" dxfId="1">
      <formula>AND(IF($Q160=3,1,0),IF($X160&lt;30,1,0))</formula>
    </cfRule>
    <cfRule type="expression" priority="1106" dxfId="0">
      <formula>AND(IF($Q160=3,1,IF($Q160=4,1,0)),IF($F160&lt;=85,1,0))</formula>
    </cfRule>
  </conditionalFormatting>
  <conditionalFormatting sqref="AI160">
    <cfRule type="expression" priority="1099" dxfId="3">
      <formula>AND(IF(OR($Q160=1,$Q160=2),1,0),IF($X160&lt;=20,1,0))</formula>
    </cfRule>
    <cfRule type="expression" priority="1100" dxfId="2">
      <formula>AND(IF($Q160=2,1,0),IF($X160&lt;30,1,0))</formula>
    </cfRule>
    <cfRule type="expression" priority="1101" dxfId="1">
      <formula>AND(IF($Q160=3,1,0),IF($X160&lt;30,1,0))</formula>
    </cfRule>
    <cfRule type="expression" priority="1102" dxfId="0">
      <formula>AND(IF($Q160=3,1,IF($Q160=4,1,0)),IF($F160&lt;=85,1,0))</formula>
    </cfRule>
  </conditionalFormatting>
  <conditionalFormatting sqref="AV161">
    <cfRule type="expression" priority="1097" dxfId="23">
      <formula>AV161="X"</formula>
    </cfRule>
    <cfRule type="expression" priority="1098" dxfId="22">
      <formula>AV161="후보"</formula>
    </cfRule>
  </conditionalFormatting>
  <conditionalFormatting sqref="AC16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6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61">
    <cfRule type="expression" priority="1089" dxfId="3">
      <formula>AND(IF(OR($Q161=1,$Q161=2),1,0),IF($X161&lt;=20,1,0))</formula>
    </cfRule>
    <cfRule type="expression" priority="1090" dxfId="2">
      <formula>AND(IF($Q161=2,1,0),IF($X161&lt;30,1,0))</formula>
    </cfRule>
    <cfRule type="expression" priority="1091" dxfId="1">
      <formula>AND(IF($Q161=3,1,0),IF($X161&lt;30,1,0))</formula>
    </cfRule>
    <cfRule type="expression" priority="1092" dxfId="0">
      <formula>AND(IF($Q161=3,1,IF($Q161=4,1,0)),IF($F161&lt;=85,1,0))</formula>
    </cfRule>
  </conditionalFormatting>
  <conditionalFormatting sqref="X161">
    <cfRule type="expression" priority="1085" dxfId="3">
      <formula>AND(IF(OR($Q161=1,$Q161=2),1,0),IF($X161&lt;=20,1,0))</formula>
    </cfRule>
    <cfRule type="expression" priority="1086" dxfId="2">
      <formula>AND(IF($Q161=2,1,0),IF($X161&lt;30,1,0))</formula>
    </cfRule>
    <cfRule type="expression" priority="1087" dxfId="1">
      <formula>AND(IF($Q161=3,1,0),IF($X161&lt;30,1,0))</formula>
    </cfRule>
    <cfRule type="expression" priority="1088" dxfId="0">
      <formula>AND(IF($Q161=3,1,IF($Q161=4,1,0)),IF($F161&lt;=85,1,0))</formula>
    </cfRule>
  </conditionalFormatting>
  <conditionalFormatting sqref="AI161">
    <cfRule type="expression" priority="1081" dxfId="3">
      <formula>AND(IF(OR($Q161=1,$Q161=2),1,0),IF($X161&lt;=20,1,0))</formula>
    </cfRule>
    <cfRule type="expression" priority="1082" dxfId="2">
      <formula>AND(IF($Q161=2,1,0),IF($X161&lt;30,1,0))</formula>
    </cfRule>
    <cfRule type="expression" priority="1083" dxfId="1">
      <formula>AND(IF($Q161=3,1,0),IF($X161&lt;30,1,0))</formula>
    </cfRule>
    <cfRule type="expression" priority="1084" dxfId="0">
      <formula>AND(IF($Q161=3,1,IF($Q161=4,1,0)),IF($F161&lt;=85,1,0))</formula>
    </cfRule>
  </conditionalFormatting>
  <conditionalFormatting sqref="AV162">
    <cfRule type="expression" priority="1079" dxfId="23">
      <formula>AV162="X"</formula>
    </cfRule>
    <cfRule type="expression" priority="1080" dxfId="22">
      <formula>AV162="후보"</formula>
    </cfRule>
  </conditionalFormatting>
  <conditionalFormatting sqref="AC16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6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62">
    <cfRule type="expression" priority="1071" dxfId="3">
      <formula>AND(IF(OR($Q162=1,$Q162=2),1,0),IF($X162&lt;=20,1,0))</formula>
    </cfRule>
    <cfRule type="expression" priority="1072" dxfId="2">
      <formula>AND(IF($Q162=2,1,0),IF($X162&lt;30,1,0))</formula>
    </cfRule>
    <cfRule type="expression" priority="1073" dxfId="1">
      <formula>AND(IF($Q162=3,1,0),IF($X162&lt;30,1,0))</formula>
    </cfRule>
    <cfRule type="expression" priority="1074" dxfId="0">
      <formula>AND(IF($Q162=3,1,IF($Q162=4,1,0)),IF($F162&lt;=85,1,0))</formula>
    </cfRule>
  </conditionalFormatting>
  <conditionalFormatting sqref="X162">
    <cfRule type="expression" priority="1067" dxfId="3">
      <formula>AND(IF(OR($Q162=1,$Q162=2),1,0),IF($X162&lt;=20,1,0))</formula>
    </cfRule>
    <cfRule type="expression" priority="1068" dxfId="2">
      <formula>AND(IF($Q162=2,1,0),IF($X162&lt;30,1,0))</formula>
    </cfRule>
    <cfRule type="expression" priority="1069" dxfId="1">
      <formula>AND(IF($Q162=3,1,0),IF($X162&lt;30,1,0))</formula>
    </cfRule>
    <cfRule type="expression" priority="1070" dxfId="0">
      <formula>AND(IF($Q162=3,1,IF($Q162=4,1,0)),IF($F162&lt;=85,1,0))</formula>
    </cfRule>
  </conditionalFormatting>
  <conditionalFormatting sqref="AI162">
    <cfRule type="expression" priority="1063" dxfId="3">
      <formula>AND(IF(OR($Q162=1,$Q162=2),1,0),IF($X162&lt;=20,1,0))</formula>
    </cfRule>
    <cfRule type="expression" priority="1064" dxfId="2">
      <formula>AND(IF($Q162=2,1,0),IF($X162&lt;30,1,0))</formula>
    </cfRule>
    <cfRule type="expression" priority="1065" dxfId="1">
      <formula>AND(IF($Q162=3,1,0),IF($X162&lt;30,1,0))</formula>
    </cfRule>
    <cfRule type="expression" priority="1066" dxfId="0">
      <formula>AND(IF($Q162=3,1,IF($Q162=4,1,0)),IF($F162&lt;=85,1,0))</formula>
    </cfRule>
  </conditionalFormatting>
  <conditionalFormatting sqref="AV163">
    <cfRule type="expression" priority="1061" dxfId="23">
      <formula>AV163="X"</formula>
    </cfRule>
    <cfRule type="expression" priority="1062" dxfId="22">
      <formula>AV163="후보"</formula>
    </cfRule>
  </conditionalFormatting>
  <conditionalFormatting sqref="AC16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6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63">
    <cfRule type="expression" priority="1053" dxfId="3">
      <formula>AND(IF(OR($Q163=1,$Q163=2),1,0),IF($X163&lt;=20,1,0))</formula>
    </cfRule>
    <cfRule type="expression" priority="1054" dxfId="2">
      <formula>AND(IF($Q163=2,1,0),IF($X163&lt;30,1,0))</formula>
    </cfRule>
    <cfRule type="expression" priority="1055" dxfId="1">
      <formula>AND(IF($Q163=3,1,0),IF($X163&lt;30,1,0))</formula>
    </cfRule>
    <cfRule type="expression" priority="1056" dxfId="0">
      <formula>AND(IF($Q163=3,1,IF($Q163=4,1,0)),IF($F163&lt;=85,1,0))</formula>
    </cfRule>
  </conditionalFormatting>
  <conditionalFormatting sqref="X163">
    <cfRule type="expression" priority="1049" dxfId="3">
      <formula>AND(IF(OR($Q163=1,$Q163=2),1,0),IF($X163&lt;=20,1,0))</formula>
    </cfRule>
    <cfRule type="expression" priority="1050" dxfId="2">
      <formula>AND(IF($Q163=2,1,0),IF($X163&lt;30,1,0))</formula>
    </cfRule>
    <cfRule type="expression" priority="1051" dxfId="1">
      <formula>AND(IF($Q163=3,1,0),IF($X163&lt;30,1,0))</formula>
    </cfRule>
    <cfRule type="expression" priority="1052" dxfId="0">
      <formula>AND(IF($Q163=3,1,IF($Q163=4,1,0)),IF($F163&lt;=85,1,0))</formula>
    </cfRule>
  </conditionalFormatting>
  <conditionalFormatting sqref="AI163">
    <cfRule type="expression" priority="1045" dxfId="3">
      <formula>AND(IF(OR($Q163=1,$Q163=2),1,0),IF($X163&lt;=20,1,0))</formula>
    </cfRule>
    <cfRule type="expression" priority="1046" dxfId="2">
      <formula>AND(IF($Q163=2,1,0),IF($X163&lt;30,1,0))</formula>
    </cfRule>
    <cfRule type="expression" priority="1047" dxfId="1">
      <formula>AND(IF($Q163=3,1,0),IF($X163&lt;30,1,0))</formula>
    </cfRule>
    <cfRule type="expression" priority="1048" dxfId="0">
      <formula>AND(IF($Q163=3,1,IF($Q163=4,1,0)),IF($F163&lt;=85,1,0))</formula>
    </cfRule>
  </conditionalFormatting>
  <conditionalFormatting sqref="AV164">
    <cfRule type="expression" priority="1043" dxfId="23">
      <formula>AV164="X"</formula>
    </cfRule>
    <cfRule type="expression" priority="1044" dxfId="22">
      <formula>AV164="후보"</formula>
    </cfRule>
  </conditionalFormatting>
  <conditionalFormatting sqref="AC16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6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64">
    <cfRule type="expression" priority="1035" dxfId="3">
      <formula>AND(IF(OR($Q164=1,$Q164=2),1,0),IF($X164&lt;=20,1,0))</formula>
    </cfRule>
    <cfRule type="expression" priority="1036" dxfId="2">
      <formula>AND(IF($Q164=2,1,0),IF($X164&lt;30,1,0))</formula>
    </cfRule>
    <cfRule type="expression" priority="1037" dxfId="1">
      <formula>AND(IF($Q164=3,1,0),IF($X164&lt;30,1,0))</formula>
    </cfRule>
    <cfRule type="expression" priority="1038" dxfId="0">
      <formula>AND(IF($Q164=3,1,IF($Q164=4,1,0)),IF($F164&lt;=85,1,0))</formula>
    </cfRule>
  </conditionalFormatting>
  <conditionalFormatting sqref="X164">
    <cfRule type="expression" priority="1031" dxfId="3">
      <formula>AND(IF(OR($Q164=1,$Q164=2),1,0),IF($X164&lt;=20,1,0))</formula>
    </cfRule>
    <cfRule type="expression" priority="1032" dxfId="2">
      <formula>AND(IF($Q164=2,1,0),IF($X164&lt;30,1,0))</formula>
    </cfRule>
    <cfRule type="expression" priority="1033" dxfId="1">
      <formula>AND(IF($Q164=3,1,0),IF($X164&lt;30,1,0))</formula>
    </cfRule>
    <cfRule type="expression" priority="1034" dxfId="0">
      <formula>AND(IF($Q164=3,1,IF($Q164=4,1,0)),IF($F164&lt;=85,1,0))</formula>
    </cfRule>
  </conditionalFormatting>
  <conditionalFormatting sqref="AI164">
    <cfRule type="expression" priority="1027" dxfId="3">
      <formula>AND(IF(OR($Q164=1,$Q164=2),1,0),IF($X164&lt;=20,1,0))</formula>
    </cfRule>
    <cfRule type="expression" priority="1028" dxfId="2">
      <formula>AND(IF($Q164=2,1,0),IF($X164&lt;30,1,0))</formula>
    </cfRule>
    <cfRule type="expression" priority="1029" dxfId="1">
      <formula>AND(IF($Q164=3,1,0),IF($X164&lt;30,1,0))</formula>
    </cfRule>
    <cfRule type="expression" priority="1030" dxfId="0">
      <formula>AND(IF($Q164=3,1,IF($Q164=4,1,0)),IF($F164&lt;=85,1,0))</formula>
    </cfRule>
  </conditionalFormatting>
  <conditionalFormatting sqref="AV165">
    <cfRule type="expression" priority="1025" dxfId="23">
      <formula>AV165="X"</formula>
    </cfRule>
    <cfRule type="expression" priority="1026" dxfId="22">
      <formula>AV165="후보"</formula>
    </cfRule>
  </conditionalFormatting>
  <conditionalFormatting sqref="AC16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6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65">
    <cfRule type="expression" priority="1017" dxfId="3">
      <formula>AND(IF(OR($Q165=1,$Q165=2),1,0),IF($X165&lt;=20,1,0))</formula>
    </cfRule>
    <cfRule type="expression" priority="1018" dxfId="2">
      <formula>AND(IF($Q165=2,1,0),IF($X165&lt;30,1,0))</formula>
    </cfRule>
    <cfRule type="expression" priority="1019" dxfId="1">
      <formula>AND(IF($Q165=3,1,0),IF($X165&lt;30,1,0))</formula>
    </cfRule>
    <cfRule type="expression" priority="1020" dxfId="0">
      <formula>AND(IF($Q165=3,1,IF($Q165=4,1,0)),IF($F165&lt;=85,1,0))</formula>
    </cfRule>
  </conditionalFormatting>
  <conditionalFormatting sqref="X165">
    <cfRule type="expression" priority="1013" dxfId="3">
      <formula>AND(IF(OR($Q165=1,$Q165=2),1,0),IF($X165&lt;=20,1,0))</formula>
    </cfRule>
    <cfRule type="expression" priority="1014" dxfId="2">
      <formula>AND(IF($Q165=2,1,0),IF($X165&lt;30,1,0))</formula>
    </cfRule>
    <cfRule type="expression" priority="1015" dxfId="1">
      <formula>AND(IF($Q165=3,1,0),IF($X165&lt;30,1,0))</formula>
    </cfRule>
    <cfRule type="expression" priority="1016" dxfId="0">
      <formula>AND(IF($Q165=3,1,IF($Q165=4,1,0)),IF($F165&lt;=85,1,0))</formula>
    </cfRule>
  </conditionalFormatting>
  <conditionalFormatting sqref="AI165">
    <cfRule type="expression" priority="1009" dxfId="3">
      <formula>AND(IF(OR($Q165=1,$Q165=2),1,0),IF($X165&lt;=20,1,0))</formula>
    </cfRule>
    <cfRule type="expression" priority="1010" dxfId="2">
      <formula>AND(IF($Q165=2,1,0),IF($X165&lt;30,1,0))</formula>
    </cfRule>
    <cfRule type="expression" priority="1011" dxfId="1">
      <formula>AND(IF($Q165=3,1,0),IF($X165&lt;30,1,0))</formula>
    </cfRule>
    <cfRule type="expression" priority="1012" dxfId="0">
      <formula>AND(IF($Q165=3,1,IF($Q165=4,1,0)),IF($F165&lt;=85,1,0))</formula>
    </cfRule>
  </conditionalFormatting>
  <conditionalFormatting sqref="AV166">
    <cfRule type="expression" priority="1007" dxfId="23">
      <formula>AV166="X"</formula>
    </cfRule>
    <cfRule type="expression" priority="1008" dxfId="22">
      <formula>AV166="후보"</formula>
    </cfRule>
  </conditionalFormatting>
  <conditionalFormatting sqref="AC16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6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66">
    <cfRule type="expression" priority="999" dxfId="3">
      <formula>AND(IF(OR($Q166=1,$Q166=2),1,0),IF($X166&lt;=20,1,0))</formula>
    </cfRule>
    <cfRule type="expression" priority="1000" dxfId="2">
      <formula>AND(IF($Q166=2,1,0),IF($X166&lt;30,1,0))</formula>
    </cfRule>
    <cfRule type="expression" priority="1001" dxfId="1">
      <formula>AND(IF($Q166=3,1,0),IF($X166&lt;30,1,0))</formula>
    </cfRule>
    <cfRule type="expression" priority="1002" dxfId="0">
      <formula>AND(IF($Q166=3,1,IF($Q166=4,1,0)),IF($F166&lt;=85,1,0))</formula>
    </cfRule>
  </conditionalFormatting>
  <conditionalFormatting sqref="X166">
    <cfRule type="expression" priority="995" dxfId="3">
      <formula>AND(IF(OR($Q166=1,$Q166=2),1,0),IF($X166&lt;=20,1,0))</formula>
    </cfRule>
    <cfRule type="expression" priority="996" dxfId="2">
      <formula>AND(IF($Q166=2,1,0),IF($X166&lt;30,1,0))</formula>
    </cfRule>
    <cfRule type="expression" priority="997" dxfId="1">
      <formula>AND(IF($Q166=3,1,0),IF($X166&lt;30,1,0))</formula>
    </cfRule>
    <cfRule type="expression" priority="998" dxfId="0">
      <formula>AND(IF($Q166=3,1,IF($Q166=4,1,0)),IF($F166&lt;=85,1,0))</formula>
    </cfRule>
  </conditionalFormatting>
  <conditionalFormatting sqref="AI166">
    <cfRule type="expression" priority="991" dxfId="3">
      <formula>AND(IF(OR($Q166=1,$Q166=2),1,0),IF($X166&lt;=20,1,0))</formula>
    </cfRule>
    <cfRule type="expression" priority="992" dxfId="2">
      <formula>AND(IF($Q166=2,1,0),IF($X166&lt;30,1,0))</formula>
    </cfRule>
    <cfRule type="expression" priority="993" dxfId="1">
      <formula>AND(IF($Q166=3,1,0),IF($X166&lt;30,1,0))</formula>
    </cfRule>
    <cfRule type="expression" priority="994" dxfId="0">
      <formula>AND(IF($Q166=3,1,IF($Q166=4,1,0)),IF($F166&lt;=85,1,0))</formula>
    </cfRule>
  </conditionalFormatting>
  <conditionalFormatting sqref="AV167">
    <cfRule type="expression" priority="989" dxfId="23">
      <formula>AV167="X"</formula>
    </cfRule>
    <cfRule type="expression" priority="990" dxfId="22">
      <formula>AV167="후보"</formula>
    </cfRule>
  </conditionalFormatting>
  <conditionalFormatting sqref="AC16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6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67">
    <cfRule type="expression" priority="981" dxfId="3">
      <formula>AND(IF(OR($Q167=1,$Q167=2),1,0),IF($X167&lt;=20,1,0))</formula>
    </cfRule>
    <cfRule type="expression" priority="982" dxfId="2">
      <formula>AND(IF($Q167=2,1,0),IF($X167&lt;30,1,0))</formula>
    </cfRule>
    <cfRule type="expression" priority="983" dxfId="1">
      <formula>AND(IF($Q167=3,1,0),IF($X167&lt;30,1,0))</formula>
    </cfRule>
    <cfRule type="expression" priority="984" dxfId="0">
      <formula>AND(IF($Q167=3,1,IF($Q167=4,1,0)),IF($F167&lt;=85,1,0))</formula>
    </cfRule>
  </conditionalFormatting>
  <conditionalFormatting sqref="X167">
    <cfRule type="expression" priority="977" dxfId="3">
      <formula>AND(IF(OR($Q167=1,$Q167=2),1,0),IF($X167&lt;=20,1,0))</formula>
    </cfRule>
    <cfRule type="expression" priority="978" dxfId="2">
      <formula>AND(IF($Q167=2,1,0),IF($X167&lt;30,1,0))</formula>
    </cfRule>
    <cfRule type="expression" priority="979" dxfId="1">
      <formula>AND(IF($Q167=3,1,0),IF($X167&lt;30,1,0))</formula>
    </cfRule>
    <cfRule type="expression" priority="980" dxfId="0">
      <formula>AND(IF($Q167=3,1,IF($Q167=4,1,0)),IF($F167&lt;=85,1,0))</formula>
    </cfRule>
  </conditionalFormatting>
  <conditionalFormatting sqref="AI167">
    <cfRule type="expression" priority="973" dxfId="3">
      <formula>AND(IF(OR($Q167=1,$Q167=2),1,0),IF($X167&lt;=20,1,0))</formula>
    </cfRule>
    <cfRule type="expression" priority="974" dxfId="2">
      <formula>AND(IF($Q167=2,1,0),IF($X167&lt;30,1,0))</formula>
    </cfRule>
    <cfRule type="expression" priority="975" dxfId="1">
      <formula>AND(IF($Q167=3,1,0),IF($X167&lt;30,1,0))</formula>
    </cfRule>
    <cfRule type="expression" priority="976" dxfId="0">
      <formula>AND(IF($Q167=3,1,IF($Q167=4,1,0)),IF($F167&lt;=85,1,0))</formula>
    </cfRule>
  </conditionalFormatting>
  <conditionalFormatting sqref="AV168">
    <cfRule type="expression" priority="971" dxfId="23">
      <formula>AV168="X"</formula>
    </cfRule>
    <cfRule type="expression" priority="972" dxfId="22">
      <formula>AV168="후보"</formula>
    </cfRule>
  </conditionalFormatting>
  <conditionalFormatting sqref="AC16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6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68">
    <cfRule type="expression" priority="963" dxfId="3">
      <formula>AND(IF(OR($Q168=1,$Q168=2),1,0),IF($X168&lt;=20,1,0))</formula>
    </cfRule>
    <cfRule type="expression" priority="964" dxfId="2">
      <formula>AND(IF($Q168=2,1,0),IF($X168&lt;30,1,0))</formula>
    </cfRule>
    <cfRule type="expression" priority="965" dxfId="1">
      <formula>AND(IF($Q168=3,1,0),IF($X168&lt;30,1,0))</formula>
    </cfRule>
    <cfRule type="expression" priority="966" dxfId="0">
      <formula>AND(IF($Q168=3,1,IF($Q168=4,1,0)),IF($F168&lt;=85,1,0))</formula>
    </cfRule>
  </conditionalFormatting>
  <conditionalFormatting sqref="X168">
    <cfRule type="expression" priority="959" dxfId="3">
      <formula>AND(IF(OR($Q168=1,$Q168=2),1,0),IF($X168&lt;=20,1,0))</formula>
    </cfRule>
    <cfRule type="expression" priority="960" dxfId="2">
      <formula>AND(IF($Q168=2,1,0),IF($X168&lt;30,1,0))</formula>
    </cfRule>
    <cfRule type="expression" priority="961" dxfId="1">
      <formula>AND(IF($Q168=3,1,0),IF($X168&lt;30,1,0))</formula>
    </cfRule>
    <cfRule type="expression" priority="962" dxfId="0">
      <formula>AND(IF($Q168=3,1,IF($Q168=4,1,0)),IF($F168&lt;=85,1,0))</formula>
    </cfRule>
  </conditionalFormatting>
  <conditionalFormatting sqref="AI168">
    <cfRule type="expression" priority="955" dxfId="3">
      <formula>AND(IF(OR($Q168=1,$Q168=2),1,0),IF($X168&lt;=20,1,0))</formula>
    </cfRule>
    <cfRule type="expression" priority="956" dxfId="2">
      <formula>AND(IF($Q168=2,1,0),IF($X168&lt;30,1,0))</formula>
    </cfRule>
    <cfRule type="expression" priority="957" dxfId="1">
      <formula>AND(IF($Q168=3,1,0),IF($X168&lt;30,1,0))</formula>
    </cfRule>
    <cfRule type="expression" priority="958" dxfId="0">
      <formula>AND(IF($Q168=3,1,IF($Q168=4,1,0)),IF($F168&lt;=85,1,0))</formula>
    </cfRule>
  </conditionalFormatting>
  <conditionalFormatting sqref="AV169">
    <cfRule type="expression" priority="953" dxfId="23">
      <formula>AV169="X"</formula>
    </cfRule>
    <cfRule type="expression" priority="954" dxfId="22">
      <formula>AV169="후보"</formula>
    </cfRule>
  </conditionalFormatting>
  <conditionalFormatting sqref="AC16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6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69">
    <cfRule type="expression" priority="945" dxfId="3">
      <formula>AND(IF(OR($Q169=1,$Q169=2),1,0),IF($X169&lt;=20,1,0))</formula>
    </cfRule>
    <cfRule type="expression" priority="946" dxfId="2">
      <formula>AND(IF($Q169=2,1,0),IF($X169&lt;30,1,0))</formula>
    </cfRule>
    <cfRule type="expression" priority="947" dxfId="1">
      <formula>AND(IF($Q169=3,1,0),IF($X169&lt;30,1,0))</formula>
    </cfRule>
    <cfRule type="expression" priority="948" dxfId="0">
      <formula>AND(IF($Q169=3,1,IF($Q169=4,1,0)),IF($F169&lt;=85,1,0))</formula>
    </cfRule>
  </conditionalFormatting>
  <conditionalFormatting sqref="X169">
    <cfRule type="expression" priority="941" dxfId="3">
      <formula>AND(IF(OR($Q169=1,$Q169=2),1,0),IF($X169&lt;=20,1,0))</formula>
    </cfRule>
    <cfRule type="expression" priority="942" dxfId="2">
      <formula>AND(IF($Q169=2,1,0),IF($X169&lt;30,1,0))</formula>
    </cfRule>
    <cfRule type="expression" priority="943" dxfId="1">
      <formula>AND(IF($Q169=3,1,0),IF($X169&lt;30,1,0))</formula>
    </cfRule>
    <cfRule type="expression" priority="944" dxfId="0">
      <formula>AND(IF($Q169=3,1,IF($Q169=4,1,0)),IF($F169&lt;=85,1,0))</formula>
    </cfRule>
  </conditionalFormatting>
  <conditionalFormatting sqref="AI169">
    <cfRule type="expression" priority="937" dxfId="3">
      <formula>AND(IF(OR($Q169=1,$Q169=2),1,0),IF($X169&lt;=20,1,0))</formula>
    </cfRule>
    <cfRule type="expression" priority="938" dxfId="2">
      <formula>AND(IF($Q169=2,1,0),IF($X169&lt;30,1,0))</formula>
    </cfRule>
    <cfRule type="expression" priority="939" dxfId="1">
      <formula>AND(IF($Q169=3,1,0),IF($X169&lt;30,1,0))</formula>
    </cfRule>
    <cfRule type="expression" priority="940" dxfId="0">
      <formula>AND(IF($Q169=3,1,IF($Q169=4,1,0)),IF($F169&lt;=85,1,0))</formula>
    </cfRule>
  </conditionalFormatting>
  <conditionalFormatting sqref="AV170">
    <cfRule type="expression" priority="935" dxfId="23">
      <formula>AV170="X"</formula>
    </cfRule>
    <cfRule type="expression" priority="936" dxfId="22">
      <formula>AV170="후보"</formula>
    </cfRule>
  </conditionalFormatting>
  <conditionalFormatting sqref="AC17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7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70">
    <cfRule type="expression" priority="927" dxfId="3">
      <formula>AND(IF(OR($Q170=1,$Q170=2),1,0),IF($X170&lt;=20,1,0))</formula>
    </cfRule>
    <cfRule type="expression" priority="928" dxfId="2">
      <formula>AND(IF($Q170=2,1,0),IF($X170&lt;30,1,0))</formula>
    </cfRule>
    <cfRule type="expression" priority="929" dxfId="1">
      <formula>AND(IF($Q170=3,1,0),IF($X170&lt;30,1,0))</formula>
    </cfRule>
    <cfRule type="expression" priority="930" dxfId="0">
      <formula>AND(IF($Q170=3,1,IF($Q170=4,1,0)),IF($F170&lt;=85,1,0))</formula>
    </cfRule>
  </conditionalFormatting>
  <conditionalFormatting sqref="X170">
    <cfRule type="expression" priority="923" dxfId="3">
      <formula>AND(IF(OR($Q170=1,$Q170=2),1,0),IF($X170&lt;=20,1,0))</formula>
    </cfRule>
    <cfRule type="expression" priority="924" dxfId="2">
      <formula>AND(IF($Q170=2,1,0),IF($X170&lt;30,1,0))</formula>
    </cfRule>
    <cfRule type="expression" priority="925" dxfId="1">
      <formula>AND(IF($Q170=3,1,0),IF($X170&lt;30,1,0))</formula>
    </cfRule>
    <cfRule type="expression" priority="926" dxfId="0">
      <formula>AND(IF($Q170=3,1,IF($Q170=4,1,0)),IF($F170&lt;=85,1,0))</formula>
    </cfRule>
  </conditionalFormatting>
  <conditionalFormatting sqref="AI170">
    <cfRule type="expression" priority="919" dxfId="3">
      <formula>AND(IF(OR($Q170=1,$Q170=2),1,0),IF($X170&lt;=20,1,0))</formula>
    </cfRule>
    <cfRule type="expression" priority="920" dxfId="2">
      <formula>AND(IF($Q170=2,1,0),IF($X170&lt;30,1,0))</formula>
    </cfRule>
    <cfRule type="expression" priority="921" dxfId="1">
      <formula>AND(IF($Q170=3,1,0),IF($X170&lt;30,1,0))</formula>
    </cfRule>
    <cfRule type="expression" priority="922" dxfId="0">
      <formula>AND(IF($Q170=3,1,IF($Q170=4,1,0)),IF($F170&lt;=85,1,0))</formula>
    </cfRule>
  </conditionalFormatting>
  <conditionalFormatting sqref="AV171">
    <cfRule type="expression" priority="917" dxfId="23">
      <formula>AV171="X"</formula>
    </cfRule>
    <cfRule type="expression" priority="918" dxfId="22">
      <formula>AV171="후보"</formula>
    </cfRule>
  </conditionalFormatting>
  <conditionalFormatting sqref="AC17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7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71">
    <cfRule type="expression" priority="909" dxfId="3">
      <formula>AND(IF(OR($Q171=1,$Q171=2),1,0),IF($X171&lt;=20,1,0))</formula>
    </cfRule>
    <cfRule type="expression" priority="910" dxfId="2">
      <formula>AND(IF($Q171=2,1,0),IF($X171&lt;30,1,0))</formula>
    </cfRule>
    <cfRule type="expression" priority="911" dxfId="1">
      <formula>AND(IF($Q171=3,1,0),IF($X171&lt;30,1,0))</formula>
    </cfRule>
    <cfRule type="expression" priority="912" dxfId="0">
      <formula>AND(IF($Q171=3,1,IF($Q171=4,1,0)),IF($F171&lt;=85,1,0))</formula>
    </cfRule>
  </conditionalFormatting>
  <conditionalFormatting sqref="X171">
    <cfRule type="expression" priority="905" dxfId="3">
      <formula>AND(IF(OR($Q171=1,$Q171=2),1,0),IF($X171&lt;=20,1,0))</formula>
    </cfRule>
    <cfRule type="expression" priority="906" dxfId="2">
      <formula>AND(IF($Q171=2,1,0),IF($X171&lt;30,1,0))</formula>
    </cfRule>
    <cfRule type="expression" priority="907" dxfId="1">
      <formula>AND(IF($Q171=3,1,0),IF($X171&lt;30,1,0))</formula>
    </cfRule>
    <cfRule type="expression" priority="908" dxfId="0">
      <formula>AND(IF($Q171=3,1,IF($Q171=4,1,0)),IF($F171&lt;=85,1,0))</formula>
    </cfRule>
  </conditionalFormatting>
  <conditionalFormatting sqref="AI171">
    <cfRule type="expression" priority="901" dxfId="3">
      <formula>AND(IF(OR($Q171=1,$Q171=2),1,0),IF($X171&lt;=20,1,0))</formula>
    </cfRule>
    <cfRule type="expression" priority="902" dxfId="2">
      <formula>AND(IF($Q171=2,1,0),IF($X171&lt;30,1,0))</formula>
    </cfRule>
    <cfRule type="expression" priority="903" dxfId="1">
      <formula>AND(IF($Q171=3,1,0),IF($X171&lt;30,1,0))</formula>
    </cfRule>
    <cfRule type="expression" priority="904" dxfId="0">
      <formula>AND(IF($Q171=3,1,IF($Q171=4,1,0)),IF($F171&lt;=85,1,0))</formula>
    </cfRule>
  </conditionalFormatting>
  <conditionalFormatting sqref="AV172">
    <cfRule type="expression" priority="899" dxfId="23">
      <formula>AV172="X"</formula>
    </cfRule>
    <cfRule type="expression" priority="900" dxfId="22">
      <formula>AV172="후보"</formula>
    </cfRule>
  </conditionalFormatting>
  <conditionalFormatting sqref="AC17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7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72">
    <cfRule type="expression" priority="891" dxfId="3">
      <formula>AND(IF(OR($Q172=1,$Q172=2),1,0),IF($X172&lt;=20,1,0))</formula>
    </cfRule>
    <cfRule type="expression" priority="892" dxfId="2">
      <formula>AND(IF($Q172=2,1,0),IF($X172&lt;30,1,0))</formula>
    </cfRule>
    <cfRule type="expression" priority="893" dxfId="1">
      <formula>AND(IF($Q172=3,1,0),IF($X172&lt;30,1,0))</formula>
    </cfRule>
    <cfRule type="expression" priority="894" dxfId="0">
      <formula>AND(IF($Q172=3,1,IF($Q172=4,1,0)),IF($F172&lt;=85,1,0))</formula>
    </cfRule>
  </conditionalFormatting>
  <conditionalFormatting sqref="X172">
    <cfRule type="expression" priority="887" dxfId="3">
      <formula>AND(IF(OR($Q172=1,$Q172=2),1,0),IF($X172&lt;=20,1,0))</formula>
    </cfRule>
    <cfRule type="expression" priority="888" dxfId="2">
      <formula>AND(IF($Q172=2,1,0),IF($X172&lt;30,1,0))</formula>
    </cfRule>
    <cfRule type="expression" priority="889" dxfId="1">
      <formula>AND(IF($Q172=3,1,0),IF($X172&lt;30,1,0))</formula>
    </cfRule>
    <cfRule type="expression" priority="890" dxfId="0">
      <formula>AND(IF($Q172=3,1,IF($Q172=4,1,0)),IF($F172&lt;=85,1,0))</formula>
    </cfRule>
  </conditionalFormatting>
  <conditionalFormatting sqref="AI172">
    <cfRule type="expression" priority="883" dxfId="3">
      <formula>AND(IF(OR($Q172=1,$Q172=2),1,0),IF($X172&lt;=20,1,0))</formula>
    </cfRule>
    <cfRule type="expression" priority="884" dxfId="2">
      <formula>AND(IF($Q172=2,1,0),IF($X172&lt;30,1,0))</formula>
    </cfRule>
    <cfRule type="expression" priority="885" dxfId="1">
      <formula>AND(IF($Q172=3,1,0),IF($X172&lt;30,1,0))</formula>
    </cfRule>
    <cfRule type="expression" priority="886" dxfId="0">
      <formula>AND(IF($Q172=3,1,IF($Q172=4,1,0)),IF($F172&lt;=85,1,0))</formula>
    </cfRule>
  </conditionalFormatting>
  <conditionalFormatting sqref="AV173">
    <cfRule type="expression" priority="881" dxfId="23">
      <formula>AV173="X"</formula>
    </cfRule>
    <cfRule type="expression" priority="882" dxfId="22">
      <formula>AV173="후보"</formula>
    </cfRule>
  </conditionalFormatting>
  <conditionalFormatting sqref="AC17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7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73">
    <cfRule type="expression" priority="873" dxfId="3">
      <formula>AND(IF(OR($Q173=1,$Q173=2),1,0),IF($X173&lt;=20,1,0))</formula>
    </cfRule>
    <cfRule type="expression" priority="874" dxfId="2">
      <formula>AND(IF($Q173=2,1,0),IF($X173&lt;30,1,0))</formula>
    </cfRule>
    <cfRule type="expression" priority="875" dxfId="1">
      <formula>AND(IF($Q173=3,1,0),IF($X173&lt;30,1,0))</formula>
    </cfRule>
    <cfRule type="expression" priority="876" dxfId="0">
      <formula>AND(IF($Q173=3,1,IF($Q173=4,1,0)),IF($F173&lt;=85,1,0))</formula>
    </cfRule>
  </conditionalFormatting>
  <conditionalFormatting sqref="X173">
    <cfRule type="expression" priority="869" dxfId="3">
      <formula>AND(IF(OR($Q173=1,$Q173=2),1,0),IF($X173&lt;=20,1,0))</formula>
    </cfRule>
    <cfRule type="expression" priority="870" dxfId="2">
      <formula>AND(IF($Q173=2,1,0),IF($X173&lt;30,1,0))</formula>
    </cfRule>
    <cfRule type="expression" priority="871" dxfId="1">
      <formula>AND(IF($Q173=3,1,0),IF($X173&lt;30,1,0))</formula>
    </cfRule>
    <cfRule type="expression" priority="872" dxfId="0">
      <formula>AND(IF($Q173=3,1,IF($Q173=4,1,0)),IF($F173&lt;=85,1,0))</formula>
    </cfRule>
  </conditionalFormatting>
  <conditionalFormatting sqref="AI173">
    <cfRule type="expression" priority="865" dxfId="3">
      <formula>AND(IF(OR($Q173=1,$Q173=2),1,0),IF($X173&lt;=20,1,0))</formula>
    </cfRule>
    <cfRule type="expression" priority="866" dxfId="2">
      <formula>AND(IF($Q173=2,1,0),IF($X173&lt;30,1,0))</formula>
    </cfRule>
    <cfRule type="expression" priority="867" dxfId="1">
      <formula>AND(IF($Q173=3,1,0),IF($X173&lt;30,1,0))</formula>
    </cfRule>
    <cfRule type="expression" priority="868" dxfId="0">
      <formula>AND(IF($Q173=3,1,IF($Q173=4,1,0)),IF($F173&lt;=85,1,0))</formula>
    </cfRule>
  </conditionalFormatting>
  <conditionalFormatting sqref="AV174">
    <cfRule type="expression" priority="863" dxfId="23">
      <formula>AV174="X"</formula>
    </cfRule>
    <cfRule type="expression" priority="864" dxfId="22">
      <formula>AV174="후보"</formula>
    </cfRule>
  </conditionalFormatting>
  <conditionalFormatting sqref="AC17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7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74">
    <cfRule type="expression" priority="855" dxfId="3">
      <formula>AND(IF(OR($Q174=1,$Q174=2),1,0),IF($X174&lt;=20,1,0))</formula>
    </cfRule>
    <cfRule type="expression" priority="856" dxfId="2">
      <formula>AND(IF($Q174=2,1,0),IF($X174&lt;30,1,0))</formula>
    </cfRule>
    <cfRule type="expression" priority="857" dxfId="1">
      <formula>AND(IF($Q174=3,1,0),IF($X174&lt;30,1,0))</formula>
    </cfRule>
    <cfRule type="expression" priority="858" dxfId="0">
      <formula>AND(IF($Q174=3,1,IF($Q174=4,1,0)),IF($F174&lt;=85,1,0))</formula>
    </cfRule>
  </conditionalFormatting>
  <conditionalFormatting sqref="X174">
    <cfRule type="expression" priority="851" dxfId="3">
      <formula>AND(IF(OR($Q174=1,$Q174=2),1,0),IF($X174&lt;=20,1,0))</formula>
    </cfRule>
    <cfRule type="expression" priority="852" dxfId="2">
      <formula>AND(IF($Q174=2,1,0),IF($X174&lt;30,1,0))</formula>
    </cfRule>
    <cfRule type="expression" priority="853" dxfId="1">
      <formula>AND(IF($Q174=3,1,0),IF($X174&lt;30,1,0))</formula>
    </cfRule>
    <cfRule type="expression" priority="854" dxfId="0">
      <formula>AND(IF($Q174=3,1,IF($Q174=4,1,0)),IF($F174&lt;=85,1,0))</formula>
    </cfRule>
  </conditionalFormatting>
  <conditionalFormatting sqref="AI174">
    <cfRule type="expression" priority="847" dxfId="3">
      <formula>AND(IF(OR($Q174=1,$Q174=2),1,0),IF($X174&lt;=20,1,0))</formula>
    </cfRule>
    <cfRule type="expression" priority="848" dxfId="2">
      <formula>AND(IF($Q174=2,1,0),IF($X174&lt;30,1,0))</formula>
    </cfRule>
    <cfRule type="expression" priority="849" dxfId="1">
      <formula>AND(IF($Q174=3,1,0),IF($X174&lt;30,1,0))</formula>
    </cfRule>
    <cfRule type="expression" priority="850" dxfId="0">
      <formula>AND(IF($Q174=3,1,IF($Q174=4,1,0)),IF($F174&lt;=85,1,0))</formula>
    </cfRule>
  </conditionalFormatting>
  <conditionalFormatting sqref="AV175">
    <cfRule type="expression" priority="845" dxfId="23">
      <formula>AV175="X"</formula>
    </cfRule>
    <cfRule type="expression" priority="846" dxfId="22">
      <formula>AV175="후보"</formula>
    </cfRule>
  </conditionalFormatting>
  <conditionalFormatting sqref="AC17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7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75">
    <cfRule type="expression" priority="837" dxfId="3">
      <formula>AND(IF(OR($Q175=1,$Q175=2),1,0),IF($X175&lt;=20,1,0))</formula>
    </cfRule>
    <cfRule type="expression" priority="838" dxfId="2">
      <formula>AND(IF($Q175=2,1,0),IF($X175&lt;30,1,0))</formula>
    </cfRule>
    <cfRule type="expression" priority="839" dxfId="1">
      <formula>AND(IF($Q175=3,1,0),IF($X175&lt;30,1,0))</formula>
    </cfRule>
    <cfRule type="expression" priority="840" dxfId="0">
      <formula>AND(IF($Q175=3,1,IF($Q175=4,1,0)),IF($F175&lt;=85,1,0))</formula>
    </cfRule>
  </conditionalFormatting>
  <conditionalFormatting sqref="X175">
    <cfRule type="expression" priority="833" dxfId="3">
      <formula>AND(IF(OR($Q175=1,$Q175=2),1,0),IF($X175&lt;=20,1,0))</formula>
    </cfRule>
    <cfRule type="expression" priority="834" dxfId="2">
      <formula>AND(IF($Q175=2,1,0),IF($X175&lt;30,1,0))</formula>
    </cfRule>
    <cfRule type="expression" priority="835" dxfId="1">
      <formula>AND(IF($Q175=3,1,0),IF($X175&lt;30,1,0))</formula>
    </cfRule>
    <cfRule type="expression" priority="836" dxfId="0">
      <formula>AND(IF($Q175=3,1,IF($Q175=4,1,0)),IF($F175&lt;=85,1,0))</formula>
    </cfRule>
  </conditionalFormatting>
  <conditionalFormatting sqref="AI175">
    <cfRule type="expression" priority="829" dxfId="3">
      <formula>AND(IF(OR($Q175=1,$Q175=2),1,0),IF($X175&lt;=20,1,0))</formula>
    </cfRule>
    <cfRule type="expression" priority="830" dxfId="2">
      <formula>AND(IF($Q175=2,1,0),IF($X175&lt;30,1,0))</formula>
    </cfRule>
    <cfRule type="expression" priority="831" dxfId="1">
      <formula>AND(IF($Q175=3,1,0),IF($X175&lt;30,1,0))</formula>
    </cfRule>
    <cfRule type="expression" priority="832" dxfId="0">
      <formula>AND(IF($Q175=3,1,IF($Q175=4,1,0)),IF($F175&lt;=85,1,0))</formula>
    </cfRule>
  </conditionalFormatting>
  <conditionalFormatting sqref="AV176">
    <cfRule type="expression" priority="827" dxfId="23">
      <formula>AV176="X"</formula>
    </cfRule>
    <cfRule type="expression" priority="828" dxfId="22">
      <formula>AV176="후보"</formula>
    </cfRule>
  </conditionalFormatting>
  <conditionalFormatting sqref="AC17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7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76">
    <cfRule type="expression" priority="819" dxfId="3">
      <formula>AND(IF(OR($Q176=1,$Q176=2),1,0),IF($X176&lt;=20,1,0))</formula>
    </cfRule>
    <cfRule type="expression" priority="820" dxfId="2">
      <formula>AND(IF($Q176=2,1,0),IF($X176&lt;30,1,0))</formula>
    </cfRule>
    <cfRule type="expression" priority="821" dxfId="1">
      <formula>AND(IF($Q176=3,1,0),IF($X176&lt;30,1,0))</formula>
    </cfRule>
    <cfRule type="expression" priority="822" dxfId="0">
      <formula>AND(IF($Q176=3,1,IF($Q176=4,1,0)),IF($F176&lt;=85,1,0))</formula>
    </cfRule>
  </conditionalFormatting>
  <conditionalFormatting sqref="X176">
    <cfRule type="expression" priority="815" dxfId="3">
      <formula>AND(IF(OR($Q176=1,$Q176=2),1,0),IF($X176&lt;=20,1,0))</formula>
    </cfRule>
    <cfRule type="expression" priority="816" dxfId="2">
      <formula>AND(IF($Q176=2,1,0),IF($X176&lt;30,1,0))</formula>
    </cfRule>
    <cfRule type="expression" priority="817" dxfId="1">
      <formula>AND(IF($Q176=3,1,0),IF($X176&lt;30,1,0))</formula>
    </cfRule>
    <cfRule type="expression" priority="818" dxfId="0">
      <formula>AND(IF($Q176=3,1,IF($Q176=4,1,0)),IF($F176&lt;=85,1,0))</formula>
    </cfRule>
  </conditionalFormatting>
  <conditionalFormatting sqref="AI176">
    <cfRule type="expression" priority="811" dxfId="3">
      <formula>AND(IF(OR($Q176=1,$Q176=2),1,0),IF($X176&lt;=20,1,0))</formula>
    </cfRule>
    <cfRule type="expression" priority="812" dxfId="2">
      <formula>AND(IF($Q176=2,1,0),IF($X176&lt;30,1,0))</formula>
    </cfRule>
    <cfRule type="expression" priority="813" dxfId="1">
      <formula>AND(IF($Q176=3,1,0),IF($X176&lt;30,1,0))</formula>
    </cfRule>
    <cfRule type="expression" priority="814" dxfId="0">
      <formula>AND(IF($Q176=3,1,IF($Q176=4,1,0)),IF($F176&lt;=85,1,0))</formula>
    </cfRule>
  </conditionalFormatting>
  <conditionalFormatting sqref="AV177">
    <cfRule type="expression" priority="809" dxfId="23">
      <formula>AV177="X"</formula>
    </cfRule>
    <cfRule type="expression" priority="810" dxfId="22">
      <formula>AV177="후보"</formula>
    </cfRule>
  </conditionalFormatting>
  <conditionalFormatting sqref="AC17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7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77">
    <cfRule type="expression" priority="801" dxfId="3">
      <formula>AND(IF(OR($Q177=1,$Q177=2),1,0),IF($X177&lt;=20,1,0))</formula>
    </cfRule>
    <cfRule type="expression" priority="802" dxfId="2">
      <formula>AND(IF($Q177=2,1,0),IF($X177&lt;30,1,0))</formula>
    </cfRule>
    <cfRule type="expression" priority="803" dxfId="1">
      <formula>AND(IF($Q177=3,1,0),IF($X177&lt;30,1,0))</formula>
    </cfRule>
    <cfRule type="expression" priority="804" dxfId="0">
      <formula>AND(IF($Q177=3,1,IF($Q177=4,1,0)),IF($F177&lt;=85,1,0))</formula>
    </cfRule>
  </conditionalFormatting>
  <conditionalFormatting sqref="X177">
    <cfRule type="expression" priority="797" dxfId="3">
      <formula>AND(IF(OR($Q177=1,$Q177=2),1,0),IF($X177&lt;=20,1,0))</formula>
    </cfRule>
    <cfRule type="expression" priority="798" dxfId="2">
      <formula>AND(IF($Q177=2,1,0),IF($X177&lt;30,1,0))</formula>
    </cfRule>
    <cfRule type="expression" priority="799" dxfId="1">
      <formula>AND(IF($Q177=3,1,0),IF($X177&lt;30,1,0))</formula>
    </cfRule>
    <cfRule type="expression" priority="800" dxfId="0">
      <formula>AND(IF($Q177=3,1,IF($Q177=4,1,0)),IF($F177&lt;=85,1,0))</formula>
    </cfRule>
  </conditionalFormatting>
  <conditionalFormatting sqref="AI177">
    <cfRule type="expression" priority="793" dxfId="3">
      <formula>AND(IF(OR($Q177=1,$Q177=2),1,0),IF($X177&lt;=20,1,0))</formula>
    </cfRule>
    <cfRule type="expression" priority="794" dxfId="2">
      <formula>AND(IF($Q177=2,1,0),IF($X177&lt;30,1,0))</formula>
    </cfRule>
    <cfRule type="expression" priority="795" dxfId="1">
      <formula>AND(IF($Q177=3,1,0),IF($X177&lt;30,1,0))</formula>
    </cfRule>
    <cfRule type="expression" priority="796" dxfId="0">
      <formula>AND(IF($Q177=3,1,IF($Q177=4,1,0)),IF($F177&lt;=85,1,0))</formula>
    </cfRule>
  </conditionalFormatting>
  <conditionalFormatting sqref="AV178">
    <cfRule type="expression" priority="791" dxfId="23">
      <formula>AV178="X"</formula>
    </cfRule>
    <cfRule type="expression" priority="792" dxfId="22">
      <formula>AV178="후보"</formula>
    </cfRule>
  </conditionalFormatting>
  <conditionalFormatting sqref="AC17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7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78">
    <cfRule type="expression" priority="783" dxfId="3">
      <formula>AND(IF(OR($Q178=1,$Q178=2),1,0),IF($X178&lt;=20,1,0))</formula>
    </cfRule>
    <cfRule type="expression" priority="784" dxfId="2">
      <formula>AND(IF($Q178=2,1,0),IF($X178&lt;30,1,0))</formula>
    </cfRule>
    <cfRule type="expression" priority="785" dxfId="1">
      <formula>AND(IF($Q178=3,1,0),IF($X178&lt;30,1,0))</formula>
    </cfRule>
    <cfRule type="expression" priority="786" dxfId="0">
      <formula>AND(IF($Q178=3,1,IF($Q178=4,1,0)),IF($F178&lt;=85,1,0))</formula>
    </cfRule>
  </conditionalFormatting>
  <conditionalFormatting sqref="X178">
    <cfRule type="expression" priority="779" dxfId="3">
      <formula>AND(IF(OR($Q178=1,$Q178=2),1,0),IF($X178&lt;=20,1,0))</formula>
    </cfRule>
    <cfRule type="expression" priority="780" dxfId="2">
      <formula>AND(IF($Q178=2,1,0),IF($X178&lt;30,1,0))</formula>
    </cfRule>
    <cfRule type="expression" priority="781" dxfId="1">
      <formula>AND(IF($Q178=3,1,0),IF($X178&lt;30,1,0))</formula>
    </cfRule>
    <cfRule type="expression" priority="782" dxfId="0">
      <formula>AND(IF($Q178=3,1,IF($Q178=4,1,0)),IF($F178&lt;=85,1,0))</formula>
    </cfRule>
  </conditionalFormatting>
  <conditionalFormatting sqref="AI178">
    <cfRule type="expression" priority="775" dxfId="3">
      <formula>AND(IF(OR($Q178=1,$Q178=2),1,0),IF($X178&lt;=20,1,0))</formula>
    </cfRule>
    <cfRule type="expression" priority="776" dxfId="2">
      <formula>AND(IF($Q178=2,1,0),IF($X178&lt;30,1,0))</formula>
    </cfRule>
    <cfRule type="expression" priority="777" dxfId="1">
      <formula>AND(IF($Q178=3,1,0),IF($X178&lt;30,1,0))</formula>
    </cfRule>
    <cfRule type="expression" priority="778" dxfId="0">
      <formula>AND(IF($Q178=3,1,IF($Q178=4,1,0)),IF($F178&lt;=85,1,0))</formula>
    </cfRule>
  </conditionalFormatting>
  <conditionalFormatting sqref="AV179">
    <cfRule type="expression" priority="773" dxfId="23">
      <formula>AV179="X"</formula>
    </cfRule>
    <cfRule type="expression" priority="774" dxfId="22">
      <formula>AV179="후보"</formula>
    </cfRule>
  </conditionalFormatting>
  <conditionalFormatting sqref="AC17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7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79">
    <cfRule type="expression" priority="765" dxfId="3">
      <formula>AND(IF(OR($Q179=1,$Q179=2),1,0),IF($X179&lt;=20,1,0))</formula>
    </cfRule>
    <cfRule type="expression" priority="766" dxfId="2">
      <formula>AND(IF($Q179=2,1,0),IF($X179&lt;30,1,0))</formula>
    </cfRule>
    <cfRule type="expression" priority="767" dxfId="1">
      <formula>AND(IF($Q179=3,1,0),IF($X179&lt;30,1,0))</formula>
    </cfRule>
    <cfRule type="expression" priority="768" dxfId="0">
      <formula>AND(IF($Q179=3,1,IF($Q179=4,1,0)),IF($F179&lt;=85,1,0))</formula>
    </cfRule>
  </conditionalFormatting>
  <conditionalFormatting sqref="X179">
    <cfRule type="expression" priority="761" dxfId="3">
      <formula>AND(IF(OR($Q179=1,$Q179=2),1,0),IF($X179&lt;=20,1,0))</formula>
    </cfRule>
    <cfRule type="expression" priority="762" dxfId="2">
      <formula>AND(IF($Q179=2,1,0),IF($X179&lt;30,1,0))</formula>
    </cfRule>
    <cfRule type="expression" priority="763" dxfId="1">
      <formula>AND(IF($Q179=3,1,0),IF($X179&lt;30,1,0))</formula>
    </cfRule>
    <cfRule type="expression" priority="764" dxfId="0">
      <formula>AND(IF($Q179=3,1,IF($Q179=4,1,0)),IF($F179&lt;=85,1,0))</formula>
    </cfRule>
  </conditionalFormatting>
  <conditionalFormatting sqref="AI179">
    <cfRule type="expression" priority="757" dxfId="3">
      <formula>AND(IF(OR($Q179=1,$Q179=2),1,0),IF($X179&lt;=20,1,0))</formula>
    </cfRule>
    <cfRule type="expression" priority="758" dxfId="2">
      <formula>AND(IF($Q179=2,1,0),IF($X179&lt;30,1,0))</formula>
    </cfRule>
    <cfRule type="expression" priority="759" dxfId="1">
      <formula>AND(IF($Q179=3,1,0),IF($X179&lt;30,1,0))</formula>
    </cfRule>
    <cfRule type="expression" priority="760" dxfId="0">
      <formula>AND(IF($Q179=3,1,IF($Q179=4,1,0)),IF($F179&lt;=85,1,0))</formula>
    </cfRule>
  </conditionalFormatting>
  <conditionalFormatting sqref="AV180">
    <cfRule type="expression" priority="755" dxfId="23">
      <formula>AV180="X"</formula>
    </cfRule>
    <cfRule type="expression" priority="756" dxfId="22">
      <formula>AV180="후보"</formula>
    </cfRule>
  </conditionalFormatting>
  <conditionalFormatting sqref="AC18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8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80">
    <cfRule type="expression" priority="747" dxfId="3">
      <formula>AND(IF(OR($Q180=1,$Q180=2),1,0),IF($X180&lt;=20,1,0))</formula>
    </cfRule>
    <cfRule type="expression" priority="748" dxfId="2">
      <formula>AND(IF($Q180=2,1,0),IF($X180&lt;30,1,0))</formula>
    </cfRule>
    <cfRule type="expression" priority="749" dxfId="1">
      <formula>AND(IF($Q180=3,1,0),IF($X180&lt;30,1,0))</formula>
    </cfRule>
    <cfRule type="expression" priority="750" dxfId="0">
      <formula>AND(IF($Q180=3,1,IF($Q180=4,1,0)),IF($F180&lt;=85,1,0))</formula>
    </cfRule>
  </conditionalFormatting>
  <conditionalFormatting sqref="X180">
    <cfRule type="expression" priority="743" dxfId="3">
      <formula>AND(IF(OR($Q180=1,$Q180=2),1,0),IF($X180&lt;=20,1,0))</formula>
    </cfRule>
    <cfRule type="expression" priority="744" dxfId="2">
      <formula>AND(IF($Q180=2,1,0),IF($X180&lt;30,1,0))</formula>
    </cfRule>
    <cfRule type="expression" priority="745" dxfId="1">
      <formula>AND(IF($Q180=3,1,0),IF($X180&lt;30,1,0))</formula>
    </cfRule>
    <cfRule type="expression" priority="746" dxfId="0">
      <formula>AND(IF($Q180=3,1,IF($Q180=4,1,0)),IF($F180&lt;=85,1,0))</formula>
    </cfRule>
  </conditionalFormatting>
  <conditionalFormatting sqref="AI180">
    <cfRule type="expression" priority="739" dxfId="3">
      <formula>AND(IF(OR($Q180=1,$Q180=2),1,0),IF($X180&lt;=20,1,0))</formula>
    </cfRule>
    <cfRule type="expression" priority="740" dxfId="2">
      <formula>AND(IF($Q180=2,1,0),IF($X180&lt;30,1,0))</formula>
    </cfRule>
    <cfRule type="expression" priority="741" dxfId="1">
      <formula>AND(IF($Q180=3,1,0),IF($X180&lt;30,1,0))</formula>
    </cfRule>
    <cfRule type="expression" priority="742" dxfId="0">
      <formula>AND(IF($Q180=3,1,IF($Q180=4,1,0)),IF($F180&lt;=85,1,0))</formula>
    </cfRule>
  </conditionalFormatting>
  <conditionalFormatting sqref="AV181">
    <cfRule type="expression" priority="737" dxfId="23">
      <formula>AV181="X"</formula>
    </cfRule>
    <cfRule type="expression" priority="738" dxfId="22">
      <formula>AV181="후보"</formula>
    </cfRule>
  </conditionalFormatting>
  <conditionalFormatting sqref="AC18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8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81">
    <cfRule type="expression" priority="729" dxfId="3">
      <formula>AND(IF(OR($Q181=1,$Q181=2),1,0),IF($X181&lt;=20,1,0))</formula>
    </cfRule>
    <cfRule type="expression" priority="730" dxfId="2">
      <formula>AND(IF($Q181=2,1,0),IF($X181&lt;30,1,0))</formula>
    </cfRule>
    <cfRule type="expression" priority="731" dxfId="1">
      <formula>AND(IF($Q181=3,1,0),IF($X181&lt;30,1,0))</formula>
    </cfRule>
    <cfRule type="expression" priority="732" dxfId="0">
      <formula>AND(IF($Q181=3,1,IF($Q181=4,1,0)),IF($F181&lt;=85,1,0))</formula>
    </cfRule>
  </conditionalFormatting>
  <conditionalFormatting sqref="X181">
    <cfRule type="expression" priority="725" dxfId="3">
      <formula>AND(IF(OR($Q181=1,$Q181=2),1,0),IF($X181&lt;=20,1,0))</formula>
    </cfRule>
    <cfRule type="expression" priority="726" dxfId="2">
      <formula>AND(IF($Q181=2,1,0),IF($X181&lt;30,1,0))</formula>
    </cfRule>
    <cfRule type="expression" priority="727" dxfId="1">
      <formula>AND(IF($Q181=3,1,0),IF($X181&lt;30,1,0))</formula>
    </cfRule>
    <cfRule type="expression" priority="728" dxfId="0">
      <formula>AND(IF($Q181=3,1,IF($Q181=4,1,0)),IF($F181&lt;=85,1,0))</formula>
    </cfRule>
  </conditionalFormatting>
  <conditionalFormatting sqref="AI181">
    <cfRule type="expression" priority="721" dxfId="3">
      <formula>AND(IF(OR($Q181=1,$Q181=2),1,0),IF($X181&lt;=20,1,0))</formula>
    </cfRule>
    <cfRule type="expression" priority="722" dxfId="2">
      <formula>AND(IF($Q181=2,1,0),IF($X181&lt;30,1,0))</formula>
    </cfRule>
    <cfRule type="expression" priority="723" dxfId="1">
      <formula>AND(IF($Q181=3,1,0),IF($X181&lt;30,1,0))</formula>
    </cfRule>
    <cfRule type="expression" priority="724" dxfId="0">
      <formula>AND(IF($Q181=3,1,IF($Q181=4,1,0)),IF($F181&lt;=85,1,0))</formula>
    </cfRule>
  </conditionalFormatting>
  <conditionalFormatting sqref="AV182">
    <cfRule type="expression" priority="719" dxfId="23">
      <formula>AV182="X"</formula>
    </cfRule>
    <cfRule type="expression" priority="720" dxfId="22">
      <formula>AV182="후보"</formula>
    </cfRule>
  </conditionalFormatting>
  <conditionalFormatting sqref="AC18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8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82">
    <cfRule type="expression" priority="711" dxfId="3">
      <formula>AND(IF(OR($Q182=1,$Q182=2),1,0),IF($X182&lt;=20,1,0))</formula>
    </cfRule>
    <cfRule type="expression" priority="712" dxfId="2">
      <formula>AND(IF($Q182=2,1,0),IF($X182&lt;30,1,0))</formula>
    </cfRule>
    <cfRule type="expression" priority="713" dxfId="1">
      <formula>AND(IF($Q182=3,1,0),IF($X182&lt;30,1,0))</formula>
    </cfRule>
    <cfRule type="expression" priority="714" dxfId="0">
      <formula>AND(IF($Q182=3,1,IF($Q182=4,1,0)),IF($F182&lt;=85,1,0))</formula>
    </cfRule>
  </conditionalFormatting>
  <conditionalFormatting sqref="X182">
    <cfRule type="expression" priority="707" dxfId="3">
      <formula>AND(IF(OR($Q182=1,$Q182=2),1,0),IF($X182&lt;=20,1,0))</formula>
    </cfRule>
    <cfRule type="expression" priority="708" dxfId="2">
      <formula>AND(IF($Q182=2,1,0),IF($X182&lt;30,1,0))</formula>
    </cfRule>
    <cfRule type="expression" priority="709" dxfId="1">
      <formula>AND(IF($Q182=3,1,0),IF($X182&lt;30,1,0))</formula>
    </cfRule>
    <cfRule type="expression" priority="710" dxfId="0">
      <formula>AND(IF($Q182=3,1,IF($Q182=4,1,0)),IF($F182&lt;=85,1,0))</formula>
    </cfRule>
  </conditionalFormatting>
  <conditionalFormatting sqref="AI182">
    <cfRule type="expression" priority="703" dxfId="3">
      <formula>AND(IF(OR($Q182=1,$Q182=2),1,0),IF($X182&lt;=20,1,0))</formula>
    </cfRule>
    <cfRule type="expression" priority="704" dxfId="2">
      <formula>AND(IF($Q182=2,1,0),IF($X182&lt;30,1,0))</formula>
    </cfRule>
    <cfRule type="expression" priority="705" dxfId="1">
      <formula>AND(IF($Q182=3,1,0),IF($X182&lt;30,1,0))</formula>
    </cfRule>
    <cfRule type="expression" priority="706" dxfId="0">
      <formula>AND(IF($Q182=3,1,IF($Q182=4,1,0)),IF($F182&lt;=85,1,0))</formula>
    </cfRule>
  </conditionalFormatting>
  <conditionalFormatting sqref="AV183">
    <cfRule type="expression" priority="701" dxfId="23">
      <formula>AV183="X"</formula>
    </cfRule>
    <cfRule type="expression" priority="702" dxfId="22">
      <formula>AV183="후보"</formula>
    </cfRule>
  </conditionalFormatting>
  <conditionalFormatting sqref="AC18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8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83">
    <cfRule type="expression" priority="693" dxfId="3">
      <formula>AND(IF(OR($Q183=1,$Q183=2),1,0),IF($X183&lt;=20,1,0))</formula>
    </cfRule>
    <cfRule type="expression" priority="694" dxfId="2">
      <formula>AND(IF($Q183=2,1,0),IF($X183&lt;30,1,0))</formula>
    </cfRule>
    <cfRule type="expression" priority="695" dxfId="1">
      <formula>AND(IF($Q183=3,1,0),IF($X183&lt;30,1,0))</formula>
    </cfRule>
    <cfRule type="expression" priority="696" dxfId="0">
      <formula>AND(IF($Q183=3,1,IF($Q183=4,1,0)),IF($F183&lt;=85,1,0))</formula>
    </cfRule>
  </conditionalFormatting>
  <conditionalFormatting sqref="X183">
    <cfRule type="expression" priority="689" dxfId="3">
      <formula>AND(IF(OR($Q183=1,$Q183=2),1,0),IF($X183&lt;=20,1,0))</formula>
    </cfRule>
    <cfRule type="expression" priority="690" dxfId="2">
      <formula>AND(IF($Q183=2,1,0),IF($X183&lt;30,1,0))</formula>
    </cfRule>
    <cfRule type="expression" priority="691" dxfId="1">
      <formula>AND(IF($Q183=3,1,0),IF($X183&lt;30,1,0))</formula>
    </cfRule>
    <cfRule type="expression" priority="692" dxfId="0">
      <formula>AND(IF($Q183=3,1,IF($Q183=4,1,0)),IF($F183&lt;=85,1,0))</formula>
    </cfRule>
  </conditionalFormatting>
  <conditionalFormatting sqref="AI183">
    <cfRule type="expression" priority="685" dxfId="3">
      <formula>AND(IF(OR($Q183=1,$Q183=2),1,0),IF($X183&lt;=20,1,0))</formula>
    </cfRule>
    <cfRule type="expression" priority="686" dxfId="2">
      <formula>AND(IF($Q183=2,1,0),IF($X183&lt;30,1,0))</formula>
    </cfRule>
    <cfRule type="expression" priority="687" dxfId="1">
      <formula>AND(IF($Q183=3,1,0),IF($X183&lt;30,1,0))</formula>
    </cfRule>
    <cfRule type="expression" priority="688" dxfId="0">
      <formula>AND(IF($Q183=3,1,IF($Q183=4,1,0)),IF($F183&lt;=85,1,0))</formula>
    </cfRule>
  </conditionalFormatting>
  <conditionalFormatting sqref="AV184">
    <cfRule type="expression" priority="683" dxfId="23">
      <formula>AV184="X"</formula>
    </cfRule>
    <cfRule type="expression" priority="684" dxfId="22">
      <formula>AV184="후보"</formula>
    </cfRule>
  </conditionalFormatting>
  <conditionalFormatting sqref="AC18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8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84">
    <cfRule type="expression" priority="675" dxfId="3">
      <formula>AND(IF(OR($Q184=1,$Q184=2),1,0),IF($X184&lt;=20,1,0))</formula>
    </cfRule>
    <cfRule type="expression" priority="676" dxfId="2">
      <formula>AND(IF($Q184=2,1,0),IF($X184&lt;30,1,0))</formula>
    </cfRule>
    <cfRule type="expression" priority="677" dxfId="1">
      <formula>AND(IF($Q184=3,1,0),IF($X184&lt;30,1,0))</formula>
    </cfRule>
    <cfRule type="expression" priority="678" dxfId="0">
      <formula>AND(IF($Q184=3,1,IF($Q184=4,1,0)),IF($F184&lt;=85,1,0))</formula>
    </cfRule>
  </conditionalFormatting>
  <conditionalFormatting sqref="X184">
    <cfRule type="expression" priority="671" dxfId="3">
      <formula>AND(IF(OR($Q184=1,$Q184=2),1,0),IF($X184&lt;=20,1,0))</formula>
    </cfRule>
    <cfRule type="expression" priority="672" dxfId="2">
      <formula>AND(IF($Q184=2,1,0),IF($X184&lt;30,1,0))</formula>
    </cfRule>
    <cfRule type="expression" priority="673" dxfId="1">
      <formula>AND(IF($Q184=3,1,0),IF($X184&lt;30,1,0))</formula>
    </cfRule>
    <cfRule type="expression" priority="674" dxfId="0">
      <formula>AND(IF($Q184=3,1,IF($Q184=4,1,0)),IF($F184&lt;=85,1,0))</formula>
    </cfRule>
  </conditionalFormatting>
  <conditionalFormatting sqref="AI184">
    <cfRule type="expression" priority="667" dxfId="3">
      <formula>AND(IF(OR($Q184=1,$Q184=2),1,0),IF($X184&lt;=20,1,0))</formula>
    </cfRule>
    <cfRule type="expression" priority="668" dxfId="2">
      <formula>AND(IF($Q184=2,1,0),IF($X184&lt;30,1,0))</formula>
    </cfRule>
    <cfRule type="expression" priority="669" dxfId="1">
      <formula>AND(IF($Q184=3,1,0),IF($X184&lt;30,1,0))</formula>
    </cfRule>
    <cfRule type="expression" priority="670" dxfId="0">
      <formula>AND(IF($Q184=3,1,IF($Q184=4,1,0)),IF($F184&lt;=85,1,0))</formula>
    </cfRule>
  </conditionalFormatting>
  <conditionalFormatting sqref="AV185">
    <cfRule type="expression" priority="665" dxfId="23">
      <formula>AV185="X"</formula>
    </cfRule>
    <cfRule type="expression" priority="666" dxfId="22">
      <formula>AV185="후보"</formula>
    </cfRule>
  </conditionalFormatting>
  <conditionalFormatting sqref="AC18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8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85">
    <cfRule type="expression" priority="657" dxfId="3">
      <formula>AND(IF(OR($Q185=1,$Q185=2),1,0),IF($X185&lt;=20,1,0))</formula>
    </cfRule>
    <cfRule type="expression" priority="658" dxfId="2">
      <formula>AND(IF($Q185=2,1,0),IF($X185&lt;30,1,0))</formula>
    </cfRule>
    <cfRule type="expression" priority="659" dxfId="1">
      <formula>AND(IF($Q185=3,1,0),IF($X185&lt;30,1,0))</formula>
    </cfRule>
    <cfRule type="expression" priority="660" dxfId="0">
      <formula>AND(IF($Q185=3,1,IF($Q185=4,1,0)),IF($F185&lt;=85,1,0))</formula>
    </cfRule>
  </conditionalFormatting>
  <conditionalFormatting sqref="X185">
    <cfRule type="expression" priority="653" dxfId="3">
      <formula>AND(IF(OR($Q185=1,$Q185=2),1,0),IF($X185&lt;=20,1,0))</formula>
    </cfRule>
    <cfRule type="expression" priority="654" dxfId="2">
      <formula>AND(IF($Q185=2,1,0),IF($X185&lt;30,1,0))</formula>
    </cfRule>
    <cfRule type="expression" priority="655" dxfId="1">
      <formula>AND(IF($Q185=3,1,0),IF($X185&lt;30,1,0))</formula>
    </cfRule>
    <cfRule type="expression" priority="656" dxfId="0">
      <formula>AND(IF($Q185=3,1,IF($Q185=4,1,0)),IF($F185&lt;=85,1,0))</formula>
    </cfRule>
  </conditionalFormatting>
  <conditionalFormatting sqref="AI185">
    <cfRule type="expression" priority="649" dxfId="3">
      <formula>AND(IF(OR($Q185=1,$Q185=2),1,0),IF($X185&lt;=20,1,0))</formula>
    </cfRule>
    <cfRule type="expression" priority="650" dxfId="2">
      <formula>AND(IF($Q185=2,1,0),IF($X185&lt;30,1,0))</formula>
    </cfRule>
    <cfRule type="expression" priority="651" dxfId="1">
      <formula>AND(IF($Q185=3,1,0),IF($X185&lt;30,1,0))</formula>
    </cfRule>
    <cfRule type="expression" priority="652" dxfId="0">
      <formula>AND(IF($Q185=3,1,IF($Q185=4,1,0)),IF($F185&lt;=85,1,0))</formula>
    </cfRule>
  </conditionalFormatting>
  <conditionalFormatting sqref="AV186">
    <cfRule type="expression" priority="647" dxfId="23">
      <formula>AV186="X"</formula>
    </cfRule>
    <cfRule type="expression" priority="648" dxfId="22">
      <formula>AV186="후보"</formula>
    </cfRule>
  </conditionalFormatting>
  <conditionalFormatting sqref="AC18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8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86">
    <cfRule type="expression" priority="639" dxfId="3">
      <formula>AND(IF(OR($Q186=1,$Q186=2),1,0),IF($X186&lt;=20,1,0))</formula>
    </cfRule>
    <cfRule type="expression" priority="640" dxfId="2">
      <formula>AND(IF($Q186=2,1,0),IF($X186&lt;30,1,0))</formula>
    </cfRule>
    <cfRule type="expression" priority="641" dxfId="1">
      <formula>AND(IF($Q186=3,1,0),IF($X186&lt;30,1,0))</formula>
    </cfRule>
    <cfRule type="expression" priority="642" dxfId="0">
      <formula>AND(IF($Q186=3,1,IF($Q186=4,1,0)),IF($F186&lt;=85,1,0))</formula>
    </cfRule>
  </conditionalFormatting>
  <conditionalFormatting sqref="X186">
    <cfRule type="expression" priority="635" dxfId="3">
      <formula>AND(IF(OR($Q186=1,$Q186=2),1,0),IF($X186&lt;=20,1,0))</formula>
    </cfRule>
    <cfRule type="expression" priority="636" dxfId="2">
      <formula>AND(IF($Q186=2,1,0),IF($X186&lt;30,1,0))</formula>
    </cfRule>
    <cfRule type="expression" priority="637" dxfId="1">
      <formula>AND(IF($Q186=3,1,0),IF($X186&lt;30,1,0))</formula>
    </cfRule>
    <cfRule type="expression" priority="638" dxfId="0">
      <formula>AND(IF($Q186=3,1,IF($Q186=4,1,0)),IF($F186&lt;=85,1,0))</formula>
    </cfRule>
  </conditionalFormatting>
  <conditionalFormatting sqref="AI186">
    <cfRule type="expression" priority="631" dxfId="3">
      <formula>AND(IF(OR($Q186=1,$Q186=2),1,0),IF($X186&lt;=20,1,0))</formula>
    </cfRule>
    <cfRule type="expression" priority="632" dxfId="2">
      <formula>AND(IF($Q186=2,1,0),IF($X186&lt;30,1,0))</formula>
    </cfRule>
    <cfRule type="expression" priority="633" dxfId="1">
      <formula>AND(IF($Q186=3,1,0),IF($X186&lt;30,1,0))</formula>
    </cfRule>
    <cfRule type="expression" priority="634" dxfId="0">
      <formula>AND(IF($Q186=3,1,IF($Q186=4,1,0)),IF($F186&lt;=85,1,0))</formula>
    </cfRule>
  </conditionalFormatting>
  <conditionalFormatting sqref="AV187">
    <cfRule type="expression" priority="629" dxfId="23">
      <formula>AV187="X"</formula>
    </cfRule>
    <cfRule type="expression" priority="630" dxfId="22">
      <formula>AV187="후보"</formula>
    </cfRule>
  </conditionalFormatting>
  <conditionalFormatting sqref="AC18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8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87">
    <cfRule type="expression" priority="621" dxfId="3">
      <formula>AND(IF(OR($Q187=1,$Q187=2),1,0),IF($X187&lt;=20,1,0))</formula>
    </cfRule>
    <cfRule type="expression" priority="622" dxfId="2">
      <formula>AND(IF($Q187=2,1,0),IF($X187&lt;30,1,0))</formula>
    </cfRule>
    <cfRule type="expression" priority="623" dxfId="1">
      <formula>AND(IF($Q187=3,1,0),IF($X187&lt;30,1,0))</formula>
    </cfRule>
    <cfRule type="expression" priority="624" dxfId="0">
      <formula>AND(IF($Q187=3,1,IF($Q187=4,1,0)),IF($F187&lt;=85,1,0))</formula>
    </cfRule>
  </conditionalFormatting>
  <conditionalFormatting sqref="X187">
    <cfRule type="expression" priority="617" dxfId="3">
      <formula>AND(IF(OR($Q187=1,$Q187=2),1,0),IF($X187&lt;=20,1,0))</formula>
    </cfRule>
    <cfRule type="expression" priority="618" dxfId="2">
      <formula>AND(IF($Q187=2,1,0),IF($X187&lt;30,1,0))</formula>
    </cfRule>
    <cfRule type="expression" priority="619" dxfId="1">
      <formula>AND(IF($Q187=3,1,0),IF($X187&lt;30,1,0))</formula>
    </cfRule>
    <cfRule type="expression" priority="620" dxfId="0">
      <formula>AND(IF($Q187=3,1,IF($Q187=4,1,0)),IF($F187&lt;=85,1,0))</formula>
    </cfRule>
  </conditionalFormatting>
  <conditionalFormatting sqref="AI187">
    <cfRule type="expression" priority="613" dxfId="3">
      <formula>AND(IF(OR($Q187=1,$Q187=2),1,0),IF($X187&lt;=20,1,0))</formula>
    </cfRule>
    <cfRule type="expression" priority="614" dxfId="2">
      <formula>AND(IF($Q187=2,1,0),IF($X187&lt;30,1,0))</formula>
    </cfRule>
    <cfRule type="expression" priority="615" dxfId="1">
      <formula>AND(IF($Q187=3,1,0),IF($X187&lt;30,1,0))</formula>
    </cfRule>
    <cfRule type="expression" priority="616" dxfId="0">
      <formula>AND(IF($Q187=3,1,IF($Q187=4,1,0)),IF($F187&lt;=85,1,0))</formula>
    </cfRule>
  </conditionalFormatting>
  <conditionalFormatting sqref="AV188">
    <cfRule type="expression" priority="611" dxfId="23">
      <formula>AV188="X"</formula>
    </cfRule>
    <cfRule type="expression" priority="612" dxfId="22">
      <formula>AV188="후보"</formula>
    </cfRule>
  </conditionalFormatting>
  <conditionalFormatting sqref="AC18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8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88">
    <cfRule type="expression" priority="603" dxfId="3">
      <formula>AND(IF(OR($Q188=1,$Q188=2),1,0),IF($X188&lt;=20,1,0))</formula>
    </cfRule>
    <cfRule type="expression" priority="604" dxfId="2">
      <formula>AND(IF($Q188=2,1,0),IF($X188&lt;30,1,0))</formula>
    </cfRule>
    <cfRule type="expression" priority="605" dxfId="1">
      <formula>AND(IF($Q188=3,1,0),IF($X188&lt;30,1,0))</formula>
    </cfRule>
    <cfRule type="expression" priority="606" dxfId="0">
      <formula>AND(IF($Q188=3,1,IF($Q188=4,1,0)),IF($F188&lt;=85,1,0))</formula>
    </cfRule>
  </conditionalFormatting>
  <conditionalFormatting sqref="X188">
    <cfRule type="expression" priority="599" dxfId="3">
      <formula>AND(IF(OR($Q188=1,$Q188=2),1,0),IF($X188&lt;=20,1,0))</formula>
    </cfRule>
    <cfRule type="expression" priority="600" dxfId="2">
      <formula>AND(IF($Q188=2,1,0),IF($X188&lt;30,1,0))</formula>
    </cfRule>
    <cfRule type="expression" priority="601" dxfId="1">
      <formula>AND(IF($Q188=3,1,0),IF($X188&lt;30,1,0))</formula>
    </cfRule>
    <cfRule type="expression" priority="602" dxfId="0">
      <formula>AND(IF($Q188=3,1,IF($Q188=4,1,0)),IF($F188&lt;=85,1,0))</formula>
    </cfRule>
  </conditionalFormatting>
  <conditionalFormatting sqref="AI188">
    <cfRule type="expression" priority="595" dxfId="3">
      <formula>AND(IF(OR($Q188=1,$Q188=2),1,0),IF($X188&lt;=20,1,0))</formula>
    </cfRule>
    <cfRule type="expression" priority="596" dxfId="2">
      <formula>AND(IF($Q188=2,1,0),IF($X188&lt;30,1,0))</formula>
    </cfRule>
    <cfRule type="expression" priority="597" dxfId="1">
      <formula>AND(IF($Q188=3,1,0),IF($X188&lt;30,1,0))</formula>
    </cfRule>
    <cfRule type="expression" priority="598" dxfId="0">
      <formula>AND(IF($Q188=3,1,IF($Q188=4,1,0)),IF($F188&lt;=85,1,0))</formula>
    </cfRule>
  </conditionalFormatting>
  <conditionalFormatting sqref="AV189">
    <cfRule type="expression" priority="593" dxfId="23">
      <formula>AV189="X"</formula>
    </cfRule>
    <cfRule type="expression" priority="594" dxfId="22">
      <formula>AV189="후보"</formula>
    </cfRule>
  </conditionalFormatting>
  <conditionalFormatting sqref="AC18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8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89">
    <cfRule type="expression" priority="585" dxfId="3">
      <formula>AND(IF(OR($Q189=1,$Q189=2),1,0),IF($X189&lt;=20,1,0))</formula>
    </cfRule>
    <cfRule type="expression" priority="586" dxfId="2">
      <formula>AND(IF($Q189=2,1,0),IF($X189&lt;30,1,0))</formula>
    </cfRule>
    <cfRule type="expression" priority="587" dxfId="1">
      <formula>AND(IF($Q189=3,1,0),IF($X189&lt;30,1,0))</formula>
    </cfRule>
    <cfRule type="expression" priority="588" dxfId="0">
      <formula>AND(IF($Q189=3,1,IF($Q189=4,1,0)),IF($F189&lt;=85,1,0))</formula>
    </cfRule>
  </conditionalFormatting>
  <conditionalFormatting sqref="X189">
    <cfRule type="expression" priority="581" dxfId="3">
      <formula>AND(IF(OR($Q189=1,$Q189=2),1,0),IF($X189&lt;=20,1,0))</formula>
    </cfRule>
    <cfRule type="expression" priority="582" dxfId="2">
      <formula>AND(IF($Q189=2,1,0),IF($X189&lt;30,1,0))</formula>
    </cfRule>
    <cfRule type="expression" priority="583" dxfId="1">
      <formula>AND(IF($Q189=3,1,0),IF($X189&lt;30,1,0))</formula>
    </cfRule>
    <cfRule type="expression" priority="584" dxfId="0">
      <formula>AND(IF($Q189=3,1,IF($Q189=4,1,0)),IF($F189&lt;=85,1,0))</formula>
    </cfRule>
  </conditionalFormatting>
  <conditionalFormatting sqref="AI189">
    <cfRule type="expression" priority="577" dxfId="3">
      <formula>AND(IF(OR($Q189=1,$Q189=2),1,0),IF($X189&lt;=20,1,0))</formula>
    </cfRule>
    <cfRule type="expression" priority="578" dxfId="2">
      <formula>AND(IF($Q189=2,1,0),IF($X189&lt;30,1,0))</formula>
    </cfRule>
    <cfRule type="expression" priority="579" dxfId="1">
      <formula>AND(IF($Q189=3,1,0),IF($X189&lt;30,1,0))</formula>
    </cfRule>
    <cfRule type="expression" priority="580" dxfId="0">
      <formula>AND(IF($Q189=3,1,IF($Q189=4,1,0)),IF($F189&lt;=85,1,0))</formula>
    </cfRule>
  </conditionalFormatting>
  <conditionalFormatting sqref="AV190">
    <cfRule type="expression" priority="575" dxfId="23">
      <formula>AV190="X"</formula>
    </cfRule>
    <cfRule type="expression" priority="576" dxfId="22">
      <formula>AV190="후보"</formula>
    </cfRule>
  </conditionalFormatting>
  <conditionalFormatting sqref="AC19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9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90">
    <cfRule type="expression" priority="567" dxfId="3">
      <formula>AND(IF(OR($Q190=1,$Q190=2),1,0),IF($X190&lt;=20,1,0))</formula>
    </cfRule>
    <cfRule type="expression" priority="568" dxfId="2">
      <formula>AND(IF($Q190=2,1,0),IF($X190&lt;30,1,0))</formula>
    </cfRule>
    <cfRule type="expression" priority="569" dxfId="1">
      <formula>AND(IF($Q190=3,1,0),IF($X190&lt;30,1,0))</formula>
    </cfRule>
    <cfRule type="expression" priority="570" dxfId="0">
      <formula>AND(IF($Q190=3,1,IF($Q190=4,1,0)),IF($F190&lt;=85,1,0))</formula>
    </cfRule>
  </conditionalFormatting>
  <conditionalFormatting sqref="X190">
    <cfRule type="expression" priority="563" dxfId="3">
      <formula>AND(IF(OR($Q190=1,$Q190=2),1,0),IF($X190&lt;=20,1,0))</formula>
    </cfRule>
    <cfRule type="expression" priority="564" dxfId="2">
      <formula>AND(IF($Q190=2,1,0),IF($X190&lt;30,1,0))</formula>
    </cfRule>
    <cfRule type="expression" priority="565" dxfId="1">
      <formula>AND(IF($Q190=3,1,0),IF($X190&lt;30,1,0))</formula>
    </cfRule>
    <cfRule type="expression" priority="566" dxfId="0">
      <formula>AND(IF($Q190=3,1,IF($Q190=4,1,0)),IF($F190&lt;=85,1,0))</formula>
    </cfRule>
  </conditionalFormatting>
  <conditionalFormatting sqref="AI190">
    <cfRule type="expression" priority="559" dxfId="3">
      <formula>AND(IF(OR($Q190=1,$Q190=2),1,0),IF($X190&lt;=20,1,0))</formula>
    </cfRule>
    <cfRule type="expression" priority="560" dxfId="2">
      <formula>AND(IF($Q190=2,1,0),IF($X190&lt;30,1,0))</formula>
    </cfRule>
    <cfRule type="expression" priority="561" dxfId="1">
      <formula>AND(IF($Q190=3,1,0),IF($X190&lt;30,1,0))</formula>
    </cfRule>
    <cfRule type="expression" priority="562" dxfId="0">
      <formula>AND(IF($Q190=3,1,IF($Q190=4,1,0)),IF($F190&lt;=85,1,0))</formula>
    </cfRule>
  </conditionalFormatting>
  <conditionalFormatting sqref="AV191">
    <cfRule type="expression" priority="557" dxfId="23">
      <formula>AV191="X"</formula>
    </cfRule>
    <cfRule type="expression" priority="558" dxfId="22">
      <formula>AV191="후보"</formula>
    </cfRule>
  </conditionalFormatting>
  <conditionalFormatting sqref="AC19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9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191">
    <cfRule type="expression" priority="549" dxfId="3">
      <formula>AND(IF(OR($Q191=1,$Q191=2),1,0),IF($X191&lt;=20,1,0))</formula>
    </cfRule>
    <cfRule type="expression" priority="550" dxfId="2">
      <formula>AND(IF($Q191=2,1,0),IF($X191&lt;30,1,0))</formula>
    </cfRule>
    <cfRule type="expression" priority="551" dxfId="1">
      <formula>AND(IF($Q191=3,1,0),IF($X191&lt;30,1,0))</formula>
    </cfRule>
    <cfRule type="expression" priority="552" dxfId="0">
      <formula>AND(IF($Q191=3,1,IF($Q191=4,1,0)),IF($F191&lt;=85,1,0))</formula>
    </cfRule>
  </conditionalFormatting>
  <conditionalFormatting sqref="X191">
    <cfRule type="expression" priority="545" dxfId="3">
      <formula>AND(IF(OR($Q191=1,$Q191=2),1,0),IF($X191&lt;=20,1,0))</formula>
    </cfRule>
    <cfRule type="expression" priority="546" dxfId="2">
      <formula>AND(IF($Q191=2,1,0),IF($X191&lt;30,1,0))</formula>
    </cfRule>
    <cfRule type="expression" priority="547" dxfId="1">
      <formula>AND(IF($Q191=3,1,0),IF($X191&lt;30,1,0))</formula>
    </cfRule>
    <cfRule type="expression" priority="548" dxfId="0">
      <formula>AND(IF($Q191=3,1,IF($Q191=4,1,0)),IF($F191&lt;=85,1,0))</formula>
    </cfRule>
  </conditionalFormatting>
  <conditionalFormatting sqref="AI191">
    <cfRule type="expression" priority="541" dxfId="3">
      <formula>AND(IF(OR($Q191=1,$Q191=2),1,0),IF($X191&lt;=20,1,0))</formula>
    </cfRule>
    <cfRule type="expression" priority="542" dxfId="2">
      <formula>AND(IF($Q191=2,1,0),IF($X191&lt;30,1,0))</formula>
    </cfRule>
    <cfRule type="expression" priority="543" dxfId="1">
      <formula>AND(IF($Q191=3,1,0),IF($X191&lt;30,1,0))</formula>
    </cfRule>
    <cfRule type="expression" priority="544" dxfId="0">
      <formula>AND(IF($Q191=3,1,IF($Q191=4,1,0)),IF($F191&lt;=85,1,0))</formula>
    </cfRule>
  </conditionalFormatting>
  <conditionalFormatting sqref="AV192">
    <cfRule type="expression" priority="539" dxfId="23">
      <formula>AV192="X"</formula>
    </cfRule>
    <cfRule type="expression" priority="540" dxfId="22">
      <formula>AV192="후보"</formula>
    </cfRule>
  </conditionalFormatting>
  <conditionalFormatting sqref="AC19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19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192">
    <cfRule type="expression" priority="531" dxfId="3">
      <formula>AND(IF(OR($Q192=1,$Q192=2),1,0),IF($X192&lt;=20,1,0))</formula>
    </cfRule>
    <cfRule type="expression" priority="532" dxfId="2">
      <formula>AND(IF($Q192=2,1,0),IF($X192&lt;30,1,0))</formula>
    </cfRule>
    <cfRule type="expression" priority="533" dxfId="1">
      <formula>AND(IF($Q192=3,1,0),IF($X192&lt;30,1,0))</formula>
    </cfRule>
    <cfRule type="expression" priority="534" dxfId="0">
      <formula>AND(IF($Q192=3,1,IF($Q192=4,1,0)),IF($F192&lt;=85,1,0))</formula>
    </cfRule>
  </conditionalFormatting>
  <conditionalFormatting sqref="X192">
    <cfRule type="expression" priority="527" dxfId="3">
      <formula>AND(IF(OR($Q192=1,$Q192=2),1,0),IF($X192&lt;=20,1,0))</formula>
    </cfRule>
    <cfRule type="expression" priority="528" dxfId="2">
      <formula>AND(IF($Q192=2,1,0),IF($X192&lt;30,1,0))</formula>
    </cfRule>
    <cfRule type="expression" priority="529" dxfId="1">
      <formula>AND(IF($Q192=3,1,0),IF($X192&lt;30,1,0))</formula>
    </cfRule>
    <cfRule type="expression" priority="530" dxfId="0">
      <formula>AND(IF($Q192=3,1,IF($Q192=4,1,0)),IF($F192&lt;=85,1,0))</formula>
    </cfRule>
  </conditionalFormatting>
  <conditionalFormatting sqref="AI192">
    <cfRule type="expression" priority="523" dxfId="3">
      <formula>AND(IF(OR($Q192=1,$Q192=2),1,0),IF($X192&lt;=20,1,0))</formula>
    </cfRule>
    <cfRule type="expression" priority="524" dxfId="2">
      <formula>AND(IF($Q192=2,1,0),IF($X192&lt;30,1,0))</formula>
    </cfRule>
    <cfRule type="expression" priority="525" dxfId="1">
      <formula>AND(IF($Q192=3,1,0),IF($X192&lt;30,1,0))</formula>
    </cfRule>
    <cfRule type="expression" priority="526" dxfId="0">
      <formula>AND(IF($Q192=3,1,IF($Q192=4,1,0)),IF($F192&lt;=85,1,0))</formula>
    </cfRule>
  </conditionalFormatting>
  <conditionalFormatting sqref="AV193">
    <cfRule type="expression" priority="521" dxfId="23">
      <formula>AV193="X"</formula>
    </cfRule>
    <cfRule type="expression" priority="522" dxfId="22">
      <formula>AV193="후보"</formula>
    </cfRule>
  </conditionalFormatting>
  <conditionalFormatting sqref="AC19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9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93">
    <cfRule type="expression" priority="513" dxfId="3">
      <formula>AND(IF(OR($Q193=1,$Q193=2),1,0),IF($X193&lt;=20,1,0))</formula>
    </cfRule>
    <cfRule type="expression" priority="514" dxfId="2">
      <formula>AND(IF($Q193=2,1,0),IF($X193&lt;30,1,0))</formula>
    </cfRule>
    <cfRule type="expression" priority="515" dxfId="1">
      <formula>AND(IF($Q193=3,1,0),IF($X193&lt;30,1,0))</formula>
    </cfRule>
    <cfRule type="expression" priority="516" dxfId="0">
      <formula>AND(IF($Q193=3,1,IF($Q193=4,1,0)),IF($F193&lt;=85,1,0))</formula>
    </cfRule>
  </conditionalFormatting>
  <conditionalFormatting sqref="X193">
    <cfRule type="expression" priority="509" dxfId="3">
      <formula>AND(IF(OR($Q193=1,$Q193=2),1,0),IF($X193&lt;=20,1,0))</formula>
    </cfRule>
    <cfRule type="expression" priority="510" dxfId="2">
      <formula>AND(IF($Q193=2,1,0),IF($X193&lt;30,1,0))</formula>
    </cfRule>
    <cfRule type="expression" priority="511" dxfId="1">
      <formula>AND(IF($Q193=3,1,0),IF($X193&lt;30,1,0))</formula>
    </cfRule>
    <cfRule type="expression" priority="512" dxfId="0">
      <formula>AND(IF($Q193=3,1,IF($Q193=4,1,0)),IF($F193&lt;=85,1,0))</formula>
    </cfRule>
  </conditionalFormatting>
  <conditionalFormatting sqref="AI193">
    <cfRule type="expression" priority="505" dxfId="3">
      <formula>AND(IF(OR($Q193=1,$Q193=2),1,0),IF($X193&lt;=20,1,0))</formula>
    </cfRule>
    <cfRule type="expression" priority="506" dxfId="2">
      <formula>AND(IF($Q193=2,1,0),IF($X193&lt;30,1,0))</formula>
    </cfRule>
    <cfRule type="expression" priority="507" dxfId="1">
      <formula>AND(IF($Q193=3,1,0),IF($X193&lt;30,1,0))</formula>
    </cfRule>
    <cfRule type="expression" priority="508" dxfId="0">
      <formula>AND(IF($Q193=3,1,IF($Q193=4,1,0)),IF($F193&lt;=85,1,0))</formula>
    </cfRule>
  </conditionalFormatting>
  <conditionalFormatting sqref="AV194">
    <cfRule type="expression" priority="503" dxfId="23">
      <formula>AV194="X"</formula>
    </cfRule>
    <cfRule type="expression" priority="504" dxfId="22">
      <formula>AV194="후보"</formula>
    </cfRule>
  </conditionalFormatting>
  <conditionalFormatting sqref="AC19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9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94">
    <cfRule type="expression" priority="495" dxfId="3">
      <formula>AND(IF(OR($Q194=1,$Q194=2),1,0),IF($X194&lt;=20,1,0))</formula>
    </cfRule>
    <cfRule type="expression" priority="496" dxfId="2">
      <formula>AND(IF($Q194=2,1,0),IF($X194&lt;30,1,0))</formula>
    </cfRule>
    <cfRule type="expression" priority="497" dxfId="1">
      <formula>AND(IF($Q194=3,1,0),IF($X194&lt;30,1,0))</formula>
    </cfRule>
    <cfRule type="expression" priority="498" dxfId="0">
      <formula>AND(IF($Q194=3,1,IF($Q194=4,1,0)),IF($F194&lt;=85,1,0))</formula>
    </cfRule>
  </conditionalFormatting>
  <conditionalFormatting sqref="X194">
    <cfRule type="expression" priority="491" dxfId="3">
      <formula>AND(IF(OR($Q194=1,$Q194=2),1,0),IF($X194&lt;=20,1,0))</formula>
    </cfRule>
    <cfRule type="expression" priority="492" dxfId="2">
      <formula>AND(IF($Q194=2,1,0),IF($X194&lt;30,1,0))</formula>
    </cfRule>
    <cfRule type="expression" priority="493" dxfId="1">
      <formula>AND(IF($Q194=3,1,0),IF($X194&lt;30,1,0))</formula>
    </cfRule>
    <cfRule type="expression" priority="494" dxfId="0">
      <formula>AND(IF($Q194=3,1,IF($Q194=4,1,0)),IF($F194&lt;=85,1,0))</formula>
    </cfRule>
  </conditionalFormatting>
  <conditionalFormatting sqref="AI194">
    <cfRule type="expression" priority="487" dxfId="3">
      <formula>AND(IF(OR($Q194=1,$Q194=2),1,0),IF($X194&lt;=20,1,0))</formula>
    </cfRule>
    <cfRule type="expression" priority="488" dxfId="2">
      <formula>AND(IF($Q194=2,1,0),IF($X194&lt;30,1,0))</formula>
    </cfRule>
    <cfRule type="expression" priority="489" dxfId="1">
      <formula>AND(IF($Q194=3,1,0),IF($X194&lt;30,1,0))</formula>
    </cfRule>
    <cfRule type="expression" priority="490" dxfId="0">
      <formula>AND(IF($Q194=3,1,IF($Q194=4,1,0)),IF($F194&lt;=85,1,0))</formula>
    </cfRule>
  </conditionalFormatting>
  <conditionalFormatting sqref="AV195">
    <cfRule type="expression" priority="485" dxfId="23">
      <formula>AV195="X"</formula>
    </cfRule>
    <cfRule type="expression" priority="486" dxfId="22">
      <formula>AV195="후보"</formula>
    </cfRule>
  </conditionalFormatting>
  <conditionalFormatting sqref="AC19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19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195">
    <cfRule type="expression" priority="477" dxfId="3">
      <formula>AND(IF(OR($Q195=1,$Q195=2),1,0),IF($X195&lt;=20,1,0))</formula>
    </cfRule>
    <cfRule type="expression" priority="478" dxfId="2">
      <formula>AND(IF($Q195=2,1,0),IF($X195&lt;30,1,0))</formula>
    </cfRule>
    <cfRule type="expression" priority="479" dxfId="1">
      <formula>AND(IF($Q195=3,1,0),IF($X195&lt;30,1,0))</formula>
    </cfRule>
    <cfRule type="expression" priority="480" dxfId="0">
      <formula>AND(IF($Q195=3,1,IF($Q195=4,1,0)),IF($F195&lt;=85,1,0))</formula>
    </cfRule>
  </conditionalFormatting>
  <conditionalFormatting sqref="X195">
    <cfRule type="expression" priority="473" dxfId="3">
      <formula>AND(IF(OR($Q195=1,$Q195=2),1,0),IF($X195&lt;=20,1,0))</formula>
    </cfRule>
    <cfRule type="expression" priority="474" dxfId="2">
      <formula>AND(IF($Q195=2,1,0),IF($X195&lt;30,1,0))</formula>
    </cfRule>
    <cfRule type="expression" priority="475" dxfId="1">
      <formula>AND(IF($Q195=3,1,0),IF($X195&lt;30,1,0))</formula>
    </cfRule>
    <cfRule type="expression" priority="476" dxfId="0">
      <formula>AND(IF($Q195=3,1,IF($Q195=4,1,0)),IF($F195&lt;=85,1,0))</formula>
    </cfRule>
  </conditionalFormatting>
  <conditionalFormatting sqref="AI195">
    <cfRule type="expression" priority="469" dxfId="3">
      <formula>AND(IF(OR($Q195=1,$Q195=2),1,0),IF($X195&lt;=20,1,0))</formula>
    </cfRule>
    <cfRule type="expression" priority="470" dxfId="2">
      <formula>AND(IF($Q195=2,1,0),IF($X195&lt;30,1,0))</formula>
    </cfRule>
    <cfRule type="expression" priority="471" dxfId="1">
      <formula>AND(IF($Q195=3,1,0),IF($X195&lt;30,1,0))</formula>
    </cfRule>
    <cfRule type="expression" priority="472" dxfId="0">
      <formula>AND(IF($Q195=3,1,IF($Q195=4,1,0)),IF($F195&lt;=85,1,0))</formula>
    </cfRule>
  </conditionalFormatting>
  <conditionalFormatting sqref="AV196">
    <cfRule type="expression" priority="467" dxfId="23">
      <formula>AV196="X"</formula>
    </cfRule>
    <cfRule type="expression" priority="468" dxfId="22">
      <formula>AV196="후보"</formula>
    </cfRule>
  </conditionalFormatting>
  <conditionalFormatting sqref="AC19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19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196">
    <cfRule type="expression" priority="459" dxfId="3">
      <formula>AND(IF(OR($Q196=1,$Q196=2),1,0),IF($X196&lt;=20,1,0))</formula>
    </cfRule>
    <cfRule type="expression" priority="460" dxfId="2">
      <formula>AND(IF($Q196=2,1,0),IF($X196&lt;30,1,0))</formula>
    </cfRule>
    <cfRule type="expression" priority="461" dxfId="1">
      <formula>AND(IF($Q196=3,1,0),IF($X196&lt;30,1,0))</formula>
    </cfRule>
    <cfRule type="expression" priority="462" dxfId="0">
      <formula>AND(IF($Q196=3,1,IF($Q196=4,1,0)),IF($F196&lt;=85,1,0))</formula>
    </cfRule>
  </conditionalFormatting>
  <conditionalFormatting sqref="X196">
    <cfRule type="expression" priority="455" dxfId="3">
      <formula>AND(IF(OR($Q196=1,$Q196=2),1,0),IF($X196&lt;=20,1,0))</formula>
    </cfRule>
    <cfRule type="expression" priority="456" dxfId="2">
      <formula>AND(IF($Q196=2,1,0),IF($X196&lt;30,1,0))</formula>
    </cfRule>
    <cfRule type="expression" priority="457" dxfId="1">
      <formula>AND(IF($Q196=3,1,0),IF($X196&lt;30,1,0))</formula>
    </cfRule>
    <cfRule type="expression" priority="458" dxfId="0">
      <formula>AND(IF($Q196=3,1,IF($Q196=4,1,0)),IF($F196&lt;=85,1,0))</formula>
    </cfRule>
  </conditionalFormatting>
  <conditionalFormatting sqref="AI196">
    <cfRule type="expression" priority="451" dxfId="3">
      <formula>AND(IF(OR($Q196=1,$Q196=2),1,0),IF($X196&lt;=20,1,0))</formula>
    </cfRule>
    <cfRule type="expression" priority="452" dxfId="2">
      <formula>AND(IF($Q196=2,1,0),IF($X196&lt;30,1,0))</formula>
    </cfRule>
    <cfRule type="expression" priority="453" dxfId="1">
      <formula>AND(IF($Q196=3,1,0),IF($X196&lt;30,1,0))</formula>
    </cfRule>
    <cfRule type="expression" priority="454" dxfId="0">
      <formula>AND(IF($Q196=3,1,IF($Q196=4,1,0)),IF($F196&lt;=85,1,0))</formula>
    </cfRule>
  </conditionalFormatting>
  <conditionalFormatting sqref="AV197">
    <cfRule type="expression" priority="449" dxfId="23">
      <formula>AV197="X"</formula>
    </cfRule>
    <cfRule type="expression" priority="450" dxfId="22">
      <formula>AV197="후보"</formula>
    </cfRule>
  </conditionalFormatting>
  <conditionalFormatting sqref="AC19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9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97">
    <cfRule type="expression" priority="441" dxfId="3">
      <formula>AND(IF(OR($Q197=1,$Q197=2),1,0),IF($X197&lt;=20,1,0))</formula>
    </cfRule>
    <cfRule type="expression" priority="442" dxfId="2">
      <formula>AND(IF($Q197=2,1,0),IF($X197&lt;30,1,0))</formula>
    </cfRule>
    <cfRule type="expression" priority="443" dxfId="1">
      <formula>AND(IF($Q197=3,1,0),IF($X197&lt;30,1,0))</formula>
    </cfRule>
    <cfRule type="expression" priority="444" dxfId="0">
      <formula>AND(IF($Q197=3,1,IF($Q197=4,1,0)),IF($F197&lt;=85,1,0))</formula>
    </cfRule>
  </conditionalFormatting>
  <conditionalFormatting sqref="X197">
    <cfRule type="expression" priority="437" dxfId="3">
      <formula>AND(IF(OR($Q197=1,$Q197=2),1,0),IF($X197&lt;=20,1,0))</formula>
    </cfRule>
    <cfRule type="expression" priority="438" dxfId="2">
      <formula>AND(IF($Q197=2,1,0),IF($X197&lt;30,1,0))</formula>
    </cfRule>
    <cfRule type="expression" priority="439" dxfId="1">
      <formula>AND(IF($Q197=3,1,0),IF($X197&lt;30,1,0))</formula>
    </cfRule>
    <cfRule type="expression" priority="440" dxfId="0">
      <formula>AND(IF($Q197=3,1,IF($Q197=4,1,0)),IF($F197&lt;=85,1,0))</formula>
    </cfRule>
  </conditionalFormatting>
  <conditionalFormatting sqref="AI197">
    <cfRule type="expression" priority="433" dxfId="3">
      <formula>AND(IF(OR($Q197=1,$Q197=2),1,0),IF($X197&lt;=20,1,0))</formula>
    </cfRule>
    <cfRule type="expression" priority="434" dxfId="2">
      <formula>AND(IF($Q197=2,1,0),IF($X197&lt;30,1,0))</formula>
    </cfRule>
    <cfRule type="expression" priority="435" dxfId="1">
      <formula>AND(IF($Q197=3,1,0),IF($X197&lt;30,1,0))</formula>
    </cfRule>
    <cfRule type="expression" priority="436" dxfId="0">
      <formula>AND(IF($Q197=3,1,IF($Q197=4,1,0)),IF($F197&lt;=85,1,0))</formula>
    </cfRule>
  </conditionalFormatting>
  <conditionalFormatting sqref="AV198">
    <cfRule type="expression" priority="431" dxfId="23">
      <formula>AV198="X"</formula>
    </cfRule>
    <cfRule type="expression" priority="432" dxfId="22">
      <formula>AV198="후보"</formula>
    </cfRule>
  </conditionalFormatting>
  <conditionalFormatting sqref="AC19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9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98">
    <cfRule type="expression" priority="423" dxfId="3">
      <formula>AND(IF(OR($Q198=1,$Q198=2),1,0),IF($X198&lt;=20,1,0))</formula>
    </cfRule>
    <cfRule type="expression" priority="424" dxfId="2">
      <formula>AND(IF($Q198=2,1,0),IF($X198&lt;30,1,0))</formula>
    </cfRule>
    <cfRule type="expression" priority="425" dxfId="1">
      <formula>AND(IF($Q198=3,1,0),IF($X198&lt;30,1,0))</formula>
    </cfRule>
    <cfRule type="expression" priority="426" dxfId="0">
      <formula>AND(IF($Q198=3,1,IF($Q198=4,1,0)),IF($F198&lt;=85,1,0))</formula>
    </cfRule>
  </conditionalFormatting>
  <conditionalFormatting sqref="X198">
    <cfRule type="expression" priority="419" dxfId="3">
      <formula>AND(IF(OR($Q198=1,$Q198=2),1,0),IF($X198&lt;=20,1,0))</formula>
    </cfRule>
    <cfRule type="expression" priority="420" dxfId="2">
      <formula>AND(IF($Q198=2,1,0),IF($X198&lt;30,1,0))</formula>
    </cfRule>
    <cfRule type="expression" priority="421" dxfId="1">
      <formula>AND(IF($Q198=3,1,0),IF($X198&lt;30,1,0))</formula>
    </cfRule>
    <cfRule type="expression" priority="422" dxfId="0">
      <formula>AND(IF($Q198=3,1,IF($Q198=4,1,0)),IF($F198&lt;=85,1,0))</formula>
    </cfRule>
  </conditionalFormatting>
  <conditionalFormatting sqref="AI198">
    <cfRule type="expression" priority="415" dxfId="3">
      <formula>AND(IF(OR($Q198=1,$Q198=2),1,0),IF($X198&lt;=20,1,0))</formula>
    </cfRule>
    <cfRule type="expression" priority="416" dxfId="2">
      <formula>AND(IF($Q198=2,1,0),IF($X198&lt;30,1,0))</formula>
    </cfRule>
    <cfRule type="expression" priority="417" dxfId="1">
      <formula>AND(IF($Q198=3,1,0),IF($X198&lt;30,1,0))</formula>
    </cfRule>
    <cfRule type="expression" priority="418" dxfId="0">
      <formula>AND(IF($Q198=3,1,IF($Q198=4,1,0)),IF($F198&lt;=85,1,0))</formula>
    </cfRule>
  </conditionalFormatting>
  <conditionalFormatting sqref="AV199">
    <cfRule type="expression" priority="413" dxfId="23">
      <formula>AV199="X"</formula>
    </cfRule>
    <cfRule type="expression" priority="414" dxfId="22">
      <formula>AV199="후보"</formula>
    </cfRule>
  </conditionalFormatting>
  <conditionalFormatting sqref="AC19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9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99">
    <cfRule type="expression" priority="405" dxfId="3">
      <formula>AND(IF(OR($Q199=1,$Q199=2),1,0),IF($X199&lt;=20,1,0))</formula>
    </cfRule>
    <cfRule type="expression" priority="406" dxfId="2">
      <formula>AND(IF($Q199=2,1,0),IF($X199&lt;30,1,0))</formula>
    </cfRule>
    <cfRule type="expression" priority="407" dxfId="1">
      <formula>AND(IF($Q199=3,1,0),IF($X199&lt;30,1,0))</formula>
    </cfRule>
    <cfRule type="expression" priority="408" dxfId="0">
      <formula>AND(IF($Q199=3,1,IF($Q199=4,1,0)),IF($F199&lt;=85,1,0))</formula>
    </cfRule>
  </conditionalFormatting>
  <conditionalFormatting sqref="X199">
    <cfRule type="expression" priority="401" dxfId="3">
      <formula>AND(IF(OR($Q199=1,$Q199=2),1,0),IF($X199&lt;=20,1,0))</formula>
    </cfRule>
    <cfRule type="expression" priority="402" dxfId="2">
      <formula>AND(IF($Q199=2,1,0),IF($X199&lt;30,1,0))</formula>
    </cfRule>
    <cfRule type="expression" priority="403" dxfId="1">
      <formula>AND(IF($Q199=3,1,0),IF($X199&lt;30,1,0))</formula>
    </cfRule>
    <cfRule type="expression" priority="404" dxfId="0">
      <formula>AND(IF($Q199=3,1,IF($Q199=4,1,0)),IF($F199&lt;=85,1,0))</formula>
    </cfRule>
  </conditionalFormatting>
  <conditionalFormatting sqref="AI199">
    <cfRule type="expression" priority="397" dxfId="3">
      <formula>AND(IF(OR($Q199=1,$Q199=2),1,0),IF($X199&lt;=20,1,0))</formula>
    </cfRule>
    <cfRule type="expression" priority="398" dxfId="2">
      <formula>AND(IF($Q199=2,1,0),IF($X199&lt;30,1,0))</formula>
    </cfRule>
    <cfRule type="expression" priority="399" dxfId="1">
      <formula>AND(IF($Q199=3,1,0),IF($X199&lt;30,1,0))</formula>
    </cfRule>
    <cfRule type="expression" priority="400" dxfId="0">
      <formula>AND(IF($Q199=3,1,IF($Q199=4,1,0)),IF($F199&lt;=85,1,0))</formula>
    </cfRule>
  </conditionalFormatting>
  <conditionalFormatting sqref="AV200">
    <cfRule type="expression" priority="395" dxfId="23">
      <formula>AV200="X"</formula>
    </cfRule>
    <cfRule type="expression" priority="396" dxfId="22">
      <formula>AV200="후보"</formula>
    </cfRule>
  </conditionalFormatting>
  <conditionalFormatting sqref="AC20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0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00">
    <cfRule type="expression" priority="387" dxfId="3">
      <formula>AND(IF(OR($Q200=1,$Q200=2),1,0),IF($X200&lt;=20,1,0))</formula>
    </cfRule>
    <cfRule type="expression" priority="388" dxfId="2">
      <formula>AND(IF($Q200=2,1,0),IF($X200&lt;30,1,0))</formula>
    </cfRule>
    <cfRule type="expression" priority="389" dxfId="1">
      <formula>AND(IF($Q200=3,1,0),IF($X200&lt;30,1,0))</formula>
    </cfRule>
    <cfRule type="expression" priority="390" dxfId="0">
      <formula>AND(IF($Q200=3,1,IF($Q200=4,1,0)),IF($F200&lt;=85,1,0))</formula>
    </cfRule>
  </conditionalFormatting>
  <conditionalFormatting sqref="X200">
    <cfRule type="expression" priority="383" dxfId="3">
      <formula>AND(IF(OR($Q200=1,$Q200=2),1,0),IF($X200&lt;=20,1,0))</formula>
    </cfRule>
    <cfRule type="expression" priority="384" dxfId="2">
      <formula>AND(IF($Q200=2,1,0),IF($X200&lt;30,1,0))</formula>
    </cfRule>
    <cfRule type="expression" priority="385" dxfId="1">
      <formula>AND(IF($Q200=3,1,0),IF($X200&lt;30,1,0))</formula>
    </cfRule>
    <cfRule type="expression" priority="386" dxfId="0">
      <formula>AND(IF($Q200=3,1,IF($Q200=4,1,0)),IF($F200&lt;=85,1,0))</formula>
    </cfRule>
  </conditionalFormatting>
  <conditionalFormatting sqref="AI200">
    <cfRule type="expression" priority="379" dxfId="3">
      <formula>AND(IF(OR($Q200=1,$Q200=2),1,0),IF($X200&lt;=20,1,0))</formula>
    </cfRule>
    <cfRule type="expression" priority="380" dxfId="2">
      <formula>AND(IF($Q200=2,1,0),IF($X200&lt;30,1,0))</formula>
    </cfRule>
    <cfRule type="expression" priority="381" dxfId="1">
      <formula>AND(IF($Q200=3,1,0),IF($X200&lt;30,1,0))</formula>
    </cfRule>
    <cfRule type="expression" priority="382" dxfId="0">
      <formula>AND(IF($Q200=3,1,IF($Q200=4,1,0)),IF($F200&lt;=85,1,0))</formula>
    </cfRule>
  </conditionalFormatting>
  <conditionalFormatting sqref="AV201">
    <cfRule type="expression" priority="377" dxfId="23">
      <formula>AV201="X"</formula>
    </cfRule>
    <cfRule type="expression" priority="378" dxfId="22">
      <formula>AV201="후보"</formula>
    </cfRule>
  </conditionalFormatting>
  <conditionalFormatting sqref="AC20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0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01">
    <cfRule type="expression" priority="369" dxfId="3">
      <formula>AND(IF(OR($Q201=1,$Q201=2),1,0),IF($X201&lt;=20,1,0))</formula>
    </cfRule>
    <cfRule type="expression" priority="370" dxfId="2">
      <formula>AND(IF($Q201=2,1,0),IF($X201&lt;30,1,0))</formula>
    </cfRule>
    <cfRule type="expression" priority="371" dxfId="1">
      <formula>AND(IF($Q201=3,1,0),IF($X201&lt;30,1,0))</formula>
    </cfRule>
    <cfRule type="expression" priority="372" dxfId="0">
      <formula>AND(IF($Q201=3,1,IF($Q201=4,1,0)),IF($F201&lt;=85,1,0))</formula>
    </cfRule>
  </conditionalFormatting>
  <conditionalFormatting sqref="X201">
    <cfRule type="expression" priority="365" dxfId="3">
      <formula>AND(IF(OR($Q201=1,$Q201=2),1,0),IF($X201&lt;=20,1,0))</formula>
    </cfRule>
    <cfRule type="expression" priority="366" dxfId="2">
      <formula>AND(IF($Q201=2,1,0),IF($X201&lt;30,1,0))</formula>
    </cfRule>
    <cfRule type="expression" priority="367" dxfId="1">
      <formula>AND(IF($Q201=3,1,0),IF($X201&lt;30,1,0))</formula>
    </cfRule>
    <cfRule type="expression" priority="368" dxfId="0">
      <formula>AND(IF($Q201=3,1,IF($Q201=4,1,0)),IF($F201&lt;=85,1,0))</formula>
    </cfRule>
  </conditionalFormatting>
  <conditionalFormatting sqref="AI201">
    <cfRule type="expression" priority="361" dxfId="3">
      <formula>AND(IF(OR($Q201=1,$Q201=2),1,0),IF($X201&lt;=20,1,0))</formula>
    </cfRule>
    <cfRule type="expression" priority="362" dxfId="2">
      <formula>AND(IF($Q201=2,1,0),IF($X201&lt;30,1,0))</formula>
    </cfRule>
    <cfRule type="expression" priority="363" dxfId="1">
      <formula>AND(IF($Q201=3,1,0),IF($X201&lt;30,1,0))</formula>
    </cfRule>
    <cfRule type="expression" priority="364" dxfId="0">
      <formula>AND(IF($Q201=3,1,IF($Q201=4,1,0)),IF($F201&lt;=85,1,0))</formula>
    </cfRule>
  </conditionalFormatting>
  <conditionalFormatting sqref="AV202">
    <cfRule type="expression" priority="359" dxfId="23">
      <formula>AV202="X"</formula>
    </cfRule>
    <cfRule type="expression" priority="360" dxfId="22">
      <formula>AV202="후보"</formula>
    </cfRule>
  </conditionalFormatting>
  <conditionalFormatting sqref="AC20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20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202">
    <cfRule type="expression" priority="351" dxfId="3">
      <formula>AND(IF(OR($Q202=1,$Q202=2),1,0),IF($X202&lt;=20,1,0))</formula>
    </cfRule>
    <cfRule type="expression" priority="352" dxfId="2">
      <formula>AND(IF($Q202=2,1,0),IF($X202&lt;30,1,0))</formula>
    </cfRule>
    <cfRule type="expression" priority="353" dxfId="1">
      <formula>AND(IF($Q202=3,1,0),IF($X202&lt;30,1,0))</formula>
    </cfRule>
    <cfRule type="expression" priority="354" dxfId="0">
      <formula>AND(IF($Q202=3,1,IF($Q202=4,1,0)),IF($F202&lt;=85,1,0))</formula>
    </cfRule>
  </conditionalFormatting>
  <conditionalFormatting sqref="X202">
    <cfRule type="expression" priority="347" dxfId="3">
      <formula>AND(IF(OR($Q202=1,$Q202=2),1,0),IF($X202&lt;=20,1,0))</formula>
    </cfRule>
    <cfRule type="expression" priority="348" dxfId="2">
      <formula>AND(IF($Q202=2,1,0),IF($X202&lt;30,1,0))</formula>
    </cfRule>
    <cfRule type="expression" priority="349" dxfId="1">
      <formula>AND(IF($Q202=3,1,0),IF($X202&lt;30,1,0))</formula>
    </cfRule>
    <cfRule type="expression" priority="350" dxfId="0">
      <formula>AND(IF($Q202=3,1,IF($Q202=4,1,0)),IF($F202&lt;=85,1,0))</formula>
    </cfRule>
  </conditionalFormatting>
  <conditionalFormatting sqref="AI202">
    <cfRule type="expression" priority="343" dxfId="3">
      <formula>AND(IF(OR($Q202=1,$Q202=2),1,0),IF($X202&lt;=20,1,0))</formula>
    </cfRule>
    <cfRule type="expression" priority="344" dxfId="2">
      <formula>AND(IF($Q202=2,1,0),IF($X202&lt;30,1,0))</formula>
    </cfRule>
    <cfRule type="expression" priority="345" dxfId="1">
      <formula>AND(IF($Q202=3,1,0),IF($X202&lt;30,1,0))</formula>
    </cfRule>
    <cfRule type="expression" priority="346" dxfId="0">
      <formula>AND(IF($Q202=3,1,IF($Q202=4,1,0)),IF($F202&lt;=85,1,0))</formula>
    </cfRule>
  </conditionalFormatting>
  <conditionalFormatting sqref="AV203">
    <cfRule type="expression" priority="341" dxfId="23">
      <formula>AV203="X"</formula>
    </cfRule>
    <cfRule type="expression" priority="342" dxfId="22">
      <formula>AV203="후보"</formula>
    </cfRule>
  </conditionalFormatting>
  <conditionalFormatting sqref="AC20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0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03">
    <cfRule type="expression" priority="333" dxfId="3">
      <formula>AND(IF(OR($Q203=1,$Q203=2),1,0),IF($X203&lt;=20,1,0))</formula>
    </cfRule>
    <cfRule type="expression" priority="334" dxfId="2">
      <formula>AND(IF($Q203=2,1,0),IF($X203&lt;30,1,0))</formula>
    </cfRule>
    <cfRule type="expression" priority="335" dxfId="1">
      <formula>AND(IF($Q203=3,1,0),IF($X203&lt;30,1,0))</formula>
    </cfRule>
    <cfRule type="expression" priority="336" dxfId="0">
      <formula>AND(IF($Q203=3,1,IF($Q203=4,1,0)),IF($F203&lt;=85,1,0))</formula>
    </cfRule>
  </conditionalFormatting>
  <conditionalFormatting sqref="X203">
    <cfRule type="expression" priority="329" dxfId="3">
      <formula>AND(IF(OR($Q203=1,$Q203=2),1,0),IF($X203&lt;=20,1,0))</formula>
    </cfRule>
    <cfRule type="expression" priority="330" dxfId="2">
      <formula>AND(IF($Q203=2,1,0),IF($X203&lt;30,1,0))</formula>
    </cfRule>
    <cfRule type="expression" priority="331" dxfId="1">
      <formula>AND(IF($Q203=3,1,0),IF($X203&lt;30,1,0))</formula>
    </cfRule>
    <cfRule type="expression" priority="332" dxfId="0">
      <formula>AND(IF($Q203=3,1,IF($Q203=4,1,0)),IF($F203&lt;=85,1,0))</formula>
    </cfRule>
  </conditionalFormatting>
  <conditionalFormatting sqref="AI203">
    <cfRule type="expression" priority="325" dxfId="3">
      <formula>AND(IF(OR($Q203=1,$Q203=2),1,0),IF($X203&lt;=20,1,0))</formula>
    </cfRule>
    <cfRule type="expression" priority="326" dxfId="2">
      <formula>AND(IF($Q203=2,1,0),IF($X203&lt;30,1,0))</formula>
    </cfRule>
    <cfRule type="expression" priority="327" dxfId="1">
      <formula>AND(IF($Q203=3,1,0),IF($X203&lt;30,1,0))</formula>
    </cfRule>
    <cfRule type="expression" priority="328" dxfId="0">
      <formula>AND(IF($Q203=3,1,IF($Q203=4,1,0)),IF($F203&lt;=85,1,0))</formula>
    </cfRule>
  </conditionalFormatting>
  <conditionalFormatting sqref="AV204">
    <cfRule type="expression" priority="323" dxfId="23">
      <formula>AV204="X"</formula>
    </cfRule>
    <cfRule type="expression" priority="324" dxfId="22">
      <formula>AV204="후보"</formula>
    </cfRule>
  </conditionalFormatting>
  <conditionalFormatting sqref="AC20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20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204">
    <cfRule type="expression" priority="315" dxfId="3">
      <formula>AND(IF(OR($Q204=1,$Q204=2),1,0),IF($X204&lt;=20,1,0))</formula>
    </cfRule>
    <cfRule type="expression" priority="316" dxfId="2">
      <formula>AND(IF($Q204=2,1,0),IF($X204&lt;30,1,0))</formula>
    </cfRule>
    <cfRule type="expression" priority="317" dxfId="1">
      <formula>AND(IF($Q204=3,1,0),IF($X204&lt;30,1,0))</formula>
    </cfRule>
    <cfRule type="expression" priority="318" dxfId="0">
      <formula>AND(IF($Q204=3,1,IF($Q204=4,1,0)),IF($F204&lt;=85,1,0))</formula>
    </cfRule>
  </conditionalFormatting>
  <conditionalFormatting sqref="X204">
    <cfRule type="expression" priority="311" dxfId="3">
      <formula>AND(IF(OR($Q204=1,$Q204=2),1,0),IF($X204&lt;=20,1,0))</formula>
    </cfRule>
    <cfRule type="expression" priority="312" dxfId="2">
      <formula>AND(IF($Q204=2,1,0),IF($X204&lt;30,1,0))</formula>
    </cfRule>
    <cfRule type="expression" priority="313" dxfId="1">
      <formula>AND(IF($Q204=3,1,0),IF($X204&lt;30,1,0))</formula>
    </cfRule>
    <cfRule type="expression" priority="314" dxfId="0">
      <formula>AND(IF($Q204=3,1,IF($Q204=4,1,0)),IF($F204&lt;=85,1,0))</formula>
    </cfRule>
  </conditionalFormatting>
  <conditionalFormatting sqref="AI204">
    <cfRule type="expression" priority="307" dxfId="3">
      <formula>AND(IF(OR($Q204=1,$Q204=2),1,0),IF($X204&lt;=20,1,0))</formula>
    </cfRule>
    <cfRule type="expression" priority="308" dxfId="2">
      <formula>AND(IF($Q204=2,1,0),IF($X204&lt;30,1,0))</formula>
    </cfRule>
    <cfRule type="expression" priority="309" dxfId="1">
      <formula>AND(IF($Q204=3,1,0),IF($X204&lt;30,1,0))</formula>
    </cfRule>
    <cfRule type="expression" priority="310" dxfId="0">
      <formula>AND(IF($Q204=3,1,IF($Q204=4,1,0)),IF($F204&lt;=85,1,0))</formula>
    </cfRule>
  </conditionalFormatting>
  <conditionalFormatting sqref="AV205">
    <cfRule type="expression" priority="305" dxfId="23">
      <formula>AV205="X"</formula>
    </cfRule>
    <cfRule type="expression" priority="306" dxfId="22">
      <formula>AV205="후보"</formula>
    </cfRule>
  </conditionalFormatting>
  <conditionalFormatting sqref="AC20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0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05">
    <cfRule type="expression" priority="297" dxfId="3">
      <formula>AND(IF(OR($Q205=1,$Q205=2),1,0),IF($X205&lt;=20,1,0))</formula>
    </cfRule>
    <cfRule type="expression" priority="298" dxfId="2">
      <formula>AND(IF($Q205=2,1,0),IF($X205&lt;30,1,0))</formula>
    </cfRule>
    <cfRule type="expression" priority="299" dxfId="1">
      <formula>AND(IF($Q205=3,1,0),IF($X205&lt;30,1,0))</formula>
    </cfRule>
    <cfRule type="expression" priority="300" dxfId="0">
      <formula>AND(IF($Q205=3,1,IF($Q205=4,1,0)),IF($F205&lt;=85,1,0))</formula>
    </cfRule>
  </conditionalFormatting>
  <conditionalFormatting sqref="X205">
    <cfRule type="expression" priority="293" dxfId="3">
      <formula>AND(IF(OR($Q205=1,$Q205=2),1,0),IF($X205&lt;=20,1,0))</formula>
    </cfRule>
    <cfRule type="expression" priority="294" dxfId="2">
      <formula>AND(IF($Q205=2,1,0),IF($X205&lt;30,1,0))</formula>
    </cfRule>
    <cfRule type="expression" priority="295" dxfId="1">
      <formula>AND(IF($Q205=3,1,0),IF($X205&lt;30,1,0))</formula>
    </cfRule>
    <cfRule type="expression" priority="296" dxfId="0">
      <formula>AND(IF($Q205=3,1,IF($Q205=4,1,0)),IF($F205&lt;=85,1,0))</formula>
    </cfRule>
  </conditionalFormatting>
  <conditionalFormatting sqref="AI205">
    <cfRule type="expression" priority="289" dxfId="3">
      <formula>AND(IF(OR($Q205=1,$Q205=2),1,0),IF($X205&lt;=20,1,0))</formula>
    </cfRule>
    <cfRule type="expression" priority="290" dxfId="2">
      <formula>AND(IF($Q205=2,1,0),IF($X205&lt;30,1,0))</formula>
    </cfRule>
    <cfRule type="expression" priority="291" dxfId="1">
      <formula>AND(IF($Q205=3,1,0),IF($X205&lt;30,1,0))</formula>
    </cfRule>
    <cfRule type="expression" priority="292" dxfId="0">
      <formula>AND(IF($Q205=3,1,IF($Q205=4,1,0)),IF($F205&lt;=85,1,0))</formula>
    </cfRule>
  </conditionalFormatting>
  <conditionalFormatting sqref="AV206">
    <cfRule type="expression" priority="287" dxfId="23">
      <formula>AV206="X"</formula>
    </cfRule>
    <cfRule type="expression" priority="288" dxfId="22">
      <formula>AV206="후보"</formula>
    </cfRule>
  </conditionalFormatting>
  <conditionalFormatting sqref="AC20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20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206">
    <cfRule type="expression" priority="279" dxfId="3">
      <formula>AND(IF(OR($Q206=1,$Q206=2),1,0),IF($X206&lt;=20,1,0))</formula>
    </cfRule>
    <cfRule type="expression" priority="280" dxfId="2">
      <formula>AND(IF($Q206=2,1,0),IF($X206&lt;30,1,0))</formula>
    </cfRule>
    <cfRule type="expression" priority="281" dxfId="1">
      <formula>AND(IF($Q206=3,1,0),IF($X206&lt;30,1,0))</formula>
    </cfRule>
    <cfRule type="expression" priority="282" dxfId="0">
      <formula>AND(IF($Q206=3,1,IF($Q206=4,1,0)),IF($F206&lt;=85,1,0))</formula>
    </cfRule>
  </conditionalFormatting>
  <conditionalFormatting sqref="X206">
    <cfRule type="expression" priority="275" dxfId="3">
      <formula>AND(IF(OR($Q206=1,$Q206=2),1,0),IF($X206&lt;=20,1,0))</formula>
    </cfRule>
    <cfRule type="expression" priority="276" dxfId="2">
      <formula>AND(IF($Q206=2,1,0),IF($X206&lt;30,1,0))</formula>
    </cfRule>
    <cfRule type="expression" priority="277" dxfId="1">
      <formula>AND(IF($Q206=3,1,0),IF($X206&lt;30,1,0))</formula>
    </cfRule>
    <cfRule type="expression" priority="278" dxfId="0">
      <formula>AND(IF($Q206=3,1,IF($Q206=4,1,0)),IF($F206&lt;=85,1,0))</formula>
    </cfRule>
  </conditionalFormatting>
  <conditionalFormatting sqref="AI206">
    <cfRule type="expression" priority="271" dxfId="3">
      <formula>AND(IF(OR($Q206=1,$Q206=2),1,0),IF($X206&lt;=20,1,0))</formula>
    </cfRule>
    <cfRule type="expression" priority="272" dxfId="2">
      <formula>AND(IF($Q206=2,1,0),IF($X206&lt;30,1,0))</formula>
    </cfRule>
    <cfRule type="expression" priority="273" dxfId="1">
      <formula>AND(IF($Q206=3,1,0),IF($X206&lt;30,1,0))</formula>
    </cfRule>
    <cfRule type="expression" priority="274" dxfId="0">
      <formula>AND(IF($Q206=3,1,IF($Q206=4,1,0)),IF($F206&lt;=85,1,0))</formula>
    </cfRule>
  </conditionalFormatting>
  <conditionalFormatting sqref="AV207">
    <cfRule type="expression" priority="269" dxfId="23">
      <formula>AV207="X"</formula>
    </cfRule>
    <cfRule type="expression" priority="270" dxfId="22">
      <formula>AV207="후보"</formula>
    </cfRule>
  </conditionalFormatting>
  <conditionalFormatting sqref="AC20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0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07">
    <cfRule type="expression" priority="261" dxfId="3">
      <formula>AND(IF(OR($Q207=1,$Q207=2),1,0),IF($X207&lt;=20,1,0))</formula>
    </cfRule>
    <cfRule type="expression" priority="262" dxfId="2">
      <formula>AND(IF($Q207=2,1,0),IF($X207&lt;30,1,0))</formula>
    </cfRule>
    <cfRule type="expression" priority="263" dxfId="1">
      <formula>AND(IF($Q207=3,1,0),IF($X207&lt;30,1,0))</formula>
    </cfRule>
    <cfRule type="expression" priority="264" dxfId="0">
      <formula>AND(IF($Q207=3,1,IF($Q207=4,1,0)),IF($F207&lt;=85,1,0))</formula>
    </cfRule>
  </conditionalFormatting>
  <conditionalFormatting sqref="X207">
    <cfRule type="expression" priority="257" dxfId="3">
      <formula>AND(IF(OR($Q207=1,$Q207=2),1,0),IF($X207&lt;=20,1,0))</formula>
    </cfRule>
    <cfRule type="expression" priority="258" dxfId="2">
      <formula>AND(IF($Q207=2,1,0),IF($X207&lt;30,1,0))</formula>
    </cfRule>
    <cfRule type="expression" priority="259" dxfId="1">
      <formula>AND(IF($Q207=3,1,0),IF($X207&lt;30,1,0))</formula>
    </cfRule>
    <cfRule type="expression" priority="260" dxfId="0">
      <formula>AND(IF($Q207=3,1,IF($Q207=4,1,0)),IF($F207&lt;=85,1,0))</formula>
    </cfRule>
  </conditionalFormatting>
  <conditionalFormatting sqref="AI207">
    <cfRule type="expression" priority="253" dxfId="3">
      <formula>AND(IF(OR($Q207=1,$Q207=2),1,0),IF($X207&lt;=20,1,0))</formula>
    </cfRule>
    <cfRule type="expression" priority="254" dxfId="2">
      <formula>AND(IF($Q207=2,1,0),IF($X207&lt;30,1,0))</formula>
    </cfRule>
    <cfRule type="expression" priority="255" dxfId="1">
      <formula>AND(IF($Q207=3,1,0),IF($X207&lt;30,1,0))</formula>
    </cfRule>
    <cfRule type="expression" priority="256" dxfId="0">
      <formula>AND(IF($Q207=3,1,IF($Q207=4,1,0)),IF($F207&lt;=85,1,0))</formula>
    </cfRule>
  </conditionalFormatting>
  <conditionalFormatting sqref="AV208">
    <cfRule type="expression" priority="251" dxfId="23">
      <formula>AV208="X"</formula>
    </cfRule>
    <cfRule type="expression" priority="252" dxfId="22">
      <formula>AV208="후보"</formula>
    </cfRule>
  </conditionalFormatting>
  <conditionalFormatting sqref="AC20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20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208">
    <cfRule type="expression" priority="243" dxfId="3">
      <formula>AND(IF(OR($Q208=1,$Q208=2),1,0),IF($X208&lt;=20,1,0))</formula>
    </cfRule>
    <cfRule type="expression" priority="244" dxfId="2">
      <formula>AND(IF($Q208=2,1,0),IF($X208&lt;30,1,0))</formula>
    </cfRule>
    <cfRule type="expression" priority="245" dxfId="1">
      <formula>AND(IF($Q208=3,1,0),IF($X208&lt;30,1,0))</formula>
    </cfRule>
    <cfRule type="expression" priority="246" dxfId="0">
      <formula>AND(IF($Q208=3,1,IF($Q208=4,1,0)),IF($F208&lt;=85,1,0))</formula>
    </cfRule>
  </conditionalFormatting>
  <conditionalFormatting sqref="X208">
    <cfRule type="expression" priority="239" dxfId="3">
      <formula>AND(IF(OR($Q208=1,$Q208=2),1,0),IF($X208&lt;=20,1,0))</formula>
    </cfRule>
    <cfRule type="expression" priority="240" dxfId="2">
      <formula>AND(IF($Q208=2,1,0),IF($X208&lt;30,1,0))</formula>
    </cfRule>
    <cfRule type="expression" priority="241" dxfId="1">
      <formula>AND(IF($Q208=3,1,0),IF($X208&lt;30,1,0))</formula>
    </cfRule>
    <cfRule type="expression" priority="242" dxfId="0">
      <formula>AND(IF($Q208=3,1,IF($Q208=4,1,0)),IF($F208&lt;=85,1,0))</formula>
    </cfRule>
  </conditionalFormatting>
  <conditionalFormatting sqref="AI208">
    <cfRule type="expression" priority="235" dxfId="3">
      <formula>AND(IF(OR($Q208=1,$Q208=2),1,0),IF($X208&lt;=20,1,0))</formula>
    </cfRule>
    <cfRule type="expression" priority="236" dxfId="2">
      <formula>AND(IF($Q208=2,1,0),IF($X208&lt;30,1,0))</formula>
    </cfRule>
    <cfRule type="expression" priority="237" dxfId="1">
      <formula>AND(IF($Q208=3,1,0),IF($X208&lt;30,1,0))</formula>
    </cfRule>
    <cfRule type="expression" priority="238" dxfId="0">
      <formula>AND(IF($Q208=3,1,IF($Q208=4,1,0)),IF($F208&lt;=85,1,0))</formula>
    </cfRule>
  </conditionalFormatting>
  <conditionalFormatting sqref="AV209">
    <cfRule type="expression" priority="233" dxfId="23">
      <formula>AV209="X"</formula>
    </cfRule>
    <cfRule type="expression" priority="234" dxfId="22">
      <formula>AV209="후보"</formula>
    </cfRule>
  </conditionalFormatting>
  <conditionalFormatting sqref="AC20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20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209">
    <cfRule type="expression" priority="225" dxfId="3">
      <formula>AND(IF(OR($Q209=1,$Q209=2),1,0),IF($X209&lt;=20,1,0))</formula>
    </cfRule>
    <cfRule type="expression" priority="226" dxfId="2">
      <formula>AND(IF($Q209=2,1,0),IF($X209&lt;30,1,0))</formula>
    </cfRule>
    <cfRule type="expression" priority="227" dxfId="1">
      <formula>AND(IF($Q209=3,1,0),IF($X209&lt;30,1,0))</formula>
    </cfRule>
    <cfRule type="expression" priority="228" dxfId="0">
      <formula>AND(IF($Q209=3,1,IF($Q209=4,1,0)),IF($F209&lt;=85,1,0))</formula>
    </cfRule>
  </conditionalFormatting>
  <conditionalFormatting sqref="X209">
    <cfRule type="expression" priority="221" dxfId="3">
      <formula>AND(IF(OR($Q209=1,$Q209=2),1,0),IF($X209&lt;=20,1,0))</formula>
    </cfRule>
    <cfRule type="expression" priority="222" dxfId="2">
      <formula>AND(IF($Q209=2,1,0),IF($X209&lt;30,1,0))</formula>
    </cfRule>
    <cfRule type="expression" priority="223" dxfId="1">
      <formula>AND(IF($Q209=3,1,0),IF($X209&lt;30,1,0))</formula>
    </cfRule>
    <cfRule type="expression" priority="224" dxfId="0">
      <formula>AND(IF($Q209=3,1,IF($Q209=4,1,0)),IF($F209&lt;=85,1,0))</formula>
    </cfRule>
  </conditionalFormatting>
  <conditionalFormatting sqref="AI209">
    <cfRule type="expression" priority="217" dxfId="3">
      <formula>AND(IF(OR($Q209=1,$Q209=2),1,0),IF($X209&lt;=20,1,0))</formula>
    </cfRule>
    <cfRule type="expression" priority="218" dxfId="2">
      <formula>AND(IF($Q209=2,1,0),IF($X209&lt;30,1,0))</formula>
    </cfRule>
    <cfRule type="expression" priority="219" dxfId="1">
      <formula>AND(IF($Q209=3,1,0),IF($X209&lt;30,1,0))</formula>
    </cfRule>
    <cfRule type="expression" priority="220" dxfId="0">
      <formula>AND(IF($Q209=3,1,IF($Q209=4,1,0)),IF($F209&lt;=85,1,0))</formula>
    </cfRule>
  </conditionalFormatting>
  <conditionalFormatting sqref="AV210">
    <cfRule type="expression" priority="215" dxfId="23">
      <formula>AV210="X"</formula>
    </cfRule>
    <cfRule type="expression" priority="216" dxfId="22">
      <formula>AV210="후보"</formula>
    </cfRule>
  </conditionalFormatting>
  <conditionalFormatting sqref="AC2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21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210">
    <cfRule type="expression" priority="207" dxfId="3">
      <formula>AND(IF(OR($Q210=1,$Q210=2),1,0),IF($X210&lt;=20,1,0))</formula>
    </cfRule>
    <cfRule type="expression" priority="208" dxfId="2">
      <formula>AND(IF($Q210=2,1,0),IF($X210&lt;30,1,0))</formula>
    </cfRule>
    <cfRule type="expression" priority="209" dxfId="1">
      <formula>AND(IF($Q210=3,1,0),IF($X210&lt;30,1,0))</formula>
    </cfRule>
    <cfRule type="expression" priority="210" dxfId="0">
      <formula>AND(IF($Q210=3,1,IF($Q210=4,1,0)),IF($F210&lt;=85,1,0))</formula>
    </cfRule>
  </conditionalFormatting>
  <conditionalFormatting sqref="X210">
    <cfRule type="expression" priority="203" dxfId="3">
      <formula>AND(IF(OR($Q210=1,$Q210=2),1,0),IF($X210&lt;=20,1,0))</formula>
    </cfRule>
    <cfRule type="expression" priority="204" dxfId="2">
      <formula>AND(IF($Q210=2,1,0),IF($X210&lt;30,1,0))</formula>
    </cfRule>
    <cfRule type="expression" priority="205" dxfId="1">
      <formula>AND(IF($Q210=3,1,0),IF($X210&lt;30,1,0))</formula>
    </cfRule>
    <cfRule type="expression" priority="206" dxfId="0">
      <formula>AND(IF($Q210=3,1,IF($Q210=4,1,0)),IF($F210&lt;=85,1,0))</formula>
    </cfRule>
  </conditionalFormatting>
  <conditionalFormatting sqref="AI210">
    <cfRule type="expression" priority="199" dxfId="3">
      <formula>AND(IF(OR($Q210=1,$Q210=2),1,0),IF($X210&lt;=20,1,0))</formula>
    </cfRule>
    <cfRule type="expression" priority="200" dxfId="2">
      <formula>AND(IF($Q210=2,1,0),IF($X210&lt;30,1,0))</formula>
    </cfRule>
    <cfRule type="expression" priority="201" dxfId="1">
      <formula>AND(IF($Q210=3,1,0),IF($X210&lt;30,1,0))</formula>
    </cfRule>
    <cfRule type="expression" priority="202" dxfId="0">
      <formula>AND(IF($Q210=3,1,IF($Q210=4,1,0)),IF($F210&lt;=85,1,0))</formula>
    </cfRule>
  </conditionalFormatting>
  <conditionalFormatting sqref="AV211">
    <cfRule type="expression" priority="197" dxfId="23">
      <formula>AV211="X"</formula>
    </cfRule>
    <cfRule type="expression" priority="198" dxfId="22">
      <formula>AV211="후보"</formula>
    </cfRule>
  </conditionalFormatting>
  <conditionalFormatting sqref="AC21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21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211">
    <cfRule type="expression" priority="189" dxfId="3">
      <formula>AND(IF(OR($Q211=1,$Q211=2),1,0),IF($X211&lt;=20,1,0))</formula>
    </cfRule>
    <cfRule type="expression" priority="190" dxfId="2">
      <formula>AND(IF($Q211=2,1,0),IF($X211&lt;30,1,0))</formula>
    </cfRule>
    <cfRule type="expression" priority="191" dxfId="1">
      <formula>AND(IF($Q211=3,1,0),IF($X211&lt;30,1,0))</formula>
    </cfRule>
    <cfRule type="expression" priority="192" dxfId="0">
      <formula>AND(IF($Q211=3,1,IF($Q211=4,1,0)),IF($F211&lt;=85,1,0))</formula>
    </cfRule>
  </conditionalFormatting>
  <conditionalFormatting sqref="X211">
    <cfRule type="expression" priority="185" dxfId="3">
      <formula>AND(IF(OR($Q211=1,$Q211=2),1,0),IF($X211&lt;=20,1,0))</formula>
    </cfRule>
    <cfRule type="expression" priority="186" dxfId="2">
      <formula>AND(IF($Q211=2,1,0),IF($X211&lt;30,1,0))</formula>
    </cfRule>
    <cfRule type="expression" priority="187" dxfId="1">
      <formula>AND(IF($Q211=3,1,0),IF($X211&lt;30,1,0))</formula>
    </cfRule>
    <cfRule type="expression" priority="188" dxfId="0">
      <formula>AND(IF($Q211=3,1,IF($Q211=4,1,0)),IF($F211&lt;=85,1,0))</formula>
    </cfRule>
  </conditionalFormatting>
  <conditionalFormatting sqref="AI211">
    <cfRule type="expression" priority="181" dxfId="3">
      <formula>AND(IF(OR($Q211=1,$Q211=2),1,0),IF($X211&lt;=20,1,0))</formula>
    </cfRule>
    <cfRule type="expression" priority="182" dxfId="2">
      <formula>AND(IF($Q211=2,1,0),IF($X211&lt;30,1,0))</formula>
    </cfRule>
    <cfRule type="expression" priority="183" dxfId="1">
      <formula>AND(IF($Q211=3,1,0),IF($X211&lt;30,1,0))</formula>
    </cfRule>
    <cfRule type="expression" priority="184" dxfId="0">
      <formula>AND(IF($Q211=3,1,IF($Q211=4,1,0)),IF($F211&lt;=85,1,0))</formula>
    </cfRule>
  </conditionalFormatting>
  <conditionalFormatting sqref="AV212">
    <cfRule type="expression" priority="179" dxfId="23">
      <formula>AV212="X"</formula>
    </cfRule>
    <cfRule type="expression" priority="180" dxfId="22">
      <formula>AV212="후보"</formula>
    </cfRule>
  </conditionalFormatting>
  <conditionalFormatting sqref="AC21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1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12">
    <cfRule type="expression" priority="171" dxfId="3">
      <formula>AND(IF(OR($Q212=1,$Q212=2),1,0),IF($X212&lt;=20,1,0))</formula>
    </cfRule>
    <cfRule type="expression" priority="172" dxfId="2">
      <formula>AND(IF($Q212=2,1,0),IF($X212&lt;30,1,0))</formula>
    </cfRule>
    <cfRule type="expression" priority="173" dxfId="1">
      <formula>AND(IF($Q212=3,1,0),IF($X212&lt;30,1,0))</formula>
    </cfRule>
    <cfRule type="expression" priority="174" dxfId="0">
      <formula>AND(IF($Q212=3,1,IF($Q212=4,1,0)),IF($F212&lt;=85,1,0))</formula>
    </cfRule>
  </conditionalFormatting>
  <conditionalFormatting sqref="X212">
    <cfRule type="expression" priority="167" dxfId="3">
      <formula>AND(IF(OR($Q212=1,$Q212=2),1,0),IF($X212&lt;=20,1,0))</formula>
    </cfRule>
    <cfRule type="expression" priority="168" dxfId="2">
      <formula>AND(IF($Q212=2,1,0),IF($X212&lt;30,1,0))</formula>
    </cfRule>
    <cfRule type="expression" priority="169" dxfId="1">
      <formula>AND(IF($Q212=3,1,0),IF($X212&lt;30,1,0))</formula>
    </cfRule>
    <cfRule type="expression" priority="170" dxfId="0">
      <formula>AND(IF($Q212=3,1,IF($Q212=4,1,0)),IF($F212&lt;=85,1,0))</formula>
    </cfRule>
  </conditionalFormatting>
  <conditionalFormatting sqref="AI212">
    <cfRule type="expression" priority="163" dxfId="3">
      <formula>AND(IF(OR($Q212=1,$Q212=2),1,0),IF($X212&lt;=20,1,0))</formula>
    </cfRule>
    <cfRule type="expression" priority="164" dxfId="2">
      <formula>AND(IF($Q212=2,1,0),IF($X212&lt;30,1,0))</formula>
    </cfRule>
    <cfRule type="expression" priority="165" dxfId="1">
      <formula>AND(IF($Q212=3,1,0),IF($X212&lt;30,1,0))</formula>
    </cfRule>
    <cfRule type="expression" priority="166" dxfId="0">
      <formula>AND(IF($Q212=3,1,IF($Q212=4,1,0)),IF($F212&lt;=85,1,0))</formula>
    </cfRule>
  </conditionalFormatting>
  <conditionalFormatting sqref="AV213">
    <cfRule type="expression" priority="161" dxfId="23">
      <formula>AV213="X"</formula>
    </cfRule>
    <cfRule type="expression" priority="162" dxfId="22">
      <formula>AV213="후보"</formula>
    </cfRule>
  </conditionalFormatting>
  <conditionalFormatting sqref="AC21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21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213">
    <cfRule type="expression" priority="153" dxfId="3">
      <formula>AND(IF(OR($Q213=1,$Q213=2),1,0),IF($X213&lt;=20,1,0))</formula>
    </cfRule>
    <cfRule type="expression" priority="154" dxfId="2">
      <formula>AND(IF($Q213=2,1,0),IF($X213&lt;30,1,0))</formula>
    </cfRule>
    <cfRule type="expression" priority="155" dxfId="1">
      <formula>AND(IF($Q213=3,1,0),IF($X213&lt;30,1,0))</formula>
    </cfRule>
    <cfRule type="expression" priority="156" dxfId="0">
      <formula>AND(IF($Q213=3,1,IF($Q213=4,1,0)),IF($F213&lt;=85,1,0))</formula>
    </cfRule>
  </conditionalFormatting>
  <conditionalFormatting sqref="X213">
    <cfRule type="expression" priority="149" dxfId="3">
      <formula>AND(IF(OR($Q213=1,$Q213=2),1,0),IF($X213&lt;=20,1,0))</formula>
    </cfRule>
    <cfRule type="expression" priority="150" dxfId="2">
      <formula>AND(IF($Q213=2,1,0),IF($X213&lt;30,1,0))</formula>
    </cfRule>
    <cfRule type="expression" priority="151" dxfId="1">
      <formula>AND(IF($Q213=3,1,0),IF($X213&lt;30,1,0))</formula>
    </cfRule>
    <cfRule type="expression" priority="152" dxfId="0">
      <formula>AND(IF($Q213=3,1,IF($Q213=4,1,0)),IF($F213&lt;=85,1,0))</formula>
    </cfRule>
  </conditionalFormatting>
  <conditionalFormatting sqref="AI213">
    <cfRule type="expression" priority="145" dxfId="3">
      <formula>AND(IF(OR($Q213=1,$Q213=2),1,0),IF($X213&lt;=20,1,0))</formula>
    </cfRule>
    <cfRule type="expression" priority="146" dxfId="2">
      <formula>AND(IF($Q213=2,1,0),IF($X213&lt;30,1,0))</formula>
    </cfRule>
    <cfRule type="expression" priority="147" dxfId="1">
      <formula>AND(IF($Q213=3,1,0),IF($X213&lt;30,1,0))</formula>
    </cfRule>
    <cfRule type="expression" priority="148" dxfId="0">
      <formula>AND(IF($Q213=3,1,IF($Q213=4,1,0)),IF($F213&lt;=85,1,0))</formula>
    </cfRule>
  </conditionalFormatting>
  <conditionalFormatting sqref="AV214">
    <cfRule type="expression" priority="143" dxfId="23">
      <formula>AV214="X"</formula>
    </cfRule>
    <cfRule type="expression" priority="144" dxfId="22">
      <formula>AV214="후보"</formula>
    </cfRule>
  </conditionalFormatting>
  <conditionalFormatting sqref="AC21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2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214">
    <cfRule type="expression" priority="135" dxfId="3">
      <formula>AND(IF(OR($Q214=1,$Q214=2),1,0),IF($X214&lt;=20,1,0))</formula>
    </cfRule>
    <cfRule type="expression" priority="136" dxfId="2">
      <formula>AND(IF($Q214=2,1,0),IF($X214&lt;30,1,0))</formula>
    </cfRule>
    <cfRule type="expression" priority="137" dxfId="1">
      <formula>AND(IF($Q214=3,1,0),IF($X214&lt;30,1,0))</formula>
    </cfRule>
    <cfRule type="expression" priority="138" dxfId="0">
      <formula>AND(IF($Q214=3,1,IF($Q214=4,1,0)),IF($F214&lt;=85,1,0))</formula>
    </cfRule>
  </conditionalFormatting>
  <conditionalFormatting sqref="X214">
    <cfRule type="expression" priority="131" dxfId="3">
      <formula>AND(IF(OR($Q214=1,$Q214=2),1,0),IF($X214&lt;=20,1,0))</formula>
    </cfRule>
    <cfRule type="expression" priority="132" dxfId="2">
      <formula>AND(IF($Q214=2,1,0),IF($X214&lt;30,1,0))</formula>
    </cfRule>
    <cfRule type="expression" priority="133" dxfId="1">
      <formula>AND(IF($Q214=3,1,0),IF($X214&lt;30,1,0))</formula>
    </cfRule>
    <cfRule type="expression" priority="134" dxfId="0">
      <formula>AND(IF($Q214=3,1,IF($Q214=4,1,0)),IF($F214&lt;=85,1,0))</formula>
    </cfRule>
  </conditionalFormatting>
  <conditionalFormatting sqref="AI214">
    <cfRule type="expression" priority="127" dxfId="3">
      <formula>AND(IF(OR($Q214=1,$Q214=2),1,0),IF($X214&lt;=20,1,0))</formula>
    </cfRule>
    <cfRule type="expression" priority="128" dxfId="2">
      <formula>AND(IF($Q214=2,1,0),IF($X214&lt;30,1,0))</formula>
    </cfRule>
    <cfRule type="expression" priority="129" dxfId="1">
      <formula>AND(IF($Q214=3,1,0),IF($X214&lt;30,1,0))</formula>
    </cfRule>
    <cfRule type="expression" priority="130" dxfId="0">
      <formula>AND(IF($Q214=3,1,IF($Q214=4,1,0)),IF($F214&lt;=85,1,0))</formula>
    </cfRule>
  </conditionalFormatting>
  <conditionalFormatting sqref="AV215">
    <cfRule type="expression" priority="125" dxfId="23">
      <formula>AV215="X"</formula>
    </cfRule>
    <cfRule type="expression" priority="126" dxfId="22">
      <formula>AV215="후보"</formula>
    </cfRule>
  </conditionalFormatting>
  <conditionalFormatting sqref="AC21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21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215">
    <cfRule type="expression" priority="117" dxfId="3">
      <formula>AND(IF(OR($Q215=1,$Q215=2),1,0),IF($X215&lt;=20,1,0))</formula>
    </cfRule>
    <cfRule type="expression" priority="118" dxfId="2">
      <formula>AND(IF($Q215=2,1,0),IF($X215&lt;30,1,0))</formula>
    </cfRule>
    <cfRule type="expression" priority="119" dxfId="1">
      <formula>AND(IF($Q215=3,1,0),IF($X215&lt;30,1,0))</formula>
    </cfRule>
    <cfRule type="expression" priority="120" dxfId="0">
      <formula>AND(IF($Q215=3,1,IF($Q215=4,1,0)),IF($F215&lt;=85,1,0))</formula>
    </cfRule>
  </conditionalFormatting>
  <conditionalFormatting sqref="X215">
    <cfRule type="expression" priority="113" dxfId="3">
      <formula>AND(IF(OR($Q215=1,$Q215=2),1,0),IF($X215&lt;=20,1,0))</formula>
    </cfRule>
    <cfRule type="expression" priority="114" dxfId="2">
      <formula>AND(IF($Q215=2,1,0),IF($X215&lt;30,1,0))</formula>
    </cfRule>
    <cfRule type="expression" priority="115" dxfId="1">
      <formula>AND(IF($Q215=3,1,0),IF($X215&lt;30,1,0))</formula>
    </cfRule>
    <cfRule type="expression" priority="116" dxfId="0">
      <formula>AND(IF($Q215=3,1,IF($Q215=4,1,0)),IF($F215&lt;=85,1,0))</formula>
    </cfRule>
  </conditionalFormatting>
  <conditionalFormatting sqref="AI215">
    <cfRule type="expression" priority="109" dxfId="3">
      <formula>AND(IF(OR($Q215=1,$Q215=2),1,0),IF($X215&lt;=20,1,0))</formula>
    </cfRule>
    <cfRule type="expression" priority="110" dxfId="2">
      <formula>AND(IF($Q215=2,1,0),IF($X215&lt;30,1,0))</formula>
    </cfRule>
    <cfRule type="expression" priority="111" dxfId="1">
      <formula>AND(IF($Q215=3,1,0),IF($X215&lt;30,1,0))</formula>
    </cfRule>
    <cfRule type="expression" priority="112" dxfId="0">
      <formula>AND(IF($Q215=3,1,IF($Q215=4,1,0)),IF($F215&lt;=85,1,0))</formula>
    </cfRule>
  </conditionalFormatting>
  <conditionalFormatting sqref="AV216">
    <cfRule type="expression" priority="107" dxfId="23">
      <formula>AV216="X"</formula>
    </cfRule>
    <cfRule type="expression" priority="108" dxfId="22">
      <formula>AV216="후보"</formula>
    </cfRule>
  </conditionalFormatting>
  <conditionalFormatting sqref="AC21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21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216">
    <cfRule type="expression" priority="99" dxfId="3">
      <formula>AND(IF(OR($Q216=1,$Q216=2),1,0),IF($X216&lt;=20,1,0))</formula>
    </cfRule>
    <cfRule type="expression" priority="100" dxfId="2">
      <formula>AND(IF($Q216=2,1,0),IF($X216&lt;30,1,0))</formula>
    </cfRule>
    <cfRule type="expression" priority="101" dxfId="1">
      <formula>AND(IF($Q216=3,1,0),IF($X216&lt;30,1,0))</formula>
    </cfRule>
    <cfRule type="expression" priority="102" dxfId="0">
      <formula>AND(IF($Q216=3,1,IF($Q216=4,1,0)),IF($F216&lt;=85,1,0))</formula>
    </cfRule>
  </conditionalFormatting>
  <conditionalFormatting sqref="X216">
    <cfRule type="expression" priority="95" dxfId="3">
      <formula>AND(IF(OR($Q216=1,$Q216=2),1,0),IF($X216&lt;=20,1,0))</formula>
    </cfRule>
    <cfRule type="expression" priority="96" dxfId="2">
      <formula>AND(IF($Q216=2,1,0),IF($X216&lt;30,1,0))</formula>
    </cfRule>
    <cfRule type="expression" priority="97" dxfId="1">
      <formula>AND(IF($Q216=3,1,0),IF($X216&lt;30,1,0))</formula>
    </cfRule>
    <cfRule type="expression" priority="98" dxfId="0">
      <formula>AND(IF($Q216=3,1,IF($Q216=4,1,0)),IF($F216&lt;=85,1,0))</formula>
    </cfRule>
  </conditionalFormatting>
  <conditionalFormatting sqref="AI216">
    <cfRule type="expression" priority="91" dxfId="3">
      <formula>AND(IF(OR($Q216=1,$Q216=2),1,0),IF($X216&lt;=20,1,0))</formula>
    </cfRule>
    <cfRule type="expression" priority="92" dxfId="2">
      <formula>AND(IF($Q216=2,1,0),IF($X216&lt;30,1,0))</formula>
    </cfRule>
    <cfRule type="expression" priority="93" dxfId="1">
      <formula>AND(IF($Q216=3,1,0),IF($X216&lt;30,1,0))</formula>
    </cfRule>
    <cfRule type="expression" priority="94" dxfId="0">
      <formula>AND(IF($Q216=3,1,IF($Q216=4,1,0)),IF($F216&lt;=85,1,0))</formula>
    </cfRule>
  </conditionalFormatting>
  <conditionalFormatting sqref="AV217">
    <cfRule type="expression" priority="89" dxfId="23">
      <formula>AV217="X"</formula>
    </cfRule>
    <cfRule type="expression" priority="90" dxfId="22">
      <formula>AV217="후보"</formula>
    </cfRule>
  </conditionalFormatting>
  <conditionalFormatting sqref="AC21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21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217">
    <cfRule type="expression" priority="81" dxfId="3">
      <formula>AND(IF(OR($Q217=1,$Q217=2),1,0),IF($X217&lt;=20,1,0))</formula>
    </cfRule>
    <cfRule type="expression" priority="82" dxfId="2">
      <formula>AND(IF($Q217=2,1,0),IF($X217&lt;30,1,0))</formula>
    </cfRule>
    <cfRule type="expression" priority="83" dxfId="1">
      <formula>AND(IF($Q217=3,1,0),IF($X217&lt;30,1,0))</formula>
    </cfRule>
    <cfRule type="expression" priority="84" dxfId="0">
      <formula>AND(IF($Q217=3,1,IF($Q217=4,1,0)),IF($F217&lt;=85,1,0))</formula>
    </cfRule>
  </conditionalFormatting>
  <conditionalFormatting sqref="X217">
    <cfRule type="expression" priority="77" dxfId="3">
      <formula>AND(IF(OR($Q217=1,$Q217=2),1,0),IF($X217&lt;=20,1,0))</formula>
    </cfRule>
    <cfRule type="expression" priority="78" dxfId="2">
      <formula>AND(IF($Q217=2,1,0),IF($X217&lt;30,1,0))</formula>
    </cfRule>
    <cfRule type="expression" priority="79" dxfId="1">
      <formula>AND(IF($Q217=3,1,0),IF($X217&lt;30,1,0))</formula>
    </cfRule>
    <cfRule type="expression" priority="80" dxfId="0">
      <formula>AND(IF($Q217=3,1,IF($Q217=4,1,0)),IF($F217&lt;=85,1,0))</formula>
    </cfRule>
  </conditionalFormatting>
  <conditionalFormatting sqref="AI217">
    <cfRule type="expression" priority="73" dxfId="3">
      <formula>AND(IF(OR($Q217=1,$Q217=2),1,0),IF($X217&lt;=20,1,0))</formula>
    </cfRule>
    <cfRule type="expression" priority="74" dxfId="2">
      <formula>AND(IF($Q217=2,1,0),IF($X217&lt;30,1,0))</formula>
    </cfRule>
    <cfRule type="expression" priority="75" dxfId="1">
      <formula>AND(IF($Q217=3,1,0),IF($X217&lt;30,1,0))</formula>
    </cfRule>
    <cfRule type="expression" priority="76" dxfId="0">
      <formula>AND(IF($Q217=3,1,IF($Q217=4,1,0)),IF($F217&lt;=85,1,0))</formula>
    </cfRule>
  </conditionalFormatting>
  <conditionalFormatting sqref="AV218">
    <cfRule type="expression" priority="71" dxfId="23">
      <formula>AV218="X"</formula>
    </cfRule>
    <cfRule type="expression" priority="72" dxfId="22">
      <formula>AV218="후보"</formula>
    </cfRule>
  </conditionalFormatting>
  <conditionalFormatting sqref="AC21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21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218">
    <cfRule type="expression" priority="63" dxfId="3">
      <formula>AND(IF(OR($Q218=1,$Q218=2),1,0),IF($X218&lt;=20,1,0))</formula>
    </cfRule>
    <cfRule type="expression" priority="64" dxfId="2">
      <formula>AND(IF($Q218=2,1,0),IF($X218&lt;30,1,0))</formula>
    </cfRule>
    <cfRule type="expression" priority="65" dxfId="1">
      <formula>AND(IF($Q218=3,1,0),IF($X218&lt;30,1,0))</formula>
    </cfRule>
    <cfRule type="expression" priority="66" dxfId="0">
      <formula>AND(IF($Q218=3,1,IF($Q218=4,1,0)),IF($F218&lt;=85,1,0))</formula>
    </cfRule>
  </conditionalFormatting>
  <conditionalFormatting sqref="X218">
    <cfRule type="expression" priority="59" dxfId="3">
      <formula>AND(IF(OR($Q218=1,$Q218=2),1,0),IF($X218&lt;=20,1,0))</formula>
    </cfRule>
    <cfRule type="expression" priority="60" dxfId="2">
      <formula>AND(IF($Q218=2,1,0),IF($X218&lt;30,1,0))</formula>
    </cfRule>
    <cfRule type="expression" priority="61" dxfId="1">
      <formula>AND(IF($Q218=3,1,0),IF($X218&lt;30,1,0))</formula>
    </cfRule>
    <cfRule type="expression" priority="62" dxfId="0">
      <formula>AND(IF($Q218=3,1,IF($Q218=4,1,0)),IF($F218&lt;=85,1,0))</formula>
    </cfRule>
  </conditionalFormatting>
  <conditionalFormatting sqref="AI218">
    <cfRule type="expression" priority="55" dxfId="3">
      <formula>AND(IF(OR($Q218=1,$Q218=2),1,0),IF($X218&lt;=20,1,0))</formula>
    </cfRule>
    <cfRule type="expression" priority="56" dxfId="2">
      <formula>AND(IF($Q218=2,1,0),IF($X218&lt;30,1,0))</formula>
    </cfRule>
    <cfRule type="expression" priority="57" dxfId="1">
      <formula>AND(IF($Q218=3,1,0),IF($X218&lt;30,1,0))</formula>
    </cfRule>
    <cfRule type="expression" priority="58" dxfId="0">
      <formula>AND(IF($Q218=3,1,IF($Q218=4,1,0)),IF($F218&lt;=85,1,0))</formula>
    </cfRule>
  </conditionalFormatting>
  <conditionalFormatting sqref="AV219">
    <cfRule type="expression" priority="53" dxfId="23">
      <formula>AV219="X"</formula>
    </cfRule>
    <cfRule type="expression" priority="54" dxfId="22">
      <formula>AV219="후보"</formula>
    </cfRule>
  </conditionalFormatting>
  <conditionalFormatting sqref="AC2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21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219">
    <cfRule type="expression" priority="45" dxfId="3">
      <formula>AND(IF(OR($Q219=1,$Q219=2),1,0),IF($X219&lt;=20,1,0))</formula>
    </cfRule>
    <cfRule type="expression" priority="46" dxfId="2">
      <formula>AND(IF($Q219=2,1,0),IF($X219&lt;30,1,0))</formula>
    </cfRule>
    <cfRule type="expression" priority="47" dxfId="1">
      <formula>AND(IF($Q219=3,1,0),IF($X219&lt;30,1,0))</formula>
    </cfRule>
    <cfRule type="expression" priority="48" dxfId="0">
      <formula>AND(IF($Q219=3,1,IF($Q219=4,1,0)),IF($F219&lt;=85,1,0))</formula>
    </cfRule>
  </conditionalFormatting>
  <conditionalFormatting sqref="X219">
    <cfRule type="expression" priority="41" dxfId="3">
      <formula>AND(IF(OR($Q219=1,$Q219=2),1,0),IF($X219&lt;=20,1,0))</formula>
    </cfRule>
    <cfRule type="expression" priority="42" dxfId="2">
      <formula>AND(IF($Q219=2,1,0),IF($X219&lt;30,1,0))</formula>
    </cfRule>
    <cfRule type="expression" priority="43" dxfId="1">
      <formula>AND(IF($Q219=3,1,0),IF($X219&lt;30,1,0))</formula>
    </cfRule>
    <cfRule type="expression" priority="44" dxfId="0">
      <formula>AND(IF($Q219=3,1,IF($Q219=4,1,0)),IF($F219&lt;=85,1,0))</formula>
    </cfRule>
  </conditionalFormatting>
  <conditionalFormatting sqref="AI219">
    <cfRule type="expression" priority="37" dxfId="3">
      <formula>AND(IF(OR($Q219=1,$Q219=2),1,0),IF($X219&lt;=20,1,0))</formula>
    </cfRule>
    <cfRule type="expression" priority="38" dxfId="2">
      <formula>AND(IF($Q219=2,1,0),IF($X219&lt;30,1,0))</formula>
    </cfRule>
    <cfRule type="expression" priority="39" dxfId="1">
      <formula>AND(IF($Q219=3,1,0),IF($X219&lt;30,1,0))</formula>
    </cfRule>
    <cfRule type="expression" priority="40" dxfId="0">
      <formula>AND(IF($Q219=3,1,IF($Q219=4,1,0)),IF($F219&lt;=85,1,0))</formula>
    </cfRule>
  </conditionalFormatting>
  <conditionalFormatting sqref="AV220">
    <cfRule type="expression" priority="35" dxfId="23">
      <formula>AV220="X"</formula>
    </cfRule>
    <cfRule type="expression" priority="36" dxfId="22">
      <formula>AV220="후보"</formula>
    </cfRule>
  </conditionalFormatting>
  <conditionalFormatting sqref="AC22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22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220">
    <cfRule type="expression" priority="27" dxfId="3">
      <formula>AND(IF(OR($Q220=1,$Q220=2),1,0),IF($X220&lt;=20,1,0))</formula>
    </cfRule>
    <cfRule type="expression" priority="28" dxfId="2">
      <formula>AND(IF($Q220=2,1,0),IF($X220&lt;30,1,0))</formula>
    </cfRule>
    <cfRule type="expression" priority="29" dxfId="1">
      <formula>AND(IF($Q220=3,1,0),IF($X220&lt;30,1,0))</formula>
    </cfRule>
    <cfRule type="expression" priority="30" dxfId="0">
      <formula>AND(IF($Q220=3,1,IF($Q220=4,1,0)),IF($F220&lt;=85,1,0))</formula>
    </cfRule>
  </conditionalFormatting>
  <conditionalFormatting sqref="X220">
    <cfRule type="expression" priority="23" dxfId="3">
      <formula>AND(IF(OR($Q220=1,$Q220=2),1,0),IF($X220&lt;=20,1,0))</formula>
    </cfRule>
    <cfRule type="expression" priority="24" dxfId="2">
      <formula>AND(IF($Q220=2,1,0),IF($X220&lt;30,1,0))</formula>
    </cfRule>
    <cfRule type="expression" priority="25" dxfId="1">
      <formula>AND(IF($Q220=3,1,0),IF($X220&lt;30,1,0))</formula>
    </cfRule>
    <cfRule type="expression" priority="26" dxfId="0">
      <formula>AND(IF($Q220=3,1,IF($Q220=4,1,0)),IF($F220&lt;=85,1,0))</formula>
    </cfRule>
  </conditionalFormatting>
  <conditionalFormatting sqref="AI220">
    <cfRule type="expression" priority="19" dxfId="3">
      <formula>AND(IF(OR($Q220=1,$Q220=2),1,0),IF($X220&lt;=20,1,0))</formula>
    </cfRule>
    <cfRule type="expression" priority="20" dxfId="2">
      <formula>AND(IF($Q220=2,1,0),IF($X220&lt;30,1,0))</formula>
    </cfRule>
    <cfRule type="expression" priority="21" dxfId="1">
      <formula>AND(IF($Q220=3,1,0),IF($X220&lt;30,1,0))</formula>
    </cfRule>
    <cfRule type="expression" priority="22" dxfId="0">
      <formula>AND(IF($Q220=3,1,IF($Q220=4,1,0)),IF($F220&lt;=85,1,0))</formula>
    </cfRule>
  </conditionalFormatting>
  <conditionalFormatting sqref="AV221">
    <cfRule type="expression" priority="17" dxfId="23">
      <formula>AV221="X"</formula>
    </cfRule>
    <cfRule type="expression" priority="18" dxfId="22">
      <formula>AV221="후보"</formula>
    </cfRule>
  </conditionalFormatting>
  <conditionalFormatting sqref="AC2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1">
    <cfRule type="expression" priority="9" dxfId="3">
      <formula>AND(IF(OR($Q221=1,$Q221=2),1,0),IF($X221&lt;=20,1,0))</formula>
    </cfRule>
    <cfRule type="expression" priority="10" dxfId="2">
      <formula>AND(IF($Q221=2,1,0),IF($X221&lt;30,1,0))</formula>
    </cfRule>
    <cfRule type="expression" priority="11" dxfId="1">
      <formula>AND(IF($Q221=3,1,0),IF($X221&lt;30,1,0))</formula>
    </cfRule>
    <cfRule type="expression" priority="12" dxfId="0">
      <formula>AND(IF($Q221=3,1,IF($Q221=4,1,0)),IF($F221&lt;=85,1,0))</formula>
    </cfRule>
  </conditionalFormatting>
  <conditionalFormatting sqref="X221">
    <cfRule type="expression" priority="5" dxfId="3">
      <formula>AND(IF(OR($Q221=1,$Q221=2),1,0),IF($X221&lt;=20,1,0))</formula>
    </cfRule>
    <cfRule type="expression" priority="6" dxfId="2">
      <formula>AND(IF($Q221=2,1,0),IF($X221&lt;30,1,0))</formula>
    </cfRule>
    <cfRule type="expression" priority="7" dxfId="1">
      <formula>AND(IF($Q221=3,1,0),IF($X221&lt;30,1,0))</formula>
    </cfRule>
    <cfRule type="expression" priority="8" dxfId="0">
      <formula>AND(IF($Q221=3,1,IF($Q221=4,1,0)),IF($F221&lt;=85,1,0))</formula>
    </cfRule>
  </conditionalFormatting>
  <conditionalFormatting sqref="AI221">
    <cfRule type="expression" priority="1" dxfId="3">
      <formula>AND(IF(OR($Q221=1,$Q221=2),1,0),IF($X221&lt;=20,1,0))</formula>
    </cfRule>
    <cfRule type="expression" priority="2" dxfId="2">
      <formula>AND(IF($Q221=2,1,0),IF($X221&lt;30,1,0))</formula>
    </cfRule>
    <cfRule type="expression" priority="3" dxfId="1">
      <formula>AND(IF($Q221=3,1,0),IF($X221&lt;30,1,0))</formula>
    </cfRule>
    <cfRule type="expression" priority="4" dxfId="0">
      <formula>AND(IF($Q221=3,1,IF($Q221=4,1,0)),IF($F221&lt;=85,1,0))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23" sqref="A23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5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6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5">
      <c r="A2" s="127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5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석동 진해석동우림필유</t>
        </is>
      </c>
      <c r="B4" s="76" t="inlineStr">
        <is>
          <t>08.03.</t>
        </is>
      </c>
      <c r="C4" s="131" t="n">
        <v>1192</v>
      </c>
      <c r="D4" s="132" t="n">
        <v>228.9</v>
      </c>
      <c r="E4" s="133" t="n">
        <v>69</v>
      </c>
      <c r="F4" s="132" t="n">
        <v>190</v>
      </c>
      <c r="G4" s="17" t="n">
        <v>57</v>
      </c>
      <c r="H4" s="134" t="n">
        <v>56</v>
      </c>
      <c r="I4" s="135" t="n">
        <v>75000</v>
      </c>
      <c r="J4" s="135" t="inlineStr">
        <is>
          <t>중</t>
        </is>
      </c>
      <c r="K4" s="135" t="n">
        <v>50000</v>
      </c>
      <c r="L4" s="135" t="inlineStr">
        <is>
          <t>고</t>
        </is>
      </c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21" t="n">
        <v>4</v>
      </c>
      <c r="R4" s="121" t="n">
        <v>3</v>
      </c>
      <c r="S4" s="121" t="inlineStr">
        <is>
          <t>계</t>
        </is>
      </c>
      <c r="T4" s="5" t="n">
        <v>228</v>
      </c>
      <c r="U4" s="9" t="n"/>
    </row>
    <row r="5" ht="12" customFormat="1" customHeight="1" s="37">
      <c r="A5" s="75" t="inlineStr">
        <is>
          <t>장천동 진해장천대동다숲</t>
        </is>
      </c>
      <c r="B5" s="76" t="inlineStr">
        <is>
          <t>07.12.</t>
        </is>
      </c>
      <c r="C5" s="131" t="n">
        <v>1264</v>
      </c>
      <c r="D5" s="132" t="n">
        <v>263.4</v>
      </c>
      <c r="E5" s="133" t="n">
        <v>80</v>
      </c>
      <c r="F5" s="132" t="n">
        <v>225.5</v>
      </c>
      <c r="G5" s="17" t="n">
        <v>68</v>
      </c>
      <c r="H5" s="134" t="n">
        <v>30</v>
      </c>
      <c r="I5" s="135" t="n">
        <v>62500</v>
      </c>
      <c r="J5" s="135" t="inlineStr">
        <is>
          <t>중</t>
        </is>
      </c>
      <c r="K5" s="135" t="n"/>
      <c r="L5" s="135" t="n"/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21" t="n">
        <v>5</v>
      </c>
      <c r="R5" s="121" t="n">
        <v>3</v>
      </c>
      <c r="S5" s="121" t="inlineStr">
        <is>
          <t>계</t>
        </is>
      </c>
      <c r="T5" s="5" t="n">
        <v>263</v>
      </c>
      <c r="U5" s="9" t="n"/>
    </row>
    <row r="6" ht="12" customFormat="1" customHeight="1" s="37">
      <c r="A6" s="75" t="inlineStr">
        <is>
          <t>자은동 창원자은에일린의뜰</t>
        </is>
      </c>
      <c r="B6" s="76" t="inlineStr">
        <is>
          <t>17.10.</t>
        </is>
      </c>
      <c r="C6" s="131" t="n">
        <v>520</v>
      </c>
      <c r="D6" s="132" t="n">
        <v>132</v>
      </c>
      <c r="E6" s="133" t="n">
        <v>40</v>
      </c>
      <c r="F6" s="132" t="n">
        <v>101.5</v>
      </c>
      <c r="G6" s="17" t="n">
        <v>31</v>
      </c>
      <c r="H6" s="134" t="n">
        <v>103</v>
      </c>
      <c r="I6" s="135" t="n">
        <v>60000</v>
      </c>
      <c r="J6" s="135" t="inlineStr">
        <is>
          <t>중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132A</t>
        </is>
      </c>
      <c r="U6" s="9" t="n"/>
    </row>
    <row r="7" ht="12" customFormat="1" customHeight="1" s="37">
      <c r="A7" s="75" t="inlineStr">
        <is>
          <t>석동 진해석동우림필유</t>
        </is>
      </c>
      <c r="B7" s="76" t="inlineStr">
        <is>
          <t>08.03.</t>
        </is>
      </c>
      <c r="C7" s="131" t="n">
        <v>1192</v>
      </c>
      <c r="D7" s="132" t="n">
        <v>195.5</v>
      </c>
      <c r="E7" s="133" t="n">
        <v>59</v>
      </c>
      <c r="F7" s="132" t="n">
        <v>161.8</v>
      </c>
      <c r="G7" s="17" t="n">
        <v>49</v>
      </c>
      <c r="H7" s="134" t="n">
        <v>52</v>
      </c>
      <c r="I7" s="135" t="n">
        <v>58000</v>
      </c>
      <c r="J7" s="135" t="inlineStr">
        <is>
          <t>중</t>
        </is>
      </c>
      <c r="K7" s="135" t="n">
        <v>55000</v>
      </c>
      <c r="L7" s="135" t="inlineStr">
        <is>
          <t>9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4</v>
      </c>
      <c r="R7" s="121" t="n">
        <v>3</v>
      </c>
      <c r="S7" s="121" t="inlineStr">
        <is>
          <t>계</t>
        </is>
      </c>
      <c r="T7" s="5" t="inlineStr">
        <is>
          <t>195B</t>
        </is>
      </c>
      <c r="U7" s="9" t="n"/>
    </row>
    <row r="8" ht="12" customFormat="1" customHeight="1" s="37">
      <c r="A8" s="75" t="inlineStr">
        <is>
          <t>자은동 창원자은에일린의뜰</t>
        </is>
      </c>
      <c r="B8" s="76" t="inlineStr">
        <is>
          <t>17.10.</t>
        </is>
      </c>
      <c r="C8" s="131" t="n">
        <v>520</v>
      </c>
      <c r="D8" s="132" t="n">
        <v>148.8</v>
      </c>
      <c r="E8" s="133" t="n">
        <v>45</v>
      </c>
      <c r="F8" s="132" t="n">
        <v>114.8</v>
      </c>
      <c r="G8" s="17" t="n">
        <v>35</v>
      </c>
      <c r="H8" s="134" t="n">
        <v>86</v>
      </c>
      <c r="I8" s="135" t="n">
        <v>57000</v>
      </c>
      <c r="J8" s="135" t="inlineStr">
        <is>
          <t>고</t>
        </is>
      </c>
      <c r="K8" s="135" t="n">
        <v>44000</v>
      </c>
      <c r="L8" s="135" t="inlineStr">
        <is>
          <t>19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148</v>
      </c>
      <c r="U8" s="9" t="n"/>
    </row>
    <row r="9" ht="12" customFormat="1" customHeight="1" s="37">
      <c r="A9" s="75" t="inlineStr">
        <is>
          <t>장천동 진해장천대동다숲</t>
        </is>
      </c>
      <c r="B9" s="76" t="inlineStr">
        <is>
          <t>07.12.</t>
        </is>
      </c>
      <c r="C9" s="131" t="n">
        <v>1264</v>
      </c>
      <c r="D9" s="132" t="n">
        <v>184.1</v>
      </c>
      <c r="E9" s="133" t="n">
        <v>56</v>
      </c>
      <c r="F9" s="132" t="n">
        <v>141.4</v>
      </c>
      <c r="G9" s="17" t="n">
        <v>43</v>
      </c>
      <c r="H9" s="134" t="n">
        <v>90</v>
      </c>
      <c r="I9" s="135" t="n">
        <v>52000</v>
      </c>
      <c r="J9" s="135" t="inlineStr">
        <is>
          <t>중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184</v>
      </c>
      <c r="U9" s="9" t="n"/>
    </row>
    <row r="10" ht="12" customFormat="1" customHeight="1" s="37">
      <c r="A10" s="75" t="inlineStr">
        <is>
          <t>풍호동 풍호한림리츠빌</t>
        </is>
      </c>
      <c r="B10" s="76" t="inlineStr">
        <is>
          <t>05.06.</t>
        </is>
      </c>
      <c r="C10" s="131" t="n">
        <v>620</v>
      </c>
      <c r="D10" s="132" t="n">
        <v>219.5</v>
      </c>
      <c r="E10" s="133" t="n">
        <v>66</v>
      </c>
      <c r="F10" s="132" t="n">
        <v>189.6</v>
      </c>
      <c r="G10" s="17" t="n">
        <v>57</v>
      </c>
      <c r="H10" s="134" t="n">
        <v>56</v>
      </c>
      <c r="I10" s="135" t="n">
        <v>47000</v>
      </c>
      <c r="J10" s="135" t="inlineStr">
        <is>
          <t>중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5</v>
      </c>
      <c r="R10" s="121" t="n">
        <v>2</v>
      </c>
      <c r="S10" s="121" t="inlineStr">
        <is>
          <t>계</t>
        </is>
      </c>
      <c r="T10" s="5" t="n">
        <v>219</v>
      </c>
      <c r="U10" s="9" t="n"/>
    </row>
    <row r="11" ht="12" customFormat="1" customHeight="1" s="37">
      <c r="A11" s="75" t="inlineStr">
        <is>
          <t>풍호동 창원마린푸르지오1단지</t>
        </is>
      </c>
      <c r="B11" s="76" t="inlineStr">
        <is>
          <t>15.10.</t>
        </is>
      </c>
      <c r="C11" s="131" t="n">
        <v>1822</v>
      </c>
      <c r="D11" s="132" t="n">
        <v>113.8</v>
      </c>
      <c r="E11" s="133" t="n">
        <v>34</v>
      </c>
      <c r="F11" s="132" t="n">
        <v>85</v>
      </c>
      <c r="G11" s="17" t="n">
        <v>26</v>
      </c>
      <c r="H11" s="134" t="n">
        <v>693</v>
      </c>
      <c r="I11" s="135" t="n">
        <v>46500</v>
      </c>
      <c r="J11" s="135" t="inlineStr">
        <is>
          <t>5</t>
        </is>
      </c>
      <c r="K11" s="135" t="n">
        <v>34000</v>
      </c>
      <c r="L11" s="135" t="inlineStr">
        <is>
          <t>중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113A</t>
        </is>
      </c>
      <c r="U11" s="9" t="n"/>
    </row>
    <row r="12" ht="12" customFormat="1" customHeight="1" s="37">
      <c r="A12" s="75" t="inlineStr">
        <is>
          <t>장천동 진해장천대동다숲</t>
        </is>
      </c>
      <c r="B12" s="76" t="inlineStr">
        <is>
          <t>07.12.</t>
        </is>
      </c>
      <c r="C12" s="131" t="n">
        <v>1264</v>
      </c>
      <c r="D12" s="132" t="n">
        <v>156.2</v>
      </c>
      <c r="E12" s="133" t="n">
        <v>47</v>
      </c>
      <c r="F12" s="132" t="n">
        <v>122.1</v>
      </c>
      <c r="G12" s="17" t="n">
        <v>37</v>
      </c>
      <c r="H12" s="134" t="n">
        <v>90</v>
      </c>
      <c r="I12" s="135" t="n">
        <v>44000</v>
      </c>
      <c r="J12" s="135" t="inlineStr">
        <is>
          <t>중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156</v>
      </c>
      <c r="U12" s="9" t="n"/>
    </row>
    <row r="13" ht="12" customFormat="1" customHeight="1" s="37">
      <c r="A13" s="75" t="inlineStr">
        <is>
          <t>풍호동 창원마린푸르지오2단지</t>
        </is>
      </c>
      <c r="B13" s="76" t="inlineStr">
        <is>
          <t>15.10.</t>
        </is>
      </c>
      <c r="C13" s="131" t="n">
        <v>310</v>
      </c>
      <c r="D13" s="132" t="n">
        <v>113.7</v>
      </c>
      <c r="E13" s="133" t="n">
        <v>34</v>
      </c>
      <c r="F13" s="132" t="n">
        <v>85</v>
      </c>
      <c r="G13" s="17" t="n">
        <v>26</v>
      </c>
      <c r="H13" s="134" t="n">
        <v>153</v>
      </c>
      <c r="I13" s="135" t="n">
        <v>44000</v>
      </c>
      <c r="J13" s="135" t="inlineStr">
        <is>
          <t>고</t>
        </is>
      </c>
      <c r="K13" s="135" t="n">
        <v>35000</v>
      </c>
      <c r="L13" s="135" t="inlineStr">
        <is>
          <t>중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113B</t>
        </is>
      </c>
      <c r="U13" s="9" t="n"/>
    </row>
    <row r="14" ht="12" customFormat="1" customHeight="1" s="37">
      <c r="A14" s="75" t="inlineStr">
        <is>
          <t>석동 진해석동우림필유</t>
        </is>
      </c>
      <c r="B14" s="76" t="inlineStr">
        <is>
          <t>08.03.</t>
        </is>
      </c>
      <c r="C14" s="131" t="n">
        <v>1192</v>
      </c>
      <c r="D14" s="132" t="n">
        <v>111.6</v>
      </c>
      <c r="E14" s="133" t="n">
        <v>34</v>
      </c>
      <c r="F14" s="132" t="n">
        <v>84.90000000000001</v>
      </c>
      <c r="G14" s="17" t="n">
        <v>26</v>
      </c>
      <c r="H14" s="134" t="n">
        <v>398</v>
      </c>
      <c r="I14" s="135" t="n">
        <v>43000</v>
      </c>
      <c r="J14" s="135" t="inlineStr">
        <is>
          <t>6</t>
        </is>
      </c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111</v>
      </c>
      <c r="U14" s="9" t="n"/>
    </row>
    <row r="15" ht="12" customFormat="1" customHeight="1" s="37">
      <c r="A15" s="75" t="inlineStr">
        <is>
          <t>자은동 자은중흥S-클래스</t>
        </is>
      </c>
      <c r="B15" s="76" t="inlineStr">
        <is>
          <t>17.02.</t>
        </is>
      </c>
      <c r="C15" s="131" t="n">
        <v>767</v>
      </c>
      <c r="D15" s="132" t="n">
        <v>112.4</v>
      </c>
      <c r="E15" s="133" t="n">
        <v>34</v>
      </c>
      <c r="F15" s="132" t="n">
        <v>84.90000000000001</v>
      </c>
      <c r="G15" s="17" t="n">
        <v>26</v>
      </c>
      <c r="H15" s="134" t="n">
        <v>555</v>
      </c>
      <c r="I15" s="135" t="n">
        <v>42000</v>
      </c>
      <c r="J15" s="135" t="inlineStr">
        <is>
          <t>중</t>
        </is>
      </c>
      <c r="K15" s="135" t="n">
        <v>35000</v>
      </c>
      <c r="L15" s="135" t="inlineStr">
        <is>
          <t>7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112</v>
      </c>
      <c r="U15" s="9" t="n"/>
    </row>
    <row r="16" ht="12" customFormat="1" customHeight="1" s="37">
      <c r="A16" s="75" t="inlineStr">
        <is>
          <t>자은동 자은중흥S-클래스</t>
        </is>
      </c>
      <c r="B16" s="76" t="inlineStr">
        <is>
          <t>17.02.</t>
        </is>
      </c>
      <c r="C16" s="131" t="n">
        <v>767</v>
      </c>
      <c r="D16" s="132" t="n">
        <v>100.9</v>
      </c>
      <c r="E16" s="133" t="n">
        <v>31</v>
      </c>
      <c r="F16" s="132" t="n">
        <v>76.2</v>
      </c>
      <c r="G16" s="17" t="n">
        <v>23</v>
      </c>
      <c r="H16" s="134" t="n">
        <v>212</v>
      </c>
      <c r="I16" s="135" t="n">
        <v>40500</v>
      </c>
      <c r="J16" s="135" t="inlineStr">
        <is>
          <t>고</t>
        </is>
      </c>
      <c r="K16" s="135" t="n">
        <v>32000</v>
      </c>
      <c r="L16" s="135" t="inlineStr">
        <is>
          <t>17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100</v>
      </c>
      <c r="U16" s="9" t="n"/>
    </row>
    <row r="17" ht="12" customFormat="1" customHeight="1" s="37">
      <c r="A17" s="75" t="inlineStr">
        <is>
          <t>석동 진해석동푸르지오</t>
        </is>
      </c>
      <c r="B17" s="76" t="inlineStr">
        <is>
          <t>06.08.</t>
        </is>
      </c>
      <c r="C17" s="131" t="n">
        <v>647</v>
      </c>
      <c r="D17" s="132" t="n">
        <v>172.1</v>
      </c>
      <c r="E17" s="133" t="n">
        <v>52</v>
      </c>
      <c r="F17" s="132" t="n">
        <v>138</v>
      </c>
      <c r="G17" s="17" t="n">
        <v>42</v>
      </c>
      <c r="H17" s="134" t="n">
        <v>80</v>
      </c>
      <c r="I17" s="135" t="n">
        <v>40000</v>
      </c>
      <c r="J17" s="135" t="inlineStr">
        <is>
          <t>중</t>
        </is>
      </c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172</v>
      </c>
      <c r="U17" s="9" t="n"/>
    </row>
    <row r="18" ht="12" customFormat="1" customHeight="1" s="37">
      <c r="A18" s="75" t="inlineStr">
        <is>
          <t>풍호동 풍호한림리츠빌</t>
        </is>
      </c>
      <c r="B18" s="76" t="inlineStr">
        <is>
          <t>05.06.</t>
        </is>
      </c>
      <c r="C18" s="131" t="n">
        <v>620</v>
      </c>
      <c r="D18" s="132" t="n">
        <v>159.8</v>
      </c>
      <c r="E18" s="133" t="n">
        <v>48</v>
      </c>
      <c r="F18" s="132" t="n">
        <v>131.6</v>
      </c>
      <c r="G18" s="17" t="n">
        <v>40</v>
      </c>
      <c r="H18" s="134" t="n">
        <v>180</v>
      </c>
      <c r="I18" s="135" t="n">
        <v>40000</v>
      </c>
      <c r="J18" s="135" t="inlineStr">
        <is>
          <t>중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n">
        <v>159</v>
      </c>
      <c r="U18" s="9" t="n"/>
    </row>
    <row r="19" ht="12" customFormat="1" customHeight="1" s="37">
      <c r="A19" s="75" t="inlineStr">
        <is>
          <t>경화동 두산위브</t>
        </is>
      </c>
      <c r="B19" s="76" t="inlineStr">
        <is>
          <t>17.02.</t>
        </is>
      </c>
      <c r="C19" s="131" t="n">
        <v>462</v>
      </c>
      <c r="D19" s="132" t="n">
        <v>99.40000000000001</v>
      </c>
      <c r="E19" s="133" t="n">
        <v>30</v>
      </c>
      <c r="F19" s="132" t="n">
        <v>74.7</v>
      </c>
      <c r="G19" s="17" t="n">
        <v>23</v>
      </c>
      <c r="H19" s="134" t="n">
        <v>147</v>
      </c>
      <c r="I19" s="135" t="n">
        <v>39500</v>
      </c>
      <c r="J19" s="135" t="inlineStr">
        <is>
          <t>고</t>
        </is>
      </c>
      <c r="K19" s="135" t="n">
        <v>30000</v>
      </c>
      <c r="L19" s="135" t="inlineStr">
        <is>
          <t>11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99C</t>
        </is>
      </c>
      <c r="U19" s="9" t="n"/>
    </row>
    <row r="20" ht="12" customFormat="1" customHeight="1" s="37">
      <c r="A20" s="75" t="inlineStr">
        <is>
          <t>자은동 자은프라임</t>
        </is>
      </c>
      <c r="B20" s="76" t="inlineStr">
        <is>
          <t>15.05.</t>
        </is>
      </c>
      <c r="C20" s="131" t="n">
        <v>1298</v>
      </c>
      <c r="D20" s="132" t="n">
        <v>115</v>
      </c>
      <c r="E20" s="133" t="n">
        <v>35</v>
      </c>
      <c r="F20" s="132" t="n">
        <v>84.90000000000001</v>
      </c>
      <c r="G20" s="17" t="n">
        <v>26</v>
      </c>
      <c r="H20" s="134" t="n">
        <v>336</v>
      </c>
      <c r="I20" s="135" t="n">
        <v>39000</v>
      </c>
      <c r="J20" s="135" t="inlineStr">
        <is>
          <t>15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114A</t>
        </is>
      </c>
      <c r="U20" s="9" t="n"/>
    </row>
    <row r="21" ht="12" customFormat="1" customHeight="1" s="37">
      <c r="A21" s="75" t="inlineStr">
        <is>
          <t>경화동 두산위브</t>
        </is>
      </c>
      <c r="B21" s="76" t="inlineStr">
        <is>
          <t>17.02.</t>
        </is>
      </c>
      <c r="C21" s="131" t="n">
        <v>462</v>
      </c>
      <c r="D21" s="132" t="n">
        <v>113.2</v>
      </c>
      <c r="E21" s="133" t="n">
        <v>34</v>
      </c>
      <c r="F21" s="132" t="n">
        <v>85</v>
      </c>
      <c r="G21" s="17" t="n">
        <v>26</v>
      </c>
      <c r="H21" s="134" t="n">
        <v>60</v>
      </c>
      <c r="I21" s="135" t="n">
        <v>38500</v>
      </c>
      <c r="J21" s="135" t="inlineStr">
        <is>
          <t>고</t>
        </is>
      </c>
      <c r="K21" s="135" t="n">
        <v>34000</v>
      </c>
      <c r="L21" s="135" t="inlineStr">
        <is>
          <t>고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113A</t>
        </is>
      </c>
      <c r="U21" s="9" t="n"/>
    </row>
    <row r="22" ht="12" customFormat="1" customHeight="1" s="37">
      <c r="A22" s="75" t="inlineStr">
        <is>
          <t>장천동 창원한신휴플러스오션파크</t>
        </is>
      </c>
      <c r="B22" s="76" t="inlineStr">
        <is>
          <t>16.05.</t>
        </is>
      </c>
      <c r="C22" s="131" t="n">
        <v>684</v>
      </c>
      <c r="D22" s="132" t="n">
        <v>109.7</v>
      </c>
      <c r="E22" s="133" t="n">
        <v>33</v>
      </c>
      <c r="F22" s="132" t="n">
        <v>84.5</v>
      </c>
      <c r="G22" s="17" t="n">
        <v>26</v>
      </c>
      <c r="H22" s="134" t="n">
        <v>217</v>
      </c>
      <c r="I22" s="135" t="n">
        <v>38500</v>
      </c>
      <c r="J22" s="135" t="inlineStr">
        <is>
          <t>6</t>
        </is>
      </c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109A</t>
        </is>
      </c>
      <c r="U22" s="9" t="n"/>
    </row>
    <row r="23" ht="12" customFormat="1" customHeight="1" s="37">
      <c r="A23" s="75" t="inlineStr">
        <is>
          <t>석동 진해석동푸르지오</t>
        </is>
      </c>
      <c r="B23" s="76" t="inlineStr">
        <is>
          <t>06.08.</t>
        </is>
      </c>
      <c r="C23" s="131" t="n">
        <v>647</v>
      </c>
      <c r="D23" s="132" t="n">
        <v>149.1</v>
      </c>
      <c r="E23" s="133" t="n">
        <v>45</v>
      </c>
      <c r="F23" s="132" t="n">
        <v>116.5</v>
      </c>
      <c r="G23" s="17" t="n">
        <v>35</v>
      </c>
      <c r="H23" s="134" t="n">
        <v>134</v>
      </c>
      <c r="I23" s="135" t="n">
        <v>38000</v>
      </c>
      <c r="J23" s="135" t="inlineStr">
        <is>
          <t>중</t>
        </is>
      </c>
      <c r="K23" s="135" t="n">
        <v>32000</v>
      </c>
      <c r="L23" s="135" t="inlineStr">
        <is>
          <t>11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1" t="n">
        <v>4</v>
      </c>
      <c r="R23" s="121" t="n">
        <v>2</v>
      </c>
      <c r="S23" s="121" t="inlineStr">
        <is>
          <t>계</t>
        </is>
      </c>
      <c r="T23" s="5" t="n">
        <v>149</v>
      </c>
      <c r="U23" s="9" t="n"/>
    </row>
    <row r="24" ht="12" customFormat="1" customHeight="1" s="37">
      <c r="A24" s="75" t="inlineStr">
        <is>
          <t>자은동 협성DS이아이존빌</t>
        </is>
      </c>
      <c r="B24" s="76" t="inlineStr">
        <is>
          <t>14.06.</t>
        </is>
      </c>
      <c r="C24" s="131" t="n">
        <v>433</v>
      </c>
      <c r="D24" s="132" t="n">
        <v>113.9</v>
      </c>
      <c r="E24" s="133" t="n">
        <v>34</v>
      </c>
      <c r="F24" s="132" t="n">
        <v>85</v>
      </c>
      <c r="G24" s="17" t="n">
        <v>26</v>
      </c>
      <c r="H24" s="134" t="n">
        <v>162</v>
      </c>
      <c r="I24" s="135" t="n">
        <v>36500</v>
      </c>
      <c r="J24" s="135" t="inlineStr">
        <is>
          <t>중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113B</t>
        </is>
      </c>
      <c r="U24" s="9" t="n"/>
    </row>
    <row r="25" ht="12" customFormat="1" customHeight="1" s="37">
      <c r="A25" s="75" t="inlineStr">
        <is>
          <t>이동 진해이동디에스아이존빌</t>
        </is>
      </c>
      <c r="B25" s="76" t="inlineStr">
        <is>
          <t>08.10.</t>
        </is>
      </c>
      <c r="C25" s="131" t="n">
        <v>328</v>
      </c>
      <c r="D25" s="132" t="n">
        <v>121.3</v>
      </c>
      <c r="E25" s="133" t="n">
        <v>37</v>
      </c>
      <c r="F25" s="132" t="n">
        <v>84.8</v>
      </c>
      <c r="G25" s="17" t="n">
        <v>26</v>
      </c>
      <c r="H25" s="134" t="n">
        <v>289</v>
      </c>
      <c r="I25" s="135" t="n">
        <v>36000</v>
      </c>
      <c r="J25" s="135" t="inlineStr">
        <is>
          <t>고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121A</t>
        </is>
      </c>
      <c r="U25" s="9" t="n"/>
    </row>
    <row r="26" ht="12" customFormat="1" customHeight="1" s="37">
      <c r="A26" s="75" t="inlineStr">
        <is>
          <t>자은동 자은월드메르디앙</t>
        </is>
      </c>
      <c r="B26" s="76" t="inlineStr">
        <is>
          <t>08.01.</t>
        </is>
      </c>
      <c r="C26" s="131" t="n">
        <v>358</v>
      </c>
      <c r="D26" s="132" t="n">
        <v>158.7</v>
      </c>
      <c r="E26" s="133" t="n">
        <v>48</v>
      </c>
      <c r="F26" s="132" t="n">
        <v>126.2</v>
      </c>
      <c r="G26" s="17" t="n">
        <v>38</v>
      </c>
      <c r="H26" s="134" t="n">
        <v>60</v>
      </c>
      <c r="I26" s="135" t="n">
        <v>36000</v>
      </c>
      <c r="J26" s="135" t="inlineStr">
        <is>
          <t>중</t>
        </is>
      </c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158</v>
      </c>
      <c r="U26" s="9" t="n"/>
    </row>
    <row r="27" ht="12" customFormat="1" customHeight="1" s="37">
      <c r="A27" s="75" t="inlineStr">
        <is>
          <t>자은동 자은더샵</t>
        </is>
      </c>
      <c r="B27" s="76" t="inlineStr">
        <is>
          <t>05.11.</t>
        </is>
      </c>
      <c r="C27" s="131" t="n">
        <v>442</v>
      </c>
      <c r="D27" s="132" t="n">
        <v>147.8</v>
      </c>
      <c r="E27" s="133" t="n">
        <v>45</v>
      </c>
      <c r="F27" s="132" t="n">
        <v>123.2</v>
      </c>
      <c r="G27" s="17" t="n">
        <v>37</v>
      </c>
      <c r="H27" s="134" t="n">
        <v>58</v>
      </c>
      <c r="I27" s="135" t="n">
        <v>35500</v>
      </c>
      <c r="J27" s="135" t="inlineStr">
        <is>
          <t>10</t>
        </is>
      </c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1" t="n">
        <v>4</v>
      </c>
      <c r="R27" s="121" t="n">
        <v>2</v>
      </c>
      <c r="S27" s="121" t="inlineStr">
        <is>
          <t>계</t>
        </is>
      </c>
      <c r="T27" s="5" t="n">
        <v>147</v>
      </c>
      <c r="U27" s="9" t="n"/>
    </row>
    <row r="28" ht="12" customFormat="1" customHeight="1" s="37">
      <c r="A28" s="75" t="inlineStr">
        <is>
          <t>석동 진해GS자이</t>
        </is>
      </c>
      <c r="B28" s="76" t="inlineStr">
        <is>
          <t>06.04.</t>
        </is>
      </c>
      <c r="C28" s="131" t="n">
        <v>516</v>
      </c>
      <c r="D28" s="132" t="n">
        <v>115.4</v>
      </c>
      <c r="E28" s="133" t="n">
        <v>35</v>
      </c>
      <c r="F28" s="132" t="n">
        <v>84.90000000000001</v>
      </c>
      <c r="G28" s="17" t="n">
        <v>26</v>
      </c>
      <c r="H28" s="134" t="n">
        <v>404</v>
      </c>
      <c r="I28" s="135" t="n">
        <v>35300</v>
      </c>
      <c r="J28" s="135" t="inlineStr">
        <is>
          <t>14</t>
        </is>
      </c>
      <c r="K28" s="135" t="n">
        <v>29000</v>
      </c>
      <c r="L28" s="135" t="inlineStr">
        <is>
          <t>13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115</v>
      </c>
      <c r="U28" s="9" t="n"/>
    </row>
    <row r="29" ht="12" customFormat="1" customHeight="1" s="37">
      <c r="A29" s="75" t="inlineStr">
        <is>
          <t>경화동 대동다숲</t>
        </is>
      </c>
      <c r="B29" s="76" t="inlineStr">
        <is>
          <t>06.08.</t>
        </is>
      </c>
      <c r="C29" s="131" t="n">
        <v>408</v>
      </c>
      <c r="D29" s="132" t="n">
        <v>160.5</v>
      </c>
      <c r="E29" s="133" t="n">
        <v>49</v>
      </c>
      <c r="F29" s="132" t="n">
        <v>130.2</v>
      </c>
      <c r="G29" s="17" t="n">
        <v>39</v>
      </c>
      <c r="H29" s="134" t="n">
        <v>30</v>
      </c>
      <c r="I29" s="135" t="n">
        <v>35000</v>
      </c>
      <c r="J29" s="135" t="inlineStr">
        <is>
          <t>중</t>
        </is>
      </c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160</v>
      </c>
      <c r="U29" s="9" t="n"/>
    </row>
    <row r="30" ht="12" customFormat="1" customHeight="1" s="37">
      <c r="A30" s="75" t="inlineStr">
        <is>
          <t>자은동 자은프라임</t>
        </is>
      </c>
      <c r="B30" s="76" t="inlineStr">
        <is>
          <t>15.05.</t>
        </is>
      </c>
      <c r="C30" s="131" t="n">
        <v>1298</v>
      </c>
      <c r="D30" s="132" t="n">
        <v>101.6</v>
      </c>
      <c r="E30" s="133" t="n">
        <v>31</v>
      </c>
      <c r="F30" s="132" t="n">
        <v>75</v>
      </c>
      <c r="G30" s="17" t="n">
        <v>23</v>
      </c>
      <c r="H30" s="134" t="n">
        <v>159</v>
      </c>
      <c r="I30" s="135" t="n">
        <v>34000</v>
      </c>
      <c r="J30" s="135" t="inlineStr">
        <is>
          <t>11</t>
        </is>
      </c>
      <c r="K30" s="135" t="n">
        <v>27000</v>
      </c>
      <c r="L30" s="135" t="inlineStr">
        <is>
          <t>8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101A</t>
        </is>
      </c>
      <c r="U30" s="9" t="n"/>
    </row>
    <row r="31" ht="12" customFormat="1" customHeight="1" s="37">
      <c r="A31" s="75" t="inlineStr">
        <is>
          <t>석동 벚꽃그린빌주공3단지</t>
        </is>
      </c>
      <c r="B31" s="76" t="inlineStr">
        <is>
          <t>03.03.</t>
        </is>
      </c>
      <c r="C31" s="131" t="n">
        <v>613</v>
      </c>
      <c r="D31" s="132" t="n">
        <v>105.5</v>
      </c>
      <c r="E31" s="133" t="n">
        <v>32</v>
      </c>
      <c r="F31" s="132" t="n">
        <v>85</v>
      </c>
      <c r="G31" s="17" t="n">
        <v>26</v>
      </c>
      <c r="H31" s="134" t="n">
        <v>413</v>
      </c>
      <c r="I31" s="135" t="n">
        <v>33000</v>
      </c>
      <c r="J31" s="135" t="inlineStr">
        <is>
          <t>중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105B</t>
        </is>
      </c>
      <c r="U31" s="9" t="n"/>
    </row>
    <row r="32" ht="12" customFormat="1" customHeight="1" s="37">
      <c r="A32" s="75" t="inlineStr">
        <is>
          <t>풍호동 창원마린푸르지오1단지</t>
        </is>
      </c>
      <c r="B32" s="76" t="inlineStr">
        <is>
          <t>15.10.</t>
        </is>
      </c>
      <c r="C32" s="131" t="n">
        <v>1822</v>
      </c>
      <c r="D32" s="132" t="n">
        <v>81.40000000000001</v>
      </c>
      <c r="E32" s="133" t="n">
        <v>25</v>
      </c>
      <c r="F32" s="132" t="n">
        <v>60</v>
      </c>
      <c r="G32" s="17" t="n">
        <v>18</v>
      </c>
      <c r="H32" s="134" t="n">
        <v>124</v>
      </c>
      <c r="I32" s="135" t="n">
        <v>33000</v>
      </c>
      <c r="J32" s="135" t="inlineStr">
        <is>
          <t>중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81</v>
      </c>
      <c r="U32" s="9" t="n"/>
    </row>
    <row r="33" ht="12" customFormat="1" customHeight="1" s="37">
      <c r="A33" s="75" t="inlineStr">
        <is>
          <t>장천동 창원한신휴플러스오션파크</t>
        </is>
      </c>
      <c r="B33" s="76" t="inlineStr">
        <is>
          <t>16.05.</t>
        </is>
      </c>
      <c r="C33" s="131" t="n">
        <v>684</v>
      </c>
      <c r="D33" s="132" t="n">
        <v>90.59999999999999</v>
      </c>
      <c r="E33" s="133" t="n">
        <v>27</v>
      </c>
      <c r="F33" s="132" t="n">
        <v>69.90000000000001</v>
      </c>
      <c r="G33" s="17" t="n">
        <v>21</v>
      </c>
      <c r="H33" s="134" t="n">
        <v>160</v>
      </c>
      <c r="I33" s="135" t="n">
        <v>32000</v>
      </c>
      <c r="J33" s="135" t="inlineStr">
        <is>
          <t>중</t>
        </is>
      </c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90B</t>
        </is>
      </c>
      <c r="U33" s="9" t="n"/>
    </row>
    <row r="34" ht="12" customFormat="1" customHeight="1" s="37">
      <c r="A34" s="75" t="inlineStr">
        <is>
          <t>장천동 진해장천대동다숲</t>
        </is>
      </c>
      <c r="B34" s="76" t="inlineStr">
        <is>
          <t>07.12.</t>
        </is>
      </c>
      <c r="C34" s="131" t="n">
        <v>1264</v>
      </c>
      <c r="D34" s="132" t="n">
        <v>110.5</v>
      </c>
      <c r="E34" s="133" t="n">
        <v>33</v>
      </c>
      <c r="F34" s="132" t="n">
        <v>84.90000000000001</v>
      </c>
      <c r="G34" s="17" t="n">
        <v>26</v>
      </c>
      <c r="H34" s="134" t="n">
        <v>402</v>
      </c>
      <c r="I34" s="135" t="n">
        <v>32000</v>
      </c>
      <c r="J34" s="135" t="inlineStr">
        <is>
          <t>중</t>
        </is>
      </c>
      <c r="K34" s="135" t="n">
        <v>27500</v>
      </c>
      <c r="L34" s="135" t="inlineStr">
        <is>
          <t>고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110</v>
      </c>
      <c r="U34" s="9" t="n"/>
    </row>
    <row r="35" ht="12" customFormat="1" customHeight="1" s="37">
      <c r="A35" s="75" t="inlineStr">
        <is>
          <t>경화동 두산위브</t>
        </is>
      </c>
      <c r="B35" s="76" t="inlineStr">
        <is>
          <t>17.02.</t>
        </is>
      </c>
      <c r="C35" s="131" t="n">
        <v>462</v>
      </c>
      <c r="D35" s="132" t="n">
        <v>80.3</v>
      </c>
      <c r="E35" s="133" t="n">
        <v>24</v>
      </c>
      <c r="F35" s="132" t="n">
        <v>59.9</v>
      </c>
      <c r="G35" s="17" t="n">
        <v>18</v>
      </c>
      <c r="H35" s="134" t="n">
        <v>71</v>
      </c>
      <c r="I35" s="135" t="n">
        <v>31000</v>
      </c>
      <c r="J35" s="135" t="inlineStr">
        <is>
          <t>중</t>
        </is>
      </c>
      <c r="K35" s="135" t="n"/>
      <c r="L35" s="135" t="n"/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80</v>
      </c>
      <c r="U35" s="9" t="n"/>
    </row>
    <row r="36" ht="12" customFormat="1" customHeight="1" s="37">
      <c r="A36" s="75" t="inlineStr">
        <is>
          <t>남문동 남문호반베르디움</t>
        </is>
      </c>
      <c r="B36" s="76" t="inlineStr">
        <is>
          <t>18.06.</t>
        </is>
      </c>
      <c r="C36" s="131" t="n">
        <v>944</v>
      </c>
      <c r="D36" s="132" t="n">
        <v>110.2</v>
      </c>
      <c r="E36" s="133" t="n">
        <v>33</v>
      </c>
      <c r="F36" s="132" t="n">
        <v>85</v>
      </c>
      <c r="G36" s="17" t="n">
        <v>26</v>
      </c>
      <c r="H36" s="134" t="n">
        <v>448</v>
      </c>
      <c r="I36" s="135" t="n">
        <v>31000</v>
      </c>
      <c r="J36" s="135" t="inlineStr">
        <is>
          <t>5</t>
        </is>
      </c>
      <c r="K36" s="135" t="n">
        <v>24000</v>
      </c>
      <c r="L36" s="135" t="inlineStr">
        <is>
          <t>6</t>
        </is>
      </c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110</v>
      </c>
      <c r="U36" s="9" t="n"/>
    </row>
    <row r="37" ht="12" customFormat="1" customHeight="1" s="37">
      <c r="A37" s="75" t="inlineStr">
        <is>
          <t>석동 진해석동푸르지오</t>
        </is>
      </c>
      <c r="B37" s="76" t="inlineStr">
        <is>
          <t>06.08.</t>
        </is>
      </c>
      <c r="C37" s="131" t="n">
        <v>647</v>
      </c>
      <c r="D37" s="132" t="n">
        <v>116.9</v>
      </c>
      <c r="E37" s="133" t="n">
        <v>35</v>
      </c>
      <c r="F37" s="132" t="n">
        <v>85</v>
      </c>
      <c r="G37" s="17" t="n">
        <v>26</v>
      </c>
      <c r="H37" s="134" t="n">
        <v>343</v>
      </c>
      <c r="I37" s="135" t="n">
        <v>31000</v>
      </c>
      <c r="J37" s="135" t="inlineStr">
        <is>
          <t>중</t>
        </is>
      </c>
      <c r="K37" s="135" t="n">
        <v>27000</v>
      </c>
      <c r="L37" s="135" t="inlineStr">
        <is>
          <t>12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116A</t>
        </is>
      </c>
      <c r="U37" s="9" t="n"/>
    </row>
    <row r="38" ht="12" customFormat="1" customHeight="1" s="37">
      <c r="A38" s="75" t="inlineStr">
        <is>
          <t>남문동 진해남문시티프라디움2차</t>
        </is>
      </c>
      <c r="B38" s="76" t="inlineStr">
        <is>
          <t>17.12.</t>
        </is>
      </c>
      <c r="C38" s="131" t="n">
        <v>876</v>
      </c>
      <c r="D38" s="132" t="n">
        <v>109.3</v>
      </c>
      <c r="E38" s="133" t="n">
        <v>33</v>
      </c>
      <c r="F38" s="132" t="n">
        <v>85</v>
      </c>
      <c r="G38" s="17" t="n">
        <v>26</v>
      </c>
      <c r="H38" s="134" t="n">
        <v>584</v>
      </c>
      <c r="I38" s="135" t="n">
        <v>30000</v>
      </c>
      <c r="J38" s="135" t="inlineStr">
        <is>
          <t>중</t>
        </is>
      </c>
      <c r="K38" s="135" t="n">
        <v>22000</v>
      </c>
      <c r="L38" s="135" t="inlineStr">
        <is>
          <t>13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109</v>
      </c>
      <c r="U38" s="9" t="n"/>
    </row>
    <row r="39" ht="12" customFormat="1" customHeight="1" s="37">
      <c r="A39" s="75" t="inlineStr">
        <is>
          <t>자은동 자은월드메르디앙</t>
        </is>
      </c>
      <c r="B39" s="76" t="inlineStr">
        <is>
          <t>08.01.</t>
        </is>
      </c>
      <c r="C39" s="131" t="n">
        <v>358</v>
      </c>
      <c r="D39" s="132" t="n">
        <v>113.4</v>
      </c>
      <c r="E39" s="133" t="n">
        <v>34</v>
      </c>
      <c r="F39" s="132" t="n">
        <v>84.90000000000001</v>
      </c>
      <c r="G39" s="17" t="n">
        <v>26</v>
      </c>
      <c r="H39" s="134" t="n">
        <v>230</v>
      </c>
      <c r="I39" s="135" t="n">
        <v>30000</v>
      </c>
      <c r="J39" s="135" t="inlineStr">
        <is>
          <t>중</t>
        </is>
      </c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113A</t>
        </is>
      </c>
      <c r="U39" s="9" t="n"/>
    </row>
    <row r="40" ht="12" customFormat="1" customHeight="1" s="37">
      <c r="A40" s="75" t="inlineStr">
        <is>
          <t>풍호동 풍호한림리츠빌</t>
        </is>
      </c>
      <c r="B40" s="76" t="inlineStr">
        <is>
          <t>05.06.</t>
        </is>
      </c>
      <c r="C40" s="131" t="n">
        <v>620</v>
      </c>
      <c r="D40" s="132" t="n">
        <v>114.8</v>
      </c>
      <c r="E40" s="133" t="n">
        <v>35</v>
      </c>
      <c r="F40" s="132" t="n">
        <v>85</v>
      </c>
      <c r="G40" s="17" t="n">
        <v>26</v>
      </c>
      <c r="H40" s="134" t="n">
        <v>384</v>
      </c>
      <c r="I40" s="135" t="n">
        <v>30000</v>
      </c>
      <c r="J40" s="135" t="inlineStr">
        <is>
          <t>중</t>
        </is>
      </c>
      <c r="K40" s="135" t="n">
        <v>27000</v>
      </c>
      <c r="L40" s="135" t="inlineStr">
        <is>
          <t>중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114</v>
      </c>
      <c r="U40" s="9" t="n"/>
    </row>
    <row r="41" ht="12" customFormat="1" customHeight="1" s="37">
      <c r="A41" s="75" t="inlineStr">
        <is>
          <t>안골동 창원마린푸르지오2차</t>
        </is>
      </c>
      <c r="B41" s="76" t="inlineStr">
        <is>
          <t>16.10.</t>
        </is>
      </c>
      <c r="C41" s="131" t="n">
        <v>599</v>
      </c>
      <c r="D41" s="132" t="n">
        <v>99.90000000000001</v>
      </c>
      <c r="E41" s="133" t="n">
        <v>30</v>
      </c>
      <c r="F41" s="132" t="n">
        <v>75</v>
      </c>
      <c r="G41" s="17" t="n">
        <v>23</v>
      </c>
      <c r="H41" s="134" t="n">
        <v>82</v>
      </c>
      <c r="I41" s="135" t="n">
        <v>29000</v>
      </c>
      <c r="J41" s="135" t="inlineStr">
        <is>
          <t>11</t>
        </is>
      </c>
      <c r="K41" s="135" t="n"/>
      <c r="L41" s="135" t="n"/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99B</t>
        </is>
      </c>
      <c r="U41" s="9" t="n"/>
    </row>
    <row r="42" ht="12" customFormat="1" customHeight="1" s="37">
      <c r="A42" s="75" t="inlineStr">
        <is>
          <t>용원동 일신님</t>
        </is>
      </c>
      <c r="B42" s="76" t="inlineStr">
        <is>
          <t>05.08.</t>
        </is>
      </c>
      <c r="C42" s="131" t="n">
        <v>869</v>
      </c>
      <c r="D42" s="132" t="n">
        <v>134.1</v>
      </c>
      <c r="E42" s="133" t="n">
        <v>41</v>
      </c>
      <c r="F42" s="132" t="n">
        <v>101.7</v>
      </c>
      <c r="G42" s="17" t="n">
        <v>31</v>
      </c>
      <c r="H42" s="134" t="n">
        <v>300</v>
      </c>
      <c r="I42" s="135" t="n">
        <v>28000</v>
      </c>
      <c r="J42" s="135" t="inlineStr">
        <is>
          <t>8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n">
        <v>134</v>
      </c>
      <c r="U42" s="9" t="n"/>
    </row>
    <row r="43" ht="12" customFormat="1" customHeight="1" s="37">
      <c r="A43" s="75" t="inlineStr">
        <is>
          <t>자은동 자은프라임</t>
        </is>
      </c>
      <c r="B43" s="76" t="inlineStr">
        <is>
          <t>15.05.</t>
        </is>
      </c>
      <c r="C43" s="131" t="n">
        <v>1298</v>
      </c>
      <c r="D43" s="132" t="n">
        <v>81.09999999999999</v>
      </c>
      <c r="E43" s="133" t="n">
        <v>25</v>
      </c>
      <c r="F43" s="132" t="n">
        <v>59.9</v>
      </c>
      <c r="G43" s="17" t="n">
        <v>18</v>
      </c>
      <c r="H43" s="134" t="n">
        <v>393</v>
      </c>
      <c r="I43" s="135" t="n">
        <v>27500</v>
      </c>
      <c r="J43" s="135" t="inlineStr">
        <is>
          <t>10</t>
        </is>
      </c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81A</t>
        </is>
      </c>
      <c r="U43" s="9" t="n"/>
    </row>
    <row r="44" ht="12" customFormat="1" customHeight="1" s="37">
      <c r="A44" s="75" t="inlineStr">
        <is>
          <t>남문동 남문호반베르디움</t>
        </is>
      </c>
      <c r="B44" s="76" t="inlineStr">
        <is>
          <t>18.06.</t>
        </is>
      </c>
      <c r="C44" s="131" t="n">
        <v>944</v>
      </c>
      <c r="D44" s="132" t="n">
        <v>97.2</v>
      </c>
      <c r="E44" s="133" t="n">
        <v>29</v>
      </c>
      <c r="F44" s="132" t="n">
        <v>72</v>
      </c>
      <c r="G44" s="17" t="n">
        <v>22</v>
      </c>
      <c r="H44" s="134" t="n">
        <v>371</v>
      </c>
      <c r="I44" s="135" t="n">
        <v>27000</v>
      </c>
      <c r="J44" s="135" t="inlineStr">
        <is>
          <t>고</t>
        </is>
      </c>
      <c r="K44" s="135" t="n">
        <v>20000</v>
      </c>
      <c r="L44" s="135" t="inlineStr">
        <is>
          <t>10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97A</t>
        </is>
      </c>
      <c r="U44" s="9" t="n"/>
    </row>
    <row r="45" ht="12" customFormat="1" customHeight="1" s="37">
      <c r="A45" s="75" t="inlineStr">
        <is>
          <t>남문동 진해남문시티프라디움2차</t>
        </is>
      </c>
      <c r="B45" s="76" t="inlineStr">
        <is>
          <t>17.12.</t>
        </is>
      </c>
      <c r="C45" s="131" t="n">
        <v>876</v>
      </c>
      <c r="D45" s="132" t="n">
        <v>96.5</v>
      </c>
      <c r="E45" s="133" t="n">
        <v>29</v>
      </c>
      <c r="F45" s="132" t="n">
        <v>74.09999999999999</v>
      </c>
      <c r="G45" s="17" t="n">
        <v>22</v>
      </c>
      <c r="H45" s="134" t="n">
        <v>115</v>
      </c>
      <c r="I45" s="135" t="n">
        <v>27000</v>
      </c>
      <c r="J45" s="135" t="inlineStr">
        <is>
          <t>중</t>
        </is>
      </c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96C</t>
        </is>
      </c>
      <c r="U45" s="9" t="n"/>
    </row>
    <row r="46" ht="12" customFormat="1" customHeight="1" s="37">
      <c r="A46" s="75" t="inlineStr">
        <is>
          <t>용원동 부산신항만이지더원2단지</t>
        </is>
      </c>
      <c r="B46" s="76" t="inlineStr">
        <is>
          <t>14.10.</t>
        </is>
      </c>
      <c r="C46" s="131" t="n">
        <v>452</v>
      </c>
      <c r="D46" s="132" t="n">
        <v>112.3</v>
      </c>
      <c r="E46" s="133" t="n">
        <v>34</v>
      </c>
      <c r="F46" s="132" t="n">
        <v>84.90000000000001</v>
      </c>
      <c r="G46" s="17" t="n">
        <v>26</v>
      </c>
      <c r="H46" s="134" t="n">
        <v>340</v>
      </c>
      <c r="I46" s="135" t="n">
        <v>26500</v>
      </c>
      <c r="J46" s="135" t="inlineStr">
        <is>
          <t>중</t>
        </is>
      </c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112</v>
      </c>
      <c r="U46" s="9" t="n"/>
    </row>
    <row r="47" ht="12" customFormat="1" customHeight="1" s="37">
      <c r="A47" s="75" t="inlineStr">
        <is>
          <t>자은동 협성DS이아이존빌</t>
        </is>
      </c>
      <c r="B47" s="76" t="inlineStr">
        <is>
          <t>14.06.</t>
        </is>
      </c>
      <c r="C47" s="131" t="n">
        <v>433</v>
      </c>
      <c r="D47" s="132" t="n">
        <v>79.7</v>
      </c>
      <c r="E47" s="133" t="n">
        <v>24</v>
      </c>
      <c r="F47" s="132" t="n">
        <v>59.9</v>
      </c>
      <c r="G47" s="17" t="n">
        <v>18</v>
      </c>
      <c r="H47" s="134" t="n">
        <v>113</v>
      </c>
      <c r="I47" s="135" t="n">
        <v>26500</v>
      </c>
      <c r="J47" s="135" t="inlineStr">
        <is>
          <t>중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79A</t>
        </is>
      </c>
      <c r="U47" s="9" t="n"/>
    </row>
    <row r="48" ht="12" customFormat="1" customHeight="1" s="37">
      <c r="A48" s="75" t="inlineStr">
        <is>
          <t>용원동 부산신항만이지더원1단지</t>
        </is>
      </c>
      <c r="B48" s="76" t="inlineStr">
        <is>
          <t>14.10.</t>
        </is>
      </c>
      <c r="C48" s="131" t="n">
        <v>340</v>
      </c>
      <c r="D48" s="132" t="n">
        <v>112.3</v>
      </c>
      <c r="E48" s="133" t="n">
        <v>34</v>
      </c>
      <c r="F48" s="132" t="n">
        <v>84.90000000000001</v>
      </c>
      <c r="G48" s="17" t="n">
        <v>26</v>
      </c>
      <c r="H48" s="134" t="n">
        <v>284</v>
      </c>
      <c r="I48" s="135" t="n">
        <v>26000</v>
      </c>
      <c r="J48" s="135" t="inlineStr">
        <is>
          <t>5</t>
        </is>
      </c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112</v>
      </c>
      <c r="U48" s="9" t="n"/>
    </row>
    <row r="49" ht="12" customFormat="1" customHeight="1" s="37">
      <c r="A49" s="75" t="inlineStr">
        <is>
          <t>자은동 자은더샵</t>
        </is>
      </c>
      <c r="B49" s="76" t="inlineStr">
        <is>
          <t>05.11.</t>
        </is>
      </c>
      <c r="C49" s="131" t="n">
        <v>442</v>
      </c>
      <c r="D49" s="132" t="n">
        <v>110.1</v>
      </c>
      <c r="E49" s="133" t="n">
        <v>33</v>
      </c>
      <c r="F49" s="132" t="n">
        <v>84.40000000000001</v>
      </c>
      <c r="G49" s="17" t="n">
        <v>26</v>
      </c>
      <c r="H49" s="134" t="n">
        <v>326</v>
      </c>
      <c r="I49" s="135" t="n">
        <v>25000</v>
      </c>
      <c r="J49" s="135" t="inlineStr">
        <is>
          <t>중</t>
        </is>
      </c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110</v>
      </c>
      <c r="U49" s="9" t="n"/>
    </row>
    <row r="50" ht="12" customFormat="1" customHeight="1" s="37">
      <c r="A50" s="75" t="inlineStr">
        <is>
          <t>장천동 진해장천대동다숲</t>
        </is>
      </c>
      <c r="B50" s="76" t="inlineStr">
        <is>
          <t>07.12.</t>
        </is>
      </c>
      <c r="C50" s="131" t="n">
        <v>1264</v>
      </c>
      <c r="D50" s="132" t="n">
        <v>85.8</v>
      </c>
      <c r="E50" s="133" t="n">
        <v>26</v>
      </c>
      <c r="F50" s="132" t="n">
        <v>60</v>
      </c>
      <c r="G50" s="17" t="n">
        <v>18</v>
      </c>
      <c r="H50" s="134" t="n">
        <v>120</v>
      </c>
      <c r="I50" s="135" t="n">
        <v>25000</v>
      </c>
      <c r="J50" s="135" t="inlineStr">
        <is>
          <t>중</t>
        </is>
      </c>
      <c r="K50" s="135" t="n">
        <v>22500</v>
      </c>
      <c r="L50" s="135" t="inlineStr">
        <is>
          <t>고</t>
        </is>
      </c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85</v>
      </c>
      <c r="U50" s="9" t="n"/>
    </row>
    <row r="51" ht="12" customFormat="1" customHeight="1" s="37">
      <c r="A51" s="75" t="inlineStr">
        <is>
          <t>용원동 코아루</t>
        </is>
      </c>
      <c r="B51" s="76" t="inlineStr">
        <is>
          <t>05.09.</t>
        </is>
      </c>
      <c r="C51" s="131" t="n">
        <v>897</v>
      </c>
      <c r="D51" s="132" t="n">
        <v>112.6</v>
      </c>
      <c r="E51" s="133" t="n">
        <v>34</v>
      </c>
      <c r="F51" s="132" t="n">
        <v>84.7</v>
      </c>
      <c r="G51" s="17" t="n">
        <v>26</v>
      </c>
      <c r="H51" s="134" t="n">
        <v>597</v>
      </c>
      <c r="I51" s="135" t="n">
        <v>24000</v>
      </c>
      <c r="J51" s="135" t="inlineStr">
        <is>
          <t>고</t>
        </is>
      </c>
      <c r="K51" s="135" t="n">
        <v>22500</v>
      </c>
      <c r="L51" s="135" t="inlineStr">
        <is>
          <t>중</t>
        </is>
      </c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112A</t>
        </is>
      </c>
      <c r="U51" s="9" t="n"/>
    </row>
    <row r="52" ht="12" customFormat="1" customHeight="1" s="37">
      <c r="A52" s="75" t="inlineStr">
        <is>
          <t>경화동 포스코더샵</t>
        </is>
      </c>
      <c r="B52" s="76" t="inlineStr">
        <is>
          <t>05.11.</t>
        </is>
      </c>
      <c r="C52" s="131" t="n">
        <v>441</v>
      </c>
      <c r="D52" s="132" t="n">
        <v>111.5</v>
      </c>
      <c r="E52" s="133" t="n">
        <v>34</v>
      </c>
      <c r="F52" s="132" t="n">
        <v>84.90000000000001</v>
      </c>
      <c r="G52" s="17" t="n">
        <v>26</v>
      </c>
      <c r="H52" s="134" t="n">
        <v>351</v>
      </c>
      <c r="I52" s="135" t="n">
        <v>23500</v>
      </c>
      <c r="J52" s="135" t="inlineStr">
        <is>
          <t>고</t>
        </is>
      </c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111</v>
      </c>
      <c r="U52" s="9" t="n"/>
    </row>
    <row r="53" ht="12" customFormat="1" customHeight="1" s="37">
      <c r="A53" s="75" t="inlineStr">
        <is>
          <t>남양동 창원진해비전시티우방아이유쉘</t>
        </is>
      </c>
      <c r="B53" s="76" t="inlineStr">
        <is>
          <t>21.08.</t>
        </is>
      </c>
      <c r="C53" s="131" t="n">
        <v>564</v>
      </c>
      <c r="D53" s="132" t="n">
        <v>101.8</v>
      </c>
      <c r="E53" s="133" t="n">
        <v>31</v>
      </c>
      <c r="F53" s="132" t="n">
        <v>76.59999999999999</v>
      </c>
      <c r="G53" s="17" t="n">
        <v>23</v>
      </c>
      <c r="H53" s="134" t="n">
        <v>564</v>
      </c>
      <c r="I53" s="135" t="n">
        <v>23250</v>
      </c>
      <c r="J53" s="135" t="inlineStr">
        <is>
          <t>고</t>
        </is>
      </c>
      <c r="K53" s="135" t="n">
        <v>16500</v>
      </c>
      <c r="L53" s="135" t="inlineStr">
        <is>
          <t>11</t>
        </is>
      </c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101A</t>
        </is>
      </c>
      <c r="U53" s="9" t="n"/>
    </row>
    <row r="54" ht="12" customFormat="1" customHeight="1" s="37">
      <c r="A54" s="75" t="inlineStr">
        <is>
          <t>안골동 창원마린푸르지오2차</t>
        </is>
      </c>
      <c r="B54" s="76" t="inlineStr">
        <is>
          <t>16.10.</t>
        </is>
      </c>
      <c r="C54" s="131" t="n">
        <v>599</v>
      </c>
      <c r="D54" s="132" t="n">
        <v>82.8</v>
      </c>
      <c r="E54" s="133" t="n">
        <v>25</v>
      </c>
      <c r="F54" s="132" t="n">
        <v>59.9</v>
      </c>
      <c r="G54" s="17" t="n">
        <v>18</v>
      </c>
      <c r="H54" s="134" t="n">
        <v>63</v>
      </c>
      <c r="I54" s="135" t="n">
        <v>23000</v>
      </c>
      <c r="J54" s="135" t="inlineStr">
        <is>
          <t>5</t>
        </is>
      </c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82</v>
      </c>
      <c r="U54" s="9" t="n"/>
    </row>
    <row r="55" ht="12" customFormat="1" customHeight="1" s="37">
      <c r="A55" s="75" t="inlineStr">
        <is>
          <t>용원동 일신님</t>
        </is>
      </c>
      <c r="B55" s="76" t="inlineStr">
        <is>
          <t>05.08.</t>
        </is>
      </c>
      <c r="C55" s="131" t="n">
        <v>869</v>
      </c>
      <c r="D55" s="132" t="n">
        <v>110.2</v>
      </c>
      <c r="E55" s="133" t="n">
        <v>33</v>
      </c>
      <c r="F55" s="132" t="n">
        <v>85</v>
      </c>
      <c r="G55" s="17" t="n">
        <v>26</v>
      </c>
      <c r="H55" s="134" t="n">
        <v>479</v>
      </c>
      <c r="I55" s="135" t="n">
        <v>23000</v>
      </c>
      <c r="J55" s="135" t="inlineStr">
        <is>
          <t>5</t>
        </is>
      </c>
      <c r="K55" s="135" t="n">
        <v>22500</v>
      </c>
      <c r="L55" s="135" t="inlineStr">
        <is>
          <t>7</t>
        </is>
      </c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110</v>
      </c>
      <c r="U55" s="9" t="n"/>
    </row>
    <row r="56" ht="12" customFormat="1" customHeight="1" s="37">
      <c r="A56" s="75" t="inlineStr">
        <is>
          <t>풍호동 디에스아이존빌</t>
        </is>
      </c>
      <c r="B56" s="76" t="inlineStr">
        <is>
          <t>02.01.</t>
        </is>
      </c>
      <c r="C56" s="131" t="n">
        <v>372</v>
      </c>
      <c r="D56" s="132" t="n">
        <v>95.2</v>
      </c>
      <c r="E56" s="133" t="n">
        <v>29</v>
      </c>
      <c r="F56" s="132" t="n">
        <v>76.2</v>
      </c>
      <c r="G56" s="17" t="n">
        <v>23</v>
      </c>
      <c r="H56" s="134" t="n">
        <v>72</v>
      </c>
      <c r="I56" s="135" t="n">
        <v>23000</v>
      </c>
      <c r="J56" s="135" t="inlineStr">
        <is>
          <t>5</t>
        </is>
      </c>
      <c r="K56" s="135" t="n"/>
      <c r="L56" s="135" t="n"/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95</v>
      </c>
      <c r="U56" s="9" t="n"/>
    </row>
    <row r="57" ht="12" customFormat="1" customHeight="1" s="37">
      <c r="A57" s="75" t="inlineStr">
        <is>
          <t>경화동 대동다숲</t>
        </is>
      </c>
      <c r="B57" s="76" t="inlineStr">
        <is>
          <t>06.08.</t>
        </is>
      </c>
      <c r="C57" s="131" t="n">
        <v>408</v>
      </c>
      <c r="D57" s="132" t="n">
        <v>111.1</v>
      </c>
      <c r="E57" s="133" t="n">
        <v>34</v>
      </c>
      <c r="F57" s="132" t="n">
        <v>85</v>
      </c>
      <c r="G57" s="17" t="n">
        <v>26</v>
      </c>
      <c r="H57" s="134" t="n">
        <v>378</v>
      </c>
      <c r="I57" s="135" t="n">
        <v>22500</v>
      </c>
      <c r="J57" s="135" t="inlineStr">
        <is>
          <t>고</t>
        </is>
      </c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111</v>
      </c>
      <c r="U57" s="9" t="n"/>
    </row>
    <row r="58" ht="12" customFormat="1" customHeight="1" s="37">
      <c r="A58" s="75" t="inlineStr">
        <is>
          <t>석동 벚꽃그린빌주공4단지</t>
        </is>
      </c>
      <c r="B58" s="76" t="inlineStr">
        <is>
          <t>03.07.</t>
        </is>
      </c>
      <c r="C58" s="131" t="n">
        <v>397</v>
      </c>
      <c r="D58" s="132" t="n">
        <v>75.90000000000001</v>
      </c>
      <c r="E58" s="133" t="n">
        <v>23</v>
      </c>
      <c r="F58" s="132" t="n">
        <v>59.8</v>
      </c>
      <c r="G58" s="17" t="n">
        <v>18</v>
      </c>
      <c r="H58" s="134" t="n">
        <v>132</v>
      </c>
      <c r="I58" s="135" t="n">
        <v>22000</v>
      </c>
      <c r="J58" s="135" t="inlineStr">
        <is>
          <t>중</t>
        </is>
      </c>
      <c r="K58" s="135" t="n"/>
      <c r="L58" s="135" t="n"/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21" t="n">
        <v>3</v>
      </c>
      <c r="R58" s="121" t="n">
        <v>1</v>
      </c>
      <c r="S58" s="121" t="inlineStr">
        <is>
          <t>계</t>
        </is>
      </c>
      <c r="T58" s="5" t="n">
        <v>75</v>
      </c>
      <c r="U58" s="9" t="n"/>
    </row>
    <row r="59" ht="12" customFormat="1" customHeight="1" s="37">
      <c r="A59" s="75" t="inlineStr">
        <is>
          <t>자은동 진해자은벚꽃주공</t>
        </is>
      </c>
      <c r="B59" s="76" t="inlineStr">
        <is>
          <t>00.08.</t>
        </is>
      </c>
      <c r="C59" s="131" t="n">
        <v>600</v>
      </c>
      <c r="D59" s="132" t="n">
        <v>101.3</v>
      </c>
      <c r="E59" s="133" t="n">
        <v>31</v>
      </c>
      <c r="F59" s="132" t="n">
        <v>75.59999999999999</v>
      </c>
      <c r="G59" s="17" t="n">
        <v>23</v>
      </c>
      <c r="H59" s="134" t="n">
        <v>72</v>
      </c>
      <c r="I59" s="135" t="n">
        <v>22000</v>
      </c>
      <c r="J59" s="135" t="inlineStr">
        <is>
          <t>7</t>
        </is>
      </c>
      <c r="K59" s="135" t="n"/>
      <c r="L59" s="135" t="n"/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101A</t>
        </is>
      </c>
      <c r="U59" s="9" t="n"/>
    </row>
    <row r="60" ht="12" customFormat="1" customHeight="1" s="37">
      <c r="A60" s="75" t="inlineStr">
        <is>
          <t>풍호동 우성</t>
        </is>
      </c>
      <c r="B60" s="76" t="inlineStr">
        <is>
          <t>93.12.</t>
        </is>
      </c>
      <c r="C60" s="131" t="n">
        <v>1763</v>
      </c>
      <c r="D60" s="132" t="n">
        <v>103.5</v>
      </c>
      <c r="E60" s="133" t="n">
        <v>31</v>
      </c>
      <c r="F60" s="132" t="n">
        <v>84.8</v>
      </c>
      <c r="G60" s="17" t="n">
        <v>26</v>
      </c>
      <c r="H60" s="134" t="n">
        <v>785</v>
      </c>
      <c r="I60" s="135" t="n">
        <v>21000</v>
      </c>
      <c r="J60" s="135" t="inlineStr">
        <is>
          <t>5</t>
        </is>
      </c>
      <c r="K60" s="135" t="n">
        <v>18000</v>
      </c>
      <c r="L60" s="135" t="inlineStr">
        <is>
          <t>10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103</v>
      </c>
      <c r="U60" s="9" t="n"/>
    </row>
    <row r="61" ht="12" customFormat="1" customHeight="1" s="37">
      <c r="A61" s="75" t="inlineStr">
        <is>
          <t>남문동 시티프라디움1차</t>
        </is>
      </c>
      <c r="B61" s="76" t="inlineStr">
        <is>
          <t>17.04.</t>
        </is>
      </c>
      <c r="C61" s="131" t="n">
        <v>1103</v>
      </c>
      <c r="D61" s="132" t="n">
        <v>83.90000000000001</v>
      </c>
      <c r="E61" s="133" t="n">
        <v>25</v>
      </c>
      <c r="F61" s="132" t="n">
        <v>60</v>
      </c>
      <c r="G61" s="17" t="n">
        <v>18</v>
      </c>
      <c r="H61" s="134" t="n">
        <v>430</v>
      </c>
      <c r="I61" s="135" t="n">
        <v>20500</v>
      </c>
      <c r="J61" s="135" t="inlineStr">
        <is>
          <t>고</t>
        </is>
      </c>
      <c r="K61" s="135" t="n">
        <v>17000</v>
      </c>
      <c r="L61" s="135" t="inlineStr">
        <is>
          <t>중</t>
        </is>
      </c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83A</t>
        </is>
      </c>
      <c r="U61" s="9" t="n"/>
    </row>
    <row r="62" ht="12" customFormat="1" customHeight="1" s="37">
      <c r="A62" s="75" t="inlineStr">
        <is>
          <t>풍호동 디에스아이존빌</t>
        </is>
      </c>
      <c r="B62" s="76" t="inlineStr">
        <is>
          <t>02.01.</t>
        </is>
      </c>
      <c r="C62" s="131" t="n">
        <v>372</v>
      </c>
      <c r="D62" s="132" t="n">
        <v>103.1</v>
      </c>
      <c r="E62" s="133" t="n">
        <v>31</v>
      </c>
      <c r="F62" s="132" t="n">
        <v>84.59999999999999</v>
      </c>
      <c r="G62" s="17" t="n">
        <v>26</v>
      </c>
      <c r="H62" s="134" t="n">
        <v>120</v>
      </c>
      <c r="I62" s="135" t="n">
        <v>20500</v>
      </c>
      <c r="J62" s="135" t="inlineStr">
        <is>
          <t>중</t>
        </is>
      </c>
      <c r="K62" s="135" t="n"/>
      <c r="L62" s="135" t="n"/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103</v>
      </c>
      <c r="U62" s="9" t="n"/>
    </row>
    <row r="63" ht="12" customFormat="1" customHeight="1" s="37">
      <c r="A63" s="75" t="inlineStr">
        <is>
          <t>용원동 부산신항만이지더원1단지</t>
        </is>
      </c>
      <c r="B63" s="76" t="inlineStr">
        <is>
          <t>14.10.</t>
        </is>
      </c>
      <c r="C63" s="131" t="n">
        <v>340</v>
      </c>
      <c r="D63" s="132" t="n">
        <v>80.40000000000001</v>
      </c>
      <c r="E63" s="133" t="n">
        <v>24</v>
      </c>
      <c r="F63" s="132" t="n">
        <v>59.9</v>
      </c>
      <c r="G63" s="17" t="n">
        <v>18</v>
      </c>
      <c r="H63" s="134" t="n">
        <v>56</v>
      </c>
      <c r="I63" s="135" t="n">
        <v>20000</v>
      </c>
      <c r="J63" s="135" t="inlineStr">
        <is>
          <t>9</t>
        </is>
      </c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80</v>
      </c>
      <c r="U63" s="9" t="n"/>
    </row>
    <row r="64" ht="12" customFormat="1" customHeight="1" s="37">
      <c r="A64" s="75" t="inlineStr">
        <is>
          <t>마천동 진해신항만경남아너스빌</t>
        </is>
      </c>
      <c r="B64" s="76" t="inlineStr">
        <is>
          <t>08.08.</t>
        </is>
      </c>
      <c r="C64" s="131" t="n">
        <v>468</v>
      </c>
      <c r="D64" s="132" t="n">
        <v>114.4</v>
      </c>
      <c r="E64" s="133" t="n">
        <v>35</v>
      </c>
      <c r="F64" s="132" t="n">
        <v>84.8</v>
      </c>
      <c r="G64" s="17" t="n">
        <v>26</v>
      </c>
      <c r="H64" s="134" t="n">
        <v>288</v>
      </c>
      <c r="I64" s="135" t="n">
        <v>18500</v>
      </c>
      <c r="J64" s="135" t="inlineStr">
        <is>
          <t>고</t>
        </is>
      </c>
      <c r="K64" s="135" t="n"/>
      <c r="L64" s="135" t="n"/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n">
        <v>114</v>
      </c>
      <c r="U64" s="9" t="n"/>
    </row>
    <row r="65" ht="12" customFormat="1" customHeight="1" s="37">
      <c r="A65" s="75" t="inlineStr">
        <is>
          <t>풍호동 우성</t>
        </is>
      </c>
      <c r="B65" s="76" t="inlineStr">
        <is>
          <t>93.12.</t>
        </is>
      </c>
      <c r="C65" s="131" t="n">
        <v>1763</v>
      </c>
      <c r="D65" s="132" t="n">
        <v>86.7</v>
      </c>
      <c r="E65" s="133" t="n">
        <v>26</v>
      </c>
      <c r="F65" s="132" t="n">
        <v>69.59999999999999</v>
      </c>
      <c r="G65" s="17" t="n">
        <v>21</v>
      </c>
      <c r="H65" s="134" t="n">
        <v>114</v>
      </c>
      <c r="I65" s="135" t="n">
        <v>18500</v>
      </c>
      <c r="J65" s="135" t="inlineStr">
        <is>
          <t>중</t>
        </is>
      </c>
      <c r="K65" s="135" t="n"/>
      <c r="L65" s="135" t="n"/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n">
        <v>86</v>
      </c>
      <c r="U65" s="9" t="n"/>
    </row>
    <row r="66" ht="12" customFormat="1" customHeight="1" s="37">
      <c r="A66" s="75" t="inlineStr">
        <is>
          <t>남양동 남양에스티엑스칸</t>
        </is>
      </c>
      <c r="B66" s="76" t="inlineStr">
        <is>
          <t>09.02.</t>
        </is>
      </c>
      <c r="C66" s="131" t="n">
        <v>385</v>
      </c>
      <c r="D66" s="132" t="n">
        <v>111.4</v>
      </c>
      <c r="E66" s="133" t="n">
        <v>34</v>
      </c>
      <c r="F66" s="132" t="n">
        <v>85</v>
      </c>
      <c r="G66" s="17" t="n">
        <v>26</v>
      </c>
      <c r="H66" s="134" t="n">
        <v>347</v>
      </c>
      <c r="I66" s="135" t="n">
        <v>18300</v>
      </c>
      <c r="J66" s="135" t="inlineStr">
        <is>
          <t>고</t>
        </is>
      </c>
      <c r="K66" s="135" t="n">
        <v>13500</v>
      </c>
      <c r="L66" s="135" t="inlineStr">
        <is>
          <t>중</t>
        </is>
      </c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111A</t>
        </is>
      </c>
      <c r="U66" s="9" t="n"/>
    </row>
    <row r="67" ht="12" customFormat="1" customHeight="1" s="37">
      <c r="A67" s="75" t="inlineStr">
        <is>
          <t>용원동 현대</t>
        </is>
      </c>
      <c r="B67" s="76" t="inlineStr">
        <is>
          <t>98.12.</t>
        </is>
      </c>
      <c r="C67" s="131" t="n">
        <v>508</v>
      </c>
      <c r="D67" s="132" t="n">
        <v>104.8</v>
      </c>
      <c r="E67" s="133" t="n">
        <v>32</v>
      </c>
      <c r="F67" s="132" t="n">
        <v>85</v>
      </c>
      <c r="G67" s="17" t="n">
        <v>26</v>
      </c>
      <c r="H67" s="134" t="n">
        <v>508</v>
      </c>
      <c r="I67" s="135" t="n">
        <v>17000</v>
      </c>
      <c r="J67" s="135" t="inlineStr">
        <is>
          <t>고</t>
        </is>
      </c>
      <c r="K67" s="135" t="n"/>
      <c r="L67" s="135" t="n"/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104</v>
      </c>
      <c r="U67" s="9" t="n"/>
    </row>
    <row r="68" ht="12" customFormat="1" customHeight="1" s="37">
      <c r="A68" s="75" t="inlineStr">
        <is>
          <t>풍호동 디에스아이존빌</t>
        </is>
      </c>
      <c r="B68" s="76" t="inlineStr">
        <is>
          <t>02.01.</t>
        </is>
      </c>
      <c r="C68" s="131" t="n">
        <v>372</v>
      </c>
      <c r="D68" s="132" t="n">
        <v>78.59999999999999</v>
      </c>
      <c r="E68" s="133" t="n">
        <v>24</v>
      </c>
      <c r="F68" s="132" t="n">
        <v>60</v>
      </c>
      <c r="G68" s="17" t="n">
        <v>18</v>
      </c>
      <c r="H68" s="134" t="n">
        <v>132</v>
      </c>
      <c r="I68" s="135" t="n">
        <v>17000</v>
      </c>
      <c r="J68" s="135" t="inlineStr">
        <is>
          <t>5</t>
        </is>
      </c>
      <c r="K68" s="135" t="n"/>
      <c r="L68" s="135" t="n"/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n">
        <v>78</v>
      </c>
      <c r="U68" s="9" t="n"/>
    </row>
    <row r="69" ht="12" customFormat="1" customHeight="1" s="37">
      <c r="A69" s="75" t="inlineStr">
        <is>
          <t>풍호동 우성</t>
        </is>
      </c>
      <c r="B69" s="76" t="inlineStr">
        <is>
          <t>93.12.</t>
        </is>
      </c>
      <c r="C69" s="131" t="n">
        <v>1763</v>
      </c>
      <c r="D69" s="132" t="n">
        <v>79.90000000000001</v>
      </c>
      <c r="E69" s="133" t="n">
        <v>24</v>
      </c>
      <c r="F69" s="132" t="n">
        <v>59.9</v>
      </c>
      <c r="G69" s="17" t="n">
        <v>18</v>
      </c>
      <c r="H69" s="134" t="n">
        <v>548</v>
      </c>
      <c r="I69" s="135" t="n">
        <v>13800</v>
      </c>
      <c r="J69" s="135" t="inlineStr">
        <is>
          <t>5</t>
        </is>
      </c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21" t="n">
        <v>2</v>
      </c>
      <c r="R69" s="121" t="n">
        <v>1</v>
      </c>
      <c r="S69" s="121" t="inlineStr">
        <is>
          <t>계</t>
        </is>
      </c>
      <c r="T69" s="5" t="n">
        <v>79</v>
      </c>
      <c r="U69" s="9" t="n"/>
    </row>
    <row r="70" ht="12" customFormat="1" customHeight="1" s="37">
      <c r="A70" s="75" t="inlineStr">
        <is>
          <t>자은동 삼성</t>
        </is>
      </c>
      <c r="B70" s="76" t="inlineStr">
        <is>
          <t>93.07.</t>
        </is>
      </c>
      <c r="C70" s="131" t="n">
        <v>370</v>
      </c>
      <c r="D70" s="132" t="n">
        <v>81.5</v>
      </c>
      <c r="E70" s="133" t="n">
        <v>25</v>
      </c>
      <c r="F70" s="132" t="n">
        <v>59.9</v>
      </c>
      <c r="G70" s="17" t="n">
        <v>18</v>
      </c>
      <c r="H70" s="134" t="n">
        <v>270</v>
      </c>
      <c r="I70" s="135" t="n">
        <v>13600</v>
      </c>
      <c r="J70" s="135" t="inlineStr">
        <is>
          <t>10</t>
        </is>
      </c>
      <c r="K70" s="135" t="n">
        <v>11500</v>
      </c>
      <c r="L70" s="135" t="inlineStr">
        <is>
          <t>8</t>
        </is>
      </c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21" t="n">
        <v>3</v>
      </c>
      <c r="R70" s="121" t="n">
        <v>1</v>
      </c>
      <c r="S70" s="121" t="inlineStr">
        <is>
          <t>계</t>
        </is>
      </c>
      <c r="T70" s="5" t="n">
        <v>81</v>
      </c>
      <c r="U70" s="9" t="n"/>
    </row>
    <row r="71" ht="12" customFormat="1" customHeight="1" s="37">
      <c r="A71" s="75" t="inlineStr">
        <is>
          <t>풍호동 풍호시영</t>
        </is>
      </c>
      <c r="B71" s="76" t="inlineStr">
        <is>
          <t>91.01.</t>
        </is>
      </c>
      <c r="C71" s="131" t="n">
        <v>460</v>
      </c>
      <c r="D71" s="132" t="n">
        <v>58.8</v>
      </c>
      <c r="E71" s="133" t="n">
        <v>18</v>
      </c>
      <c r="F71" s="132" t="n">
        <v>49.8</v>
      </c>
      <c r="G71" s="17" t="n">
        <v>15</v>
      </c>
      <c r="H71" s="134" t="n">
        <v>460</v>
      </c>
      <c r="I71" s="135" t="n">
        <v>13200</v>
      </c>
      <c r="J71" s="135" t="inlineStr">
        <is>
          <t>5</t>
        </is>
      </c>
      <c r="K71" s="135" t="n">
        <v>9000</v>
      </c>
      <c r="L71" s="135" t="inlineStr">
        <is>
          <t>5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21" t="n">
        <v>2</v>
      </c>
      <c r="R71" s="121" t="n">
        <v>1</v>
      </c>
      <c r="S71" s="121" t="inlineStr">
        <is>
          <t>계</t>
        </is>
      </c>
      <c r="T71" s="5" t="n">
        <v>58</v>
      </c>
      <c r="U71" s="9" t="n"/>
    </row>
    <row r="72" ht="12" customFormat="1" customHeight="1" s="37">
      <c r="A72" s="75" t="inlineStr">
        <is>
          <t>석동 주공</t>
        </is>
      </c>
      <c r="B72" s="76" t="inlineStr">
        <is>
          <t>91.11.</t>
        </is>
      </c>
      <c r="C72" s="131" t="n">
        <v>750</v>
      </c>
      <c r="D72" s="132" t="n">
        <v>54.8</v>
      </c>
      <c r="E72" s="133" t="n">
        <v>17</v>
      </c>
      <c r="F72" s="132" t="n">
        <v>42.5</v>
      </c>
      <c r="G72" s="17" t="n">
        <v>13</v>
      </c>
      <c r="H72" s="134" t="n">
        <v>302</v>
      </c>
      <c r="I72" s="135" t="n">
        <v>13000</v>
      </c>
      <c r="J72" s="135" t="inlineStr">
        <is>
          <t>고</t>
        </is>
      </c>
      <c r="K72" s="135" t="n">
        <v>8200</v>
      </c>
      <c r="L72" s="135" t="inlineStr">
        <is>
          <t>5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21" t="n">
        <v>2</v>
      </c>
      <c r="R72" s="121" t="n">
        <v>1</v>
      </c>
      <c r="S72" s="121" t="inlineStr">
        <is>
          <t>계</t>
        </is>
      </c>
      <c r="T72" s="5" t="inlineStr">
        <is>
          <t>54A</t>
        </is>
      </c>
      <c r="U72" s="9" t="n"/>
    </row>
    <row r="73" ht="12" customFormat="1" customHeight="1" s="37">
      <c r="A73" s="75" t="inlineStr">
        <is>
          <t>청안동 부영3차</t>
        </is>
      </c>
      <c r="B73" s="76" t="inlineStr">
        <is>
          <t>03.02.</t>
        </is>
      </c>
      <c r="C73" s="131" t="n">
        <v>1275</v>
      </c>
      <c r="D73" s="132" t="n">
        <v>78.2</v>
      </c>
      <c r="E73" s="133" t="n">
        <v>24</v>
      </c>
      <c r="F73" s="132" t="n">
        <v>59.8</v>
      </c>
      <c r="G73" s="17" t="n">
        <v>18</v>
      </c>
      <c r="H73" s="134" t="n">
        <v>570</v>
      </c>
      <c r="I73" s="135" t="n">
        <v>13000</v>
      </c>
      <c r="J73" s="135" t="inlineStr">
        <is>
          <t>12</t>
        </is>
      </c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78</v>
      </c>
      <c r="U73" s="9" t="n"/>
    </row>
    <row r="74" ht="12" customFormat="1" customHeight="1" s="37">
      <c r="A74" s="75" t="inlineStr">
        <is>
          <t>풍호동 주공</t>
        </is>
      </c>
      <c r="B74" s="76" t="inlineStr">
        <is>
          <t>90.08.</t>
        </is>
      </c>
      <c r="C74" s="131" t="n">
        <v>390</v>
      </c>
      <c r="D74" s="132" t="n">
        <v>57.9</v>
      </c>
      <c r="E74" s="133" t="n">
        <v>18</v>
      </c>
      <c r="F74" s="132" t="n">
        <v>47</v>
      </c>
      <c r="G74" s="17" t="n">
        <v>14</v>
      </c>
      <c r="H74" s="134" t="n">
        <v>60</v>
      </c>
      <c r="I74" s="135" t="n">
        <v>12500</v>
      </c>
      <c r="J74" s="135" t="inlineStr">
        <is>
          <t>중</t>
        </is>
      </c>
      <c r="K74" s="135" t="n">
        <v>7400</v>
      </c>
      <c r="L74" s="135" t="inlineStr">
        <is>
          <t>5</t>
        </is>
      </c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21" t="n">
        <v>2</v>
      </c>
      <c r="R74" s="121" t="n">
        <v>1</v>
      </c>
      <c r="S74" s="121" t="inlineStr">
        <is>
          <t>계</t>
        </is>
      </c>
      <c r="T74" s="5" t="inlineStr">
        <is>
          <t>57S</t>
        </is>
      </c>
      <c r="U74" s="9" t="n"/>
    </row>
    <row r="75" ht="12" customFormat="1" customHeight="1" s="37">
      <c r="A75" s="75" t="inlineStr">
        <is>
          <t>청안동 부영2차</t>
        </is>
      </c>
      <c r="B75" s="76" t="inlineStr">
        <is>
          <t>02.05.</t>
        </is>
      </c>
      <c r="C75" s="131" t="n">
        <v>440</v>
      </c>
      <c r="D75" s="132" t="n">
        <v>77.8</v>
      </c>
      <c r="E75" s="133" t="n">
        <v>24</v>
      </c>
      <c r="F75" s="132" t="n">
        <v>59.8</v>
      </c>
      <c r="G75" s="17" t="n">
        <v>18</v>
      </c>
      <c r="H75" s="134" t="n">
        <v>440</v>
      </c>
      <c r="I75" s="135" t="n">
        <v>12000</v>
      </c>
      <c r="J75" s="135" t="inlineStr">
        <is>
          <t>13</t>
        </is>
      </c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77</v>
      </c>
      <c r="U75" s="9" t="n"/>
    </row>
    <row r="76" ht="12" customFormat="1" customHeight="1" s="37">
      <c r="A76" s="75" t="inlineStr">
        <is>
          <t>청안동 해인로즈빌</t>
        </is>
      </c>
      <c r="B76" s="76" t="inlineStr">
        <is>
          <t>02.04.</t>
        </is>
      </c>
      <c r="C76" s="131" t="n">
        <v>1140</v>
      </c>
      <c r="D76" s="132" t="n">
        <v>79</v>
      </c>
      <c r="E76" s="133" t="n">
        <v>24</v>
      </c>
      <c r="F76" s="132" t="n">
        <v>60</v>
      </c>
      <c r="G76" s="17" t="n">
        <v>18</v>
      </c>
      <c r="H76" s="134" t="n">
        <v>690</v>
      </c>
      <c r="I76" s="135" t="n">
        <v>12000</v>
      </c>
      <c r="J76" s="135" t="inlineStr">
        <is>
          <t>13</t>
        </is>
      </c>
      <c r="K76" s="135" t="n">
        <v>12500</v>
      </c>
      <c r="L76" s="135" t="inlineStr">
        <is>
          <t>중</t>
        </is>
      </c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inlineStr">
        <is>
          <t>78A</t>
        </is>
      </c>
      <c r="U76" s="9" t="n"/>
    </row>
    <row r="77" ht="12" customFormat="1" customHeight="1" s="37">
      <c r="A77" s="75" t="inlineStr">
        <is>
          <t>청안동 풍림</t>
        </is>
      </c>
      <c r="B77" s="76" t="inlineStr">
        <is>
          <t>00.12.</t>
        </is>
      </c>
      <c r="C77" s="131" t="n">
        <v>1170</v>
      </c>
      <c r="D77" s="132" t="n">
        <v>76.90000000000001</v>
      </c>
      <c r="E77" s="133" t="n">
        <v>23</v>
      </c>
      <c r="F77" s="132" t="n">
        <v>60</v>
      </c>
      <c r="G77" s="17" t="n">
        <v>18</v>
      </c>
      <c r="H77" s="134" t="n">
        <v>1170</v>
      </c>
      <c r="I77" s="135" t="n">
        <v>11500</v>
      </c>
      <c r="J77" s="135" t="inlineStr">
        <is>
          <t>11</t>
        </is>
      </c>
      <c r="K77" s="135" t="n">
        <v>12000</v>
      </c>
      <c r="L77" s="135" t="inlineStr">
        <is>
          <t>11</t>
        </is>
      </c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n">
        <v>76</v>
      </c>
      <c r="U77" s="9" t="n"/>
    </row>
    <row r="78" ht="12" customFormat="1" customHeight="1" s="37">
      <c r="A78" s="75" t="inlineStr">
        <is>
          <t>자은동 삼성</t>
        </is>
      </c>
      <c r="B78" s="76" t="inlineStr">
        <is>
          <t>93.07.</t>
        </is>
      </c>
      <c r="C78" s="131" t="n">
        <v>370</v>
      </c>
      <c r="D78" s="132" t="n">
        <v>68.5</v>
      </c>
      <c r="E78" s="133" t="n">
        <v>21</v>
      </c>
      <c r="F78" s="132" t="n">
        <v>49.1</v>
      </c>
      <c r="G78" s="17" t="n">
        <v>15</v>
      </c>
      <c r="H78" s="134" t="n">
        <v>100</v>
      </c>
      <c r="I78" s="135" t="n">
        <v>11000</v>
      </c>
      <c r="J78" s="135" t="inlineStr">
        <is>
          <t>고</t>
        </is>
      </c>
      <c r="K78" s="135" t="n"/>
      <c r="L78" s="135" t="n"/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21" t="n">
        <v>2</v>
      </c>
      <c r="R78" s="121" t="n">
        <v>1</v>
      </c>
      <c r="S78" s="121" t="inlineStr">
        <is>
          <t>계</t>
        </is>
      </c>
      <c r="T78" s="5" t="n">
        <v>68</v>
      </c>
      <c r="U78" s="9" t="n"/>
    </row>
    <row r="79" ht="12" customFormat="1" customHeight="1" s="37">
      <c r="A79" s="75" t="inlineStr">
        <is>
          <t>경화동 경화주공</t>
        </is>
      </c>
      <c r="B79" s="76" t="inlineStr">
        <is>
          <t>86.11.</t>
        </is>
      </c>
      <c r="C79" s="131" t="n">
        <v>420</v>
      </c>
      <c r="D79" s="132" t="n">
        <v>45.1</v>
      </c>
      <c r="E79" s="133" t="n">
        <v>14</v>
      </c>
      <c r="F79" s="132" t="n">
        <v>39.7</v>
      </c>
      <c r="G79" s="17" t="n">
        <v>12</v>
      </c>
      <c r="H79" s="134" t="n">
        <v>200</v>
      </c>
      <c r="I79" s="135" t="n">
        <v>10600</v>
      </c>
      <c r="J79" s="135" t="inlineStr">
        <is>
          <t>고</t>
        </is>
      </c>
      <c r="K79" s="135" t="n">
        <v>7500</v>
      </c>
      <c r="L79" s="135" t="inlineStr">
        <is>
          <t>5</t>
        </is>
      </c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21" t="n">
        <v>2</v>
      </c>
      <c r="R79" s="121" t="n">
        <v>1</v>
      </c>
      <c r="S79" s="121" t="inlineStr">
        <is>
          <t>계</t>
        </is>
      </c>
      <c r="T79" s="5" t="n">
        <v>45</v>
      </c>
      <c r="U79" s="9" t="n"/>
    </row>
    <row r="80" ht="12" customFormat="1" customHeight="1" s="37">
      <c r="A80" s="75" t="inlineStr">
        <is>
          <t>자은동 성원</t>
        </is>
      </c>
      <c r="B80" s="76" t="inlineStr">
        <is>
          <t>95.09.</t>
        </is>
      </c>
      <c r="C80" s="131" t="n">
        <v>650</v>
      </c>
      <c r="D80" s="132" t="n">
        <v>52.4</v>
      </c>
      <c r="E80" s="133" t="n">
        <v>16</v>
      </c>
      <c r="F80" s="132" t="n">
        <v>39.8</v>
      </c>
      <c r="G80" s="17" t="n">
        <v>12</v>
      </c>
      <c r="H80" s="134" t="n">
        <v>650</v>
      </c>
      <c r="I80" s="135" t="n">
        <v>10600</v>
      </c>
      <c r="J80" s="135" t="inlineStr">
        <is>
          <t>5</t>
        </is>
      </c>
      <c r="K80" s="135" t="n">
        <v>8000</v>
      </c>
      <c r="L80" s="135" t="inlineStr">
        <is>
          <t>5</t>
        </is>
      </c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21" t="n">
        <v>2</v>
      </c>
      <c r="R80" s="121" t="n">
        <v>1</v>
      </c>
      <c r="S80" s="121" t="inlineStr">
        <is>
          <t>복</t>
        </is>
      </c>
      <c r="T80" s="5" t="n">
        <v>52</v>
      </c>
      <c r="U80" s="9" t="n"/>
    </row>
    <row r="81" ht="12" customFormat="1" customHeight="1" s="37">
      <c r="A81" s="75" t="inlineStr">
        <is>
          <t>마천동 남명플럼빌리지</t>
        </is>
      </c>
      <c r="B81" s="76" t="inlineStr">
        <is>
          <t>04.03.</t>
        </is>
      </c>
      <c r="C81" s="131" t="n">
        <v>498</v>
      </c>
      <c r="D81" s="132" t="n">
        <v>79.40000000000001</v>
      </c>
      <c r="E81" s="133" t="n">
        <v>24</v>
      </c>
      <c r="F81" s="132" t="n">
        <v>59.9</v>
      </c>
      <c r="G81" s="17" t="n">
        <v>18</v>
      </c>
      <c r="H81" s="134" t="n">
        <v>390</v>
      </c>
      <c r="I81" s="135" t="n">
        <v>10000</v>
      </c>
      <c r="J81" s="135" t="inlineStr">
        <is>
          <t>10</t>
        </is>
      </c>
      <c r="K81" s="135" t="n"/>
      <c r="L81" s="135" t="n"/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n">
        <v>79</v>
      </c>
      <c r="U81" s="9" t="n"/>
    </row>
    <row r="82" ht="12" customFormat="1" customHeight="1" s="37">
      <c r="A82" s="75" t="inlineStr">
        <is>
          <t>석동 주공</t>
        </is>
      </c>
      <c r="B82" s="76" t="inlineStr">
        <is>
          <t>91.11.</t>
        </is>
      </c>
      <c r="C82" s="131" t="n">
        <v>750</v>
      </c>
      <c r="D82" s="132" t="n">
        <v>42.4</v>
      </c>
      <c r="E82" s="133" t="n">
        <v>13</v>
      </c>
      <c r="F82" s="132" t="n">
        <v>32.8</v>
      </c>
      <c r="G82" s="17" t="n">
        <v>10</v>
      </c>
      <c r="H82" s="134" t="n">
        <v>327</v>
      </c>
      <c r="I82" s="135" t="n">
        <v>9500</v>
      </c>
      <c r="J82" s="135" t="inlineStr">
        <is>
          <t>5</t>
        </is>
      </c>
      <c r="K82" s="135" t="n"/>
      <c r="L82" s="135" t="n"/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21" t="n">
        <v>2</v>
      </c>
      <c r="R82" s="121" t="n">
        <v>1</v>
      </c>
      <c r="S82" s="121" t="inlineStr">
        <is>
          <t>계</t>
        </is>
      </c>
      <c r="T82" s="5" t="n">
        <v>42</v>
      </c>
      <c r="U82" s="9" t="n"/>
    </row>
    <row r="83" ht="12" customFormat="1" customHeight="1" s="37">
      <c r="A83" s="75" t="inlineStr">
        <is>
          <t>풍호동 주공</t>
        </is>
      </c>
      <c r="B83" s="76" t="inlineStr">
        <is>
          <t>90.08.</t>
        </is>
      </c>
      <c r="C83" s="131" t="n">
        <v>390</v>
      </c>
      <c r="D83" s="132" t="n">
        <v>49.5</v>
      </c>
      <c r="E83" s="133" t="n">
        <v>15</v>
      </c>
      <c r="F83" s="132" t="n">
        <v>39.3</v>
      </c>
      <c r="G83" s="17" t="n">
        <v>12</v>
      </c>
      <c r="H83" s="134" t="n">
        <v>150</v>
      </c>
      <c r="I83" s="135" t="n">
        <v>9500</v>
      </c>
      <c r="J83" s="135" t="inlineStr">
        <is>
          <t>고</t>
        </is>
      </c>
      <c r="K83" s="135" t="n">
        <v>6800</v>
      </c>
      <c r="L83" s="135" t="inlineStr">
        <is>
          <t>5</t>
        </is>
      </c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21" t="n">
        <v>2</v>
      </c>
      <c r="R83" s="121" t="n">
        <v>1</v>
      </c>
      <c r="S83" s="121" t="inlineStr">
        <is>
          <t>계</t>
        </is>
      </c>
      <c r="T83" s="5" t="n">
        <v>49</v>
      </c>
      <c r="U83" s="9" t="n"/>
    </row>
    <row r="84" ht="12" customFormat="1" customHeight="1" s="37">
      <c r="A84" s="75" t="inlineStr">
        <is>
          <t>경화동 경화주공</t>
        </is>
      </c>
      <c r="B84" s="76" t="inlineStr">
        <is>
          <t>86.11.</t>
        </is>
      </c>
      <c r="C84" s="131" t="n">
        <v>420</v>
      </c>
      <c r="D84" s="132" t="n">
        <v>37.4</v>
      </c>
      <c r="E84" s="133" t="n">
        <v>11</v>
      </c>
      <c r="F84" s="132" t="n">
        <v>32</v>
      </c>
      <c r="G84" s="17" t="n">
        <v>10</v>
      </c>
      <c r="H84" s="134" t="n">
        <v>220</v>
      </c>
      <c r="I84" s="135" t="n">
        <v>9000</v>
      </c>
      <c r="J84" s="135" t="inlineStr">
        <is>
          <t>고</t>
        </is>
      </c>
      <c r="K84" s="135" t="n">
        <v>3500</v>
      </c>
      <c r="L84" s="135" t="inlineStr">
        <is>
          <t>5</t>
        </is>
      </c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21" t="n">
        <v>2</v>
      </c>
      <c r="R84" s="121" t="n">
        <v>1</v>
      </c>
      <c r="S84" s="121" t="inlineStr">
        <is>
          <t>계</t>
        </is>
      </c>
      <c r="T84" s="5" t="n">
        <v>37</v>
      </c>
      <c r="U84" s="9" t="n"/>
    </row>
    <row r="85" ht="12" customFormat="1" customHeight="1" s="37">
      <c r="A85" s="75" t="inlineStr">
        <is>
          <t>청안동 부영3차</t>
        </is>
      </c>
      <c r="B85" s="76" t="inlineStr">
        <is>
          <t>03.02.</t>
        </is>
      </c>
      <c r="C85" s="131" t="n">
        <v>1275</v>
      </c>
      <c r="D85" s="132" t="n">
        <v>68</v>
      </c>
      <c r="E85" s="133" t="n">
        <v>21</v>
      </c>
      <c r="F85" s="132" t="n">
        <v>49.8</v>
      </c>
      <c r="G85" s="17" t="n">
        <v>15</v>
      </c>
      <c r="H85" s="134" t="n">
        <v>705</v>
      </c>
      <c r="I85" s="135" t="n">
        <v>8000</v>
      </c>
      <c r="J85" s="135" t="inlineStr">
        <is>
          <t>6</t>
        </is>
      </c>
      <c r="K85" s="135" t="n">
        <v>8000</v>
      </c>
      <c r="L85" s="135" t="inlineStr">
        <is>
          <t>15</t>
        </is>
      </c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21" t="n">
        <v>2</v>
      </c>
      <c r="R85" s="121" t="n">
        <v>1</v>
      </c>
      <c r="S85" s="121" t="inlineStr">
        <is>
          <t>복</t>
        </is>
      </c>
      <c r="T85" s="5" t="n">
        <v>67</v>
      </c>
      <c r="U85" s="9" t="n"/>
    </row>
    <row r="86" ht="12" customFormat="1" customHeight="1" s="37">
      <c r="A86" s="75" t="inlineStr">
        <is>
          <t>경화동 창원경화베스티움</t>
        </is>
      </c>
      <c r="B86" s="76" t="inlineStr">
        <is>
          <t>18.12.</t>
        </is>
      </c>
      <c r="C86" s="131" t="n">
        <v>285</v>
      </c>
      <c r="D86" s="132" t="n">
        <v>100.3</v>
      </c>
      <c r="E86" s="133" t="n">
        <v>30</v>
      </c>
      <c r="F86" s="132" t="n">
        <v>76.3</v>
      </c>
      <c r="G86" s="17" t="n">
        <v>23</v>
      </c>
      <c r="H86" s="134" t="n">
        <v>47</v>
      </c>
      <c r="I86" s="135" t="n"/>
      <c r="J86" s="135" t="n"/>
      <c r="K86" s="135" t="n"/>
      <c r="L86" s="135" t="n"/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inlineStr">
        <is>
          <t>100A</t>
        </is>
      </c>
      <c r="U86" s="9" t="n"/>
    </row>
    <row r="87" ht="12" customFormat="1" customHeight="1" s="37">
      <c r="A87" s="75" t="inlineStr">
        <is>
          <t>경화동 창원경화베스티움</t>
        </is>
      </c>
      <c r="B87" s="76" t="inlineStr">
        <is>
          <t>18.12.</t>
        </is>
      </c>
      <c r="C87" s="131" t="n">
        <v>285</v>
      </c>
      <c r="D87" s="132" t="n">
        <v>111.3</v>
      </c>
      <c r="E87" s="133" t="n">
        <v>34</v>
      </c>
      <c r="F87" s="132" t="n">
        <v>85</v>
      </c>
      <c r="G87" s="17" t="n">
        <v>26</v>
      </c>
      <c r="H87" s="134" t="n">
        <v>90</v>
      </c>
      <c r="I87" s="135" t="n"/>
      <c r="J87" s="135" t="n"/>
      <c r="K87" s="135" t="n"/>
      <c r="L87" s="135" t="n"/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21" t="n">
        <v>4</v>
      </c>
      <c r="R87" s="121" t="n">
        <v>2</v>
      </c>
      <c r="S87" s="121" t="inlineStr">
        <is>
          <t>계</t>
        </is>
      </c>
      <c r="T87" s="5" t="inlineStr">
        <is>
          <t>111A</t>
        </is>
      </c>
      <c r="U87" s="9" t="n"/>
    </row>
    <row r="88" ht="12" customFormat="1" customHeight="1" s="37">
      <c r="A88" s="75" t="inlineStr">
        <is>
          <t>경화동 경화삼정그린코아1단지</t>
        </is>
      </c>
      <c r="B88" s="76" t="inlineStr">
        <is>
          <t>05.08.</t>
        </is>
      </c>
      <c r="C88" s="131" t="n">
        <v>202</v>
      </c>
      <c r="D88" s="132" t="n">
        <v>111.2</v>
      </c>
      <c r="E88" s="133" t="n">
        <v>34</v>
      </c>
      <c r="F88" s="132" t="n">
        <v>84.90000000000001</v>
      </c>
      <c r="G88" s="17" t="n">
        <v>26</v>
      </c>
      <c r="H88" s="134" t="n">
        <v>202</v>
      </c>
      <c r="I88" s="135" t="n"/>
      <c r="J88" s="135" t="n"/>
      <c r="K88" s="135" t="n"/>
      <c r="L88" s="135" t="n"/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111</v>
      </c>
      <c r="U88" s="9" t="n"/>
    </row>
    <row r="89" ht="12" customFormat="1" customHeight="1" s="37">
      <c r="A89" s="75" t="inlineStr">
        <is>
          <t>남문동 진해남문리젠시빌란트더웰</t>
        </is>
      </c>
      <c r="B89" s="76" t="inlineStr">
        <is>
          <t>24.03.</t>
        </is>
      </c>
      <c r="C89" s="131" t="n">
        <v>458</v>
      </c>
      <c r="D89" s="132" t="n">
        <v>100.4</v>
      </c>
      <c r="E89" s="133" t="n">
        <v>30</v>
      </c>
      <c r="F89" s="132" t="n">
        <v>74.40000000000001</v>
      </c>
      <c r="G89" s="17" t="n">
        <v>23</v>
      </c>
      <c r="H89" s="134" t="n">
        <v>120</v>
      </c>
      <c r="I89" s="135" t="n"/>
      <c r="J89" s="135" t="n"/>
      <c r="K89" s="135" t="n"/>
      <c r="L89" s="135" t="n"/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21" t="n">
        <v>4</v>
      </c>
      <c r="R89" s="121" t="n">
        <v>2</v>
      </c>
      <c r="S89" s="121" t="inlineStr">
        <is>
          <t>계</t>
        </is>
      </c>
      <c r="T89" s="5" t="inlineStr">
        <is>
          <t>100A</t>
        </is>
      </c>
      <c r="U89" s="9" t="n"/>
    </row>
    <row r="90" ht="12" customFormat="1" customHeight="1" s="37">
      <c r="A90" s="75" t="inlineStr">
        <is>
          <t>남문동 진해남문리젠시빌란트더웰</t>
        </is>
      </c>
      <c r="B90" s="76" t="inlineStr">
        <is>
          <t>24.03.</t>
        </is>
      </c>
      <c r="C90" s="131" t="n">
        <v>458</v>
      </c>
      <c r="D90" s="132" t="n">
        <v>112.9</v>
      </c>
      <c r="E90" s="133" t="n">
        <v>34</v>
      </c>
      <c r="F90" s="132" t="n">
        <v>84.90000000000001</v>
      </c>
      <c r="G90" s="17" t="n">
        <v>26</v>
      </c>
      <c r="H90" s="134" t="n">
        <v>314</v>
      </c>
      <c r="I90" s="135" t="n"/>
      <c r="J90" s="135" t="n"/>
      <c r="K90" s="135" t="n"/>
      <c r="L90" s="135" t="n"/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21" t="n">
        <v>4</v>
      </c>
      <c r="R90" s="121" t="n">
        <v>2</v>
      </c>
      <c r="S90" s="121" t="inlineStr">
        <is>
          <t>계</t>
        </is>
      </c>
      <c r="T90" s="5" t="n">
        <v>112</v>
      </c>
      <c r="U90" s="9" t="n"/>
    </row>
    <row r="91" ht="12" customFormat="1" customHeight="1" s="37">
      <c r="A91" s="75" t="inlineStr">
        <is>
          <t>남문동 진해남문하우스디</t>
        </is>
      </c>
      <c r="B91" s="76" t="inlineStr">
        <is>
          <t>19.01.</t>
        </is>
      </c>
      <c r="C91" s="131" t="n">
        <v>299</v>
      </c>
      <c r="D91" s="132" t="n">
        <v>95.2</v>
      </c>
      <c r="E91" s="133" t="n">
        <v>29</v>
      </c>
      <c r="F91" s="132" t="n">
        <v>73</v>
      </c>
      <c r="G91" s="17" t="n">
        <v>22</v>
      </c>
      <c r="H91" s="134" t="n">
        <v>40</v>
      </c>
      <c r="I91" s="135" t="n"/>
      <c r="J91" s="135" t="n"/>
      <c r="K91" s="135" t="n"/>
      <c r="L91" s="135" t="n"/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95A-1</t>
        </is>
      </c>
      <c r="U91" s="9" t="n"/>
    </row>
    <row r="92" ht="12" customFormat="1" customHeight="1" s="37">
      <c r="A92" s="75" t="inlineStr">
        <is>
          <t>남문동 진해남문하우스디</t>
        </is>
      </c>
      <c r="B92" s="76" t="inlineStr">
        <is>
          <t>19.01.</t>
        </is>
      </c>
      <c r="C92" s="131" t="n">
        <v>299</v>
      </c>
      <c r="D92" s="132" t="n">
        <v>110</v>
      </c>
      <c r="E92" s="133" t="n">
        <v>33</v>
      </c>
      <c r="F92" s="132" t="n">
        <v>84.90000000000001</v>
      </c>
      <c r="G92" s="17" t="n">
        <v>26</v>
      </c>
      <c r="H92" s="134" t="n">
        <v>96</v>
      </c>
      <c r="I92" s="135" t="n"/>
      <c r="J92" s="135" t="n"/>
      <c r="K92" s="135" t="n"/>
      <c r="L92" s="135" t="n"/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inlineStr">
        <is>
          <t>110B</t>
        </is>
      </c>
      <c r="U92" s="9" t="n"/>
    </row>
    <row r="93" ht="12" customFormat="1" customHeight="1" s="37">
      <c r="A93" s="75" t="inlineStr">
        <is>
          <t>마천동 진해신항만경남아너스빌</t>
        </is>
      </c>
      <c r="B93" s="76" t="inlineStr">
        <is>
          <t>08.08.</t>
        </is>
      </c>
      <c r="C93" s="131" t="n">
        <v>468</v>
      </c>
      <c r="D93" s="132" t="n">
        <v>84.3</v>
      </c>
      <c r="E93" s="133" t="n">
        <v>25</v>
      </c>
      <c r="F93" s="132" t="n">
        <v>59.7</v>
      </c>
      <c r="G93" s="17" t="n">
        <v>18</v>
      </c>
      <c r="H93" s="134" t="n">
        <v>180</v>
      </c>
      <c r="I93" s="135" t="n"/>
      <c r="J93" s="135" t="n"/>
      <c r="K93" s="135" t="n"/>
      <c r="L93" s="135" t="n"/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n">
        <v>84</v>
      </c>
      <c r="U93" s="9" t="n"/>
    </row>
    <row r="94" ht="12" customFormat="1" customHeight="1" s="37">
      <c r="A94" s="75" t="inlineStr">
        <is>
          <t>마천동 남명플럼빌리지</t>
        </is>
      </c>
      <c r="B94" s="76" t="inlineStr">
        <is>
          <t>04.03.</t>
        </is>
      </c>
      <c r="C94" s="131" t="n">
        <v>498</v>
      </c>
      <c r="D94" s="132" t="n">
        <v>106.6</v>
      </c>
      <c r="E94" s="133" t="n">
        <v>32</v>
      </c>
      <c r="F94" s="132" t="n">
        <v>85</v>
      </c>
      <c r="G94" s="17" t="n">
        <v>26</v>
      </c>
      <c r="H94" s="134" t="n">
        <v>108</v>
      </c>
      <c r="I94" s="135" t="n"/>
      <c r="J94" s="135" t="n"/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n">
        <v>106</v>
      </c>
      <c r="U94" s="9" t="n"/>
    </row>
    <row r="95" ht="12" customFormat="1" customHeight="1" s="37">
      <c r="A95" s="75" t="inlineStr">
        <is>
          <t>부흥동 태영데시앙</t>
        </is>
      </c>
      <c r="B95" s="76" t="inlineStr">
        <is>
          <t>07.01.</t>
        </is>
      </c>
      <c r="C95" s="131" t="n">
        <v>204</v>
      </c>
      <c r="D95" s="132" t="n">
        <v>109.9</v>
      </c>
      <c r="E95" s="133" t="n">
        <v>33</v>
      </c>
      <c r="F95" s="132" t="n">
        <v>85</v>
      </c>
      <c r="G95" s="17" t="n">
        <v>26</v>
      </c>
      <c r="H95" s="134" t="n">
        <v>156</v>
      </c>
      <c r="I95" s="135" t="n"/>
      <c r="J95" s="135" t="n"/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109</v>
      </c>
      <c r="U95" s="9" t="n"/>
    </row>
    <row r="96" ht="12" customFormat="1" customHeight="1" s="37">
      <c r="A96" s="75" t="inlineStr">
        <is>
          <t>부흥동 태영데시앙</t>
        </is>
      </c>
      <c r="B96" s="76" t="inlineStr">
        <is>
          <t>07.01.</t>
        </is>
      </c>
      <c r="C96" s="131" t="n">
        <v>204</v>
      </c>
      <c r="D96" s="132" t="n">
        <v>151.9</v>
      </c>
      <c r="E96" s="133" t="n">
        <v>46</v>
      </c>
      <c r="F96" s="132" t="n">
        <v>126.6</v>
      </c>
      <c r="G96" s="17" t="n">
        <v>38</v>
      </c>
      <c r="H96" s="134" t="n">
        <v>48</v>
      </c>
      <c r="I96" s="135" t="n"/>
      <c r="J96" s="135" t="n"/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21" t="n">
        <v>4</v>
      </c>
      <c r="R96" s="121" t="n">
        <v>2</v>
      </c>
      <c r="S96" s="121" t="inlineStr">
        <is>
          <t>계</t>
        </is>
      </c>
      <c r="T96" s="5" t="n">
        <v>151</v>
      </c>
      <c r="U96" s="9" t="n"/>
    </row>
    <row r="97" ht="12" customFormat="1" customHeight="1" s="37">
      <c r="A97" s="75" t="inlineStr">
        <is>
          <t>석동 진해GS자이</t>
        </is>
      </c>
      <c r="B97" s="76" t="inlineStr">
        <is>
          <t>06.04.</t>
        </is>
      </c>
      <c r="C97" s="131" t="n">
        <v>516</v>
      </c>
      <c r="D97" s="132" t="n">
        <v>158</v>
      </c>
      <c r="E97" s="133" t="n">
        <v>48</v>
      </c>
      <c r="F97" s="132" t="n">
        <v>125.3</v>
      </c>
      <c r="G97" s="17" t="n">
        <v>38</v>
      </c>
      <c r="H97" s="134" t="n">
        <v>84</v>
      </c>
      <c r="I97" s="135" t="n"/>
      <c r="J97" s="135" t="n"/>
      <c r="K97" s="135" t="n">
        <v>35000</v>
      </c>
      <c r="L97" s="135" t="inlineStr">
        <is>
          <t>9</t>
        </is>
      </c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n">
        <v>158</v>
      </c>
      <c r="U97" s="9" t="n"/>
    </row>
    <row r="98" ht="12" customFormat="1" customHeight="1" s="37">
      <c r="A98" s="75" t="inlineStr">
        <is>
          <t>석동 진해석동한솔솔파크1단지</t>
        </is>
      </c>
      <c r="B98" s="76" t="inlineStr">
        <is>
          <t>09.02.</t>
        </is>
      </c>
      <c r="C98" s="131" t="n">
        <v>264</v>
      </c>
      <c r="D98" s="132" t="n">
        <v>143.6</v>
      </c>
      <c r="E98" s="133" t="n">
        <v>43</v>
      </c>
      <c r="F98" s="132" t="n">
        <v>119.6</v>
      </c>
      <c r="G98" s="17" t="n">
        <v>36</v>
      </c>
      <c r="H98" s="134" t="n">
        <v>44</v>
      </c>
      <c r="I98" s="135" t="n"/>
      <c r="J98" s="135" t="n"/>
      <c r="K98" s="135" t="n"/>
      <c r="L98" s="135" t="n"/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21" t="n">
        <v>4</v>
      </c>
      <c r="R98" s="121" t="n">
        <v>2</v>
      </c>
      <c r="S98" s="121" t="inlineStr">
        <is>
          <t>계</t>
        </is>
      </c>
      <c r="T98" s="5" t="n">
        <v>143</v>
      </c>
      <c r="U98" s="9" t="n"/>
    </row>
    <row r="99" ht="12" customFormat="1" customHeight="1" s="37">
      <c r="A99" s="75" t="inlineStr">
        <is>
          <t>석동 진해석동한솔솔파크1단지</t>
        </is>
      </c>
      <c r="B99" s="76" t="inlineStr">
        <is>
          <t>09.02.</t>
        </is>
      </c>
      <c r="C99" s="131" t="n">
        <v>264</v>
      </c>
      <c r="D99" s="132" t="n">
        <v>160.1</v>
      </c>
      <c r="E99" s="133" t="n">
        <v>48</v>
      </c>
      <c r="F99" s="132" t="n">
        <v>131.5</v>
      </c>
      <c r="G99" s="17" t="n">
        <v>40</v>
      </c>
      <c r="H99" s="134" t="n">
        <v>132</v>
      </c>
      <c r="I99" s="135" t="n"/>
      <c r="J99" s="135" t="n"/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21" t="n">
        <v>4</v>
      </c>
      <c r="R99" s="121" t="n">
        <v>2</v>
      </c>
      <c r="S99" s="121" t="inlineStr">
        <is>
          <t>계</t>
        </is>
      </c>
      <c r="T99" s="5" t="n">
        <v>160</v>
      </c>
      <c r="U99" s="9" t="n"/>
    </row>
    <row r="100" ht="12" customFormat="1" customHeight="1" s="37">
      <c r="A100" s="75" t="inlineStr">
        <is>
          <t>석동 진해석동한솔솔파크1단지</t>
        </is>
      </c>
      <c r="B100" s="76" t="inlineStr">
        <is>
          <t>09.02.</t>
        </is>
      </c>
      <c r="C100" s="131" t="n">
        <v>264</v>
      </c>
      <c r="D100" s="132" t="n">
        <v>183.9</v>
      </c>
      <c r="E100" s="133" t="n">
        <v>56</v>
      </c>
      <c r="F100" s="132" t="n">
        <v>153.3</v>
      </c>
      <c r="G100" s="17" t="n">
        <v>46</v>
      </c>
      <c r="H100" s="134" t="n">
        <v>88</v>
      </c>
      <c r="I100" s="135" t="n"/>
      <c r="J100" s="135" t="n"/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21" t="n">
        <v>4</v>
      </c>
      <c r="R100" s="121" t="n">
        <v>2</v>
      </c>
      <c r="S100" s="121" t="inlineStr">
        <is>
          <t>계</t>
        </is>
      </c>
      <c r="T100" s="5" t="n">
        <v>183</v>
      </c>
      <c r="U100" s="9" t="n"/>
    </row>
    <row r="101" ht="12" customFormat="1" customHeight="1" s="37">
      <c r="A101" s="75" t="inlineStr">
        <is>
          <t>석동 진해석동우림필유</t>
        </is>
      </c>
      <c r="B101" s="76" t="inlineStr">
        <is>
          <t>08.03.</t>
        </is>
      </c>
      <c r="C101" s="131" t="n">
        <v>1192</v>
      </c>
      <c r="D101" s="132" t="n">
        <v>163.7</v>
      </c>
      <c r="E101" s="133" t="n">
        <v>50</v>
      </c>
      <c r="F101" s="132" t="n">
        <v>133.4</v>
      </c>
      <c r="G101" s="17" t="n">
        <v>40</v>
      </c>
      <c r="H101" s="134" t="n">
        <v>146</v>
      </c>
      <c r="I101" s="135" t="n"/>
      <c r="J101" s="135" t="n"/>
      <c r="K101" s="135" t="n"/>
      <c r="L101" s="135" t="n"/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21" t="n">
        <v>4</v>
      </c>
      <c r="R101" s="121" t="n">
        <v>2</v>
      </c>
      <c r="S101" s="121" t="inlineStr">
        <is>
          <t>계</t>
        </is>
      </c>
      <c r="T101" s="5" t="n">
        <v>163</v>
      </c>
      <c r="U101" s="9" t="n"/>
    </row>
    <row r="102" ht="12" customFormat="1" customHeight="1" s="37">
      <c r="A102" s="75" t="inlineStr">
        <is>
          <t>석동 벚꽃그린빌주공4단지</t>
        </is>
      </c>
      <c r="B102" s="76" t="inlineStr">
        <is>
          <t>03.07.</t>
        </is>
      </c>
      <c r="C102" s="131" t="n">
        <v>397</v>
      </c>
      <c r="D102" s="132" t="n">
        <v>94.59999999999999</v>
      </c>
      <c r="E102" s="133" t="n">
        <v>29</v>
      </c>
      <c r="F102" s="132" t="n">
        <v>75</v>
      </c>
      <c r="G102" s="17" t="n">
        <v>23</v>
      </c>
      <c r="H102" s="134" t="n">
        <v>108</v>
      </c>
      <c r="I102" s="135" t="n"/>
      <c r="J102" s="135" t="n"/>
      <c r="K102" s="135" t="n"/>
      <c r="L102" s="135" t="n"/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94</v>
      </c>
      <c r="U102" s="9" t="n"/>
    </row>
    <row r="103" ht="12" customFormat="1" customHeight="1" s="37">
      <c r="A103" s="75" t="inlineStr">
        <is>
          <t>석동 벚꽃그린빌주공4단지</t>
        </is>
      </c>
      <c r="B103" s="76" t="inlineStr">
        <is>
          <t>03.07.</t>
        </is>
      </c>
      <c r="C103" s="131" t="n">
        <v>397</v>
      </c>
      <c r="D103" s="132" t="n">
        <v>107</v>
      </c>
      <c r="E103" s="133" t="n">
        <v>32</v>
      </c>
      <c r="F103" s="132" t="n">
        <v>85</v>
      </c>
      <c r="G103" s="17" t="n">
        <v>26</v>
      </c>
      <c r="H103" s="134" t="n">
        <v>60</v>
      </c>
      <c r="I103" s="135" t="n"/>
      <c r="J103" s="135" t="n"/>
      <c r="K103" s="135" t="n"/>
      <c r="L103" s="135" t="n"/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n">
        <v>107</v>
      </c>
      <c r="U103" s="9" t="n"/>
    </row>
    <row r="104" ht="12" customFormat="1" customHeight="1" s="37">
      <c r="A104" s="75" t="inlineStr">
        <is>
          <t>석동 벚꽃그린빌주공2단지</t>
        </is>
      </c>
      <c r="B104" s="76" t="inlineStr">
        <is>
          <t>03.07.</t>
        </is>
      </c>
      <c r="C104" s="131" t="n">
        <v>266</v>
      </c>
      <c r="D104" s="132" t="n">
        <v>63.3</v>
      </c>
      <c r="E104" s="133" t="n">
        <v>19</v>
      </c>
      <c r="F104" s="132" t="n">
        <v>51.7</v>
      </c>
      <c r="G104" s="17" t="n">
        <v>16</v>
      </c>
      <c r="H104" s="134" t="n">
        <v>80</v>
      </c>
      <c r="I104" s="135" t="n"/>
      <c r="J104" s="135" t="n"/>
      <c r="K104" s="135" t="n"/>
      <c r="L104" s="135" t="n"/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63</v>
      </c>
      <c r="U104" s="9" t="n"/>
    </row>
    <row r="105" ht="12" customFormat="1" customHeight="1" s="37">
      <c r="A105" s="75" t="inlineStr">
        <is>
          <t>석동 벚꽃그린빌주공2단지</t>
        </is>
      </c>
      <c r="B105" s="76" t="inlineStr">
        <is>
          <t>03.07.</t>
        </is>
      </c>
      <c r="C105" s="131" t="n">
        <v>266</v>
      </c>
      <c r="D105" s="132" t="n">
        <v>84.3</v>
      </c>
      <c r="E105" s="133" t="n">
        <v>26</v>
      </c>
      <c r="F105" s="132" t="n">
        <v>59.8</v>
      </c>
      <c r="G105" s="17" t="n">
        <v>18</v>
      </c>
      <c r="H105" s="134" t="n">
        <v>186</v>
      </c>
      <c r="I105" s="135" t="n"/>
      <c r="J105" s="135" t="n"/>
      <c r="K105" s="135" t="n"/>
      <c r="L105" s="135" t="n"/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21" t="n">
        <v>3</v>
      </c>
      <c r="R105" s="121" t="n">
        <v>1</v>
      </c>
      <c r="S105" s="121" t="inlineStr">
        <is>
          <t>계</t>
        </is>
      </c>
      <c r="T105" s="5" t="n">
        <v>84</v>
      </c>
      <c r="U105" s="9" t="n"/>
    </row>
    <row r="106" ht="12" customFormat="1" customHeight="1" s="37">
      <c r="A106" s="75" t="inlineStr">
        <is>
          <t>석동 주공</t>
        </is>
      </c>
      <c r="B106" s="76" t="inlineStr">
        <is>
          <t>91.11.</t>
        </is>
      </c>
      <c r="C106" s="131" t="n">
        <v>750</v>
      </c>
      <c r="D106" s="132" t="n">
        <v>58.2</v>
      </c>
      <c r="E106" s="133" t="n">
        <v>18</v>
      </c>
      <c r="F106" s="132" t="n">
        <v>47.3</v>
      </c>
      <c r="G106" s="17" t="n">
        <v>14</v>
      </c>
      <c r="H106" s="134" t="n">
        <v>60</v>
      </c>
      <c r="I106" s="135" t="n"/>
      <c r="J106" s="135" t="n"/>
      <c r="K106" s="135" t="n"/>
      <c r="L106" s="135" t="n"/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21" t="n">
        <v>3</v>
      </c>
      <c r="R106" s="121" t="n">
        <v>1</v>
      </c>
      <c r="S106" s="121" t="inlineStr">
        <is>
          <t>계</t>
        </is>
      </c>
      <c r="T106" s="5" t="inlineStr">
        <is>
          <t>58B</t>
        </is>
      </c>
      <c r="U106" s="9" t="n"/>
    </row>
    <row r="107" ht="12" customFormat="1" customHeight="1" s="37">
      <c r="A107" s="75" t="inlineStr">
        <is>
          <t>안골동 창원마린푸르지오2차</t>
        </is>
      </c>
      <c r="B107" s="76" t="inlineStr">
        <is>
          <t>16.10.</t>
        </is>
      </c>
      <c r="C107" s="131" t="n">
        <v>599</v>
      </c>
      <c r="D107" s="132" t="n">
        <v>111.9</v>
      </c>
      <c r="E107" s="133" t="n">
        <v>34</v>
      </c>
      <c r="F107" s="132" t="n">
        <v>85</v>
      </c>
      <c r="G107" s="17" t="n">
        <v>26</v>
      </c>
      <c r="H107" s="134" t="n">
        <v>240</v>
      </c>
      <c r="I107" s="135" t="n"/>
      <c r="J107" s="135" t="n"/>
      <c r="K107" s="135" t="n"/>
      <c r="L107" s="135" t="n"/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21" t="n">
        <v>4</v>
      </c>
      <c r="R107" s="121" t="n">
        <v>2</v>
      </c>
      <c r="S107" s="121" t="inlineStr">
        <is>
          <t>계</t>
        </is>
      </c>
      <c r="T107" s="5" t="inlineStr">
        <is>
          <t>111A</t>
        </is>
      </c>
      <c r="U107" s="9" t="n"/>
    </row>
    <row r="108" ht="12" customFormat="1" customHeight="1" s="37">
      <c r="A108" s="75" t="inlineStr">
        <is>
          <t>용원동 부산신항만이지더원2단지</t>
        </is>
      </c>
      <c r="B108" s="76" t="inlineStr">
        <is>
          <t>14.10.</t>
        </is>
      </c>
      <c r="C108" s="131" t="n">
        <v>452</v>
      </c>
      <c r="D108" s="132" t="n">
        <v>80.40000000000001</v>
      </c>
      <c r="E108" s="133" t="n">
        <v>24</v>
      </c>
      <c r="F108" s="132" t="n">
        <v>59.9</v>
      </c>
      <c r="G108" s="17" t="n">
        <v>18</v>
      </c>
      <c r="H108" s="134" t="n">
        <v>112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n">
        <v>80</v>
      </c>
      <c r="U108" s="9" t="n"/>
    </row>
    <row r="109" ht="12" customFormat="1" customHeight="1" s="37">
      <c r="A109" s="75" t="inlineStr">
        <is>
          <t>용원동 일신님</t>
        </is>
      </c>
      <c r="B109" s="76" t="inlineStr">
        <is>
          <t>05.08.</t>
        </is>
      </c>
      <c r="C109" s="131" t="n">
        <v>869</v>
      </c>
      <c r="D109" s="132" t="n">
        <v>158.4</v>
      </c>
      <c r="E109" s="133" t="n">
        <v>48</v>
      </c>
      <c r="F109" s="132" t="n">
        <v>121.4</v>
      </c>
      <c r="G109" s="17" t="n">
        <v>37</v>
      </c>
      <c r="H109" s="134" t="n">
        <v>90</v>
      </c>
      <c r="I109" s="135" t="n"/>
      <c r="J109" s="135" t="n"/>
      <c r="K109" s="135" t="n"/>
      <c r="L109" s="135" t="n"/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21" t="n">
        <v>4</v>
      </c>
      <c r="R109" s="121" t="n">
        <v>2</v>
      </c>
      <c r="S109" s="121" t="inlineStr">
        <is>
          <t>계</t>
        </is>
      </c>
      <c r="T109" s="5" t="n">
        <v>158</v>
      </c>
      <c r="U109" s="9" t="n"/>
    </row>
    <row r="110" ht="12" customFormat="1" customHeight="1" s="37">
      <c r="A110" s="75" t="inlineStr">
        <is>
          <t>용원동 부산신항사랑으로부영6블럭</t>
        </is>
      </c>
      <c r="B110" s="76" t="inlineStr">
        <is>
          <t>19.06.</t>
        </is>
      </c>
      <c r="C110" s="131" t="n">
        <v>539</v>
      </c>
      <c r="D110" s="132" t="n">
        <v>112.6</v>
      </c>
      <c r="E110" s="133" t="n">
        <v>34</v>
      </c>
      <c r="F110" s="132" t="n">
        <v>85</v>
      </c>
      <c r="G110" s="17" t="n">
        <v>26</v>
      </c>
      <c r="H110" s="134" t="n">
        <v>357</v>
      </c>
      <c r="I110" s="135" t="n"/>
      <c r="J110" s="135" t="n"/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inlineStr">
        <is>
          <t>112A</t>
        </is>
      </c>
      <c r="U110" s="9" t="n"/>
    </row>
    <row r="111" ht="12" customFormat="1" customHeight="1" s="37">
      <c r="A111" s="75" t="inlineStr">
        <is>
          <t>용원동 코아루</t>
        </is>
      </c>
      <c r="B111" s="76" t="inlineStr">
        <is>
          <t>05.09.</t>
        </is>
      </c>
      <c r="C111" s="131" t="n">
        <v>897</v>
      </c>
      <c r="D111" s="132" t="n">
        <v>149.6</v>
      </c>
      <c r="E111" s="133" t="n">
        <v>45</v>
      </c>
      <c r="F111" s="132" t="n">
        <v>120.4</v>
      </c>
      <c r="G111" s="17" t="n">
        <v>36</v>
      </c>
      <c r="H111" s="134" t="n">
        <v>120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149</v>
      </c>
      <c r="U111" s="9" t="n"/>
    </row>
    <row r="112" ht="12" customFormat="1" customHeight="1" s="37">
      <c r="A112" s="75" t="inlineStr">
        <is>
          <t>이동 남흥</t>
        </is>
      </c>
      <c r="B112" s="76" t="inlineStr">
        <is>
          <t>91.12.</t>
        </is>
      </c>
      <c r="C112" s="131" t="n">
        <v>268</v>
      </c>
      <c r="D112" s="132" t="n">
        <v>89.3</v>
      </c>
      <c r="E112" s="133" t="n">
        <v>27</v>
      </c>
      <c r="F112" s="132" t="n">
        <v>77.2</v>
      </c>
      <c r="G112" s="17" t="n">
        <v>23</v>
      </c>
      <c r="H112" s="134" t="n">
        <v>108</v>
      </c>
      <c r="I112" s="135" t="n"/>
      <c r="J112" s="135" t="n"/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21" t="n">
        <v>3</v>
      </c>
      <c r="R112" s="121" t="n">
        <v>1</v>
      </c>
      <c r="S112" s="121" t="inlineStr">
        <is>
          <t>계</t>
        </is>
      </c>
      <c r="T112" s="5" t="n">
        <v>89</v>
      </c>
      <c r="U112" s="9" t="n"/>
    </row>
    <row r="113" ht="12" customFormat="1" customHeight="1" s="37">
      <c r="A113" s="75" t="inlineStr">
        <is>
          <t>이동 남흥</t>
        </is>
      </c>
      <c r="B113" s="76" t="inlineStr">
        <is>
          <t>91.12.</t>
        </is>
      </c>
      <c r="C113" s="131" t="n">
        <v>268</v>
      </c>
      <c r="D113" s="132" t="n">
        <v>99.2</v>
      </c>
      <c r="E113" s="133" t="n">
        <v>30</v>
      </c>
      <c r="F113" s="132" t="n">
        <v>85</v>
      </c>
      <c r="G113" s="17" t="n">
        <v>26</v>
      </c>
      <c r="H113" s="134" t="n">
        <v>150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21" t="n">
        <v>3</v>
      </c>
      <c r="R113" s="121" t="n">
        <v>2</v>
      </c>
      <c r="S113" s="121" t="inlineStr">
        <is>
          <t>계</t>
        </is>
      </c>
      <c r="T113" s="5" t="n">
        <v>99</v>
      </c>
      <c r="U113" s="9" t="n"/>
    </row>
    <row r="114" ht="12" customFormat="1" customHeight="1" s="37">
      <c r="A114" s="75" t="inlineStr">
        <is>
          <t>자은동 창원자은에일린의뜰</t>
        </is>
      </c>
      <c r="B114" s="76" t="inlineStr">
        <is>
          <t>17.10.</t>
        </is>
      </c>
      <c r="C114" s="131" t="n">
        <v>520</v>
      </c>
      <c r="D114" s="132" t="n">
        <v>110.9</v>
      </c>
      <c r="E114" s="133" t="n">
        <v>34</v>
      </c>
      <c r="F114" s="132" t="n">
        <v>84.90000000000001</v>
      </c>
      <c r="G114" s="17" t="n">
        <v>26</v>
      </c>
      <c r="H114" s="134" t="n">
        <v>224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inlineStr">
        <is>
          <t>110A</t>
        </is>
      </c>
      <c r="U114" s="9" t="n"/>
    </row>
    <row r="115" ht="12" customFormat="1" customHeight="1" s="37">
      <c r="A115" s="75" t="inlineStr">
        <is>
          <t>자은동 대동빌라트1단지</t>
        </is>
      </c>
      <c r="B115" s="76" t="inlineStr">
        <is>
          <t>96.12.</t>
        </is>
      </c>
      <c r="C115" s="131" t="n">
        <v>299</v>
      </c>
      <c r="D115" s="132" t="n">
        <v>104</v>
      </c>
      <c r="E115" s="133" t="n">
        <v>31</v>
      </c>
      <c r="F115" s="132" t="n">
        <v>84.90000000000001</v>
      </c>
      <c r="G115" s="17" t="n">
        <v>26</v>
      </c>
      <c r="H115" s="134" t="n">
        <v>251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n">
        <v>103</v>
      </c>
      <c r="U115" s="9" t="n"/>
    </row>
    <row r="116" ht="12" customFormat="1" customHeight="1" s="37">
      <c r="A116" s="75" t="inlineStr">
        <is>
          <t>자은동 대동빌라트1단지</t>
        </is>
      </c>
      <c r="B116" s="76" t="inlineStr">
        <is>
          <t>96.12.</t>
        </is>
      </c>
      <c r="C116" s="131" t="n">
        <v>299</v>
      </c>
      <c r="D116" s="132" t="n">
        <v>160.6</v>
      </c>
      <c r="E116" s="133" t="n">
        <v>49</v>
      </c>
      <c r="F116" s="132" t="n">
        <v>130.4</v>
      </c>
      <c r="G116" s="17" t="n">
        <v>39</v>
      </c>
      <c r="H116" s="134" t="n">
        <v>48</v>
      </c>
      <c r="I116" s="135" t="n"/>
      <c r="J116" s="135" t="n"/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21" t="n">
        <v>4</v>
      </c>
      <c r="R116" s="121" t="n">
        <v>2</v>
      </c>
      <c r="S116" s="121" t="inlineStr">
        <is>
          <t>계</t>
        </is>
      </c>
      <c r="T116" s="5" t="n">
        <v>160</v>
      </c>
      <c r="U116" s="9" t="n"/>
    </row>
    <row r="117" ht="12" customFormat="1" customHeight="1" s="37">
      <c r="A117" s="75" t="inlineStr">
        <is>
          <t>자은동 진해자은벚꽃주공</t>
        </is>
      </c>
      <c r="B117" s="76" t="inlineStr">
        <is>
          <t>00.08.</t>
        </is>
      </c>
      <c r="C117" s="131" t="n">
        <v>600</v>
      </c>
      <c r="D117" s="132" t="n">
        <v>80</v>
      </c>
      <c r="E117" s="133" t="n">
        <v>24</v>
      </c>
      <c r="F117" s="132" t="n">
        <v>59.7</v>
      </c>
      <c r="G117" s="17" t="n">
        <v>18</v>
      </c>
      <c r="H117" s="134" t="n">
        <v>216</v>
      </c>
      <c r="I117" s="135" t="n"/>
      <c r="J117" s="135" t="n"/>
      <c r="K117" s="135" t="n">
        <v>16000</v>
      </c>
      <c r="L117" s="135" t="inlineStr">
        <is>
          <t>중</t>
        </is>
      </c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inlineStr">
        <is>
          <t>80A</t>
        </is>
      </c>
      <c r="U117" s="9" t="n"/>
    </row>
    <row r="118" ht="12" customFormat="1" customHeight="1" s="37">
      <c r="A118" s="75" t="inlineStr">
        <is>
          <t>자은동 진해자은벚꽃주공</t>
        </is>
      </c>
      <c r="B118" s="76" t="inlineStr">
        <is>
          <t>00.08.</t>
        </is>
      </c>
      <c r="C118" s="131" t="n">
        <v>600</v>
      </c>
      <c r="D118" s="132" t="n">
        <v>113.4</v>
      </c>
      <c r="E118" s="133" t="n">
        <v>34</v>
      </c>
      <c r="F118" s="132" t="n">
        <v>84.59999999999999</v>
      </c>
      <c r="G118" s="17" t="n">
        <v>26</v>
      </c>
      <c r="H118" s="134" t="n">
        <v>70</v>
      </c>
      <c r="I118" s="135" t="n"/>
      <c r="J118" s="135" t="n"/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113A</t>
        </is>
      </c>
      <c r="U118" s="9" t="n"/>
    </row>
    <row r="119" ht="12" customFormat="1" customHeight="1" s="37">
      <c r="A119" s="75" t="inlineStr">
        <is>
          <t>자은동 자은더샵</t>
        </is>
      </c>
      <c r="B119" s="76" t="inlineStr">
        <is>
          <t>05.11.</t>
        </is>
      </c>
      <c r="C119" s="131" t="n">
        <v>442</v>
      </c>
      <c r="D119" s="132" t="n">
        <v>99.7</v>
      </c>
      <c r="E119" s="133" t="n">
        <v>30</v>
      </c>
      <c r="F119" s="132" t="n">
        <v>74.2</v>
      </c>
      <c r="G119" s="17" t="n">
        <v>22</v>
      </c>
      <c r="H119" s="134" t="n">
        <v>58</v>
      </c>
      <c r="I119" s="135" t="n"/>
      <c r="J119" s="135" t="n"/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99</v>
      </c>
      <c r="U119" s="9" t="n"/>
    </row>
    <row r="120" ht="12" customFormat="1" customHeight="1" s="37">
      <c r="A120" s="75" t="inlineStr">
        <is>
          <t>장천동 벽산e솔렌스힐</t>
        </is>
      </c>
      <c r="B120" s="76" t="inlineStr">
        <is>
          <t>08.07.</t>
        </is>
      </c>
      <c r="C120" s="131" t="n">
        <v>282</v>
      </c>
      <c r="D120" s="132" t="n">
        <v>109.7</v>
      </c>
      <c r="E120" s="133" t="n">
        <v>33</v>
      </c>
      <c r="F120" s="132" t="n">
        <v>84.90000000000001</v>
      </c>
      <c r="G120" s="17" t="n">
        <v>26</v>
      </c>
      <c r="H120" s="134" t="n">
        <v>147</v>
      </c>
      <c r="I120" s="135" t="n"/>
      <c r="J120" s="135" t="n"/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n">
        <v>109</v>
      </c>
      <c r="U120" s="9" t="n"/>
    </row>
    <row r="121" ht="12" customFormat="1" customHeight="1" s="37">
      <c r="A121" s="75" t="inlineStr">
        <is>
          <t>장천동 벽산e솔렌스힐</t>
        </is>
      </c>
      <c r="B121" s="76" t="inlineStr">
        <is>
          <t>08.07.</t>
        </is>
      </c>
      <c r="C121" s="131" t="n">
        <v>282</v>
      </c>
      <c r="D121" s="132" t="n">
        <v>151.2</v>
      </c>
      <c r="E121" s="133" t="n">
        <v>46</v>
      </c>
      <c r="F121" s="132" t="n">
        <v>120.7</v>
      </c>
      <c r="G121" s="17" t="n">
        <v>37</v>
      </c>
      <c r="H121" s="134" t="n">
        <v>45</v>
      </c>
      <c r="I121" s="135" t="n"/>
      <c r="J121" s="135" t="n"/>
      <c r="K121" s="135" t="n"/>
      <c r="L121" s="135" t="n"/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21" t="n">
        <v>4</v>
      </c>
      <c r="R121" s="121" t="n">
        <v>2</v>
      </c>
      <c r="S121" s="121" t="inlineStr">
        <is>
          <t>계</t>
        </is>
      </c>
      <c r="T121" s="5" t="n">
        <v>151</v>
      </c>
      <c r="U121" s="9" t="n"/>
    </row>
    <row r="122" ht="12" customFormat="1" customHeight="1" s="37">
      <c r="A122" s="75" t="inlineStr">
        <is>
          <t>장천동 벽산e솔렌스힐</t>
        </is>
      </c>
      <c r="B122" s="76" t="inlineStr">
        <is>
          <t>08.07.</t>
        </is>
      </c>
      <c r="C122" s="131" t="n">
        <v>282</v>
      </c>
      <c r="D122" s="132" t="n">
        <v>174.5</v>
      </c>
      <c r="E122" s="133" t="n">
        <v>53</v>
      </c>
      <c r="F122" s="132" t="n">
        <v>140.5</v>
      </c>
      <c r="G122" s="17" t="n">
        <v>42</v>
      </c>
      <c r="H122" s="134" t="n">
        <v>90</v>
      </c>
      <c r="I122" s="135" t="n"/>
      <c r="J122" s="135" t="n"/>
      <c r="K122" s="135" t="n"/>
      <c r="L122" s="135" t="n"/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174</v>
      </c>
      <c r="U122" s="9" t="n"/>
    </row>
    <row r="123" ht="12" customFormat="1" customHeight="1" s="37">
      <c r="A123" s="75" t="inlineStr">
        <is>
          <t>청안동 부영1차</t>
        </is>
      </c>
      <c r="B123" s="76" t="inlineStr">
        <is>
          <t>02.01.</t>
        </is>
      </c>
      <c r="C123" s="131" t="n">
        <v>906</v>
      </c>
      <c r="D123" s="132" t="n">
        <v>113.3</v>
      </c>
      <c r="E123" s="133" t="n">
        <v>34</v>
      </c>
      <c r="F123" s="132" t="n">
        <v>85</v>
      </c>
      <c r="G123" s="17" t="n">
        <v>26</v>
      </c>
      <c r="H123" s="134" t="n">
        <v>906</v>
      </c>
      <c r="I123" s="135" t="n"/>
      <c r="J123" s="135" t="n"/>
      <c r="K123" s="135" t="n"/>
      <c r="L123" s="135" t="n"/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n">
        <v>113</v>
      </c>
      <c r="U123" s="9" t="n"/>
    </row>
    <row r="124" ht="12" customFormat="1" customHeight="1" s="37">
      <c r="A124" s="75" t="inlineStr">
        <is>
          <t>풍호동 경동윈츠빌</t>
        </is>
      </c>
      <c r="B124" s="76" t="inlineStr">
        <is>
          <t>04.05.</t>
        </is>
      </c>
      <c r="C124" s="131" t="n">
        <v>248</v>
      </c>
      <c r="D124" s="132" t="n">
        <v>109</v>
      </c>
      <c r="E124" s="133" t="n">
        <v>33</v>
      </c>
      <c r="F124" s="132" t="n">
        <v>84.40000000000001</v>
      </c>
      <c r="G124" s="17" t="n">
        <v>26</v>
      </c>
      <c r="H124" s="134" t="n">
        <v>160</v>
      </c>
      <c r="I124" s="135" t="n"/>
      <c r="J124" s="135" t="n"/>
      <c r="K124" s="135" t="n"/>
      <c r="L124" s="135" t="n"/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109</v>
      </c>
      <c r="U124" s="9" t="n"/>
    </row>
    <row r="125" ht="12" customFormat="1" customHeight="1" s="37">
      <c r="A125" s="75" t="inlineStr">
        <is>
          <t>풍호동 경동윈츠빌</t>
        </is>
      </c>
      <c r="B125" s="76" t="inlineStr">
        <is>
          <t>04.05.</t>
        </is>
      </c>
      <c r="C125" s="131" t="n">
        <v>248</v>
      </c>
      <c r="D125" s="132" t="n">
        <v>139.5</v>
      </c>
      <c r="E125" s="133" t="n">
        <v>42</v>
      </c>
      <c r="F125" s="132" t="n">
        <v>115.9</v>
      </c>
      <c r="G125" s="17" t="n">
        <v>35</v>
      </c>
      <c r="H125" s="134" t="n">
        <v>88</v>
      </c>
      <c r="I125" s="135" t="n"/>
      <c r="J125" s="135" t="n"/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n">
        <v>139</v>
      </c>
      <c r="U125" s="9" t="n"/>
    </row>
    <row r="126" ht="12" customFormat="1" customHeight="1" s="37">
      <c r="A126" s="75" t="inlineStr">
        <is>
          <t>풍호동 창원마린푸르지오1단지</t>
        </is>
      </c>
      <c r="B126" s="76" t="inlineStr">
        <is>
          <t>15.10.</t>
        </is>
      </c>
      <c r="C126" s="131" t="n">
        <v>1822</v>
      </c>
      <c r="D126" s="132" t="n">
        <v>98.3</v>
      </c>
      <c r="E126" s="133" t="n">
        <v>30</v>
      </c>
      <c r="F126" s="132" t="n">
        <v>73</v>
      </c>
      <c r="G126" s="17" t="n">
        <v>22</v>
      </c>
      <c r="H126" s="134" t="n">
        <v>201</v>
      </c>
      <c r="I126" s="135" t="n"/>
      <c r="J126" s="135" t="n"/>
      <c r="K126" s="135" t="n"/>
      <c r="L126" s="135" t="n"/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98A</t>
        </is>
      </c>
      <c r="U126" s="9" t="n"/>
    </row>
    <row r="127" ht="12" customFormat="1" customHeight="1" s="37">
      <c r="A127" s="75" t="inlineStr">
        <is>
          <t>풍호동 창원마린푸르지오1단지</t>
        </is>
      </c>
      <c r="B127" s="76" t="inlineStr">
        <is>
          <t>15.10.</t>
        </is>
      </c>
      <c r="C127" s="131" t="n">
        <v>1822</v>
      </c>
      <c r="D127" s="132" t="n">
        <v>129.3</v>
      </c>
      <c r="E127" s="133" t="n">
        <v>39</v>
      </c>
      <c r="F127" s="132" t="n">
        <v>104</v>
      </c>
      <c r="G127" s="17" t="n">
        <v>31</v>
      </c>
      <c r="H127" s="134" t="n">
        <v>177</v>
      </c>
      <c r="I127" s="135" t="n"/>
      <c r="J127" s="135" t="n"/>
      <c r="K127" s="135" t="n"/>
      <c r="L127" s="135" t="n"/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21" t="n">
        <v>4</v>
      </c>
      <c r="R127" s="121" t="n">
        <v>2</v>
      </c>
      <c r="S127" s="121" t="inlineStr">
        <is>
          <t>계</t>
        </is>
      </c>
      <c r="T127" s="5" t="n">
        <v>129</v>
      </c>
      <c r="U127" s="9" t="n"/>
    </row>
    <row r="128" ht="12" customFormat="1" customHeight="1" s="37">
      <c r="A128" s="75" t="inlineStr">
        <is>
          <t>풍호동 디에스아이존빌</t>
        </is>
      </c>
      <c r="B128" s="76" t="inlineStr">
        <is>
          <t>02.01.</t>
        </is>
      </c>
      <c r="C128" s="131" t="n">
        <v>372</v>
      </c>
      <c r="D128" s="132" t="n">
        <v>126.6</v>
      </c>
      <c r="E128" s="133" t="n">
        <v>38</v>
      </c>
      <c r="F128" s="132" t="n">
        <v>107.7</v>
      </c>
      <c r="G128" s="17" t="n">
        <v>33</v>
      </c>
      <c r="H128" s="134" t="n">
        <v>48</v>
      </c>
      <c r="I128" s="135" t="n"/>
      <c r="J128" s="135" t="n"/>
      <c r="K128" s="135" t="n"/>
      <c r="L128" s="135" t="n"/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21" t="n">
        <v>4</v>
      </c>
      <c r="R128" s="121" t="n">
        <v>2</v>
      </c>
      <c r="S128" s="121" t="inlineStr">
        <is>
          <t>계</t>
        </is>
      </c>
      <c r="T128" s="5" t="n">
        <v>126</v>
      </c>
      <c r="U128" s="9" t="n"/>
    </row>
    <row r="129" ht="12" customFormat="1" customHeight="1" s="37">
      <c r="A129" s="75" t="inlineStr">
        <is>
          <t>풍호동 우성</t>
        </is>
      </c>
      <c r="B129" s="76" t="inlineStr">
        <is>
          <t>93.12.</t>
        </is>
      </c>
      <c r="C129" s="131" t="n">
        <v>1763</v>
      </c>
      <c r="D129" s="132" t="n">
        <v>94.90000000000001</v>
      </c>
      <c r="E129" s="133" t="n">
        <v>29</v>
      </c>
      <c r="F129" s="132" t="n">
        <v>77.09999999999999</v>
      </c>
      <c r="G129" s="17" t="n">
        <v>23</v>
      </c>
      <c r="H129" s="134" t="n">
        <v>110</v>
      </c>
      <c r="I129" s="135" t="n"/>
      <c r="J129" s="135" t="n"/>
      <c r="K129" s="135" t="n"/>
      <c r="L129" s="135" t="n"/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21" t="n">
        <v>3</v>
      </c>
      <c r="R129" s="121" t="n">
        <v>1</v>
      </c>
      <c r="S129" s="121" t="inlineStr">
        <is>
          <t>계</t>
        </is>
      </c>
      <c r="T129" s="5" t="n">
        <v>94</v>
      </c>
      <c r="U129" s="9" t="n"/>
    </row>
    <row r="130" ht="12" customFormat="1" customHeight="1" s="37">
      <c r="A130" s="75" t="inlineStr">
        <is>
          <t>풍호동 우성</t>
        </is>
      </c>
      <c r="B130" s="76" t="inlineStr">
        <is>
          <t>93.12.</t>
        </is>
      </c>
      <c r="C130" s="131" t="n">
        <v>1763</v>
      </c>
      <c r="D130" s="132" t="n">
        <v>123</v>
      </c>
      <c r="E130" s="133" t="n">
        <v>37</v>
      </c>
      <c r="F130" s="132" t="n">
        <v>101.7</v>
      </c>
      <c r="G130" s="17" t="n">
        <v>31</v>
      </c>
      <c r="H130" s="134" t="n">
        <v>50</v>
      </c>
      <c r="I130" s="135" t="n"/>
      <c r="J130" s="135" t="n"/>
      <c r="K130" s="135" t="n"/>
      <c r="L130" s="135" t="n"/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123</v>
      </c>
      <c r="U130" s="9" t="n"/>
    </row>
    <row r="131" ht="12" customFormat="1" customHeight="1" s="37">
      <c r="A131" s="75" t="inlineStr">
        <is>
          <t>풍호동 우성</t>
        </is>
      </c>
      <c r="B131" s="76" t="inlineStr">
        <is>
          <t>93.12.</t>
        </is>
      </c>
      <c r="C131" s="131" t="n">
        <v>1763</v>
      </c>
      <c r="D131" s="132" t="n">
        <v>153.4</v>
      </c>
      <c r="E131" s="133" t="n">
        <v>46</v>
      </c>
      <c r="F131" s="132" t="n">
        <v>129.6</v>
      </c>
      <c r="G131" s="17" t="n">
        <v>39</v>
      </c>
      <c r="H131" s="134" t="n">
        <v>156</v>
      </c>
      <c r="I131" s="135" t="n"/>
      <c r="J131" s="135" t="n"/>
      <c r="K131" s="135" t="n"/>
      <c r="L131" s="135" t="n"/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n">
        <v>153</v>
      </c>
      <c r="U131" s="9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31">
    <sortState ref="A4:U13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374" operator="greaterThan" dxfId="17">
      <formula>0.9</formula>
    </cfRule>
    <cfRule type="cellIs" priority="39375" operator="greaterThan" dxfId="16">
      <formula>0.85</formula>
    </cfRule>
  </conditionalFormatting>
  <conditionalFormatting sqref="N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4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4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4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4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4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4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5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5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5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5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5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5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5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5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6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6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6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6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6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6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6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6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6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7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7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7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7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7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7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7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7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7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7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8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8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8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8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8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8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8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8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8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8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9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9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9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93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9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9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9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9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9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9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0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0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0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0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0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06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0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0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0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1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1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1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1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1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1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2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2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2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2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2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2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2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2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2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3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31">
    <cfRule type="expression" priority="77416" dxfId="3">
      <formula>AND(IF(OR($Q4=1,$Q4=2),1,0),IF(#REF!&lt;=20,1,0))</formula>
    </cfRule>
    <cfRule type="expression" priority="77417" dxfId="2">
      <formula>AND(IF($Q4=2,1,0),IF(#REF!&lt;30,1,0))</formula>
    </cfRule>
    <cfRule type="expression" priority="77418" dxfId="1">
      <formula>AND(IF($Q4=3,1,0),IF(#REF!&lt;30,1,0))</formula>
    </cfRule>
    <cfRule type="expression" priority="7741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14" sqref="F14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0"/>
    <col width="17.5" customWidth="1" style="120" min="51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풍호동</t>
        </is>
      </c>
      <c r="E4" s="120" t="inlineStr">
        <is>
          <t>자은동</t>
        </is>
      </c>
      <c r="F4" s="120" t="inlineStr">
        <is>
          <t>장천동</t>
        </is>
      </c>
      <c r="G4" s="120" t="inlineStr">
        <is>
          <t>석동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4" t="n">
        <v>8</v>
      </c>
      <c r="B8" s="57" t="inlineStr">
        <is>
          <t>~</t>
        </is>
      </c>
      <c r="C8" s="145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6" t="n">
        <v>7</v>
      </c>
      <c r="B9" s="59" t="inlineStr">
        <is>
          <t>~</t>
        </is>
      </c>
      <c r="C9" s="147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8" t="n">
        <v>6</v>
      </c>
      <c r="B10" s="55" t="inlineStr">
        <is>
          <t>~</t>
        </is>
      </c>
      <c r="C10" s="149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8" t="n">
        <v>5</v>
      </c>
      <c r="B11" s="55" t="inlineStr">
        <is>
          <t>~</t>
        </is>
      </c>
      <c r="C11" s="149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4" customHeight="1" s="125">
      <c r="A12" s="148" t="n">
        <v>4</v>
      </c>
      <c r="B12" s="55" t="inlineStr">
        <is>
          <t>~</t>
        </is>
      </c>
      <c r="C12" s="149" t="n">
        <v>5</v>
      </c>
      <c r="D12" s="56" t="inlineStr">
        <is>
          <t>창원마린푸르지오1단지(34평/4.7)_x000D_
창원마린푸르지오2단지(34평/4.4)</t>
        </is>
      </c>
      <c r="E12" s="56" t="inlineStr">
        <is>
          <t>자은중흥S-클래스(34평/4.2)_x000D_
자은중흥S-클래스(31평/4.1)</t>
        </is>
      </c>
      <c r="F12" s="56" t="n"/>
      <c r="G12" s="56" t="inlineStr">
        <is>
          <t>진해석동우림필유(34평/4.3)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5">
      <c r="A13" s="150" t="n">
        <v>3</v>
      </c>
      <c r="B13" s="60" t="inlineStr">
        <is>
          <t>~</t>
        </is>
      </c>
      <c r="C13" s="151" t="n">
        <v>4</v>
      </c>
      <c r="D13" s="61" t="inlineStr">
        <is>
          <t>창원마린푸르지오1단지(25평/3.3)_x000D_
풍호한림리츠빌(35평/3.0)</t>
        </is>
      </c>
      <c r="E13" s="61" t="inlineStr">
        <is>
          <t>자은프라임(35평/3.9)_x000D_
협성DS이아이존빌(34평/3.7)_x000D_
자은프라임(31평/3.4)_x000D_
자은월드메르디앙(34평/3.0)</t>
        </is>
      </c>
      <c r="F13" s="61" t="inlineStr">
        <is>
          <t>창원한신휴플러스오션파크(33평/3.9)_x000D_
창원한신휴플러스오션파크(27평/3.2)_x000D_
진해장천대동다숲(33평/3.2)</t>
        </is>
      </c>
      <c r="G13" s="61" t="inlineStr">
        <is>
          <t>진해GS자이(35평/3.5)_x000D_
벚꽃그린빌주공3단지(32평/3.3)_x000D_
진해석동푸르지오(35평/3.1)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36" customHeight="1" s="125">
      <c r="A14" s="150" t="n">
        <v>2.5</v>
      </c>
      <c r="B14" s="60" t="inlineStr">
        <is>
          <t>~</t>
        </is>
      </c>
      <c r="C14" s="151" t="n">
        <v>3</v>
      </c>
      <c r="D14" s="61" t="n"/>
      <c r="E14" s="61" t="inlineStr">
        <is>
          <t>자은프라임(25평/2.8)_x000D_
협성DS이아이존빌(24평/2.7)_x000D_
자은더샵(33평/2.5)</t>
        </is>
      </c>
      <c r="F14" s="61" t="inlineStr">
        <is>
          <t>진해장천대동다숲(26평/2.5)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36" customHeight="1" s="125">
      <c r="A15" s="150" t="n">
        <v>2</v>
      </c>
      <c r="B15" s="60" t="inlineStr">
        <is>
          <t>~</t>
        </is>
      </c>
      <c r="C15" s="151" t="n">
        <v>2.5</v>
      </c>
      <c r="D15" s="61" t="inlineStr">
        <is>
          <t>디에스아이존빌(29평/2.3)_x000D_
우성(31평/2.1)_x000D_
디에스아이존빌(31평/2.1)</t>
        </is>
      </c>
      <c r="E15" s="61" t="inlineStr">
        <is>
          <t>진해자은벚꽃주공(31평/2.2)</t>
        </is>
      </c>
      <c r="F15" s="61" t="n"/>
      <c r="G15" s="61" t="inlineStr">
        <is>
          <t>벚꽃그린빌주공4단지(23평/2.2)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25">
      <c r="A16" s="152" t="n">
        <v>1.5</v>
      </c>
      <c r="B16" s="62" t="inlineStr">
        <is>
          <t>~</t>
        </is>
      </c>
      <c r="C16" s="153" t="n">
        <v>2</v>
      </c>
      <c r="D16" s="63" t="inlineStr">
        <is>
          <t>우성(26평/1.9)_x000D_
디에스아이존빌(24평/1.7)</t>
        </is>
      </c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25">
      <c r="A17" s="152" t="n">
        <v>1</v>
      </c>
      <c r="B17" s="62" t="inlineStr">
        <is>
          <t>~</t>
        </is>
      </c>
      <c r="C17" s="153" t="n">
        <v>1.5</v>
      </c>
      <c r="D17" s="63" t="inlineStr">
        <is>
          <t>우성(24평/1.4)_x000D_
풍호시영(18평/1.3)_x000D_
주공(18평/1.3)</t>
        </is>
      </c>
      <c r="E17" s="63" t="inlineStr">
        <is>
          <t>삼성(25평/1.4)_x000D_
삼성(21평/1.1)_x000D_
성원(16평/1.1)</t>
        </is>
      </c>
      <c r="F17" s="63" t="n"/>
      <c r="G17" s="63" t="inlineStr">
        <is>
          <t>주공(17평/1.3)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4">
        <f>IF(A8="","",A8)</f>
        <v/>
      </c>
      <c r="B21" s="57">
        <f>IF(B8="","",B8)</f>
        <v/>
      </c>
      <c r="C21" s="145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6">
        <f>IF(A9="","",A9)</f>
        <v/>
      </c>
      <c r="B22" s="59">
        <f>IF(B9="","",B9)</f>
        <v/>
      </c>
      <c r="C22" s="147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8">
        <f>IF(A10="","",A10)</f>
        <v/>
      </c>
      <c r="B23" s="55">
        <f>IF(B10="","",B10)</f>
        <v/>
      </c>
      <c r="C23" s="149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8">
        <f>IF(A11="","",A11)</f>
        <v/>
      </c>
      <c r="B24" s="55">
        <f>IF(B11="","",B11)</f>
        <v/>
      </c>
      <c r="C24" s="149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24" customHeight="1" s="125">
      <c r="A25" s="148">
        <f>IF(A12="","",A12)</f>
        <v/>
      </c>
      <c r="B25" s="55">
        <f>IF(B12="","",B12)</f>
        <v/>
      </c>
      <c r="C25" s="149">
        <f>IF(C12="","",C12)</f>
        <v/>
      </c>
      <c r="D25" s="56" t="inlineStr">
        <is>
          <t>창원마린푸르지오1단지('15/4.7)_x000D_
창원마린푸르지오2단지('15/4.4)</t>
        </is>
      </c>
      <c r="E25" s="56" t="inlineStr">
        <is>
          <t>자은중흥S-클래스('17/4.2)_x000D_
자은중흥S-클래스('17/4.1)</t>
        </is>
      </c>
      <c r="F25" s="56" t="n"/>
      <c r="G25" s="56" t="inlineStr">
        <is>
          <t>진해석동우림필유('08/4.3)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5">
      <c r="A26" s="150">
        <f>IF(A13="","",A13)</f>
        <v/>
      </c>
      <c r="B26" s="60">
        <f>IF(B13="","",B13)</f>
        <v/>
      </c>
      <c r="C26" s="151">
        <f>IF(C13="","",C13)</f>
        <v/>
      </c>
      <c r="D26" s="61" t="inlineStr">
        <is>
          <t>풍호한림리츠빌('05/3.0)</t>
        </is>
      </c>
      <c r="E26" s="61" t="inlineStr">
        <is>
          <t>자은프라임('15/3.9)_x000D_
협성DS이아이존빌('14/3.7)_x000D_
자은프라임('15/3.4)_x000D_
자은월드메르디앙('08/3.0)</t>
        </is>
      </c>
      <c r="F26" s="61" t="inlineStr">
        <is>
          <t>창원한신휴플러스오션파크('16/3.9)_x000D_
진해장천대동다숲('07/3.2)</t>
        </is>
      </c>
      <c r="G26" s="61" t="inlineStr">
        <is>
          <t>진해GS자이('06/3.5)_x000D_
벚꽃그린빌주공3단지('03/3.3)_x000D_
진해석동푸르지오('06/3.1)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50">
        <f>IF(A14="","",A14)</f>
        <v/>
      </c>
      <c r="B27" s="60">
        <f>IF(B14="","",B14)</f>
        <v/>
      </c>
      <c r="C27" s="151">
        <f>IF(C14="","",C14)</f>
        <v/>
      </c>
      <c r="D27" s="61" t="n"/>
      <c r="E27" s="61" t="inlineStr">
        <is>
          <t>자은더샵('05/2.5)</t>
        </is>
      </c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5">
      <c r="A28" s="150">
        <f>IF(A15="","",A15)</f>
        <v/>
      </c>
      <c r="B28" s="60">
        <f>IF(B15="","",B15)</f>
        <v/>
      </c>
      <c r="C28" s="151">
        <f>IF(C15="","",C15)</f>
        <v/>
      </c>
      <c r="D28" s="61" t="inlineStr">
        <is>
          <t>우성('93/2.1)_x000D_
디에스아이존빌('02/2.1)</t>
        </is>
      </c>
      <c r="E28" s="61" t="inlineStr">
        <is>
          <t>진해자은벚꽃주공('00/2.2)</t>
        </is>
      </c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2">
        <f>IF(A16="","",A16)</f>
        <v/>
      </c>
      <c r="B29" s="62">
        <f>IF(B16="","",B16)</f>
        <v/>
      </c>
      <c r="C29" s="153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2">
        <f>IF(A17="","",A17)</f>
        <v/>
      </c>
      <c r="B30" s="62">
        <f>IF(B17="","",B17)</f>
        <v/>
      </c>
      <c r="C30" s="153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4">
        <f>IF(A21="","",A21)</f>
        <v/>
      </c>
      <c r="B34" s="57">
        <f>IF(B21="","",B21)</f>
        <v/>
      </c>
      <c r="C34" s="145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6">
        <f>IF(A22="","",A22)</f>
        <v/>
      </c>
      <c r="B35" s="59">
        <f>IF(B22="","",B22)</f>
        <v/>
      </c>
      <c r="C35" s="147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8">
        <f>IF(A23="","",A23)</f>
        <v/>
      </c>
      <c r="B36" s="55">
        <f>IF(B23="","",B23)</f>
        <v/>
      </c>
      <c r="C36" s="149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8">
        <f>IF(A24="","",A24)</f>
        <v/>
      </c>
      <c r="B37" s="55">
        <f>IF(B24="","",B24)</f>
        <v/>
      </c>
      <c r="C37" s="149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8">
        <f>IF(A25="","",A25)</f>
        <v/>
      </c>
      <c r="B38" s="55">
        <f>IF(B25="","",B25)</f>
        <v/>
      </c>
      <c r="C38" s="149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50">
        <f>IF(A26="","",A26)</f>
        <v/>
      </c>
      <c r="B39" s="60">
        <f>IF(B26="","",B26)</f>
        <v/>
      </c>
      <c r="C39" s="151">
        <f>IF(C26="","",C26)</f>
        <v/>
      </c>
      <c r="D39" s="61" t="inlineStr">
        <is>
          <t>창원마린푸르지오1단지('15/3.3)</t>
        </is>
      </c>
      <c r="E39" s="61" t="n"/>
      <c r="F39" s="61" t="inlineStr">
        <is>
          <t>창원한신휴플러스오션파크('16/3.2)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5">
      <c r="A40" s="150">
        <f>IF(A27="","",A27)</f>
        <v/>
      </c>
      <c r="B40" s="60">
        <f>IF(B27="","",B27)</f>
        <v/>
      </c>
      <c r="C40" s="151">
        <f>IF(C27="","",C27)</f>
        <v/>
      </c>
      <c r="D40" s="61" t="n"/>
      <c r="E40" s="61" t="inlineStr">
        <is>
          <t>자은프라임('15/2.8)_x000D_
협성DS이아이존빌('14/2.7)</t>
        </is>
      </c>
      <c r="F40" s="61" t="inlineStr">
        <is>
          <t>진해장천대동다숲('07/2.5)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50">
        <f>IF(A28="","",A28)</f>
        <v/>
      </c>
      <c r="B41" s="60">
        <f>IF(B28="","",B28)</f>
        <v/>
      </c>
      <c r="C41" s="151">
        <f>IF(C28="","",C28)</f>
        <v/>
      </c>
      <c r="D41" s="61" t="inlineStr">
        <is>
          <t>디에스아이존빌('02/2.3)</t>
        </is>
      </c>
      <c r="E41" s="61" t="n"/>
      <c r="F41" s="61" t="n"/>
      <c r="G41" s="61" t="inlineStr">
        <is>
          <t>벚꽃그린빌주공4단지('03/2.2)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24" customHeight="1" s="125">
      <c r="A42" s="152">
        <f>IF(A29="","",A29)</f>
        <v/>
      </c>
      <c r="B42" s="62">
        <f>IF(B29="","",B29)</f>
        <v/>
      </c>
      <c r="C42" s="153">
        <f>IF(C29="","",C29)</f>
        <v/>
      </c>
      <c r="D42" s="63" t="inlineStr">
        <is>
          <t>우성('93/1.9)_x000D_
디에스아이존빌('02/1.7)</t>
        </is>
      </c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2">
        <f>IF(A30="","",A30)</f>
        <v/>
      </c>
      <c r="B43" s="62">
        <f>IF(B30="","",B30)</f>
        <v/>
      </c>
      <c r="C43" s="153">
        <f>IF(C30="","",C30)</f>
        <v/>
      </c>
      <c r="D43" s="63" t="n"/>
      <c r="E43" s="63" t="inlineStr">
        <is>
          <t>삼성('93/1.4)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4">
        <f>IF(A34="","",A34)</f>
        <v/>
      </c>
      <c r="B47" s="57">
        <f>IF(B34="","",B34)</f>
        <v/>
      </c>
      <c r="C47" s="145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6">
        <f>IF(A35="","",A35)</f>
        <v/>
      </c>
      <c r="B48" s="59">
        <f>IF(B35="","",B35)</f>
        <v/>
      </c>
      <c r="C48" s="147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8">
        <f>IF(A36="","",A36)</f>
        <v/>
      </c>
      <c r="B49" s="55">
        <f>IF(B36="","",B36)</f>
        <v/>
      </c>
      <c r="C49" s="149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8">
        <f>IF(A37="","",A37)</f>
        <v/>
      </c>
      <c r="B50" s="55">
        <f>IF(B37="","",B37)</f>
        <v/>
      </c>
      <c r="C50" s="149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8">
        <f>IF(A38="","",A38)</f>
        <v/>
      </c>
      <c r="B51" s="55">
        <f>IF(B38="","",B38)</f>
        <v/>
      </c>
      <c r="C51" s="149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50">
        <f>IF(A39="","",A39)</f>
        <v/>
      </c>
      <c r="B52" s="60">
        <f>IF(B39="","",B39)</f>
        <v/>
      </c>
      <c r="C52" s="151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50">
        <f>IF(A40="","",A40)</f>
        <v/>
      </c>
      <c r="B53" s="60">
        <f>IF(B40="","",B40)</f>
        <v/>
      </c>
      <c r="C53" s="151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50">
        <f>IF(A41="","",A41)</f>
        <v/>
      </c>
      <c r="B54" s="60">
        <f>IF(B41="","",B41)</f>
        <v/>
      </c>
      <c r="C54" s="151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2">
        <f>IF(A42="","",A42)</f>
        <v/>
      </c>
      <c r="B55" s="62">
        <f>IF(B42="","",B42)</f>
        <v/>
      </c>
      <c r="C55" s="153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2">
        <f>IF(A43="","",A43)</f>
        <v/>
      </c>
      <c r="B56" s="62">
        <f>IF(B43="","",B43)</f>
        <v/>
      </c>
      <c r="C56" s="153">
        <f>IF(C43="","",C43)</f>
        <v/>
      </c>
      <c r="D56" s="63" t="inlineStr">
        <is>
          <t>우성('93/1.4)</t>
        </is>
      </c>
      <c r="E56" s="63" t="inlineStr">
        <is>
          <t>삼성('93/1.1)</t>
        </is>
      </c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4">
        <f>IF(A47="","",A47)</f>
        <v/>
      </c>
      <c r="B60" s="57">
        <f>IF(B47="","",B47)</f>
        <v/>
      </c>
      <c r="C60" s="145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6">
        <f>IF(A48="","",A48)</f>
        <v/>
      </c>
      <c r="B61" s="59">
        <f>IF(B48="","",B48)</f>
        <v/>
      </c>
      <c r="C61" s="147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8">
        <f>IF(A49="","",A49)</f>
        <v/>
      </c>
      <c r="B62" s="55">
        <f>IF(B49="","",B49)</f>
        <v/>
      </c>
      <c r="C62" s="149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8">
        <f>IF(A50="","",A50)</f>
        <v/>
      </c>
      <c r="B63" s="55">
        <f>IF(B50="","",B50)</f>
        <v/>
      </c>
      <c r="C63" s="149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8">
        <f>IF(A51="","",A51)</f>
        <v/>
      </c>
      <c r="B64" s="55">
        <f>IF(B51="","",B51)</f>
        <v/>
      </c>
      <c r="C64" s="149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50">
        <f>IF(A52="","",A52)</f>
        <v/>
      </c>
      <c r="B65" s="60">
        <f>IF(B52="","",B52)</f>
        <v/>
      </c>
      <c r="C65" s="151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50">
        <f>IF(A53="","",A53)</f>
        <v/>
      </c>
      <c r="B66" s="60">
        <f>IF(B53="","",B53)</f>
        <v/>
      </c>
      <c r="C66" s="151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50">
        <f>IF(A54="","",A54)</f>
        <v/>
      </c>
      <c r="B67" s="60">
        <f>IF(B54="","",B54)</f>
        <v/>
      </c>
      <c r="C67" s="151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2">
        <f>IF(A55="","",A55)</f>
        <v/>
      </c>
      <c r="B68" s="62">
        <f>IF(B55="","",B55)</f>
        <v/>
      </c>
      <c r="C68" s="153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25">
      <c r="A69" s="152">
        <f>IF(A56="","",A56)</f>
        <v/>
      </c>
      <c r="B69" s="62">
        <f>IF(B56="","",B56)</f>
        <v/>
      </c>
      <c r="C69" s="153">
        <f>IF(C56="","",C56)</f>
        <v/>
      </c>
      <c r="D69" s="63" t="inlineStr">
        <is>
          <t>풍호시영('91/1.3)_x000D_
주공('90/1.3)</t>
        </is>
      </c>
      <c r="E69" s="63" t="inlineStr">
        <is>
          <t>성원('95/1.1)</t>
        </is>
      </c>
      <c r="F69" s="63" t="n"/>
      <c r="G69" s="63" t="inlineStr">
        <is>
          <t>주공('91/1.3)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5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5"/>
    <row r="7" ht="22.5" customHeight="1" s="125"/>
    <row r="9" ht="17.25" customHeight="1" s="125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29"/>
  <sheetViews>
    <sheetView zoomScaleNormal="100" workbookViewId="0">
      <selection activeCell="N11" sqref="N11"/>
    </sheetView>
  </sheetViews>
  <sheetFormatPr baseColWidth="8" defaultRowHeight="16.5"/>
  <sheetData>
    <row r="1">
      <c r="A1" s="0" t="inlineStr">
        <is>
          <t>[경화동]</t>
        </is>
      </c>
      <c r="B1" s="0" t="n">
        <v>118228</v>
      </c>
      <c r="C1" s="0" t="n">
        <v>1</v>
      </c>
      <c r="D1" s="0" t="inlineStr">
        <is>
          <t>더좋은큐브(도시형)</t>
        </is>
      </c>
      <c r="E1" s="0" t="inlineStr">
        <is>
          <t>2013.09.</t>
        </is>
      </c>
      <c r="F1" s="0" t="n">
        <v>24</v>
      </c>
      <c r="G1" s="0" t="n">
        <v>19.41</v>
      </c>
      <c r="H1" s="0" t="n">
        <v>64.19</v>
      </c>
      <c r="I1" s="0" t="n">
        <v>14.01</v>
      </c>
      <c r="J1" s="0" t="n">
        <v>46.32</v>
      </c>
      <c r="K1" s="0" t="n">
        <v>6</v>
      </c>
      <c r="T1" s="0" t="n">
        <v>1</v>
      </c>
      <c r="U1" s="0" t="n">
        <v>1</v>
      </c>
      <c r="V1" s="0" t="inlineStr">
        <is>
          <t>계단식</t>
        </is>
      </c>
      <c r="W1" s="0" t="n">
        <v>64</v>
      </c>
      <c r="X1" s="0" t="n">
        <v>7</v>
      </c>
      <c r="Y1" s="0" t="n">
        <v>7</v>
      </c>
      <c r="Z1" s="0" t="inlineStr">
        <is>
          <t>https://new.land.naver.com/complexes/118228?tab=detail&amp;rf=Y</t>
        </is>
      </c>
      <c r="AA1" s="0" t="inlineStr">
        <is>
          <t>경상남도 창원시 진해구 경화동 900</t>
        </is>
      </c>
      <c r="AB1" s="0" t="inlineStr">
        <is>
          <t>경상남도</t>
        </is>
      </c>
      <c r="AC1" s="0" t="inlineStr">
        <is>
          <t>창원시</t>
        </is>
      </c>
      <c r="AD1" s="0" t="inlineStr">
        <is>
          <t>진해구</t>
        </is>
      </c>
      <c r="AE1" s="0" t="inlineStr">
        <is>
          <t>경화동</t>
        </is>
      </c>
      <c r="AG1" s="0" t="inlineStr">
        <is>
          <t>경상남도 창원시 진해구 진해대로694번길 24</t>
        </is>
      </c>
      <c r="AH1" s="0" t="n">
        <v>0</v>
      </c>
      <c r="AI1" s="0" t="n">
        <v>260</v>
      </c>
      <c r="AJ1" s="0" t="n">
        <v>47</v>
      </c>
      <c r="AK1" s="0" t="n">
        <v>20</v>
      </c>
      <c r="AL1" s="0" t="n">
        <v>0.83</v>
      </c>
    </row>
    <row r="2">
      <c r="A2" s="0" t="inlineStr">
        <is>
          <t>[경화동]</t>
        </is>
      </c>
      <c r="B2" s="0" t="n">
        <v>118228</v>
      </c>
      <c r="C2" s="0" t="n">
        <v>2</v>
      </c>
      <c r="D2" s="0" t="inlineStr">
        <is>
          <t>더좋은큐브(도시형)</t>
        </is>
      </c>
      <c r="E2" s="0" t="inlineStr">
        <is>
          <t>2013.09.</t>
        </is>
      </c>
      <c r="F2" s="0" t="n">
        <v>24</v>
      </c>
      <c r="G2" s="0" t="n">
        <v>20.28</v>
      </c>
      <c r="H2" s="0" t="n">
        <v>67.06999999999999</v>
      </c>
      <c r="I2" s="0" t="n">
        <v>14.82</v>
      </c>
      <c r="J2" s="0" t="n">
        <v>49</v>
      </c>
      <c r="K2" s="0" t="n">
        <v>12</v>
      </c>
      <c r="T2" s="0" t="n">
        <v>1</v>
      </c>
      <c r="U2" s="0" t="n">
        <v>1</v>
      </c>
      <c r="V2" s="0" t="inlineStr">
        <is>
          <t>계단식</t>
        </is>
      </c>
      <c r="W2" s="0" t="inlineStr">
        <is>
          <t>67B</t>
        </is>
      </c>
      <c r="X2" s="0" t="n">
        <v>7</v>
      </c>
      <c r="Y2" s="0" t="n">
        <v>7</v>
      </c>
      <c r="Z2" s="0" t="inlineStr">
        <is>
          <t>https://new.land.naver.com/complexes/118228?tab=detail&amp;rf=Y</t>
        </is>
      </c>
      <c r="AA2" s="0" t="inlineStr">
        <is>
          <t>경상남도 창원시 진해구 경화동 900</t>
        </is>
      </c>
      <c r="AB2" s="0" t="inlineStr">
        <is>
          <t>경상남도</t>
        </is>
      </c>
      <c r="AC2" s="0" t="inlineStr">
        <is>
          <t>창원시</t>
        </is>
      </c>
      <c r="AD2" s="0" t="inlineStr">
        <is>
          <t>진해구</t>
        </is>
      </c>
      <c r="AE2" s="0" t="inlineStr">
        <is>
          <t>경화동</t>
        </is>
      </c>
      <c r="AG2" s="0" t="inlineStr">
        <is>
          <t>경상남도 창원시 진해구 진해대로694번길 24</t>
        </is>
      </c>
      <c r="AH2" s="0" t="n">
        <v>0</v>
      </c>
      <c r="AI2" s="0" t="n">
        <v>260</v>
      </c>
      <c r="AJ2" s="0" t="n">
        <v>47</v>
      </c>
      <c r="AK2" s="0" t="n">
        <v>20</v>
      </c>
      <c r="AL2" s="0" t="n">
        <v>0.83</v>
      </c>
    </row>
    <row r="3">
      <c r="A3" s="0" t="inlineStr">
        <is>
          <t>[경화동]</t>
        </is>
      </c>
      <c r="B3" s="0" t="n">
        <v>118228</v>
      </c>
      <c r="C3" s="0" t="n">
        <v>3</v>
      </c>
      <c r="D3" s="0" t="inlineStr">
        <is>
          <t>더좋은큐브(도시형)</t>
        </is>
      </c>
      <c r="E3" s="0" t="inlineStr">
        <is>
          <t>2013.09.</t>
        </is>
      </c>
      <c r="F3" s="0" t="n">
        <v>24</v>
      </c>
      <c r="G3" s="0" t="n">
        <v>20.4</v>
      </c>
      <c r="H3" s="0" t="n">
        <v>67.45</v>
      </c>
      <c r="I3" s="0" t="n">
        <v>14.65</v>
      </c>
      <c r="J3" s="0" t="n">
        <v>48.44</v>
      </c>
      <c r="K3" s="0" t="n">
        <v>6</v>
      </c>
      <c r="T3" s="0" t="n">
        <v>1</v>
      </c>
      <c r="U3" s="0" t="n">
        <v>1</v>
      </c>
      <c r="V3" s="0" t="inlineStr">
        <is>
          <t>계단식</t>
        </is>
      </c>
      <c r="W3" s="0" t="inlineStr">
        <is>
          <t>67A</t>
        </is>
      </c>
      <c r="X3" s="0" t="n">
        <v>7</v>
      </c>
      <c r="Y3" s="0" t="n">
        <v>7</v>
      </c>
      <c r="Z3" s="0" t="inlineStr">
        <is>
          <t>https://new.land.naver.com/complexes/118228?tab=detail&amp;rf=Y</t>
        </is>
      </c>
      <c r="AA3" s="0" t="inlineStr">
        <is>
          <t>경상남도 창원시 진해구 경화동 900</t>
        </is>
      </c>
      <c r="AB3" s="0" t="inlineStr">
        <is>
          <t>경상남도</t>
        </is>
      </c>
      <c r="AC3" s="0" t="inlineStr">
        <is>
          <t>창원시</t>
        </is>
      </c>
      <c r="AD3" s="0" t="inlineStr">
        <is>
          <t>진해구</t>
        </is>
      </c>
      <c r="AE3" s="0" t="inlineStr">
        <is>
          <t>경화동</t>
        </is>
      </c>
      <c r="AG3" s="0" t="inlineStr">
        <is>
          <t>경상남도 창원시 진해구 진해대로694번길 24</t>
        </is>
      </c>
      <c r="AH3" s="0" t="n">
        <v>0</v>
      </c>
      <c r="AI3" s="0" t="n">
        <v>260</v>
      </c>
      <c r="AJ3" s="0" t="n">
        <v>47</v>
      </c>
      <c r="AK3" s="0" t="n">
        <v>20</v>
      </c>
      <c r="AL3" s="0" t="n">
        <v>0.83</v>
      </c>
    </row>
    <row r="4">
      <c r="A4" s="0" t="inlineStr">
        <is>
          <t>[경화동]</t>
        </is>
      </c>
      <c r="B4" s="0" t="n">
        <v>14645</v>
      </c>
      <c r="C4" s="0" t="n">
        <v>1</v>
      </c>
      <c r="D4" s="0" t="inlineStr">
        <is>
          <t>경화삼정그린코아2단지</t>
        </is>
      </c>
      <c r="E4" s="0" t="inlineStr">
        <is>
          <t>2005.08.</t>
        </is>
      </c>
      <c r="F4" s="0" t="n">
        <v>102</v>
      </c>
      <c r="G4" s="0" t="n">
        <v>34.01</v>
      </c>
      <c r="H4" s="0" t="n">
        <v>112.43</v>
      </c>
      <c r="I4" s="0" t="n">
        <v>25.67</v>
      </c>
      <c r="J4" s="0" t="n">
        <v>84.89</v>
      </c>
      <c r="K4" s="0" t="n">
        <v>102</v>
      </c>
      <c r="T4" s="0" t="n">
        <v>3</v>
      </c>
      <c r="U4" s="0" t="n">
        <v>2</v>
      </c>
      <c r="V4" s="0" t="inlineStr">
        <is>
          <t>계단식</t>
        </is>
      </c>
      <c r="W4" s="0" t="n">
        <v>112</v>
      </c>
      <c r="X4" s="0" t="n">
        <v>15</v>
      </c>
      <c r="Y4" s="0" t="n">
        <v>9</v>
      </c>
      <c r="Z4" s="0" t="inlineStr">
        <is>
          <t>https://new.land.naver.com/complexes/14645?tab=detail&amp;rf=Y</t>
        </is>
      </c>
      <c r="AA4" s="0" t="inlineStr">
        <is>
          <t>경상남도 창원시 진해구 경화동 1291</t>
        </is>
      </c>
      <c r="AB4" s="0" t="inlineStr">
        <is>
          <t>경상남도</t>
        </is>
      </c>
      <c r="AC4" s="0" t="inlineStr">
        <is>
          <t>창원시</t>
        </is>
      </c>
      <c r="AD4" s="0" t="inlineStr">
        <is>
          <t>진해구</t>
        </is>
      </c>
      <c r="AE4" s="0" t="inlineStr">
        <is>
          <t>경화동</t>
        </is>
      </c>
      <c r="AG4" s="0" t="inlineStr">
        <is>
          <t>경상남도 창원시 진해구 조천북로 99</t>
        </is>
      </c>
      <c r="AH4" s="0" t="n">
        <v>0</v>
      </c>
      <c r="AI4" s="0" t="n">
        <v>199</v>
      </c>
      <c r="AJ4" s="0" t="n">
        <v>21</v>
      </c>
      <c r="AK4" s="0" t="n">
        <v>105</v>
      </c>
      <c r="AL4" s="0" t="n">
        <v>1.03</v>
      </c>
    </row>
    <row r="5">
      <c r="A5" s="0" t="inlineStr">
        <is>
          <t>[경화동]</t>
        </is>
      </c>
      <c r="B5" s="0" t="n">
        <v>112837</v>
      </c>
      <c r="C5" s="0" t="n">
        <v>1</v>
      </c>
      <c r="D5" s="0" t="inlineStr">
        <is>
          <t>경화보람아름채시티</t>
        </is>
      </c>
      <c r="E5" s="0" t="inlineStr">
        <is>
          <t>2016.06.</t>
        </is>
      </c>
      <c r="F5" s="0" t="n">
        <v>31</v>
      </c>
      <c r="G5" s="0" t="n">
        <v>22.02</v>
      </c>
      <c r="H5" s="0" t="n">
        <v>72.8</v>
      </c>
      <c r="I5" s="0" t="n">
        <v>15.1</v>
      </c>
      <c r="J5" s="0" t="n">
        <v>49.94</v>
      </c>
      <c r="K5" s="0" t="n">
        <v>8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72C</t>
        </is>
      </c>
      <c r="X5" s="0" t="n">
        <v>9</v>
      </c>
      <c r="Y5" s="0" t="n">
        <v>9</v>
      </c>
      <c r="Z5" s="0" t="inlineStr">
        <is>
          <t>https://new.land.naver.com/complexes/112837?tab=detail&amp;rf=Y</t>
        </is>
      </c>
      <c r="AA5" s="0" t="inlineStr">
        <is>
          <t>경상남도 창원시 진해구 경화동 908</t>
        </is>
      </c>
      <c r="AB5" s="0" t="inlineStr">
        <is>
          <t>경상남도</t>
        </is>
      </c>
      <c r="AC5" s="0" t="inlineStr">
        <is>
          <t>창원시</t>
        </is>
      </c>
      <c r="AD5" s="0" t="inlineStr">
        <is>
          <t>진해구</t>
        </is>
      </c>
      <c r="AE5" s="0" t="inlineStr">
        <is>
          <t>경화동</t>
        </is>
      </c>
      <c r="AG5" s="0" t="inlineStr">
        <is>
          <t>경상남도 창원시 진해구 병암로45번길 13-18</t>
        </is>
      </c>
      <c r="AH5" s="0" t="n">
        <v>0</v>
      </c>
      <c r="AI5" s="0" t="n">
        <v>305</v>
      </c>
      <c r="AJ5" s="0" t="n">
        <v>48</v>
      </c>
      <c r="AK5" s="0" t="n">
        <v>23</v>
      </c>
      <c r="AL5" s="0" t="n">
        <v>0.74</v>
      </c>
    </row>
    <row r="6">
      <c r="A6" s="0" t="inlineStr">
        <is>
          <t>[경화동]</t>
        </is>
      </c>
      <c r="B6" s="0" t="n">
        <v>112837</v>
      </c>
      <c r="C6" s="0" t="n">
        <v>2</v>
      </c>
      <c r="D6" s="0" t="inlineStr">
        <is>
          <t>경화보람아름채시티</t>
        </is>
      </c>
      <c r="E6" s="0" t="inlineStr">
        <is>
          <t>2016.06.</t>
        </is>
      </c>
      <c r="F6" s="0" t="n">
        <v>31</v>
      </c>
      <c r="G6" s="0" t="n">
        <v>22.1</v>
      </c>
      <c r="H6" s="0" t="n">
        <v>73.08</v>
      </c>
      <c r="I6" s="0" t="n">
        <v>15.02</v>
      </c>
      <c r="J6" s="0" t="n">
        <v>49.67</v>
      </c>
      <c r="K6" s="0" t="n">
        <v>8</v>
      </c>
      <c r="T6" s="0" t="n">
        <v>2</v>
      </c>
      <c r="U6" s="0" t="n">
        <v>1</v>
      </c>
      <c r="V6" s="0" t="inlineStr">
        <is>
          <t>계단식</t>
        </is>
      </c>
      <c r="W6" s="0" t="inlineStr">
        <is>
          <t>73A</t>
        </is>
      </c>
      <c r="X6" s="0" t="n">
        <v>9</v>
      </c>
      <c r="Y6" s="0" t="n">
        <v>9</v>
      </c>
      <c r="Z6" s="0" t="inlineStr">
        <is>
          <t>https://new.land.naver.com/complexes/112837?tab=detail&amp;rf=Y</t>
        </is>
      </c>
      <c r="AA6" s="0" t="inlineStr">
        <is>
          <t>경상남도 창원시 진해구 경화동 908</t>
        </is>
      </c>
      <c r="AB6" s="0" t="inlineStr">
        <is>
          <t>경상남도</t>
        </is>
      </c>
      <c r="AC6" s="0" t="inlineStr">
        <is>
          <t>창원시</t>
        </is>
      </c>
      <c r="AD6" s="0" t="inlineStr">
        <is>
          <t>진해구</t>
        </is>
      </c>
      <c r="AE6" s="0" t="inlineStr">
        <is>
          <t>경화동</t>
        </is>
      </c>
      <c r="AG6" s="0" t="inlineStr">
        <is>
          <t>경상남도 창원시 진해구 병암로45번길 13-18</t>
        </is>
      </c>
      <c r="AH6" s="0" t="n">
        <v>0</v>
      </c>
      <c r="AI6" s="0" t="n">
        <v>305</v>
      </c>
      <c r="AJ6" s="0" t="n">
        <v>48</v>
      </c>
      <c r="AK6" s="0" t="n">
        <v>23</v>
      </c>
      <c r="AL6" s="0" t="n">
        <v>0.74</v>
      </c>
    </row>
    <row r="7">
      <c r="A7" s="0" t="inlineStr">
        <is>
          <t>[경화동]</t>
        </is>
      </c>
      <c r="B7" s="0" t="n">
        <v>112837</v>
      </c>
      <c r="C7" s="0" t="n">
        <v>3</v>
      </c>
      <c r="D7" s="0" t="inlineStr">
        <is>
          <t>경화보람아름채시티</t>
        </is>
      </c>
      <c r="E7" s="0" t="inlineStr">
        <is>
          <t>2016.06.</t>
        </is>
      </c>
      <c r="F7" s="0" t="n">
        <v>31</v>
      </c>
      <c r="G7" s="0" t="n">
        <v>22.11</v>
      </c>
      <c r="H7" s="0" t="n">
        <v>73.12</v>
      </c>
      <c r="I7" s="0" t="n">
        <v>15.1</v>
      </c>
      <c r="J7" s="0" t="n">
        <v>49.92</v>
      </c>
      <c r="K7" s="0" t="n">
        <v>8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73B</t>
        </is>
      </c>
      <c r="X7" s="0" t="n">
        <v>9</v>
      </c>
      <c r="Y7" s="0" t="n">
        <v>9</v>
      </c>
      <c r="Z7" s="0" t="inlineStr">
        <is>
          <t>https://new.land.naver.com/complexes/112837?tab=detail&amp;rf=Y</t>
        </is>
      </c>
      <c r="AA7" s="0" t="inlineStr">
        <is>
          <t>경상남도 창원시 진해구 경화동 908</t>
        </is>
      </c>
      <c r="AB7" s="0" t="inlineStr">
        <is>
          <t>경상남도</t>
        </is>
      </c>
      <c r="AC7" s="0" t="inlineStr">
        <is>
          <t>창원시</t>
        </is>
      </c>
      <c r="AD7" s="0" t="inlineStr">
        <is>
          <t>진해구</t>
        </is>
      </c>
      <c r="AE7" s="0" t="inlineStr">
        <is>
          <t>경화동</t>
        </is>
      </c>
      <c r="AG7" s="0" t="inlineStr">
        <is>
          <t>경상남도 창원시 진해구 병암로45번길 13-18</t>
        </is>
      </c>
      <c r="AH7" s="0" t="n">
        <v>0</v>
      </c>
      <c r="AI7" s="0" t="n">
        <v>305</v>
      </c>
      <c r="AJ7" s="0" t="n">
        <v>48</v>
      </c>
      <c r="AK7" s="0" t="n">
        <v>23</v>
      </c>
      <c r="AL7" s="0" t="n">
        <v>0.74</v>
      </c>
    </row>
    <row r="8">
      <c r="A8" s="0" t="inlineStr">
        <is>
          <t>[경화동]</t>
        </is>
      </c>
      <c r="B8" s="0" t="n">
        <v>112837</v>
      </c>
      <c r="C8" s="0" t="n">
        <v>4</v>
      </c>
      <c r="D8" s="0" t="inlineStr">
        <is>
          <t>경화보람아름채시티</t>
        </is>
      </c>
      <c r="E8" s="0" t="inlineStr">
        <is>
          <t>2016.06.</t>
        </is>
      </c>
      <c r="F8" s="0" t="n">
        <v>31</v>
      </c>
      <c r="G8" s="0" t="n">
        <v>22.16</v>
      </c>
      <c r="H8" s="0" t="n">
        <v>73.27</v>
      </c>
      <c r="I8" s="0" t="n">
        <v>15.08</v>
      </c>
      <c r="J8" s="0" t="n">
        <v>49.88</v>
      </c>
      <c r="K8" s="0" t="n">
        <v>7</v>
      </c>
      <c r="T8" s="0" t="n">
        <v>2</v>
      </c>
      <c r="U8" s="0" t="n">
        <v>1</v>
      </c>
      <c r="V8" s="0" t="inlineStr">
        <is>
          <t>계단식</t>
        </is>
      </c>
      <c r="W8" s="0" t="inlineStr">
        <is>
          <t>73D</t>
        </is>
      </c>
      <c r="X8" s="0" t="n">
        <v>9</v>
      </c>
      <c r="Y8" s="0" t="n">
        <v>9</v>
      </c>
      <c r="Z8" s="0" t="inlineStr">
        <is>
          <t>https://new.land.naver.com/complexes/112837?tab=detail&amp;rf=Y</t>
        </is>
      </c>
      <c r="AA8" s="0" t="inlineStr">
        <is>
          <t>경상남도 창원시 진해구 경화동 908</t>
        </is>
      </c>
      <c r="AB8" s="0" t="inlineStr">
        <is>
          <t>경상남도</t>
        </is>
      </c>
      <c r="AC8" s="0" t="inlineStr">
        <is>
          <t>창원시</t>
        </is>
      </c>
      <c r="AD8" s="0" t="inlineStr">
        <is>
          <t>진해구</t>
        </is>
      </c>
      <c r="AE8" s="0" t="inlineStr">
        <is>
          <t>경화동</t>
        </is>
      </c>
      <c r="AG8" s="0" t="inlineStr">
        <is>
          <t>경상남도 창원시 진해구 병암로45번길 13-18</t>
        </is>
      </c>
      <c r="AH8" s="0" t="n">
        <v>0</v>
      </c>
      <c r="AI8" s="0" t="n">
        <v>305</v>
      </c>
      <c r="AJ8" s="0" t="n">
        <v>48</v>
      </c>
      <c r="AK8" s="0" t="n">
        <v>23</v>
      </c>
      <c r="AL8" s="0" t="n">
        <v>0.74</v>
      </c>
    </row>
    <row r="9">
      <c r="A9" s="0" t="inlineStr">
        <is>
          <t>[경화동]</t>
        </is>
      </c>
      <c r="B9" s="0" t="n">
        <v>7545</v>
      </c>
      <c r="C9" s="0" t="n">
        <v>1</v>
      </c>
      <c r="D9" s="0" t="inlineStr">
        <is>
          <t>경화</t>
        </is>
      </c>
      <c r="E9" s="0" t="inlineStr">
        <is>
          <t>1985.05.</t>
        </is>
      </c>
      <c r="F9" s="0" t="n">
        <v>84</v>
      </c>
      <c r="G9" s="0" t="n">
        <v>18.17</v>
      </c>
      <c r="H9" s="0" t="n">
        <v>60.09</v>
      </c>
      <c r="I9" s="0" t="n">
        <v>15.81</v>
      </c>
      <c r="J9" s="0" t="n">
        <v>52.29</v>
      </c>
      <c r="K9" s="0" t="n">
        <v>56</v>
      </c>
      <c r="T9" s="0" t="n">
        <v>3</v>
      </c>
      <c r="U9" s="0" t="n">
        <v>1</v>
      </c>
      <c r="V9" s="0" t="inlineStr">
        <is>
          <t>계단식</t>
        </is>
      </c>
      <c r="W9" s="0" t="n">
        <v>60</v>
      </c>
      <c r="X9" s="0" t="n">
        <v>5</v>
      </c>
      <c r="Y9" s="0" t="n">
        <v>3</v>
      </c>
      <c r="Z9" s="0" t="inlineStr">
        <is>
          <t>https://new.land.naver.com/complexes/7545?tab=detail&amp;rf=Y</t>
        </is>
      </c>
      <c r="AA9" s="0" t="inlineStr">
        <is>
          <t>경상남도 창원시 진해구 경화동 904-2</t>
        </is>
      </c>
      <c r="AB9" s="0" t="inlineStr">
        <is>
          <t>경상남도</t>
        </is>
      </c>
      <c r="AC9" s="0" t="inlineStr">
        <is>
          <t>창원시</t>
        </is>
      </c>
      <c r="AD9" s="0" t="inlineStr">
        <is>
          <t>진해구</t>
        </is>
      </c>
      <c r="AE9" s="0" t="inlineStr">
        <is>
          <t>경화동</t>
        </is>
      </c>
      <c r="AG9" s="0" t="inlineStr">
        <is>
          <t>경상남도 창원시 진해구 경화시장로 34-3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[경화동]</t>
        </is>
      </c>
      <c r="B10" s="0" t="n">
        <v>7545</v>
      </c>
      <c r="C10" s="0" t="n">
        <v>2</v>
      </c>
      <c r="D10" s="0" t="inlineStr">
        <is>
          <t>경화</t>
        </is>
      </c>
      <c r="E10" s="0" t="inlineStr">
        <is>
          <t>1985.05.</t>
        </is>
      </c>
      <c r="F10" s="0" t="n">
        <v>84</v>
      </c>
      <c r="G10" s="0" t="n">
        <v>20.17</v>
      </c>
      <c r="H10" s="0" t="n">
        <v>66.69</v>
      </c>
      <c r="I10" s="0" t="n">
        <v>17.85</v>
      </c>
      <c r="J10" s="0" t="n">
        <v>59.04</v>
      </c>
      <c r="K10" s="0" t="n">
        <v>15</v>
      </c>
      <c r="T10" s="0" t="n">
        <v>3</v>
      </c>
      <c r="U10" s="0" t="n">
        <v>1</v>
      </c>
      <c r="V10" s="0" t="inlineStr">
        <is>
          <t>계단식</t>
        </is>
      </c>
      <c r="W10" s="0" t="n">
        <v>66</v>
      </c>
      <c r="X10" s="0" t="n">
        <v>5</v>
      </c>
      <c r="Y10" s="0" t="n">
        <v>3</v>
      </c>
      <c r="Z10" s="0" t="inlineStr">
        <is>
          <t>https://new.land.naver.com/complexes/7545?tab=detail&amp;rf=Y</t>
        </is>
      </c>
      <c r="AA10" s="0" t="inlineStr">
        <is>
          <t>경상남도 창원시 진해구 경화동 904-2</t>
        </is>
      </c>
      <c r="AB10" s="0" t="inlineStr">
        <is>
          <t>경상남도</t>
        </is>
      </c>
      <c r="AC10" s="0" t="inlineStr">
        <is>
          <t>창원시</t>
        </is>
      </c>
      <c r="AD10" s="0" t="inlineStr">
        <is>
          <t>진해구</t>
        </is>
      </c>
      <c r="AE10" s="0" t="inlineStr">
        <is>
          <t>경화동</t>
        </is>
      </c>
      <c r="AG10" s="0" t="inlineStr">
        <is>
          <t>경상남도 창원시 진해구 경화시장로 34-3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[경화동]</t>
        </is>
      </c>
      <c r="B11" s="0" t="n">
        <v>7545</v>
      </c>
      <c r="C11" s="0" t="n">
        <v>3</v>
      </c>
      <c r="D11" s="0" t="inlineStr">
        <is>
          <t>경화</t>
        </is>
      </c>
      <c r="E11" s="0" t="inlineStr">
        <is>
          <t>1985.05.</t>
        </is>
      </c>
      <c r="F11" s="0" t="n">
        <v>84</v>
      </c>
      <c r="G11" s="0" t="n">
        <v>20.83</v>
      </c>
      <c r="H11" s="0" t="n">
        <v>68.89</v>
      </c>
      <c r="I11" s="0" t="n">
        <v>18.52</v>
      </c>
      <c r="J11" s="0" t="n">
        <v>61.24</v>
      </c>
      <c r="K11" s="0" t="n">
        <v>3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68B</t>
        </is>
      </c>
      <c r="X11" s="0" t="n">
        <v>5</v>
      </c>
      <c r="Y11" s="0" t="n">
        <v>3</v>
      </c>
      <c r="Z11" s="0" t="inlineStr">
        <is>
          <t>https://new.land.naver.com/complexes/7545?tab=detail&amp;rf=Y</t>
        </is>
      </c>
      <c r="AA11" s="0" t="inlineStr">
        <is>
          <t>경상남도 창원시 진해구 경화동 904-2</t>
        </is>
      </c>
      <c r="AB11" s="0" t="inlineStr">
        <is>
          <t>경상남도</t>
        </is>
      </c>
      <c r="AC11" s="0" t="inlineStr">
        <is>
          <t>창원시</t>
        </is>
      </c>
      <c r="AD11" s="0" t="inlineStr">
        <is>
          <t>진해구</t>
        </is>
      </c>
      <c r="AE11" s="0" t="inlineStr">
        <is>
          <t>경화동</t>
        </is>
      </c>
      <c r="AG11" s="0" t="inlineStr">
        <is>
          <t>경상남도 창원시 진해구 경화시장로 34-3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[경화동]</t>
        </is>
      </c>
      <c r="B12" s="0" t="n">
        <v>7545</v>
      </c>
      <c r="C12" s="0" t="n">
        <v>4</v>
      </c>
      <c r="D12" s="0" t="inlineStr">
        <is>
          <t>경화</t>
        </is>
      </c>
      <c r="E12" s="0" t="inlineStr">
        <is>
          <t>1985.05.</t>
        </is>
      </c>
      <c r="F12" s="0" t="n">
        <v>84</v>
      </c>
      <c r="G12" s="0" t="n">
        <v>21.26</v>
      </c>
      <c r="H12" s="0" t="n">
        <v>70.29000000000001</v>
      </c>
      <c r="I12" s="0" t="n">
        <v>16.36</v>
      </c>
      <c r="J12" s="0" t="n">
        <v>54.09</v>
      </c>
      <c r="K12" s="0" t="n">
        <v>5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70A</t>
        </is>
      </c>
      <c r="X12" s="0" t="n">
        <v>5</v>
      </c>
      <c r="Y12" s="0" t="n">
        <v>3</v>
      </c>
      <c r="Z12" s="0" t="inlineStr">
        <is>
          <t>https://new.land.naver.com/complexes/7545?tab=detail&amp;rf=Y</t>
        </is>
      </c>
      <c r="AA12" s="0" t="inlineStr">
        <is>
          <t>경상남도 창원시 진해구 경화동 904-2</t>
        </is>
      </c>
      <c r="AB12" s="0" t="inlineStr">
        <is>
          <t>경상남도</t>
        </is>
      </c>
      <c r="AC12" s="0" t="inlineStr">
        <is>
          <t>창원시</t>
        </is>
      </c>
      <c r="AD12" s="0" t="inlineStr">
        <is>
          <t>진해구</t>
        </is>
      </c>
      <c r="AE12" s="0" t="inlineStr">
        <is>
          <t>경화동</t>
        </is>
      </c>
      <c r="AG12" s="0" t="inlineStr">
        <is>
          <t>경상남도 창원시 진해구 경화시장로 34-3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[경화동]</t>
        </is>
      </c>
      <c r="B13" s="0" t="n">
        <v>7545</v>
      </c>
      <c r="C13" s="0" t="n">
        <v>5</v>
      </c>
      <c r="D13" s="0" t="inlineStr">
        <is>
          <t>경화</t>
        </is>
      </c>
      <c r="E13" s="0" t="inlineStr">
        <is>
          <t>1985.05.</t>
        </is>
      </c>
      <c r="F13" s="0" t="n">
        <v>84</v>
      </c>
      <c r="G13" s="0" t="n">
        <v>21.67</v>
      </c>
      <c r="H13" s="0" t="n">
        <v>71.64</v>
      </c>
      <c r="I13" s="0" t="n">
        <v>17.72</v>
      </c>
      <c r="J13" s="0" t="n">
        <v>58.59</v>
      </c>
      <c r="K13" s="0" t="n">
        <v>5</v>
      </c>
      <c r="T13" s="0" t="n">
        <v>3</v>
      </c>
      <c r="U13" s="0" t="n">
        <v>1</v>
      </c>
      <c r="V13" s="0" t="inlineStr">
        <is>
          <t>계단식</t>
        </is>
      </c>
      <c r="W13" s="0" t="n">
        <v>71</v>
      </c>
      <c r="X13" s="0" t="n">
        <v>5</v>
      </c>
      <c r="Y13" s="0" t="n">
        <v>3</v>
      </c>
      <c r="Z13" s="0" t="inlineStr">
        <is>
          <t>https://new.land.naver.com/complexes/7545?tab=detail&amp;rf=Y</t>
        </is>
      </c>
      <c r="AA13" s="0" t="inlineStr">
        <is>
          <t>경상남도 창원시 진해구 경화동 904-2</t>
        </is>
      </c>
      <c r="AB13" s="0" t="inlineStr">
        <is>
          <t>경상남도</t>
        </is>
      </c>
      <c r="AC13" s="0" t="inlineStr">
        <is>
          <t>창원시</t>
        </is>
      </c>
      <c r="AD13" s="0" t="inlineStr">
        <is>
          <t>진해구</t>
        </is>
      </c>
      <c r="AE13" s="0" t="inlineStr">
        <is>
          <t>경화동</t>
        </is>
      </c>
      <c r="AG13" s="0" t="inlineStr">
        <is>
          <t>경상남도 창원시 진해구 경화시장로 34-3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[경화동]</t>
        </is>
      </c>
      <c r="B14" s="0" t="n">
        <v>116297</v>
      </c>
      <c r="C14" s="0" t="n">
        <v>1</v>
      </c>
      <c r="D14" s="0" t="inlineStr">
        <is>
          <t>두산위브</t>
        </is>
      </c>
      <c r="E14" s="0" t="inlineStr">
        <is>
          <t>2017.02.</t>
        </is>
      </c>
      <c r="F14" s="0" t="n">
        <v>462</v>
      </c>
      <c r="G14" s="0" t="n">
        <v>24.29</v>
      </c>
      <c r="H14" s="0" t="n">
        <v>80.33</v>
      </c>
      <c r="I14" s="0" t="n">
        <v>18.12</v>
      </c>
      <c r="J14" s="0" t="n">
        <v>59.92</v>
      </c>
      <c r="K14" s="0" t="n">
        <v>71</v>
      </c>
      <c r="T14" s="0" t="n">
        <v>3</v>
      </c>
      <c r="U14" s="0" t="n">
        <v>2</v>
      </c>
      <c r="V14" s="0" t="inlineStr">
        <is>
          <t>계단식</t>
        </is>
      </c>
      <c r="W14" s="0" t="n">
        <v>80</v>
      </c>
      <c r="X14" s="0" t="n">
        <v>15</v>
      </c>
      <c r="Y14" s="0" t="n">
        <v>8</v>
      </c>
      <c r="Z14" s="0" t="inlineStr">
        <is>
          <t>https://new.land.naver.com/complexes/116297?tab=detail&amp;rf=Y</t>
        </is>
      </c>
      <c r="AA14" s="0" t="inlineStr">
        <is>
          <t>경상남도 창원시 진해구 경화동 1334</t>
        </is>
      </c>
      <c r="AB14" s="0" t="inlineStr">
        <is>
          <t>경상남도</t>
        </is>
      </c>
      <c r="AC14" s="0" t="inlineStr">
        <is>
          <t>창원시</t>
        </is>
      </c>
      <c r="AD14" s="0" t="inlineStr">
        <is>
          <t>진해구</t>
        </is>
      </c>
      <c r="AE14" s="0" t="inlineStr">
        <is>
          <t>경화동</t>
        </is>
      </c>
      <c r="AG14" s="0" t="inlineStr">
        <is>
          <t>경상남도 창원시 진해구 조천로 30</t>
        </is>
      </c>
      <c r="AH14" s="0" t="n">
        <v>0</v>
      </c>
      <c r="AI14" s="0" t="n">
        <v>201</v>
      </c>
      <c r="AJ14" s="0" t="n">
        <v>21</v>
      </c>
      <c r="AK14" s="0" t="n">
        <v>577</v>
      </c>
      <c r="AL14" s="0" t="n">
        <v>1.25</v>
      </c>
    </row>
    <row r="15">
      <c r="A15" s="0" t="inlineStr">
        <is>
          <t>[경화동]</t>
        </is>
      </c>
      <c r="B15" s="0" t="n">
        <v>116297</v>
      </c>
      <c r="C15" s="0" t="n">
        <v>2</v>
      </c>
      <c r="D15" s="0" t="inlineStr">
        <is>
          <t>두산위브</t>
        </is>
      </c>
      <c r="E15" s="0" t="inlineStr">
        <is>
          <t>2017.02.</t>
        </is>
      </c>
      <c r="F15" s="0" t="n">
        <v>462</v>
      </c>
      <c r="G15" s="0" t="n">
        <v>29.81</v>
      </c>
      <c r="H15" s="0" t="n">
        <v>98.56999999999999</v>
      </c>
      <c r="I15" s="0" t="n">
        <v>22.35</v>
      </c>
      <c r="J15" s="0" t="n">
        <v>73.91</v>
      </c>
      <c r="K15" s="0" t="n">
        <v>13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98B</t>
        </is>
      </c>
      <c r="X15" s="0" t="n">
        <v>15</v>
      </c>
      <c r="Y15" s="0" t="n">
        <v>8</v>
      </c>
      <c r="Z15" s="0" t="inlineStr">
        <is>
          <t>https://new.land.naver.com/complexes/116297?tab=detail&amp;rf=Y</t>
        </is>
      </c>
      <c r="AA15" s="0" t="inlineStr">
        <is>
          <t>경상남도 창원시 진해구 경화동 1334</t>
        </is>
      </c>
      <c r="AB15" s="0" t="inlineStr">
        <is>
          <t>경상남도</t>
        </is>
      </c>
      <c r="AC15" s="0" t="inlineStr">
        <is>
          <t>창원시</t>
        </is>
      </c>
      <c r="AD15" s="0" t="inlineStr">
        <is>
          <t>진해구</t>
        </is>
      </c>
      <c r="AE15" s="0" t="inlineStr">
        <is>
          <t>경화동</t>
        </is>
      </c>
      <c r="AG15" s="0" t="inlineStr">
        <is>
          <t>경상남도 창원시 진해구 조천로 30</t>
        </is>
      </c>
      <c r="AH15" s="0" t="n">
        <v>0</v>
      </c>
      <c r="AI15" s="0" t="n">
        <v>201</v>
      </c>
      <c r="AJ15" s="0" t="n">
        <v>21</v>
      </c>
      <c r="AK15" s="0" t="n">
        <v>577</v>
      </c>
      <c r="AL15" s="0" t="n">
        <v>1.25</v>
      </c>
    </row>
    <row r="16">
      <c r="A16" s="0" t="inlineStr">
        <is>
          <t>[경화동]</t>
        </is>
      </c>
      <c r="B16" s="0" t="n">
        <v>116297</v>
      </c>
      <c r="C16" s="0" t="n">
        <v>3</v>
      </c>
      <c r="D16" s="0" t="inlineStr">
        <is>
          <t>두산위브</t>
        </is>
      </c>
      <c r="E16" s="0" t="inlineStr">
        <is>
          <t>2017.02.</t>
        </is>
      </c>
      <c r="F16" s="0" t="n">
        <v>462</v>
      </c>
      <c r="G16" s="0" t="n">
        <v>29.7</v>
      </c>
      <c r="H16" s="0" t="n">
        <v>98.2</v>
      </c>
      <c r="I16" s="0" t="n">
        <v>22.33</v>
      </c>
      <c r="J16" s="0" t="n">
        <v>73.84999999999999</v>
      </c>
      <c r="K16" s="0" t="n">
        <v>11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98A</t>
        </is>
      </c>
      <c r="X16" s="0" t="n">
        <v>15</v>
      </c>
      <c r="Y16" s="0" t="n">
        <v>8</v>
      </c>
      <c r="Z16" s="0" t="inlineStr">
        <is>
          <t>https://new.land.naver.com/complexes/116297?tab=detail&amp;rf=Y</t>
        </is>
      </c>
      <c r="AA16" s="0" t="inlineStr">
        <is>
          <t>경상남도 창원시 진해구 경화동 1334</t>
        </is>
      </c>
      <c r="AB16" s="0" t="inlineStr">
        <is>
          <t>경상남도</t>
        </is>
      </c>
      <c r="AC16" s="0" t="inlineStr">
        <is>
          <t>창원시</t>
        </is>
      </c>
      <c r="AD16" s="0" t="inlineStr">
        <is>
          <t>진해구</t>
        </is>
      </c>
      <c r="AE16" s="0" t="inlineStr">
        <is>
          <t>경화동</t>
        </is>
      </c>
      <c r="AG16" s="0" t="inlineStr">
        <is>
          <t>경상남도 창원시 진해구 조천로 30</t>
        </is>
      </c>
      <c r="AH16" s="0" t="n">
        <v>0</v>
      </c>
      <c r="AI16" s="0" t="n">
        <v>201</v>
      </c>
      <c r="AJ16" s="0" t="n">
        <v>21</v>
      </c>
      <c r="AK16" s="0" t="n">
        <v>577</v>
      </c>
      <c r="AL16" s="0" t="n">
        <v>1.25</v>
      </c>
    </row>
    <row r="17">
      <c r="A17" s="0" t="inlineStr">
        <is>
          <t>[경화동]</t>
        </is>
      </c>
      <c r="B17" s="0" t="n">
        <v>116297</v>
      </c>
      <c r="C17" s="0" t="n">
        <v>4</v>
      </c>
      <c r="D17" s="0" t="inlineStr">
        <is>
          <t>두산위브</t>
        </is>
      </c>
      <c r="E17" s="0" t="inlineStr">
        <is>
          <t>2017.02.</t>
        </is>
      </c>
      <c r="F17" s="0" t="n">
        <v>462</v>
      </c>
      <c r="G17" s="0" t="n">
        <v>30.07</v>
      </c>
      <c r="H17" s="0" t="n">
        <v>99.42</v>
      </c>
      <c r="I17" s="0" t="n">
        <v>22.59</v>
      </c>
      <c r="J17" s="0" t="n">
        <v>74.70999999999999</v>
      </c>
      <c r="K17" s="0" t="n">
        <v>147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99C</t>
        </is>
      </c>
      <c r="X17" s="0" t="n">
        <v>15</v>
      </c>
      <c r="Y17" s="0" t="n">
        <v>8</v>
      </c>
      <c r="Z17" s="0" t="inlineStr">
        <is>
          <t>https://new.land.naver.com/complexes/116297?tab=detail&amp;rf=Y</t>
        </is>
      </c>
      <c r="AA17" s="0" t="inlineStr">
        <is>
          <t>경상남도 창원시 진해구 경화동 1334</t>
        </is>
      </c>
      <c r="AB17" s="0" t="inlineStr">
        <is>
          <t>경상남도</t>
        </is>
      </c>
      <c r="AC17" s="0" t="inlineStr">
        <is>
          <t>창원시</t>
        </is>
      </c>
      <c r="AD17" s="0" t="inlineStr">
        <is>
          <t>진해구</t>
        </is>
      </c>
      <c r="AE17" s="0" t="inlineStr">
        <is>
          <t>경화동</t>
        </is>
      </c>
      <c r="AG17" s="0" t="inlineStr">
        <is>
          <t>경상남도 창원시 진해구 조천로 30</t>
        </is>
      </c>
      <c r="AH17" s="0" t="n">
        <v>0</v>
      </c>
      <c r="AI17" s="0" t="n">
        <v>201</v>
      </c>
      <c r="AJ17" s="0" t="n">
        <v>21</v>
      </c>
      <c r="AK17" s="0" t="n">
        <v>577</v>
      </c>
      <c r="AL17" s="0" t="n">
        <v>1.25</v>
      </c>
    </row>
    <row r="18">
      <c r="A18" s="0" t="inlineStr">
        <is>
          <t>[경화동]</t>
        </is>
      </c>
      <c r="B18" s="0" t="n">
        <v>116297</v>
      </c>
      <c r="C18" s="0" t="n">
        <v>5</v>
      </c>
      <c r="D18" s="0" t="inlineStr">
        <is>
          <t>두산위브</t>
        </is>
      </c>
      <c r="E18" s="0" t="inlineStr">
        <is>
          <t>2017.02.</t>
        </is>
      </c>
      <c r="F18" s="0" t="n">
        <v>462</v>
      </c>
      <c r="G18" s="0" t="n">
        <v>34.11</v>
      </c>
      <c r="H18" s="0" t="n">
        <v>112.78</v>
      </c>
      <c r="I18" s="0" t="n">
        <v>25.68</v>
      </c>
      <c r="J18" s="0" t="n">
        <v>84.90000000000001</v>
      </c>
      <c r="K18" s="0" t="n">
        <v>59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112C</t>
        </is>
      </c>
      <c r="X18" s="0" t="n">
        <v>15</v>
      </c>
      <c r="Y18" s="0" t="n">
        <v>8</v>
      </c>
      <c r="Z18" s="0" t="inlineStr">
        <is>
          <t>https://new.land.naver.com/complexes/116297?tab=detail&amp;rf=Y</t>
        </is>
      </c>
      <c r="AA18" s="0" t="inlineStr">
        <is>
          <t>경상남도 창원시 진해구 경화동 1334</t>
        </is>
      </c>
      <c r="AB18" s="0" t="inlineStr">
        <is>
          <t>경상남도</t>
        </is>
      </c>
      <c r="AC18" s="0" t="inlineStr">
        <is>
          <t>창원시</t>
        </is>
      </c>
      <c r="AD18" s="0" t="inlineStr">
        <is>
          <t>진해구</t>
        </is>
      </c>
      <c r="AE18" s="0" t="inlineStr">
        <is>
          <t>경화동</t>
        </is>
      </c>
      <c r="AG18" s="0" t="inlineStr">
        <is>
          <t>경상남도 창원시 진해구 조천로 30</t>
        </is>
      </c>
      <c r="AH18" s="0" t="n">
        <v>0</v>
      </c>
      <c r="AI18" s="0" t="n">
        <v>201</v>
      </c>
      <c r="AJ18" s="0" t="n">
        <v>21</v>
      </c>
      <c r="AK18" s="0" t="n">
        <v>577</v>
      </c>
      <c r="AL18" s="0" t="n">
        <v>1.25</v>
      </c>
    </row>
    <row r="19">
      <c r="A19" s="0" t="inlineStr">
        <is>
          <t>[경화동]</t>
        </is>
      </c>
      <c r="B19" s="0" t="n">
        <v>116297</v>
      </c>
      <c r="C19" s="0" t="n">
        <v>6</v>
      </c>
      <c r="D19" s="0" t="inlineStr">
        <is>
          <t>두산위브</t>
        </is>
      </c>
      <c r="E19" s="0" t="inlineStr">
        <is>
          <t>2017.02.</t>
        </is>
      </c>
      <c r="F19" s="0" t="n">
        <v>462</v>
      </c>
      <c r="G19" s="0" t="n">
        <v>34.04</v>
      </c>
      <c r="H19" s="0" t="n">
        <v>112.56</v>
      </c>
      <c r="I19" s="0" t="n">
        <v>25.63</v>
      </c>
      <c r="J19" s="0" t="n">
        <v>84.75</v>
      </c>
      <c r="K19" s="0" t="n">
        <v>54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112B</t>
        </is>
      </c>
      <c r="X19" s="0" t="n">
        <v>15</v>
      </c>
      <c r="Y19" s="0" t="n">
        <v>8</v>
      </c>
      <c r="Z19" s="0" t="inlineStr">
        <is>
          <t>https://new.land.naver.com/complexes/116297?tab=detail&amp;rf=Y</t>
        </is>
      </c>
      <c r="AA19" s="0" t="inlineStr">
        <is>
          <t>경상남도 창원시 진해구 경화동 1334</t>
        </is>
      </c>
      <c r="AB19" s="0" t="inlineStr">
        <is>
          <t>경상남도</t>
        </is>
      </c>
      <c r="AC19" s="0" t="inlineStr">
        <is>
          <t>창원시</t>
        </is>
      </c>
      <c r="AD19" s="0" t="inlineStr">
        <is>
          <t>진해구</t>
        </is>
      </c>
      <c r="AE19" s="0" t="inlineStr">
        <is>
          <t>경화동</t>
        </is>
      </c>
      <c r="AG19" s="0" t="inlineStr">
        <is>
          <t>경상남도 창원시 진해구 조천로 30</t>
        </is>
      </c>
      <c r="AH19" s="0" t="n">
        <v>0</v>
      </c>
      <c r="AI19" s="0" t="n">
        <v>201</v>
      </c>
      <c r="AJ19" s="0" t="n">
        <v>21</v>
      </c>
      <c r="AK19" s="0" t="n">
        <v>577</v>
      </c>
      <c r="AL19" s="0" t="n">
        <v>1.25</v>
      </c>
    </row>
    <row r="20">
      <c r="A20" s="0" t="inlineStr">
        <is>
          <t>[경화동]</t>
        </is>
      </c>
      <c r="B20" s="0" t="n">
        <v>116297</v>
      </c>
      <c r="C20" s="0" t="n">
        <v>7</v>
      </c>
      <c r="D20" s="0" t="inlineStr">
        <is>
          <t>두산위브</t>
        </is>
      </c>
      <c r="E20" s="0" t="inlineStr">
        <is>
          <t>2017.02.</t>
        </is>
      </c>
      <c r="F20" s="0" t="n">
        <v>462</v>
      </c>
      <c r="G20" s="0" t="n">
        <v>34.23</v>
      </c>
      <c r="H20" s="0" t="n">
        <v>113.19</v>
      </c>
      <c r="I20" s="0" t="n">
        <v>25.69</v>
      </c>
      <c r="J20" s="0" t="n">
        <v>84.95</v>
      </c>
      <c r="K20" s="0" t="n">
        <v>60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113A</t>
        </is>
      </c>
      <c r="X20" s="0" t="n">
        <v>15</v>
      </c>
      <c r="Y20" s="0" t="n">
        <v>8</v>
      </c>
      <c r="Z20" s="0" t="inlineStr">
        <is>
          <t>https://new.land.naver.com/complexes/116297?tab=detail&amp;rf=Y</t>
        </is>
      </c>
      <c r="AA20" s="0" t="inlineStr">
        <is>
          <t>경상남도 창원시 진해구 경화동 1334</t>
        </is>
      </c>
      <c r="AB20" s="0" t="inlineStr">
        <is>
          <t>경상남도</t>
        </is>
      </c>
      <c r="AC20" s="0" t="inlineStr">
        <is>
          <t>창원시</t>
        </is>
      </c>
      <c r="AD20" s="0" t="inlineStr">
        <is>
          <t>진해구</t>
        </is>
      </c>
      <c r="AE20" s="0" t="inlineStr">
        <is>
          <t>경화동</t>
        </is>
      </c>
      <c r="AG20" s="0" t="inlineStr">
        <is>
          <t>경상남도 창원시 진해구 조천로 30</t>
        </is>
      </c>
      <c r="AH20" s="0" t="n">
        <v>0</v>
      </c>
      <c r="AI20" s="0" t="n">
        <v>201</v>
      </c>
      <c r="AJ20" s="0" t="n">
        <v>21</v>
      </c>
      <c r="AK20" s="0" t="n">
        <v>577</v>
      </c>
      <c r="AL20" s="0" t="n">
        <v>1.25</v>
      </c>
    </row>
    <row r="21">
      <c r="A21" s="0" t="inlineStr">
        <is>
          <t>[경화동]</t>
        </is>
      </c>
      <c r="B21" s="0" t="n">
        <v>116297</v>
      </c>
      <c r="C21" s="0" t="n">
        <v>8</v>
      </c>
      <c r="D21" s="0" t="inlineStr">
        <is>
          <t>두산위브</t>
        </is>
      </c>
      <c r="E21" s="0" t="inlineStr">
        <is>
          <t>2017.02.</t>
        </is>
      </c>
      <c r="F21" s="0" t="n">
        <v>462</v>
      </c>
      <c r="G21" s="0" t="n">
        <v>34.23</v>
      </c>
      <c r="H21" s="0" t="n">
        <v>113.18</v>
      </c>
      <c r="I21" s="0" t="n">
        <v>25.69</v>
      </c>
      <c r="J21" s="0" t="n">
        <v>84.94</v>
      </c>
      <c r="K21" s="0" t="n">
        <v>47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113D</t>
        </is>
      </c>
      <c r="X21" s="0" t="n">
        <v>15</v>
      </c>
      <c r="Y21" s="0" t="n">
        <v>8</v>
      </c>
      <c r="Z21" s="0" t="inlineStr">
        <is>
          <t>https://new.land.naver.com/complexes/116297?tab=detail&amp;rf=Y</t>
        </is>
      </c>
      <c r="AA21" s="0" t="inlineStr">
        <is>
          <t>경상남도 창원시 진해구 경화동 1334</t>
        </is>
      </c>
      <c r="AB21" s="0" t="inlineStr">
        <is>
          <t>경상남도</t>
        </is>
      </c>
      <c r="AC21" s="0" t="inlineStr">
        <is>
          <t>창원시</t>
        </is>
      </c>
      <c r="AD21" s="0" t="inlineStr">
        <is>
          <t>진해구</t>
        </is>
      </c>
      <c r="AE21" s="0" t="inlineStr">
        <is>
          <t>경화동</t>
        </is>
      </c>
      <c r="AG21" s="0" t="inlineStr">
        <is>
          <t>경상남도 창원시 진해구 조천로 30</t>
        </is>
      </c>
      <c r="AH21" s="0" t="n">
        <v>0</v>
      </c>
      <c r="AI21" s="0" t="n">
        <v>201</v>
      </c>
      <c r="AJ21" s="0" t="n">
        <v>21</v>
      </c>
      <c r="AK21" s="0" t="n">
        <v>577</v>
      </c>
      <c r="AL21" s="0" t="n">
        <v>1.25</v>
      </c>
    </row>
    <row r="22">
      <c r="A22" s="0" t="inlineStr">
        <is>
          <t>[경화동]</t>
        </is>
      </c>
      <c r="B22" s="0" t="n">
        <v>112838</v>
      </c>
      <c r="C22" s="0" t="n">
        <v>1</v>
      </c>
      <c r="D22" s="0" t="inlineStr">
        <is>
          <t>대방빌리지</t>
        </is>
      </c>
      <c r="E22" s="0" t="inlineStr">
        <is>
          <t>2002.05.</t>
        </is>
      </c>
      <c r="F22" s="0" t="n">
        <v>72</v>
      </c>
      <c r="G22" s="0" t="n">
        <v>21.31</v>
      </c>
      <c r="H22" s="0" t="n">
        <v>70.45</v>
      </c>
      <c r="I22" s="0" t="n">
        <v>18</v>
      </c>
      <c r="J22" s="0" t="n">
        <v>59.53</v>
      </c>
      <c r="K22" s="0" t="n">
        <v>27</v>
      </c>
      <c r="T22" s="0" t="n">
        <v>3</v>
      </c>
      <c r="U22" s="0" t="n">
        <v>2</v>
      </c>
      <c r="V22" s="0" t="inlineStr">
        <is>
          <t>계단식</t>
        </is>
      </c>
      <c r="W22" s="0" t="n">
        <v>70</v>
      </c>
      <c r="X22" s="0" t="n">
        <v>10</v>
      </c>
      <c r="Y22" s="0" t="n">
        <v>10</v>
      </c>
      <c r="Z22" s="0" t="inlineStr">
        <is>
          <t>https://new.land.naver.com/complexes/112838?tab=detail&amp;rf=Y</t>
        </is>
      </c>
      <c r="AA22" s="0" t="inlineStr">
        <is>
          <t>경상남도 창원시 진해구 경화동 41</t>
        </is>
      </c>
      <c r="AB22" s="0" t="inlineStr">
        <is>
          <t>경상남도</t>
        </is>
      </c>
      <c r="AC22" s="0" t="inlineStr">
        <is>
          <t>창원시</t>
        </is>
      </c>
      <c r="AD22" s="0" t="inlineStr">
        <is>
          <t>진해구</t>
        </is>
      </c>
      <c r="AE22" s="0" t="inlineStr">
        <is>
          <t>경화동</t>
        </is>
      </c>
      <c r="AG22" s="0" t="inlineStr">
        <is>
          <t>경상남도 창원시 진해구 충장로 339</t>
        </is>
      </c>
      <c r="AH22" s="0" t="n">
        <v>0</v>
      </c>
      <c r="AI22" s="0" t="n">
        <v>284</v>
      </c>
      <c r="AJ22" s="0" t="n">
        <v>36</v>
      </c>
      <c r="AK22" s="0" t="n">
        <v>0</v>
      </c>
      <c r="AL22" s="0" t="n">
        <v>0</v>
      </c>
    </row>
    <row r="23">
      <c r="A23" s="0" t="inlineStr">
        <is>
          <t>[경화동]</t>
        </is>
      </c>
      <c r="B23" s="0" t="n">
        <v>112838</v>
      </c>
      <c r="C23" s="0" t="n">
        <v>2</v>
      </c>
      <c r="D23" s="0" t="inlineStr">
        <is>
          <t>대방빌리지</t>
        </is>
      </c>
      <c r="E23" s="0" t="inlineStr">
        <is>
          <t>2002.05.</t>
        </is>
      </c>
      <c r="F23" s="0" t="n">
        <v>72</v>
      </c>
      <c r="G23" s="0" t="n">
        <v>30.17</v>
      </c>
      <c r="H23" s="0" t="n">
        <v>99.76000000000001</v>
      </c>
      <c r="I23" s="0" t="n">
        <v>25.5</v>
      </c>
      <c r="J23" s="0" t="n">
        <v>84.3</v>
      </c>
      <c r="K23" s="0" t="n">
        <v>9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99A</t>
        </is>
      </c>
      <c r="X23" s="0" t="n">
        <v>10</v>
      </c>
      <c r="Y23" s="0" t="n">
        <v>10</v>
      </c>
      <c r="Z23" s="0" t="inlineStr">
        <is>
          <t>https://new.land.naver.com/complexes/112838?tab=detail&amp;rf=Y</t>
        </is>
      </c>
      <c r="AA23" s="0" t="inlineStr">
        <is>
          <t>경상남도 창원시 진해구 경화동 41</t>
        </is>
      </c>
      <c r="AB23" s="0" t="inlineStr">
        <is>
          <t>경상남도</t>
        </is>
      </c>
      <c r="AC23" s="0" t="inlineStr">
        <is>
          <t>창원시</t>
        </is>
      </c>
      <c r="AD23" s="0" t="inlineStr">
        <is>
          <t>진해구</t>
        </is>
      </c>
      <c r="AE23" s="0" t="inlineStr">
        <is>
          <t>경화동</t>
        </is>
      </c>
      <c r="AG23" s="0" t="inlineStr">
        <is>
          <t>경상남도 창원시 진해구 충장로 339</t>
        </is>
      </c>
      <c r="AH23" s="0" t="n">
        <v>0</v>
      </c>
      <c r="AI23" s="0" t="n">
        <v>284</v>
      </c>
      <c r="AJ23" s="0" t="n">
        <v>36</v>
      </c>
      <c r="AK23" s="0" t="n">
        <v>0</v>
      </c>
      <c r="AL23" s="0" t="n">
        <v>0</v>
      </c>
    </row>
    <row r="24">
      <c r="A24" s="0" t="inlineStr">
        <is>
          <t>[경화동]</t>
        </is>
      </c>
      <c r="B24" s="0" t="n">
        <v>112838</v>
      </c>
      <c r="C24" s="0" t="n">
        <v>3</v>
      </c>
      <c r="D24" s="0" t="inlineStr">
        <is>
          <t>대방빌리지</t>
        </is>
      </c>
      <c r="E24" s="0" t="inlineStr">
        <is>
          <t>2002.05.</t>
        </is>
      </c>
      <c r="F24" s="0" t="n">
        <v>72</v>
      </c>
      <c r="G24" s="0" t="n">
        <v>30.35</v>
      </c>
      <c r="H24" s="0" t="n">
        <v>100.35</v>
      </c>
      <c r="I24" s="0" t="n">
        <v>25.64</v>
      </c>
      <c r="J24" s="0" t="n">
        <v>84.79000000000001</v>
      </c>
      <c r="K24" s="0" t="n">
        <v>36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100B</t>
        </is>
      </c>
      <c r="X24" s="0" t="n">
        <v>10</v>
      </c>
      <c r="Y24" s="0" t="n">
        <v>10</v>
      </c>
      <c r="Z24" s="0" t="inlineStr">
        <is>
          <t>https://new.land.naver.com/complexes/112838?tab=detail&amp;rf=Y</t>
        </is>
      </c>
      <c r="AA24" s="0" t="inlineStr">
        <is>
          <t>경상남도 창원시 진해구 경화동 41</t>
        </is>
      </c>
      <c r="AB24" s="0" t="inlineStr">
        <is>
          <t>경상남도</t>
        </is>
      </c>
      <c r="AC24" s="0" t="inlineStr">
        <is>
          <t>창원시</t>
        </is>
      </c>
      <c r="AD24" s="0" t="inlineStr">
        <is>
          <t>진해구</t>
        </is>
      </c>
      <c r="AE24" s="0" t="inlineStr">
        <is>
          <t>경화동</t>
        </is>
      </c>
      <c r="AG24" s="0" t="inlineStr">
        <is>
          <t>경상남도 창원시 진해구 충장로 339</t>
        </is>
      </c>
      <c r="AH24" s="0" t="n">
        <v>0</v>
      </c>
      <c r="AI24" s="0" t="n">
        <v>284</v>
      </c>
      <c r="AJ24" s="0" t="n">
        <v>36</v>
      </c>
      <c r="AK24" s="0" t="n">
        <v>0</v>
      </c>
      <c r="AL24" s="0" t="n">
        <v>0</v>
      </c>
    </row>
    <row r="25">
      <c r="A25" s="0" t="inlineStr">
        <is>
          <t>[경화동]</t>
        </is>
      </c>
      <c r="B25" s="0" t="n">
        <v>130346</v>
      </c>
      <c r="C25" s="0" t="n">
        <v>1</v>
      </c>
      <c r="D25" s="0" t="inlineStr">
        <is>
          <t>부건이데아1차</t>
        </is>
      </c>
      <c r="E25" s="0" t="inlineStr">
        <is>
          <t>2016.01.</t>
        </is>
      </c>
      <c r="F25" s="0" t="n">
        <v>40</v>
      </c>
      <c r="G25" s="0" t="n">
        <v>20.69</v>
      </c>
      <c r="H25" s="0" t="n">
        <v>68.41</v>
      </c>
      <c r="I25" s="0" t="n">
        <v>17.7</v>
      </c>
      <c r="J25" s="0" t="n">
        <v>58.54</v>
      </c>
      <c r="K25" s="0" t="n">
        <v>15</v>
      </c>
      <c r="T25" s="0" t="n">
        <v>3</v>
      </c>
      <c r="U25" s="0" t="n">
        <v>1</v>
      </c>
      <c r="V25" s="0" t="inlineStr">
        <is>
          <t>계단식</t>
        </is>
      </c>
      <c r="W25" s="0" t="n">
        <v>68</v>
      </c>
      <c r="X25" s="0" t="n">
        <v>9</v>
      </c>
      <c r="Y25" s="0" t="n">
        <v>6</v>
      </c>
      <c r="Z25" s="0" t="inlineStr">
        <is>
          <t>https://new.land.naver.com/complexes/130346?tab=detail&amp;rf=Y</t>
        </is>
      </c>
      <c r="AA25" s="0" t="inlineStr">
        <is>
          <t>경상남도 창원시 진해구 경화동 881</t>
        </is>
      </c>
      <c r="AB25" s="0" t="inlineStr">
        <is>
          <t>경상남도</t>
        </is>
      </c>
      <c r="AC25" s="0" t="inlineStr">
        <is>
          <t>창원시</t>
        </is>
      </c>
      <c r="AD25" s="0" t="inlineStr">
        <is>
          <t>진해구</t>
        </is>
      </c>
      <c r="AE25" s="0" t="inlineStr">
        <is>
          <t>경화동</t>
        </is>
      </c>
      <c r="AG25" s="0" t="inlineStr">
        <is>
          <t>경상남도 창원시 진해구 진해대로694번길 19</t>
        </is>
      </c>
      <c r="AH25" s="0" t="n">
        <v>0</v>
      </c>
      <c r="AI25" s="0" t="n">
        <v>147</v>
      </c>
      <c r="AJ25" s="0" t="n">
        <v>27</v>
      </c>
      <c r="AK25" s="0" t="n">
        <v>40</v>
      </c>
      <c r="AL25" s="0" t="n">
        <v>1</v>
      </c>
    </row>
    <row r="26">
      <c r="A26" s="0" t="inlineStr">
        <is>
          <t>[경화동]</t>
        </is>
      </c>
      <c r="B26" s="0" t="n">
        <v>130346</v>
      </c>
      <c r="C26" s="0" t="n">
        <v>2</v>
      </c>
      <c r="D26" s="0" t="inlineStr">
        <is>
          <t>부건이데아1차</t>
        </is>
      </c>
      <c r="E26" s="0" t="inlineStr">
        <is>
          <t>2016.01.</t>
        </is>
      </c>
      <c r="F26" s="0" t="n">
        <v>40</v>
      </c>
      <c r="G26" s="0" t="n">
        <v>24.01</v>
      </c>
      <c r="H26" s="0" t="n">
        <v>79.40000000000001</v>
      </c>
      <c r="I26" s="0" t="n">
        <v>17.7</v>
      </c>
      <c r="J26" s="0" t="n">
        <v>58.54</v>
      </c>
      <c r="K26" s="0" t="n">
        <v>9</v>
      </c>
      <c r="T26" s="0" t="n">
        <v>3</v>
      </c>
      <c r="U26" s="0" t="n">
        <v>1</v>
      </c>
      <c r="V26" s="0" t="inlineStr">
        <is>
          <t>계단식</t>
        </is>
      </c>
      <c r="W26" s="0" t="inlineStr">
        <is>
          <t>79B</t>
        </is>
      </c>
      <c r="X26" s="0" t="n">
        <v>9</v>
      </c>
      <c r="Y26" s="0" t="n">
        <v>6</v>
      </c>
      <c r="Z26" s="0" t="inlineStr">
        <is>
          <t>https://new.land.naver.com/complexes/130346?tab=detail&amp;rf=Y</t>
        </is>
      </c>
      <c r="AA26" s="0" t="inlineStr">
        <is>
          <t>경상남도 창원시 진해구 경화동 881</t>
        </is>
      </c>
      <c r="AB26" s="0" t="inlineStr">
        <is>
          <t>경상남도</t>
        </is>
      </c>
      <c r="AC26" s="0" t="inlineStr">
        <is>
          <t>창원시</t>
        </is>
      </c>
      <c r="AD26" s="0" t="inlineStr">
        <is>
          <t>진해구</t>
        </is>
      </c>
      <c r="AE26" s="0" t="inlineStr">
        <is>
          <t>경화동</t>
        </is>
      </c>
      <c r="AG26" s="0" t="inlineStr">
        <is>
          <t>경상남도 창원시 진해구 진해대로694번길 19</t>
        </is>
      </c>
      <c r="AH26" s="0" t="n">
        <v>0</v>
      </c>
      <c r="AI26" s="0" t="n">
        <v>147</v>
      </c>
      <c r="AJ26" s="0" t="n">
        <v>27</v>
      </c>
      <c r="AK26" s="0" t="n">
        <v>40</v>
      </c>
      <c r="AL26" s="0" t="n">
        <v>1</v>
      </c>
    </row>
    <row r="27">
      <c r="A27" s="0" t="inlineStr">
        <is>
          <t>[경화동]</t>
        </is>
      </c>
      <c r="B27" s="0" t="n">
        <v>130346</v>
      </c>
      <c r="C27" s="0" t="n">
        <v>3</v>
      </c>
      <c r="D27" s="0" t="inlineStr">
        <is>
          <t>부건이데아1차</t>
        </is>
      </c>
      <c r="E27" s="0" t="inlineStr">
        <is>
          <t>2016.01.</t>
        </is>
      </c>
      <c r="F27" s="0" t="n">
        <v>40</v>
      </c>
      <c r="G27" s="0" t="n">
        <v>24.17</v>
      </c>
      <c r="H27" s="0" t="n">
        <v>79.92</v>
      </c>
      <c r="I27" s="0" t="n">
        <v>17.57</v>
      </c>
      <c r="J27" s="0" t="n">
        <v>58.1</v>
      </c>
      <c r="K27" s="0" t="n">
        <v>6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79A</t>
        </is>
      </c>
      <c r="X27" s="0" t="n">
        <v>9</v>
      </c>
      <c r="Y27" s="0" t="n">
        <v>6</v>
      </c>
      <c r="Z27" s="0" t="inlineStr">
        <is>
          <t>https://new.land.naver.com/complexes/130346?tab=detail&amp;rf=Y</t>
        </is>
      </c>
      <c r="AA27" s="0" t="inlineStr">
        <is>
          <t>경상남도 창원시 진해구 경화동 881</t>
        </is>
      </c>
      <c r="AB27" s="0" t="inlineStr">
        <is>
          <t>경상남도</t>
        </is>
      </c>
      <c r="AC27" s="0" t="inlineStr">
        <is>
          <t>창원시</t>
        </is>
      </c>
      <c r="AD27" s="0" t="inlineStr">
        <is>
          <t>진해구</t>
        </is>
      </c>
      <c r="AE27" s="0" t="inlineStr">
        <is>
          <t>경화동</t>
        </is>
      </c>
      <c r="AG27" s="0" t="inlineStr">
        <is>
          <t>경상남도 창원시 진해구 진해대로694번길 19</t>
        </is>
      </c>
      <c r="AH27" s="0" t="n">
        <v>0</v>
      </c>
      <c r="AI27" s="0" t="n">
        <v>147</v>
      </c>
      <c r="AJ27" s="0" t="n">
        <v>27</v>
      </c>
      <c r="AK27" s="0" t="n">
        <v>40</v>
      </c>
      <c r="AL27" s="0" t="n">
        <v>1</v>
      </c>
    </row>
    <row r="28">
      <c r="A28" s="0" t="inlineStr">
        <is>
          <t>[경화동]</t>
        </is>
      </c>
      <c r="B28" s="0" t="n">
        <v>130346</v>
      </c>
      <c r="C28" s="0" t="n">
        <v>4</v>
      </c>
      <c r="D28" s="0" t="inlineStr">
        <is>
          <t>부건이데아1차</t>
        </is>
      </c>
      <c r="E28" s="0" t="inlineStr">
        <is>
          <t>2016.01.</t>
        </is>
      </c>
      <c r="F28" s="0" t="n">
        <v>40</v>
      </c>
      <c r="G28" s="0" t="n">
        <v>24.72</v>
      </c>
      <c r="H28" s="0" t="n">
        <v>81.72</v>
      </c>
      <c r="I28" s="0" t="n">
        <v>18.14</v>
      </c>
      <c r="J28" s="0" t="n">
        <v>59.99</v>
      </c>
      <c r="K28" s="0" t="n">
        <v>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81A</t>
        </is>
      </c>
      <c r="X28" s="0" t="n">
        <v>9</v>
      </c>
      <c r="Y28" s="0" t="n">
        <v>6</v>
      </c>
      <c r="Z28" s="0" t="inlineStr">
        <is>
          <t>https://new.land.naver.com/complexes/130346?tab=detail&amp;rf=Y</t>
        </is>
      </c>
      <c r="AA28" s="0" t="inlineStr">
        <is>
          <t>경상남도 창원시 진해구 경화동 881</t>
        </is>
      </c>
      <c r="AB28" s="0" t="inlineStr">
        <is>
          <t>경상남도</t>
        </is>
      </c>
      <c r="AC28" s="0" t="inlineStr">
        <is>
          <t>창원시</t>
        </is>
      </c>
      <c r="AD28" s="0" t="inlineStr">
        <is>
          <t>진해구</t>
        </is>
      </c>
      <c r="AE28" s="0" t="inlineStr">
        <is>
          <t>경화동</t>
        </is>
      </c>
      <c r="AG28" s="0" t="inlineStr">
        <is>
          <t>경상남도 창원시 진해구 진해대로694번길 19</t>
        </is>
      </c>
      <c r="AH28" s="0" t="n">
        <v>0</v>
      </c>
      <c r="AI28" s="0" t="n">
        <v>147</v>
      </c>
      <c r="AJ28" s="0" t="n">
        <v>27</v>
      </c>
      <c r="AK28" s="0" t="n">
        <v>40</v>
      </c>
      <c r="AL28" s="0" t="n">
        <v>1</v>
      </c>
    </row>
    <row r="29">
      <c r="A29" s="0" t="inlineStr">
        <is>
          <t>[경화동]</t>
        </is>
      </c>
      <c r="B29" s="0" t="n">
        <v>130346</v>
      </c>
      <c r="C29" s="0" t="n">
        <v>5</v>
      </c>
      <c r="D29" s="0" t="inlineStr">
        <is>
          <t>부건이데아1차</t>
        </is>
      </c>
      <c r="E29" s="0" t="inlineStr">
        <is>
          <t>2016.01.</t>
        </is>
      </c>
      <c r="F29" s="0" t="n">
        <v>40</v>
      </c>
      <c r="G29" s="0" t="n">
        <v>24.71</v>
      </c>
      <c r="H29" s="0" t="n">
        <v>81.7</v>
      </c>
      <c r="I29" s="0" t="n">
        <v>18.14</v>
      </c>
      <c r="J29" s="0" t="n">
        <v>59.99</v>
      </c>
      <c r="K29" s="0" t="n">
        <v>5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81B</t>
        </is>
      </c>
      <c r="X29" s="0" t="n">
        <v>9</v>
      </c>
      <c r="Y29" s="0" t="n">
        <v>6</v>
      </c>
      <c r="Z29" s="0" t="inlineStr">
        <is>
          <t>https://new.land.naver.com/complexes/130346?tab=detail&amp;rf=Y</t>
        </is>
      </c>
      <c r="AA29" s="0" t="inlineStr">
        <is>
          <t>경상남도 창원시 진해구 경화동 881</t>
        </is>
      </c>
      <c r="AB29" s="0" t="inlineStr">
        <is>
          <t>경상남도</t>
        </is>
      </c>
      <c r="AC29" s="0" t="inlineStr">
        <is>
          <t>창원시</t>
        </is>
      </c>
      <c r="AD29" s="0" t="inlineStr">
        <is>
          <t>진해구</t>
        </is>
      </c>
      <c r="AE29" s="0" t="inlineStr">
        <is>
          <t>경화동</t>
        </is>
      </c>
      <c r="AG29" s="0" t="inlineStr">
        <is>
          <t>경상남도 창원시 진해구 진해대로694번길 19</t>
        </is>
      </c>
      <c r="AH29" s="0" t="n">
        <v>0</v>
      </c>
      <c r="AI29" s="0" t="n">
        <v>147</v>
      </c>
      <c r="AJ29" s="0" t="n">
        <v>27</v>
      </c>
      <c r="AK29" s="0" t="n">
        <v>40</v>
      </c>
      <c r="AL29" s="0" t="n">
        <v>1</v>
      </c>
    </row>
    <row r="30">
      <c r="A30" s="0" t="inlineStr">
        <is>
          <t>[경화동]</t>
        </is>
      </c>
      <c r="B30" s="0" t="n">
        <v>19387</v>
      </c>
      <c r="C30" s="0" t="n">
        <v>1</v>
      </c>
      <c r="D30" s="0" t="inlineStr">
        <is>
          <t>대동다숲</t>
        </is>
      </c>
      <c r="E30" s="0" t="inlineStr">
        <is>
          <t>2006.08.</t>
        </is>
      </c>
      <c r="F30" s="0" t="n">
        <v>408</v>
      </c>
      <c r="G30" s="0" t="n">
        <v>33.6</v>
      </c>
      <c r="H30" s="0" t="n">
        <v>111.09</v>
      </c>
      <c r="I30" s="0" t="n">
        <v>25.7</v>
      </c>
      <c r="J30" s="0" t="n">
        <v>84.98999999999999</v>
      </c>
      <c r="K30" s="0" t="n">
        <v>378</v>
      </c>
      <c r="T30" s="0" t="n">
        <v>3</v>
      </c>
      <c r="U30" s="0" t="n">
        <v>2</v>
      </c>
      <c r="V30" s="0" t="inlineStr">
        <is>
          <t>계단식</t>
        </is>
      </c>
      <c r="W30" s="0" t="n">
        <v>111</v>
      </c>
      <c r="X30" s="0" t="n">
        <v>15</v>
      </c>
      <c r="Y30" s="0" t="n">
        <v>12</v>
      </c>
      <c r="Z30" s="0" t="inlineStr">
        <is>
          <t>https://new.land.naver.com/complexes/19387?tab=detail&amp;rf=Y</t>
        </is>
      </c>
      <c r="AA30" s="0" t="inlineStr">
        <is>
          <t>경상남도 창원시 진해구 경화동 1388</t>
        </is>
      </c>
      <c r="AB30" s="0" t="inlineStr">
        <is>
          <t>경상남도</t>
        </is>
      </c>
      <c r="AC30" s="0" t="inlineStr">
        <is>
          <t>창원시</t>
        </is>
      </c>
      <c r="AD30" s="0" t="inlineStr">
        <is>
          <t>진해구</t>
        </is>
      </c>
      <c r="AE30" s="0" t="inlineStr">
        <is>
          <t>경화동</t>
        </is>
      </c>
      <c r="AG30" s="0" t="inlineStr">
        <is>
          <t>경상남도 창원시 진해구 조천북로 79</t>
        </is>
      </c>
      <c r="AH30" s="0" t="n">
        <v>0</v>
      </c>
      <c r="AI30" s="0" t="n">
        <v>244</v>
      </c>
      <c r="AJ30" s="0" t="n">
        <v>22</v>
      </c>
      <c r="AK30" s="0" t="n">
        <v>414</v>
      </c>
      <c r="AL30" s="0" t="n">
        <v>1.01</v>
      </c>
    </row>
    <row r="31">
      <c r="A31" s="0" t="inlineStr">
        <is>
          <t>[경화동]</t>
        </is>
      </c>
      <c r="B31" s="0" t="n">
        <v>19387</v>
      </c>
      <c r="C31" s="0" t="n">
        <v>2</v>
      </c>
      <c r="D31" s="0" t="inlineStr">
        <is>
          <t>대동다숲</t>
        </is>
      </c>
      <c r="E31" s="0" t="inlineStr">
        <is>
          <t>2006.08.</t>
        </is>
      </c>
      <c r="F31" s="0" t="n">
        <v>408</v>
      </c>
      <c r="G31" s="0" t="n">
        <v>48.56</v>
      </c>
      <c r="H31" s="0" t="n">
        <v>160.54</v>
      </c>
      <c r="I31" s="0" t="n">
        <v>39.38</v>
      </c>
      <c r="J31" s="0" t="n">
        <v>130.2</v>
      </c>
      <c r="K31" s="0" t="n">
        <v>30</v>
      </c>
      <c r="T31" s="0" t="n">
        <v>4</v>
      </c>
      <c r="U31" s="0" t="n">
        <v>2</v>
      </c>
      <c r="V31" s="0" t="inlineStr">
        <is>
          <t>계단식</t>
        </is>
      </c>
      <c r="W31" s="0" t="n">
        <v>160</v>
      </c>
      <c r="X31" s="0" t="n">
        <v>15</v>
      </c>
      <c r="Y31" s="0" t="n">
        <v>12</v>
      </c>
      <c r="Z31" s="0" t="inlineStr">
        <is>
          <t>https://new.land.naver.com/complexes/19387?tab=detail&amp;rf=Y</t>
        </is>
      </c>
      <c r="AA31" s="0" t="inlineStr">
        <is>
          <t>경상남도 창원시 진해구 경화동 1388</t>
        </is>
      </c>
      <c r="AB31" s="0" t="inlineStr">
        <is>
          <t>경상남도</t>
        </is>
      </c>
      <c r="AC31" s="0" t="inlineStr">
        <is>
          <t>창원시</t>
        </is>
      </c>
      <c r="AD31" s="0" t="inlineStr">
        <is>
          <t>진해구</t>
        </is>
      </c>
      <c r="AE31" s="0" t="inlineStr">
        <is>
          <t>경화동</t>
        </is>
      </c>
      <c r="AG31" s="0" t="inlineStr">
        <is>
          <t>경상남도 창원시 진해구 조천북로 79</t>
        </is>
      </c>
      <c r="AH31" s="0" t="n">
        <v>0</v>
      </c>
      <c r="AI31" s="0" t="n">
        <v>244</v>
      </c>
      <c r="AJ31" s="0" t="n">
        <v>22</v>
      </c>
      <c r="AK31" s="0" t="n">
        <v>414</v>
      </c>
      <c r="AL31" s="0" t="n">
        <v>1.01</v>
      </c>
    </row>
    <row r="32">
      <c r="A32" s="0" t="inlineStr">
        <is>
          <t>[경화동]</t>
        </is>
      </c>
      <c r="B32" s="0" t="n">
        <v>124804</v>
      </c>
      <c r="C32" s="0" t="n">
        <v>1</v>
      </c>
      <c r="D32" s="0" t="inlineStr">
        <is>
          <t>창원경화베스티움</t>
        </is>
      </c>
      <c r="E32" s="0" t="inlineStr">
        <is>
          <t>2018.12.</t>
        </is>
      </c>
      <c r="F32" s="0" t="n">
        <v>285</v>
      </c>
      <c r="G32" s="0" t="n">
        <v>30.34</v>
      </c>
      <c r="H32" s="0" t="n">
        <v>100.3</v>
      </c>
      <c r="I32" s="0" t="n">
        <v>23.08</v>
      </c>
      <c r="J32" s="0" t="n">
        <v>76.33</v>
      </c>
      <c r="K32" s="0" t="n">
        <v>47</v>
      </c>
      <c r="T32" s="0" t="n">
        <v>4</v>
      </c>
      <c r="U32" s="0" t="n">
        <v>2</v>
      </c>
      <c r="V32" s="0" t="inlineStr">
        <is>
          <t>계단식</t>
        </is>
      </c>
      <c r="W32" s="0" t="inlineStr">
        <is>
          <t>100A</t>
        </is>
      </c>
      <c r="X32" s="0" t="n">
        <v>15</v>
      </c>
      <c r="Y32" s="0" t="n">
        <v>2</v>
      </c>
      <c r="Z32" s="0" t="inlineStr">
        <is>
          <t>https://new.land.naver.com/complexes/124804?tab=detail&amp;rf=Y</t>
        </is>
      </c>
      <c r="AA32" s="0" t="inlineStr">
        <is>
          <t>경상남도 창원시 진해구 경화동 1316</t>
        </is>
      </c>
      <c r="AB32" s="0" t="inlineStr">
        <is>
          <t>경상남도</t>
        </is>
      </c>
      <c r="AC32" s="0" t="inlineStr">
        <is>
          <t>창원시</t>
        </is>
      </c>
      <c r="AD32" s="0" t="inlineStr">
        <is>
          <t>진해구</t>
        </is>
      </c>
      <c r="AE32" s="0" t="inlineStr">
        <is>
          <t>경화동</t>
        </is>
      </c>
      <c r="AG32" s="0" t="inlineStr">
        <is>
          <t>경상남도 창원시 진해구 조천북로 131</t>
        </is>
      </c>
      <c r="AH32" s="0" t="n">
        <v>0</v>
      </c>
      <c r="AI32" s="0" t="n">
        <v>205</v>
      </c>
      <c r="AJ32" s="0" t="n">
        <v>34</v>
      </c>
      <c r="AK32" s="0" t="n">
        <v>342</v>
      </c>
      <c r="AL32" s="0" t="n">
        <v>1.2</v>
      </c>
    </row>
    <row r="33">
      <c r="A33" s="0" t="inlineStr">
        <is>
          <t>[경화동]</t>
        </is>
      </c>
      <c r="B33" s="0" t="n">
        <v>124804</v>
      </c>
      <c r="C33" s="0" t="n">
        <v>2</v>
      </c>
      <c r="D33" s="0" t="inlineStr">
        <is>
          <t>창원경화베스티움</t>
        </is>
      </c>
      <c r="E33" s="0" t="inlineStr">
        <is>
          <t>2018.12.</t>
        </is>
      </c>
      <c r="F33" s="0" t="n">
        <v>285</v>
      </c>
      <c r="G33" s="0" t="n">
        <v>30.28</v>
      </c>
      <c r="H33" s="0" t="n">
        <v>100.12</v>
      </c>
      <c r="I33" s="0" t="n">
        <v>23.01</v>
      </c>
      <c r="J33" s="0" t="n">
        <v>76.09</v>
      </c>
      <c r="K33" s="0" t="n">
        <v>5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100B</t>
        </is>
      </c>
      <c r="X33" s="0" t="n">
        <v>15</v>
      </c>
      <c r="Y33" s="0" t="n">
        <v>2</v>
      </c>
      <c r="Z33" s="0" t="inlineStr">
        <is>
          <t>https://new.land.naver.com/complexes/124804?tab=detail&amp;rf=Y</t>
        </is>
      </c>
      <c r="AA33" s="0" t="inlineStr">
        <is>
          <t>경상남도 창원시 진해구 경화동 1316</t>
        </is>
      </c>
      <c r="AB33" s="0" t="inlineStr">
        <is>
          <t>경상남도</t>
        </is>
      </c>
      <c r="AC33" s="0" t="inlineStr">
        <is>
          <t>창원시</t>
        </is>
      </c>
      <c r="AD33" s="0" t="inlineStr">
        <is>
          <t>진해구</t>
        </is>
      </c>
      <c r="AE33" s="0" t="inlineStr">
        <is>
          <t>경화동</t>
        </is>
      </c>
      <c r="AG33" s="0" t="inlineStr">
        <is>
          <t>경상남도 창원시 진해구 조천북로 131</t>
        </is>
      </c>
      <c r="AH33" s="0" t="n">
        <v>0</v>
      </c>
      <c r="AI33" s="0" t="n">
        <v>205</v>
      </c>
      <c r="AJ33" s="0" t="n">
        <v>34</v>
      </c>
      <c r="AK33" s="0" t="n">
        <v>342</v>
      </c>
      <c r="AL33" s="0" t="n">
        <v>1.2</v>
      </c>
    </row>
    <row r="34">
      <c r="A34" s="0" t="inlineStr">
        <is>
          <t>[경화동]</t>
        </is>
      </c>
      <c r="B34" s="0" t="n">
        <v>124804</v>
      </c>
      <c r="C34" s="0" t="n">
        <v>3</v>
      </c>
      <c r="D34" s="0" t="inlineStr">
        <is>
          <t>창원경화베스티움</t>
        </is>
      </c>
      <c r="E34" s="0" t="inlineStr">
        <is>
          <t>2018.12.</t>
        </is>
      </c>
      <c r="F34" s="0" t="n">
        <v>285</v>
      </c>
      <c r="G34" s="0" t="n">
        <v>33.55</v>
      </c>
      <c r="H34" s="0" t="n">
        <v>110.94</v>
      </c>
      <c r="I34" s="0" t="n">
        <v>25.56</v>
      </c>
      <c r="J34" s="0" t="n">
        <v>84.52</v>
      </c>
      <c r="K34" s="0" t="n">
        <v>45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110C</t>
        </is>
      </c>
      <c r="X34" s="0" t="n">
        <v>15</v>
      </c>
      <c r="Y34" s="0" t="n">
        <v>2</v>
      </c>
      <c r="Z34" s="0" t="inlineStr">
        <is>
          <t>https://new.land.naver.com/complexes/124804?tab=detail&amp;rf=Y</t>
        </is>
      </c>
      <c r="AA34" s="0" t="inlineStr">
        <is>
          <t>경상남도 창원시 진해구 경화동 1316</t>
        </is>
      </c>
      <c r="AB34" s="0" t="inlineStr">
        <is>
          <t>경상남도</t>
        </is>
      </c>
      <c r="AC34" s="0" t="inlineStr">
        <is>
          <t>창원시</t>
        </is>
      </c>
      <c r="AD34" s="0" t="inlineStr">
        <is>
          <t>진해구</t>
        </is>
      </c>
      <c r="AE34" s="0" t="inlineStr">
        <is>
          <t>경화동</t>
        </is>
      </c>
      <c r="AG34" s="0" t="inlineStr">
        <is>
          <t>경상남도 창원시 진해구 조천북로 131</t>
        </is>
      </c>
      <c r="AH34" s="0" t="n">
        <v>0</v>
      </c>
      <c r="AI34" s="0" t="n">
        <v>205</v>
      </c>
      <c r="AJ34" s="0" t="n">
        <v>34</v>
      </c>
      <c r="AK34" s="0" t="n">
        <v>342</v>
      </c>
      <c r="AL34" s="0" t="n">
        <v>1.2</v>
      </c>
    </row>
    <row r="35">
      <c r="A35" s="0" t="inlineStr">
        <is>
          <t>[경화동]</t>
        </is>
      </c>
      <c r="B35" s="0" t="n">
        <v>124804</v>
      </c>
      <c r="C35" s="0" t="n">
        <v>4</v>
      </c>
      <c r="D35" s="0" t="inlineStr">
        <is>
          <t>창원경화베스티움</t>
        </is>
      </c>
      <c r="E35" s="0" t="inlineStr">
        <is>
          <t>2018.12.</t>
        </is>
      </c>
      <c r="F35" s="0" t="n">
        <v>285</v>
      </c>
      <c r="G35" s="0" t="n">
        <v>33.66</v>
      </c>
      <c r="H35" s="0" t="n">
        <v>111.3</v>
      </c>
      <c r="I35" s="0" t="n">
        <v>25.69</v>
      </c>
      <c r="J35" s="0" t="n">
        <v>84.95</v>
      </c>
      <c r="K35" s="0" t="n">
        <v>90</v>
      </c>
      <c r="T35" s="0" t="n">
        <v>4</v>
      </c>
      <c r="U35" s="0" t="n">
        <v>2</v>
      </c>
      <c r="V35" s="0" t="inlineStr">
        <is>
          <t>계단식</t>
        </is>
      </c>
      <c r="W35" s="0" t="inlineStr">
        <is>
          <t>111A</t>
        </is>
      </c>
      <c r="X35" s="0" t="n">
        <v>15</v>
      </c>
      <c r="Y35" s="0" t="n">
        <v>2</v>
      </c>
      <c r="Z35" s="0" t="inlineStr">
        <is>
          <t>https://new.land.naver.com/complexes/124804?tab=detail&amp;rf=Y</t>
        </is>
      </c>
      <c r="AA35" s="0" t="inlineStr">
        <is>
          <t>경상남도 창원시 진해구 경화동 1316</t>
        </is>
      </c>
      <c r="AB35" s="0" t="inlineStr">
        <is>
          <t>경상남도</t>
        </is>
      </c>
      <c r="AC35" s="0" t="inlineStr">
        <is>
          <t>창원시</t>
        </is>
      </c>
      <c r="AD35" s="0" t="inlineStr">
        <is>
          <t>진해구</t>
        </is>
      </c>
      <c r="AE35" s="0" t="inlineStr">
        <is>
          <t>경화동</t>
        </is>
      </c>
      <c r="AG35" s="0" t="inlineStr">
        <is>
          <t>경상남도 창원시 진해구 조천북로 131</t>
        </is>
      </c>
      <c r="AH35" s="0" t="n">
        <v>0</v>
      </c>
      <c r="AI35" s="0" t="n">
        <v>205</v>
      </c>
      <c r="AJ35" s="0" t="n">
        <v>34</v>
      </c>
      <c r="AK35" s="0" t="n">
        <v>342</v>
      </c>
      <c r="AL35" s="0" t="n">
        <v>1.2</v>
      </c>
    </row>
    <row r="36">
      <c r="A36" s="0" t="inlineStr">
        <is>
          <t>[경화동]</t>
        </is>
      </c>
      <c r="B36" s="0" t="n">
        <v>124804</v>
      </c>
      <c r="C36" s="0" t="n">
        <v>5</v>
      </c>
      <c r="D36" s="0" t="inlineStr">
        <is>
          <t>창원경화베스티움</t>
        </is>
      </c>
      <c r="E36" s="0" t="inlineStr">
        <is>
          <t>2018.12.</t>
        </is>
      </c>
      <c r="F36" s="0" t="n">
        <v>285</v>
      </c>
      <c r="G36" s="0" t="n">
        <v>33.76</v>
      </c>
      <c r="H36" s="0" t="n">
        <v>111.62</v>
      </c>
      <c r="I36" s="0" t="n">
        <v>25.67</v>
      </c>
      <c r="J36" s="0" t="n">
        <v>84.87</v>
      </c>
      <c r="K36" s="0" t="n">
        <v>78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111B</t>
        </is>
      </c>
      <c r="X36" s="0" t="n">
        <v>15</v>
      </c>
      <c r="Y36" s="0" t="n">
        <v>2</v>
      </c>
      <c r="Z36" s="0" t="inlineStr">
        <is>
          <t>https://new.land.naver.com/complexes/124804?tab=detail&amp;rf=Y</t>
        </is>
      </c>
      <c r="AA36" s="0" t="inlineStr">
        <is>
          <t>경상남도 창원시 진해구 경화동 1316</t>
        </is>
      </c>
      <c r="AB36" s="0" t="inlineStr">
        <is>
          <t>경상남도</t>
        </is>
      </c>
      <c r="AC36" s="0" t="inlineStr">
        <is>
          <t>창원시</t>
        </is>
      </c>
      <c r="AD36" s="0" t="inlineStr">
        <is>
          <t>진해구</t>
        </is>
      </c>
      <c r="AE36" s="0" t="inlineStr">
        <is>
          <t>경화동</t>
        </is>
      </c>
      <c r="AG36" s="0" t="inlineStr">
        <is>
          <t>경상남도 창원시 진해구 조천북로 131</t>
        </is>
      </c>
      <c r="AH36" s="0" t="n">
        <v>0</v>
      </c>
      <c r="AI36" s="0" t="n">
        <v>205</v>
      </c>
      <c r="AJ36" s="0" t="n">
        <v>34</v>
      </c>
      <c r="AK36" s="0" t="n">
        <v>342</v>
      </c>
      <c r="AL36" s="0" t="n">
        <v>1.2</v>
      </c>
    </row>
    <row r="37">
      <c r="A37" s="0" t="inlineStr">
        <is>
          <t>[경화동]</t>
        </is>
      </c>
      <c r="B37" s="0" t="n">
        <v>124804</v>
      </c>
      <c r="C37" s="0" t="n">
        <v>6</v>
      </c>
      <c r="D37" s="0" t="inlineStr">
        <is>
          <t>창원경화베스티움</t>
        </is>
      </c>
      <c r="E37" s="0" t="inlineStr">
        <is>
          <t>2018.12.</t>
        </is>
      </c>
      <c r="F37" s="0" t="n">
        <v>285</v>
      </c>
      <c r="G37" s="0" t="n">
        <v>33.61</v>
      </c>
      <c r="H37" s="0" t="n">
        <v>111.14</v>
      </c>
      <c r="I37" s="0" t="n">
        <v>25.63</v>
      </c>
      <c r="J37" s="0" t="n">
        <v>84.73999999999999</v>
      </c>
      <c r="K37" s="0" t="n">
        <v>14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111T</t>
        </is>
      </c>
      <c r="X37" s="0" t="n">
        <v>15</v>
      </c>
      <c r="Y37" s="0" t="n">
        <v>2</v>
      </c>
      <c r="Z37" s="0" t="inlineStr">
        <is>
          <t>https://new.land.naver.com/complexes/124804?tab=detail&amp;rf=Y</t>
        </is>
      </c>
      <c r="AA37" s="0" t="inlineStr">
        <is>
          <t>경상남도 창원시 진해구 경화동 1316</t>
        </is>
      </c>
      <c r="AB37" s="0" t="inlineStr">
        <is>
          <t>경상남도</t>
        </is>
      </c>
      <c r="AC37" s="0" t="inlineStr">
        <is>
          <t>창원시</t>
        </is>
      </c>
      <c r="AD37" s="0" t="inlineStr">
        <is>
          <t>진해구</t>
        </is>
      </c>
      <c r="AE37" s="0" t="inlineStr">
        <is>
          <t>경화동</t>
        </is>
      </c>
      <c r="AG37" s="0" t="inlineStr">
        <is>
          <t>경상남도 창원시 진해구 조천북로 131</t>
        </is>
      </c>
      <c r="AH37" s="0" t="n">
        <v>0</v>
      </c>
      <c r="AI37" s="0" t="n">
        <v>205</v>
      </c>
      <c r="AJ37" s="0" t="n">
        <v>34</v>
      </c>
      <c r="AK37" s="0" t="n">
        <v>342</v>
      </c>
      <c r="AL37" s="0" t="n">
        <v>1.2</v>
      </c>
    </row>
    <row r="38">
      <c r="A38" s="0" t="inlineStr">
        <is>
          <t>[경화동]</t>
        </is>
      </c>
      <c r="B38" s="0" t="n">
        <v>124804</v>
      </c>
      <c r="C38" s="0" t="n">
        <v>7</v>
      </c>
      <c r="D38" s="0" t="inlineStr">
        <is>
          <t>창원경화베스티움</t>
        </is>
      </c>
      <c r="E38" s="0" t="inlineStr">
        <is>
          <t>2018.12.</t>
        </is>
      </c>
      <c r="F38" s="0" t="n">
        <v>285</v>
      </c>
      <c r="G38" s="0" t="n">
        <v>58.24</v>
      </c>
      <c r="H38" s="0" t="n">
        <v>192.54</v>
      </c>
      <c r="I38" s="0" t="n">
        <v>44.05</v>
      </c>
      <c r="J38" s="0" t="n">
        <v>145.62</v>
      </c>
      <c r="K38" s="0" t="n">
        <v>6</v>
      </c>
      <c r="T38" s="0" t="n">
        <v>5</v>
      </c>
      <c r="U38" s="0" t="n">
        <v>3</v>
      </c>
      <c r="V38" s="0" t="inlineStr">
        <is>
          <t>계단식</t>
        </is>
      </c>
      <c r="W38" s="0" t="inlineStr">
        <is>
          <t>192P</t>
        </is>
      </c>
      <c r="X38" s="0" t="n">
        <v>15</v>
      </c>
      <c r="Y38" s="0" t="n">
        <v>2</v>
      </c>
      <c r="Z38" s="0" t="inlineStr">
        <is>
          <t>https://new.land.naver.com/complexes/124804?tab=detail&amp;rf=Y</t>
        </is>
      </c>
      <c r="AA38" s="0" t="inlineStr">
        <is>
          <t>경상남도 창원시 진해구 경화동 1316</t>
        </is>
      </c>
      <c r="AB38" s="0" t="inlineStr">
        <is>
          <t>경상남도</t>
        </is>
      </c>
      <c r="AC38" s="0" t="inlineStr">
        <is>
          <t>창원시</t>
        </is>
      </c>
      <c r="AD38" s="0" t="inlineStr">
        <is>
          <t>진해구</t>
        </is>
      </c>
      <c r="AE38" s="0" t="inlineStr">
        <is>
          <t>경화동</t>
        </is>
      </c>
      <c r="AG38" s="0" t="inlineStr">
        <is>
          <t>경상남도 창원시 진해구 조천북로 131</t>
        </is>
      </c>
      <c r="AH38" s="0" t="n">
        <v>0</v>
      </c>
      <c r="AI38" s="0" t="n">
        <v>205</v>
      </c>
      <c r="AJ38" s="0" t="n">
        <v>34</v>
      </c>
      <c r="AK38" s="0" t="n">
        <v>342</v>
      </c>
      <c r="AL38" s="0" t="n">
        <v>1.2</v>
      </c>
    </row>
    <row r="39">
      <c r="A39" s="0" t="inlineStr">
        <is>
          <t>[경화동]</t>
        </is>
      </c>
      <c r="B39" s="0" t="n">
        <v>130074</v>
      </c>
      <c r="C39" s="0" t="n">
        <v>1</v>
      </c>
      <c r="D39" s="0" t="inlineStr">
        <is>
          <t>부건이데아2차</t>
        </is>
      </c>
      <c r="E39" s="0" t="inlineStr">
        <is>
          <t>2018.01.</t>
        </is>
      </c>
      <c r="F39" s="0" t="n">
        <v>24</v>
      </c>
      <c r="G39" s="0" t="n">
        <v>24.2</v>
      </c>
      <c r="H39" s="0" t="n">
        <v>80</v>
      </c>
      <c r="I39" s="0" t="n">
        <v>18.94</v>
      </c>
      <c r="J39" s="0" t="n">
        <v>62.64</v>
      </c>
      <c r="K39" s="0" t="n">
        <v>6</v>
      </c>
      <c r="T39" s="0" t="n">
        <v>3</v>
      </c>
      <c r="U39" s="0" t="n">
        <v>2</v>
      </c>
      <c r="V39" s="0" t="inlineStr">
        <is>
          <t>계단식</t>
        </is>
      </c>
      <c r="W39" s="0" t="n">
        <v>80</v>
      </c>
      <c r="X39" s="0" t="n">
        <v>9</v>
      </c>
      <c r="Y39" s="0" t="n">
        <v>9</v>
      </c>
      <c r="Z39" s="0" t="inlineStr">
        <is>
          <t>https://new.land.naver.com/complexes/130074?tab=detail&amp;rf=Y</t>
        </is>
      </c>
      <c r="AA39" s="0" t="inlineStr">
        <is>
          <t>경상남도 창원시 진해구 경화동 890</t>
        </is>
      </c>
      <c r="AB39" s="0" t="inlineStr">
        <is>
          <t>경상남도</t>
        </is>
      </c>
      <c r="AC39" s="0" t="inlineStr">
        <is>
          <t>창원시</t>
        </is>
      </c>
      <c r="AD39" s="0" t="inlineStr">
        <is>
          <t>진해구</t>
        </is>
      </c>
      <c r="AE39" s="0" t="inlineStr">
        <is>
          <t>경화동</t>
        </is>
      </c>
      <c r="AG39" s="0" t="inlineStr">
        <is>
          <t>경상남도 창원시 진해구 진해대로694번길 23</t>
        </is>
      </c>
      <c r="AH39" s="0" t="n">
        <v>0</v>
      </c>
      <c r="AI39" s="0" t="n">
        <v>422</v>
      </c>
      <c r="AJ39" s="0" t="n">
        <v>75</v>
      </c>
      <c r="AK39" s="0" t="n">
        <v>32</v>
      </c>
      <c r="AL39" s="0" t="n">
        <v>1.33</v>
      </c>
    </row>
    <row r="40">
      <c r="A40" s="0" t="inlineStr">
        <is>
          <t>[경화동]</t>
        </is>
      </c>
      <c r="B40" s="0" t="n">
        <v>130074</v>
      </c>
      <c r="C40" s="0" t="n">
        <v>2</v>
      </c>
      <c r="D40" s="0" t="inlineStr">
        <is>
          <t>부건이데아2차</t>
        </is>
      </c>
      <c r="E40" s="0" t="inlineStr">
        <is>
          <t>2018.01.</t>
        </is>
      </c>
      <c r="F40" s="0" t="n">
        <v>24</v>
      </c>
      <c r="G40" s="0" t="n">
        <v>26.75</v>
      </c>
      <c r="H40" s="0" t="n">
        <v>88.45</v>
      </c>
      <c r="I40" s="0" t="n">
        <v>21.06</v>
      </c>
      <c r="J40" s="0" t="n">
        <v>69.64</v>
      </c>
      <c r="K40" s="0" t="n">
        <v>6</v>
      </c>
      <c r="T40" s="0" t="n">
        <v>3</v>
      </c>
      <c r="U40" s="0" t="n">
        <v>2</v>
      </c>
      <c r="V40" s="0" t="inlineStr">
        <is>
          <t>계단식</t>
        </is>
      </c>
      <c r="W40" s="0" t="n">
        <v>88</v>
      </c>
      <c r="X40" s="0" t="n">
        <v>9</v>
      </c>
      <c r="Y40" s="0" t="n">
        <v>9</v>
      </c>
      <c r="Z40" s="0" t="inlineStr">
        <is>
          <t>https://new.land.naver.com/complexes/130074?tab=detail&amp;rf=Y</t>
        </is>
      </c>
      <c r="AA40" s="0" t="inlineStr">
        <is>
          <t>경상남도 창원시 진해구 경화동 890</t>
        </is>
      </c>
      <c r="AB40" s="0" t="inlineStr">
        <is>
          <t>경상남도</t>
        </is>
      </c>
      <c r="AC40" s="0" t="inlineStr">
        <is>
          <t>창원시</t>
        </is>
      </c>
      <c r="AD40" s="0" t="inlineStr">
        <is>
          <t>진해구</t>
        </is>
      </c>
      <c r="AE40" s="0" t="inlineStr">
        <is>
          <t>경화동</t>
        </is>
      </c>
      <c r="AG40" s="0" t="inlineStr">
        <is>
          <t>경상남도 창원시 진해구 진해대로694번길 23</t>
        </is>
      </c>
      <c r="AH40" s="0" t="n">
        <v>0</v>
      </c>
      <c r="AI40" s="0" t="n">
        <v>422</v>
      </c>
      <c r="AJ40" s="0" t="n">
        <v>75</v>
      </c>
      <c r="AK40" s="0" t="n">
        <v>32</v>
      </c>
      <c r="AL40" s="0" t="n">
        <v>1.33</v>
      </c>
    </row>
    <row r="41">
      <c r="A41" s="0" t="inlineStr">
        <is>
          <t>[경화동]</t>
        </is>
      </c>
      <c r="B41" s="0" t="n">
        <v>130074</v>
      </c>
      <c r="C41" s="0" t="n">
        <v>3</v>
      </c>
      <c r="D41" s="0" t="inlineStr">
        <is>
          <t>부건이데아2차</t>
        </is>
      </c>
      <c r="E41" s="0" t="inlineStr">
        <is>
          <t>2018.01.</t>
        </is>
      </c>
      <c r="F41" s="0" t="n">
        <v>24</v>
      </c>
      <c r="G41" s="0" t="n">
        <v>32.61</v>
      </c>
      <c r="H41" s="0" t="n">
        <v>107.83</v>
      </c>
      <c r="I41" s="0" t="n">
        <v>25.6</v>
      </c>
      <c r="J41" s="0" t="n">
        <v>84.64</v>
      </c>
      <c r="K41" s="0" t="n">
        <v>6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107A</t>
        </is>
      </c>
      <c r="X41" s="0" t="n">
        <v>9</v>
      </c>
      <c r="Y41" s="0" t="n">
        <v>9</v>
      </c>
      <c r="Z41" s="0" t="inlineStr">
        <is>
          <t>https://new.land.naver.com/complexes/130074?tab=detail&amp;rf=Y</t>
        </is>
      </c>
      <c r="AA41" s="0" t="inlineStr">
        <is>
          <t>경상남도 창원시 진해구 경화동 890</t>
        </is>
      </c>
      <c r="AB41" s="0" t="inlineStr">
        <is>
          <t>경상남도</t>
        </is>
      </c>
      <c r="AC41" s="0" t="inlineStr">
        <is>
          <t>창원시</t>
        </is>
      </c>
      <c r="AD41" s="0" t="inlineStr">
        <is>
          <t>진해구</t>
        </is>
      </c>
      <c r="AE41" s="0" t="inlineStr">
        <is>
          <t>경화동</t>
        </is>
      </c>
      <c r="AG41" s="0" t="inlineStr">
        <is>
          <t>경상남도 창원시 진해구 진해대로694번길 23</t>
        </is>
      </c>
      <c r="AH41" s="0" t="n">
        <v>0</v>
      </c>
      <c r="AI41" s="0" t="n">
        <v>422</v>
      </c>
      <c r="AJ41" s="0" t="n">
        <v>75</v>
      </c>
      <c r="AK41" s="0" t="n">
        <v>32</v>
      </c>
      <c r="AL41" s="0" t="n">
        <v>1.33</v>
      </c>
    </row>
    <row r="42">
      <c r="A42" s="0" t="inlineStr">
        <is>
          <t>[경화동]</t>
        </is>
      </c>
      <c r="B42" s="0" t="n">
        <v>130074</v>
      </c>
      <c r="C42" s="0" t="n">
        <v>4</v>
      </c>
      <c r="D42" s="0" t="inlineStr">
        <is>
          <t>부건이데아2차</t>
        </is>
      </c>
      <c r="E42" s="0" t="inlineStr">
        <is>
          <t>2018.01.</t>
        </is>
      </c>
      <c r="F42" s="0" t="n">
        <v>24</v>
      </c>
      <c r="G42" s="0" t="n">
        <v>32.71</v>
      </c>
      <c r="H42" s="0" t="n">
        <v>108.15</v>
      </c>
      <c r="I42" s="0" t="n">
        <v>25.7</v>
      </c>
      <c r="J42" s="0" t="n">
        <v>84.98999999999999</v>
      </c>
      <c r="K42" s="0" t="n">
        <v>6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108B</t>
        </is>
      </c>
      <c r="X42" s="0" t="n">
        <v>9</v>
      </c>
      <c r="Y42" s="0" t="n">
        <v>9</v>
      </c>
      <c r="Z42" s="0" t="inlineStr">
        <is>
          <t>https://new.land.naver.com/complexes/130074?tab=detail&amp;rf=Y</t>
        </is>
      </c>
      <c r="AA42" s="0" t="inlineStr">
        <is>
          <t>경상남도 창원시 진해구 경화동 890</t>
        </is>
      </c>
      <c r="AB42" s="0" t="inlineStr">
        <is>
          <t>경상남도</t>
        </is>
      </c>
      <c r="AC42" s="0" t="inlineStr">
        <is>
          <t>창원시</t>
        </is>
      </c>
      <c r="AD42" s="0" t="inlineStr">
        <is>
          <t>진해구</t>
        </is>
      </c>
      <c r="AE42" s="0" t="inlineStr">
        <is>
          <t>경화동</t>
        </is>
      </c>
      <c r="AG42" s="0" t="inlineStr">
        <is>
          <t>경상남도 창원시 진해구 진해대로694번길 23</t>
        </is>
      </c>
      <c r="AH42" s="0" t="n">
        <v>0</v>
      </c>
      <c r="AI42" s="0" t="n">
        <v>422</v>
      </c>
      <c r="AJ42" s="0" t="n">
        <v>75</v>
      </c>
      <c r="AK42" s="0" t="n">
        <v>32</v>
      </c>
      <c r="AL42" s="0" t="n">
        <v>1.33</v>
      </c>
    </row>
    <row r="43">
      <c r="A43" s="0" t="inlineStr">
        <is>
          <t>[경화동]</t>
        </is>
      </c>
      <c r="B43" s="0" t="n">
        <v>139405</v>
      </c>
      <c r="C43" s="0" t="n">
        <v>1</v>
      </c>
      <c r="D43" s="0" t="inlineStr">
        <is>
          <t>덕진디딤돌</t>
        </is>
      </c>
      <c r="E43" s="0" t="inlineStr">
        <is>
          <t>2015.03.</t>
        </is>
      </c>
      <c r="F43" s="0" t="n">
        <v>28</v>
      </c>
      <c r="G43" s="0" t="n">
        <v>19.81</v>
      </c>
      <c r="H43" s="0" t="n">
        <v>65.5</v>
      </c>
      <c r="I43" s="0" t="n">
        <v>15.32</v>
      </c>
      <c r="J43" s="0" t="n">
        <v>50.65</v>
      </c>
      <c r="K43" s="0" t="n">
        <v>1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65A</t>
        </is>
      </c>
      <c r="X43" s="0" t="n">
        <v>8</v>
      </c>
      <c r="Y43" s="0" t="n">
        <v>7</v>
      </c>
      <c r="Z43" s="0" t="inlineStr">
        <is>
          <t>https://new.land.naver.com/complexes/139405?tab=detail&amp;rf=Y</t>
        </is>
      </c>
      <c r="AA43" s="0" t="inlineStr">
        <is>
          <t>경상남도 창원시 진해구 경화동 1488-4</t>
        </is>
      </c>
      <c r="AB43" s="0" t="inlineStr">
        <is>
          <t>경상남도</t>
        </is>
      </c>
      <c r="AC43" s="0" t="inlineStr">
        <is>
          <t>창원시</t>
        </is>
      </c>
      <c r="AD43" s="0" t="inlineStr">
        <is>
          <t>진해구</t>
        </is>
      </c>
      <c r="AE43" s="0" t="inlineStr">
        <is>
          <t>경화동</t>
        </is>
      </c>
      <c r="AG43" s="0" t="inlineStr">
        <is>
          <t>경상남도 창원시 진해구 조천북로68번길 8</t>
        </is>
      </c>
      <c r="AH43" s="0" t="n">
        <v>0</v>
      </c>
      <c r="AI43" s="0" t="n">
        <v>212</v>
      </c>
      <c r="AJ43" s="0" t="n">
        <v>34</v>
      </c>
      <c r="AK43" s="0" t="n">
        <v>28</v>
      </c>
      <c r="AL43" s="0" t="n">
        <v>1</v>
      </c>
    </row>
    <row r="44">
      <c r="A44" s="0" t="inlineStr">
        <is>
          <t>[경화동]</t>
        </is>
      </c>
      <c r="B44" s="0" t="n">
        <v>139405</v>
      </c>
      <c r="C44" s="0" t="n">
        <v>2</v>
      </c>
      <c r="D44" s="0" t="inlineStr">
        <is>
          <t>덕진디딤돌</t>
        </is>
      </c>
      <c r="E44" s="0" t="inlineStr">
        <is>
          <t>2015.03.</t>
        </is>
      </c>
      <c r="F44" s="0" t="n">
        <v>28</v>
      </c>
      <c r="G44" s="0" t="n">
        <v>19.98</v>
      </c>
      <c r="H44" s="0" t="n">
        <v>66.06</v>
      </c>
      <c r="I44" s="0" t="n">
        <v>15.45</v>
      </c>
      <c r="J44" s="0" t="n">
        <v>51.09</v>
      </c>
      <c r="K44" s="0" t="n">
        <v>1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66B</t>
        </is>
      </c>
      <c r="X44" s="0" t="n">
        <v>8</v>
      </c>
      <c r="Y44" s="0" t="n">
        <v>7</v>
      </c>
      <c r="Z44" s="0" t="inlineStr">
        <is>
          <t>https://new.land.naver.com/complexes/139405?tab=detail&amp;rf=Y</t>
        </is>
      </c>
      <c r="AA44" s="0" t="inlineStr">
        <is>
          <t>경상남도 창원시 진해구 경화동 1488-4</t>
        </is>
      </c>
      <c r="AB44" s="0" t="inlineStr">
        <is>
          <t>경상남도</t>
        </is>
      </c>
      <c r="AC44" s="0" t="inlineStr">
        <is>
          <t>창원시</t>
        </is>
      </c>
      <c r="AD44" s="0" t="inlineStr">
        <is>
          <t>진해구</t>
        </is>
      </c>
      <c r="AE44" s="0" t="inlineStr">
        <is>
          <t>경화동</t>
        </is>
      </c>
      <c r="AG44" s="0" t="inlineStr">
        <is>
          <t>경상남도 창원시 진해구 조천북로68번길 8</t>
        </is>
      </c>
      <c r="AH44" s="0" t="n">
        <v>0</v>
      </c>
      <c r="AI44" s="0" t="n">
        <v>212</v>
      </c>
      <c r="AJ44" s="0" t="n">
        <v>34</v>
      </c>
      <c r="AK44" s="0" t="n">
        <v>28</v>
      </c>
      <c r="AL44" s="0" t="n">
        <v>1</v>
      </c>
    </row>
    <row r="45">
      <c r="A45" s="0" t="inlineStr">
        <is>
          <t>[경화동]</t>
        </is>
      </c>
      <c r="B45" s="0" t="n">
        <v>139405</v>
      </c>
      <c r="C45" s="0" t="n">
        <v>3</v>
      </c>
      <c r="D45" s="0" t="inlineStr">
        <is>
          <t>덕진디딤돌</t>
        </is>
      </c>
      <c r="E45" s="0" t="inlineStr">
        <is>
          <t>2015.03.</t>
        </is>
      </c>
      <c r="F45" s="0" t="n">
        <v>28</v>
      </c>
      <c r="G45" s="0" t="n">
        <v>20.46</v>
      </c>
      <c r="H45" s="0" t="n">
        <v>67.65000000000001</v>
      </c>
      <c r="I45" s="0" t="n">
        <v>15.82</v>
      </c>
      <c r="J45" s="0" t="n">
        <v>52.32</v>
      </c>
      <c r="K45" s="0" t="n">
        <v>1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67C</t>
        </is>
      </c>
      <c r="X45" s="0" t="n">
        <v>8</v>
      </c>
      <c r="Y45" s="0" t="n">
        <v>7</v>
      </c>
      <c r="Z45" s="0" t="inlineStr">
        <is>
          <t>https://new.land.naver.com/complexes/139405?tab=detail&amp;rf=Y</t>
        </is>
      </c>
      <c r="AA45" s="0" t="inlineStr">
        <is>
          <t>경상남도 창원시 진해구 경화동 1488-4</t>
        </is>
      </c>
      <c r="AB45" s="0" t="inlineStr">
        <is>
          <t>경상남도</t>
        </is>
      </c>
      <c r="AC45" s="0" t="inlineStr">
        <is>
          <t>창원시</t>
        </is>
      </c>
      <c r="AD45" s="0" t="inlineStr">
        <is>
          <t>진해구</t>
        </is>
      </c>
      <c r="AE45" s="0" t="inlineStr">
        <is>
          <t>경화동</t>
        </is>
      </c>
      <c r="AG45" s="0" t="inlineStr">
        <is>
          <t>경상남도 창원시 진해구 조천북로68번길 8</t>
        </is>
      </c>
      <c r="AH45" s="0" t="n">
        <v>0</v>
      </c>
      <c r="AI45" s="0" t="n">
        <v>212</v>
      </c>
      <c r="AJ45" s="0" t="n">
        <v>34</v>
      </c>
      <c r="AK45" s="0" t="n">
        <v>28</v>
      </c>
      <c r="AL45" s="0" t="n">
        <v>1</v>
      </c>
    </row>
    <row r="46">
      <c r="A46" s="0" t="inlineStr">
        <is>
          <t>[경화동]</t>
        </is>
      </c>
      <c r="B46" s="0" t="n">
        <v>139405</v>
      </c>
      <c r="C46" s="0" t="n">
        <v>4</v>
      </c>
      <c r="D46" s="0" t="inlineStr">
        <is>
          <t>덕진디딤돌</t>
        </is>
      </c>
      <c r="E46" s="0" t="inlineStr">
        <is>
          <t>2015.03.</t>
        </is>
      </c>
      <c r="F46" s="0" t="n">
        <v>28</v>
      </c>
      <c r="G46" s="0" t="n">
        <v>22.29</v>
      </c>
      <c r="H46" s="0" t="n">
        <v>73.7</v>
      </c>
      <c r="I46" s="0" t="n">
        <v>17.24</v>
      </c>
      <c r="J46" s="0" t="n">
        <v>57</v>
      </c>
      <c r="K46" s="0" t="n">
        <v>6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73A</t>
        </is>
      </c>
      <c r="X46" s="0" t="n">
        <v>8</v>
      </c>
      <c r="Y46" s="0" t="n">
        <v>7</v>
      </c>
      <c r="Z46" s="0" t="inlineStr">
        <is>
          <t>https://new.land.naver.com/complexes/139405?tab=detail&amp;rf=Y</t>
        </is>
      </c>
      <c r="AA46" s="0" t="inlineStr">
        <is>
          <t>경상남도 창원시 진해구 경화동 1488-4</t>
        </is>
      </c>
      <c r="AB46" s="0" t="inlineStr">
        <is>
          <t>경상남도</t>
        </is>
      </c>
      <c r="AC46" s="0" t="inlineStr">
        <is>
          <t>창원시</t>
        </is>
      </c>
      <c r="AD46" s="0" t="inlineStr">
        <is>
          <t>진해구</t>
        </is>
      </c>
      <c r="AE46" s="0" t="inlineStr">
        <is>
          <t>경화동</t>
        </is>
      </c>
      <c r="AG46" s="0" t="inlineStr">
        <is>
          <t>경상남도 창원시 진해구 조천북로68번길 8</t>
        </is>
      </c>
      <c r="AH46" s="0" t="n">
        <v>0</v>
      </c>
      <c r="AI46" s="0" t="n">
        <v>212</v>
      </c>
      <c r="AJ46" s="0" t="n">
        <v>34</v>
      </c>
      <c r="AK46" s="0" t="n">
        <v>28</v>
      </c>
      <c r="AL46" s="0" t="n">
        <v>1</v>
      </c>
    </row>
    <row r="47">
      <c r="A47" s="0" t="inlineStr">
        <is>
          <t>[경화동]</t>
        </is>
      </c>
      <c r="B47" s="0" t="n">
        <v>139405</v>
      </c>
      <c r="C47" s="0" t="n">
        <v>5</v>
      </c>
      <c r="D47" s="0" t="inlineStr">
        <is>
          <t>덕진디딤돌</t>
        </is>
      </c>
      <c r="E47" s="0" t="inlineStr">
        <is>
          <t>2015.03.</t>
        </is>
      </c>
      <c r="F47" s="0" t="n">
        <v>28</v>
      </c>
      <c r="G47" s="0" t="n">
        <v>22.63</v>
      </c>
      <c r="H47" s="0" t="n">
        <v>74.84</v>
      </c>
      <c r="I47" s="0" t="n">
        <v>17.5</v>
      </c>
      <c r="J47" s="0" t="n">
        <v>57.88</v>
      </c>
      <c r="K47" s="0" t="n">
        <v>12</v>
      </c>
      <c r="T47" s="0" t="n">
        <v>3</v>
      </c>
      <c r="U47" s="0" t="n">
        <v>2</v>
      </c>
      <c r="V47" s="0" t="inlineStr">
        <is>
          <t>계단식</t>
        </is>
      </c>
      <c r="W47" s="0" t="n">
        <v>74</v>
      </c>
      <c r="X47" s="0" t="n">
        <v>8</v>
      </c>
      <c r="Y47" s="0" t="n">
        <v>7</v>
      </c>
      <c r="Z47" s="0" t="inlineStr">
        <is>
          <t>https://new.land.naver.com/complexes/139405?tab=detail&amp;rf=Y</t>
        </is>
      </c>
      <c r="AA47" s="0" t="inlineStr">
        <is>
          <t>경상남도 창원시 진해구 경화동 1488-4</t>
        </is>
      </c>
      <c r="AB47" s="0" t="inlineStr">
        <is>
          <t>경상남도</t>
        </is>
      </c>
      <c r="AC47" s="0" t="inlineStr">
        <is>
          <t>창원시</t>
        </is>
      </c>
      <c r="AD47" s="0" t="inlineStr">
        <is>
          <t>진해구</t>
        </is>
      </c>
      <c r="AE47" s="0" t="inlineStr">
        <is>
          <t>경화동</t>
        </is>
      </c>
      <c r="AG47" s="0" t="inlineStr">
        <is>
          <t>경상남도 창원시 진해구 조천북로68번길 8</t>
        </is>
      </c>
      <c r="AH47" s="0" t="n">
        <v>0</v>
      </c>
      <c r="AI47" s="0" t="n">
        <v>212</v>
      </c>
      <c r="AJ47" s="0" t="n">
        <v>34</v>
      </c>
      <c r="AK47" s="0" t="n">
        <v>28</v>
      </c>
      <c r="AL47" s="0" t="n">
        <v>1</v>
      </c>
    </row>
    <row r="48">
      <c r="A48" s="0" t="inlineStr">
        <is>
          <t>[경화동]</t>
        </is>
      </c>
      <c r="B48" s="0" t="n">
        <v>139405</v>
      </c>
      <c r="C48" s="0" t="n">
        <v>6</v>
      </c>
      <c r="D48" s="0" t="inlineStr">
        <is>
          <t>덕진디딤돌</t>
        </is>
      </c>
      <c r="E48" s="0" t="inlineStr">
        <is>
          <t>2015.03.</t>
        </is>
      </c>
      <c r="F48" s="0" t="n">
        <v>28</v>
      </c>
      <c r="G48" s="0" t="n">
        <v>22.39</v>
      </c>
      <c r="H48" s="0" t="n">
        <v>74.04000000000001</v>
      </c>
      <c r="I48" s="0" t="n">
        <v>17.32</v>
      </c>
      <c r="J48" s="0" t="n">
        <v>57.26</v>
      </c>
      <c r="K48" s="0" t="n">
        <v>1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74B</t>
        </is>
      </c>
      <c r="X48" s="0" t="n">
        <v>8</v>
      </c>
      <c r="Y48" s="0" t="n">
        <v>7</v>
      </c>
      <c r="Z48" s="0" t="inlineStr">
        <is>
          <t>https://new.land.naver.com/complexes/139405?tab=detail&amp;rf=Y</t>
        </is>
      </c>
      <c r="AA48" s="0" t="inlineStr">
        <is>
          <t>경상남도 창원시 진해구 경화동 1488-4</t>
        </is>
      </c>
      <c r="AB48" s="0" t="inlineStr">
        <is>
          <t>경상남도</t>
        </is>
      </c>
      <c r="AC48" s="0" t="inlineStr">
        <is>
          <t>창원시</t>
        </is>
      </c>
      <c r="AD48" s="0" t="inlineStr">
        <is>
          <t>진해구</t>
        </is>
      </c>
      <c r="AE48" s="0" t="inlineStr">
        <is>
          <t>경화동</t>
        </is>
      </c>
      <c r="AG48" s="0" t="inlineStr">
        <is>
          <t>경상남도 창원시 진해구 조천북로68번길 8</t>
        </is>
      </c>
      <c r="AH48" s="0" t="n">
        <v>0</v>
      </c>
      <c r="AI48" s="0" t="n">
        <v>212</v>
      </c>
      <c r="AJ48" s="0" t="n">
        <v>34</v>
      </c>
      <c r="AK48" s="0" t="n">
        <v>28</v>
      </c>
      <c r="AL48" s="0" t="n">
        <v>1</v>
      </c>
    </row>
    <row r="49">
      <c r="A49" s="0" t="inlineStr">
        <is>
          <t>[경화동]</t>
        </is>
      </c>
      <c r="B49" s="0" t="n">
        <v>139405</v>
      </c>
      <c r="C49" s="0" t="n">
        <v>7</v>
      </c>
      <c r="D49" s="0" t="inlineStr">
        <is>
          <t>덕진디딤돌</t>
        </is>
      </c>
      <c r="E49" s="0" t="inlineStr">
        <is>
          <t>2015.03.</t>
        </is>
      </c>
      <c r="F49" s="0" t="n">
        <v>28</v>
      </c>
      <c r="G49" s="0" t="n">
        <v>25.18</v>
      </c>
      <c r="H49" s="0" t="n">
        <v>83.23999999999999</v>
      </c>
      <c r="I49" s="0" t="n">
        <v>19.47</v>
      </c>
      <c r="J49" s="0" t="n">
        <v>64.38</v>
      </c>
      <c r="K49" s="0" t="n">
        <v>6</v>
      </c>
      <c r="T49" s="0" t="n">
        <v>3</v>
      </c>
      <c r="U49" s="0" t="n">
        <v>2</v>
      </c>
      <c r="V49" s="0" t="inlineStr">
        <is>
          <t>계단식</t>
        </is>
      </c>
      <c r="W49" s="0" t="n">
        <v>83</v>
      </c>
      <c r="X49" s="0" t="n">
        <v>8</v>
      </c>
      <c r="Y49" s="0" t="n">
        <v>7</v>
      </c>
      <c r="Z49" s="0" t="inlineStr">
        <is>
          <t>https://new.land.naver.com/complexes/139405?tab=detail&amp;rf=Y</t>
        </is>
      </c>
      <c r="AA49" s="0" t="inlineStr">
        <is>
          <t>경상남도 창원시 진해구 경화동 1488-4</t>
        </is>
      </c>
      <c r="AB49" s="0" t="inlineStr">
        <is>
          <t>경상남도</t>
        </is>
      </c>
      <c r="AC49" s="0" t="inlineStr">
        <is>
          <t>창원시</t>
        </is>
      </c>
      <c r="AD49" s="0" t="inlineStr">
        <is>
          <t>진해구</t>
        </is>
      </c>
      <c r="AE49" s="0" t="inlineStr">
        <is>
          <t>경화동</t>
        </is>
      </c>
      <c r="AG49" s="0" t="inlineStr">
        <is>
          <t>경상남도 창원시 진해구 조천북로68번길 8</t>
        </is>
      </c>
      <c r="AH49" s="0" t="n">
        <v>0</v>
      </c>
      <c r="AI49" s="0" t="n">
        <v>212</v>
      </c>
      <c r="AJ49" s="0" t="n">
        <v>34</v>
      </c>
      <c r="AK49" s="0" t="n">
        <v>28</v>
      </c>
      <c r="AL49" s="0" t="n">
        <v>1</v>
      </c>
    </row>
    <row r="50">
      <c r="A50" s="0" t="inlineStr">
        <is>
          <t>[경화동]</t>
        </is>
      </c>
      <c r="B50" s="0" t="n">
        <v>16752</v>
      </c>
      <c r="C50" s="0" t="n">
        <v>1</v>
      </c>
      <c r="D50" s="0" t="inlineStr">
        <is>
          <t>원창훼미리</t>
        </is>
      </c>
      <c r="E50" s="0" t="inlineStr">
        <is>
          <t>1999.09.</t>
        </is>
      </c>
      <c r="F50" s="0" t="n">
        <v>70</v>
      </c>
      <c r="G50" s="0" t="n">
        <v>24.26</v>
      </c>
      <c r="H50" s="0" t="n">
        <v>80.22</v>
      </c>
      <c r="I50" s="0" t="n">
        <v>18.05</v>
      </c>
      <c r="J50" s="0" t="n">
        <v>59.68</v>
      </c>
      <c r="K50" s="0" t="n">
        <v>70</v>
      </c>
      <c r="T50" s="0" t="n">
        <v>3</v>
      </c>
      <c r="U50" s="0" t="n">
        <v>1</v>
      </c>
      <c r="V50" s="0" t="inlineStr">
        <is>
          <t>복도식</t>
        </is>
      </c>
      <c r="W50" s="0" t="n">
        <v>80</v>
      </c>
      <c r="X50" s="0" t="n">
        <v>7</v>
      </c>
      <c r="Y50" s="0" t="n">
        <v>7</v>
      </c>
      <c r="Z50" s="0" t="inlineStr">
        <is>
          <t>https://new.land.naver.com/complexes/16752?tab=detail&amp;rf=Y</t>
        </is>
      </c>
      <c r="AA50" s="0" t="inlineStr">
        <is>
          <t>경상남도 창원시 진해구 경화동 751</t>
        </is>
      </c>
      <c r="AB50" s="0" t="inlineStr">
        <is>
          <t>경상남도</t>
        </is>
      </c>
      <c r="AC50" s="0" t="inlineStr">
        <is>
          <t>창원시</t>
        </is>
      </c>
      <c r="AD50" s="0" t="inlineStr">
        <is>
          <t>진해구</t>
        </is>
      </c>
      <c r="AE50" s="0" t="inlineStr">
        <is>
          <t>경화동</t>
        </is>
      </c>
      <c r="AG50" s="0" t="inlineStr">
        <is>
          <t>경상남도 창원시 진해구 병암북로4번길 25</t>
        </is>
      </c>
      <c r="AH50" s="0" t="n">
        <v>0</v>
      </c>
      <c r="AI50" s="0" t="n">
        <v>165</v>
      </c>
      <c r="AJ50" s="0" t="n">
        <v>27</v>
      </c>
      <c r="AK50" s="0" t="n">
        <v>66</v>
      </c>
      <c r="AL50" s="0" t="n">
        <v>0.9399999999999999</v>
      </c>
    </row>
    <row r="51">
      <c r="A51" s="0" t="inlineStr">
        <is>
          <t>[경화동]</t>
        </is>
      </c>
      <c r="B51" s="0" t="n">
        <v>14644</v>
      </c>
      <c r="C51" s="0" t="n">
        <v>1</v>
      </c>
      <c r="D51" s="0" t="inlineStr">
        <is>
          <t>경화삼정그린코아1단지</t>
        </is>
      </c>
      <c r="E51" s="0" t="inlineStr">
        <is>
          <t>2005.08.</t>
        </is>
      </c>
      <c r="F51" s="0" t="n">
        <v>202</v>
      </c>
      <c r="G51" s="0" t="n">
        <v>33.63</v>
      </c>
      <c r="H51" s="0" t="n">
        <v>111.2</v>
      </c>
      <c r="I51" s="0" t="n">
        <v>25.67</v>
      </c>
      <c r="J51" s="0" t="n">
        <v>84.89</v>
      </c>
      <c r="K51" s="0" t="n">
        <v>202</v>
      </c>
      <c r="T51" s="0" t="n">
        <v>3</v>
      </c>
      <c r="U51" s="0" t="n">
        <v>2</v>
      </c>
      <c r="V51" s="0" t="inlineStr">
        <is>
          <t>계단식</t>
        </is>
      </c>
      <c r="W51" s="0" t="n">
        <v>111</v>
      </c>
      <c r="X51" s="0" t="n">
        <v>15</v>
      </c>
      <c r="Y51" s="0" t="n">
        <v>12</v>
      </c>
      <c r="Z51" s="0" t="inlineStr">
        <is>
          <t>https://new.land.naver.com/complexes/14644?tab=detail&amp;rf=Y</t>
        </is>
      </c>
      <c r="AA51" s="0" t="inlineStr">
        <is>
          <t>경상남도 창원시 진해구 경화동 1428-1</t>
        </is>
      </c>
      <c r="AB51" s="0" t="inlineStr">
        <is>
          <t>경상남도</t>
        </is>
      </c>
      <c r="AC51" s="0" t="inlineStr">
        <is>
          <t>창원시</t>
        </is>
      </c>
      <c r="AD51" s="0" t="inlineStr">
        <is>
          <t>진해구</t>
        </is>
      </c>
      <c r="AE51" s="0" t="inlineStr">
        <is>
          <t>경화동</t>
        </is>
      </c>
      <c r="AG51" s="0" t="inlineStr">
        <is>
          <t>경상남도 창원시 진해구 조천북로 97</t>
        </is>
      </c>
      <c r="AH51" s="0" t="n">
        <v>0</v>
      </c>
      <c r="AI51" s="0" t="n">
        <v>225</v>
      </c>
      <c r="AJ51" s="0" t="n">
        <v>22</v>
      </c>
      <c r="AK51" s="0" t="n">
        <v>203</v>
      </c>
      <c r="AL51" s="0" t="n">
        <v>1</v>
      </c>
    </row>
    <row r="52">
      <c r="A52" s="0" t="inlineStr">
        <is>
          <t>[경화동]</t>
        </is>
      </c>
      <c r="B52" s="0" t="n">
        <v>100827</v>
      </c>
      <c r="C52" s="0" t="n">
        <v>1</v>
      </c>
      <c r="D52" s="0" t="inlineStr">
        <is>
          <t>초원</t>
        </is>
      </c>
      <c r="E52" s="0" t="inlineStr">
        <is>
          <t>1992.04.</t>
        </is>
      </c>
      <c r="F52" s="0" t="n">
        <v>84</v>
      </c>
      <c r="G52" s="0" t="n">
        <v>19.94</v>
      </c>
      <c r="H52" s="0" t="n">
        <v>65.94</v>
      </c>
      <c r="I52" s="0" t="n">
        <v>15.09</v>
      </c>
      <c r="J52" s="0" t="n">
        <v>49.89</v>
      </c>
      <c r="K52" s="0" t="n">
        <v>12</v>
      </c>
      <c r="T52" s="0" t="n">
        <v>2</v>
      </c>
      <c r="U52" s="0" t="n">
        <v>1</v>
      </c>
      <c r="V52" s="0" t="inlineStr">
        <is>
          <t>계단식</t>
        </is>
      </c>
      <c r="W52" s="0" t="n">
        <v>65</v>
      </c>
      <c r="X52" s="0" t="n">
        <v>6</v>
      </c>
      <c r="Y52" s="0" t="n">
        <v>6</v>
      </c>
      <c r="Z52" s="0" t="inlineStr">
        <is>
          <t>https://new.land.naver.com/complexes/100827?tab=detail&amp;rf=Y</t>
        </is>
      </c>
      <c r="AA52" s="0" t="inlineStr">
        <is>
          <t>경상남도 창원시 진해구 경화동 923</t>
        </is>
      </c>
      <c r="AB52" s="0" t="inlineStr">
        <is>
          <t>경상남도</t>
        </is>
      </c>
      <c r="AC52" s="0" t="inlineStr">
        <is>
          <t>창원시</t>
        </is>
      </c>
      <c r="AD52" s="0" t="inlineStr">
        <is>
          <t>진해구</t>
        </is>
      </c>
      <c r="AE52" s="0" t="inlineStr">
        <is>
          <t>경화동</t>
        </is>
      </c>
      <c r="AG52" s="0" t="inlineStr">
        <is>
          <t>경상남도 창원시 진해구 경화로38번길 23</t>
        </is>
      </c>
      <c r="AH52" s="0" t="n">
        <v>0</v>
      </c>
      <c r="AI52" s="0" t="n">
        <v>185</v>
      </c>
      <c r="AJ52" s="0" t="n">
        <v>30</v>
      </c>
      <c r="AK52" s="0" t="n">
        <v>0</v>
      </c>
      <c r="AL52" s="0" t="n">
        <v>0</v>
      </c>
    </row>
    <row r="53">
      <c r="A53" s="0" t="inlineStr">
        <is>
          <t>[경화동]</t>
        </is>
      </c>
      <c r="B53" s="0" t="n">
        <v>100827</v>
      </c>
      <c r="C53" s="0" t="n">
        <v>2</v>
      </c>
      <c r="D53" s="0" t="inlineStr">
        <is>
          <t>초원</t>
        </is>
      </c>
      <c r="E53" s="0" t="inlineStr">
        <is>
          <t>1992.04.</t>
        </is>
      </c>
      <c r="F53" s="0" t="n">
        <v>84</v>
      </c>
      <c r="G53" s="0" t="n">
        <v>30.08</v>
      </c>
      <c r="H53" s="0" t="n">
        <v>99.45999999999999</v>
      </c>
      <c r="I53" s="0" t="n">
        <v>23.78</v>
      </c>
      <c r="J53" s="0" t="n">
        <v>78.63</v>
      </c>
      <c r="K53" s="0" t="n">
        <v>30</v>
      </c>
      <c r="T53" s="0" t="n">
        <v>3</v>
      </c>
      <c r="U53" s="0" t="n">
        <v>1</v>
      </c>
      <c r="V53" s="0" t="inlineStr">
        <is>
          <t>계단식</t>
        </is>
      </c>
      <c r="W53" s="0" t="n">
        <v>99</v>
      </c>
      <c r="X53" s="0" t="n">
        <v>6</v>
      </c>
      <c r="Y53" s="0" t="n">
        <v>6</v>
      </c>
      <c r="Z53" s="0" t="inlineStr">
        <is>
          <t>https://new.land.naver.com/complexes/100827?tab=detail&amp;rf=Y</t>
        </is>
      </c>
      <c r="AA53" s="0" t="inlineStr">
        <is>
          <t>경상남도 창원시 진해구 경화동 923</t>
        </is>
      </c>
      <c r="AB53" s="0" t="inlineStr">
        <is>
          <t>경상남도</t>
        </is>
      </c>
      <c r="AC53" s="0" t="inlineStr">
        <is>
          <t>창원시</t>
        </is>
      </c>
      <c r="AD53" s="0" t="inlineStr">
        <is>
          <t>진해구</t>
        </is>
      </c>
      <c r="AE53" s="0" t="inlineStr">
        <is>
          <t>경화동</t>
        </is>
      </c>
      <c r="AG53" s="0" t="inlineStr">
        <is>
          <t>경상남도 창원시 진해구 경화로38번길 23</t>
        </is>
      </c>
      <c r="AH53" s="0" t="n">
        <v>0</v>
      </c>
      <c r="AI53" s="0" t="n">
        <v>185</v>
      </c>
      <c r="AJ53" s="0" t="n">
        <v>30</v>
      </c>
      <c r="AK53" s="0" t="n">
        <v>0</v>
      </c>
      <c r="AL53" s="0" t="n">
        <v>0</v>
      </c>
    </row>
    <row r="54">
      <c r="A54" s="0" t="inlineStr">
        <is>
          <t>[경화동]</t>
        </is>
      </c>
      <c r="B54" s="0" t="n">
        <v>100827</v>
      </c>
      <c r="C54" s="0" t="n">
        <v>3</v>
      </c>
      <c r="D54" s="0" t="inlineStr">
        <is>
          <t>초원</t>
        </is>
      </c>
      <c r="E54" s="0" t="inlineStr">
        <is>
          <t>1992.04.</t>
        </is>
      </c>
      <c r="F54" s="0" t="n">
        <v>84</v>
      </c>
      <c r="G54" s="0" t="n">
        <v>31.19</v>
      </c>
      <c r="H54" s="0" t="n">
        <v>103.12</v>
      </c>
      <c r="I54" s="0" t="n">
        <v>24.73</v>
      </c>
      <c r="J54" s="0" t="n">
        <v>81.78</v>
      </c>
      <c r="K54" s="0" t="n">
        <v>18</v>
      </c>
      <c r="T54" s="0" t="n">
        <v>3</v>
      </c>
      <c r="U54" s="0" t="n">
        <v>1</v>
      </c>
      <c r="V54" s="0" t="inlineStr">
        <is>
          <t>계단식</t>
        </is>
      </c>
      <c r="W54" s="0" t="n">
        <v>103</v>
      </c>
      <c r="X54" s="0" t="n">
        <v>6</v>
      </c>
      <c r="Y54" s="0" t="n">
        <v>6</v>
      </c>
      <c r="Z54" s="0" t="inlineStr">
        <is>
          <t>https://new.land.naver.com/complexes/100827?tab=detail&amp;rf=Y</t>
        </is>
      </c>
      <c r="AA54" s="0" t="inlineStr">
        <is>
          <t>경상남도 창원시 진해구 경화동 923</t>
        </is>
      </c>
      <c r="AB54" s="0" t="inlineStr">
        <is>
          <t>경상남도</t>
        </is>
      </c>
      <c r="AC54" s="0" t="inlineStr">
        <is>
          <t>창원시</t>
        </is>
      </c>
      <c r="AD54" s="0" t="inlineStr">
        <is>
          <t>진해구</t>
        </is>
      </c>
      <c r="AE54" s="0" t="inlineStr">
        <is>
          <t>경화동</t>
        </is>
      </c>
      <c r="AG54" s="0" t="inlineStr">
        <is>
          <t>경상남도 창원시 진해구 경화로38번길 23</t>
        </is>
      </c>
      <c r="AH54" s="0" t="n">
        <v>0</v>
      </c>
      <c r="AI54" s="0" t="n">
        <v>185</v>
      </c>
      <c r="AJ54" s="0" t="n">
        <v>30</v>
      </c>
      <c r="AK54" s="0" t="n">
        <v>0</v>
      </c>
      <c r="AL54" s="0" t="n">
        <v>0</v>
      </c>
    </row>
    <row r="55">
      <c r="A55" s="0" t="inlineStr">
        <is>
          <t>[경화동]</t>
        </is>
      </c>
      <c r="B55" s="0" t="n">
        <v>100827</v>
      </c>
      <c r="C55" s="0" t="n">
        <v>4</v>
      </c>
      <c r="D55" s="0" t="inlineStr">
        <is>
          <t>초원</t>
        </is>
      </c>
      <c r="E55" s="0" t="inlineStr">
        <is>
          <t>1992.04.</t>
        </is>
      </c>
      <c r="F55" s="0" t="n">
        <v>84</v>
      </c>
      <c r="G55" s="0" t="n">
        <v>32.25</v>
      </c>
      <c r="H55" s="0" t="n">
        <v>106.63</v>
      </c>
      <c r="I55" s="0" t="n">
        <v>25.64</v>
      </c>
      <c r="J55" s="0" t="n">
        <v>84.78</v>
      </c>
      <c r="K55" s="0" t="n">
        <v>24</v>
      </c>
      <c r="T55" s="0" t="n">
        <v>3</v>
      </c>
      <c r="U55" s="0" t="n">
        <v>2</v>
      </c>
      <c r="V55" s="0" t="inlineStr">
        <is>
          <t>계단식</t>
        </is>
      </c>
      <c r="W55" s="0" t="n">
        <v>106</v>
      </c>
      <c r="X55" s="0" t="n">
        <v>6</v>
      </c>
      <c r="Y55" s="0" t="n">
        <v>6</v>
      </c>
      <c r="Z55" s="0" t="inlineStr">
        <is>
          <t>https://new.land.naver.com/complexes/100827?tab=detail&amp;rf=Y</t>
        </is>
      </c>
      <c r="AA55" s="0" t="inlineStr">
        <is>
          <t>경상남도 창원시 진해구 경화동 923</t>
        </is>
      </c>
      <c r="AB55" s="0" t="inlineStr">
        <is>
          <t>경상남도</t>
        </is>
      </c>
      <c r="AC55" s="0" t="inlineStr">
        <is>
          <t>창원시</t>
        </is>
      </c>
      <c r="AD55" s="0" t="inlineStr">
        <is>
          <t>진해구</t>
        </is>
      </c>
      <c r="AE55" s="0" t="inlineStr">
        <is>
          <t>경화동</t>
        </is>
      </c>
      <c r="AG55" s="0" t="inlineStr">
        <is>
          <t>경상남도 창원시 진해구 경화로38번길 23</t>
        </is>
      </c>
      <c r="AH55" s="0" t="n">
        <v>0</v>
      </c>
      <c r="AI55" s="0" t="n">
        <v>185</v>
      </c>
      <c r="AJ55" s="0" t="n">
        <v>30</v>
      </c>
      <c r="AK55" s="0" t="n">
        <v>0</v>
      </c>
      <c r="AL55" s="0" t="n">
        <v>0</v>
      </c>
    </row>
    <row r="56">
      <c r="A56" s="0" t="inlineStr">
        <is>
          <t>[경화동]</t>
        </is>
      </c>
      <c r="B56" s="0" t="n">
        <v>101969</v>
      </c>
      <c r="C56" s="0" t="n">
        <v>1</v>
      </c>
      <c r="D56" s="0" t="inlineStr">
        <is>
          <t>한빛프라자</t>
        </is>
      </c>
      <c r="E56" s="0" t="inlineStr">
        <is>
          <t>2000.10.</t>
        </is>
      </c>
      <c r="F56" s="0" t="n">
        <v>64</v>
      </c>
      <c r="G56" s="0" t="n">
        <v>23.61</v>
      </c>
      <c r="H56" s="0" t="n">
        <v>78.05</v>
      </c>
      <c r="I56" s="0" t="n">
        <v>18.11</v>
      </c>
      <c r="J56" s="0" t="n">
        <v>59.88</v>
      </c>
      <c r="K56" s="0" t="n">
        <v>32</v>
      </c>
      <c r="T56" s="0" t="n">
        <v>3</v>
      </c>
      <c r="U56" s="0" t="n">
        <v>1</v>
      </c>
      <c r="V56" s="0" t="inlineStr">
        <is>
          <t>계단식</t>
        </is>
      </c>
      <c r="W56" s="0" t="n">
        <v>78</v>
      </c>
      <c r="X56" s="0" t="n">
        <v>10</v>
      </c>
      <c r="Y56" s="0" t="n">
        <v>10</v>
      </c>
      <c r="Z56" s="0" t="inlineStr">
        <is>
          <t>https://new.land.naver.com/complexes/101969?tab=detail&amp;rf=Y</t>
        </is>
      </c>
      <c r="AA56" s="0" t="inlineStr">
        <is>
          <t>경상남도 창원시 진해구 경화동 32-1</t>
        </is>
      </c>
      <c r="AB56" s="0" t="inlineStr">
        <is>
          <t>경상남도</t>
        </is>
      </c>
      <c r="AC56" s="0" t="inlineStr">
        <is>
          <t>창원시</t>
        </is>
      </c>
      <c r="AD56" s="0" t="inlineStr">
        <is>
          <t>진해구</t>
        </is>
      </c>
      <c r="AE56" s="0" t="inlineStr">
        <is>
          <t>경화동</t>
        </is>
      </c>
      <c r="AG56" s="0" t="inlineStr">
        <is>
          <t>경상남도 창원시 진해구 충장로 325</t>
        </is>
      </c>
      <c r="AH56" s="0" t="n">
        <v>0</v>
      </c>
      <c r="AI56" s="0" t="n">
        <v>298</v>
      </c>
      <c r="AJ56" s="0" t="n">
        <v>55</v>
      </c>
      <c r="AK56" s="0" t="n">
        <v>90</v>
      </c>
      <c r="AL56" s="0" t="n">
        <v>1.41</v>
      </c>
    </row>
    <row r="57">
      <c r="A57" s="0" t="inlineStr">
        <is>
          <t>[경화동]</t>
        </is>
      </c>
      <c r="B57" s="0" t="n">
        <v>101969</v>
      </c>
      <c r="C57" s="0" t="n">
        <v>2</v>
      </c>
      <c r="D57" s="0" t="inlineStr">
        <is>
          <t>한빛프라자</t>
        </is>
      </c>
      <c r="E57" s="0" t="inlineStr">
        <is>
          <t>2000.10.</t>
        </is>
      </c>
      <c r="F57" s="0" t="n">
        <v>64</v>
      </c>
      <c r="G57" s="0" t="n">
        <v>33.47</v>
      </c>
      <c r="H57" s="0" t="n">
        <v>110.66</v>
      </c>
      <c r="I57" s="0" t="n">
        <v>25.68</v>
      </c>
      <c r="J57" s="0" t="n">
        <v>84.90000000000001</v>
      </c>
      <c r="K57" s="0" t="n">
        <v>32</v>
      </c>
      <c r="T57" s="0" t="n">
        <v>3</v>
      </c>
      <c r="U57" s="0" t="n">
        <v>2</v>
      </c>
      <c r="V57" s="0" t="inlineStr">
        <is>
          <t>계단식</t>
        </is>
      </c>
      <c r="W57" s="0" t="n">
        <v>110</v>
      </c>
      <c r="X57" s="0" t="n">
        <v>10</v>
      </c>
      <c r="Y57" s="0" t="n">
        <v>10</v>
      </c>
      <c r="Z57" s="0" t="inlineStr">
        <is>
          <t>https://new.land.naver.com/complexes/101969?tab=detail&amp;rf=Y</t>
        </is>
      </c>
      <c r="AA57" s="0" t="inlineStr">
        <is>
          <t>경상남도 창원시 진해구 경화동 32-1</t>
        </is>
      </c>
      <c r="AB57" s="0" t="inlineStr">
        <is>
          <t>경상남도</t>
        </is>
      </c>
      <c r="AC57" s="0" t="inlineStr">
        <is>
          <t>창원시</t>
        </is>
      </c>
      <c r="AD57" s="0" t="inlineStr">
        <is>
          <t>진해구</t>
        </is>
      </c>
      <c r="AE57" s="0" t="inlineStr">
        <is>
          <t>경화동</t>
        </is>
      </c>
      <c r="AG57" s="0" t="inlineStr">
        <is>
          <t>경상남도 창원시 진해구 충장로 325</t>
        </is>
      </c>
      <c r="AH57" s="0" t="n">
        <v>0</v>
      </c>
      <c r="AI57" s="0" t="n">
        <v>298</v>
      </c>
      <c r="AJ57" s="0" t="n">
        <v>55</v>
      </c>
      <c r="AK57" s="0" t="n">
        <v>90</v>
      </c>
      <c r="AL57" s="0" t="n">
        <v>1.41</v>
      </c>
    </row>
    <row r="58">
      <c r="A58" s="0" t="inlineStr">
        <is>
          <t>[경화동]</t>
        </is>
      </c>
      <c r="B58" s="0" t="n">
        <v>7551</v>
      </c>
      <c r="C58" s="0" t="n">
        <v>1</v>
      </c>
      <c r="D58" s="0" t="inlineStr">
        <is>
          <t>경화주공</t>
        </is>
      </c>
      <c r="E58" s="0" t="inlineStr">
        <is>
          <t>1986.11.</t>
        </is>
      </c>
      <c r="F58" s="0" t="n">
        <v>420</v>
      </c>
      <c r="G58" s="0" t="n">
        <v>11.3</v>
      </c>
      <c r="H58" s="0" t="n">
        <v>37.38</v>
      </c>
      <c r="I58" s="0" t="n">
        <v>9.67</v>
      </c>
      <c r="J58" s="0" t="n">
        <v>31.98</v>
      </c>
      <c r="K58" s="0" t="n">
        <v>220</v>
      </c>
      <c r="T58" s="0" t="n">
        <v>2</v>
      </c>
      <c r="U58" s="0" t="n">
        <v>1</v>
      </c>
      <c r="V58" s="0" t="inlineStr">
        <is>
          <t>계단식</t>
        </is>
      </c>
      <c r="W58" s="0" t="n">
        <v>37</v>
      </c>
      <c r="X58" s="0" t="n">
        <v>5</v>
      </c>
      <c r="Y58" s="0" t="n">
        <v>5</v>
      </c>
      <c r="Z58" s="0" t="inlineStr">
        <is>
          <t>https://new.land.naver.com/complexes/7551?tab=detail&amp;rf=Y</t>
        </is>
      </c>
      <c r="AA58" s="0" t="inlineStr">
        <is>
          <t>경상남도 창원시 진해구 경화동 859</t>
        </is>
      </c>
      <c r="AB58" s="0" t="inlineStr">
        <is>
          <t>경상남도</t>
        </is>
      </c>
      <c r="AC58" s="0" t="inlineStr">
        <is>
          <t>창원시</t>
        </is>
      </c>
      <c r="AD58" s="0" t="inlineStr">
        <is>
          <t>진해구</t>
        </is>
      </c>
      <c r="AE58" s="0" t="inlineStr">
        <is>
          <t>경화동</t>
        </is>
      </c>
      <c r="AG58" s="0" t="inlineStr">
        <is>
          <t>경상남도 창원시 진해구 충장로345번길 50</t>
        </is>
      </c>
      <c r="AH58" s="0" t="n">
        <v>0</v>
      </c>
      <c r="AI58" s="0" t="n">
        <v>97</v>
      </c>
      <c r="AJ58" s="0" t="n">
        <v>21</v>
      </c>
      <c r="AK58" s="0" t="n">
        <v>0</v>
      </c>
      <c r="AL58" s="0" t="n">
        <v>0</v>
      </c>
    </row>
    <row r="59">
      <c r="A59" s="0" t="inlineStr">
        <is>
          <t>[경화동]</t>
        </is>
      </c>
      <c r="B59" s="0" t="n">
        <v>7551</v>
      </c>
      <c r="C59" s="0" t="n">
        <v>2</v>
      </c>
      <c r="D59" s="0" t="inlineStr">
        <is>
          <t>경화주공</t>
        </is>
      </c>
      <c r="E59" s="0" t="inlineStr">
        <is>
          <t>1986.11.</t>
        </is>
      </c>
      <c r="F59" s="0" t="n">
        <v>420</v>
      </c>
      <c r="G59" s="0" t="n">
        <v>13.64</v>
      </c>
      <c r="H59" s="0" t="n">
        <v>45.12</v>
      </c>
      <c r="I59" s="0" t="n">
        <v>12.01</v>
      </c>
      <c r="J59" s="0" t="n">
        <v>39.72</v>
      </c>
      <c r="K59" s="0" t="n">
        <v>200</v>
      </c>
      <c r="T59" s="0" t="n">
        <v>2</v>
      </c>
      <c r="U59" s="0" t="n">
        <v>1</v>
      </c>
      <c r="V59" s="0" t="inlineStr">
        <is>
          <t>계단식</t>
        </is>
      </c>
      <c r="W59" s="0" t="n">
        <v>45</v>
      </c>
      <c r="X59" s="0" t="n">
        <v>5</v>
      </c>
      <c r="Y59" s="0" t="n">
        <v>5</v>
      </c>
      <c r="Z59" s="0" t="inlineStr">
        <is>
          <t>https://new.land.naver.com/complexes/7551?tab=detail&amp;rf=Y</t>
        </is>
      </c>
      <c r="AA59" s="0" t="inlineStr">
        <is>
          <t>경상남도 창원시 진해구 경화동 859</t>
        </is>
      </c>
      <c r="AB59" s="0" t="inlineStr">
        <is>
          <t>경상남도</t>
        </is>
      </c>
      <c r="AC59" s="0" t="inlineStr">
        <is>
          <t>창원시</t>
        </is>
      </c>
      <c r="AD59" s="0" t="inlineStr">
        <is>
          <t>진해구</t>
        </is>
      </c>
      <c r="AE59" s="0" t="inlineStr">
        <is>
          <t>경화동</t>
        </is>
      </c>
      <c r="AG59" s="0" t="inlineStr">
        <is>
          <t>경상남도 창원시 진해구 충장로345번길 50</t>
        </is>
      </c>
      <c r="AH59" s="0" t="n">
        <v>0</v>
      </c>
      <c r="AI59" s="0" t="n">
        <v>97</v>
      </c>
      <c r="AJ59" s="0" t="n">
        <v>21</v>
      </c>
      <c r="AK59" s="0" t="n">
        <v>0</v>
      </c>
      <c r="AL59" s="0" t="n">
        <v>0</v>
      </c>
    </row>
    <row r="60">
      <c r="A60" s="0" t="inlineStr">
        <is>
          <t>[경화동]</t>
        </is>
      </c>
      <c r="B60" s="0" t="n">
        <v>117214</v>
      </c>
      <c r="C60" s="0" t="n">
        <v>1</v>
      </c>
      <c r="D60" s="0" t="inlineStr">
        <is>
          <t>성호허니문(도시형)</t>
        </is>
      </c>
      <c r="E60" s="0" t="inlineStr">
        <is>
          <t>2013.09.</t>
        </is>
      </c>
      <c r="F60" s="0" t="n">
        <v>46</v>
      </c>
      <c r="G60" s="0" t="n">
        <v>14.25</v>
      </c>
      <c r="H60" s="0" t="n">
        <v>47.12</v>
      </c>
      <c r="I60" s="0" t="n">
        <v>10.17</v>
      </c>
      <c r="J60" s="0" t="n">
        <v>33.65</v>
      </c>
      <c r="K60" s="0" t="n">
        <v>7</v>
      </c>
      <c r="T60" s="0" t="n">
        <v>1</v>
      </c>
      <c r="U60" s="0" t="n">
        <v>1</v>
      </c>
      <c r="V60" s="0" t="inlineStr">
        <is>
          <t>계단식</t>
        </is>
      </c>
      <c r="W60" s="0" t="n">
        <v>47</v>
      </c>
      <c r="X60" s="0" t="n">
        <v>9</v>
      </c>
      <c r="Y60" s="0" t="n">
        <v>9</v>
      </c>
      <c r="Z60" s="0" t="inlineStr">
        <is>
          <t>https://new.land.naver.com/complexes/117214?tab=detail&amp;rf=Y</t>
        </is>
      </c>
      <c r="AA60" s="0" t="inlineStr">
        <is>
          <t>경상남도 창원시 진해구 경화동 871-1</t>
        </is>
      </c>
      <c r="AB60" s="0" t="inlineStr">
        <is>
          <t>경상남도</t>
        </is>
      </c>
      <c r="AC60" s="0" t="inlineStr">
        <is>
          <t>창원시</t>
        </is>
      </c>
      <c r="AD60" s="0" t="inlineStr">
        <is>
          <t>진해구</t>
        </is>
      </c>
      <c r="AE60" s="0" t="inlineStr">
        <is>
          <t>경화동</t>
        </is>
      </c>
      <c r="AG60" s="0" t="inlineStr">
        <is>
          <t>경상남도 창원시 진해구 경화시장로 53-1</t>
        </is>
      </c>
      <c r="AH60" s="0" t="n">
        <v>0</v>
      </c>
      <c r="AI60" s="0" t="n">
        <v>213</v>
      </c>
      <c r="AJ60" s="0" t="n">
        <v>31</v>
      </c>
      <c r="AK60" s="0" t="n">
        <v>37</v>
      </c>
      <c r="AL60" s="0" t="n">
        <v>0.8</v>
      </c>
    </row>
    <row r="61">
      <c r="A61" s="0" t="inlineStr">
        <is>
          <t>[경화동]</t>
        </is>
      </c>
      <c r="B61" s="0" t="n">
        <v>117214</v>
      </c>
      <c r="C61" s="0" t="n">
        <v>2</v>
      </c>
      <c r="D61" s="0" t="inlineStr">
        <is>
          <t>성호허니문(도시형)</t>
        </is>
      </c>
      <c r="E61" s="0" t="inlineStr">
        <is>
          <t>2013.09.</t>
        </is>
      </c>
      <c r="F61" s="0" t="n">
        <v>46</v>
      </c>
      <c r="G61" s="0" t="n">
        <v>14.67</v>
      </c>
      <c r="H61" s="0" t="n">
        <v>48.51</v>
      </c>
      <c r="I61" s="0" t="n">
        <v>10.49</v>
      </c>
      <c r="J61" s="0" t="n">
        <v>34.7</v>
      </c>
      <c r="K61" s="0" t="n">
        <v>2</v>
      </c>
      <c r="T61" s="0" t="n">
        <v>2</v>
      </c>
      <c r="U61" s="0" t="n">
        <v>1</v>
      </c>
      <c r="V61" s="0" t="inlineStr">
        <is>
          <t>복도식</t>
        </is>
      </c>
      <c r="W61" s="0" t="n">
        <v>48</v>
      </c>
      <c r="X61" s="0" t="n">
        <v>9</v>
      </c>
      <c r="Y61" s="0" t="n">
        <v>9</v>
      </c>
      <c r="Z61" s="0" t="inlineStr">
        <is>
          <t>https://new.land.naver.com/complexes/117214?tab=detail&amp;rf=Y</t>
        </is>
      </c>
      <c r="AA61" s="0" t="inlineStr">
        <is>
          <t>경상남도 창원시 진해구 경화동 871-1</t>
        </is>
      </c>
      <c r="AB61" s="0" t="inlineStr">
        <is>
          <t>경상남도</t>
        </is>
      </c>
      <c r="AC61" s="0" t="inlineStr">
        <is>
          <t>창원시</t>
        </is>
      </c>
      <c r="AD61" s="0" t="inlineStr">
        <is>
          <t>진해구</t>
        </is>
      </c>
      <c r="AE61" s="0" t="inlineStr">
        <is>
          <t>경화동</t>
        </is>
      </c>
      <c r="AG61" s="0" t="inlineStr">
        <is>
          <t>경상남도 창원시 진해구 경화시장로 53-1</t>
        </is>
      </c>
      <c r="AH61" s="0" t="n">
        <v>0</v>
      </c>
      <c r="AI61" s="0" t="n">
        <v>213</v>
      </c>
      <c r="AJ61" s="0" t="n">
        <v>31</v>
      </c>
      <c r="AK61" s="0" t="n">
        <v>37</v>
      </c>
      <c r="AL61" s="0" t="n">
        <v>0.8</v>
      </c>
    </row>
    <row r="62">
      <c r="A62" s="0" t="inlineStr">
        <is>
          <t>[경화동]</t>
        </is>
      </c>
      <c r="B62" s="0" t="n">
        <v>117214</v>
      </c>
      <c r="C62" s="0" t="n">
        <v>3</v>
      </c>
      <c r="D62" s="0" t="inlineStr">
        <is>
          <t>성호허니문(도시형)</t>
        </is>
      </c>
      <c r="E62" s="0" t="inlineStr">
        <is>
          <t>2013.09.</t>
        </is>
      </c>
      <c r="F62" s="0" t="n">
        <v>46</v>
      </c>
      <c r="G62" s="0" t="n">
        <v>16.35</v>
      </c>
      <c r="H62" s="0" t="n">
        <v>54.06</v>
      </c>
      <c r="I62" s="0" t="n">
        <v>11.74</v>
      </c>
      <c r="J62" s="0" t="n">
        <v>38.82</v>
      </c>
      <c r="K62" s="0" t="n">
        <v>37</v>
      </c>
      <c r="T62" s="0" t="n">
        <v>2</v>
      </c>
      <c r="U62" s="0" t="n">
        <v>1</v>
      </c>
      <c r="V62" s="0" t="inlineStr">
        <is>
          <t>복도식</t>
        </is>
      </c>
      <c r="W62" s="0" t="n">
        <v>54</v>
      </c>
      <c r="X62" s="0" t="n">
        <v>9</v>
      </c>
      <c r="Y62" s="0" t="n">
        <v>9</v>
      </c>
      <c r="Z62" s="0" t="inlineStr">
        <is>
          <t>https://new.land.naver.com/complexes/117214?tab=detail&amp;rf=Y</t>
        </is>
      </c>
      <c r="AA62" s="0" t="inlineStr">
        <is>
          <t>경상남도 창원시 진해구 경화동 871-1</t>
        </is>
      </c>
      <c r="AB62" s="0" t="inlineStr">
        <is>
          <t>경상남도</t>
        </is>
      </c>
      <c r="AC62" s="0" t="inlineStr">
        <is>
          <t>창원시</t>
        </is>
      </c>
      <c r="AD62" s="0" t="inlineStr">
        <is>
          <t>진해구</t>
        </is>
      </c>
      <c r="AE62" s="0" t="inlineStr">
        <is>
          <t>경화동</t>
        </is>
      </c>
      <c r="AG62" s="0" t="inlineStr">
        <is>
          <t>경상남도 창원시 진해구 경화시장로 53-1</t>
        </is>
      </c>
      <c r="AH62" s="0" t="n">
        <v>0</v>
      </c>
      <c r="AI62" s="0" t="n">
        <v>213</v>
      </c>
      <c r="AJ62" s="0" t="n">
        <v>31</v>
      </c>
      <c r="AK62" s="0" t="n">
        <v>37</v>
      </c>
      <c r="AL62" s="0" t="n">
        <v>0.8</v>
      </c>
    </row>
    <row r="63">
      <c r="A63" s="0" t="inlineStr">
        <is>
          <t>[경화동]</t>
        </is>
      </c>
      <c r="B63" s="0" t="n">
        <v>19436</v>
      </c>
      <c r="C63" s="0" t="n">
        <v>1</v>
      </c>
      <c r="D63" s="0" t="inlineStr">
        <is>
          <t>포스코더샵</t>
        </is>
      </c>
      <c r="E63" s="0" t="inlineStr">
        <is>
          <t>2005.11.</t>
        </is>
      </c>
      <c r="F63" s="0" t="n">
        <v>441</v>
      </c>
      <c r="G63" s="0" t="n">
        <v>33.72</v>
      </c>
      <c r="H63" s="0" t="n">
        <v>111.5</v>
      </c>
      <c r="I63" s="0" t="n">
        <v>25.69</v>
      </c>
      <c r="J63" s="0" t="n">
        <v>84.94</v>
      </c>
      <c r="K63" s="0" t="n">
        <v>351</v>
      </c>
      <c r="T63" s="0" t="n">
        <v>3</v>
      </c>
      <c r="U63" s="0" t="n">
        <v>2</v>
      </c>
      <c r="V63" s="0" t="inlineStr">
        <is>
          <t>계단식</t>
        </is>
      </c>
      <c r="W63" s="0" t="n">
        <v>111</v>
      </c>
      <c r="X63" s="0" t="n">
        <v>15</v>
      </c>
      <c r="Y63" s="0" t="n">
        <v>11</v>
      </c>
      <c r="Z63" s="0" t="inlineStr">
        <is>
          <t>https://new.land.naver.com/complexes/19436?tab=detail&amp;rf=Y</t>
        </is>
      </c>
      <c r="AA63" s="0" t="inlineStr">
        <is>
          <t>경상남도 창원시 진해구 경화동 1400</t>
        </is>
      </c>
      <c r="AB63" s="0" t="inlineStr">
        <is>
          <t>경상남도</t>
        </is>
      </c>
      <c r="AC63" s="0" t="inlineStr">
        <is>
          <t>창원시</t>
        </is>
      </c>
      <c r="AD63" s="0" t="inlineStr">
        <is>
          <t>진해구</t>
        </is>
      </c>
      <c r="AE63" s="0" t="inlineStr">
        <is>
          <t>경화동</t>
        </is>
      </c>
      <c r="AG63" s="0" t="inlineStr">
        <is>
          <t>경상남도 창원시 진해구 조천북로 65</t>
        </is>
      </c>
      <c r="AH63" s="0" t="n">
        <v>0</v>
      </c>
      <c r="AI63" s="0" t="n">
        <v>203</v>
      </c>
      <c r="AJ63" s="0" t="n">
        <v>18</v>
      </c>
      <c r="AK63" s="0" t="n">
        <v>448</v>
      </c>
      <c r="AL63" s="0" t="n">
        <v>1.02</v>
      </c>
    </row>
    <row r="64">
      <c r="A64" s="0" t="inlineStr">
        <is>
          <t>[경화동]</t>
        </is>
      </c>
      <c r="B64" s="0" t="n">
        <v>19436</v>
      </c>
      <c r="C64" s="0" t="n">
        <v>2</v>
      </c>
      <c r="D64" s="0" t="inlineStr">
        <is>
          <t>포스코더샵</t>
        </is>
      </c>
      <c r="E64" s="0" t="inlineStr">
        <is>
          <t>2005.11.</t>
        </is>
      </c>
      <c r="F64" s="0" t="n">
        <v>441</v>
      </c>
      <c r="G64" s="0" t="n">
        <v>34.36</v>
      </c>
      <c r="H64" s="0" t="n">
        <v>113.6</v>
      </c>
      <c r="I64" s="0" t="n">
        <v>25.69</v>
      </c>
      <c r="J64" s="0" t="n">
        <v>84.93000000000001</v>
      </c>
      <c r="K64" s="0" t="n">
        <v>90</v>
      </c>
      <c r="T64" s="0" t="n">
        <v>3</v>
      </c>
      <c r="U64" s="0" t="n">
        <v>2</v>
      </c>
      <c r="V64" s="0" t="inlineStr">
        <is>
          <t>계단식</t>
        </is>
      </c>
      <c r="W64" s="0" t="n">
        <v>113</v>
      </c>
      <c r="X64" s="0" t="n">
        <v>15</v>
      </c>
      <c r="Y64" s="0" t="n">
        <v>11</v>
      </c>
      <c r="Z64" s="0" t="inlineStr">
        <is>
          <t>https://new.land.naver.com/complexes/19436?tab=detail&amp;rf=Y</t>
        </is>
      </c>
      <c r="AA64" s="0" t="inlineStr">
        <is>
          <t>경상남도 창원시 진해구 경화동 1400</t>
        </is>
      </c>
      <c r="AB64" s="0" t="inlineStr">
        <is>
          <t>경상남도</t>
        </is>
      </c>
      <c r="AC64" s="0" t="inlineStr">
        <is>
          <t>창원시</t>
        </is>
      </c>
      <c r="AD64" s="0" t="inlineStr">
        <is>
          <t>진해구</t>
        </is>
      </c>
      <c r="AE64" s="0" t="inlineStr">
        <is>
          <t>경화동</t>
        </is>
      </c>
      <c r="AG64" s="0" t="inlineStr">
        <is>
          <t>경상남도 창원시 진해구 조천북로 65</t>
        </is>
      </c>
      <c r="AH64" s="0" t="n">
        <v>0</v>
      </c>
      <c r="AI64" s="0" t="n">
        <v>203</v>
      </c>
      <c r="AJ64" s="0" t="n">
        <v>18</v>
      </c>
      <c r="AK64" s="0" t="n">
        <v>448</v>
      </c>
      <c r="AL64" s="0" t="n">
        <v>1.02</v>
      </c>
    </row>
    <row r="65">
      <c r="A65" s="0" t="inlineStr">
        <is>
          <t>[경화동]</t>
        </is>
      </c>
      <c r="B65" s="0" t="n">
        <v>7549</v>
      </c>
      <c r="C65" s="0" t="n">
        <v>1</v>
      </c>
      <c r="D65" s="0" t="inlineStr">
        <is>
          <t>유일전원</t>
        </is>
      </c>
      <c r="E65" s="0" t="inlineStr">
        <is>
          <t>1995.06.</t>
        </is>
      </c>
      <c r="F65" s="0" t="n">
        <v>120</v>
      </c>
      <c r="G65" s="0" t="n">
        <v>19.42</v>
      </c>
      <c r="H65" s="0" t="n">
        <v>64.20999999999999</v>
      </c>
      <c r="I65" s="0" t="n">
        <v>15.72</v>
      </c>
      <c r="J65" s="0" t="n">
        <v>51.99</v>
      </c>
      <c r="K65" s="0" t="n">
        <v>4</v>
      </c>
      <c r="T65" s="0" t="n">
        <v>2</v>
      </c>
      <c r="U65" s="0" t="n">
        <v>1</v>
      </c>
      <c r="V65" s="0" t="inlineStr">
        <is>
          <t>복도식</t>
        </is>
      </c>
      <c r="W65" s="0" t="n">
        <v>64</v>
      </c>
      <c r="X65" s="0" t="n">
        <v>4</v>
      </c>
      <c r="Y65" s="0" t="n">
        <v>4</v>
      </c>
      <c r="Z65" s="0" t="inlineStr">
        <is>
          <t>https://new.land.naver.com/complexes/7549?tab=detail&amp;rf=Y</t>
        </is>
      </c>
      <c r="AA65" s="0" t="inlineStr">
        <is>
          <t>경상남도 창원시 진해구 경화동 1280</t>
        </is>
      </c>
      <c r="AB65" s="0" t="inlineStr">
        <is>
          <t>경상남도</t>
        </is>
      </c>
      <c r="AC65" s="0" t="inlineStr">
        <is>
          <t>창원시</t>
        </is>
      </c>
      <c r="AD65" s="0" t="inlineStr">
        <is>
          <t>진해구</t>
        </is>
      </c>
      <c r="AE65" s="0" t="inlineStr">
        <is>
          <t>경화동</t>
        </is>
      </c>
      <c r="AG65" s="0" t="inlineStr">
        <is>
          <t>경상남도 창원시 진해구 조천로35번길 16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[경화동]</t>
        </is>
      </c>
      <c r="B66" s="0" t="n">
        <v>7549</v>
      </c>
      <c r="C66" s="0" t="n">
        <v>2</v>
      </c>
      <c r="D66" s="0" t="inlineStr">
        <is>
          <t>유일전원</t>
        </is>
      </c>
      <c r="E66" s="0" t="inlineStr">
        <is>
          <t>1995.06.</t>
        </is>
      </c>
      <c r="F66" s="0" t="n">
        <v>120</v>
      </c>
      <c r="G66" s="0" t="n">
        <v>19.87</v>
      </c>
      <c r="H66" s="0" t="n">
        <v>65.70999999999999</v>
      </c>
      <c r="I66" s="0" t="n">
        <v>16.08</v>
      </c>
      <c r="J66" s="0" t="n">
        <v>53.19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65A</t>
        </is>
      </c>
      <c r="X66" s="0" t="n">
        <v>4</v>
      </c>
      <c r="Y66" s="0" t="n">
        <v>4</v>
      </c>
      <c r="Z66" s="0" t="inlineStr">
        <is>
          <t>https://new.land.naver.com/complexes/7549?tab=detail&amp;rf=Y</t>
        </is>
      </c>
      <c r="AA66" s="0" t="inlineStr">
        <is>
          <t>경상남도 창원시 진해구 경화동 1280</t>
        </is>
      </c>
      <c r="AB66" s="0" t="inlineStr">
        <is>
          <t>경상남도</t>
        </is>
      </c>
      <c r="AC66" s="0" t="inlineStr">
        <is>
          <t>창원시</t>
        </is>
      </c>
      <c r="AD66" s="0" t="inlineStr">
        <is>
          <t>진해구</t>
        </is>
      </c>
      <c r="AE66" s="0" t="inlineStr">
        <is>
          <t>경화동</t>
        </is>
      </c>
      <c r="AG66" s="0" t="inlineStr">
        <is>
          <t>경상남도 창원시 진해구 조천로35번길 16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[경화동]</t>
        </is>
      </c>
      <c r="B67" s="0" t="n">
        <v>7549</v>
      </c>
      <c r="C67" s="0" t="n">
        <v>3</v>
      </c>
      <c r="D67" s="0" t="inlineStr">
        <is>
          <t>유일전원</t>
        </is>
      </c>
      <c r="E67" s="0" t="inlineStr">
        <is>
          <t>1995.06.</t>
        </is>
      </c>
      <c r="F67" s="0" t="n">
        <v>120</v>
      </c>
      <c r="G67" s="0" t="n">
        <v>20.24</v>
      </c>
      <c r="H67" s="0" t="n">
        <v>66.94</v>
      </c>
      <c r="I67" s="0" t="n">
        <v>18.11</v>
      </c>
      <c r="J67" s="0" t="n">
        <v>59.87</v>
      </c>
      <c r="K67" s="0" t="n">
        <v>26</v>
      </c>
      <c r="T67" s="0" t="n">
        <v>3</v>
      </c>
      <c r="U67" s="0" t="n">
        <v>1</v>
      </c>
      <c r="V67" s="0" t="inlineStr">
        <is>
          <t>계단식</t>
        </is>
      </c>
      <c r="W67" s="0" t="inlineStr">
        <is>
          <t>66C</t>
        </is>
      </c>
      <c r="X67" s="0" t="n">
        <v>4</v>
      </c>
      <c r="Y67" s="0" t="n">
        <v>4</v>
      </c>
      <c r="Z67" s="0" t="inlineStr">
        <is>
          <t>https://new.land.naver.com/complexes/7549?tab=detail&amp;rf=Y</t>
        </is>
      </c>
      <c r="AA67" s="0" t="inlineStr">
        <is>
          <t>경상남도 창원시 진해구 경화동 1280</t>
        </is>
      </c>
      <c r="AB67" s="0" t="inlineStr">
        <is>
          <t>경상남도</t>
        </is>
      </c>
      <c r="AC67" s="0" t="inlineStr">
        <is>
          <t>창원시</t>
        </is>
      </c>
      <c r="AD67" s="0" t="inlineStr">
        <is>
          <t>진해구</t>
        </is>
      </c>
      <c r="AE67" s="0" t="inlineStr">
        <is>
          <t>경화동</t>
        </is>
      </c>
      <c r="AG67" s="0" t="inlineStr">
        <is>
          <t>경상남도 창원시 진해구 조천로35번길 16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[경화동]</t>
        </is>
      </c>
      <c r="B68" s="0" t="n">
        <v>7549</v>
      </c>
      <c r="C68" s="0" t="n">
        <v>4</v>
      </c>
      <c r="D68" s="0" t="inlineStr">
        <is>
          <t>유일전원</t>
        </is>
      </c>
      <c r="E68" s="0" t="inlineStr">
        <is>
          <t>1995.06.</t>
        </is>
      </c>
      <c r="F68" s="0" t="n">
        <v>120</v>
      </c>
      <c r="G68" s="0" t="n">
        <v>20.09</v>
      </c>
      <c r="H68" s="0" t="n">
        <v>66.43000000000001</v>
      </c>
      <c r="I68" s="0" t="n">
        <v>17.97</v>
      </c>
      <c r="J68" s="0" t="n">
        <v>59.42</v>
      </c>
      <c r="K68" s="0" t="n">
        <v>3</v>
      </c>
      <c r="T68" s="0" t="n">
        <v>3</v>
      </c>
      <c r="U68" s="0" t="n">
        <v>1</v>
      </c>
      <c r="V68" s="0" t="inlineStr">
        <is>
          <t>계단식</t>
        </is>
      </c>
      <c r="W68" s="0" t="inlineStr">
        <is>
          <t>66B</t>
        </is>
      </c>
      <c r="X68" s="0" t="n">
        <v>4</v>
      </c>
      <c r="Y68" s="0" t="n">
        <v>4</v>
      </c>
      <c r="Z68" s="0" t="inlineStr">
        <is>
          <t>https://new.land.naver.com/complexes/7549?tab=detail&amp;rf=Y</t>
        </is>
      </c>
      <c r="AA68" s="0" t="inlineStr">
        <is>
          <t>경상남도 창원시 진해구 경화동 1280</t>
        </is>
      </c>
      <c r="AB68" s="0" t="inlineStr">
        <is>
          <t>경상남도</t>
        </is>
      </c>
      <c r="AC68" s="0" t="inlineStr">
        <is>
          <t>창원시</t>
        </is>
      </c>
      <c r="AD68" s="0" t="inlineStr">
        <is>
          <t>진해구</t>
        </is>
      </c>
      <c r="AE68" s="0" t="inlineStr">
        <is>
          <t>경화동</t>
        </is>
      </c>
      <c r="AG68" s="0" t="inlineStr">
        <is>
          <t>경상남도 창원시 진해구 조천로35번길 16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[경화동]</t>
        </is>
      </c>
      <c r="B69" s="0" t="n">
        <v>7549</v>
      </c>
      <c r="C69" s="0" t="n">
        <v>5</v>
      </c>
      <c r="D69" s="0" t="inlineStr">
        <is>
          <t>유일전원</t>
        </is>
      </c>
      <c r="E69" s="0" t="inlineStr">
        <is>
          <t>1995.06.</t>
        </is>
      </c>
      <c r="F69" s="0" t="n">
        <v>120</v>
      </c>
      <c r="G69" s="0" t="n">
        <v>21.96</v>
      </c>
      <c r="H69" s="0" t="n">
        <v>72.59999999999999</v>
      </c>
      <c r="I69" s="0" t="n">
        <v>17.77</v>
      </c>
      <c r="J69" s="0" t="n">
        <v>58.77</v>
      </c>
      <c r="K69" s="0" t="n">
        <v>3</v>
      </c>
      <c r="T69" s="0" t="n">
        <v>3</v>
      </c>
      <c r="U69" s="0" t="n">
        <v>1</v>
      </c>
      <c r="V69" s="0" t="inlineStr">
        <is>
          <t>복도식</t>
        </is>
      </c>
      <c r="W69" s="0" t="n">
        <v>72</v>
      </c>
      <c r="X69" s="0" t="n">
        <v>4</v>
      </c>
      <c r="Y69" s="0" t="n">
        <v>4</v>
      </c>
      <c r="Z69" s="0" t="inlineStr">
        <is>
          <t>https://new.land.naver.com/complexes/7549?tab=detail&amp;rf=Y</t>
        </is>
      </c>
      <c r="AA69" s="0" t="inlineStr">
        <is>
          <t>경상남도 창원시 진해구 경화동 1280</t>
        </is>
      </c>
      <c r="AB69" s="0" t="inlineStr">
        <is>
          <t>경상남도</t>
        </is>
      </c>
      <c r="AC69" s="0" t="inlineStr">
        <is>
          <t>창원시</t>
        </is>
      </c>
      <c r="AD69" s="0" t="inlineStr">
        <is>
          <t>진해구</t>
        </is>
      </c>
      <c r="AE69" s="0" t="inlineStr">
        <is>
          <t>경화동</t>
        </is>
      </c>
      <c r="AG69" s="0" t="inlineStr">
        <is>
          <t>경상남도 창원시 진해구 조천로35번길 16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[경화동]</t>
        </is>
      </c>
      <c r="B70" s="0" t="n">
        <v>7549</v>
      </c>
      <c r="C70" s="0" t="n">
        <v>6</v>
      </c>
      <c r="D70" s="0" t="inlineStr">
        <is>
          <t>유일전원</t>
        </is>
      </c>
      <c r="E70" s="0" t="inlineStr">
        <is>
          <t>1995.06.</t>
        </is>
      </c>
      <c r="F70" s="0" t="n">
        <v>120</v>
      </c>
      <c r="G70" s="0" t="n">
        <v>23.37</v>
      </c>
      <c r="H70" s="0" t="n">
        <v>77.27</v>
      </c>
      <c r="I70" s="0" t="n">
        <v>17.77</v>
      </c>
      <c r="J70" s="0" t="n">
        <v>58.76</v>
      </c>
      <c r="K70" s="0" t="n">
        <v>3</v>
      </c>
      <c r="T70" s="0" t="n">
        <v>3</v>
      </c>
      <c r="U70" s="0" t="n">
        <v>1</v>
      </c>
      <c r="V70" s="0" t="inlineStr">
        <is>
          <t>복도식</t>
        </is>
      </c>
      <c r="W70" s="0" t="n">
        <v>77</v>
      </c>
      <c r="X70" s="0" t="n">
        <v>4</v>
      </c>
      <c r="Y70" s="0" t="n">
        <v>4</v>
      </c>
      <c r="Z70" s="0" t="inlineStr">
        <is>
          <t>https://new.land.naver.com/complexes/7549?tab=detail&amp;rf=Y</t>
        </is>
      </c>
      <c r="AA70" s="0" t="inlineStr">
        <is>
          <t>경상남도 창원시 진해구 경화동 1280</t>
        </is>
      </c>
      <c r="AB70" s="0" t="inlineStr">
        <is>
          <t>경상남도</t>
        </is>
      </c>
      <c r="AC70" s="0" t="inlineStr">
        <is>
          <t>창원시</t>
        </is>
      </c>
      <c r="AD70" s="0" t="inlineStr">
        <is>
          <t>진해구</t>
        </is>
      </c>
      <c r="AE70" s="0" t="inlineStr">
        <is>
          <t>경화동</t>
        </is>
      </c>
      <c r="AG70" s="0" t="inlineStr">
        <is>
          <t>경상남도 창원시 진해구 조천로35번길 16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[경화동]</t>
        </is>
      </c>
      <c r="B71" s="0" t="n">
        <v>7549</v>
      </c>
      <c r="C71" s="0" t="n">
        <v>7</v>
      </c>
      <c r="D71" s="0" t="inlineStr">
        <is>
          <t>유일전원</t>
        </is>
      </c>
      <c r="E71" s="0" t="inlineStr">
        <is>
          <t>1995.06.</t>
        </is>
      </c>
      <c r="F71" s="0" t="n">
        <v>120</v>
      </c>
      <c r="G71" s="0" t="n">
        <v>23.53</v>
      </c>
      <c r="H71" s="0" t="n">
        <v>77.81</v>
      </c>
      <c r="I71" s="0" t="n">
        <v>17.89</v>
      </c>
      <c r="J71" s="0" t="n">
        <v>59.17</v>
      </c>
      <c r="K71" s="0" t="n">
        <v>3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77A</t>
        </is>
      </c>
      <c r="X71" s="0" t="n">
        <v>4</v>
      </c>
      <c r="Y71" s="0" t="n">
        <v>4</v>
      </c>
      <c r="Z71" s="0" t="inlineStr">
        <is>
          <t>https://new.land.naver.com/complexes/7549?tab=detail&amp;rf=Y</t>
        </is>
      </c>
      <c r="AA71" s="0" t="inlineStr">
        <is>
          <t>경상남도 창원시 진해구 경화동 1280</t>
        </is>
      </c>
      <c r="AB71" s="0" t="inlineStr">
        <is>
          <t>경상남도</t>
        </is>
      </c>
      <c r="AC71" s="0" t="inlineStr">
        <is>
          <t>창원시</t>
        </is>
      </c>
      <c r="AD71" s="0" t="inlineStr">
        <is>
          <t>진해구</t>
        </is>
      </c>
      <c r="AE71" s="0" t="inlineStr">
        <is>
          <t>경화동</t>
        </is>
      </c>
      <c r="AG71" s="0" t="inlineStr">
        <is>
          <t>경상남도 창원시 진해구 조천로35번길 16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[경화동]</t>
        </is>
      </c>
      <c r="B72" s="0" t="n">
        <v>7549</v>
      </c>
      <c r="C72" s="0" t="n">
        <v>8</v>
      </c>
      <c r="D72" s="0" t="inlineStr">
        <is>
          <t>유일전원</t>
        </is>
      </c>
      <c r="E72" s="0" t="inlineStr">
        <is>
          <t>1995.06.</t>
        </is>
      </c>
      <c r="F72" s="0" t="n">
        <v>120</v>
      </c>
      <c r="G72" s="0" t="n">
        <v>23.72</v>
      </c>
      <c r="H72" s="0" t="n">
        <v>78.42</v>
      </c>
      <c r="I72" s="0" t="n">
        <v>18.04</v>
      </c>
      <c r="J72" s="0" t="n">
        <v>59.64</v>
      </c>
      <c r="K72" s="0" t="n">
        <v>7</v>
      </c>
      <c r="T72" s="0" t="n">
        <v>3</v>
      </c>
      <c r="U72" s="0" t="n">
        <v>1</v>
      </c>
      <c r="V72" s="0" t="inlineStr">
        <is>
          <t>계단식</t>
        </is>
      </c>
      <c r="W72" s="0" t="inlineStr">
        <is>
          <t>78B</t>
        </is>
      </c>
      <c r="X72" s="0" t="n">
        <v>4</v>
      </c>
      <c r="Y72" s="0" t="n">
        <v>4</v>
      </c>
      <c r="Z72" s="0" t="inlineStr">
        <is>
          <t>https://new.land.naver.com/complexes/7549?tab=detail&amp;rf=Y</t>
        </is>
      </c>
      <c r="AA72" s="0" t="inlineStr">
        <is>
          <t>경상남도 창원시 진해구 경화동 1280</t>
        </is>
      </c>
      <c r="AB72" s="0" t="inlineStr">
        <is>
          <t>경상남도</t>
        </is>
      </c>
      <c r="AC72" s="0" t="inlineStr">
        <is>
          <t>창원시</t>
        </is>
      </c>
      <c r="AD72" s="0" t="inlineStr">
        <is>
          <t>진해구</t>
        </is>
      </c>
      <c r="AE72" s="0" t="inlineStr">
        <is>
          <t>경화동</t>
        </is>
      </c>
      <c r="AG72" s="0" t="inlineStr">
        <is>
          <t>경상남도 창원시 진해구 조천로35번길 16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[경화동]</t>
        </is>
      </c>
      <c r="B73" s="0" t="n">
        <v>7549</v>
      </c>
      <c r="C73" s="0" t="n">
        <v>9</v>
      </c>
      <c r="D73" s="0" t="inlineStr">
        <is>
          <t>유일전원</t>
        </is>
      </c>
      <c r="E73" s="0" t="inlineStr">
        <is>
          <t>1995.06.</t>
        </is>
      </c>
      <c r="F73" s="0" t="n">
        <v>120</v>
      </c>
      <c r="G73" s="0" t="n">
        <v>28.94</v>
      </c>
      <c r="H73" s="0" t="n">
        <v>95.7</v>
      </c>
      <c r="I73" s="0" t="n">
        <v>22.01</v>
      </c>
      <c r="J73" s="0" t="n">
        <v>72.78</v>
      </c>
      <c r="K73" s="0" t="n">
        <v>2</v>
      </c>
      <c r="T73" s="0" t="n">
        <v>3</v>
      </c>
      <c r="U73" s="0" t="n">
        <v>2</v>
      </c>
      <c r="V73" s="0" t="inlineStr">
        <is>
          <t>복도식</t>
        </is>
      </c>
      <c r="W73" s="0" t="n">
        <v>95</v>
      </c>
      <c r="X73" s="0" t="n">
        <v>4</v>
      </c>
      <c r="Y73" s="0" t="n">
        <v>4</v>
      </c>
      <c r="Z73" s="0" t="inlineStr">
        <is>
          <t>https://new.land.naver.com/complexes/7549?tab=detail&amp;rf=Y</t>
        </is>
      </c>
      <c r="AA73" s="0" t="inlineStr">
        <is>
          <t>경상남도 창원시 진해구 경화동 1280</t>
        </is>
      </c>
      <c r="AB73" s="0" t="inlineStr">
        <is>
          <t>경상남도</t>
        </is>
      </c>
      <c r="AC73" s="0" t="inlineStr">
        <is>
          <t>창원시</t>
        </is>
      </c>
      <c r="AD73" s="0" t="inlineStr">
        <is>
          <t>진해구</t>
        </is>
      </c>
      <c r="AE73" s="0" t="inlineStr">
        <is>
          <t>경화동</t>
        </is>
      </c>
      <c r="AG73" s="0" t="inlineStr">
        <is>
          <t>경상남도 창원시 진해구 조천로35번길 16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[경화동]</t>
        </is>
      </c>
      <c r="B74" s="0" t="n">
        <v>7549</v>
      </c>
      <c r="C74" s="0" t="n">
        <v>10</v>
      </c>
      <c r="D74" s="0" t="inlineStr">
        <is>
          <t>유일전원</t>
        </is>
      </c>
      <c r="E74" s="0" t="inlineStr">
        <is>
          <t>1995.06.</t>
        </is>
      </c>
      <c r="F74" s="0" t="n">
        <v>120</v>
      </c>
      <c r="G74" s="0" t="n">
        <v>31.01</v>
      </c>
      <c r="H74" s="0" t="n">
        <v>102.52</v>
      </c>
      <c r="I74" s="0" t="n">
        <v>24.6</v>
      </c>
      <c r="J74" s="0" t="n">
        <v>81.34</v>
      </c>
      <c r="K74" s="0" t="n">
        <v>4</v>
      </c>
      <c r="T74" s="0" t="n">
        <v>3</v>
      </c>
      <c r="U74" s="0" t="n">
        <v>2</v>
      </c>
      <c r="V74" s="0" t="inlineStr">
        <is>
          <t>복도식</t>
        </is>
      </c>
      <c r="W74" s="0" t="n">
        <v>102</v>
      </c>
      <c r="X74" s="0" t="n">
        <v>4</v>
      </c>
      <c r="Y74" s="0" t="n">
        <v>4</v>
      </c>
      <c r="Z74" s="0" t="inlineStr">
        <is>
          <t>https://new.land.naver.com/complexes/7549?tab=detail&amp;rf=Y</t>
        </is>
      </c>
      <c r="AA74" s="0" t="inlineStr">
        <is>
          <t>경상남도 창원시 진해구 경화동 1280</t>
        </is>
      </c>
      <c r="AB74" s="0" t="inlineStr">
        <is>
          <t>경상남도</t>
        </is>
      </c>
      <c r="AC74" s="0" t="inlineStr">
        <is>
          <t>창원시</t>
        </is>
      </c>
      <c r="AD74" s="0" t="inlineStr">
        <is>
          <t>진해구</t>
        </is>
      </c>
      <c r="AE74" s="0" t="inlineStr">
        <is>
          <t>경화동</t>
        </is>
      </c>
      <c r="AG74" s="0" t="inlineStr">
        <is>
          <t>경상남도 창원시 진해구 조천로35번길 16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[경화동]</t>
        </is>
      </c>
      <c r="B75" s="0" t="n">
        <v>7549</v>
      </c>
      <c r="C75" s="0" t="n">
        <v>11</v>
      </c>
      <c r="D75" s="0" t="inlineStr">
        <is>
          <t>유일전원</t>
        </is>
      </c>
      <c r="E75" s="0" t="inlineStr">
        <is>
          <t>1995.06.</t>
        </is>
      </c>
      <c r="F75" s="0" t="n">
        <v>120</v>
      </c>
      <c r="G75" s="0" t="n">
        <v>32.39</v>
      </c>
      <c r="H75" s="0" t="n">
        <v>107.09</v>
      </c>
      <c r="I75" s="0" t="n">
        <v>25.69</v>
      </c>
      <c r="J75" s="0" t="n">
        <v>84.93000000000001</v>
      </c>
      <c r="K75" s="0" t="n">
        <v>15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107B</t>
        </is>
      </c>
      <c r="X75" s="0" t="n">
        <v>4</v>
      </c>
      <c r="Y75" s="0" t="n">
        <v>4</v>
      </c>
      <c r="Z75" s="0" t="inlineStr">
        <is>
          <t>https://new.land.naver.com/complexes/7549?tab=detail&amp;rf=Y</t>
        </is>
      </c>
      <c r="AA75" s="0" t="inlineStr">
        <is>
          <t>경상남도 창원시 진해구 경화동 1280</t>
        </is>
      </c>
      <c r="AB75" s="0" t="inlineStr">
        <is>
          <t>경상남도</t>
        </is>
      </c>
      <c r="AC75" s="0" t="inlineStr">
        <is>
          <t>창원시</t>
        </is>
      </c>
      <c r="AD75" s="0" t="inlineStr">
        <is>
          <t>진해구</t>
        </is>
      </c>
      <c r="AE75" s="0" t="inlineStr">
        <is>
          <t>경화동</t>
        </is>
      </c>
      <c r="AG75" s="0" t="inlineStr">
        <is>
          <t>경상남도 창원시 진해구 조천로35번길 16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[경화동]</t>
        </is>
      </c>
      <c r="B76" s="0" t="n">
        <v>7549</v>
      </c>
      <c r="C76" s="0" t="n">
        <v>12</v>
      </c>
      <c r="D76" s="0" t="inlineStr">
        <is>
          <t>유일전원</t>
        </is>
      </c>
      <c r="E76" s="0" t="inlineStr">
        <is>
          <t>1995.06.</t>
        </is>
      </c>
      <c r="F76" s="0" t="n">
        <v>120</v>
      </c>
      <c r="G76" s="0" t="n">
        <v>32.4</v>
      </c>
      <c r="H76" s="0" t="n">
        <v>107.14</v>
      </c>
      <c r="I76" s="0" t="n">
        <v>25.37</v>
      </c>
      <c r="J76" s="0" t="n">
        <v>83.90000000000001</v>
      </c>
      <c r="K76" s="0" t="n">
        <v>4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107A</t>
        </is>
      </c>
      <c r="X76" s="0" t="n">
        <v>4</v>
      </c>
      <c r="Y76" s="0" t="n">
        <v>4</v>
      </c>
      <c r="Z76" s="0" t="inlineStr">
        <is>
          <t>https://new.land.naver.com/complexes/7549?tab=detail&amp;rf=Y</t>
        </is>
      </c>
      <c r="AA76" s="0" t="inlineStr">
        <is>
          <t>경상남도 창원시 진해구 경화동 1280</t>
        </is>
      </c>
      <c r="AB76" s="0" t="inlineStr">
        <is>
          <t>경상남도</t>
        </is>
      </c>
      <c r="AC76" s="0" t="inlineStr">
        <is>
          <t>창원시</t>
        </is>
      </c>
      <c r="AD76" s="0" t="inlineStr">
        <is>
          <t>진해구</t>
        </is>
      </c>
      <c r="AE76" s="0" t="inlineStr">
        <is>
          <t>경화동</t>
        </is>
      </c>
      <c r="AG76" s="0" t="inlineStr">
        <is>
          <t>경상남도 창원시 진해구 조천로35번길 16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[경화동]</t>
        </is>
      </c>
      <c r="B77" s="0" t="n">
        <v>7549</v>
      </c>
      <c r="C77" s="0" t="n">
        <v>13</v>
      </c>
      <c r="D77" s="0" t="inlineStr">
        <is>
          <t>유일전원</t>
        </is>
      </c>
      <c r="E77" s="0" t="inlineStr">
        <is>
          <t>1995.06.</t>
        </is>
      </c>
      <c r="F77" s="0" t="n">
        <v>120</v>
      </c>
      <c r="G77" s="0" t="n">
        <v>32.7</v>
      </c>
      <c r="H77" s="0" t="n">
        <v>108.1</v>
      </c>
      <c r="I77" s="0" t="n">
        <v>25.6</v>
      </c>
      <c r="J77" s="0" t="n">
        <v>84.65000000000001</v>
      </c>
      <c r="K77" s="0" t="n">
        <v>12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108C</t>
        </is>
      </c>
      <c r="X77" s="0" t="n">
        <v>4</v>
      </c>
      <c r="Y77" s="0" t="n">
        <v>4</v>
      </c>
      <c r="Z77" s="0" t="inlineStr">
        <is>
          <t>https://new.land.naver.com/complexes/7549?tab=detail&amp;rf=Y</t>
        </is>
      </c>
      <c r="AA77" s="0" t="inlineStr">
        <is>
          <t>경상남도 창원시 진해구 경화동 1280</t>
        </is>
      </c>
      <c r="AB77" s="0" t="inlineStr">
        <is>
          <t>경상남도</t>
        </is>
      </c>
      <c r="AC77" s="0" t="inlineStr">
        <is>
          <t>창원시</t>
        </is>
      </c>
      <c r="AD77" s="0" t="inlineStr">
        <is>
          <t>진해구</t>
        </is>
      </c>
      <c r="AE77" s="0" t="inlineStr">
        <is>
          <t>경화동</t>
        </is>
      </c>
      <c r="AG77" s="0" t="inlineStr">
        <is>
          <t>경상남도 창원시 진해구 조천로35번길 16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[경화동]</t>
        </is>
      </c>
      <c r="B78" s="0" t="n">
        <v>7549</v>
      </c>
      <c r="C78" s="0" t="n">
        <v>14</v>
      </c>
      <c r="D78" s="0" t="inlineStr">
        <is>
          <t>유일전원</t>
        </is>
      </c>
      <c r="E78" s="0" t="inlineStr">
        <is>
          <t>1995.06.</t>
        </is>
      </c>
      <c r="F78" s="0" t="n">
        <v>120</v>
      </c>
      <c r="G78" s="0" t="n">
        <v>32.73</v>
      </c>
      <c r="H78" s="0" t="n">
        <v>108.2</v>
      </c>
      <c r="I78" s="0" t="n">
        <v>25.63</v>
      </c>
      <c r="J78" s="0" t="n">
        <v>84.73</v>
      </c>
      <c r="K78" s="0" t="n">
        <v>3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108D</t>
        </is>
      </c>
      <c r="X78" s="0" t="n">
        <v>4</v>
      </c>
      <c r="Y78" s="0" t="n">
        <v>4</v>
      </c>
      <c r="Z78" s="0" t="inlineStr">
        <is>
          <t>https://new.land.naver.com/complexes/7549?tab=detail&amp;rf=Y</t>
        </is>
      </c>
      <c r="AA78" s="0" t="inlineStr">
        <is>
          <t>경상남도 창원시 진해구 경화동 1280</t>
        </is>
      </c>
      <c r="AB78" s="0" t="inlineStr">
        <is>
          <t>경상남도</t>
        </is>
      </c>
      <c r="AC78" s="0" t="inlineStr">
        <is>
          <t>창원시</t>
        </is>
      </c>
      <c r="AD78" s="0" t="inlineStr">
        <is>
          <t>진해구</t>
        </is>
      </c>
      <c r="AE78" s="0" t="inlineStr">
        <is>
          <t>경화동</t>
        </is>
      </c>
      <c r="AG78" s="0" t="inlineStr">
        <is>
          <t>경상남도 창원시 진해구 조천로35번길 16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[경화동]</t>
        </is>
      </c>
      <c r="B79" s="0" t="n">
        <v>7549</v>
      </c>
      <c r="C79" s="0" t="n">
        <v>15</v>
      </c>
      <c r="D79" s="0" t="inlineStr">
        <is>
          <t>유일전원</t>
        </is>
      </c>
      <c r="E79" s="0" t="inlineStr">
        <is>
          <t>1995.06.</t>
        </is>
      </c>
      <c r="F79" s="0" t="n">
        <v>120</v>
      </c>
      <c r="G79" s="0" t="n">
        <v>33.09</v>
      </c>
      <c r="H79" s="0" t="n">
        <v>109.39</v>
      </c>
      <c r="I79" s="0" t="n">
        <v>25.16</v>
      </c>
      <c r="J79" s="0" t="n">
        <v>83.19</v>
      </c>
      <c r="K79" s="0" t="n">
        <v>6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109B</t>
        </is>
      </c>
      <c r="X79" s="0" t="n">
        <v>4</v>
      </c>
      <c r="Y79" s="0" t="n">
        <v>4</v>
      </c>
      <c r="Z79" s="0" t="inlineStr">
        <is>
          <t>https://new.land.naver.com/complexes/7549?tab=detail&amp;rf=Y</t>
        </is>
      </c>
      <c r="AA79" s="0" t="inlineStr">
        <is>
          <t>경상남도 창원시 진해구 경화동 1280</t>
        </is>
      </c>
      <c r="AB79" s="0" t="inlineStr">
        <is>
          <t>경상남도</t>
        </is>
      </c>
      <c r="AC79" s="0" t="inlineStr">
        <is>
          <t>창원시</t>
        </is>
      </c>
      <c r="AD79" s="0" t="inlineStr">
        <is>
          <t>진해구</t>
        </is>
      </c>
      <c r="AE79" s="0" t="inlineStr">
        <is>
          <t>경화동</t>
        </is>
      </c>
      <c r="AG79" s="0" t="inlineStr">
        <is>
          <t>경상남도 창원시 진해구 조천로35번길 16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[경화동]</t>
        </is>
      </c>
      <c r="B80" s="0" t="n">
        <v>7549</v>
      </c>
      <c r="C80" s="0" t="n">
        <v>16</v>
      </c>
      <c r="D80" s="0" t="inlineStr">
        <is>
          <t>유일전원</t>
        </is>
      </c>
      <c r="E80" s="0" t="inlineStr">
        <is>
          <t>1995.06.</t>
        </is>
      </c>
      <c r="F80" s="0" t="n">
        <v>120</v>
      </c>
      <c r="G80" s="0" t="n">
        <v>33.02</v>
      </c>
      <c r="H80" s="0" t="n">
        <v>109.16</v>
      </c>
      <c r="I80" s="0" t="n">
        <v>25.09</v>
      </c>
      <c r="J80" s="0" t="n">
        <v>82.95</v>
      </c>
      <c r="K80" s="0" t="n">
        <v>4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109A</t>
        </is>
      </c>
      <c r="X80" s="0" t="n">
        <v>4</v>
      </c>
      <c r="Y80" s="0" t="n">
        <v>4</v>
      </c>
      <c r="Z80" s="0" t="inlineStr">
        <is>
          <t>https://new.land.naver.com/complexes/7549?tab=detail&amp;rf=Y</t>
        </is>
      </c>
      <c r="AA80" s="0" t="inlineStr">
        <is>
          <t>경상남도 창원시 진해구 경화동 1280</t>
        </is>
      </c>
      <c r="AB80" s="0" t="inlineStr">
        <is>
          <t>경상남도</t>
        </is>
      </c>
      <c r="AC80" s="0" t="inlineStr">
        <is>
          <t>창원시</t>
        </is>
      </c>
      <c r="AD80" s="0" t="inlineStr">
        <is>
          <t>진해구</t>
        </is>
      </c>
      <c r="AE80" s="0" t="inlineStr">
        <is>
          <t>경화동</t>
        </is>
      </c>
      <c r="AG80" s="0" t="inlineStr">
        <is>
          <t>경상남도 창원시 진해구 조천로35번길 16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[경화동]</t>
        </is>
      </c>
      <c r="B81" s="0" t="n">
        <v>7549</v>
      </c>
      <c r="C81" s="0" t="n">
        <v>17</v>
      </c>
      <c r="D81" s="0" t="inlineStr">
        <is>
          <t>유일전원</t>
        </is>
      </c>
      <c r="E81" s="0" t="inlineStr">
        <is>
          <t>1995.06.</t>
        </is>
      </c>
      <c r="F81" s="0" t="n">
        <v>120</v>
      </c>
      <c r="G81" s="0" t="n">
        <v>38.06</v>
      </c>
      <c r="H81" s="0" t="n">
        <v>125.83</v>
      </c>
      <c r="I81" s="0" t="n">
        <v>34.04</v>
      </c>
      <c r="J81" s="0" t="n">
        <v>112.54</v>
      </c>
      <c r="K81" s="0" t="n">
        <v>1</v>
      </c>
      <c r="T81" s="0" t="n">
        <v>3</v>
      </c>
      <c r="U81" s="0" t="n">
        <v>2</v>
      </c>
      <c r="V81" s="0" t="inlineStr">
        <is>
          <t>복도식</t>
        </is>
      </c>
      <c r="W81" s="0" t="n">
        <v>125</v>
      </c>
      <c r="X81" s="0" t="n">
        <v>4</v>
      </c>
      <c r="Y81" s="0" t="n">
        <v>4</v>
      </c>
      <c r="Z81" s="0" t="inlineStr">
        <is>
          <t>https://new.land.naver.com/complexes/7549?tab=detail&amp;rf=Y</t>
        </is>
      </c>
      <c r="AA81" s="0" t="inlineStr">
        <is>
          <t>경상남도 창원시 진해구 경화동 1280</t>
        </is>
      </c>
      <c r="AB81" s="0" t="inlineStr">
        <is>
          <t>경상남도</t>
        </is>
      </c>
      <c r="AC81" s="0" t="inlineStr">
        <is>
          <t>창원시</t>
        </is>
      </c>
      <c r="AD81" s="0" t="inlineStr">
        <is>
          <t>진해구</t>
        </is>
      </c>
      <c r="AE81" s="0" t="inlineStr">
        <is>
          <t>경화동</t>
        </is>
      </c>
      <c r="AG81" s="0" t="inlineStr">
        <is>
          <t>경상남도 창원시 진해구 조천로35번길 16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[경화동]</t>
        </is>
      </c>
      <c r="B82" s="0" t="n">
        <v>7549</v>
      </c>
      <c r="C82" s="0" t="n">
        <v>18</v>
      </c>
      <c r="D82" s="0" t="inlineStr">
        <is>
          <t>유일전원</t>
        </is>
      </c>
      <c r="E82" s="0" t="inlineStr">
        <is>
          <t>1995.06.</t>
        </is>
      </c>
      <c r="F82" s="0" t="n">
        <v>120</v>
      </c>
      <c r="G82" s="0" t="n">
        <v>41.79</v>
      </c>
      <c r="H82" s="0" t="n">
        <v>138.18</v>
      </c>
      <c r="I82" s="0" t="n">
        <v>35.58</v>
      </c>
      <c r="J82" s="0" t="n">
        <v>117.65</v>
      </c>
      <c r="K82" s="0" t="n">
        <v>4</v>
      </c>
      <c r="T82" s="0" t="n">
        <v>4</v>
      </c>
      <c r="U82" s="0" t="n">
        <v>2</v>
      </c>
      <c r="V82" s="0" t="inlineStr">
        <is>
          <t>복도식</t>
        </is>
      </c>
      <c r="W82" s="0" t="n">
        <v>138</v>
      </c>
      <c r="X82" s="0" t="n">
        <v>4</v>
      </c>
      <c r="Y82" s="0" t="n">
        <v>4</v>
      </c>
      <c r="Z82" s="0" t="inlineStr">
        <is>
          <t>https://new.land.naver.com/complexes/7549?tab=detail&amp;rf=Y</t>
        </is>
      </c>
      <c r="AA82" s="0" t="inlineStr">
        <is>
          <t>경상남도 창원시 진해구 경화동 1280</t>
        </is>
      </c>
      <c r="AB82" s="0" t="inlineStr">
        <is>
          <t>경상남도</t>
        </is>
      </c>
      <c r="AC82" s="0" t="inlineStr">
        <is>
          <t>창원시</t>
        </is>
      </c>
      <c r="AD82" s="0" t="inlineStr">
        <is>
          <t>진해구</t>
        </is>
      </c>
      <c r="AE82" s="0" t="inlineStr">
        <is>
          <t>경화동</t>
        </is>
      </c>
      <c r="AG82" s="0" t="inlineStr">
        <is>
          <t>경상남도 창원시 진해구 조천로35번길 16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[경화동]</t>
        </is>
      </c>
      <c r="B83" s="0" t="n">
        <v>7549</v>
      </c>
      <c r="C83" s="0" t="n">
        <v>19</v>
      </c>
      <c r="D83" s="0" t="inlineStr">
        <is>
          <t>유일전원</t>
        </is>
      </c>
      <c r="E83" s="0" t="inlineStr">
        <is>
          <t>1995.06.</t>
        </is>
      </c>
      <c r="F83" s="0" t="n">
        <v>120</v>
      </c>
      <c r="G83" s="0" t="n">
        <v>42.67</v>
      </c>
      <c r="H83" s="0" t="n">
        <v>141.09</v>
      </c>
      <c r="I83" s="0" t="n">
        <v>36.37</v>
      </c>
      <c r="J83" s="0" t="n">
        <v>120.25</v>
      </c>
      <c r="K83" s="0" t="n">
        <v>4</v>
      </c>
      <c r="T83" s="0" t="n">
        <v>4</v>
      </c>
      <c r="U83" s="0" t="n">
        <v>2</v>
      </c>
      <c r="V83" s="0" t="inlineStr">
        <is>
          <t>복도식</t>
        </is>
      </c>
      <c r="W83" s="0" t="n">
        <v>141</v>
      </c>
      <c r="X83" s="0" t="n">
        <v>4</v>
      </c>
      <c r="Y83" s="0" t="n">
        <v>4</v>
      </c>
      <c r="Z83" s="0" t="inlineStr">
        <is>
          <t>https://new.land.naver.com/complexes/7549?tab=detail&amp;rf=Y</t>
        </is>
      </c>
      <c r="AA83" s="0" t="inlineStr">
        <is>
          <t>경상남도 창원시 진해구 경화동 1280</t>
        </is>
      </c>
      <c r="AB83" s="0" t="inlineStr">
        <is>
          <t>경상남도</t>
        </is>
      </c>
      <c r="AC83" s="0" t="inlineStr">
        <is>
          <t>창원시</t>
        </is>
      </c>
      <c r="AD83" s="0" t="inlineStr">
        <is>
          <t>진해구</t>
        </is>
      </c>
      <c r="AE83" s="0" t="inlineStr">
        <is>
          <t>경화동</t>
        </is>
      </c>
      <c r="AG83" s="0" t="inlineStr">
        <is>
          <t>경상남도 창원시 진해구 조천로35번길 16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[광화동]</t>
        </is>
      </c>
      <c r="B84" s="0" t="n">
        <v>112618</v>
      </c>
      <c r="C84" s="0" t="n">
        <v>1</v>
      </c>
      <c r="D84" s="0" t="inlineStr">
        <is>
          <t>진해미진이지비아</t>
        </is>
      </c>
      <c r="E84" s="0" t="inlineStr">
        <is>
          <t>2014.05.</t>
        </is>
      </c>
      <c r="F84" s="0" t="n">
        <v>164</v>
      </c>
      <c r="G84" s="0" t="n">
        <v>24.29</v>
      </c>
      <c r="H84" s="0" t="n">
        <v>80.31</v>
      </c>
      <c r="I84" s="0" t="n">
        <v>17.35</v>
      </c>
      <c r="J84" s="0" t="n">
        <v>57.38</v>
      </c>
      <c r="K84" s="0" t="n">
        <v>14</v>
      </c>
      <c r="T84" s="0" t="n">
        <v>2</v>
      </c>
      <c r="U84" s="0" t="n">
        <v>1</v>
      </c>
      <c r="V84" s="0" t="inlineStr">
        <is>
          <t>계단식</t>
        </is>
      </c>
      <c r="W84" s="0" t="n">
        <v>80</v>
      </c>
      <c r="X84" s="0" t="n">
        <v>15</v>
      </c>
      <c r="Y84" s="0" t="n">
        <v>15</v>
      </c>
      <c r="Z84" s="0" t="inlineStr">
        <is>
          <t>https://new.land.naver.com/complexes/112618?tab=detail&amp;rf=Y</t>
        </is>
      </c>
      <c r="AA84" s="0" t="inlineStr">
        <is>
          <t>경상남도 창원시 진해구 광화동 26</t>
        </is>
      </c>
      <c r="AB84" s="0" t="inlineStr">
        <is>
          <t>경상남도</t>
        </is>
      </c>
      <c r="AC84" s="0" t="inlineStr">
        <is>
          <t>창원시</t>
        </is>
      </c>
      <c r="AD84" s="0" t="inlineStr">
        <is>
          <t>진해구</t>
        </is>
      </c>
      <c r="AE84" s="0" t="inlineStr">
        <is>
          <t>광화동</t>
        </is>
      </c>
      <c r="AG84" s="0" t="inlineStr">
        <is>
          <t>경상남도 창원시 진해구 중원동로 33</t>
        </is>
      </c>
      <c r="AH84" s="0" t="n">
        <v>0</v>
      </c>
      <c r="AI84" s="0" t="n">
        <v>510</v>
      </c>
      <c r="AJ84" s="0" t="n">
        <v>58</v>
      </c>
      <c r="AK84" s="0" t="n">
        <v>192</v>
      </c>
      <c r="AL84" s="0" t="n">
        <v>1.17</v>
      </c>
    </row>
    <row r="85">
      <c r="A85" s="0" t="inlineStr">
        <is>
          <t>[광화동]</t>
        </is>
      </c>
      <c r="B85" s="0" t="n">
        <v>112618</v>
      </c>
      <c r="C85" s="0" t="n">
        <v>2</v>
      </c>
      <c r="D85" s="0" t="inlineStr">
        <is>
          <t>진해미진이지비아</t>
        </is>
      </c>
      <c r="E85" s="0" t="inlineStr">
        <is>
          <t>2014.05.</t>
        </is>
      </c>
      <c r="F85" s="0" t="n">
        <v>164</v>
      </c>
      <c r="G85" s="0" t="n">
        <v>25.31</v>
      </c>
      <c r="H85" s="0" t="n">
        <v>83.7</v>
      </c>
      <c r="I85" s="0" t="n">
        <v>18.13</v>
      </c>
      <c r="J85" s="0" t="n">
        <v>59.94</v>
      </c>
      <c r="K85" s="0" t="n">
        <v>56</v>
      </c>
      <c r="T85" s="0" t="n">
        <v>3</v>
      </c>
      <c r="U85" s="0" t="n">
        <v>1</v>
      </c>
      <c r="V85" s="0" t="inlineStr">
        <is>
          <t>계단식</t>
        </is>
      </c>
      <c r="W85" s="0" t="n">
        <v>83</v>
      </c>
      <c r="X85" s="0" t="n">
        <v>15</v>
      </c>
      <c r="Y85" s="0" t="n">
        <v>15</v>
      </c>
      <c r="Z85" s="0" t="inlineStr">
        <is>
          <t>https://new.land.naver.com/complexes/112618?tab=detail&amp;rf=Y</t>
        </is>
      </c>
      <c r="AA85" s="0" t="inlineStr">
        <is>
          <t>경상남도 창원시 진해구 광화동 26</t>
        </is>
      </c>
      <c r="AB85" s="0" t="inlineStr">
        <is>
          <t>경상남도</t>
        </is>
      </c>
      <c r="AC85" s="0" t="inlineStr">
        <is>
          <t>창원시</t>
        </is>
      </c>
      <c r="AD85" s="0" t="inlineStr">
        <is>
          <t>진해구</t>
        </is>
      </c>
      <c r="AE85" s="0" t="inlineStr">
        <is>
          <t>광화동</t>
        </is>
      </c>
      <c r="AG85" s="0" t="inlineStr">
        <is>
          <t>경상남도 창원시 진해구 중원동로 33</t>
        </is>
      </c>
      <c r="AH85" s="0" t="n">
        <v>0</v>
      </c>
      <c r="AI85" s="0" t="n">
        <v>510</v>
      </c>
      <c r="AJ85" s="0" t="n">
        <v>58</v>
      </c>
      <c r="AK85" s="0" t="n">
        <v>192</v>
      </c>
      <c r="AL85" s="0" t="n">
        <v>1.17</v>
      </c>
    </row>
    <row r="86">
      <c r="A86" s="0" t="inlineStr">
        <is>
          <t>[광화동]</t>
        </is>
      </c>
      <c r="B86" s="0" t="n">
        <v>112618</v>
      </c>
      <c r="C86" s="0" t="n">
        <v>3</v>
      </c>
      <c r="D86" s="0" t="inlineStr">
        <is>
          <t>진해미진이지비아</t>
        </is>
      </c>
      <c r="E86" s="0" t="inlineStr">
        <is>
          <t>2014.05.</t>
        </is>
      </c>
      <c r="F86" s="0" t="n">
        <v>164</v>
      </c>
      <c r="G86" s="0" t="n">
        <v>25.26</v>
      </c>
      <c r="H86" s="0" t="n">
        <v>83.53</v>
      </c>
      <c r="I86" s="0" t="n">
        <v>18.01</v>
      </c>
      <c r="J86" s="0" t="n">
        <v>59.54</v>
      </c>
      <c r="K86" s="0" t="n">
        <v>14</v>
      </c>
      <c r="T86" s="0" t="n">
        <v>3</v>
      </c>
      <c r="U86" s="0" t="n">
        <v>1</v>
      </c>
      <c r="V86" s="0" t="inlineStr">
        <is>
          <t>계단식</t>
        </is>
      </c>
      <c r="W86" s="0" t="inlineStr">
        <is>
          <t>83D</t>
        </is>
      </c>
      <c r="X86" s="0" t="n">
        <v>15</v>
      </c>
      <c r="Y86" s="0" t="n">
        <v>15</v>
      </c>
      <c r="Z86" s="0" t="inlineStr">
        <is>
          <t>https://new.land.naver.com/complexes/112618?tab=detail&amp;rf=Y</t>
        </is>
      </c>
      <c r="AA86" s="0" t="inlineStr">
        <is>
          <t>경상남도 창원시 진해구 광화동 26</t>
        </is>
      </c>
      <c r="AB86" s="0" t="inlineStr">
        <is>
          <t>경상남도</t>
        </is>
      </c>
      <c r="AC86" s="0" t="inlineStr">
        <is>
          <t>창원시</t>
        </is>
      </c>
      <c r="AD86" s="0" t="inlineStr">
        <is>
          <t>진해구</t>
        </is>
      </c>
      <c r="AE86" s="0" t="inlineStr">
        <is>
          <t>광화동</t>
        </is>
      </c>
      <c r="AG86" s="0" t="inlineStr">
        <is>
          <t>경상남도 창원시 진해구 중원동로 33</t>
        </is>
      </c>
      <c r="AH86" s="0" t="n">
        <v>0</v>
      </c>
      <c r="AI86" s="0" t="n">
        <v>510</v>
      </c>
      <c r="AJ86" s="0" t="n">
        <v>58</v>
      </c>
      <c r="AK86" s="0" t="n">
        <v>192</v>
      </c>
      <c r="AL86" s="0" t="n">
        <v>1.17</v>
      </c>
    </row>
    <row r="87">
      <c r="A87" s="0" t="inlineStr">
        <is>
          <t>[광화동]</t>
        </is>
      </c>
      <c r="B87" s="0" t="n">
        <v>112618</v>
      </c>
      <c r="C87" s="0" t="n">
        <v>4</v>
      </c>
      <c r="D87" s="0" t="inlineStr">
        <is>
          <t>진해미진이지비아</t>
        </is>
      </c>
      <c r="E87" s="0" t="inlineStr">
        <is>
          <t>2014.05.</t>
        </is>
      </c>
      <c r="F87" s="0" t="n">
        <v>164</v>
      </c>
      <c r="G87" s="0" t="n">
        <v>25.37</v>
      </c>
      <c r="H87" s="0" t="n">
        <v>83.88</v>
      </c>
      <c r="I87" s="0" t="n">
        <v>18.13</v>
      </c>
      <c r="J87" s="0" t="n">
        <v>59.95</v>
      </c>
      <c r="K87" s="0" t="n">
        <v>14</v>
      </c>
      <c r="T87" s="0" t="n">
        <v>3</v>
      </c>
      <c r="U87" s="0" t="n">
        <v>1</v>
      </c>
      <c r="V87" s="0" t="inlineStr">
        <is>
          <t>계단식</t>
        </is>
      </c>
      <c r="W87" s="0" t="inlineStr">
        <is>
          <t>83E</t>
        </is>
      </c>
      <c r="X87" s="0" t="n">
        <v>15</v>
      </c>
      <c r="Y87" s="0" t="n">
        <v>15</v>
      </c>
      <c r="Z87" s="0" t="inlineStr">
        <is>
          <t>https://new.land.naver.com/complexes/112618?tab=detail&amp;rf=Y</t>
        </is>
      </c>
      <c r="AA87" s="0" t="inlineStr">
        <is>
          <t>경상남도 창원시 진해구 광화동 26</t>
        </is>
      </c>
      <c r="AB87" s="0" t="inlineStr">
        <is>
          <t>경상남도</t>
        </is>
      </c>
      <c r="AC87" s="0" t="inlineStr">
        <is>
          <t>창원시</t>
        </is>
      </c>
      <c r="AD87" s="0" t="inlineStr">
        <is>
          <t>진해구</t>
        </is>
      </c>
      <c r="AE87" s="0" t="inlineStr">
        <is>
          <t>광화동</t>
        </is>
      </c>
      <c r="AG87" s="0" t="inlineStr">
        <is>
          <t>경상남도 창원시 진해구 중원동로 33</t>
        </is>
      </c>
      <c r="AH87" s="0" t="n">
        <v>0</v>
      </c>
      <c r="AI87" s="0" t="n">
        <v>510</v>
      </c>
      <c r="AJ87" s="0" t="n">
        <v>58</v>
      </c>
      <c r="AK87" s="0" t="n">
        <v>192</v>
      </c>
      <c r="AL87" s="0" t="n">
        <v>1.17</v>
      </c>
    </row>
    <row r="88">
      <c r="A88" s="0" t="inlineStr">
        <is>
          <t>[광화동]</t>
        </is>
      </c>
      <c r="B88" s="0" t="n">
        <v>112618</v>
      </c>
      <c r="C88" s="0" t="n">
        <v>5</v>
      </c>
      <c r="D88" s="0" t="inlineStr">
        <is>
          <t>진해미진이지비아</t>
        </is>
      </c>
      <c r="E88" s="0" t="inlineStr">
        <is>
          <t>2014.05.</t>
        </is>
      </c>
      <c r="F88" s="0" t="n">
        <v>164</v>
      </c>
      <c r="G88" s="0" t="n">
        <v>25.48</v>
      </c>
      <c r="H88" s="0" t="n">
        <v>84.26000000000001</v>
      </c>
      <c r="I88" s="0" t="n">
        <v>18.12</v>
      </c>
      <c r="J88" s="0" t="n">
        <v>59.93</v>
      </c>
      <c r="K88" s="0" t="n">
        <v>26</v>
      </c>
      <c r="T88" s="0" t="n">
        <v>3</v>
      </c>
      <c r="U88" s="0" t="n">
        <v>1</v>
      </c>
      <c r="V88" s="0" t="inlineStr">
        <is>
          <t>계단식</t>
        </is>
      </c>
      <c r="W88" s="0" t="inlineStr">
        <is>
          <t>84F</t>
        </is>
      </c>
      <c r="X88" s="0" t="n">
        <v>15</v>
      </c>
      <c r="Y88" s="0" t="n">
        <v>15</v>
      </c>
      <c r="Z88" s="0" t="inlineStr">
        <is>
          <t>https://new.land.naver.com/complexes/112618?tab=detail&amp;rf=Y</t>
        </is>
      </c>
      <c r="AA88" s="0" t="inlineStr">
        <is>
          <t>경상남도 창원시 진해구 광화동 26</t>
        </is>
      </c>
      <c r="AB88" s="0" t="inlineStr">
        <is>
          <t>경상남도</t>
        </is>
      </c>
      <c r="AC88" s="0" t="inlineStr">
        <is>
          <t>창원시</t>
        </is>
      </c>
      <c r="AD88" s="0" t="inlineStr">
        <is>
          <t>진해구</t>
        </is>
      </c>
      <c r="AE88" s="0" t="inlineStr">
        <is>
          <t>광화동</t>
        </is>
      </c>
      <c r="AG88" s="0" t="inlineStr">
        <is>
          <t>경상남도 창원시 진해구 중원동로 33</t>
        </is>
      </c>
      <c r="AH88" s="0" t="n">
        <v>0</v>
      </c>
      <c r="AI88" s="0" t="n">
        <v>510</v>
      </c>
      <c r="AJ88" s="0" t="n">
        <v>58</v>
      </c>
      <c r="AK88" s="0" t="n">
        <v>192</v>
      </c>
      <c r="AL88" s="0" t="n">
        <v>1.17</v>
      </c>
    </row>
    <row r="89">
      <c r="A89" s="0" t="inlineStr">
        <is>
          <t>[광화동]</t>
        </is>
      </c>
      <c r="B89" s="0" t="n">
        <v>112618</v>
      </c>
      <c r="C89" s="0" t="n">
        <v>6</v>
      </c>
      <c r="D89" s="0" t="inlineStr">
        <is>
          <t>진해미진이지비아</t>
        </is>
      </c>
      <c r="E89" s="0" t="inlineStr">
        <is>
          <t>2014.05.</t>
        </is>
      </c>
      <c r="F89" s="0" t="n">
        <v>164</v>
      </c>
      <c r="G89" s="0" t="n">
        <v>32.35</v>
      </c>
      <c r="H89" s="0" t="n">
        <v>106.97</v>
      </c>
      <c r="I89" s="0" t="n">
        <v>23.4</v>
      </c>
      <c r="J89" s="0" t="n">
        <v>77.37</v>
      </c>
      <c r="K89" s="0" t="n">
        <v>40</v>
      </c>
      <c r="T89" s="0" t="n">
        <v>3</v>
      </c>
      <c r="U89" s="0" t="n">
        <v>2</v>
      </c>
      <c r="V89" s="0" t="inlineStr">
        <is>
          <t>계단식</t>
        </is>
      </c>
      <c r="W89" s="0" t="n">
        <v>106</v>
      </c>
      <c r="X89" s="0" t="n">
        <v>15</v>
      </c>
      <c r="Y89" s="0" t="n">
        <v>15</v>
      </c>
      <c r="Z89" s="0" t="inlineStr">
        <is>
          <t>https://new.land.naver.com/complexes/112618?tab=detail&amp;rf=Y</t>
        </is>
      </c>
      <c r="AA89" s="0" t="inlineStr">
        <is>
          <t>경상남도 창원시 진해구 광화동 26</t>
        </is>
      </c>
      <c r="AB89" s="0" t="inlineStr">
        <is>
          <t>경상남도</t>
        </is>
      </c>
      <c r="AC89" s="0" t="inlineStr">
        <is>
          <t>창원시</t>
        </is>
      </c>
      <c r="AD89" s="0" t="inlineStr">
        <is>
          <t>진해구</t>
        </is>
      </c>
      <c r="AE89" s="0" t="inlineStr">
        <is>
          <t>광화동</t>
        </is>
      </c>
      <c r="AG89" s="0" t="inlineStr">
        <is>
          <t>경상남도 창원시 진해구 중원동로 33</t>
        </is>
      </c>
      <c r="AH89" s="0" t="n">
        <v>0</v>
      </c>
      <c r="AI89" s="0" t="n">
        <v>510</v>
      </c>
      <c r="AJ89" s="0" t="n">
        <v>58</v>
      </c>
      <c r="AK89" s="0" t="n">
        <v>192</v>
      </c>
      <c r="AL89" s="0" t="n">
        <v>1.17</v>
      </c>
    </row>
    <row r="90">
      <c r="A90" s="0" t="inlineStr">
        <is>
          <t>[근화동]</t>
        </is>
      </c>
      <c r="B90" s="0" t="n">
        <v>125019</v>
      </c>
      <c r="C90" s="0" t="n">
        <v>1</v>
      </c>
      <c r="D90" s="0" t="inlineStr">
        <is>
          <t>평화빌라트</t>
        </is>
      </c>
      <c r="E90" s="0" t="inlineStr">
        <is>
          <t>2001.11.</t>
        </is>
      </c>
      <c r="F90" s="0" t="n">
        <v>77</v>
      </c>
      <c r="G90" s="0" t="n">
        <v>22.72</v>
      </c>
      <c r="H90" s="0" t="n">
        <v>75.13</v>
      </c>
      <c r="I90" s="0" t="n">
        <v>17.99</v>
      </c>
      <c r="J90" s="0" t="n">
        <v>59.48</v>
      </c>
      <c r="K90" s="0" t="n">
        <v>44</v>
      </c>
      <c r="T90" s="0" t="n">
        <v>3</v>
      </c>
      <c r="U90" s="0" t="n">
        <v>2</v>
      </c>
      <c r="V90" s="0" t="inlineStr">
        <is>
          <t>계단식</t>
        </is>
      </c>
      <c r="W90" s="0" t="n">
        <v>75</v>
      </c>
      <c r="X90" s="0" t="n">
        <v>12</v>
      </c>
      <c r="Y90" s="0" t="n">
        <v>12</v>
      </c>
      <c r="Z90" s="0" t="inlineStr">
        <is>
          <t>https://new.land.naver.com/complexes/125019?tab=detail&amp;rf=Y</t>
        </is>
      </c>
      <c r="AA90" s="0" t="inlineStr">
        <is>
          <t>경상남도 창원시 진해구 근화동 8</t>
        </is>
      </c>
      <c r="AB90" s="0" t="inlineStr">
        <is>
          <t>경상남도</t>
        </is>
      </c>
      <c r="AC90" s="0" t="inlineStr">
        <is>
          <t>창원시</t>
        </is>
      </c>
      <c r="AD90" s="0" t="inlineStr">
        <is>
          <t>진해구</t>
        </is>
      </c>
      <c r="AE90" s="0" t="inlineStr">
        <is>
          <t>근화동</t>
        </is>
      </c>
      <c r="AG90" s="0" t="inlineStr">
        <is>
          <t>경상남도 창원시 진해구 중원동로 21</t>
        </is>
      </c>
      <c r="AH90" s="0" t="n">
        <v>0</v>
      </c>
      <c r="AI90" s="0" t="n">
        <v>504</v>
      </c>
      <c r="AJ90" s="0" t="n">
        <v>50</v>
      </c>
      <c r="AK90" s="0" t="n">
        <v>65</v>
      </c>
      <c r="AL90" s="0" t="n">
        <v>0.84</v>
      </c>
    </row>
    <row r="91">
      <c r="A91" s="0" t="inlineStr">
        <is>
          <t>[근화동]</t>
        </is>
      </c>
      <c r="B91" s="0" t="n">
        <v>125019</v>
      </c>
      <c r="C91" s="0" t="n">
        <v>2</v>
      </c>
      <c r="D91" s="0" t="inlineStr">
        <is>
          <t>평화빌라트</t>
        </is>
      </c>
      <c r="E91" s="0" t="inlineStr">
        <is>
          <t>2001.11.</t>
        </is>
      </c>
      <c r="F91" s="0" t="n">
        <v>77</v>
      </c>
      <c r="G91" s="0" t="n">
        <v>26.81</v>
      </c>
      <c r="H91" s="0" t="n">
        <v>88.64</v>
      </c>
      <c r="I91" s="0" t="n">
        <v>21.07</v>
      </c>
      <c r="J91" s="0" t="n">
        <v>69.67</v>
      </c>
      <c r="K91" s="0" t="n">
        <v>11</v>
      </c>
      <c r="T91" s="0" t="n">
        <v>3</v>
      </c>
      <c r="U91" s="0" t="n">
        <v>2</v>
      </c>
      <c r="V91" s="0" t="inlineStr">
        <is>
          <t>계단식</t>
        </is>
      </c>
      <c r="W91" s="0" t="n">
        <v>88</v>
      </c>
      <c r="X91" s="0" t="n">
        <v>12</v>
      </c>
      <c r="Y91" s="0" t="n">
        <v>12</v>
      </c>
      <c r="Z91" s="0" t="inlineStr">
        <is>
          <t>https://new.land.naver.com/complexes/125019?tab=detail&amp;rf=Y</t>
        </is>
      </c>
      <c r="AA91" s="0" t="inlineStr">
        <is>
          <t>경상남도 창원시 진해구 근화동 8</t>
        </is>
      </c>
      <c r="AB91" s="0" t="inlineStr">
        <is>
          <t>경상남도</t>
        </is>
      </c>
      <c r="AC91" s="0" t="inlineStr">
        <is>
          <t>창원시</t>
        </is>
      </c>
      <c r="AD91" s="0" t="inlineStr">
        <is>
          <t>진해구</t>
        </is>
      </c>
      <c r="AE91" s="0" t="inlineStr">
        <is>
          <t>근화동</t>
        </is>
      </c>
      <c r="AG91" s="0" t="inlineStr">
        <is>
          <t>경상남도 창원시 진해구 중원동로 21</t>
        </is>
      </c>
      <c r="AH91" s="0" t="n">
        <v>0</v>
      </c>
      <c r="AI91" s="0" t="n">
        <v>504</v>
      </c>
      <c r="AJ91" s="0" t="n">
        <v>50</v>
      </c>
      <c r="AK91" s="0" t="n">
        <v>65</v>
      </c>
      <c r="AL91" s="0" t="n">
        <v>0.84</v>
      </c>
    </row>
    <row r="92">
      <c r="A92" s="0" t="inlineStr">
        <is>
          <t>[근화동]</t>
        </is>
      </c>
      <c r="B92" s="0" t="n">
        <v>125019</v>
      </c>
      <c r="C92" s="0" t="n">
        <v>3</v>
      </c>
      <c r="D92" s="0" t="inlineStr">
        <is>
          <t>평화빌라트</t>
        </is>
      </c>
      <c r="E92" s="0" t="inlineStr">
        <is>
          <t>2001.11.</t>
        </is>
      </c>
      <c r="F92" s="0" t="n">
        <v>77</v>
      </c>
      <c r="G92" s="0" t="n">
        <v>30.4</v>
      </c>
      <c r="H92" s="0" t="n">
        <v>100.51</v>
      </c>
      <c r="I92" s="0" t="n">
        <v>23.96</v>
      </c>
      <c r="J92" s="0" t="n">
        <v>79.20999999999999</v>
      </c>
      <c r="K92" s="0" t="n">
        <v>22</v>
      </c>
      <c r="T92" s="0" t="n">
        <v>3</v>
      </c>
      <c r="U92" s="0" t="n">
        <v>2</v>
      </c>
      <c r="V92" s="0" t="inlineStr">
        <is>
          <t>계단식</t>
        </is>
      </c>
      <c r="W92" s="0" t="n">
        <v>100</v>
      </c>
      <c r="X92" s="0" t="n">
        <v>12</v>
      </c>
      <c r="Y92" s="0" t="n">
        <v>12</v>
      </c>
      <c r="Z92" s="0" t="inlineStr">
        <is>
          <t>https://new.land.naver.com/complexes/125019?tab=detail&amp;rf=Y</t>
        </is>
      </c>
      <c r="AA92" s="0" t="inlineStr">
        <is>
          <t>경상남도 창원시 진해구 근화동 8</t>
        </is>
      </c>
      <c r="AB92" s="0" t="inlineStr">
        <is>
          <t>경상남도</t>
        </is>
      </c>
      <c r="AC92" s="0" t="inlineStr">
        <is>
          <t>창원시</t>
        </is>
      </c>
      <c r="AD92" s="0" t="inlineStr">
        <is>
          <t>진해구</t>
        </is>
      </c>
      <c r="AE92" s="0" t="inlineStr">
        <is>
          <t>근화동</t>
        </is>
      </c>
      <c r="AG92" s="0" t="inlineStr">
        <is>
          <t>경상남도 창원시 진해구 중원동로 21</t>
        </is>
      </c>
      <c r="AH92" s="0" t="n">
        <v>0</v>
      </c>
      <c r="AI92" s="0" t="n">
        <v>504</v>
      </c>
      <c r="AJ92" s="0" t="n">
        <v>50</v>
      </c>
      <c r="AK92" s="0" t="n">
        <v>65</v>
      </c>
      <c r="AL92" s="0" t="n">
        <v>0.84</v>
      </c>
    </row>
    <row r="93">
      <c r="A93" s="0" t="inlineStr">
        <is>
          <t>[남문동]</t>
        </is>
      </c>
      <c r="B93" s="0" t="n">
        <v>140741</v>
      </c>
      <c r="C93" s="0" t="n">
        <v>1</v>
      </c>
      <c r="D93" s="0" t="inlineStr">
        <is>
          <t>진해남문리젠시빌란트더웰</t>
        </is>
      </c>
      <c r="E93" s="0" t="inlineStr">
        <is>
          <t>2024.03.</t>
        </is>
      </c>
      <c r="F93" s="0" t="n">
        <v>458</v>
      </c>
      <c r="G93" s="0" t="n">
        <v>30.37</v>
      </c>
      <c r="H93" s="0" t="n">
        <v>100.42</v>
      </c>
      <c r="I93" s="0" t="n">
        <v>22.5</v>
      </c>
      <c r="J93" s="0" t="n">
        <v>74.39</v>
      </c>
      <c r="K93" s="0" t="n">
        <v>120</v>
      </c>
      <c r="T93" s="0" t="n">
        <v>4</v>
      </c>
      <c r="U93" s="0" t="n">
        <v>2</v>
      </c>
      <c r="V93" s="0" t="inlineStr">
        <is>
          <t>계단식</t>
        </is>
      </c>
      <c r="W93" s="0" t="inlineStr">
        <is>
          <t>100A</t>
        </is>
      </c>
      <c r="X93" s="0" t="n">
        <v>25</v>
      </c>
      <c r="Y93" s="0" t="n">
        <v>16</v>
      </c>
      <c r="Z93" s="0" t="inlineStr">
        <is>
          <t>https://new.land.naver.com/complexes/140741?tab=detail&amp;rf=Y</t>
        </is>
      </c>
      <c r="AA93" s="0" t="inlineStr">
        <is>
          <t>경상남도 창원시 진해구 남문동 1275-1번지(진해남문지구 A5-1블록)</t>
        </is>
      </c>
      <c r="AB93" s="0" t="inlineStr">
        <is>
          <t>경상남도</t>
        </is>
      </c>
      <c r="AC93" s="0" t="inlineStr">
        <is>
          <t>창원시</t>
        </is>
      </c>
      <c r="AD93" s="0" t="inlineStr">
        <is>
          <t>진해구</t>
        </is>
      </c>
      <c r="AE93" s="0" t="inlineStr">
        <is>
          <t>남문동</t>
        </is>
      </c>
      <c r="AG93" s="0" t="inlineStr">
        <is>
          <t>경상남도 창원시 진해구</t>
        </is>
      </c>
      <c r="AH93" s="0" t="n">
        <v>0</v>
      </c>
      <c r="AI93" s="0" t="n">
        <v>219</v>
      </c>
      <c r="AJ93" s="0" t="n">
        <v>18</v>
      </c>
      <c r="AK93" s="0" t="n">
        <v>599</v>
      </c>
      <c r="AL93" s="0" t="n">
        <v>1.31</v>
      </c>
    </row>
    <row r="94">
      <c r="A94" s="0" t="inlineStr">
        <is>
          <t>[남문동]</t>
        </is>
      </c>
      <c r="B94" s="0" t="n">
        <v>140741</v>
      </c>
      <c r="C94" s="0" t="n">
        <v>2</v>
      </c>
      <c r="D94" s="0" t="inlineStr">
        <is>
          <t>진해남문리젠시빌란트더웰</t>
        </is>
      </c>
      <c r="E94" s="0" t="inlineStr">
        <is>
          <t>2024.03.</t>
        </is>
      </c>
      <c r="F94" s="0" t="n">
        <v>458</v>
      </c>
      <c r="G94" s="0" t="n">
        <v>30.67</v>
      </c>
      <c r="H94" s="0" t="n">
        <v>101.39</v>
      </c>
      <c r="I94" s="0" t="n">
        <v>22.66</v>
      </c>
      <c r="J94" s="0" t="n">
        <v>74.91</v>
      </c>
      <c r="K94" s="0" t="n">
        <v>24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101B</t>
        </is>
      </c>
      <c r="X94" s="0" t="n">
        <v>25</v>
      </c>
      <c r="Y94" s="0" t="n">
        <v>16</v>
      </c>
      <c r="Z94" s="0" t="inlineStr">
        <is>
          <t>https://new.land.naver.com/complexes/140741?tab=detail&amp;rf=Y</t>
        </is>
      </c>
      <c r="AA94" s="0" t="inlineStr">
        <is>
          <t>경상남도 창원시 진해구 남문동 1275-1번지(진해남문지구 A5-1블록)</t>
        </is>
      </c>
      <c r="AB94" s="0" t="inlineStr">
        <is>
          <t>경상남도</t>
        </is>
      </c>
      <c r="AC94" s="0" t="inlineStr">
        <is>
          <t>창원시</t>
        </is>
      </c>
      <c r="AD94" s="0" t="inlineStr">
        <is>
          <t>진해구</t>
        </is>
      </c>
      <c r="AE94" s="0" t="inlineStr">
        <is>
          <t>남문동</t>
        </is>
      </c>
      <c r="AG94" s="0" t="inlineStr">
        <is>
          <t>경상남도 창원시 진해구</t>
        </is>
      </c>
      <c r="AH94" s="0" t="n">
        <v>0</v>
      </c>
      <c r="AI94" s="0" t="n">
        <v>219</v>
      </c>
      <c r="AJ94" s="0" t="n">
        <v>18</v>
      </c>
      <c r="AK94" s="0" t="n">
        <v>599</v>
      </c>
      <c r="AL94" s="0" t="n">
        <v>1.31</v>
      </c>
    </row>
    <row r="95">
      <c r="A95" s="0" t="inlineStr">
        <is>
          <t>[남문동]</t>
        </is>
      </c>
      <c r="B95" s="0" t="n">
        <v>140741</v>
      </c>
      <c r="C95" s="0" t="n">
        <v>3</v>
      </c>
      <c r="D95" s="0" t="inlineStr">
        <is>
          <t>진해남문리젠시빌란트더웰</t>
        </is>
      </c>
      <c r="E95" s="0" t="inlineStr">
        <is>
          <t>2024.03.</t>
        </is>
      </c>
      <c r="F95" s="0" t="n">
        <v>458</v>
      </c>
      <c r="G95" s="0" t="n">
        <v>34.15</v>
      </c>
      <c r="H95" s="0" t="n">
        <v>112.91</v>
      </c>
      <c r="I95" s="0" t="n">
        <v>25.67</v>
      </c>
      <c r="J95" s="0" t="n">
        <v>84.86</v>
      </c>
      <c r="K95" s="0" t="n">
        <v>314</v>
      </c>
      <c r="T95" s="0" t="n">
        <v>4</v>
      </c>
      <c r="U95" s="0" t="n">
        <v>2</v>
      </c>
      <c r="V95" s="0" t="inlineStr">
        <is>
          <t>계단식</t>
        </is>
      </c>
      <c r="W95" s="0" t="n">
        <v>112</v>
      </c>
      <c r="X95" s="0" t="n">
        <v>25</v>
      </c>
      <c r="Y95" s="0" t="n">
        <v>16</v>
      </c>
      <c r="Z95" s="0" t="inlineStr">
        <is>
          <t>https://new.land.naver.com/complexes/140741?tab=detail&amp;rf=Y</t>
        </is>
      </c>
      <c r="AA95" s="0" t="inlineStr">
        <is>
          <t>경상남도 창원시 진해구 남문동 1275-1번지(진해남문지구 A5-1블록)</t>
        </is>
      </c>
      <c r="AB95" s="0" t="inlineStr">
        <is>
          <t>경상남도</t>
        </is>
      </c>
      <c r="AC95" s="0" t="inlineStr">
        <is>
          <t>창원시</t>
        </is>
      </c>
      <c r="AD95" s="0" t="inlineStr">
        <is>
          <t>진해구</t>
        </is>
      </c>
      <c r="AE95" s="0" t="inlineStr">
        <is>
          <t>남문동</t>
        </is>
      </c>
      <c r="AG95" s="0" t="inlineStr">
        <is>
          <t>경상남도 창원시 진해구</t>
        </is>
      </c>
      <c r="AH95" s="0" t="n">
        <v>0</v>
      </c>
      <c r="AI95" s="0" t="n">
        <v>219</v>
      </c>
      <c r="AJ95" s="0" t="n">
        <v>18</v>
      </c>
      <c r="AK95" s="0" t="n">
        <v>599</v>
      </c>
      <c r="AL95" s="0" t="n">
        <v>1.31</v>
      </c>
    </row>
    <row r="96">
      <c r="A96" s="0" t="inlineStr">
        <is>
          <t>[남문동]</t>
        </is>
      </c>
      <c r="B96" s="0" t="n">
        <v>115868</v>
      </c>
      <c r="C96" s="0" t="n">
        <v>1</v>
      </c>
      <c r="D96" s="0" t="inlineStr">
        <is>
          <t>진해남문하우스디</t>
        </is>
      </c>
      <c r="E96" s="0" t="inlineStr">
        <is>
          <t>2019.01.</t>
        </is>
      </c>
      <c r="F96" s="0" t="n">
        <v>299</v>
      </c>
      <c r="G96" s="0" t="n">
        <v>28.79</v>
      </c>
      <c r="H96" s="0" t="n">
        <v>95.2</v>
      </c>
      <c r="I96" s="0" t="n">
        <v>22.07</v>
      </c>
      <c r="J96" s="0" t="n">
        <v>72.95999999999999</v>
      </c>
      <c r="K96" s="0" t="n">
        <v>40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95A-1</t>
        </is>
      </c>
      <c r="X96" s="0" t="n">
        <v>25</v>
      </c>
      <c r="Y96" s="0" t="n">
        <v>16</v>
      </c>
      <c r="Z96" s="0" t="inlineStr">
        <is>
          <t>https://new.land.naver.com/complexes/115868?tab=detail&amp;rf=Y</t>
        </is>
      </c>
      <c r="AA96" s="0" t="inlineStr">
        <is>
          <t>경상남도 창원시 진해구 남문동 1256-2</t>
        </is>
      </c>
      <c r="AB96" s="0" t="inlineStr">
        <is>
          <t>경상남도</t>
        </is>
      </c>
      <c r="AC96" s="0" t="inlineStr">
        <is>
          <t>창원시</t>
        </is>
      </c>
      <c r="AD96" s="0" t="inlineStr">
        <is>
          <t>진해구</t>
        </is>
      </c>
      <c r="AE96" s="0" t="inlineStr">
        <is>
          <t>남문동</t>
        </is>
      </c>
      <c r="AG96" s="0" t="inlineStr">
        <is>
          <t>경상남도 창원시 진해구 웅천동로106번길 20</t>
        </is>
      </c>
      <c r="AH96" s="0" t="n">
        <v>0</v>
      </c>
      <c r="AI96" s="0" t="n">
        <v>219</v>
      </c>
      <c r="AJ96" s="0" t="n">
        <v>15</v>
      </c>
      <c r="AK96" s="0" t="n">
        <v>387</v>
      </c>
      <c r="AL96" s="0" t="n">
        <v>1.29</v>
      </c>
    </row>
    <row r="97">
      <c r="A97" s="0" t="inlineStr">
        <is>
          <t>[남문동]</t>
        </is>
      </c>
      <c r="B97" s="0" t="n">
        <v>115868</v>
      </c>
      <c r="C97" s="0" t="n">
        <v>2</v>
      </c>
      <c r="D97" s="0" t="inlineStr">
        <is>
          <t>진해남문하우스디</t>
        </is>
      </c>
      <c r="E97" s="0" t="inlineStr">
        <is>
          <t>2019.01.</t>
        </is>
      </c>
      <c r="F97" s="0" t="n">
        <v>299</v>
      </c>
      <c r="G97" s="0" t="n">
        <v>28.79</v>
      </c>
      <c r="H97" s="0" t="n">
        <v>95.2</v>
      </c>
      <c r="I97" s="0" t="n">
        <v>22.07</v>
      </c>
      <c r="J97" s="0" t="n">
        <v>72.95999999999999</v>
      </c>
      <c r="K97" s="0" t="n">
        <v>31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95A-2</t>
        </is>
      </c>
      <c r="X97" s="0" t="n">
        <v>25</v>
      </c>
      <c r="Y97" s="0" t="n">
        <v>16</v>
      </c>
      <c r="Z97" s="0" t="inlineStr">
        <is>
          <t>https://new.land.naver.com/complexes/115868?tab=detail&amp;rf=Y</t>
        </is>
      </c>
      <c r="AA97" s="0" t="inlineStr">
        <is>
          <t>경상남도 창원시 진해구 남문동 1256-2</t>
        </is>
      </c>
      <c r="AB97" s="0" t="inlineStr">
        <is>
          <t>경상남도</t>
        </is>
      </c>
      <c r="AC97" s="0" t="inlineStr">
        <is>
          <t>창원시</t>
        </is>
      </c>
      <c r="AD97" s="0" t="inlineStr">
        <is>
          <t>진해구</t>
        </is>
      </c>
      <c r="AE97" s="0" t="inlineStr">
        <is>
          <t>남문동</t>
        </is>
      </c>
      <c r="AG97" s="0" t="inlineStr">
        <is>
          <t>경상남도 창원시 진해구 웅천동로106번길 20</t>
        </is>
      </c>
      <c r="AH97" s="0" t="n">
        <v>0</v>
      </c>
      <c r="AI97" s="0" t="n">
        <v>219</v>
      </c>
      <c r="AJ97" s="0" t="n">
        <v>15</v>
      </c>
      <c r="AK97" s="0" t="n">
        <v>387</v>
      </c>
      <c r="AL97" s="0" t="n">
        <v>1.29</v>
      </c>
    </row>
    <row r="98">
      <c r="A98" s="0" t="inlineStr">
        <is>
          <t>[남문동]</t>
        </is>
      </c>
      <c r="B98" s="0" t="n">
        <v>115868</v>
      </c>
      <c r="C98" s="0" t="n">
        <v>3</v>
      </c>
      <c r="D98" s="0" t="inlineStr">
        <is>
          <t>진해남문하우스디</t>
        </is>
      </c>
      <c r="E98" s="0" t="inlineStr">
        <is>
          <t>2019.01.</t>
        </is>
      </c>
      <c r="F98" s="0" t="n">
        <v>299</v>
      </c>
      <c r="G98" s="0" t="n">
        <v>33.28</v>
      </c>
      <c r="H98" s="0" t="n">
        <v>110.03</v>
      </c>
      <c r="I98" s="0" t="n">
        <v>25.68</v>
      </c>
      <c r="J98" s="0" t="n">
        <v>84.92</v>
      </c>
      <c r="K98" s="0" t="n">
        <v>96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110B</t>
        </is>
      </c>
      <c r="X98" s="0" t="n">
        <v>25</v>
      </c>
      <c r="Y98" s="0" t="n">
        <v>16</v>
      </c>
      <c r="Z98" s="0" t="inlineStr">
        <is>
          <t>https://new.land.naver.com/complexes/115868?tab=detail&amp;rf=Y</t>
        </is>
      </c>
      <c r="AA98" s="0" t="inlineStr">
        <is>
          <t>경상남도 창원시 진해구 남문동 1256-2</t>
        </is>
      </c>
      <c r="AB98" s="0" t="inlineStr">
        <is>
          <t>경상남도</t>
        </is>
      </c>
      <c r="AC98" s="0" t="inlineStr">
        <is>
          <t>창원시</t>
        </is>
      </c>
      <c r="AD98" s="0" t="inlineStr">
        <is>
          <t>진해구</t>
        </is>
      </c>
      <c r="AE98" s="0" t="inlineStr">
        <is>
          <t>남문동</t>
        </is>
      </c>
      <c r="AG98" s="0" t="inlineStr">
        <is>
          <t>경상남도 창원시 진해구 웅천동로106번길 20</t>
        </is>
      </c>
      <c r="AH98" s="0" t="n">
        <v>0</v>
      </c>
      <c r="AI98" s="0" t="n">
        <v>219</v>
      </c>
      <c r="AJ98" s="0" t="n">
        <v>15</v>
      </c>
      <c r="AK98" s="0" t="n">
        <v>387</v>
      </c>
      <c r="AL98" s="0" t="n">
        <v>1.29</v>
      </c>
    </row>
    <row r="99">
      <c r="A99" s="0" t="inlineStr">
        <is>
          <t>[남문동]</t>
        </is>
      </c>
      <c r="B99" s="0" t="n">
        <v>115868</v>
      </c>
      <c r="C99" s="0" t="n">
        <v>4</v>
      </c>
      <c r="D99" s="0" t="inlineStr">
        <is>
          <t>진해남문하우스디</t>
        </is>
      </c>
      <c r="E99" s="0" t="inlineStr">
        <is>
          <t>2019.01.</t>
        </is>
      </c>
      <c r="F99" s="0" t="n">
        <v>299</v>
      </c>
      <c r="G99" s="0" t="n">
        <v>33.33</v>
      </c>
      <c r="H99" s="0" t="n">
        <v>110.21</v>
      </c>
      <c r="I99" s="0" t="n">
        <v>25.69</v>
      </c>
      <c r="J99" s="0" t="n">
        <v>84.94</v>
      </c>
      <c r="K99" s="0" t="n">
        <v>48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110A-2</t>
        </is>
      </c>
      <c r="X99" s="0" t="n">
        <v>25</v>
      </c>
      <c r="Y99" s="0" t="n">
        <v>16</v>
      </c>
      <c r="Z99" s="0" t="inlineStr">
        <is>
          <t>https://new.land.naver.com/complexes/115868?tab=detail&amp;rf=Y</t>
        </is>
      </c>
      <c r="AA99" s="0" t="inlineStr">
        <is>
          <t>경상남도 창원시 진해구 남문동 1256-2</t>
        </is>
      </c>
      <c r="AB99" s="0" t="inlineStr">
        <is>
          <t>경상남도</t>
        </is>
      </c>
      <c r="AC99" s="0" t="inlineStr">
        <is>
          <t>창원시</t>
        </is>
      </c>
      <c r="AD99" s="0" t="inlineStr">
        <is>
          <t>진해구</t>
        </is>
      </c>
      <c r="AE99" s="0" t="inlineStr">
        <is>
          <t>남문동</t>
        </is>
      </c>
      <c r="AG99" s="0" t="inlineStr">
        <is>
          <t>경상남도 창원시 진해구 웅천동로106번길 20</t>
        </is>
      </c>
      <c r="AH99" s="0" t="n">
        <v>0</v>
      </c>
      <c r="AI99" s="0" t="n">
        <v>219</v>
      </c>
      <c r="AJ99" s="0" t="n">
        <v>15</v>
      </c>
      <c r="AK99" s="0" t="n">
        <v>387</v>
      </c>
      <c r="AL99" s="0" t="n">
        <v>1.29</v>
      </c>
    </row>
    <row r="100">
      <c r="A100" s="0" t="inlineStr">
        <is>
          <t>[남문동]</t>
        </is>
      </c>
      <c r="B100" s="0" t="n">
        <v>115868</v>
      </c>
      <c r="C100" s="0" t="n">
        <v>5</v>
      </c>
      <c r="D100" s="0" t="inlineStr">
        <is>
          <t>진해남문하우스디</t>
        </is>
      </c>
      <c r="E100" s="0" t="inlineStr">
        <is>
          <t>2019.01.</t>
        </is>
      </c>
      <c r="F100" s="0" t="n">
        <v>299</v>
      </c>
      <c r="G100" s="0" t="n">
        <v>33.33</v>
      </c>
      <c r="H100" s="0" t="n">
        <v>110.21</v>
      </c>
      <c r="I100" s="0" t="n">
        <v>25.69</v>
      </c>
      <c r="J100" s="0" t="n">
        <v>84.94</v>
      </c>
      <c r="K100" s="0" t="n">
        <v>42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110A-1</t>
        </is>
      </c>
      <c r="X100" s="0" t="n">
        <v>25</v>
      </c>
      <c r="Y100" s="0" t="n">
        <v>16</v>
      </c>
      <c r="Z100" s="0" t="inlineStr">
        <is>
          <t>https://new.land.naver.com/complexes/115868?tab=detail&amp;rf=Y</t>
        </is>
      </c>
      <c r="AA100" s="0" t="inlineStr">
        <is>
          <t>경상남도 창원시 진해구 남문동 1256-2</t>
        </is>
      </c>
      <c r="AB100" s="0" t="inlineStr">
        <is>
          <t>경상남도</t>
        </is>
      </c>
      <c r="AC100" s="0" t="inlineStr">
        <is>
          <t>창원시</t>
        </is>
      </c>
      <c r="AD100" s="0" t="inlineStr">
        <is>
          <t>진해구</t>
        </is>
      </c>
      <c r="AE100" s="0" t="inlineStr">
        <is>
          <t>남문동</t>
        </is>
      </c>
      <c r="AG100" s="0" t="inlineStr">
        <is>
          <t>경상남도 창원시 진해구 웅천동로106번길 20</t>
        </is>
      </c>
      <c r="AH100" s="0" t="n">
        <v>0</v>
      </c>
      <c r="AI100" s="0" t="n">
        <v>219</v>
      </c>
      <c r="AJ100" s="0" t="n">
        <v>15</v>
      </c>
      <c r="AK100" s="0" t="n">
        <v>387</v>
      </c>
      <c r="AL100" s="0" t="n">
        <v>1.29</v>
      </c>
    </row>
    <row r="101">
      <c r="A101" s="0" t="inlineStr">
        <is>
          <t>[남문동]</t>
        </is>
      </c>
      <c r="B101" s="0" t="n">
        <v>115868</v>
      </c>
      <c r="C101" s="0" t="n">
        <v>6</v>
      </c>
      <c r="D101" s="0" t="inlineStr">
        <is>
          <t>진해남문하우스디</t>
        </is>
      </c>
      <c r="E101" s="0" t="inlineStr">
        <is>
          <t>2019.01.</t>
        </is>
      </c>
      <c r="F101" s="0" t="n">
        <v>299</v>
      </c>
      <c r="G101" s="0" t="n">
        <v>33.54</v>
      </c>
      <c r="H101" s="0" t="n">
        <v>110.9</v>
      </c>
      <c r="I101" s="0" t="n">
        <v>25.68</v>
      </c>
      <c r="J101" s="0" t="n">
        <v>84.92</v>
      </c>
      <c r="K101" s="0" t="n">
        <v>42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110C</t>
        </is>
      </c>
      <c r="X101" s="0" t="n">
        <v>25</v>
      </c>
      <c r="Y101" s="0" t="n">
        <v>16</v>
      </c>
      <c r="Z101" s="0" t="inlineStr">
        <is>
          <t>https://new.land.naver.com/complexes/115868?tab=detail&amp;rf=Y</t>
        </is>
      </c>
      <c r="AA101" s="0" t="inlineStr">
        <is>
          <t>경상남도 창원시 진해구 남문동 1256-2</t>
        </is>
      </c>
      <c r="AB101" s="0" t="inlineStr">
        <is>
          <t>경상남도</t>
        </is>
      </c>
      <c r="AC101" s="0" t="inlineStr">
        <is>
          <t>창원시</t>
        </is>
      </c>
      <c r="AD101" s="0" t="inlineStr">
        <is>
          <t>진해구</t>
        </is>
      </c>
      <c r="AE101" s="0" t="inlineStr">
        <is>
          <t>남문동</t>
        </is>
      </c>
      <c r="AG101" s="0" t="inlineStr">
        <is>
          <t>경상남도 창원시 진해구 웅천동로106번길 20</t>
        </is>
      </c>
      <c r="AH101" s="0" t="n">
        <v>0</v>
      </c>
      <c r="AI101" s="0" t="n">
        <v>219</v>
      </c>
      <c r="AJ101" s="0" t="n">
        <v>15</v>
      </c>
      <c r="AK101" s="0" t="n">
        <v>387</v>
      </c>
      <c r="AL101" s="0" t="n">
        <v>1.29</v>
      </c>
    </row>
    <row r="102">
      <c r="A102" s="0" t="inlineStr">
        <is>
          <t>[남문동]</t>
        </is>
      </c>
      <c r="B102" s="0" t="n">
        <v>111933</v>
      </c>
      <c r="C102" s="0" t="n">
        <v>1</v>
      </c>
      <c r="D102" s="0" t="inlineStr">
        <is>
          <t>남문호반베르디움</t>
        </is>
      </c>
      <c r="E102" s="0" t="inlineStr">
        <is>
          <t>2018.06.</t>
        </is>
      </c>
      <c r="F102" s="0" t="n">
        <v>944</v>
      </c>
      <c r="G102" s="0" t="n">
        <v>29.39</v>
      </c>
      <c r="H102" s="0" t="n">
        <v>97.18000000000001</v>
      </c>
      <c r="I102" s="0" t="n">
        <v>21.77</v>
      </c>
      <c r="J102" s="0" t="n">
        <v>71.98999999999999</v>
      </c>
      <c r="K102" s="0" t="n">
        <v>371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97A</t>
        </is>
      </c>
      <c r="X102" s="0" t="n">
        <v>25</v>
      </c>
      <c r="Y102" s="0" t="n">
        <v>20</v>
      </c>
      <c r="Z102" s="0" t="inlineStr">
        <is>
          <t>https://new.land.naver.com/complexes/111933?tab=detail&amp;rf=Y</t>
        </is>
      </c>
      <c r="AA102" s="0" t="inlineStr">
        <is>
          <t>경상남도 창원시 진해구 남문동 1293-1</t>
        </is>
      </c>
      <c r="AB102" s="0" t="inlineStr">
        <is>
          <t>경상남도</t>
        </is>
      </c>
      <c r="AC102" s="0" t="inlineStr">
        <is>
          <t>창원시</t>
        </is>
      </c>
      <c r="AD102" s="0" t="inlineStr">
        <is>
          <t>진해구</t>
        </is>
      </c>
      <c r="AE102" s="0" t="inlineStr">
        <is>
          <t>남문동</t>
        </is>
      </c>
      <c r="AG102" s="0" t="inlineStr">
        <is>
          <t>경상남도 창원시 진해구 웅천동로43번길 19</t>
        </is>
      </c>
      <c r="AH102" s="0" t="n">
        <v>0</v>
      </c>
      <c r="AI102" s="0" t="n">
        <v>218</v>
      </c>
      <c r="AJ102" s="0" t="n">
        <v>16</v>
      </c>
      <c r="AK102" s="0" t="n">
        <v>1219</v>
      </c>
      <c r="AL102" s="0" t="n">
        <v>1.29</v>
      </c>
    </row>
    <row r="103">
      <c r="A103" s="0" t="inlineStr">
        <is>
          <t>[남문동]</t>
        </is>
      </c>
      <c r="B103" s="0" t="n">
        <v>111933</v>
      </c>
      <c r="C103" s="0" t="n">
        <v>2</v>
      </c>
      <c r="D103" s="0" t="inlineStr">
        <is>
          <t>남문호반베르디움</t>
        </is>
      </c>
      <c r="E103" s="0" t="inlineStr">
        <is>
          <t>2018.06.</t>
        </is>
      </c>
      <c r="F103" s="0" t="n">
        <v>944</v>
      </c>
      <c r="G103" s="0" t="n">
        <v>29.42</v>
      </c>
      <c r="H103" s="0" t="n">
        <v>97.28</v>
      </c>
      <c r="I103" s="0" t="n">
        <v>21.77</v>
      </c>
      <c r="J103" s="0" t="n">
        <v>71.98999999999999</v>
      </c>
      <c r="K103" s="0" t="n">
        <v>125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97B</t>
        </is>
      </c>
      <c r="X103" s="0" t="n">
        <v>25</v>
      </c>
      <c r="Y103" s="0" t="n">
        <v>20</v>
      </c>
      <c r="Z103" s="0" t="inlineStr">
        <is>
          <t>https://new.land.naver.com/complexes/111933?tab=detail&amp;rf=Y</t>
        </is>
      </c>
      <c r="AA103" s="0" t="inlineStr">
        <is>
          <t>경상남도 창원시 진해구 남문동 1293-1</t>
        </is>
      </c>
      <c r="AB103" s="0" t="inlineStr">
        <is>
          <t>경상남도</t>
        </is>
      </c>
      <c r="AC103" s="0" t="inlineStr">
        <is>
          <t>창원시</t>
        </is>
      </c>
      <c r="AD103" s="0" t="inlineStr">
        <is>
          <t>진해구</t>
        </is>
      </c>
      <c r="AE103" s="0" t="inlineStr">
        <is>
          <t>남문동</t>
        </is>
      </c>
      <c r="AG103" s="0" t="inlineStr">
        <is>
          <t>경상남도 창원시 진해구 웅천동로43번길 19</t>
        </is>
      </c>
      <c r="AH103" s="0" t="n">
        <v>0</v>
      </c>
      <c r="AI103" s="0" t="n">
        <v>218</v>
      </c>
      <c r="AJ103" s="0" t="n">
        <v>16</v>
      </c>
      <c r="AK103" s="0" t="n">
        <v>1219</v>
      </c>
      <c r="AL103" s="0" t="n">
        <v>1.29</v>
      </c>
    </row>
    <row r="104">
      <c r="A104" s="0" t="inlineStr">
        <is>
          <t>[남문동]</t>
        </is>
      </c>
      <c r="B104" s="0" t="n">
        <v>111933</v>
      </c>
      <c r="C104" s="0" t="n">
        <v>3</v>
      </c>
      <c r="D104" s="0" t="inlineStr">
        <is>
          <t>남문호반베르디움</t>
        </is>
      </c>
      <c r="E104" s="0" t="inlineStr">
        <is>
          <t>2018.06.</t>
        </is>
      </c>
      <c r="F104" s="0" t="n">
        <v>944</v>
      </c>
      <c r="G104" s="0" t="n">
        <v>33.32</v>
      </c>
      <c r="H104" s="0" t="n">
        <v>110.17</v>
      </c>
      <c r="I104" s="0" t="n">
        <v>25.7</v>
      </c>
      <c r="J104" s="0" t="n">
        <v>84.98999999999999</v>
      </c>
      <c r="K104" s="0" t="n">
        <v>448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110</v>
      </c>
      <c r="X104" s="0" t="n">
        <v>25</v>
      </c>
      <c r="Y104" s="0" t="n">
        <v>20</v>
      </c>
      <c r="Z104" s="0" t="inlineStr">
        <is>
          <t>https://new.land.naver.com/complexes/111933?tab=detail&amp;rf=Y</t>
        </is>
      </c>
      <c r="AA104" s="0" t="inlineStr">
        <is>
          <t>경상남도 창원시 진해구 남문동 1293-1</t>
        </is>
      </c>
      <c r="AB104" s="0" t="inlineStr">
        <is>
          <t>경상남도</t>
        </is>
      </c>
      <c r="AC104" s="0" t="inlineStr">
        <is>
          <t>창원시</t>
        </is>
      </c>
      <c r="AD104" s="0" t="inlineStr">
        <is>
          <t>진해구</t>
        </is>
      </c>
      <c r="AE104" s="0" t="inlineStr">
        <is>
          <t>남문동</t>
        </is>
      </c>
      <c r="AG104" s="0" t="inlineStr">
        <is>
          <t>경상남도 창원시 진해구 웅천동로43번길 19</t>
        </is>
      </c>
      <c r="AH104" s="0" t="n">
        <v>0</v>
      </c>
      <c r="AI104" s="0" t="n">
        <v>218</v>
      </c>
      <c r="AJ104" s="0" t="n">
        <v>16</v>
      </c>
      <c r="AK104" s="0" t="n">
        <v>1219</v>
      </c>
      <c r="AL104" s="0" t="n">
        <v>1.29</v>
      </c>
    </row>
    <row r="105">
      <c r="A105" s="0" t="inlineStr">
        <is>
          <t>[남문동]</t>
        </is>
      </c>
      <c r="B105" s="0" t="n">
        <v>111268</v>
      </c>
      <c r="C105" s="0" t="n">
        <v>1</v>
      </c>
      <c r="D105" s="0" t="inlineStr">
        <is>
          <t>진해남문시티프라디움2차</t>
        </is>
      </c>
      <c r="E105" s="0" t="inlineStr">
        <is>
          <t>2017.12.</t>
        </is>
      </c>
      <c r="F105" s="0" t="n">
        <v>876</v>
      </c>
      <c r="G105" s="0" t="n">
        <v>29.2</v>
      </c>
      <c r="H105" s="0" t="n">
        <v>96.54000000000001</v>
      </c>
      <c r="I105" s="0" t="n">
        <v>22.42</v>
      </c>
      <c r="J105" s="0" t="n">
        <v>74.14</v>
      </c>
      <c r="K105" s="0" t="n">
        <v>115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96C</t>
        </is>
      </c>
      <c r="X105" s="0" t="n">
        <v>25</v>
      </c>
      <c r="Y105" s="0" t="n">
        <v>18</v>
      </c>
      <c r="Z105" s="0" t="inlineStr">
        <is>
          <t>https://new.land.naver.com/complexes/111268?tab=detail&amp;rf=Y</t>
        </is>
      </c>
      <c r="AA105" s="0" t="inlineStr">
        <is>
          <t>경상남도 창원시 진해구 남문동 1256-1</t>
        </is>
      </c>
      <c r="AB105" s="0" t="inlineStr">
        <is>
          <t>경상남도</t>
        </is>
      </c>
      <c r="AC105" s="0" t="inlineStr">
        <is>
          <t>창원시</t>
        </is>
      </c>
      <c r="AD105" s="0" t="inlineStr">
        <is>
          <t>진해구</t>
        </is>
      </c>
      <c r="AE105" s="0" t="inlineStr">
        <is>
          <t>남문동</t>
        </is>
      </c>
      <c r="AG105" s="0" t="inlineStr">
        <is>
          <t>경상남도 창원시 진해구 웅천동로 100</t>
        </is>
      </c>
      <c r="AH105" s="0" t="n">
        <v>0</v>
      </c>
      <c r="AI105" s="0" t="n">
        <v>214</v>
      </c>
      <c r="AJ105" s="0" t="n">
        <v>16</v>
      </c>
      <c r="AK105" s="0" t="n">
        <v>1138</v>
      </c>
      <c r="AL105" s="0" t="n">
        <v>1.3</v>
      </c>
    </row>
    <row r="106">
      <c r="A106" s="0" t="inlineStr">
        <is>
          <t>[남문동]</t>
        </is>
      </c>
      <c r="B106" s="0" t="n">
        <v>111268</v>
      </c>
      <c r="C106" s="0" t="n">
        <v>2</v>
      </c>
      <c r="D106" s="0" t="inlineStr">
        <is>
          <t>진해남문시티프라디움2차</t>
        </is>
      </c>
      <c r="E106" s="0" t="inlineStr">
        <is>
          <t>2017.12.</t>
        </is>
      </c>
      <c r="F106" s="0" t="n">
        <v>876</v>
      </c>
      <c r="G106" s="0" t="n">
        <v>29.17</v>
      </c>
      <c r="H106" s="0" t="n">
        <v>96.45999999999999</v>
      </c>
      <c r="I106" s="0" t="n">
        <v>22.46</v>
      </c>
      <c r="J106" s="0" t="n">
        <v>74.27</v>
      </c>
      <c r="K106" s="0" t="n">
        <v>113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96A</t>
        </is>
      </c>
      <c r="X106" s="0" t="n">
        <v>25</v>
      </c>
      <c r="Y106" s="0" t="n">
        <v>18</v>
      </c>
      <c r="Z106" s="0" t="inlineStr">
        <is>
          <t>https://new.land.naver.com/complexes/111268?tab=detail&amp;rf=Y</t>
        </is>
      </c>
      <c r="AA106" s="0" t="inlineStr">
        <is>
          <t>경상남도 창원시 진해구 남문동 1256-1</t>
        </is>
      </c>
      <c r="AB106" s="0" t="inlineStr">
        <is>
          <t>경상남도</t>
        </is>
      </c>
      <c r="AC106" s="0" t="inlineStr">
        <is>
          <t>창원시</t>
        </is>
      </c>
      <c r="AD106" s="0" t="inlineStr">
        <is>
          <t>진해구</t>
        </is>
      </c>
      <c r="AE106" s="0" t="inlineStr">
        <is>
          <t>남문동</t>
        </is>
      </c>
      <c r="AG106" s="0" t="inlineStr">
        <is>
          <t>경상남도 창원시 진해구 웅천동로 100</t>
        </is>
      </c>
      <c r="AH106" s="0" t="n">
        <v>0</v>
      </c>
      <c r="AI106" s="0" t="n">
        <v>214</v>
      </c>
      <c r="AJ106" s="0" t="n">
        <v>16</v>
      </c>
      <c r="AK106" s="0" t="n">
        <v>1138</v>
      </c>
      <c r="AL106" s="0" t="n">
        <v>1.3</v>
      </c>
    </row>
    <row r="107">
      <c r="A107" s="0" t="inlineStr">
        <is>
          <t>[남문동]</t>
        </is>
      </c>
      <c r="B107" s="0" t="n">
        <v>111268</v>
      </c>
      <c r="C107" s="0" t="n">
        <v>3</v>
      </c>
      <c r="D107" s="0" t="inlineStr">
        <is>
          <t>진해남문시티프라디움2차</t>
        </is>
      </c>
      <c r="E107" s="0" t="inlineStr">
        <is>
          <t>2017.12.</t>
        </is>
      </c>
      <c r="F107" s="0" t="n">
        <v>876</v>
      </c>
      <c r="G107" s="0" t="n">
        <v>29.3</v>
      </c>
      <c r="H107" s="0" t="n">
        <v>96.87</v>
      </c>
      <c r="I107" s="0" t="n">
        <v>22.52</v>
      </c>
      <c r="J107" s="0" t="n">
        <v>74.45</v>
      </c>
      <c r="K107" s="0" t="n">
        <v>64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96B</t>
        </is>
      </c>
      <c r="X107" s="0" t="n">
        <v>25</v>
      </c>
      <c r="Y107" s="0" t="n">
        <v>18</v>
      </c>
      <c r="Z107" s="0" t="inlineStr">
        <is>
          <t>https://new.land.naver.com/complexes/111268?tab=detail&amp;rf=Y</t>
        </is>
      </c>
      <c r="AA107" s="0" t="inlineStr">
        <is>
          <t>경상남도 창원시 진해구 남문동 1256-1</t>
        </is>
      </c>
      <c r="AB107" s="0" t="inlineStr">
        <is>
          <t>경상남도</t>
        </is>
      </c>
      <c r="AC107" s="0" t="inlineStr">
        <is>
          <t>창원시</t>
        </is>
      </c>
      <c r="AD107" s="0" t="inlineStr">
        <is>
          <t>진해구</t>
        </is>
      </c>
      <c r="AE107" s="0" t="inlineStr">
        <is>
          <t>남문동</t>
        </is>
      </c>
      <c r="AG107" s="0" t="inlineStr">
        <is>
          <t>경상남도 창원시 진해구 웅천동로 100</t>
        </is>
      </c>
      <c r="AH107" s="0" t="n">
        <v>0</v>
      </c>
      <c r="AI107" s="0" t="n">
        <v>214</v>
      </c>
      <c r="AJ107" s="0" t="n">
        <v>16</v>
      </c>
      <c r="AK107" s="0" t="n">
        <v>1138</v>
      </c>
      <c r="AL107" s="0" t="n">
        <v>1.3</v>
      </c>
    </row>
    <row r="108">
      <c r="A108" s="0" t="inlineStr">
        <is>
          <t>[남문동]</t>
        </is>
      </c>
      <c r="B108" s="0" t="n">
        <v>111268</v>
      </c>
      <c r="C108" s="0" t="n">
        <v>4</v>
      </c>
      <c r="D108" s="0" t="inlineStr">
        <is>
          <t>진해남문시티프라디움2차</t>
        </is>
      </c>
      <c r="E108" s="0" t="inlineStr">
        <is>
          <t>2017.12.</t>
        </is>
      </c>
      <c r="F108" s="0" t="n">
        <v>876</v>
      </c>
      <c r="G108" s="0" t="n">
        <v>33.06</v>
      </c>
      <c r="H108" s="0" t="n">
        <v>109.3</v>
      </c>
      <c r="I108" s="0" t="n">
        <v>25.7</v>
      </c>
      <c r="J108" s="0" t="n">
        <v>84.98999999999999</v>
      </c>
      <c r="K108" s="0" t="n">
        <v>584</v>
      </c>
      <c r="T108" s="0" t="n">
        <v>3</v>
      </c>
      <c r="U108" s="0" t="n">
        <v>2</v>
      </c>
      <c r="V108" s="0" t="inlineStr">
        <is>
          <t>계단식</t>
        </is>
      </c>
      <c r="W108" s="0" t="n">
        <v>109</v>
      </c>
      <c r="X108" s="0" t="n">
        <v>25</v>
      </c>
      <c r="Y108" s="0" t="n">
        <v>18</v>
      </c>
      <c r="Z108" s="0" t="inlineStr">
        <is>
          <t>https://new.land.naver.com/complexes/111268?tab=detail&amp;rf=Y</t>
        </is>
      </c>
      <c r="AA108" s="0" t="inlineStr">
        <is>
          <t>경상남도 창원시 진해구 남문동 1256-1</t>
        </is>
      </c>
      <c r="AB108" s="0" t="inlineStr">
        <is>
          <t>경상남도</t>
        </is>
      </c>
      <c r="AC108" s="0" t="inlineStr">
        <is>
          <t>창원시</t>
        </is>
      </c>
      <c r="AD108" s="0" t="inlineStr">
        <is>
          <t>진해구</t>
        </is>
      </c>
      <c r="AE108" s="0" t="inlineStr">
        <is>
          <t>남문동</t>
        </is>
      </c>
      <c r="AG108" s="0" t="inlineStr">
        <is>
          <t>경상남도 창원시 진해구 웅천동로 100</t>
        </is>
      </c>
      <c r="AH108" s="0" t="n">
        <v>0</v>
      </c>
      <c r="AI108" s="0" t="n">
        <v>214</v>
      </c>
      <c r="AJ108" s="0" t="n">
        <v>16</v>
      </c>
      <c r="AK108" s="0" t="n">
        <v>1138</v>
      </c>
      <c r="AL108" s="0" t="n">
        <v>1.3</v>
      </c>
    </row>
    <row r="109">
      <c r="A109" s="0" t="inlineStr">
        <is>
          <t>[남문동]</t>
        </is>
      </c>
      <c r="B109" s="0" t="n">
        <v>109939</v>
      </c>
      <c r="C109" s="0" t="n">
        <v>1</v>
      </c>
      <c r="D109" s="0" t="inlineStr">
        <is>
          <t>시티프라디움1차</t>
        </is>
      </c>
      <c r="E109" s="0" t="inlineStr">
        <is>
          <t>2017.04.</t>
        </is>
      </c>
      <c r="F109" s="0" t="n">
        <v>1103</v>
      </c>
      <c r="G109" s="0" t="n">
        <v>25.39</v>
      </c>
      <c r="H109" s="0" t="n">
        <v>83.94</v>
      </c>
      <c r="I109" s="0" t="n">
        <v>18.14</v>
      </c>
      <c r="J109" s="0" t="n">
        <v>59.99</v>
      </c>
      <c r="K109" s="0" t="n">
        <v>430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83A</t>
        </is>
      </c>
      <c r="X109" s="0" t="n">
        <v>25</v>
      </c>
      <c r="Y109" s="0" t="n">
        <v>18</v>
      </c>
      <c r="Z109" s="0" t="inlineStr">
        <is>
          <t>https://new.land.naver.com/complexes/109939?tab=detail&amp;rf=Y</t>
        </is>
      </c>
      <c r="AA109" s="0" t="inlineStr">
        <is>
          <t>경상남도 창원시 진해구 남문동 1274-1</t>
        </is>
      </c>
      <c r="AB109" s="0" t="inlineStr">
        <is>
          <t>경상남도</t>
        </is>
      </c>
      <c r="AC109" s="0" t="inlineStr">
        <is>
          <t>창원시</t>
        </is>
      </c>
      <c r="AD109" s="0" t="inlineStr">
        <is>
          <t>진해구</t>
        </is>
      </c>
      <c r="AE109" s="0" t="inlineStr">
        <is>
          <t>남문동</t>
        </is>
      </c>
      <c r="AG109" s="0" t="inlineStr">
        <is>
          <t>경상남도 창원시 진해구 웅천동로 16</t>
        </is>
      </c>
      <c r="AH109" s="0" t="n">
        <v>0</v>
      </c>
      <c r="AI109" s="0" t="n">
        <v>207</v>
      </c>
      <c r="AJ109" s="0" t="n">
        <v>13</v>
      </c>
      <c r="AK109" s="0" t="n">
        <v>1203</v>
      </c>
      <c r="AL109" s="0" t="n">
        <v>1.09</v>
      </c>
    </row>
    <row r="110">
      <c r="A110" s="0" t="inlineStr">
        <is>
          <t>[남문동]</t>
        </is>
      </c>
      <c r="B110" s="0" t="n">
        <v>109939</v>
      </c>
      <c r="C110" s="0" t="n">
        <v>2</v>
      </c>
      <c r="D110" s="0" t="inlineStr">
        <is>
          <t>시티프라디움1차</t>
        </is>
      </c>
      <c r="E110" s="0" t="inlineStr">
        <is>
          <t>2017.04.</t>
        </is>
      </c>
      <c r="F110" s="0" t="n">
        <v>1103</v>
      </c>
      <c r="G110" s="0" t="n">
        <v>25.19</v>
      </c>
      <c r="H110" s="0" t="n">
        <v>83.3</v>
      </c>
      <c r="I110" s="0" t="n">
        <v>18.14</v>
      </c>
      <c r="J110" s="0" t="n">
        <v>59.98</v>
      </c>
      <c r="K110" s="0" t="n">
        <v>374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83B</t>
        </is>
      </c>
      <c r="X110" s="0" t="n">
        <v>25</v>
      </c>
      <c r="Y110" s="0" t="n">
        <v>18</v>
      </c>
      <c r="Z110" s="0" t="inlineStr">
        <is>
          <t>https://new.land.naver.com/complexes/109939?tab=detail&amp;rf=Y</t>
        </is>
      </c>
      <c r="AA110" s="0" t="inlineStr">
        <is>
          <t>경상남도 창원시 진해구 남문동 1274-1</t>
        </is>
      </c>
      <c r="AB110" s="0" t="inlineStr">
        <is>
          <t>경상남도</t>
        </is>
      </c>
      <c r="AC110" s="0" t="inlineStr">
        <is>
          <t>창원시</t>
        </is>
      </c>
      <c r="AD110" s="0" t="inlineStr">
        <is>
          <t>진해구</t>
        </is>
      </c>
      <c r="AE110" s="0" t="inlineStr">
        <is>
          <t>남문동</t>
        </is>
      </c>
      <c r="AG110" s="0" t="inlineStr">
        <is>
          <t>경상남도 창원시 진해구 웅천동로 16</t>
        </is>
      </c>
      <c r="AH110" s="0" t="n">
        <v>0</v>
      </c>
      <c r="AI110" s="0" t="n">
        <v>207</v>
      </c>
      <c r="AJ110" s="0" t="n">
        <v>13</v>
      </c>
      <c r="AK110" s="0" t="n">
        <v>1203</v>
      </c>
      <c r="AL110" s="0" t="n">
        <v>1.09</v>
      </c>
    </row>
    <row r="111">
      <c r="A111" s="0" t="inlineStr">
        <is>
          <t>[남문동]</t>
        </is>
      </c>
      <c r="B111" s="0" t="n">
        <v>109939</v>
      </c>
      <c r="C111" s="0" t="n">
        <v>3</v>
      </c>
      <c r="D111" s="0" t="inlineStr">
        <is>
          <t>시티프라디움1차</t>
        </is>
      </c>
      <c r="E111" s="0" t="inlineStr">
        <is>
          <t>2017.04.</t>
        </is>
      </c>
      <c r="F111" s="0" t="n">
        <v>1103</v>
      </c>
      <c r="G111" s="0" t="n">
        <v>25.33</v>
      </c>
      <c r="H111" s="0" t="n">
        <v>83.75</v>
      </c>
      <c r="I111" s="0" t="n">
        <v>18.14</v>
      </c>
      <c r="J111" s="0" t="n">
        <v>59.97</v>
      </c>
      <c r="K111" s="0" t="n">
        <v>299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83C</t>
        </is>
      </c>
      <c r="X111" s="0" t="n">
        <v>25</v>
      </c>
      <c r="Y111" s="0" t="n">
        <v>18</v>
      </c>
      <c r="Z111" s="0" t="inlineStr">
        <is>
          <t>https://new.land.naver.com/complexes/109939?tab=detail&amp;rf=Y</t>
        </is>
      </c>
      <c r="AA111" s="0" t="inlineStr">
        <is>
          <t>경상남도 창원시 진해구 남문동 1274-1</t>
        </is>
      </c>
      <c r="AB111" s="0" t="inlineStr">
        <is>
          <t>경상남도</t>
        </is>
      </c>
      <c r="AC111" s="0" t="inlineStr">
        <is>
          <t>창원시</t>
        </is>
      </c>
      <c r="AD111" s="0" t="inlineStr">
        <is>
          <t>진해구</t>
        </is>
      </c>
      <c r="AE111" s="0" t="inlineStr">
        <is>
          <t>남문동</t>
        </is>
      </c>
      <c r="AG111" s="0" t="inlineStr">
        <is>
          <t>경상남도 창원시 진해구 웅천동로 16</t>
        </is>
      </c>
      <c r="AH111" s="0" t="n">
        <v>0</v>
      </c>
      <c r="AI111" s="0" t="n">
        <v>207</v>
      </c>
      <c r="AJ111" s="0" t="n">
        <v>13</v>
      </c>
      <c r="AK111" s="0" t="n">
        <v>1203</v>
      </c>
      <c r="AL111" s="0" t="n">
        <v>1.09</v>
      </c>
    </row>
    <row r="112">
      <c r="A112" s="0" t="inlineStr">
        <is>
          <t>[남양동]</t>
        </is>
      </c>
      <c r="B112" s="0" t="n">
        <v>131489</v>
      </c>
      <c r="C112" s="0" t="n">
        <v>1</v>
      </c>
      <c r="D112" s="0" t="inlineStr">
        <is>
          <t>창원진해비전시티우방아이유쉘</t>
        </is>
      </c>
      <c r="E112" s="0" t="inlineStr">
        <is>
          <t>2021.08.</t>
        </is>
      </c>
      <c r="F112" s="0" t="n">
        <v>564</v>
      </c>
      <c r="G112" s="0" t="n">
        <v>30.79</v>
      </c>
      <c r="H112" s="0" t="n">
        <v>101.79</v>
      </c>
      <c r="I112" s="0" t="n">
        <v>23.16</v>
      </c>
      <c r="J112" s="0" t="n">
        <v>76.59</v>
      </c>
      <c r="K112" s="0" t="n">
        <v>564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101A</t>
        </is>
      </c>
      <c r="X112" s="0" t="n">
        <v>15</v>
      </c>
      <c r="Y112" s="0" t="n">
        <v>13</v>
      </c>
      <c r="Z112" s="0" t="inlineStr">
        <is>
          <t>https://new.land.naver.com/complexes/131489?tab=detail&amp;rf=Y</t>
        </is>
      </c>
      <c r="AA112" s="0" t="inlineStr">
        <is>
          <t>경상남도 창원시 진해구 남양동 20-2번지</t>
        </is>
      </c>
      <c r="AB112" s="0" t="inlineStr">
        <is>
          <t>경상남도</t>
        </is>
      </c>
      <c r="AC112" s="0" t="inlineStr">
        <is>
          <t>창원시</t>
        </is>
      </c>
      <c r="AD112" s="0" t="inlineStr">
        <is>
          <t>진해구</t>
        </is>
      </c>
      <c r="AE112" s="0" t="inlineStr">
        <is>
          <t>남양동</t>
        </is>
      </c>
      <c r="AG112" s="0" t="inlineStr">
        <is>
          <t>경상남도 창원시 진해구</t>
        </is>
      </c>
      <c r="AH112" s="0" t="n">
        <v>0</v>
      </c>
      <c r="AI112" s="0" t="n">
        <v>0</v>
      </c>
      <c r="AJ112" s="0" t="n">
        <v>0</v>
      </c>
      <c r="AK112" s="0" t="n">
        <v>687</v>
      </c>
      <c r="AL112" s="0" t="n">
        <v>1.22</v>
      </c>
    </row>
    <row r="113">
      <c r="A113" s="0" t="inlineStr">
        <is>
          <t>[남양동]</t>
        </is>
      </c>
      <c r="B113" s="0" t="n">
        <v>119261</v>
      </c>
      <c r="C113" s="0" t="n">
        <v>1</v>
      </c>
      <c r="D113" s="0" t="inlineStr">
        <is>
          <t>남양에스티엑스칸</t>
        </is>
      </c>
      <c r="E113" s="0" t="inlineStr">
        <is>
          <t>2009.02.</t>
        </is>
      </c>
      <c r="F113" s="0" t="n">
        <v>385</v>
      </c>
      <c r="G113" s="0" t="n">
        <v>33.4</v>
      </c>
      <c r="H113" s="0" t="n">
        <v>110.43</v>
      </c>
      <c r="I113" s="0" t="n">
        <v>25.7</v>
      </c>
      <c r="J113" s="0" t="n">
        <v>84.98</v>
      </c>
      <c r="K113" s="0" t="n">
        <v>24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110A</t>
        </is>
      </c>
      <c r="X113" s="0" t="n">
        <v>15</v>
      </c>
      <c r="Y113" s="0" t="n">
        <v>11</v>
      </c>
      <c r="Z113" s="0" t="inlineStr">
        <is>
          <t>https://new.land.naver.com/complexes/119261?tab=detail&amp;rf=Y</t>
        </is>
      </c>
      <c r="AA113" s="0" t="inlineStr">
        <is>
          <t>경상남도 창원시 진해구 남양동 20</t>
        </is>
      </c>
      <c r="AB113" s="0" t="inlineStr">
        <is>
          <t>경상남도</t>
        </is>
      </c>
      <c r="AC113" s="0" t="inlineStr">
        <is>
          <t>창원시</t>
        </is>
      </c>
      <c r="AD113" s="0" t="inlineStr">
        <is>
          <t>진해구</t>
        </is>
      </c>
      <c r="AE113" s="0" t="inlineStr">
        <is>
          <t>남양동</t>
        </is>
      </c>
      <c r="AG113" s="0" t="inlineStr">
        <is>
          <t>경상남도 창원시 진해구 월남로 142</t>
        </is>
      </c>
      <c r="AH113" s="0" t="n">
        <v>0</v>
      </c>
      <c r="AI113" s="0" t="n">
        <v>131</v>
      </c>
      <c r="AJ113" s="0" t="n">
        <v>14</v>
      </c>
      <c r="AK113" s="0" t="n">
        <v>409</v>
      </c>
      <c r="AL113" s="0" t="n">
        <v>1.06</v>
      </c>
    </row>
    <row r="114">
      <c r="A114" s="0" t="inlineStr">
        <is>
          <t>[남양동]</t>
        </is>
      </c>
      <c r="B114" s="0" t="n">
        <v>119261</v>
      </c>
      <c r="C114" s="0" t="n">
        <v>2</v>
      </c>
      <c r="D114" s="0" t="inlineStr">
        <is>
          <t>남양에스티엑스칸</t>
        </is>
      </c>
      <c r="E114" s="0" t="inlineStr">
        <is>
          <t>2009.02.</t>
        </is>
      </c>
      <c r="F114" s="0" t="n">
        <v>385</v>
      </c>
      <c r="G114" s="0" t="n">
        <v>33.48</v>
      </c>
      <c r="H114" s="0" t="n">
        <v>110.7</v>
      </c>
      <c r="I114" s="0" t="n">
        <v>25.7</v>
      </c>
      <c r="J114" s="0" t="n">
        <v>84.98999999999999</v>
      </c>
      <c r="K114" s="0" t="n">
        <v>13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110B</t>
        </is>
      </c>
      <c r="X114" s="0" t="n">
        <v>15</v>
      </c>
      <c r="Y114" s="0" t="n">
        <v>11</v>
      </c>
      <c r="Z114" s="0" t="inlineStr">
        <is>
          <t>https://new.land.naver.com/complexes/119261?tab=detail&amp;rf=Y</t>
        </is>
      </c>
      <c r="AA114" s="0" t="inlineStr">
        <is>
          <t>경상남도 창원시 진해구 남양동 20</t>
        </is>
      </c>
      <c r="AB114" s="0" t="inlineStr">
        <is>
          <t>경상남도</t>
        </is>
      </c>
      <c r="AC114" s="0" t="inlineStr">
        <is>
          <t>창원시</t>
        </is>
      </c>
      <c r="AD114" s="0" t="inlineStr">
        <is>
          <t>진해구</t>
        </is>
      </c>
      <c r="AE114" s="0" t="inlineStr">
        <is>
          <t>남양동</t>
        </is>
      </c>
      <c r="AG114" s="0" t="inlineStr">
        <is>
          <t>경상남도 창원시 진해구 월남로 142</t>
        </is>
      </c>
      <c r="AH114" s="0" t="n">
        <v>0</v>
      </c>
      <c r="AI114" s="0" t="n">
        <v>131</v>
      </c>
      <c r="AJ114" s="0" t="n">
        <v>14</v>
      </c>
      <c r="AK114" s="0" t="n">
        <v>409</v>
      </c>
      <c r="AL114" s="0" t="n">
        <v>1.06</v>
      </c>
    </row>
    <row r="115">
      <c r="A115" s="0" t="inlineStr">
        <is>
          <t>[남양동]</t>
        </is>
      </c>
      <c r="B115" s="0" t="n">
        <v>119261</v>
      </c>
      <c r="C115" s="0" t="n">
        <v>3</v>
      </c>
      <c r="D115" s="0" t="inlineStr">
        <is>
          <t>남양에스티엑스칸</t>
        </is>
      </c>
      <c r="E115" s="0" t="inlineStr">
        <is>
          <t>2009.02.</t>
        </is>
      </c>
      <c r="F115" s="0" t="n">
        <v>385</v>
      </c>
      <c r="G115" s="0" t="n">
        <v>33.69</v>
      </c>
      <c r="H115" s="0" t="n">
        <v>111.38</v>
      </c>
      <c r="I115" s="0" t="n">
        <v>25.7</v>
      </c>
      <c r="J115" s="0" t="n">
        <v>84.98</v>
      </c>
      <c r="K115" s="0" t="n">
        <v>347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111A</t>
        </is>
      </c>
      <c r="X115" s="0" t="n">
        <v>15</v>
      </c>
      <c r="Y115" s="0" t="n">
        <v>11</v>
      </c>
      <c r="Z115" s="0" t="inlineStr">
        <is>
          <t>https://new.land.naver.com/complexes/119261?tab=detail&amp;rf=Y</t>
        </is>
      </c>
      <c r="AA115" s="0" t="inlineStr">
        <is>
          <t>경상남도 창원시 진해구 남양동 20</t>
        </is>
      </c>
      <c r="AB115" s="0" t="inlineStr">
        <is>
          <t>경상남도</t>
        </is>
      </c>
      <c r="AC115" s="0" t="inlineStr">
        <is>
          <t>창원시</t>
        </is>
      </c>
      <c r="AD115" s="0" t="inlineStr">
        <is>
          <t>진해구</t>
        </is>
      </c>
      <c r="AE115" s="0" t="inlineStr">
        <is>
          <t>남양동</t>
        </is>
      </c>
      <c r="AG115" s="0" t="inlineStr">
        <is>
          <t>경상남도 창원시 진해구 월남로 142</t>
        </is>
      </c>
      <c r="AH115" s="0" t="n">
        <v>0</v>
      </c>
      <c r="AI115" s="0" t="n">
        <v>131</v>
      </c>
      <c r="AJ115" s="0" t="n">
        <v>14</v>
      </c>
      <c r="AK115" s="0" t="n">
        <v>409</v>
      </c>
      <c r="AL115" s="0" t="n">
        <v>1.06</v>
      </c>
    </row>
    <row r="116">
      <c r="A116" s="0" t="inlineStr">
        <is>
          <t>[남양동]</t>
        </is>
      </c>
      <c r="B116" s="0" t="n">
        <v>119261</v>
      </c>
      <c r="C116" s="0" t="n">
        <v>4</v>
      </c>
      <c r="D116" s="0" t="inlineStr">
        <is>
          <t>남양에스티엑스칸</t>
        </is>
      </c>
      <c r="E116" s="0" t="inlineStr">
        <is>
          <t>2009.02.</t>
        </is>
      </c>
      <c r="F116" s="0" t="n">
        <v>385</v>
      </c>
      <c r="G116" s="0" t="n">
        <v>33.69</v>
      </c>
      <c r="H116" s="0" t="n">
        <v>111.38</v>
      </c>
      <c r="I116" s="0" t="n">
        <v>25.7</v>
      </c>
      <c r="J116" s="0" t="n">
        <v>84.98</v>
      </c>
      <c r="K116" s="0" t="n">
        <v>1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111B</t>
        </is>
      </c>
      <c r="X116" s="0" t="n">
        <v>15</v>
      </c>
      <c r="Y116" s="0" t="n">
        <v>11</v>
      </c>
      <c r="Z116" s="0" t="inlineStr">
        <is>
          <t>https://new.land.naver.com/complexes/119261?tab=detail&amp;rf=Y</t>
        </is>
      </c>
      <c r="AA116" s="0" t="inlineStr">
        <is>
          <t>경상남도 창원시 진해구 남양동 20</t>
        </is>
      </c>
      <c r="AB116" s="0" t="inlineStr">
        <is>
          <t>경상남도</t>
        </is>
      </c>
      <c r="AC116" s="0" t="inlineStr">
        <is>
          <t>창원시</t>
        </is>
      </c>
      <c r="AD116" s="0" t="inlineStr">
        <is>
          <t>진해구</t>
        </is>
      </c>
      <c r="AE116" s="0" t="inlineStr">
        <is>
          <t>남양동</t>
        </is>
      </c>
      <c r="AG116" s="0" t="inlineStr">
        <is>
          <t>경상남도 창원시 진해구 월남로 142</t>
        </is>
      </c>
      <c r="AH116" s="0" t="n">
        <v>0</v>
      </c>
      <c r="AI116" s="0" t="n">
        <v>131</v>
      </c>
      <c r="AJ116" s="0" t="n">
        <v>14</v>
      </c>
      <c r="AK116" s="0" t="n">
        <v>409</v>
      </c>
      <c r="AL116" s="0" t="n">
        <v>1.06</v>
      </c>
    </row>
    <row r="117">
      <c r="A117" s="0" t="inlineStr">
        <is>
          <t>[대죽동]</t>
        </is>
      </c>
      <c r="B117" s="0" t="n">
        <v>138228</v>
      </c>
      <c r="C117" s="0" t="n">
        <v>1</v>
      </c>
      <c r="D117" s="0" t="inlineStr">
        <is>
          <t>미성빌리지4차</t>
        </is>
      </c>
      <c r="E117" s="0" t="inlineStr">
        <is>
          <t>2015.08.</t>
        </is>
      </c>
      <c r="F117" s="0" t="n">
        <v>12</v>
      </c>
      <c r="G117" s="0" t="n">
        <v>29.89</v>
      </c>
      <c r="H117" s="0" t="n">
        <v>98.84</v>
      </c>
      <c r="I117" s="0" t="n">
        <v>23.7</v>
      </c>
      <c r="J117" s="0" t="n">
        <v>78.36</v>
      </c>
      <c r="K117" s="0" t="n">
        <v>6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98B</t>
        </is>
      </c>
      <c r="X117" s="0" t="n">
        <v>13</v>
      </c>
      <c r="Y117" s="0" t="n">
        <v>13</v>
      </c>
      <c r="Z117" s="0" t="inlineStr">
        <is>
          <t>https://new.land.naver.com/complexes/138228?tab=detail&amp;rf=Y</t>
        </is>
      </c>
      <c r="AA117" s="0" t="inlineStr">
        <is>
          <t>경상남도 창원시 진해구 대죽동 41-4</t>
        </is>
      </c>
      <c r="AB117" s="0" t="inlineStr">
        <is>
          <t>경상남도</t>
        </is>
      </c>
      <c r="AC117" s="0" t="inlineStr">
        <is>
          <t>창원시</t>
        </is>
      </c>
      <c r="AD117" s="0" t="inlineStr">
        <is>
          <t>진해구</t>
        </is>
      </c>
      <c r="AE117" s="0" t="inlineStr">
        <is>
          <t>대죽동</t>
        </is>
      </c>
      <c r="AG117" s="0" t="inlineStr">
        <is>
          <t>경상남도 창원시 진해구 태평로 150</t>
        </is>
      </c>
      <c r="AH117" s="0" t="n">
        <v>0</v>
      </c>
      <c r="AI117" s="0" t="n">
        <v>342</v>
      </c>
      <c r="AJ117" s="0" t="n">
        <v>38</v>
      </c>
      <c r="AK117" s="0" t="n">
        <v>12</v>
      </c>
      <c r="AL117" s="0" t="n">
        <v>1</v>
      </c>
    </row>
    <row r="118">
      <c r="A118" s="0" t="inlineStr">
        <is>
          <t>[대죽동]</t>
        </is>
      </c>
      <c r="B118" s="0" t="n">
        <v>138228</v>
      </c>
      <c r="C118" s="0" t="n">
        <v>2</v>
      </c>
      <c r="D118" s="0" t="inlineStr">
        <is>
          <t>미성빌리지4차</t>
        </is>
      </c>
      <c r="E118" s="0" t="inlineStr">
        <is>
          <t>2015.08.</t>
        </is>
      </c>
      <c r="F118" s="0" t="n">
        <v>12</v>
      </c>
      <c r="G118" s="0" t="n">
        <v>29.95</v>
      </c>
      <c r="H118" s="0" t="n">
        <v>99.03</v>
      </c>
      <c r="I118" s="0" t="n">
        <v>23.65</v>
      </c>
      <c r="J118" s="0" t="n">
        <v>78.19</v>
      </c>
      <c r="K118" s="0" t="n">
        <v>6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99A</t>
        </is>
      </c>
      <c r="X118" s="0" t="n">
        <v>13</v>
      </c>
      <c r="Y118" s="0" t="n">
        <v>13</v>
      </c>
      <c r="Z118" s="0" t="inlineStr">
        <is>
          <t>https://new.land.naver.com/complexes/138228?tab=detail&amp;rf=Y</t>
        </is>
      </c>
      <c r="AA118" s="0" t="inlineStr">
        <is>
          <t>경상남도 창원시 진해구 대죽동 41-4</t>
        </is>
      </c>
      <c r="AB118" s="0" t="inlineStr">
        <is>
          <t>경상남도</t>
        </is>
      </c>
      <c r="AC118" s="0" t="inlineStr">
        <is>
          <t>창원시</t>
        </is>
      </c>
      <c r="AD118" s="0" t="inlineStr">
        <is>
          <t>진해구</t>
        </is>
      </c>
      <c r="AE118" s="0" t="inlineStr">
        <is>
          <t>대죽동</t>
        </is>
      </c>
      <c r="AG118" s="0" t="inlineStr">
        <is>
          <t>경상남도 창원시 진해구 태평로 150</t>
        </is>
      </c>
      <c r="AH118" s="0" t="n">
        <v>0</v>
      </c>
      <c r="AI118" s="0" t="n">
        <v>342</v>
      </c>
      <c r="AJ118" s="0" t="n">
        <v>38</v>
      </c>
      <c r="AK118" s="0" t="n">
        <v>12</v>
      </c>
      <c r="AL118" s="0" t="n">
        <v>1</v>
      </c>
    </row>
    <row r="119">
      <c r="A119" s="0" t="inlineStr">
        <is>
          <t>[대죽동]</t>
        </is>
      </c>
      <c r="B119" s="0" t="n">
        <v>121384</v>
      </c>
      <c r="C119" s="0" t="n">
        <v>1</v>
      </c>
      <c r="D119" s="0" t="inlineStr">
        <is>
          <t>위드필오션베이</t>
        </is>
      </c>
      <c r="E119" s="0" t="inlineStr">
        <is>
          <t>2017.09.</t>
        </is>
      </c>
      <c r="F119" s="0" t="n">
        <v>68</v>
      </c>
      <c r="G119" s="0" t="n">
        <v>33.32</v>
      </c>
      <c r="H119" s="0" t="n">
        <v>110.15</v>
      </c>
      <c r="I119" s="0" t="n">
        <v>24.11</v>
      </c>
      <c r="J119" s="0" t="n">
        <v>79.72</v>
      </c>
      <c r="K119" s="0" t="n">
        <v>68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110</v>
      </c>
      <c r="X119" s="0" t="n">
        <v>19</v>
      </c>
      <c r="Y119" s="0" t="n">
        <v>19</v>
      </c>
      <c r="Z119" s="0" t="inlineStr">
        <is>
          <t>https://new.land.naver.com/complexes/121384?tab=detail&amp;rf=Y</t>
        </is>
      </c>
      <c r="AA119" s="0" t="inlineStr">
        <is>
          <t>경상남도 창원시 진해구 대죽동 42-1</t>
        </is>
      </c>
      <c r="AB119" s="0" t="inlineStr">
        <is>
          <t>경상남도</t>
        </is>
      </c>
      <c r="AC119" s="0" t="inlineStr">
        <is>
          <t>창원시</t>
        </is>
      </c>
      <c r="AD119" s="0" t="inlineStr">
        <is>
          <t>진해구</t>
        </is>
      </c>
      <c r="AE119" s="0" t="inlineStr">
        <is>
          <t>대죽동</t>
        </is>
      </c>
      <c r="AG119" s="0" t="inlineStr">
        <is>
          <t>경상남도 창원시 진해구 태평로 162</t>
        </is>
      </c>
      <c r="AH119" s="0" t="n">
        <v>0</v>
      </c>
      <c r="AI119" s="0" t="n">
        <v>320</v>
      </c>
      <c r="AJ119" s="0" t="n">
        <v>69</v>
      </c>
      <c r="AK119" s="0" t="n">
        <v>75</v>
      </c>
      <c r="AL119" s="0" t="n">
        <v>1.1</v>
      </c>
    </row>
    <row r="120">
      <c r="A120" s="0" t="inlineStr">
        <is>
          <t>[덕산동]</t>
        </is>
      </c>
      <c r="B120" s="0" t="n">
        <v>100833</v>
      </c>
      <c r="C120" s="0" t="n">
        <v>1</v>
      </c>
      <c r="D120" s="0" t="inlineStr">
        <is>
          <t>송림홈타운</t>
        </is>
      </c>
      <c r="E120" s="0" t="inlineStr">
        <is>
          <t>2002.12.</t>
        </is>
      </c>
      <c r="F120" s="0" t="n">
        <v>90</v>
      </c>
      <c r="G120" s="0" t="n">
        <v>26.41</v>
      </c>
      <c r="H120" s="0" t="n">
        <v>87.31999999999999</v>
      </c>
      <c r="I120" s="0" t="n">
        <v>21.05</v>
      </c>
      <c r="J120" s="0" t="n">
        <v>69.59999999999999</v>
      </c>
      <c r="K120" s="0" t="n">
        <v>1</v>
      </c>
      <c r="T120" s="0" t="n">
        <v>3</v>
      </c>
      <c r="U120" s="0" t="n">
        <v>1</v>
      </c>
      <c r="V120" s="0" t="inlineStr">
        <is>
          <t>복도식</t>
        </is>
      </c>
      <c r="W120" s="0" t="n">
        <v>87</v>
      </c>
      <c r="X120" s="0" t="n">
        <v>11</v>
      </c>
      <c r="Y120" s="0" t="n">
        <v>11</v>
      </c>
      <c r="Z120" s="0" t="inlineStr">
        <is>
          <t>https://new.land.naver.com/complexes/100833?tab=detail&amp;rf=Y</t>
        </is>
      </c>
      <c r="AA120" s="0" t="inlineStr">
        <is>
          <t>경상남도 창원시 진해구 덕산동 72-9</t>
        </is>
      </c>
      <c r="AB120" s="0" t="inlineStr">
        <is>
          <t>경상남도</t>
        </is>
      </c>
      <c r="AC120" s="0" t="inlineStr">
        <is>
          <t>창원시</t>
        </is>
      </c>
      <c r="AD120" s="0" t="inlineStr">
        <is>
          <t>진해구</t>
        </is>
      </c>
      <c r="AE120" s="0" t="inlineStr">
        <is>
          <t>덕산동</t>
        </is>
      </c>
      <c r="AG120" s="0" t="inlineStr">
        <is>
          <t>경상남도 창원시 진해구 동진로 138</t>
        </is>
      </c>
      <c r="AH120" s="0" t="n">
        <v>0</v>
      </c>
      <c r="AI120" s="0" t="n">
        <v>475</v>
      </c>
      <c r="AJ120" s="0" t="n">
        <v>78</v>
      </c>
      <c r="AK120" s="0" t="n">
        <v>123</v>
      </c>
      <c r="AL120" s="0" t="n">
        <v>1.37</v>
      </c>
    </row>
    <row r="121">
      <c r="A121" s="0" t="inlineStr">
        <is>
          <t>[덕산동]</t>
        </is>
      </c>
      <c r="B121" s="0" t="n">
        <v>100833</v>
      </c>
      <c r="C121" s="0" t="n">
        <v>2</v>
      </c>
      <c r="D121" s="0" t="inlineStr">
        <is>
          <t>송림홈타운</t>
        </is>
      </c>
      <c r="E121" s="0" t="inlineStr">
        <is>
          <t>2002.12.</t>
        </is>
      </c>
      <c r="F121" s="0" t="n">
        <v>90</v>
      </c>
      <c r="G121" s="0" t="n">
        <v>31.27</v>
      </c>
      <c r="H121" s="0" t="n">
        <v>103.38</v>
      </c>
      <c r="I121" s="0" t="n">
        <v>24.92</v>
      </c>
      <c r="J121" s="0" t="n">
        <v>82.40000000000001</v>
      </c>
      <c r="K121" s="0" t="n">
        <v>2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103</v>
      </c>
      <c r="X121" s="0" t="n">
        <v>11</v>
      </c>
      <c r="Y121" s="0" t="n">
        <v>11</v>
      </c>
      <c r="Z121" s="0" t="inlineStr">
        <is>
          <t>https://new.land.naver.com/complexes/100833?tab=detail&amp;rf=Y</t>
        </is>
      </c>
      <c r="AA121" s="0" t="inlineStr">
        <is>
          <t>경상남도 창원시 진해구 덕산동 72-9</t>
        </is>
      </c>
      <c r="AB121" s="0" t="inlineStr">
        <is>
          <t>경상남도</t>
        </is>
      </c>
      <c r="AC121" s="0" t="inlineStr">
        <is>
          <t>창원시</t>
        </is>
      </c>
      <c r="AD121" s="0" t="inlineStr">
        <is>
          <t>진해구</t>
        </is>
      </c>
      <c r="AE121" s="0" t="inlineStr">
        <is>
          <t>덕산동</t>
        </is>
      </c>
      <c r="AG121" s="0" t="inlineStr">
        <is>
          <t>경상남도 창원시 진해구 동진로 138</t>
        </is>
      </c>
      <c r="AH121" s="0" t="n">
        <v>0</v>
      </c>
      <c r="AI121" s="0" t="n">
        <v>475</v>
      </c>
      <c r="AJ121" s="0" t="n">
        <v>78</v>
      </c>
      <c r="AK121" s="0" t="n">
        <v>123</v>
      </c>
      <c r="AL121" s="0" t="n">
        <v>1.37</v>
      </c>
    </row>
    <row r="122">
      <c r="A122" s="0" t="inlineStr">
        <is>
          <t>[덕산동]</t>
        </is>
      </c>
      <c r="B122" s="0" t="n">
        <v>100833</v>
      </c>
      <c r="C122" s="0" t="n">
        <v>3</v>
      </c>
      <c r="D122" s="0" t="inlineStr">
        <is>
          <t>송림홈타운</t>
        </is>
      </c>
      <c r="E122" s="0" t="inlineStr">
        <is>
          <t>2002.12.</t>
        </is>
      </c>
      <c r="F122" s="0" t="n">
        <v>90</v>
      </c>
      <c r="G122" s="0" t="n">
        <v>31.93</v>
      </c>
      <c r="H122" s="0" t="n">
        <v>105.57</v>
      </c>
      <c r="I122" s="0" t="n">
        <v>25.45</v>
      </c>
      <c r="J122" s="0" t="n">
        <v>84.15000000000001</v>
      </c>
      <c r="K122" s="0" t="n">
        <v>63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105A</t>
        </is>
      </c>
      <c r="X122" s="0" t="n">
        <v>11</v>
      </c>
      <c r="Y122" s="0" t="n">
        <v>11</v>
      </c>
      <c r="Z122" s="0" t="inlineStr">
        <is>
          <t>https://new.land.naver.com/complexes/100833?tab=detail&amp;rf=Y</t>
        </is>
      </c>
      <c r="AA122" s="0" t="inlineStr">
        <is>
          <t>경상남도 창원시 진해구 덕산동 72-9</t>
        </is>
      </c>
      <c r="AB122" s="0" t="inlineStr">
        <is>
          <t>경상남도</t>
        </is>
      </c>
      <c r="AC122" s="0" t="inlineStr">
        <is>
          <t>창원시</t>
        </is>
      </c>
      <c r="AD122" s="0" t="inlineStr">
        <is>
          <t>진해구</t>
        </is>
      </c>
      <c r="AE122" s="0" t="inlineStr">
        <is>
          <t>덕산동</t>
        </is>
      </c>
      <c r="AG122" s="0" t="inlineStr">
        <is>
          <t>경상남도 창원시 진해구 동진로 138</t>
        </is>
      </c>
      <c r="AH122" s="0" t="n">
        <v>0</v>
      </c>
      <c r="AI122" s="0" t="n">
        <v>475</v>
      </c>
      <c r="AJ122" s="0" t="n">
        <v>78</v>
      </c>
      <c r="AK122" s="0" t="n">
        <v>123</v>
      </c>
      <c r="AL122" s="0" t="n">
        <v>1.37</v>
      </c>
    </row>
    <row r="123">
      <c r="A123" s="0" t="inlineStr">
        <is>
          <t>[덕산동]</t>
        </is>
      </c>
      <c r="B123" s="0" t="n">
        <v>100833</v>
      </c>
      <c r="C123" s="0" t="n">
        <v>4</v>
      </c>
      <c r="D123" s="0" t="inlineStr">
        <is>
          <t>송림홈타운</t>
        </is>
      </c>
      <c r="E123" s="0" t="inlineStr">
        <is>
          <t>2002.12.</t>
        </is>
      </c>
      <c r="F123" s="0" t="n">
        <v>90</v>
      </c>
      <c r="G123" s="0" t="n">
        <v>32.15</v>
      </c>
      <c r="H123" s="0" t="n">
        <v>106.31</v>
      </c>
      <c r="I123" s="0" t="n">
        <v>25.63</v>
      </c>
      <c r="J123" s="0" t="n">
        <v>84.73999999999999</v>
      </c>
      <c r="K123" s="0" t="n">
        <v>24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106B</t>
        </is>
      </c>
      <c r="X123" s="0" t="n">
        <v>11</v>
      </c>
      <c r="Y123" s="0" t="n">
        <v>11</v>
      </c>
      <c r="Z123" s="0" t="inlineStr">
        <is>
          <t>https://new.land.naver.com/complexes/100833?tab=detail&amp;rf=Y</t>
        </is>
      </c>
      <c r="AA123" s="0" t="inlineStr">
        <is>
          <t>경상남도 창원시 진해구 덕산동 72-9</t>
        </is>
      </c>
      <c r="AB123" s="0" t="inlineStr">
        <is>
          <t>경상남도</t>
        </is>
      </c>
      <c r="AC123" s="0" t="inlineStr">
        <is>
          <t>창원시</t>
        </is>
      </c>
      <c r="AD123" s="0" t="inlineStr">
        <is>
          <t>진해구</t>
        </is>
      </c>
      <c r="AE123" s="0" t="inlineStr">
        <is>
          <t>덕산동</t>
        </is>
      </c>
      <c r="AG123" s="0" t="inlineStr">
        <is>
          <t>경상남도 창원시 진해구 동진로 138</t>
        </is>
      </c>
      <c r="AH123" s="0" t="n">
        <v>0</v>
      </c>
      <c r="AI123" s="0" t="n">
        <v>475</v>
      </c>
      <c r="AJ123" s="0" t="n">
        <v>78</v>
      </c>
      <c r="AK123" s="0" t="n">
        <v>123</v>
      </c>
      <c r="AL123" s="0" t="n">
        <v>1.37</v>
      </c>
    </row>
    <row r="124">
      <c r="A124" s="0" t="inlineStr">
        <is>
          <t>[두동]</t>
        </is>
      </c>
      <c r="B124" s="0" t="n">
        <v>128082</v>
      </c>
      <c r="C124" s="0" t="n">
        <v>1</v>
      </c>
      <c r="D124" s="0" t="inlineStr">
        <is>
          <t>청안프리존빌</t>
        </is>
      </c>
      <c r="E124" s="0" t="inlineStr">
        <is>
          <t>2004.07.</t>
        </is>
      </c>
      <c r="F124" s="0" t="n">
        <v>18</v>
      </c>
      <c r="G124" s="0" t="n">
        <v>30.85</v>
      </c>
      <c r="H124" s="0" t="n">
        <v>102.01</v>
      </c>
      <c r="I124" s="0" t="n">
        <v>25.51</v>
      </c>
      <c r="J124" s="0" t="n">
        <v>84.34</v>
      </c>
      <c r="K124" s="0" t="n">
        <v>18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102</v>
      </c>
      <c r="X124" s="0" t="n">
        <v>10</v>
      </c>
      <c r="Y124" s="0" t="n">
        <v>10</v>
      </c>
      <c r="Z124" s="0" t="inlineStr">
        <is>
          <t>https://new.land.naver.com/complexes/128082?tab=detail&amp;rf=Y</t>
        </is>
      </c>
      <c r="AA124" s="0" t="inlineStr">
        <is>
          <t>경상남도 창원시 진해구 두동 1296-16</t>
        </is>
      </c>
      <c r="AB124" s="0" t="inlineStr">
        <is>
          <t>경상남도</t>
        </is>
      </c>
      <c r="AC124" s="0" t="inlineStr">
        <is>
          <t>창원시</t>
        </is>
      </c>
      <c r="AD124" s="0" t="inlineStr">
        <is>
          <t>진해구</t>
        </is>
      </c>
      <c r="AE124" s="0" t="inlineStr">
        <is>
          <t>두동</t>
        </is>
      </c>
      <c r="AG124" s="0" t="inlineStr">
        <is>
          <t>경상남도 창원시 진해구 웅동로 164</t>
        </is>
      </c>
      <c r="AH124" s="0" t="n">
        <v>0</v>
      </c>
      <c r="AI124" s="0" t="n">
        <v>244</v>
      </c>
      <c r="AJ124" s="0" t="n">
        <v>29</v>
      </c>
      <c r="AK124" s="0" t="n">
        <v>19</v>
      </c>
      <c r="AL124" s="0" t="n">
        <v>1.06</v>
      </c>
    </row>
    <row r="125">
      <c r="A125" s="0" t="inlineStr">
        <is>
          <t>[두동]</t>
        </is>
      </c>
      <c r="B125" s="0" t="n">
        <v>105381</v>
      </c>
      <c r="C125" s="0" t="n">
        <v>1</v>
      </c>
      <c r="D125" s="0" t="inlineStr">
        <is>
          <t>희가로</t>
        </is>
      </c>
      <c r="E125" s="0" t="inlineStr">
        <is>
          <t>2008.11.</t>
        </is>
      </c>
      <c r="F125" s="0" t="n">
        <v>141</v>
      </c>
      <c r="G125" s="0" t="n">
        <v>30.35</v>
      </c>
      <c r="H125" s="0" t="n">
        <v>100.34</v>
      </c>
      <c r="I125" s="0" t="n">
        <v>23.03</v>
      </c>
      <c r="J125" s="0" t="n">
        <v>76.16</v>
      </c>
      <c r="K125" s="0" t="n">
        <v>24</v>
      </c>
      <c r="T125" s="0" t="n">
        <v>3</v>
      </c>
      <c r="U125" s="0" t="n">
        <v>2</v>
      </c>
      <c r="V125" s="0" t="inlineStr">
        <is>
          <t>복도식</t>
        </is>
      </c>
      <c r="W125" s="0" t="inlineStr">
        <is>
          <t>100A</t>
        </is>
      </c>
      <c r="X125" s="0" t="n">
        <v>12</v>
      </c>
      <c r="Y125" s="0" t="n">
        <v>12</v>
      </c>
      <c r="Z125" s="0" t="inlineStr">
        <is>
          <t>https://new.land.naver.com/complexes/105381?tab=detail&amp;rf=Y</t>
        </is>
      </c>
      <c r="AA125" s="0" t="inlineStr">
        <is>
          <t>경상남도 창원시 진해구 두동 1296-2</t>
        </is>
      </c>
      <c r="AB125" s="0" t="inlineStr">
        <is>
          <t>경상남도</t>
        </is>
      </c>
      <c r="AC125" s="0" t="inlineStr">
        <is>
          <t>창원시</t>
        </is>
      </c>
      <c r="AD125" s="0" t="inlineStr">
        <is>
          <t>진해구</t>
        </is>
      </c>
      <c r="AE125" s="0" t="inlineStr">
        <is>
          <t>두동</t>
        </is>
      </c>
      <c r="AG125" s="0" t="inlineStr">
        <is>
          <t>경상남도 창원시 진해구 웅동로 182</t>
        </is>
      </c>
      <c r="AH125" s="0" t="n">
        <v>0</v>
      </c>
      <c r="AI125" s="0" t="n">
        <v>229</v>
      </c>
      <c r="AJ125" s="0" t="n">
        <v>22</v>
      </c>
      <c r="AK125" s="0" t="n">
        <v>141</v>
      </c>
      <c r="AL125" s="0" t="n">
        <v>1</v>
      </c>
    </row>
    <row r="126">
      <c r="A126" s="0" t="inlineStr">
        <is>
          <t>[두동]</t>
        </is>
      </c>
      <c r="B126" s="0" t="n">
        <v>105381</v>
      </c>
      <c r="C126" s="0" t="n">
        <v>2</v>
      </c>
      <c r="D126" s="0" t="inlineStr">
        <is>
          <t>희가로</t>
        </is>
      </c>
      <c r="E126" s="0" t="inlineStr">
        <is>
          <t>2008.11.</t>
        </is>
      </c>
      <c r="F126" s="0" t="n">
        <v>141</v>
      </c>
      <c r="G126" s="0" t="n">
        <v>30.33</v>
      </c>
      <c r="H126" s="0" t="n">
        <v>100.29</v>
      </c>
      <c r="I126" s="0" t="n">
        <v>23.18</v>
      </c>
      <c r="J126" s="0" t="n">
        <v>76.64</v>
      </c>
      <c r="K126" s="0" t="n">
        <v>24</v>
      </c>
      <c r="T126" s="0" t="n">
        <v>3</v>
      </c>
      <c r="U126" s="0" t="n">
        <v>2</v>
      </c>
      <c r="V126" s="0" t="inlineStr">
        <is>
          <t>복도식</t>
        </is>
      </c>
      <c r="W126" s="0" t="inlineStr">
        <is>
          <t>100B</t>
        </is>
      </c>
      <c r="X126" s="0" t="n">
        <v>12</v>
      </c>
      <c r="Y126" s="0" t="n">
        <v>12</v>
      </c>
      <c r="Z126" s="0" t="inlineStr">
        <is>
          <t>https://new.land.naver.com/complexes/105381?tab=detail&amp;rf=Y</t>
        </is>
      </c>
      <c r="AA126" s="0" t="inlineStr">
        <is>
          <t>경상남도 창원시 진해구 두동 1296-2</t>
        </is>
      </c>
      <c r="AB126" s="0" t="inlineStr">
        <is>
          <t>경상남도</t>
        </is>
      </c>
      <c r="AC126" s="0" t="inlineStr">
        <is>
          <t>창원시</t>
        </is>
      </c>
      <c r="AD126" s="0" t="inlineStr">
        <is>
          <t>진해구</t>
        </is>
      </c>
      <c r="AE126" s="0" t="inlineStr">
        <is>
          <t>두동</t>
        </is>
      </c>
      <c r="AG126" s="0" t="inlineStr">
        <is>
          <t>경상남도 창원시 진해구 웅동로 182</t>
        </is>
      </c>
      <c r="AH126" s="0" t="n">
        <v>0</v>
      </c>
      <c r="AI126" s="0" t="n">
        <v>229</v>
      </c>
      <c r="AJ126" s="0" t="n">
        <v>22</v>
      </c>
      <c r="AK126" s="0" t="n">
        <v>141</v>
      </c>
      <c r="AL126" s="0" t="n">
        <v>1</v>
      </c>
    </row>
    <row r="127">
      <c r="A127" s="0" t="inlineStr">
        <is>
          <t>[두동]</t>
        </is>
      </c>
      <c r="B127" s="0" t="n">
        <v>105381</v>
      </c>
      <c r="C127" s="0" t="n">
        <v>3</v>
      </c>
      <c r="D127" s="0" t="inlineStr">
        <is>
          <t>희가로</t>
        </is>
      </c>
      <c r="E127" s="0" t="inlineStr">
        <is>
          <t>2008.11.</t>
        </is>
      </c>
      <c r="F127" s="0" t="n">
        <v>141</v>
      </c>
      <c r="G127" s="0" t="n">
        <v>33.21</v>
      </c>
      <c r="H127" s="0" t="n">
        <v>109.81</v>
      </c>
      <c r="I127" s="0" t="n">
        <v>25.7</v>
      </c>
      <c r="J127" s="0" t="n">
        <v>84.98999999999999</v>
      </c>
      <c r="K127" s="0" t="n">
        <v>93</v>
      </c>
      <c r="T127" s="0" t="n">
        <v>3</v>
      </c>
      <c r="U127" s="0" t="n">
        <v>2</v>
      </c>
      <c r="V127" s="0" t="inlineStr">
        <is>
          <t>복도식</t>
        </is>
      </c>
      <c r="W127" s="0" t="n">
        <v>109</v>
      </c>
      <c r="X127" s="0" t="n">
        <v>12</v>
      </c>
      <c r="Y127" s="0" t="n">
        <v>12</v>
      </c>
      <c r="Z127" s="0" t="inlineStr">
        <is>
          <t>https://new.land.naver.com/complexes/105381?tab=detail&amp;rf=Y</t>
        </is>
      </c>
      <c r="AA127" s="0" t="inlineStr">
        <is>
          <t>경상남도 창원시 진해구 두동 1296-2</t>
        </is>
      </c>
      <c r="AB127" s="0" t="inlineStr">
        <is>
          <t>경상남도</t>
        </is>
      </c>
      <c r="AC127" s="0" t="inlineStr">
        <is>
          <t>창원시</t>
        </is>
      </c>
      <c r="AD127" s="0" t="inlineStr">
        <is>
          <t>진해구</t>
        </is>
      </c>
      <c r="AE127" s="0" t="inlineStr">
        <is>
          <t>두동</t>
        </is>
      </c>
      <c r="AG127" s="0" t="inlineStr">
        <is>
          <t>경상남도 창원시 진해구 웅동로 182</t>
        </is>
      </c>
      <c r="AH127" s="0" t="n">
        <v>0</v>
      </c>
      <c r="AI127" s="0" t="n">
        <v>229</v>
      </c>
      <c r="AJ127" s="0" t="n">
        <v>22</v>
      </c>
      <c r="AK127" s="0" t="n">
        <v>141</v>
      </c>
      <c r="AL127" s="0" t="n">
        <v>1</v>
      </c>
    </row>
    <row r="128">
      <c r="A128" s="0" t="inlineStr">
        <is>
          <t>[두동]</t>
        </is>
      </c>
      <c r="B128" s="0" t="n">
        <v>102385</v>
      </c>
      <c r="C128" s="0" t="n">
        <v>1</v>
      </c>
      <c r="D128" s="0" t="inlineStr">
        <is>
          <t>청안해오름</t>
        </is>
      </c>
      <c r="E128" s="0" t="inlineStr">
        <is>
          <t>2004.03.</t>
        </is>
      </c>
      <c r="F128" s="0" t="n">
        <v>274</v>
      </c>
      <c r="G128" s="0" t="n">
        <v>34.17</v>
      </c>
      <c r="H128" s="0" t="n">
        <v>112.99</v>
      </c>
      <c r="I128" s="0" t="n">
        <v>25.68</v>
      </c>
      <c r="J128" s="0" t="n">
        <v>84.91</v>
      </c>
      <c r="K128" s="0" t="n">
        <v>18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112</v>
      </c>
      <c r="X128" s="0" t="n">
        <v>18</v>
      </c>
      <c r="Y128" s="0" t="n">
        <v>15</v>
      </c>
      <c r="Z128" s="0" t="inlineStr">
        <is>
          <t>https://new.land.naver.com/complexes/102385?tab=detail&amp;rf=Y</t>
        </is>
      </c>
      <c r="AA128" s="0" t="inlineStr">
        <is>
          <t>경상남도 창원시 진해구 두동 1296-1</t>
        </is>
      </c>
      <c r="AB128" s="0" t="inlineStr">
        <is>
          <t>경상남도</t>
        </is>
      </c>
      <c r="AC128" s="0" t="inlineStr">
        <is>
          <t>창원시</t>
        </is>
      </c>
      <c r="AD128" s="0" t="inlineStr">
        <is>
          <t>진해구</t>
        </is>
      </c>
      <c r="AE128" s="0" t="inlineStr">
        <is>
          <t>두동</t>
        </is>
      </c>
      <c r="AG128" s="0" t="inlineStr">
        <is>
          <t>경상남도 창원시 진해구 웅동로 150</t>
        </is>
      </c>
      <c r="AH128" s="0" t="n">
        <v>256</v>
      </c>
      <c r="AI128" s="0" t="n">
        <v>297</v>
      </c>
      <c r="AJ128" s="0" t="n">
        <v>24</v>
      </c>
      <c r="AK128" s="0" t="n">
        <v>233</v>
      </c>
      <c r="AL128" s="0" t="n">
        <v>0.85</v>
      </c>
    </row>
    <row r="129">
      <c r="A129" s="0" t="inlineStr">
        <is>
          <t>[마천동]</t>
        </is>
      </c>
      <c r="B129" s="0" t="n">
        <v>27813</v>
      </c>
      <c r="C129" s="0" t="n">
        <v>1</v>
      </c>
      <c r="D129" s="0" t="inlineStr">
        <is>
          <t>진해신항만경남아너스빌</t>
        </is>
      </c>
      <c r="E129" s="0" t="inlineStr">
        <is>
          <t>2008.08.</t>
        </is>
      </c>
      <c r="F129" s="0" t="n">
        <v>468</v>
      </c>
      <c r="G129" s="0" t="n">
        <v>25.48</v>
      </c>
      <c r="H129" s="0" t="n">
        <v>84.25</v>
      </c>
      <c r="I129" s="0" t="n">
        <v>18.05</v>
      </c>
      <c r="J129" s="0" t="n">
        <v>59.67</v>
      </c>
      <c r="K129" s="0" t="n">
        <v>180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84</v>
      </c>
      <c r="X129" s="0" t="n">
        <v>15</v>
      </c>
      <c r="Y129" s="0" t="n">
        <v>9</v>
      </c>
      <c r="Z129" s="0" t="inlineStr">
        <is>
          <t>https://new.land.naver.com/complexes/27813?tab=detail&amp;rf=Y</t>
        </is>
      </c>
      <c r="AA129" s="0" t="inlineStr">
        <is>
          <t>경상남도 창원시 진해구 마천동 246</t>
        </is>
      </c>
      <c r="AB129" s="0" t="inlineStr">
        <is>
          <t>경상남도</t>
        </is>
      </c>
      <c r="AC129" s="0" t="inlineStr">
        <is>
          <t>창원시</t>
        </is>
      </c>
      <c r="AD129" s="0" t="inlineStr">
        <is>
          <t>진해구</t>
        </is>
      </c>
      <c r="AE129" s="0" t="inlineStr">
        <is>
          <t>마천동</t>
        </is>
      </c>
      <c r="AG129" s="0" t="inlineStr">
        <is>
          <t>경상남도 창원시 진해구 마천로 50</t>
        </is>
      </c>
      <c r="AH129" s="0" t="n">
        <v>0</v>
      </c>
      <c r="AI129" s="0" t="n">
        <v>223</v>
      </c>
      <c r="AJ129" s="0" t="n">
        <v>21</v>
      </c>
      <c r="AK129" s="0" t="n">
        <v>474</v>
      </c>
      <c r="AL129" s="0" t="n">
        <v>1.01</v>
      </c>
    </row>
    <row r="130">
      <c r="A130" s="0" t="inlineStr">
        <is>
          <t>[마천동]</t>
        </is>
      </c>
      <c r="B130" s="0" t="n">
        <v>27813</v>
      </c>
      <c r="C130" s="0" t="n">
        <v>2</v>
      </c>
      <c r="D130" s="0" t="inlineStr">
        <is>
          <t>진해신항만경남아너스빌</t>
        </is>
      </c>
      <c r="E130" s="0" t="inlineStr">
        <is>
          <t>2008.08.</t>
        </is>
      </c>
      <c r="F130" s="0" t="n">
        <v>468</v>
      </c>
      <c r="G130" s="0" t="n">
        <v>34.61</v>
      </c>
      <c r="H130" s="0" t="n">
        <v>114.44</v>
      </c>
      <c r="I130" s="0" t="n">
        <v>25.65</v>
      </c>
      <c r="J130" s="0" t="n">
        <v>84.81999999999999</v>
      </c>
      <c r="K130" s="0" t="n">
        <v>288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114</v>
      </c>
      <c r="X130" s="0" t="n">
        <v>15</v>
      </c>
      <c r="Y130" s="0" t="n">
        <v>9</v>
      </c>
      <c r="Z130" s="0" t="inlineStr">
        <is>
          <t>https://new.land.naver.com/complexes/27813?tab=detail&amp;rf=Y</t>
        </is>
      </c>
      <c r="AA130" s="0" t="inlineStr">
        <is>
          <t>경상남도 창원시 진해구 마천동 246</t>
        </is>
      </c>
      <c r="AB130" s="0" t="inlineStr">
        <is>
          <t>경상남도</t>
        </is>
      </c>
      <c r="AC130" s="0" t="inlineStr">
        <is>
          <t>창원시</t>
        </is>
      </c>
      <c r="AD130" s="0" t="inlineStr">
        <is>
          <t>진해구</t>
        </is>
      </c>
      <c r="AE130" s="0" t="inlineStr">
        <is>
          <t>마천동</t>
        </is>
      </c>
      <c r="AG130" s="0" t="inlineStr">
        <is>
          <t>경상남도 창원시 진해구 마천로 50</t>
        </is>
      </c>
      <c r="AH130" s="0" t="n">
        <v>0</v>
      </c>
      <c r="AI130" s="0" t="n">
        <v>223</v>
      </c>
      <c r="AJ130" s="0" t="n">
        <v>21</v>
      </c>
      <c r="AK130" s="0" t="n">
        <v>474</v>
      </c>
      <c r="AL130" s="0" t="n">
        <v>1.01</v>
      </c>
    </row>
    <row r="131">
      <c r="A131" s="0" t="inlineStr">
        <is>
          <t>[마천동]</t>
        </is>
      </c>
      <c r="B131" s="0" t="n">
        <v>138589</v>
      </c>
      <c r="C131" s="0" t="n">
        <v>1</v>
      </c>
      <c r="D131" s="0" t="inlineStr">
        <is>
          <t>여명</t>
        </is>
      </c>
      <c r="E131" s="0" t="inlineStr">
        <is>
          <t>1998.04.</t>
        </is>
      </c>
      <c r="F131" s="0" t="n">
        <v>65</v>
      </c>
      <c r="G131" s="0" t="n">
        <v>21.89</v>
      </c>
      <c r="H131" s="0" t="n">
        <v>72.37</v>
      </c>
      <c r="I131" s="0" t="n">
        <v>15.96</v>
      </c>
      <c r="J131" s="0" t="n">
        <v>52.77</v>
      </c>
      <c r="K131" s="0" t="n">
        <v>1</v>
      </c>
      <c r="T131" s="0" t="n">
        <v>2</v>
      </c>
      <c r="U131" s="0" t="n">
        <v>1</v>
      </c>
      <c r="V131" s="0" t="inlineStr">
        <is>
          <t>계단식</t>
        </is>
      </c>
      <c r="W131" s="0" t="n">
        <v>72</v>
      </c>
      <c r="X131" s="0" t="n">
        <v>11</v>
      </c>
      <c r="Y131" s="0" t="n">
        <v>9</v>
      </c>
      <c r="Z131" s="0" t="inlineStr">
        <is>
          <t>https://new.land.naver.com/complexes/138589?tab=detail&amp;rf=Y</t>
        </is>
      </c>
      <c r="AA131" s="0" t="inlineStr">
        <is>
          <t>경상남도 창원시 진해구 마천동 144-3</t>
        </is>
      </c>
      <c r="AB131" s="0" t="inlineStr">
        <is>
          <t>경상남도</t>
        </is>
      </c>
      <c r="AC131" s="0" t="inlineStr">
        <is>
          <t>창원시</t>
        </is>
      </c>
      <c r="AD131" s="0" t="inlineStr">
        <is>
          <t>진해구</t>
        </is>
      </c>
      <c r="AE131" s="0" t="inlineStr">
        <is>
          <t>마천동</t>
        </is>
      </c>
      <c r="AG131" s="0" t="inlineStr">
        <is>
          <t>경상남도 창원시 진해구 마천로 35</t>
        </is>
      </c>
      <c r="AH131" s="0" t="n">
        <v>0</v>
      </c>
      <c r="AI131" s="0" t="n">
        <v>209</v>
      </c>
      <c r="AJ131" s="0" t="n">
        <v>28</v>
      </c>
      <c r="AK131" s="0" t="n">
        <v>57</v>
      </c>
      <c r="AL131" s="0" t="n">
        <v>0.88</v>
      </c>
    </row>
    <row r="132">
      <c r="A132" s="0" t="inlineStr">
        <is>
          <t>[마천동]</t>
        </is>
      </c>
      <c r="B132" s="0" t="n">
        <v>138589</v>
      </c>
      <c r="C132" s="0" t="n">
        <v>2</v>
      </c>
      <c r="D132" s="0" t="inlineStr">
        <is>
          <t>여명</t>
        </is>
      </c>
      <c r="E132" s="0" t="inlineStr">
        <is>
          <t>1998.04.</t>
        </is>
      </c>
      <c r="F132" s="0" t="n">
        <v>65</v>
      </c>
      <c r="G132" s="0" t="n">
        <v>23.11</v>
      </c>
      <c r="H132" s="0" t="n">
        <v>76.40000000000001</v>
      </c>
      <c r="I132" s="0" t="n">
        <v>14.27</v>
      </c>
      <c r="J132" s="0" t="n">
        <v>47.2</v>
      </c>
      <c r="K132" s="0" t="n">
        <v>11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76</v>
      </c>
      <c r="X132" s="0" t="n">
        <v>11</v>
      </c>
      <c r="Y132" s="0" t="n">
        <v>9</v>
      </c>
      <c r="Z132" s="0" t="inlineStr">
        <is>
          <t>https://new.land.naver.com/complexes/138589?tab=detail&amp;rf=Y</t>
        </is>
      </c>
      <c r="AA132" s="0" t="inlineStr">
        <is>
          <t>경상남도 창원시 진해구 마천동 144-3</t>
        </is>
      </c>
      <c r="AB132" s="0" t="inlineStr">
        <is>
          <t>경상남도</t>
        </is>
      </c>
      <c r="AC132" s="0" t="inlineStr">
        <is>
          <t>창원시</t>
        </is>
      </c>
      <c r="AD132" s="0" t="inlineStr">
        <is>
          <t>진해구</t>
        </is>
      </c>
      <c r="AE132" s="0" t="inlineStr">
        <is>
          <t>마천동</t>
        </is>
      </c>
      <c r="AG132" s="0" t="inlineStr">
        <is>
          <t>경상남도 창원시 진해구 마천로 35</t>
        </is>
      </c>
      <c r="AH132" s="0" t="n">
        <v>0</v>
      </c>
      <c r="AI132" s="0" t="n">
        <v>209</v>
      </c>
      <c r="AJ132" s="0" t="n">
        <v>28</v>
      </c>
      <c r="AK132" s="0" t="n">
        <v>57</v>
      </c>
      <c r="AL132" s="0" t="n">
        <v>0.88</v>
      </c>
    </row>
    <row r="133">
      <c r="A133" s="0" t="inlineStr">
        <is>
          <t>[마천동]</t>
        </is>
      </c>
      <c r="B133" s="0" t="n">
        <v>138589</v>
      </c>
      <c r="C133" s="0" t="n">
        <v>3</v>
      </c>
      <c r="D133" s="0" t="inlineStr">
        <is>
          <t>여명</t>
        </is>
      </c>
      <c r="E133" s="0" t="inlineStr">
        <is>
          <t>1998.04.</t>
        </is>
      </c>
      <c r="F133" s="0" t="n">
        <v>65</v>
      </c>
      <c r="G133" s="0" t="n">
        <v>24.54</v>
      </c>
      <c r="H133" s="0" t="n">
        <v>81.14</v>
      </c>
      <c r="I133" s="0" t="n">
        <v>15.16</v>
      </c>
      <c r="J133" s="0" t="n">
        <v>50.13</v>
      </c>
      <c r="K133" s="0" t="n">
        <v>1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81</v>
      </c>
      <c r="X133" s="0" t="n">
        <v>11</v>
      </c>
      <c r="Y133" s="0" t="n">
        <v>9</v>
      </c>
      <c r="Z133" s="0" t="inlineStr">
        <is>
          <t>https://new.land.naver.com/complexes/138589?tab=detail&amp;rf=Y</t>
        </is>
      </c>
      <c r="AA133" s="0" t="inlineStr">
        <is>
          <t>경상남도 창원시 진해구 마천동 144-3</t>
        </is>
      </c>
      <c r="AB133" s="0" t="inlineStr">
        <is>
          <t>경상남도</t>
        </is>
      </c>
      <c r="AC133" s="0" t="inlineStr">
        <is>
          <t>창원시</t>
        </is>
      </c>
      <c r="AD133" s="0" t="inlineStr">
        <is>
          <t>진해구</t>
        </is>
      </c>
      <c r="AE133" s="0" t="inlineStr">
        <is>
          <t>마천동</t>
        </is>
      </c>
      <c r="AG133" s="0" t="inlineStr">
        <is>
          <t>경상남도 창원시 진해구 마천로 35</t>
        </is>
      </c>
      <c r="AH133" s="0" t="n">
        <v>0</v>
      </c>
      <c r="AI133" s="0" t="n">
        <v>209</v>
      </c>
      <c r="AJ133" s="0" t="n">
        <v>28</v>
      </c>
      <c r="AK133" s="0" t="n">
        <v>57</v>
      </c>
      <c r="AL133" s="0" t="n">
        <v>0.88</v>
      </c>
    </row>
    <row r="134">
      <c r="A134" s="0" t="inlineStr">
        <is>
          <t>[마천동]</t>
        </is>
      </c>
      <c r="B134" s="0" t="n">
        <v>138589</v>
      </c>
      <c r="C134" s="0" t="n">
        <v>4</v>
      </c>
      <c r="D134" s="0" t="inlineStr">
        <is>
          <t>여명</t>
        </is>
      </c>
      <c r="E134" s="0" t="inlineStr">
        <is>
          <t>1998.04.</t>
        </is>
      </c>
      <c r="F134" s="0" t="n">
        <v>65</v>
      </c>
      <c r="G134" s="0" t="n">
        <v>28.45</v>
      </c>
      <c r="H134" s="0" t="n">
        <v>94.08</v>
      </c>
      <c r="I134" s="0" t="n">
        <v>17.57</v>
      </c>
      <c r="J134" s="0" t="n">
        <v>58.11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94</v>
      </c>
      <c r="X134" s="0" t="n">
        <v>11</v>
      </c>
      <c r="Y134" s="0" t="n">
        <v>9</v>
      </c>
      <c r="Z134" s="0" t="inlineStr">
        <is>
          <t>https://new.land.naver.com/complexes/138589?tab=detail&amp;rf=Y</t>
        </is>
      </c>
      <c r="AA134" s="0" t="inlineStr">
        <is>
          <t>경상남도 창원시 진해구 마천동 144-3</t>
        </is>
      </c>
      <c r="AB134" s="0" t="inlineStr">
        <is>
          <t>경상남도</t>
        </is>
      </c>
      <c r="AC134" s="0" t="inlineStr">
        <is>
          <t>창원시</t>
        </is>
      </c>
      <c r="AD134" s="0" t="inlineStr">
        <is>
          <t>진해구</t>
        </is>
      </c>
      <c r="AE134" s="0" t="inlineStr">
        <is>
          <t>마천동</t>
        </is>
      </c>
      <c r="AG134" s="0" t="inlineStr">
        <is>
          <t>경상남도 창원시 진해구 마천로 35</t>
        </is>
      </c>
      <c r="AH134" s="0" t="n">
        <v>0</v>
      </c>
      <c r="AI134" s="0" t="n">
        <v>209</v>
      </c>
      <c r="AJ134" s="0" t="n">
        <v>28</v>
      </c>
      <c r="AK134" s="0" t="n">
        <v>57</v>
      </c>
      <c r="AL134" s="0" t="n">
        <v>0.88</v>
      </c>
    </row>
    <row r="135">
      <c r="A135" s="0" t="inlineStr">
        <is>
          <t>[마천동]</t>
        </is>
      </c>
      <c r="B135" s="0" t="n">
        <v>138589</v>
      </c>
      <c r="C135" s="0" t="n">
        <v>5</v>
      </c>
      <c r="D135" s="0" t="inlineStr">
        <is>
          <t>여명</t>
        </is>
      </c>
      <c r="E135" s="0" t="inlineStr">
        <is>
          <t>1998.04.</t>
        </is>
      </c>
      <c r="F135" s="0" t="n">
        <v>65</v>
      </c>
      <c r="G135" s="0" t="n">
        <v>28.84</v>
      </c>
      <c r="H135" s="0" t="n">
        <v>95.34999999999999</v>
      </c>
      <c r="I135" s="0" t="n">
        <v>17.81</v>
      </c>
      <c r="J135" s="0" t="n">
        <v>58.89</v>
      </c>
      <c r="K135" s="0" t="n">
        <v>1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95A</t>
        </is>
      </c>
      <c r="X135" s="0" t="n">
        <v>11</v>
      </c>
      <c r="Y135" s="0" t="n">
        <v>9</v>
      </c>
      <c r="Z135" s="0" t="inlineStr">
        <is>
          <t>https://new.land.naver.com/complexes/138589?tab=detail&amp;rf=Y</t>
        </is>
      </c>
      <c r="AA135" s="0" t="inlineStr">
        <is>
          <t>경상남도 창원시 진해구 마천동 144-3</t>
        </is>
      </c>
      <c r="AB135" s="0" t="inlineStr">
        <is>
          <t>경상남도</t>
        </is>
      </c>
      <c r="AC135" s="0" t="inlineStr">
        <is>
          <t>창원시</t>
        </is>
      </c>
      <c r="AD135" s="0" t="inlineStr">
        <is>
          <t>진해구</t>
        </is>
      </c>
      <c r="AE135" s="0" t="inlineStr">
        <is>
          <t>마천동</t>
        </is>
      </c>
      <c r="AG135" s="0" t="inlineStr">
        <is>
          <t>경상남도 창원시 진해구 마천로 35</t>
        </is>
      </c>
      <c r="AH135" s="0" t="n">
        <v>0</v>
      </c>
      <c r="AI135" s="0" t="n">
        <v>209</v>
      </c>
      <c r="AJ135" s="0" t="n">
        <v>28</v>
      </c>
      <c r="AK135" s="0" t="n">
        <v>57</v>
      </c>
      <c r="AL135" s="0" t="n">
        <v>0.88</v>
      </c>
    </row>
    <row r="136">
      <c r="A136" s="0" t="inlineStr">
        <is>
          <t>[마천동]</t>
        </is>
      </c>
      <c r="B136" s="0" t="n">
        <v>138589</v>
      </c>
      <c r="C136" s="0" t="n">
        <v>6</v>
      </c>
      <c r="D136" s="0" t="inlineStr">
        <is>
          <t>여명</t>
        </is>
      </c>
      <c r="E136" s="0" t="inlineStr">
        <is>
          <t>1998.04.</t>
        </is>
      </c>
      <c r="F136" s="0" t="n">
        <v>65</v>
      </c>
      <c r="G136" s="0" t="n">
        <v>29.26</v>
      </c>
      <c r="H136" s="0" t="n">
        <v>96.75</v>
      </c>
      <c r="I136" s="0" t="n">
        <v>18.06</v>
      </c>
      <c r="J136" s="0" t="n">
        <v>59.73</v>
      </c>
      <c r="K136" s="0" t="n">
        <v>46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96B</t>
        </is>
      </c>
      <c r="X136" s="0" t="n">
        <v>11</v>
      </c>
      <c r="Y136" s="0" t="n">
        <v>9</v>
      </c>
      <c r="Z136" s="0" t="inlineStr">
        <is>
          <t>https://new.land.naver.com/complexes/138589?tab=detail&amp;rf=Y</t>
        </is>
      </c>
      <c r="AA136" s="0" t="inlineStr">
        <is>
          <t>경상남도 창원시 진해구 마천동 144-3</t>
        </is>
      </c>
      <c r="AB136" s="0" t="inlineStr">
        <is>
          <t>경상남도</t>
        </is>
      </c>
      <c r="AC136" s="0" t="inlineStr">
        <is>
          <t>창원시</t>
        </is>
      </c>
      <c r="AD136" s="0" t="inlineStr">
        <is>
          <t>진해구</t>
        </is>
      </c>
      <c r="AE136" s="0" t="inlineStr">
        <is>
          <t>마천동</t>
        </is>
      </c>
      <c r="AG136" s="0" t="inlineStr">
        <is>
          <t>경상남도 창원시 진해구 마천로 35</t>
        </is>
      </c>
      <c r="AH136" s="0" t="n">
        <v>0</v>
      </c>
      <c r="AI136" s="0" t="n">
        <v>209</v>
      </c>
      <c r="AJ136" s="0" t="n">
        <v>28</v>
      </c>
      <c r="AK136" s="0" t="n">
        <v>57</v>
      </c>
      <c r="AL136" s="0" t="n">
        <v>0.88</v>
      </c>
    </row>
    <row r="137">
      <c r="A137" s="0" t="inlineStr">
        <is>
          <t>[마천동]</t>
        </is>
      </c>
      <c r="B137" s="0" t="n">
        <v>138589</v>
      </c>
      <c r="C137" s="0" t="n">
        <v>7</v>
      </c>
      <c r="D137" s="0" t="inlineStr">
        <is>
          <t>여명</t>
        </is>
      </c>
      <c r="E137" s="0" t="inlineStr">
        <is>
          <t>1998.04.</t>
        </is>
      </c>
      <c r="F137" s="0" t="n">
        <v>65</v>
      </c>
      <c r="G137" s="0" t="n">
        <v>29.32</v>
      </c>
      <c r="H137" s="0" t="n">
        <v>96.93000000000001</v>
      </c>
      <c r="I137" s="0" t="n">
        <v>18.06</v>
      </c>
      <c r="J137" s="0" t="n">
        <v>59.73</v>
      </c>
      <c r="K137" s="0" t="n">
        <v>4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96C</t>
        </is>
      </c>
      <c r="X137" s="0" t="n">
        <v>11</v>
      </c>
      <c r="Y137" s="0" t="n">
        <v>9</v>
      </c>
      <c r="Z137" s="0" t="inlineStr">
        <is>
          <t>https://new.land.naver.com/complexes/138589?tab=detail&amp;rf=Y</t>
        </is>
      </c>
      <c r="AA137" s="0" t="inlineStr">
        <is>
          <t>경상남도 창원시 진해구 마천동 144-3</t>
        </is>
      </c>
      <c r="AB137" s="0" t="inlineStr">
        <is>
          <t>경상남도</t>
        </is>
      </c>
      <c r="AC137" s="0" t="inlineStr">
        <is>
          <t>창원시</t>
        </is>
      </c>
      <c r="AD137" s="0" t="inlineStr">
        <is>
          <t>진해구</t>
        </is>
      </c>
      <c r="AE137" s="0" t="inlineStr">
        <is>
          <t>마천동</t>
        </is>
      </c>
      <c r="AG137" s="0" t="inlineStr">
        <is>
          <t>경상남도 창원시 진해구 마천로 35</t>
        </is>
      </c>
      <c r="AH137" s="0" t="n">
        <v>0</v>
      </c>
      <c r="AI137" s="0" t="n">
        <v>209</v>
      </c>
      <c r="AJ137" s="0" t="n">
        <v>28</v>
      </c>
      <c r="AK137" s="0" t="n">
        <v>57</v>
      </c>
      <c r="AL137" s="0" t="n">
        <v>0.88</v>
      </c>
    </row>
    <row r="138">
      <c r="A138" s="0" t="inlineStr">
        <is>
          <t>[마천동]</t>
        </is>
      </c>
      <c r="B138" s="0" t="n">
        <v>105122</v>
      </c>
      <c r="C138" s="0" t="n">
        <v>1</v>
      </c>
      <c r="D138" s="0" t="inlineStr">
        <is>
          <t>남명플럼빌리지</t>
        </is>
      </c>
      <c r="E138" s="0" t="inlineStr">
        <is>
          <t>2004.03.</t>
        </is>
      </c>
      <c r="F138" s="0" t="n">
        <v>498</v>
      </c>
      <c r="G138" s="0" t="n">
        <v>24.01</v>
      </c>
      <c r="H138" s="0" t="n">
        <v>79.38</v>
      </c>
      <c r="I138" s="0" t="n">
        <v>18.11</v>
      </c>
      <c r="J138" s="0" t="n">
        <v>59.87</v>
      </c>
      <c r="K138" s="0" t="n">
        <v>390</v>
      </c>
      <c r="T138" s="0" t="n">
        <v>3</v>
      </c>
      <c r="U138" s="0" t="n">
        <v>1</v>
      </c>
      <c r="V138" s="0" t="inlineStr">
        <is>
          <t>계단식</t>
        </is>
      </c>
      <c r="W138" s="0" t="n">
        <v>79</v>
      </c>
      <c r="X138" s="0" t="n">
        <v>18</v>
      </c>
      <c r="Y138" s="0" t="n">
        <v>17</v>
      </c>
      <c r="Z138" s="0" t="inlineStr">
        <is>
          <t>https://new.land.naver.com/complexes/105122?tab=detail&amp;rf=Y</t>
        </is>
      </c>
      <c r="AA138" s="0" t="inlineStr">
        <is>
          <t>경상남도 창원시 진해구 마천동 99-3</t>
        </is>
      </c>
      <c r="AB138" s="0" t="inlineStr">
        <is>
          <t>경상남도</t>
        </is>
      </c>
      <c r="AC138" s="0" t="inlineStr">
        <is>
          <t>창원시</t>
        </is>
      </c>
      <c r="AD138" s="0" t="inlineStr">
        <is>
          <t>진해구</t>
        </is>
      </c>
      <c r="AE138" s="0" t="inlineStr">
        <is>
          <t>마천동</t>
        </is>
      </c>
      <c r="AG138" s="0" t="inlineStr">
        <is>
          <t>경상남도 창원시 진해구 웅동로 54</t>
        </is>
      </c>
      <c r="AH138" s="0" t="n">
        <v>0</v>
      </c>
      <c r="AI138" s="0" t="n">
        <v>335</v>
      </c>
      <c r="AJ138" s="0" t="n">
        <v>21</v>
      </c>
      <c r="AK138" s="0" t="n">
        <v>392</v>
      </c>
      <c r="AL138" s="0" t="n">
        <v>0.79</v>
      </c>
    </row>
    <row r="139">
      <c r="A139" s="0" t="inlineStr">
        <is>
          <t>[마천동]</t>
        </is>
      </c>
      <c r="B139" s="0" t="n">
        <v>105122</v>
      </c>
      <c r="C139" s="0" t="n">
        <v>2</v>
      </c>
      <c r="D139" s="0" t="inlineStr">
        <is>
          <t>남명플럼빌리지</t>
        </is>
      </c>
      <c r="E139" s="0" t="inlineStr">
        <is>
          <t>2004.03.</t>
        </is>
      </c>
      <c r="F139" s="0" t="n">
        <v>498</v>
      </c>
      <c r="G139" s="0" t="n">
        <v>32.23</v>
      </c>
      <c r="H139" s="0" t="n">
        <v>106.57</v>
      </c>
      <c r="I139" s="0" t="n">
        <v>25.7</v>
      </c>
      <c r="J139" s="0" t="n">
        <v>84.97</v>
      </c>
      <c r="K139" s="0" t="n">
        <v>108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106</v>
      </c>
      <c r="X139" s="0" t="n">
        <v>18</v>
      </c>
      <c r="Y139" s="0" t="n">
        <v>17</v>
      </c>
      <c r="Z139" s="0" t="inlineStr">
        <is>
          <t>https://new.land.naver.com/complexes/105122?tab=detail&amp;rf=Y</t>
        </is>
      </c>
      <c r="AA139" s="0" t="inlineStr">
        <is>
          <t>경상남도 창원시 진해구 마천동 99-3</t>
        </is>
      </c>
      <c r="AB139" s="0" t="inlineStr">
        <is>
          <t>경상남도</t>
        </is>
      </c>
      <c r="AC139" s="0" t="inlineStr">
        <is>
          <t>창원시</t>
        </is>
      </c>
      <c r="AD139" s="0" t="inlineStr">
        <is>
          <t>진해구</t>
        </is>
      </c>
      <c r="AE139" s="0" t="inlineStr">
        <is>
          <t>마천동</t>
        </is>
      </c>
      <c r="AG139" s="0" t="inlineStr">
        <is>
          <t>경상남도 창원시 진해구 웅동로 54</t>
        </is>
      </c>
      <c r="AH139" s="0" t="n">
        <v>0</v>
      </c>
      <c r="AI139" s="0" t="n">
        <v>335</v>
      </c>
      <c r="AJ139" s="0" t="n">
        <v>21</v>
      </c>
      <c r="AK139" s="0" t="n">
        <v>392</v>
      </c>
      <c r="AL139" s="0" t="n">
        <v>0.79</v>
      </c>
    </row>
    <row r="140">
      <c r="A140" s="0" t="inlineStr">
        <is>
          <t>[마천동]</t>
        </is>
      </c>
      <c r="B140" s="0" t="n">
        <v>133084</v>
      </c>
      <c r="C140" s="0" t="n">
        <v>1</v>
      </c>
      <c r="D140" s="0" t="inlineStr">
        <is>
          <t>한결예다움(도시형)</t>
        </is>
      </c>
      <c r="E140" s="0" t="inlineStr">
        <is>
          <t>2014.10.</t>
        </is>
      </c>
      <c r="F140" s="0" t="n">
        <v>44</v>
      </c>
      <c r="G140" s="0" t="n">
        <v>20.82</v>
      </c>
      <c r="H140" s="0" t="n">
        <v>68.84999999999999</v>
      </c>
      <c r="I140" s="0" t="n">
        <v>14.91</v>
      </c>
      <c r="J140" s="0" t="n">
        <v>49.31</v>
      </c>
      <c r="K140" s="0" t="n">
        <v>14</v>
      </c>
      <c r="T140" s="0" t="n">
        <v>2</v>
      </c>
      <c r="U140" s="0" t="n">
        <v>1</v>
      </c>
      <c r="V140" s="0" t="inlineStr">
        <is>
          <t>계단식</t>
        </is>
      </c>
      <c r="W140" s="0" t="inlineStr">
        <is>
          <t>68A</t>
        </is>
      </c>
      <c r="X140" s="0" t="n">
        <v>11</v>
      </c>
      <c r="Y140" s="0" t="n">
        <v>11</v>
      </c>
      <c r="Z140" s="0" t="inlineStr">
        <is>
          <t>https://new.land.naver.com/complexes/133084?tab=detail&amp;rf=Y</t>
        </is>
      </c>
      <c r="AA140" s="0" t="inlineStr">
        <is>
          <t>경상남도 창원시 진해구 마천동 50-12</t>
        </is>
      </c>
      <c r="AB140" s="0" t="inlineStr">
        <is>
          <t>경상남도</t>
        </is>
      </c>
      <c r="AC140" s="0" t="inlineStr">
        <is>
          <t>창원시</t>
        </is>
      </c>
      <c r="AD140" s="0" t="inlineStr">
        <is>
          <t>진해구</t>
        </is>
      </c>
      <c r="AE140" s="0" t="inlineStr">
        <is>
          <t>마천동</t>
        </is>
      </c>
      <c r="AG140" s="0" t="inlineStr">
        <is>
          <t>경상남도 창원시 진해구 웅동로 103</t>
        </is>
      </c>
      <c r="AH140" s="0" t="n">
        <v>0</v>
      </c>
      <c r="AI140" s="0" t="n">
        <v>383</v>
      </c>
      <c r="AJ140" s="0" t="n">
        <v>55</v>
      </c>
      <c r="AK140" s="0" t="n">
        <v>26</v>
      </c>
      <c r="AL140" s="0" t="n">
        <v>0.59</v>
      </c>
    </row>
    <row r="141">
      <c r="A141" s="0" t="inlineStr">
        <is>
          <t>[마천동]</t>
        </is>
      </c>
      <c r="B141" s="0" t="n">
        <v>133084</v>
      </c>
      <c r="C141" s="0" t="n">
        <v>2</v>
      </c>
      <c r="D141" s="0" t="inlineStr">
        <is>
          <t>한결예다움(도시형)</t>
        </is>
      </c>
      <c r="E141" s="0" t="inlineStr">
        <is>
          <t>2014.10.</t>
        </is>
      </c>
      <c r="F141" s="0" t="n">
        <v>44</v>
      </c>
      <c r="G141" s="0" t="n">
        <v>21.11</v>
      </c>
      <c r="H141" s="0" t="n">
        <v>69.81</v>
      </c>
      <c r="I141" s="0" t="n">
        <v>15.12</v>
      </c>
      <c r="J141" s="0" t="n">
        <v>49.99</v>
      </c>
      <c r="K141" s="0" t="n">
        <v>30</v>
      </c>
      <c r="T141" s="0" t="n">
        <v>2</v>
      </c>
      <c r="U141" s="0" t="n">
        <v>1</v>
      </c>
      <c r="V141" s="0" t="inlineStr">
        <is>
          <t>계단식</t>
        </is>
      </c>
      <c r="W141" s="0" t="inlineStr">
        <is>
          <t>69B</t>
        </is>
      </c>
      <c r="X141" s="0" t="n">
        <v>11</v>
      </c>
      <c r="Y141" s="0" t="n">
        <v>11</v>
      </c>
      <c r="Z141" s="0" t="inlineStr">
        <is>
          <t>https://new.land.naver.com/complexes/133084?tab=detail&amp;rf=Y</t>
        </is>
      </c>
      <c r="AA141" s="0" t="inlineStr">
        <is>
          <t>경상남도 창원시 진해구 마천동 50-12</t>
        </is>
      </c>
      <c r="AB141" s="0" t="inlineStr">
        <is>
          <t>경상남도</t>
        </is>
      </c>
      <c r="AC141" s="0" t="inlineStr">
        <is>
          <t>창원시</t>
        </is>
      </c>
      <c r="AD141" s="0" t="inlineStr">
        <is>
          <t>진해구</t>
        </is>
      </c>
      <c r="AE141" s="0" t="inlineStr">
        <is>
          <t>마천동</t>
        </is>
      </c>
      <c r="AG141" s="0" t="inlineStr">
        <is>
          <t>경상남도 창원시 진해구 웅동로 103</t>
        </is>
      </c>
      <c r="AH141" s="0" t="n">
        <v>0</v>
      </c>
      <c r="AI141" s="0" t="n">
        <v>383</v>
      </c>
      <c r="AJ141" s="0" t="n">
        <v>55</v>
      </c>
      <c r="AK141" s="0" t="n">
        <v>26</v>
      </c>
      <c r="AL141" s="0" t="n">
        <v>0.59</v>
      </c>
    </row>
    <row r="142">
      <c r="A142" s="0" t="inlineStr">
        <is>
          <t>[부흥동]</t>
        </is>
      </c>
      <c r="B142" s="0" t="n">
        <v>22811</v>
      </c>
      <c r="C142" s="0" t="n">
        <v>1</v>
      </c>
      <c r="D142" s="0" t="inlineStr">
        <is>
          <t>태영데시앙</t>
        </is>
      </c>
      <c r="E142" s="0" t="inlineStr">
        <is>
          <t>2007.01.</t>
        </is>
      </c>
      <c r="F142" s="0" t="n">
        <v>204</v>
      </c>
      <c r="G142" s="0" t="n">
        <v>33.25</v>
      </c>
      <c r="H142" s="0" t="n">
        <v>109.94</v>
      </c>
      <c r="I142" s="0" t="n">
        <v>25.69</v>
      </c>
      <c r="J142" s="0" t="n">
        <v>84.95</v>
      </c>
      <c r="K142" s="0" t="n">
        <v>156</v>
      </c>
      <c r="T142" s="0" t="n">
        <v>3</v>
      </c>
      <c r="U142" s="0" t="n">
        <v>2</v>
      </c>
      <c r="V142" s="0" t="inlineStr">
        <is>
          <t>계단식</t>
        </is>
      </c>
      <c r="W142" s="0" t="n">
        <v>109</v>
      </c>
      <c r="X142" s="0" t="n">
        <v>13</v>
      </c>
      <c r="Y142" s="0" t="n">
        <v>9</v>
      </c>
      <c r="Z142" s="0" t="inlineStr">
        <is>
          <t>https://new.land.naver.com/complexes/22811?tab=detail&amp;rf=Y</t>
        </is>
      </c>
      <c r="AA142" s="0" t="inlineStr">
        <is>
          <t>경상남도 창원시 진해구 부흥동 1-1</t>
        </is>
      </c>
      <c r="AB142" s="0" t="inlineStr">
        <is>
          <t>경상남도</t>
        </is>
      </c>
      <c r="AC142" s="0" t="inlineStr">
        <is>
          <t>창원시</t>
        </is>
      </c>
      <c r="AD142" s="0" t="inlineStr">
        <is>
          <t>진해구</t>
        </is>
      </c>
      <c r="AE142" s="0" t="inlineStr">
        <is>
          <t>부흥동</t>
        </is>
      </c>
      <c r="AG142" s="0" t="inlineStr">
        <is>
          <t>경상남도 창원시 진해구 중원동로 38</t>
        </is>
      </c>
      <c r="AH142" s="0" t="n">
        <v>0</v>
      </c>
      <c r="AI142" s="0" t="n">
        <v>319</v>
      </c>
      <c r="AJ142" s="0" t="n">
        <v>39</v>
      </c>
      <c r="AK142" s="0" t="n">
        <v>285</v>
      </c>
      <c r="AL142" s="0" t="n">
        <v>1.4</v>
      </c>
    </row>
    <row r="143">
      <c r="A143" s="0" t="inlineStr">
        <is>
          <t>[부흥동]</t>
        </is>
      </c>
      <c r="B143" s="0" t="n">
        <v>22811</v>
      </c>
      <c r="C143" s="0" t="n">
        <v>2</v>
      </c>
      <c r="D143" s="0" t="inlineStr">
        <is>
          <t>태영데시앙</t>
        </is>
      </c>
      <c r="E143" s="0" t="inlineStr">
        <is>
          <t>2007.01.</t>
        </is>
      </c>
      <c r="F143" s="0" t="n">
        <v>204</v>
      </c>
      <c r="G143" s="0" t="n">
        <v>45.93</v>
      </c>
      <c r="H143" s="0" t="n">
        <v>151.85</v>
      </c>
      <c r="I143" s="0" t="n">
        <v>38.28</v>
      </c>
      <c r="J143" s="0" t="n">
        <v>126.57</v>
      </c>
      <c r="K143" s="0" t="n">
        <v>48</v>
      </c>
      <c r="T143" s="0" t="n">
        <v>4</v>
      </c>
      <c r="U143" s="0" t="n">
        <v>2</v>
      </c>
      <c r="V143" s="0" t="inlineStr">
        <is>
          <t>계단식</t>
        </is>
      </c>
      <c r="W143" s="0" t="n">
        <v>151</v>
      </c>
      <c r="X143" s="0" t="n">
        <v>13</v>
      </c>
      <c r="Y143" s="0" t="n">
        <v>9</v>
      </c>
      <c r="Z143" s="0" t="inlineStr">
        <is>
          <t>https://new.land.naver.com/complexes/22811?tab=detail&amp;rf=Y</t>
        </is>
      </c>
      <c r="AA143" s="0" t="inlineStr">
        <is>
          <t>경상남도 창원시 진해구 부흥동 1-1</t>
        </is>
      </c>
      <c r="AB143" s="0" t="inlineStr">
        <is>
          <t>경상남도</t>
        </is>
      </c>
      <c r="AC143" s="0" t="inlineStr">
        <is>
          <t>창원시</t>
        </is>
      </c>
      <c r="AD143" s="0" t="inlineStr">
        <is>
          <t>진해구</t>
        </is>
      </c>
      <c r="AE143" s="0" t="inlineStr">
        <is>
          <t>부흥동</t>
        </is>
      </c>
      <c r="AG143" s="0" t="inlineStr">
        <is>
          <t>경상남도 창원시 진해구 중원동로 38</t>
        </is>
      </c>
      <c r="AH143" s="0" t="n">
        <v>0</v>
      </c>
      <c r="AI143" s="0" t="n">
        <v>319</v>
      </c>
      <c r="AJ143" s="0" t="n">
        <v>39</v>
      </c>
      <c r="AK143" s="0" t="n">
        <v>285</v>
      </c>
      <c r="AL143" s="0" t="n">
        <v>1.4</v>
      </c>
    </row>
    <row r="144">
      <c r="A144" s="0" t="inlineStr">
        <is>
          <t>[북부동]</t>
        </is>
      </c>
      <c r="B144" s="0" t="n">
        <v>113243</v>
      </c>
      <c r="C144" s="0" t="n">
        <v>1</v>
      </c>
      <c r="D144" s="0" t="inlineStr">
        <is>
          <t>대풍</t>
        </is>
      </c>
      <c r="E144" s="0" t="inlineStr">
        <is>
          <t>1996.02.</t>
        </is>
      </c>
      <c r="F144" s="0" t="n">
        <v>99</v>
      </c>
      <c r="G144" s="0" t="n">
        <v>25.37</v>
      </c>
      <c r="H144" s="0" t="n">
        <v>83.89</v>
      </c>
      <c r="I144" s="0" t="n">
        <v>17.99</v>
      </c>
      <c r="J144" s="0" t="n">
        <v>59.48</v>
      </c>
      <c r="K144" s="0" t="n">
        <v>31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83</v>
      </c>
      <c r="X144" s="0" t="n">
        <v>15</v>
      </c>
      <c r="Y144" s="0" t="n">
        <v>7</v>
      </c>
      <c r="Z144" s="0" t="inlineStr">
        <is>
          <t>https://new.land.naver.com/complexes/113243?tab=detail&amp;rf=Y</t>
        </is>
      </c>
      <c r="AA144" s="0" t="inlineStr">
        <is>
          <t>경상남도 창원시 진해구 북부동 560</t>
        </is>
      </c>
      <c r="AB144" s="0" t="inlineStr">
        <is>
          <t>경상남도</t>
        </is>
      </c>
      <c r="AC144" s="0" t="inlineStr">
        <is>
          <t>창원시</t>
        </is>
      </c>
      <c r="AD144" s="0" t="inlineStr">
        <is>
          <t>진해구</t>
        </is>
      </c>
      <c r="AE144" s="0" t="inlineStr">
        <is>
          <t>북부동</t>
        </is>
      </c>
      <c r="AG144" s="0" t="inlineStr">
        <is>
          <t>경상남도 창원시 진해구 웅천로159번길 15</t>
        </is>
      </c>
      <c r="AH144" s="0" t="n">
        <v>0</v>
      </c>
      <c r="AI144" s="0" t="n">
        <v>298</v>
      </c>
      <c r="AJ144" s="0" t="n">
        <v>34</v>
      </c>
      <c r="AK144" s="0" t="n">
        <v>47</v>
      </c>
      <c r="AL144" s="0" t="n">
        <v>0.47</v>
      </c>
    </row>
    <row r="145">
      <c r="A145" s="0" t="inlineStr">
        <is>
          <t>[북부동]</t>
        </is>
      </c>
      <c r="B145" s="0" t="n">
        <v>113243</v>
      </c>
      <c r="C145" s="0" t="n">
        <v>2</v>
      </c>
      <c r="D145" s="0" t="inlineStr">
        <is>
          <t>대풍</t>
        </is>
      </c>
      <c r="E145" s="0" t="inlineStr">
        <is>
          <t>1996.02.</t>
        </is>
      </c>
      <c r="F145" s="0" t="n">
        <v>99</v>
      </c>
      <c r="G145" s="0" t="n">
        <v>25.51</v>
      </c>
      <c r="H145" s="0" t="n">
        <v>84.36</v>
      </c>
      <c r="I145" s="0" t="n">
        <v>18.09</v>
      </c>
      <c r="J145" s="0" t="n">
        <v>59.82</v>
      </c>
      <c r="K145" s="0" t="n">
        <v>61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84B</t>
        </is>
      </c>
      <c r="X145" s="0" t="n">
        <v>15</v>
      </c>
      <c r="Y145" s="0" t="n">
        <v>7</v>
      </c>
      <c r="Z145" s="0" t="inlineStr">
        <is>
          <t>https://new.land.naver.com/complexes/113243?tab=detail&amp;rf=Y</t>
        </is>
      </c>
      <c r="AA145" s="0" t="inlineStr">
        <is>
          <t>경상남도 창원시 진해구 북부동 560</t>
        </is>
      </c>
      <c r="AB145" s="0" t="inlineStr">
        <is>
          <t>경상남도</t>
        </is>
      </c>
      <c r="AC145" s="0" t="inlineStr">
        <is>
          <t>창원시</t>
        </is>
      </c>
      <c r="AD145" s="0" t="inlineStr">
        <is>
          <t>진해구</t>
        </is>
      </c>
      <c r="AE145" s="0" t="inlineStr">
        <is>
          <t>북부동</t>
        </is>
      </c>
      <c r="AG145" s="0" t="inlineStr">
        <is>
          <t>경상남도 창원시 진해구 웅천로159번길 15</t>
        </is>
      </c>
      <c r="AH145" s="0" t="n">
        <v>0</v>
      </c>
      <c r="AI145" s="0" t="n">
        <v>298</v>
      </c>
      <c r="AJ145" s="0" t="n">
        <v>34</v>
      </c>
      <c r="AK145" s="0" t="n">
        <v>47</v>
      </c>
      <c r="AL145" s="0" t="n">
        <v>0.47</v>
      </c>
    </row>
    <row r="146">
      <c r="A146" s="0" t="inlineStr">
        <is>
          <t>[북부동]</t>
        </is>
      </c>
      <c r="B146" s="0" t="n">
        <v>113243</v>
      </c>
      <c r="C146" s="0" t="n">
        <v>3</v>
      </c>
      <c r="D146" s="0" t="inlineStr">
        <is>
          <t>대풍</t>
        </is>
      </c>
      <c r="E146" s="0" t="inlineStr">
        <is>
          <t>1996.02.</t>
        </is>
      </c>
      <c r="F146" s="0" t="n">
        <v>99</v>
      </c>
      <c r="G146" s="0" t="n">
        <v>25.5</v>
      </c>
      <c r="H146" s="0" t="n">
        <v>84.3</v>
      </c>
      <c r="I146" s="0" t="n">
        <v>18.08</v>
      </c>
      <c r="J146" s="0" t="n">
        <v>59.77</v>
      </c>
      <c r="K146" s="0" t="n">
        <v>7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84A</t>
        </is>
      </c>
      <c r="X146" s="0" t="n">
        <v>15</v>
      </c>
      <c r="Y146" s="0" t="n">
        <v>7</v>
      </c>
      <c r="Z146" s="0" t="inlineStr">
        <is>
          <t>https://new.land.naver.com/complexes/113243?tab=detail&amp;rf=Y</t>
        </is>
      </c>
      <c r="AA146" s="0" t="inlineStr">
        <is>
          <t>경상남도 창원시 진해구 북부동 560</t>
        </is>
      </c>
      <c r="AB146" s="0" t="inlineStr">
        <is>
          <t>경상남도</t>
        </is>
      </c>
      <c r="AC146" s="0" t="inlineStr">
        <is>
          <t>창원시</t>
        </is>
      </c>
      <c r="AD146" s="0" t="inlineStr">
        <is>
          <t>진해구</t>
        </is>
      </c>
      <c r="AE146" s="0" t="inlineStr">
        <is>
          <t>북부동</t>
        </is>
      </c>
      <c r="AG146" s="0" t="inlineStr">
        <is>
          <t>경상남도 창원시 진해구 웅천로159번길 15</t>
        </is>
      </c>
      <c r="AH146" s="0" t="n">
        <v>0</v>
      </c>
      <c r="AI146" s="0" t="n">
        <v>298</v>
      </c>
      <c r="AJ146" s="0" t="n">
        <v>34</v>
      </c>
      <c r="AK146" s="0" t="n">
        <v>47</v>
      </c>
      <c r="AL146" s="0" t="n">
        <v>0.47</v>
      </c>
    </row>
    <row r="147">
      <c r="A147" s="0" t="inlineStr">
        <is>
          <t>[석동]</t>
        </is>
      </c>
      <c r="B147" s="0" t="n">
        <v>18816</v>
      </c>
      <c r="C147" s="0" t="n">
        <v>1</v>
      </c>
      <c r="D147" s="0" t="inlineStr">
        <is>
          <t>진해GS자이</t>
        </is>
      </c>
      <c r="E147" s="0" t="inlineStr">
        <is>
          <t>2006.04.</t>
        </is>
      </c>
      <c r="F147" s="0" t="n">
        <v>516</v>
      </c>
      <c r="G147" s="0" t="n">
        <v>34.91</v>
      </c>
      <c r="H147" s="0" t="n">
        <v>115.42</v>
      </c>
      <c r="I147" s="0" t="n">
        <v>25.69</v>
      </c>
      <c r="J147" s="0" t="n">
        <v>84.94</v>
      </c>
      <c r="K147" s="0" t="n">
        <v>404</v>
      </c>
      <c r="T147" s="0" t="n">
        <v>3</v>
      </c>
      <c r="U147" s="0" t="n">
        <v>2</v>
      </c>
      <c r="V147" s="0" t="inlineStr">
        <is>
          <t>계단식</t>
        </is>
      </c>
      <c r="W147" s="0" t="n">
        <v>115</v>
      </c>
      <c r="X147" s="0" t="n">
        <v>15</v>
      </c>
      <c r="Y147" s="0" t="n">
        <v>11</v>
      </c>
      <c r="Z147" s="0" t="inlineStr">
        <is>
          <t>https://new.land.naver.com/complexes/18816?tab=detail&amp;rf=Y</t>
        </is>
      </c>
      <c r="AA147" s="0" t="inlineStr">
        <is>
          <t>경상남도 창원시 진해구 석동 232</t>
        </is>
      </c>
      <c r="AB147" s="0" t="inlineStr">
        <is>
          <t>경상남도</t>
        </is>
      </c>
      <c r="AC147" s="0" t="inlineStr">
        <is>
          <t>창원시</t>
        </is>
      </c>
      <c r="AD147" s="0" t="inlineStr">
        <is>
          <t>진해구</t>
        </is>
      </c>
      <c r="AE147" s="0" t="inlineStr">
        <is>
          <t>석동</t>
        </is>
      </c>
      <c r="AG147" s="0" t="inlineStr">
        <is>
          <t>경상남도 창원시 진해구 동진로21번길 26</t>
        </is>
      </c>
      <c r="AH147" s="0" t="n">
        <v>0</v>
      </c>
      <c r="AI147" s="0" t="n">
        <v>209</v>
      </c>
      <c r="AJ147" s="0" t="n">
        <v>18</v>
      </c>
      <c r="AK147" s="0" t="n">
        <v>637</v>
      </c>
      <c r="AL147" s="0" t="n">
        <v>1.23</v>
      </c>
    </row>
    <row r="148">
      <c r="A148" s="0" t="inlineStr">
        <is>
          <t>[석동]</t>
        </is>
      </c>
      <c r="B148" s="0" t="n">
        <v>18816</v>
      </c>
      <c r="C148" s="0" t="n">
        <v>2</v>
      </c>
      <c r="D148" s="0" t="inlineStr">
        <is>
          <t>진해GS자이</t>
        </is>
      </c>
      <c r="E148" s="0" t="inlineStr">
        <is>
          <t>2006.04.</t>
        </is>
      </c>
      <c r="F148" s="0" t="n">
        <v>516</v>
      </c>
      <c r="G148" s="0" t="n">
        <v>47.8</v>
      </c>
      <c r="H148" s="0" t="n">
        <v>158.02</v>
      </c>
      <c r="I148" s="0" t="n">
        <v>37.9</v>
      </c>
      <c r="J148" s="0" t="n">
        <v>125.31</v>
      </c>
      <c r="K148" s="0" t="n">
        <v>84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158</v>
      </c>
      <c r="X148" s="0" t="n">
        <v>15</v>
      </c>
      <c r="Y148" s="0" t="n">
        <v>11</v>
      </c>
      <c r="Z148" s="0" t="inlineStr">
        <is>
          <t>https://new.land.naver.com/complexes/18816?tab=detail&amp;rf=Y</t>
        </is>
      </c>
      <c r="AA148" s="0" t="inlineStr">
        <is>
          <t>경상남도 창원시 진해구 석동 232</t>
        </is>
      </c>
      <c r="AB148" s="0" t="inlineStr">
        <is>
          <t>경상남도</t>
        </is>
      </c>
      <c r="AC148" s="0" t="inlineStr">
        <is>
          <t>창원시</t>
        </is>
      </c>
      <c r="AD148" s="0" t="inlineStr">
        <is>
          <t>진해구</t>
        </is>
      </c>
      <c r="AE148" s="0" t="inlineStr">
        <is>
          <t>석동</t>
        </is>
      </c>
      <c r="AG148" s="0" t="inlineStr">
        <is>
          <t>경상남도 창원시 진해구 동진로21번길 26</t>
        </is>
      </c>
      <c r="AH148" s="0" t="n">
        <v>0</v>
      </c>
      <c r="AI148" s="0" t="n">
        <v>209</v>
      </c>
      <c r="AJ148" s="0" t="n">
        <v>18</v>
      </c>
      <c r="AK148" s="0" t="n">
        <v>637</v>
      </c>
      <c r="AL148" s="0" t="n">
        <v>1.23</v>
      </c>
    </row>
    <row r="149">
      <c r="A149" s="0" t="inlineStr">
        <is>
          <t>[석동]</t>
        </is>
      </c>
      <c r="B149" s="0" t="n">
        <v>18816</v>
      </c>
      <c r="C149" s="0" t="n">
        <v>3</v>
      </c>
      <c r="D149" s="0" t="inlineStr">
        <is>
          <t>진해GS자이</t>
        </is>
      </c>
      <c r="E149" s="0" t="inlineStr">
        <is>
          <t>2006.04.</t>
        </is>
      </c>
      <c r="F149" s="0" t="n">
        <v>516</v>
      </c>
      <c r="G149" s="0" t="n">
        <v>59.33</v>
      </c>
      <c r="H149" s="0" t="n">
        <v>196.15</v>
      </c>
      <c r="I149" s="0" t="n">
        <v>47.1</v>
      </c>
      <c r="J149" s="0" t="n">
        <v>155.73</v>
      </c>
      <c r="K149" s="0" t="n">
        <v>28</v>
      </c>
      <c r="T149" s="0" t="n">
        <v>5</v>
      </c>
      <c r="U149" s="0" t="n">
        <v>2</v>
      </c>
      <c r="V149" s="0" t="inlineStr">
        <is>
          <t>계단식</t>
        </is>
      </c>
      <c r="W149" s="0" t="n">
        <v>196</v>
      </c>
      <c r="X149" s="0" t="n">
        <v>15</v>
      </c>
      <c r="Y149" s="0" t="n">
        <v>11</v>
      </c>
      <c r="Z149" s="0" t="inlineStr">
        <is>
          <t>https://new.land.naver.com/complexes/18816?tab=detail&amp;rf=Y</t>
        </is>
      </c>
      <c r="AA149" s="0" t="inlineStr">
        <is>
          <t>경상남도 창원시 진해구 석동 232</t>
        </is>
      </c>
      <c r="AB149" s="0" t="inlineStr">
        <is>
          <t>경상남도</t>
        </is>
      </c>
      <c r="AC149" s="0" t="inlineStr">
        <is>
          <t>창원시</t>
        </is>
      </c>
      <c r="AD149" s="0" t="inlineStr">
        <is>
          <t>진해구</t>
        </is>
      </c>
      <c r="AE149" s="0" t="inlineStr">
        <is>
          <t>석동</t>
        </is>
      </c>
      <c r="AG149" s="0" t="inlineStr">
        <is>
          <t>경상남도 창원시 진해구 동진로21번길 26</t>
        </is>
      </c>
      <c r="AH149" s="0" t="n">
        <v>0</v>
      </c>
      <c r="AI149" s="0" t="n">
        <v>209</v>
      </c>
      <c r="AJ149" s="0" t="n">
        <v>18</v>
      </c>
      <c r="AK149" s="0" t="n">
        <v>637</v>
      </c>
      <c r="AL149" s="0" t="n">
        <v>1.23</v>
      </c>
    </row>
    <row r="150">
      <c r="A150" s="0" t="inlineStr">
        <is>
          <t>[석동]</t>
        </is>
      </c>
      <c r="B150" s="0" t="n">
        <v>7553</v>
      </c>
      <c r="C150" s="0" t="n">
        <v>1</v>
      </c>
      <c r="D150" s="0" t="inlineStr">
        <is>
          <t>상지약수</t>
        </is>
      </c>
      <c r="E150" s="0" t="inlineStr">
        <is>
          <t>1991.05.</t>
        </is>
      </c>
      <c r="F150" s="0" t="n">
        <v>150</v>
      </c>
      <c r="G150" s="0" t="n">
        <v>25.62</v>
      </c>
      <c r="H150" s="0" t="n">
        <v>84.70999999999999</v>
      </c>
      <c r="I150" s="0" t="n">
        <v>25.62</v>
      </c>
      <c r="J150" s="0" t="n">
        <v>84.70999999999999</v>
      </c>
      <c r="K150" s="0" t="n">
        <v>90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84A</t>
        </is>
      </c>
      <c r="X150" s="0" t="n">
        <v>15</v>
      </c>
      <c r="Y150" s="0" t="n">
        <v>15</v>
      </c>
      <c r="Z150" s="0" t="inlineStr">
        <is>
          <t>https://new.land.naver.com/complexes/7553?tab=detail&amp;rf=Y</t>
        </is>
      </c>
      <c r="AA150" s="0" t="inlineStr">
        <is>
          <t>경상남도 창원시 진해구 석동 493</t>
        </is>
      </c>
      <c r="AB150" s="0" t="inlineStr">
        <is>
          <t>경상남도</t>
        </is>
      </c>
      <c r="AC150" s="0" t="inlineStr">
        <is>
          <t>창원시</t>
        </is>
      </c>
      <c r="AD150" s="0" t="inlineStr">
        <is>
          <t>진해구</t>
        </is>
      </c>
      <c r="AE150" s="0" t="inlineStr">
        <is>
          <t>석동</t>
        </is>
      </c>
      <c r="AG150" s="0" t="inlineStr">
        <is>
          <t>경상남도 창원시 진해구 병암북로4번길 37</t>
        </is>
      </c>
      <c r="AH150" s="0" t="n">
        <v>0</v>
      </c>
      <c r="AI150" s="0" t="n">
        <v>299</v>
      </c>
      <c r="AJ150" s="0" t="n">
        <v>26</v>
      </c>
      <c r="AK150" s="0" t="n">
        <v>0</v>
      </c>
      <c r="AL150" s="0" t="n">
        <v>0</v>
      </c>
    </row>
    <row r="151">
      <c r="A151" s="0" t="inlineStr">
        <is>
          <t>[석동]</t>
        </is>
      </c>
      <c r="B151" s="0" t="n">
        <v>7553</v>
      </c>
      <c r="C151" s="0" t="n">
        <v>2</v>
      </c>
      <c r="D151" s="0" t="inlineStr">
        <is>
          <t>상지약수</t>
        </is>
      </c>
      <c r="E151" s="0" t="inlineStr">
        <is>
          <t>1991.05.</t>
        </is>
      </c>
      <c r="F151" s="0" t="n">
        <v>150</v>
      </c>
      <c r="G151" s="0" t="n">
        <v>25.63</v>
      </c>
      <c r="H151" s="0" t="n">
        <v>84.75</v>
      </c>
      <c r="I151" s="0" t="n">
        <v>25.63</v>
      </c>
      <c r="J151" s="0" t="n">
        <v>84.75</v>
      </c>
      <c r="K151" s="0" t="n">
        <v>30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84B</t>
        </is>
      </c>
      <c r="X151" s="0" t="n">
        <v>15</v>
      </c>
      <c r="Y151" s="0" t="n">
        <v>15</v>
      </c>
      <c r="Z151" s="0" t="inlineStr">
        <is>
          <t>https://new.land.naver.com/complexes/7553?tab=detail&amp;rf=Y</t>
        </is>
      </c>
      <c r="AA151" s="0" t="inlineStr">
        <is>
          <t>경상남도 창원시 진해구 석동 493</t>
        </is>
      </c>
      <c r="AB151" s="0" t="inlineStr">
        <is>
          <t>경상남도</t>
        </is>
      </c>
      <c r="AC151" s="0" t="inlineStr">
        <is>
          <t>창원시</t>
        </is>
      </c>
      <c r="AD151" s="0" t="inlineStr">
        <is>
          <t>진해구</t>
        </is>
      </c>
      <c r="AE151" s="0" t="inlineStr">
        <is>
          <t>석동</t>
        </is>
      </c>
      <c r="AG151" s="0" t="inlineStr">
        <is>
          <t>경상남도 창원시 진해구 병암북로4번길 37</t>
        </is>
      </c>
      <c r="AH151" s="0" t="n">
        <v>0</v>
      </c>
      <c r="AI151" s="0" t="n">
        <v>299</v>
      </c>
      <c r="AJ151" s="0" t="n">
        <v>26</v>
      </c>
      <c r="AK151" s="0" t="n">
        <v>0</v>
      </c>
      <c r="AL151" s="0" t="n">
        <v>0</v>
      </c>
    </row>
    <row r="152">
      <c r="A152" s="0" t="inlineStr">
        <is>
          <t>[석동]</t>
        </is>
      </c>
      <c r="B152" s="0" t="n">
        <v>7553</v>
      </c>
      <c r="C152" s="0" t="n">
        <v>3</v>
      </c>
      <c r="D152" s="0" t="inlineStr">
        <is>
          <t>상지약수</t>
        </is>
      </c>
      <c r="E152" s="0" t="inlineStr">
        <is>
          <t>1991.05.</t>
        </is>
      </c>
      <c r="F152" s="0" t="n">
        <v>150</v>
      </c>
      <c r="G152" s="0" t="n">
        <v>43</v>
      </c>
      <c r="H152" s="0" t="n">
        <v>142.15</v>
      </c>
      <c r="I152" s="0" t="n">
        <v>35.53</v>
      </c>
      <c r="J152" s="0" t="n">
        <v>117.48</v>
      </c>
      <c r="K152" s="0" t="n">
        <v>30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142</v>
      </c>
      <c r="X152" s="0" t="n">
        <v>15</v>
      </c>
      <c r="Y152" s="0" t="n">
        <v>15</v>
      </c>
      <c r="Z152" s="0" t="inlineStr">
        <is>
          <t>https://new.land.naver.com/complexes/7553?tab=detail&amp;rf=Y</t>
        </is>
      </c>
      <c r="AA152" s="0" t="inlineStr">
        <is>
          <t>경상남도 창원시 진해구 석동 493</t>
        </is>
      </c>
      <c r="AB152" s="0" t="inlineStr">
        <is>
          <t>경상남도</t>
        </is>
      </c>
      <c r="AC152" s="0" t="inlineStr">
        <is>
          <t>창원시</t>
        </is>
      </c>
      <c r="AD152" s="0" t="inlineStr">
        <is>
          <t>진해구</t>
        </is>
      </c>
      <c r="AE152" s="0" t="inlineStr">
        <is>
          <t>석동</t>
        </is>
      </c>
      <c r="AG152" s="0" t="inlineStr">
        <is>
          <t>경상남도 창원시 진해구 병암북로4번길 37</t>
        </is>
      </c>
      <c r="AH152" s="0" t="n">
        <v>0</v>
      </c>
      <c r="AI152" s="0" t="n">
        <v>299</v>
      </c>
      <c r="AJ152" s="0" t="n">
        <v>26</v>
      </c>
      <c r="AK152" s="0" t="n">
        <v>0</v>
      </c>
      <c r="AL152" s="0" t="n">
        <v>0</v>
      </c>
    </row>
    <row r="153">
      <c r="A153" s="0" t="inlineStr">
        <is>
          <t>[석동]</t>
        </is>
      </c>
      <c r="B153" s="0" t="n">
        <v>19439</v>
      </c>
      <c r="C153" s="0" t="n">
        <v>1</v>
      </c>
      <c r="D153" s="0" t="inlineStr">
        <is>
          <t>진해석동푸르지오</t>
        </is>
      </c>
      <c r="E153" s="0" t="inlineStr">
        <is>
          <t>2006.08.</t>
        </is>
      </c>
      <c r="F153" s="0" t="n">
        <v>647</v>
      </c>
      <c r="G153" s="0" t="n">
        <v>35.35</v>
      </c>
      <c r="H153" s="0" t="n">
        <v>116.86</v>
      </c>
      <c r="I153" s="0" t="n">
        <v>25.7</v>
      </c>
      <c r="J153" s="0" t="n">
        <v>84.97</v>
      </c>
      <c r="K153" s="0" t="n">
        <v>343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116A</t>
        </is>
      </c>
      <c r="X153" s="0" t="n">
        <v>15</v>
      </c>
      <c r="Y153" s="0" t="n">
        <v>6</v>
      </c>
      <c r="Z153" s="0" t="inlineStr">
        <is>
          <t>https://new.land.naver.com/complexes/19439?tab=detail&amp;rf=Y</t>
        </is>
      </c>
      <c r="AA153" s="0" t="inlineStr">
        <is>
          <t>경상남도 창원시 진해구 석동 551-1</t>
        </is>
      </c>
      <c r="AB153" s="0" t="inlineStr">
        <is>
          <t>경상남도</t>
        </is>
      </c>
      <c r="AC153" s="0" t="inlineStr">
        <is>
          <t>창원시</t>
        </is>
      </c>
      <c r="AD153" s="0" t="inlineStr">
        <is>
          <t>진해구</t>
        </is>
      </c>
      <c r="AE153" s="0" t="inlineStr">
        <is>
          <t>석동</t>
        </is>
      </c>
      <c r="AG153" s="0" t="inlineStr">
        <is>
          <t>경상남도 창원시 진해구 진해대로 727</t>
        </is>
      </c>
      <c r="AH153" s="0" t="n">
        <v>0</v>
      </c>
      <c r="AI153" s="0" t="n">
        <v>215</v>
      </c>
      <c r="AJ153" s="0" t="n">
        <v>23</v>
      </c>
      <c r="AK153" s="0" t="n">
        <v>878</v>
      </c>
      <c r="AL153" s="0" t="n">
        <v>1.36</v>
      </c>
    </row>
    <row r="154">
      <c r="A154" s="0" t="inlineStr">
        <is>
          <t>[석동]</t>
        </is>
      </c>
      <c r="B154" s="0" t="n">
        <v>19439</v>
      </c>
      <c r="C154" s="0" t="n">
        <v>2</v>
      </c>
      <c r="D154" s="0" t="inlineStr">
        <is>
          <t>진해석동푸르지오</t>
        </is>
      </c>
      <c r="E154" s="0" t="inlineStr">
        <is>
          <t>2006.08.</t>
        </is>
      </c>
      <c r="F154" s="0" t="n">
        <v>647</v>
      </c>
      <c r="G154" s="0" t="n">
        <v>35.35</v>
      </c>
      <c r="H154" s="0" t="n">
        <v>116.86</v>
      </c>
      <c r="I154" s="0" t="n">
        <v>25.7</v>
      </c>
      <c r="J154" s="0" t="n">
        <v>84.97</v>
      </c>
      <c r="K154" s="0" t="n">
        <v>90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116B</t>
        </is>
      </c>
      <c r="X154" s="0" t="n">
        <v>15</v>
      </c>
      <c r="Y154" s="0" t="n">
        <v>6</v>
      </c>
      <c r="Z154" s="0" t="inlineStr">
        <is>
          <t>https://new.land.naver.com/complexes/19439?tab=detail&amp;rf=Y</t>
        </is>
      </c>
      <c r="AA154" s="0" t="inlineStr">
        <is>
          <t>경상남도 창원시 진해구 석동 551-1</t>
        </is>
      </c>
      <c r="AB154" s="0" t="inlineStr">
        <is>
          <t>경상남도</t>
        </is>
      </c>
      <c r="AC154" s="0" t="inlineStr">
        <is>
          <t>창원시</t>
        </is>
      </c>
      <c r="AD154" s="0" t="inlineStr">
        <is>
          <t>진해구</t>
        </is>
      </c>
      <c r="AE154" s="0" t="inlineStr">
        <is>
          <t>석동</t>
        </is>
      </c>
      <c r="AG154" s="0" t="inlineStr">
        <is>
          <t>경상남도 창원시 진해구 진해대로 727</t>
        </is>
      </c>
      <c r="AH154" s="0" t="n">
        <v>0</v>
      </c>
      <c r="AI154" s="0" t="n">
        <v>215</v>
      </c>
      <c r="AJ154" s="0" t="n">
        <v>23</v>
      </c>
      <c r="AK154" s="0" t="n">
        <v>878</v>
      </c>
      <c r="AL154" s="0" t="n">
        <v>1.36</v>
      </c>
    </row>
    <row r="155">
      <c r="A155" s="0" t="inlineStr">
        <is>
          <t>[석동]</t>
        </is>
      </c>
      <c r="B155" s="0" t="n">
        <v>19439</v>
      </c>
      <c r="C155" s="0" t="n">
        <v>3</v>
      </c>
      <c r="D155" s="0" t="inlineStr">
        <is>
          <t>진해석동푸르지오</t>
        </is>
      </c>
      <c r="E155" s="0" t="inlineStr">
        <is>
          <t>2006.08.</t>
        </is>
      </c>
      <c r="F155" s="0" t="n">
        <v>647</v>
      </c>
      <c r="G155" s="0" t="n">
        <v>45.09</v>
      </c>
      <c r="H155" s="0" t="n">
        <v>149.08</v>
      </c>
      <c r="I155" s="0" t="n">
        <v>35.22</v>
      </c>
      <c r="J155" s="0" t="n">
        <v>116.45</v>
      </c>
      <c r="K155" s="0" t="n">
        <v>134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149</v>
      </c>
      <c r="X155" s="0" t="n">
        <v>15</v>
      </c>
      <c r="Y155" s="0" t="n">
        <v>6</v>
      </c>
      <c r="Z155" s="0" t="inlineStr">
        <is>
          <t>https://new.land.naver.com/complexes/19439?tab=detail&amp;rf=Y</t>
        </is>
      </c>
      <c r="AA155" s="0" t="inlineStr">
        <is>
          <t>경상남도 창원시 진해구 석동 551-1</t>
        </is>
      </c>
      <c r="AB155" s="0" t="inlineStr">
        <is>
          <t>경상남도</t>
        </is>
      </c>
      <c r="AC155" s="0" t="inlineStr">
        <is>
          <t>창원시</t>
        </is>
      </c>
      <c r="AD155" s="0" t="inlineStr">
        <is>
          <t>진해구</t>
        </is>
      </c>
      <c r="AE155" s="0" t="inlineStr">
        <is>
          <t>석동</t>
        </is>
      </c>
      <c r="AG155" s="0" t="inlineStr">
        <is>
          <t>경상남도 창원시 진해구 진해대로 727</t>
        </is>
      </c>
      <c r="AH155" s="0" t="n">
        <v>0</v>
      </c>
      <c r="AI155" s="0" t="n">
        <v>215</v>
      </c>
      <c r="AJ155" s="0" t="n">
        <v>23</v>
      </c>
      <c r="AK155" s="0" t="n">
        <v>878</v>
      </c>
      <c r="AL155" s="0" t="n">
        <v>1.36</v>
      </c>
    </row>
    <row r="156">
      <c r="A156" s="0" t="inlineStr">
        <is>
          <t>[석동]</t>
        </is>
      </c>
      <c r="B156" s="0" t="n">
        <v>19439</v>
      </c>
      <c r="C156" s="0" t="n">
        <v>4</v>
      </c>
      <c r="D156" s="0" t="inlineStr">
        <is>
          <t>진해석동푸르지오</t>
        </is>
      </c>
      <c r="E156" s="0" t="inlineStr">
        <is>
          <t>2006.08.</t>
        </is>
      </c>
      <c r="F156" s="0" t="n">
        <v>647</v>
      </c>
      <c r="G156" s="0" t="n">
        <v>52.04</v>
      </c>
      <c r="H156" s="0" t="n">
        <v>172.06</v>
      </c>
      <c r="I156" s="0" t="n">
        <v>41.75</v>
      </c>
      <c r="J156" s="0" t="n">
        <v>138.04</v>
      </c>
      <c r="K156" s="0" t="n">
        <v>80</v>
      </c>
      <c r="T156" s="0" t="n">
        <v>4</v>
      </c>
      <c r="U156" s="0" t="n">
        <v>2</v>
      </c>
      <c r="V156" s="0" t="inlineStr">
        <is>
          <t>계단식</t>
        </is>
      </c>
      <c r="W156" s="0" t="n">
        <v>172</v>
      </c>
      <c r="X156" s="0" t="n">
        <v>15</v>
      </c>
      <c r="Y156" s="0" t="n">
        <v>6</v>
      </c>
      <c r="Z156" s="0" t="inlineStr">
        <is>
          <t>https://new.land.naver.com/complexes/19439?tab=detail&amp;rf=Y</t>
        </is>
      </c>
      <c r="AA156" s="0" t="inlineStr">
        <is>
          <t>경상남도 창원시 진해구 석동 551-1</t>
        </is>
      </c>
      <c r="AB156" s="0" t="inlineStr">
        <is>
          <t>경상남도</t>
        </is>
      </c>
      <c r="AC156" s="0" t="inlineStr">
        <is>
          <t>창원시</t>
        </is>
      </c>
      <c r="AD156" s="0" t="inlineStr">
        <is>
          <t>진해구</t>
        </is>
      </c>
      <c r="AE156" s="0" t="inlineStr">
        <is>
          <t>석동</t>
        </is>
      </c>
      <c r="AG156" s="0" t="inlineStr">
        <is>
          <t>경상남도 창원시 진해구 진해대로 727</t>
        </is>
      </c>
      <c r="AH156" s="0" t="n">
        <v>0</v>
      </c>
      <c r="AI156" s="0" t="n">
        <v>215</v>
      </c>
      <c r="AJ156" s="0" t="n">
        <v>23</v>
      </c>
      <c r="AK156" s="0" t="n">
        <v>878</v>
      </c>
      <c r="AL156" s="0" t="n">
        <v>1.36</v>
      </c>
    </row>
    <row r="157">
      <c r="A157" s="0" t="inlineStr">
        <is>
          <t>[석동]</t>
        </is>
      </c>
      <c r="B157" s="0" t="n">
        <v>27779</v>
      </c>
      <c r="C157" s="0" t="n">
        <v>1</v>
      </c>
      <c r="D157" s="0" t="inlineStr">
        <is>
          <t>진해석동한솔솔파크1단지</t>
        </is>
      </c>
      <c r="E157" s="0" t="inlineStr">
        <is>
          <t>2009.02.</t>
        </is>
      </c>
      <c r="F157" s="0" t="n">
        <v>264</v>
      </c>
      <c r="G157" s="0" t="n">
        <v>43.44</v>
      </c>
      <c r="H157" s="0" t="n">
        <v>143.63</v>
      </c>
      <c r="I157" s="0" t="n">
        <v>36.17</v>
      </c>
      <c r="J157" s="0" t="n">
        <v>119.59</v>
      </c>
      <c r="K157" s="0" t="n">
        <v>44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143</v>
      </c>
      <c r="X157" s="0" t="n">
        <v>12</v>
      </c>
      <c r="Y157" s="0" t="n">
        <v>12</v>
      </c>
      <c r="Z157" s="0" t="inlineStr">
        <is>
          <t>https://new.land.naver.com/complexes/27779?tab=detail&amp;rf=Y</t>
        </is>
      </c>
      <c r="AA157" s="0" t="inlineStr">
        <is>
          <t>경상남도 창원시 진해구 석동 351</t>
        </is>
      </c>
      <c r="AB157" s="0" t="inlineStr">
        <is>
          <t>경상남도</t>
        </is>
      </c>
      <c r="AC157" s="0" t="inlineStr">
        <is>
          <t>창원시</t>
        </is>
      </c>
      <c r="AD157" s="0" t="inlineStr">
        <is>
          <t>진해구</t>
        </is>
      </c>
      <c r="AE157" s="0" t="inlineStr">
        <is>
          <t>석동</t>
        </is>
      </c>
      <c r="AG157" s="0" t="inlineStr">
        <is>
          <t>경상남도 창원시 진해구 진해대로789번길 24</t>
        </is>
      </c>
      <c r="AH157" s="0" t="n">
        <v>0</v>
      </c>
      <c r="AI157" s="0" t="n">
        <v>230</v>
      </c>
      <c r="AJ157" s="0" t="n">
        <v>24</v>
      </c>
      <c r="AK157" s="0" t="n">
        <v>493</v>
      </c>
      <c r="AL157" s="0" t="n">
        <v>1.87</v>
      </c>
    </row>
    <row r="158">
      <c r="A158" s="0" t="inlineStr">
        <is>
          <t>[석동]</t>
        </is>
      </c>
      <c r="B158" s="0" t="n">
        <v>27779</v>
      </c>
      <c r="C158" s="0" t="n">
        <v>2</v>
      </c>
      <c r="D158" s="0" t="inlineStr">
        <is>
          <t>진해석동한솔솔파크1단지</t>
        </is>
      </c>
      <c r="E158" s="0" t="inlineStr">
        <is>
          <t>2009.02.</t>
        </is>
      </c>
      <c r="F158" s="0" t="n">
        <v>264</v>
      </c>
      <c r="G158" s="0" t="n">
        <v>48.42</v>
      </c>
      <c r="H158" s="0" t="n">
        <v>160.07</v>
      </c>
      <c r="I158" s="0" t="n">
        <v>39.77</v>
      </c>
      <c r="J158" s="0" t="n">
        <v>131.48</v>
      </c>
      <c r="K158" s="0" t="n">
        <v>132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160</v>
      </c>
      <c r="X158" s="0" t="n">
        <v>12</v>
      </c>
      <c r="Y158" s="0" t="n">
        <v>12</v>
      </c>
      <c r="Z158" s="0" t="inlineStr">
        <is>
          <t>https://new.land.naver.com/complexes/27779?tab=detail&amp;rf=Y</t>
        </is>
      </c>
      <c r="AA158" s="0" t="inlineStr">
        <is>
          <t>경상남도 창원시 진해구 석동 351</t>
        </is>
      </c>
      <c r="AB158" s="0" t="inlineStr">
        <is>
          <t>경상남도</t>
        </is>
      </c>
      <c r="AC158" s="0" t="inlineStr">
        <is>
          <t>창원시</t>
        </is>
      </c>
      <c r="AD158" s="0" t="inlineStr">
        <is>
          <t>진해구</t>
        </is>
      </c>
      <c r="AE158" s="0" t="inlineStr">
        <is>
          <t>석동</t>
        </is>
      </c>
      <c r="AG158" s="0" t="inlineStr">
        <is>
          <t>경상남도 창원시 진해구 진해대로789번길 24</t>
        </is>
      </c>
      <c r="AH158" s="0" t="n">
        <v>0</v>
      </c>
      <c r="AI158" s="0" t="n">
        <v>230</v>
      </c>
      <c r="AJ158" s="0" t="n">
        <v>24</v>
      </c>
      <c r="AK158" s="0" t="n">
        <v>493</v>
      </c>
      <c r="AL158" s="0" t="n">
        <v>1.87</v>
      </c>
    </row>
    <row r="159">
      <c r="A159" s="0" t="inlineStr">
        <is>
          <t>[석동]</t>
        </is>
      </c>
      <c r="B159" s="0" t="n">
        <v>27779</v>
      </c>
      <c r="C159" s="0" t="n">
        <v>3</v>
      </c>
      <c r="D159" s="0" t="inlineStr">
        <is>
          <t>진해석동한솔솔파크1단지</t>
        </is>
      </c>
      <c r="E159" s="0" t="inlineStr">
        <is>
          <t>2009.02.</t>
        </is>
      </c>
      <c r="F159" s="0" t="n">
        <v>264</v>
      </c>
      <c r="G159" s="0" t="n">
        <v>55.64</v>
      </c>
      <c r="H159" s="0" t="n">
        <v>183.94</v>
      </c>
      <c r="I159" s="0" t="n">
        <v>46.36</v>
      </c>
      <c r="J159" s="0" t="n">
        <v>153.26</v>
      </c>
      <c r="K159" s="0" t="n">
        <v>88</v>
      </c>
      <c r="T159" s="0" t="n">
        <v>4</v>
      </c>
      <c r="U159" s="0" t="n">
        <v>2</v>
      </c>
      <c r="V159" s="0" t="inlineStr">
        <is>
          <t>계단식</t>
        </is>
      </c>
      <c r="W159" s="0" t="n">
        <v>183</v>
      </c>
      <c r="X159" s="0" t="n">
        <v>12</v>
      </c>
      <c r="Y159" s="0" t="n">
        <v>12</v>
      </c>
      <c r="Z159" s="0" t="inlineStr">
        <is>
          <t>https://new.land.naver.com/complexes/27779?tab=detail&amp;rf=Y</t>
        </is>
      </c>
      <c r="AA159" s="0" t="inlineStr">
        <is>
          <t>경상남도 창원시 진해구 석동 351</t>
        </is>
      </c>
      <c r="AB159" s="0" t="inlineStr">
        <is>
          <t>경상남도</t>
        </is>
      </c>
      <c r="AC159" s="0" t="inlineStr">
        <is>
          <t>창원시</t>
        </is>
      </c>
      <c r="AD159" s="0" t="inlineStr">
        <is>
          <t>진해구</t>
        </is>
      </c>
      <c r="AE159" s="0" t="inlineStr">
        <is>
          <t>석동</t>
        </is>
      </c>
      <c r="AG159" s="0" t="inlineStr">
        <is>
          <t>경상남도 창원시 진해구 진해대로789번길 24</t>
        </is>
      </c>
      <c r="AH159" s="0" t="n">
        <v>0</v>
      </c>
      <c r="AI159" s="0" t="n">
        <v>230</v>
      </c>
      <c r="AJ159" s="0" t="n">
        <v>24</v>
      </c>
      <c r="AK159" s="0" t="n">
        <v>493</v>
      </c>
      <c r="AL159" s="0" t="n">
        <v>1.87</v>
      </c>
    </row>
    <row r="160">
      <c r="A160" s="0" t="inlineStr">
        <is>
          <t>[석동]</t>
        </is>
      </c>
      <c r="B160" s="0" t="n">
        <v>27780</v>
      </c>
      <c r="C160" s="0" t="n">
        <v>1</v>
      </c>
      <c r="D160" s="0" t="inlineStr">
        <is>
          <t>진해석동한솔솔파크2단지</t>
        </is>
      </c>
      <c r="E160" s="0" t="inlineStr">
        <is>
          <t>2009.02.</t>
        </is>
      </c>
      <c r="F160" s="0" t="n">
        <v>63</v>
      </c>
      <c r="G160" s="0" t="n">
        <v>42.36</v>
      </c>
      <c r="H160" s="0" t="n">
        <v>140.06</v>
      </c>
      <c r="I160" s="0" t="n">
        <v>32.88</v>
      </c>
      <c r="J160" s="0" t="n">
        <v>108.72</v>
      </c>
      <c r="K160" s="0" t="n">
        <v>8</v>
      </c>
      <c r="T160" s="0" t="n">
        <v>3</v>
      </c>
      <c r="U160" s="0" t="n">
        <v>2</v>
      </c>
      <c r="V160" s="0" t="inlineStr">
        <is>
          <t>계단식</t>
        </is>
      </c>
      <c r="W160" s="0" t="n">
        <v>140</v>
      </c>
      <c r="X160" s="0" t="n">
        <v>12</v>
      </c>
      <c r="Y160" s="0" t="n">
        <v>7</v>
      </c>
      <c r="Z160" s="0" t="inlineStr">
        <is>
          <t>https://new.land.naver.com/complexes/27780?tab=detail&amp;rf=Y</t>
        </is>
      </c>
      <c r="AA160" s="0" t="inlineStr">
        <is>
          <t>경상남도 창원시 진해구 석동 287-5</t>
        </is>
      </c>
      <c r="AB160" s="0" t="inlineStr">
        <is>
          <t>경상남도</t>
        </is>
      </c>
      <c r="AC160" s="0" t="inlineStr">
        <is>
          <t>창원시</t>
        </is>
      </c>
      <c r="AD160" s="0" t="inlineStr">
        <is>
          <t>진해구</t>
        </is>
      </c>
      <c r="AE160" s="0" t="inlineStr">
        <is>
          <t>석동</t>
        </is>
      </c>
      <c r="AG160" s="0" t="inlineStr">
        <is>
          <t>경상남도 창원시 진해구 돌리로16번길 18</t>
        </is>
      </c>
      <c r="AH160" s="0" t="n">
        <v>0</v>
      </c>
      <c r="AI160" s="0" t="n">
        <v>230</v>
      </c>
      <c r="AJ160" s="0" t="n">
        <v>33</v>
      </c>
      <c r="AK160" s="0" t="n">
        <v>100</v>
      </c>
      <c r="AL160" s="0" t="n">
        <v>1.59</v>
      </c>
    </row>
    <row r="161">
      <c r="A161" s="0" t="inlineStr">
        <is>
          <t>[석동]</t>
        </is>
      </c>
      <c r="B161" s="0" t="n">
        <v>27780</v>
      </c>
      <c r="C161" s="0" t="n">
        <v>2</v>
      </c>
      <c r="D161" s="0" t="inlineStr">
        <is>
          <t>진해석동한솔솔파크2단지</t>
        </is>
      </c>
      <c r="E161" s="0" t="inlineStr">
        <is>
          <t>2009.02.</t>
        </is>
      </c>
      <c r="F161" s="0" t="n">
        <v>63</v>
      </c>
      <c r="G161" s="0" t="n">
        <v>45.02</v>
      </c>
      <c r="H161" s="0" t="n">
        <v>148.83</v>
      </c>
      <c r="I161" s="0" t="n">
        <v>35.28</v>
      </c>
      <c r="J161" s="0" t="n">
        <v>116.65</v>
      </c>
      <c r="K161" s="0" t="n">
        <v>55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148</v>
      </c>
      <c r="X161" s="0" t="n">
        <v>12</v>
      </c>
      <c r="Y161" s="0" t="n">
        <v>7</v>
      </c>
      <c r="Z161" s="0" t="inlineStr">
        <is>
          <t>https://new.land.naver.com/complexes/27780?tab=detail&amp;rf=Y</t>
        </is>
      </c>
      <c r="AA161" s="0" t="inlineStr">
        <is>
          <t>경상남도 창원시 진해구 석동 287-5</t>
        </is>
      </c>
      <c r="AB161" s="0" t="inlineStr">
        <is>
          <t>경상남도</t>
        </is>
      </c>
      <c r="AC161" s="0" t="inlineStr">
        <is>
          <t>창원시</t>
        </is>
      </c>
      <c r="AD161" s="0" t="inlineStr">
        <is>
          <t>진해구</t>
        </is>
      </c>
      <c r="AE161" s="0" t="inlineStr">
        <is>
          <t>석동</t>
        </is>
      </c>
      <c r="AG161" s="0" t="inlineStr">
        <is>
          <t>경상남도 창원시 진해구 돌리로16번길 18</t>
        </is>
      </c>
      <c r="AH161" s="0" t="n">
        <v>0</v>
      </c>
      <c r="AI161" s="0" t="n">
        <v>230</v>
      </c>
      <c r="AJ161" s="0" t="n">
        <v>33</v>
      </c>
      <c r="AK161" s="0" t="n">
        <v>100</v>
      </c>
      <c r="AL161" s="0" t="n">
        <v>1.59</v>
      </c>
    </row>
    <row r="162">
      <c r="A162" s="0" t="inlineStr">
        <is>
          <t>[석동]</t>
        </is>
      </c>
      <c r="B162" s="0" t="n">
        <v>117620</v>
      </c>
      <c r="C162" s="0" t="n">
        <v>1</v>
      </c>
      <c r="D162" s="0" t="inlineStr">
        <is>
          <t>대림자동차공업(주)사원(대림)</t>
        </is>
      </c>
      <c r="E162" s="0" t="inlineStr">
        <is>
          <t>1992.09.</t>
        </is>
      </c>
      <c r="F162" s="0" t="n">
        <v>24</v>
      </c>
      <c r="G162" s="0" t="n">
        <v>14.84</v>
      </c>
      <c r="H162" s="0" t="n">
        <v>49.09</v>
      </c>
      <c r="I162" s="0" t="n">
        <v>13.44</v>
      </c>
      <c r="J162" s="0" t="n">
        <v>44.46</v>
      </c>
      <c r="K162" s="0" t="n">
        <v>24</v>
      </c>
      <c r="T162" s="0" t="n">
        <v>3</v>
      </c>
      <c r="U162" s="0" t="n">
        <v>2</v>
      </c>
      <c r="V162" s="0" t="inlineStr">
        <is>
          <t>복도식</t>
        </is>
      </c>
      <c r="W162" s="0" t="n">
        <v>49</v>
      </c>
      <c r="X162" s="0" t="n">
        <v>9</v>
      </c>
      <c r="Y162" s="0" t="n">
        <v>9</v>
      </c>
      <c r="Z162" s="0" t="inlineStr">
        <is>
          <t>https://new.land.naver.com/complexes/117620?tab=detail&amp;rf=Y</t>
        </is>
      </c>
      <c r="AA162" s="0" t="inlineStr">
        <is>
          <t>경상남도 창원시 진해구 석동 567</t>
        </is>
      </c>
      <c r="AB162" s="0" t="inlineStr">
        <is>
          <t>경상남도</t>
        </is>
      </c>
      <c r="AC162" s="0" t="inlineStr">
        <is>
          <t>창원시</t>
        </is>
      </c>
      <c r="AD162" s="0" t="inlineStr">
        <is>
          <t>진해구</t>
        </is>
      </c>
      <c r="AE162" s="0" t="inlineStr">
        <is>
          <t>석동</t>
        </is>
      </c>
      <c r="AG162" s="0" t="inlineStr">
        <is>
          <t>경상남도 창원시 진해구 진해대로763번길 11</t>
        </is>
      </c>
      <c r="AH162" s="0" t="n">
        <v>0</v>
      </c>
      <c r="AI162" s="0" t="n">
        <v>112</v>
      </c>
      <c r="AJ162" s="0" t="n">
        <v>16</v>
      </c>
      <c r="AK162" s="0" t="n">
        <v>3</v>
      </c>
      <c r="AL162" s="0" t="n">
        <v>0.12</v>
      </c>
    </row>
    <row r="163">
      <c r="A163" s="0" t="inlineStr">
        <is>
          <t>[석동]</t>
        </is>
      </c>
      <c r="B163" s="0" t="n">
        <v>13137</v>
      </c>
      <c r="C163" s="0" t="n">
        <v>1</v>
      </c>
      <c r="D163" s="0" t="inlineStr">
        <is>
          <t>벚꽃그린빌주공3단지</t>
        </is>
      </c>
      <c r="E163" s="0" t="inlineStr">
        <is>
          <t>2003.03.</t>
        </is>
      </c>
      <c r="F163" s="0" t="n">
        <v>613</v>
      </c>
      <c r="G163" s="0" t="n">
        <v>25.04</v>
      </c>
      <c r="H163" s="0" t="n">
        <v>82.79000000000001</v>
      </c>
      <c r="I163" s="0" t="n">
        <v>20.16</v>
      </c>
      <c r="J163" s="0" t="n">
        <v>66.66</v>
      </c>
      <c r="K163" s="0" t="n">
        <v>20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82</v>
      </c>
      <c r="X163" s="0" t="n">
        <v>7</v>
      </c>
      <c r="Y163" s="0" t="n">
        <v>5</v>
      </c>
      <c r="Z163" s="0" t="inlineStr">
        <is>
          <t>https://new.land.naver.com/complexes/13137?tab=detail&amp;rf=Y</t>
        </is>
      </c>
      <c r="AA163" s="0" t="inlineStr">
        <is>
          <t>경상남도 창원시 진해구 석동 656</t>
        </is>
      </c>
      <c r="AB163" s="0" t="inlineStr">
        <is>
          <t>경상남도</t>
        </is>
      </c>
      <c r="AC163" s="0" t="inlineStr">
        <is>
          <t>창원시</t>
        </is>
      </c>
      <c r="AD163" s="0" t="inlineStr">
        <is>
          <t>진해구</t>
        </is>
      </c>
      <c r="AE163" s="0" t="inlineStr">
        <is>
          <t>석동</t>
        </is>
      </c>
      <c r="AG163" s="0" t="inlineStr">
        <is>
          <t>경상남도 창원시 진해구 석동로 60</t>
        </is>
      </c>
      <c r="AH163" s="0" t="n">
        <v>0</v>
      </c>
      <c r="AI163" s="0" t="n">
        <v>122</v>
      </c>
      <c r="AJ163" s="0" t="n">
        <v>23</v>
      </c>
      <c r="AK163" s="0" t="n">
        <v>644</v>
      </c>
      <c r="AL163" s="0" t="n">
        <v>1.05</v>
      </c>
    </row>
    <row r="164">
      <c r="A164" s="0" t="inlineStr">
        <is>
          <t>[석동]</t>
        </is>
      </c>
      <c r="B164" s="0" t="n">
        <v>13137</v>
      </c>
      <c r="C164" s="0" t="n">
        <v>2</v>
      </c>
      <c r="D164" s="0" t="inlineStr">
        <is>
          <t>벚꽃그린빌주공3단지</t>
        </is>
      </c>
      <c r="E164" s="0" t="inlineStr">
        <is>
          <t>2003.03.</t>
        </is>
      </c>
      <c r="F164" s="0" t="n">
        <v>613</v>
      </c>
      <c r="G164" s="0" t="n">
        <v>31.92</v>
      </c>
      <c r="H164" s="0" t="n">
        <v>105.54</v>
      </c>
      <c r="I164" s="0" t="n">
        <v>25.7</v>
      </c>
      <c r="J164" s="0" t="n">
        <v>84.97</v>
      </c>
      <c r="K164" s="0" t="n">
        <v>413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105B</t>
        </is>
      </c>
      <c r="X164" s="0" t="n">
        <v>7</v>
      </c>
      <c r="Y164" s="0" t="n">
        <v>5</v>
      </c>
      <c r="Z164" s="0" t="inlineStr">
        <is>
          <t>https://new.land.naver.com/complexes/13137?tab=detail&amp;rf=Y</t>
        </is>
      </c>
      <c r="AA164" s="0" t="inlineStr">
        <is>
          <t>경상남도 창원시 진해구 석동 656</t>
        </is>
      </c>
      <c r="AB164" s="0" t="inlineStr">
        <is>
          <t>경상남도</t>
        </is>
      </c>
      <c r="AC164" s="0" t="inlineStr">
        <is>
          <t>창원시</t>
        </is>
      </c>
      <c r="AD164" s="0" t="inlineStr">
        <is>
          <t>진해구</t>
        </is>
      </c>
      <c r="AE164" s="0" t="inlineStr">
        <is>
          <t>석동</t>
        </is>
      </c>
      <c r="AG164" s="0" t="inlineStr">
        <is>
          <t>경상남도 창원시 진해구 석동로 60</t>
        </is>
      </c>
      <c r="AH164" s="0" t="n">
        <v>0</v>
      </c>
      <c r="AI164" s="0" t="n">
        <v>122</v>
      </c>
      <c r="AJ164" s="0" t="n">
        <v>23</v>
      </c>
      <c r="AK164" s="0" t="n">
        <v>644</v>
      </c>
      <c r="AL164" s="0" t="n">
        <v>1.05</v>
      </c>
    </row>
    <row r="165">
      <c r="A165" s="0" t="inlineStr">
        <is>
          <t>[석동]</t>
        </is>
      </c>
      <c r="B165" s="0" t="n">
        <v>13137</v>
      </c>
      <c r="C165" s="0" t="n">
        <v>3</v>
      </c>
      <c r="D165" s="0" t="inlineStr">
        <is>
          <t>벚꽃그린빌주공3단지</t>
        </is>
      </c>
      <c r="E165" s="0" t="inlineStr">
        <is>
          <t>2003.03.</t>
        </is>
      </c>
      <c r="F165" s="0" t="n">
        <v>613</v>
      </c>
      <c r="G165" s="0" t="n">
        <v>31.92</v>
      </c>
      <c r="H165" s="0" t="n">
        <v>105.54</v>
      </c>
      <c r="I165" s="0" t="n">
        <v>25.7</v>
      </c>
      <c r="J165" s="0" t="n">
        <v>84.97</v>
      </c>
      <c r="K165" s="0" t="n">
        <v>180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105A</t>
        </is>
      </c>
      <c r="X165" s="0" t="n">
        <v>7</v>
      </c>
      <c r="Y165" s="0" t="n">
        <v>5</v>
      </c>
      <c r="Z165" s="0" t="inlineStr">
        <is>
          <t>https://new.land.naver.com/complexes/13137?tab=detail&amp;rf=Y</t>
        </is>
      </c>
      <c r="AA165" s="0" t="inlineStr">
        <is>
          <t>경상남도 창원시 진해구 석동 656</t>
        </is>
      </c>
      <c r="AB165" s="0" t="inlineStr">
        <is>
          <t>경상남도</t>
        </is>
      </c>
      <c r="AC165" s="0" t="inlineStr">
        <is>
          <t>창원시</t>
        </is>
      </c>
      <c r="AD165" s="0" t="inlineStr">
        <is>
          <t>진해구</t>
        </is>
      </c>
      <c r="AE165" s="0" t="inlineStr">
        <is>
          <t>석동</t>
        </is>
      </c>
      <c r="AG165" s="0" t="inlineStr">
        <is>
          <t>경상남도 창원시 진해구 석동로 60</t>
        </is>
      </c>
      <c r="AH165" s="0" t="n">
        <v>0</v>
      </c>
      <c r="AI165" s="0" t="n">
        <v>122</v>
      </c>
      <c r="AJ165" s="0" t="n">
        <v>23</v>
      </c>
      <c r="AK165" s="0" t="n">
        <v>644</v>
      </c>
      <c r="AL165" s="0" t="n">
        <v>1.05</v>
      </c>
    </row>
    <row r="166">
      <c r="A166" s="0" t="inlineStr">
        <is>
          <t>[석동]</t>
        </is>
      </c>
      <c r="B166" s="0" t="n">
        <v>117737</v>
      </c>
      <c r="C166" s="0" t="n">
        <v>1</v>
      </c>
      <c r="D166" s="0" t="inlineStr">
        <is>
          <t>좋은아침</t>
        </is>
      </c>
      <c r="E166" s="0" t="inlineStr">
        <is>
          <t>2005.11.</t>
        </is>
      </c>
      <c r="F166" s="0" t="n">
        <v>19</v>
      </c>
      <c r="G166" s="0" t="n">
        <v>26.38</v>
      </c>
      <c r="H166" s="0" t="n">
        <v>87.23</v>
      </c>
      <c r="I166" s="0" t="n">
        <v>21.24</v>
      </c>
      <c r="J166" s="0" t="n">
        <v>70.22</v>
      </c>
      <c r="K166" s="0" t="n">
        <v>19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87</v>
      </c>
      <c r="X166" s="0" t="n">
        <v>12</v>
      </c>
      <c r="Y166" s="0" t="n">
        <v>7</v>
      </c>
      <c r="Z166" s="0" t="inlineStr">
        <is>
          <t>https://new.land.naver.com/complexes/117737?tab=detail&amp;rf=Y</t>
        </is>
      </c>
      <c r="AA166" s="0" t="inlineStr">
        <is>
          <t>경상남도 창원시 진해구 석동 407</t>
        </is>
      </c>
      <c r="AB166" s="0" t="inlineStr">
        <is>
          <t>경상남도</t>
        </is>
      </c>
      <c r="AC166" s="0" t="inlineStr">
        <is>
          <t>창원시</t>
        </is>
      </c>
      <c r="AD166" s="0" t="inlineStr">
        <is>
          <t>진해구</t>
        </is>
      </c>
      <c r="AE166" s="0" t="inlineStr">
        <is>
          <t>석동</t>
        </is>
      </c>
      <c r="AG166" s="0" t="inlineStr">
        <is>
          <t>경상남도 창원시 진해구 진해대로763번길 19</t>
        </is>
      </c>
      <c r="AH166" s="0" t="n">
        <v>0</v>
      </c>
      <c r="AI166" s="0" t="n">
        <v>192</v>
      </c>
      <c r="AJ166" s="0" t="n">
        <v>24</v>
      </c>
      <c r="AK166" s="0" t="n">
        <v>19</v>
      </c>
      <c r="AL166" s="0" t="n">
        <v>1</v>
      </c>
    </row>
    <row r="167">
      <c r="A167" s="0" t="inlineStr">
        <is>
          <t>[석동]</t>
        </is>
      </c>
      <c r="B167" s="0" t="n">
        <v>25487</v>
      </c>
      <c r="C167" s="0" t="n">
        <v>1</v>
      </c>
      <c r="D167" s="0" t="inlineStr">
        <is>
          <t>진해석동우림필유</t>
        </is>
      </c>
      <c r="E167" s="0" t="inlineStr">
        <is>
          <t>2008.03.</t>
        </is>
      </c>
      <c r="F167" s="0" t="n">
        <v>1192</v>
      </c>
      <c r="G167" s="0" t="n">
        <v>33.74</v>
      </c>
      <c r="H167" s="0" t="n">
        <v>111.56</v>
      </c>
      <c r="I167" s="0" t="n">
        <v>25.67</v>
      </c>
      <c r="J167" s="0" t="n">
        <v>84.86</v>
      </c>
      <c r="K167" s="0" t="n">
        <v>398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111</v>
      </c>
      <c r="X167" s="0" t="n">
        <v>15</v>
      </c>
      <c r="Y167" s="0" t="n">
        <v>8</v>
      </c>
      <c r="Z167" s="0" t="inlineStr">
        <is>
          <t>https://new.land.naver.com/complexes/25487?tab=detail&amp;rf=Y</t>
        </is>
      </c>
      <c r="AA167" s="0" t="inlineStr">
        <is>
          <t>경상남도 창원시 진해구 석동 675</t>
        </is>
      </c>
      <c r="AB167" s="0" t="inlineStr">
        <is>
          <t>경상남도</t>
        </is>
      </c>
      <c r="AC167" s="0" t="inlineStr">
        <is>
          <t>창원시</t>
        </is>
      </c>
      <c r="AD167" s="0" t="inlineStr">
        <is>
          <t>진해구</t>
        </is>
      </c>
      <c r="AE167" s="0" t="inlineStr">
        <is>
          <t>석동</t>
        </is>
      </c>
      <c r="AG167" s="0" t="inlineStr">
        <is>
          <t>경상남도 창원시 진해구 해원로 45</t>
        </is>
      </c>
      <c r="AH167" s="0" t="n">
        <v>0</v>
      </c>
      <c r="AI167" s="0" t="n">
        <v>159</v>
      </c>
      <c r="AJ167" s="0" t="n">
        <v>19</v>
      </c>
      <c r="AK167" s="0" t="n">
        <v>1604</v>
      </c>
      <c r="AL167" s="0" t="n">
        <v>1.35</v>
      </c>
    </row>
    <row r="168">
      <c r="A168" s="0" t="inlineStr">
        <is>
          <t>[석동]</t>
        </is>
      </c>
      <c r="B168" s="0" t="n">
        <v>25487</v>
      </c>
      <c r="C168" s="0" t="n">
        <v>2</v>
      </c>
      <c r="D168" s="0" t="inlineStr">
        <is>
          <t>진해석동우림필유</t>
        </is>
      </c>
      <c r="E168" s="0" t="inlineStr">
        <is>
          <t>2008.03.</t>
        </is>
      </c>
      <c r="F168" s="0" t="n">
        <v>1192</v>
      </c>
      <c r="G168" s="0" t="n">
        <v>34.01</v>
      </c>
      <c r="H168" s="0" t="n">
        <v>112.46</v>
      </c>
      <c r="I168" s="0" t="n">
        <v>25.7</v>
      </c>
      <c r="J168" s="0" t="n">
        <v>84.98999999999999</v>
      </c>
      <c r="K168" s="0" t="n">
        <v>238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112B</t>
        </is>
      </c>
      <c r="X168" s="0" t="n">
        <v>15</v>
      </c>
      <c r="Y168" s="0" t="n">
        <v>8</v>
      </c>
      <c r="Z168" s="0" t="inlineStr">
        <is>
          <t>https://new.land.naver.com/complexes/25487?tab=detail&amp;rf=Y</t>
        </is>
      </c>
      <c r="AA168" s="0" t="inlineStr">
        <is>
          <t>경상남도 창원시 진해구 석동 675</t>
        </is>
      </c>
      <c r="AB168" s="0" t="inlineStr">
        <is>
          <t>경상남도</t>
        </is>
      </c>
      <c r="AC168" s="0" t="inlineStr">
        <is>
          <t>창원시</t>
        </is>
      </c>
      <c r="AD168" s="0" t="inlineStr">
        <is>
          <t>진해구</t>
        </is>
      </c>
      <c r="AE168" s="0" t="inlineStr">
        <is>
          <t>석동</t>
        </is>
      </c>
      <c r="AG168" s="0" t="inlineStr">
        <is>
          <t>경상남도 창원시 진해구 해원로 45</t>
        </is>
      </c>
      <c r="AH168" s="0" t="n">
        <v>0</v>
      </c>
      <c r="AI168" s="0" t="n">
        <v>159</v>
      </c>
      <c r="AJ168" s="0" t="n">
        <v>19</v>
      </c>
      <c r="AK168" s="0" t="n">
        <v>1604</v>
      </c>
      <c r="AL168" s="0" t="n">
        <v>1.35</v>
      </c>
    </row>
    <row r="169">
      <c r="A169" s="0" t="inlineStr">
        <is>
          <t>[석동]</t>
        </is>
      </c>
      <c r="B169" s="0" t="n">
        <v>25487</v>
      </c>
      <c r="C169" s="0" t="n">
        <v>3</v>
      </c>
      <c r="D169" s="0" t="inlineStr">
        <is>
          <t>진해석동우림필유</t>
        </is>
      </c>
      <c r="E169" s="0" t="inlineStr">
        <is>
          <t>2008.03.</t>
        </is>
      </c>
      <c r="F169" s="0" t="n">
        <v>1192</v>
      </c>
      <c r="G169" s="0" t="n">
        <v>34.33</v>
      </c>
      <c r="H169" s="0" t="n">
        <v>113.52</v>
      </c>
      <c r="I169" s="0" t="n">
        <v>25.7</v>
      </c>
      <c r="J169" s="0" t="n">
        <v>84.98999999999999</v>
      </c>
      <c r="K169" s="0" t="n">
        <v>238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113A</t>
        </is>
      </c>
      <c r="X169" s="0" t="n">
        <v>15</v>
      </c>
      <c r="Y169" s="0" t="n">
        <v>8</v>
      </c>
      <c r="Z169" s="0" t="inlineStr">
        <is>
          <t>https://new.land.naver.com/complexes/25487?tab=detail&amp;rf=Y</t>
        </is>
      </c>
      <c r="AA169" s="0" t="inlineStr">
        <is>
          <t>경상남도 창원시 진해구 석동 675</t>
        </is>
      </c>
      <c r="AB169" s="0" t="inlineStr">
        <is>
          <t>경상남도</t>
        </is>
      </c>
      <c r="AC169" s="0" t="inlineStr">
        <is>
          <t>창원시</t>
        </is>
      </c>
      <c r="AD169" s="0" t="inlineStr">
        <is>
          <t>진해구</t>
        </is>
      </c>
      <c r="AE169" s="0" t="inlineStr">
        <is>
          <t>석동</t>
        </is>
      </c>
      <c r="AG169" s="0" t="inlineStr">
        <is>
          <t>경상남도 창원시 진해구 해원로 45</t>
        </is>
      </c>
      <c r="AH169" s="0" t="n">
        <v>0</v>
      </c>
      <c r="AI169" s="0" t="n">
        <v>159</v>
      </c>
      <c r="AJ169" s="0" t="n">
        <v>19</v>
      </c>
      <c r="AK169" s="0" t="n">
        <v>1604</v>
      </c>
      <c r="AL169" s="0" t="n">
        <v>1.35</v>
      </c>
    </row>
    <row r="170">
      <c r="A170" s="0" t="inlineStr">
        <is>
          <t>[석동]</t>
        </is>
      </c>
      <c r="B170" s="0" t="n">
        <v>25487</v>
      </c>
      <c r="C170" s="0" t="n">
        <v>4</v>
      </c>
      <c r="D170" s="0" t="inlineStr">
        <is>
          <t>진해석동우림필유</t>
        </is>
      </c>
      <c r="E170" s="0" t="inlineStr">
        <is>
          <t>2008.03.</t>
        </is>
      </c>
      <c r="F170" s="0" t="n">
        <v>1192</v>
      </c>
      <c r="G170" s="0" t="n">
        <v>49.51</v>
      </c>
      <c r="H170" s="0" t="n">
        <v>163.67</v>
      </c>
      <c r="I170" s="0" t="n">
        <v>40.34</v>
      </c>
      <c r="J170" s="0" t="n">
        <v>133.37</v>
      </c>
      <c r="K170" s="0" t="n">
        <v>146</v>
      </c>
      <c r="T170" s="0" t="n">
        <v>4</v>
      </c>
      <c r="U170" s="0" t="n">
        <v>2</v>
      </c>
      <c r="V170" s="0" t="inlineStr">
        <is>
          <t>계단식</t>
        </is>
      </c>
      <c r="W170" s="0" t="n">
        <v>163</v>
      </c>
      <c r="X170" s="0" t="n">
        <v>15</v>
      </c>
      <c r="Y170" s="0" t="n">
        <v>8</v>
      </c>
      <c r="Z170" s="0" t="inlineStr">
        <is>
          <t>https://new.land.naver.com/complexes/25487?tab=detail&amp;rf=Y</t>
        </is>
      </c>
      <c r="AA170" s="0" t="inlineStr">
        <is>
          <t>경상남도 창원시 진해구 석동 675</t>
        </is>
      </c>
      <c r="AB170" s="0" t="inlineStr">
        <is>
          <t>경상남도</t>
        </is>
      </c>
      <c r="AC170" s="0" t="inlineStr">
        <is>
          <t>창원시</t>
        </is>
      </c>
      <c r="AD170" s="0" t="inlineStr">
        <is>
          <t>진해구</t>
        </is>
      </c>
      <c r="AE170" s="0" t="inlineStr">
        <is>
          <t>석동</t>
        </is>
      </c>
      <c r="AG170" s="0" t="inlineStr">
        <is>
          <t>경상남도 창원시 진해구 해원로 45</t>
        </is>
      </c>
      <c r="AH170" s="0" t="n">
        <v>0</v>
      </c>
      <c r="AI170" s="0" t="n">
        <v>159</v>
      </c>
      <c r="AJ170" s="0" t="n">
        <v>19</v>
      </c>
      <c r="AK170" s="0" t="n">
        <v>1604</v>
      </c>
      <c r="AL170" s="0" t="n">
        <v>1.35</v>
      </c>
    </row>
    <row r="171">
      <c r="A171" s="0" t="inlineStr">
        <is>
          <t>[석동]</t>
        </is>
      </c>
      <c r="B171" s="0" t="n">
        <v>25487</v>
      </c>
      <c r="C171" s="0" t="n">
        <v>5</v>
      </c>
      <c r="D171" s="0" t="inlineStr">
        <is>
          <t>진해석동우림필유</t>
        </is>
      </c>
      <c r="E171" s="0" t="inlineStr">
        <is>
          <t>2008.03.</t>
        </is>
      </c>
      <c r="F171" s="0" t="n">
        <v>1192</v>
      </c>
      <c r="G171" s="0" t="n">
        <v>53.18</v>
      </c>
      <c r="H171" s="0" t="n">
        <v>175.81</v>
      </c>
      <c r="I171" s="0" t="n">
        <v>40.48</v>
      </c>
      <c r="J171" s="0" t="n">
        <v>133.82</v>
      </c>
      <c r="K171" s="0" t="n">
        <v>4</v>
      </c>
      <c r="T171" s="0" t="n">
        <v>4</v>
      </c>
      <c r="U171" s="0" t="n">
        <v>3</v>
      </c>
      <c r="V171" s="0" t="inlineStr">
        <is>
          <t>계단식</t>
        </is>
      </c>
      <c r="W171" s="0" t="inlineStr">
        <is>
          <t>175B</t>
        </is>
      </c>
      <c r="X171" s="0" t="n">
        <v>15</v>
      </c>
      <c r="Y171" s="0" t="n">
        <v>8</v>
      </c>
      <c r="Z171" s="0" t="inlineStr">
        <is>
          <t>https://new.land.naver.com/complexes/25487?tab=detail&amp;rf=Y</t>
        </is>
      </c>
      <c r="AA171" s="0" t="inlineStr">
        <is>
          <t>경상남도 창원시 진해구 석동 675</t>
        </is>
      </c>
      <c r="AB171" s="0" t="inlineStr">
        <is>
          <t>경상남도</t>
        </is>
      </c>
      <c r="AC171" s="0" t="inlineStr">
        <is>
          <t>창원시</t>
        </is>
      </c>
      <c r="AD171" s="0" t="inlineStr">
        <is>
          <t>진해구</t>
        </is>
      </c>
      <c r="AE171" s="0" t="inlineStr">
        <is>
          <t>석동</t>
        </is>
      </c>
      <c r="AG171" s="0" t="inlineStr">
        <is>
          <t>경상남도 창원시 진해구 해원로 45</t>
        </is>
      </c>
      <c r="AH171" s="0" t="n">
        <v>0</v>
      </c>
      <c r="AI171" s="0" t="n">
        <v>159</v>
      </c>
      <c r="AJ171" s="0" t="n">
        <v>19</v>
      </c>
      <c r="AK171" s="0" t="n">
        <v>1604</v>
      </c>
      <c r="AL171" s="0" t="n">
        <v>1.35</v>
      </c>
    </row>
    <row r="172">
      <c r="A172" s="0" t="inlineStr">
        <is>
          <t>[석동]</t>
        </is>
      </c>
      <c r="B172" s="0" t="n">
        <v>25487</v>
      </c>
      <c r="C172" s="0" t="n">
        <v>6</v>
      </c>
      <c r="D172" s="0" t="inlineStr">
        <is>
          <t>진해석동우림필유</t>
        </is>
      </c>
      <c r="E172" s="0" t="inlineStr">
        <is>
          <t>2008.03.</t>
        </is>
      </c>
      <c r="F172" s="0" t="n">
        <v>1192</v>
      </c>
      <c r="G172" s="0" t="n">
        <v>53.62</v>
      </c>
      <c r="H172" s="0" t="n">
        <v>177.26</v>
      </c>
      <c r="I172" s="0" t="n">
        <v>39.95</v>
      </c>
      <c r="J172" s="0" t="n">
        <v>132.09</v>
      </c>
      <c r="K172" s="0" t="n">
        <v>4</v>
      </c>
      <c r="T172" s="0" t="n">
        <v>4</v>
      </c>
      <c r="U172" s="0" t="n">
        <v>3</v>
      </c>
      <c r="V172" s="0" t="inlineStr">
        <is>
          <t>계단식</t>
        </is>
      </c>
      <c r="W172" s="0" t="inlineStr">
        <is>
          <t>177A</t>
        </is>
      </c>
      <c r="X172" s="0" t="n">
        <v>15</v>
      </c>
      <c r="Y172" s="0" t="n">
        <v>8</v>
      </c>
      <c r="Z172" s="0" t="inlineStr">
        <is>
          <t>https://new.land.naver.com/complexes/25487?tab=detail&amp;rf=Y</t>
        </is>
      </c>
      <c r="AA172" s="0" t="inlineStr">
        <is>
          <t>경상남도 창원시 진해구 석동 675</t>
        </is>
      </c>
      <c r="AB172" s="0" t="inlineStr">
        <is>
          <t>경상남도</t>
        </is>
      </c>
      <c r="AC172" s="0" t="inlineStr">
        <is>
          <t>창원시</t>
        </is>
      </c>
      <c r="AD172" s="0" t="inlineStr">
        <is>
          <t>진해구</t>
        </is>
      </c>
      <c r="AE172" s="0" t="inlineStr">
        <is>
          <t>석동</t>
        </is>
      </c>
      <c r="AG172" s="0" t="inlineStr">
        <is>
          <t>경상남도 창원시 진해구 해원로 45</t>
        </is>
      </c>
      <c r="AH172" s="0" t="n">
        <v>0</v>
      </c>
      <c r="AI172" s="0" t="n">
        <v>159</v>
      </c>
      <c r="AJ172" s="0" t="n">
        <v>19</v>
      </c>
      <c r="AK172" s="0" t="n">
        <v>1604</v>
      </c>
      <c r="AL172" s="0" t="n">
        <v>1.35</v>
      </c>
    </row>
    <row r="173">
      <c r="A173" s="0" t="inlineStr">
        <is>
          <t>[석동]</t>
        </is>
      </c>
      <c r="B173" s="0" t="n">
        <v>25487</v>
      </c>
      <c r="C173" s="0" t="n">
        <v>7</v>
      </c>
      <c r="D173" s="0" t="inlineStr">
        <is>
          <t>진해석동우림필유</t>
        </is>
      </c>
      <c r="E173" s="0" t="inlineStr">
        <is>
          <t>2008.03.</t>
        </is>
      </c>
      <c r="F173" s="0" t="n">
        <v>1192</v>
      </c>
      <c r="G173" s="0" t="n">
        <v>59.12</v>
      </c>
      <c r="H173" s="0" t="n">
        <v>195.46</v>
      </c>
      <c r="I173" s="0" t="n">
        <v>48.92</v>
      </c>
      <c r="J173" s="0" t="n">
        <v>161.75</v>
      </c>
      <c r="K173" s="0" t="n">
        <v>52</v>
      </c>
      <c r="T173" s="0" t="n">
        <v>4</v>
      </c>
      <c r="U173" s="0" t="n">
        <v>3</v>
      </c>
      <c r="V173" s="0" t="inlineStr">
        <is>
          <t>계단식</t>
        </is>
      </c>
      <c r="W173" s="0" t="inlineStr">
        <is>
          <t>195B</t>
        </is>
      </c>
      <c r="X173" s="0" t="n">
        <v>15</v>
      </c>
      <c r="Y173" s="0" t="n">
        <v>8</v>
      </c>
      <c r="Z173" s="0" t="inlineStr">
        <is>
          <t>https://new.land.naver.com/complexes/25487?tab=detail&amp;rf=Y</t>
        </is>
      </c>
      <c r="AA173" s="0" t="inlineStr">
        <is>
          <t>경상남도 창원시 진해구 석동 675</t>
        </is>
      </c>
      <c r="AB173" s="0" t="inlineStr">
        <is>
          <t>경상남도</t>
        </is>
      </c>
      <c r="AC173" s="0" t="inlineStr">
        <is>
          <t>창원시</t>
        </is>
      </c>
      <c r="AD173" s="0" t="inlineStr">
        <is>
          <t>진해구</t>
        </is>
      </c>
      <c r="AE173" s="0" t="inlineStr">
        <is>
          <t>석동</t>
        </is>
      </c>
      <c r="AG173" s="0" t="inlineStr">
        <is>
          <t>경상남도 창원시 진해구 해원로 45</t>
        </is>
      </c>
      <c r="AH173" s="0" t="n">
        <v>0</v>
      </c>
      <c r="AI173" s="0" t="n">
        <v>159</v>
      </c>
      <c r="AJ173" s="0" t="n">
        <v>19</v>
      </c>
      <c r="AK173" s="0" t="n">
        <v>1604</v>
      </c>
      <c r="AL173" s="0" t="n">
        <v>1.35</v>
      </c>
    </row>
    <row r="174">
      <c r="A174" s="0" t="inlineStr">
        <is>
          <t>[석동]</t>
        </is>
      </c>
      <c r="B174" s="0" t="n">
        <v>25487</v>
      </c>
      <c r="C174" s="0" t="n">
        <v>8</v>
      </c>
      <c r="D174" s="0" t="inlineStr">
        <is>
          <t>진해석동우림필유</t>
        </is>
      </c>
      <c r="E174" s="0" t="inlineStr">
        <is>
          <t>2008.03.</t>
        </is>
      </c>
      <c r="F174" s="0" t="n">
        <v>1192</v>
      </c>
      <c r="G174" s="0" t="n">
        <v>59.42</v>
      </c>
      <c r="H174" s="0" t="n">
        <v>196.43</v>
      </c>
      <c r="I174" s="0" t="n">
        <v>48.31</v>
      </c>
      <c r="J174" s="0" t="n">
        <v>159.72</v>
      </c>
      <c r="K174" s="0" t="n">
        <v>51</v>
      </c>
      <c r="T174" s="0" t="n">
        <v>4</v>
      </c>
      <c r="U174" s="0" t="n">
        <v>2</v>
      </c>
      <c r="V174" s="0" t="inlineStr">
        <is>
          <t>계단식</t>
        </is>
      </c>
      <c r="W174" s="0" t="inlineStr">
        <is>
          <t>196A</t>
        </is>
      </c>
      <c r="X174" s="0" t="n">
        <v>15</v>
      </c>
      <c r="Y174" s="0" t="n">
        <v>8</v>
      </c>
      <c r="Z174" s="0" t="inlineStr">
        <is>
          <t>https://new.land.naver.com/complexes/25487?tab=detail&amp;rf=Y</t>
        </is>
      </c>
      <c r="AA174" s="0" t="inlineStr">
        <is>
          <t>경상남도 창원시 진해구 석동 675</t>
        </is>
      </c>
      <c r="AB174" s="0" t="inlineStr">
        <is>
          <t>경상남도</t>
        </is>
      </c>
      <c r="AC174" s="0" t="inlineStr">
        <is>
          <t>창원시</t>
        </is>
      </c>
      <c r="AD174" s="0" t="inlineStr">
        <is>
          <t>진해구</t>
        </is>
      </c>
      <c r="AE174" s="0" t="inlineStr">
        <is>
          <t>석동</t>
        </is>
      </c>
      <c r="AG174" s="0" t="inlineStr">
        <is>
          <t>경상남도 창원시 진해구 해원로 45</t>
        </is>
      </c>
      <c r="AH174" s="0" t="n">
        <v>0</v>
      </c>
      <c r="AI174" s="0" t="n">
        <v>159</v>
      </c>
      <c r="AJ174" s="0" t="n">
        <v>19</v>
      </c>
      <c r="AK174" s="0" t="n">
        <v>1604</v>
      </c>
      <c r="AL174" s="0" t="n">
        <v>1.35</v>
      </c>
    </row>
    <row r="175">
      <c r="A175" s="0" t="inlineStr">
        <is>
          <t>[석동]</t>
        </is>
      </c>
      <c r="B175" s="0" t="n">
        <v>25487</v>
      </c>
      <c r="C175" s="0" t="n">
        <v>9</v>
      </c>
      <c r="D175" s="0" t="inlineStr">
        <is>
          <t>진해석동우림필유</t>
        </is>
      </c>
      <c r="E175" s="0" t="inlineStr">
        <is>
          <t>2008.03.</t>
        </is>
      </c>
      <c r="F175" s="0" t="n">
        <v>1192</v>
      </c>
      <c r="G175" s="0" t="n">
        <v>69.23</v>
      </c>
      <c r="H175" s="0" t="n">
        <v>228.88</v>
      </c>
      <c r="I175" s="0" t="n">
        <v>57.46</v>
      </c>
      <c r="J175" s="0" t="n">
        <v>189.96</v>
      </c>
      <c r="K175" s="0" t="n">
        <v>56</v>
      </c>
      <c r="T175" s="0" t="n">
        <v>4</v>
      </c>
      <c r="U175" s="0" t="n">
        <v>3</v>
      </c>
      <c r="V175" s="0" t="inlineStr">
        <is>
          <t>계단식</t>
        </is>
      </c>
      <c r="W175" s="0" t="n">
        <v>228</v>
      </c>
      <c r="X175" s="0" t="n">
        <v>15</v>
      </c>
      <c r="Y175" s="0" t="n">
        <v>8</v>
      </c>
      <c r="Z175" s="0" t="inlineStr">
        <is>
          <t>https://new.land.naver.com/complexes/25487?tab=detail&amp;rf=Y</t>
        </is>
      </c>
      <c r="AA175" s="0" t="inlineStr">
        <is>
          <t>경상남도 창원시 진해구 석동 675</t>
        </is>
      </c>
      <c r="AB175" s="0" t="inlineStr">
        <is>
          <t>경상남도</t>
        </is>
      </c>
      <c r="AC175" s="0" t="inlineStr">
        <is>
          <t>창원시</t>
        </is>
      </c>
      <c r="AD175" s="0" t="inlineStr">
        <is>
          <t>진해구</t>
        </is>
      </c>
      <c r="AE175" s="0" t="inlineStr">
        <is>
          <t>석동</t>
        </is>
      </c>
      <c r="AG175" s="0" t="inlineStr">
        <is>
          <t>경상남도 창원시 진해구 해원로 45</t>
        </is>
      </c>
      <c r="AH175" s="0" t="n">
        <v>0</v>
      </c>
      <c r="AI175" s="0" t="n">
        <v>159</v>
      </c>
      <c r="AJ175" s="0" t="n">
        <v>19</v>
      </c>
      <c r="AK175" s="0" t="n">
        <v>1604</v>
      </c>
      <c r="AL175" s="0" t="n">
        <v>1.35</v>
      </c>
    </row>
    <row r="176">
      <c r="A176" s="0" t="inlineStr">
        <is>
          <t>[석동]</t>
        </is>
      </c>
      <c r="B176" s="0" t="n">
        <v>25487</v>
      </c>
      <c r="C176" s="0" t="n">
        <v>10</v>
      </c>
      <c r="D176" s="0" t="inlineStr">
        <is>
          <t>진해석동우림필유</t>
        </is>
      </c>
      <c r="E176" s="0" t="inlineStr">
        <is>
          <t>2008.03.</t>
        </is>
      </c>
      <c r="F176" s="0" t="n">
        <v>1192</v>
      </c>
      <c r="G176" s="0" t="n">
        <v>93.02</v>
      </c>
      <c r="H176" s="0" t="n">
        <v>307.51</v>
      </c>
      <c r="I176" s="0" t="n">
        <v>78.25</v>
      </c>
      <c r="J176" s="0" t="n">
        <v>258.68</v>
      </c>
      <c r="K176" s="0" t="n">
        <v>3</v>
      </c>
      <c r="T176" s="0" t="n">
        <v>5</v>
      </c>
      <c r="U176" s="0" t="n">
        <v>3</v>
      </c>
      <c r="V176" s="0" t="inlineStr">
        <is>
          <t>계단식</t>
        </is>
      </c>
      <c r="W176" s="0" t="n">
        <v>307</v>
      </c>
      <c r="X176" s="0" t="n">
        <v>15</v>
      </c>
      <c r="Y176" s="0" t="n">
        <v>8</v>
      </c>
      <c r="Z176" s="0" t="inlineStr">
        <is>
          <t>https://new.land.naver.com/complexes/25487?tab=detail&amp;rf=Y</t>
        </is>
      </c>
      <c r="AA176" s="0" t="inlineStr">
        <is>
          <t>경상남도 창원시 진해구 석동 675</t>
        </is>
      </c>
      <c r="AB176" s="0" t="inlineStr">
        <is>
          <t>경상남도</t>
        </is>
      </c>
      <c r="AC176" s="0" t="inlineStr">
        <is>
          <t>창원시</t>
        </is>
      </c>
      <c r="AD176" s="0" t="inlineStr">
        <is>
          <t>진해구</t>
        </is>
      </c>
      <c r="AE176" s="0" t="inlineStr">
        <is>
          <t>석동</t>
        </is>
      </c>
      <c r="AG176" s="0" t="inlineStr">
        <is>
          <t>경상남도 창원시 진해구 해원로 45</t>
        </is>
      </c>
      <c r="AH176" s="0" t="n">
        <v>0</v>
      </c>
      <c r="AI176" s="0" t="n">
        <v>159</v>
      </c>
      <c r="AJ176" s="0" t="n">
        <v>19</v>
      </c>
      <c r="AK176" s="0" t="n">
        <v>1604</v>
      </c>
      <c r="AL176" s="0" t="n">
        <v>1.35</v>
      </c>
    </row>
    <row r="177">
      <c r="A177" s="0" t="inlineStr">
        <is>
          <t>[석동]</t>
        </is>
      </c>
      <c r="B177" s="0" t="n">
        <v>25487</v>
      </c>
      <c r="C177" s="0" t="n">
        <v>11</v>
      </c>
      <c r="D177" s="0" t="inlineStr">
        <is>
          <t>진해석동우림필유</t>
        </is>
      </c>
      <c r="E177" s="0" t="inlineStr">
        <is>
          <t>2008.03.</t>
        </is>
      </c>
      <c r="F177" s="0" t="n">
        <v>1192</v>
      </c>
      <c r="G177" s="0" t="n">
        <v>94.91</v>
      </c>
      <c r="H177" s="0" t="n">
        <v>313.78</v>
      </c>
      <c r="I177" s="0" t="n">
        <v>80.52</v>
      </c>
      <c r="J177" s="0" t="n">
        <v>266.21</v>
      </c>
      <c r="K177" s="0" t="n">
        <v>2</v>
      </c>
      <c r="T177" s="0" t="n">
        <v>5</v>
      </c>
      <c r="U177" s="0" t="n">
        <v>3</v>
      </c>
      <c r="V177" s="0" t="inlineStr">
        <is>
          <t>계단식</t>
        </is>
      </c>
      <c r="W177" s="0" t="n">
        <v>313</v>
      </c>
      <c r="X177" s="0" t="n">
        <v>15</v>
      </c>
      <c r="Y177" s="0" t="n">
        <v>8</v>
      </c>
      <c r="Z177" s="0" t="inlineStr">
        <is>
          <t>https://new.land.naver.com/complexes/25487?tab=detail&amp;rf=Y</t>
        </is>
      </c>
      <c r="AA177" s="0" t="inlineStr">
        <is>
          <t>경상남도 창원시 진해구 석동 675</t>
        </is>
      </c>
      <c r="AB177" s="0" t="inlineStr">
        <is>
          <t>경상남도</t>
        </is>
      </c>
      <c r="AC177" s="0" t="inlineStr">
        <is>
          <t>창원시</t>
        </is>
      </c>
      <c r="AD177" s="0" t="inlineStr">
        <is>
          <t>진해구</t>
        </is>
      </c>
      <c r="AE177" s="0" t="inlineStr">
        <is>
          <t>석동</t>
        </is>
      </c>
      <c r="AG177" s="0" t="inlineStr">
        <is>
          <t>경상남도 창원시 진해구 해원로 45</t>
        </is>
      </c>
      <c r="AH177" s="0" t="n">
        <v>0</v>
      </c>
      <c r="AI177" s="0" t="n">
        <v>159</v>
      </c>
      <c r="AJ177" s="0" t="n">
        <v>19</v>
      </c>
      <c r="AK177" s="0" t="n">
        <v>1604</v>
      </c>
      <c r="AL177" s="0" t="n">
        <v>1.35</v>
      </c>
    </row>
    <row r="178">
      <c r="A178" s="0" t="inlineStr">
        <is>
          <t>[석동]</t>
        </is>
      </c>
      <c r="B178" s="0" t="n">
        <v>13135</v>
      </c>
      <c r="C178" s="0" t="n">
        <v>1</v>
      </c>
      <c r="D178" s="0" t="inlineStr">
        <is>
          <t>벚꽃그린빌주공4단지</t>
        </is>
      </c>
      <c r="E178" s="0" t="inlineStr">
        <is>
          <t>2003.07.</t>
        </is>
      </c>
      <c r="F178" s="0" t="n">
        <v>397</v>
      </c>
      <c r="G178" s="0" t="n">
        <v>21.22</v>
      </c>
      <c r="H178" s="0" t="n">
        <v>70.16</v>
      </c>
      <c r="I178" s="0" t="n">
        <v>18.09</v>
      </c>
      <c r="J178" s="0" t="n">
        <v>59.83</v>
      </c>
      <c r="K178" s="0" t="n">
        <v>43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70</v>
      </c>
      <c r="X178" s="0" t="n">
        <v>4</v>
      </c>
      <c r="Y178" s="0" t="n">
        <v>4</v>
      </c>
      <c r="Z178" s="0" t="inlineStr">
        <is>
          <t>https://new.land.naver.com/complexes/13135?tab=detail&amp;rf=Y</t>
        </is>
      </c>
      <c r="AA178" s="0" t="inlineStr">
        <is>
          <t>경상남도 창원시 진해구 석동 659</t>
        </is>
      </c>
      <c r="AB178" s="0" t="inlineStr">
        <is>
          <t>경상남도</t>
        </is>
      </c>
      <c r="AC178" s="0" t="inlineStr">
        <is>
          <t>창원시</t>
        </is>
      </c>
      <c r="AD178" s="0" t="inlineStr">
        <is>
          <t>진해구</t>
        </is>
      </c>
      <c r="AE178" s="0" t="inlineStr">
        <is>
          <t>석동</t>
        </is>
      </c>
      <c r="AG178" s="0" t="inlineStr">
        <is>
          <t>경상남도 창원시 진해구 석동로 80</t>
        </is>
      </c>
      <c r="AH178" s="0" t="n">
        <v>0</v>
      </c>
      <c r="AI178" s="0" t="n">
        <v>84</v>
      </c>
      <c r="AJ178" s="0" t="n">
        <v>25</v>
      </c>
      <c r="AK178" s="0" t="n">
        <v>366</v>
      </c>
      <c r="AL178" s="0" t="n">
        <v>0.92</v>
      </c>
    </row>
    <row r="179">
      <c r="A179" s="0" t="inlineStr">
        <is>
          <t>[석동]</t>
        </is>
      </c>
      <c r="B179" s="0" t="n">
        <v>13135</v>
      </c>
      <c r="C179" s="0" t="n">
        <v>2</v>
      </c>
      <c r="D179" s="0" t="inlineStr">
        <is>
          <t>벚꽃그린빌주공4단지</t>
        </is>
      </c>
      <c r="E179" s="0" t="inlineStr">
        <is>
          <t>2003.07.</t>
        </is>
      </c>
      <c r="F179" s="0" t="n">
        <v>397</v>
      </c>
      <c r="G179" s="0" t="n">
        <v>22.95</v>
      </c>
      <c r="H179" s="0" t="n">
        <v>75.87</v>
      </c>
      <c r="I179" s="0" t="n">
        <v>18.09</v>
      </c>
      <c r="J179" s="0" t="n">
        <v>59.83</v>
      </c>
      <c r="K179" s="0" t="n">
        <v>132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75</v>
      </c>
      <c r="X179" s="0" t="n">
        <v>4</v>
      </c>
      <c r="Y179" s="0" t="n">
        <v>4</v>
      </c>
      <c r="Z179" s="0" t="inlineStr">
        <is>
          <t>https://new.land.naver.com/complexes/13135?tab=detail&amp;rf=Y</t>
        </is>
      </c>
      <c r="AA179" s="0" t="inlineStr">
        <is>
          <t>경상남도 창원시 진해구 석동 659</t>
        </is>
      </c>
      <c r="AB179" s="0" t="inlineStr">
        <is>
          <t>경상남도</t>
        </is>
      </c>
      <c r="AC179" s="0" t="inlineStr">
        <is>
          <t>창원시</t>
        </is>
      </c>
      <c r="AD179" s="0" t="inlineStr">
        <is>
          <t>진해구</t>
        </is>
      </c>
      <c r="AE179" s="0" t="inlineStr">
        <is>
          <t>석동</t>
        </is>
      </c>
      <c r="AG179" s="0" t="inlineStr">
        <is>
          <t>경상남도 창원시 진해구 석동로 80</t>
        </is>
      </c>
      <c r="AH179" s="0" t="n">
        <v>0</v>
      </c>
      <c r="AI179" s="0" t="n">
        <v>84</v>
      </c>
      <c r="AJ179" s="0" t="n">
        <v>25</v>
      </c>
      <c r="AK179" s="0" t="n">
        <v>366</v>
      </c>
      <c r="AL179" s="0" t="n">
        <v>0.92</v>
      </c>
    </row>
    <row r="180">
      <c r="A180" s="0" t="inlineStr">
        <is>
          <t>[석동]</t>
        </is>
      </c>
      <c r="B180" s="0" t="n">
        <v>13135</v>
      </c>
      <c r="C180" s="0" t="n">
        <v>3</v>
      </c>
      <c r="D180" s="0" t="inlineStr">
        <is>
          <t>벚꽃그린빌주공4단지</t>
        </is>
      </c>
      <c r="E180" s="0" t="inlineStr">
        <is>
          <t>2003.07.</t>
        </is>
      </c>
      <c r="F180" s="0" t="n">
        <v>397</v>
      </c>
      <c r="G180" s="0" t="n">
        <v>26.58</v>
      </c>
      <c r="H180" s="0" t="n">
        <v>87.90000000000001</v>
      </c>
      <c r="I180" s="0" t="n">
        <v>22.67</v>
      </c>
      <c r="J180" s="0" t="n">
        <v>74.95999999999999</v>
      </c>
      <c r="K180" s="0" t="n">
        <v>34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87</v>
      </c>
      <c r="X180" s="0" t="n">
        <v>4</v>
      </c>
      <c r="Y180" s="0" t="n">
        <v>4</v>
      </c>
      <c r="Z180" s="0" t="inlineStr">
        <is>
          <t>https://new.land.naver.com/complexes/13135?tab=detail&amp;rf=Y</t>
        </is>
      </c>
      <c r="AA180" s="0" t="inlineStr">
        <is>
          <t>경상남도 창원시 진해구 석동 659</t>
        </is>
      </c>
      <c r="AB180" s="0" t="inlineStr">
        <is>
          <t>경상남도</t>
        </is>
      </c>
      <c r="AC180" s="0" t="inlineStr">
        <is>
          <t>창원시</t>
        </is>
      </c>
      <c r="AD180" s="0" t="inlineStr">
        <is>
          <t>진해구</t>
        </is>
      </c>
      <c r="AE180" s="0" t="inlineStr">
        <is>
          <t>석동</t>
        </is>
      </c>
      <c r="AG180" s="0" t="inlineStr">
        <is>
          <t>경상남도 창원시 진해구 석동로 80</t>
        </is>
      </c>
      <c r="AH180" s="0" t="n">
        <v>0</v>
      </c>
      <c r="AI180" s="0" t="n">
        <v>84</v>
      </c>
      <c r="AJ180" s="0" t="n">
        <v>25</v>
      </c>
      <c r="AK180" s="0" t="n">
        <v>366</v>
      </c>
      <c r="AL180" s="0" t="n">
        <v>0.92</v>
      </c>
    </row>
    <row r="181">
      <c r="A181" s="0" t="inlineStr">
        <is>
          <t>[석동]</t>
        </is>
      </c>
      <c r="B181" s="0" t="n">
        <v>13135</v>
      </c>
      <c r="C181" s="0" t="n">
        <v>4</v>
      </c>
      <c r="D181" s="0" t="inlineStr">
        <is>
          <t>벚꽃그린빌주공4단지</t>
        </is>
      </c>
      <c r="E181" s="0" t="inlineStr">
        <is>
          <t>2003.07.</t>
        </is>
      </c>
      <c r="F181" s="0" t="n">
        <v>397</v>
      </c>
      <c r="G181" s="0" t="n">
        <v>28.61</v>
      </c>
      <c r="H181" s="0" t="n">
        <v>94.59999999999999</v>
      </c>
      <c r="I181" s="0" t="n">
        <v>22.67</v>
      </c>
      <c r="J181" s="0" t="n">
        <v>74.95999999999999</v>
      </c>
      <c r="K181" s="0" t="n">
        <v>108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94</v>
      </c>
      <c r="X181" s="0" t="n">
        <v>4</v>
      </c>
      <c r="Y181" s="0" t="n">
        <v>4</v>
      </c>
      <c r="Z181" s="0" t="inlineStr">
        <is>
          <t>https://new.land.naver.com/complexes/13135?tab=detail&amp;rf=Y</t>
        </is>
      </c>
      <c r="AA181" s="0" t="inlineStr">
        <is>
          <t>경상남도 창원시 진해구 석동 659</t>
        </is>
      </c>
      <c r="AB181" s="0" t="inlineStr">
        <is>
          <t>경상남도</t>
        </is>
      </c>
      <c r="AC181" s="0" t="inlineStr">
        <is>
          <t>창원시</t>
        </is>
      </c>
      <c r="AD181" s="0" t="inlineStr">
        <is>
          <t>진해구</t>
        </is>
      </c>
      <c r="AE181" s="0" t="inlineStr">
        <is>
          <t>석동</t>
        </is>
      </c>
      <c r="AG181" s="0" t="inlineStr">
        <is>
          <t>경상남도 창원시 진해구 석동로 80</t>
        </is>
      </c>
      <c r="AH181" s="0" t="n">
        <v>0</v>
      </c>
      <c r="AI181" s="0" t="n">
        <v>84</v>
      </c>
      <c r="AJ181" s="0" t="n">
        <v>25</v>
      </c>
      <c r="AK181" s="0" t="n">
        <v>366</v>
      </c>
      <c r="AL181" s="0" t="n">
        <v>0.92</v>
      </c>
    </row>
    <row r="182">
      <c r="A182" s="0" t="inlineStr">
        <is>
          <t>[석동]</t>
        </is>
      </c>
      <c r="B182" s="0" t="n">
        <v>13135</v>
      </c>
      <c r="C182" s="0" t="n">
        <v>5</v>
      </c>
      <c r="D182" s="0" t="inlineStr">
        <is>
          <t>벚꽃그린빌주공4단지</t>
        </is>
      </c>
      <c r="E182" s="0" t="inlineStr">
        <is>
          <t>2003.07.</t>
        </is>
      </c>
      <c r="F182" s="0" t="n">
        <v>397</v>
      </c>
      <c r="G182" s="0" t="n">
        <v>30.13</v>
      </c>
      <c r="H182" s="0" t="n">
        <v>99.63</v>
      </c>
      <c r="I182" s="0" t="n">
        <v>25.7</v>
      </c>
      <c r="J182" s="0" t="n">
        <v>84.95999999999999</v>
      </c>
      <c r="K182" s="0" t="n">
        <v>20</v>
      </c>
      <c r="T182" s="0" t="n">
        <v>3</v>
      </c>
      <c r="U182" s="0" t="n">
        <v>2</v>
      </c>
      <c r="V182" s="0" t="inlineStr">
        <is>
          <t>복도식</t>
        </is>
      </c>
      <c r="W182" s="0" t="n">
        <v>99</v>
      </c>
      <c r="X182" s="0" t="n">
        <v>4</v>
      </c>
      <c r="Y182" s="0" t="n">
        <v>4</v>
      </c>
      <c r="Z182" s="0" t="inlineStr">
        <is>
          <t>https://new.land.naver.com/complexes/13135?tab=detail&amp;rf=Y</t>
        </is>
      </c>
      <c r="AA182" s="0" t="inlineStr">
        <is>
          <t>경상남도 창원시 진해구 석동 659</t>
        </is>
      </c>
      <c r="AB182" s="0" t="inlineStr">
        <is>
          <t>경상남도</t>
        </is>
      </c>
      <c r="AC182" s="0" t="inlineStr">
        <is>
          <t>창원시</t>
        </is>
      </c>
      <c r="AD182" s="0" t="inlineStr">
        <is>
          <t>진해구</t>
        </is>
      </c>
      <c r="AE182" s="0" t="inlineStr">
        <is>
          <t>석동</t>
        </is>
      </c>
      <c r="AG182" s="0" t="inlineStr">
        <is>
          <t>경상남도 창원시 진해구 석동로 80</t>
        </is>
      </c>
      <c r="AH182" s="0" t="n">
        <v>0</v>
      </c>
      <c r="AI182" s="0" t="n">
        <v>84</v>
      </c>
      <c r="AJ182" s="0" t="n">
        <v>25</v>
      </c>
      <c r="AK182" s="0" t="n">
        <v>366</v>
      </c>
      <c r="AL182" s="0" t="n">
        <v>0.92</v>
      </c>
    </row>
    <row r="183">
      <c r="A183" s="0" t="inlineStr">
        <is>
          <t>[석동]</t>
        </is>
      </c>
      <c r="B183" s="0" t="n">
        <v>13135</v>
      </c>
      <c r="C183" s="0" t="n">
        <v>6</v>
      </c>
      <c r="D183" s="0" t="inlineStr">
        <is>
          <t>벚꽃그린빌주공4단지</t>
        </is>
      </c>
      <c r="E183" s="0" t="inlineStr">
        <is>
          <t>2003.07.</t>
        </is>
      </c>
      <c r="F183" s="0" t="n">
        <v>397</v>
      </c>
      <c r="G183" s="0" t="n">
        <v>32.37</v>
      </c>
      <c r="H183" s="0" t="n">
        <v>107.03</v>
      </c>
      <c r="I183" s="0" t="n">
        <v>25.7</v>
      </c>
      <c r="J183" s="0" t="n">
        <v>84.95999999999999</v>
      </c>
      <c r="K183" s="0" t="n">
        <v>60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107</v>
      </c>
      <c r="X183" s="0" t="n">
        <v>4</v>
      </c>
      <c r="Y183" s="0" t="n">
        <v>4</v>
      </c>
      <c r="Z183" s="0" t="inlineStr">
        <is>
          <t>https://new.land.naver.com/complexes/13135?tab=detail&amp;rf=Y</t>
        </is>
      </c>
      <c r="AA183" s="0" t="inlineStr">
        <is>
          <t>경상남도 창원시 진해구 석동 659</t>
        </is>
      </c>
      <c r="AB183" s="0" t="inlineStr">
        <is>
          <t>경상남도</t>
        </is>
      </c>
      <c r="AC183" s="0" t="inlineStr">
        <is>
          <t>창원시</t>
        </is>
      </c>
      <c r="AD183" s="0" t="inlineStr">
        <is>
          <t>진해구</t>
        </is>
      </c>
      <c r="AE183" s="0" t="inlineStr">
        <is>
          <t>석동</t>
        </is>
      </c>
      <c r="AG183" s="0" t="inlineStr">
        <is>
          <t>경상남도 창원시 진해구 석동로 80</t>
        </is>
      </c>
      <c r="AH183" s="0" t="n">
        <v>0</v>
      </c>
      <c r="AI183" s="0" t="n">
        <v>84</v>
      </c>
      <c r="AJ183" s="0" t="n">
        <v>25</v>
      </c>
      <c r="AK183" s="0" t="n">
        <v>366</v>
      </c>
      <c r="AL183" s="0" t="n">
        <v>0.92</v>
      </c>
    </row>
    <row r="184">
      <c r="A184" s="0" t="inlineStr">
        <is>
          <t>[석동]</t>
        </is>
      </c>
      <c r="B184" s="0" t="n">
        <v>7559</v>
      </c>
      <c r="C184" s="0" t="n">
        <v>1</v>
      </c>
      <c r="D184" s="0" t="inlineStr">
        <is>
          <t>진해한림</t>
        </is>
      </c>
      <c r="E184" s="0" t="inlineStr">
        <is>
          <t>1995.06.</t>
        </is>
      </c>
      <c r="F184" s="0" t="n">
        <v>110</v>
      </c>
      <c r="G184" s="0" t="n">
        <v>17.6</v>
      </c>
      <c r="H184" s="0" t="n">
        <v>58.21</v>
      </c>
      <c r="I184" s="0" t="n">
        <v>14.43</v>
      </c>
      <c r="J184" s="0" t="n">
        <v>47.72</v>
      </c>
      <c r="K184" s="0" t="n">
        <v>10</v>
      </c>
      <c r="T184" s="0" t="n">
        <v>2</v>
      </c>
      <c r="U184" s="0" t="n">
        <v>1</v>
      </c>
      <c r="V184" s="0" t="inlineStr">
        <is>
          <t>복도식</t>
        </is>
      </c>
      <c r="W184" s="0" t="n">
        <v>58</v>
      </c>
      <c r="X184" s="0" t="n">
        <v>5</v>
      </c>
      <c r="Y184" s="0" t="n">
        <v>5</v>
      </c>
      <c r="Z184" s="0" t="inlineStr">
        <is>
          <t>https://new.land.naver.com/complexes/7559?tab=detail&amp;rf=Y</t>
        </is>
      </c>
      <c r="AA184" s="0" t="inlineStr">
        <is>
          <t>경상남도 창원시 진해구 석동 607</t>
        </is>
      </c>
      <c r="AB184" s="0" t="inlineStr">
        <is>
          <t>경상남도</t>
        </is>
      </c>
      <c r="AC184" s="0" t="inlineStr">
        <is>
          <t>창원시</t>
        </is>
      </c>
      <c r="AD184" s="0" t="inlineStr">
        <is>
          <t>진해구</t>
        </is>
      </c>
      <c r="AE184" s="0" t="inlineStr">
        <is>
          <t>석동</t>
        </is>
      </c>
      <c r="AG184" s="0" t="inlineStr">
        <is>
          <t>경상남도 창원시 진해구 진해대로728번길 8-36</t>
        </is>
      </c>
      <c r="AH184" s="0" t="n">
        <v>0</v>
      </c>
      <c r="AI184" s="0" t="n">
        <v>0</v>
      </c>
      <c r="AJ184" s="0" t="n">
        <v>0</v>
      </c>
      <c r="AK184" s="0" t="n">
        <v>67</v>
      </c>
      <c r="AL184" s="0" t="n">
        <v>0.61</v>
      </c>
    </row>
    <row r="185">
      <c r="A185" s="0" t="inlineStr">
        <is>
          <t>[석동]</t>
        </is>
      </c>
      <c r="B185" s="0" t="n">
        <v>7559</v>
      </c>
      <c r="C185" s="0" t="n">
        <v>2</v>
      </c>
      <c r="D185" s="0" t="inlineStr">
        <is>
          <t>진해한림</t>
        </is>
      </c>
      <c r="E185" s="0" t="inlineStr">
        <is>
          <t>1995.06.</t>
        </is>
      </c>
      <c r="F185" s="0" t="n">
        <v>110</v>
      </c>
      <c r="G185" s="0" t="n">
        <v>19.53</v>
      </c>
      <c r="H185" s="0" t="n">
        <v>64.56999999999999</v>
      </c>
      <c r="I185" s="0" t="n">
        <v>17.92</v>
      </c>
      <c r="J185" s="0" t="n">
        <v>59.24</v>
      </c>
      <c r="K185" s="0" t="n">
        <v>1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64</v>
      </c>
      <c r="X185" s="0" t="n">
        <v>5</v>
      </c>
      <c r="Y185" s="0" t="n">
        <v>5</v>
      </c>
      <c r="Z185" s="0" t="inlineStr">
        <is>
          <t>https://new.land.naver.com/complexes/7559?tab=detail&amp;rf=Y</t>
        </is>
      </c>
      <c r="AA185" s="0" t="inlineStr">
        <is>
          <t>경상남도 창원시 진해구 석동 607</t>
        </is>
      </c>
      <c r="AB185" s="0" t="inlineStr">
        <is>
          <t>경상남도</t>
        </is>
      </c>
      <c r="AC185" s="0" t="inlineStr">
        <is>
          <t>창원시</t>
        </is>
      </c>
      <c r="AD185" s="0" t="inlineStr">
        <is>
          <t>진해구</t>
        </is>
      </c>
      <c r="AE185" s="0" t="inlineStr">
        <is>
          <t>석동</t>
        </is>
      </c>
      <c r="AG185" s="0" t="inlineStr">
        <is>
          <t>경상남도 창원시 진해구 진해대로728번길 8-36</t>
        </is>
      </c>
      <c r="AH185" s="0" t="n">
        <v>0</v>
      </c>
      <c r="AI185" s="0" t="n">
        <v>0</v>
      </c>
      <c r="AJ185" s="0" t="n">
        <v>0</v>
      </c>
      <c r="AK185" s="0" t="n">
        <v>67</v>
      </c>
      <c r="AL185" s="0" t="n">
        <v>0.61</v>
      </c>
    </row>
    <row r="186">
      <c r="A186" s="0" t="inlineStr">
        <is>
          <t>[석동]</t>
        </is>
      </c>
      <c r="B186" s="0" t="n">
        <v>7559</v>
      </c>
      <c r="C186" s="0" t="n">
        <v>3</v>
      </c>
      <c r="D186" s="0" t="inlineStr">
        <is>
          <t>진해한림</t>
        </is>
      </c>
      <c r="E186" s="0" t="inlineStr">
        <is>
          <t>1995.06.</t>
        </is>
      </c>
      <c r="F186" s="0" t="n">
        <v>110</v>
      </c>
      <c r="G186" s="0" t="n">
        <v>21.56</v>
      </c>
      <c r="H186" s="0" t="n">
        <v>71.29000000000001</v>
      </c>
      <c r="I186" s="0" t="n">
        <v>18.06</v>
      </c>
      <c r="J186" s="0" t="n">
        <v>59.72</v>
      </c>
      <c r="K186" s="0" t="n">
        <v>74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71</v>
      </c>
      <c r="X186" s="0" t="n">
        <v>5</v>
      </c>
      <c r="Y186" s="0" t="n">
        <v>5</v>
      </c>
      <c r="Z186" s="0" t="inlineStr">
        <is>
          <t>https://new.land.naver.com/complexes/7559?tab=detail&amp;rf=Y</t>
        </is>
      </c>
      <c r="AA186" s="0" t="inlineStr">
        <is>
          <t>경상남도 창원시 진해구 석동 607</t>
        </is>
      </c>
      <c r="AB186" s="0" t="inlineStr">
        <is>
          <t>경상남도</t>
        </is>
      </c>
      <c r="AC186" s="0" t="inlineStr">
        <is>
          <t>창원시</t>
        </is>
      </c>
      <c r="AD186" s="0" t="inlineStr">
        <is>
          <t>진해구</t>
        </is>
      </c>
      <c r="AE186" s="0" t="inlineStr">
        <is>
          <t>석동</t>
        </is>
      </c>
      <c r="AG186" s="0" t="inlineStr">
        <is>
          <t>경상남도 창원시 진해구 진해대로728번길 8-36</t>
        </is>
      </c>
      <c r="AH186" s="0" t="n">
        <v>0</v>
      </c>
      <c r="AI186" s="0" t="n">
        <v>0</v>
      </c>
      <c r="AJ186" s="0" t="n">
        <v>0</v>
      </c>
      <c r="AK186" s="0" t="n">
        <v>67</v>
      </c>
      <c r="AL186" s="0" t="n">
        <v>0.61</v>
      </c>
    </row>
    <row r="187">
      <c r="A187" s="0" t="inlineStr">
        <is>
          <t>[석동]</t>
        </is>
      </c>
      <c r="B187" s="0" t="n">
        <v>7559</v>
      </c>
      <c r="C187" s="0" t="n">
        <v>4</v>
      </c>
      <c r="D187" s="0" t="inlineStr">
        <is>
          <t>진해한림</t>
        </is>
      </c>
      <c r="E187" s="0" t="inlineStr">
        <is>
          <t>1995.06.</t>
        </is>
      </c>
      <c r="F187" s="0" t="n">
        <v>110</v>
      </c>
      <c r="G187" s="0" t="n">
        <v>27.64</v>
      </c>
      <c r="H187" s="0" t="n">
        <v>91.38</v>
      </c>
      <c r="I187" s="0" t="n">
        <v>23.42</v>
      </c>
      <c r="J187" s="0" t="n">
        <v>77.43000000000001</v>
      </c>
      <c r="K187" s="0" t="n">
        <v>5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91</v>
      </c>
      <c r="X187" s="0" t="n">
        <v>5</v>
      </c>
      <c r="Y187" s="0" t="n">
        <v>5</v>
      </c>
      <c r="Z187" s="0" t="inlineStr">
        <is>
          <t>https://new.land.naver.com/complexes/7559?tab=detail&amp;rf=Y</t>
        </is>
      </c>
      <c r="AA187" s="0" t="inlineStr">
        <is>
          <t>경상남도 창원시 진해구 석동 607</t>
        </is>
      </c>
      <c r="AB187" s="0" t="inlineStr">
        <is>
          <t>경상남도</t>
        </is>
      </c>
      <c r="AC187" s="0" t="inlineStr">
        <is>
          <t>창원시</t>
        </is>
      </c>
      <c r="AD187" s="0" t="inlineStr">
        <is>
          <t>진해구</t>
        </is>
      </c>
      <c r="AE187" s="0" t="inlineStr">
        <is>
          <t>석동</t>
        </is>
      </c>
      <c r="AG187" s="0" t="inlineStr">
        <is>
          <t>경상남도 창원시 진해구 진해대로728번길 8-36</t>
        </is>
      </c>
      <c r="AH187" s="0" t="n">
        <v>0</v>
      </c>
      <c r="AI187" s="0" t="n">
        <v>0</v>
      </c>
      <c r="AJ187" s="0" t="n">
        <v>0</v>
      </c>
      <c r="AK187" s="0" t="n">
        <v>67</v>
      </c>
      <c r="AL187" s="0" t="n">
        <v>0.61</v>
      </c>
    </row>
    <row r="188">
      <c r="A188" s="0" t="inlineStr">
        <is>
          <t>[석동]</t>
        </is>
      </c>
      <c r="B188" s="0" t="n">
        <v>7559</v>
      </c>
      <c r="C188" s="0" t="n">
        <v>5</v>
      </c>
      <c r="D188" s="0" t="inlineStr">
        <is>
          <t>진해한림</t>
        </is>
      </c>
      <c r="E188" s="0" t="inlineStr">
        <is>
          <t>1995.06.</t>
        </is>
      </c>
      <c r="F188" s="0" t="n">
        <v>110</v>
      </c>
      <c r="G188" s="0" t="n">
        <v>29.23</v>
      </c>
      <c r="H188" s="0" t="n">
        <v>96.64</v>
      </c>
      <c r="I188" s="0" t="n">
        <v>25.11</v>
      </c>
      <c r="J188" s="0" t="n">
        <v>83.01000000000001</v>
      </c>
      <c r="K188" s="0" t="n">
        <v>20</v>
      </c>
      <c r="T188" s="0" t="n">
        <v>3</v>
      </c>
      <c r="U188" s="0" t="n">
        <v>2</v>
      </c>
      <c r="V188" s="0" t="inlineStr">
        <is>
          <t>복도식</t>
        </is>
      </c>
      <c r="W188" s="0" t="n">
        <v>96</v>
      </c>
      <c r="X188" s="0" t="n">
        <v>5</v>
      </c>
      <c r="Y188" s="0" t="n">
        <v>5</v>
      </c>
      <c r="Z188" s="0" t="inlineStr">
        <is>
          <t>https://new.land.naver.com/complexes/7559?tab=detail&amp;rf=Y</t>
        </is>
      </c>
      <c r="AA188" s="0" t="inlineStr">
        <is>
          <t>경상남도 창원시 진해구 석동 607</t>
        </is>
      </c>
      <c r="AB188" s="0" t="inlineStr">
        <is>
          <t>경상남도</t>
        </is>
      </c>
      <c r="AC188" s="0" t="inlineStr">
        <is>
          <t>창원시</t>
        </is>
      </c>
      <c r="AD188" s="0" t="inlineStr">
        <is>
          <t>진해구</t>
        </is>
      </c>
      <c r="AE188" s="0" t="inlineStr">
        <is>
          <t>석동</t>
        </is>
      </c>
      <c r="AG188" s="0" t="inlineStr">
        <is>
          <t>경상남도 창원시 진해구 진해대로728번길 8-36</t>
        </is>
      </c>
      <c r="AH188" s="0" t="n">
        <v>0</v>
      </c>
      <c r="AI188" s="0" t="n">
        <v>0</v>
      </c>
      <c r="AJ188" s="0" t="n">
        <v>0</v>
      </c>
      <c r="AK188" s="0" t="n">
        <v>67</v>
      </c>
      <c r="AL188" s="0" t="n">
        <v>0.61</v>
      </c>
    </row>
    <row r="189">
      <c r="A189" s="0" t="inlineStr">
        <is>
          <t>[석동]</t>
        </is>
      </c>
      <c r="B189" s="0" t="n">
        <v>16754</v>
      </c>
      <c r="C189" s="0" t="n">
        <v>1</v>
      </c>
      <c r="D189" s="0" t="inlineStr">
        <is>
          <t>벚꽃그린빌주공2단지</t>
        </is>
      </c>
      <c r="E189" s="0" t="inlineStr">
        <is>
          <t>2003.07.</t>
        </is>
      </c>
      <c r="F189" s="0" t="n">
        <v>266</v>
      </c>
      <c r="G189" s="0" t="n">
        <v>19.15</v>
      </c>
      <c r="H189" s="0" t="n">
        <v>63.33</v>
      </c>
      <c r="I189" s="0" t="n">
        <v>15.64</v>
      </c>
      <c r="J189" s="0" t="n">
        <v>51.71</v>
      </c>
      <c r="K189" s="0" t="n">
        <v>80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63</v>
      </c>
      <c r="X189" s="0" t="n">
        <v>4</v>
      </c>
      <c r="Y189" s="0" t="n">
        <v>4</v>
      </c>
      <c r="Z189" s="0" t="inlineStr">
        <is>
          <t>https://new.land.naver.com/complexes/16754?tab=detail&amp;rf=Y</t>
        </is>
      </c>
      <c r="AA189" s="0" t="inlineStr">
        <is>
          <t>경상남도 창원시 진해구 석동 660</t>
        </is>
      </c>
      <c r="AB189" s="0" t="inlineStr">
        <is>
          <t>경상남도</t>
        </is>
      </c>
      <c r="AC189" s="0" t="inlineStr">
        <is>
          <t>창원시</t>
        </is>
      </c>
      <c r="AD189" s="0" t="inlineStr">
        <is>
          <t>진해구</t>
        </is>
      </c>
      <c r="AE189" s="0" t="inlineStr">
        <is>
          <t>석동</t>
        </is>
      </c>
      <c r="AG189" s="0" t="inlineStr">
        <is>
          <t>경상남도 창원시 진해구 냉천로107번길 14</t>
        </is>
      </c>
      <c r="AH189" s="0" t="n">
        <v>0</v>
      </c>
      <c r="AI189" s="0" t="n">
        <v>82</v>
      </c>
      <c r="AJ189" s="0" t="n">
        <v>25</v>
      </c>
      <c r="AK189" s="0" t="n">
        <v>207</v>
      </c>
      <c r="AL189" s="0" t="n">
        <v>0.78</v>
      </c>
    </row>
    <row r="190">
      <c r="A190" s="0" t="inlineStr">
        <is>
          <t>[석동]</t>
        </is>
      </c>
      <c r="B190" s="0" t="n">
        <v>16754</v>
      </c>
      <c r="C190" s="0" t="n">
        <v>2</v>
      </c>
      <c r="D190" s="0" t="inlineStr">
        <is>
          <t>벚꽃그린빌주공2단지</t>
        </is>
      </c>
      <c r="E190" s="0" t="inlineStr">
        <is>
          <t>2003.07.</t>
        </is>
      </c>
      <c r="F190" s="0" t="n">
        <v>266</v>
      </c>
      <c r="G190" s="0" t="n">
        <v>25.5</v>
      </c>
      <c r="H190" s="0" t="n">
        <v>84.31</v>
      </c>
      <c r="I190" s="0" t="n">
        <v>18.09</v>
      </c>
      <c r="J190" s="0" t="n">
        <v>59.83</v>
      </c>
      <c r="K190" s="0" t="n">
        <v>186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84</v>
      </c>
      <c r="X190" s="0" t="n">
        <v>4</v>
      </c>
      <c r="Y190" s="0" t="n">
        <v>4</v>
      </c>
      <c r="Z190" s="0" t="inlineStr">
        <is>
          <t>https://new.land.naver.com/complexes/16754?tab=detail&amp;rf=Y</t>
        </is>
      </c>
      <c r="AA190" s="0" t="inlineStr">
        <is>
          <t>경상남도 창원시 진해구 석동 660</t>
        </is>
      </c>
      <c r="AB190" s="0" t="inlineStr">
        <is>
          <t>경상남도</t>
        </is>
      </c>
      <c r="AC190" s="0" t="inlineStr">
        <is>
          <t>창원시</t>
        </is>
      </c>
      <c r="AD190" s="0" t="inlineStr">
        <is>
          <t>진해구</t>
        </is>
      </c>
      <c r="AE190" s="0" t="inlineStr">
        <is>
          <t>석동</t>
        </is>
      </c>
      <c r="AG190" s="0" t="inlineStr">
        <is>
          <t>경상남도 창원시 진해구 냉천로107번길 14</t>
        </is>
      </c>
      <c r="AH190" s="0" t="n">
        <v>0</v>
      </c>
      <c r="AI190" s="0" t="n">
        <v>82</v>
      </c>
      <c r="AJ190" s="0" t="n">
        <v>25</v>
      </c>
      <c r="AK190" s="0" t="n">
        <v>207</v>
      </c>
      <c r="AL190" s="0" t="n">
        <v>0.78</v>
      </c>
    </row>
    <row r="191">
      <c r="A191" s="0" t="inlineStr">
        <is>
          <t>[석동]</t>
        </is>
      </c>
      <c r="B191" s="0" t="n">
        <v>7555</v>
      </c>
      <c r="C191" s="0" t="n">
        <v>1</v>
      </c>
      <c r="D191" s="0" t="inlineStr">
        <is>
          <t>주공</t>
        </is>
      </c>
      <c r="E191" s="0" t="inlineStr">
        <is>
          <t>1991.11.</t>
        </is>
      </c>
      <c r="F191" s="0" t="n">
        <v>750</v>
      </c>
      <c r="G191" s="0" t="n">
        <v>12.82</v>
      </c>
      <c r="H191" s="0" t="n">
        <v>42.4</v>
      </c>
      <c r="I191" s="0" t="n">
        <v>9.9</v>
      </c>
      <c r="J191" s="0" t="n">
        <v>32.76</v>
      </c>
      <c r="K191" s="0" t="n">
        <v>327</v>
      </c>
      <c r="T191" s="0" t="n">
        <v>2</v>
      </c>
      <c r="U191" s="0" t="n">
        <v>1</v>
      </c>
      <c r="V191" s="0" t="inlineStr">
        <is>
          <t>계단식</t>
        </is>
      </c>
      <c r="W191" s="0" t="n">
        <v>42</v>
      </c>
      <c r="X191" s="0" t="n">
        <v>5</v>
      </c>
      <c r="Y191" s="0" t="n">
        <v>5</v>
      </c>
      <c r="Z191" s="0" t="inlineStr">
        <is>
          <t>https://new.land.naver.com/complexes/7555?tab=detail&amp;rf=Y</t>
        </is>
      </c>
      <c r="AA191" s="0" t="inlineStr">
        <is>
          <t>경상남도 창원시 진해구 석동 90-1</t>
        </is>
      </c>
      <c r="AB191" s="0" t="inlineStr">
        <is>
          <t>경상남도</t>
        </is>
      </c>
      <c r="AC191" s="0" t="inlineStr">
        <is>
          <t>창원시</t>
        </is>
      </c>
      <c r="AD191" s="0" t="inlineStr">
        <is>
          <t>진해구</t>
        </is>
      </c>
      <c r="AE191" s="0" t="inlineStr">
        <is>
          <t>석동</t>
        </is>
      </c>
      <c r="AG191" s="0" t="inlineStr">
        <is>
          <t>경상남도 창원시 진해구 냉천로 52</t>
        </is>
      </c>
      <c r="AH191" s="0" t="n">
        <v>0</v>
      </c>
      <c r="AI191" s="0" t="n">
        <v>97</v>
      </c>
      <c r="AJ191" s="0" t="n">
        <v>20</v>
      </c>
      <c r="AK191" s="0" t="n">
        <v>0</v>
      </c>
      <c r="AL191" s="0" t="n">
        <v>0</v>
      </c>
    </row>
    <row r="192">
      <c r="A192" s="0" t="inlineStr">
        <is>
          <t>[석동]</t>
        </is>
      </c>
      <c r="B192" s="0" t="n">
        <v>7555</v>
      </c>
      <c r="C192" s="0" t="n">
        <v>2</v>
      </c>
      <c r="D192" s="0" t="inlineStr">
        <is>
          <t>주공</t>
        </is>
      </c>
      <c r="E192" s="0" t="inlineStr">
        <is>
          <t>1991.11.</t>
        </is>
      </c>
      <c r="F192" s="0" t="n">
        <v>750</v>
      </c>
      <c r="G192" s="0" t="n">
        <v>16.57</v>
      </c>
      <c r="H192" s="0" t="n">
        <v>54.8</v>
      </c>
      <c r="I192" s="0" t="n">
        <v>12.85</v>
      </c>
      <c r="J192" s="0" t="n">
        <v>42.48</v>
      </c>
      <c r="K192" s="0" t="n">
        <v>302</v>
      </c>
      <c r="T192" s="0" t="n">
        <v>2</v>
      </c>
      <c r="U192" s="0" t="n">
        <v>1</v>
      </c>
      <c r="V192" s="0" t="inlineStr">
        <is>
          <t>계단식</t>
        </is>
      </c>
      <c r="W192" s="0" t="inlineStr">
        <is>
          <t>54A</t>
        </is>
      </c>
      <c r="X192" s="0" t="n">
        <v>5</v>
      </c>
      <c r="Y192" s="0" t="n">
        <v>5</v>
      </c>
      <c r="Z192" s="0" t="inlineStr">
        <is>
          <t>https://new.land.naver.com/complexes/7555?tab=detail&amp;rf=Y</t>
        </is>
      </c>
      <c r="AA192" s="0" t="inlineStr">
        <is>
          <t>경상남도 창원시 진해구 석동 90-1</t>
        </is>
      </c>
      <c r="AB192" s="0" t="inlineStr">
        <is>
          <t>경상남도</t>
        </is>
      </c>
      <c r="AC192" s="0" t="inlineStr">
        <is>
          <t>창원시</t>
        </is>
      </c>
      <c r="AD192" s="0" t="inlineStr">
        <is>
          <t>진해구</t>
        </is>
      </c>
      <c r="AE192" s="0" t="inlineStr">
        <is>
          <t>석동</t>
        </is>
      </c>
      <c r="AG192" s="0" t="inlineStr">
        <is>
          <t>경상남도 창원시 진해구 냉천로 52</t>
        </is>
      </c>
      <c r="AH192" s="0" t="n">
        <v>0</v>
      </c>
      <c r="AI192" s="0" t="n">
        <v>97</v>
      </c>
      <c r="AJ192" s="0" t="n">
        <v>20</v>
      </c>
      <c r="AK192" s="0" t="n">
        <v>0</v>
      </c>
      <c r="AL192" s="0" t="n">
        <v>0</v>
      </c>
    </row>
    <row r="193">
      <c r="A193" s="0" t="inlineStr">
        <is>
          <t>[석동]</t>
        </is>
      </c>
      <c r="B193" s="0" t="n">
        <v>7555</v>
      </c>
      <c r="C193" s="0" t="n">
        <v>3</v>
      </c>
      <c r="D193" s="0" t="inlineStr">
        <is>
          <t>주공</t>
        </is>
      </c>
      <c r="E193" s="0" t="inlineStr">
        <is>
          <t>1991.11.</t>
        </is>
      </c>
      <c r="F193" s="0" t="n">
        <v>750</v>
      </c>
      <c r="G193" s="0" t="n">
        <v>16.75</v>
      </c>
      <c r="H193" s="0" t="n">
        <v>55.4</v>
      </c>
      <c r="I193" s="0" t="n">
        <v>12.95</v>
      </c>
      <c r="J193" s="0" t="n">
        <v>42.84</v>
      </c>
      <c r="K193" s="0" t="n">
        <v>1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55B</t>
        </is>
      </c>
      <c r="X193" s="0" t="n">
        <v>5</v>
      </c>
      <c r="Y193" s="0" t="n">
        <v>5</v>
      </c>
      <c r="Z193" s="0" t="inlineStr">
        <is>
          <t>https://new.land.naver.com/complexes/7555?tab=detail&amp;rf=Y</t>
        </is>
      </c>
      <c r="AA193" s="0" t="inlineStr">
        <is>
          <t>경상남도 창원시 진해구 석동 90-1</t>
        </is>
      </c>
      <c r="AB193" s="0" t="inlineStr">
        <is>
          <t>경상남도</t>
        </is>
      </c>
      <c r="AC193" s="0" t="inlineStr">
        <is>
          <t>창원시</t>
        </is>
      </c>
      <c r="AD193" s="0" t="inlineStr">
        <is>
          <t>진해구</t>
        </is>
      </c>
      <c r="AE193" s="0" t="inlineStr">
        <is>
          <t>석동</t>
        </is>
      </c>
      <c r="AG193" s="0" t="inlineStr">
        <is>
          <t>경상남도 창원시 진해구 냉천로 52</t>
        </is>
      </c>
      <c r="AH193" s="0" t="n">
        <v>0</v>
      </c>
      <c r="AI193" s="0" t="n">
        <v>97</v>
      </c>
      <c r="AJ193" s="0" t="n">
        <v>20</v>
      </c>
      <c r="AK193" s="0" t="n">
        <v>0</v>
      </c>
      <c r="AL193" s="0" t="n">
        <v>0</v>
      </c>
    </row>
    <row r="194">
      <c r="A194" s="0" t="inlineStr">
        <is>
          <t>[석동]</t>
        </is>
      </c>
      <c r="B194" s="0" t="n">
        <v>7555</v>
      </c>
      <c r="C194" s="0" t="n">
        <v>4</v>
      </c>
      <c r="D194" s="0" t="inlineStr">
        <is>
          <t>주공</t>
        </is>
      </c>
      <c r="E194" s="0" t="inlineStr">
        <is>
          <t>1991.11.</t>
        </is>
      </c>
      <c r="F194" s="0" t="n">
        <v>750</v>
      </c>
      <c r="G194" s="0" t="n">
        <v>17.5</v>
      </c>
      <c r="H194" s="0" t="n">
        <v>57.87</v>
      </c>
      <c r="I194" s="0" t="n">
        <v>14.21</v>
      </c>
      <c r="J194" s="0" t="n">
        <v>46.98</v>
      </c>
      <c r="K194" s="0" t="n">
        <v>60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57A</t>
        </is>
      </c>
      <c r="X194" s="0" t="n">
        <v>5</v>
      </c>
      <c r="Y194" s="0" t="n">
        <v>5</v>
      </c>
      <c r="Z194" s="0" t="inlineStr">
        <is>
          <t>https://new.land.naver.com/complexes/7555?tab=detail&amp;rf=Y</t>
        </is>
      </c>
      <c r="AA194" s="0" t="inlineStr">
        <is>
          <t>경상남도 창원시 진해구 석동 90-1</t>
        </is>
      </c>
      <c r="AB194" s="0" t="inlineStr">
        <is>
          <t>경상남도</t>
        </is>
      </c>
      <c r="AC194" s="0" t="inlineStr">
        <is>
          <t>창원시</t>
        </is>
      </c>
      <c r="AD194" s="0" t="inlineStr">
        <is>
          <t>진해구</t>
        </is>
      </c>
      <c r="AE194" s="0" t="inlineStr">
        <is>
          <t>석동</t>
        </is>
      </c>
      <c r="AG194" s="0" t="inlineStr">
        <is>
          <t>경상남도 창원시 진해구 냉천로 52</t>
        </is>
      </c>
      <c r="AH194" s="0" t="n">
        <v>0</v>
      </c>
      <c r="AI194" s="0" t="n">
        <v>97</v>
      </c>
      <c r="AJ194" s="0" t="n">
        <v>20</v>
      </c>
      <c r="AK194" s="0" t="n">
        <v>0</v>
      </c>
      <c r="AL194" s="0" t="n">
        <v>0</v>
      </c>
    </row>
    <row r="195">
      <c r="A195" s="0" t="inlineStr">
        <is>
          <t>[석동]</t>
        </is>
      </c>
      <c r="B195" s="0" t="n">
        <v>7555</v>
      </c>
      <c r="C195" s="0" t="n">
        <v>5</v>
      </c>
      <c r="D195" s="0" t="inlineStr">
        <is>
          <t>주공</t>
        </is>
      </c>
      <c r="E195" s="0" t="inlineStr">
        <is>
          <t>1991.11.</t>
        </is>
      </c>
      <c r="F195" s="0" t="n">
        <v>750</v>
      </c>
      <c r="G195" s="0" t="n">
        <v>17.61</v>
      </c>
      <c r="H195" s="0" t="n">
        <v>58.23</v>
      </c>
      <c r="I195" s="0" t="n">
        <v>14.31</v>
      </c>
      <c r="J195" s="0" t="n">
        <v>47.31</v>
      </c>
      <c r="K195" s="0" t="n">
        <v>60</v>
      </c>
      <c r="T195" s="0" t="n">
        <v>3</v>
      </c>
      <c r="U195" s="0" t="n">
        <v>1</v>
      </c>
      <c r="V195" s="0" t="inlineStr">
        <is>
          <t>계단식</t>
        </is>
      </c>
      <c r="W195" s="0" t="inlineStr">
        <is>
          <t>58B</t>
        </is>
      </c>
      <c r="X195" s="0" t="n">
        <v>5</v>
      </c>
      <c r="Y195" s="0" t="n">
        <v>5</v>
      </c>
      <c r="Z195" s="0" t="inlineStr">
        <is>
          <t>https://new.land.naver.com/complexes/7555?tab=detail&amp;rf=Y</t>
        </is>
      </c>
      <c r="AA195" s="0" t="inlineStr">
        <is>
          <t>경상남도 창원시 진해구 석동 90-1</t>
        </is>
      </c>
      <c r="AB195" s="0" t="inlineStr">
        <is>
          <t>경상남도</t>
        </is>
      </c>
      <c r="AC195" s="0" t="inlineStr">
        <is>
          <t>창원시</t>
        </is>
      </c>
      <c r="AD195" s="0" t="inlineStr">
        <is>
          <t>진해구</t>
        </is>
      </c>
      <c r="AE195" s="0" t="inlineStr">
        <is>
          <t>석동</t>
        </is>
      </c>
      <c r="AG195" s="0" t="inlineStr">
        <is>
          <t>경상남도 창원시 진해구 냉천로 52</t>
        </is>
      </c>
      <c r="AH195" s="0" t="n">
        <v>0</v>
      </c>
      <c r="AI195" s="0" t="n">
        <v>97</v>
      </c>
      <c r="AJ195" s="0" t="n">
        <v>20</v>
      </c>
      <c r="AK195" s="0" t="n">
        <v>0</v>
      </c>
      <c r="AL195" s="0" t="n">
        <v>0</v>
      </c>
    </row>
    <row r="196">
      <c r="A196" s="0" t="inlineStr">
        <is>
          <t>[속천동]</t>
        </is>
      </c>
      <c r="B196" s="0" t="n">
        <v>103794</v>
      </c>
      <c r="C196" s="0" t="n">
        <v>1</v>
      </c>
      <c r="D196" s="0" t="inlineStr">
        <is>
          <t>네오비치</t>
        </is>
      </c>
      <c r="E196" s="0" t="inlineStr">
        <is>
          <t>2003.04.</t>
        </is>
      </c>
      <c r="F196" s="0" t="n">
        <v>14</v>
      </c>
      <c r="G196" s="0" t="n">
        <v>26.57</v>
      </c>
      <c r="H196" s="0" t="n">
        <v>87.86</v>
      </c>
      <c r="I196" s="0" t="n">
        <v>22.59</v>
      </c>
      <c r="J196" s="0" t="n">
        <v>74.7</v>
      </c>
      <c r="K196" s="0" t="n">
        <v>7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87</v>
      </c>
      <c r="X196" s="0" t="n">
        <v>8</v>
      </c>
      <c r="Y196" s="0" t="n">
        <v>8</v>
      </c>
      <c r="Z196" s="0" t="inlineStr">
        <is>
          <t>https://new.land.naver.com/complexes/103794?tab=detail&amp;rf=Y</t>
        </is>
      </c>
      <c r="AA196" s="0" t="inlineStr">
        <is>
          <t>경상남도 창원시 진해구 속천동 2-7</t>
        </is>
      </c>
      <c r="AB196" s="0" t="inlineStr">
        <is>
          <t>경상남도</t>
        </is>
      </c>
      <c r="AC196" s="0" t="inlineStr">
        <is>
          <t>창원시</t>
        </is>
      </c>
      <c r="AD196" s="0" t="inlineStr">
        <is>
          <t>진해구</t>
        </is>
      </c>
      <c r="AE196" s="0" t="inlineStr">
        <is>
          <t>속천동</t>
        </is>
      </c>
      <c r="AG196" s="0" t="inlineStr">
        <is>
          <t>경상남도 창원시 진해구 속천로 65</t>
        </is>
      </c>
      <c r="AH196" s="0" t="n">
        <v>0</v>
      </c>
      <c r="AI196" s="0" t="n">
        <v>271</v>
      </c>
      <c r="AJ196" s="0" t="n">
        <v>45</v>
      </c>
      <c r="AK196" s="0" t="n">
        <v>10</v>
      </c>
      <c r="AL196" s="0" t="n">
        <v>0.71</v>
      </c>
    </row>
    <row r="197">
      <c r="A197" s="0" t="inlineStr">
        <is>
          <t>[속천동]</t>
        </is>
      </c>
      <c r="B197" s="0" t="n">
        <v>103794</v>
      </c>
      <c r="C197" s="0" t="n">
        <v>2</v>
      </c>
      <c r="D197" s="0" t="inlineStr">
        <is>
          <t>네오비치</t>
        </is>
      </c>
      <c r="E197" s="0" t="inlineStr">
        <is>
          <t>2003.04.</t>
        </is>
      </c>
      <c r="F197" s="0" t="n">
        <v>14</v>
      </c>
      <c r="G197" s="0" t="n">
        <v>26.46</v>
      </c>
      <c r="H197" s="0" t="n">
        <v>87.48</v>
      </c>
      <c r="I197" s="0" t="n">
        <v>22.49</v>
      </c>
      <c r="J197" s="0" t="n">
        <v>74.38</v>
      </c>
      <c r="K197" s="0" t="n">
        <v>7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87</v>
      </c>
      <c r="X197" s="0" t="n">
        <v>8</v>
      </c>
      <c r="Y197" s="0" t="n">
        <v>8</v>
      </c>
      <c r="Z197" s="0" t="inlineStr">
        <is>
          <t>https://new.land.naver.com/complexes/103794?tab=detail&amp;rf=Y</t>
        </is>
      </c>
      <c r="AA197" s="0" t="inlineStr">
        <is>
          <t>경상남도 창원시 진해구 속천동 2-7</t>
        </is>
      </c>
      <c r="AB197" s="0" t="inlineStr">
        <is>
          <t>경상남도</t>
        </is>
      </c>
      <c r="AC197" s="0" t="inlineStr">
        <is>
          <t>창원시</t>
        </is>
      </c>
      <c r="AD197" s="0" t="inlineStr">
        <is>
          <t>진해구</t>
        </is>
      </c>
      <c r="AE197" s="0" t="inlineStr">
        <is>
          <t>속천동</t>
        </is>
      </c>
      <c r="AG197" s="0" t="inlineStr">
        <is>
          <t>경상남도 창원시 진해구 속천로 65</t>
        </is>
      </c>
      <c r="AH197" s="0" t="n">
        <v>0</v>
      </c>
      <c r="AI197" s="0" t="n">
        <v>271</v>
      </c>
      <c r="AJ197" s="0" t="n">
        <v>45</v>
      </c>
      <c r="AK197" s="0" t="n">
        <v>10</v>
      </c>
      <c r="AL197" s="0" t="n">
        <v>0.71</v>
      </c>
    </row>
    <row r="198">
      <c r="A198" s="0" t="inlineStr">
        <is>
          <t>[속천동]</t>
        </is>
      </c>
      <c r="B198" s="0" t="n">
        <v>103793</v>
      </c>
      <c r="C198" s="0" t="n">
        <v>1</v>
      </c>
      <c r="D198" s="0" t="inlineStr">
        <is>
          <t>수창블루안</t>
        </is>
      </c>
      <c r="E198" s="0" t="inlineStr">
        <is>
          <t>2004.06.</t>
        </is>
      </c>
      <c r="F198" s="0" t="n">
        <v>124</v>
      </c>
      <c r="G198" s="0" t="n">
        <v>24.03</v>
      </c>
      <c r="H198" s="0" t="n">
        <v>79.47</v>
      </c>
      <c r="I198" s="0" t="n">
        <v>18.09</v>
      </c>
      <c r="J198" s="0" t="n">
        <v>59.82</v>
      </c>
      <c r="K198" s="0" t="n">
        <v>124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79</v>
      </c>
      <c r="X198" s="0" t="n">
        <v>14</v>
      </c>
      <c r="Y198" s="0" t="n">
        <v>8</v>
      </c>
      <c r="Z198" s="0" t="inlineStr">
        <is>
          <t>https://new.land.naver.com/complexes/103793?tab=detail&amp;rf=Y</t>
        </is>
      </c>
      <c r="AA198" s="0" t="inlineStr">
        <is>
          <t>경상남도 창원시 진해구 속천동 1-3</t>
        </is>
      </c>
      <c r="AB198" s="0" t="inlineStr">
        <is>
          <t>경상남도</t>
        </is>
      </c>
      <c r="AC198" s="0" t="inlineStr">
        <is>
          <t>창원시</t>
        </is>
      </c>
      <c r="AD198" s="0" t="inlineStr">
        <is>
          <t>진해구</t>
        </is>
      </c>
      <c r="AE198" s="0" t="inlineStr">
        <is>
          <t>속천동</t>
        </is>
      </c>
      <c r="AG198" s="0" t="inlineStr">
        <is>
          <t>경상남도 창원시 진해구 속천로 58</t>
        </is>
      </c>
      <c r="AH198" s="0" t="n">
        <v>0</v>
      </c>
      <c r="AI198" s="0" t="n">
        <v>0</v>
      </c>
      <c r="AJ198" s="0" t="n">
        <v>0</v>
      </c>
      <c r="AK198" s="0" t="n">
        <v>99</v>
      </c>
      <c r="AL198" s="0" t="n">
        <v>0.8</v>
      </c>
    </row>
    <row r="199">
      <c r="A199" s="0" t="inlineStr">
        <is>
          <t>[속천동]</t>
        </is>
      </c>
      <c r="B199" s="0" t="n">
        <v>109497</v>
      </c>
      <c r="C199" s="0" t="n">
        <v>1</v>
      </c>
      <c r="D199" s="0" t="inlineStr">
        <is>
          <t>진해유진에코블루스카이</t>
        </is>
      </c>
      <c r="E199" s="0" t="inlineStr">
        <is>
          <t>2015.05.</t>
        </is>
      </c>
      <c r="F199" s="0" t="n">
        <v>158</v>
      </c>
      <c r="G199" s="0" t="n">
        <v>26.31</v>
      </c>
      <c r="H199" s="0" t="n">
        <v>86.98999999999999</v>
      </c>
      <c r="I199" s="0" t="n">
        <v>18.14</v>
      </c>
      <c r="J199" s="0" t="n">
        <v>59.97</v>
      </c>
      <c r="K199" s="0" t="n">
        <v>63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86A</t>
        </is>
      </c>
      <c r="X199" s="0" t="n">
        <v>25</v>
      </c>
      <c r="Y199" s="0" t="n">
        <v>20</v>
      </c>
      <c r="Z199" s="0" t="inlineStr">
        <is>
          <t>https://new.land.naver.com/complexes/109497?tab=detail&amp;rf=Y</t>
        </is>
      </c>
      <c r="AA199" s="0" t="inlineStr">
        <is>
          <t>경상남도 창원시 진해구 속천동 7</t>
        </is>
      </c>
      <c r="AB199" s="0" t="inlineStr">
        <is>
          <t>경상남도</t>
        </is>
      </c>
      <c r="AC199" s="0" t="inlineStr">
        <is>
          <t>창원시</t>
        </is>
      </c>
      <c r="AD199" s="0" t="inlineStr">
        <is>
          <t>진해구</t>
        </is>
      </c>
      <c r="AE199" s="0" t="inlineStr">
        <is>
          <t>속천동</t>
        </is>
      </c>
      <c r="AG199" s="0" t="inlineStr">
        <is>
          <t>경상남도 창원시 진해구 속천로 45</t>
        </is>
      </c>
      <c r="AH199" s="0" t="n">
        <v>0</v>
      </c>
      <c r="AI199" s="0" t="n">
        <v>498</v>
      </c>
      <c r="AJ199" s="0" t="n">
        <v>75</v>
      </c>
      <c r="AK199" s="0" t="n">
        <v>218</v>
      </c>
      <c r="AL199" s="0" t="n">
        <v>1.38</v>
      </c>
    </row>
    <row r="200">
      <c r="A200" s="0" t="inlineStr">
        <is>
          <t>[속천동]</t>
        </is>
      </c>
      <c r="B200" s="0" t="n">
        <v>109497</v>
      </c>
      <c r="C200" s="0" t="n">
        <v>2</v>
      </c>
      <c r="D200" s="0" t="inlineStr">
        <is>
          <t>진해유진에코블루스카이</t>
        </is>
      </c>
      <c r="E200" s="0" t="inlineStr">
        <is>
          <t>2015.05.</t>
        </is>
      </c>
      <c r="F200" s="0" t="n">
        <v>158</v>
      </c>
      <c r="G200" s="0" t="n">
        <v>26.44</v>
      </c>
      <c r="H200" s="0" t="n">
        <v>87.43000000000001</v>
      </c>
      <c r="I200" s="0" t="n">
        <v>18.07</v>
      </c>
      <c r="J200" s="0" t="n">
        <v>59.74</v>
      </c>
      <c r="K200" s="0" t="n">
        <v>56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87C</t>
        </is>
      </c>
      <c r="X200" s="0" t="n">
        <v>25</v>
      </c>
      <c r="Y200" s="0" t="n">
        <v>20</v>
      </c>
      <c r="Z200" s="0" t="inlineStr">
        <is>
          <t>https://new.land.naver.com/complexes/109497?tab=detail&amp;rf=Y</t>
        </is>
      </c>
      <c r="AA200" s="0" t="inlineStr">
        <is>
          <t>경상남도 창원시 진해구 속천동 7</t>
        </is>
      </c>
      <c r="AB200" s="0" t="inlineStr">
        <is>
          <t>경상남도</t>
        </is>
      </c>
      <c r="AC200" s="0" t="inlineStr">
        <is>
          <t>창원시</t>
        </is>
      </c>
      <c r="AD200" s="0" t="inlineStr">
        <is>
          <t>진해구</t>
        </is>
      </c>
      <c r="AE200" s="0" t="inlineStr">
        <is>
          <t>속천동</t>
        </is>
      </c>
      <c r="AG200" s="0" t="inlineStr">
        <is>
          <t>경상남도 창원시 진해구 속천로 45</t>
        </is>
      </c>
      <c r="AH200" s="0" t="n">
        <v>0</v>
      </c>
      <c r="AI200" s="0" t="n">
        <v>498</v>
      </c>
      <c r="AJ200" s="0" t="n">
        <v>75</v>
      </c>
      <c r="AK200" s="0" t="n">
        <v>218</v>
      </c>
      <c r="AL200" s="0" t="n">
        <v>1.38</v>
      </c>
    </row>
    <row r="201">
      <c r="A201" s="0" t="inlineStr">
        <is>
          <t>[속천동]</t>
        </is>
      </c>
      <c r="B201" s="0" t="n">
        <v>109497</v>
      </c>
      <c r="C201" s="0" t="n">
        <v>3</v>
      </c>
      <c r="D201" s="0" t="inlineStr">
        <is>
          <t>진해유진에코블루스카이</t>
        </is>
      </c>
      <c r="E201" s="0" t="inlineStr">
        <is>
          <t>2015.05.</t>
        </is>
      </c>
      <c r="F201" s="0" t="n">
        <v>158</v>
      </c>
      <c r="G201" s="0" t="n">
        <v>26.58</v>
      </c>
      <c r="H201" s="0" t="n">
        <v>87.90000000000001</v>
      </c>
      <c r="I201" s="0" t="n">
        <v>18.14</v>
      </c>
      <c r="J201" s="0" t="n">
        <v>59.98</v>
      </c>
      <c r="K201" s="0" t="n">
        <v>39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87B</t>
        </is>
      </c>
      <c r="X201" s="0" t="n">
        <v>25</v>
      </c>
      <c r="Y201" s="0" t="n">
        <v>20</v>
      </c>
      <c r="Z201" s="0" t="inlineStr">
        <is>
          <t>https://new.land.naver.com/complexes/109497?tab=detail&amp;rf=Y</t>
        </is>
      </c>
      <c r="AA201" s="0" t="inlineStr">
        <is>
          <t>경상남도 창원시 진해구 속천동 7</t>
        </is>
      </c>
      <c r="AB201" s="0" t="inlineStr">
        <is>
          <t>경상남도</t>
        </is>
      </c>
      <c r="AC201" s="0" t="inlineStr">
        <is>
          <t>창원시</t>
        </is>
      </c>
      <c r="AD201" s="0" t="inlineStr">
        <is>
          <t>진해구</t>
        </is>
      </c>
      <c r="AE201" s="0" t="inlineStr">
        <is>
          <t>속천동</t>
        </is>
      </c>
      <c r="AG201" s="0" t="inlineStr">
        <is>
          <t>경상남도 창원시 진해구 속천로 45</t>
        </is>
      </c>
      <c r="AH201" s="0" t="n">
        <v>0</v>
      </c>
      <c r="AI201" s="0" t="n">
        <v>498</v>
      </c>
      <c r="AJ201" s="0" t="n">
        <v>75</v>
      </c>
      <c r="AK201" s="0" t="n">
        <v>218</v>
      </c>
      <c r="AL201" s="0" t="n">
        <v>1.38</v>
      </c>
    </row>
    <row r="202">
      <c r="A202" s="0" t="inlineStr">
        <is>
          <t>[안골동]</t>
        </is>
      </c>
      <c r="B202" s="0" t="n">
        <v>109158</v>
      </c>
      <c r="C202" s="0" t="n">
        <v>1</v>
      </c>
      <c r="D202" s="0" t="inlineStr">
        <is>
          <t>창원마린푸르지오2차</t>
        </is>
      </c>
      <c r="E202" s="0" t="inlineStr">
        <is>
          <t>2016.10.</t>
        </is>
      </c>
      <c r="F202" s="0" t="n">
        <v>599</v>
      </c>
      <c r="G202" s="0" t="n">
        <v>25.03</v>
      </c>
      <c r="H202" s="0" t="n">
        <v>82.77</v>
      </c>
      <c r="I202" s="0" t="n">
        <v>18.12</v>
      </c>
      <c r="J202" s="0" t="n">
        <v>59.93</v>
      </c>
      <c r="K202" s="0" t="n">
        <v>63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82</v>
      </c>
      <c r="X202" s="0" t="n">
        <v>22</v>
      </c>
      <c r="Y202" s="0" t="n">
        <v>10</v>
      </c>
      <c r="Z202" s="0" t="inlineStr">
        <is>
          <t>https://new.land.naver.com/complexes/109158?tab=detail&amp;rf=Y</t>
        </is>
      </c>
      <c r="AA202" s="0" t="inlineStr">
        <is>
          <t>경상남도 창원시 진해구 안골동 375</t>
        </is>
      </c>
      <c r="AB202" s="0" t="inlineStr">
        <is>
          <t>경상남도</t>
        </is>
      </c>
      <c r="AC202" s="0" t="inlineStr">
        <is>
          <t>창원시</t>
        </is>
      </c>
      <c r="AD202" s="0" t="inlineStr">
        <is>
          <t>진해구</t>
        </is>
      </c>
      <c r="AE202" s="0" t="inlineStr">
        <is>
          <t>안골동</t>
        </is>
      </c>
      <c r="AG202" s="0" t="inlineStr">
        <is>
          <t>경상남도 창원시 진해구 안골로298번길 26</t>
        </is>
      </c>
      <c r="AH202" s="0" t="n">
        <v>0</v>
      </c>
      <c r="AI202" s="0" t="n">
        <v>218</v>
      </c>
      <c r="AJ202" s="0" t="n">
        <v>23</v>
      </c>
      <c r="AK202" s="0" t="n">
        <v>667</v>
      </c>
      <c r="AL202" s="0" t="n">
        <v>1.11</v>
      </c>
    </row>
    <row r="203">
      <c r="A203" s="0" t="inlineStr">
        <is>
          <t>[안골동]</t>
        </is>
      </c>
      <c r="B203" s="0" t="n">
        <v>109158</v>
      </c>
      <c r="C203" s="0" t="n">
        <v>2</v>
      </c>
      <c r="D203" s="0" t="inlineStr">
        <is>
          <t>창원마린푸르지오2차</t>
        </is>
      </c>
      <c r="E203" s="0" t="inlineStr">
        <is>
          <t>2016.10.</t>
        </is>
      </c>
      <c r="F203" s="0" t="n">
        <v>599</v>
      </c>
      <c r="G203" s="0" t="n">
        <v>30.21</v>
      </c>
      <c r="H203" s="0" t="n">
        <v>99.90000000000001</v>
      </c>
      <c r="I203" s="0" t="n">
        <v>22.67</v>
      </c>
      <c r="J203" s="0" t="n">
        <v>74.95</v>
      </c>
      <c r="K203" s="0" t="n">
        <v>82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99B</t>
        </is>
      </c>
      <c r="X203" s="0" t="n">
        <v>22</v>
      </c>
      <c r="Y203" s="0" t="n">
        <v>10</v>
      </c>
      <c r="Z203" s="0" t="inlineStr">
        <is>
          <t>https://new.land.naver.com/complexes/109158?tab=detail&amp;rf=Y</t>
        </is>
      </c>
      <c r="AA203" s="0" t="inlineStr">
        <is>
          <t>경상남도 창원시 진해구 안골동 375</t>
        </is>
      </c>
      <c r="AB203" s="0" t="inlineStr">
        <is>
          <t>경상남도</t>
        </is>
      </c>
      <c r="AC203" s="0" t="inlineStr">
        <is>
          <t>창원시</t>
        </is>
      </c>
      <c r="AD203" s="0" t="inlineStr">
        <is>
          <t>진해구</t>
        </is>
      </c>
      <c r="AE203" s="0" t="inlineStr">
        <is>
          <t>안골동</t>
        </is>
      </c>
      <c r="AG203" s="0" t="inlineStr">
        <is>
          <t>경상남도 창원시 진해구 안골로298번길 26</t>
        </is>
      </c>
      <c r="AH203" s="0" t="n">
        <v>0</v>
      </c>
      <c r="AI203" s="0" t="n">
        <v>218</v>
      </c>
      <c r="AJ203" s="0" t="n">
        <v>23</v>
      </c>
      <c r="AK203" s="0" t="n">
        <v>667</v>
      </c>
      <c r="AL203" s="0" t="n">
        <v>1.11</v>
      </c>
    </row>
    <row r="204">
      <c r="A204" s="0" t="inlineStr">
        <is>
          <t>[안골동]</t>
        </is>
      </c>
      <c r="B204" s="0" t="n">
        <v>109158</v>
      </c>
      <c r="C204" s="0" t="n">
        <v>3</v>
      </c>
      <c r="D204" s="0" t="inlineStr">
        <is>
          <t>창원마린푸르지오2차</t>
        </is>
      </c>
      <c r="E204" s="0" t="inlineStr">
        <is>
          <t>2016.10.</t>
        </is>
      </c>
      <c r="F204" s="0" t="n">
        <v>599</v>
      </c>
      <c r="G204" s="0" t="n">
        <v>30.11</v>
      </c>
      <c r="H204" s="0" t="n">
        <v>99.54000000000001</v>
      </c>
      <c r="I204" s="0" t="n">
        <v>22.66</v>
      </c>
      <c r="J204" s="0" t="n">
        <v>74.92</v>
      </c>
      <c r="K204" s="0" t="n">
        <v>79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99A</t>
        </is>
      </c>
      <c r="X204" s="0" t="n">
        <v>22</v>
      </c>
      <c r="Y204" s="0" t="n">
        <v>10</v>
      </c>
      <c r="Z204" s="0" t="inlineStr">
        <is>
          <t>https://new.land.naver.com/complexes/109158?tab=detail&amp;rf=Y</t>
        </is>
      </c>
      <c r="AA204" s="0" t="inlineStr">
        <is>
          <t>경상남도 창원시 진해구 안골동 375</t>
        </is>
      </c>
      <c r="AB204" s="0" t="inlineStr">
        <is>
          <t>경상남도</t>
        </is>
      </c>
      <c r="AC204" s="0" t="inlineStr">
        <is>
          <t>창원시</t>
        </is>
      </c>
      <c r="AD204" s="0" t="inlineStr">
        <is>
          <t>진해구</t>
        </is>
      </c>
      <c r="AE204" s="0" t="inlineStr">
        <is>
          <t>안골동</t>
        </is>
      </c>
      <c r="AG204" s="0" t="inlineStr">
        <is>
          <t>경상남도 창원시 진해구 안골로298번길 26</t>
        </is>
      </c>
      <c r="AH204" s="0" t="n">
        <v>0</v>
      </c>
      <c r="AI204" s="0" t="n">
        <v>218</v>
      </c>
      <c r="AJ204" s="0" t="n">
        <v>23</v>
      </c>
      <c r="AK204" s="0" t="n">
        <v>667</v>
      </c>
      <c r="AL204" s="0" t="n">
        <v>1.11</v>
      </c>
    </row>
    <row r="205">
      <c r="A205" s="0" t="inlineStr">
        <is>
          <t>[안골동]</t>
        </is>
      </c>
      <c r="B205" s="0" t="n">
        <v>109158</v>
      </c>
      <c r="C205" s="0" t="n">
        <v>4</v>
      </c>
      <c r="D205" s="0" t="inlineStr">
        <is>
          <t>창원마린푸르지오2차</t>
        </is>
      </c>
      <c r="E205" s="0" t="inlineStr">
        <is>
          <t>2016.10.</t>
        </is>
      </c>
      <c r="F205" s="0" t="n">
        <v>599</v>
      </c>
      <c r="G205" s="0" t="n">
        <v>33.83</v>
      </c>
      <c r="H205" s="0" t="n">
        <v>111.85</v>
      </c>
      <c r="I205" s="0" t="n">
        <v>25.7</v>
      </c>
      <c r="J205" s="0" t="n">
        <v>84.98999999999999</v>
      </c>
      <c r="K205" s="0" t="n">
        <v>240</v>
      </c>
      <c r="T205" s="0" t="n">
        <v>4</v>
      </c>
      <c r="U205" s="0" t="n">
        <v>2</v>
      </c>
      <c r="V205" s="0" t="inlineStr">
        <is>
          <t>계단식</t>
        </is>
      </c>
      <c r="W205" s="0" t="inlineStr">
        <is>
          <t>111A</t>
        </is>
      </c>
      <c r="X205" s="0" t="n">
        <v>22</v>
      </c>
      <c r="Y205" s="0" t="n">
        <v>10</v>
      </c>
      <c r="Z205" s="0" t="inlineStr">
        <is>
          <t>https://new.land.naver.com/complexes/109158?tab=detail&amp;rf=Y</t>
        </is>
      </c>
      <c r="AA205" s="0" t="inlineStr">
        <is>
          <t>경상남도 창원시 진해구 안골동 375</t>
        </is>
      </c>
      <c r="AB205" s="0" t="inlineStr">
        <is>
          <t>경상남도</t>
        </is>
      </c>
      <c r="AC205" s="0" t="inlineStr">
        <is>
          <t>창원시</t>
        </is>
      </c>
      <c r="AD205" s="0" t="inlineStr">
        <is>
          <t>진해구</t>
        </is>
      </c>
      <c r="AE205" s="0" t="inlineStr">
        <is>
          <t>안골동</t>
        </is>
      </c>
      <c r="AG205" s="0" t="inlineStr">
        <is>
          <t>경상남도 창원시 진해구 안골로298번길 26</t>
        </is>
      </c>
      <c r="AH205" s="0" t="n">
        <v>0</v>
      </c>
      <c r="AI205" s="0" t="n">
        <v>218</v>
      </c>
      <c r="AJ205" s="0" t="n">
        <v>23</v>
      </c>
      <c r="AK205" s="0" t="n">
        <v>667</v>
      </c>
      <c r="AL205" s="0" t="n">
        <v>1.11</v>
      </c>
    </row>
    <row r="206">
      <c r="A206" s="0" t="inlineStr">
        <is>
          <t>[안골동]</t>
        </is>
      </c>
      <c r="B206" s="0" t="n">
        <v>109158</v>
      </c>
      <c r="C206" s="0" t="n">
        <v>5</v>
      </c>
      <c r="D206" s="0" t="inlineStr">
        <is>
          <t>창원마린푸르지오2차</t>
        </is>
      </c>
      <c r="E206" s="0" t="inlineStr">
        <is>
          <t>2016.10.</t>
        </is>
      </c>
      <c r="F206" s="0" t="n">
        <v>599</v>
      </c>
      <c r="G206" s="0" t="n">
        <v>34.09</v>
      </c>
      <c r="H206" s="0" t="n">
        <v>112.7</v>
      </c>
      <c r="I206" s="0" t="n">
        <v>25.68</v>
      </c>
      <c r="J206" s="0" t="n">
        <v>84.92</v>
      </c>
      <c r="K206" s="0" t="n">
        <v>135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112B</t>
        </is>
      </c>
      <c r="X206" s="0" t="n">
        <v>22</v>
      </c>
      <c r="Y206" s="0" t="n">
        <v>10</v>
      </c>
      <c r="Z206" s="0" t="inlineStr">
        <is>
          <t>https://new.land.naver.com/complexes/109158?tab=detail&amp;rf=Y</t>
        </is>
      </c>
      <c r="AA206" s="0" t="inlineStr">
        <is>
          <t>경상남도 창원시 진해구 안골동 375</t>
        </is>
      </c>
      <c r="AB206" s="0" t="inlineStr">
        <is>
          <t>경상남도</t>
        </is>
      </c>
      <c r="AC206" s="0" t="inlineStr">
        <is>
          <t>창원시</t>
        </is>
      </c>
      <c r="AD206" s="0" t="inlineStr">
        <is>
          <t>진해구</t>
        </is>
      </c>
      <c r="AE206" s="0" t="inlineStr">
        <is>
          <t>안골동</t>
        </is>
      </c>
      <c r="AG206" s="0" t="inlineStr">
        <is>
          <t>경상남도 창원시 진해구 안골로298번길 26</t>
        </is>
      </c>
      <c r="AH206" s="0" t="n">
        <v>0</v>
      </c>
      <c r="AI206" s="0" t="n">
        <v>218</v>
      </c>
      <c r="AJ206" s="0" t="n">
        <v>23</v>
      </c>
      <c r="AK206" s="0" t="n">
        <v>667</v>
      </c>
      <c r="AL206" s="0" t="n">
        <v>1.11</v>
      </c>
    </row>
    <row r="207">
      <c r="A207" s="0" t="inlineStr">
        <is>
          <t>[여좌동]</t>
        </is>
      </c>
      <c r="B207" s="0" t="n">
        <v>23582</v>
      </c>
      <c r="C207" s="0" t="n">
        <v>1</v>
      </c>
      <c r="D207" s="0" t="inlineStr">
        <is>
          <t>금화골든파크</t>
        </is>
      </c>
      <c r="E207" s="0" t="inlineStr">
        <is>
          <t>2004.12.</t>
        </is>
      </c>
      <c r="F207" s="0" t="n">
        <v>48</v>
      </c>
      <c r="G207" s="0" t="n">
        <v>12.52</v>
      </c>
      <c r="H207" s="0" t="n">
        <v>41.42</v>
      </c>
      <c r="I207" s="0" t="n">
        <v>10.39</v>
      </c>
      <c r="J207" s="0" t="n">
        <v>34.38</v>
      </c>
      <c r="K207" s="0" t="n">
        <v>16</v>
      </c>
      <c r="T207" s="0" t="n">
        <v>2</v>
      </c>
      <c r="U207" s="0" t="n">
        <v>1</v>
      </c>
      <c r="V207" s="0" t="inlineStr">
        <is>
          <t>복도식</t>
        </is>
      </c>
      <c r="W207" s="0" t="inlineStr">
        <is>
          <t>41A</t>
        </is>
      </c>
      <c r="X207" s="0" t="n">
        <v>10</v>
      </c>
      <c r="Y207" s="0" t="n">
        <v>10</v>
      </c>
      <c r="Z207" s="0" t="inlineStr">
        <is>
          <t>https://new.land.naver.com/complexes/23582?tab=detail&amp;rf=Y</t>
        </is>
      </c>
      <c r="AA207" s="0" t="inlineStr">
        <is>
          <t>경상남도 창원시 진해구 여좌동 761-48</t>
        </is>
      </c>
      <c r="AB207" s="0" t="inlineStr">
        <is>
          <t>경상남도</t>
        </is>
      </c>
      <c r="AC207" s="0" t="inlineStr">
        <is>
          <t>창원시</t>
        </is>
      </c>
      <c r="AD207" s="0" t="inlineStr">
        <is>
          <t>진해구</t>
        </is>
      </c>
      <c r="AE207" s="0" t="inlineStr">
        <is>
          <t>여좌동</t>
        </is>
      </c>
      <c r="AG207" s="0" t="inlineStr">
        <is>
          <t>경상남도 창원시 진해구 충장로 79</t>
        </is>
      </c>
      <c r="AH207" s="0" t="n">
        <v>0</v>
      </c>
      <c r="AI207" s="0" t="n">
        <v>459</v>
      </c>
      <c r="AJ207" s="0" t="n">
        <v>79</v>
      </c>
      <c r="AK207" s="0" t="n">
        <v>30</v>
      </c>
      <c r="AL207" s="0" t="n">
        <v>0.62</v>
      </c>
    </row>
    <row r="208">
      <c r="A208" s="0" t="inlineStr">
        <is>
          <t>[여좌동]</t>
        </is>
      </c>
      <c r="B208" s="0" t="n">
        <v>23582</v>
      </c>
      <c r="C208" s="0" t="n">
        <v>2</v>
      </c>
      <c r="D208" s="0" t="inlineStr">
        <is>
          <t>금화골든파크</t>
        </is>
      </c>
      <c r="E208" s="0" t="inlineStr">
        <is>
          <t>2004.12.</t>
        </is>
      </c>
      <c r="F208" s="0" t="n">
        <v>48</v>
      </c>
      <c r="G208" s="0" t="n">
        <v>12.85</v>
      </c>
      <c r="H208" s="0" t="n">
        <v>42.48</v>
      </c>
      <c r="I208" s="0" t="n">
        <v>10.66</v>
      </c>
      <c r="J208" s="0" t="n">
        <v>35.26</v>
      </c>
      <c r="K208" s="0" t="n">
        <v>8</v>
      </c>
      <c r="T208" s="0" t="n">
        <v>2</v>
      </c>
      <c r="U208" s="0" t="n">
        <v>1</v>
      </c>
      <c r="V208" s="0" t="inlineStr">
        <is>
          <t>복도식</t>
        </is>
      </c>
      <c r="W208" s="0" t="inlineStr">
        <is>
          <t>42B</t>
        </is>
      </c>
      <c r="X208" s="0" t="n">
        <v>10</v>
      </c>
      <c r="Y208" s="0" t="n">
        <v>10</v>
      </c>
      <c r="Z208" s="0" t="inlineStr">
        <is>
          <t>https://new.land.naver.com/complexes/23582?tab=detail&amp;rf=Y</t>
        </is>
      </c>
      <c r="AA208" s="0" t="inlineStr">
        <is>
          <t>경상남도 창원시 진해구 여좌동 761-48</t>
        </is>
      </c>
      <c r="AB208" s="0" t="inlineStr">
        <is>
          <t>경상남도</t>
        </is>
      </c>
      <c r="AC208" s="0" t="inlineStr">
        <is>
          <t>창원시</t>
        </is>
      </c>
      <c r="AD208" s="0" t="inlineStr">
        <is>
          <t>진해구</t>
        </is>
      </c>
      <c r="AE208" s="0" t="inlineStr">
        <is>
          <t>여좌동</t>
        </is>
      </c>
      <c r="AG208" s="0" t="inlineStr">
        <is>
          <t>경상남도 창원시 진해구 충장로 79</t>
        </is>
      </c>
      <c r="AH208" s="0" t="n">
        <v>0</v>
      </c>
      <c r="AI208" s="0" t="n">
        <v>459</v>
      </c>
      <c r="AJ208" s="0" t="n">
        <v>79</v>
      </c>
      <c r="AK208" s="0" t="n">
        <v>30</v>
      </c>
      <c r="AL208" s="0" t="n">
        <v>0.62</v>
      </c>
    </row>
    <row r="209">
      <c r="A209" s="0" t="inlineStr">
        <is>
          <t>[여좌동]</t>
        </is>
      </c>
      <c r="B209" s="0" t="n">
        <v>23582</v>
      </c>
      <c r="C209" s="0" t="n">
        <v>3</v>
      </c>
      <c r="D209" s="0" t="inlineStr">
        <is>
          <t>금화골든파크</t>
        </is>
      </c>
      <c r="E209" s="0" t="inlineStr">
        <is>
          <t>2004.12.</t>
        </is>
      </c>
      <c r="F209" s="0" t="n">
        <v>48</v>
      </c>
      <c r="G209" s="0" t="n">
        <v>13.28</v>
      </c>
      <c r="H209" s="0" t="n">
        <v>43.92</v>
      </c>
      <c r="I209" s="0" t="n">
        <v>11.02</v>
      </c>
      <c r="J209" s="0" t="n">
        <v>36.46</v>
      </c>
      <c r="K209" s="0" t="n">
        <v>8</v>
      </c>
      <c r="T209" s="0" t="n">
        <v>2</v>
      </c>
      <c r="U209" s="0" t="n">
        <v>1</v>
      </c>
      <c r="V209" s="0" t="inlineStr">
        <is>
          <t>복도식</t>
        </is>
      </c>
      <c r="W209" s="0" t="inlineStr">
        <is>
          <t>43C</t>
        </is>
      </c>
      <c r="X209" s="0" t="n">
        <v>10</v>
      </c>
      <c r="Y209" s="0" t="n">
        <v>10</v>
      </c>
      <c r="Z209" s="0" t="inlineStr">
        <is>
          <t>https://new.land.naver.com/complexes/23582?tab=detail&amp;rf=Y</t>
        </is>
      </c>
      <c r="AA209" s="0" t="inlineStr">
        <is>
          <t>경상남도 창원시 진해구 여좌동 761-48</t>
        </is>
      </c>
      <c r="AB209" s="0" t="inlineStr">
        <is>
          <t>경상남도</t>
        </is>
      </c>
      <c r="AC209" s="0" t="inlineStr">
        <is>
          <t>창원시</t>
        </is>
      </c>
      <c r="AD209" s="0" t="inlineStr">
        <is>
          <t>진해구</t>
        </is>
      </c>
      <c r="AE209" s="0" t="inlineStr">
        <is>
          <t>여좌동</t>
        </is>
      </c>
      <c r="AG209" s="0" t="inlineStr">
        <is>
          <t>경상남도 창원시 진해구 충장로 79</t>
        </is>
      </c>
      <c r="AH209" s="0" t="n">
        <v>0</v>
      </c>
      <c r="AI209" s="0" t="n">
        <v>459</v>
      </c>
      <c r="AJ209" s="0" t="n">
        <v>79</v>
      </c>
      <c r="AK209" s="0" t="n">
        <v>30</v>
      </c>
      <c r="AL209" s="0" t="n">
        <v>0.62</v>
      </c>
    </row>
    <row r="210">
      <c r="A210" s="0" t="inlineStr">
        <is>
          <t>[여좌동]</t>
        </is>
      </c>
      <c r="B210" s="0" t="n">
        <v>23582</v>
      </c>
      <c r="C210" s="0" t="n">
        <v>4</v>
      </c>
      <c r="D210" s="0" t="inlineStr">
        <is>
          <t>금화골든파크</t>
        </is>
      </c>
      <c r="E210" s="0" t="inlineStr">
        <is>
          <t>2004.12.</t>
        </is>
      </c>
      <c r="F210" s="0" t="n">
        <v>48</v>
      </c>
      <c r="G210" s="0" t="n">
        <v>31.33</v>
      </c>
      <c r="H210" s="0" t="n">
        <v>103.59</v>
      </c>
      <c r="I210" s="0" t="n">
        <v>25.54</v>
      </c>
      <c r="J210" s="0" t="n">
        <v>84.45</v>
      </c>
      <c r="K210" s="0" t="n">
        <v>16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103</v>
      </c>
      <c r="X210" s="0" t="n">
        <v>10</v>
      </c>
      <c r="Y210" s="0" t="n">
        <v>10</v>
      </c>
      <c r="Z210" s="0" t="inlineStr">
        <is>
          <t>https://new.land.naver.com/complexes/23582?tab=detail&amp;rf=Y</t>
        </is>
      </c>
      <c r="AA210" s="0" t="inlineStr">
        <is>
          <t>경상남도 창원시 진해구 여좌동 761-48</t>
        </is>
      </c>
      <c r="AB210" s="0" t="inlineStr">
        <is>
          <t>경상남도</t>
        </is>
      </c>
      <c r="AC210" s="0" t="inlineStr">
        <is>
          <t>창원시</t>
        </is>
      </c>
      <c r="AD210" s="0" t="inlineStr">
        <is>
          <t>진해구</t>
        </is>
      </c>
      <c r="AE210" s="0" t="inlineStr">
        <is>
          <t>여좌동</t>
        </is>
      </c>
      <c r="AG210" s="0" t="inlineStr">
        <is>
          <t>경상남도 창원시 진해구 충장로 79</t>
        </is>
      </c>
      <c r="AH210" s="0" t="n">
        <v>0</v>
      </c>
      <c r="AI210" s="0" t="n">
        <v>459</v>
      </c>
      <c r="AJ210" s="0" t="n">
        <v>79</v>
      </c>
      <c r="AK210" s="0" t="n">
        <v>30</v>
      </c>
      <c r="AL210" s="0" t="n">
        <v>0.62</v>
      </c>
    </row>
    <row r="211">
      <c r="A211" s="0" t="inlineStr">
        <is>
          <t>[여좌동]</t>
        </is>
      </c>
      <c r="B211" s="0" t="n">
        <v>122749</v>
      </c>
      <c r="C211" s="0" t="n">
        <v>1</v>
      </c>
      <c r="D211" s="0" t="inlineStr">
        <is>
          <t>헤븐하임</t>
        </is>
      </c>
      <c r="E211" s="0" t="inlineStr">
        <is>
          <t>2016.10.</t>
        </is>
      </c>
      <c r="F211" s="0" t="n">
        <v>72</v>
      </c>
      <c r="G211" s="0" t="n">
        <v>24.85</v>
      </c>
      <c r="H211" s="0" t="n">
        <v>82.16</v>
      </c>
      <c r="I211" s="0" t="n">
        <v>18.54</v>
      </c>
      <c r="J211" s="0" t="n">
        <v>61.3</v>
      </c>
      <c r="K211" s="0" t="n">
        <v>12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82</v>
      </c>
      <c r="X211" s="0" t="n">
        <v>14</v>
      </c>
      <c r="Y211" s="0" t="n">
        <v>14</v>
      </c>
      <c r="Z211" s="0" t="inlineStr">
        <is>
          <t>https://new.land.naver.com/complexes/122749?tab=detail&amp;rf=Y</t>
        </is>
      </c>
      <c r="AA211" s="0" t="inlineStr">
        <is>
          <t>경상남도 창원시 진해구 여좌동 797-1</t>
        </is>
      </c>
      <c r="AB211" s="0" t="inlineStr">
        <is>
          <t>경상남도</t>
        </is>
      </c>
      <c r="AC211" s="0" t="inlineStr">
        <is>
          <t>창원시</t>
        </is>
      </c>
      <c r="AD211" s="0" t="inlineStr">
        <is>
          <t>진해구</t>
        </is>
      </c>
      <c r="AE211" s="0" t="inlineStr">
        <is>
          <t>여좌동</t>
        </is>
      </c>
      <c r="AG211" s="0" t="inlineStr">
        <is>
          <t>경상남도 창원시 진해구 충장로 147</t>
        </is>
      </c>
      <c r="AH211" s="0" t="n">
        <v>0</v>
      </c>
      <c r="AI211" s="0" t="n">
        <v>494</v>
      </c>
      <c r="AJ211" s="0" t="n">
        <v>69</v>
      </c>
      <c r="AK211" s="0" t="n">
        <v>75</v>
      </c>
      <c r="AL211" s="0" t="n">
        <v>1.04</v>
      </c>
    </row>
    <row r="212">
      <c r="A212" s="0" t="inlineStr">
        <is>
          <t>[여좌동]</t>
        </is>
      </c>
      <c r="B212" s="0" t="n">
        <v>122749</v>
      </c>
      <c r="C212" s="0" t="n">
        <v>2</v>
      </c>
      <c r="D212" s="0" t="inlineStr">
        <is>
          <t>헤븐하임</t>
        </is>
      </c>
      <c r="E212" s="0" t="inlineStr">
        <is>
          <t>2016.10.</t>
        </is>
      </c>
      <c r="F212" s="0" t="n">
        <v>72</v>
      </c>
      <c r="G212" s="0" t="n">
        <v>25.95</v>
      </c>
      <c r="H212" s="0" t="n">
        <v>85.81</v>
      </c>
      <c r="I212" s="0" t="n">
        <v>19.45</v>
      </c>
      <c r="J212" s="0" t="n">
        <v>64.31999999999999</v>
      </c>
      <c r="K212" s="0" t="n">
        <v>12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85</v>
      </c>
      <c r="X212" s="0" t="n">
        <v>14</v>
      </c>
      <c r="Y212" s="0" t="n">
        <v>14</v>
      </c>
      <c r="Z212" s="0" t="inlineStr">
        <is>
          <t>https://new.land.naver.com/complexes/122749?tab=detail&amp;rf=Y</t>
        </is>
      </c>
      <c r="AA212" s="0" t="inlineStr">
        <is>
          <t>경상남도 창원시 진해구 여좌동 797-1</t>
        </is>
      </c>
      <c r="AB212" s="0" t="inlineStr">
        <is>
          <t>경상남도</t>
        </is>
      </c>
      <c r="AC212" s="0" t="inlineStr">
        <is>
          <t>창원시</t>
        </is>
      </c>
      <c r="AD212" s="0" t="inlineStr">
        <is>
          <t>진해구</t>
        </is>
      </c>
      <c r="AE212" s="0" t="inlineStr">
        <is>
          <t>여좌동</t>
        </is>
      </c>
      <c r="AG212" s="0" t="inlineStr">
        <is>
          <t>경상남도 창원시 진해구 충장로 147</t>
        </is>
      </c>
      <c r="AH212" s="0" t="n">
        <v>0</v>
      </c>
      <c r="AI212" s="0" t="n">
        <v>494</v>
      </c>
      <c r="AJ212" s="0" t="n">
        <v>69</v>
      </c>
      <c r="AK212" s="0" t="n">
        <v>75</v>
      </c>
      <c r="AL212" s="0" t="n">
        <v>1.04</v>
      </c>
    </row>
    <row r="213">
      <c r="A213" s="0" t="inlineStr">
        <is>
          <t>[여좌동]</t>
        </is>
      </c>
      <c r="B213" s="0" t="n">
        <v>122749</v>
      </c>
      <c r="C213" s="0" t="n">
        <v>3</v>
      </c>
      <c r="D213" s="0" t="inlineStr">
        <is>
          <t>헤븐하임</t>
        </is>
      </c>
      <c r="E213" s="0" t="inlineStr">
        <is>
          <t>2016.10.</t>
        </is>
      </c>
      <c r="F213" s="0" t="n">
        <v>72</v>
      </c>
      <c r="G213" s="0" t="n">
        <v>30.99</v>
      </c>
      <c r="H213" s="0" t="n">
        <v>102.45</v>
      </c>
      <c r="I213" s="0" t="n">
        <v>23.35</v>
      </c>
      <c r="J213" s="0" t="n">
        <v>77.22</v>
      </c>
      <c r="K213" s="0" t="n">
        <v>12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102</v>
      </c>
      <c r="X213" s="0" t="n">
        <v>14</v>
      </c>
      <c r="Y213" s="0" t="n">
        <v>14</v>
      </c>
      <c r="Z213" s="0" t="inlineStr">
        <is>
          <t>https://new.land.naver.com/complexes/122749?tab=detail&amp;rf=Y</t>
        </is>
      </c>
      <c r="AA213" s="0" t="inlineStr">
        <is>
          <t>경상남도 창원시 진해구 여좌동 797-1</t>
        </is>
      </c>
      <c r="AB213" s="0" t="inlineStr">
        <is>
          <t>경상남도</t>
        </is>
      </c>
      <c r="AC213" s="0" t="inlineStr">
        <is>
          <t>창원시</t>
        </is>
      </c>
      <c r="AD213" s="0" t="inlineStr">
        <is>
          <t>진해구</t>
        </is>
      </c>
      <c r="AE213" s="0" t="inlineStr">
        <is>
          <t>여좌동</t>
        </is>
      </c>
      <c r="AG213" s="0" t="inlineStr">
        <is>
          <t>경상남도 창원시 진해구 충장로 147</t>
        </is>
      </c>
      <c r="AH213" s="0" t="n">
        <v>0</v>
      </c>
      <c r="AI213" s="0" t="n">
        <v>494</v>
      </c>
      <c r="AJ213" s="0" t="n">
        <v>69</v>
      </c>
      <c r="AK213" s="0" t="n">
        <v>75</v>
      </c>
      <c r="AL213" s="0" t="n">
        <v>1.04</v>
      </c>
    </row>
    <row r="214">
      <c r="A214" s="0" t="inlineStr">
        <is>
          <t>[여좌동]</t>
        </is>
      </c>
      <c r="B214" s="0" t="n">
        <v>122749</v>
      </c>
      <c r="C214" s="0" t="n">
        <v>4</v>
      </c>
      <c r="D214" s="0" t="inlineStr">
        <is>
          <t>헤븐하임</t>
        </is>
      </c>
      <c r="E214" s="0" t="inlineStr">
        <is>
          <t>2016.10.</t>
        </is>
      </c>
      <c r="F214" s="0" t="n">
        <v>72</v>
      </c>
      <c r="G214" s="0" t="n">
        <v>31.62</v>
      </c>
      <c r="H214" s="0" t="n">
        <v>104.56</v>
      </c>
      <c r="I214" s="0" t="n">
        <v>23.83</v>
      </c>
      <c r="J214" s="0" t="n">
        <v>78.79000000000001</v>
      </c>
      <c r="K214" s="0" t="n">
        <v>24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104A</t>
        </is>
      </c>
      <c r="X214" s="0" t="n">
        <v>14</v>
      </c>
      <c r="Y214" s="0" t="n">
        <v>14</v>
      </c>
      <c r="Z214" s="0" t="inlineStr">
        <is>
          <t>https://new.land.naver.com/complexes/122749?tab=detail&amp;rf=Y</t>
        </is>
      </c>
      <c r="AA214" s="0" t="inlineStr">
        <is>
          <t>경상남도 창원시 진해구 여좌동 797-1</t>
        </is>
      </c>
      <c r="AB214" s="0" t="inlineStr">
        <is>
          <t>경상남도</t>
        </is>
      </c>
      <c r="AC214" s="0" t="inlineStr">
        <is>
          <t>창원시</t>
        </is>
      </c>
      <c r="AD214" s="0" t="inlineStr">
        <is>
          <t>진해구</t>
        </is>
      </c>
      <c r="AE214" s="0" t="inlineStr">
        <is>
          <t>여좌동</t>
        </is>
      </c>
      <c r="AG214" s="0" t="inlineStr">
        <is>
          <t>경상남도 창원시 진해구 충장로 147</t>
        </is>
      </c>
      <c r="AH214" s="0" t="n">
        <v>0</v>
      </c>
      <c r="AI214" s="0" t="n">
        <v>494</v>
      </c>
      <c r="AJ214" s="0" t="n">
        <v>69</v>
      </c>
      <c r="AK214" s="0" t="n">
        <v>75</v>
      </c>
      <c r="AL214" s="0" t="n">
        <v>1.04</v>
      </c>
    </row>
    <row r="215">
      <c r="A215" s="0" t="inlineStr">
        <is>
          <t>[여좌동]</t>
        </is>
      </c>
      <c r="B215" s="0" t="n">
        <v>122749</v>
      </c>
      <c r="C215" s="0" t="n">
        <v>5</v>
      </c>
      <c r="D215" s="0" t="inlineStr">
        <is>
          <t>헤븐하임</t>
        </is>
      </c>
      <c r="E215" s="0" t="inlineStr">
        <is>
          <t>2016.10.</t>
        </is>
      </c>
      <c r="F215" s="0" t="n">
        <v>72</v>
      </c>
      <c r="G215" s="0" t="n">
        <v>32.31</v>
      </c>
      <c r="H215" s="0" t="n">
        <v>106.82</v>
      </c>
      <c r="I215" s="0" t="n">
        <v>24.48</v>
      </c>
      <c r="J215" s="0" t="n">
        <v>80.94</v>
      </c>
      <c r="K215" s="0" t="n">
        <v>12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106B</t>
        </is>
      </c>
      <c r="X215" s="0" t="n">
        <v>14</v>
      </c>
      <c r="Y215" s="0" t="n">
        <v>14</v>
      </c>
      <c r="Z215" s="0" t="inlineStr">
        <is>
          <t>https://new.land.naver.com/complexes/122749?tab=detail&amp;rf=Y</t>
        </is>
      </c>
      <c r="AA215" s="0" t="inlineStr">
        <is>
          <t>경상남도 창원시 진해구 여좌동 797-1</t>
        </is>
      </c>
      <c r="AB215" s="0" t="inlineStr">
        <is>
          <t>경상남도</t>
        </is>
      </c>
      <c r="AC215" s="0" t="inlineStr">
        <is>
          <t>창원시</t>
        </is>
      </c>
      <c r="AD215" s="0" t="inlineStr">
        <is>
          <t>진해구</t>
        </is>
      </c>
      <c r="AE215" s="0" t="inlineStr">
        <is>
          <t>여좌동</t>
        </is>
      </c>
      <c r="AG215" s="0" t="inlineStr">
        <is>
          <t>경상남도 창원시 진해구 충장로 147</t>
        </is>
      </c>
      <c r="AH215" s="0" t="n">
        <v>0</v>
      </c>
      <c r="AI215" s="0" t="n">
        <v>494</v>
      </c>
      <c r="AJ215" s="0" t="n">
        <v>69</v>
      </c>
      <c r="AK215" s="0" t="n">
        <v>75</v>
      </c>
      <c r="AL215" s="0" t="n">
        <v>1.04</v>
      </c>
    </row>
    <row r="216">
      <c r="A216" s="0" t="inlineStr">
        <is>
          <t>[여좌동]</t>
        </is>
      </c>
      <c r="B216" s="0" t="n">
        <v>134491</v>
      </c>
      <c r="C216" s="0" t="n">
        <v>1</v>
      </c>
      <c r="D216" s="0" t="inlineStr">
        <is>
          <t>동원베이힐즈</t>
        </is>
      </c>
      <c r="E216" s="0" t="inlineStr">
        <is>
          <t>2017.09.</t>
        </is>
      </c>
      <c r="F216" s="0" t="n">
        <v>24</v>
      </c>
      <c r="G216" s="0" t="n">
        <v>28.97</v>
      </c>
      <c r="H216" s="0" t="n">
        <v>95.8</v>
      </c>
      <c r="I216" s="0" t="n">
        <v>21.89</v>
      </c>
      <c r="J216" s="0" t="n">
        <v>72.38</v>
      </c>
      <c r="K216" s="0" t="n">
        <v>24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95</v>
      </c>
      <c r="X216" s="0" t="n">
        <v>14</v>
      </c>
      <c r="Y216" s="0" t="n">
        <v>14</v>
      </c>
      <c r="Z216" s="0" t="inlineStr">
        <is>
          <t>https://new.land.naver.com/complexes/134491?tab=detail&amp;rf=Y</t>
        </is>
      </c>
      <c r="AA216" s="0" t="inlineStr">
        <is>
          <t>경상남도 창원시 진해구 여좌동 760-56</t>
        </is>
      </c>
      <c r="AB216" s="0" t="inlineStr">
        <is>
          <t>경상남도</t>
        </is>
      </c>
      <c r="AC216" s="0" t="inlineStr">
        <is>
          <t>창원시</t>
        </is>
      </c>
      <c r="AD216" s="0" t="inlineStr">
        <is>
          <t>진해구</t>
        </is>
      </c>
      <c r="AE216" s="0" t="inlineStr">
        <is>
          <t>여좌동</t>
        </is>
      </c>
      <c r="AG216" s="0" t="inlineStr">
        <is>
          <t>경상남도 창원시 진해구 여명로 4</t>
        </is>
      </c>
      <c r="AH216" s="0" t="n">
        <v>0</v>
      </c>
      <c r="AI216" s="0" t="n">
        <v>219</v>
      </c>
      <c r="AJ216" s="0" t="n">
        <v>42</v>
      </c>
      <c r="AK216" s="0" t="n">
        <v>29</v>
      </c>
      <c r="AL216" s="0" t="n">
        <v>1.21</v>
      </c>
    </row>
    <row r="217">
      <c r="A217" s="0" t="inlineStr">
        <is>
          <t>[여좌동]</t>
        </is>
      </c>
      <c r="B217" s="0" t="n">
        <v>7563</v>
      </c>
      <c r="C217" s="0" t="n">
        <v>1</v>
      </c>
      <c r="D217" s="0" t="inlineStr">
        <is>
          <t>대광</t>
        </is>
      </c>
      <c r="E217" s="0" t="inlineStr">
        <is>
          <t>1996.10.</t>
        </is>
      </c>
      <c r="F217" s="0" t="n">
        <v>174</v>
      </c>
      <c r="G217" s="0" t="n">
        <v>21.43</v>
      </c>
      <c r="H217" s="0" t="n">
        <v>70.86</v>
      </c>
      <c r="I217" s="0" t="n">
        <v>17.76</v>
      </c>
      <c r="J217" s="0" t="n">
        <v>58.74</v>
      </c>
      <c r="K217" s="0" t="n">
        <v>6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70</v>
      </c>
      <c r="X217" s="0" t="n">
        <v>8</v>
      </c>
      <c r="Y217" s="0" t="n">
        <v>3</v>
      </c>
      <c r="Z217" s="0" t="inlineStr">
        <is>
          <t>https://new.land.naver.com/complexes/7563?tab=detail&amp;rf=Y</t>
        </is>
      </c>
      <c r="AA217" s="0" t="inlineStr">
        <is>
          <t>경상남도 창원시 진해구 여좌동 760-24</t>
        </is>
      </c>
      <c r="AB217" s="0" t="inlineStr">
        <is>
          <t>경상남도</t>
        </is>
      </c>
      <c r="AC217" s="0" t="inlineStr">
        <is>
          <t>창원시</t>
        </is>
      </c>
      <c r="AD217" s="0" t="inlineStr">
        <is>
          <t>진해구</t>
        </is>
      </c>
      <c r="AE217" s="0" t="inlineStr">
        <is>
          <t>여좌동</t>
        </is>
      </c>
      <c r="AG217" s="0" t="inlineStr">
        <is>
          <t>경상남도 창원시 진해구 여명로16번길 22</t>
        </is>
      </c>
      <c r="AH217" s="0" t="n">
        <v>0</v>
      </c>
      <c r="AI217" s="0" t="n">
        <v>197</v>
      </c>
      <c r="AJ217" s="0" t="n">
        <v>41</v>
      </c>
      <c r="AK217" s="0" t="n">
        <v>110</v>
      </c>
      <c r="AL217" s="0" t="n">
        <v>0.63</v>
      </c>
    </row>
    <row r="218">
      <c r="A218" s="0" t="inlineStr">
        <is>
          <t>[여좌동]</t>
        </is>
      </c>
      <c r="B218" s="0" t="n">
        <v>7563</v>
      </c>
      <c r="C218" s="0" t="n">
        <v>2</v>
      </c>
      <c r="D218" s="0" t="inlineStr">
        <is>
          <t>대광</t>
        </is>
      </c>
      <c r="E218" s="0" t="inlineStr">
        <is>
          <t>1996.10.</t>
        </is>
      </c>
      <c r="F218" s="0" t="n">
        <v>174</v>
      </c>
      <c r="G218" s="0" t="n">
        <v>22.68</v>
      </c>
      <c r="H218" s="0" t="n">
        <v>74.98999999999999</v>
      </c>
      <c r="I218" s="0" t="n">
        <v>18.1</v>
      </c>
      <c r="J218" s="0" t="n">
        <v>59.86</v>
      </c>
      <c r="K218" s="0" t="n">
        <v>64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74</v>
      </c>
      <c r="X218" s="0" t="n">
        <v>8</v>
      </c>
      <c r="Y218" s="0" t="n">
        <v>3</v>
      </c>
      <c r="Z218" s="0" t="inlineStr">
        <is>
          <t>https://new.land.naver.com/complexes/7563?tab=detail&amp;rf=Y</t>
        </is>
      </c>
      <c r="AA218" s="0" t="inlineStr">
        <is>
          <t>경상남도 창원시 진해구 여좌동 760-24</t>
        </is>
      </c>
      <c r="AB218" s="0" t="inlineStr">
        <is>
          <t>경상남도</t>
        </is>
      </c>
      <c r="AC218" s="0" t="inlineStr">
        <is>
          <t>창원시</t>
        </is>
      </c>
      <c r="AD218" s="0" t="inlineStr">
        <is>
          <t>진해구</t>
        </is>
      </c>
      <c r="AE218" s="0" t="inlineStr">
        <is>
          <t>여좌동</t>
        </is>
      </c>
      <c r="AG218" s="0" t="inlineStr">
        <is>
          <t>경상남도 창원시 진해구 여명로16번길 22</t>
        </is>
      </c>
      <c r="AH218" s="0" t="n">
        <v>0</v>
      </c>
      <c r="AI218" s="0" t="n">
        <v>197</v>
      </c>
      <c r="AJ218" s="0" t="n">
        <v>41</v>
      </c>
      <c r="AK218" s="0" t="n">
        <v>110</v>
      </c>
      <c r="AL218" s="0" t="n">
        <v>0.63</v>
      </c>
    </row>
    <row r="219">
      <c r="A219" s="0" t="inlineStr">
        <is>
          <t>[여좌동]</t>
        </is>
      </c>
      <c r="B219" s="0" t="n">
        <v>7563</v>
      </c>
      <c r="C219" s="0" t="n">
        <v>3</v>
      </c>
      <c r="D219" s="0" t="inlineStr">
        <is>
          <t>대광</t>
        </is>
      </c>
      <c r="E219" s="0" t="inlineStr">
        <is>
          <t>1996.10.</t>
        </is>
      </c>
      <c r="F219" s="0" t="n">
        <v>174</v>
      </c>
      <c r="G219" s="0" t="n">
        <v>26.63</v>
      </c>
      <c r="H219" s="0" t="n">
        <v>88.04000000000001</v>
      </c>
      <c r="I219" s="0" t="n">
        <v>21.77</v>
      </c>
      <c r="J219" s="0" t="n">
        <v>71.98999999999999</v>
      </c>
      <c r="K219" s="0" t="n">
        <v>32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88</v>
      </c>
      <c r="X219" s="0" t="n">
        <v>8</v>
      </c>
      <c r="Y219" s="0" t="n">
        <v>3</v>
      </c>
      <c r="Z219" s="0" t="inlineStr">
        <is>
          <t>https://new.land.naver.com/complexes/7563?tab=detail&amp;rf=Y</t>
        </is>
      </c>
      <c r="AA219" s="0" t="inlineStr">
        <is>
          <t>경상남도 창원시 진해구 여좌동 760-24</t>
        </is>
      </c>
      <c r="AB219" s="0" t="inlineStr">
        <is>
          <t>경상남도</t>
        </is>
      </c>
      <c r="AC219" s="0" t="inlineStr">
        <is>
          <t>창원시</t>
        </is>
      </c>
      <c r="AD219" s="0" t="inlineStr">
        <is>
          <t>진해구</t>
        </is>
      </c>
      <c r="AE219" s="0" t="inlineStr">
        <is>
          <t>여좌동</t>
        </is>
      </c>
      <c r="AG219" s="0" t="inlineStr">
        <is>
          <t>경상남도 창원시 진해구 여명로16번길 22</t>
        </is>
      </c>
      <c r="AH219" s="0" t="n">
        <v>0</v>
      </c>
      <c r="AI219" s="0" t="n">
        <v>197</v>
      </c>
      <c r="AJ219" s="0" t="n">
        <v>41</v>
      </c>
      <c r="AK219" s="0" t="n">
        <v>110</v>
      </c>
      <c r="AL219" s="0" t="n">
        <v>0.63</v>
      </c>
    </row>
    <row r="220">
      <c r="A220" s="0" t="inlineStr">
        <is>
          <t>[여좌동]</t>
        </is>
      </c>
      <c r="B220" s="0" t="n">
        <v>7563</v>
      </c>
      <c r="C220" s="0" t="n">
        <v>4</v>
      </c>
      <c r="D220" s="0" t="inlineStr">
        <is>
          <t>대광</t>
        </is>
      </c>
      <c r="E220" s="0" t="inlineStr">
        <is>
          <t>1996.10.</t>
        </is>
      </c>
      <c r="F220" s="0" t="n">
        <v>174</v>
      </c>
      <c r="G220" s="0" t="n">
        <v>29.5</v>
      </c>
      <c r="H220" s="0" t="n">
        <v>97.54000000000001</v>
      </c>
      <c r="I220" s="0" t="n">
        <v>25.6</v>
      </c>
      <c r="J220" s="0" t="n">
        <v>84.63</v>
      </c>
      <c r="K220" s="0" t="n">
        <v>24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97</v>
      </c>
      <c r="X220" s="0" t="n">
        <v>8</v>
      </c>
      <c r="Y220" s="0" t="n">
        <v>3</v>
      </c>
      <c r="Z220" s="0" t="inlineStr">
        <is>
          <t>https://new.land.naver.com/complexes/7563?tab=detail&amp;rf=Y</t>
        </is>
      </c>
      <c r="AA220" s="0" t="inlineStr">
        <is>
          <t>경상남도 창원시 진해구 여좌동 760-24</t>
        </is>
      </c>
      <c r="AB220" s="0" t="inlineStr">
        <is>
          <t>경상남도</t>
        </is>
      </c>
      <c r="AC220" s="0" t="inlineStr">
        <is>
          <t>창원시</t>
        </is>
      </c>
      <c r="AD220" s="0" t="inlineStr">
        <is>
          <t>진해구</t>
        </is>
      </c>
      <c r="AE220" s="0" t="inlineStr">
        <is>
          <t>여좌동</t>
        </is>
      </c>
      <c r="AG220" s="0" t="inlineStr">
        <is>
          <t>경상남도 창원시 진해구 여명로16번길 22</t>
        </is>
      </c>
      <c r="AH220" s="0" t="n">
        <v>0</v>
      </c>
      <c r="AI220" s="0" t="n">
        <v>197</v>
      </c>
      <c r="AJ220" s="0" t="n">
        <v>41</v>
      </c>
      <c r="AK220" s="0" t="n">
        <v>110</v>
      </c>
      <c r="AL220" s="0" t="n">
        <v>0.63</v>
      </c>
    </row>
    <row r="221">
      <c r="A221" s="0" t="inlineStr">
        <is>
          <t>[여좌동]</t>
        </is>
      </c>
      <c r="B221" s="0" t="n">
        <v>7563</v>
      </c>
      <c r="C221" s="0" t="n">
        <v>5</v>
      </c>
      <c r="D221" s="0" t="inlineStr">
        <is>
          <t>대광</t>
        </is>
      </c>
      <c r="E221" s="0" t="inlineStr">
        <is>
          <t>1996.10.</t>
        </is>
      </c>
      <c r="F221" s="0" t="n">
        <v>174</v>
      </c>
      <c r="G221" s="0" t="n">
        <v>30.8</v>
      </c>
      <c r="H221" s="0" t="n">
        <v>101.82</v>
      </c>
      <c r="I221" s="0" t="n">
        <v>25.65</v>
      </c>
      <c r="J221" s="0" t="n">
        <v>84.8</v>
      </c>
      <c r="K221" s="0" t="n">
        <v>48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101</v>
      </c>
      <c r="X221" s="0" t="n">
        <v>8</v>
      </c>
      <c r="Y221" s="0" t="n">
        <v>3</v>
      </c>
      <c r="Z221" s="0" t="inlineStr">
        <is>
          <t>https://new.land.naver.com/complexes/7563?tab=detail&amp;rf=Y</t>
        </is>
      </c>
      <c r="AA221" s="0" t="inlineStr">
        <is>
          <t>경상남도 창원시 진해구 여좌동 760-24</t>
        </is>
      </c>
      <c r="AB221" s="0" t="inlineStr">
        <is>
          <t>경상남도</t>
        </is>
      </c>
      <c r="AC221" s="0" t="inlineStr">
        <is>
          <t>창원시</t>
        </is>
      </c>
      <c r="AD221" s="0" t="inlineStr">
        <is>
          <t>진해구</t>
        </is>
      </c>
      <c r="AE221" s="0" t="inlineStr">
        <is>
          <t>여좌동</t>
        </is>
      </c>
      <c r="AG221" s="0" t="inlineStr">
        <is>
          <t>경상남도 창원시 진해구 여명로16번길 22</t>
        </is>
      </c>
      <c r="AH221" s="0" t="n">
        <v>0</v>
      </c>
      <c r="AI221" s="0" t="n">
        <v>197</v>
      </c>
      <c r="AJ221" s="0" t="n">
        <v>41</v>
      </c>
      <c r="AK221" s="0" t="n">
        <v>110</v>
      </c>
      <c r="AL221" s="0" t="n">
        <v>0.63</v>
      </c>
    </row>
    <row r="222">
      <c r="A222" s="0" t="inlineStr">
        <is>
          <t>[용원동]</t>
        </is>
      </c>
      <c r="B222" s="0" t="n">
        <v>105289</v>
      </c>
      <c r="C222" s="0" t="n">
        <v>1</v>
      </c>
      <c r="D222" s="0" t="inlineStr">
        <is>
          <t>부산신항만이지더원1단지</t>
        </is>
      </c>
      <c r="E222" s="0" t="inlineStr">
        <is>
          <t>2014.10.</t>
        </is>
      </c>
      <c r="F222" s="0" t="n">
        <v>340</v>
      </c>
      <c r="G222" s="0" t="n">
        <v>24.31</v>
      </c>
      <c r="H222" s="0" t="n">
        <v>80.37</v>
      </c>
      <c r="I222" s="0" t="n">
        <v>18.12</v>
      </c>
      <c r="J222" s="0" t="n">
        <v>59.92</v>
      </c>
      <c r="K222" s="0" t="n">
        <v>56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80</v>
      </c>
      <c r="X222" s="0" t="n">
        <v>28</v>
      </c>
      <c r="Y222" s="0" t="n">
        <v>15</v>
      </c>
      <c r="Z222" s="0" t="inlineStr">
        <is>
          <t>https://new.land.naver.com/complexes/105289?tab=detail&amp;rf=Y</t>
        </is>
      </c>
      <c r="AA222" s="0" t="inlineStr">
        <is>
          <t>경상남도 창원시 진해구 용원동 1338-2</t>
        </is>
      </c>
      <c r="AB222" s="0" t="inlineStr">
        <is>
          <t>경상남도</t>
        </is>
      </c>
      <c r="AC222" s="0" t="inlineStr">
        <is>
          <t>창원시</t>
        </is>
      </c>
      <c r="AD222" s="0" t="inlineStr">
        <is>
          <t>진해구</t>
        </is>
      </c>
      <c r="AE222" s="0" t="inlineStr">
        <is>
          <t>용원동</t>
        </is>
      </c>
      <c r="AG222" s="0" t="inlineStr">
        <is>
          <t>경상남도 창원시 진해구 신항동로 143</t>
        </is>
      </c>
      <c r="AH222" s="0" t="n">
        <v>0</v>
      </c>
      <c r="AI222" s="0" t="n">
        <v>222</v>
      </c>
      <c r="AJ222" s="0" t="n">
        <v>19</v>
      </c>
      <c r="AK222" s="0" t="n">
        <v>419</v>
      </c>
      <c r="AL222" s="0" t="n">
        <v>1.23</v>
      </c>
    </row>
    <row r="223">
      <c r="A223" s="0" t="inlineStr">
        <is>
          <t>[용원동]</t>
        </is>
      </c>
      <c r="B223" s="0" t="n">
        <v>105289</v>
      </c>
      <c r="C223" s="0" t="n">
        <v>2</v>
      </c>
      <c r="D223" s="0" t="inlineStr">
        <is>
          <t>부산신항만이지더원1단지</t>
        </is>
      </c>
      <c r="E223" s="0" t="inlineStr">
        <is>
          <t>2014.10.</t>
        </is>
      </c>
      <c r="F223" s="0" t="n">
        <v>340</v>
      </c>
      <c r="G223" s="0" t="n">
        <v>33.97</v>
      </c>
      <c r="H223" s="0" t="n">
        <v>112.31</v>
      </c>
      <c r="I223" s="0" t="n">
        <v>25.67</v>
      </c>
      <c r="J223" s="0" t="n">
        <v>84.89</v>
      </c>
      <c r="K223" s="0" t="n">
        <v>284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112</v>
      </c>
      <c r="X223" s="0" t="n">
        <v>28</v>
      </c>
      <c r="Y223" s="0" t="n">
        <v>15</v>
      </c>
      <c r="Z223" s="0" t="inlineStr">
        <is>
          <t>https://new.land.naver.com/complexes/105289?tab=detail&amp;rf=Y</t>
        </is>
      </c>
      <c r="AA223" s="0" t="inlineStr">
        <is>
          <t>경상남도 창원시 진해구 용원동 1338-2</t>
        </is>
      </c>
      <c r="AB223" s="0" t="inlineStr">
        <is>
          <t>경상남도</t>
        </is>
      </c>
      <c r="AC223" s="0" t="inlineStr">
        <is>
          <t>창원시</t>
        </is>
      </c>
      <c r="AD223" s="0" t="inlineStr">
        <is>
          <t>진해구</t>
        </is>
      </c>
      <c r="AE223" s="0" t="inlineStr">
        <is>
          <t>용원동</t>
        </is>
      </c>
      <c r="AG223" s="0" t="inlineStr">
        <is>
          <t>경상남도 창원시 진해구 신항동로 143</t>
        </is>
      </c>
      <c r="AH223" s="0" t="n">
        <v>0</v>
      </c>
      <c r="AI223" s="0" t="n">
        <v>222</v>
      </c>
      <c r="AJ223" s="0" t="n">
        <v>19</v>
      </c>
      <c r="AK223" s="0" t="n">
        <v>419</v>
      </c>
      <c r="AL223" s="0" t="n">
        <v>1.23</v>
      </c>
    </row>
    <row r="224">
      <c r="A224" s="0" t="inlineStr">
        <is>
          <t>[용원동]</t>
        </is>
      </c>
      <c r="B224" s="0" t="n">
        <v>105290</v>
      </c>
      <c r="C224" s="0" t="n">
        <v>1</v>
      </c>
      <c r="D224" s="0" t="inlineStr">
        <is>
          <t>부산신항만이지더원2단지</t>
        </is>
      </c>
      <c r="E224" s="0" t="inlineStr">
        <is>
          <t>2014.10.</t>
        </is>
      </c>
      <c r="F224" s="0" t="n">
        <v>452</v>
      </c>
      <c r="G224" s="0" t="n">
        <v>24.3</v>
      </c>
      <c r="H224" s="0" t="n">
        <v>80.36</v>
      </c>
      <c r="I224" s="0" t="n">
        <v>18.12</v>
      </c>
      <c r="J224" s="0" t="n">
        <v>59.92</v>
      </c>
      <c r="K224" s="0" t="n">
        <v>112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80</v>
      </c>
      <c r="X224" s="0" t="n">
        <v>29</v>
      </c>
      <c r="Y224" s="0" t="n">
        <v>29</v>
      </c>
      <c r="Z224" s="0" t="inlineStr">
        <is>
          <t>https://new.land.naver.com/complexes/105290?tab=detail&amp;rf=Y</t>
        </is>
      </c>
      <c r="AA224" s="0" t="inlineStr">
        <is>
          <t>경상남도 창원시 진해구 용원동 1338-3</t>
        </is>
      </c>
      <c r="AB224" s="0" t="inlineStr">
        <is>
          <t>경상남도</t>
        </is>
      </c>
      <c r="AC224" s="0" t="inlineStr">
        <is>
          <t>창원시</t>
        </is>
      </c>
      <c r="AD224" s="0" t="inlineStr">
        <is>
          <t>진해구</t>
        </is>
      </c>
      <c r="AE224" s="0" t="inlineStr">
        <is>
          <t>용원동</t>
        </is>
      </c>
      <c r="AG224" s="0" t="inlineStr">
        <is>
          <t>경상남도 창원시 진해구 신항북로 202</t>
        </is>
      </c>
      <c r="AH224" s="0" t="n">
        <v>0</v>
      </c>
      <c r="AI224" s="0" t="n">
        <v>229</v>
      </c>
      <c r="AJ224" s="0" t="n">
        <v>17</v>
      </c>
      <c r="AK224" s="0" t="n">
        <v>559</v>
      </c>
      <c r="AL224" s="0" t="n">
        <v>1.24</v>
      </c>
    </row>
    <row r="225">
      <c r="A225" s="0" t="inlineStr">
        <is>
          <t>[용원동]</t>
        </is>
      </c>
      <c r="B225" s="0" t="n">
        <v>105290</v>
      </c>
      <c r="C225" s="0" t="n">
        <v>2</v>
      </c>
      <c r="D225" s="0" t="inlineStr">
        <is>
          <t>부산신항만이지더원2단지</t>
        </is>
      </c>
      <c r="E225" s="0" t="inlineStr">
        <is>
          <t>2014.10.</t>
        </is>
      </c>
      <c r="F225" s="0" t="n">
        <v>452</v>
      </c>
      <c r="G225" s="0" t="n">
        <v>33.97</v>
      </c>
      <c r="H225" s="0" t="n">
        <v>112.3</v>
      </c>
      <c r="I225" s="0" t="n">
        <v>25.67</v>
      </c>
      <c r="J225" s="0" t="n">
        <v>84.89</v>
      </c>
      <c r="K225" s="0" t="n">
        <v>340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112</v>
      </c>
      <c r="X225" s="0" t="n">
        <v>29</v>
      </c>
      <c r="Y225" s="0" t="n">
        <v>29</v>
      </c>
      <c r="Z225" s="0" t="inlineStr">
        <is>
          <t>https://new.land.naver.com/complexes/105290?tab=detail&amp;rf=Y</t>
        </is>
      </c>
      <c r="AA225" s="0" t="inlineStr">
        <is>
          <t>경상남도 창원시 진해구 용원동 1338-3</t>
        </is>
      </c>
      <c r="AB225" s="0" t="inlineStr">
        <is>
          <t>경상남도</t>
        </is>
      </c>
      <c r="AC225" s="0" t="inlineStr">
        <is>
          <t>창원시</t>
        </is>
      </c>
      <c r="AD225" s="0" t="inlineStr">
        <is>
          <t>진해구</t>
        </is>
      </c>
      <c r="AE225" s="0" t="inlineStr">
        <is>
          <t>용원동</t>
        </is>
      </c>
      <c r="AG225" s="0" t="inlineStr">
        <is>
          <t>경상남도 창원시 진해구 신항북로 202</t>
        </is>
      </c>
      <c r="AH225" s="0" t="n">
        <v>0</v>
      </c>
      <c r="AI225" s="0" t="n">
        <v>229</v>
      </c>
      <c r="AJ225" s="0" t="n">
        <v>17</v>
      </c>
      <c r="AK225" s="0" t="n">
        <v>559</v>
      </c>
      <c r="AL225" s="0" t="n">
        <v>1.24</v>
      </c>
    </row>
    <row r="226">
      <c r="A226" s="0" t="inlineStr">
        <is>
          <t>[용원동]</t>
        </is>
      </c>
      <c r="B226" s="0" t="n">
        <v>15440</v>
      </c>
      <c r="C226" s="0" t="n">
        <v>1</v>
      </c>
      <c r="D226" s="0" t="inlineStr">
        <is>
          <t>일신님</t>
        </is>
      </c>
      <c r="E226" s="0" t="inlineStr">
        <is>
          <t>2005.08.</t>
        </is>
      </c>
      <c r="F226" s="0" t="n">
        <v>869</v>
      </c>
      <c r="G226" s="0" t="n">
        <v>33.34</v>
      </c>
      <c r="H226" s="0" t="n">
        <v>110.22</v>
      </c>
      <c r="I226" s="0" t="n">
        <v>25.7</v>
      </c>
      <c r="J226" s="0" t="n">
        <v>84.98</v>
      </c>
      <c r="K226" s="0" t="n">
        <v>479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110</v>
      </c>
      <c r="X226" s="0" t="n">
        <v>15</v>
      </c>
      <c r="Y226" s="0" t="n">
        <v>15</v>
      </c>
      <c r="Z226" s="0" t="inlineStr">
        <is>
          <t>https://new.land.naver.com/complexes/15440?tab=detail&amp;rf=Y</t>
        </is>
      </c>
      <c r="AA226" s="0" t="inlineStr">
        <is>
          <t>경상남도 창원시 진해구 용원동 1208</t>
        </is>
      </c>
      <c r="AB226" s="0" t="inlineStr">
        <is>
          <t>경상남도</t>
        </is>
      </c>
      <c r="AC226" s="0" t="inlineStr">
        <is>
          <t>창원시</t>
        </is>
      </c>
      <c r="AD226" s="0" t="inlineStr">
        <is>
          <t>진해구</t>
        </is>
      </c>
      <c r="AE226" s="0" t="inlineStr">
        <is>
          <t>용원동</t>
        </is>
      </c>
      <c r="AG226" s="0" t="inlineStr">
        <is>
          <t>경상남도 창원시 진해구 안골로 359</t>
        </is>
      </c>
      <c r="AH226" s="0" t="n">
        <v>0</v>
      </c>
      <c r="AI226" s="0" t="n">
        <v>212</v>
      </c>
      <c r="AJ226" s="0" t="n">
        <v>18</v>
      </c>
      <c r="AK226" s="0" t="n">
        <v>1013</v>
      </c>
      <c r="AL226" s="0" t="n">
        <v>1.17</v>
      </c>
    </row>
    <row r="227">
      <c r="A227" s="0" t="inlineStr">
        <is>
          <t>[용원동]</t>
        </is>
      </c>
      <c r="B227" s="0" t="n">
        <v>15440</v>
      </c>
      <c r="C227" s="0" t="n">
        <v>2</v>
      </c>
      <c r="D227" s="0" t="inlineStr">
        <is>
          <t>일신님</t>
        </is>
      </c>
      <c r="E227" s="0" t="inlineStr">
        <is>
          <t>2005.08.</t>
        </is>
      </c>
      <c r="F227" s="0" t="n">
        <v>869</v>
      </c>
      <c r="G227" s="0" t="n">
        <v>40.55</v>
      </c>
      <c r="H227" s="0" t="n">
        <v>134.07</v>
      </c>
      <c r="I227" s="0" t="n">
        <v>30.77</v>
      </c>
      <c r="J227" s="0" t="n">
        <v>101.72</v>
      </c>
      <c r="K227" s="0" t="n">
        <v>300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134</v>
      </c>
      <c r="X227" s="0" t="n">
        <v>15</v>
      </c>
      <c r="Y227" s="0" t="n">
        <v>15</v>
      </c>
      <c r="Z227" s="0" t="inlineStr">
        <is>
          <t>https://new.land.naver.com/complexes/15440?tab=detail&amp;rf=Y</t>
        </is>
      </c>
      <c r="AA227" s="0" t="inlineStr">
        <is>
          <t>경상남도 창원시 진해구 용원동 1208</t>
        </is>
      </c>
      <c r="AB227" s="0" t="inlineStr">
        <is>
          <t>경상남도</t>
        </is>
      </c>
      <c r="AC227" s="0" t="inlineStr">
        <is>
          <t>창원시</t>
        </is>
      </c>
      <c r="AD227" s="0" t="inlineStr">
        <is>
          <t>진해구</t>
        </is>
      </c>
      <c r="AE227" s="0" t="inlineStr">
        <is>
          <t>용원동</t>
        </is>
      </c>
      <c r="AG227" s="0" t="inlineStr">
        <is>
          <t>경상남도 창원시 진해구 안골로 359</t>
        </is>
      </c>
      <c r="AH227" s="0" t="n">
        <v>0</v>
      </c>
      <c r="AI227" s="0" t="n">
        <v>212</v>
      </c>
      <c r="AJ227" s="0" t="n">
        <v>18</v>
      </c>
      <c r="AK227" s="0" t="n">
        <v>1013</v>
      </c>
      <c r="AL227" s="0" t="n">
        <v>1.17</v>
      </c>
    </row>
    <row r="228">
      <c r="A228" s="0" t="inlineStr">
        <is>
          <t>[용원동]</t>
        </is>
      </c>
      <c r="B228" s="0" t="n">
        <v>15440</v>
      </c>
      <c r="C228" s="0" t="n">
        <v>3</v>
      </c>
      <c r="D228" s="0" t="inlineStr">
        <is>
          <t>일신님</t>
        </is>
      </c>
      <c r="E228" s="0" t="inlineStr">
        <is>
          <t>2005.08.</t>
        </is>
      </c>
      <c r="F228" s="0" t="n">
        <v>869</v>
      </c>
      <c r="G228" s="0" t="n">
        <v>47.92</v>
      </c>
      <c r="H228" s="0" t="n">
        <v>158.43</v>
      </c>
      <c r="I228" s="0" t="n">
        <v>36.72</v>
      </c>
      <c r="J228" s="0" t="n">
        <v>121.41</v>
      </c>
      <c r="K228" s="0" t="n">
        <v>90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158</v>
      </c>
      <c r="X228" s="0" t="n">
        <v>15</v>
      </c>
      <c r="Y228" s="0" t="n">
        <v>15</v>
      </c>
      <c r="Z228" s="0" t="inlineStr">
        <is>
          <t>https://new.land.naver.com/complexes/15440?tab=detail&amp;rf=Y</t>
        </is>
      </c>
      <c r="AA228" s="0" t="inlineStr">
        <is>
          <t>경상남도 창원시 진해구 용원동 1208</t>
        </is>
      </c>
      <c r="AB228" s="0" t="inlineStr">
        <is>
          <t>경상남도</t>
        </is>
      </c>
      <c r="AC228" s="0" t="inlineStr">
        <is>
          <t>창원시</t>
        </is>
      </c>
      <c r="AD228" s="0" t="inlineStr">
        <is>
          <t>진해구</t>
        </is>
      </c>
      <c r="AE228" s="0" t="inlineStr">
        <is>
          <t>용원동</t>
        </is>
      </c>
      <c r="AG228" s="0" t="inlineStr">
        <is>
          <t>경상남도 창원시 진해구 안골로 359</t>
        </is>
      </c>
      <c r="AH228" s="0" t="n">
        <v>0</v>
      </c>
      <c r="AI228" s="0" t="n">
        <v>212</v>
      </c>
      <c r="AJ228" s="0" t="n">
        <v>18</v>
      </c>
      <c r="AK228" s="0" t="n">
        <v>1013</v>
      </c>
      <c r="AL228" s="0" t="n">
        <v>1.17</v>
      </c>
    </row>
    <row r="229">
      <c r="A229" s="0" t="inlineStr">
        <is>
          <t>[용원동]</t>
        </is>
      </c>
      <c r="B229" s="0" t="n">
        <v>128363</v>
      </c>
      <c r="C229" s="0" t="n">
        <v>1</v>
      </c>
      <c r="D229" s="0" t="inlineStr">
        <is>
          <t>부산신항사랑으로부영6블럭</t>
        </is>
      </c>
      <c r="E229" s="0" t="inlineStr">
        <is>
          <t>2019.06.</t>
        </is>
      </c>
      <c r="F229" s="0" t="n">
        <v>539</v>
      </c>
      <c r="G229" s="0" t="n">
        <v>34.05</v>
      </c>
      <c r="H229" s="0" t="n">
        <v>112.59</v>
      </c>
      <c r="I229" s="0" t="n">
        <v>25.7</v>
      </c>
      <c r="J229" s="0" t="n">
        <v>84.98999999999999</v>
      </c>
      <c r="K229" s="0" t="n">
        <v>357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112A</t>
        </is>
      </c>
      <c r="X229" s="0" t="n">
        <v>25</v>
      </c>
      <c r="Y229" s="0" t="n">
        <v>13</v>
      </c>
      <c r="Z229" s="0" t="inlineStr">
        <is>
          <t>https://new.land.naver.com/complexes/128363?tab=detail&amp;rf=Y</t>
        </is>
      </c>
      <c r="AA229" s="0" t="inlineStr">
        <is>
          <t>경상남도 창원시 진해구 용원동 1338</t>
        </is>
      </c>
      <c r="AB229" s="0" t="inlineStr">
        <is>
          <t>경상남도</t>
        </is>
      </c>
      <c r="AC229" s="0" t="inlineStr">
        <is>
          <t>창원시</t>
        </is>
      </c>
      <c r="AD229" s="0" t="inlineStr">
        <is>
          <t>진해구</t>
        </is>
      </c>
      <c r="AE229" s="0" t="inlineStr">
        <is>
          <t>용원동</t>
        </is>
      </c>
      <c r="AG229" s="0" t="inlineStr">
        <is>
          <t>경상남도 창원시 진해구 신항5로 56</t>
        </is>
      </c>
      <c r="AH229" s="0" t="n">
        <v>539</v>
      </c>
      <c r="AI229" s="0" t="n">
        <v>227</v>
      </c>
      <c r="AJ229" s="0" t="n">
        <v>17</v>
      </c>
      <c r="AK229" s="0" t="n">
        <v>601</v>
      </c>
      <c r="AL229" s="0" t="n">
        <v>1.12</v>
      </c>
    </row>
    <row r="230">
      <c r="A230" s="0" t="inlineStr">
        <is>
          <t>[용원동]</t>
        </is>
      </c>
      <c r="B230" s="0" t="n">
        <v>128363</v>
      </c>
      <c r="C230" s="0" t="n">
        <v>2</v>
      </c>
      <c r="D230" s="0" t="inlineStr">
        <is>
          <t>부산신항사랑으로부영6블럭</t>
        </is>
      </c>
      <c r="E230" s="0" t="inlineStr">
        <is>
          <t>2019.06.</t>
        </is>
      </c>
      <c r="F230" s="0" t="n">
        <v>539</v>
      </c>
      <c r="G230" s="0" t="n">
        <v>34.27</v>
      </c>
      <c r="H230" s="0" t="n">
        <v>113.3</v>
      </c>
      <c r="I230" s="0" t="n">
        <v>25.69</v>
      </c>
      <c r="J230" s="0" t="n">
        <v>84.93000000000001</v>
      </c>
      <c r="K230" s="0" t="n">
        <v>95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113B</t>
        </is>
      </c>
      <c r="X230" s="0" t="n">
        <v>25</v>
      </c>
      <c r="Y230" s="0" t="n">
        <v>13</v>
      </c>
      <c r="Z230" s="0" t="inlineStr">
        <is>
          <t>https://new.land.naver.com/complexes/128363?tab=detail&amp;rf=Y</t>
        </is>
      </c>
      <c r="AA230" s="0" t="inlineStr">
        <is>
          <t>경상남도 창원시 진해구 용원동 1338</t>
        </is>
      </c>
      <c r="AB230" s="0" t="inlineStr">
        <is>
          <t>경상남도</t>
        </is>
      </c>
      <c r="AC230" s="0" t="inlineStr">
        <is>
          <t>창원시</t>
        </is>
      </c>
      <c r="AD230" s="0" t="inlineStr">
        <is>
          <t>진해구</t>
        </is>
      </c>
      <c r="AE230" s="0" t="inlineStr">
        <is>
          <t>용원동</t>
        </is>
      </c>
      <c r="AG230" s="0" t="inlineStr">
        <is>
          <t>경상남도 창원시 진해구 신항5로 56</t>
        </is>
      </c>
      <c r="AH230" s="0" t="n">
        <v>539</v>
      </c>
      <c r="AI230" s="0" t="n">
        <v>227</v>
      </c>
      <c r="AJ230" s="0" t="n">
        <v>17</v>
      </c>
      <c r="AK230" s="0" t="n">
        <v>601</v>
      </c>
      <c r="AL230" s="0" t="n">
        <v>1.12</v>
      </c>
    </row>
    <row r="231">
      <c r="A231" s="0" t="inlineStr">
        <is>
          <t>[용원동]</t>
        </is>
      </c>
      <c r="B231" s="0" t="n">
        <v>128363</v>
      </c>
      <c r="C231" s="0" t="n">
        <v>3</v>
      </c>
      <c r="D231" s="0" t="inlineStr">
        <is>
          <t>부산신항사랑으로부영6블럭</t>
        </is>
      </c>
      <c r="E231" s="0" t="inlineStr">
        <is>
          <t>2019.06.</t>
        </is>
      </c>
      <c r="F231" s="0" t="n">
        <v>539</v>
      </c>
      <c r="G231" s="0" t="n">
        <v>34.24</v>
      </c>
      <c r="H231" s="0" t="n">
        <v>113.22</v>
      </c>
      <c r="I231" s="0" t="n">
        <v>25.59</v>
      </c>
      <c r="J231" s="0" t="n">
        <v>84.62</v>
      </c>
      <c r="K231" s="0" t="n">
        <v>87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113C</t>
        </is>
      </c>
      <c r="X231" s="0" t="n">
        <v>25</v>
      </c>
      <c r="Y231" s="0" t="n">
        <v>13</v>
      </c>
      <c r="Z231" s="0" t="inlineStr">
        <is>
          <t>https://new.land.naver.com/complexes/128363?tab=detail&amp;rf=Y</t>
        </is>
      </c>
      <c r="AA231" s="0" t="inlineStr">
        <is>
          <t>경상남도 창원시 진해구 용원동 1338</t>
        </is>
      </c>
      <c r="AB231" s="0" t="inlineStr">
        <is>
          <t>경상남도</t>
        </is>
      </c>
      <c r="AC231" s="0" t="inlineStr">
        <is>
          <t>창원시</t>
        </is>
      </c>
      <c r="AD231" s="0" t="inlineStr">
        <is>
          <t>진해구</t>
        </is>
      </c>
      <c r="AE231" s="0" t="inlineStr">
        <is>
          <t>용원동</t>
        </is>
      </c>
      <c r="AG231" s="0" t="inlineStr">
        <is>
          <t>경상남도 창원시 진해구 신항5로 56</t>
        </is>
      </c>
      <c r="AH231" s="0" t="n">
        <v>539</v>
      </c>
      <c r="AI231" s="0" t="n">
        <v>227</v>
      </c>
      <c r="AJ231" s="0" t="n">
        <v>17</v>
      </c>
      <c r="AK231" s="0" t="n">
        <v>601</v>
      </c>
      <c r="AL231" s="0" t="n">
        <v>1.12</v>
      </c>
    </row>
    <row r="232">
      <c r="A232" s="0" t="inlineStr">
        <is>
          <t>[용원동]</t>
        </is>
      </c>
      <c r="B232" s="0" t="n">
        <v>13909</v>
      </c>
      <c r="C232" s="0" t="n">
        <v>1</v>
      </c>
      <c r="D232" s="0" t="inlineStr">
        <is>
          <t>코아루</t>
        </is>
      </c>
      <c r="E232" s="0" t="inlineStr">
        <is>
          <t>2005.09.</t>
        </is>
      </c>
      <c r="F232" s="0" t="n">
        <v>897</v>
      </c>
      <c r="G232" s="0" t="n">
        <v>34.05</v>
      </c>
      <c r="H232" s="0" t="n">
        <v>112.59</v>
      </c>
      <c r="I232" s="0" t="n">
        <v>25.62</v>
      </c>
      <c r="J232" s="0" t="n">
        <v>84.70999999999999</v>
      </c>
      <c r="K232" s="0" t="n">
        <v>597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112A</t>
        </is>
      </c>
      <c r="X232" s="0" t="n">
        <v>15</v>
      </c>
      <c r="Y232" s="0" t="n">
        <v>13</v>
      </c>
      <c r="Z232" s="0" t="inlineStr">
        <is>
          <t>https://new.land.naver.com/complexes/13909?tab=detail&amp;rf=Y</t>
        </is>
      </c>
      <c r="AA232" s="0" t="inlineStr">
        <is>
          <t>경상남도 창원시 진해구 용원동 1209</t>
        </is>
      </c>
      <c r="AB232" s="0" t="inlineStr">
        <is>
          <t>경상남도</t>
        </is>
      </c>
      <c r="AC232" s="0" t="inlineStr">
        <is>
          <t>창원시</t>
        </is>
      </c>
      <c r="AD232" s="0" t="inlineStr">
        <is>
          <t>진해구</t>
        </is>
      </c>
      <c r="AE232" s="0" t="inlineStr">
        <is>
          <t>용원동</t>
        </is>
      </c>
      <c r="AG232" s="0" t="inlineStr">
        <is>
          <t>경상남도 창원시 진해구 안골로 339</t>
        </is>
      </c>
      <c r="AH232" s="0" t="n">
        <v>0</v>
      </c>
      <c r="AI232" s="0" t="n">
        <v>207</v>
      </c>
      <c r="AJ232" s="0" t="n">
        <v>16</v>
      </c>
      <c r="AK232" s="0" t="n">
        <v>909</v>
      </c>
      <c r="AL232" s="0" t="n">
        <v>1.01</v>
      </c>
    </row>
    <row r="233">
      <c r="A233" s="0" t="inlineStr">
        <is>
          <t>[용원동]</t>
        </is>
      </c>
      <c r="B233" s="0" t="n">
        <v>13909</v>
      </c>
      <c r="C233" s="0" t="n">
        <v>2</v>
      </c>
      <c r="D233" s="0" t="inlineStr">
        <is>
          <t>코아루</t>
        </is>
      </c>
      <c r="E233" s="0" t="inlineStr">
        <is>
          <t>2005.09.</t>
        </is>
      </c>
      <c r="F233" s="0" t="n">
        <v>897</v>
      </c>
      <c r="G233" s="0" t="n">
        <v>34.05</v>
      </c>
      <c r="H233" s="0" t="n">
        <v>112.59</v>
      </c>
      <c r="I233" s="0" t="n">
        <v>25.62</v>
      </c>
      <c r="J233" s="0" t="n">
        <v>84.70999999999999</v>
      </c>
      <c r="K233" s="0" t="n">
        <v>180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112B</t>
        </is>
      </c>
      <c r="X233" s="0" t="n">
        <v>15</v>
      </c>
      <c r="Y233" s="0" t="n">
        <v>13</v>
      </c>
      <c r="Z233" s="0" t="inlineStr">
        <is>
          <t>https://new.land.naver.com/complexes/13909?tab=detail&amp;rf=Y</t>
        </is>
      </c>
      <c r="AA233" s="0" t="inlineStr">
        <is>
          <t>경상남도 창원시 진해구 용원동 1209</t>
        </is>
      </c>
      <c r="AB233" s="0" t="inlineStr">
        <is>
          <t>경상남도</t>
        </is>
      </c>
      <c r="AC233" s="0" t="inlineStr">
        <is>
          <t>창원시</t>
        </is>
      </c>
      <c r="AD233" s="0" t="inlineStr">
        <is>
          <t>진해구</t>
        </is>
      </c>
      <c r="AE233" s="0" t="inlineStr">
        <is>
          <t>용원동</t>
        </is>
      </c>
      <c r="AG233" s="0" t="inlineStr">
        <is>
          <t>경상남도 창원시 진해구 안골로 339</t>
        </is>
      </c>
      <c r="AH233" s="0" t="n">
        <v>0</v>
      </c>
      <c r="AI233" s="0" t="n">
        <v>207</v>
      </c>
      <c r="AJ233" s="0" t="n">
        <v>16</v>
      </c>
      <c r="AK233" s="0" t="n">
        <v>909</v>
      </c>
      <c r="AL233" s="0" t="n">
        <v>1.01</v>
      </c>
    </row>
    <row r="234">
      <c r="A234" s="0" t="inlineStr">
        <is>
          <t>[용원동]</t>
        </is>
      </c>
      <c r="B234" s="0" t="n">
        <v>13909</v>
      </c>
      <c r="C234" s="0" t="n">
        <v>3</v>
      </c>
      <c r="D234" s="0" t="inlineStr">
        <is>
          <t>코아루</t>
        </is>
      </c>
      <c r="E234" s="0" t="inlineStr">
        <is>
          <t>2005.09.</t>
        </is>
      </c>
      <c r="F234" s="0" t="n">
        <v>897</v>
      </c>
      <c r="G234" s="0" t="n">
        <v>45.26</v>
      </c>
      <c r="H234" s="0" t="n">
        <v>149.64</v>
      </c>
      <c r="I234" s="0" t="n">
        <v>36.4</v>
      </c>
      <c r="J234" s="0" t="n">
        <v>120.35</v>
      </c>
      <c r="K234" s="0" t="n">
        <v>120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149</v>
      </c>
      <c r="X234" s="0" t="n">
        <v>15</v>
      </c>
      <c r="Y234" s="0" t="n">
        <v>13</v>
      </c>
      <c r="Z234" s="0" t="inlineStr">
        <is>
          <t>https://new.land.naver.com/complexes/13909?tab=detail&amp;rf=Y</t>
        </is>
      </c>
      <c r="AA234" s="0" t="inlineStr">
        <is>
          <t>경상남도 창원시 진해구 용원동 1209</t>
        </is>
      </c>
      <c r="AB234" s="0" t="inlineStr">
        <is>
          <t>경상남도</t>
        </is>
      </c>
      <c r="AC234" s="0" t="inlineStr">
        <is>
          <t>창원시</t>
        </is>
      </c>
      <c r="AD234" s="0" t="inlineStr">
        <is>
          <t>진해구</t>
        </is>
      </c>
      <c r="AE234" s="0" t="inlineStr">
        <is>
          <t>용원동</t>
        </is>
      </c>
      <c r="AG234" s="0" t="inlineStr">
        <is>
          <t>경상남도 창원시 진해구 안골로 339</t>
        </is>
      </c>
      <c r="AH234" s="0" t="n">
        <v>0</v>
      </c>
      <c r="AI234" s="0" t="n">
        <v>207</v>
      </c>
      <c r="AJ234" s="0" t="n">
        <v>16</v>
      </c>
      <c r="AK234" s="0" t="n">
        <v>909</v>
      </c>
      <c r="AL234" s="0" t="n">
        <v>1.01</v>
      </c>
    </row>
    <row r="235">
      <c r="A235" s="0" t="inlineStr">
        <is>
          <t>[용원동]</t>
        </is>
      </c>
      <c r="B235" s="0" t="n">
        <v>107551</v>
      </c>
      <c r="C235" s="0" t="n">
        <v>1</v>
      </c>
      <c r="D235" s="0" t="inlineStr">
        <is>
          <t>재상베네스타운</t>
        </is>
      </c>
      <c r="E235" s="0" t="inlineStr">
        <is>
          <t>2003.09.</t>
        </is>
      </c>
      <c r="F235" s="0" t="n">
        <v>19</v>
      </c>
      <c r="G235" s="0" t="n">
        <v>30.18</v>
      </c>
      <c r="H235" s="0" t="n">
        <v>99.79000000000001</v>
      </c>
      <c r="I235" s="0" t="n">
        <v>25.53</v>
      </c>
      <c r="J235" s="0" t="n">
        <v>84.42</v>
      </c>
      <c r="K235" s="0" t="n">
        <v>19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99</v>
      </c>
      <c r="X235" s="0" t="n">
        <v>10</v>
      </c>
      <c r="Y235" s="0" t="n">
        <v>4</v>
      </c>
      <c r="Z235" s="0" t="inlineStr">
        <is>
          <t>https://new.land.naver.com/complexes/107551?tab=detail&amp;rf=Y</t>
        </is>
      </c>
      <c r="AA235" s="0" t="inlineStr">
        <is>
          <t>경상남도 창원시 진해구 용원동 1135-6</t>
        </is>
      </c>
      <c r="AB235" s="0" t="inlineStr">
        <is>
          <t>경상남도</t>
        </is>
      </c>
      <c r="AC235" s="0" t="inlineStr">
        <is>
          <t>창원시</t>
        </is>
      </c>
      <c r="AD235" s="0" t="inlineStr">
        <is>
          <t>진해구</t>
        </is>
      </c>
      <c r="AE235" s="0" t="inlineStr">
        <is>
          <t>용원동</t>
        </is>
      </c>
      <c r="AG235" s="0" t="inlineStr">
        <is>
          <t>경상남도 창원시 진해구 용원남로7번길 16</t>
        </is>
      </c>
      <c r="AH235" s="0" t="n">
        <v>0</v>
      </c>
      <c r="AI235" s="0" t="n">
        <v>262</v>
      </c>
      <c r="AJ235" s="0" t="n">
        <v>37</v>
      </c>
      <c r="AK235" s="0" t="n">
        <v>8</v>
      </c>
      <c r="AL235" s="0" t="n">
        <v>0.42</v>
      </c>
    </row>
    <row r="236">
      <c r="A236" s="0" t="inlineStr">
        <is>
          <t>[용원동]</t>
        </is>
      </c>
      <c r="B236" s="0" t="n">
        <v>123264</v>
      </c>
      <c r="C236" s="0" t="n">
        <v>1</v>
      </c>
      <c r="D236" s="0" t="inlineStr">
        <is>
          <t>애플타운헤리티지(도시형)</t>
        </is>
      </c>
      <c r="E236" s="0" t="inlineStr">
        <is>
          <t>2015.03.</t>
        </is>
      </c>
      <c r="F236" s="0" t="n">
        <v>126</v>
      </c>
      <c r="G236" s="0" t="n">
        <v>15.89</v>
      </c>
      <c r="H236" s="0" t="n">
        <v>52.53</v>
      </c>
      <c r="I236" s="0" t="n">
        <v>9.48</v>
      </c>
      <c r="J236" s="0" t="n">
        <v>31.37</v>
      </c>
      <c r="K236" s="0" t="n">
        <v>84</v>
      </c>
      <c r="T236" s="0" t="n">
        <v>1</v>
      </c>
      <c r="U236" s="0" t="n">
        <v>1</v>
      </c>
      <c r="V236" s="0" t="inlineStr">
        <is>
          <t>계단식</t>
        </is>
      </c>
      <c r="W236" s="0" t="n">
        <v>52</v>
      </c>
      <c r="X236" s="0" t="n">
        <v>5</v>
      </c>
      <c r="Y236" s="0" t="n">
        <v>5</v>
      </c>
      <c r="Z236" s="0" t="inlineStr">
        <is>
          <t>https://new.land.naver.com/complexes/123264?tab=detail&amp;rf=Y</t>
        </is>
      </c>
      <c r="AA236" s="0" t="inlineStr">
        <is>
          <t>경상남도 창원시 진해구 용원동 1340</t>
        </is>
      </c>
      <c r="AB236" s="0" t="inlineStr">
        <is>
          <t>경상남도</t>
        </is>
      </c>
      <c r="AC236" s="0" t="inlineStr">
        <is>
          <t>창원시</t>
        </is>
      </c>
      <c r="AD236" s="0" t="inlineStr">
        <is>
          <t>진해구</t>
        </is>
      </c>
      <c r="AE236" s="0" t="inlineStr">
        <is>
          <t>용원동</t>
        </is>
      </c>
      <c r="AG236" s="0" t="inlineStr">
        <is>
          <t>경상남도 창원시 진해구 신항동로 141</t>
        </is>
      </c>
      <c r="AH236" s="0" t="n">
        <v>0</v>
      </c>
      <c r="AI236" s="0" t="n">
        <v>237</v>
      </c>
      <c r="AJ236" s="0" t="n">
        <v>59</v>
      </c>
      <c r="AK236" s="0" t="n">
        <v>114</v>
      </c>
      <c r="AL236" s="0" t="n">
        <v>0.9</v>
      </c>
    </row>
    <row r="237">
      <c r="A237" s="0" t="inlineStr">
        <is>
          <t>[용원동]</t>
        </is>
      </c>
      <c r="B237" s="0" t="n">
        <v>123264</v>
      </c>
      <c r="C237" s="0" t="n">
        <v>2</v>
      </c>
      <c r="D237" s="0" t="inlineStr">
        <is>
          <t>애플타운헤리티지(도시형)</t>
        </is>
      </c>
      <c r="E237" s="0" t="inlineStr">
        <is>
          <t>2015.03.</t>
        </is>
      </c>
      <c r="F237" s="0" t="n">
        <v>126</v>
      </c>
      <c r="G237" s="0" t="n">
        <v>24.08</v>
      </c>
      <c r="H237" s="0" t="n">
        <v>79.63</v>
      </c>
      <c r="I237" s="0" t="n">
        <v>14.38</v>
      </c>
      <c r="J237" s="0" t="n">
        <v>47.55</v>
      </c>
      <c r="K237" s="0" t="n">
        <v>12</v>
      </c>
      <c r="T237" s="0" t="n">
        <v>1</v>
      </c>
      <c r="U237" s="0" t="n">
        <v>1</v>
      </c>
      <c r="V237" s="0" t="inlineStr">
        <is>
          <t>계단식</t>
        </is>
      </c>
      <c r="W237" s="0" t="n">
        <v>79</v>
      </c>
      <c r="X237" s="0" t="n">
        <v>5</v>
      </c>
      <c r="Y237" s="0" t="n">
        <v>5</v>
      </c>
      <c r="Z237" s="0" t="inlineStr">
        <is>
          <t>https://new.land.naver.com/complexes/123264?tab=detail&amp;rf=Y</t>
        </is>
      </c>
      <c r="AA237" s="0" t="inlineStr">
        <is>
          <t>경상남도 창원시 진해구 용원동 1340</t>
        </is>
      </c>
      <c r="AB237" s="0" t="inlineStr">
        <is>
          <t>경상남도</t>
        </is>
      </c>
      <c r="AC237" s="0" t="inlineStr">
        <is>
          <t>창원시</t>
        </is>
      </c>
      <c r="AD237" s="0" t="inlineStr">
        <is>
          <t>진해구</t>
        </is>
      </c>
      <c r="AE237" s="0" t="inlineStr">
        <is>
          <t>용원동</t>
        </is>
      </c>
      <c r="AG237" s="0" t="inlineStr">
        <is>
          <t>경상남도 창원시 진해구 신항동로 141</t>
        </is>
      </c>
      <c r="AH237" s="0" t="n">
        <v>0</v>
      </c>
      <c r="AI237" s="0" t="n">
        <v>237</v>
      </c>
      <c r="AJ237" s="0" t="n">
        <v>59</v>
      </c>
      <c r="AK237" s="0" t="n">
        <v>114</v>
      </c>
      <c r="AL237" s="0" t="n">
        <v>0.9</v>
      </c>
    </row>
    <row r="238">
      <c r="A238" s="0" t="inlineStr">
        <is>
          <t>[용원동]</t>
        </is>
      </c>
      <c r="B238" s="0" t="n">
        <v>123264</v>
      </c>
      <c r="C238" s="0" t="n">
        <v>3</v>
      </c>
      <c r="D238" s="0" t="inlineStr">
        <is>
          <t>애플타운헤리티지(도시형)</t>
        </is>
      </c>
      <c r="E238" s="0" t="inlineStr">
        <is>
          <t>2015.03.</t>
        </is>
      </c>
      <c r="F238" s="0" t="n">
        <v>126</v>
      </c>
      <c r="G238" s="0" t="n">
        <v>24.56</v>
      </c>
      <c r="H238" s="0" t="n">
        <v>81.2</v>
      </c>
      <c r="I238" s="0" t="n">
        <v>14.66</v>
      </c>
      <c r="J238" s="0" t="n">
        <v>48.49</v>
      </c>
      <c r="K238" s="0" t="n">
        <v>12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81A</t>
        </is>
      </c>
      <c r="X238" s="0" t="n">
        <v>5</v>
      </c>
      <c r="Y238" s="0" t="n">
        <v>5</v>
      </c>
      <c r="Z238" s="0" t="inlineStr">
        <is>
          <t>https://new.land.naver.com/complexes/123264?tab=detail&amp;rf=Y</t>
        </is>
      </c>
      <c r="AA238" s="0" t="inlineStr">
        <is>
          <t>경상남도 창원시 진해구 용원동 1340</t>
        </is>
      </c>
      <c r="AB238" s="0" t="inlineStr">
        <is>
          <t>경상남도</t>
        </is>
      </c>
      <c r="AC238" s="0" t="inlineStr">
        <is>
          <t>창원시</t>
        </is>
      </c>
      <c r="AD238" s="0" t="inlineStr">
        <is>
          <t>진해구</t>
        </is>
      </c>
      <c r="AE238" s="0" t="inlineStr">
        <is>
          <t>용원동</t>
        </is>
      </c>
      <c r="AG238" s="0" t="inlineStr">
        <is>
          <t>경상남도 창원시 진해구 신항동로 141</t>
        </is>
      </c>
      <c r="AH238" s="0" t="n">
        <v>0</v>
      </c>
      <c r="AI238" s="0" t="n">
        <v>237</v>
      </c>
      <c r="AJ238" s="0" t="n">
        <v>59</v>
      </c>
      <c r="AK238" s="0" t="n">
        <v>114</v>
      </c>
      <c r="AL238" s="0" t="n">
        <v>0.9</v>
      </c>
    </row>
    <row r="239">
      <c r="A239" s="0" t="inlineStr">
        <is>
          <t>[용원동]</t>
        </is>
      </c>
      <c r="B239" s="0" t="n">
        <v>123264</v>
      </c>
      <c r="C239" s="0" t="n">
        <v>4</v>
      </c>
      <c r="D239" s="0" t="inlineStr">
        <is>
          <t>애플타운헤리티지(도시형)</t>
        </is>
      </c>
      <c r="E239" s="0" t="inlineStr">
        <is>
          <t>2015.03.</t>
        </is>
      </c>
      <c r="F239" s="0" t="n">
        <v>126</v>
      </c>
      <c r="G239" s="0" t="n">
        <v>25.1</v>
      </c>
      <c r="H239" s="0" t="n">
        <v>82.98999999999999</v>
      </c>
      <c r="I239" s="0" t="n">
        <v>14.99</v>
      </c>
      <c r="J239" s="0" t="n">
        <v>49.56</v>
      </c>
      <c r="K239" s="0" t="n">
        <v>18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82B</t>
        </is>
      </c>
      <c r="X239" s="0" t="n">
        <v>5</v>
      </c>
      <c r="Y239" s="0" t="n">
        <v>5</v>
      </c>
      <c r="Z239" s="0" t="inlineStr">
        <is>
          <t>https://new.land.naver.com/complexes/123264?tab=detail&amp;rf=Y</t>
        </is>
      </c>
      <c r="AA239" s="0" t="inlineStr">
        <is>
          <t>경상남도 창원시 진해구 용원동 1340</t>
        </is>
      </c>
      <c r="AB239" s="0" t="inlineStr">
        <is>
          <t>경상남도</t>
        </is>
      </c>
      <c r="AC239" s="0" t="inlineStr">
        <is>
          <t>창원시</t>
        </is>
      </c>
      <c r="AD239" s="0" t="inlineStr">
        <is>
          <t>진해구</t>
        </is>
      </c>
      <c r="AE239" s="0" t="inlineStr">
        <is>
          <t>용원동</t>
        </is>
      </c>
      <c r="AG239" s="0" t="inlineStr">
        <is>
          <t>경상남도 창원시 진해구 신항동로 141</t>
        </is>
      </c>
      <c r="AH239" s="0" t="n">
        <v>0</v>
      </c>
      <c r="AI239" s="0" t="n">
        <v>237</v>
      </c>
      <c r="AJ239" s="0" t="n">
        <v>59</v>
      </c>
      <c r="AK239" s="0" t="n">
        <v>114</v>
      </c>
      <c r="AL239" s="0" t="n">
        <v>0.9</v>
      </c>
    </row>
    <row r="240">
      <c r="A240" s="0" t="inlineStr">
        <is>
          <t>[용원동]</t>
        </is>
      </c>
      <c r="B240" s="0" t="n">
        <v>7566</v>
      </c>
      <c r="C240" s="0" t="n">
        <v>1</v>
      </c>
      <c r="D240" s="0" t="inlineStr">
        <is>
          <t>현대</t>
        </is>
      </c>
      <c r="E240" s="0" t="inlineStr">
        <is>
          <t>1998.12.</t>
        </is>
      </c>
      <c r="F240" s="0" t="n">
        <v>508</v>
      </c>
      <c r="G240" s="0" t="n">
        <v>31.71</v>
      </c>
      <c r="H240" s="0" t="n">
        <v>104.84</v>
      </c>
      <c r="I240" s="0" t="n">
        <v>25.7</v>
      </c>
      <c r="J240" s="0" t="n">
        <v>84.97</v>
      </c>
      <c r="K240" s="0" t="n">
        <v>508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104</v>
      </c>
      <c r="X240" s="0" t="n">
        <v>15</v>
      </c>
      <c r="Y240" s="0" t="n">
        <v>13</v>
      </c>
      <c r="Z240" s="0" t="inlineStr">
        <is>
          <t>https://new.land.naver.com/complexes/7566?tab=detail&amp;rf=Y</t>
        </is>
      </c>
      <c r="AA240" s="0" t="inlineStr">
        <is>
          <t>경상남도 창원시 진해구 용원동 1206</t>
        </is>
      </c>
      <c r="AB240" s="0" t="inlineStr">
        <is>
          <t>경상남도</t>
        </is>
      </c>
      <c r="AC240" s="0" t="inlineStr">
        <is>
          <t>창원시</t>
        </is>
      </c>
      <c r="AD240" s="0" t="inlineStr">
        <is>
          <t>진해구</t>
        </is>
      </c>
      <c r="AE240" s="0" t="inlineStr">
        <is>
          <t>용원동</t>
        </is>
      </c>
      <c r="AG240" s="0" t="inlineStr">
        <is>
          <t>경상남도 창원시 진해구 안청북로 42</t>
        </is>
      </c>
      <c r="AH240" s="0" t="n">
        <v>0</v>
      </c>
      <c r="AI240" s="0" t="n">
        <v>207</v>
      </c>
      <c r="AJ240" s="0" t="n">
        <v>19</v>
      </c>
      <c r="AK240" s="0" t="n">
        <v>513</v>
      </c>
      <c r="AL240" s="0" t="n">
        <v>1.01</v>
      </c>
    </row>
    <row r="241">
      <c r="A241" s="0" t="inlineStr">
        <is>
          <t>[이동]</t>
        </is>
      </c>
      <c r="B241" s="0" t="n">
        <v>112965</v>
      </c>
      <c r="C241" s="0" t="n">
        <v>1</v>
      </c>
      <c r="D241" s="0" t="inlineStr">
        <is>
          <t>뉴중앙하이츠(도시형)</t>
        </is>
      </c>
      <c r="E241" s="0" t="inlineStr">
        <is>
          <t>2013.10.</t>
        </is>
      </c>
      <c r="F241" s="0" t="n">
        <v>91</v>
      </c>
      <c r="G241" s="0" t="n">
        <v>14.88</v>
      </c>
      <c r="H241" s="0" t="n">
        <v>49.21</v>
      </c>
      <c r="I241" s="0" t="n">
        <v>10.76</v>
      </c>
      <c r="J241" s="0" t="n">
        <v>35.58</v>
      </c>
      <c r="K241" s="0" t="n">
        <v>91</v>
      </c>
      <c r="T241" s="0" t="n">
        <v>1</v>
      </c>
      <c r="U241" s="0" t="n">
        <v>1</v>
      </c>
      <c r="V241" s="0" t="inlineStr">
        <is>
          <t>계단식</t>
        </is>
      </c>
      <c r="W241" s="0" t="n">
        <v>49</v>
      </c>
      <c r="X241" s="0" t="n">
        <v>7</v>
      </c>
      <c r="Y241" s="0" t="n">
        <v>4</v>
      </c>
      <c r="Z241" s="0" t="inlineStr">
        <is>
          <t>https://new.land.naver.com/complexes/112965?tab=detail&amp;rf=Y</t>
        </is>
      </c>
      <c r="AA241" s="0" t="inlineStr">
        <is>
          <t>경상남도 창원시 진해구 이동 398-2</t>
        </is>
      </c>
      <c r="AB241" s="0" t="inlineStr">
        <is>
          <t>경상남도</t>
        </is>
      </c>
      <c r="AC241" s="0" t="inlineStr">
        <is>
          <t>창원시</t>
        </is>
      </c>
      <c r="AD241" s="0" t="inlineStr">
        <is>
          <t>진해구</t>
        </is>
      </c>
      <c r="AE241" s="0" t="inlineStr">
        <is>
          <t>이동</t>
        </is>
      </c>
      <c r="AG241" s="0" t="inlineStr">
        <is>
          <t>경상남도 창원시 진해구 천자로 13</t>
        </is>
      </c>
      <c r="AH241" s="0" t="n">
        <v>0</v>
      </c>
      <c r="AI241" s="0" t="n">
        <v>219</v>
      </c>
      <c r="AJ241" s="0" t="n">
        <v>48</v>
      </c>
      <c r="AK241" s="0" t="n">
        <v>67</v>
      </c>
      <c r="AL241" s="0" t="n">
        <v>0.74</v>
      </c>
    </row>
    <row r="242">
      <c r="A242" s="0" t="inlineStr">
        <is>
          <t>[이동]</t>
        </is>
      </c>
      <c r="B242" s="0" t="n">
        <v>27327</v>
      </c>
      <c r="C242" s="0" t="n">
        <v>1</v>
      </c>
      <c r="D242" s="0" t="inlineStr">
        <is>
          <t>진해이동미소지움1단지</t>
        </is>
      </c>
      <c r="E242" s="0" t="inlineStr">
        <is>
          <t>2007.11.</t>
        </is>
      </c>
      <c r="F242" s="0" t="n">
        <v>137</v>
      </c>
      <c r="G242" s="0" t="n">
        <v>32.48</v>
      </c>
      <c r="H242" s="0" t="n">
        <v>107.38</v>
      </c>
      <c r="I242" s="0" t="n">
        <v>25.7</v>
      </c>
      <c r="J242" s="0" t="n">
        <v>84.98999999999999</v>
      </c>
      <c r="K242" s="0" t="n">
        <v>39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107</v>
      </c>
      <c r="X242" s="0" t="n">
        <v>14</v>
      </c>
      <c r="Y242" s="0" t="n">
        <v>9</v>
      </c>
      <c r="Z242" s="0" t="inlineStr">
        <is>
          <t>https://new.land.naver.com/complexes/27327?tab=detail&amp;rf=Y</t>
        </is>
      </c>
      <c r="AA242" s="0" t="inlineStr">
        <is>
          <t>경상남도 창원시 진해구 이동 2-3</t>
        </is>
      </c>
      <c r="AB242" s="0" t="inlineStr">
        <is>
          <t>경상남도</t>
        </is>
      </c>
      <c r="AC242" s="0" t="inlineStr">
        <is>
          <t>창원시</t>
        </is>
      </c>
      <c r="AD242" s="0" t="inlineStr">
        <is>
          <t>진해구</t>
        </is>
      </c>
      <c r="AE242" s="0" t="inlineStr">
        <is>
          <t>이동</t>
        </is>
      </c>
      <c r="AG242" s="0" t="inlineStr">
        <is>
          <t>경상남도 창원시 진해구 동진로21번길 17</t>
        </is>
      </c>
      <c r="AH242" s="0" t="n">
        <v>0</v>
      </c>
      <c r="AI242" s="0" t="n">
        <v>238</v>
      </c>
      <c r="AJ242" s="0" t="n">
        <v>24</v>
      </c>
      <c r="AK242" s="0" t="n">
        <v>225</v>
      </c>
      <c r="AL242" s="0" t="n">
        <v>1.64</v>
      </c>
    </row>
    <row r="243">
      <c r="A243" s="0" t="inlineStr">
        <is>
          <t>[이동]</t>
        </is>
      </c>
      <c r="B243" s="0" t="n">
        <v>27327</v>
      </c>
      <c r="C243" s="0" t="n">
        <v>2</v>
      </c>
      <c r="D243" s="0" t="inlineStr">
        <is>
          <t>진해이동미소지움1단지</t>
        </is>
      </c>
      <c r="E243" s="0" t="inlineStr">
        <is>
          <t>2007.11.</t>
        </is>
      </c>
      <c r="F243" s="0" t="n">
        <v>137</v>
      </c>
      <c r="G243" s="0" t="n">
        <v>47.84</v>
      </c>
      <c r="H243" s="0" t="n">
        <v>158.15</v>
      </c>
      <c r="I243" s="0" t="n">
        <v>39.12</v>
      </c>
      <c r="J243" s="0" t="n">
        <v>129.33</v>
      </c>
      <c r="K243" s="0" t="n">
        <v>48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158</v>
      </c>
      <c r="X243" s="0" t="n">
        <v>14</v>
      </c>
      <c r="Y243" s="0" t="n">
        <v>9</v>
      </c>
      <c r="Z243" s="0" t="inlineStr">
        <is>
          <t>https://new.land.naver.com/complexes/27327?tab=detail&amp;rf=Y</t>
        </is>
      </c>
      <c r="AA243" s="0" t="inlineStr">
        <is>
          <t>경상남도 창원시 진해구 이동 2-3</t>
        </is>
      </c>
      <c r="AB243" s="0" t="inlineStr">
        <is>
          <t>경상남도</t>
        </is>
      </c>
      <c r="AC243" s="0" t="inlineStr">
        <is>
          <t>창원시</t>
        </is>
      </c>
      <c r="AD243" s="0" t="inlineStr">
        <is>
          <t>진해구</t>
        </is>
      </c>
      <c r="AE243" s="0" t="inlineStr">
        <is>
          <t>이동</t>
        </is>
      </c>
      <c r="AG243" s="0" t="inlineStr">
        <is>
          <t>경상남도 창원시 진해구 동진로21번길 17</t>
        </is>
      </c>
      <c r="AH243" s="0" t="n">
        <v>0</v>
      </c>
      <c r="AI243" s="0" t="n">
        <v>238</v>
      </c>
      <c r="AJ243" s="0" t="n">
        <v>24</v>
      </c>
      <c r="AK243" s="0" t="n">
        <v>225</v>
      </c>
      <c r="AL243" s="0" t="n">
        <v>1.64</v>
      </c>
    </row>
    <row r="244">
      <c r="A244" s="0" t="inlineStr">
        <is>
          <t>[이동]</t>
        </is>
      </c>
      <c r="B244" s="0" t="n">
        <v>27327</v>
      </c>
      <c r="C244" s="0" t="n">
        <v>3</v>
      </c>
      <c r="D244" s="0" t="inlineStr">
        <is>
          <t>진해이동미소지움1단지</t>
        </is>
      </c>
      <c r="E244" s="0" t="inlineStr">
        <is>
          <t>2007.11.</t>
        </is>
      </c>
      <c r="F244" s="0" t="n">
        <v>137</v>
      </c>
      <c r="G244" s="0" t="n">
        <v>51.1</v>
      </c>
      <c r="H244" s="0" t="n">
        <v>168.94</v>
      </c>
      <c r="I244" s="0" t="n">
        <v>44.3</v>
      </c>
      <c r="J244" s="0" t="n">
        <v>146.45</v>
      </c>
      <c r="K244" s="0" t="n">
        <v>26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168</v>
      </c>
      <c r="X244" s="0" t="n">
        <v>14</v>
      </c>
      <c r="Y244" s="0" t="n">
        <v>9</v>
      </c>
      <c r="Z244" s="0" t="inlineStr">
        <is>
          <t>https://new.land.naver.com/complexes/27327?tab=detail&amp;rf=Y</t>
        </is>
      </c>
      <c r="AA244" s="0" t="inlineStr">
        <is>
          <t>경상남도 창원시 진해구 이동 2-3</t>
        </is>
      </c>
      <c r="AB244" s="0" t="inlineStr">
        <is>
          <t>경상남도</t>
        </is>
      </c>
      <c r="AC244" s="0" t="inlineStr">
        <is>
          <t>창원시</t>
        </is>
      </c>
      <c r="AD244" s="0" t="inlineStr">
        <is>
          <t>진해구</t>
        </is>
      </c>
      <c r="AE244" s="0" t="inlineStr">
        <is>
          <t>이동</t>
        </is>
      </c>
      <c r="AG244" s="0" t="inlineStr">
        <is>
          <t>경상남도 창원시 진해구 동진로21번길 17</t>
        </is>
      </c>
      <c r="AH244" s="0" t="n">
        <v>0</v>
      </c>
      <c r="AI244" s="0" t="n">
        <v>238</v>
      </c>
      <c r="AJ244" s="0" t="n">
        <v>24</v>
      </c>
      <c r="AK244" s="0" t="n">
        <v>225</v>
      </c>
      <c r="AL244" s="0" t="n">
        <v>1.64</v>
      </c>
    </row>
    <row r="245">
      <c r="A245" s="0" t="inlineStr">
        <is>
          <t>[이동]</t>
        </is>
      </c>
      <c r="B245" s="0" t="n">
        <v>27327</v>
      </c>
      <c r="C245" s="0" t="n">
        <v>4</v>
      </c>
      <c r="D245" s="0" t="inlineStr">
        <is>
          <t>진해이동미소지움1단지</t>
        </is>
      </c>
      <c r="E245" s="0" t="inlineStr">
        <is>
          <t>2007.11.</t>
        </is>
      </c>
      <c r="F245" s="0" t="n">
        <v>137</v>
      </c>
      <c r="G245" s="0" t="n">
        <v>58.27</v>
      </c>
      <c r="H245" s="0" t="n">
        <v>192.66</v>
      </c>
      <c r="I245" s="0" t="n">
        <v>49.87</v>
      </c>
      <c r="J245" s="0" t="n">
        <v>164.87</v>
      </c>
      <c r="K245" s="0" t="n">
        <v>13</v>
      </c>
      <c r="T245" s="0" t="n">
        <v>5</v>
      </c>
      <c r="U245" s="0" t="n">
        <v>2</v>
      </c>
      <c r="V245" s="0" t="inlineStr">
        <is>
          <t>계단식</t>
        </is>
      </c>
      <c r="W245" s="0" t="n">
        <v>192</v>
      </c>
      <c r="X245" s="0" t="n">
        <v>14</v>
      </c>
      <c r="Y245" s="0" t="n">
        <v>9</v>
      </c>
      <c r="Z245" s="0" t="inlineStr">
        <is>
          <t>https://new.land.naver.com/complexes/27327?tab=detail&amp;rf=Y</t>
        </is>
      </c>
      <c r="AA245" s="0" t="inlineStr">
        <is>
          <t>경상남도 창원시 진해구 이동 2-3</t>
        </is>
      </c>
      <c r="AB245" s="0" t="inlineStr">
        <is>
          <t>경상남도</t>
        </is>
      </c>
      <c r="AC245" s="0" t="inlineStr">
        <is>
          <t>창원시</t>
        </is>
      </c>
      <c r="AD245" s="0" t="inlineStr">
        <is>
          <t>진해구</t>
        </is>
      </c>
      <c r="AE245" s="0" t="inlineStr">
        <is>
          <t>이동</t>
        </is>
      </c>
      <c r="AG245" s="0" t="inlineStr">
        <is>
          <t>경상남도 창원시 진해구 동진로21번길 17</t>
        </is>
      </c>
      <c r="AH245" s="0" t="n">
        <v>0</v>
      </c>
      <c r="AI245" s="0" t="n">
        <v>238</v>
      </c>
      <c r="AJ245" s="0" t="n">
        <v>24</v>
      </c>
      <c r="AK245" s="0" t="n">
        <v>225</v>
      </c>
      <c r="AL245" s="0" t="n">
        <v>1.64</v>
      </c>
    </row>
    <row r="246">
      <c r="A246" s="0" t="inlineStr">
        <is>
          <t>[이동]</t>
        </is>
      </c>
      <c r="B246" s="0" t="n">
        <v>27327</v>
      </c>
      <c r="C246" s="0" t="n">
        <v>5</v>
      </c>
      <c r="D246" s="0" t="inlineStr">
        <is>
          <t>진해이동미소지움1단지</t>
        </is>
      </c>
      <c r="E246" s="0" t="inlineStr">
        <is>
          <t>2007.11.</t>
        </is>
      </c>
      <c r="F246" s="0" t="n">
        <v>137</v>
      </c>
      <c r="G246" s="0" t="n">
        <v>59.94</v>
      </c>
      <c r="H246" s="0" t="n">
        <v>198.17</v>
      </c>
      <c r="I246" s="0" t="n">
        <v>50.82</v>
      </c>
      <c r="J246" s="0" t="n">
        <v>168.02</v>
      </c>
      <c r="K246" s="0" t="n">
        <v>11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198</v>
      </c>
      <c r="X246" s="0" t="n">
        <v>14</v>
      </c>
      <c r="Y246" s="0" t="n">
        <v>9</v>
      </c>
      <c r="Z246" s="0" t="inlineStr">
        <is>
          <t>https://new.land.naver.com/complexes/27327?tab=detail&amp;rf=Y</t>
        </is>
      </c>
      <c r="AA246" s="0" t="inlineStr">
        <is>
          <t>경상남도 창원시 진해구 이동 2-3</t>
        </is>
      </c>
      <c r="AB246" s="0" t="inlineStr">
        <is>
          <t>경상남도</t>
        </is>
      </c>
      <c r="AC246" s="0" t="inlineStr">
        <is>
          <t>창원시</t>
        </is>
      </c>
      <c r="AD246" s="0" t="inlineStr">
        <is>
          <t>진해구</t>
        </is>
      </c>
      <c r="AE246" s="0" t="inlineStr">
        <is>
          <t>이동</t>
        </is>
      </c>
      <c r="AG246" s="0" t="inlineStr">
        <is>
          <t>경상남도 창원시 진해구 동진로21번길 17</t>
        </is>
      </c>
      <c r="AH246" s="0" t="n">
        <v>0</v>
      </c>
      <c r="AI246" s="0" t="n">
        <v>238</v>
      </c>
      <c r="AJ246" s="0" t="n">
        <v>24</v>
      </c>
      <c r="AK246" s="0" t="n">
        <v>225</v>
      </c>
      <c r="AL246" s="0" t="n">
        <v>1.64</v>
      </c>
    </row>
    <row r="247">
      <c r="A247" s="0" t="inlineStr">
        <is>
          <t>[이동]</t>
        </is>
      </c>
      <c r="B247" s="0" t="n">
        <v>106618</v>
      </c>
      <c r="C247" s="0" t="n">
        <v>1</v>
      </c>
      <c r="D247" s="0" t="inlineStr">
        <is>
          <t>보람더좋은</t>
        </is>
      </c>
      <c r="E247" s="0" t="inlineStr">
        <is>
          <t>2012.12.</t>
        </is>
      </c>
      <c r="F247" s="0" t="n">
        <v>16</v>
      </c>
      <c r="G247" s="0" t="n">
        <v>28.7</v>
      </c>
      <c r="H247" s="0" t="n">
        <v>94.90000000000001</v>
      </c>
      <c r="I247" s="0" t="n">
        <v>22.14</v>
      </c>
      <c r="J247" s="0" t="n">
        <v>73.22</v>
      </c>
      <c r="K247" s="0" t="n">
        <v>2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94</v>
      </c>
      <c r="X247" s="0" t="n">
        <v>9</v>
      </c>
      <c r="Y247" s="0" t="n">
        <v>9</v>
      </c>
      <c r="Z247" s="0" t="inlineStr">
        <is>
          <t>https://new.land.naver.com/complexes/106618?tab=detail&amp;rf=Y</t>
        </is>
      </c>
      <c r="AA247" s="0" t="inlineStr">
        <is>
          <t>경상남도 창원시 진해구 이동 505-5</t>
        </is>
      </c>
      <c r="AB247" s="0" t="inlineStr">
        <is>
          <t>경상남도</t>
        </is>
      </c>
      <c r="AC247" s="0" t="inlineStr">
        <is>
          <t>창원시</t>
        </is>
      </c>
      <c r="AD247" s="0" t="inlineStr">
        <is>
          <t>진해구</t>
        </is>
      </c>
      <c r="AE247" s="0" t="inlineStr">
        <is>
          <t>이동</t>
        </is>
      </c>
      <c r="AG247" s="0" t="inlineStr">
        <is>
          <t>경상남도 창원시 진해구 진해대로728번길 8-27</t>
        </is>
      </c>
      <c r="AH247" s="0" t="n">
        <v>0</v>
      </c>
      <c r="AI247" s="0" t="n">
        <v>192</v>
      </c>
      <c r="AJ247" s="0" t="n">
        <v>47</v>
      </c>
      <c r="AK247" s="0" t="n">
        <v>15</v>
      </c>
      <c r="AL247" s="0" t="n">
        <v>0.9399999999999999</v>
      </c>
    </row>
    <row r="248">
      <c r="A248" s="0" t="inlineStr">
        <is>
          <t>[이동]</t>
        </is>
      </c>
      <c r="B248" s="0" t="n">
        <v>106618</v>
      </c>
      <c r="C248" s="0" t="n">
        <v>2</v>
      </c>
      <c r="D248" s="0" t="inlineStr">
        <is>
          <t>보람더좋은</t>
        </is>
      </c>
      <c r="E248" s="0" t="inlineStr">
        <is>
          <t>2012.12.</t>
        </is>
      </c>
      <c r="F248" s="0" t="n">
        <v>16</v>
      </c>
      <c r="G248" s="0" t="n">
        <v>30.43</v>
      </c>
      <c r="H248" s="0" t="n">
        <v>100.6</v>
      </c>
      <c r="I248" s="0" t="n">
        <v>23.5</v>
      </c>
      <c r="J248" s="0" t="n">
        <v>77.69</v>
      </c>
      <c r="K248" s="0" t="n">
        <v>14</v>
      </c>
      <c r="T248" s="0" t="n">
        <v>3</v>
      </c>
      <c r="U248" s="0" t="n">
        <v>2</v>
      </c>
      <c r="V248" s="0" t="inlineStr">
        <is>
          <t>복도식</t>
        </is>
      </c>
      <c r="W248" s="0" t="n">
        <v>100</v>
      </c>
      <c r="X248" s="0" t="n">
        <v>9</v>
      </c>
      <c r="Y248" s="0" t="n">
        <v>9</v>
      </c>
      <c r="Z248" s="0" t="inlineStr">
        <is>
          <t>https://new.land.naver.com/complexes/106618?tab=detail&amp;rf=Y</t>
        </is>
      </c>
      <c r="AA248" s="0" t="inlineStr">
        <is>
          <t>경상남도 창원시 진해구 이동 505-5</t>
        </is>
      </c>
      <c r="AB248" s="0" t="inlineStr">
        <is>
          <t>경상남도</t>
        </is>
      </c>
      <c r="AC248" s="0" t="inlineStr">
        <is>
          <t>창원시</t>
        </is>
      </c>
      <c r="AD248" s="0" t="inlineStr">
        <is>
          <t>진해구</t>
        </is>
      </c>
      <c r="AE248" s="0" t="inlineStr">
        <is>
          <t>이동</t>
        </is>
      </c>
      <c r="AG248" s="0" t="inlineStr">
        <is>
          <t>경상남도 창원시 진해구 진해대로728번길 8-27</t>
        </is>
      </c>
      <c r="AH248" s="0" t="n">
        <v>0</v>
      </c>
      <c r="AI248" s="0" t="n">
        <v>192</v>
      </c>
      <c r="AJ248" s="0" t="n">
        <v>47</v>
      </c>
      <c r="AK248" s="0" t="n">
        <v>15</v>
      </c>
      <c r="AL248" s="0" t="n">
        <v>0.9399999999999999</v>
      </c>
    </row>
    <row r="249">
      <c r="A249" s="0" t="inlineStr">
        <is>
          <t>[이동]</t>
        </is>
      </c>
      <c r="B249" s="0" t="n">
        <v>7568</v>
      </c>
      <c r="C249" s="0" t="n">
        <v>1</v>
      </c>
      <c r="D249" s="0" t="inlineStr">
        <is>
          <t>남흥</t>
        </is>
      </c>
      <c r="E249" s="0" t="inlineStr">
        <is>
          <t>1991.12.</t>
        </is>
      </c>
      <c r="F249" s="0" t="n">
        <v>268</v>
      </c>
      <c r="G249" s="0" t="n">
        <v>27</v>
      </c>
      <c r="H249" s="0" t="n">
        <v>89.26000000000001</v>
      </c>
      <c r="I249" s="0" t="n">
        <v>23.35</v>
      </c>
      <c r="J249" s="0" t="n">
        <v>77.20999999999999</v>
      </c>
      <c r="K249" s="0" t="n">
        <v>108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89</v>
      </c>
      <c r="X249" s="0" t="n">
        <v>6</v>
      </c>
      <c r="Y249" s="0" t="n">
        <v>5</v>
      </c>
      <c r="Z249" s="0" t="inlineStr">
        <is>
          <t>https://new.land.naver.com/complexes/7568?tab=detail&amp;rf=Y</t>
        </is>
      </c>
      <c r="AA249" s="0" t="inlineStr">
        <is>
          <t>경상남도 창원시 진해구 이동 418-1</t>
        </is>
      </c>
      <c r="AB249" s="0" t="inlineStr">
        <is>
          <t>경상남도</t>
        </is>
      </c>
      <c r="AC249" s="0" t="inlineStr">
        <is>
          <t>창원시</t>
        </is>
      </c>
      <c r="AD249" s="0" t="inlineStr">
        <is>
          <t>진해구</t>
        </is>
      </c>
      <c r="AE249" s="0" t="inlineStr">
        <is>
          <t>이동</t>
        </is>
      </c>
      <c r="AG249" s="0" t="inlineStr">
        <is>
          <t>경상남도 창원시 진해구 해원로 5</t>
        </is>
      </c>
      <c r="AH249" s="0" t="n">
        <v>0</v>
      </c>
      <c r="AI249" s="0" t="n">
        <v>140</v>
      </c>
      <c r="AJ249" s="0" t="n">
        <v>30</v>
      </c>
      <c r="AK249" s="0" t="n">
        <v>150</v>
      </c>
      <c r="AL249" s="0" t="n">
        <v>0.5600000000000001</v>
      </c>
    </row>
    <row r="250">
      <c r="A250" s="0" t="inlineStr">
        <is>
          <t>[이동]</t>
        </is>
      </c>
      <c r="B250" s="0" t="n">
        <v>7568</v>
      </c>
      <c r="C250" s="0" t="n">
        <v>2</v>
      </c>
      <c r="D250" s="0" t="inlineStr">
        <is>
          <t>남흥</t>
        </is>
      </c>
      <c r="E250" s="0" t="inlineStr">
        <is>
          <t>1991.12.</t>
        </is>
      </c>
      <c r="F250" s="0" t="n">
        <v>268</v>
      </c>
      <c r="G250" s="0" t="n">
        <v>29.99</v>
      </c>
      <c r="H250" s="0" t="n">
        <v>99.17</v>
      </c>
      <c r="I250" s="0" t="n">
        <v>25.7</v>
      </c>
      <c r="J250" s="0" t="n">
        <v>84.95999999999999</v>
      </c>
      <c r="K250" s="0" t="n">
        <v>150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99</v>
      </c>
      <c r="X250" s="0" t="n">
        <v>6</v>
      </c>
      <c r="Y250" s="0" t="n">
        <v>5</v>
      </c>
      <c r="Z250" s="0" t="inlineStr">
        <is>
          <t>https://new.land.naver.com/complexes/7568?tab=detail&amp;rf=Y</t>
        </is>
      </c>
      <c r="AA250" s="0" t="inlineStr">
        <is>
          <t>경상남도 창원시 진해구 이동 418-1</t>
        </is>
      </c>
      <c r="AB250" s="0" t="inlineStr">
        <is>
          <t>경상남도</t>
        </is>
      </c>
      <c r="AC250" s="0" t="inlineStr">
        <is>
          <t>창원시</t>
        </is>
      </c>
      <c r="AD250" s="0" t="inlineStr">
        <is>
          <t>진해구</t>
        </is>
      </c>
      <c r="AE250" s="0" t="inlineStr">
        <is>
          <t>이동</t>
        </is>
      </c>
      <c r="AG250" s="0" t="inlineStr">
        <is>
          <t>경상남도 창원시 진해구 해원로 5</t>
        </is>
      </c>
      <c r="AH250" s="0" t="n">
        <v>0</v>
      </c>
      <c r="AI250" s="0" t="n">
        <v>140</v>
      </c>
      <c r="AJ250" s="0" t="n">
        <v>30</v>
      </c>
      <c r="AK250" s="0" t="n">
        <v>150</v>
      </c>
      <c r="AL250" s="0" t="n">
        <v>0.5600000000000001</v>
      </c>
    </row>
    <row r="251">
      <c r="A251" s="0" t="inlineStr">
        <is>
          <t>[이동]</t>
        </is>
      </c>
      <c r="B251" s="0" t="n">
        <v>7568</v>
      </c>
      <c r="C251" s="0" t="n">
        <v>3</v>
      </c>
      <c r="D251" s="0" t="inlineStr">
        <is>
          <t>남흥</t>
        </is>
      </c>
      <c r="E251" s="0" t="inlineStr">
        <is>
          <t>1991.12.</t>
        </is>
      </c>
      <c r="F251" s="0" t="n">
        <v>268</v>
      </c>
      <c r="G251" s="0" t="n">
        <v>44.08</v>
      </c>
      <c r="H251" s="0" t="n">
        <v>145.73</v>
      </c>
      <c r="I251" s="0" t="n">
        <v>38.91</v>
      </c>
      <c r="J251" s="0" t="n">
        <v>128.63</v>
      </c>
      <c r="K251" s="0" t="n">
        <v>10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145</v>
      </c>
      <c r="X251" s="0" t="n">
        <v>6</v>
      </c>
      <c r="Y251" s="0" t="n">
        <v>5</v>
      </c>
      <c r="Z251" s="0" t="inlineStr">
        <is>
          <t>https://new.land.naver.com/complexes/7568?tab=detail&amp;rf=Y</t>
        </is>
      </c>
      <c r="AA251" s="0" t="inlineStr">
        <is>
          <t>경상남도 창원시 진해구 이동 418-1</t>
        </is>
      </c>
      <c r="AB251" s="0" t="inlineStr">
        <is>
          <t>경상남도</t>
        </is>
      </c>
      <c r="AC251" s="0" t="inlineStr">
        <is>
          <t>창원시</t>
        </is>
      </c>
      <c r="AD251" s="0" t="inlineStr">
        <is>
          <t>진해구</t>
        </is>
      </c>
      <c r="AE251" s="0" t="inlineStr">
        <is>
          <t>이동</t>
        </is>
      </c>
      <c r="AG251" s="0" t="inlineStr">
        <is>
          <t>경상남도 창원시 진해구 해원로 5</t>
        </is>
      </c>
      <c r="AH251" s="0" t="n">
        <v>0</v>
      </c>
      <c r="AI251" s="0" t="n">
        <v>140</v>
      </c>
      <c r="AJ251" s="0" t="n">
        <v>30</v>
      </c>
      <c r="AK251" s="0" t="n">
        <v>150</v>
      </c>
      <c r="AL251" s="0" t="n">
        <v>0.5600000000000001</v>
      </c>
    </row>
    <row r="252">
      <c r="A252" s="0" t="inlineStr">
        <is>
          <t>[이동]</t>
        </is>
      </c>
      <c r="B252" s="0" t="n">
        <v>27328</v>
      </c>
      <c r="C252" s="0" t="n">
        <v>1</v>
      </c>
      <c r="D252" s="0" t="inlineStr">
        <is>
          <t>진해이동미소지움2단지</t>
        </is>
      </c>
      <c r="E252" s="0" t="inlineStr">
        <is>
          <t>2007.11.</t>
        </is>
      </c>
      <c r="F252" s="0" t="n">
        <v>83</v>
      </c>
      <c r="G252" s="0" t="n">
        <v>46.39</v>
      </c>
      <c r="H252" s="0" t="n">
        <v>153.37</v>
      </c>
      <c r="I252" s="0" t="n">
        <v>39.12</v>
      </c>
      <c r="J252" s="0" t="n">
        <v>129.33</v>
      </c>
      <c r="K252" s="0" t="n">
        <v>26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153</v>
      </c>
      <c r="X252" s="0" t="n">
        <v>14</v>
      </c>
      <c r="Y252" s="0" t="n">
        <v>7</v>
      </c>
      <c r="Z252" s="0" t="inlineStr">
        <is>
          <t>https://new.land.naver.com/complexes/27328?tab=detail&amp;rf=Y</t>
        </is>
      </c>
      <c r="AA252" s="0" t="inlineStr">
        <is>
          <t>경상남도 창원시 진해구 이동 3-3</t>
        </is>
      </c>
      <c r="AB252" s="0" t="inlineStr">
        <is>
          <t>경상남도</t>
        </is>
      </c>
      <c r="AC252" s="0" t="inlineStr">
        <is>
          <t>창원시</t>
        </is>
      </c>
      <c r="AD252" s="0" t="inlineStr">
        <is>
          <t>진해구</t>
        </is>
      </c>
      <c r="AE252" s="0" t="inlineStr">
        <is>
          <t>이동</t>
        </is>
      </c>
      <c r="AG252" s="0" t="inlineStr">
        <is>
          <t>경상남도 창원시 진해구 동진로21번길 12</t>
        </is>
      </c>
      <c r="AH252" s="0" t="n">
        <v>0</v>
      </c>
      <c r="AI252" s="0" t="n">
        <v>216</v>
      </c>
      <c r="AJ252" s="0" t="n">
        <v>23</v>
      </c>
      <c r="AK252" s="0" t="n">
        <v>173</v>
      </c>
      <c r="AL252" s="0" t="n">
        <v>2.08</v>
      </c>
    </row>
    <row r="253">
      <c r="A253" s="0" t="inlineStr">
        <is>
          <t>[이동]</t>
        </is>
      </c>
      <c r="B253" s="0" t="n">
        <v>27328</v>
      </c>
      <c r="C253" s="0" t="n">
        <v>2</v>
      </c>
      <c r="D253" s="0" t="inlineStr">
        <is>
          <t>진해이동미소지움2단지</t>
        </is>
      </c>
      <c r="E253" s="0" t="inlineStr">
        <is>
          <t>2007.11.</t>
        </is>
      </c>
      <c r="F253" s="0" t="n">
        <v>83</v>
      </c>
      <c r="G253" s="0" t="n">
        <v>52.64</v>
      </c>
      <c r="H253" s="0" t="n">
        <v>174.03</v>
      </c>
      <c r="I253" s="0" t="n">
        <v>42.91</v>
      </c>
      <c r="J253" s="0" t="n">
        <v>141.87</v>
      </c>
      <c r="K253" s="0" t="n">
        <v>9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174</v>
      </c>
      <c r="X253" s="0" t="n">
        <v>14</v>
      </c>
      <c r="Y253" s="0" t="n">
        <v>7</v>
      </c>
      <c r="Z253" s="0" t="inlineStr">
        <is>
          <t>https://new.land.naver.com/complexes/27328?tab=detail&amp;rf=Y</t>
        </is>
      </c>
      <c r="AA253" s="0" t="inlineStr">
        <is>
          <t>경상남도 창원시 진해구 이동 3-3</t>
        </is>
      </c>
      <c r="AB253" s="0" t="inlineStr">
        <is>
          <t>경상남도</t>
        </is>
      </c>
      <c r="AC253" s="0" t="inlineStr">
        <is>
          <t>창원시</t>
        </is>
      </c>
      <c r="AD253" s="0" t="inlineStr">
        <is>
          <t>진해구</t>
        </is>
      </c>
      <c r="AE253" s="0" t="inlineStr">
        <is>
          <t>이동</t>
        </is>
      </c>
      <c r="AG253" s="0" t="inlineStr">
        <is>
          <t>경상남도 창원시 진해구 동진로21번길 12</t>
        </is>
      </c>
      <c r="AH253" s="0" t="n">
        <v>0</v>
      </c>
      <c r="AI253" s="0" t="n">
        <v>216</v>
      </c>
      <c r="AJ253" s="0" t="n">
        <v>23</v>
      </c>
      <c r="AK253" s="0" t="n">
        <v>173</v>
      </c>
      <c r="AL253" s="0" t="n">
        <v>2.08</v>
      </c>
    </row>
    <row r="254">
      <c r="A254" s="0" t="inlineStr">
        <is>
          <t>[이동]</t>
        </is>
      </c>
      <c r="B254" s="0" t="n">
        <v>27328</v>
      </c>
      <c r="C254" s="0" t="n">
        <v>3</v>
      </c>
      <c r="D254" s="0" t="inlineStr">
        <is>
          <t>진해이동미소지움2단지</t>
        </is>
      </c>
      <c r="E254" s="0" t="inlineStr">
        <is>
          <t>2007.11.</t>
        </is>
      </c>
      <c r="F254" s="0" t="n">
        <v>83</v>
      </c>
      <c r="G254" s="0" t="n">
        <v>57.94</v>
      </c>
      <c r="H254" s="0" t="n">
        <v>191.55</v>
      </c>
      <c r="I254" s="0" t="n">
        <v>49.87</v>
      </c>
      <c r="J254" s="0" t="n">
        <v>164.87</v>
      </c>
      <c r="K254" s="0" t="n">
        <v>48</v>
      </c>
      <c r="T254" s="0" t="n">
        <v>5</v>
      </c>
      <c r="U254" s="0" t="n">
        <v>2</v>
      </c>
      <c r="V254" s="0" t="inlineStr">
        <is>
          <t>계단식</t>
        </is>
      </c>
      <c r="W254" s="0" t="n">
        <v>191</v>
      </c>
      <c r="X254" s="0" t="n">
        <v>14</v>
      </c>
      <c r="Y254" s="0" t="n">
        <v>7</v>
      </c>
      <c r="Z254" s="0" t="inlineStr">
        <is>
          <t>https://new.land.naver.com/complexes/27328?tab=detail&amp;rf=Y</t>
        </is>
      </c>
      <c r="AA254" s="0" t="inlineStr">
        <is>
          <t>경상남도 창원시 진해구 이동 3-3</t>
        </is>
      </c>
      <c r="AB254" s="0" t="inlineStr">
        <is>
          <t>경상남도</t>
        </is>
      </c>
      <c r="AC254" s="0" t="inlineStr">
        <is>
          <t>창원시</t>
        </is>
      </c>
      <c r="AD254" s="0" t="inlineStr">
        <is>
          <t>진해구</t>
        </is>
      </c>
      <c r="AE254" s="0" t="inlineStr">
        <is>
          <t>이동</t>
        </is>
      </c>
      <c r="AG254" s="0" t="inlineStr">
        <is>
          <t>경상남도 창원시 진해구 동진로21번길 12</t>
        </is>
      </c>
      <c r="AH254" s="0" t="n">
        <v>0</v>
      </c>
      <c r="AI254" s="0" t="n">
        <v>216</v>
      </c>
      <c r="AJ254" s="0" t="n">
        <v>23</v>
      </c>
      <c r="AK254" s="0" t="n">
        <v>173</v>
      </c>
      <c r="AL254" s="0" t="n">
        <v>2.08</v>
      </c>
    </row>
    <row r="255">
      <c r="A255" s="0" t="inlineStr">
        <is>
          <t>[이동]</t>
        </is>
      </c>
      <c r="B255" s="0" t="n">
        <v>111202</v>
      </c>
      <c r="C255" s="0" t="n">
        <v>1</v>
      </c>
      <c r="D255" s="0" t="inlineStr">
        <is>
          <t>일루스빌</t>
        </is>
      </c>
      <c r="E255" s="0" t="inlineStr">
        <is>
          <t>2003.08.</t>
        </is>
      </c>
      <c r="F255" s="0" t="n">
        <v>18</v>
      </c>
      <c r="G255" s="0" t="n">
        <v>30.6</v>
      </c>
      <c r="H255" s="0" t="n">
        <v>101.17</v>
      </c>
      <c r="I255" s="0" t="n">
        <v>25.7</v>
      </c>
      <c r="J255" s="0" t="n">
        <v>84.97</v>
      </c>
      <c r="K255" s="0" t="n">
        <v>18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101</v>
      </c>
      <c r="X255" s="0" t="n">
        <v>11</v>
      </c>
      <c r="Y255" s="0" t="n">
        <v>11</v>
      </c>
      <c r="Z255" s="0" t="inlineStr">
        <is>
          <t>https://new.land.naver.com/complexes/111202?tab=detail&amp;rf=Y</t>
        </is>
      </c>
      <c r="AA255" s="0" t="inlineStr">
        <is>
          <t>경상남도 창원시 진해구 이동 462-3</t>
        </is>
      </c>
      <c r="AB255" s="0" t="inlineStr">
        <is>
          <t>경상남도</t>
        </is>
      </c>
      <c r="AC255" s="0" t="inlineStr">
        <is>
          <t>창원시</t>
        </is>
      </c>
      <c r="AD255" s="0" t="inlineStr">
        <is>
          <t>진해구</t>
        </is>
      </c>
      <c r="AE255" s="0" t="inlineStr">
        <is>
          <t>이동</t>
        </is>
      </c>
      <c r="AG255" s="0" t="inlineStr">
        <is>
          <t>경상남도 창원시 진해구 진해대로776번길 31</t>
        </is>
      </c>
      <c r="AH255" s="0" t="n">
        <v>0</v>
      </c>
      <c r="AI255" s="0" t="n">
        <v>279</v>
      </c>
      <c r="AJ255" s="0" t="n">
        <v>56</v>
      </c>
      <c r="AK255" s="0" t="n">
        <v>21</v>
      </c>
      <c r="AL255" s="0" t="n">
        <v>1.17</v>
      </c>
    </row>
    <row r="256">
      <c r="A256" s="0" t="inlineStr">
        <is>
          <t>[이동]</t>
        </is>
      </c>
      <c r="B256" s="0" t="n">
        <v>26752</v>
      </c>
      <c r="C256" s="0" t="n">
        <v>1</v>
      </c>
      <c r="D256" s="0" t="inlineStr">
        <is>
          <t>진해이동디에스아이존빌</t>
        </is>
      </c>
      <c r="E256" s="0" t="inlineStr">
        <is>
          <t>2008.10.</t>
        </is>
      </c>
      <c r="F256" s="0" t="n">
        <v>328</v>
      </c>
      <c r="G256" s="0" t="n">
        <v>36.68</v>
      </c>
      <c r="H256" s="0" t="n">
        <v>121.28</v>
      </c>
      <c r="I256" s="0" t="n">
        <v>25.66</v>
      </c>
      <c r="J256" s="0" t="n">
        <v>84.83</v>
      </c>
      <c r="K256" s="0" t="n">
        <v>289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121A</t>
        </is>
      </c>
      <c r="X256" s="0" t="n">
        <v>10</v>
      </c>
      <c r="Y256" s="0" t="n">
        <v>9</v>
      </c>
      <c r="Z256" s="0" t="inlineStr">
        <is>
          <t>https://new.land.naver.com/complexes/26752?tab=detail&amp;rf=Y</t>
        </is>
      </c>
      <c r="AA256" s="0" t="inlineStr">
        <is>
          <t>경상남도 창원시 진해구 이동 445-2</t>
        </is>
      </c>
      <c r="AB256" s="0" t="inlineStr">
        <is>
          <t>경상남도</t>
        </is>
      </c>
      <c r="AC256" s="0" t="inlineStr">
        <is>
          <t>창원시</t>
        </is>
      </c>
      <c r="AD256" s="0" t="inlineStr">
        <is>
          <t>진해구</t>
        </is>
      </c>
      <c r="AE256" s="0" t="inlineStr">
        <is>
          <t>이동</t>
        </is>
      </c>
      <c r="AG256" s="0" t="inlineStr">
        <is>
          <t>경상남도 창원시 진해구 병암로 20</t>
        </is>
      </c>
      <c r="AH256" s="0" t="n">
        <v>0</v>
      </c>
      <c r="AI256" s="0" t="n">
        <v>203</v>
      </c>
      <c r="AJ256" s="0" t="n">
        <v>30</v>
      </c>
      <c r="AK256" s="0" t="n">
        <v>409</v>
      </c>
      <c r="AL256" s="0" t="n">
        <v>1.25</v>
      </c>
    </row>
    <row r="257">
      <c r="A257" s="0" t="inlineStr">
        <is>
          <t>[이동]</t>
        </is>
      </c>
      <c r="B257" s="0" t="n">
        <v>26752</v>
      </c>
      <c r="C257" s="0" t="n">
        <v>2</v>
      </c>
      <c r="D257" s="0" t="inlineStr">
        <is>
          <t>진해이동디에스아이존빌</t>
        </is>
      </c>
      <c r="E257" s="0" t="inlineStr">
        <is>
          <t>2008.10.</t>
        </is>
      </c>
      <c r="F257" s="0" t="n">
        <v>328</v>
      </c>
      <c r="G257" s="0" t="n">
        <v>36.94</v>
      </c>
      <c r="H257" s="0" t="n">
        <v>122.13</v>
      </c>
      <c r="I257" s="0" t="n">
        <v>25.63</v>
      </c>
      <c r="J257" s="0" t="n">
        <v>84.73</v>
      </c>
      <c r="K257" s="0" t="n">
        <v>39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122B</t>
        </is>
      </c>
      <c r="X257" s="0" t="n">
        <v>10</v>
      </c>
      <c r="Y257" s="0" t="n">
        <v>9</v>
      </c>
      <c r="Z257" s="0" t="inlineStr">
        <is>
          <t>https://new.land.naver.com/complexes/26752?tab=detail&amp;rf=Y</t>
        </is>
      </c>
      <c r="AA257" s="0" t="inlineStr">
        <is>
          <t>경상남도 창원시 진해구 이동 445-2</t>
        </is>
      </c>
      <c r="AB257" s="0" t="inlineStr">
        <is>
          <t>경상남도</t>
        </is>
      </c>
      <c r="AC257" s="0" t="inlineStr">
        <is>
          <t>창원시</t>
        </is>
      </c>
      <c r="AD257" s="0" t="inlineStr">
        <is>
          <t>진해구</t>
        </is>
      </c>
      <c r="AE257" s="0" t="inlineStr">
        <is>
          <t>이동</t>
        </is>
      </c>
      <c r="AG257" s="0" t="inlineStr">
        <is>
          <t>경상남도 창원시 진해구 병암로 20</t>
        </is>
      </c>
      <c r="AH257" s="0" t="n">
        <v>0</v>
      </c>
      <c r="AI257" s="0" t="n">
        <v>203</v>
      </c>
      <c r="AJ257" s="0" t="n">
        <v>30</v>
      </c>
      <c r="AK257" s="0" t="n">
        <v>409</v>
      </c>
      <c r="AL257" s="0" t="n">
        <v>1.25</v>
      </c>
    </row>
    <row r="258">
      <c r="A258" s="0" t="inlineStr">
        <is>
          <t>[이동]</t>
        </is>
      </c>
      <c r="B258" s="0" t="n">
        <v>118239</v>
      </c>
      <c r="C258" s="0" t="n">
        <v>1</v>
      </c>
      <c r="D258" s="0" t="inlineStr">
        <is>
          <t>보람더좋은퍼스트(도시형)</t>
        </is>
      </c>
      <c r="E258" s="0" t="inlineStr">
        <is>
          <t>2014.09.</t>
        </is>
      </c>
      <c r="F258" s="0" t="n">
        <v>32</v>
      </c>
      <c r="G258" s="0" t="n">
        <v>21.52</v>
      </c>
      <c r="H258" s="0" t="n">
        <v>71.17</v>
      </c>
      <c r="I258" s="0" t="n">
        <v>14.4</v>
      </c>
      <c r="J258" s="0" t="n">
        <v>47.63</v>
      </c>
      <c r="K258" s="0" t="n">
        <v>8</v>
      </c>
      <c r="T258" s="0" t="n">
        <v>2</v>
      </c>
      <c r="U258" s="0" t="n">
        <v>1</v>
      </c>
      <c r="V258" s="0" t="inlineStr">
        <is>
          <t>계단식</t>
        </is>
      </c>
      <c r="W258" s="0" t="inlineStr">
        <is>
          <t>71A</t>
        </is>
      </c>
      <c r="X258" s="0" t="n">
        <v>10</v>
      </c>
      <c r="Y258" s="0" t="n">
        <v>10</v>
      </c>
      <c r="Z258" s="0" t="inlineStr">
        <is>
          <t>https://new.land.naver.com/complexes/118239?tab=detail&amp;rf=Y</t>
        </is>
      </c>
      <c r="AA258" s="0" t="inlineStr">
        <is>
          <t>경상남도 창원시 진해구 이동 520-4</t>
        </is>
      </c>
      <c r="AB258" s="0" t="inlineStr">
        <is>
          <t>경상남도</t>
        </is>
      </c>
      <c r="AC258" s="0" t="inlineStr">
        <is>
          <t>창원시</t>
        </is>
      </c>
      <c r="AD258" s="0" t="inlineStr">
        <is>
          <t>진해구</t>
        </is>
      </c>
      <c r="AE258" s="0" t="inlineStr">
        <is>
          <t>이동</t>
        </is>
      </c>
      <c r="AG258" s="0" t="inlineStr">
        <is>
          <t>경상남도 창원시 진해구 병암로7번길 8-25</t>
        </is>
      </c>
      <c r="AH258" s="0" t="n">
        <v>0</v>
      </c>
      <c r="AI258" s="0" t="n">
        <v>387</v>
      </c>
      <c r="AJ258" s="0" t="n">
        <v>53</v>
      </c>
      <c r="AK258" s="0" t="n">
        <v>23</v>
      </c>
      <c r="AL258" s="0" t="n">
        <v>0.72</v>
      </c>
    </row>
    <row r="259">
      <c r="A259" s="0" t="inlineStr">
        <is>
          <t>[이동]</t>
        </is>
      </c>
      <c r="B259" s="0" t="n">
        <v>118239</v>
      </c>
      <c r="C259" s="0" t="n">
        <v>2</v>
      </c>
      <c r="D259" s="0" t="inlineStr">
        <is>
          <t>보람더좋은퍼스트(도시형)</t>
        </is>
      </c>
      <c r="E259" s="0" t="inlineStr">
        <is>
          <t>2014.09.</t>
        </is>
      </c>
      <c r="F259" s="0" t="n">
        <v>32</v>
      </c>
      <c r="G259" s="0" t="n">
        <v>21.56</v>
      </c>
      <c r="H259" s="0" t="n">
        <v>71.3</v>
      </c>
      <c r="I259" s="0" t="n">
        <v>14.68</v>
      </c>
      <c r="J259" s="0" t="n">
        <v>48.53</v>
      </c>
      <c r="K259" s="0" t="n">
        <v>8</v>
      </c>
      <c r="T259" s="0" t="n">
        <v>2</v>
      </c>
      <c r="U259" s="0" t="n">
        <v>1</v>
      </c>
      <c r="V259" s="0" t="inlineStr">
        <is>
          <t>계단식</t>
        </is>
      </c>
      <c r="W259" s="0" t="inlineStr">
        <is>
          <t>71B</t>
        </is>
      </c>
      <c r="X259" s="0" t="n">
        <v>10</v>
      </c>
      <c r="Y259" s="0" t="n">
        <v>10</v>
      </c>
      <c r="Z259" s="0" t="inlineStr">
        <is>
          <t>https://new.land.naver.com/complexes/118239?tab=detail&amp;rf=Y</t>
        </is>
      </c>
      <c r="AA259" s="0" t="inlineStr">
        <is>
          <t>경상남도 창원시 진해구 이동 520-4</t>
        </is>
      </c>
      <c r="AB259" s="0" t="inlineStr">
        <is>
          <t>경상남도</t>
        </is>
      </c>
      <c r="AC259" s="0" t="inlineStr">
        <is>
          <t>창원시</t>
        </is>
      </c>
      <c r="AD259" s="0" t="inlineStr">
        <is>
          <t>진해구</t>
        </is>
      </c>
      <c r="AE259" s="0" t="inlineStr">
        <is>
          <t>이동</t>
        </is>
      </c>
      <c r="AG259" s="0" t="inlineStr">
        <is>
          <t>경상남도 창원시 진해구 병암로7번길 8-25</t>
        </is>
      </c>
      <c r="AH259" s="0" t="n">
        <v>0</v>
      </c>
      <c r="AI259" s="0" t="n">
        <v>387</v>
      </c>
      <c r="AJ259" s="0" t="n">
        <v>53</v>
      </c>
      <c r="AK259" s="0" t="n">
        <v>23</v>
      </c>
      <c r="AL259" s="0" t="n">
        <v>0.72</v>
      </c>
    </row>
    <row r="260">
      <c r="A260" s="0" t="inlineStr">
        <is>
          <t>[이동]</t>
        </is>
      </c>
      <c r="B260" s="0" t="n">
        <v>118239</v>
      </c>
      <c r="C260" s="0" t="n">
        <v>3</v>
      </c>
      <c r="D260" s="0" t="inlineStr">
        <is>
          <t>보람더좋은퍼스트(도시형)</t>
        </is>
      </c>
      <c r="E260" s="0" t="inlineStr">
        <is>
          <t>2014.09.</t>
        </is>
      </c>
      <c r="F260" s="0" t="n">
        <v>32</v>
      </c>
      <c r="G260" s="0" t="n">
        <v>21.73</v>
      </c>
      <c r="H260" s="0" t="n">
        <v>71.86</v>
      </c>
      <c r="I260" s="0" t="n">
        <v>15.05</v>
      </c>
      <c r="J260" s="0" t="n">
        <v>49.78</v>
      </c>
      <c r="K260" s="0" t="n">
        <v>8</v>
      </c>
      <c r="T260" s="0" t="n">
        <v>2</v>
      </c>
      <c r="U260" s="0" t="n">
        <v>1</v>
      </c>
      <c r="V260" s="0" t="inlineStr">
        <is>
          <t>계단식</t>
        </is>
      </c>
      <c r="W260" s="0" t="inlineStr">
        <is>
          <t>71D</t>
        </is>
      </c>
      <c r="X260" s="0" t="n">
        <v>10</v>
      </c>
      <c r="Y260" s="0" t="n">
        <v>10</v>
      </c>
      <c r="Z260" s="0" t="inlineStr">
        <is>
          <t>https://new.land.naver.com/complexes/118239?tab=detail&amp;rf=Y</t>
        </is>
      </c>
      <c r="AA260" s="0" t="inlineStr">
        <is>
          <t>경상남도 창원시 진해구 이동 520-4</t>
        </is>
      </c>
      <c r="AB260" s="0" t="inlineStr">
        <is>
          <t>경상남도</t>
        </is>
      </c>
      <c r="AC260" s="0" t="inlineStr">
        <is>
          <t>창원시</t>
        </is>
      </c>
      <c r="AD260" s="0" t="inlineStr">
        <is>
          <t>진해구</t>
        </is>
      </c>
      <c r="AE260" s="0" t="inlineStr">
        <is>
          <t>이동</t>
        </is>
      </c>
      <c r="AG260" s="0" t="inlineStr">
        <is>
          <t>경상남도 창원시 진해구 병암로7번길 8-25</t>
        </is>
      </c>
      <c r="AH260" s="0" t="n">
        <v>0</v>
      </c>
      <c r="AI260" s="0" t="n">
        <v>387</v>
      </c>
      <c r="AJ260" s="0" t="n">
        <v>53</v>
      </c>
      <c r="AK260" s="0" t="n">
        <v>23</v>
      </c>
      <c r="AL260" s="0" t="n">
        <v>0.72</v>
      </c>
    </row>
    <row r="261">
      <c r="A261" s="0" t="inlineStr">
        <is>
          <t>[이동]</t>
        </is>
      </c>
      <c r="B261" s="0" t="n">
        <v>118239</v>
      </c>
      <c r="C261" s="0" t="n">
        <v>4</v>
      </c>
      <c r="D261" s="0" t="inlineStr">
        <is>
          <t>보람더좋은퍼스트(도시형)</t>
        </is>
      </c>
      <c r="E261" s="0" t="inlineStr">
        <is>
          <t>2014.09.</t>
        </is>
      </c>
      <c r="F261" s="0" t="n">
        <v>32</v>
      </c>
      <c r="G261" s="0" t="n">
        <v>21.92</v>
      </c>
      <c r="H261" s="0" t="n">
        <v>72.47</v>
      </c>
      <c r="I261" s="0" t="n">
        <v>15.04</v>
      </c>
      <c r="J261" s="0" t="n">
        <v>49.73</v>
      </c>
      <c r="K261" s="0" t="n">
        <v>8</v>
      </c>
      <c r="T261" s="0" t="n">
        <v>2</v>
      </c>
      <c r="U261" s="0" t="n">
        <v>1</v>
      </c>
      <c r="V261" s="0" t="inlineStr">
        <is>
          <t>계단식</t>
        </is>
      </c>
      <c r="W261" s="0" t="inlineStr">
        <is>
          <t>72C</t>
        </is>
      </c>
      <c r="X261" s="0" t="n">
        <v>10</v>
      </c>
      <c r="Y261" s="0" t="n">
        <v>10</v>
      </c>
      <c r="Z261" s="0" t="inlineStr">
        <is>
          <t>https://new.land.naver.com/complexes/118239?tab=detail&amp;rf=Y</t>
        </is>
      </c>
      <c r="AA261" s="0" t="inlineStr">
        <is>
          <t>경상남도 창원시 진해구 이동 520-4</t>
        </is>
      </c>
      <c r="AB261" s="0" t="inlineStr">
        <is>
          <t>경상남도</t>
        </is>
      </c>
      <c r="AC261" s="0" t="inlineStr">
        <is>
          <t>창원시</t>
        </is>
      </c>
      <c r="AD261" s="0" t="inlineStr">
        <is>
          <t>진해구</t>
        </is>
      </c>
      <c r="AE261" s="0" t="inlineStr">
        <is>
          <t>이동</t>
        </is>
      </c>
      <c r="AG261" s="0" t="inlineStr">
        <is>
          <t>경상남도 창원시 진해구 병암로7번길 8-25</t>
        </is>
      </c>
      <c r="AH261" s="0" t="n">
        <v>0</v>
      </c>
      <c r="AI261" s="0" t="n">
        <v>387</v>
      </c>
      <c r="AJ261" s="0" t="n">
        <v>53</v>
      </c>
      <c r="AK261" s="0" t="n">
        <v>23</v>
      </c>
      <c r="AL261" s="0" t="n">
        <v>0.72</v>
      </c>
    </row>
    <row r="262">
      <c r="A262" s="0" t="inlineStr">
        <is>
          <t>[인의동]</t>
        </is>
      </c>
      <c r="B262" s="0" t="n">
        <v>100836</v>
      </c>
      <c r="C262" s="0" t="n">
        <v>1</v>
      </c>
      <c r="D262" s="0" t="inlineStr">
        <is>
          <t>성신아트</t>
        </is>
      </c>
      <c r="E262" s="0" t="inlineStr">
        <is>
          <t>1995.01.</t>
        </is>
      </c>
      <c r="F262" s="0" t="n">
        <v>115</v>
      </c>
      <c r="G262" s="0" t="n">
        <v>21.16</v>
      </c>
      <c r="H262" s="0" t="n">
        <v>69.98</v>
      </c>
      <c r="I262" s="0" t="n">
        <v>18.1</v>
      </c>
      <c r="J262" s="0" t="n">
        <v>59.85</v>
      </c>
      <c r="K262" s="0" t="n">
        <v>8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69A</t>
        </is>
      </c>
      <c r="X262" s="0" t="n">
        <v>8</v>
      </c>
      <c r="Y262" s="0" t="n">
        <v>8</v>
      </c>
      <c r="Z262" s="0" t="inlineStr">
        <is>
          <t>https://new.land.naver.com/complexes/100836?tab=detail&amp;rf=Y</t>
        </is>
      </c>
      <c r="AA262" s="0" t="inlineStr">
        <is>
          <t>경상남도 창원시 진해구 인의동 28</t>
        </is>
      </c>
      <c r="AB262" s="0" t="inlineStr">
        <is>
          <t>경상남도</t>
        </is>
      </c>
      <c r="AC262" s="0" t="inlineStr">
        <is>
          <t>창원시</t>
        </is>
      </c>
      <c r="AD262" s="0" t="inlineStr">
        <is>
          <t>진해구</t>
        </is>
      </c>
      <c r="AE262" s="0" t="inlineStr">
        <is>
          <t>인의동</t>
        </is>
      </c>
      <c r="AG262" s="0" t="inlineStr">
        <is>
          <t>경상남도 창원시 진해구 태평로34번길 11</t>
        </is>
      </c>
      <c r="AH262" s="0" t="n">
        <v>0</v>
      </c>
      <c r="AI262" s="0" t="n">
        <v>234</v>
      </c>
      <c r="AJ262" s="0" t="n">
        <v>40</v>
      </c>
      <c r="AK262" s="0" t="n">
        <v>86</v>
      </c>
      <c r="AL262" s="0" t="n">
        <v>0.75</v>
      </c>
    </row>
    <row r="263">
      <c r="A263" s="0" t="inlineStr">
        <is>
          <t>[인의동]</t>
        </is>
      </c>
      <c r="B263" s="0" t="n">
        <v>100836</v>
      </c>
      <c r="C263" s="0" t="n">
        <v>2</v>
      </c>
      <c r="D263" s="0" t="inlineStr">
        <is>
          <t>성신아트</t>
        </is>
      </c>
      <c r="E263" s="0" t="inlineStr">
        <is>
          <t>1995.01.</t>
        </is>
      </c>
      <c r="F263" s="0" t="n">
        <v>115</v>
      </c>
      <c r="G263" s="0" t="n">
        <v>21.19</v>
      </c>
      <c r="H263" s="0" t="n">
        <v>70.06</v>
      </c>
      <c r="I263" s="0" t="n">
        <v>18.12</v>
      </c>
      <c r="J263" s="0" t="n">
        <v>59.91</v>
      </c>
      <c r="K263" s="0" t="n">
        <v>52</v>
      </c>
      <c r="T263" s="0" t="n">
        <v>2</v>
      </c>
      <c r="U263" s="0" t="n">
        <v>1</v>
      </c>
      <c r="V263" s="0" t="inlineStr">
        <is>
          <t>계단식</t>
        </is>
      </c>
      <c r="W263" s="0" t="inlineStr">
        <is>
          <t>70C</t>
        </is>
      </c>
      <c r="X263" s="0" t="n">
        <v>8</v>
      </c>
      <c r="Y263" s="0" t="n">
        <v>8</v>
      </c>
      <c r="Z263" s="0" t="inlineStr">
        <is>
          <t>https://new.land.naver.com/complexes/100836?tab=detail&amp;rf=Y</t>
        </is>
      </c>
      <c r="AA263" s="0" t="inlineStr">
        <is>
          <t>경상남도 창원시 진해구 인의동 28</t>
        </is>
      </c>
      <c r="AB263" s="0" t="inlineStr">
        <is>
          <t>경상남도</t>
        </is>
      </c>
      <c r="AC263" s="0" t="inlineStr">
        <is>
          <t>창원시</t>
        </is>
      </c>
      <c r="AD263" s="0" t="inlineStr">
        <is>
          <t>진해구</t>
        </is>
      </c>
      <c r="AE263" s="0" t="inlineStr">
        <is>
          <t>인의동</t>
        </is>
      </c>
      <c r="AG263" s="0" t="inlineStr">
        <is>
          <t>경상남도 창원시 진해구 태평로34번길 11</t>
        </is>
      </c>
      <c r="AH263" s="0" t="n">
        <v>0</v>
      </c>
      <c r="AI263" s="0" t="n">
        <v>234</v>
      </c>
      <c r="AJ263" s="0" t="n">
        <v>40</v>
      </c>
      <c r="AK263" s="0" t="n">
        <v>86</v>
      </c>
      <c r="AL263" s="0" t="n">
        <v>0.75</v>
      </c>
    </row>
    <row r="264">
      <c r="A264" s="0" t="inlineStr">
        <is>
          <t>[인의동]</t>
        </is>
      </c>
      <c r="B264" s="0" t="n">
        <v>100836</v>
      </c>
      <c r="C264" s="0" t="n">
        <v>3</v>
      </c>
      <c r="D264" s="0" t="inlineStr">
        <is>
          <t>성신아트</t>
        </is>
      </c>
      <c r="E264" s="0" t="inlineStr">
        <is>
          <t>1995.01.</t>
        </is>
      </c>
      <c r="F264" s="0" t="n">
        <v>115</v>
      </c>
      <c r="G264" s="0" t="n">
        <v>21.17</v>
      </c>
      <c r="H264" s="0" t="n">
        <v>70.01000000000001</v>
      </c>
      <c r="I264" s="0" t="n">
        <v>18.11</v>
      </c>
      <c r="J264" s="0" t="n">
        <v>59.88</v>
      </c>
      <c r="K264" s="0" t="n">
        <v>8</v>
      </c>
      <c r="T264" s="0" t="n">
        <v>3</v>
      </c>
      <c r="U264" s="0" t="n">
        <v>1</v>
      </c>
      <c r="V264" s="0" t="inlineStr">
        <is>
          <t>계단식</t>
        </is>
      </c>
      <c r="W264" s="0" t="inlineStr">
        <is>
          <t>70B</t>
        </is>
      </c>
      <c r="X264" s="0" t="n">
        <v>8</v>
      </c>
      <c r="Y264" s="0" t="n">
        <v>8</v>
      </c>
      <c r="Z264" s="0" t="inlineStr">
        <is>
          <t>https://new.land.naver.com/complexes/100836?tab=detail&amp;rf=Y</t>
        </is>
      </c>
      <c r="AA264" s="0" t="inlineStr">
        <is>
          <t>경상남도 창원시 진해구 인의동 28</t>
        </is>
      </c>
      <c r="AB264" s="0" t="inlineStr">
        <is>
          <t>경상남도</t>
        </is>
      </c>
      <c r="AC264" s="0" t="inlineStr">
        <is>
          <t>창원시</t>
        </is>
      </c>
      <c r="AD264" s="0" t="inlineStr">
        <is>
          <t>진해구</t>
        </is>
      </c>
      <c r="AE264" s="0" t="inlineStr">
        <is>
          <t>인의동</t>
        </is>
      </c>
      <c r="AG264" s="0" t="inlineStr">
        <is>
          <t>경상남도 창원시 진해구 태평로34번길 11</t>
        </is>
      </c>
      <c r="AH264" s="0" t="n">
        <v>0</v>
      </c>
      <c r="AI264" s="0" t="n">
        <v>234</v>
      </c>
      <c r="AJ264" s="0" t="n">
        <v>40</v>
      </c>
      <c r="AK264" s="0" t="n">
        <v>86</v>
      </c>
      <c r="AL264" s="0" t="n">
        <v>0.75</v>
      </c>
    </row>
    <row r="265">
      <c r="A265" s="0" t="inlineStr">
        <is>
          <t>[인의동]</t>
        </is>
      </c>
      <c r="B265" s="0" t="n">
        <v>100836</v>
      </c>
      <c r="C265" s="0" t="n">
        <v>4</v>
      </c>
      <c r="D265" s="0" t="inlineStr">
        <is>
          <t>성신아트</t>
        </is>
      </c>
      <c r="E265" s="0" t="inlineStr">
        <is>
          <t>1995.01.</t>
        </is>
      </c>
      <c r="F265" s="0" t="n">
        <v>115</v>
      </c>
      <c r="G265" s="0" t="n">
        <v>29.61</v>
      </c>
      <c r="H265" s="0" t="n">
        <v>97.89</v>
      </c>
      <c r="I265" s="0" t="n">
        <v>25.32</v>
      </c>
      <c r="J265" s="0" t="n">
        <v>83.73</v>
      </c>
      <c r="K265" s="0" t="n">
        <v>16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97A</t>
        </is>
      </c>
      <c r="X265" s="0" t="n">
        <v>8</v>
      </c>
      <c r="Y265" s="0" t="n">
        <v>8</v>
      </c>
      <c r="Z265" s="0" t="inlineStr">
        <is>
          <t>https://new.land.naver.com/complexes/100836?tab=detail&amp;rf=Y</t>
        </is>
      </c>
      <c r="AA265" s="0" t="inlineStr">
        <is>
          <t>경상남도 창원시 진해구 인의동 28</t>
        </is>
      </c>
      <c r="AB265" s="0" t="inlineStr">
        <is>
          <t>경상남도</t>
        </is>
      </c>
      <c r="AC265" s="0" t="inlineStr">
        <is>
          <t>창원시</t>
        </is>
      </c>
      <c r="AD265" s="0" t="inlineStr">
        <is>
          <t>진해구</t>
        </is>
      </c>
      <c r="AE265" s="0" t="inlineStr">
        <is>
          <t>인의동</t>
        </is>
      </c>
      <c r="AG265" s="0" t="inlineStr">
        <is>
          <t>경상남도 창원시 진해구 태평로34번길 11</t>
        </is>
      </c>
      <c r="AH265" s="0" t="n">
        <v>0</v>
      </c>
      <c r="AI265" s="0" t="n">
        <v>234</v>
      </c>
      <c r="AJ265" s="0" t="n">
        <v>40</v>
      </c>
      <c r="AK265" s="0" t="n">
        <v>86</v>
      </c>
      <c r="AL265" s="0" t="n">
        <v>0.75</v>
      </c>
    </row>
    <row r="266">
      <c r="A266" s="0" t="inlineStr">
        <is>
          <t>[인의동]</t>
        </is>
      </c>
      <c r="B266" s="0" t="n">
        <v>100836</v>
      </c>
      <c r="C266" s="0" t="n">
        <v>5</v>
      </c>
      <c r="D266" s="0" t="inlineStr">
        <is>
          <t>성신아트</t>
        </is>
      </c>
      <c r="E266" s="0" t="inlineStr">
        <is>
          <t>1995.01.</t>
        </is>
      </c>
      <c r="F266" s="0" t="n">
        <v>115</v>
      </c>
      <c r="G266" s="0" t="n">
        <v>30.02</v>
      </c>
      <c r="H266" s="0" t="n">
        <v>99.26000000000001</v>
      </c>
      <c r="I266" s="0" t="n">
        <v>25.68</v>
      </c>
      <c r="J266" s="0" t="n">
        <v>84.90000000000001</v>
      </c>
      <c r="K266" s="0" t="n">
        <v>31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99B</t>
        </is>
      </c>
      <c r="X266" s="0" t="n">
        <v>8</v>
      </c>
      <c r="Y266" s="0" t="n">
        <v>8</v>
      </c>
      <c r="Z266" s="0" t="inlineStr">
        <is>
          <t>https://new.land.naver.com/complexes/100836?tab=detail&amp;rf=Y</t>
        </is>
      </c>
      <c r="AA266" s="0" t="inlineStr">
        <is>
          <t>경상남도 창원시 진해구 인의동 28</t>
        </is>
      </c>
      <c r="AB266" s="0" t="inlineStr">
        <is>
          <t>경상남도</t>
        </is>
      </c>
      <c r="AC266" s="0" t="inlineStr">
        <is>
          <t>창원시</t>
        </is>
      </c>
      <c r="AD266" s="0" t="inlineStr">
        <is>
          <t>진해구</t>
        </is>
      </c>
      <c r="AE266" s="0" t="inlineStr">
        <is>
          <t>인의동</t>
        </is>
      </c>
      <c r="AG266" s="0" t="inlineStr">
        <is>
          <t>경상남도 창원시 진해구 태평로34번길 11</t>
        </is>
      </c>
      <c r="AH266" s="0" t="n">
        <v>0</v>
      </c>
      <c r="AI266" s="0" t="n">
        <v>234</v>
      </c>
      <c r="AJ266" s="0" t="n">
        <v>40</v>
      </c>
      <c r="AK266" s="0" t="n">
        <v>86</v>
      </c>
      <c r="AL266" s="0" t="n">
        <v>0.75</v>
      </c>
    </row>
    <row r="267">
      <c r="A267" s="0" t="inlineStr">
        <is>
          <t>[자은동]</t>
        </is>
      </c>
      <c r="B267" s="0" t="n">
        <v>137093</v>
      </c>
      <c r="C267" s="0" t="n">
        <v>1</v>
      </c>
      <c r="D267" s="0" t="inlineStr">
        <is>
          <t>중앙네이빌</t>
        </is>
      </c>
      <c r="E267" s="0" t="inlineStr">
        <is>
          <t>2004.07.</t>
        </is>
      </c>
      <c r="F267" s="0" t="n">
        <v>98</v>
      </c>
      <c r="G267" s="0" t="n">
        <v>22.79</v>
      </c>
      <c r="H267" s="0" t="n">
        <v>75.34</v>
      </c>
      <c r="I267" s="0" t="n">
        <v>18.12</v>
      </c>
      <c r="J267" s="0" t="n">
        <v>59.91</v>
      </c>
      <c r="K267" s="0" t="n">
        <v>8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75A</t>
        </is>
      </c>
      <c r="X267" s="0" t="n">
        <v>10</v>
      </c>
      <c r="Y267" s="0" t="n">
        <v>8</v>
      </c>
      <c r="Z267" s="0" t="inlineStr">
        <is>
          <t>https://new.land.naver.com/complexes/137093?tab=detail&amp;rf=Y</t>
        </is>
      </c>
      <c r="AA267" s="0" t="inlineStr">
        <is>
          <t>경상남도 창원시 진해구 자은동 383</t>
        </is>
      </c>
      <c r="AB267" s="0" t="inlineStr">
        <is>
          <t>경상남도</t>
        </is>
      </c>
      <c r="AC267" s="0" t="inlineStr">
        <is>
          <t>창원시</t>
        </is>
      </c>
      <c r="AD267" s="0" t="inlineStr">
        <is>
          <t>진해구</t>
        </is>
      </c>
      <c r="AE267" s="0" t="inlineStr">
        <is>
          <t>자은동</t>
        </is>
      </c>
      <c r="AG267" s="0" t="inlineStr">
        <is>
          <t>경상남도 창원시 진해구 자은로88번길 32</t>
        </is>
      </c>
      <c r="AH267" s="0" t="n">
        <v>0</v>
      </c>
      <c r="AI267" s="0" t="n">
        <v>234</v>
      </c>
      <c r="AJ267" s="0" t="n">
        <v>31</v>
      </c>
      <c r="AK267" s="0" t="n">
        <v>82</v>
      </c>
      <c r="AL267" s="0" t="n">
        <v>0.84</v>
      </c>
    </row>
    <row r="268">
      <c r="A268" s="0" t="inlineStr">
        <is>
          <t>[자은동]</t>
        </is>
      </c>
      <c r="B268" s="0" t="n">
        <v>137093</v>
      </c>
      <c r="C268" s="0" t="n">
        <v>2</v>
      </c>
      <c r="D268" s="0" t="inlineStr">
        <is>
          <t>중앙네이빌</t>
        </is>
      </c>
      <c r="E268" s="0" t="inlineStr">
        <is>
          <t>2004.07.</t>
        </is>
      </c>
      <c r="F268" s="0" t="n">
        <v>98</v>
      </c>
      <c r="G268" s="0" t="n">
        <v>23.08</v>
      </c>
      <c r="H268" s="0" t="n">
        <v>76.3</v>
      </c>
      <c r="I268" s="0" t="n">
        <v>18.14</v>
      </c>
      <c r="J268" s="0" t="n">
        <v>59.99</v>
      </c>
      <c r="K268" s="0" t="n">
        <v>50</v>
      </c>
      <c r="T268" s="0" t="n">
        <v>3</v>
      </c>
      <c r="U268" s="0" t="n">
        <v>1</v>
      </c>
      <c r="V268" s="0" t="inlineStr">
        <is>
          <t>계단식</t>
        </is>
      </c>
      <c r="W268" s="0" t="inlineStr">
        <is>
          <t>76B</t>
        </is>
      </c>
      <c r="X268" s="0" t="n">
        <v>10</v>
      </c>
      <c r="Y268" s="0" t="n">
        <v>8</v>
      </c>
      <c r="Z268" s="0" t="inlineStr">
        <is>
          <t>https://new.land.naver.com/complexes/137093?tab=detail&amp;rf=Y</t>
        </is>
      </c>
      <c r="AA268" s="0" t="inlineStr">
        <is>
          <t>경상남도 창원시 진해구 자은동 383</t>
        </is>
      </c>
      <c r="AB268" s="0" t="inlineStr">
        <is>
          <t>경상남도</t>
        </is>
      </c>
      <c r="AC268" s="0" t="inlineStr">
        <is>
          <t>창원시</t>
        </is>
      </c>
      <c r="AD268" s="0" t="inlineStr">
        <is>
          <t>진해구</t>
        </is>
      </c>
      <c r="AE268" s="0" t="inlineStr">
        <is>
          <t>자은동</t>
        </is>
      </c>
      <c r="AG268" s="0" t="inlineStr">
        <is>
          <t>경상남도 창원시 진해구 자은로88번길 32</t>
        </is>
      </c>
      <c r="AH268" s="0" t="n">
        <v>0</v>
      </c>
      <c r="AI268" s="0" t="n">
        <v>234</v>
      </c>
      <c r="AJ268" s="0" t="n">
        <v>31</v>
      </c>
      <c r="AK268" s="0" t="n">
        <v>82</v>
      </c>
      <c r="AL268" s="0" t="n">
        <v>0.84</v>
      </c>
    </row>
    <row r="269">
      <c r="A269" s="0" t="inlineStr">
        <is>
          <t>[자은동]</t>
        </is>
      </c>
      <c r="B269" s="0" t="n">
        <v>137093</v>
      </c>
      <c r="C269" s="0" t="n">
        <v>3</v>
      </c>
      <c r="D269" s="0" t="inlineStr">
        <is>
          <t>중앙네이빌</t>
        </is>
      </c>
      <c r="E269" s="0" t="inlineStr">
        <is>
          <t>2004.07.</t>
        </is>
      </c>
      <c r="F269" s="0" t="n">
        <v>98</v>
      </c>
      <c r="G269" s="0" t="n">
        <v>27.06</v>
      </c>
      <c r="H269" s="0" t="n">
        <v>89.48</v>
      </c>
      <c r="I269" s="0" t="n">
        <v>21.39</v>
      </c>
      <c r="J269" s="0" t="n">
        <v>70.73</v>
      </c>
      <c r="K269" s="0" t="n">
        <v>40</v>
      </c>
      <c r="T269" s="0" t="n">
        <v>3</v>
      </c>
      <c r="U269" s="0" t="n">
        <v>2</v>
      </c>
      <c r="V269" s="0" t="inlineStr">
        <is>
          <t>계단식</t>
        </is>
      </c>
      <c r="W269" s="0" t="n">
        <v>89</v>
      </c>
      <c r="X269" s="0" t="n">
        <v>10</v>
      </c>
      <c r="Y269" s="0" t="n">
        <v>8</v>
      </c>
      <c r="Z269" s="0" t="inlineStr">
        <is>
          <t>https://new.land.naver.com/complexes/137093?tab=detail&amp;rf=Y</t>
        </is>
      </c>
      <c r="AA269" s="0" t="inlineStr">
        <is>
          <t>경상남도 창원시 진해구 자은동 383</t>
        </is>
      </c>
      <c r="AB269" s="0" t="inlineStr">
        <is>
          <t>경상남도</t>
        </is>
      </c>
      <c r="AC269" s="0" t="inlineStr">
        <is>
          <t>창원시</t>
        </is>
      </c>
      <c r="AD269" s="0" t="inlineStr">
        <is>
          <t>진해구</t>
        </is>
      </c>
      <c r="AE269" s="0" t="inlineStr">
        <is>
          <t>자은동</t>
        </is>
      </c>
      <c r="AG269" s="0" t="inlineStr">
        <is>
          <t>경상남도 창원시 진해구 자은로88번길 32</t>
        </is>
      </c>
      <c r="AH269" s="0" t="n">
        <v>0</v>
      </c>
      <c r="AI269" s="0" t="n">
        <v>234</v>
      </c>
      <c r="AJ269" s="0" t="n">
        <v>31</v>
      </c>
      <c r="AK269" s="0" t="n">
        <v>82</v>
      </c>
      <c r="AL269" s="0" t="n">
        <v>0.84</v>
      </c>
    </row>
    <row r="270">
      <c r="A270" s="0" t="inlineStr">
        <is>
          <t>[자은동]</t>
        </is>
      </c>
      <c r="B270" s="0" t="n">
        <v>106127</v>
      </c>
      <c r="C270" s="0" t="n">
        <v>1</v>
      </c>
      <c r="D270" s="0" t="inlineStr">
        <is>
          <t>자은프라임</t>
        </is>
      </c>
      <c r="E270" s="0" t="inlineStr">
        <is>
          <t>2015.05.</t>
        </is>
      </c>
      <c r="F270" s="0" t="n">
        <v>1298</v>
      </c>
      <c r="G270" s="0" t="n">
        <v>24.54</v>
      </c>
      <c r="H270" s="0" t="n">
        <v>81.14</v>
      </c>
      <c r="I270" s="0" t="n">
        <v>18.11</v>
      </c>
      <c r="J270" s="0" t="n">
        <v>59.9</v>
      </c>
      <c r="K270" s="0" t="n">
        <v>393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81A</t>
        </is>
      </c>
      <c r="X270" s="0" t="n">
        <v>25</v>
      </c>
      <c r="Y270" s="0" t="n">
        <v>12</v>
      </c>
      <c r="Z270" s="0" t="inlineStr">
        <is>
          <t>https://new.land.naver.com/complexes/106127?tab=detail&amp;rf=Y</t>
        </is>
      </c>
      <c r="AA270" s="0" t="inlineStr">
        <is>
          <t>경상남도 창원시 진해구 자은동 121</t>
        </is>
      </c>
      <c r="AB270" s="0" t="inlineStr">
        <is>
          <t>경상남도</t>
        </is>
      </c>
      <c r="AC270" s="0" t="inlineStr">
        <is>
          <t>창원시</t>
        </is>
      </c>
      <c r="AD270" s="0" t="inlineStr">
        <is>
          <t>진해구</t>
        </is>
      </c>
      <c r="AE270" s="0" t="inlineStr">
        <is>
          <t>자은동</t>
        </is>
      </c>
      <c r="AG270" s="0" t="inlineStr">
        <is>
          <t>경상남도 창원시 진해구 냉천로 257</t>
        </is>
      </c>
      <c r="AH270" s="0" t="n">
        <v>0</v>
      </c>
      <c r="AI270" s="0" t="n">
        <v>175</v>
      </c>
      <c r="AJ270" s="0" t="n">
        <v>15</v>
      </c>
      <c r="AK270" s="0" t="n">
        <v>1312</v>
      </c>
      <c r="AL270" s="0" t="n">
        <v>1.01</v>
      </c>
    </row>
    <row r="271">
      <c r="A271" s="0" t="inlineStr">
        <is>
          <t>[자은동]</t>
        </is>
      </c>
      <c r="B271" s="0" t="n">
        <v>106127</v>
      </c>
      <c r="C271" s="0" t="n">
        <v>2</v>
      </c>
      <c r="D271" s="0" t="inlineStr">
        <is>
          <t>자은프라임</t>
        </is>
      </c>
      <c r="E271" s="0" t="inlineStr">
        <is>
          <t>2015.05.</t>
        </is>
      </c>
      <c r="F271" s="0" t="n">
        <v>1298</v>
      </c>
      <c r="G271" s="0" t="n">
        <v>24.56</v>
      </c>
      <c r="H271" s="0" t="n">
        <v>81.22</v>
      </c>
      <c r="I271" s="0" t="n">
        <v>18.13</v>
      </c>
      <c r="J271" s="0" t="n">
        <v>59.96</v>
      </c>
      <c r="K271" s="0" t="n">
        <v>146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81C</t>
        </is>
      </c>
      <c r="X271" s="0" t="n">
        <v>25</v>
      </c>
      <c r="Y271" s="0" t="n">
        <v>12</v>
      </c>
      <c r="Z271" s="0" t="inlineStr">
        <is>
          <t>https://new.land.naver.com/complexes/106127?tab=detail&amp;rf=Y</t>
        </is>
      </c>
      <c r="AA271" s="0" t="inlineStr">
        <is>
          <t>경상남도 창원시 진해구 자은동 121</t>
        </is>
      </c>
      <c r="AB271" s="0" t="inlineStr">
        <is>
          <t>경상남도</t>
        </is>
      </c>
      <c r="AC271" s="0" t="inlineStr">
        <is>
          <t>창원시</t>
        </is>
      </c>
      <c r="AD271" s="0" t="inlineStr">
        <is>
          <t>진해구</t>
        </is>
      </c>
      <c r="AE271" s="0" t="inlineStr">
        <is>
          <t>자은동</t>
        </is>
      </c>
      <c r="AG271" s="0" t="inlineStr">
        <is>
          <t>경상남도 창원시 진해구 냉천로 257</t>
        </is>
      </c>
      <c r="AH271" s="0" t="n">
        <v>0</v>
      </c>
      <c r="AI271" s="0" t="n">
        <v>175</v>
      </c>
      <c r="AJ271" s="0" t="n">
        <v>15</v>
      </c>
      <c r="AK271" s="0" t="n">
        <v>1312</v>
      </c>
      <c r="AL271" s="0" t="n">
        <v>1.01</v>
      </c>
    </row>
    <row r="272">
      <c r="A272" s="0" t="inlineStr">
        <is>
          <t>[자은동]</t>
        </is>
      </c>
      <c r="B272" s="0" t="n">
        <v>106127</v>
      </c>
      <c r="C272" s="0" t="n">
        <v>3</v>
      </c>
      <c r="D272" s="0" t="inlineStr">
        <is>
          <t>자은프라임</t>
        </is>
      </c>
      <c r="E272" s="0" t="inlineStr">
        <is>
          <t>2015.05.</t>
        </is>
      </c>
      <c r="F272" s="0" t="n">
        <v>1298</v>
      </c>
      <c r="G272" s="0" t="n">
        <v>24.5</v>
      </c>
      <c r="H272" s="0" t="n">
        <v>81.02</v>
      </c>
      <c r="I272" s="0" t="n">
        <v>18.09</v>
      </c>
      <c r="J272" s="0" t="n">
        <v>59.81</v>
      </c>
      <c r="K272" s="0" t="n">
        <v>65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81B</t>
        </is>
      </c>
      <c r="X272" s="0" t="n">
        <v>25</v>
      </c>
      <c r="Y272" s="0" t="n">
        <v>12</v>
      </c>
      <c r="Z272" s="0" t="inlineStr">
        <is>
          <t>https://new.land.naver.com/complexes/106127?tab=detail&amp;rf=Y</t>
        </is>
      </c>
      <c r="AA272" s="0" t="inlineStr">
        <is>
          <t>경상남도 창원시 진해구 자은동 121</t>
        </is>
      </c>
      <c r="AB272" s="0" t="inlineStr">
        <is>
          <t>경상남도</t>
        </is>
      </c>
      <c r="AC272" s="0" t="inlineStr">
        <is>
          <t>창원시</t>
        </is>
      </c>
      <c r="AD272" s="0" t="inlineStr">
        <is>
          <t>진해구</t>
        </is>
      </c>
      <c r="AE272" s="0" t="inlineStr">
        <is>
          <t>자은동</t>
        </is>
      </c>
      <c r="AG272" s="0" t="inlineStr">
        <is>
          <t>경상남도 창원시 진해구 냉천로 257</t>
        </is>
      </c>
      <c r="AH272" s="0" t="n">
        <v>0</v>
      </c>
      <c r="AI272" s="0" t="n">
        <v>175</v>
      </c>
      <c r="AJ272" s="0" t="n">
        <v>15</v>
      </c>
      <c r="AK272" s="0" t="n">
        <v>1312</v>
      </c>
      <c r="AL272" s="0" t="n">
        <v>1.01</v>
      </c>
    </row>
    <row r="273">
      <c r="A273" s="0" t="inlineStr">
        <is>
          <t>[자은동]</t>
        </is>
      </c>
      <c r="B273" s="0" t="n">
        <v>106127</v>
      </c>
      <c r="C273" s="0" t="n">
        <v>4</v>
      </c>
      <c r="D273" s="0" t="inlineStr">
        <is>
          <t>자은프라임</t>
        </is>
      </c>
      <c r="E273" s="0" t="inlineStr">
        <is>
          <t>2015.05.</t>
        </is>
      </c>
      <c r="F273" s="0" t="n">
        <v>1298</v>
      </c>
      <c r="G273" s="0" t="n">
        <v>24.57</v>
      </c>
      <c r="H273" s="0" t="n">
        <v>81.25</v>
      </c>
      <c r="I273" s="0" t="n">
        <v>18.14</v>
      </c>
      <c r="J273" s="0" t="n">
        <v>59.98</v>
      </c>
      <c r="K273" s="0" t="n">
        <v>19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81D</t>
        </is>
      </c>
      <c r="X273" s="0" t="n">
        <v>25</v>
      </c>
      <c r="Y273" s="0" t="n">
        <v>12</v>
      </c>
      <c r="Z273" s="0" t="inlineStr">
        <is>
          <t>https://new.land.naver.com/complexes/106127?tab=detail&amp;rf=Y</t>
        </is>
      </c>
      <c r="AA273" s="0" t="inlineStr">
        <is>
          <t>경상남도 창원시 진해구 자은동 121</t>
        </is>
      </c>
      <c r="AB273" s="0" t="inlineStr">
        <is>
          <t>경상남도</t>
        </is>
      </c>
      <c r="AC273" s="0" t="inlineStr">
        <is>
          <t>창원시</t>
        </is>
      </c>
      <c r="AD273" s="0" t="inlineStr">
        <is>
          <t>진해구</t>
        </is>
      </c>
      <c r="AE273" s="0" t="inlineStr">
        <is>
          <t>자은동</t>
        </is>
      </c>
      <c r="AG273" s="0" t="inlineStr">
        <is>
          <t>경상남도 창원시 진해구 냉천로 257</t>
        </is>
      </c>
      <c r="AH273" s="0" t="n">
        <v>0</v>
      </c>
      <c r="AI273" s="0" t="n">
        <v>175</v>
      </c>
      <c r="AJ273" s="0" t="n">
        <v>15</v>
      </c>
      <c r="AK273" s="0" t="n">
        <v>1312</v>
      </c>
      <c r="AL273" s="0" t="n">
        <v>1.01</v>
      </c>
    </row>
    <row r="274">
      <c r="A274" s="0" t="inlineStr">
        <is>
          <t>[자은동]</t>
        </is>
      </c>
      <c r="B274" s="0" t="n">
        <v>106127</v>
      </c>
      <c r="C274" s="0" t="n">
        <v>5</v>
      </c>
      <c r="D274" s="0" t="inlineStr">
        <is>
          <t>자은프라임</t>
        </is>
      </c>
      <c r="E274" s="0" t="inlineStr">
        <is>
          <t>2015.05.</t>
        </is>
      </c>
      <c r="F274" s="0" t="n">
        <v>1298</v>
      </c>
      <c r="G274" s="0" t="n">
        <v>30.72</v>
      </c>
      <c r="H274" s="0" t="n">
        <v>101.56</v>
      </c>
      <c r="I274" s="0" t="n">
        <v>22.67</v>
      </c>
      <c r="J274" s="0" t="n">
        <v>74.97</v>
      </c>
      <c r="K274" s="0" t="n">
        <v>159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101A</t>
        </is>
      </c>
      <c r="X274" s="0" t="n">
        <v>25</v>
      </c>
      <c r="Y274" s="0" t="n">
        <v>12</v>
      </c>
      <c r="Z274" s="0" t="inlineStr">
        <is>
          <t>https://new.land.naver.com/complexes/106127?tab=detail&amp;rf=Y</t>
        </is>
      </c>
      <c r="AA274" s="0" t="inlineStr">
        <is>
          <t>경상남도 창원시 진해구 자은동 121</t>
        </is>
      </c>
      <c r="AB274" s="0" t="inlineStr">
        <is>
          <t>경상남도</t>
        </is>
      </c>
      <c r="AC274" s="0" t="inlineStr">
        <is>
          <t>창원시</t>
        </is>
      </c>
      <c r="AD274" s="0" t="inlineStr">
        <is>
          <t>진해구</t>
        </is>
      </c>
      <c r="AE274" s="0" t="inlineStr">
        <is>
          <t>자은동</t>
        </is>
      </c>
      <c r="AG274" s="0" t="inlineStr">
        <is>
          <t>경상남도 창원시 진해구 냉천로 257</t>
        </is>
      </c>
      <c r="AH274" s="0" t="n">
        <v>0</v>
      </c>
      <c r="AI274" s="0" t="n">
        <v>175</v>
      </c>
      <c r="AJ274" s="0" t="n">
        <v>15</v>
      </c>
      <c r="AK274" s="0" t="n">
        <v>1312</v>
      </c>
      <c r="AL274" s="0" t="n">
        <v>1.01</v>
      </c>
    </row>
    <row r="275">
      <c r="A275" s="0" t="inlineStr">
        <is>
          <t>[자은동]</t>
        </is>
      </c>
      <c r="B275" s="0" t="n">
        <v>106127</v>
      </c>
      <c r="C275" s="0" t="n">
        <v>6</v>
      </c>
      <c r="D275" s="0" t="inlineStr">
        <is>
          <t>자은프라임</t>
        </is>
      </c>
      <c r="E275" s="0" t="inlineStr">
        <is>
          <t>2015.05.</t>
        </is>
      </c>
      <c r="F275" s="0" t="n">
        <v>1298</v>
      </c>
      <c r="G275" s="0" t="n">
        <v>30.55</v>
      </c>
      <c r="H275" s="0" t="n">
        <v>101</v>
      </c>
      <c r="I275" s="0" t="n">
        <v>22.55</v>
      </c>
      <c r="J275" s="0" t="n">
        <v>74.56</v>
      </c>
      <c r="K275" s="0" t="n">
        <v>41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101B</t>
        </is>
      </c>
      <c r="X275" s="0" t="n">
        <v>25</v>
      </c>
      <c r="Y275" s="0" t="n">
        <v>12</v>
      </c>
      <c r="Z275" s="0" t="inlineStr">
        <is>
          <t>https://new.land.naver.com/complexes/106127?tab=detail&amp;rf=Y</t>
        </is>
      </c>
      <c r="AA275" s="0" t="inlineStr">
        <is>
          <t>경상남도 창원시 진해구 자은동 121</t>
        </is>
      </c>
      <c r="AB275" s="0" t="inlineStr">
        <is>
          <t>경상남도</t>
        </is>
      </c>
      <c r="AC275" s="0" t="inlineStr">
        <is>
          <t>창원시</t>
        </is>
      </c>
      <c r="AD275" s="0" t="inlineStr">
        <is>
          <t>진해구</t>
        </is>
      </c>
      <c r="AE275" s="0" t="inlineStr">
        <is>
          <t>자은동</t>
        </is>
      </c>
      <c r="AG275" s="0" t="inlineStr">
        <is>
          <t>경상남도 창원시 진해구 냉천로 257</t>
        </is>
      </c>
      <c r="AH275" s="0" t="n">
        <v>0</v>
      </c>
      <c r="AI275" s="0" t="n">
        <v>175</v>
      </c>
      <c r="AJ275" s="0" t="n">
        <v>15</v>
      </c>
      <c r="AK275" s="0" t="n">
        <v>1312</v>
      </c>
      <c r="AL275" s="0" t="n">
        <v>1.01</v>
      </c>
    </row>
    <row r="276">
      <c r="A276" s="0" t="inlineStr">
        <is>
          <t>[자은동]</t>
        </is>
      </c>
      <c r="B276" s="0" t="n">
        <v>106127</v>
      </c>
      <c r="C276" s="0" t="n">
        <v>7</v>
      </c>
      <c r="D276" s="0" t="inlineStr">
        <is>
          <t>자은프라임</t>
        </is>
      </c>
      <c r="E276" s="0" t="inlineStr">
        <is>
          <t>2015.05.</t>
        </is>
      </c>
      <c r="F276" s="0" t="n">
        <v>1298</v>
      </c>
      <c r="G276" s="0" t="n">
        <v>30.66</v>
      </c>
      <c r="H276" s="0" t="n">
        <v>101.37</v>
      </c>
      <c r="I276" s="0" t="n">
        <v>22.63</v>
      </c>
      <c r="J276" s="0" t="n">
        <v>74.83</v>
      </c>
      <c r="K276" s="0" t="n">
        <v>28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101C</t>
        </is>
      </c>
      <c r="X276" s="0" t="n">
        <v>25</v>
      </c>
      <c r="Y276" s="0" t="n">
        <v>12</v>
      </c>
      <c r="Z276" s="0" t="inlineStr">
        <is>
          <t>https://new.land.naver.com/complexes/106127?tab=detail&amp;rf=Y</t>
        </is>
      </c>
      <c r="AA276" s="0" t="inlineStr">
        <is>
          <t>경상남도 창원시 진해구 자은동 121</t>
        </is>
      </c>
      <c r="AB276" s="0" t="inlineStr">
        <is>
          <t>경상남도</t>
        </is>
      </c>
      <c r="AC276" s="0" t="inlineStr">
        <is>
          <t>창원시</t>
        </is>
      </c>
      <c r="AD276" s="0" t="inlineStr">
        <is>
          <t>진해구</t>
        </is>
      </c>
      <c r="AE276" s="0" t="inlineStr">
        <is>
          <t>자은동</t>
        </is>
      </c>
      <c r="AG276" s="0" t="inlineStr">
        <is>
          <t>경상남도 창원시 진해구 냉천로 257</t>
        </is>
      </c>
      <c r="AH276" s="0" t="n">
        <v>0</v>
      </c>
      <c r="AI276" s="0" t="n">
        <v>175</v>
      </c>
      <c r="AJ276" s="0" t="n">
        <v>15</v>
      </c>
      <c r="AK276" s="0" t="n">
        <v>1312</v>
      </c>
      <c r="AL276" s="0" t="n">
        <v>1.01</v>
      </c>
    </row>
    <row r="277">
      <c r="A277" s="0" t="inlineStr">
        <is>
          <t>[자은동]</t>
        </is>
      </c>
      <c r="B277" s="0" t="n">
        <v>106127</v>
      </c>
      <c r="C277" s="0" t="n">
        <v>8</v>
      </c>
      <c r="D277" s="0" t="inlineStr">
        <is>
          <t>자은프라임</t>
        </is>
      </c>
      <c r="E277" s="0" t="inlineStr">
        <is>
          <t>2015.05.</t>
        </is>
      </c>
      <c r="F277" s="0" t="n">
        <v>1298</v>
      </c>
      <c r="G277" s="0" t="n">
        <v>34.78</v>
      </c>
      <c r="H277" s="0" t="n">
        <v>114.99</v>
      </c>
      <c r="I277" s="0" t="n">
        <v>25.67</v>
      </c>
      <c r="J277" s="0" t="n">
        <v>84.89</v>
      </c>
      <c r="K277" s="0" t="n">
        <v>336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114A</t>
        </is>
      </c>
      <c r="X277" s="0" t="n">
        <v>25</v>
      </c>
      <c r="Y277" s="0" t="n">
        <v>12</v>
      </c>
      <c r="Z277" s="0" t="inlineStr">
        <is>
          <t>https://new.land.naver.com/complexes/106127?tab=detail&amp;rf=Y</t>
        </is>
      </c>
      <c r="AA277" s="0" t="inlineStr">
        <is>
          <t>경상남도 창원시 진해구 자은동 121</t>
        </is>
      </c>
      <c r="AB277" s="0" t="inlineStr">
        <is>
          <t>경상남도</t>
        </is>
      </c>
      <c r="AC277" s="0" t="inlineStr">
        <is>
          <t>창원시</t>
        </is>
      </c>
      <c r="AD277" s="0" t="inlineStr">
        <is>
          <t>진해구</t>
        </is>
      </c>
      <c r="AE277" s="0" t="inlineStr">
        <is>
          <t>자은동</t>
        </is>
      </c>
      <c r="AG277" s="0" t="inlineStr">
        <is>
          <t>경상남도 창원시 진해구 냉천로 257</t>
        </is>
      </c>
      <c r="AH277" s="0" t="n">
        <v>0</v>
      </c>
      <c r="AI277" s="0" t="n">
        <v>175</v>
      </c>
      <c r="AJ277" s="0" t="n">
        <v>15</v>
      </c>
      <c r="AK277" s="0" t="n">
        <v>1312</v>
      </c>
      <c r="AL277" s="0" t="n">
        <v>1.01</v>
      </c>
    </row>
    <row r="278">
      <c r="A278" s="0" t="inlineStr">
        <is>
          <t>[자은동]</t>
        </is>
      </c>
      <c r="B278" s="0" t="n">
        <v>106127</v>
      </c>
      <c r="C278" s="0" t="n">
        <v>9</v>
      </c>
      <c r="D278" s="0" t="inlineStr">
        <is>
          <t>자은프라임</t>
        </is>
      </c>
      <c r="E278" s="0" t="inlineStr">
        <is>
          <t>2015.05.</t>
        </is>
      </c>
      <c r="F278" s="0" t="n">
        <v>1298</v>
      </c>
      <c r="G278" s="0" t="n">
        <v>34.79</v>
      </c>
      <c r="H278" s="0" t="n">
        <v>115.02</v>
      </c>
      <c r="I278" s="0" t="n">
        <v>25.68</v>
      </c>
      <c r="J278" s="0" t="n">
        <v>84.91</v>
      </c>
      <c r="K278" s="0" t="n">
        <v>111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115B</t>
        </is>
      </c>
      <c r="X278" s="0" t="n">
        <v>25</v>
      </c>
      <c r="Y278" s="0" t="n">
        <v>12</v>
      </c>
      <c r="Z278" s="0" t="inlineStr">
        <is>
          <t>https://new.land.naver.com/complexes/106127?tab=detail&amp;rf=Y</t>
        </is>
      </c>
      <c r="AA278" s="0" t="inlineStr">
        <is>
          <t>경상남도 창원시 진해구 자은동 121</t>
        </is>
      </c>
      <c r="AB278" s="0" t="inlineStr">
        <is>
          <t>경상남도</t>
        </is>
      </c>
      <c r="AC278" s="0" t="inlineStr">
        <is>
          <t>창원시</t>
        </is>
      </c>
      <c r="AD278" s="0" t="inlineStr">
        <is>
          <t>진해구</t>
        </is>
      </c>
      <c r="AE278" s="0" t="inlineStr">
        <is>
          <t>자은동</t>
        </is>
      </c>
      <c r="AG278" s="0" t="inlineStr">
        <is>
          <t>경상남도 창원시 진해구 냉천로 257</t>
        </is>
      </c>
      <c r="AH278" s="0" t="n">
        <v>0</v>
      </c>
      <c r="AI278" s="0" t="n">
        <v>175</v>
      </c>
      <c r="AJ278" s="0" t="n">
        <v>15</v>
      </c>
      <c r="AK278" s="0" t="n">
        <v>1312</v>
      </c>
      <c r="AL278" s="0" t="n">
        <v>1.01</v>
      </c>
    </row>
    <row r="279">
      <c r="A279" s="0" t="inlineStr">
        <is>
          <t>[자은동]</t>
        </is>
      </c>
      <c r="B279" s="0" t="n">
        <v>135803</v>
      </c>
      <c r="C279" s="0" t="n">
        <v>1</v>
      </c>
      <c r="D279" s="0" t="inlineStr">
        <is>
          <t>자은솔라움</t>
        </is>
      </c>
      <c r="E279" s="0" t="inlineStr">
        <is>
          <t>2005.12.</t>
        </is>
      </c>
      <c r="F279" s="0" t="n">
        <v>57</v>
      </c>
      <c r="G279" s="0" t="n">
        <v>23.8</v>
      </c>
      <c r="H279" s="0" t="n">
        <v>78.70999999999999</v>
      </c>
      <c r="I279" s="0" t="n">
        <v>18.11</v>
      </c>
      <c r="J279" s="0" t="n">
        <v>59.9</v>
      </c>
      <c r="K279" s="0" t="n">
        <v>47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78</v>
      </c>
      <c r="X279" s="0" t="n">
        <v>11</v>
      </c>
      <c r="Y279" s="0" t="n">
        <v>11</v>
      </c>
      <c r="Z279" s="0" t="inlineStr">
        <is>
          <t>https://new.land.naver.com/complexes/135803?tab=detail&amp;rf=Y</t>
        </is>
      </c>
      <c r="AA279" s="0" t="inlineStr">
        <is>
          <t>경상남도 창원시 진해구 자은동 392</t>
        </is>
      </c>
      <c r="AB279" s="0" t="inlineStr">
        <is>
          <t>경상남도</t>
        </is>
      </c>
      <c r="AC279" s="0" t="inlineStr">
        <is>
          <t>창원시</t>
        </is>
      </c>
      <c r="AD279" s="0" t="inlineStr">
        <is>
          <t>진해구</t>
        </is>
      </c>
      <c r="AE279" s="0" t="inlineStr">
        <is>
          <t>자은동</t>
        </is>
      </c>
      <c r="AG279" s="0" t="inlineStr">
        <is>
          <t>경상남도 창원시 진해구 자은로88번길 42</t>
        </is>
      </c>
      <c r="AH279" s="0" t="n">
        <v>0</v>
      </c>
      <c r="AI279" s="0" t="n">
        <v>172</v>
      </c>
      <c r="AJ279" s="0" t="n">
        <v>19</v>
      </c>
      <c r="AK279" s="0" t="n">
        <v>48</v>
      </c>
      <c r="AL279" s="0" t="n">
        <v>0.84</v>
      </c>
    </row>
    <row r="280">
      <c r="A280" s="0" t="inlineStr">
        <is>
          <t>[자은동]</t>
        </is>
      </c>
      <c r="B280" s="0" t="n">
        <v>135803</v>
      </c>
      <c r="C280" s="0" t="n">
        <v>2</v>
      </c>
      <c r="D280" s="0" t="inlineStr">
        <is>
          <t>자은솔라움</t>
        </is>
      </c>
      <c r="E280" s="0" t="inlineStr">
        <is>
          <t>2005.12.</t>
        </is>
      </c>
      <c r="F280" s="0" t="n">
        <v>57</v>
      </c>
      <c r="G280" s="0" t="n">
        <v>27.34</v>
      </c>
      <c r="H280" s="0" t="n">
        <v>90.40000000000001</v>
      </c>
      <c r="I280" s="0" t="n">
        <v>20.79</v>
      </c>
      <c r="J280" s="0" t="n">
        <v>68.73999999999999</v>
      </c>
      <c r="K280" s="0" t="n">
        <v>10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90</v>
      </c>
      <c r="X280" s="0" t="n">
        <v>11</v>
      </c>
      <c r="Y280" s="0" t="n">
        <v>11</v>
      </c>
      <c r="Z280" s="0" t="inlineStr">
        <is>
          <t>https://new.land.naver.com/complexes/135803?tab=detail&amp;rf=Y</t>
        </is>
      </c>
      <c r="AA280" s="0" t="inlineStr">
        <is>
          <t>경상남도 창원시 진해구 자은동 392</t>
        </is>
      </c>
      <c r="AB280" s="0" t="inlineStr">
        <is>
          <t>경상남도</t>
        </is>
      </c>
      <c r="AC280" s="0" t="inlineStr">
        <is>
          <t>창원시</t>
        </is>
      </c>
      <c r="AD280" s="0" t="inlineStr">
        <is>
          <t>진해구</t>
        </is>
      </c>
      <c r="AE280" s="0" t="inlineStr">
        <is>
          <t>자은동</t>
        </is>
      </c>
      <c r="AG280" s="0" t="inlineStr">
        <is>
          <t>경상남도 창원시 진해구 자은로88번길 42</t>
        </is>
      </c>
      <c r="AH280" s="0" t="n">
        <v>0</v>
      </c>
      <c r="AI280" s="0" t="n">
        <v>172</v>
      </c>
      <c r="AJ280" s="0" t="n">
        <v>19</v>
      </c>
      <c r="AK280" s="0" t="n">
        <v>48</v>
      </c>
      <c r="AL280" s="0" t="n">
        <v>0.84</v>
      </c>
    </row>
    <row r="281">
      <c r="A281" s="0" t="inlineStr">
        <is>
          <t>[자은동]</t>
        </is>
      </c>
      <c r="B281" s="0" t="n">
        <v>7577</v>
      </c>
      <c r="C281" s="0" t="n">
        <v>1</v>
      </c>
      <c r="D281" s="0" t="inlineStr">
        <is>
          <t>성원</t>
        </is>
      </c>
      <c r="E281" s="0" t="inlineStr">
        <is>
          <t>1995.09.</t>
        </is>
      </c>
      <c r="F281" s="0" t="n">
        <v>650</v>
      </c>
      <c r="G281" s="0" t="n">
        <v>15.84</v>
      </c>
      <c r="H281" s="0" t="n">
        <v>52.39</v>
      </c>
      <c r="I281" s="0" t="n">
        <v>12.02</v>
      </c>
      <c r="J281" s="0" t="n">
        <v>39.75</v>
      </c>
      <c r="K281" s="0" t="n">
        <v>650</v>
      </c>
      <c r="T281" s="0" t="n">
        <v>2</v>
      </c>
      <c r="U281" s="0" t="n">
        <v>1</v>
      </c>
      <c r="V281" s="0" t="inlineStr">
        <is>
          <t>복도식</t>
        </is>
      </c>
      <c r="W281" s="0" t="n">
        <v>52</v>
      </c>
      <c r="X281" s="0" t="n">
        <v>5</v>
      </c>
      <c r="Y281" s="0" t="n">
        <v>5</v>
      </c>
      <c r="Z281" s="0" t="inlineStr">
        <is>
          <t>https://new.land.naver.com/complexes/7577?tab=detail&amp;rf=Y</t>
        </is>
      </c>
      <c r="AA281" s="0" t="inlineStr">
        <is>
          <t>경상남도 창원시 진해구 자은동 911</t>
        </is>
      </c>
      <c r="AB281" s="0" t="inlineStr">
        <is>
          <t>경상남도</t>
        </is>
      </c>
      <c r="AC281" s="0" t="inlineStr">
        <is>
          <t>창원시</t>
        </is>
      </c>
      <c r="AD281" s="0" t="inlineStr">
        <is>
          <t>진해구</t>
        </is>
      </c>
      <c r="AE281" s="0" t="inlineStr">
        <is>
          <t>자은동</t>
        </is>
      </c>
      <c r="AG281" s="0" t="inlineStr">
        <is>
          <t>경상남도 창원시 진해구 냉천로108번길 6</t>
        </is>
      </c>
      <c r="AH281" s="0" t="n">
        <v>0</v>
      </c>
      <c r="AI281" s="0" t="n">
        <v>109</v>
      </c>
      <c r="AJ281" s="0" t="n">
        <v>26</v>
      </c>
      <c r="AK281" s="0" t="n">
        <v>428</v>
      </c>
      <c r="AL281" s="0" t="n">
        <v>0.66</v>
      </c>
    </row>
    <row r="282">
      <c r="A282" s="0" t="inlineStr">
        <is>
          <t>[자은동]</t>
        </is>
      </c>
      <c r="B282" s="0" t="n">
        <v>110474</v>
      </c>
      <c r="C282" s="0" t="n">
        <v>1</v>
      </c>
      <c r="D282" s="0" t="inlineStr">
        <is>
          <t>창원자은에일린의뜰</t>
        </is>
      </c>
      <c r="E282" s="0" t="inlineStr">
        <is>
          <t>2017.10.</t>
        </is>
      </c>
      <c r="F282" s="0" t="n">
        <v>520</v>
      </c>
      <c r="G282" s="0" t="n">
        <v>33.53</v>
      </c>
      <c r="H282" s="0" t="n">
        <v>110.85</v>
      </c>
      <c r="I282" s="0" t="n">
        <v>25.69</v>
      </c>
      <c r="J282" s="0" t="n">
        <v>84.94</v>
      </c>
      <c r="K282" s="0" t="n">
        <v>224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110A</t>
        </is>
      </c>
      <c r="X282" s="0" t="n">
        <v>22</v>
      </c>
      <c r="Y282" s="0" t="n">
        <v>12</v>
      </c>
      <c r="Z282" s="0" t="inlineStr">
        <is>
          <t>https://new.land.naver.com/complexes/110474?tab=detail&amp;rf=Y</t>
        </is>
      </c>
      <c r="AA282" s="0" t="inlineStr">
        <is>
          <t>경상남도 창원시 진해구 자은동 114</t>
        </is>
      </c>
      <c r="AB282" s="0" t="inlineStr">
        <is>
          <t>경상남도</t>
        </is>
      </c>
      <c r="AC282" s="0" t="inlineStr">
        <is>
          <t>창원시</t>
        </is>
      </c>
      <c r="AD282" s="0" t="inlineStr">
        <is>
          <t>진해구</t>
        </is>
      </c>
      <c r="AE282" s="0" t="inlineStr">
        <is>
          <t>자은동</t>
        </is>
      </c>
      <c r="AG282" s="0" t="inlineStr">
        <is>
          <t>경상남도 창원시 진해구 냉천로 235</t>
        </is>
      </c>
      <c r="AH282" s="0" t="n">
        <v>0</v>
      </c>
      <c r="AI282" s="0" t="n">
        <v>139</v>
      </c>
      <c r="AJ282" s="0" t="n">
        <v>13</v>
      </c>
      <c r="AK282" s="0" t="n">
        <v>665</v>
      </c>
      <c r="AL282" s="0" t="n">
        <v>1.28</v>
      </c>
    </row>
    <row r="283">
      <c r="A283" s="0" t="inlineStr">
        <is>
          <t>[자은동]</t>
        </is>
      </c>
      <c r="B283" s="0" t="n">
        <v>110474</v>
      </c>
      <c r="C283" s="0" t="n">
        <v>2</v>
      </c>
      <c r="D283" s="0" t="inlineStr">
        <is>
          <t>창원자은에일린의뜰</t>
        </is>
      </c>
      <c r="E283" s="0" t="inlineStr">
        <is>
          <t>2017.10.</t>
        </is>
      </c>
      <c r="F283" s="0" t="n">
        <v>520</v>
      </c>
      <c r="G283" s="0" t="n">
        <v>33.57</v>
      </c>
      <c r="H283" s="0" t="n">
        <v>110.98</v>
      </c>
      <c r="I283" s="0" t="n">
        <v>25.7</v>
      </c>
      <c r="J283" s="0" t="n">
        <v>84.98</v>
      </c>
      <c r="K283" s="0" t="n">
        <v>18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110C</t>
        </is>
      </c>
      <c r="X283" s="0" t="n">
        <v>22</v>
      </c>
      <c r="Y283" s="0" t="n">
        <v>12</v>
      </c>
      <c r="Z283" s="0" t="inlineStr">
        <is>
          <t>https://new.land.naver.com/complexes/110474?tab=detail&amp;rf=Y</t>
        </is>
      </c>
      <c r="AA283" s="0" t="inlineStr">
        <is>
          <t>경상남도 창원시 진해구 자은동 114</t>
        </is>
      </c>
      <c r="AB283" s="0" t="inlineStr">
        <is>
          <t>경상남도</t>
        </is>
      </c>
      <c r="AC283" s="0" t="inlineStr">
        <is>
          <t>창원시</t>
        </is>
      </c>
      <c r="AD283" s="0" t="inlineStr">
        <is>
          <t>진해구</t>
        </is>
      </c>
      <c r="AE283" s="0" t="inlineStr">
        <is>
          <t>자은동</t>
        </is>
      </c>
      <c r="AG283" s="0" t="inlineStr">
        <is>
          <t>경상남도 창원시 진해구 냉천로 235</t>
        </is>
      </c>
      <c r="AH283" s="0" t="n">
        <v>0</v>
      </c>
      <c r="AI283" s="0" t="n">
        <v>139</v>
      </c>
      <c r="AJ283" s="0" t="n">
        <v>13</v>
      </c>
      <c r="AK283" s="0" t="n">
        <v>665</v>
      </c>
      <c r="AL283" s="0" t="n">
        <v>1.28</v>
      </c>
    </row>
    <row r="284">
      <c r="A284" s="0" t="inlineStr">
        <is>
          <t>[자은동]</t>
        </is>
      </c>
      <c r="B284" s="0" t="n">
        <v>110474</v>
      </c>
      <c r="C284" s="0" t="n">
        <v>3</v>
      </c>
      <c r="D284" s="0" t="inlineStr">
        <is>
          <t>창원자은에일린의뜰</t>
        </is>
      </c>
      <c r="E284" s="0" t="inlineStr">
        <is>
          <t>2017.10.</t>
        </is>
      </c>
      <c r="F284" s="0" t="n">
        <v>520</v>
      </c>
      <c r="G284" s="0" t="n">
        <v>33.68</v>
      </c>
      <c r="H284" s="0" t="n">
        <v>111.36</v>
      </c>
      <c r="I284" s="0" t="n">
        <v>25.66</v>
      </c>
      <c r="J284" s="0" t="n">
        <v>84.84</v>
      </c>
      <c r="K284" s="0" t="n">
        <v>48</v>
      </c>
      <c r="T284" s="0" t="n">
        <v>4</v>
      </c>
      <c r="U284" s="0" t="n">
        <v>2</v>
      </c>
      <c r="V284" s="0" t="inlineStr">
        <is>
          <t>계단식</t>
        </is>
      </c>
      <c r="W284" s="0" t="inlineStr">
        <is>
          <t>111B</t>
        </is>
      </c>
      <c r="X284" s="0" t="n">
        <v>22</v>
      </c>
      <c r="Y284" s="0" t="n">
        <v>12</v>
      </c>
      <c r="Z284" s="0" t="inlineStr">
        <is>
          <t>https://new.land.naver.com/complexes/110474?tab=detail&amp;rf=Y</t>
        </is>
      </c>
      <c r="AA284" s="0" t="inlineStr">
        <is>
          <t>경상남도 창원시 진해구 자은동 114</t>
        </is>
      </c>
      <c r="AB284" s="0" t="inlineStr">
        <is>
          <t>경상남도</t>
        </is>
      </c>
      <c r="AC284" s="0" t="inlineStr">
        <is>
          <t>창원시</t>
        </is>
      </c>
      <c r="AD284" s="0" t="inlineStr">
        <is>
          <t>진해구</t>
        </is>
      </c>
      <c r="AE284" s="0" t="inlineStr">
        <is>
          <t>자은동</t>
        </is>
      </c>
      <c r="AG284" s="0" t="inlineStr">
        <is>
          <t>경상남도 창원시 진해구 냉천로 235</t>
        </is>
      </c>
      <c r="AH284" s="0" t="n">
        <v>0</v>
      </c>
      <c r="AI284" s="0" t="n">
        <v>139</v>
      </c>
      <c r="AJ284" s="0" t="n">
        <v>13</v>
      </c>
      <c r="AK284" s="0" t="n">
        <v>665</v>
      </c>
      <c r="AL284" s="0" t="n">
        <v>1.28</v>
      </c>
    </row>
    <row r="285">
      <c r="A285" s="0" t="inlineStr">
        <is>
          <t>[자은동]</t>
        </is>
      </c>
      <c r="B285" s="0" t="n">
        <v>110474</v>
      </c>
      <c r="C285" s="0" t="n">
        <v>4</v>
      </c>
      <c r="D285" s="0" t="inlineStr">
        <is>
          <t>창원자은에일린의뜰</t>
        </is>
      </c>
      <c r="E285" s="0" t="inlineStr">
        <is>
          <t>2017.10.</t>
        </is>
      </c>
      <c r="F285" s="0" t="n">
        <v>520</v>
      </c>
      <c r="G285" s="0" t="n">
        <v>39.93</v>
      </c>
      <c r="H285" s="0" t="n">
        <v>132.01</v>
      </c>
      <c r="I285" s="0" t="n">
        <v>30.71</v>
      </c>
      <c r="J285" s="0" t="n">
        <v>101.54</v>
      </c>
      <c r="K285" s="0" t="n">
        <v>103</v>
      </c>
      <c r="T285" s="0" t="n">
        <v>4</v>
      </c>
      <c r="U285" s="0" t="n">
        <v>2</v>
      </c>
      <c r="V285" s="0" t="inlineStr">
        <is>
          <t>계단식</t>
        </is>
      </c>
      <c r="W285" s="0" t="inlineStr">
        <is>
          <t>132A</t>
        </is>
      </c>
      <c r="X285" s="0" t="n">
        <v>22</v>
      </c>
      <c r="Y285" s="0" t="n">
        <v>12</v>
      </c>
      <c r="Z285" s="0" t="inlineStr">
        <is>
          <t>https://new.land.naver.com/complexes/110474?tab=detail&amp;rf=Y</t>
        </is>
      </c>
      <c r="AA285" s="0" t="inlineStr">
        <is>
          <t>경상남도 창원시 진해구 자은동 114</t>
        </is>
      </c>
      <c r="AB285" s="0" t="inlineStr">
        <is>
          <t>경상남도</t>
        </is>
      </c>
      <c r="AC285" s="0" t="inlineStr">
        <is>
          <t>창원시</t>
        </is>
      </c>
      <c r="AD285" s="0" t="inlineStr">
        <is>
          <t>진해구</t>
        </is>
      </c>
      <c r="AE285" s="0" t="inlineStr">
        <is>
          <t>자은동</t>
        </is>
      </c>
      <c r="AG285" s="0" t="inlineStr">
        <is>
          <t>경상남도 창원시 진해구 냉천로 235</t>
        </is>
      </c>
      <c r="AH285" s="0" t="n">
        <v>0</v>
      </c>
      <c r="AI285" s="0" t="n">
        <v>139</v>
      </c>
      <c r="AJ285" s="0" t="n">
        <v>13</v>
      </c>
      <c r="AK285" s="0" t="n">
        <v>665</v>
      </c>
      <c r="AL285" s="0" t="n">
        <v>1.28</v>
      </c>
    </row>
    <row r="286">
      <c r="A286" s="0" t="inlineStr">
        <is>
          <t>[자은동]</t>
        </is>
      </c>
      <c r="B286" s="0" t="n">
        <v>110474</v>
      </c>
      <c r="C286" s="0" t="n">
        <v>5</v>
      </c>
      <c r="D286" s="0" t="inlineStr">
        <is>
          <t>창원자은에일린의뜰</t>
        </is>
      </c>
      <c r="E286" s="0" t="inlineStr">
        <is>
          <t>2017.10.</t>
        </is>
      </c>
      <c r="F286" s="0" t="n">
        <v>520</v>
      </c>
      <c r="G286" s="0" t="n">
        <v>39.93</v>
      </c>
      <c r="H286" s="0" t="n">
        <v>132.03</v>
      </c>
      <c r="I286" s="0" t="n">
        <v>30.65</v>
      </c>
      <c r="J286" s="0" t="n">
        <v>101.34</v>
      </c>
      <c r="K286" s="0" t="n">
        <v>41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132B</t>
        </is>
      </c>
      <c r="X286" s="0" t="n">
        <v>22</v>
      </c>
      <c r="Y286" s="0" t="n">
        <v>12</v>
      </c>
      <c r="Z286" s="0" t="inlineStr">
        <is>
          <t>https://new.land.naver.com/complexes/110474?tab=detail&amp;rf=Y</t>
        </is>
      </c>
      <c r="AA286" s="0" t="inlineStr">
        <is>
          <t>경상남도 창원시 진해구 자은동 114</t>
        </is>
      </c>
      <c r="AB286" s="0" t="inlineStr">
        <is>
          <t>경상남도</t>
        </is>
      </c>
      <c r="AC286" s="0" t="inlineStr">
        <is>
          <t>창원시</t>
        </is>
      </c>
      <c r="AD286" s="0" t="inlineStr">
        <is>
          <t>진해구</t>
        </is>
      </c>
      <c r="AE286" s="0" t="inlineStr">
        <is>
          <t>자은동</t>
        </is>
      </c>
      <c r="AG286" s="0" t="inlineStr">
        <is>
          <t>경상남도 창원시 진해구 냉천로 235</t>
        </is>
      </c>
      <c r="AH286" s="0" t="n">
        <v>0</v>
      </c>
      <c r="AI286" s="0" t="n">
        <v>139</v>
      </c>
      <c r="AJ286" s="0" t="n">
        <v>13</v>
      </c>
      <c r="AK286" s="0" t="n">
        <v>665</v>
      </c>
      <c r="AL286" s="0" t="n">
        <v>1.28</v>
      </c>
    </row>
    <row r="287">
      <c r="A287" s="0" t="inlineStr">
        <is>
          <t>[자은동]</t>
        </is>
      </c>
      <c r="B287" s="0" t="n">
        <v>110474</v>
      </c>
      <c r="C287" s="0" t="n">
        <v>6</v>
      </c>
      <c r="D287" s="0" t="inlineStr">
        <is>
          <t>창원자은에일린의뜰</t>
        </is>
      </c>
      <c r="E287" s="0" t="inlineStr">
        <is>
          <t>2017.10.</t>
        </is>
      </c>
      <c r="F287" s="0" t="n">
        <v>520</v>
      </c>
      <c r="G287" s="0" t="n">
        <v>44.99</v>
      </c>
      <c r="H287" s="0" t="n">
        <v>148.75</v>
      </c>
      <c r="I287" s="0" t="n">
        <v>34.72</v>
      </c>
      <c r="J287" s="0" t="n">
        <v>114.79</v>
      </c>
      <c r="K287" s="0" t="n">
        <v>86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148</v>
      </c>
      <c r="X287" s="0" t="n">
        <v>22</v>
      </c>
      <c r="Y287" s="0" t="n">
        <v>12</v>
      </c>
      <c r="Z287" s="0" t="inlineStr">
        <is>
          <t>https://new.land.naver.com/complexes/110474?tab=detail&amp;rf=Y</t>
        </is>
      </c>
      <c r="AA287" s="0" t="inlineStr">
        <is>
          <t>경상남도 창원시 진해구 자은동 114</t>
        </is>
      </c>
      <c r="AB287" s="0" t="inlineStr">
        <is>
          <t>경상남도</t>
        </is>
      </c>
      <c r="AC287" s="0" t="inlineStr">
        <is>
          <t>창원시</t>
        </is>
      </c>
      <c r="AD287" s="0" t="inlineStr">
        <is>
          <t>진해구</t>
        </is>
      </c>
      <c r="AE287" s="0" t="inlineStr">
        <is>
          <t>자은동</t>
        </is>
      </c>
      <c r="AG287" s="0" t="inlineStr">
        <is>
          <t>경상남도 창원시 진해구 냉천로 235</t>
        </is>
      </c>
      <c r="AH287" s="0" t="n">
        <v>0</v>
      </c>
      <c r="AI287" s="0" t="n">
        <v>139</v>
      </c>
      <c r="AJ287" s="0" t="n">
        <v>13</v>
      </c>
      <c r="AK287" s="0" t="n">
        <v>665</v>
      </c>
      <c r="AL287" s="0" t="n">
        <v>1.28</v>
      </c>
    </row>
    <row r="288">
      <c r="A288" s="0" t="inlineStr">
        <is>
          <t>[자은동]</t>
        </is>
      </c>
      <c r="B288" s="0" t="n">
        <v>7573</v>
      </c>
      <c r="C288" s="0" t="n">
        <v>1</v>
      </c>
      <c r="D288" s="0" t="inlineStr">
        <is>
          <t>대동빌라트1단지</t>
        </is>
      </c>
      <c r="E288" s="0" t="inlineStr">
        <is>
          <t>1996.12.</t>
        </is>
      </c>
      <c r="F288" s="0" t="n">
        <v>299</v>
      </c>
      <c r="G288" s="0" t="n">
        <v>31.45</v>
      </c>
      <c r="H288" s="0" t="n">
        <v>103.99</v>
      </c>
      <c r="I288" s="0" t="n">
        <v>25.68</v>
      </c>
      <c r="J288" s="0" t="n">
        <v>84.90000000000001</v>
      </c>
      <c r="K288" s="0" t="n">
        <v>251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103</v>
      </c>
      <c r="X288" s="0" t="n">
        <v>6</v>
      </c>
      <c r="Y288" s="0" t="n">
        <v>6</v>
      </c>
      <c r="Z288" s="0" t="inlineStr">
        <is>
          <t>https://new.land.naver.com/complexes/7573?tab=detail&amp;rf=Y</t>
        </is>
      </c>
      <c r="AA288" s="0" t="inlineStr">
        <is>
          <t>경상남도 창원시 진해구 자은동 910</t>
        </is>
      </c>
      <c r="AB288" s="0" t="inlineStr">
        <is>
          <t>경상남도</t>
        </is>
      </c>
      <c r="AC288" s="0" t="inlineStr">
        <is>
          <t>창원시</t>
        </is>
      </c>
      <c r="AD288" s="0" t="inlineStr">
        <is>
          <t>진해구</t>
        </is>
      </c>
      <c r="AE288" s="0" t="inlineStr">
        <is>
          <t>자은동</t>
        </is>
      </c>
      <c r="AG288" s="0" t="inlineStr">
        <is>
          <t>경상남도 창원시 진해구 냉천로 88</t>
        </is>
      </c>
      <c r="AH288" s="0" t="n">
        <v>0</v>
      </c>
      <c r="AI288" s="0" t="n">
        <v>107</v>
      </c>
      <c r="AJ288" s="0" t="n">
        <v>21</v>
      </c>
      <c r="AK288" s="0" t="n">
        <v>0</v>
      </c>
      <c r="AL288" s="0" t="n">
        <v>0</v>
      </c>
    </row>
    <row r="289">
      <c r="A289" s="0" t="inlineStr">
        <is>
          <t>[자은동]</t>
        </is>
      </c>
      <c r="B289" s="0" t="n">
        <v>7573</v>
      </c>
      <c r="C289" s="0" t="n">
        <v>2</v>
      </c>
      <c r="D289" s="0" t="inlineStr">
        <is>
          <t>대동빌라트1단지</t>
        </is>
      </c>
      <c r="E289" s="0" t="inlineStr">
        <is>
          <t>1996.12.</t>
        </is>
      </c>
      <c r="F289" s="0" t="n">
        <v>299</v>
      </c>
      <c r="G289" s="0" t="n">
        <v>48.57</v>
      </c>
      <c r="H289" s="0" t="n">
        <v>160.59</v>
      </c>
      <c r="I289" s="0" t="n">
        <v>39.43</v>
      </c>
      <c r="J289" s="0" t="n">
        <v>130.35</v>
      </c>
      <c r="K289" s="0" t="n">
        <v>48</v>
      </c>
      <c r="T289" s="0" t="n">
        <v>4</v>
      </c>
      <c r="U289" s="0" t="n">
        <v>2</v>
      </c>
      <c r="V289" s="0" t="inlineStr">
        <is>
          <t>계단식</t>
        </is>
      </c>
      <c r="W289" s="0" t="n">
        <v>160</v>
      </c>
      <c r="X289" s="0" t="n">
        <v>6</v>
      </c>
      <c r="Y289" s="0" t="n">
        <v>6</v>
      </c>
      <c r="Z289" s="0" t="inlineStr">
        <is>
          <t>https://new.land.naver.com/complexes/7573?tab=detail&amp;rf=Y</t>
        </is>
      </c>
      <c r="AA289" s="0" t="inlineStr">
        <is>
          <t>경상남도 창원시 진해구 자은동 910</t>
        </is>
      </c>
      <c r="AB289" s="0" t="inlineStr">
        <is>
          <t>경상남도</t>
        </is>
      </c>
      <c r="AC289" s="0" t="inlineStr">
        <is>
          <t>창원시</t>
        </is>
      </c>
      <c r="AD289" s="0" t="inlineStr">
        <is>
          <t>진해구</t>
        </is>
      </c>
      <c r="AE289" s="0" t="inlineStr">
        <is>
          <t>자은동</t>
        </is>
      </c>
      <c r="AG289" s="0" t="inlineStr">
        <is>
          <t>경상남도 창원시 진해구 냉천로 88</t>
        </is>
      </c>
      <c r="AH289" s="0" t="n">
        <v>0</v>
      </c>
      <c r="AI289" s="0" t="n">
        <v>107</v>
      </c>
      <c r="AJ289" s="0" t="n">
        <v>21</v>
      </c>
      <c r="AK289" s="0" t="n">
        <v>0</v>
      </c>
      <c r="AL289" s="0" t="n">
        <v>0</v>
      </c>
    </row>
    <row r="290">
      <c r="A290" s="0" t="inlineStr">
        <is>
          <t>[자은동]</t>
        </is>
      </c>
      <c r="B290" s="0" t="n">
        <v>7579</v>
      </c>
      <c r="C290" s="0" t="n">
        <v>1</v>
      </c>
      <c r="D290" s="0" t="inlineStr">
        <is>
          <t>진해자은벚꽃주공</t>
        </is>
      </c>
      <c r="E290" s="0" t="inlineStr">
        <is>
          <t>2000.08.</t>
        </is>
      </c>
      <c r="F290" s="0" t="n">
        <v>600</v>
      </c>
      <c r="G290" s="0" t="n">
        <v>24.2</v>
      </c>
      <c r="H290" s="0" t="n">
        <v>80.03</v>
      </c>
      <c r="I290" s="0" t="n">
        <v>18.06</v>
      </c>
      <c r="J290" s="0" t="n">
        <v>59.71</v>
      </c>
      <c r="K290" s="0" t="n">
        <v>216</v>
      </c>
      <c r="T290" s="0" t="n">
        <v>3</v>
      </c>
      <c r="U290" s="0" t="n">
        <v>1</v>
      </c>
      <c r="V290" s="0" t="inlineStr">
        <is>
          <t>계단식</t>
        </is>
      </c>
      <c r="W290" s="0" t="inlineStr">
        <is>
          <t>80A</t>
        </is>
      </c>
      <c r="X290" s="0" t="n">
        <v>9</v>
      </c>
      <c r="Y290" s="0" t="n">
        <v>8</v>
      </c>
      <c r="Z290" s="0" t="inlineStr">
        <is>
          <t>https://new.land.naver.com/complexes/7579?tab=detail&amp;rf=Y</t>
        </is>
      </c>
      <c r="AA290" s="0" t="inlineStr">
        <is>
          <t>경상남도 창원시 진해구 자은동 834-1</t>
        </is>
      </c>
      <c r="AB290" s="0" t="inlineStr">
        <is>
          <t>경상남도</t>
        </is>
      </c>
      <c r="AC290" s="0" t="inlineStr">
        <is>
          <t>창원시</t>
        </is>
      </c>
      <c r="AD290" s="0" t="inlineStr">
        <is>
          <t>진해구</t>
        </is>
      </c>
      <c r="AE290" s="0" t="inlineStr">
        <is>
          <t>자은동</t>
        </is>
      </c>
      <c r="AG290" s="0" t="inlineStr">
        <is>
          <t>경상남도 창원시 진해구 진해대로921번길 10</t>
        </is>
      </c>
      <c r="AH290" s="0" t="n">
        <v>0</v>
      </c>
      <c r="AI290" s="0" t="n">
        <v>129</v>
      </c>
      <c r="AJ290" s="0" t="n">
        <v>20</v>
      </c>
      <c r="AK290" s="0" t="n">
        <v>537</v>
      </c>
      <c r="AL290" s="0" t="n">
        <v>0.9</v>
      </c>
    </row>
    <row r="291">
      <c r="A291" s="0" t="inlineStr">
        <is>
          <t>[자은동]</t>
        </is>
      </c>
      <c r="B291" s="0" t="n">
        <v>7579</v>
      </c>
      <c r="C291" s="0" t="n">
        <v>2</v>
      </c>
      <c r="D291" s="0" t="inlineStr">
        <is>
          <t>진해자은벚꽃주공</t>
        </is>
      </c>
      <c r="E291" s="0" t="inlineStr">
        <is>
          <t>2000.08.</t>
        </is>
      </c>
      <c r="F291" s="0" t="n">
        <v>600</v>
      </c>
      <c r="G291" s="0" t="n">
        <v>24.31</v>
      </c>
      <c r="H291" s="0" t="n">
        <v>80.38</v>
      </c>
      <c r="I291" s="0" t="n">
        <v>18.14</v>
      </c>
      <c r="J291" s="0" t="n">
        <v>59.97</v>
      </c>
      <c r="K291" s="0" t="n">
        <v>24</v>
      </c>
      <c r="T291" s="0" t="n">
        <v>3</v>
      </c>
      <c r="U291" s="0" t="n">
        <v>1</v>
      </c>
      <c r="V291" s="0" t="inlineStr">
        <is>
          <t>계단식</t>
        </is>
      </c>
      <c r="W291" s="0" t="inlineStr">
        <is>
          <t>80B</t>
        </is>
      </c>
      <c r="X291" s="0" t="n">
        <v>9</v>
      </c>
      <c r="Y291" s="0" t="n">
        <v>8</v>
      </c>
      <c r="Z291" s="0" t="inlineStr">
        <is>
          <t>https://new.land.naver.com/complexes/7579?tab=detail&amp;rf=Y</t>
        </is>
      </c>
      <c r="AA291" s="0" t="inlineStr">
        <is>
          <t>경상남도 창원시 진해구 자은동 834-1</t>
        </is>
      </c>
      <c r="AB291" s="0" t="inlineStr">
        <is>
          <t>경상남도</t>
        </is>
      </c>
      <c r="AC291" s="0" t="inlineStr">
        <is>
          <t>창원시</t>
        </is>
      </c>
      <c r="AD291" s="0" t="inlineStr">
        <is>
          <t>진해구</t>
        </is>
      </c>
      <c r="AE291" s="0" t="inlineStr">
        <is>
          <t>자은동</t>
        </is>
      </c>
      <c r="AG291" s="0" t="inlineStr">
        <is>
          <t>경상남도 창원시 진해구 진해대로921번길 10</t>
        </is>
      </c>
      <c r="AH291" s="0" t="n">
        <v>0</v>
      </c>
      <c r="AI291" s="0" t="n">
        <v>129</v>
      </c>
      <c r="AJ291" s="0" t="n">
        <v>20</v>
      </c>
      <c r="AK291" s="0" t="n">
        <v>537</v>
      </c>
      <c r="AL291" s="0" t="n">
        <v>0.9</v>
      </c>
    </row>
    <row r="292">
      <c r="A292" s="0" t="inlineStr">
        <is>
          <t>[자은동]</t>
        </is>
      </c>
      <c r="B292" s="0" t="n">
        <v>7579</v>
      </c>
      <c r="C292" s="0" t="n">
        <v>3</v>
      </c>
      <c r="D292" s="0" t="inlineStr">
        <is>
          <t>진해자은벚꽃주공</t>
        </is>
      </c>
      <c r="E292" s="0" t="inlineStr">
        <is>
          <t>2000.08.</t>
        </is>
      </c>
      <c r="F292" s="0" t="n">
        <v>600</v>
      </c>
      <c r="G292" s="0" t="n">
        <v>30.64</v>
      </c>
      <c r="H292" s="0" t="n">
        <v>101.29</v>
      </c>
      <c r="I292" s="0" t="n">
        <v>22.85</v>
      </c>
      <c r="J292" s="0" t="n">
        <v>75.56999999999999</v>
      </c>
      <c r="K292" s="0" t="n">
        <v>72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101A</t>
        </is>
      </c>
      <c r="X292" s="0" t="n">
        <v>9</v>
      </c>
      <c r="Y292" s="0" t="n">
        <v>8</v>
      </c>
      <c r="Z292" s="0" t="inlineStr">
        <is>
          <t>https://new.land.naver.com/complexes/7579?tab=detail&amp;rf=Y</t>
        </is>
      </c>
      <c r="AA292" s="0" t="inlineStr">
        <is>
          <t>경상남도 창원시 진해구 자은동 834-1</t>
        </is>
      </c>
      <c r="AB292" s="0" t="inlineStr">
        <is>
          <t>경상남도</t>
        </is>
      </c>
      <c r="AC292" s="0" t="inlineStr">
        <is>
          <t>창원시</t>
        </is>
      </c>
      <c r="AD292" s="0" t="inlineStr">
        <is>
          <t>진해구</t>
        </is>
      </c>
      <c r="AE292" s="0" t="inlineStr">
        <is>
          <t>자은동</t>
        </is>
      </c>
      <c r="AG292" s="0" t="inlineStr">
        <is>
          <t>경상남도 창원시 진해구 진해대로921번길 10</t>
        </is>
      </c>
      <c r="AH292" s="0" t="n">
        <v>0</v>
      </c>
      <c r="AI292" s="0" t="n">
        <v>129</v>
      </c>
      <c r="AJ292" s="0" t="n">
        <v>20</v>
      </c>
      <c r="AK292" s="0" t="n">
        <v>537</v>
      </c>
      <c r="AL292" s="0" t="n">
        <v>0.9</v>
      </c>
    </row>
    <row r="293">
      <c r="A293" s="0" t="inlineStr">
        <is>
          <t>[자은동]</t>
        </is>
      </c>
      <c r="B293" s="0" t="n">
        <v>7579</v>
      </c>
      <c r="C293" s="0" t="n">
        <v>4</v>
      </c>
      <c r="D293" s="0" t="inlineStr">
        <is>
          <t>진해자은벚꽃주공</t>
        </is>
      </c>
      <c r="E293" s="0" t="inlineStr">
        <is>
          <t>2000.08.</t>
        </is>
      </c>
      <c r="F293" s="0" t="n">
        <v>600</v>
      </c>
      <c r="G293" s="0" t="n">
        <v>30.65</v>
      </c>
      <c r="H293" s="0" t="n">
        <v>101.33</v>
      </c>
      <c r="I293" s="0" t="n">
        <v>22.86</v>
      </c>
      <c r="J293" s="0" t="n">
        <v>75.59999999999999</v>
      </c>
      <c r="K293" s="0" t="n">
        <v>60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101B</t>
        </is>
      </c>
      <c r="X293" s="0" t="n">
        <v>9</v>
      </c>
      <c r="Y293" s="0" t="n">
        <v>8</v>
      </c>
      <c r="Z293" s="0" t="inlineStr">
        <is>
          <t>https://new.land.naver.com/complexes/7579?tab=detail&amp;rf=Y</t>
        </is>
      </c>
      <c r="AA293" s="0" t="inlineStr">
        <is>
          <t>경상남도 창원시 진해구 자은동 834-1</t>
        </is>
      </c>
      <c r="AB293" s="0" t="inlineStr">
        <is>
          <t>경상남도</t>
        </is>
      </c>
      <c r="AC293" s="0" t="inlineStr">
        <is>
          <t>창원시</t>
        </is>
      </c>
      <c r="AD293" s="0" t="inlineStr">
        <is>
          <t>진해구</t>
        </is>
      </c>
      <c r="AE293" s="0" t="inlineStr">
        <is>
          <t>자은동</t>
        </is>
      </c>
      <c r="AG293" s="0" t="inlineStr">
        <is>
          <t>경상남도 창원시 진해구 진해대로921번길 10</t>
        </is>
      </c>
      <c r="AH293" s="0" t="n">
        <v>0</v>
      </c>
      <c r="AI293" s="0" t="n">
        <v>129</v>
      </c>
      <c r="AJ293" s="0" t="n">
        <v>20</v>
      </c>
      <c r="AK293" s="0" t="n">
        <v>537</v>
      </c>
      <c r="AL293" s="0" t="n">
        <v>0.9</v>
      </c>
    </row>
    <row r="294">
      <c r="A294" s="0" t="inlineStr">
        <is>
          <t>[자은동]</t>
        </is>
      </c>
      <c r="B294" s="0" t="n">
        <v>7579</v>
      </c>
      <c r="C294" s="0" t="n">
        <v>5</v>
      </c>
      <c r="D294" s="0" t="inlineStr">
        <is>
          <t>진해자은벚꽃주공</t>
        </is>
      </c>
      <c r="E294" s="0" t="inlineStr">
        <is>
          <t>2000.08.</t>
        </is>
      </c>
      <c r="F294" s="0" t="n">
        <v>600</v>
      </c>
      <c r="G294" s="0" t="n">
        <v>30.73</v>
      </c>
      <c r="H294" s="0" t="n">
        <v>101.61</v>
      </c>
      <c r="I294" s="0" t="n">
        <v>22.93</v>
      </c>
      <c r="J294" s="0" t="n">
        <v>75.81</v>
      </c>
      <c r="K294" s="0" t="n">
        <v>48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101C</t>
        </is>
      </c>
      <c r="X294" s="0" t="n">
        <v>9</v>
      </c>
      <c r="Y294" s="0" t="n">
        <v>8</v>
      </c>
      <c r="Z294" s="0" t="inlineStr">
        <is>
          <t>https://new.land.naver.com/complexes/7579?tab=detail&amp;rf=Y</t>
        </is>
      </c>
      <c r="AA294" s="0" t="inlineStr">
        <is>
          <t>경상남도 창원시 진해구 자은동 834-1</t>
        </is>
      </c>
      <c r="AB294" s="0" t="inlineStr">
        <is>
          <t>경상남도</t>
        </is>
      </c>
      <c r="AC294" s="0" t="inlineStr">
        <is>
          <t>창원시</t>
        </is>
      </c>
      <c r="AD294" s="0" t="inlineStr">
        <is>
          <t>진해구</t>
        </is>
      </c>
      <c r="AE294" s="0" t="inlineStr">
        <is>
          <t>자은동</t>
        </is>
      </c>
      <c r="AG294" s="0" t="inlineStr">
        <is>
          <t>경상남도 창원시 진해구 진해대로921번길 10</t>
        </is>
      </c>
      <c r="AH294" s="0" t="n">
        <v>0</v>
      </c>
      <c r="AI294" s="0" t="n">
        <v>129</v>
      </c>
      <c r="AJ294" s="0" t="n">
        <v>20</v>
      </c>
      <c r="AK294" s="0" t="n">
        <v>537</v>
      </c>
      <c r="AL294" s="0" t="n">
        <v>0.9</v>
      </c>
    </row>
    <row r="295">
      <c r="A295" s="0" t="inlineStr">
        <is>
          <t>[자은동]</t>
        </is>
      </c>
      <c r="B295" s="0" t="n">
        <v>7579</v>
      </c>
      <c r="C295" s="0" t="n">
        <v>6</v>
      </c>
      <c r="D295" s="0" t="inlineStr">
        <is>
          <t>진해자은벚꽃주공</t>
        </is>
      </c>
      <c r="E295" s="0" t="inlineStr">
        <is>
          <t>2000.08.</t>
        </is>
      </c>
      <c r="F295" s="0" t="n">
        <v>600</v>
      </c>
      <c r="G295" s="0" t="n">
        <v>34.29</v>
      </c>
      <c r="H295" s="0" t="n">
        <v>113.36</v>
      </c>
      <c r="I295" s="0" t="n">
        <v>25.58</v>
      </c>
      <c r="J295" s="0" t="n">
        <v>84.58</v>
      </c>
      <c r="K295" s="0" t="n">
        <v>70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113A</t>
        </is>
      </c>
      <c r="X295" s="0" t="n">
        <v>9</v>
      </c>
      <c r="Y295" s="0" t="n">
        <v>8</v>
      </c>
      <c r="Z295" s="0" t="inlineStr">
        <is>
          <t>https://new.land.naver.com/complexes/7579?tab=detail&amp;rf=Y</t>
        </is>
      </c>
      <c r="AA295" s="0" t="inlineStr">
        <is>
          <t>경상남도 창원시 진해구 자은동 834-1</t>
        </is>
      </c>
      <c r="AB295" s="0" t="inlineStr">
        <is>
          <t>경상남도</t>
        </is>
      </c>
      <c r="AC295" s="0" t="inlineStr">
        <is>
          <t>창원시</t>
        </is>
      </c>
      <c r="AD295" s="0" t="inlineStr">
        <is>
          <t>진해구</t>
        </is>
      </c>
      <c r="AE295" s="0" t="inlineStr">
        <is>
          <t>자은동</t>
        </is>
      </c>
      <c r="AG295" s="0" t="inlineStr">
        <is>
          <t>경상남도 창원시 진해구 진해대로921번길 10</t>
        </is>
      </c>
      <c r="AH295" s="0" t="n">
        <v>0</v>
      </c>
      <c r="AI295" s="0" t="n">
        <v>129</v>
      </c>
      <c r="AJ295" s="0" t="n">
        <v>20</v>
      </c>
      <c r="AK295" s="0" t="n">
        <v>537</v>
      </c>
      <c r="AL295" s="0" t="n">
        <v>0.9</v>
      </c>
    </row>
    <row r="296">
      <c r="A296" s="0" t="inlineStr">
        <is>
          <t>[자은동]</t>
        </is>
      </c>
      <c r="B296" s="0" t="n">
        <v>7579</v>
      </c>
      <c r="C296" s="0" t="n">
        <v>7</v>
      </c>
      <c r="D296" s="0" t="inlineStr">
        <is>
          <t>진해자은벚꽃주공</t>
        </is>
      </c>
      <c r="E296" s="0" t="inlineStr">
        <is>
          <t>2000.08.</t>
        </is>
      </c>
      <c r="F296" s="0" t="n">
        <v>600</v>
      </c>
      <c r="G296" s="0" t="n">
        <v>34.41</v>
      </c>
      <c r="H296" s="0" t="n">
        <v>113.77</v>
      </c>
      <c r="I296" s="0" t="n">
        <v>25.67</v>
      </c>
      <c r="J296" s="0" t="n">
        <v>84.88</v>
      </c>
      <c r="K296" s="0" t="n">
        <v>62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113B</t>
        </is>
      </c>
      <c r="X296" s="0" t="n">
        <v>9</v>
      </c>
      <c r="Y296" s="0" t="n">
        <v>8</v>
      </c>
      <c r="Z296" s="0" t="inlineStr">
        <is>
          <t>https://new.land.naver.com/complexes/7579?tab=detail&amp;rf=Y</t>
        </is>
      </c>
      <c r="AA296" s="0" t="inlineStr">
        <is>
          <t>경상남도 창원시 진해구 자은동 834-1</t>
        </is>
      </c>
      <c r="AB296" s="0" t="inlineStr">
        <is>
          <t>경상남도</t>
        </is>
      </c>
      <c r="AC296" s="0" t="inlineStr">
        <is>
          <t>창원시</t>
        </is>
      </c>
      <c r="AD296" s="0" t="inlineStr">
        <is>
          <t>진해구</t>
        </is>
      </c>
      <c r="AE296" s="0" t="inlineStr">
        <is>
          <t>자은동</t>
        </is>
      </c>
      <c r="AG296" s="0" t="inlineStr">
        <is>
          <t>경상남도 창원시 진해구 진해대로921번길 10</t>
        </is>
      </c>
      <c r="AH296" s="0" t="n">
        <v>0</v>
      </c>
      <c r="AI296" s="0" t="n">
        <v>129</v>
      </c>
      <c r="AJ296" s="0" t="n">
        <v>20</v>
      </c>
      <c r="AK296" s="0" t="n">
        <v>537</v>
      </c>
      <c r="AL296" s="0" t="n">
        <v>0.9</v>
      </c>
    </row>
    <row r="297">
      <c r="A297" s="0" t="inlineStr">
        <is>
          <t>[자은동]</t>
        </is>
      </c>
      <c r="B297" s="0" t="n">
        <v>7579</v>
      </c>
      <c r="C297" s="0" t="n">
        <v>8</v>
      </c>
      <c r="D297" s="0" t="inlineStr">
        <is>
          <t>진해자은벚꽃주공</t>
        </is>
      </c>
      <c r="E297" s="0" t="inlineStr">
        <is>
          <t>2000.08.</t>
        </is>
      </c>
      <c r="F297" s="0" t="n">
        <v>600</v>
      </c>
      <c r="G297" s="0" t="n">
        <v>34.42</v>
      </c>
      <c r="H297" s="0" t="n">
        <v>113.81</v>
      </c>
      <c r="I297" s="0" t="n">
        <v>25.68</v>
      </c>
      <c r="J297" s="0" t="n">
        <v>84.91</v>
      </c>
      <c r="K297" s="0" t="n">
        <v>48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113C</t>
        </is>
      </c>
      <c r="X297" s="0" t="n">
        <v>9</v>
      </c>
      <c r="Y297" s="0" t="n">
        <v>8</v>
      </c>
      <c r="Z297" s="0" t="inlineStr">
        <is>
          <t>https://new.land.naver.com/complexes/7579?tab=detail&amp;rf=Y</t>
        </is>
      </c>
      <c r="AA297" s="0" t="inlineStr">
        <is>
          <t>경상남도 창원시 진해구 자은동 834-1</t>
        </is>
      </c>
      <c r="AB297" s="0" t="inlineStr">
        <is>
          <t>경상남도</t>
        </is>
      </c>
      <c r="AC297" s="0" t="inlineStr">
        <is>
          <t>창원시</t>
        </is>
      </c>
      <c r="AD297" s="0" t="inlineStr">
        <is>
          <t>진해구</t>
        </is>
      </c>
      <c r="AE297" s="0" t="inlineStr">
        <is>
          <t>자은동</t>
        </is>
      </c>
      <c r="AG297" s="0" t="inlineStr">
        <is>
          <t>경상남도 창원시 진해구 진해대로921번길 10</t>
        </is>
      </c>
      <c r="AH297" s="0" t="n">
        <v>0</v>
      </c>
      <c r="AI297" s="0" t="n">
        <v>129</v>
      </c>
      <c r="AJ297" s="0" t="n">
        <v>20</v>
      </c>
      <c r="AK297" s="0" t="n">
        <v>537</v>
      </c>
      <c r="AL297" s="0" t="n">
        <v>0.9</v>
      </c>
    </row>
    <row r="298">
      <c r="A298" s="0" t="inlineStr">
        <is>
          <t>[자은동]</t>
        </is>
      </c>
      <c r="B298" s="0" t="n">
        <v>26576</v>
      </c>
      <c r="C298" s="0" t="n">
        <v>1</v>
      </c>
      <c r="D298" s="0" t="inlineStr">
        <is>
          <t>자은월드메르디앙</t>
        </is>
      </c>
      <c r="E298" s="0" t="inlineStr">
        <is>
          <t>2008.01.</t>
        </is>
      </c>
      <c r="F298" s="0" t="n">
        <v>358</v>
      </c>
      <c r="G298" s="0" t="n">
        <v>34.14</v>
      </c>
      <c r="H298" s="0" t="n">
        <v>112.86</v>
      </c>
      <c r="I298" s="0" t="n">
        <v>25.68</v>
      </c>
      <c r="J298" s="0" t="n">
        <v>84.91</v>
      </c>
      <c r="K298" s="0" t="n">
        <v>55</v>
      </c>
      <c r="T298" s="0" t="n">
        <v>3</v>
      </c>
      <c r="U298" s="0" t="n">
        <v>2</v>
      </c>
      <c r="V298" s="0" t="inlineStr">
        <is>
          <t>복도식</t>
        </is>
      </c>
      <c r="W298" s="0" t="inlineStr">
        <is>
          <t>112B</t>
        </is>
      </c>
      <c r="X298" s="0" t="n">
        <v>15</v>
      </c>
      <c r="Y298" s="0" t="n">
        <v>6</v>
      </c>
      <c r="Z298" s="0" t="inlineStr">
        <is>
          <t>https://new.land.naver.com/complexes/26576?tab=detail&amp;rf=Y</t>
        </is>
      </c>
      <c r="AA298" s="0" t="inlineStr">
        <is>
          <t>경상남도 창원시 진해구 자은동 284-1</t>
        </is>
      </c>
      <c r="AB298" s="0" t="inlineStr">
        <is>
          <t>경상남도</t>
        </is>
      </c>
      <c r="AC298" s="0" t="inlineStr">
        <is>
          <t>창원시</t>
        </is>
      </c>
      <c r="AD298" s="0" t="inlineStr">
        <is>
          <t>진해구</t>
        </is>
      </c>
      <c r="AE298" s="0" t="inlineStr">
        <is>
          <t>자은동</t>
        </is>
      </c>
      <c r="AG298" s="0" t="inlineStr">
        <is>
          <t>경상남도 창원시 진해구 자은로64번가길 26</t>
        </is>
      </c>
      <c r="AH298" s="0" t="n">
        <v>0</v>
      </c>
      <c r="AI298" s="0" t="n">
        <v>233</v>
      </c>
      <c r="AJ298" s="0" t="n">
        <v>23</v>
      </c>
      <c r="AK298" s="0" t="n">
        <v>399</v>
      </c>
      <c r="AL298" s="0" t="n">
        <v>1.11</v>
      </c>
    </row>
    <row r="299">
      <c r="A299" s="0" t="inlineStr">
        <is>
          <t>[자은동]</t>
        </is>
      </c>
      <c r="B299" s="0" t="n">
        <v>26576</v>
      </c>
      <c r="C299" s="0" t="n">
        <v>2</v>
      </c>
      <c r="D299" s="0" t="inlineStr">
        <is>
          <t>자은월드메르디앙</t>
        </is>
      </c>
      <c r="E299" s="0" t="inlineStr">
        <is>
          <t>2008.01.</t>
        </is>
      </c>
      <c r="F299" s="0" t="n">
        <v>358</v>
      </c>
      <c r="G299" s="0" t="n">
        <v>34.3</v>
      </c>
      <c r="H299" s="0" t="n">
        <v>113.4</v>
      </c>
      <c r="I299" s="0" t="n">
        <v>25.69</v>
      </c>
      <c r="J299" s="0" t="n">
        <v>84.94</v>
      </c>
      <c r="K299" s="0" t="n">
        <v>230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113A</t>
        </is>
      </c>
      <c r="X299" s="0" t="n">
        <v>15</v>
      </c>
      <c r="Y299" s="0" t="n">
        <v>6</v>
      </c>
      <c r="Z299" s="0" t="inlineStr">
        <is>
          <t>https://new.land.naver.com/complexes/26576?tab=detail&amp;rf=Y</t>
        </is>
      </c>
      <c r="AA299" s="0" t="inlineStr">
        <is>
          <t>경상남도 창원시 진해구 자은동 284-1</t>
        </is>
      </c>
      <c r="AB299" s="0" t="inlineStr">
        <is>
          <t>경상남도</t>
        </is>
      </c>
      <c r="AC299" s="0" t="inlineStr">
        <is>
          <t>창원시</t>
        </is>
      </c>
      <c r="AD299" s="0" t="inlineStr">
        <is>
          <t>진해구</t>
        </is>
      </c>
      <c r="AE299" s="0" t="inlineStr">
        <is>
          <t>자은동</t>
        </is>
      </c>
      <c r="AG299" s="0" t="inlineStr">
        <is>
          <t>경상남도 창원시 진해구 자은로64번가길 26</t>
        </is>
      </c>
      <c r="AH299" s="0" t="n">
        <v>0</v>
      </c>
      <c r="AI299" s="0" t="n">
        <v>233</v>
      </c>
      <c r="AJ299" s="0" t="n">
        <v>23</v>
      </c>
      <c r="AK299" s="0" t="n">
        <v>399</v>
      </c>
      <c r="AL299" s="0" t="n">
        <v>1.11</v>
      </c>
    </row>
    <row r="300">
      <c r="A300" s="0" t="inlineStr">
        <is>
          <t>[자은동]</t>
        </is>
      </c>
      <c r="B300" s="0" t="n">
        <v>26576</v>
      </c>
      <c r="C300" s="0" t="n">
        <v>3</v>
      </c>
      <c r="D300" s="0" t="inlineStr">
        <is>
          <t>자은월드메르디앙</t>
        </is>
      </c>
      <c r="E300" s="0" t="inlineStr">
        <is>
          <t>2008.01.</t>
        </is>
      </c>
      <c r="F300" s="0" t="n">
        <v>358</v>
      </c>
      <c r="G300" s="0" t="n">
        <v>34.54</v>
      </c>
      <c r="H300" s="0" t="n">
        <v>114.19</v>
      </c>
      <c r="I300" s="0" t="n">
        <v>25.7</v>
      </c>
      <c r="J300" s="0" t="n">
        <v>84.97</v>
      </c>
      <c r="K300" s="0" t="n">
        <v>13</v>
      </c>
      <c r="T300" s="0" t="n">
        <v>3</v>
      </c>
      <c r="U300" s="0" t="n">
        <v>2</v>
      </c>
      <c r="V300" s="0" t="inlineStr">
        <is>
          <t>복도식</t>
        </is>
      </c>
      <c r="W300" s="0" t="inlineStr">
        <is>
          <t>114C</t>
        </is>
      </c>
      <c r="X300" s="0" t="n">
        <v>15</v>
      </c>
      <c r="Y300" s="0" t="n">
        <v>6</v>
      </c>
      <c r="Z300" s="0" t="inlineStr">
        <is>
          <t>https://new.land.naver.com/complexes/26576?tab=detail&amp;rf=Y</t>
        </is>
      </c>
      <c r="AA300" s="0" t="inlineStr">
        <is>
          <t>경상남도 창원시 진해구 자은동 284-1</t>
        </is>
      </c>
      <c r="AB300" s="0" t="inlineStr">
        <is>
          <t>경상남도</t>
        </is>
      </c>
      <c r="AC300" s="0" t="inlineStr">
        <is>
          <t>창원시</t>
        </is>
      </c>
      <c r="AD300" s="0" t="inlineStr">
        <is>
          <t>진해구</t>
        </is>
      </c>
      <c r="AE300" s="0" t="inlineStr">
        <is>
          <t>자은동</t>
        </is>
      </c>
      <c r="AG300" s="0" t="inlineStr">
        <is>
          <t>경상남도 창원시 진해구 자은로64번가길 26</t>
        </is>
      </c>
      <c r="AH300" s="0" t="n">
        <v>0</v>
      </c>
      <c r="AI300" s="0" t="n">
        <v>233</v>
      </c>
      <c r="AJ300" s="0" t="n">
        <v>23</v>
      </c>
      <c r="AK300" s="0" t="n">
        <v>399</v>
      </c>
      <c r="AL300" s="0" t="n">
        <v>1.11</v>
      </c>
    </row>
    <row r="301">
      <c r="A301" s="0" t="inlineStr">
        <is>
          <t>[자은동]</t>
        </is>
      </c>
      <c r="B301" s="0" t="n">
        <v>26576</v>
      </c>
      <c r="C301" s="0" t="n">
        <v>4</v>
      </c>
      <c r="D301" s="0" t="inlineStr">
        <is>
          <t>자은월드메르디앙</t>
        </is>
      </c>
      <c r="E301" s="0" t="inlineStr">
        <is>
          <t>2008.01.</t>
        </is>
      </c>
      <c r="F301" s="0" t="n">
        <v>358</v>
      </c>
      <c r="G301" s="0" t="n">
        <v>47.99</v>
      </c>
      <c r="H301" s="0" t="n">
        <v>158.66</v>
      </c>
      <c r="I301" s="0" t="n">
        <v>38.18</v>
      </c>
      <c r="J301" s="0" t="n">
        <v>126.23</v>
      </c>
      <c r="K301" s="0" t="n">
        <v>60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158</v>
      </c>
      <c r="X301" s="0" t="n">
        <v>15</v>
      </c>
      <c r="Y301" s="0" t="n">
        <v>6</v>
      </c>
      <c r="Z301" s="0" t="inlineStr">
        <is>
          <t>https://new.land.naver.com/complexes/26576?tab=detail&amp;rf=Y</t>
        </is>
      </c>
      <c r="AA301" s="0" t="inlineStr">
        <is>
          <t>경상남도 창원시 진해구 자은동 284-1</t>
        </is>
      </c>
      <c r="AB301" s="0" t="inlineStr">
        <is>
          <t>경상남도</t>
        </is>
      </c>
      <c r="AC301" s="0" t="inlineStr">
        <is>
          <t>창원시</t>
        </is>
      </c>
      <c r="AD301" s="0" t="inlineStr">
        <is>
          <t>진해구</t>
        </is>
      </c>
      <c r="AE301" s="0" t="inlineStr">
        <is>
          <t>자은동</t>
        </is>
      </c>
      <c r="AG301" s="0" t="inlineStr">
        <is>
          <t>경상남도 창원시 진해구 자은로64번가길 26</t>
        </is>
      </c>
      <c r="AH301" s="0" t="n">
        <v>0</v>
      </c>
      <c r="AI301" s="0" t="n">
        <v>233</v>
      </c>
      <c r="AJ301" s="0" t="n">
        <v>23</v>
      </c>
      <c r="AK301" s="0" t="n">
        <v>399</v>
      </c>
      <c r="AL301" s="0" t="n">
        <v>1.11</v>
      </c>
    </row>
    <row r="302">
      <c r="A302" s="0" t="inlineStr">
        <is>
          <t>[자은동]</t>
        </is>
      </c>
      <c r="B302" s="0" t="n">
        <v>15716</v>
      </c>
      <c r="C302" s="0" t="n">
        <v>1</v>
      </c>
      <c r="D302" s="0" t="inlineStr">
        <is>
          <t>대동빌라트2차</t>
        </is>
      </c>
      <c r="E302" s="0" t="inlineStr">
        <is>
          <t>1996.12.</t>
        </is>
      </c>
      <c r="F302" s="0" t="n">
        <v>112</v>
      </c>
      <c r="G302" s="0" t="n">
        <v>27.34</v>
      </c>
      <c r="H302" s="0" t="n">
        <v>90.41</v>
      </c>
      <c r="I302" s="0" t="n">
        <v>23.05</v>
      </c>
      <c r="J302" s="0" t="n">
        <v>76.23</v>
      </c>
      <c r="K302" s="0" t="n">
        <v>112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90</v>
      </c>
      <c r="X302" s="0" t="n">
        <v>4</v>
      </c>
      <c r="Y302" s="0" t="n">
        <v>4</v>
      </c>
      <c r="Z302" s="0" t="inlineStr">
        <is>
          <t>https://new.land.naver.com/complexes/15716?tab=detail&amp;rf=Y</t>
        </is>
      </c>
      <c r="AA302" s="0" t="inlineStr">
        <is>
          <t>경상남도 창원시 진해구 자은동 977-1</t>
        </is>
      </c>
      <c r="AB302" s="0" t="inlineStr">
        <is>
          <t>경상남도</t>
        </is>
      </c>
      <c r="AC302" s="0" t="inlineStr">
        <is>
          <t>창원시</t>
        </is>
      </c>
      <c r="AD302" s="0" t="inlineStr">
        <is>
          <t>진해구</t>
        </is>
      </c>
      <c r="AE302" s="0" t="inlineStr">
        <is>
          <t>자은동</t>
        </is>
      </c>
      <c r="AG302" s="0" t="inlineStr">
        <is>
          <t>경상남도 창원시 진해구 냉천로108번길 5-16</t>
        </is>
      </c>
      <c r="AH302" s="0" t="n">
        <v>0</v>
      </c>
      <c r="AI302" s="0" t="n">
        <v>85</v>
      </c>
      <c r="AJ302" s="0" t="n">
        <v>25</v>
      </c>
      <c r="AK302" s="0" t="n">
        <v>0</v>
      </c>
      <c r="AL302" s="0" t="n">
        <v>0</v>
      </c>
    </row>
    <row r="303">
      <c r="A303" s="0" t="inlineStr">
        <is>
          <t>[자은동]</t>
        </is>
      </c>
      <c r="B303" s="0" t="n">
        <v>106408</v>
      </c>
      <c r="C303" s="0" t="n">
        <v>1</v>
      </c>
      <c r="D303" s="0" t="inlineStr">
        <is>
          <t>원창베스트빌</t>
        </is>
      </c>
      <c r="E303" s="0" t="inlineStr">
        <is>
          <t>2003.11.</t>
        </is>
      </c>
      <c r="F303" s="0" t="n">
        <v>140</v>
      </c>
      <c r="G303" s="0" t="n">
        <v>19.39</v>
      </c>
      <c r="H303" s="0" t="n">
        <v>64.13</v>
      </c>
      <c r="I303" s="0" t="n">
        <v>16.2</v>
      </c>
      <c r="J303" s="0" t="n">
        <v>53.56</v>
      </c>
      <c r="K303" s="0" t="n">
        <v>50</v>
      </c>
      <c r="T303" s="0" t="n">
        <v>2</v>
      </c>
      <c r="U303" s="0" t="n">
        <v>1</v>
      </c>
      <c r="V303" s="0" t="inlineStr">
        <is>
          <t>복도식</t>
        </is>
      </c>
      <c r="W303" s="0" t="n">
        <v>64</v>
      </c>
      <c r="X303" s="0" t="n">
        <v>10</v>
      </c>
      <c r="Y303" s="0" t="n">
        <v>5</v>
      </c>
      <c r="Z303" s="0" t="inlineStr">
        <is>
          <t>https://new.land.naver.com/complexes/106408?tab=detail&amp;rf=Y</t>
        </is>
      </c>
      <c r="AA303" s="0" t="inlineStr">
        <is>
          <t>경상남도 창원시 진해구 자은동 661-1</t>
        </is>
      </c>
      <c r="AB303" s="0" t="inlineStr">
        <is>
          <t>경상남도</t>
        </is>
      </c>
      <c r="AC303" s="0" t="inlineStr">
        <is>
          <t>창원시</t>
        </is>
      </c>
      <c r="AD303" s="0" t="inlineStr">
        <is>
          <t>진해구</t>
        </is>
      </c>
      <c r="AE303" s="0" t="inlineStr">
        <is>
          <t>자은동</t>
        </is>
      </c>
      <c r="AG303" s="0" t="inlineStr">
        <is>
          <t>경상남도 창원시 진해구 풍호로35번길 19</t>
        </is>
      </c>
      <c r="AH303" s="0" t="n">
        <v>64</v>
      </c>
      <c r="AI303" s="0" t="n">
        <v>236</v>
      </c>
      <c r="AJ303" s="0" t="n">
        <v>37</v>
      </c>
      <c r="AK303" s="0" t="n">
        <v>99</v>
      </c>
      <c r="AL303" s="0" t="n">
        <v>0.71</v>
      </c>
    </row>
    <row r="304">
      <c r="A304" s="0" t="inlineStr">
        <is>
          <t>[자은동]</t>
        </is>
      </c>
      <c r="B304" s="0" t="n">
        <v>106408</v>
      </c>
      <c r="C304" s="0" t="n">
        <v>2</v>
      </c>
      <c r="D304" s="0" t="inlineStr">
        <is>
          <t>원창베스트빌</t>
        </is>
      </c>
      <c r="E304" s="0" t="inlineStr">
        <is>
          <t>2003.11.</t>
        </is>
      </c>
      <c r="F304" s="0" t="n">
        <v>140</v>
      </c>
      <c r="G304" s="0" t="n">
        <v>23.19</v>
      </c>
      <c r="H304" s="0" t="n">
        <v>76.67</v>
      </c>
      <c r="I304" s="0" t="n">
        <v>17.94</v>
      </c>
      <c r="J304" s="0" t="n">
        <v>59.31</v>
      </c>
      <c r="K304" s="0" t="n">
        <v>26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76</v>
      </c>
      <c r="X304" s="0" t="n">
        <v>10</v>
      </c>
      <c r="Y304" s="0" t="n">
        <v>5</v>
      </c>
      <c r="Z304" s="0" t="inlineStr">
        <is>
          <t>https://new.land.naver.com/complexes/106408?tab=detail&amp;rf=Y</t>
        </is>
      </c>
      <c r="AA304" s="0" t="inlineStr">
        <is>
          <t>경상남도 창원시 진해구 자은동 661-1</t>
        </is>
      </c>
      <c r="AB304" s="0" t="inlineStr">
        <is>
          <t>경상남도</t>
        </is>
      </c>
      <c r="AC304" s="0" t="inlineStr">
        <is>
          <t>창원시</t>
        </is>
      </c>
      <c r="AD304" s="0" t="inlineStr">
        <is>
          <t>진해구</t>
        </is>
      </c>
      <c r="AE304" s="0" t="inlineStr">
        <is>
          <t>자은동</t>
        </is>
      </c>
      <c r="AG304" s="0" t="inlineStr">
        <is>
          <t>경상남도 창원시 진해구 풍호로35번길 19</t>
        </is>
      </c>
      <c r="AH304" s="0" t="n">
        <v>64</v>
      </c>
      <c r="AI304" s="0" t="n">
        <v>236</v>
      </c>
      <c r="AJ304" s="0" t="n">
        <v>37</v>
      </c>
      <c r="AK304" s="0" t="n">
        <v>99</v>
      </c>
      <c r="AL304" s="0" t="n">
        <v>0.71</v>
      </c>
    </row>
    <row r="305">
      <c r="A305" s="0" t="inlineStr">
        <is>
          <t>[자은동]</t>
        </is>
      </c>
      <c r="B305" s="0" t="n">
        <v>105297</v>
      </c>
      <c r="C305" s="0" t="n">
        <v>1</v>
      </c>
      <c r="D305" s="0" t="inlineStr">
        <is>
          <t>협성DS이아이존빌</t>
        </is>
      </c>
      <c r="E305" s="0" t="inlineStr">
        <is>
          <t>2014.06.</t>
        </is>
      </c>
      <c r="F305" s="0" t="n">
        <v>433</v>
      </c>
      <c r="G305" s="0" t="n">
        <v>24.11</v>
      </c>
      <c r="H305" s="0" t="n">
        <v>79.70999999999999</v>
      </c>
      <c r="I305" s="0" t="n">
        <v>18.12</v>
      </c>
      <c r="J305" s="0" t="n">
        <v>59.93</v>
      </c>
      <c r="K305" s="0" t="n">
        <v>113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79A</t>
        </is>
      </c>
      <c r="X305" s="0" t="n">
        <v>14</v>
      </c>
      <c r="Y305" s="0" t="n">
        <v>12</v>
      </c>
      <c r="Z305" s="0" t="inlineStr">
        <is>
          <t>https://new.land.naver.com/complexes/105297?tab=detail&amp;rf=Y</t>
        </is>
      </c>
      <c r="AA305" s="0" t="inlineStr">
        <is>
          <t>경상남도 창원시 진해구 자은동 663</t>
        </is>
      </c>
      <c r="AB305" s="0" t="inlineStr">
        <is>
          <t>경상남도</t>
        </is>
      </c>
      <c r="AC305" s="0" t="inlineStr">
        <is>
          <t>창원시</t>
        </is>
      </c>
      <c r="AD305" s="0" t="inlineStr">
        <is>
          <t>진해구</t>
        </is>
      </c>
      <c r="AE305" s="0" t="inlineStr">
        <is>
          <t>자은동</t>
        </is>
      </c>
      <c r="AG305" s="0" t="inlineStr">
        <is>
          <t>경상남도 창원시 진해구 풍호로35번길 11</t>
        </is>
      </c>
      <c r="AH305" s="0" t="n">
        <v>0</v>
      </c>
      <c r="AI305" s="0" t="n">
        <v>216</v>
      </c>
      <c r="AJ305" s="0" t="n">
        <v>23</v>
      </c>
      <c r="AK305" s="0" t="n">
        <v>456</v>
      </c>
      <c r="AL305" s="0" t="n">
        <v>1.05</v>
      </c>
    </row>
    <row r="306">
      <c r="A306" s="0" t="inlineStr">
        <is>
          <t>[자은동]</t>
        </is>
      </c>
      <c r="B306" s="0" t="n">
        <v>105297</v>
      </c>
      <c r="C306" s="0" t="n">
        <v>2</v>
      </c>
      <c r="D306" s="0" t="inlineStr">
        <is>
          <t>협성DS이아이존빌</t>
        </is>
      </c>
      <c r="E306" s="0" t="inlineStr">
        <is>
          <t>2014.06.</t>
        </is>
      </c>
      <c r="F306" s="0" t="n">
        <v>433</v>
      </c>
      <c r="G306" s="0" t="n">
        <v>24.49</v>
      </c>
      <c r="H306" s="0" t="n">
        <v>80.95999999999999</v>
      </c>
      <c r="I306" s="0" t="n">
        <v>18.13</v>
      </c>
      <c r="J306" s="0" t="n">
        <v>59.96</v>
      </c>
      <c r="K306" s="0" t="n">
        <v>52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80B</t>
        </is>
      </c>
      <c r="X306" s="0" t="n">
        <v>14</v>
      </c>
      <c r="Y306" s="0" t="n">
        <v>12</v>
      </c>
      <c r="Z306" s="0" t="inlineStr">
        <is>
          <t>https://new.land.naver.com/complexes/105297?tab=detail&amp;rf=Y</t>
        </is>
      </c>
      <c r="AA306" s="0" t="inlineStr">
        <is>
          <t>경상남도 창원시 진해구 자은동 663</t>
        </is>
      </c>
      <c r="AB306" s="0" t="inlineStr">
        <is>
          <t>경상남도</t>
        </is>
      </c>
      <c r="AC306" s="0" t="inlineStr">
        <is>
          <t>창원시</t>
        </is>
      </c>
      <c r="AD306" s="0" t="inlineStr">
        <is>
          <t>진해구</t>
        </is>
      </c>
      <c r="AE306" s="0" t="inlineStr">
        <is>
          <t>자은동</t>
        </is>
      </c>
      <c r="AG306" s="0" t="inlineStr">
        <is>
          <t>경상남도 창원시 진해구 풍호로35번길 11</t>
        </is>
      </c>
      <c r="AH306" s="0" t="n">
        <v>0</v>
      </c>
      <c r="AI306" s="0" t="n">
        <v>216</v>
      </c>
      <c r="AJ306" s="0" t="n">
        <v>23</v>
      </c>
      <c r="AK306" s="0" t="n">
        <v>456</v>
      </c>
      <c r="AL306" s="0" t="n">
        <v>1.05</v>
      </c>
    </row>
    <row r="307">
      <c r="A307" s="0" t="inlineStr">
        <is>
          <t>[자은동]</t>
        </is>
      </c>
      <c r="B307" s="0" t="n">
        <v>105297</v>
      </c>
      <c r="C307" s="0" t="n">
        <v>3</v>
      </c>
      <c r="D307" s="0" t="inlineStr">
        <is>
          <t>협성DS이아이존빌</t>
        </is>
      </c>
      <c r="E307" s="0" t="inlineStr">
        <is>
          <t>2014.06.</t>
        </is>
      </c>
      <c r="F307" s="0" t="n">
        <v>433</v>
      </c>
      <c r="G307" s="0" t="n">
        <v>33.97</v>
      </c>
      <c r="H307" s="0" t="n">
        <v>112.33</v>
      </c>
      <c r="I307" s="0" t="n">
        <v>25.7</v>
      </c>
      <c r="J307" s="0" t="n">
        <v>84.98999999999999</v>
      </c>
      <c r="K307" s="0" t="n">
        <v>106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112A</t>
        </is>
      </c>
      <c r="X307" s="0" t="n">
        <v>14</v>
      </c>
      <c r="Y307" s="0" t="n">
        <v>12</v>
      </c>
      <c r="Z307" s="0" t="inlineStr">
        <is>
          <t>https://new.land.naver.com/complexes/105297?tab=detail&amp;rf=Y</t>
        </is>
      </c>
      <c r="AA307" s="0" t="inlineStr">
        <is>
          <t>경상남도 창원시 진해구 자은동 663</t>
        </is>
      </c>
      <c r="AB307" s="0" t="inlineStr">
        <is>
          <t>경상남도</t>
        </is>
      </c>
      <c r="AC307" s="0" t="inlineStr">
        <is>
          <t>창원시</t>
        </is>
      </c>
      <c r="AD307" s="0" t="inlineStr">
        <is>
          <t>진해구</t>
        </is>
      </c>
      <c r="AE307" s="0" t="inlineStr">
        <is>
          <t>자은동</t>
        </is>
      </c>
      <c r="AG307" s="0" t="inlineStr">
        <is>
          <t>경상남도 창원시 진해구 풍호로35번길 11</t>
        </is>
      </c>
      <c r="AH307" s="0" t="n">
        <v>0</v>
      </c>
      <c r="AI307" s="0" t="n">
        <v>216</v>
      </c>
      <c r="AJ307" s="0" t="n">
        <v>23</v>
      </c>
      <c r="AK307" s="0" t="n">
        <v>456</v>
      </c>
      <c r="AL307" s="0" t="n">
        <v>1.05</v>
      </c>
    </row>
    <row r="308">
      <c r="A308" s="0" t="inlineStr">
        <is>
          <t>[자은동]</t>
        </is>
      </c>
      <c r="B308" s="0" t="n">
        <v>105297</v>
      </c>
      <c r="C308" s="0" t="n">
        <v>4</v>
      </c>
      <c r="D308" s="0" t="inlineStr">
        <is>
          <t>협성DS이아이존빌</t>
        </is>
      </c>
      <c r="E308" s="0" t="inlineStr">
        <is>
          <t>2014.06.</t>
        </is>
      </c>
      <c r="F308" s="0" t="n">
        <v>433</v>
      </c>
      <c r="G308" s="0" t="n">
        <v>34.44</v>
      </c>
      <c r="H308" s="0" t="n">
        <v>113.87</v>
      </c>
      <c r="I308" s="0" t="n">
        <v>25.7</v>
      </c>
      <c r="J308" s="0" t="n">
        <v>84.97</v>
      </c>
      <c r="K308" s="0" t="n">
        <v>162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113B</t>
        </is>
      </c>
      <c r="X308" s="0" t="n">
        <v>14</v>
      </c>
      <c r="Y308" s="0" t="n">
        <v>12</v>
      </c>
      <c r="Z308" s="0" t="inlineStr">
        <is>
          <t>https://new.land.naver.com/complexes/105297?tab=detail&amp;rf=Y</t>
        </is>
      </c>
      <c r="AA308" s="0" t="inlineStr">
        <is>
          <t>경상남도 창원시 진해구 자은동 663</t>
        </is>
      </c>
      <c r="AB308" s="0" t="inlineStr">
        <is>
          <t>경상남도</t>
        </is>
      </c>
      <c r="AC308" s="0" t="inlineStr">
        <is>
          <t>창원시</t>
        </is>
      </c>
      <c r="AD308" s="0" t="inlineStr">
        <is>
          <t>진해구</t>
        </is>
      </c>
      <c r="AE308" s="0" t="inlineStr">
        <is>
          <t>자은동</t>
        </is>
      </c>
      <c r="AG308" s="0" t="inlineStr">
        <is>
          <t>경상남도 창원시 진해구 풍호로35번길 11</t>
        </is>
      </c>
      <c r="AH308" s="0" t="n">
        <v>0</v>
      </c>
      <c r="AI308" s="0" t="n">
        <v>216</v>
      </c>
      <c r="AJ308" s="0" t="n">
        <v>23</v>
      </c>
      <c r="AK308" s="0" t="n">
        <v>456</v>
      </c>
      <c r="AL308" s="0" t="n">
        <v>1.05</v>
      </c>
    </row>
    <row r="309">
      <c r="A309" s="0" t="inlineStr">
        <is>
          <t>[자은동]</t>
        </is>
      </c>
      <c r="B309" s="0" t="n">
        <v>14467</v>
      </c>
      <c r="C309" s="0" t="n">
        <v>1</v>
      </c>
      <c r="D309" s="0" t="inlineStr">
        <is>
          <t>자은더샵</t>
        </is>
      </c>
      <c r="E309" s="0" t="inlineStr">
        <is>
          <t>2005.11.</t>
        </is>
      </c>
      <c r="F309" s="0" t="n">
        <v>442</v>
      </c>
      <c r="G309" s="0" t="n">
        <v>30.17</v>
      </c>
      <c r="H309" s="0" t="n">
        <v>99.73999999999999</v>
      </c>
      <c r="I309" s="0" t="n">
        <v>22.43</v>
      </c>
      <c r="J309" s="0" t="n">
        <v>74.15000000000001</v>
      </c>
      <c r="K309" s="0" t="n">
        <v>58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99</v>
      </c>
      <c r="X309" s="0" t="n">
        <v>15</v>
      </c>
      <c r="Y309" s="0" t="n">
        <v>13</v>
      </c>
      <c r="Z309" s="0" t="inlineStr">
        <is>
          <t>https://new.land.naver.com/complexes/14467?tab=detail&amp;rf=Y</t>
        </is>
      </c>
      <c r="AA309" s="0" t="inlineStr">
        <is>
          <t>경상남도 창원시 진해구 자은동 525-3</t>
        </is>
      </c>
      <c r="AB309" s="0" t="inlineStr">
        <is>
          <t>경상남도</t>
        </is>
      </c>
      <c r="AC309" s="0" t="inlineStr">
        <is>
          <t>창원시</t>
        </is>
      </c>
      <c r="AD309" s="0" t="inlineStr">
        <is>
          <t>진해구</t>
        </is>
      </c>
      <c r="AE309" s="0" t="inlineStr">
        <is>
          <t>자은동</t>
        </is>
      </c>
      <c r="AG309" s="0" t="inlineStr">
        <is>
          <t>경상남도 창원시 진해구 진해대로975번길 26</t>
        </is>
      </c>
      <c r="AH309" s="0" t="n">
        <v>0</v>
      </c>
      <c r="AI309" s="0" t="n">
        <v>243</v>
      </c>
      <c r="AJ309" s="0" t="n">
        <v>22</v>
      </c>
      <c r="AK309" s="0" t="n">
        <v>445</v>
      </c>
      <c r="AL309" s="0" t="n">
        <v>1.01</v>
      </c>
    </row>
    <row r="310">
      <c r="A310" s="0" t="inlineStr">
        <is>
          <t>[자은동]</t>
        </is>
      </c>
      <c r="B310" s="0" t="n">
        <v>14467</v>
      </c>
      <c r="C310" s="0" t="n">
        <v>2</v>
      </c>
      <c r="D310" s="0" t="inlineStr">
        <is>
          <t>자은더샵</t>
        </is>
      </c>
      <c r="E310" s="0" t="inlineStr">
        <is>
          <t>2005.11.</t>
        </is>
      </c>
      <c r="F310" s="0" t="n">
        <v>442</v>
      </c>
      <c r="G310" s="0" t="n">
        <v>33.31</v>
      </c>
      <c r="H310" s="0" t="n">
        <v>110.12</v>
      </c>
      <c r="I310" s="0" t="n">
        <v>25.53</v>
      </c>
      <c r="J310" s="0" t="n">
        <v>84.41</v>
      </c>
      <c r="K310" s="0" t="n">
        <v>326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110</v>
      </c>
      <c r="X310" s="0" t="n">
        <v>15</v>
      </c>
      <c r="Y310" s="0" t="n">
        <v>13</v>
      </c>
      <c r="Z310" s="0" t="inlineStr">
        <is>
          <t>https://new.land.naver.com/complexes/14467?tab=detail&amp;rf=Y</t>
        </is>
      </c>
      <c r="AA310" s="0" t="inlineStr">
        <is>
          <t>경상남도 창원시 진해구 자은동 525-3</t>
        </is>
      </c>
      <c r="AB310" s="0" t="inlineStr">
        <is>
          <t>경상남도</t>
        </is>
      </c>
      <c r="AC310" s="0" t="inlineStr">
        <is>
          <t>창원시</t>
        </is>
      </c>
      <c r="AD310" s="0" t="inlineStr">
        <is>
          <t>진해구</t>
        </is>
      </c>
      <c r="AE310" s="0" t="inlineStr">
        <is>
          <t>자은동</t>
        </is>
      </c>
      <c r="AG310" s="0" t="inlineStr">
        <is>
          <t>경상남도 창원시 진해구 진해대로975번길 26</t>
        </is>
      </c>
      <c r="AH310" s="0" t="n">
        <v>0</v>
      </c>
      <c r="AI310" s="0" t="n">
        <v>243</v>
      </c>
      <c r="AJ310" s="0" t="n">
        <v>22</v>
      </c>
      <c r="AK310" s="0" t="n">
        <v>445</v>
      </c>
      <c r="AL310" s="0" t="n">
        <v>1.01</v>
      </c>
    </row>
    <row r="311">
      <c r="A311" s="0" t="inlineStr">
        <is>
          <t>[자은동]</t>
        </is>
      </c>
      <c r="B311" s="0" t="n">
        <v>14467</v>
      </c>
      <c r="C311" s="0" t="n">
        <v>3</v>
      </c>
      <c r="D311" s="0" t="inlineStr">
        <is>
          <t>자은더샵</t>
        </is>
      </c>
      <c r="E311" s="0" t="inlineStr">
        <is>
          <t>2005.11.</t>
        </is>
      </c>
      <c r="F311" s="0" t="n">
        <v>442</v>
      </c>
      <c r="G311" s="0" t="n">
        <v>44.7</v>
      </c>
      <c r="H311" s="0" t="n">
        <v>147.79</v>
      </c>
      <c r="I311" s="0" t="n">
        <v>37.27</v>
      </c>
      <c r="J311" s="0" t="n">
        <v>123.22</v>
      </c>
      <c r="K311" s="0" t="n">
        <v>58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147</v>
      </c>
      <c r="X311" s="0" t="n">
        <v>15</v>
      </c>
      <c r="Y311" s="0" t="n">
        <v>13</v>
      </c>
      <c r="Z311" s="0" t="inlineStr">
        <is>
          <t>https://new.land.naver.com/complexes/14467?tab=detail&amp;rf=Y</t>
        </is>
      </c>
      <c r="AA311" s="0" t="inlineStr">
        <is>
          <t>경상남도 창원시 진해구 자은동 525-3</t>
        </is>
      </c>
      <c r="AB311" s="0" t="inlineStr">
        <is>
          <t>경상남도</t>
        </is>
      </c>
      <c r="AC311" s="0" t="inlineStr">
        <is>
          <t>창원시</t>
        </is>
      </c>
      <c r="AD311" s="0" t="inlineStr">
        <is>
          <t>진해구</t>
        </is>
      </c>
      <c r="AE311" s="0" t="inlineStr">
        <is>
          <t>자은동</t>
        </is>
      </c>
      <c r="AG311" s="0" t="inlineStr">
        <is>
          <t>경상남도 창원시 진해구 진해대로975번길 26</t>
        </is>
      </c>
      <c r="AH311" s="0" t="n">
        <v>0</v>
      </c>
      <c r="AI311" s="0" t="n">
        <v>243</v>
      </c>
      <c r="AJ311" s="0" t="n">
        <v>22</v>
      </c>
      <c r="AK311" s="0" t="n">
        <v>445</v>
      </c>
      <c r="AL311" s="0" t="n">
        <v>1.01</v>
      </c>
    </row>
    <row r="312">
      <c r="A312" s="0" t="inlineStr">
        <is>
          <t>[자은동]</t>
        </is>
      </c>
      <c r="B312" s="0" t="n">
        <v>108775</v>
      </c>
      <c r="C312" s="0" t="n">
        <v>1</v>
      </c>
      <c r="D312" s="0" t="inlineStr">
        <is>
          <t>자은중흥S-클래스</t>
        </is>
      </c>
      <c r="E312" s="0" t="inlineStr">
        <is>
          <t>2017.02.</t>
        </is>
      </c>
      <c r="F312" s="0" t="n">
        <v>767</v>
      </c>
      <c r="G312" s="0" t="n">
        <v>30.53</v>
      </c>
      <c r="H312" s="0" t="n">
        <v>100.94</v>
      </c>
      <c r="I312" s="0" t="n">
        <v>23.03</v>
      </c>
      <c r="J312" s="0" t="n">
        <v>76.16</v>
      </c>
      <c r="K312" s="0" t="n">
        <v>212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100</v>
      </c>
      <c r="X312" s="0" t="n">
        <v>21</v>
      </c>
      <c r="Y312" s="0" t="n">
        <v>13</v>
      </c>
      <c r="Z312" s="0" t="inlineStr">
        <is>
          <t>https://new.land.naver.com/complexes/108775?tab=detail&amp;rf=Y</t>
        </is>
      </c>
      <c r="AA312" s="0" t="inlineStr">
        <is>
          <t>경상남도 창원시 진해구 자은동 125</t>
        </is>
      </c>
      <c r="AB312" s="0" t="inlineStr">
        <is>
          <t>경상남도</t>
        </is>
      </c>
      <c r="AC312" s="0" t="inlineStr">
        <is>
          <t>창원시</t>
        </is>
      </c>
      <c r="AD312" s="0" t="inlineStr">
        <is>
          <t>진해구</t>
        </is>
      </c>
      <c r="AE312" s="0" t="inlineStr">
        <is>
          <t>자은동</t>
        </is>
      </c>
      <c r="AG312" s="0" t="inlineStr">
        <is>
          <t>경상남도 창원시 진해구 냉천로 262</t>
        </is>
      </c>
      <c r="AH312" s="0" t="n">
        <v>0</v>
      </c>
      <c r="AI312" s="0" t="n">
        <v>169</v>
      </c>
      <c r="AJ312" s="0" t="n">
        <v>15</v>
      </c>
      <c r="AK312" s="0" t="n">
        <v>1006</v>
      </c>
      <c r="AL312" s="0" t="n">
        <v>1.31</v>
      </c>
    </row>
    <row r="313">
      <c r="A313" s="0" t="inlineStr">
        <is>
          <t>[자은동]</t>
        </is>
      </c>
      <c r="B313" s="0" t="n">
        <v>108775</v>
      </c>
      <c r="C313" s="0" t="n">
        <v>2</v>
      </c>
      <c r="D313" s="0" t="inlineStr">
        <is>
          <t>자은중흥S-클래스</t>
        </is>
      </c>
      <c r="E313" s="0" t="inlineStr">
        <is>
          <t>2017.02.</t>
        </is>
      </c>
      <c r="F313" s="0" t="n">
        <v>767</v>
      </c>
      <c r="G313" s="0" t="n">
        <v>34</v>
      </c>
      <c r="H313" s="0" t="n">
        <v>112.42</v>
      </c>
      <c r="I313" s="0" t="n">
        <v>25.67</v>
      </c>
      <c r="J313" s="0" t="n">
        <v>84.86</v>
      </c>
      <c r="K313" s="0" t="n">
        <v>555</v>
      </c>
      <c r="T313" s="0" t="n">
        <v>3</v>
      </c>
      <c r="U313" s="0" t="n">
        <v>2</v>
      </c>
      <c r="V313" s="0" t="inlineStr">
        <is>
          <t>계단식</t>
        </is>
      </c>
      <c r="W313" s="0" t="n">
        <v>112</v>
      </c>
      <c r="X313" s="0" t="n">
        <v>21</v>
      </c>
      <c r="Y313" s="0" t="n">
        <v>13</v>
      </c>
      <c r="Z313" s="0" t="inlineStr">
        <is>
          <t>https://new.land.naver.com/complexes/108775?tab=detail&amp;rf=Y</t>
        </is>
      </c>
      <c r="AA313" s="0" t="inlineStr">
        <is>
          <t>경상남도 창원시 진해구 자은동 125</t>
        </is>
      </c>
      <c r="AB313" s="0" t="inlineStr">
        <is>
          <t>경상남도</t>
        </is>
      </c>
      <c r="AC313" s="0" t="inlineStr">
        <is>
          <t>창원시</t>
        </is>
      </c>
      <c r="AD313" s="0" t="inlineStr">
        <is>
          <t>진해구</t>
        </is>
      </c>
      <c r="AE313" s="0" t="inlineStr">
        <is>
          <t>자은동</t>
        </is>
      </c>
      <c r="AG313" s="0" t="inlineStr">
        <is>
          <t>경상남도 창원시 진해구 냉천로 262</t>
        </is>
      </c>
      <c r="AH313" s="0" t="n">
        <v>0</v>
      </c>
      <c r="AI313" s="0" t="n">
        <v>169</v>
      </c>
      <c r="AJ313" s="0" t="n">
        <v>15</v>
      </c>
      <c r="AK313" s="0" t="n">
        <v>1006</v>
      </c>
      <c r="AL313" s="0" t="n">
        <v>1.31</v>
      </c>
    </row>
    <row r="314">
      <c r="A314" s="0" t="inlineStr">
        <is>
          <t>[자은동]</t>
        </is>
      </c>
      <c r="B314" s="0" t="n">
        <v>7575</v>
      </c>
      <c r="C314" s="0" t="n">
        <v>1</v>
      </c>
      <c r="D314" s="0" t="inlineStr">
        <is>
          <t>삼성</t>
        </is>
      </c>
      <c r="E314" s="0" t="inlineStr">
        <is>
          <t>1993.07.</t>
        </is>
      </c>
      <c r="F314" s="0" t="n">
        <v>370</v>
      </c>
      <c r="G314" s="0" t="n">
        <v>20.72</v>
      </c>
      <c r="H314" s="0" t="n">
        <v>68.5</v>
      </c>
      <c r="I314" s="0" t="n">
        <v>14.86</v>
      </c>
      <c r="J314" s="0" t="n">
        <v>49.14</v>
      </c>
      <c r="K314" s="0" t="n">
        <v>100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68</v>
      </c>
      <c r="X314" s="0" t="n">
        <v>10</v>
      </c>
      <c r="Y314" s="0" t="n">
        <v>10</v>
      </c>
      <c r="Z314" s="0" t="inlineStr">
        <is>
          <t>https://new.land.naver.com/complexes/7575?tab=detail&amp;rf=Y</t>
        </is>
      </c>
      <c r="AA314" s="0" t="inlineStr">
        <is>
          <t>경상남도 창원시 진해구 자은동 849</t>
        </is>
      </c>
      <c r="AB314" s="0" t="inlineStr">
        <is>
          <t>경상남도</t>
        </is>
      </c>
      <c r="AC314" s="0" t="inlineStr">
        <is>
          <t>창원시</t>
        </is>
      </c>
      <c r="AD314" s="0" t="inlineStr">
        <is>
          <t>진해구</t>
        </is>
      </c>
      <c r="AE314" s="0" t="inlineStr">
        <is>
          <t>자은동</t>
        </is>
      </c>
      <c r="AG314" s="0" t="inlineStr">
        <is>
          <t>경상남도 창원시 진해구 자은로64번길 40</t>
        </is>
      </c>
      <c r="AH314" s="0" t="n">
        <v>0</v>
      </c>
      <c r="AI314" s="0" t="n">
        <v>228</v>
      </c>
      <c r="AJ314" s="0" t="n">
        <v>28</v>
      </c>
      <c r="AK314" s="0" t="n">
        <v>0</v>
      </c>
      <c r="AL314" s="0" t="n">
        <v>0</v>
      </c>
    </row>
    <row r="315">
      <c r="A315" s="0" t="inlineStr">
        <is>
          <t>[자은동]</t>
        </is>
      </c>
      <c r="B315" s="0" t="n">
        <v>7575</v>
      </c>
      <c r="C315" s="0" t="n">
        <v>2</v>
      </c>
      <c r="D315" s="0" t="inlineStr">
        <is>
          <t>삼성</t>
        </is>
      </c>
      <c r="E315" s="0" t="inlineStr">
        <is>
          <t>1993.07.</t>
        </is>
      </c>
      <c r="F315" s="0" t="n">
        <v>370</v>
      </c>
      <c r="G315" s="0" t="n">
        <v>24.65</v>
      </c>
      <c r="H315" s="0" t="n">
        <v>81.5</v>
      </c>
      <c r="I315" s="0" t="n">
        <v>18.12</v>
      </c>
      <c r="J315" s="0" t="n">
        <v>59.92</v>
      </c>
      <c r="K315" s="0" t="n">
        <v>270</v>
      </c>
      <c r="T315" s="0" t="n">
        <v>3</v>
      </c>
      <c r="U315" s="0" t="n">
        <v>1</v>
      </c>
      <c r="V315" s="0" t="inlineStr">
        <is>
          <t>계단식</t>
        </is>
      </c>
      <c r="W315" s="0" t="n">
        <v>81</v>
      </c>
      <c r="X315" s="0" t="n">
        <v>10</v>
      </c>
      <c r="Y315" s="0" t="n">
        <v>10</v>
      </c>
      <c r="Z315" s="0" t="inlineStr">
        <is>
          <t>https://new.land.naver.com/complexes/7575?tab=detail&amp;rf=Y</t>
        </is>
      </c>
      <c r="AA315" s="0" t="inlineStr">
        <is>
          <t>경상남도 창원시 진해구 자은동 849</t>
        </is>
      </c>
      <c r="AB315" s="0" t="inlineStr">
        <is>
          <t>경상남도</t>
        </is>
      </c>
      <c r="AC315" s="0" t="inlineStr">
        <is>
          <t>창원시</t>
        </is>
      </c>
      <c r="AD315" s="0" t="inlineStr">
        <is>
          <t>진해구</t>
        </is>
      </c>
      <c r="AE315" s="0" t="inlineStr">
        <is>
          <t>자은동</t>
        </is>
      </c>
      <c r="AG315" s="0" t="inlineStr">
        <is>
          <t>경상남도 창원시 진해구 자은로64번길 40</t>
        </is>
      </c>
      <c r="AH315" s="0" t="n">
        <v>0</v>
      </c>
      <c r="AI315" s="0" t="n">
        <v>228</v>
      </c>
      <c r="AJ315" s="0" t="n">
        <v>28</v>
      </c>
      <c r="AK315" s="0" t="n">
        <v>0</v>
      </c>
      <c r="AL315" s="0" t="n">
        <v>0</v>
      </c>
    </row>
    <row r="316">
      <c r="A316" s="0" t="inlineStr">
        <is>
          <t>[장천동]</t>
        </is>
      </c>
      <c r="B316" s="0" t="n">
        <v>108397</v>
      </c>
      <c r="C316" s="0" t="n">
        <v>1</v>
      </c>
      <c r="D316" s="0" t="inlineStr">
        <is>
          <t>창원한신휴플러스오션파크</t>
        </is>
      </c>
      <c r="E316" s="0" t="inlineStr">
        <is>
          <t>2016.05.</t>
        </is>
      </c>
      <c r="F316" s="0" t="n">
        <v>684</v>
      </c>
      <c r="G316" s="0" t="n">
        <v>27.12</v>
      </c>
      <c r="H316" s="0" t="n">
        <v>89.67</v>
      </c>
      <c r="I316" s="0" t="n">
        <v>21.11</v>
      </c>
      <c r="J316" s="0" t="n">
        <v>69.79000000000001</v>
      </c>
      <c r="K316" s="0" t="n">
        <v>101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89A</t>
        </is>
      </c>
      <c r="X316" s="0" t="n">
        <v>23</v>
      </c>
      <c r="Y316" s="0" t="n">
        <v>17</v>
      </c>
      <c r="Z316" s="0" t="inlineStr">
        <is>
          <t>https://new.land.naver.com/complexes/108397?tab=detail&amp;rf=Y</t>
        </is>
      </c>
      <c r="AA316" s="0" t="inlineStr">
        <is>
          <t>경상남도 창원시 진해구 장천동 260</t>
        </is>
      </c>
      <c r="AB316" s="0" t="inlineStr">
        <is>
          <t>경상남도</t>
        </is>
      </c>
      <c r="AC316" s="0" t="inlineStr">
        <is>
          <t>창원시</t>
        </is>
      </c>
      <c r="AD316" s="0" t="inlineStr">
        <is>
          <t>진해구</t>
        </is>
      </c>
      <c r="AE316" s="0" t="inlineStr">
        <is>
          <t>장천동</t>
        </is>
      </c>
      <c r="AG316" s="0" t="inlineStr">
        <is>
          <t>경상남도 창원시 진해구 행암로 5</t>
        </is>
      </c>
      <c r="AH316" s="0" t="n">
        <v>0</v>
      </c>
      <c r="AI316" s="0" t="n">
        <v>219</v>
      </c>
      <c r="AJ316" s="0" t="n">
        <v>18</v>
      </c>
      <c r="AK316" s="0" t="n">
        <v>806</v>
      </c>
      <c r="AL316" s="0" t="n">
        <v>1.18</v>
      </c>
    </row>
    <row r="317">
      <c r="A317" s="0" t="inlineStr">
        <is>
          <t>[장천동]</t>
        </is>
      </c>
      <c r="B317" s="0" t="n">
        <v>108397</v>
      </c>
      <c r="C317" s="0" t="n">
        <v>2</v>
      </c>
      <c r="D317" s="0" t="inlineStr">
        <is>
          <t>창원한신휴플러스오션파크</t>
        </is>
      </c>
      <c r="E317" s="0" t="inlineStr">
        <is>
          <t>2016.05.</t>
        </is>
      </c>
      <c r="F317" s="0" t="n">
        <v>684</v>
      </c>
      <c r="G317" s="0" t="n">
        <v>27.4</v>
      </c>
      <c r="H317" s="0" t="n">
        <v>90.58</v>
      </c>
      <c r="I317" s="0" t="n">
        <v>21.15</v>
      </c>
      <c r="J317" s="0" t="n">
        <v>69.92</v>
      </c>
      <c r="K317" s="0" t="n">
        <v>160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90B</t>
        </is>
      </c>
      <c r="X317" s="0" t="n">
        <v>23</v>
      </c>
      <c r="Y317" s="0" t="n">
        <v>17</v>
      </c>
      <c r="Z317" s="0" t="inlineStr">
        <is>
          <t>https://new.land.naver.com/complexes/108397?tab=detail&amp;rf=Y</t>
        </is>
      </c>
      <c r="AA317" s="0" t="inlineStr">
        <is>
          <t>경상남도 창원시 진해구 장천동 260</t>
        </is>
      </c>
      <c r="AB317" s="0" t="inlineStr">
        <is>
          <t>경상남도</t>
        </is>
      </c>
      <c r="AC317" s="0" t="inlineStr">
        <is>
          <t>창원시</t>
        </is>
      </c>
      <c r="AD317" s="0" t="inlineStr">
        <is>
          <t>진해구</t>
        </is>
      </c>
      <c r="AE317" s="0" t="inlineStr">
        <is>
          <t>장천동</t>
        </is>
      </c>
      <c r="AG317" s="0" t="inlineStr">
        <is>
          <t>경상남도 창원시 진해구 행암로 5</t>
        </is>
      </c>
      <c r="AH317" s="0" t="n">
        <v>0</v>
      </c>
      <c r="AI317" s="0" t="n">
        <v>219</v>
      </c>
      <c r="AJ317" s="0" t="n">
        <v>18</v>
      </c>
      <c r="AK317" s="0" t="n">
        <v>806</v>
      </c>
      <c r="AL317" s="0" t="n">
        <v>1.18</v>
      </c>
    </row>
    <row r="318">
      <c r="A318" s="0" t="inlineStr">
        <is>
          <t>[장천동]</t>
        </is>
      </c>
      <c r="B318" s="0" t="n">
        <v>108397</v>
      </c>
      <c r="C318" s="0" t="n">
        <v>3</v>
      </c>
      <c r="D318" s="0" t="inlineStr">
        <is>
          <t>창원한신휴플러스오션파크</t>
        </is>
      </c>
      <c r="E318" s="0" t="inlineStr">
        <is>
          <t>2016.05.</t>
        </is>
      </c>
      <c r="F318" s="0" t="n">
        <v>684</v>
      </c>
      <c r="G318" s="0" t="n">
        <v>33.18</v>
      </c>
      <c r="H318" s="0" t="n">
        <v>109.7</v>
      </c>
      <c r="I318" s="0" t="n">
        <v>25.54</v>
      </c>
      <c r="J318" s="0" t="n">
        <v>84.45</v>
      </c>
      <c r="K318" s="0" t="n">
        <v>217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109A</t>
        </is>
      </c>
      <c r="X318" s="0" t="n">
        <v>23</v>
      </c>
      <c r="Y318" s="0" t="n">
        <v>17</v>
      </c>
      <c r="Z318" s="0" t="inlineStr">
        <is>
          <t>https://new.land.naver.com/complexes/108397?tab=detail&amp;rf=Y</t>
        </is>
      </c>
      <c r="AA318" s="0" t="inlineStr">
        <is>
          <t>경상남도 창원시 진해구 장천동 260</t>
        </is>
      </c>
      <c r="AB318" s="0" t="inlineStr">
        <is>
          <t>경상남도</t>
        </is>
      </c>
      <c r="AC318" s="0" t="inlineStr">
        <is>
          <t>창원시</t>
        </is>
      </c>
      <c r="AD318" s="0" t="inlineStr">
        <is>
          <t>진해구</t>
        </is>
      </c>
      <c r="AE318" s="0" t="inlineStr">
        <is>
          <t>장천동</t>
        </is>
      </c>
      <c r="AG318" s="0" t="inlineStr">
        <is>
          <t>경상남도 창원시 진해구 행암로 5</t>
        </is>
      </c>
      <c r="AH318" s="0" t="n">
        <v>0</v>
      </c>
      <c r="AI318" s="0" t="n">
        <v>219</v>
      </c>
      <c r="AJ318" s="0" t="n">
        <v>18</v>
      </c>
      <c r="AK318" s="0" t="n">
        <v>806</v>
      </c>
      <c r="AL318" s="0" t="n">
        <v>1.18</v>
      </c>
    </row>
    <row r="319">
      <c r="A319" s="0" t="inlineStr">
        <is>
          <t>[장천동]</t>
        </is>
      </c>
      <c r="B319" s="0" t="n">
        <v>108397</v>
      </c>
      <c r="C319" s="0" t="n">
        <v>4</v>
      </c>
      <c r="D319" s="0" t="inlineStr">
        <is>
          <t>창원한신휴플러스오션파크</t>
        </is>
      </c>
      <c r="E319" s="0" t="inlineStr">
        <is>
          <t>2016.05.</t>
        </is>
      </c>
      <c r="F319" s="0" t="n">
        <v>684</v>
      </c>
      <c r="G319" s="0" t="n">
        <v>33.03</v>
      </c>
      <c r="H319" s="0" t="n">
        <v>109.21</v>
      </c>
      <c r="I319" s="0" t="n">
        <v>25.54</v>
      </c>
      <c r="J319" s="0" t="n">
        <v>84.44</v>
      </c>
      <c r="K319" s="0" t="n">
        <v>66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109D</t>
        </is>
      </c>
      <c r="X319" s="0" t="n">
        <v>23</v>
      </c>
      <c r="Y319" s="0" t="n">
        <v>17</v>
      </c>
      <c r="Z319" s="0" t="inlineStr">
        <is>
          <t>https://new.land.naver.com/complexes/108397?tab=detail&amp;rf=Y</t>
        </is>
      </c>
      <c r="AA319" s="0" t="inlineStr">
        <is>
          <t>경상남도 창원시 진해구 장천동 260</t>
        </is>
      </c>
      <c r="AB319" s="0" t="inlineStr">
        <is>
          <t>경상남도</t>
        </is>
      </c>
      <c r="AC319" s="0" t="inlineStr">
        <is>
          <t>창원시</t>
        </is>
      </c>
      <c r="AD319" s="0" t="inlineStr">
        <is>
          <t>진해구</t>
        </is>
      </c>
      <c r="AE319" s="0" t="inlineStr">
        <is>
          <t>장천동</t>
        </is>
      </c>
      <c r="AG319" s="0" t="inlineStr">
        <is>
          <t>경상남도 창원시 진해구 행암로 5</t>
        </is>
      </c>
      <c r="AH319" s="0" t="n">
        <v>0</v>
      </c>
      <c r="AI319" s="0" t="n">
        <v>219</v>
      </c>
      <c r="AJ319" s="0" t="n">
        <v>18</v>
      </c>
      <c r="AK319" s="0" t="n">
        <v>806</v>
      </c>
      <c r="AL319" s="0" t="n">
        <v>1.18</v>
      </c>
    </row>
    <row r="320">
      <c r="A320" s="0" t="inlineStr">
        <is>
          <t>[장천동]</t>
        </is>
      </c>
      <c r="B320" s="0" t="n">
        <v>108397</v>
      </c>
      <c r="C320" s="0" t="n">
        <v>5</v>
      </c>
      <c r="D320" s="0" t="inlineStr">
        <is>
          <t>창원한신휴플러스오션파크</t>
        </is>
      </c>
      <c r="E320" s="0" t="inlineStr">
        <is>
          <t>2016.05.</t>
        </is>
      </c>
      <c r="F320" s="0" t="n">
        <v>684</v>
      </c>
      <c r="G320" s="0" t="n">
        <v>33.18</v>
      </c>
      <c r="H320" s="0" t="n">
        <v>109.69</v>
      </c>
      <c r="I320" s="0" t="n">
        <v>25.61</v>
      </c>
      <c r="J320" s="0" t="n">
        <v>84.68000000000001</v>
      </c>
      <c r="K320" s="0" t="n">
        <v>64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109E</t>
        </is>
      </c>
      <c r="X320" s="0" t="n">
        <v>23</v>
      </c>
      <c r="Y320" s="0" t="n">
        <v>17</v>
      </c>
      <c r="Z320" s="0" t="inlineStr">
        <is>
          <t>https://new.land.naver.com/complexes/108397?tab=detail&amp;rf=Y</t>
        </is>
      </c>
      <c r="AA320" s="0" t="inlineStr">
        <is>
          <t>경상남도 창원시 진해구 장천동 260</t>
        </is>
      </c>
      <c r="AB320" s="0" t="inlineStr">
        <is>
          <t>경상남도</t>
        </is>
      </c>
      <c r="AC320" s="0" t="inlineStr">
        <is>
          <t>창원시</t>
        </is>
      </c>
      <c r="AD320" s="0" t="inlineStr">
        <is>
          <t>진해구</t>
        </is>
      </c>
      <c r="AE320" s="0" t="inlineStr">
        <is>
          <t>장천동</t>
        </is>
      </c>
      <c r="AG320" s="0" t="inlineStr">
        <is>
          <t>경상남도 창원시 진해구 행암로 5</t>
        </is>
      </c>
      <c r="AH320" s="0" t="n">
        <v>0</v>
      </c>
      <c r="AI320" s="0" t="n">
        <v>219</v>
      </c>
      <c r="AJ320" s="0" t="n">
        <v>18</v>
      </c>
      <c r="AK320" s="0" t="n">
        <v>806</v>
      </c>
      <c r="AL320" s="0" t="n">
        <v>1.18</v>
      </c>
    </row>
    <row r="321">
      <c r="A321" s="0" t="inlineStr">
        <is>
          <t>[장천동]</t>
        </is>
      </c>
      <c r="B321" s="0" t="n">
        <v>108397</v>
      </c>
      <c r="C321" s="0" t="n">
        <v>6</v>
      </c>
      <c r="D321" s="0" t="inlineStr">
        <is>
          <t>창원한신휴플러스오션파크</t>
        </is>
      </c>
      <c r="E321" s="0" t="inlineStr">
        <is>
          <t>2016.05.</t>
        </is>
      </c>
      <c r="F321" s="0" t="n">
        <v>684</v>
      </c>
      <c r="G321" s="0" t="n">
        <v>33.12</v>
      </c>
      <c r="H321" s="0" t="n">
        <v>109.51</v>
      </c>
      <c r="I321" s="0" t="n">
        <v>25.7</v>
      </c>
      <c r="J321" s="0" t="n">
        <v>84.98</v>
      </c>
      <c r="K321" s="0" t="n">
        <v>44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109C</t>
        </is>
      </c>
      <c r="X321" s="0" t="n">
        <v>23</v>
      </c>
      <c r="Y321" s="0" t="n">
        <v>17</v>
      </c>
      <c r="Z321" s="0" t="inlineStr">
        <is>
          <t>https://new.land.naver.com/complexes/108397?tab=detail&amp;rf=Y</t>
        </is>
      </c>
      <c r="AA321" s="0" t="inlineStr">
        <is>
          <t>경상남도 창원시 진해구 장천동 260</t>
        </is>
      </c>
      <c r="AB321" s="0" t="inlineStr">
        <is>
          <t>경상남도</t>
        </is>
      </c>
      <c r="AC321" s="0" t="inlineStr">
        <is>
          <t>창원시</t>
        </is>
      </c>
      <c r="AD321" s="0" t="inlineStr">
        <is>
          <t>진해구</t>
        </is>
      </c>
      <c r="AE321" s="0" t="inlineStr">
        <is>
          <t>장천동</t>
        </is>
      </c>
      <c r="AG321" s="0" t="inlineStr">
        <is>
          <t>경상남도 창원시 진해구 행암로 5</t>
        </is>
      </c>
      <c r="AH321" s="0" t="n">
        <v>0</v>
      </c>
      <c r="AI321" s="0" t="n">
        <v>219</v>
      </c>
      <c r="AJ321" s="0" t="n">
        <v>18</v>
      </c>
      <c r="AK321" s="0" t="n">
        <v>806</v>
      </c>
      <c r="AL321" s="0" t="n">
        <v>1.18</v>
      </c>
    </row>
    <row r="322">
      <c r="A322" s="0" t="inlineStr">
        <is>
          <t>[장천동]</t>
        </is>
      </c>
      <c r="B322" s="0" t="n">
        <v>108397</v>
      </c>
      <c r="C322" s="0" t="n">
        <v>7</v>
      </c>
      <c r="D322" s="0" t="inlineStr">
        <is>
          <t>창원한신휴플러스오션파크</t>
        </is>
      </c>
      <c r="E322" s="0" t="inlineStr">
        <is>
          <t>2016.05.</t>
        </is>
      </c>
      <c r="F322" s="0" t="n">
        <v>684</v>
      </c>
      <c r="G322" s="0" t="n">
        <v>33.08</v>
      </c>
      <c r="H322" s="0" t="n">
        <v>109.37</v>
      </c>
      <c r="I322" s="0" t="n">
        <v>25.62</v>
      </c>
      <c r="J322" s="0" t="n">
        <v>84.7</v>
      </c>
      <c r="K322" s="0" t="n">
        <v>22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109F</t>
        </is>
      </c>
      <c r="X322" s="0" t="n">
        <v>23</v>
      </c>
      <c r="Y322" s="0" t="n">
        <v>17</v>
      </c>
      <c r="Z322" s="0" t="inlineStr">
        <is>
          <t>https://new.land.naver.com/complexes/108397?tab=detail&amp;rf=Y</t>
        </is>
      </c>
      <c r="AA322" s="0" t="inlineStr">
        <is>
          <t>경상남도 창원시 진해구 장천동 260</t>
        </is>
      </c>
      <c r="AB322" s="0" t="inlineStr">
        <is>
          <t>경상남도</t>
        </is>
      </c>
      <c r="AC322" s="0" t="inlineStr">
        <is>
          <t>창원시</t>
        </is>
      </c>
      <c r="AD322" s="0" t="inlineStr">
        <is>
          <t>진해구</t>
        </is>
      </c>
      <c r="AE322" s="0" t="inlineStr">
        <is>
          <t>장천동</t>
        </is>
      </c>
      <c r="AG322" s="0" t="inlineStr">
        <is>
          <t>경상남도 창원시 진해구 행암로 5</t>
        </is>
      </c>
      <c r="AH322" s="0" t="n">
        <v>0</v>
      </c>
      <c r="AI322" s="0" t="n">
        <v>219</v>
      </c>
      <c r="AJ322" s="0" t="n">
        <v>18</v>
      </c>
      <c r="AK322" s="0" t="n">
        <v>806</v>
      </c>
      <c r="AL322" s="0" t="n">
        <v>1.18</v>
      </c>
    </row>
    <row r="323">
      <c r="A323" s="0" t="inlineStr">
        <is>
          <t>[장천동]</t>
        </is>
      </c>
      <c r="B323" s="0" t="n">
        <v>108397</v>
      </c>
      <c r="C323" s="0" t="n">
        <v>8</v>
      </c>
      <c r="D323" s="0" t="inlineStr">
        <is>
          <t>창원한신휴플러스오션파크</t>
        </is>
      </c>
      <c r="E323" s="0" t="inlineStr">
        <is>
          <t>2016.05.</t>
        </is>
      </c>
      <c r="F323" s="0" t="n">
        <v>684</v>
      </c>
      <c r="G323" s="0" t="n">
        <v>34.41</v>
      </c>
      <c r="H323" s="0" t="n">
        <v>113.76</v>
      </c>
      <c r="I323" s="0" t="n">
        <v>25.54</v>
      </c>
      <c r="J323" s="0" t="n">
        <v>84.45</v>
      </c>
      <c r="K323" s="0" t="n">
        <v>10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113B</t>
        </is>
      </c>
      <c r="X323" s="0" t="n">
        <v>23</v>
      </c>
      <c r="Y323" s="0" t="n">
        <v>17</v>
      </c>
      <c r="Z323" s="0" t="inlineStr">
        <is>
          <t>https://new.land.naver.com/complexes/108397?tab=detail&amp;rf=Y</t>
        </is>
      </c>
      <c r="AA323" s="0" t="inlineStr">
        <is>
          <t>경상남도 창원시 진해구 장천동 260</t>
        </is>
      </c>
      <c r="AB323" s="0" t="inlineStr">
        <is>
          <t>경상남도</t>
        </is>
      </c>
      <c r="AC323" s="0" t="inlineStr">
        <is>
          <t>창원시</t>
        </is>
      </c>
      <c r="AD323" s="0" t="inlineStr">
        <is>
          <t>진해구</t>
        </is>
      </c>
      <c r="AE323" s="0" t="inlineStr">
        <is>
          <t>장천동</t>
        </is>
      </c>
      <c r="AG323" s="0" t="inlineStr">
        <is>
          <t>경상남도 창원시 진해구 행암로 5</t>
        </is>
      </c>
      <c r="AH323" s="0" t="n">
        <v>0</v>
      </c>
      <c r="AI323" s="0" t="n">
        <v>219</v>
      </c>
      <c r="AJ323" s="0" t="n">
        <v>18</v>
      </c>
      <c r="AK323" s="0" t="n">
        <v>806</v>
      </c>
      <c r="AL323" s="0" t="n">
        <v>1.18</v>
      </c>
    </row>
    <row r="324">
      <c r="A324" s="0" t="inlineStr">
        <is>
          <t>[장천동]</t>
        </is>
      </c>
      <c r="B324" s="0" t="n">
        <v>22971</v>
      </c>
      <c r="C324" s="0" t="n">
        <v>1</v>
      </c>
      <c r="D324" s="0" t="inlineStr">
        <is>
          <t>진해장천대동다숲</t>
        </is>
      </c>
      <c r="E324" s="0" t="inlineStr">
        <is>
          <t>2007.12.</t>
        </is>
      </c>
      <c r="F324" s="0" t="n">
        <v>1264</v>
      </c>
      <c r="G324" s="0" t="n">
        <v>25.94</v>
      </c>
      <c r="H324" s="0" t="n">
        <v>85.77</v>
      </c>
      <c r="I324" s="0" t="n">
        <v>18.14</v>
      </c>
      <c r="J324" s="0" t="n">
        <v>59.97</v>
      </c>
      <c r="K324" s="0" t="n">
        <v>120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85</v>
      </c>
      <c r="X324" s="0" t="n">
        <v>15</v>
      </c>
      <c r="Y324" s="0" t="n">
        <v>11</v>
      </c>
      <c r="Z324" s="0" t="inlineStr">
        <is>
          <t>https://new.land.naver.com/complexes/22971?tab=detail&amp;rf=Y</t>
        </is>
      </c>
      <c r="AA324" s="0" t="inlineStr">
        <is>
          <t>경상남도 창원시 진해구 장천동 119-12</t>
        </is>
      </c>
      <c r="AB324" s="0" t="inlineStr">
        <is>
          <t>경상남도</t>
        </is>
      </c>
      <c r="AC324" s="0" t="inlineStr">
        <is>
          <t>창원시</t>
        </is>
      </c>
      <c r="AD324" s="0" t="inlineStr">
        <is>
          <t>진해구</t>
        </is>
      </c>
      <c r="AE324" s="0" t="inlineStr">
        <is>
          <t>장천동</t>
        </is>
      </c>
      <c r="AG324" s="0" t="inlineStr">
        <is>
          <t>경상남도 창원시 진해구 행암로 25</t>
        </is>
      </c>
      <c r="AH324" s="0" t="n">
        <v>0</v>
      </c>
      <c r="AI324" s="0" t="n">
        <v>167</v>
      </c>
      <c r="AJ324" s="0" t="n">
        <v>15</v>
      </c>
      <c r="AK324" s="0" t="n">
        <v>1682</v>
      </c>
      <c r="AL324" s="0" t="n">
        <v>1.33</v>
      </c>
    </row>
    <row r="325">
      <c r="A325" s="0" t="inlineStr">
        <is>
          <t>[장천동]</t>
        </is>
      </c>
      <c r="B325" s="0" t="n">
        <v>22971</v>
      </c>
      <c r="C325" s="0" t="n">
        <v>2</v>
      </c>
      <c r="D325" s="0" t="inlineStr">
        <is>
          <t>진해장천대동다숲</t>
        </is>
      </c>
      <c r="E325" s="0" t="inlineStr">
        <is>
          <t>2007.12.</t>
        </is>
      </c>
      <c r="F325" s="0" t="n">
        <v>1264</v>
      </c>
      <c r="G325" s="0" t="n">
        <v>33.42</v>
      </c>
      <c r="H325" s="0" t="n">
        <v>110.5</v>
      </c>
      <c r="I325" s="0" t="n">
        <v>25.67</v>
      </c>
      <c r="J325" s="0" t="n">
        <v>84.88</v>
      </c>
      <c r="K325" s="0" t="n">
        <v>402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110</v>
      </c>
      <c r="X325" s="0" t="n">
        <v>15</v>
      </c>
      <c r="Y325" s="0" t="n">
        <v>11</v>
      </c>
      <c r="Z325" s="0" t="inlineStr">
        <is>
          <t>https://new.land.naver.com/complexes/22971?tab=detail&amp;rf=Y</t>
        </is>
      </c>
      <c r="AA325" s="0" t="inlineStr">
        <is>
          <t>경상남도 창원시 진해구 장천동 119-12</t>
        </is>
      </c>
      <c r="AB325" s="0" t="inlineStr">
        <is>
          <t>경상남도</t>
        </is>
      </c>
      <c r="AC325" s="0" t="inlineStr">
        <is>
          <t>창원시</t>
        </is>
      </c>
      <c r="AD325" s="0" t="inlineStr">
        <is>
          <t>진해구</t>
        </is>
      </c>
      <c r="AE325" s="0" t="inlineStr">
        <is>
          <t>장천동</t>
        </is>
      </c>
      <c r="AG325" s="0" t="inlineStr">
        <is>
          <t>경상남도 창원시 진해구 행암로 25</t>
        </is>
      </c>
      <c r="AH325" s="0" t="n">
        <v>0</v>
      </c>
      <c r="AI325" s="0" t="n">
        <v>167</v>
      </c>
      <c r="AJ325" s="0" t="n">
        <v>15</v>
      </c>
      <c r="AK325" s="0" t="n">
        <v>1682</v>
      </c>
      <c r="AL325" s="0" t="n">
        <v>1.33</v>
      </c>
    </row>
    <row r="326">
      <c r="A326" s="0" t="inlineStr">
        <is>
          <t>[장천동]</t>
        </is>
      </c>
      <c r="B326" s="0" t="n">
        <v>22971</v>
      </c>
      <c r="C326" s="0" t="n">
        <v>3</v>
      </c>
      <c r="D326" s="0" t="inlineStr">
        <is>
          <t>진해장천대동다숲</t>
        </is>
      </c>
      <c r="E326" s="0" t="inlineStr">
        <is>
          <t>2007.12.</t>
        </is>
      </c>
      <c r="F326" s="0" t="n">
        <v>1264</v>
      </c>
      <c r="G326" s="0" t="n">
        <v>33.67</v>
      </c>
      <c r="H326" s="0" t="n">
        <v>111.33</v>
      </c>
      <c r="I326" s="0" t="n">
        <v>25.65</v>
      </c>
      <c r="J326" s="0" t="n">
        <v>84.81999999999999</v>
      </c>
      <c r="K326" s="0" t="n">
        <v>251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111</v>
      </c>
      <c r="X326" s="0" t="n">
        <v>15</v>
      </c>
      <c r="Y326" s="0" t="n">
        <v>11</v>
      </c>
      <c r="Z326" s="0" t="inlineStr">
        <is>
          <t>https://new.land.naver.com/complexes/22971?tab=detail&amp;rf=Y</t>
        </is>
      </c>
      <c r="AA326" s="0" t="inlineStr">
        <is>
          <t>경상남도 창원시 진해구 장천동 119-12</t>
        </is>
      </c>
      <c r="AB326" s="0" t="inlineStr">
        <is>
          <t>경상남도</t>
        </is>
      </c>
      <c r="AC326" s="0" t="inlineStr">
        <is>
          <t>창원시</t>
        </is>
      </c>
      <c r="AD326" s="0" t="inlineStr">
        <is>
          <t>진해구</t>
        </is>
      </c>
      <c r="AE326" s="0" t="inlineStr">
        <is>
          <t>장천동</t>
        </is>
      </c>
      <c r="AG326" s="0" t="inlineStr">
        <is>
          <t>경상남도 창원시 진해구 행암로 25</t>
        </is>
      </c>
      <c r="AH326" s="0" t="n">
        <v>0</v>
      </c>
      <c r="AI326" s="0" t="n">
        <v>167</v>
      </c>
      <c r="AJ326" s="0" t="n">
        <v>15</v>
      </c>
      <c r="AK326" s="0" t="n">
        <v>1682</v>
      </c>
      <c r="AL326" s="0" t="n">
        <v>1.33</v>
      </c>
    </row>
    <row r="327">
      <c r="A327" s="0" t="inlineStr">
        <is>
          <t>[장천동]</t>
        </is>
      </c>
      <c r="B327" s="0" t="n">
        <v>22971</v>
      </c>
      <c r="C327" s="0" t="n">
        <v>4</v>
      </c>
      <c r="D327" s="0" t="inlineStr">
        <is>
          <t>진해장천대동다숲</t>
        </is>
      </c>
      <c r="E327" s="0" t="inlineStr">
        <is>
          <t>2007.12.</t>
        </is>
      </c>
      <c r="F327" s="0" t="n">
        <v>1264</v>
      </c>
      <c r="G327" s="0" t="n">
        <v>35.65</v>
      </c>
      <c r="H327" s="0" t="n">
        <v>117.87</v>
      </c>
      <c r="I327" s="0" t="n">
        <v>25.69</v>
      </c>
      <c r="J327" s="0" t="n">
        <v>84.95</v>
      </c>
      <c r="K327" s="0" t="n">
        <v>253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117</v>
      </c>
      <c r="X327" s="0" t="n">
        <v>15</v>
      </c>
      <c r="Y327" s="0" t="n">
        <v>11</v>
      </c>
      <c r="Z327" s="0" t="inlineStr">
        <is>
          <t>https://new.land.naver.com/complexes/22971?tab=detail&amp;rf=Y</t>
        </is>
      </c>
      <c r="AA327" s="0" t="inlineStr">
        <is>
          <t>경상남도 창원시 진해구 장천동 119-12</t>
        </is>
      </c>
      <c r="AB327" s="0" t="inlineStr">
        <is>
          <t>경상남도</t>
        </is>
      </c>
      <c r="AC327" s="0" t="inlineStr">
        <is>
          <t>창원시</t>
        </is>
      </c>
      <c r="AD327" s="0" t="inlineStr">
        <is>
          <t>진해구</t>
        </is>
      </c>
      <c r="AE327" s="0" t="inlineStr">
        <is>
          <t>장천동</t>
        </is>
      </c>
      <c r="AG327" s="0" t="inlineStr">
        <is>
          <t>경상남도 창원시 진해구 행암로 25</t>
        </is>
      </c>
      <c r="AH327" s="0" t="n">
        <v>0</v>
      </c>
      <c r="AI327" s="0" t="n">
        <v>167</v>
      </c>
      <c r="AJ327" s="0" t="n">
        <v>15</v>
      </c>
      <c r="AK327" s="0" t="n">
        <v>1682</v>
      </c>
      <c r="AL327" s="0" t="n">
        <v>1.33</v>
      </c>
    </row>
    <row r="328">
      <c r="A328" s="0" t="inlineStr">
        <is>
          <t>[장천동]</t>
        </is>
      </c>
      <c r="B328" s="0" t="n">
        <v>22971</v>
      </c>
      <c r="C328" s="0" t="n">
        <v>5</v>
      </c>
      <c r="D328" s="0" t="inlineStr">
        <is>
          <t>진해장천대동다숲</t>
        </is>
      </c>
      <c r="E328" s="0" t="inlineStr">
        <is>
          <t>2007.12.</t>
        </is>
      </c>
      <c r="F328" s="0" t="n">
        <v>1264</v>
      </c>
      <c r="G328" s="0" t="n">
        <v>47.24</v>
      </c>
      <c r="H328" s="0" t="n">
        <v>156.18</v>
      </c>
      <c r="I328" s="0" t="n">
        <v>36.92</v>
      </c>
      <c r="J328" s="0" t="n">
        <v>122.06</v>
      </c>
      <c r="K328" s="0" t="n">
        <v>90</v>
      </c>
      <c r="T328" s="0" t="n">
        <v>4</v>
      </c>
      <c r="U328" s="0" t="n">
        <v>2</v>
      </c>
      <c r="V328" s="0" t="inlineStr">
        <is>
          <t>계단식</t>
        </is>
      </c>
      <c r="W328" s="0" t="n">
        <v>156</v>
      </c>
      <c r="X328" s="0" t="n">
        <v>15</v>
      </c>
      <c r="Y328" s="0" t="n">
        <v>11</v>
      </c>
      <c r="Z328" s="0" t="inlineStr">
        <is>
          <t>https://new.land.naver.com/complexes/22971?tab=detail&amp;rf=Y</t>
        </is>
      </c>
      <c r="AA328" s="0" t="inlineStr">
        <is>
          <t>경상남도 창원시 진해구 장천동 119-12</t>
        </is>
      </c>
      <c r="AB328" s="0" t="inlineStr">
        <is>
          <t>경상남도</t>
        </is>
      </c>
      <c r="AC328" s="0" t="inlineStr">
        <is>
          <t>창원시</t>
        </is>
      </c>
      <c r="AD328" s="0" t="inlineStr">
        <is>
          <t>진해구</t>
        </is>
      </c>
      <c r="AE328" s="0" t="inlineStr">
        <is>
          <t>장천동</t>
        </is>
      </c>
      <c r="AG328" s="0" t="inlineStr">
        <is>
          <t>경상남도 창원시 진해구 행암로 25</t>
        </is>
      </c>
      <c r="AH328" s="0" t="n">
        <v>0</v>
      </c>
      <c r="AI328" s="0" t="n">
        <v>167</v>
      </c>
      <c r="AJ328" s="0" t="n">
        <v>15</v>
      </c>
      <c r="AK328" s="0" t="n">
        <v>1682</v>
      </c>
      <c r="AL328" s="0" t="n">
        <v>1.33</v>
      </c>
    </row>
    <row r="329">
      <c r="A329" s="0" t="inlineStr">
        <is>
          <t>[장천동]</t>
        </is>
      </c>
      <c r="B329" s="0" t="n">
        <v>22971</v>
      </c>
      <c r="C329" s="0" t="n">
        <v>6</v>
      </c>
      <c r="D329" s="0" t="inlineStr">
        <is>
          <t>진해장천대동다숲</t>
        </is>
      </c>
      <c r="E329" s="0" t="inlineStr">
        <is>
          <t>2007.12.</t>
        </is>
      </c>
      <c r="F329" s="0" t="n">
        <v>1264</v>
      </c>
      <c r="G329" s="0" t="n">
        <v>55.67</v>
      </c>
      <c r="H329" s="0" t="n">
        <v>184.06</v>
      </c>
      <c r="I329" s="0" t="n">
        <v>42.77</v>
      </c>
      <c r="J329" s="0" t="n">
        <v>141.4</v>
      </c>
      <c r="K329" s="0" t="n">
        <v>90</v>
      </c>
      <c r="T329" s="0" t="n">
        <v>4</v>
      </c>
      <c r="U329" s="0" t="n">
        <v>2</v>
      </c>
      <c r="V329" s="0" t="inlineStr">
        <is>
          <t>계단식</t>
        </is>
      </c>
      <c r="W329" s="0" t="n">
        <v>184</v>
      </c>
      <c r="X329" s="0" t="n">
        <v>15</v>
      </c>
      <c r="Y329" s="0" t="n">
        <v>11</v>
      </c>
      <c r="Z329" s="0" t="inlineStr">
        <is>
          <t>https://new.land.naver.com/complexes/22971?tab=detail&amp;rf=Y</t>
        </is>
      </c>
      <c r="AA329" s="0" t="inlineStr">
        <is>
          <t>경상남도 창원시 진해구 장천동 119-12</t>
        </is>
      </c>
      <c r="AB329" s="0" t="inlineStr">
        <is>
          <t>경상남도</t>
        </is>
      </c>
      <c r="AC329" s="0" t="inlineStr">
        <is>
          <t>창원시</t>
        </is>
      </c>
      <c r="AD329" s="0" t="inlineStr">
        <is>
          <t>진해구</t>
        </is>
      </c>
      <c r="AE329" s="0" t="inlineStr">
        <is>
          <t>장천동</t>
        </is>
      </c>
      <c r="AG329" s="0" t="inlineStr">
        <is>
          <t>경상남도 창원시 진해구 행암로 25</t>
        </is>
      </c>
      <c r="AH329" s="0" t="n">
        <v>0</v>
      </c>
      <c r="AI329" s="0" t="n">
        <v>167</v>
      </c>
      <c r="AJ329" s="0" t="n">
        <v>15</v>
      </c>
      <c r="AK329" s="0" t="n">
        <v>1682</v>
      </c>
      <c r="AL329" s="0" t="n">
        <v>1.33</v>
      </c>
    </row>
    <row r="330">
      <c r="A330" s="0" t="inlineStr">
        <is>
          <t>[장천동]</t>
        </is>
      </c>
      <c r="B330" s="0" t="n">
        <v>22971</v>
      </c>
      <c r="C330" s="0" t="n">
        <v>7</v>
      </c>
      <c r="D330" s="0" t="inlineStr">
        <is>
          <t>진해장천대동다숲</t>
        </is>
      </c>
      <c r="E330" s="0" t="inlineStr">
        <is>
          <t>2007.12.</t>
        </is>
      </c>
      <c r="F330" s="0" t="n">
        <v>1264</v>
      </c>
      <c r="G330" s="0" t="n">
        <v>64.59999999999999</v>
      </c>
      <c r="H330" s="0" t="n">
        <v>213.57</v>
      </c>
      <c r="I330" s="0" t="n">
        <v>53.77</v>
      </c>
      <c r="J330" s="0" t="n">
        <v>177.77</v>
      </c>
      <c r="K330" s="0" t="n">
        <v>28</v>
      </c>
      <c r="T330" s="0" t="n">
        <v>5</v>
      </c>
      <c r="U330" s="0" t="n">
        <v>2</v>
      </c>
      <c r="V330" s="0" t="inlineStr">
        <is>
          <t>계단식</t>
        </is>
      </c>
      <c r="W330" s="0" t="n">
        <v>213</v>
      </c>
      <c r="X330" s="0" t="n">
        <v>15</v>
      </c>
      <c r="Y330" s="0" t="n">
        <v>11</v>
      </c>
      <c r="Z330" s="0" t="inlineStr">
        <is>
          <t>https://new.land.naver.com/complexes/22971?tab=detail&amp;rf=Y</t>
        </is>
      </c>
      <c r="AA330" s="0" t="inlineStr">
        <is>
          <t>경상남도 창원시 진해구 장천동 119-12</t>
        </is>
      </c>
      <c r="AB330" s="0" t="inlineStr">
        <is>
          <t>경상남도</t>
        </is>
      </c>
      <c r="AC330" s="0" t="inlineStr">
        <is>
          <t>창원시</t>
        </is>
      </c>
      <c r="AD330" s="0" t="inlineStr">
        <is>
          <t>진해구</t>
        </is>
      </c>
      <c r="AE330" s="0" t="inlineStr">
        <is>
          <t>장천동</t>
        </is>
      </c>
      <c r="AG330" s="0" t="inlineStr">
        <is>
          <t>경상남도 창원시 진해구 행암로 25</t>
        </is>
      </c>
      <c r="AH330" s="0" t="n">
        <v>0</v>
      </c>
      <c r="AI330" s="0" t="n">
        <v>167</v>
      </c>
      <c r="AJ330" s="0" t="n">
        <v>15</v>
      </c>
      <c r="AK330" s="0" t="n">
        <v>1682</v>
      </c>
      <c r="AL330" s="0" t="n">
        <v>1.33</v>
      </c>
    </row>
    <row r="331">
      <c r="A331" s="0" t="inlineStr">
        <is>
          <t>[장천동]</t>
        </is>
      </c>
      <c r="B331" s="0" t="n">
        <v>22971</v>
      </c>
      <c r="C331" s="0" t="n">
        <v>8</v>
      </c>
      <c r="D331" s="0" t="inlineStr">
        <is>
          <t>진해장천대동다숲</t>
        </is>
      </c>
      <c r="E331" s="0" t="inlineStr">
        <is>
          <t>2007.12.</t>
        </is>
      </c>
      <c r="F331" s="0" t="n">
        <v>1264</v>
      </c>
      <c r="G331" s="0" t="n">
        <v>79.68000000000001</v>
      </c>
      <c r="H331" s="0" t="n">
        <v>263.42</v>
      </c>
      <c r="I331" s="0" t="n">
        <v>68.22</v>
      </c>
      <c r="J331" s="0" t="n">
        <v>225.53</v>
      </c>
      <c r="K331" s="0" t="n">
        <v>30</v>
      </c>
      <c r="T331" s="0" t="n">
        <v>5</v>
      </c>
      <c r="U331" s="0" t="n">
        <v>3</v>
      </c>
      <c r="V331" s="0" t="inlineStr">
        <is>
          <t>계단식</t>
        </is>
      </c>
      <c r="W331" s="0" t="n">
        <v>263</v>
      </c>
      <c r="X331" s="0" t="n">
        <v>15</v>
      </c>
      <c r="Y331" s="0" t="n">
        <v>11</v>
      </c>
      <c r="Z331" s="0" t="inlineStr">
        <is>
          <t>https://new.land.naver.com/complexes/22971?tab=detail&amp;rf=Y</t>
        </is>
      </c>
      <c r="AA331" s="0" t="inlineStr">
        <is>
          <t>경상남도 창원시 진해구 장천동 119-12</t>
        </is>
      </c>
      <c r="AB331" s="0" t="inlineStr">
        <is>
          <t>경상남도</t>
        </is>
      </c>
      <c r="AC331" s="0" t="inlineStr">
        <is>
          <t>창원시</t>
        </is>
      </c>
      <c r="AD331" s="0" t="inlineStr">
        <is>
          <t>진해구</t>
        </is>
      </c>
      <c r="AE331" s="0" t="inlineStr">
        <is>
          <t>장천동</t>
        </is>
      </c>
      <c r="AG331" s="0" t="inlineStr">
        <is>
          <t>경상남도 창원시 진해구 행암로 25</t>
        </is>
      </c>
      <c r="AH331" s="0" t="n">
        <v>0</v>
      </c>
      <c r="AI331" s="0" t="n">
        <v>167</v>
      </c>
      <c r="AJ331" s="0" t="n">
        <v>15</v>
      </c>
      <c r="AK331" s="0" t="n">
        <v>1682</v>
      </c>
      <c r="AL331" s="0" t="n">
        <v>1.33</v>
      </c>
    </row>
    <row r="332">
      <c r="A332" s="0" t="inlineStr">
        <is>
          <t>[장천동]</t>
        </is>
      </c>
      <c r="B332" s="0" t="n">
        <v>26961</v>
      </c>
      <c r="C332" s="0" t="n">
        <v>1</v>
      </c>
      <c r="D332" s="0" t="inlineStr">
        <is>
          <t>벽산e솔렌스힐</t>
        </is>
      </c>
      <c r="E332" s="0" t="inlineStr">
        <is>
          <t>2008.07.</t>
        </is>
      </c>
      <c r="F332" s="0" t="n">
        <v>282</v>
      </c>
      <c r="G332" s="0" t="n">
        <v>33.19</v>
      </c>
      <c r="H332" s="0" t="n">
        <v>109.74</v>
      </c>
      <c r="I332" s="0" t="n">
        <v>25.69</v>
      </c>
      <c r="J332" s="0" t="n">
        <v>84.94</v>
      </c>
      <c r="K332" s="0" t="n">
        <v>147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109</v>
      </c>
      <c r="X332" s="0" t="n">
        <v>15</v>
      </c>
      <c r="Y332" s="0" t="n">
        <v>10</v>
      </c>
      <c r="Z332" s="0" t="inlineStr">
        <is>
          <t>https://new.land.naver.com/complexes/26961?tab=detail&amp;rf=Y</t>
        </is>
      </c>
      <c r="AA332" s="0" t="inlineStr">
        <is>
          <t>경상남도 창원시 진해구 장천동 132</t>
        </is>
      </c>
      <c r="AB332" s="0" t="inlineStr">
        <is>
          <t>경상남도</t>
        </is>
      </c>
      <c r="AC332" s="0" t="inlineStr">
        <is>
          <t>창원시</t>
        </is>
      </c>
      <c r="AD332" s="0" t="inlineStr">
        <is>
          <t>진해구</t>
        </is>
      </c>
      <c r="AE332" s="0" t="inlineStr">
        <is>
          <t>장천동</t>
        </is>
      </c>
      <c r="AG332" s="0" t="inlineStr">
        <is>
          <t>경상남도 창원시 진해구 진해대로1099번길 10</t>
        </is>
      </c>
      <c r="AH332" s="0" t="n">
        <v>0</v>
      </c>
      <c r="AI332" s="0" t="n">
        <v>230</v>
      </c>
      <c r="AJ332" s="0" t="n">
        <v>20</v>
      </c>
      <c r="AK332" s="0" t="n">
        <v>388</v>
      </c>
      <c r="AL332" s="0" t="n">
        <v>1.38</v>
      </c>
    </row>
    <row r="333">
      <c r="A333" s="0" t="inlineStr">
        <is>
          <t>[장천동]</t>
        </is>
      </c>
      <c r="B333" s="0" t="n">
        <v>26961</v>
      </c>
      <c r="C333" s="0" t="n">
        <v>2</v>
      </c>
      <c r="D333" s="0" t="inlineStr">
        <is>
          <t>벽산e솔렌스힐</t>
        </is>
      </c>
      <c r="E333" s="0" t="inlineStr">
        <is>
          <t>2008.07.</t>
        </is>
      </c>
      <c r="F333" s="0" t="n">
        <v>282</v>
      </c>
      <c r="G333" s="0" t="n">
        <v>45.72</v>
      </c>
      <c r="H333" s="0" t="n">
        <v>151.16</v>
      </c>
      <c r="I333" s="0" t="n">
        <v>36.51</v>
      </c>
      <c r="J333" s="0" t="n">
        <v>120.71</v>
      </c>
      <c r="K333" s="0" t="n">
        <v>45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151</v>
      </c>
      <c r="X333" s="0" t="n">
        <v>15</v>
      </c>
      <c r="Y333" s="0" t="n">
        <v>10</v>
      </c>
      <c r="Z333" s="0" t="inlineStr">
        <is>
          <t>https://new.land.naver.com/complexes/26961?tab=detail&amp;rf=Y</t>
        </is>
      </c>
      <c r="AA333" s="0" t="inlineStr">
        <is>
          <t>경상남도 창원시 진해구 장천동 132</t>
        </is>
      </c>
      <c r="AB333" s="0" t="inlineStr">
        <is>
          <t>경상남도</t>
        </is>
      </c>
      <c r="AC333" s="0" t="inlineStr">
        <is>
          <t>창원시</t>
        </is>
      </c>
      <c r="AD333" s="0" t="inlineStr">
        <is>
          <t>진해구</t>
        </is>
      </c>
      <c r="AE333" s="0" t="inlineStr">
        <is>
          <t>장천동</t>
        </is>
      </c>
      <c r="AG333" s="0" t="inlineStr">
        <is>
          <t>경상남도 창원시 진해구 진해대로1099번길 10</t>
        </is>
      </c>
      <c r="AH333" s="0" t="n">
        <v>0</v>
      </c>
      <c r="AI333" s="0" t="n">
        <v>230</v>
      </c>
      <c r="AJ333" s="0" t="n">
        <v>20</v>
      </c>
      <c r="AK333" s="0" t="n">
        <v>388</v>
      </c>
      <c r="AL333" s="0" t="n">
        <v>1.38</v>
      </c>
    </row>
    <row r="334">
      <c r="A334" s="0" t="inlineStr">
        <is>
          <t>[장천동]</t>
        </is>
      </c>
      <c r="B334" s="0" t="n">
        <v>26961</v>
      </c>
      <c r="C334" s="0" t="n">
        <v>3</v>
      </c>
      <c r="D334" s="0" t="inlineStr">
        <is>
          <t>벽산e솔렌스힐</t>
        </is>
      </c>
      <c r="E334" s="0" t="inlineStr">
        <is>
          <t>2008.07.</t>
        </is>
      </c>
      <c r="F334" s="0" t="n">
        <v>282</v>
      </c>
      <c r="G334" s="0" t="n">
        <v>52.79</v>
      </c>
      <c r="H334" s="0" t="n">
        <v>174.53</v>
      </c>
      <c r="I334" s="0" t="n">
        <v>42.49</v>
      </c>
      <c r="J334" s="0" t="n">
        <v>140.47</v>
      </c>
      <c r="K334" s="0" t="n">
        <v>90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174</v>
      </c>
      <c r="X334" s="0" t="n">
        <v>15</v>
      </c>
      <c r="Y334" s="0" t="n">
        <v>10</v>
      </c>
      <c r="Z334" s="0" t="inlineStr">
        <is>
          <t>https://new.land.naver.com/complexes/26961?tab=detail&amp;rf=Y</t>
        </is>
      </c>
      <c r="AA334" s="0" t="inlineStr">
        <is>
          <t>경상남도 창원시 진해구 장천동 132</t>
        </is>
      </c>
      <c r="AB334" s="0" t="inlineStr">
        <is>
          <t>경상남도</t>
        </is>
      </c>
      <c r="AC334" s="0" t="inlineStr">
        <is>
          <t>창원시</t>
        </is>
      </c>
      <c r="AD334" s="0" t="inlineStr">
        <is>
          <t>진해구</t>
        </is>
      </c>
      <c r="AE334" s="0" t="inlineStr">
        <is>
          <t>장천동</t>
        </is>
      </c>
      <c r="AG334" s="0" t="inlineStr">
        <is>
          <t>경상남도 창원시 진해구 진해대로1099번길 10</t>
        </is>
      </c>
      <c r="AH334" s="0" t="n">
        <v>0</v>
      </c>
      <c r="AI334" s="0" t="n">
        <v>230</v>
      </c>
      <c r="AJ334" s="0" t="n">
        <v>20</v>
      </c>
      <c r="AK334" s="0" t="n">
        <v>388</v>
      </c>
      <c r="AL334" s="0" t="n">
        <v>1.38</v>
      </c>
    </row>
    <row r="335">
      <c r="A335" s="0" t="inlineStr">
        <is>
          <t>[제황산동]</t>
        </is>
      </c>
      <c r="B335" s="0" t="n">
        <v>24632</v>
      </c>
      <c r="C335" s="0" t="n">
        <v>1</v>
      </c>
      <c r="D335" s="0" t="inlineStr">
        <is>
          <t>대암그린비치맨션</t>
        </is>
      </c>
      <c r="E335" s="0" t="inlineStr">
        <is>
          <t>1991.10.</t>
        </is>
      </c>
      <c r="F335" s="0" t="n">
        <v>150</v>
      </c>
      <c r="G335" s="0" t="n">
        <v>23.65</v>
      </c>
      <c r="H335" s="0" t="n">
        <v>78.2</v>
      </c>
      <c r="I335" s="0" t="n">
        <v>23.65</v>
      </c>
      <c r="J335" s="0" t="n">
        <v>78.2</v>
      </c>
      <c r="K335" s="0" t="n">
        <v>15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78</v>
      </c>
      <c r="X335" s="0" t="n">
        <v>15</v>
      </c>
      <c r="Y335" s="0" t="n">
        <v>15</v>
      </c>
      <c r="Z335" s="0" t="inlineStr">
        <is>
          <t>https://new.land.naver.com/complexes/24632?tab=detail&amp;rf=Y</t>
        </is>
      </c>
      <c r="AA335" s="0" t="inlineStr">
        <is>
          <t>경상남도 창원시 진해구 제황산동 25-52</t>
        </is>
      </c>
      <c r="AB335" s="0" t="inlineStr">
        <is>
          <t>경상남도</t>
        </is>
      </c>
      <c r="AC335" s="0" t="inlineStr">
        <is>
          <t>창원시</t>
        </is>
      </c>
      <c r="AD335" s="0" t="inlineStr">
        <is>
          <t>진해구</t>
        </is>
      </c>
      <c r="AE335" s="0" t="inlineStr">
        <is>
          <t>제황산동</t>
        </is>
      </c>
      <c r="AG335" s="0" t="inlineStr">
        <is>
          <t>경상남도 창원시 진해구 속천로23번길 9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[제황산동]</t>
        </is>
      </c>
      <c r="B336" s="0" t="n">
        <v>24632</v>
      </c>
      <c r="C336" s="0" t="n">
        <v>2</v>
      </c>
      <c r="D336" s="0" t="inlineStr">
        <is>
          <t>대암그린비치맨션</t>
        </is>
      </c>
      <c r="E336" s="0" t="inlineStr">
        <is>
          <t>1991.10.</t>
        </is>
      </c>
      <c r="F336" s="0" t="n">
        <v>150</v>
      </c>
      <c r="G336" s="0" t="n">
        <v>25.31</v>
      </c>
      <c r="H336" s="0" t="n">
        <v>83.69</v>
      </c>
      <c r="I336" s="0" t="n">
        <v>25.31</v>
      </c>
      <c r="J336" s="0" t="n">
        <v>83.69</v>
      </c>
      <c r="K336" s="0" t="n">
        <v>15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83A</t>
        </is>
      </c>
      <c r="X336" s="0" t="n">
        <v>15</v>
      </c>
      <c r="Y336" s="0" t="n">
        <v>15</v>
      </c>
      <c r="Z336" s="0" t="inlineStr">
        <is>
          <t>https://new.land.naver.com/complexes/24632?tab=detail&amp;rf=Y</t>
        </is>
      </c>
      <c r="AA336" s="0" t="inlineStr">
        <is>
          <t>경상남도 창원시 진해구 제황산동 25-52</t>
        </is>
      </c>
      <c r="AB336" s="0" t="inlineStr">
        <is>
          <t>경상남도</t>
        </is>
      </c>
      <c r="AC336" s="0" t="inlineStr">
        <is>
          <t>창원시</t>
        </is>
      </c>
      <c r="AD336" s="0" t="inlineStr">
        <is>
          <t>진해구</t>
        </is>
      </c>
      <c r="AE336" s="0" t="inlineStr">
        <is>
          <t>제황산동</t>
        </is>
      </c>
      <c r="AG336" s="0" t="inlineStr">
        <is>
          <t>경상남도 창원시 진해구 속천로23번길 9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[제황산동]</t>
        </is>
      </c>
      <c r="B337" s="0" t="n">
        <v>24632</v>
      </c>
      <c r="C337" s="0" t="n">
        <v>3</v>
      </c>
      <c r="D337" s="0" t="inlineStr">
        <is>
          <t>대암그린비치맨션</t>
        </is>
      </c>
      <c r="E337" s="0" t="inlineStr">
        <is>
          <t>1991.10.</t>
        </is>
      </c>
      <c r="F337" s="0" t="n">
        <v>150</v>
      </c>
      <c r="G337" s="0" t="n">
        <v>25.68</v>
      </c>
      <c r="H337" s="0" t="n">
        <v>84.91</v>
      </c>
      <c r="I337" s="0" t="n">
        <v>25.68</v>
      </c>
      <c r="J337" s="0" t="n">
        <v>84.91</v>
      </c>
      <c r="K337" s="0" t="n">
        <v>75</v>
      </c>
      <c r="T337" s="0" t="n">
        <v>3</v>
      </c>
      <c r="U337" s="0" t="n">
        <v>2</v>
      </c>
      <c r="V337" s="0" t="inlineStr">
        <is>
          <t>복도식</t>
        </is>
      </c>
      <c r="W337" s="0" t="n">
        <v>84</v>
      </c>
      <c r="X337" s="0" t="n">
        <v>15</v>
      </c>
      <c r="Y337" s="0" t="n">
        <v>15</v>
      </c>
      <c r="Z337" s="0" t="inlineStr">
        <is>
          <t>https://new.land.naver.com/complexes/24632?tab=detail&amp;rf=Y</t>
        </is>
      </c>
      <c r="AA337" s="0" t="inlineStr">
        <is>
          <t>경상남도 창원시 진해구 제황산동 25-52</t>
        </is>
      </c>
      <c r="AB337" s="0" t="inlineStr">
        <is>
          <t>경상남도</t>
        </is>
      </c>
      <c r="AC337" s="0" t="inlineStr">
        <is>
          <t>창원시</t>
        </is>
      </c>
      <c r="AD337" s="0" t="inlineStr">
        <is>
          <t>진해구</t>
        </is>
      </c>
      <c r="AE337" s="0" t="inlineStr">
        <is>
          <t>제황산동</t>
        </is>
      </c>
      <c r="AG337" s="0" t="inlineStr">
        <is>
          <t>경상남도 창원시 진해구 속천로23번길 9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[제황산동]</t>
        </is>
      </c>
      <c r="B338" s="0" t="n">
        <v>24632</v>
      </c>
      <c r="C338" s="0" t="n">
        <v>4</v>
      </c>
      <c r="D338" s="0" t="inlineStr">
        <is>
          <t>대암그린비치맨션</t>
        </is>
      </c>
      <c r="E338" s="0" t="inlineStr">
        <is>
          <t>1991.10.</t>
        </is>
      </c>
      <c r="F338" s="0" t="n">
        <v>150</v>
      </c>
      <c r="G338" s="0" t="n">
        <v>25.48</v>
      </c>
      <c r="H338" s="0" t="n">
        <v>84.26000000000001</v>
      </c>
      <c r="I338" s="0" t="n">
        <v>25.48</v>
      </c>
      <c r="J338" s="0" t="n">
        <v>84.26000000000001</v>
      </c>
      <c r="K338" s="0" t="n">
        <v>15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84B</t>
        </is>
      </c>
      <c r="X338" s="0" t="n">
        <v>15</v>
      </c>
      <c r="Y338" s="0" t="n">
        <v>15</v>
      </c>
      <c r="Z338" s="0" t="inlineStr">
        <is>
          <t>https://new.land.naver.com/complexes/24632?tab=detail&amp;rf=Y</t>
        </is>
      </c>
      <c r="AA338" s="0" t="inlineStr">
        <is>
          <t>경상남도 창원시 진해구 제황산동 25-52</t>
        </is>
      </c>
      <c r="AB338" s="0" t="inlineStr">
        <is>
          <t>경상남도</t>
        </is>
      </c>
      <c r="AC338" s="0" t="inlineStr">
        <is>
          <t>창원시</t>
        </is>
      </c>
      <c r="AD338" s="0" t="inlineStr">
        <is>
          <t>진해구</t>
        </is>
      </c>
      <c r="AE338" s="0" t="inlineStr">
        <is>
          <t>제황산동</t>
        </is>
      </c>
      <c r="AG338" s="0" t="inlineStr">
        <is>
          <t>경상남도 창원시 진해구 속천로23번길 9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[제황산동]</t>
        </is>
      </c>
      <c r="B339" s="0" t="n">
        <v>24632</v>
      </c>
      <c r="C339" s="0" t="n">
        <v>5</v>
      </c>
      <c r="D339" s="0" t="inlineStr">
        <is>
          <t>대암그린비치맨션</t>
        </is>
      </c>
      <c r="E339" s="0" t="inlineStr">
        <is>
          <t>1991.10.</t>
        </is>
      </c>
      <c r="F339" s="0" t="n">
        <v>150</v>
      </c>
      <c r="G339" s="0" t="n">
        <v>32.89</v>
      </c>
      <c r="H339" s="0" t="n">
        <v>108.74</v>
      </c>
      <c r="I339" s="0" t="n">
        <v>32.89</v>
      </c>
      <c r="J339" s="0" t="n">
        <v>108.74</v>
      </c>
      <c r="K339" s="0" t="n">
        <v>15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108</v>
      </c>
      <c r="X339" s="0" t="n">
        <v>15</v>
      </c>
      <c r="Y339" s="0" t="n">
        <v>15</v>
      </c>
      <c r="Z339" s="0" t="inlineStr">
        <is>
          <t>https://new.land.naver.com/complexes/24632?tab=detail&amp;rf=Y</t>
        </is>
      </c>
      <c r="AA339" s="0" t="inlineStr">
        <is>
          <t>경상남도 창원시 진해구 제황산동 25-52</t>
        </is>
      </c>
      <c r="AB339" s="0" t="inlineStr">
        <is>
          <t>경상남도</t>
        </is>
      </c>
      <c r="AC339" s="0" t="inlineStr">
        <is>
          <t>창원시</t>
        </is>
      </c>
      <c r="AD339" s="0" t="inlineStr">
        <is>
          <t>진해구</t>
        </is>
      </c>
      <c r="AE339" s="0" t="inlineStr">
        <is>
          <t>제황산동</t>
        </is>
      </c>
      <c r="AG339" s="0" t="inlineStr">
        <is>
          <t>경상남도 창원시 진해구 속천로23번길 9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[제황산동]</t>
        </is>
      </c>
      <c r="B340" s="0" t="n">
        <v>24632</v>
      </c>
      <c r="C340" s="0" t="n">
        <v>6</v>
      </c>
      <c r="D340" s="0" t="inlineStr">
        <is>
          <t>대암그린비치맨션</t>
        </is>
      </c>
      <c r="E340" s="0" t="inlineStr">
        <is>
          <t>1991.10.</t>
        </is>
      </c>
      <c r="F340" s="0" t="n">
        <v>150</v>
      </c>
      <c r="G340" s="0" t="n">
        <v>37.1</v>
      </c>
      <c r="H340" s="0" t="n">
        <v>122.67</v>
      </c>
      <c r="I340" s="0" t="n">
        <v>37.1</v>
      </c>
      <c r="J340" s="0" t="n">
        <v>122.67</v>
      </c>
      <c r="K340" s="0" t="n">
        <v>15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122</v>
      </c>
      <c r="X340" s="0" t="n">
        <v>15</v>
      </c>
      <c r="Y340" s="0" t="n">
        <v>15</v>
      </c>
      <c r="Z340" s="0" t="inlineStr">
        <is>
          <t>https://new.land.naver.com/complexes/24632?tab=detail&amp;rf=Y</t>
        </is>
      </c>
      <c r="AA340" s="0" t="inlineStr">
        <is>
          <t>경상남도 창원시 진해구 제황산동 25-52</t>
        </is>
      </c>
      <c r="AB340" s="0" t="inlineStr">
        <is>
          <t>경상남도</t>
        </is>
      </c>
      <c r="AC340" s="0" t="inlineStr">
        <is>
          <t>창원시</t>
        </is>
      </c>
      <c r="AD340" s="0" t="inlineStr">
        <is>
          <t>진해구</t>
        </is>
      </c>
      <c r="AE340" s="0" t="inlineStr">
        <is>
          <t>제황산동</t>
        </is>
      </c>
      <c r="AG340" s="0" t="inlineStr">
        <is>
          <t>경상남도 창원시 진해구 속천로23번길 9</t>
        </is>
      </c>
      <c r="AH340" s="0" t="n">
        <v>0</v>
      </c>
      <c r="AI340" s="0" t="n">
        <v>0</v>
      </c>
      <c r="AJ340" s="0" t="n">
        <v>0</v>
      </c>
      <c r="AK340" s="0" t="n">
        <v>0</v>
      </c>
      <c r="AL340" s="0" t="n">
        <v>0</v>
      </c>
    </row>
    <row r="341">
      <c r="A341" s="0" t="inlineStr">
        <is>
          <t>[제황산동]</t>
        </is>
      </c>
      <c r="B341" s="0" t="n">
        <v>101005</v>
      </c>
      <c r="C341" s="0" t="n">
        <v>1</v>
      </c>
      <c r="D341" s="0" t="inlineStr">
        <is>
          <t>평화그린파크</t>
        </is>
      </c>
      <c r="E341" s="0" t="inlineStr">
        <is>
          <t>1996.08.</t>
        </is>
      </c>
      <c r="F341" s="0" t="n">
        <v>167</v>
      </c>
      <c r="G341" s="0" t="n">
        <v>24.24</v>
      </c>
      <c r="H341" s="0" t="n">
        <v>80.16</v>
      </c>
      <c r="I341" s="0" t="n">
        <v>18.11</v>
      </c>
      <c r="J341" s="0" t="n">
        <v>59.88</v>
      </c>
      <c r="K341" s="0" t="n">
        <v>95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80</v>
      </c>
      <c r="X341" s="0" t="n">
        <v>18</v>
      </c>
      <c r="Y341" s="0" t="n">
        <v>9</v>
      </c>
      <c r="Z341" s="0" t="inlineStr">
        <is>
          <t>https://new.land.naver.com/complexes/101005?tab=detail&amp;rf=Y</t>
        </is>
      </c>
      <c r="AA341" s="0" t="inlineStr">
        <is>
          <t>경상남도 창원시 진해구 제황산동 26-4</t>
        </is>
      </c>
      <c r="AB341" s="0" t="inlineStr">
        <is>
          <t>경상남도</t>
        </is>
      </c>
      <c r="AC341" s="0" t="inlineStr">
        <is>
          <t>창원시</t>
        </is>
      </c>
      <c r="AD341" s="0" t="inlineStr">
        <is>
          <t>진해구</t>
        </is>
      </c>
      <c r="AE341" s="0" t="inlineStr">
        <is>
          <t>제황산동</t>
        </is>
      </c>
      <c r="AG341" s="0" t="inlineStr">
        <is>
          <t>경상남도 창원시 진해구 제황로 10</t>
        </is>
      </c>
      <c r="AH341" s="0" t="n">
        <v>0</v>
      </c>
      <c r="AI341" s="0" t="n">
        <v>266</v>
      </c>
      <c r="AJ341" s="0" t="n">
        <v>26</v>
      </c>
      <c r="AK341" s="0" t="n">
        <v>103</v>
      </c>
      <c r="AL341" s="0" t="n">
        <v>0.62</v>
      </c>
    </row>
    <row r="342">
      <c r="A342" s="0" t="inlineStr">
        <is>
          <t>[제황산동]</t>
        </is>
      </c>
      <c r="B342" s="0" t="n">
        <v>101005</v>
      </c>
      <c r="C342" s="0" t="n">
        <v>2</v>
      </c>
      <c r="D342" s="0" t="inlineStr">
        <is>
          <t>평화그린파크</t>
        </is>
      </c>
      <c r="E342" s="0" t="inlineStr">
        <is>
          <t>1996.08.</t>
        </is>
      </c>
      <c r="F342" s="0" t="n">
        <v>167</v>
      </c>
      <c r="G342" s="0" t="n">
        <v>32.74</v>
      </c>
      <c r="H342" s="0" t="n">
        <v>108.25</v>
      </c>
      <c r="I342" s="0" t="n">
        <v>25.67</v>
      </c>
      <c r="J342" s="0" t="n">
        <v>84.87</v>
      </c>
      <c r="K342" s="0" t="n">
        <v>72</v>
      </c>
      <c r="T342" s="0" t="n">
        <v>3</v>
      </c>
      <c r="U342" s="0" t="n">
        <v>1</v>
      </c>
      <c r="V342" s="0" t="inlineStr">
        <is>
          <t>계단식</t>
        </is>
      </c>
      <c r="W342" s="0" t="n">
        <v>108</v>
      </c>
      <c r="X342" s="0" t="n">
        <v>18</v>
      </c>
      <c r="Y342" s="0" t="n">
        <v>9</v>
      </c>
      <c r="Z342" s="0" t="inlineStr">
        <is>
          <t>https://new.land.naver.com/complexes/101005?tab=detail&amp;rf=Y</t>
        </is>
      </c>
      <c r="AA342" s="0" t="inlineStr">
        <is>
          <t>경상남도 창원시 진해구 제황산동 26-4</t>
        </is>
      </c>
      <c r="AB342" s="0" t="inlineStr">
        <is>
          <t>경상남도</t>
        </is>
      </c>
      <c r="AC342" s="0" t="inlineStr">
        <is>
          <t>창원시</t>
        </is>
      </c>
      <c r="AD342" s="0" t="inlineStr">
        <is>
          <t>진해구</t>
        </is>
      </c>
      <c r="AE342" s="0" t="inlineStr">
        <is>
          <t>제황산동</t>
        </is>
      </c>
      <c r="AG342" s="0" t="inlineStr">
        <is>
          <t>경상남도 창원시 진해구 제황로 10</t>
        </is>
      </c>
      <c r="AH342" s="0" t="n">
        <v>0</v>
      </c>
      <c r="AI342" s="0" t="n">
        <v>266</v>
      </c>
      <c r="AJ342" s="0" t="n">
        <v>26</v>
      </c>
      <c r="AK342" s="0" t="n">
        <v>103</v>
      </c>
      <c r="AL342" s="0" t="n">
        <v>0.62</v>
      </c>
    </row>
    <row r="343">
      <c r="A343" s="0" t="inlineStr">
        <is>
          <t>[청안동]</t>
        </is>
      </c>
      <c r="B343" s="0" t="n">
        <v>23949</v>
      </c>
      <c r="C343" s="0" t="n">
        <v>1</v>
      </c>
      <c r="D343" s="0" t="inlineStr">
        <is>
          <t>부영2차</t>
        </is>
      </c>
      <c r="E343" s="0" t="inlineStr">
        <is>
          <t>2002.05.</t>
        </is>
      </c>
      <c r="F343" s="0" t="n">
        <v>440</v>
      </c>
      <c r="G343" s="0" t="n">
        <v>23.54</v>
      </c>
      <c r="H343" s="0" t="n">
        <v>77.83</v>
      </c>
      <c r="I343" s="0" t="n">
        <v>18.1</v>
      </c>
      <c r="J343" s="0" t="n">
        <v>59.84</v>
      </c>
      <c r="K343" s="0" t="n">
        <v>440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77</v>
      </c>
      <c r="X343" s="0" t="n">
        <v>15</v>
      </c>
      <c r="Y343" s="0" t="n">
        <v>14</v>
      </c>
      <c r="Z343" s="0" t="inlineStr">
        <is>
          <t>https://new.land.naver.com/complexes/23949?tab=detail&amp;rf=Y</t>
        </is>
      </c>
      <c r="AA343" s="0" t="inlineStr">
        <is>
          <t>경상남도 창원시 진해구 청안동 474</t>
        </is>
      </c>
      <c r="AB343" s="0" t="inlineStr">
        <is>
          <t>경상남도</t>
        </is>
      </c>
      <c r="AC343" s="0" t="inlineStr">
        <is>
          <t>창원시</t>
        </is>
      </c>
      <c r="AD343" s="0" t="inlineStr">
        <is>
          <t>진해구</t>
        </is>
      </c>
      <c r="AE343" s="0" t="inlineStr">
        <is>
          <t>청안동</t>
        </is>
      </c>
      <c r="AG343" s="0" t="inlineStr">
        <is>
          <t>경상남도 창원시 진해구 안청북로 12</t>
        </is>
      </c>
      <c r="AH343" s="0" t="n">
        <v>0</v>
      </c>
      <c r="AI343" s="0" t="n">
        <v>219</v>
      </c>
      <c r="AJ343" s="0" t="n">
        <v>19</v>
      </c>
      <c r="AK343" s="0" t="n">
        <v>319</v>
      </c>
      <c r="AL343" s="0" t="n">
        <v>0.72</v>
      </c>
    </row>
    <row r="344">
      <c r="A344" s="0" t="inlineStr">
        <is>
          <t>[청안동]</t>
        </is>
      </c>
      <c r="B344" s="0" t="n">
        <v>23960</v>
      </c>
      <c r="C344" s="0" t="n">
        <v>1</v>
      </c>
      <c r="D344" s="0" t="inlineStr">
        <is>
          <t>부영3차</t>
        </is>
      </c>
      <c r="E344" s="0" t="inlineStr">
        <is>
          <t>2003.02.</t>
        </is>
      </c>
      <c r="F344" s="0" t="n">
        <v>1275</v>
      </c>
      <c r="G344" s="0" t="n">
        <v>20.56</v>
      </c>
      <c r="H344" s="0" t="n">
        <v>67.98</v>
      </c>
      <c r="I344" s="0" t="n">
        <v>15.07</v>
      </c>
      <c r="J344" s="0" t="n">
        <v>49.84</v>
      </c>
      <c r="K344" s="0" t="n">
        <v>705</v>
      </c>
      <c r="T344" s="0" t="n">
        <v>2</v>
      </c>
      <c r="U344" s="0" t="n">
        <v>1</v>
      </c>
      <c r="V344" s="0" t="inlineStr">
        <is>
          <t>복도식</t>
        </is>
      </c>
      <c r="W344" s="0" t="n">
        <v>67</v>
      </c>
      <c r="X344" s="0" t="n">
        <v>15</v>
      </c>
      <c r="Y344" s="0" t="n">
        <v>15</v>
      </c>
      <c r="Z344" s="0" t="inlineStr">
        <is>
          <t>https://new.land.naver.com/complexes/23960?tab=detail&amp;rf=Y</t>
        </is>
      </c>
      <c r="AA344" s="0" t="inlineStr">
        <is>
          <t>경상남도 창원시 진해구 청안동 473</t>
        </is>
      </c>
      <c r="AB344" s="0" t="inlineStr">
        <is>
          <t>경상남도</t>
        </is>
      </c>
      <c r="AC344" s="0" t="inlineStr">
        <is>
          <t>창원시</t>
        </is>
      </c>
      <c r="AD344" s="0" t="inlineStr">
        <is>
          <t>진해구</t>
        </is>
      </c>
      <c r="AE344" s="0" t="inlineStr">
        <is>
          <t>청안동</t>
        </is>
      </c>
      <c r="AG344" s="0" t="inlineStr">
        <is>
          <t>경상남도 창원시 진해구 안청북로 15</t>
        </is>
      </c>
      <c r="AH344" s="0" t="n">
        <v>0</v>
      </c>
      <c r="AI344" s="0" t="n">
        <v>219</v>
      </c>
      <c r="AJ344" s="0" t="n">
        <v>17</v>
      </c>
      <c r="AK344" s="0" t="n">
        <v>924</v>
      </c>
      <c r="AL344" s="0" t="n">
        <v>0.72</v>
      </c>
    </row>
    <row r="345">
      <c r="A345" s="0" t="inlineStr">
        <is>
          <t>[청안동]</t>
        </is>
      </c>
      <c r="B345" s="0" t="n">
        <v>23960</v>
      </c>
      <c r="C345" s="0" t="n">
        <v>2</v>
      </c>
      <c r="D345" s="0" t="inlineStr">
        <is>
          <t>부영3차</t>
        </is>
      </c>
      <c r="E345" s="0" t="inlineStr">
        <is>
          <t>2003.02.</t>
        </is>
      </c>
      <c r="F345" s="0" t="n">
        <v>1275</v>
      </c>
      <c r="G345" s="0" t="n">
        <v>23.64</v>
      </c>
      <c r="H345" s="0" t="n">
        <v>78.17</v>
      </c>
      <c r="I345" s="0" t="n">
        <v>18.1</v>
      </c>
      <c r="J345" s="0" t="n">
        <v>59.84</v>
      </c>
      <c r="K345" s="0" t="n">
        <v>570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78</v>
      </c>
      <c r="X345" s="0" t="n">
        <v>15</v>
      </c>
      <c r="Y345" s="0" t="n">
        <v>15</v>
      </c>
      <c r="Z345" s="0" t="inlineStr">
        <is>
          <t>https://new.land.naver.com/complexes/23960?tab=detail&amp;rf=Y</t>
        </is>
      </c>
      <c r="AA345" s="0" t="inlineStr">
        <is>
          <t>경상남도 창원시 진해구 청안동 473</t>
        </is>
      </c>
      <c r="AB345" s="0" t="inlineStr">
        <is>
          <t>경상남도</t>
        </is>
      </c>
      <c r="AC345" s="0" t="inlineStr">
        <is>
          <t>창원시</t>
        </is>
      </c>
      <c r="AD345" s="0" t="inlineStr">
        <is>
          <t>진해구</t>
        </is>
      </c>
      <c r="AE345" s="0" t="inlineStr">
        <is>
          <t>청안동</t>
        </is>
      </c>
      <c r="AG345" s="0" t="inlineStr">
        <is>
          <t>경상남도 창원시 진해구 안청북로 15</t>
        </is>
      </c>
      <c r="AH345" s="0" t="n">
        <v>0</v>
      </c>
      <c r="AI345" s="0" t="n">
        <v>219</v>
      </c>
      <c r="AJ345" s="0" t="n">
        <v>17</v>
      </c>
      <c r="AK345" s="0" t="n">
        <v>924</v>
      </c>
      <c r="AL345" s="0" t="n">
        <v>0.72</v>
      </c>
    </row>
    <row r="346">
      <c r="A346" s="0" t="inlineStr">
        <is>
          <t>[청안동]</t>
        </is>
      </c>
      <c r="B346" s="0" t="n">
        <v>23943</v>
      </c>
      <c r="C346" s="0" t="n">
        <v>1</v>
      </c>
      <c r="D346" s="0" t="inlineStr">
        <is>
          <t>부영1차</t>
        </is>
      </c>
      <c r="E346" s="0" t="inlineStr">
        <is>
          <t>2002.01.</t>
        </is>
      </c>
      <c r="F346" s="0" t="n">
        <v>906</v>
      </c>
      <c r="G346" s="0" t="n">
        <v>34.25</v>
      </c>
      <c r="H346" s="0" t="n">
        <v>113.25</v>
      </c>
      <c r="I346" s="0" t="n">
        <v>25.69</v>
      </c>
      <c r="J346" s="0" t="n">
        <v>84.95</v>
      </c>
      <c r="K346" s="0" t="n">
        <v>906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113</v>
      </c>
      <c r="X346" s="0" t="n">
        <v>15</v>
      </c>
      <c r="Y346" s="0" t="n">
        <v>13</v>
      </c>
      <c r="Z346" s="0" t="inlineStr">
        <is>
          <t>https://new.land.naver.com/complexes/23943?tab=detail&amp;rf=Y</t>
        </is>
      </c>
      <c r="AA346" s="0" t="inlineStr">
        <is>
          <t>경상남도 창원시 진해구 청안동 477</t>
        </is>
      </c>
      <c r="AB346" s="0" t="inlineStr">
        <is>
          <t>경상남도</t>
        </is>
      </c>
      <c r="AC346" s="0" t="inlineStr">
        <is>
          <t>창원시</t>
        </is>
      </c>
      <c r="AD346" s="0" t="inlineStr">
        <is>
          <t>진해구</t>
        </is>
      </c>
      <c r="AE346" s="0" t="inlineStr">
        <is>
          <t>청안동</t>
        </is>
      </c>
      <c r="AG346" s="0" t="inlineStr">
        <is>
          <t>경상남도 창원시 진해구 안청남로 13</t>
        </is>
      </c>
      <c r="AH346" s="0" t="n">
        <v>0</v>
      </c>
      <c r="AI346" s="0" t="n">
        <v>219</v>
      </c>
      <c r="AJ346" s="0" t="n">
        <v>18</v>
      </c>
      <c r="AK346" s="0" t="n">
        <v>994</v>
      </c>
      <c r="AL346" s="0" t="n">
        <v>1.1</v>
      </c>
    </row>
    <row r="347">
      <c r="A347" s="0" t="inlineStr">
        <is>
          <t>[청안동]</t>
        </is>
      </c>
      <c r="B347" s="0" t="n">
        <v>7583</v>
      </c>
      <c r="C347" s="0" t="n">
        <v>1</v>
      </c>
      <c r="D347" s="0" t="inlineStr">
        <is>
          <t>풍림</t>
        </is>
      </c>
      <c r="E347" s="0" t="inlineStr">
        <is>
          <t>2000.12.</t>
        </is>
      </c>
      <c r="F347" s="0" t="n">
        <v>1170</v>
      </c>
      <c r="G347" s="0" t="n">
        <v>23.26</v>
      </c>
      <c r="H347" s="0" t="n">
        <v>76.92</v>
      </c>
      <c r="I347" s="0" t="n">
        <v>18.13</v>
      </c>
      <c r="J347" s="0" t="n">
        <v>59.96</v>
      </c>
      <c r="K347" s="0" t="n">
        <v>1170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76</v>
      </c>
      <c r="X347" s="0" t="n">
        <v>15</v>
      </c>
      <c r="Y347" s="0" t="n">
        <v>15</v>
      </c>
      <c r="Z347" s="0" t="inlineStr">
        <is>
          <t>https://new.land.naver.com/complexes/7583?tab=detail&amp;rf=Y</t>
        </is>
      </c>
      <c r="AA347" s="0" t="inlineStr">
        <is>
          <t>경상남도 창원시 진해구 청안동 472</t>
        </is>
      </c>
      <c r="AB347" s="0" t="inlineStr">
        <is>
          <t>경상남도</t>
        </is>
      </c>
      <c r="AC347" s="0" t="inlineStr">
        <is>
          <t>창원시</t>
        </is>
      </c>
      <c r="AD347" s="0" t="inlineStr">
        <is>
          <t>진해구</t>
        </is>
      </c>
      <c r="AE347" s="0" t="inlineStr">
        <is>
          <t>청안동</t>
        </is>
      </c>
      <c r="AG347" s="0" t="inlineStr">
        <is>
          <t>경상남도 창원시 진해구 안청북로 39</t>
        </is>
      </c>
      <c r="AH347" s="0" t="n">
        <v>0</v>
      </c>
      <c r="AI347" s="0" t="n">
        <v>203</v>
      </c>
      <c r="AJ347" s="0" t="n">
        <v>20</v>
      </c>
      <c r="AK347" s="0" t="n">
        <v>839</v>
      </c>
      <c r="AL347" s="0" t="n">
        <v>0.72</v>
      </c>
    </row>
    <row r="348">
      <c r="A348" s="0" t="inlineStr">
        <is>
          <t>[청안동]</t>
        </is>
      </c>
      <c r="B348" s="0" t="n">
        <v>14208</v>
      </c>
      <c r="C348" s="0" t="n">
        <v>1</v>
      </c>
      <c r="D348" s="0" t="inlineStr">
        <is>
          <t>해인로즈빌</t>
        </is>
      </c>
      <c r="E348" s="0" t="inlineStr">
        <is>
          <t>2002.04.</t>
        </is>
      </c>
      <c r="F348" s="0" t="n">
        <v>1140</v>
      </c>
      <c r="G348" s="0" t="n">
        <v>23.29</v>
      </c>
      <c r="H348" s="0" t="n">
        <v>77.02</v>
      </c>
      <c r="I348" s="0" t="n">
        <v>18.08</v>
      </c>
      <c r="J348" s="0" t="n">
        <v>59.77</v>
      </c>
      <c r="K348" s="0" t="n">
        <v>210</v>
      </c>
      <c r="T348" s="0" t="n">
        <v>2</v>
      </c>
      <c r="U348" s="0" t="n">
        <v>1</v>
      </c>
      <c r="V348" s="0" t="inlineStr">
        <is>
          <t>계단식</t>
        </is>
      </c>
      <c r="W348" s="0" t="inlineStr">
        <is>
          <t>77C</t>
        </is>
      </c>
      <c r="X348" s="0" t="n">
        <v>15</v>
      </c>
      <c r="Y348" s="0" t="n">
        <v>15</v>
      </c>
      <c r="Z348" s="0" t="inlineStr">
        <is>
          <t>https://new.land.naver.com/complexes/14208?tab=detail&amp;rf=Y</t>
        </is>
      </c>
      <c r="AA348" s="0" t="inlineStr">
        <is>
          <t>경상남도 창원시 진해구 청안동 471</t>
        </is>
      </c>
      <c r="AB348" s="0" t="inlineStr">
        <is>
          <t>경상남도</t>
        </is>
      </c>
      <c r="AC348" s="0" t="inlineStr">
        <is>
          <t>창원시</t>
        </is>
      </c>
      <c r="AD348" s="0" t="inlineStr">
        <is>
          <t>진해구</t>
        </is>
      </c>
      <c r="AE348" s="0" t="inlineStr">
        <is>
          <t>청안동</t>
        </is>
      </c>
      <c r="AG348" s="0" t="inlineStr">
        <is>
          <t>경상남도 창원시 진해구 안청로 126</t>
        </is>
      </c>
      <c r="AH348" s="0" t="n">
        <v>0</v>
      </c>
      <c r="AI348" s="0" t="n">
        <v>218</v>
      </c>
      <c r="AJ348" s="0" t="n">
        <v>18</v>
      </c>
      <c r="AK348" s="0" t="n">
        <v>816</v>
      </c>
      <c r="AL348" s="0" t="n">
        <v>0.72</v>
      </c>
    </row>
    <row r="349">
      <c r="A349" s="0" t="inlineStr">
        <is>
          <t>[청안동]</t>
        </is>
      </c>
      <c r="B349" s="0" t="n">
        <v>14208</v>
      </c>
      <c r="C349" s="0" t="n">
        <v>2</v>
      </c>
      <c r="D349" s="0" t="inlineStr">
        <is>
          <t>해인로즈빌</t>
        </is>
      </c>
      <c r="E349" s="0" t="inlineStr">
        <is>
          <t>2002.04.</t>
        </is>
      </c>
      <c r="F349" s="0" t="n">
        <v>1140</v>
      </c>
      <c r="G349" s="0" t="n">
        <v>23.89</v>
      </c>
      <c r="H349" s="0" t="n">
        <v>78.98999999999999</v>
      </c>
      <c r="I349" s="0" t="n">
        <v>18.13</v>
      </c>
      <c r="J349" s="0" t="n">
        <v>59.96</v>
      </c>
      <c r="K349" s="0" t="n">
        <v>690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78A</t>
        </is>
      </c>
      <c r="X349" s="0" t="n">
        <v>15</v>
      </c>
      <c r="Y349" s="0" t="n">
        <v>15</v>
      </c>
      <c r="Z349" s="0" t="inlineStr">
        <is>
          <t>https://new.land.naver.com/complexes/14208?tab=detail&amp;rf=Y</t>
        </is>
      </c>
      <c r="AA349" s="0" t="inlineStr">
        <is>
          <t>경상남도 창원시 진해구 청안동 471</t>
        </is>
      </c>
      <c r="AB349" s="0" t="inlineStr">
        <is>
          <t>경상남도</t>
        </is>
      </c>
      <c r="AC349" s="0" t="inlineStr">
        <is>
          <t>창원시</t>
        </is>
      </c>
      <c r="AD349" s="0" t="inlineStr">
        <is>
          <t>진해구</t>
        </is>
      </c>
      <c r="AE349" s="0" t="inlineStr">
        <is>
          <t>청안동</t>
        </is>
      </c>
      <c r="AG349" s="0" t="inlineStr">
        <is>
          <t>경상남도 창원시 진해구 안청로 126</t>
        </is>
      </c>
      <c r="AH349" s="0" t="n">
        <v>0</v>
      </c>
      <c r="AI349" s="0" t="n">
        <v>218</v>
      </c>
      <c r="AJ349" s="0" t="n">
        <v>18</v>
      </c>
      <c r="AK349" s="0" t="n">
        <v>816</v>
      </c>
      <c r="AL349" s="0" t="n">
        <v>0.72</v>
      </c>
    </row>
    <row r="350">
      <c r="A350" s="0" t="inlineStr">
        <is>
          <t>[청안동]</t>
        </is>
      </c>
      <c r="B350" s="0" t="n">
        <v>14208</v>
      </c>
      <c r="C350" s="0" t="n">
        <v>3</v>
      </c>
      <c r="D350" s="0" t="inlineStr">
        <is>
          <t>해인로즈빌</t>
        </is>
      </c>
      <c r="E350" s="0" t="inlineStr">
        <is>
          <t>2002.04.</t>
        </is>
      </c>
      <c r="F350" s="0" t="n">
        <v>1140</v>
      </c>
      <c r="G350" s="0" t="n">
        <v>23.85</v>
      </c>
      <c r="H350" s="0" t="n">
        <v>78.84999999999999</v>
      </c>
      <c r="I350" s="0" t="n">
        <v>18.12</v>
      </c>
      <c r="J350" s="0" t="n">
        <v>59.93</v>
      </c>
      <c r="K350" s="0" t="n">
        <v>240</v>
      </c>
      <c r="T350" s="0" t="n">
        <v>2</v>
      </c>
      <c r="U350" s="0" t="n">
        <v>1</v>
      </c>
      <c r="V350" s="0" t="inlineStr">
        <is>
          <t>계단식</t>
        </is>
      </c>
      <c r="W350" s="0" t="inlineStr">
        <is>
          <t>78B</t>
        </is>
      </c>
      <c r="X350" s="0" t="n">
        <v>15</v>
      </c>
      <c r="Y350" s="0" t="n">
        <v>15</v>
      </c>
      <c r="Z350" s="0" t="inlineStr">
        <is>
          <t>https://new.land.naver.com/complexes/14208?tab=detail&amp;rf=Y</t>
        </is>
      </c>
      <c r="AA350" s="0" t="inlineStr">
        <is>
          <t>경상남도 창원시 진해구 청안동 471</t>
        </is>
      </c>
      <c r="AB350" s="0" t="inlineStr">
        <is>
          <t>경상남도</t>
        </is>
      </c>
      <c r="AC350" s="0" t="inlineStr">
        <is>
          <t>창원시</t>
        </is>
      </c>
      <c r="AD350" s="0" t="inlineStr">
        <is>
          <t>진해구</t>
        </is>
      </c>
      <c r="AE350" s="0" t="inlineStr">
        <is>
          <t>청안동</t>
        </is>
      </c>
      <c r="AG350" s="0" t="inlineStr">
        <is>
          <t>경상남도 창원시 진해구 안청로 126</t>
        </is>
      </c>
      <c r="AH350" s="0" t="n">
        <v>0</v>
      </c>
      <c r="AI350" s="0" t="n">
        <v>218</v>
      </c>
      <c r="AJ350" s="0" t="n">
        <v>18</v>
      </c>
      <c r="AK350" s="0" t="n">
        <v>816</v>
      </c>
      <c r="AL350" s="0" t="n">
        <v>0.72</v>
      </c>
    </row>
    <row r="351">
      <c r="A351" s="0" t="inlineStr">
        <is>
          <t>[충무동]</t>
        </is>
      </c>
      <c r="B351" s="0" t="n">
        <v>138832</v>
      </c>
      <c r="C351" s="0" t="n">
        <v>1</v>
      </c>
      <c r="D351" s="0" t="inlineStr">
        <is>
          <t>마린힐즈</t>
        </is>
      </c>
      <c r="E351" s="0" t="inlineStr">
        <is>
          <t>2020.07.</t>
        </is>
      </c>
      <c r="F351" s="0" t="n">
        <v>44</v>
      </c>
      <c r="G351" s="0" t="n">
        <v>18.29</v>
      </c>
      <c r="H351" s="0" t="n">
        <v>60.49</v>
      </c>
      <c r="I351" s="0" t="n">
        <v>13.75</v>
      </c>
      <c r="J351" s="0" t="n">
        <v>45.47</v>
      </c>
      <c r="K351" s="0" t="n">
        <v>22</v>
      </c>
      <c r="T351" s="0" t="n">
        <v>2</v>
      </c>
      <c r="U351" s="0" t="n">
        <v>1</v>
      </c>
      <c r="V351" s="0" t="inlineStr">
        <is>
          <t>계단식</t>
        </is>
      </c>
      <c r="W351" s="0" t="n">
        <v>60</v>
      </c>
      <c r="X351" s="0" t="n">
        <v>13</v>
      </c>
      <c r="Y351" s="0" t="n">
        <v>13</v>
      </c>
      <c r="Z351" s="0" t="inlineStr">
        <is>
          <t>https://new.land.naver.com/complexes/138832?tab=detail&amp;rf=Y</t>
        </is>
      </c>
      <c r="AA351" s="0" t="inlineStr">
        <is>
          <t>경상남도 창원시 진해구 충무동 5-10</t>
        </is>
      </c>
      <c r="AB351" s="0" t="inlineStr">
        <is>
          <t>경상남도</t>
        </is>
      </c>
      <c r="AC351" s="0" t="inlineStr">
        <is>
          <t>창원시</t>
        </is>
      </c>
      <c r="AD351" s="0" t="inlineStr">
        <is>
          <t>진해구</t>
        </is>
      </c>
      <c r="AE351" s="0" t="inlineStr">
        <is>
          <t>충무동</t>
        </is>
      </c>
      <c r="AG351" s="0" t="inlineStr">
        <is>
          <t>경상남도 창원시 진해구 충장로52번길 3</t>
        </is>
      </c>
      <c r="AH351" s="0" t="n">
        <v>0</v>
      </c>
      <c r="AI351" s="0" t="n">
        <v>522</v>
      </c>
      <c r="AJ351" s="0" t="n">
        <v>55</v>
      </c>
      <c r="AK351" s="0" t="n">
        <v>47</v>
      </c>
      <c r="AL351" s="0" t="n">
        <v>1.07</v>
      </c>
    </row>
    <row r="352">
      <c r="A352" s="0" t="inlineStr">
        <is>
          <t>[충무동]</t>
        </is>
      </c>
      <c r="B352" s="0" t="n">
        <v>138832</v>
      </c>
      <c r="C352" s="0" t="n">
        <v>2</v>
      </c>
      <c r="D352" s="0" t="inlineStr">
        <is>
          <t>마린힐즈</t>
        </is>
      </c>
      <c r="E352" s="0" t="inlineStr">
        <is>
          <t>2020.07.</t>
        </is>
      </c>
      <c r="F352" s="0" t="n">
        <v>44</v>
      </c>
      <c r="G352" s="0" t="n">
        <v>24.51</v>
      </c>
      <c r="H352" s="0" t="n">
        <v>81.05</v>
      </c>
      <c r="I352" s="0" t="n">
        <v>18.65</v>
      </c>
      <c r="J352" s="0" t="n">
        <v>61.68</v>
      </c>
      <c r="K352" s="0" t="n">
        <v>16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81A</t>
        </is>
      </c>
      <c r="X352" s="0" t="n">
        <v>13</v>
      </c>
      <c r="Y352" s="0" t="n">
        <v>13</v>
      </c>
      <c r="Z352" s="0" t="inlineStr">
        <is>
          <t>https://new.land.naver.com/complexes/138832?tab=detail&amp;rf=Y</t>
        </is>
      </c>
      <c r="AA352" s="0" t="inlineStr">
        <is>
          <t>경상남도 창원시 진해구 충무동 5-10</t>
        </is>
      </c>
      <c r="AB352" s="0" t="inlineStr">
        <is>
          <t>경상남도</t>
        </is>
      </c>
      <c r="AC352" s="0" t="inlineStr">
        <is>
          <t>창원시</t>
        </is>
      </c>
      <c r="AD352" s="0" t="inlineStr">
        <is>
          <t>진해구</t>
        </is>
      </c>
      <c r="AE352" s="0" t="inlineStr">
        <is>
          <t>충무동</t>
        </is>
      </c>
      <c r="AG352" s="0" t="inlineStr">
        <is>
          <t>경상남도 창원시 진해구 충장로52번길 3</t>
        </is>
      </c>
      <c r="AH352" s="0" t="n">
        <v>0</v>
      </c>
      <c r="AI352" s="0" t="n">
        <v>522</v>
      </c>
      <c r="AJ352" s="0" t="n">
        <v>55</v>
      </c>
      <c r="AK352" s="0" t="n">
        <v>47</v>
      </c>
      <c r="AL352" s="0" t="n">
        <v>1.07</v>
      </c>
    </row>
    <row r="353">
      <c r="A353" s="0" t="inlineStr">
        <is>
          <t>[충무동]</t>
        </is>
      </c>
      <c r="B353" s="0" t="n">
        <v>138832</v>
      </c>
      <c r="C353" s="0" t="n">
        <v>3</v>
      </c>
      <c r="D353" s="0" t="inlineStr">
        <is>
          <t>마린힐즈</t>
        </is>
      </c>
      <c r="E353" s="0" t="inlineStr">
        <is>
          <t>2020.07.</t>
        </is>
      </c>
      <c r="F353" s="0" t="n">
        <v>44</v>
      </c>
      <c r="G353" s="0" t="n">
        <v>24.51</v>
      </c>
      <c r="H353" s="0" t="n">
        <v>81.05</v>
      </c>
      <c r="I353" s="0" t="n">
        <v>18.65</v>
      </c>
      <c r="J353" s="0" t="n">
        <v>61.68</v>
      </c>
      <c r="K353" s="0" t="n">
        <v>3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81B</t>
        </is>
      </c>
      <c r="X353" s="0" t="n">
        <v>13</v>
      </c>
      <c r="Y353" s="0" t="n">
        <v>13</v>
      </c>
      <c r="Z353" s="0" t="inlineStr">
        <is>
          <t>https://new.land.naver.com/complexes/138832?tab=detail&amp;rf=Y</t>
        </is>
      </c>
      <c r="AA353" s="0" t="inlineStr">
        <is>
          <t>경상남도 창원시 진해구 충무동 5-10</t>
        </is>
      </c>
      <c r="AB353" s="0" t="inlineStr">
        <is>
          <t>경상남도</t>
        </is>
      </c>
      <c r="AC353" s="0" t="inlineStr">
        <is>
          <t>창원시</t>
        </is>
      </c>
      <c r="AD353" s="0" t="inlineStr">
        <is>
          <t>진해구</t>
        </is>
      </c>
      <c r="AE353" s="0" t="inlineStr">
        <is>
          <t>충무동</t>
        </is>
      </c>
      <c r="AG353" s="0" t="inlineStr">
        <is>
          <t>경상남도 창원시 진해구 충장로52번길 3</t>
        </is>
      </c>
      <c r="AH353" s="0" t="n">
        <v>0</v>
      </c>
      <c r="AI353" s="0" t="n">
        <v>522</v>
      </c>
      <c r="AJ353" s="0" t="n">
        <v>55</v>
      </c>
      <c r="AK353" s="0" t="n">
        <v>47</v>
      </c>
      <c r="AL353" s="0" t="n">
        <v>1.07</v>
      </c>
    </row>
    <row r="354">
      <c r="A354" s="0" t="inlineStr">
        <is>
          <t>[충무동]</t>
        </is>
      </c>
      <c r="B354" s="0" t="n">
        <v>138832</v>
      </c>
      <c r="C354" s="0" t="n">
        <v>4</v>
      </c>
      <c r="D354" s="0" t="inlineStr">
        <is>
          <t>마린힐즈</t>
        </is>
      </c>
      <c r="E354" s="0" t="inlineStr">
        <is>
          <t>2020.07.</t>
        </is>
      </c>
      <c r="F354" s="0" t="n">
        <v>44</v>
      </c>
      <c r="G354" s="0" t="n">
        <v>24.51</v>
      </c>
      <c r="H354" s="0" t="n">
        <v>81.05</v>
      </c>
      <c r="I354" s="0" t="n">
        <v>18.65</v>
      </c>
      <c r="J354" s="0" t="n">
        <v>61.68</v>
      </c>
      <c r="K354" s="0" t="n">
        <v>3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81C</t>
        </is>
      </c>
      <c r="X354" s="0" t="n">
        <v>13</v>
      </c>
      <c r="Y354" s="0" t="n">
        <v>13</v>
      </c>
      <c r="Z354" s="0" t="inlineStr">
        <is>
          <t>https://new.land.naver.com/complexes/138832?tab=detail&amp;rf=Y</t>
        </is>
      </c>
      <c r="AA354" s="0" t="inlineStr">
        <is>
          <t>경상남도 창원시 진해구 충무동 5-10</t>
        </is>
      </c>
      <c r="AB354" s="0" t="inlineStr">
        <is>
          <t>경상남도</t>
        </is>
      </c>
      <c r="AC354" s="0" t="inlineStr">
        <is>
          <t>창원시</t>
        </is>
      </c>
      <c r="AD354" s="0" t="inlineStr">
        <is>
          <t>진해구</t>
        </is>
      </c>
      <c r="AE354" s="0" t="inlineStr">
        <is>
          <t>충무동</t>
        </is>
      </c>
      <c r="AG354" s="0" t="inlineStr">
        <is>
          <t>경상남도 창원시 진해구 충장로52번길 3</t>
        </is>
      </c>
      <c r="AH354" s="0" t="n">
        <v>0</v>
      </c>
      <c r="AI354" s="0" t="n">
        <v>522</v>
      </c>
      <c r="AJ354" s="0" t="n">
        <v>55</v>
      </c>
      <c r="AK354" s="0" t="n">
        <v>47</v>
      </c>
      <c r="AL354" s="0" t="n">
        <v>1.07</v>
      </c>
    </row>
    <row r="355">
      <c r="A355" s="0" t="inlineStr">
        <is>
          <t>[충무동]</t>
        </is>
      </c>
      <c r="B355" s="0" t="n">
        <v>122746</v>
      </c>
      <c r="C355" s="0" t="n">
        <v>1</v>
      </c>
      <c r="D355" s="0" t="inlineStr">
        <is>
          <t>더프라임</t>
        </is>
      </c>
      <c r="E355" s="0" t="inlineStr">
        <is>
          <t>2016.10.</t>
        </is>
      </c>
      <c r="F355" s="0" t="n">
        <v>17</v>
      </c>
      <c r="G355" s="0" t="n">
        <v>30.58</v>
      </c>
      <c r="H355" s="0" t="n">
        <v>101.11</v>
      </c>
      <c r="I355" s="0" t="n">
        <v>25.63</v>
      </c>
      <c r="J355" s="0" t="n">
        <v>84.73999999999999</v>
      </c>
      <c r="K355" s="0" t="n">
        <v>17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101</v>
      </c>
      <c r="X355" s="0" t="n">
        <v>10</v>
      </c>
      <c r="Y355" s="0" t="n">
        <v>10</v>
      </c>
      <c r="Z355" s="0" t="inlineStr">
        <is>
          <t>https://new.land.naver.com/complexes/122746?tab=detail&amp;rf=Y</t>
        </is>
      </c>
      <c r="AA355" s="0" t="inlineStr">
        <is>
          <t>경상남도 창원시 진해구 충무동 28-8</t>
        </is>
      </c>
      <c r="AB355" s="0" t="inlineStr">
        <is>
          <t>경상남도</t>
        </is>
      </c>
      <c r="AC355" s="0" t="inlineStr">
        <is>
          <t>창원시</t>
        </is>
      </c>
      <c r="AD355" s="0" t="inlineStr">
        <is>
          <t>진해구</t>
        </is>
      </c>
      <c r="AE355" s="0" t="inlineStr">
        <is>
          <t>충무동</t>
        </is>
      </c>
      <c r="AG355" s="0" t="inlineStr">
        <is>
          <t>경상남도 창원시 진해구 충장로 160</t>
        </is>
      </c>
      <c r="AH355" s="0" t="n">
        <v>0</v>
      </c>
      <c r="AI355" s="0" t="n">
        <v>314</v>
      </c>
      <c r="AJ355" s="0" t="n">
        <v>59</v>
      </c>
      <c r="AK355" s="0" t="n">
        <v>17</v>
      </c>
      <c r="AL355" s="0" t="n">
        <v>1</v>
      </c>
    </row>
    <row r="356">
      <c r="A356" s="0" t="inlineStr">
        <is>
          <t>[태백동]</t>
        </is>
      </c>
      <c r="B356" s="0" t="n">
        <v>100854</v>
      </c>
      <c r="C356" s="0" t="n">
        <v>1</v>
      </c>
      <c r="D356" s="0" t="inlineStr">
        <is>
          <t>원창시인의마을</t>
        </is>
      </c>
      <c r="E356" s="0" t="inlineStr">
        <is>
          <t>2002.11.</t>
        </is>
      </c>
      <c r="F356" s="0" t="n">
        <v>122</v>
      </c>
      <c r="G356" s="0" t="n">
        <v>23.2</v>
      </c>
      <c r="H356" s="0" t="n">
        <v>76.70999999999999</v>
      </c>
      <c r="I356" s="0" t="n">
        <v>18.07</v>
      </c>
      <c r="J356" s="0" t="n">
        <v>59.74</v>
      </c>
      <c r="K356" s="0" t="n">
        <v>122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76</v>
      </c>
      <c r="X356" s="0" t="n">
        <v>9</v>
      </c>
      <c r="Y356" s="0" t="n">
        <v>8</v>
      </c>
      <c r="Z356" s="0" t="inlineStr">
        <is>
          <t>https://new.land.naver.com/complexes/100854?tab=detail&amp;rf=Y</t>
        </is>
      </c>
      <c r="AA356" s="0" t="inlineStr">
        <is>
          <t>경상남도 창원시 진해구 태백동 4-1</t>
        </is>
      </c>
      <c r="AB356" s="0" t="inlineStr">
        <is>
          <t>경상남도</t>
        </is>
      </c>
      <c r="AC356" s="0" t="inlineStr">
        <is>
          <t>창원시</t>
        </is>
      </c>
      <c r="AD356" s="0" t="inlineStr">
        <is>
          <t>진해구</t>
        </is>
      </c>
      <c r="AE356" s="0" t="inlineStr">
        <is>
          <t>태백동</t>
        </is>
      </c>
      <c r="AG356" s="0" t="inlineStr">
        <is>
          <t>경상남도 창원시 진해구 태백서로45번길 3</t>
        </is>
      </c>
      <c r="AH356" s="0" t="n">
        <v>0</v>
      </c>
      <c r="AI356" s="0" t="n">
        <v>171</v>
      </c>
      <c r="AJ356" s="0" t="n">
        <v>25</v>
      </c>
      <c r="AK356" s="0" t="n">
        <v>106</v>
      </c>
      <c r="AL356" s="0" t="n">
        <v>0.87</v>
      </c>
    </row>
    <row r="357">
      <c r="A357" s="0" t="inlineStr">
        <is>
          <t>[태평동]</t>
        </is>
      </c>
      <c r="B357" s="0" t="n">
        <v>27197</v>
      </c>
      <c r="C357" s="0" t="n">
        <v>1</v>
      </c>
      <c r="D357" s="0" t="inlineStr">
        <is>
          <t>미래골든빌</t>
        </is>
      </c>
      <c r="E357" s="0" t="inlineStr">
        <is>
          <t>2007.10.</t>
        </is>
      </c>
      <c r="F357" s="0" t="n">
        <v>40</v>
      </c>
      <c r="G357" s="0" t="n">
        <v>27.34</v>
      </c>
      <c r="H357" s="0" t="n">
        <v>90.41</v>
      </c>
      <c r="I357" s="0" t="n">
        <v>24.47</v>
      </c>
      <c r="J357" s="0" t="n">
        <v>80.90000000000001</v>
      </c>
      <c r="K357" s="0" t="n">
        <v>20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90</v>
      </c>
      <c r="X357" s="0" t="n">
        <v>12</v>
      </c>
      <c r="Y357" s="0" t="n">
        <v>12</v>
      </c>
      <c r="Z357" s="0" t="inlineStr">
        <is>
          <t>https://new.land.naver.com/complexes/27197?tab=detail&amp;rf=Y</t>
        </is>
      </c>
      <c r="AA357" s="0" t="inlineStr">
        <is>
          <t>경상남도 창원시 진해구 태평동 17</t>
        </is>
      </c>
      <c r="AB357" s="0" t="inlineStr">
        <is>
          <t>경상남도</t>
        </is>
      </c>
      <c r="AC357" s="0" t="inlineStr">
        <is>
          <t>창원시</t>
        </is>
      </c>
      <c r="AD357" s="0" t="inlineStr">
        <is>
          <t>진해구</t>
        </is>
      </c>
      <c r="AE357" s="0" t="inlineStr">
        <is>
          <t>태평동</t>
        </is>
      </c>
      <c r="AG357" s="0" t="inlineStr">
        <is>
          <t>경상남도 창원시 진해구 태평로7번길 3</t>
        </is>
      </c>
      <c r="AH357" s="0" t="n">
        <v>0</v>
      </c>
      <c r="AI357" s="0" t="n">
        <v>867</v>
      </c>
      <c r="AJ357" s="0" t="n">
        <v>79</v>
      </c>
      <c r="AK357" s="0" t="n">
        <v>43</v>
      </c>
      <c r="AL357" s="0" t="n">
        <v>1.07</v>
      </c>
    </row>
    <row r="358">
      <c r="A358" s="0" t="inlineStr">
        <is>
          <t>[태평동]</t>
        </is>
      </c>
      <c r="B358" s="0" t="n">
        <v>27197</v>
      </c>
      <c r="C358" s="0" t="n">
        <v>2</v>
      </c>
      <c r="D358" s="0" t="inlineStr">
        <is>
          <t>미래골든빌</t>
        </is>
      </c>
      <c r="E358" s="0" t="inlineStr">
        <is>
          <t>2007.10.</t>
        </is>
      </c>
      <c r="F358" s="0" t="n">
        <v>40</v>
      </c>
      <c r="G358" s="0" t="n">
        <v>28.69</v>
      </c>
      <c r="H358" s="0" t="n">
        <v>94.87</v>
      </c>
      <c r="I358" s="0" t="n">
        <v>25.67</v>
      </c>
      <c r="J358" s="0" t="n">
        <v>84.89</v>
      </c>
      <c r="K358" s="0" t="n">
        <v>20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94</v>
      </c>
      <c r="X358" s="0" t="n">
        <v>12</v>
      </c>
      <c r="Y358" s="0" t="n">
        <v>12</v>
      </c>
      <c r="Z358" s="0" t="inlineStr">
        <is>
          <t>https://new.land.naver.com/complexes/27197?tab=detail&amp;rf=Y</t>
        </is>
      </c>
      <c r="AA358" s="0" t="inlineStr">
        <is>
          <t>경상남도 창원시 진해구 태평동 17</t>
        </is>
      </c>
      <c r="AB358" s="0" t="inlineStr">
        <is>
          <t>경상남도</t>
        </is>
      </c>
      <c r="AC358" s="0" t="inlineStr">
        <is>
          <t>창원시</t>
        </is>
      </c>
      <c r="AD358" s="0" t="inlineStr">
        <is>
          <t>진해구</t>
        </is>
      </c>
      <c r="AE358" s="0" t="inlineStr">
        <is>
          <t>태평동</t>
        </is>
      </c>
      <c r="AG358" s="0" t="inlineStr">
        <is>
          <t>경상남도 창원시 진해구 태평로7번길 3</t>
        </is>
      </c>
      <c r="AH358" s="0" t="n">
        <v>0</v>
      </c>
      <c r="AI358" s="0" t="n">
        <v>867</v>
      </c>
      <c r="AJ358" s="0" t="n">
        <v>79</v>
      </c>
      <c r="AK358" s="0" t="n">
        <v>43</v>
      </c>
      <c r="AL358" s="0" t="n">
        <v>1.07</v>
      </c>
    </row>
    <row r="359">
      <c r="A359" s="0" t="inlineStr">
        <is>
          <t>[태평동]</t>
        </is>
      </c>
      <c r="B359" s="0" t="n">
        <v>100856</v>
      </c>
      <c r="C359" s="0" t="n">
        <v>1</v>
      </c>
      <c r="D359" s="0" t="inlineStr">
        <is>
          <t>진해태평신생</t>
        </is>
      </c>
      <c r="E359" s="0" t="inlineStr">
        <is>
          <t>1993.01.</t>
        </is>
      </c>
      <c r="F359" s="0" t="n">
        <v>78</v>
      </c>
      <c r="G359" s="0" t="n">
        <v>21.14</v>
      </c>
      <c r="H359" s="0" t="n">
        <v>69.90000000000001</v>
      </c>
      <c r="I359" s="0" t="n">
        <v>17.95</v>
      </c>
      <c r="J359" s="0" t="n">
        <v>59.36</v>
      </c>
      <c r="K359" s="0" t="n">
        <v>26</v>
      </c>
      <c r="T359" s="0" t="n">
        <v>2</v>
      </c>
      <c r="U359" s="0" t="n">
        <v>1</v>
      </c>
      <c r="V359" s="0" t="inlineStr">
        <is>
          <t>계단식</t>
        </is>
      </c>
      <c r="W359" s="0" t="inlineStr">
        <is>
          <t>69B</t>
        </is>
      </c>
      <c r="X359" s="0" t="n">
        <v>15</v>
      </c>
      <c r="Y359" s="0" t="n">
        <v>15</v>
      </c>
      <c r="Z359" s="0" t="inlineStr">
        <is>
          <t>https://new.land.naver.com/complexes/100856?tab=detail&amp;rf=Y</t>
        </is>
      </c>
      <c r="AA359" s="0" t="inlineStr">
        <is>
          <t>경상남도 창원시 진해구 태평동 86-52</t>
        </is>
      </c>
      <c r="AB359" s="0" t="inlineStr">
        <is>
          <t>경상남도</t>
        </is>
      </c>
      <c r="AC359" s="0" t="inlineStr">
        <is>
          <t>창원시</t>
        </is>
      </c>
      <c r="AD359" s="0" t="inlineStr">
        <is>
          <t>진해구</t>
        </is>
      </c>
      <c r="AE359" s="0" t="inlineStr">
        <is>
          <t>태평동</t>
        </is>
      </c>
      <c r="AG359" s="0" t="inlineStr">
        <is>
          <t>경상남도 창원시 진해구 진희로 9</t>
        </is>
      </c>
      <c r="AH359" s="0" t="n">
        <v>0</v>
      </c>
      <c r="AI359" s="0" t="n">
        <v>512</v>
      </c>
      <c r="AJ359" s="0" t="n">
        <v>69</v>
      </c>
      <c r="AK359" s="0" t="n">
        <v>33</v>
      </c>
      <c r="AL359" s="0" t="n">
        <v>0.42</v>
      </c>
    </row>
    <row r="360">
      <c r="A360" s="0" t="inlineStr">
        <is>
          <t>[태평동]</t>
        </is>
      </c>
      <c r="B360" s="0" t="n">
        <v>100856</v>
      </c>
      <c r="C360" s="0" t="n">
        <v>2</v>
      </c>
      <c r="D360" s="0" t="inlineStr">
        <is>
          <t>진해태평신생</t>
        </is>
      </c>
      <c r="E360" s="0" t="inlineStr">
        <is>
          <t>1993.01.</t>
        </is>
      </c>
      <c r="F360" s="0" t="n">
        <v>78</v>
      </c>
      <c r="G360" s="0" t="n">
        <v>20.96</v>
      </c>
      <c r="H360" s="0" t="n">
        <v>69.31</v>
      </c>
      <c r="I360" s="0" t="n">
        <v>17.82</v>
      </c>
      <c r="J360" s="0" t="n">
        <v>58.92</v>
      </c>
      <c r="K360" s="0" t="n">
        <v>2</v>
      </c>
      <c r="T360" s="0" t="n">
        <v>2</v>
      </c>
      <c r="U360" s="0" t="n">
        <v>1</v>
      </c>
      <c r="V360" s="0" t="inlineStr">
        <is>
          <t>계단식</t>
        </is>
      </c>
      <c r="W360" s="0" t="inlineStr">
        <is>
          <t>69A</t>
        </is>
      </c>
      <c r="X360" s="0" t="n">
        <v>15</v>
      </c>
      <c r="Y360" s="0" t="n">
        <v>15</v>
      </c>
      <c r="Z360" s="0" t="inlineStr">
        <is>
          <t>https://new.land.naver.com/complexes/100856?tab=detail&amp;rf=Y</t>
        </is>
      </c>
      <c r="AA360" s="0" t="inlineStr">
        <is>
          <t>경상남도 창원시 진해구 태평동 86-52</t>
        </is>
      </c>
      <c r="AB360" s="0" t="inlineStr">
        <is>
          <t>경상남도</t>
        </is>
      </c>
      <c r="AC360" s="0" t="inlineStr">
        <is>
          <t>창원시</t>
        </is>
      </c>
      <c r="AD360" s="0" t="inlineStr">
        <is>
          <t>진해구</t>
        </is>
      </c>
      <c r="AE360" s="0" t="inlineStr">
        <is>
          <t>태평동</t>
        </is>
      </c>
      <c r="AG360" s="0" t="inlineStr">
        <is>
          <t>경상남도 창원시 진해구 진희로 9</t>
        </is>
      </c>
      <c r="AH360" s="0" t="n">
        <v>0</v>
      </c>
      <c r="AI360" s="0" t="n">
        <v>512</v>
      </c>
      <c r="AJ360" s="0" t="n">
        <v>69</v>
      </c>
      <c r="AK360" s="0" t="n">
        <v>33</v>
      </c>
      <c r="AL360" s="0" t="n">
        <v>0.42</v>
      </c>
    </row>
    <row r="361">
      <c r="A361" s="0" t="inlineStr">
        <is>
          <t>[태평동]</t>
        </is>
      </c>
      <c r="B361" s="0" t="n">
        <v>100856</v>
      </c>
      <c r="C361" s="0" t="n">
        <v>3</v>
      </c>
      <c r="D361" s="0" t="inlineStr">
        <is>
          <t>진해태평신생</t>
        </is>
      </c>
      <c r="E361" s="0" t="inlineStr">
        <is>
          <t>1993.01.</t>
        </is>
      </c>
      <c r="F361" s="0" t="n">
        <v>78</v>
      </c>
      <c r="G361" s="0" t="n">
        <v>30.24</v>
      </c>
      <c r="H361" s="0" t="n">
        <v>99.98999999999999</v>
      </c>
      <c r="I361" s="0" t="n">
        <v>25.68</v>
      </c>
      <c r="J361" s="0" t="n">
        <v>84.92</v>
      </c>
      <c r="K361" s="0" t="n">
        <v>50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99</v>
      </c>
      <c r="X361" s="0" t="n">
        <v>15</v>
      </c>
      <c r="Y361" s="0" t="n">
        <v>15</v>
      </c>
      <c r="Z361" s="0" t="inlineStr">
        <is>
          <t>https://new.land.naver.com/complexes/100856?tab=detail&amp;rf=Y</t>
        </is>
      </c>
      <c r="AA361" s="0" t="inlineStr">
        <is>
          <t>경상남도 창원시 진해구 태평동 86-52</t>
        </is>
      </c>
      <c r="AB361" s="0" t="inlineStr">
        <is>
          <t>경상남도</t>
        </is>
      </c>
      <c r="AC361" s="0" t="inlineStr">
        <is>
          <t>창원시</t>
        </is>
      </c>
      <c r="AD361" s="0" t="inlineStr">
        <is>
          <t>진해구</t>
        </is>
      </c>
      <c r="AE361" s="0" t="inlineStr">
        <is>
          <t>태평동</t>
        </is>
      </c>
      <c r="AG361" s="0" t="inlineStr">
        <is>
          <t>경상남도 창원시 진해구 진희로 9</t>
        </is>
      </c>
      <c r="AH361" s="0" t="n">
        <v>0</v>
      </c>
      <c r="AI361" s="0" t="n">
        <v>512</v>
      </c>
      <c r="AJ361" s="0" t="n">
        <v>69</v>
      </c>
      <c r="AK361" s="0" t="n">
        <v>33</v>
      </c>
      <c r="AL361" s="0" t="n">
        <v>0.42</v>
      </c>
    </row>
    <row r="362">
      <c r="A362" s="0" t="inlineStr">
        <is>
          <t>[풍호동]</t>
        </is>
      </c>
      <c r="B362" s="0" t="n">
        <v>16758</v>
      </c>
      <c r="C362" s="0" t="n">
        <v>1</v>
      </c>
      <c r="D362" s="0" t="inlineStr">
        <is>
          <t>평화마을</t>
        </is>
      </c>
      <c r="E362" s="0" t="inlineStr">
        <is>
          <t>2000.05.</t>
        </is>
      </c>
      <c r="F362" s="0" t="n">
        <v>168</v>
      </c>
      <c r="G362" s="0" t="n">
        <v>23.52</v>
      </c>
      <c r="H362" s="0" t="n">
        <v>77.77</v>
      </c>
      <c r="I362" s="0" t="n">
        <v>18.12</v>
      </c>
      <c r="J362" s="0" t="n">
        <v>59.91</v>
      </c>
      <c r="K362" s="0" t="n">
        <v>168</v>
      </c>
      <c r="T362" s="0" t="n">
        <v>2</v>
      </c>
      <c r="U362" s="0" t="n">
        <v>1</v>
      </c>
      <c r="V362" s="0" t="inlineStr">
        <is>
          <t>계단식</t>
        </is>
      </c>
      <c r="W362" s="0" t="n">
        <v>77</v>
      </c>
      <c r="X362" s="0" t="n">
        <v>14</v>
      </c>
      <c r="Y362" s="0" t="n">
        <v>14</v>
      </c>
      <c r="Z362" s="0" t="inlineStr">
        <is>
          <t>https://new.land.naver.com/complexes/16758?tab=detail&amp;rf=Y</t>
        </is>
      </c>
      <c r="AA362" s="0" t="inlineStr">
        <is>
          <t>경상남도 창원시 진해구 풍호동 483-10</t>
        </is>
      </c>
      <c r="AB362" s="0" t="inlineStr">
        <is>
          <t>경상남도</t>
        </is>
      </c>
      <c r="AC362" s="0" t="inlineStr">
        <is>
          <t>창원시</t>
        </is>
      </c>
      <c r="AD362" s="0" t="inlineStr">
        <is>
          <t>진해구</t>
        </is>
      </c>
      <c r="AE362" s="0" t="inlineStr">
        <is>
          <t>풍호동</t>
        </is>
      </c>
      <c r="AG362" s="0" t="inlineStr">
        <is>
          <t>경상남도 창원시 진해구 충장로603번길 10</t>
        </is>
      </c>
      <c r="AH362" s="0" t="n">
        <v>0</v>
      </c>
      <c r="AI362" s="0" t="n">
        <v>297</v>
      </c>
      <c r="AJ362" s="0" t="n">
        <v>28</v>
      </c>
      <c r="AK362" s="0" t="n">
        <v>120</v>
      </c>
      <c r="AL362" s="0" t="n">
        <v>0.71</v>
      </c>
    </row>
    <row r="363">
      <c r="A363" s="0" t="inlineStr">
        <is>
          <t>[풍호동]</t>
        </is>
      </c>
      <c r="B363" s="0" t="n">
        <v>13136</v>
      </c>
      <c r="C363" s="0" t="n">
        <v>1</v>
      </c>
      <c r="D363" s="0" t="inlineStr">
        <is>
          <t>경동윈츠빌</t>
        </is>
      </c>
      <c r="E363" s="0" t="inlineStr">
        <is>
          <t>2004.05.</t>
        </is>
      </c>
      <c r="F363" s="0" t="n">
        <v>248</v>
      </c>
      <c r="G363" s="0" t="n">
        <v>32.97</v>
      </c>
      <c r="H363" s="0" t="n">
        <v>109.01</v>
      </c>
      <c r="I363" s="0" t="n">
        <v>25.52</v>
      </c>
      <c r="J363" s="0" t="n">
        <v>84.39</v>
      </c>
      <c r="K363" s="0" t="n">
        <v>160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109</v>
      </c>
      <c r="X363" s="0" t="n">
        <v>12</v>
      </c>
      <c r="Y363" s="0" t="n">
        <v>9</v>
      </c>
      <c r="Z363" s="0" t="inlineStr">
        <is>
          <t>https://new.land.naver.com/complexes/13136?tab=detail&amp;rf=Y</t>
        </is>
      </c>
      <c r="AA363" s="0" t="inlineStr">
        <is>
          <t>경상남도 창원시 진해구 풍호동 731-1</t>
        </is>
      </c>
      <c r="AB363" s="0" t="inlineStr">
        <is>
          <t>경상남도</t>
        </is>
      </c>
      <c r="AC363" s="0" t="inlineStr">
        <is>
          <t>창원시</t>
        </is>
      </c>
      <c r="AD363" s="0" t="inlineStr">
        <is>
          <t>진해구</t>
        </is>
      </c>
      <c r="AE363" s="0" t="inlineStr">
        <is>
          <t>풍호동</t>
        </is>
      </c>
      <c r="AG363" s="0" t="inlineStr">
        <is>
          <t>경상남도 창원시 진해구 풍호로3번길 14</t>
        </is>
      </c>
      <c r="AH363" s="0" t="n">
        <v>0</v>
      </c>
      <c r="AI363" s="0" t="n">
        <v>253</v>
      </c>
      <c r="AJ363" s="0" t="n">
        <v>27</v>
      </c>
      <c r="AK363" s="0" t="n">
        <v>288</v>
      </c>
      <c r="AL363" s="0" t="n">
        <v>1.16</v>
      </c>
    </row>
    <row r="364">
      <c r="A364" s="0" t="inlineStr">
        <is>
          <t>[풍호동]</t>
        </is>
      </c>
      <c r="B364" s="0" t="n">
        <v>13136</v>
      </c>
      <c r="C364" s="0" t="n">
        <v>2</v>
      </c>
      <c r="D364" s="0" t="inlineStr">
        <is>
          <t>경동윈츠빌</t>
        </is>
      </c>
      <c r="E364" s="0" t="inlineStr">
        <is>
          <t>2004.05.</t>
        </is>
      </c>
      <c r="F364" s="0" t="n">
        <v>248</v>
      </c>
      <c r="G364" s="0" t="n">
        <v>42.18</v>
      </c>
      <c r="H364" s="0" t="n">
        <v>139.47</v>
      </c>
      <c r="I364" s="0" t="n">
        <v>35.06</v>
      </c>
      <c r="J364" s="0" t="n">
        <v>115.92</v>
      </c>
      <c r="K364" s="0" t="n">
        <v>88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139</v>
      </c>
      <c r="X364" s="0" t="n">
        <v>12</v>
      </c>
      <c r="Y364" s="0" t="n">
        <v>9</v>
      </c>
      <c r="Z364" s="0" t="inlineStr">
        <is>
          <t>https://new.land.naver.com/complexes/13136?tab=detail&amp;rf=Y</t>
        </is>
      </c>
      <c r="AA364" s="0" t="inlineStr">
        <is>
          <t>경상남도 창원시 진해구 풍호동 731-1</t>
        </is>
      </c>
      <c r="AB364" s="0" t="inlineStr">
        <is>
          <t>경상남도</t>
        </is>
      </c>
      <c r="AC364" s="0" t="inlineStr">
        <is>
          <t>창원시</t>
        </is>
      </c>
      <c r="AD364" s="0" t="inlineStr">
        <is>
          <t>진해구</t>
        </is>
      </c>
      <c r="AE364" s="0" t="inlineStr">
        <is>
          <t>풍호동</t>
        </is>
      </c>
      <c r="AG364" s="0" t="inlineStr">
        <is>
          <t>경상남도 창원시 진해구 풍호로3번길 14</t>
        </is>
      </c>
      <c r="AH364" s="0" t="n">
        <v>0</v>
      </c>
      <c r="AI364" s="0" t="n">
        <v>253</v>
      </c>
      <c r="AJ364" s="0" t="n">
        <v>27</v>
      </c>
      <c r="AK364" s="0" t="n">
        <v>288</v>
      </c>
      <c r="AL364" s="0" t="n">
        <v>1.16</v>
      </c>
    </row>
    <row r="365">
      <c r="A365" s="0" t="inlineStr">
        <is>
          <t>[풍호동]</t>
        </is>
      </c>
      <c r="B365" s="0" t="n">
        <v>106560</v>
      </c>
      <c r="C365" s="0" t="n">
        <v>1</v>
      </c>
      <c r="D365" s="0" t="inlineStr">
        <is>
          <t>창원마린푸르지오1단지</t>
        </is>
      </c>
      <c r="E365" s="0" t="inlineStr">
        <is>
          <t>2015.10.</t>
        </is>
      </c>
      <c r="F365" s="0" t="n">
        <v>1822</v>
      </c>
      <c r="G365" s="0" t="n">
        <v>24.63</v>
      </c>
      <c r="H365" s="0" t="n">
        <v>81.43000000000001</v>
      </c>
      <c r="I365" s="0" t="n">
        <v>18.14</v>
      </c>
      <c r="J365" s="0" t="n">
        <v>59.98</v>
      </c>
      <c r="K365" s="0" t="n">
        <v>124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81</v>
      </c>
      <c r="X365" s="0" t="n">
        <v>29</v>
      </c>
      <c r="Y365" s="0" t="n">
        <v>20</v>
      </c>
      <c r="Z365" s="0" t="inlineStr">
        <is>
          <t>https://new.land.naver.com/complexes/106560?tab=detail&amp;rf=Y</t>
        </is>
      </c>
      <c r="AA365" s="0" t="inlineStr">
        <is>
          <t>경상남도 창원시 진해구 풍호동 305-8</t>
        </is>
      </c>
      <c r="AB365" s="0" t="inlineStr">
        <is>
          <t>경상남도</t>
        </is>
      </c>
      <c r="AC365" s="0" t="inlineStr">
        <is>
          <t>창원시</t>
        </is>
      </c>
      <c r="AD365" s="0" t="inlineStr">
        <is>
          <t>진해구</t>
        </is>
      </c>
      <c r="AE365" s="0" t="inlineStr">
        <is>
          <t>풍호동</t>
        </is>
      </c>
      <c r="AG365" s="0" t="inlineStr">
        <is>
          <t>경상남도 창원시 진해구 천자로 386</t>
        </is>
      </c>
      <c r="AH365" s="0" t="n">
        <v>0</v>
      </c>
      <c r="AI365" s="0" t="n">
        <v>214</v>
      </c>
      <c r="AJ365" s="0" t="n">
        <v>15</v>
      </c>
      <c r="AK365" s="0" t="n">
        <v>2259</v>
      </c>
      <c r="AL365" s="0" t="n">
        <v>1.24</v>
      </c>
    </row>
    <row r="366">
      <c r="A366" s="0" t="inlineStr">
        <is>
          <t>[풍호동]</t>
        </is>
      </c>
      <c r="B366" s="0" t="n">
        <v>106560</v>
      </c>
      <c r="C366" s="0" t="n">
        <v>2</v>
      </c>
      <c r="D366" s="0" t="inlineStr">
        <is>
          <t>창원마린푸르지오1단지</t>
        </is>
      </c>
      <c r="E366" s="0" t="inlineStr">
        <is>
          <t>2015.10.</t>
        </is>
      </c>
      <c r="F366" s="0" t="n">
        <v>1822</v>
      </c>
      <c r="G366" s="0" t="n">
        <v>26.94</v>
      </c>
      <c r="H366" s="0" t="n">
        <v>89.06</v>
      </c>
      <c r="I366" s="0" t="n">
        <v>19.95</v>
      </c>
      <c r="J366" s="0" t="n">
        <v>65.97</v>
      </c>
      <c r="K366" s="0" t="n">
        <v>15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89</v>
      </c>
      <c r="X366" s="0" t="n">
        <v>29</v>
      </c>
      <c r="Y366" s="0" t="n">
        <v>20</v>
      </c>
      <c r="Z366" s="0" t="inlineStr">
        <is>
          <t>https://new.land.naver.com/complexes/106560?tab=detail&amp;rf=Y</t>
        </is>
      </c>
      <c r="AA366" s="0" t="inlineStr">
        <is>
          <t>경상남도 창원시 진해구 풍호동 305-8</t>
        </is>
      </c>
      <c r="AB366" s="0" t="inlineStr">
        <is>
          <t>경상남도</t>
        </is>
      </c>
      <c r="AC366" s="0" t="inlineStr">
        <is>
          <t>창원시</t>
        </is>
      </c>
      <c r="AD366" s="0" t="inlineStr">
        <is>
          <t>진해구</t>
        </is>
      </c>
      <c r="AE366" s="0" t="inlineStr">
        <is>
          <t>풍호동</t>
        </is>
      </c>
      <c r="AG366" s="0" t="inlineStr">
        <is>
          <t>경상남도 창원시 진해구 천자로 386</t>
        </is>
      </c>
      <c r="AH366" s="0" t="n">
        <v>0</v>
      </c>
      <c r="AI366" s="0" t="n">
        <v>214</v>
      </c>
      <c r="AJ366" s="0" t="n">
        <v>15</v>
      </c>
      <c r="AK366" s="0" t="n">
        <v>2259</v>
      </c>
      <c r="AL366" s="0" t="n">
        <v>1.24</v>
      </c>
    </row>
    <row r="367">
      <c r="A367" s="0" t="inlineStr">
        <is>
          <t>[풍호동]</t>
        </is>
      </c>
      <c r="B367" s="0" t="n">
        <v>106560</v>
      </c>
      <c r="C367" s="0" t="n">
        <v>3</v>
      </c>
      <c r="D367" s="0" t="inlineStr">
        <is>
          <t>창원마린푸르지오1단지</t>
        </is>
      </c>
      <c r="E367" s="0" t="inlineStr">
        <is>
          <t>2015.10.</t>
        </is>
      </c>
      <c r="F367" s="0" t="n">
        <v>1822</v>
      </c>
      <c r="G367" s="0" t="n">
        <v>29.63</v>
      </c>
      <c r="H367" s="0" t="n">
        <v>97.97</v>
      </c>
      <c r="I367" s="0" t="n">
        <v>22.07</v>
      </c>
      <c r="J367" s="0" t="n">
        <v>72.98999999999999</v>
      </c>
      <c r="K367" s="0" t="n">
        <v>42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97D</t>
        </is>
      </c>
      <c r="X367" s="0" t="n">
        <v>29</v>
      </c>
      <c r="Y367" s="0" t="n">
        <v>20</v>
      </c>
      <c r="Z367" s="0" t="inlineStr">
        <is>
          <t>https://new.land.naver.com/complexes/106560?tab=detail&amp;rf=Y</t>
        </is>
      </c>
      <c r="AA367" s="0" t="inlineStr">
        <is>
          <t>경상남도 창원시 진해구 풍호동 305-8</t>
        </is>
      </c>
      <c r="AB367" s="0" t="inlineStr">
        <is>
          <t>경상남도</t>
        </is>
      </c>
      <c r="AC367" s="0" t="inlineStr">
        <is>
          <t>창원시</t>
        </is>
      </c>
      <c r="AD367" s="0" t="inlineStr">
        <is>
          <t>진해구</t>
        </is>
      </c>
      <c r="AE367" s="0" t="inlineStr">
        <is>
          <t>풍호동</t>
        </is>
      </c>
      <c r="AG367" s="0" t="inlineStr">
        <is>
          <t>경상남도 창원시 진해구 천자로 386</t>
        </is>
      </c>
      <c r="AH367" s="0" t="n">
        <v>0</v>
      </c>
      <c r="AI367" s="0" t="n">
        <v>214</v>
      </c>
      <c r="AJ367" s="0" t="n">
        <v>15</v>
      </c>
      <c r="AK367" s="0" t="n">
        <v>2259</v>
      </c>
      <c r="AL367" s="0" t="n">
        <v>1.24</v>
      </c>
    </row>
    <row r="368">
      <c r="A368" s="0" t="inlineStr">
        <is>
          <t>[풍호동]</t>
        </is>
      </c>
      <c r="B368" s="0" t="n">
        <v>106560</v>
      </c>
      <c r="C368" s="0" t="n">
        <v>4</v>
      </c>
      <c r="D368" s="0" t="inlineStr">
        <is>
          <t>창원마린푸르지오1단지</t>
        </is>
      </c>
      <c r="E368" s="0" t="inlineStr">
        <is>
          <t>2015.10.</t>
        </is>
      </c>
      <c r="F368" s="0" t="n">
        <v>1822</v>
      </c>
      <c r="G368" s="0" t="n">
        <v>29.72</v>
      </c>
      <c r="H368" s="0" t="n">
        <v>98.25</v>
      </c>
      <c r="I368" s="0" t="n">
        <v>22.07</v>
      </c>
      <c r="J368" s="0" t="n">
        <v>72.98</v>
      </c>
      <c r="K368" s="0" t="n">
        <v>201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98A</t>
        </is>
      </c>
      <c r="X368" s="0" t="n">
        <v>29</v>
      </c>
      <c r="Y368" s="0" t="n">
        <v>20</v>
      </c>
      <c r="Z368" s="0" t="inlineStr">
        <is>
          <t>https://new.land.naver.com/complexes/106560?tab=detail&amp;rf=Y</t>
        </is>
      </c>
      <c r="AA368" s="0" t="inlineStr">
        <is>
          <t>경상남도 창원시 진해구 풍호동 305-8</t>
        </is>
      </c>
      <c r="AB368" s="0" t="inlineStr">
        <is>
          <t>경상남도</t>
        </is>
      </c>
      <c r="AC368" s="0" t="inlineStr">
        <is>
          <t>창원시</t>
        </is>
      </c>
      <c r="AD368" s="0" t="inlineStr">
        <is>
          <t>진해구</t>
        </is>
      </c>
      <c r="AE368" s="0" t="inlineStr">
        <is>
          <t>풍호동</t>
        </is>
      </c>
      <c r="AG368" s="0" t="inlineStr">
        <is>
          <t>경상남도 창원시 진해구 천자로 386</t>
        </is>
      </c>
      <c r="AH368" s="0" t="n">
        <v>0</v>
      </c>
      <c r="AI368" s="0" t="n">
        <v>214</v>
      </c>
      <c r="AJ368" s="0" t="n">
        <v>15</v>
      </c>
      <c r="AK368" s="0" t="n">
        <v>2259</v>
      </c>
      <c r="AL368" s="0" t="n">
        <v>1.24</v>
      </c>
    </row>
    <row r="369">
      <c r="A369" s="0" t="inlineStr">
        <is>
          <t>[풍호동]</t>
        </is>
      </c>
      <c r="B369" s="0" t="n">
        <v>106560</v>
      </c>
      <c r="C369" s="0" t="n">
        <v>5</v>
      </c>
      <c r="D369" s="0" t="inlineStr">
        <is>
          <t>창원마린푸르지오1단지</t>
        </is>
      </c>
      <c r="E369" s="0" t="inlineStr">
        <is>
          <t>2015.10.</t>
        </is>
      </c>
      <c r="F369" s="0" t="n">
        <v>1822</v>
      </c>
      <c r="G369" s="0" t="n">
        <v>29.86</v>
      </c>
      <c r="H369" s="0" t="n">
        <v>98.72</v>
      </c>
      <c r="I369" s="0" t="n">
        <v>22.07</v>
      </c>
      <c r="J369" s="0" t="n">
        <v>72.97</v>
      </c>
      <c r="K369" s="0" t="n">
        <v>92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98B</t>
        </is>
      </c>
      <c r="X369" s="0" t="n">
        <v>29</v>
      </c>
      <c r="Y369" s="0" t="n">
        <v>20</v>
      </c>
      <c r="Z369" s="0" t="inlineStr">
        <is>
          <t>https://new.land.naver.com/complexes/106560?tab=detail&amp;rf=Y</t>
        </is>
      </c>
      <c r="AA369" s="0" t="inlineStr">
        <is>
          <t>경상남도 창원시 진해구 풍호동 305-8</t>
        </is>
      </c>
      <c r="AB369" s="0" t="inlineStr">
        <is>
          <t>경상남도</t>
        </is>
      </c>
      <c r="AC369" s="0" t="inlineStr">
        <is>
          <t>창원시</t>
        </is>
      </c>
      <c r="AD369" s="0" t="inlineStr">
        <is>
          <t>진해구</t>
        </is>
      </c>
      <c r="AE369" s="0" t="inlineStr">
        <is>
          <t>풍호동</t>
        </is>
      </c>
      <c r="AG369" s="0" t="inlineStr">
        <is>
          <t>경상남도 창원시 진해구 천자로 386</t>
        </is>
      </c>
      <c r="AH369" s="0" t="n">
        <v>0</v>
      </c>
      <c r="AI369" s="0" t="n">
        <v>214</v>
      </c>
      <c r="AJ369" s="0" t="n">
        <v>15</v>
      </c>
      <c r="AK369" s="0" t="n">
        <v>2259</v>
      </c>
      <c r="AL369" s="0" t="n">
        <v>1.24</v>
      </c>
    </row>
    <row r="370">
      <c r="A370" s="0" t="inlineStr">
        <is>
          <t>[풍호동]</t>
        </is>
      </c>
      <c r="B370" s="0" t="n">
        <v>106560</v>
      </c>
      <c r="C370" s="0" t="n">
        <v>6</v>
      </c>
      <c r="D370" s="0" t="inlineStr">
        <is>
          <t>창원마린푸르지오1단지</t>
        </is>
      </c>
      <c r="E370" s="0" t="inlineStr">
        <is>
          <t>2015.10.</t>
        </is>
      </c>
      <c r="F370" s="0" t="n">
        <v>1822</v>
      </c>
      <c r="G370" s="0" t="n">
        <v>29.67</v>
      </c>
      <c r="H370" s="0" t="n">
        <v>98.09999999999999</v>
      </c>
      <c r="I370" s="0" t="n">
        <v>22.07</v>
      </c>
      <c r="J370" s="0" t="n">
        <v>72.97</v>
      </c>
      <c r="K370" s="0" t="n">
        <v>48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98C</t>
        </is>
      </c>
      <c r="X370" s="0" t="n">
        <v>29</v>
      </c>
      <c r="Y370" s="0" t="n">
        <v>20</v>
      </c>
      <c r="Z370" s="0" t="inlineStr">
        <is>
          <t>https://new.land.naver.com/complexes/106560?tab=detail&amp;rf=Y</t>
        </is>
      </c>
      <c r="AA370" s="0" t="inlineStr">
        <is>
          <t>경상남도 창원시 진해구 풍호동 305-8</t>
        </is>
      </c>
      <c r="AB370" s="0" t="inlineStr">
        <is>
          <t>경상남도</t>
        </is>
      </c>
      <c r="AC370" s="0" t="inlineStr">
        <is>
          <t>창원시</t>
        </is>
      </c>
      <c r="AD370" s="0" t="inlineStr">
        <is>
          <t>진해구</t>
        </is>
      </c>
      <c r="AE370" s="0" t="inlineStr">
        <is>
          <t>풍호동</t>
        </is>
      </c>
      <c r="AG370" s="0" t="inlineStr">
        <is>
          <t>경상남도 창원시 진해구 천자로 386</t>
        </is>
      </c>
      <c r="AH370" s="0" t="n">
        <v>0</v>
      </c>
      <c r="AI370" s="0" t="n">
        <v>214</v>
      </c>
      <c r="AJ370" s="0" t="n">
        <v>15</v>
      </c>
      <c r="AK370" s="0" t="n">
        <v>2259</v>
      </c>
      <c r="AL370" s="0" t="n">
        <v>1.24</v>
      </c>
    </row>
    <row r="371">
      <c r="A371" s="0" t="inlineStr">
        <is>
          <t>[풍호동]</t>
        </is>
      </c>
      <c r="B371" s="0" t="n">
        <v>106560</v>
      </c>
      <c r="C371" s="0" t="n">
        <v>7</v>
      </c>
      <c r="D371" s="0" t="inlineStr">
        <is>
          <t>창원마린푸르지오1단지</t>
        </is>
      </c>
      <c r="E371" s="0" t="inlineStr">
        <is>
          <t>2015.10.</t>
        </is>
      </c>
      <c r="F371" s="0" t="n">
        <v>1822</v>
      </c>
      <c r="G371" s="0" t="n">
        <v>31.53</v>
      </c>
      <c r="H371" s="0" t="n">
        <v>104.26</v>
      </c>
      <c r="I371" s="0" t="n">
        <v>23.52</v>
      </c>
      <c r="J371" s="0" t="n">
        <v>77.77</v>
      </c>
      <c r="K371" s="0" t="n">
        <v>12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104A</t>
        </is>
      </c>
      <c r="X371" s="0" t="n">
        <v>29</v>
      </c>
      <c r="Y371" s="0" t="n">
        <v>20</v>
      </c>
      <c r="Z371" s="0" t="inlineStr">
        <is>
          <t>https://new.land.naver.com/complexes/106560?tab=detail&amp;rf=Y</t>
        </is>
      </c>
      <c r="AA371" s="0" t="inlineStr">
        <is>
          <t>경상남도 창원시 진해구 풍호동 305-8</t>
        </is>
      </c>
      <c r="AB371" s="0" t="inlineStr">
        <is>
          <t>경상남도</t>
        </is>
      </c>
      <c r="AC371" s="0" t="inlineStr">
        <is>
          <t>창원시</t>
        </is>
      </c>
      <c r="AD371" s="0" t="inlineStr">
        <is>
          <t>진해구</t>
        </is>
      </c>
      <c r="AE371" s="0" t="inlineStr">
        <is>
          <t>풍호동</t>
        </is>
      </c>
      <c r="AG371" s="0" t="inlineStr">
        <is>
          <t>경상남도 창원시 진해구 천자로 386</t>
        </is>
      </c>
      <c r="AH371" s="0" t="n">
        <v>0</v>
      </c>
      <c r="AI371" s="0" t="n">
        <v>214</v>
      </c>
      <c r="AJ371" s="0" t="n">
        <v>15</v>
      </c>
      <c r="AK371" s="0" t="n">
        <v>2259</v>
      </c>
      <c r="AL371" s="0" t="n">
        <v>1.24</v>
      </c>
    </row>
    <row r="372">
      <c r="A372" s="0" t="inlineStr">
        <is>
          <t>[풍호동]</t>
        </is>
      </c>
      <c r="B372" s="0" t="n">
        <v>106560</v>
      </c>
      <c r="C372" s="0" t="n">
        <v>8</v>
      </c>
      <c r="D372" s="0" t="inlineStr">
        <is>
          <t>창원마린푸르지오1단지</t>
        </is>
      </c>
      <c r="E372" s="0" t="inlineStr">
        <is>
          <t>2015.10.</t>
        </is>
      </c>
      <c r="F372" s="0" t="n">
        <v>1822</v>
      </c>
      <c r="G372" s="0" t="n">
        <v>31.68</v>
      </c>
      <c r="H372" s="0" t="n">
        <v>104.73</v>
      </c>
      <c r="I372" s="0" t="n">
        <v>23.51</v>
      </c>
      <c r="J372" s="0" t="n">
        <v>77.73</v>
      </c>
      <c r="K372" s="0" t="n">
        <v>12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104B</t>
        </is>
      </c>
      <c r="X372" s="0" t="n">
        <v>29</v>
      </c>
      <c r="Y372" s="0" t="n">
        <v>20</v>
      </c>
      <c r="Z372" s="0" t="inlineStr">
        <is>
          <t>https://new.land.naver.com/complexes/106560?tab=detail&amp;rf=Y</t>
        </is>
      </c>
      <c r="AA372" s="0" t="inlineStr">
        <is>
          <t>경상남도 창원시 진해구 풍호동 305-8</t>
        </is>
      </c>
      <c r="AB372" s="0" t="inlineStr">
        <is>
          <t>경상남도</t>
        </is>
      </c>
      <c r="AC372" s="0" t="inlineStr">
        <is>
          <t>창원시</t>
        </is>
      </c>
      <c r="AD372" s="0" t="inlineStr">
        <is>
          <t>진해구</t>
        </is>
      </c>
      <c r="AE372" s="0" t="inlineStr">
        <is>
          <t>풍호동</t>
        </is>
      </c>
      <c r="AG372" s="0" t="inlineStr">
        <is>
          <t>경상남도 창원시 진해구 천자로 386</t>
        </is>
      </c>
      <c r="AH372" s="0" t="n">
        <v>0</v>
      </c>
      <c r="AI372" s="0" t="n">
        <v>214</v>
      </c>
      <c r="AJ372" s="0" t="n">
        <v>15</v>
      </c>
      <c r="AK372" s="0" t="n">
        <v>2259</v>
      </c>
      <c r="AL372" s="0" t="n">
        <v>1.24</v>
      </c>
    </row>
    <row r="373">
      <c r="A373" s="0" t="inlineStr">
        <is>
          <t>[풍호동]</t>
        </is>
      </c>
      <c r="B373" s="0" t="n">
        <v>106560</v>
      </c>
      <c r="C373" s="0" t="n">
        <v>9</v>
      </c>
      <c r="D373" s="0" t="inlineStr">
        <is>
          <t>창원마린푸르지오1단지</t>
        </is>
      </c>
      <c r="E373" s="0" t="inlineStr">
        <is>
          <t>2015.10.</t>
        </is>
      </c>
      <c r="F373" s="0" t="n">
        <v>1822</v>
      </c>
      <c r="G373" s="0" t="n">
        <v>34.43</v>
      </c>
      <c r="H373" s="0" t="n">
        <v>113.82</v>
      </c>
      <c r="I373" s="0" t="n">
        <v>25.7</v>
      </c>
      <c r="J373" s="0" t="n">
        <v>84.95999999999999</v>
      </c>
      <c r="K373" s="0" t="n">
        <v>693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113A</t>
        </is>
      </c>
      <c r="X373" s="0" t="n">
        <v>29</v>
      </c>
      <c r="Y373" s="0" t="n">
        <v>20</v>
      </c>
      <c r="Z373" s="0" t="inlineStr">
        <is>
          <t>https://new.land.naver.com/complexes/106560?tab=detail&amp;rf=Y</t>
        </is>
      </c>
      <c r="AA373" s="0" t="inlineStr">
        <is>
          <t>경상남도 창원시 진해구 풍호동 305-8</t>
        </is>
      </c>
      <c r="AB373" s="0" t="inlineStr">
        <is>
          <t>경상남도</t>
        </is>
      </c>
      <c r="AC373" s="0" t="inlineStr">
        <is>
          <t>창원시</t>
        </is>
      </c>
      <c r="AD373" s="0" t="inlineStr">
        <is>
          <t>진해구</t>
        </is>
      </c>
      <c r="AE373" s="0" t="inlineStr">
        <is>
          <t>풍호동</t>
        </is>
      </c>
      <c r="AG373" s="0" t="inlineStr">
        <is>
          <t>경상남도 창원시 진해구 천자로 386</t>
        </is>
      </c>
      <c r="AH373" s="0" t="n">
        <v>0</v>
      </c>
      <c r="AI373" s="0" t="n">
        <v>214</v>
      </c>
      <c r="AJ373" s="0" t="n">
        <v>15</v>
      </c>
      <c r="AK373" s="0" t="n">
        <v>2259</v>
      </c>
      <c r="AL373" s="0" t="n">
        <v>1.24</v>
      </c>
    </row>
    <row r="374">
      <c r="A374" s="0" t="inlineStr">
        <is>
          <t>[풍호동]</t>
        </is>
      </c>
      <c r="B374" s="0" t="n">
        <v>106560</v>
      </c>
      <c r="C374" s="0" t="n">
        <v>10</v>
      </c>
      <c r="D374" s="0" t="inlineStr">
        <is>
          <t>창원마린푸르지오1단지</t>
        </is>
      </c>
      <c r="E374" s="0" t="inlineStr">
        <is>
          <t>2015.10.</t>
        </is>
      </c>
      <c r="F374" s="0" t="n">
        <v>1822</v>
      </c>
      <c r="G374" s="0" t="n">
        <v>34.27</v>
      </c>
      <c r="H374" s="0" t="n">
        <v>113.31</v>
      </c>
      <c r="I374" s="0" t="n">
        <v>25.7</v>
      </c>
      <c r="J374" s="0" t="n">
        <v>84.97</v>
      </c>
      <c r="K374" s="0" t="n">
        <v>204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113C</t>
        </is>
      </c>
      <c r="X374" s="0" t="n">
        <v>29</v>
      </c>
      <c r="Y374" s="0" t="n">
        <v>20</v>
      </c>
      <c r="Z374" s="0" t="inlineStr">
        <is>
          <t>https://new.land.naver.com/complexes/106560?tab=detail&amp;rf=Y</t>
        </is>
      </c>
      <c r="AA374" s="0" t="inlineStr">
        <is>
          <t>경상남도 창원시 진해구 풍호동 305-8</t>
        </is>
      </c>
      <c r="AB374" s="0" t="inlineStr">
        <is>
          <t>경상남도</t>
        </is>
      </c>
      <c r="AC374" s="0" t="inlineStr">
        <is>
          <t>창원시</t>
        </is>
      </c>
      <c r="AD374" s="0" t="inlineStr">
        <is>
          <t>진해구</t>
        </is>
      </c>
      <c r="AE374" s="0" t="inlineStr">
        <is>
          <t>풍호동</t>
        </is>
      </c>
      <c r="AG374" s="0" t="inlineStr">
        <is>
          <t>경상남도 창원시 진해구 천자로 386</t>
        </is>
      </c>
      <c r="AH374" s="0" t="n">
        <v>0</v>
      </c>
      <c r="AI374" s="0" t="n">
        <v>214</v>
      </c>
      <c r="AJ374" s="0" t="n">
        <v>15</v>
      </c>
      <c r="AK374" s="0" t="n">
        <v>2259</v>
      </c>
      <c r="AL374" s="0" t="n">
        <v>1.24</v>
      </c>
    </row>
    <row r="375">
      <c r="A375" s="0" t="inlineStr">
        <is>
          <t>[풍호동]</t>
        </is>
      </c>
      <c r="B375" s="0" t="n">
        <v>106560</v>
      </c>
      <c r="C375" s="0" t="n">
        <v>11</v>
      </c>
      <c r="D375" s="0" t="inlineStr">
        <is>
          <t>창원마린푸르지오1단지</t>
        </is>
      </c>
      <c r="E375" s="0" t="inlineStr">
        <is>
          <t>2015.10.</t>
        </is>
      </c>
      <c r="F375" s="0" t="n">
        <v>1822</v>
      </c>
      <c r="G375" s="0" t="n">
        <v>34.48</v>
      </c>
      <c r="H375" s="0" t="n">
        <v>114</v>
      </c>
      <c r="I375" s="0" t="n">
        <v>25.7</v>
      </c>
      <c r="J375" s="0" t="n">
        <v>84.98</v>
      </c>
      <c r="K375" s="0" t="n">
        <v>201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114B</t>
        </is>
      </c>
      <c r="X375" s="0" t="n">
        <v>29</v>
      </c>
      <c r="Y375" s="0" t="n">
        <v>20</v>
      </c>
      <c r="Z375" s="0" t="inlineStr">
        <is>
          <t>https://new.land.naver.com/complexes/106560?tab=detail&amp;rf=Y</t>
        </is>
      </c>
      <c r="AA375" s="0" t="inlineStr">
        <is>
          <t>경상남도 창원시 진해구 풍호동 305-8</t>
        </is>
      </c>
      <c r="AB375" s="0" t="inlineStr">
        <is>
          <t>경상남도</t>
        </is>
      </c>
      <c r="AC375" s="0" t="inlineStr">
        <is>
          <t>창원시</t>
        </is>
      </c>
      <c r="AD375" s="0" t="inlineStr">
        <is>
          <t>진해구</t>
        </is>
      </c>
      <c r="AE375" s="0" t="inlineStr">
        <is>
          <t>풍호동</t>
        </is>
      </c>
      <c r="AG375" s="0" t="inlineStr">
        <is>
          <t>경상남도 창원시 진해구 천자로 386</t>
        </is>
      </c>
      <c r="AH375" s="0" t="n">
        <v>0</v>
      </c>
      <c r="AI375" s="0" t="n">
        <v>214</v>
      </c>
      <c r="AJ375" s="0" t="n">
        <v>15</v>
      </c>
      <c r="AK375" s="0" t="n">
        <v>2259</v>
      </c>
      <c r="AL375" s="0" t="n">
        <v>1.24</v>
      </c>
    </row>
    <row r="376">
      <c r="A376" s="0" t="inlineStr">
        <is>
          <t>[풍호동]</t>
        </is>
      </c>
      <c r="B376" s="0" t="n">
        <v>106560</v>
      </c>
      <c r="C376" s="0" t="n">
        <v>12</v>
      </c>
      <c r="D376" s="0" t="inlineStr">
        <is>
          <t>창원마린푸르지오1단지</t>
        </is>
      </c>
      <c r="E376" s="0" t="inlineStr">
        <is>
          <t>2015.10.</t>
        </is>
      </c>
      <c r="F376" s="0" t="n">
        <v>1822</v>
      </c>
      <c r="G376" s="0" t="n">
        <v>39.09</v>
      </c>
      <c r="H376" s="0" t="n">
        <v>129.25</v>
      </c>
      <c r="I376" s="0" t="n">
        <v>31.44</v>
      </c>
      <c r="J376" s="0" t="n">
        <v>103.96</v>
      </c>
      <c r="K376" s="0" t="n">
        <v>177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129</v>
      </c>
      <c r="X376" s="0" t="n">
        <v>29</v>
      </c>
      <c r="Y376" s="0" t="n">
        <v>20</v>
      </c>
      <c r="Z376" s="0" t="inlineStr">
        <is>
          <t>https://new.land.naver.com/complexes/106560?tab=detail&amp;rf=Y</t>
        </is>
      </c>
      <c r="AA376" s="0" t="inlineStr">
        <is>
          <t>경상남도 창원시 진해구 풍호동 305-8</t>
        </is>
      </c>
      <c r="AB376" s="0" t="inlineStr">
        <is>
          <t>경상남도</t>
        </is>
      </c>
      <c r="AC376" s="0" t="inlineStr">
        <is>
          <t>창원시</t>
        </is>
      </c>
      <c r="AD376" s="0" t="inlineStr">
        <is>
          <t>진해구</t>
        </is>
      </c>
      <c r="AE376" s="0" t="inlineStr">
        <is>
          <t>풍호동</t>
        </is>
      </c>
      <c r="AG376" s="0" t="inlineStr">
        <is>
          <t>경상남도 창원시 진해구 천자로 386</t>
        </is>
      </c>
      <c r="AH376" s="0" t="n">
        <v>0</v>
      </c>
      <c r="AI376" s="0" t="n">
        <v>214</v>
      </c>
      <c r="AJ376" s="0" t="n">
        <v>15</v>
      </c>
      <c r="AK376" s="0" t="n">
        <v>2259</v>
      </c>
      <c r="AL376" s="0" t="n">
        <v>1.24</v>
      </c>
    </row>
    <row r="377">
      <c r="A377" s="0" t="inlineStr">
        <is>
          <t>[풍호동]</t>
        </is>
      </c>
      <c r="B377" s="0" t="n">
        <v>106560</v>
      </c>
      <c r="C377" s="0" t="n">
        <v>13</v>
      </c>
      <c r="D377" s="0" t="inlineStr">
        <is>
          <t>창원마린푸르지오1단지</t>
        </is>
      </c>
      <c r="E377" s="0" t="inlineStr">
        <is>
          <t>2015.10.</t>
        </is>
      </c>
      <c r="F377" s="0" t="n">
        <v>1822</v>
      </c>
      <c r="G377" s="0" t="n">
        <v>42.99</v>
      </c>
      <c r="H377" s="0" t="n">
        <v>142.13</v>
      </c>
      <c r="I377" s="0" t="n">
        <v>34.76</v>
      </c>
      <c r="J377" s="0" t="n">
        <v>114.93</v>
      </c>
      <c r="K377" s="0" t="n">
        <v>1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142</v>
      </c>
      <c r="X377" s="0" t="n">
        <v>29</v>
      </c>
      <c r="Y377" s="0" t="n">
        <v>20</v>
      </c>
      <c r="Z377" s="0" t="inlineStr">
        <is>
          <t>https://new.land.naver.com/complexes/106560?tab=detail&amp;rf=Y</t>
        </is>
      </c>
      <c r="AA377" s="0" t="inlineStr">
        <is>
          <t>경상남도 창원시 진해구 풍호동 305-8</t>
        </is>
      </c>
      <c r="AB377" s="0" t="inlineStr">
        <is>
          <t>경상남도</t>
        </is>
      </c>
      <c r="AC377" s="0" t="inlineStr">
        <is>
          <t>창원시</t>
        </is>
      </c>
      <c r="AD377" s="0" t="inlineStr">
        <is>
          <t>진해구</t>
        </is>
      </c>
      <c r="AE377" s="0" t="inlineStr">
        <is>
          <t>풍호동</t>
        </is>
      </c>
      <c r="AG377" s="0" t="inlineStr">
        <is>
          <t>경상남도 창원시 진해구 천자로 386</t>
        </is>
      </c>
      <c r="AH377" s="0" t="n">
        <v>0</v>
      </c>
      <c r="AI377" s="0" t="n">
        <v>214</v>
      </c>
      <c r="AJ377" s="0" t="n">
        <v>15</v>
      </c>
      <c r="AK377" s="0" t="n">
        <v>2259</v>
      </c>
      <c r="AL377" s="0" t="n">
        <v>1.24</v>
      </c>
    </row>
    <row r="378">
      <c r="A378" s="0" t="inlineStr">
        <is>
          <t>[풍호동]</t>
        </is>
      </c>
      <c r="B378" s="0" t="n">
        <v>120264</v>
      </c>
      <c r="C378" s="0" t="n">
        <v>1</v>
      </c>
      <c r="D378" s="0" t="inlineStr">
        <is>
          <t>녹수</t>
        </is>
      </c>
      <c r="E378" s="0" t="inlineStr">
        <is>
          <t>1991.04.</t>
        </is>
      </c>
      <c r="F378" s="0" t="n">
        <v>60</v>
      </c>
      <c r="G378" s="0" t="n">
        <v>18.67</v>
      </c>
      <c r="H378" s="0" t="n">
        <v>61.74</v>
      </c>
      <c r="I378" s="0" t="n">
        <v>16.71</v>
      </c>
      <c r="J378" s="0" t="n">
        <v>55.24</v>
      </c>
      <c r="K378" s="0" t="n">
        <v>40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61</v>
      </c>
      <c r="X378" s="0" t="n">
        <v>5</v>
      </c>
      <c r="Y378" s="0" t="n">
        <v>5</v>
      </c>
      <c r="Z378" s="0" t="inlineStr">
        <is>
          <t>https://new.land.naver.com/complexes/120264?tab=detail&amp;rf=Y</t>
        </is>
      </c>
      <c r="AA378" s="0" t="inlineStr">
        <is>
          <t>경상남도 창원시 진해구 풍호동 101-6</t>
        </is>
      </c>
      <c r="AB378" s="0" t="inlineStr">
        <is>
          <t>경상남도</t>
        </is>
      </c>
      <c r="AC378" s="0" t="inlineStr">
        <is>
          <t>창원시</t>
        </is>
      </c>
      <c r="AD378" s="0" t="inlineStr">
        <is>
          <t>진해구</t>
        </is>
      </c>
      <c r="AE378" s="0" t="inlineStr">
        <is>
          <t>풍호동</t>
        </is>
      </c>
      <c r="AG378" s="0" t="inlineStr">
        <is>
          <t>경상남도 창원시 진해구 진해대로1033번길 17</t>
        </is>
      </c>
      <c r="AH378" s="0" t="n">
        <v>0</v>
      </c>
      <c r="AI378" s="0" t="n">
        <v>151</v>
      </c>
      <c r="AJ378" s="0" t="n">
        <v>30</v>
      </c>
      <c r="AK378" s="0" t="n">
        <v>0</v>
      </c>
      <c r="AL378" s="0" t="n">
        <v>0</v>
      </c>
    </row>
    <row r="379">
      <c r="A379" s="0" t="inlineStr">
        <is>
          <t>[풍호동]</t>
        </is>
      </c>
      <c r="B379" s="0" t="n">
        <v>120264</v>
      </c>
      <c r="C379" s="0" t="n">
        <v>2</v>
      </c>
      <c r="D379" s="0" t="inlineStr">
        <is>
          <t>녹수</t>
        </is>
      </c>
      <c r="E379" s="0" t="inlineStr">
        <is>
          <t>1991.04.</t>
        </is>
      </c>
      <c r="F379" s="0" t="n">
        <v>60</v>
      </c>
      <c r="G379" s="0" t="n">
        <v>24.07</v>
      </c>
      <c r="H379" s="0" t="n">
        <v>79.59</v>
      </c>
      <c r="I379" s="0" t="n">
        <v>22.18</v>
      </c>
      <c r="J379" s="0" t="n">
        <v>73.34999999999999</v>
      </c>
      <c r="K379" s="0" t="n">
        <v>20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79</v>
      </c>
      <c r="X379" s="0" t="n">
        <v>5</v>
      </c>
      <c r="Y379" s="0" t="n">
        <v>5</v>
      </c>
      <c r="Z379" s="0" t="inlineStr">
        <is>
          <t>https://new.land.naver.com/complexes/120264?tab=detail&amp;rf=Y</t>
        </is>
      </c>
      <c r="AA379" s="0" t="inlineStr">
        <is>
          <t>경상남도 창원시 진해구 풍호동 101-6</t>
        </is>
      </c>
      <c r="AB379" s="0" t="inlineStr">
        <is>
          <t>경상남도</t>
        </is>
      </c>
      <c r="AC379" s="0" t="inlineStr">
        <is>
          <t>창원시</t>
        </is>
      </c>
      <c r="AD379" s="0" t="inlineStr">
        <is>
          <t>진해구</t>
        </is>
      </c>
      <c r="AE379" s="0" t="inlineStr">
        <is>
          <t>풍호동</t>
        </is>
      </c>
      <c r="AG379" s="0" t="inlineStr">
        <is>
          <t>경상남도 창원시 진해구 진해대로1033번길 17</t>
        </is>
      </c>
      <c r="AH379" s="0" t="n">
        <v>0</v>
      </c>
      <c r="AI379" s="0" t="n">
        <v>151</v>
      </c>
      <c r="AJ379" s="0" t="n">
        <v>30</v>
      </c>
      <c r="AK379" s="0" t="n">
        <v>0</v>
      </c>
      <c r="AL379" s="0" t="n">
        <v>0</v>
      </c>
    </row>
    <row r="380">
      <c r="A380" s="0" t="inlineStr">
        <is>
          <t>[풍호동]</t>
        </is>
      </c>
      <c r="B380" s="0" t="n">
        <v>119602</v>
      </c>
      <c r="C380" s="0" t="n">
        <v>1</v>
      </c>
      <c r="D380" s="0" t="inlineStr">
        <is>
          <t>신광</t>
        </is>
      </c>
      <c r="E380" s="0" t="inlineStr">
        <is>
          <t>1990.09.</t>
        </is>
      </c>
      <c r="F380" s="0" t="n">
        <v>84</v>
      </c>
      <c r="G380" s="0" t="n">
        <v>16.29</v>
      </c>
      <c r="H380" s="0" t="n">
        <v>53.87</v>
      </c>
      <c r="I380" s="0" t="n">
        <v>14.15</v>
      </c>
      <c r="J380" s="0" t="n">
        <v>46.8</v>
      </c>
      <c r="K380" s="0" t="n">
        <v>9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53</v>
      </c>
      <c r="X380" s="0" t="n">
        <v>5</v>
      </c>
      <c r="Y380" s="0" t="n">
        <v>3</v>
      </c>
      <c r="Z380" s="0" t="inlineStr">
        <is>
          <t>https://new.land.naver.com/complexes/119602?tab=detail&amp;rf=Y</t>
        </is>
      </c>
      <c r="AA380" s="0" t="inlineStr">
        <is>
          <t>경상남도 창원시 진해구 풍호동 325</t>
        </is>
      </c>
      <c r="AB380" s="0" t="inlineStr">
        <is>
          <t>경상남도</t>
        </is>
      </c>
      <c r="AC380" s="0" t="inlineStr">
        <is>
          <t>창원시</t>
        </is>
      </c>
      <c r="AD380" s="0" t="inlineStr">
        <is>
          <t>진해구</t>
        </is>
      </c>
      <c r="AE380" s="0" t="inlineStr">
        <is>
          <t>풍호동</t>
        </is>
      </c>
      <c r="AG380" s="0" t="inlineStr">
        <is>
          <t>경상남도 창원시 진해구 천자로385번길 9</t>
        </is>
      </c>
      <c r="AH380" s="0" t="n">
        <v>0</v>
      </c>
      <c r="AI380" s="0" t="n">
        <v>156</v>
      </c>
      <c r="AJ380" s="0" t="n">
        <v>36</v>
      </c>
      <c r="AK380" s="0" t="n">
        <v>0</v>
      </c>
      <c r="AL380" s="0" t="n">
        <v>0</v>
      </c>
    </row>
    <row r="381">
      <c r="A381" s="0" t="inlineStr">
        <is>
          <t>[풍호동]</t>
        </is>
      </c>
      <c r="B381" s="0" t="n">
        <v>119602</v>
      </c>
      <c r="C381" s="0" t="n">
        <v>2</v>
      </c>
      <c r="D381" s="0" t="inlineStr">
        <is>
          <t>신광</t>
        </is>
      </c>
      <c r="E381" s="0" t="inlineStr">
        <is>
          <t>1990.09.</t>
        </is>
      </c>
      <c r="F381" s="0" t="n">
        <v>84</v>
      </c>
      <c r="G381" s="0" t="n">
        <v>16.62</v>
      </c>
      <c r="H381" s="0" t="n">
        <v>54.97</v>
      </c>
      <c r="I381" s="0" t="n">
        <v>14.48</v>
      </c>
      <c r="J381" s="0" t="n">
        <v>47.88</v>
      </c>
      <c r="K381" s="0" t="n">
        <v>25</v>
      </c>
      <c r="T381" s="0" t="n">
        <v>2</v>
      </c>
      <c r="U381" s="0" t="n">
        <v>1</v>
      </c>
      <c r="V381" s="0" t="inlineStr">
        <is>
          <t>계단식</t>
        </is>
      </c>
      <c r="W381" s="0" t="inlineStr">
        <is>
          <t>54E</t>
        </is>
      </c>
      <c r="X381" s="0" t="n">
        <v>5</v>
      </c>
      <c r="Y381" s="0" t="n">
        <v>3</v>
      </c>
      <c r="Z381" s="0" t="inlineStr">
        <is>
          <t>https://new.land.naver.com/complexes/119602?tab=detail&amp;rf=Y</t>
        </is>
      </c>
      <c r="AA381" s="0" t="inlineStr">
        <is>
          <t>경상남도 창원시 진해구 풍호동 325</t>
        </is>
      </c>
      <c r="AB381" s="0" t="inlineStr">
        <is>
          <t>경상남도</t>
        </is>
      </c>
      <c r="AC381" s="0" t="inlineStr">
        <is>
          <t>창원시</t>
        </is>
      </c>
      <c r="AD381" s="0" t="inlineStr">
        <is>
          <t>진해구</t>
        </is>
      </c>
      <c r="AE381" s="0" t="inlineStr">
        <is>
          <t>풍호동</t>
        </is>
      </c>
      <c r="AG381" s="0" t="inlineStr">
        <is>
          <t>경상남도 창원시 진해구 천자로385번길 9</t>
        </is>
      </c>
      <c r="AH381" s="0" t="n">
        <v>0</v>
      </c>
      <c r="AI381" s="0" t="n">
        <v>156</v>
      </c>
      <c r="AJ381" s="0" t="n">
        <v>36</v>
      </c>
      <c r="AK381" s="0" t="n">
        <v>0</v>
      </c>
      <c r="AL381" s="0" t="n">
        <v>0</v>
      </c>
    </row>
    <row r="382">
      <c r="A382" s="0" t="inlineStr">
        <is>
          <t>[풍호동]</t>
        </is>
      </c>
      <c r="B382" s="0" t="n">
        <v>119602</v>
      </c>
      <c r="C382" s="0" t="n">
        <v>3</v>
      </c>
      <c r="D382" s="0" t="inlineStr">
        <is>
          <t>신광</t>
        </is>
      </c>
      <c r="E382" s="0" t="inlineStr">
        <is>
          <t>1990.09.</t>
        </is>
      </c>
      <c r="F382" s="0" t="n">
        <v>84</v>
      </c>
      <c r="G382" s="0" t="n">
        <v>16.73</v>
      </c>
      <c r="H382" s="0" t="n">
        <v>55.32</v>
      </c>
      <c r="I382" s="0" t="n">
        <v>14.59</v>
      </c>
      <c r="J382" s="0" t="n">
        <v>48.24</v>
      </c>
      <c r="K382" s="0" t="n">
        <v>10</v>
      </c>
      <c r="T382" s="0" t="n">
        <v>2</v>
      </c>
      <c r="U382" s="0" t="n">
        <v>1</v>
      </c>
      <c r="V382" s="0" t="inlineStr">
        <is>
          <t>계단식</t>
        </is>
      </c>
      <c r="W382" s="0" t="inlineStr">
        <is>
          <t>55B</t>
        </is>
      </c>
      <c r="X382" s="0" t="n">
        <v>5</v>
      </c>
      <c r="Y382" s="0" t="n">
        <v>3</v>
      </c>
      <c r="Z382" s="0" t="inlineStr">
        <is>
          <t>https://new.land.naver.com/complexes/119602?tab=detail&amp;rf=Y</t>
        </is>
      </c>
      <c r="AA382" s="0" t="inlineStr">
        <is>
          <t>경상남도 창원시 진해구 풍호동 325</t>
        </is>
      </c>
      <c r="AB382" s="0" t="inlineStr">
        <is>
          <t>경상남도</t>
        </is>
      </c>
      <c r="AC382" s="0" t="inlineStr">
        <is>
          <t>창원시</t>
        </is>
      </c>
      <c r="AD382" s="0" t="inlineStr">
        <is>
          <t>진해구</t>
        </is>
      </c>
      <c r="AE382" s="0" t="inlineStr">
        <is>
          <t>풍호동</t>
        </is>
      </c>
      <c r="AG382" s="0" t="inlineStr">
        <is>
          <t>경상남도 창원시 진해구 천자로385번길 9</t>
        </is>
      </c>
      <c r="AH382" s="0" t="n">
        <v>0</v>
      </c>
      <c r="AI382" s="0" t="n">
        <v>156</v>
      </c>
      <c r="AJ382" s="0" t="n">
        <v>36</v>
      </c>
      <c r="AK382" s="0" t="n">
        <v>0</v>
      </c>
      <c r="AL382" s="0" t="n">
        <v>0</v>
      </c>
    </row>
    <row r="383">
      <c r="A383" s="0" t="inlineStr">
        <is>
          <t>[풍호동]</t>
        </is>
      </c>
      <c r="B383" s="0" t="n">
        <v>119602</v>
      </c>
      <c r="C383" s="0" t="n">
        <v>4</v>
      </c>
      <c r="D383" s="0" t="inlineStr">
        <is>
          <t>신광</t>
        </is>
      </c>
      <c r="E383" s="0" t="inlineStr">
        <is>
          <t>1990.09.</t>
        </is>
      </c>
      <c r="F383" s="0" t="n">
        <v>84</v>
      </c>
      <c r="G383" s="0" t="n">
        <v>16.71</v>
      </c>
      <c r="H383" s="0" t="n">
        <v>55.24</v>
      </c>
      <c r="I383" s="0" t="n">
        <v>14.56</v>
      </c>
      <c r="J383" s="0" t="n">
        <v>48.15</v>
      </c>
      <c r="K383" s="0" t="n">
        <v>3</v>
      </c>
      <c r="T383" s="0" t="n">
        <v>2</v>
      </c>
      <c r="U383" s="0" t="n">
        <v>1</v>
      </c>
      <c r="V383" s="0" t="inlineStr">
        <is>
          <t>계단식</t>
        </is>
      </c>
      <c r="W383" s="0" t="inlineStr">
        <is>
          <t>55A</t>
        </is>
      </c>
      <c r="X383" s="0" t="n">
        <v>5</v>
      </c>
      <c r="Y383" s="0" t="n">
        <v>3</v>
      </c>
      <c r="Z383" s="0" t="inlineStr">
        <is>
          <t>https://new.land.naver.com/complexes/119602?tab=detail&amp;rf=Y</t>
        </is>
      </c>
      <c r="AA383" s="0" t="inlineStr">
        <is>
          <t>경상남도 창원시 진해구 풍호동 325</t>
        </is>
      </c>
      <c r="AB383" s="0" t="inlineStr">
        <is>
          <t>경상남도</t>
        </is>
      </c>
      <c r="AC383" s="0" t="inlineStr">
        <is>
          <t>창원시</t>
        </is>
      </c>
      <c r="AD383" s="0" t="inlineStr">
        <is>
          <t>진해구</t>
        </is>
      </c>
      <c r="AE383" s="0" t="inlineStr">
        <is>
          <t>풍호동</t>
        </is>
      </c>
      <c r="AG383" s="0" t="inlineStr">
        <is>
          <t>경상남도 창원시 진해구 천자로385번길 9</t>
        </is>
      </c>
      <c r="AH383" s="0" t="n">
        <v>0</v>
      </c>
      <c r="AI383" s="0" t="n">
        <v>156</v>
      </c>
      <c r="AJ383" s="0" t="n">
        <v>36</v>
      </c>
      <c r="AK383" s="0" t="n">
        <v>0</v>
      </c>
      <c r="AL383" s="0" t="n">
        <v>0</v>
      </c>
    </row>
    <row r="384">
      <c r="A384" s="0" t="inlineStr">
        <is>
          <t>[풍호동]</t>
        </is>
      </c>
      <c r="B384" s="0" t="n">
        <v>119602</v>
      </c>
      <c r="C384" s="0" t="n">
        <v>5</v>
      </c>
      <c r="D384" s="0" t="inlineStr">
        <is>
          <t>신광</t>
        </is>
      </c>
      <c r="E384" s="0" t="inlineStr">
        <is>
          <t>1990.09.</t>
        </is>
      </c>
      <c r="F384" s="0" t="n">
        <v>84</v>
      </c>
      <c r="G384" s="0" t="n">
        <v>16.74</v>
      </c>
      <c r="H384" s="0" t="n">
        <v>55.36</v>
      </c>
      <c r="I384" s="0" t="n">
        <v>14.6</v>
      </c>
      <c r="J384" s="0" t="n">
        <v>48.28</v>
      </c>
      <c r="K384" s="0" t="n">
        <v>1</v>
      </c>
      <c r="T384" s="0" t="n">
        <v>2</v>
      </c>
      <c r="U384" s="0" t="n">
        <v>1</v>
      </c>
      <c r="V384" s="0" t="inlineStr">
        <is>
          <t>계단식</t>
        </is>
      </c>
      <c r="W384" s="0" t="inlineStr">
        <is>
          <t>55C</t>
        </is>
      </c>
      <c r="X384" s="0" t="n">
        <v>5</v>
      </c>
      <c r="Y384" s="0" t="n">
        <v>3</v>
      </c>
      <c r="Z384" s="0" t="inlineStr">
        <is>
          <t>https://new.land.naver.com/complexes/119602?tab=detail&amp;rf=Y</t>
        </is>
      </c>
      <c r="AA384" s="0" t="inlineStr">
        <is>
          <t>경상남도 창원시 진해구 풍호동 325</t>
        </is>
      </c>
      <c r="AB384" s="0" t="inlineStr">
        <is>
          <t>경상남도</t>
        </is>
      </c>
      <c r="AC384" s="0" t="inlineStr">
        <is>
          <t>창원시</t>
        </is>
      </c>
      <c r="AD384" s="0" t="inlineStr">
        <is>
          <t>진해구</t>
        </is>
      </c>
      <c r="AE384" s="0" t="inlineStr">
        <is>
          <t>풍호동</t>
        </is>
      </c>
      <c r="AG384" s="0" t="inlineStr">
        <is>
          <t>경상남도 창원시 진해구 천자로385번길 9</t>
        </is>
      </c>
      <c r="AH384" s="0" t="n">
        <v>0</v>
      </c>
      <c r="AI384" s="0" t="n">
        <v>156</v>
      </c>
      <c r="AJ384" s="0" t="n">
        <v>36</v>
      </c>
      <c r="AK384" s="0" t="n">
        <v>0</v>
      </c>
      <c r="AL384" s="0" t="n">
        <v>0</v>
      </c>
    </row>
    <row r="385">
      <c r="A385" s="0" t="inlineStr">
        <is>
          <t>[풍호동]</t>
        </is>
      </c>
      <c r="B385" s="0" t="n">
        <v>119602</v>
      </c>
      <c r="C385" s="0" t="n">
        <v>6</v>
      </c>
      <c r="D385" s="0" t="inlineStr">
        <is>
          <t>신광</t>
        </is>
      </c>
      <c r="E385" s="0" t="inlineStr">
        <is>
          <t>1990.09.</t>
        </is>
      </c>
      <c r="F385" s="0" t="n">
        <v>84</v>
      </c>
      <c r="G385" s="0" t="n">
        <v>17.06</v>
      </c>
      <c r="H385" s="0" t="n">
        <v>56.41</v>
      </c>
      <c r="I385" s="0" t="n">
        <v>14.91</v>
      </c>
      <c r="J385" s="0" t="n">
        <v>49.32</v>
      </c>
      <c r="K385" s="0" t="n">
        <v>25</v>
      </c>
      <c r="T385" s="0" t="n">
        <v>2</v>
      </c>
      <c r="U385" s="0" t="n">
        <v>1</v>
      </c>
      <c r="V385" s="0" t="inlineStr">
        <is>
          <t>계단식</t>
        </is>
      </c>
      <c r="W385" s="0" t="inlineStr">
        <is>
          <t>56D</t>
        </is>
      </c>
      <c r="X385" s="0" t="n">
        <v>5</v>
      </c>
      <c r="Y385" s="0" t="n">
        <v>3</v>
      </c>
      <c r="Z385" s="0" t="inlineStr">
        <is>
          <t>https://new.land.naver.com/complexes/119602?tab=detail&amp;rf=Y</t>
        </is>
      </c>
      <c r="AA385" s="0" t="inlineStr">
        <is>
          <t>경상남도 창원시 진해구 풍호동 325</t>
        </is>
      </c>
      <c r="AB385" s="0" t="inlineStr">
        <is>
          <t>경상남도</t>
        </is>
      </c>
      <c r="AC385" s="0" t="inlineStr">
        <is>
          <t>창원시</t>
        </is>
      </c>
      <c r="AD385" s="0" t="inlineStr">
        <is>
          <t>진해구</t>
        </is>
      </c>
      <c r="AE385" s="0" t="inlineStr">
        <is>
          <t>풍호동</t>
        </is>
      </c>
      <c r="AG385" s="0" t="inlineStr">
        <is>
          <t>경상남도 창원시 진해구 천자로385번길 9</t>
        </is>
      </c>
      <c r="AH385" s="0" t="n">
        <v>0</v>
      </c>
      <c r="AI385" s="0" t="n">
        <v>156</v>
      </c>
      <c r="AJ385" s="0" t="n">
        <v>36</v>
      </c>
      <c r="AK385" s="0" t="n">
        <v>0</v>
      </c>
      <c r="AL385" s="0" t="n">
        <v>0</v>
      </c>
    </row>
    <row r="386">
      <c r="A386" s="0" t="inlineStr">
        <is>
          <t>[풍호동]</t>
        </is>
      </c>
      <c r="B386" s="0" t="n">
        <v>119602</v>
      </c>
      <c r="C386" s="0" t="n">
        <v>7</v>
      </c>
      <c r="D386" s="0" t="inlineStr">
        <is>
          <t>신광</t>
        </is>
      </c>
      <c r="E386" s="0" t="inlineStr">
        <is>
          <t>1990.09.</t>
        </is>
      </c>
      <c r="F386" s="0" t="n">
        <v>84</v>
      </c>
      <c r="G386" s="0" t="n">
        <v>17.06</v>
      </c>
      <c r="H386" s="0" t="n">
        <v>56.4</v>
      </c>
      <c r="I386" s="0" t="n">
        <v>14.91</v>
      </c>
      <c r="J386" s="0" t="n">
        <v>49.32</v>
      </c>
      <c r="K386" s="0" t="n">
        <v>1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56F</t>
        </is>
      </c>
      <c r="X386" s="0" t="n">
        <v>5</v>
      </c>
      <c r="Y386" s="0" t="n">
        <v>3</v>
      </c>
      <c r="Z386" s="0" t="inlineStr">
        <is>
          <t>https://new.land.naver.com/complexes/119602?tab=detail&amp;rf=Y</t>
        </is>
      </c>
      <c r="AA386" s="0" t="inlineStr">
        <is>
          <t>경상남도 창원시 진해구 풍호동 325</t>
        </is>
      </c>
      <c r="AB386" s="0" t="inlineStr">
        <is>
          <t>경상남도</t>
        </is>
      </c>
      <c r="AC386" s="0" t="inlineStr">
        <is>
          <t>창원시</t>
        </is>
      </c>
      <c r="AD386" s="0" t="inlineStr">
        <is>
          <t>진해구</t>
        </is>
      </c>
      <c r="AE386" s="0" t="inlineStr">
        <is>
          <t>풍호동</t>
        </is>
      </c>
      <c r="AG386" s="0" t="inlineStr">
        <is>
          <t>경상남도 창원시 진해구 천자로385번길 9</t>
        </is>
      </c>
      <c r="AH386" s="0" t="n">
        <v>0</v>
      </c>
      <c r="AI386" s="0" t="n">
        <v>156</v>
      </c>
      <c r="AJ386" s="0" t="n">
        <v>36</v>
      </c>
      <c r="AK386" s="0" t="n">
        <v>0</v>
      </c>
      <c r="AL386" s="0" t="n">
        <v>0</v>
      </c>
    </row>
    <row r="387">
      <c r="A387" s="0" t="inlineStr">
        <is>
          <t>[풍호동]</t>
        </is>
      </c>
      <c r="B387" s="0" t="n">
        <v>119602</v>
      </c>
      <c r="C387" s="0" t="n">
        <v>8</v>
      </c>
      <c r="D387" s="0" t="inlineStr">
        <is>
          <t>신광</t>
        </is>
      </c>
      <c r="E387" s="0" t="inlineStr">
        <is>
          <t>1990.09.</t>
        </is>
      </c>
      <c r="F387" s="0" t="n">
        <v>84</v>
      </c>
      <c r="G387" s="0" t="n">
        <v>23.02</v>
      </c>
      <c r="H387" s="0" t="n">
        <v>76.09999999999999</v>
      </c>
      <c r="I387" s="0" t="n">
        <v>20.82</v>
      </c>
      <c r="J387" s="0" t="n">
        <v>68.84999999999999</v>
      </c>
      <c r="K387" s="0" t="n">
        <v>3</v>
      </c>
      <c r="T387" s="0" t="n">
        <v>3</v>
      </c>
      <c r="U387" s="0" t="n">
        <v>1</v>
      </c>
      <c r="V387" s="0" t="inlineStr">
        <is>
          <t>계단식</t>
        </is>
      </c>
      <c r="W387" s="0" t="n">
        <v>76</v>
      </c>
      <c r="X387" s="0" t="n">
        <v>5</v>
      </c>
      <c r="Y387" s="0" t="n">
        <v>3</v>
      </c>
      <c r="Z387" s="0" t="inlineStr">
        <is>
          <t>https://new.land.naver.com/complexes/119602?tab=detail&amp;rf=Y</t>
        </is>
      </c>
      <c r="AA387" s="0" t="inlineStr">
        <is>
          <t>경상남도 창원시 진해구 풍호동 325</t>
        </is>
      </c>
      <c r="AB387" s="0" t="inlineStr">
        <is>
          <t>경상남도</t>
        </is>
      </c>
      <c r="AC387" s="0" t="inlineStr">
        <is>
          <t>창원시</t>
        </is>
      </c>
      <c r="AD387" s="0" t="inlineStr">
        <is>
          <t>진해구</t>
        </is>
      </c>
      <c r="AE387" s="0" t="inlineStr">
        <is>
          <t>풍호동</t>
        </is>
      </c>
      <c r="AG387" s="0" t="inlineStr">
        <is>
          <t>경상남도 창원시 진해구 천자로385번길 9</t>
        </is>
      </c>
      <c r="AH387" s="0" t="n">
        <v>0</v>
      </c>
      <c r="AI387" s="0" t="n">
        <v>156</v>
      </c>
      <c r="AJ387" s="0" t="n">
        <v>36</v>
      </c>
      <c r="AK387" s="0" t="n">
        <v>0</v>
      </c>
      <c r="AL387" s="0" t="n">
        <v>0</v>
      </c>
    </row>
    <row r="388">
      <c r="A388" s="0" t="inlineStr">
        <is>
          <t>[풍호동]</t>
        </is>
      </c>
      <c r="B388" s="0" t="n">
        <v>119602</v>
      </c>
      <c r="C388" s="0" t="n">
        <v>9</v>
      </c>
      <c r="D388" s="0" t="inlineStr">
        <is>
          <t>신광</t>
        </is>
      </c>
      <c r="E388" s="0" t="inlineStr">
        <is>
          <t>1990.09.</t>
        </is>
      </c>
      <c r="F388" s="0" t="n">
        <v>84</v>
      </c>
      <c r="G388" s="0" t="n">
        <v>24.91</v>
      </c>
      <c r="H388" s="0" t="n">
        <v>82.34999999999999</v>
      </c>
      <c r="I388" s="0" t="n">
        <v>22.67</v>
      </c>
      <c r="J388" s="0" t="n">
        <v>74.97</v>
      </c>
      <c r="K388" s="0" t="n">
        <v>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82A</t>
        </is>
      </c>
      <c r="X388" s="0" t="n">
        <v>5</v>
      </c>
      <c r="Y388" s="0" t="n">
        <v>3</v>
      </c>
      <c r="Z388" s="0" t="inlineStr">
        <is>
          <t>https://new.land.naver.com/complexes/119602?tab=detail&amp;rf=Y</t>
        </is>
      </c>
      <c r="AA388" s="0" t="inlineStr">
        <is>
          <t>경상남도 창원시 진해구 풍호동 325</t>
        </is>
      </c>
      <c r="AB388" s="0" t="inlineStr">
        <is>
          <t>경상남도</t>
        </is>
      </c>
      <c r="AC388" s="0" t="inlineStr">
        <is>
          <t>창원시</t>
        </is>
      </c>
      <c r="AD388" s="0" t="inlineStr">
        <is>
          <t>진해구</t>
        </is>
      </c>
      <c r="AE388" s="0" t="inlineStr">
        <is>
          <t>풍호동</t>
        </is>
      </c>
      <c r="AG388" s="0" t="inlineStr">
        <is>
          <t>경상남도 창원시 진해구 천자로385번길 9</t>
        </is>
      </c>
      <c r="AH388" s="0" t="n">
        <v>0</v>
      </c>
      <c r="AI388" s="0" t="n">
        <v>156</v>
      </c>
      <c r="AJ388" s="0" t="n">
        <v>36</v>
      </c>
      <c r="AK388" s="0" t="n">
        <v>0</v>
      </c>
      <c r="AL388" s="0" t="n">
        <v>0</v>
      </c>
    </row>
    <row r="389">
      <c r="A389" s="0" t="inlineStr">
        <is>
          <t>[풍호동]</t>
        </is>
      </c>
      <c r="B389" s="0" t="n">
        <v>119602</v>
      </c>
      <c r="C389" s="0" t="n">
        <v>10</v>
      </c>
      <c r="D389" s="0" t="inlineStr">
        <is>
          <t>신광</t>
        </is>
      </c>
      <c r="E389" s="0" t="inlineStr">
        <is>
          <t>1990.09.</t>
        </is>
      </c>
      <c r="F389" s="0" t="n">
        <v>84</v>
      </c>
      <c r="G389" s="0" t="n">
        <v>25.26</v>
      </c>
      <c r="H389" s="0" t="n">
        <v>83.53</v>
      </c>
      <c r="I389" s="0" t="n">
        <v>23.03</v>
      </c>
      <c r="J389" s="0" t="n">
        <v>76.14</v>
      </c>
      <c r="K389" s="0" t="n">
        <v>5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83B</t>
        </is>
      </c>
      <c r="X389" s="0" t="n">
        <v>5</v>
      </c>
      <c r="Y389" s="0" t="n">
        <v>3</v>
      </c>
      <c r="Z389" s="0" t="inlineStr">
        <is>
          <t>https://new.land.naver.com/complexes/119602?tab=detail&amp;rf=Y</t>
        </is>
      </c>
      <c r="AA389" s="0" t="inlineStr">
        <is>
          <t>경상남도 창원시 진해구 풍호동 325</t>
        </is>
      </c>
      <c r="AB389" s="0" t="inlineStr">
        <is>
          <t>경상남도</t>
        </is>
      </c>
      <c r="AC389" s="0" t="inlineStr">
        <is>
          <t>창원시</t>
        </is>
      </c>
      <c r="AD389" s="0" t="inlineStr">
        <is>
          <t>진해구</t>
        </is>
      </c>
      <c r="AE389" s="0" t="inlineStr">
        <is>
          <t>풍호동</t>
        </is>
      </c>
      <c r="AG389" s="0" t="inlineStr">
        <is>
          <t>경상남도 창원시 진해구 천자로385번길 9</t>
        </is>
      </c>
      <c r="AH389" s="0" t="n">
        <v>0</v>
      </c>
      <c r="AI389" s="0" t="n">
        <v>156</v>
      </c>
      <c r="AJ389" s="0" t="n">
        <v>36</v>
      </c>
      <c r="AK389" s="0" t="n">
        <v>0</v>
      </c>
      <c r="AL389" s="0" t="n">
        <v>0</v>
      </c>
    </row>
    <row r="390">
      <c r="A390" s="0" t="inlineStr">
        <is>
          <t>[풍호동]</t>
        </is>
      </c>
      <c r="B390" s="0" t="n">
        <v>11437</v>
      </c>
      <c r="C390" s="0" t="n">
        <v>1</v>
      </c>
      <c r="D390" s="0" t="inlineStr">
        <is>
          <t>디에스아이존빌</t>
        </is>
      </c>
      <c r="E390" s="0" t="inlineStr">
        <is>
          <t>2002.01.</t>
        </is>
      </c>
      <c r="F390" s="0" t="n">
        <v>372</v>
      </c>
      <c r="G390" s="0" t="n">
        <v>23.76</v>
      </c>
      <c r="H390" s="0" t="n">
        <v>78.56999999999999</v>
      </c>
      <c r="I390" s="0" t="n">
        <v>18.13</v>
      </c>
      <c r="J390" s="0" t="n">
        <v>59.95</v>
      </c>
      <c r="K390" s="0" t="n">
        <v>132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78</v>
      </c>
      <c r="X390" s="0" t="n">
        <v>6</v>
      </c>
      <c r="Y390" s="0" t="n">
        <v>6</v>
      </c>
      <c r="Z390" s="0" t="inlineStr">
        <is>
          <t>https://new.land.naver.com/complexes/11437?tab=detail&amp;rf=Y</t>
        </is>
      </c>
      <c r="AA390" s="0" t="inlineStr">
        <is>
          <t>경상남도 창원시 진해구 풍호동 83-101</t>
        </is>
      </c>
      <c r="AB390" s="0" t="inlineStr">
        <is>
          <t>경상남도</t>
        </is>
      </c>
      <c r="AC390" s="0" t="inlineStr">
        <is>
          <t>창원시</t>
        </is>
      </c>
      <c r="AD390" s="0" t="inlineStr">
        <is>
          <t>진해구</t>
        </is>
      </c>
      <c r="AE390" s="0" t="inlineStr">
        <is>
          <t>풍호동</t>
        </is>
      </c>
      <c r="AG390" s="0" t="inlineStr">
        <is>
          <t>경상남도 창원시 진해구 풍호로42번길 15</t>
        </is>
      </c>
      <c r="AH390" s="0" t="n">
        <v>0</v>
      </c>
      <c r="AI390" s="0" t="n">
        <v>132</v>
      </c>
      <c r="AJ390" s="0" t="n">
        <v>26</v>
      </c>
      <c r="AK390" s="0" t="n">
        <v>358</v>
      </c>
      <c r="AL390" s="0" t="n">
        <v>0.96</v>
      </c>
    </row>
    <row r="391">
      <c r="A391" s="0" t="inlineStr">
        <is>
          <t>[풍호동]</t>
        </is>
      </c>
      <c r="B391" s="0" t="n">
        <v>11437</v>
      </c>
      <c r="C391" s="0" t="n">
        <v>2</v>
      </c>
      <c r="D391" s="0" t="inlineStr">
        <is>
          <t>디에스아이존빌</t>
        </is>
      </c>
      <c r="E391" s="0" t="inlineStr">
        <is>
          <t>2002.01.</t>
        </is>
      </c>
      <c r="F391" s="0" t="n">
        <v>372</v>
      </c>
      <c r="G391" s="0" t="n">
        <v>28.78</v>
      </c>
      <c r="H391" s="0" t="n">
        <v>95.16</v>
      </c>
      <c r="I391" s="0" t="n">
        <v>23.05</v>
      </c>
      <c r="J391" s="0" t="n">
        <v>76.20999999999999</v>
      </c>
      <c r="K391" s="0" t="n">
        <v>72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95</v>
      </c>
      <c r="X391" s="0" t="n">
        <v>6</v>
      </c>
      <c r="Y391" s="0" t="n">
        <v>6</v>
      </c>
      <c r="Z391" s="0" t="inlineStr">
        <is>
          <t>https://new.land.naver.com/complexes/11437?tab=detail&amp;rf=Y</t>
        </is>
      </c>
      <c r="AA391" s="0" t="inlineStr">
        <is>
          <t>경상남도 창원시 진해구 풍호동 83-101</t>
        </is>
      </c>
      <c r="AB391" s="0" t="inlineStr">
        <is>
          <t>경상남도</t>
        </is>
      </c>
      <c r="AC391" s="0" t="inlineStr">
        <is>
          <t>창원시</t>
        </is>
      </c>
      <c r="AD391" s="0" t="inlineStr">
        <is>
          <t>진해구</t>
        </is>
      </c>
      <c r="AE391" s="0" t="inlineStr">
        <is>
          <t>풍호동</t>
        </is>
      </c>
      <c r="AG391" s="0" t="inlineStr">
        <is>
          <t>경상남도 창원시 진해구 풍호로42번길 15</t>
        </is>
      </c>
      <c r="AH391" s="0" t="n">
        <v>0</v>
      </c>
      <c r="AI391" s="0" t="n">
        <v>132</v>
      </c>
      <c r="AJ391" s="0" t="n">
        <v>26</v>
      </c>
      <c r="AK391" s="0" t="n">
        <v>358</v>
      </c>
      <c r="AL391" s="0" t="n">
        <v>0.96</v>
      </c>
    </row>
    <row r="392">
      <c r="A392" s="0" t="inlineStr">
        <is>
          <t>[풍호동]</t>
        </is>
      </c>
      <c r="B392" s="0" t="n">
        <v>11437</v>
      </c>
      <c r="C392" s="0" t="n">
        <v>3</v>
      </c>
      <c r="D392" s="0" t="inlineStr">
        <is>
          <t>디에스아이존빌</t>
        </is>
      </c>
      <c r="E392" s="0" t="inlineStr">
        <is>
          <t>2002.01.</t>
        </is>
      </c>
      <c r="F392" s="0" t="n">
        <v>372</v>
      </c>
      <c r="G392" s="0" t="n">
        <v>31.19</v>
      </c>
      <c r="H392" s="0" t="n">
        <v>103.13</v>
      </c>
      <c r="I392" s="0" t="n">
        <v>25.59</v>
      </c>
      <c r="J392" s="0" t="n">
        <v>84.59999999999999</v>
      </c>
      <c r="K392" s="0" t="n">
        <v>120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103</v>
      </c>
      <c r="X392" s="0" t="n">
        <v>6</v>
      </c>
      <c r="Y392" s="0" t="n">
        <v>6</v>
      </c>
      <c r="Z392" s="0" t="inlineStr">
        <is>
          <t>https://new.land.naver.com/complexes/11437?tab=detail&amp;rf=Y</t>
        </is>
      </c>
      <c r="AA392" s="0" t="inlineStr">
        <is>
          <t>경상남도 창원시 진해구 풍호동 83-101</t>
        </is>
      </c>
      <c r="AB392" s="0" t="inlineStr">
        <is>
          <t>경상남도</t>
        </is>
      </c>
      <c r="AC392" s="0" t="inlineStr">
        <is>
          <t>창원시</t>
        </is>
      </c>
      <c r="AD392" s="0" t="inlineStr">
        <is>
          <t>진해구</t>
        </is>
      </c>
      <c r="AE392" s="0" t="inlineStr">
        <is>
          <t>풍호동</t>
        </is>
      </c>
      <c r="AG392" s="0" t="inlineStr">
        <is>
          <t>경상남도 창원시 진해구 풍호로42번길 15</t>
        </is>
      </c>
      <c r="AH392" s="0" t="n">
        <v>0</v>
      </c>
      <c r="AI392" s="0" t="n">
        <v>132</v>
      </c>
      <c r="AJ392" s="0" t="n">
        <v>26</v>
      </c>
      <c r="AK392" s="0" t="n">
        <v>358</v>
      </c>
      <c r="AL392" s="0" t="n">
        <v>0.96</v>
      </c>
    </row>
    <row r="393">
      <c r="A393" s="0" t="inlineStr">
        <is>
          <t>[풍호동]</t>
        </is>
      </c>
      <c r="B393" s="0" t="n">
        <v>11437</v>
      </c>
      <c r="C393" s="0" t="n">
        <v>4</v>
      </c>
      <c r="D393" s="0" t="inlineStr">
        <is>
          <t>디에스아이존빌</t>
        </is>
      </c>
      <c r="E393" s="0" t="inlineStr">
        <is>
          <t>2002.01.</t>
        </is>
      </c>
      <c r="F393" s="0" t="n">
        <v>372</v>
      </c>
      <c r="G393" s="0" t="n">
        <v>38.3</v>
      </c>
      <c r="H393" s="0" t="n">
        <v>126.62</v>
      </c>
      <c r="I393" s="0" t="n">
        <v>32.56</v>
      </c>
      <c r="J393" s="0" t="n">
        <v>107.66</v>
      </c>
      <c r="K393" s="0" t="n">
        <v>48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126</v>
      </c>
      <c r="X393" s="0" t="n">
        <v>6</v>
      </c>
      <c r="Y393" s="0" t="n">
        <v>6</v>
      </c>
      <c r="Z393" s="0" t="inlineStr">
        <is>
          <t>https://new.land.naver.com/complexes/11437?tab=detail&amp;rf=Y</t>
        </is>
      </c>
      <c r="AA393" s="0" t="inlineStr">
        <is>
          <t>경상남도 창원시 진해구 풍호동 83-101</t>
        </is>
      </c>
      <c r="AB393" s="0" t="inlineStr">
        <is>
          <t>경상남도</t>
        </is>
      </c>
      <c r="AC393" s="0" t="inlineStr">
        <is>
          <t>창원시</t>
        </is>
      </c>
      <c r="AD393" s="0" t="inlineStr">
        <is>
          <t>진해구</t>
        </is>
      </c>
      <c r="AE393" s="0" t="inlineStr">
        <is>
          <t>풍호동</t>
        </is>
      </c>
      <c r="AG393" s="0" t="inlineStr">
        <is>
          <t>경상남도 창원시 진해구 풍호로42번길 15</t>
        </is>
      </c>
      <c r="AH393" s="0" t="n">
        <v>0</v>
      </c>
      <c r="AI393" s="0" t="n">
        <v>132</v>
      </c>
      <c r="AJ393" s="0" t="n">
        <v>26</v>
      </c>
      <c r="AK393" s="0" t="n">
        <v>358</v>
      </c>
      <c r="AL393" s="0" t="n">
        <v>0.96</v>
      </c>
    </row>
    <row r="394">
      <c r="A394" s="0" t="inlineStr">
        <is>
          <t>[풍호동]</t>
        </is>
      </c>
      <c r="B394" s="0" t="n">
        <v>7589</v>
      </c>
      <c r="C394" s="0" t="n">
        <v>1</v>
      </c>
      <c r="D394" s="0" t="inlineStr">
        <is>
          <t>우성</t>
        </is>
      </c>
      <c r="E394" s="0" t="inlineStr">
        <is>
          <t>1993.12.</t>
        </is>
      </c>
      <c r="F394" s="0" t="n">
        <v>1763</v>
      </c>
      <c r="G394" s="0" t="n">
        <v>24.15</v>
      </c>
      <c r="H394" s="0" t="n">
        <v>79.86</v>
      </c>
      <c r="I394" s="0" t="n">
        <v>18.1</v>
      </c>
      <c r="J394" s="0" t="n">
        <v>59.85</v>
      </c>
      <c r="K394" s="0" t="n">
        <v>548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79</v>
      </c>
      <c r="X394" s="0" t="n">
        <v>13</v>
      </c>
      <c r="Y394" s="0" t="n">
        <v>6</v>
      </c>
      <c r="Z394" s="0" t="inlineStr">
        <is>
          <t>https://new.land.naver.com/complexes/7589?tab=detail&amp;rf=Y</t>
        </is>
      </c>
      <c r="AA394" s="0" t="inlineStr">
        <is>
          <t>경상남도 창원시 진해구 풍호동 83-3</t>
        </is>
      </c>
      <c r="AB394" s="0" t="inlineStr">
        <is>
          <t>경상남도</t>
        </is>
      </c>
      <c r="AC394" s="0" t="inlineStr">
        <is>
          <t>창원시</t>
        </is>
      </c>
      <c r="AD394" s="0" t="inlineStr">
        <is>
          <t>진해구</t>
        </is>
      </c>
      <c r="AE394" s="0" t="inlineStr">
        <is>
          <t>풍호동</t>
        </is>
      </c>
      <c r="AG394" s="0" t="inlineStr">
        <is>
          <t>경상남도 창원시 진해구 충장로 575</t>
        </is>
      </c>
      <c r="AH394" s="0" t="n">
        <v>0</v>
      </c>
      <c r="AI394" s="0" t="n">
        <v>211</v>
      </c>
      <c r="AJ394" s="0" t="n">
        <v>23</v>
      </c>
      <c r="AK394" s="0" t="n">
        <v>0</v>
      </c>
      <c r="AL394" s="0" t="n">
        <v>0</v>
      </c>
    </row>
    <row r="395">
      <c r="A395" s="0" t="inlineStr">
        <is>
          <t>[풍호동]</t>
        </is>
      </c>
      <c r="B395" s="0" t="n">
        <v>7589</v>
      </c>
      <c r="C395" s="0" t="n">
        <v>2</v>
      </c>
      <c r="D395" s="0" t="inlineStr">
        <is>
          <t>우성</t>
        </is>
      </c>
      <c r="E395" s="0" t="inlineStr">
        <is>
          <t>1993.12.</t>
        </is>
      </c>
      <c r="F395" s="0" t="n">
        <v>1763</v>
      </c>
      <c r="G395" s="0" t="n">
        <v>26.21</v>
      </c>
      <c r="H395" s="0" t="n">
        <v>86.65000000000001</v>
      </c>
      <c r="I395" s="0" t="n">
        <v>21.05</v>
      </c>
      <c r="J395" s="0" t="n">
        <v>69.59</v>
      </c>
      <c r="K395" s="0" t="n">
        <v>114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86</v>
      </c>
      <c r="X395" s="0" t="n">
        <v>13</v>
      </c>
      <c r="Y395" s="0" t="n">
        <v>6</v>
      </c>
      <c r="Z395" s="0" t="inlineStr">
        <is>
          <t>https://new.land.naver.com/complexes/7589?tab=detail&amp;rf=Y</t>
        </is>
      </c>
      <c r="AA395" s="0" t="inlineStr">
        <is>
          <t>경상남도 창원시 진해구 풍호동 83-3</t>
        </is>
      </c>
      <c r="AB395" s="0" t="inlineStr">
        <is>
          <t>경상남도</t>
        </is>
      </c>
      <c r="AC395" s="0" t="inlineStr">
        <is>
          <t>창원시</t>
        </is>
      </c>
      <c r="AD395" s="0" t="inlineStr">
        <is>
          <t>진해구</t>
        </is>
      </c>
      <c r="AE395" s="0" t="inlineStr">
        <is>
          <t>풍호동</t>
        </is>
      </c>
      <c r="AG395" s="0" t="inlineStr">
        <is>
          <t>경상남도 창원시 진해구 충장로 575</t>
        </is>
      </c>
      <c r="AH395" s="0" t="n">
        <v>0</v>
      </c>
      <c r="AI395" s="0" t="n">
        <v>211</v>
      </c>
      <c r="AJ395" s="0" t="n">
        <v>23</v>
      </c>
      <c r="AK395" s="0" t="n">
        <v>0</v>
      </c>
      <c r="AL395" s="0" t="n">
        <v>0</v>
      </c>
    </row>
    <row r="396">
      <c r="A396" s="0" t="inlineStr">
        <is>
          <t>[풍호동]</t>
        </is>
      </c>
      <c r="B396" s="0" t="n">
        <v>7589</v>
      </c>
      <c r="C396" s="0" t="n">
        <v>3</v>
      </c>
      <c r="D396" s="0" t="inlineStr">
        <is>
          <t>우성</t>
        </is>
      </c>
      <c r="E396" s="0" t="inlineStr">
        <is>
          <t>1993.12.</t>
        </is>
      </c>
      <c r="F396" s="0" t="n">
        <v>1763</v>
      </c>
      <c r="G396" s="0" t="n">
        <v>28.7</v>
      </c>
      <c r="H396" s="0" t="n">
        <v>94.89</v>
      </c>
      <c r="I396" s="0" t="n">
        <v>23.31</v>
      </c>
      <c r="J396" s="0" t="n">
        <v>77.06</v>
      </c>
      <c r="K396" s="0" t="n">
        <v>110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94</v>
      </c>
      <c r="X396" s="0" t="n">
        <v>13</v>
      </c>
      <c r="Y396" s="0" t="n">
        <v>6</v>
      </c>
      <c r="Z396" s="0" t="inlineStr">
        <is>
          <t>https://new.land.naver.com/complexes/7589?tab=detail&amp;rf=Y</t>
        </is>
      </c>
      <c r="AA396" s="0" t="inlineStr">
        <is>
          <t>경상남도 창원시 진해구 풍호동 83-3</t>
        </is>
      </c>
      <c r="AB396" s="0" t="inlineStr">
        <is>
          <t>경상남도</t>
        </is>
      </c>
      <c r="AC396" s="0" t="inlineStr">
        <is>
          <t>창원시</t>
        </is>
      </c>
      <c r="AD396" s="0" t="inlineStr">
        <is>
          <t>진해구</t>
        </is>
      </c>
      <c r="AE396" s="0" t="inlineStr">
        <is>
          <t>풍호동</t>
        </is>
      </c>
      <c r="AG396" s="0" t="inlineStr">
        <is>
          <t>경상남도 창원시 진해구 충장로 575</t>
        </is>
      </c>
      <c r="AH396" s="0" t="n">
        <v>0</v>
      </c>
      <c r="AI396" s="0" t="n">
        <v>211</v>
      </c>
      <c r="AJ396" s="0" t="n">
        <v>23</v>
      </c>
      <c r="AK396" s="0" t="n">
        <v>0</v>
      </c>
      <c r="AL396" s="0" t="n">
        <v>0</v>
      </c>
    </row>
    <row r="397">
      <c r="A397" s="0" t="inlineStr">
        <is>
          <t>[풍호동]</t>
        </is>
      </c>
      <c r="B397" s="0" t="n">
        <v>7589</v>
      </c>
      <c r="C397" s="0" t="n">
        <v>4</v>
      </c>
      <c r="D397" s="0" t="inlineStr">
        <is>
          <t>우성</t>
        </is>
      </c>
      <c r="E397" s="0" t="inlineStr">
        <is>
          <t>1993.12.</t>
        </is>
      </c>
      <c r="F397" s="0" t="n">
        <v>1763</v>
      </c>
      <c r="G397" s="0" t="n">
        <v>31.31</v>
      </c>
      <c r="H397" s="0" t="n">
        <v>103.51</v>
      </c>
      <c r="I397" s="0" t="n">
        <v>25.64</v>
      </c>
      <c r="J397" s="0" t="n">
        <v>84.77</v>
      </c>
      <c r="K397" s="0" t="n">
        <v>785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103</v>
      </c>
      <c r="X397" s="0" t="n">
        <v>13</v>
      </c>
      <c r="Y397" s="0" t="n">
        <v>6</v>
      </c>
      <c r="Z397" s="0" t="inlineStr">
        <is>
          <t>https://new.land.naver.com/complexes/7589?tab=detail&amp;rf=Y</t>
        </is>
      </c>
      <c r="AA397" s="0" t="inlineStr">
        <is>
          <t>경상남도 창원시 진해구 풍호동 83-3</t>
        </is>
      </c>
      <c r="AB397" s="0" t="inlineStr">
        <is>
          <t>경상남도</t>
        </is>
      </c>
      <c r="AC397" s="0" t="inlineStr">
        <is>
          <t>창원시</t>
        </is>
      </c>
      <c r="AD397" s="0" t="inlineStr">
        <is>
          <t>진해구</t>
        </is>
      </c>
      <c r="AE397" s="0" t="inlineStr">
        <is>
          <t>풍호동</t>
        </is>
      </c>
      <c r="AG397" s="0" t="inlineStr">
        <is>
          <t>경상남도 창원시 진해구 충장로 575</t>
        </is>
      </c>
      <c r="AH397" s="0" t="n">
        <v>0</v>
      </c>
      <c r="AI397" s="0" t="n">
        <v>211</v>
      </c>
      <c r="AJ397" s="0" t="n">
        <v>23</v>
      </c>
      <c r="AK397" s="0" t="n">
        <v>0</v>
      </c>
      <c r="AL397" s="0" t="n">
        <v>0</v>
      </c>
    </row>
    <row r="398">
      <c r="A398" s="0" t="inlineStr">
        <is>
          <t>[풍호동]</t>
        </is>
      </c>
      <c r="B398" s="0" t="n">
        <v>7589</v>
      </c>
      <c r="C398" s="0" t="n">
        <v>5</v>
      </c>
      <c r="D398" s="0" t="inlineStr">
        <is>
          <t>우성</t>
        </is>
      </c>
      <c r="E398" s="0" t="inlineStr">
        <is>
          <t>1993.12.</t>
        </is>
      </c>
      <c r="F398" s="0" t="n">
        <v>1763</v>
      </c>
      <c r="G398" s="0" t="n">
        <v>37.21</v>
      </c>
      <c r="H398" s="0" t="n">
        <v>123.03</v>
      </c>
      <c r="I398" s="0" t="n">
        <v>30.74</v>
      </c>
      <c r="J398" s="0" t="n">
        <v>101.65</v>
      </c>
      <c r="K398" s="0" t="n">
        <v>50</v>
      </c>
      <c r="T398" s="0" t="n">
        <v>4</v>
      </c>
      <c r="U398" s="0" t="n">
        <v>2</v>
      </c>
      <c r="V398" s="0" t="inlineStr">
        <is>
          <t>계단식</t>
        </is>
      </c>
      <c r="W398" s="0" t="n">
        <v>123</v>
      </c>
      <c r="X398" s="0" t="n">
        <v>13</v>
      </c>
      <c r="Y398" s="0" t="n">
        <v>6</v>
      </c>
      <c r="Z398" s="0" t="inlineStr">
        <is>
          <t>https://new.land.naver.com/complexes/7589?tab=detail&amp;rf=Y</t>
        </is>
      </c>
      <c r="AA398" s="0" t="inlineStr">
        <is>
          <t>경상남도 창원시 진해구 풍호동 83-3</t>
        </is>
      </c>
      <c r="AB398" s="0" t="inlineStr">
        <is>
          <t>경상남도</t>
        </is>
      </c>
      <c r="AC398" s="0" t="inlineStr">
        <is>
          <t>창원시</t>
        </is>
      </c>
      <c r="AD398" s="0" t="inlineStr">
        <is>
          <t>진해구</t>
        </is>
      </c>
      <c r="AE398" s="0" t="inlineStr">
        <is>
          <t>풍호동</t>
        </is>
      </c>
      <c r="AG398" s="0" t="inlineStr">
        <is>
          <t>경상남도 창원시 진해구 충장로 575</t>
        </is>
      </c>
      <c r="AH398" s="0" t="n">
        <v>0</v>
      </c>
      <c r="AI398" s="0" t="n">
        <v>211</v>
      </c>
      <c r="AJ398" s="0" t="n">
        <v>23</v>
      </c>
      <c r="AK398" s="0" t="n">
        <v>0</v>
      </c>
      <c r="AL398" s="0" t="n">
        <v>0</v>
      </c>
    </row>
    <row r="399">
      <c r="A399" s="0" t="inlineStr">
        <is>
          <t>[풍호동]</t>
        </is>
      </c>
      <c r="B399" s="0" t="n">
        <v>7589</v>
      </c>
      <c r="C399" s="0" t="n">
        <v>6</v>
      </c>
      <c r="D399" s="0" t="inlineStr">
        <is>
          <t>우성</t>
        </is>
      </c>
      <c r="E399" s="0" t="inlineStr">
        <is>
          <t>1993.12.</t>
        </is>
      </c>
      <c r="F399" s="0" t="n">
        <v>1763</v>
      </c>
      <c r="G399" s="0" t="n">
        <v>46.38</v>
      </c>
      <c r="H399" s="0" t="n">
        <v>153.35</v>
      </c>
      <c r="I399" s="0" t="n">
        <v>39.19</v>
      </c>
      <c r="J399" s="0" t="n">
        <v>129.56</v>
      </c>
      <c r="K399" s="0" t="n">
        <v>156</v>
      </c>
      <c r="T399" s="0" t="n">
        <v>4</v>
      </c>
      <c r="U399" s="0" t="n">
        <v>2</v>
      </c>
      <c r="V399" s="0" t="inlineStr">
        <is>
          <t>계단식</t>
        </is>
      </c>
      <c r="W399" s="0" t="n">
        <v>153</v>
      </c>
      <c r="X399" s="0" t="n">
        <v>13</v>
      </c>
      <c r="Y399" s="0" t="n">
        <v>6</v>
      </c>
      <c r="Z399" s="0" t="inlineStr">
        <is>
          <t>https://new.land.naver.com/complexes/7589?tab=detail&amp;rf=Y</t>
        </is>
      </c>
      <c r="AA399" s="0" t="inlineStr">
        <is>
          <t>경상남도 창원시 진해구 풍호동 83-3</t>
        </is>
      </c>
      <c r="AB399" s="0" t="inlineStr">
        <is>
          <t>경상남도</t>
        </is>
      </c>
      <c r="AC399" s="0" t="inlineStr">
        <is>
          <t>창원시</t>
        </is>
      </c>
      <c r="AD399" s="0" t="inlineStr">
        <is>
          <t>진해구</t>
        </is>
      </c>
      <c r="AE399" s="0" t="inlineStr">
        <is>
          <t>풍호동</t>
        </is>
      </c>
      <c r="AG399" s="0" t="inlineStr">
        <is>
          <t>경상남도 창원시 진해구 충장로 575</t>
        </is>
      </c>
      <c r="AH399" s="0" t="n">
        <v>0</v>
      </c>
      <c r="AI399" s="0" t="n">
        <v>211</v>
      </c>
      <c r="AJ399" s="0" t="n">
        <v>23</v>
      </c>
      <c r="AK399" s="0" t="n">
        <v>0</v>
      </c>
      <c r="AL399" s="0" t="n">
        <v>0</v>
      </c>
    </row>
    <row r="400">
      <c r="A400" s="0" t="inlineStr">
        <is>
          <t>[풍호동]</t>
        </is>
      </c>
      <c r="B400" s="0" t="n">
        <v>117500</v>
      </c>
      <c r="C400" s="0" t="n">
        <v>1</v>
      </c>
      <c r="D400" s="0" t="inlineStr">
        <is>
          <t>토원</t>
        </is>
      </c>
      <c r="E400" s="0" t="inlineStr">
        <is>
          <t>2003.08.</t>
        </is>
      </c>
      <c r="F400" s="0" t="n">
        <v>15</v>
      </c>
      <c r="G400" s="0" t="n">
        <v>25.57</v>
      </c>
      <c r="H400" s="0" t="n">
        <v>84.53</v>
      </c>
      <c r="I400" s="0" t="n">
        <v>18.64</v>
      </c>
      <c r="J400" s="0" t="n">
        <v>61.65</v>
      </c>
      <c r="K400" s="0" t="n">
        <v>15</v>
      </c>
      <c r="T400" s="0" t="n">
        <v>3</v>
      </c>
      <c r="U400" s="0" t="n">
        <v>2</v>
      </c>
      <c r="V400" s="0" t="inlineStr">
        <is>
          <t>계단식</t>
        </is>
      </c>
      <c r="W400" s="0" t="n">
        <v>84</v>
      </c>
      <c r="X400" s="0" t="n">
        <v>7</v>
      </c>
      <c r="Y400" s="0" t="n">
        <v>7</v>
      </c>
      <c r="Z400" s="0" t="inlineStr">
        <is>
          <t>https://new.land.naver.com/complexes/117500?tab=detail&amp;rf=Y</t>
        </is>
      </c>
      <c r="AA400" s="0" t="inlineStr">
        <is>
          <t>경상남도 창원시 진해구 풍호동 807-3</t>
        </is>
      </c>
      <c r="AB400" s="0" t="inlineStr">
        <is>
          <t>경상남도</t>
        </is>
      </c>
      <c r="AC400" s="0" t="inlineStr">
        <is>
          <t>창원시</t>
        </is>
      </c>
      <c r="AD400" s="0" t="inlineStr">
        <is>
          <t>진해구</t>
        </is>
      </c>
      <c r="AE400" s="0" t="inlineStr">
        <is>
          <t>풍호동</t>
        </is>
      </c>
      <c r="AG400" s="0" t="inlineStr">
        <is>
          <t>경상남도 창원시 진해구 천자로413번길 5</t>
        </is>
      </c>
      <c r="AH400" s="0" t="n">
        <v>0</v>
      </c>
      <c r="AI400" s="0" t="n">
        <v>282</v>
      </c>
      <c r="AJ400" s="0" t="n">
        <v>51</v>
      </c>
      <c r="AK400" s="0" t="n">
        <v>9</v>
      </c>
      <c r="AL400" s="0" t="n">
        <v>0.6</v>
      </c>
    </row>
    <row r="401">
      <c r="A401" s="0" t="inlineStr">
        <is>
          <t>[풍호동]</t>
        </is>
      </c>
      <c r="B401" s="0" t="n">
        <v>122172</v>
      </c>
      <c r="C401" s="0" t="n">
        <v>1</v>
      </c>
      <c r="D401" s="0" t="inlineStr">
        <is>
          <t>부길</t>
        </is>
      </c>
      <c r="E401" s="0" t="inlineStr">
        <is>
          <t>1996.11.</t>
        </is>
      </c>
      <c r="F401" s="0" t="n">
        <v>34</v>
      </c>
      <c r="G401" s="0" t="n">
        <v>24.49</v>
      </c>
      <c r="H401" s="0" t="n">
        <v>80.97</v>
      </c>
      <c r="I401" s="0" t="n">
        <v>16.93</v>
      </c>
      <c r="J401" s="0" t="n">
        <v>55.98</v>
      </c>
      <c r="K401" s="0" t="n">
        <v>2</v>
      </c>
      <c r="T401" s="0" t="n">
        <v>3</v>
      </c>
      <c r="U401" s="0" t="n">
        <v>2</v>
      </c>
      <c r="V401" s="0" t="inlineStr">
        <is>
          <t>계단식</t>
        </is>
      </c>
      <c r="W401" s="0" t="n">
        <v>80</v>
      </c>
      <c r="X401" s="0" t="n">
        <v>9</v>
      </c>
      <c r="Y401" s="0" t="n">
        <v>8</v>
      </c>
      <c r="Z401" s="0" t="inlineStr">
        <is>
          <t>https://new.land.naver.com/complexes/122172?tab=detail&amp;rf=Y</t>
        </is>
      </c>
      <c r="AA401" s="0" t="inlineStr">
        <is>
          <t>경상남도 창원시 진해구 풍호동 650</t>
        </is>
      </c>
      <c r="AB401" s="0" t="inlineStr">
        <is>
          <t>경상남도</t>
        </is>
      </c>
      <c r="AC401" s="0" t="inlineStr">
        <is>
          <t>창원시</t>
        </is>
      </c>
      <c r="AD401" s="0" t="inlineStr">
        <is>
          <t>진해구</t>
        </is>
      </c>
      <c r="AE401" s="0" t="inlineStr">
        <is>
          <t>풍호동</t>
        </is>
      </c>
      <c r="AG401" s="0" t="inlineStr">
        <is>
          <t>경상남도 창원시 진해구 충장로575번길 24</t>
        </is>
      </c>
      <c r="AH401" s="0" t="n">
        <v>0</v>
      </c>
      <c r="AI401" s="0" t="n">
        <v>208</v>
      </c>
      <c r="AJ401" s="0" t="n">
        <v>30</v>
      </c>
      <c r="AK401" s="0" t="n">
        <v>31</v>
      </c>
      <c r="AL401" s="0" t="n">
        <v>0.91</v>
      </c>
    </row>
    <row r="402">
      <c r="A402" s="0" t="inlineStr">
        <is>
          <t>[풍호동]</t>
        </is>
      </c>
      <c r="B402" s="0" t="n">
        <v>122172</v>
      </c>
      <c r="C402" s="0" t="n">
        <v>2</v>
      </c>
      <c r="D402" s="0" t="inlineStr">
        <is>
          <t>부길</t>
        </is>
      </c>
      <c r="E402" s="0" t="inlineStr">
        <is>
          <t>1996.11.</t>
        </is>
      </c>
      <c r="F402" s="0" t="n">
        <v>34</v>
      </c>
      <c r="G402" s="0" t="n">
        <v>25.86</v>
      </c>
      <c r="H402" s="0" t="n">
        <v>85.48999999999999</v>
      </c>
      <c r="I402" s="0" t="n">
        <v>17.87</v>
      </c>
      <c r="J402" s="0" t="n">
        <v>59.1</v>
      </c>
      <c r="K402" s="0" t="n">
        <v>14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85</v>
      </c>
      <c r="X402" s="0" t="n">
        <v>9</v>
      </c>
      <c r="Y402" s="0" t="n">
        <v>8</v>
      </c>
      <c r="Z402" s="0" t="inlineStr">
        <is>
          <t>https://new.land.naver.com/complexes/122172?tab=detail&amp;rf=Y</t>
        </is>
      </c>
      <c r="AA402" s="0" t="inlineStr">
        <is>
          <t>경상남도 창원시 진해구 풍호동 650</t>
        </is>
      </c>
      <c r="AB402" s="0" t="inlineStr">
        <is>
          <t>경상남도</t>
        </is>
      </c>
      <c r="AC402" s="0" t="inlineStr">
        <is>
          <t>창원시</t>
        </is>
      </c>
      <c r="AD402" s="0" t="inlineStr">
        <is>
          <t>진해구</t>
        </is>
      </c>
      <c r="AE402" s="0" t="inlineStr">
        <is>
          <t>풍호동</t>
        </is>
      </c>
      <c r="AG402" s="0" t="inlineStr">
        <is>
          <t>경상남도 창원시 진해구 충장로575번길 24</t>
        </is>
      </c>
      <c r="AH402" s="0" t="n">
        <v>0</v>
      </c>
      <c r="AI402" s="0" t="n">
        <v>208</v>
      </c>
      <c r="AJ402" s="0" t="n">
        <v>30</v>
      </c>
      <c r="AK402" s="0" t="n">
        <v>31</v>
      </c>
      <c r="AL402" s="0" t="n">
        <v>0.91</v>
      </c>
    </row>
    <row r="403">
      <c r="A403" s="0" t="inlineStr">
        <is>
          <t>[풍호동]</t>
        </is>
      </c>
      <c r="B403" s="0" t="n">
        <v>122172</v>
      </c>
      <c r="C403" s="0" t="n">
        <v>3</v>
      </c>
      <c r="D403" s="0" t="inlineStr">
        <is>
          <t>부길</t>
        </is>
      </c>
      <c r="E403" s="0" t="inlineStr">
        <is>
          <t>1996.11.</t>
        </is>
      </c>
      <c r="F403" s="0" t="n">
        <v>34</v>
      </c>
      <c r="G403" s="0" t="n">
        <v>33.78</v>
      </c>
      <c r="H403" s="0" t="n">
        <v>111.67</v>
      </c>
      <c r="I403" s="0" t="n">
        <v>24.28</v>
      </c>
      <c r="J403" s="0" t="n">
        <v>80.27</v>
      </c>
      <c r="K403" s="0" t="n">
        <v>2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111</v>
      </c>
      <c r="X403" s="0" t="n">
        <v>9</v>
      </c>
      <c r="Y403" s="0" t="n">
        <v>8</v>
      </c>
      <c r="Z403" s="0" t="inlineStr">
        <is>
          <t>https://new.land.naver.com/complexes/122172?tab=detail&amp;rf=Y</t>
        </is>
      </c>
      <c r="AA403" s="0" t="inlineStr">
        <is>
          <t>경상남도 창원시 진해구 풍호동 650</t>
        </is>
      </c>
      <c r="AB403" s="0" t="inlineStr">
        <is>
          <t>경상남도</t>
        </is>
      </c>
      <c r="AC403" s="0" t="inlineStr">
        <is>
          <t>창원시</t>
        </is>
      </c>
      <c r="AD403" s="0" t="inlineStr">
        <is>
          <t>진해구</t>
        </is>
      </c>
      <c r="AE403" s="0" t="inlineStr">
        <is>
          <t>풍호동</t>
        </is>
      </c>
      <c r="AG403" s="0" t="inlineStr">
        <is>
          <t>경상남도 창원시 진해구 충장로575번길 24</t>
        </is>
      </c>
      <c r="AH403" s="0" t="n">
        <v>0</v>
      </c>
      <c r="AI403" s="0" t="n">
        <v>208</v>
      </c>
      <c r="AJ403" s="0" t="n">
        <v>30</v>
      </c>
      <c r="AK403" s="0" t="n">
        <v>31</v>
      </c>
      <c r="AL403" s="0" t="n">
        <v>0.91</v>
      </c>
    </row>
    <row r="404">
      <c r="A404" s="0" t="inlineStr">
        <is>
          <t>[풍호동]</t>
        </is>
      </c>
      <c r="B404" s="0" t="n">
        <v>122172</v>
      </c>
      <c r="C404" s="0" t="n">
        <v>4</v>
      </c>
      <c r="D404" s="0" t="inlineStr">
        <is>
          <t>부길</t>
        </is>
      </c>
      <c r="E404" s="0" t="inlineStr">
        <is>
          <t>1996.11.</t>
        </is>
      </c>
      <c r="F404" s="0" t="n">
        <v>34</v>
      </c>
      <c r="G404" s="0" t="n">
        <v>35.48</v>
      </c>
      <c r="H404" s="0" t="n">
        <v>117.31</v>
      </c>
      <c r="I404" s="0" t="n">
        <v>25.5</v>
      </c>
      <c r="J404" s="0" t="n">
        <v>84.31999999999999</v>
      </c>
      <c r="K404" s="0" t="n">
        <v>16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117</v>
      </c>
      <c r="X404" s="0" t="n">
        <v>9</v>
      </c>
      <c r="Y404" s="0" t="n">
        <v>8</v>
      </c>
      <c r="Z404" s="0" t="inlineStr">
        <is>
          <t>https://new.land.naver.com/complexes/122172?tab=detail&amp;rf=Y</t>
        </is>
      </c>
      <c r="AA404" s="0" t="inlineStr">
        <is>
          <t>경상남도 창원시 진해구 풍호동 650</t>
        </is>
      </c>
      <c r="AB404" s="0" t="inlineStr">
        <is>
          <t>경상남도</t>
        </is>
      </c>
      <c r="AC404" s="0" t="inlineStr">
        <is>
          <t>창원시</t>
        </is>
      </c>
      <c r="AD404" s="0" t="inlineStr">
        <is>
          <t>진해구</t>
        </is>
      </c>
      <c r="AE404" s="0" t="inlineStr">
        <is>
          <t>풍호동</t>
        </is>
      </c>
      <c r="AG404" s="0" t="inlineStr">
        <is>
          <t>경상남도 창원시 진해구 충장로575번길 24</t>
        </is>
      </c>
      <c r="AH404" s="0" t="n">
        <v>0</v>
      </c>
      <c r="AI404" s="0" t="n">
        <v>208</v>
      </c>
      <c r="AJ404" s="0" t="n">
        <v>30</v>
      </c>
      <c r="AK404" s="0" t="n">
        <v>31</v>
      </c>
      <c r="AL404" s="0" t="n">
        <v>0.91</v>
      </c>
    </row>
    <row r="405">
      <c r="A405" s="0" t="inlineStr">
        <is>
          <t>[풍호동]</t>
        </is>
      </c>
      <c r="B405" s="0" t="n">
        <v>7588</v>
      </c>
      <c r="C405" s="0" t="n">
        <v>1</v>
      </c>
      <c r="D405" s="0" t="inlineStr">
        <is>
          <t>풍호시영</t>
        </is>
      </c>
      <c r="E405" s="0" t="inlineStr">
        <is>
          <t>1991.01.</t>
        </is>
      </c>
      <c r="F405" s="0" t="n">
        <v>460</v>
      </c>
      <c r="G405" s="0" t="n">
        <v>17.79</v>
      </c>
      <c r="H405" s="0" t="n">
        <v>58.83</v>
      </c>
      <c r="I405" s="0" t="n">
        <v>15.06</v>
      </c>
      <c r="J405" s="0" t="n">
        <v>49.79</v>
      </c>
      <c r="K405" s="0" t="n">
        <v>460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58</v>
      </c>
      <c r="X405" s="0" t="n">
        <v>5</v>
      </c>
      <c r="Y405" s="0" t="n">
        <v>5</v>
      </c>
      <c r="Z405" s="0" t="inlineStr">
        <is>
          <t>https://new.land.naver.com/complexes/7588?tab=detail&amp;rf=Y</t>
        </is>
      </c>
      <c r="AA405" s="0" t="inlineStr">
        <is>
          <t>경상남도 창원시 진해구 풍호동 75-1</t>
        </is>
      </c>
      <c r="AB405" s="0" t="inlineStr">
        <is>
          <t>경상남도</t>
        </is>
      </c>
      <c r="AC405" s="0" t="inlineStr">
        <is>
          <t>창원시</t>
        </is>
      </c>
      <c r="AD405" s="0" t="inlineStr">
        <is>
          <t>진해구</t>
        </is>
      </c>
      <c r="AE405" s="0" t="inlineStr">
        <is>
          <t>풍호동</t>
        </is>
      </c>
      <c r="AG405" s="0" t="inlineStr">
        <is>
          <t>경상남도 창원시 진해구 진해대로1041번길 35</t>
        </is>
      </c>
      <c r="AH405" s="0" t="n">
        <v>0</v>
      </c>
      <c r="AI405" s="0" t="n">
        <v>0</v>
      </c>
      <c r="AJ405" s="0" t="n">
        <v>0</v>
      </c>
      <c r="AK405" s="0" t="n">
        <v>485</v>
      </c>
      <c r="AL405" s="0" t="n">
        <v>1.05</v>
      </c>
    </row>
    <row r="406">
      <c r="A406" s="0" t="inlineStr">
        <is>
          <t>[풍호동]</t>
        </is>
      </c>
      <c r="B406" s="0" t="n">
        <v>143260</v>
      </c>
      <c r="C406" s="0" t="n">
        <v>1</v>
      </c>
      <c r="D406" s="0" t="inlineStr">
        <is>
          <t>금화골든뷰</t>
        </is>
      </c>
      <c r="E406" s="0" t="inlineStr">
        <is>
          <t>2006.02.</t>
        </is>
      </c>
      <c r="F406" s="0" t="n">
        <v>14</v>
      </c>
      <c r="G406" s="0" t="n">
        <v>23.36</v>
      </c>
      <c r="H406" s="0" t="n">
        <v>77.23</v>
      </c>
      <c r="I406" s="0" t="n">
        <v>20.19</v>
      </c>
      <c r="J406" s="0" t="n">
        <v>66.77</v>
      </c>
      <c r="K406" s="0" t="n">
        <v>2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77</v>
      </c>
      <c r="X406" s="0" t="n">
        <v>9</v>
      </c>
      <c r="Y406" s="0" t="n">
        <v>9</v>
      </c>
      <c r="Z406" s="0" t="inlineStr">
        <is>
          <t>https://new.land.naver.com/complexes/143260?tab=detail&amp;rf=Y</t>
        </is>
      </c>
      <c r="AA406" s="0" t="inlineStr">
        <is>
          <t>경상남도 창원시 진해구 풍호동 814-6</t>
        </is>
      </c>
      <c r="AB406" s="0" t="inlineStr">
        <is>
          <t>경상남도</t>
        </is>
      </c>
      <c r="AC406" s="0" t="inlineStr">
        <is>
          <t>창원시</t>
        </is>
      </c>
      <c r="AD406" s="0" t="inlineStr">
        <is>
          <t>진해구</t>
        </is>
      </c>
      <c r="AE406" s="0" t="inlineStr">
        <is>
          <t>풍호동</t>
        </is>
      </c>
      <c r="AG406" s="0" t="inlineStr">
        <is>
          <t>경상남도 창원시 진해구 진해대로1047번길 13</t>
        </is>
      </c>
      <c r="AH406" s="0" t="n">
        <v>0</v>
      </c>
      <c r="AI406" s="0" t="n">
        <v>249</v>
      </c>
      <c r="AJ406" s="0" t="n">
        <v>53</v>
      </c>
      <c r="AK406" s="0" t="n">
        <v>18</v>
      </c>
      <c r="AL406" s="0" t="n">
        <v>1.29</v>
      </c>
    </row>
    <row r="407">
      <c r="A407" s="0" t="inlineStr">
        <is>
          <t>[풍호동]</t>
        </is>
      </c>
      <c r="B407" s="0" t="n">
        <v>143260</v>
      </c>
      <c r="C407" s="0" t="n">
        <v>2</v>
      </c>
      <c r="D407" s="0" t="inlineStr">
        <is>
          <t>금화골든뷰</t>
        </is>
      </c>
      <c r="E407" s="0" t="inlineStr">
        <is>
          <t>2006.02.</t>
        </is>
      </c>
      <c r="F407" s="0" t="n">
        <v>14</v>
      </c>
      <c r="G407" s="0" t="n">
        <v>29.7</v>
      </c>
      <c r="H407" s="0" t="n">
        <v>98.2</v>
      </c>
      <c r="I407" s="0" t="n">
        <v>25.68</v>
      </c>
      <c r="J407" s="0" t="n">
        <v>84.90000000000001</v>
      </c>
      <c r="K407" s="0" t="n">
        <v>12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98</v>
      </c>
      <c r="X407" s="0" t="n">
        <v>9</v>
      </c>
      <c r="Y407" s="0" t="n">
        <v>9</v>
      </c>
      <c r="Z407" s="0" t="inlineStr">
        <is>
          <t>https://new.land.naver.com/complexes/143260?tab=detail&amp;rf=Y</t>
        </is>
      </c>
      <c r="AA407" s="0" t="inlineStr">
        <is>
          <t>경상남도 창원시 진해구 풍호동 814-6</t>
        </is>
      </c>
      <c r="AB407" s="0" t="inlineStr">
        <is>
          <t>경상남도</t>
        </is>
      </c>
      <c r="AC407" s="0" t="inlineStr">
        <is>
          <t>창원시</t>
        </is>
      </c>
      <c r="AD407" s="0" t="inlineStr">
        <is>
          <t>진해구</t>
        </is>
      </c>
      <c r="AE407" s="0" t="inlineStr">
        <is>
          <t>풍호동</t>
        </is>
      </c>
      <c r="AG407" s="0" t="inlineStr">
        <is>
          <t>경상남도 창원시 진해구 진해대로1047번길 13</t>
        </is>
      </c>
      <c r="AH407" s="0" t="n">
        <v>0</v>
      </c>
      <c r="AI407" s="0" t="n">
        <v>249</v>
      </c>
      <c r="AJ407" s="0" t="n">
        <v>53</v>
      </c>
      <c r="AK407" s="0" t="n">
        <v>18</v>
      </c>
      <c r="AL407" s="0" t="n">
        <v>1.29</v>
      </c>
    </row>
    <row r="408">
      <c r="A408" s="0" t="inlineStr">
        <is>
          <t>[풍호동]</t>
        </is>
      </c>
      <c r="B408" s="0" t="n">
        <v>117157</v>
      </c>
      <c r="C408" s="0" t="n">
        <v>1</v>
      </c>
      <c r="D408" s="0" t="inlineStr">
        <is>
          <t>샛별마을</t>
        </is>
      </c>
      <c r="E408" s="0" t="inlineStr">
        <is>
          <t>2000.12.</t>
        </is>
      </c>
      <c r="F408" s="0" t="n">
        <v>86</v>
      </c>
      <c r="G408" s="0" t="n">
        <v>11.25</v>
      </c>
      <c r="H408" s="0" t="n">
        <v>37.22</v>
      </c>
      <c r="I408" s="0" t="n">
        <v>7.97</v>
      </c>
      <c r="J408" s="0" t="n">
        <v>26.36</v>
      </c>
      <c r="K408" s="0" t="n">
        <v>1</v>
      </c>
      <c r="T408" s="0" t="n">
        <v>2</v>
      </c>
      <c r="U408" s="0" t="n">
        <v>1</v>
      </c>
      <c r="V408" s="0" t="inlineStr">
        <is>
          <t>복도식</t>
        </is>
      </c>
      <c r="W408" s="0" t="n">
        <v>37</v>
      </c>
      <c r="X408" s="0" t="n">
        <v>11</v>
      </c>
      <c r="Y408" s="0" t="n">
        <v>6</v>
      </c>
      <c r="Z408" s="0" t="inlineStr">
        <is>
          <t>https://new.land.naver.com/complexes/117157?tab=detail&amp;rf=Y</t>
        </is>
      </c>
      <c r="AA408" s="0" t="inlineStr">
        <is>
          <t>경상남도 창원시 진해구 풍호동 735-6</t>
        </is>
      </c>
      <c r="AB408" s="0" t="inlineStr">
        <is>
          <t>경상남도</t>
        </is>
      </c>
      <c r="AC408" s="0" t="inlineStr">
        <is>
          <t>창원시</t>
        </is>
      </c>
      <c r="AD408" s="0" t="inlineStr">
        <is>
          <t>진해구</t>
        </is>
      </c>
      <c r="AE408" s="0" t="inlineStr">
        <is>
          <t>풍호동</t>
        </is>
      </c>
      <c r="AG408" s="0" t="inlineStr">
        <is>
          <t>경상남도 창원시 진해구 동진로 177</t>
        </is>
      </c>
      <c r="AH408" s="0" t="n">
        <v>0</v>
      </c>
      <c r="AI408" s="0" t="n">
        <v>292</v>
      </c>
      <c r="AJ408" s="0" t="n">
        <v>44</v>
      </c>
      <c r="AK408" s="0" t="n">
        <v>59</v>
      </c>
      <c r="AL408" s="0" t="n">
        <v>0.6899999999999999</v>
      </c>
    </row>
    <row r="409">
      <c r="A409" s="0" t="inlineStr">
        <is>
          <t>[풍호동]</t>
        </is>
      </c>
      <c r="B409" s="0" t="n">
        <v>117157</v>
      </c>
      <c r="C409" s="0" t="n">
        <v>2</v>
      </c>
      <c r="D409" s="0" t="inlineStr">
        <is>
          <t>샛별마을</t>
        </is>
      </c>
      <c r="E409" s="0" t="inlineStr">
        <is>
          <t>2000.12.</t>
        </is>
      </c>
      <c r="F409" s="0" t="n">
        <v>86</v>
      </c>
      <c r="G409" s="0" t="n">
        <v>12.59</v>
      </c>
      <c r="H409" s="0" t="n">
        <v>41.64</v>
      </c>
      <c r="I409" s="0" t="n">
        <v>8.92</v>
      </c>
      <c r="J409" s="0" t="n">
        <v>29.49</v>
      </c>
      <c r="K409" s="0" t="n">
        <v>1</v>
      </c>
      <c r="T409" s="0" t="n">
        <v>2</v>
      </c>
      <c r="U409" s="0" t="n">
        <v>1</v>
      </c>
      <c r="V409" s="0" t="inlineStr">
        <is>
          <t>복도식</t>
        </is>
      </c>
      <c r="W409" s="0" t="n">
        <v>41</v>
      </c>
      <c r="X409" s="0" t="n">
        <v>11</v>
      </c>
      <c r="Y409" s="0" t="n">
        <v>6</v>
      </c>
      <c r="Z409" s="0" t="inlineStr">
        <is>
          <t>https://new.land.naver.com/complexes/117157?tab=detail&amp;rf=Y</t>
        </is>
      </c>
      <c r="AA409" s="0" t="inlineStr">
        <is>
          <t>경상남도 창원시 진해구 풍호동 735-6</t>
        </is>
      </c>
      <c r="AB409" s="0" t="inlineStr">
        <is>
          <t>경상남도</t>
        </is>
      </c>
      <c r="AC409" s="0" t="inlineStr">
        <is>
          <t>창원시</t>
        </is>
      </c>
      <c r="AD409" s="0" t="inlineStr">
        <is>
          <t>진해구</t>
        </is>
      </c>
      <c r="AE409" s="0" t="inlineStr">
        <is>
          <t>풍호동</t>
        </is>
      </c>
      <c r="AG409" s="0" t="inlineStr">
        <is>
          <t>경상남도 창원시 진해구 동진로 177</t>
        </is>
      </c>
      <c r="AH409" s="0" t="n">
        <v>0</v>
      </c>
      <c r="AI409" s="0" t="n">
        <v>292</v>
      </c>
      <c r="AJ409" s="0" t="n">
        <v>44</v>
      </c>
      <c r="AK409" s="0" t="n">
        <v>59</v>
      </c>
      <c r="AL409" s="0" t="n">
        <v>0.6899999999999999</v>
      </c>
    </row>
    <row r="410">
      <c r="A410" s="0" t="inlineStr">
        <is>
          <t>[풍호동]</t>
        </is>
      </c>
      <c r="B410" s="0" t="n">
        <v>117157</v>
      </c>
      <c r="C410" s="0" t="n">
        <v>3</v>
      </c>
      <c r="D410" s="0" t="inlineStr">
        <is>
          <t>샛별마을</t>
        </is>
      </c>
      <c r="E410" s="0" t="inlineStr">
        <is>
          <t>2000.12.</t>
        </is>
      </c>
      <c r="F410" s="0" t="n">
        <v>86</v>
      </c>
      <c r="G410" s="0" t="n">
        <v>16.87</v>
      </c>
      <c r="H410" s="0" t="n">
        <v>55.77</v>
      </c>
      <c r="I410" s="0" t="n">
        <v>11.94</v>
      </c>
      <c r="J410" s="0" t="n">
        <v>39.5</v>
      </c>
      <c r="K410" s="0" t="n">
        <v>23</v>
      </c>
      <c r="T410" s="0" t="n">
        <v>2</v>
      </c>
      <c r="U410" s="0" t="n">
        <v>1</v>
      </c>
      <c r="V410" s="0" t="inlineStr">
        <is>
          <t>복도식</t>
        </is>
      </c>
      <c r="W410" s="0" t="n">
        <v>55</v>
      </c>
      <c r="X410" s="0" t="n">
        <v>11</v>
      </c>
      <c r="Y410" s="0" t="n">
        <v>6</v>
      </c>
      <c r="Z410" s="0" t="inlineStr">
        <is>
          <t>https://new.land.naver.com/complexes/117157?tab=detail&amp;rf=Y</t>
        </is>
      </c>
      <c r="AA410" s="0" t="inlineStr">
        <is>
          <t>경상남도 창원시 진해구 풍호동 735-6</t>
        </is>
      </c>
      <c r="AB410" s="0" t="inlineStr">
        <is>
          <t>경상남도</t>
        </is>
      </c>
      <c r="AC410" s="0" t="inlineStr">
        <is>
          <t>창원시</t>
        </is>
      </c>
      <c r="AD410" s="0" t="inlineStr">
        <is>
          <t>진해구</t>
        </is>
      </c>
      <c r="AE410" s="0" t="inlineStr">
        <is>
          <t>풍호동</t>
        </is>
      </c>
      <c r="AG410" s="0" t="inlineStr">
        <is>
          <t>경상남도 창원시 진해구 동진로 177</t>
        </is>
      </c>
      <c r="AH410" s="0" t="n">
        <v>0</v>
      </c>
      <c r="AI410" s="0" t="n">
        <v>292</v>
      </c>
      <c r="AJ410" s="0" t="n">
        <v>44</v>
      </c>
      <c r="AK410" s="0" t="n">
        <v>59</v>
      </c>
      <c r="AL410" s="0" t="n">
        <v>0.6899999999999999</v>
      </c>
    </row>
    <row r="411">
      <c r="A411" s="0" t="inlineStr">
        <is>
          <t>[풍호동]</t>
        </is>
      </c>
      <c r="B411" s="0" t="n">
        <v>117157</v>
      </c>
      <c r="C411" s="0" t="n">
        <v>4</v>
      </c>
      <c r="D411" s="0" t="inlineStr">
        <is>
          <t>샛별마을</t>
        </is>
      </c>
      <c r="E411" s="0" t="inlineStr">
        <is>
          <t>2000.12.</t>
        </is>
      </c>
      <c r="F411" s="0" t="n">
        <v>86</v>
      </c>
      <c r="G411" s="0" t="n">
        <v>17.61</v>
      </c>
      <c r="H411" s="0" t="n">
        <v>58.24</v>
      </c>
      <c r="I411" s="0" t="n">
        <v>12.51</v>
      </c>
      <c r="J411" s="0" t="n">
        <v>41.36</v>
      </c>
      <c r="K411" s="0" t="n">
        <v>1</v>
      </c>
      <c r="T411" s="0" t="n">
        <v>2</v>
      </c>
      <c r="U411" s="0" t="n">
        <v>1</v>
      </c>
      <c r="V411" s="0" t="inlineStr">
        <is>
          <t>복도식</t>
        </is>
      </c>
      <c r="W411" s="0" t="n">
        <v>58</v>
      </c>
      <c r="X411" s="0" t="n">
        <v>11</v>
      </c>
      <c r="Y411" s="0" t="n">
        <v>6</v>
      </c>
      <c r="Z411" s="0" t="inlineStr">
        <is>
          <t>https://new.land.naver.com/complexes/117157?tab=detail&amp;rf=Y</t>
        </is>
      </c>
      <c r="AA411" s="0" t="inlineStr">
        <is>
          <t>경상남도 창원시 진해구 풍호동 735-6</t>
        </is>
      </c>
      <c r="AB411" s="0" t="inlineStr">
        <is>
          <t>경상남도</t>
        </is>
      </c>
      <c r="AC411" s="0" t="inlineStr">
        <is>
          <t>창원시</t>
        </is>
      </c>
      <c r="AD411" s="0" t="inlineStr">
        <is>
          <t>진해구</t>
        </is>
      </c>
      <c r="AE411" s="0" t="inlineStr">
        <is>
          <t>풍호동</t>
        </is>
      </c>
      <c r="AG411" s="0" t="inlineStr">
        <is>
          <t>경상남도 창원시 진해구 동진로 177</t>
        </is>
      </c>
      <c r="AH411" s="0" t="n">
        <v>0</v>
      </c>
      <c r="AI411" s="0" t="n">
        <v>292</v>
      </c>
      <c r="AJ411" s="0" t="n">
        <v>44</v>
      </c>
      <c r="AK411" s="0" t="n">
        <v>59</v>
      </c>
      <c r="AL411" s="0" t="n">
        <v>0.6899999999999999</v>
      </c>
    </row>
    <row r="412">
      <c r="A412" s="0" t="inlineStr">
        <is>
          <t>[풍호동]</t>
        </is>
      </c>
      <c r="B412" s="0" t="n">
        <v>117157</v>
      </c>
      <c r="C412" s="0" t="n">
        <v>5</v>
      </c>
      <c r="D412" s="0" t="inlineStr">
        <is>
          <t>샛별마을</t>
        </is>
      </c>
      <c r="E412" s="0" t="inlineStr">
        <is>
          <t>2000.12.</t>
        </is>
      </c>
      <c r="F412" s="0" t="n">
        <v>86</v>
      </c>
      <c r="G412" s="0" t="n">
        <v>18.59</v>
      </c>
      <c r="H412" s="0" t="n">
        <v>61.48</v>
      </c>
      <c r="I412" s="0" t="n">
        <v>13.17</v>
      </c>
      <c r="J412" s="0" t="n">
        <v>43.55</v>
      </c>
      <c r="K412" s="0" t="n">
        <v>1</v>
      </c>
      <c r="T412" s="0" t="n">
        <v>2</v>
      </c>
      <c r="U412" s="0" t="n">
        <v>1</v>
      </c>
      <c r="V412" s="0" t="inlineStr">
        <is>
          <t>복도식</t>
        </is>
      </c>
      <c r="W412" s="0" t="n">
        <v>61</v>
      </c>
      <c r="X412" s="0" t="n">
        <v>11</v>
      </c>
      <c r="Y412" s="0" t="n">
        <v>6</v>
      </c>
      <c r="Z412" s="0" t="inlineStr">
        <is>
          <t>https://new.land.naver.com/complexes/117157?tab=detail&amp;rf=Y</t>
        </is>
      </c>
      <c r="AA412" s="0" t="inlineStr">
        <is>
          <t>경상남도 창원시 진해구 풍호동 735-6</t>
        </is>
      </c>
      <c r="AB412" s="0" t="inlineStr">
        <is>
          <t>경상남도</t>
        </is>
      </c>
      <c r="AC412" s="0" t="inlineStr">
        <is>
          <t>창원시</t>
        </is>
      </c>
      <c r="AD412" s="0" t="inlineStr">
        <is>
          <t>진해구</t>
        </is>
      </c>
      <c r="AE412" s="0" t="inlineStr">
        <is>
          <t>풍호동</t>
        </is>
      </c>
      <c r="AG412" s="0" t="inlineStr">
        <is>
          <t>경상남도 창원시 진해구 동진로 177</t>
        </is>
      </c>
      <c r="AH412" s="0" t="n">
        <v>0</v>
      </c>
      <c r="AI412" s="0" t="n">
        <v>292</v>
      </c>
      <c r="AJ412" s="0" t="n">
        <v>44</v>
      </c>
      <c r="AK412" s="0" t="n">
        <v>59</v>
      </c>
      <c r="AL412" s="0" t="n">
        <v>0.6899999999999999</v>
      </c>
    </row>
    <row r="413">
      <c r="A413" s="0" t="inlineStr">
        <is>
          <t>[풍호동]</t>
        </is>
      </c>
      <c r="B413" s="0" t="n">
        <v>117157</v>
      </c>
      <c r="C413" s="0" t="n">
        <v>6</v>
      </c>
      <c r="D413" s="0" t="inlineStr">
        <is>
          <t>샛별마을</t>
        </is>
      </c>
      <c r="E413" s="0" t="inlineStr">
        <is>
          <t>2000.12.</t>
        </is>
      </c>
      <c r="F413" s="0" t="n">
        <v>86</v>
      </c>
      <c r="G413" s="0" t="n">
        <v>24.19</v>
      </c>
      <c r="H413" s="0" t="n">
        <v>79.98</v>
      </c>
      <c r="I413" s="0" t="n">
        <v>17.13</v>
      </c>
      <c r="J413" s="0" t="n">
        <v>56.64</v>
      </c>
      <c r="K413" s="0" t="n">
        <v>59</v>
      </c>
      <c r="T413" s="0" t="n">
        <v>3</v>
      </c>
      <c r="U413" s="0" t="n">
        <v>2</v>
      </c>
      <c r="V413" s="0" t="inlineStr">
        <is>
          <t>복도식</t>
        </is>
      </c>
      <c r="W413" s="0" t="n">
        <v>79</v>
      </c>
      <c r="X413" s="0" t="n">
        <v>11</v>
      </c>
      <c r="Y413" s="0" t="n">
        <v>6</v>
      </c>
      <c r="Z413" s="0" t="inlineStr">
        <is>
          <t>https://new.land.naver.com/complexes/117157?tab=detail&amp;rf=Y</t>
        </is>
      </c>
      <c r="AA413" s="0" t="inlineStr">
        <is>
          <t>경상남도 창원시 진해구 풍호동 735-6</t>
        </is>
      </c>
      <c r="AB413" s="0" t="inlineStr">
        <is>
          <t>경상남도</t>
        </is>
      </c>
      <c r="AC413" s="0" t="inlineStr">
        <is>
          <t>창원시</t>
        </is>
      </c>
      <c r="AD413" s="0" t="inlineStr">
        <is>
          <t>진해구</t>
        </is>
      </c>
      <c r="AE413" s="0" t="inlineStr">
        <is>
          <t>풍호동</t>
        </is>
      </c>
      <c r="AG413" s="0" t="inlineStr">
        <is>
          <t>경상남도 창원시 진해구 동진로 177</t>
        </is>
      </c>
      <c r="AH413" s="0" t="n">
        <v>0</v>
      </c>
      <c r="AI413" s="0" t="n">
        <v>292</v>
      </c>
      <c r="AJ413" s="0" t="n">
        <v>44</v>
      </c>
      <c r="AK413" s="0" t="n">
        <v>59</v>
      </c>
      <c r="AL413" s="0" t="n">
        <v>0.6899999999999999</v>
      </c>
    </row>
    <row r="414">
      <c r="A414" s="0" t="inlineStr">
        <is>
          <t>[풍호동]</t>
        </is>
      </c>
      <c r="B414" s="0" t="n">
        <v>106561</v>
      </c>
      <c r="C414" s="0" t="n">
        <v>1</v>
      </c>
      <c r="D414" s="0" t="inlineStr">
        <is>
          <t>창원마린푸르지오2단지</t>
        </is>
      </c>
      <c r="E414" s="0" t="inlineStr">
        <is>
          <t>2015.10.</t>
        </is>
      </c>
      <c r="F414" s="0" t="n">
        <v>310</v>
      </c>
      <c r="G414" s="0" t="n">
        <v>34.16</v>
      </c>
      <c r="H414" s="0" t="n">
        <v>112.93</v>
      </c>
      <c r="I414" s="0" t="n">
        <v>25.7</v>
      </c>
      <c r="J414" s="0" t="n">
        <v>84.98</v>
      </c>
      <c r="K414" s="0" t="n">
        <v>79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112C</t>
        </is>
      </c>
      <c r="X414" s="0" t="n">
        <v>25</v>
      </c>
      <c r="Y414" s="0" t="n">
        <v>17</v>
      </c>
      <c r="Z414" s="0" t="inlineStr">
        <is>
          <t>https://new.land.naver.com/complexes/106561?tab=detail&amp;rf=Y</t>
        </is>
      </c>
      <c r="AA414" s="0" t="inlineStr">
        <is>
          <t>경상남도 창원시 진해구 풍호동 305-17</t>
        </is>
      </c>
      <c r="AB414" s="0" t="inlineStr">
        <is>
          <t>경상남도</t>
        </is>
      </c>
      <c r="AC414" s="0" t="inlineStr">
        <is>
          <t>창원시</t>
        </is>
      </c>
      <c r="AD414" s="0" t="inlineStr">
        <is>
          <t>진해구</t>
        </is>
      </c>
      <c r="AE414" s="0" t="inlineStr">
        <is>
          <t>풍호동</t>
        </is>
      </c>
      <c r="AG414" s="0" t="inlineStr">
        <is>
          <t>경상남도 창원시 진해구 충장로657번길 35</t>
        </is>
      </c>
      <c r="AH414" s="0" t="n">
        <v>0</v>
      </c>
      <c r="AI414" s="0" t="n">
        <v>271</v>
      </c>
      <c r="AJ414" s="0" t="n">
        <v>50</v>
      </c>
      <c r="AK414" s="0" t="n">
        <v>431</v>
      </c>
      <c r="AL414" s="0" t="n">
        <v>1.39</v>
      </c>
    </row>
    <row r="415">
      <c r="A415" s="0" t="inlineStr">
        <is>
          <t>[풍호동]</t>
        </is>
      </c>
      <c r="B415" s="0" t="n">
        <v>106561</v>
      </c>
      <c r="C415" s="0" t="n">
        <v>2</v>
      </c>
      <c r="D415" s="0" t="inlineStr">
        <is>
          <t>창원마린푸르지오2단지</t>
        </is>
      </c>
      <c r="E415" s="0" t="inlineStr">
        <is>
          <t>2015.10.</t>
        </is>
      </c>
      <c r="F415" s="0" t="n">
        <v>310</v>
      </c>
      <c r="G415" s="0" t="n">
        <v>34.14</v>
      </c>
      <c r="H415" s="0" t="n">
        <v>112.89</v>
      </c>
      <c r="I415" s="0" t="n">
        <v>25.7</v>
      </c>
      <c r="J415" s="0" t="n">
        <v>84.95999999999999</v>
      </c>
      <c r="K415" s="0" t="n">
        <v>78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112A</t>
        </is>
      </c>
      <c r="X415" s="0" t="n">
        <v>25</v>
      </c>
      <c r="Y415" s="0" t="n">
        <v>17</v>
      </c>
      <c r="Z415" s="0" t="inlineStr">
        <is>
          <t>https://new.land.naver.com/complexes/106561?tab=detail&amp;rf=Y</t>
        </is>
      </c>
      <c r="AA415" s="0" t="inlineStr">
        <is>
          <t>경상남도 창원시 진해구 풍호동 305-17</t>
        </is>
      </c>
      <c r="AB415" s="0" t="inlineStr">
        <is>
          <t>경상남도</t>
        </is>
      </c>
      <c r="AC415" s="0" t="inlineStr">
        <is>
          <t>창원시</t>
        </is>
      </c>
      <c r="AD415" s="0" t="inlineStr">
        <is>
          <t>진해구</t>
        </is>
      </c>
      <c r="AE415" s="0" t="inlineStr">
        <is>
          <t>풍호동</t>
        </is>
      </c>
      <c r="AG415" s="0" t="inlineStr">
        <is>
          <t>경상남도 창원시 진해구 충장로657번길 35</t>
        </is>
      </c>
      <c r="AH415" s="0" t="n">
        <v>0</v>
      </c>
      <c r="AI415" s="0" t="n">
        <v>271</v>
      </c>
      <c r="AJ415" s="0" t="n">
        <v>50</v>
      </c>
      <c r="AK415" s="0" t="n">
        <v>431</v>
      </c>
      <c r="AL415" s="0" t="n">
        <v>1.39</v>
      </c>
    </row>
    <row r="416">
      <c r="A416" s="0" t="inlineStr">
        <is>
          <t>[풍호동]</t>
        </is>
      </c>
      <c r="B416" s="0" t="n">
        <v>106561</v>
      </c>
      <c r="C416" s="0" t="n">
        <v>3</v>
      </c>
      <c r="D416" s="0" t="inlineStr">
        <is>
          <t>창원마린푸르지오2단지</t>
        </is>
      </c>
      <c r="E416" s="0" t="inlineStr">
        <is>
          <t>2015.10.</t>
        </is>
      </c>
      <c r="F416" s="0" t="n">
        <v>310</v>
      </c>
      <c r="G416" s="0" t="n">
        <v>34.4</v>
      </c>
      <c r="H416" s="0" t="n">
        <v>113.74</v>
      </c>
      <c r="I416" s="0" t="n">
        <v>25.69</v>
      </c>
      <c r="J416" s="0" t="n">
        <v>84.95</v>
      </c>
      <c r="K416" s="0" t="n">
        <v>153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113B</t>
        </is>
      </c>
      <c r="X416" s="0" t="n">
        <v>25</v>
      </c>
      <c r="Y416" s="0" t="n">
        <v>17</v>
      </c>
      <c r="Z416" s="0" t="inlineStr">
        <is>
          <t>https://new.land.naver.com/complexes/106561?tab=detail&amp;rf=Y</t>
        </is>
      </c>
      <c r="AA416" s="0" t="inlineStr">
        <is>
          <t>경상남도 창원시 진해구 풍호동 305-17</t>
        </is>
      </c>
      <c r="AB416" s="0" t="inlineStr">
        <is>
          <t>경상남도</t>
        </is>
      </c>
      <c r="AC416" s="0" t="inlineStr">
        <is>
          <t>창원시</t>
        </is>
      </c>
      <c r="AD416" s="0" t="inlineStr">
        <is>
          <t>진해구</t>
        </is>
      </c>
      <c r="AE416" s="0" t="inlineStr">
        <is>
          <t>풍호동</t>
        </is>
      </c>
      <c r="AG416" s="0" t="inlineStr">
        <is>
          <t>경상남도 창원시 진해구 충장로657번길 35</t>
        </is>
      </c>
      <c r="AH416" s="0" t="n">
        <v>0</v>
      </c>
      <c r="AI416" s="0" t="n">
        <v>271</v>
      </c>
      <c r="AJ416" s="0" t="n">
        <v>50</v>
      </c>
      <c r="AK416" s="0" t="n">
        <v>431</v>
      </c>
      <c r="AL416" s="0" t="n">
        <v>1.39</v>
      </c>
    </row>
    <row r="417">
      <c r="A417" s="0" t="inlineStr">
        <is>
          <t>[풍호동]</t>
        </is>
      </c>
      <c r="B417" s="0" t="n">
        <v>7593</v>
      </c>
      <c r="C417" s="0" t="n">
        <v>1</v>
      </c>
      <c r="D417" s="0" t="inlineStr">
        <is>
          <t>주공</t>
        </is>
      </c>
      <c r="E417" s="0" t="inlineStr">
        <is>
          <t>1990.08.</t>
        </is>
      </c>
      <c r="F417" s="0" t="n">
        <v>390</v>
      </c>
      <c r="G417" s="0" t="n">
        <v>14.96</v>
      </c>
      <c r="H417" s="0" t="n">
        <v>49.48</v>
      </c>
      <c r="I417" s="0" t="n">
        <v>11.88</v>
      </c>
      <c r="J417" s="0" t="n">
        <v>39.3</v>
      </c>
      <c r="K417" s="0" t="n">
        <v>150</v>
      </c>
      <c r="T417" s="0" t="n">
        <v>2</v>
      </c>
      <c r="U417" s="0" t="n">
        <v>1</v>
      </c>
      <c r="V417" s="0" t="inlineStr">
        <is>
          <t>계단식</t>
        </is>
      </c>
      <c r="W417" s="0" t="n">
        <v>49</v>
      </c>
      <c r="X417" s="0" t="n">
        <v>5</v>
      </c>
      <c r="Y417" s="0" t="n">
        <v>5</v>
      </c>
      <c r="Z417" s="0" t="inlineStr">
        <is>
          <t>https://new.land.naver.com/complexes/7593?tab=detail&amp;rf=Y</t>
        </is>
      </c>
      <c r="AA417" s="0" t="inlineStr">
        <is>
          <t>경상남도 창원시 진해구 풍호동 744</t>
        </is>
      </c>
      <c r="AB417" s="0" t="inlineStr">
        <is>
          <t>경상남도</t>
        </is>
      </c>
      <c r="AC417" s="0" t="inlineStr">
        <is>
          <t>창원시</t>
        </is>
      </c>
      <c r="AD417" s="0" t="inlineStr">
        <is>
          <t>진해구</t>
        </is>
      </c>
      <c r="AE417" s="0" t="inlineStr">
        <is>
          <t>풍호동</t>
        </is>
      </c>
      <c r="AG417" s="0" t="inlineStr">
        <is>
          <t>경상남도 창원시 진해구 동진로 166</t>
        </is>
      </c>
      <c r="AH417" s="0" t="n">
        <v>0</v>
      </c>
      <c r="AI417" s="0" t="n">
        <v>101</v>
      </c>
      <c r="AJ417" s="0" t="n">
        <v>21</v>
      </c>
      <c r="AK417" s="0" t="n">
        <v>0</v>
      </c>
      <c r="AL417" s="0" t="n">
        <v>0</v>
      </c>
    </row>
    <row r="418">
      <c r="A418" s="0" t="inlineStr">
        <is>
          <t>[풍호동]</t>
        </is>
      </c>
      <c r="B418" s="0" t="n">
        <v>7593</v>
      </c>
      <c r="C418" s="0" t="n">
        <v>2</v>
      </c>
      <c r="D418" s="0" t="inlineStr">
        <is>
          <t>주공</t>
        </is>
      </c>
      <c r="E418" s="0" t="inlineStr">
        <is>
          <t>1990.08.</t>
        </is>
      </c>
      <c r="F418" s="0" t="n">
        <v>390</v>
      </c>
      <c r="G418" s="0" t="n">
        <v>15.09</v>
      </c>
      <c r="H418" s="0" t="n">
        <v>49.91</v>
      </c>
      <c r="I418" s="0" t="n">
        <v>12</v>
      </c>
      <c r="J418" s="0" t="n">
        <v>39.69</v>
      </c>
      <c r="K418" s="0" t="n">
        <v>120</v>
      </c>
      <c r="T418" s="0" t="n">
        <v>2</v>
      </c>
      <c r="U418" s="0" t="n">
        <v>1</v>
      </c>
      <c r="V418" s="0" t="inlineStr">
        <is>
          <t>계단식</t>
        </is>
      </c>
      <c r="W418" s="0" t="inlineStr">
        <is>
          <t>49S</t>
        </is>
      </c>
      <c r="X418" s="0" t="n">
        <v>5</v>
      </c>
      <c r="Y418" s="0" t="n">
        <v>5</v>
      </c>
      <c r="Z418" s="0" t="inlineStr">
        <is>
          <t>https://new.land.naver.com/complexes/7593?tab=detail&amp;rf=Y</t>
        </is>
      </c>
      <c r="AA418" s="0" t="inlineStr">
        <is>
          <t>경상남도 창원시 진해구 풍호동 744</t>
        </is>
      </c>
      <c r="AB418" s="0" t="inlineStr">
        <is>
          <t>경상남도</t>
        </is>
      </c>
      <c r="AC418" s="0" t="inlineStr">
        <is>
          <t>창원시</t>
        </is>
      </c>
      <c r="AD418" s="0" t="inlineStr">
        <is>
          <t>진해구</t>
        </is>
      </c>
      <c r="AE418" s="0" t="inlineStr">
        <is>
          <t>풍호동</t>
        </is>
      </c>
      <c r="AG418" s="0" t="inlineStr">
        <is>
          <t>경상남도 창원시 진해구 동진로 166</t>
        </is>
      </c>
      <c r="AH418" s="0" t="n">
        <v>0</v>
      </c>
      <c r="AI418" s="0" t="n">
        <v>101</v>
      </c>
      <c r="AJ418" s="0" t="n">
        <v>21</v>
      </c>
      <c r="AK418" s="0" t="n">
        <v>0</v>
      </c>
      <c r="AL418" s="0" t="n">
        <v>0</v>
      </c>
    </row>
    <row r="419">
      <c r="A419" s="0" t="inlineStr">
        <is>
          <t>[풍호동]</t>
        </is>
      </c>
      <c r="B419" s="0" t="n">
        <v>7593</v>
      </c>
      <c r="C419" s="0" t="n">
        <v>3</v>
      </c>
      <c r="D419" s="0" t="inlineStr">
        <is>
          <t>주공</t>
        </is>
      </c>
      <c r="E419" s="0" t="inlineStr">
        <is>
          <t>1990.08.</t>
        </is>
      </c>
      <c r="F419" s="0" t="n">
        <v>390</v>
      </c>
      <c r="G419" s="0" t="n">
        <v>17.41</v>
      </c>
      <c r="H419" s="0" t="n">
        <v>57.57</v>
      </c>
      <c r="I419" s="0" t="n">
        <v>14.12</v>
      </c>
      <c r="J419" s="0" t="n">
        <v>46.68</v>
      </c>
      <c r="K419" s="0" t="n">
        <v>60</v>
      </c>
      <c r="T419" s="0" t="n">
        <v>2</v>
      </c>
      <c r="U419" s="0" t="n">
        <v>1</v>
      </c>
      <c r="V419" s="0" t="inlineStr">
        <is>
          <t>계단식</t>
        </is>
      </c>
      <c r="W419" s="0" t="n">
        <v>57</v>
      </c>
      <c r="X419" s="0" t="n">
        <v>5</v>
      </c>
      <c r="Y419" s="0" t="n">
        <v>5</v>
      </c>
      <c r="Z419" s="0" t="inlineStr">
        <is>
          <t>https://new.land.naver.com/complexes/7593?tab=detail&amp;rf=Y</t>
        </is>
      </c>
      <c r="AA419" s="0" t="inlineStr">
        <is>
          <t>경상남도 창원시 진해구 풍호동 744</t>
        </is>
      </c>
      <c r="AB419" s="0" t="inlineStr">
        <is>
          <t>경상남도</t>
        </is>
      </c>
      <c r="AC419" s="0" t="inlineStr">
        <is>
          <t>창원시</t>
        </is>
      </c>
      <c r="AD419" s="0" t="inlineStr">
        <is>
          <t>진해구</t>
        </is>
      </c>
      <c r="AE419" s="0" t="inlineStr">
        <is>
          <t>풍호동</t>
        </is>
      </c>
      <c r="AG419" s="0" t="inlineStr">
        <is>
          <t>경상남도 창원시 진해구 동진로 166</t>
        </is>
      </c>
      <c r="AH419" s="0" t="n">
        <v>0</v>
      </c>
      <c r="AI419" s="0" t="n">
        <v>101</v>
      </c>
      <c r="AJ419" s="0" t="n">
        <v>21</v>
      </c>
      <c r="AK419" s="0" t="n">
        <v>0</v>
      </c>
      <c r="AL419" s="0" t="n">
        <v>0</v>
      </c>
    </row>
    <row r="420">
      <c r="A420" s="0" t="inlineStr">
        <is>
          <t>[풍호동]</t>
        </is>
      </c>
      <c r="B420" s="0" t="n">
        <v>7593</v>
      </c>
      <c r="C420" s="0" t="n">
        <v>4</v>
      </c>
      <c r="D420" s="0" t="inlineStr">
        <is>
          <t>주공</t>
        </is>
      </c>
      <c r="E420" s="0" t="inlineStr">
        <is>
          <t>1990.08.</t>
        </is>
      </c>
      <c r="F420" s="0" t="n">
        <v>390</v>
      </c>
      <c r="G420" s="0" t="n">
        <v>17.52</v>
      </c>
      <c r="H420" s="0" t="n">
        <v>57.93</v>
      </c>
      <c r="I420" s="0" t="n">
        <v>14.22</v>
      </c>
      <c r="J420" s="0" t="n">
        <v>47.01</v>
      </c>
      <c r="K420" s="0" t="n">
        <v>60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57S</t>
        </is>
      </c>
      <c r="X420" s="0" t="n">
        <v>5</v>
      </c>
      <c r="Y420" s="0" t="n">
        <v>5</v>
      </c>
      <c r="Z420" s="0" t="inlineStr">
        <is>
          <t>https://new.land.naver.com/complexes/7593?tab=detail&amp;rf=Y</t>
        </is>
      </c>
      <c r="AA420" s="0" t="inlineStr">
        <is>
          <t>경상남도 창원시 진해구 풍호동 744</t>
        </is>
      </c>
      <c r="AB420" s="0" t="inlineStr">
        <is>
          <t>경상남도</t>
        </is>
      </c>
      <c r="AC420" s="0" t="inlineStr">
        <is>
          <t>창원시</t>
        </is>
      </c>
      <c r="AD420" s="0" t="inlineStr">
        <is>
          <t>진해구</t>
        </is>
      </c>
      <c r="AE420" s="0" t="inlineStr">
        <is>
          <t>풍호동</t>
        </is>
      </c>
      <c r="AG420" s="0" t="inlineStr">
        <is>
          <t>경상남도 창원시 진해구 동진로 166</t>
        </is>
      </c>
      <c r="AH420" s="0" t="n">
        <v>0</v>
      </c>
      <c r="AI420" s="0" t="n">
        <v>101</v>
      </c>
      <c r="AJ420" s="0" t="n">
        <v>21</v>
      </c>
      <c r="AK420" s="0" t="n">
        <v>0</v>
      </c>
      <c r="AL420" s="0" t="n">
        <v>0</v>
      </c>
    </row>
    <row r="421">
      <c r="A421" s="0" t="inlineStr">
        <is>
          <t>[풍호동]</t>
        </is>
      </c>
      <c r="B421" s="0" t="n">
        <v>13116</v>
      </c>
      <c r="C421" s="0" t="n">
        <v>1</v>
      </c>
      <c r="D421" s="0" t="inlineStr">
        <is>
          <t>풍호한림리츠빌</t>
        </is>
      </c>
      <c r="E421" s="0" t="inlineStr">
        <is>
          <t>2005.06.</t>
        </is>
      </c>
      <c r="F421" s="0" t="n">
        <v>620</v>
      </c>
      <c r="G421" s="0" t="n">
        <v>34.71</v>
      </c>
      <c r="H421" s="0" t="n">
        <v>114.77</v>
      </c>
      <c r="I421" s="0" t="n">
        <v>25.7</v>
      </c>
      <c r="J421" s="0" t="n">
        <v>84.98</v>
      </c>
      <c r="K421" s="0" t="n">
        <v>384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114</v>
      </c>
      <c r="X421" s="0" t="n">
        <v>15</v>
      </c>
      <c r="Y421" s="0" t="n">
        <v>14</v>
      </c>
      <c r="Z421" s="0" t="inlineStr">
        <is>
          <t>https://new.land.naver.com/complexes/13116?tab=detail&amp;rf=Y</t>
        </is>
      </c>
      <c r="AA421" s="0" t="inlineStr">
        <is>
          <t>경상남도 창원시 진해구 풍호동 83-77</t>
        </is>
      </c>
      <c r="AB421" s="0" t="inlineStr">
        <is>
          <t>경상남도</t>
        </is>
      </c>
      <c r="AC421" s="0" t="inlineStr">
        <is>
          <t>창원시</t>
        </is>
      </c>
      <c r="AD421" s="0" t="inlineStr">
        <is>
          <t>진해구</t>
        </is>
      </c>
      <c r="AE421" s="0" t="inlineStr">
        <is>
          <t>풍호동</t>
        </is>
      </c>
      <c r="AG421" s="0" t="inlineStr">
        <is>
          <t>경상남도 창원시 진해구 풍호로 68</t>
        </is>
      </c>
      <c r="AH421" s="0" t="n">
        <v>0</v>
      </c>
      <c r="AI421" s="0" t="n">
        <v>188</v>
      </c>
      <c r="AJ421" s="0" t="n">
        <v>16</v>
      </c>
      <c r="AK421" s="0" t="n">
        <v>938</v>
      </c>
      <c r="AL421" s="0" t="n">
        <v>1.51</v>
      </c>
    </row>
    <row r="422">
      <c r="A422" s="0" t="inlineStr">
        <is>
          <t>[풍호동]</t>
        </is>
      </c>
      <c r="B422" s="0" t="n">
        <v>13116</v>
      </c>
      <c r="C422" s="0" t="n">
        <v>2</v>
      </c>
      <c r="D422" s="0" t="inlineStr">
        <is>
          <t>풍호한림리츠빌</t>
        </is>
      </c>
      <c r="E422" s="0" t="inlineStr">
        <is>
          <t>2005.06.</t>
        </is>
      </c>
      <c r="F422" s="0" t="n">
        <v>620</v>
      </c>
      <c r="G422" s="0" t="n">
        <v>48.33</v>
      </c>
      <c r="H422" s="0" t="n">
        <v>159.8</v>
      </c>
      <c r="I422" s="0" t="n">
        <v>39.82</v>
      </c>
      <c r="J422" s="0" t="n">
        <v>131.64</v>
      </c>
      <c r="K422" s="0" t="n">
        <v>180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159</v>
      </c>
      <c r="X422" s="0" t="n">
        <v>15</v>
      </c>
      <c r="Y422" s="0" t="n">
        <v>14</v>
      </c>
      <c r="Z422" s="0" t="inlineStr">
        <is>
          <t>https://new.land.naver.com/complexes/13116?tab=detail&amp;rf=Y</t>
        </is>
      </c>
      <c r="AA422" s="0" t="inlineStr">
        <is>
          <t>경상남도 창원시 진해구 풍호동 83-77</t>
        </is>
      </c>
      <c r="AB422" s="0" t="inlineStr">
        <is>
          <t>경상남도</t>
        </is>
      </c>
      <c r="AC422" s="0" t="inlineStr">
        <is>
          <t>창원시</t>
        </is>
      </c>
      <c r="AD422" s="0" t="inlineStr">
        <is>
          <t>진해구</t>
        </is>
      </c>
      <c r="AE422" s="0" t="inlineStr">
        <is>
          <t>풍호동</t>
        </is>
      </c>
      <c r="AG422" s="0" t="inlineStr">
        <is>
          <t>경상남도 창원시 진해구 풍호로 68</t>
        </is>
      </c>
      <c r="AH422" s="0" t="n">
        <v>0</v>
      </c>
      <c r="AI422" s="0" t="n">
        <v>188</v>
      </c>
      <c r="AJ422" s="0" t="n">
        <v>16</v>
      </c>
      <c r="AK422" s="0" t="n">
        <v>938</v>
      </c>
      <c r="AL422" s="0" t="n">
        <v>1.51</v>
      </c>
    </row>
    <row r="423">
      <c r="A423" s="0" t="inlineStr">
        <is>
          <t>[풍호동]</t>
        </is>
      </c>
      <c r="B423" s="0" t="n">
        <v>13116</v>
      </c>
      <c r="C423" s="0" t="n">
        <v>3</v>
      </c>
      <c r="D423" s="0" t="inlineStr">
        <is>
          <t>풍호한림리츠빌</t>
        </is>
      </c>
      <c r="E423" s="0" t="inlineStr">
        <is>
          <t>2005.06.</t>
        </is>
      </c>
      <c r="F423" s="0" t="n">
        <v>620</v>
      </c>
      <c r="G423" s="0" t="n">
        <v>66.40000000000001</v>
      </c>
      <c r="H423" s="0" t="n">
        <v>219.51</v>
      </c>
      <c r="I423" s="0" t="n">
        <v>57.36</v>
      </c>
      <c r="J423" s="0" t="n">
        <v>189.64</v>
      </c>
      <c r="K423" s="0" t="n">
        <v>56</v>
      </c>
      <c r="T423" s="0" t="n">
        <v>5</v>
      </c>
      <c r="U423" s="0" t="n">
        <v>2</v>
      </c>
      <c r="V423" s="0" t="inlineStr">
        <is>
          <t>계단식</t>
        </is>
      </c>
      <c r="W423" s="0" t="n">
        <v>219</v>
      </c>
      <c r="X423" s="0" t="n">
        <v>15</v>
      </c>
      <c r="Y423" s="0" t="n">
        <v>14</v>
      </c>
      <c r="Z423" s="0" t="inlineStr">
        <is>
          <t>https://new.land.naver.com/complexes/13116?tab=detail&amp;rf=Y</t>
        </is>
      </c>
      <c r="AA423" s="0" t="inlineStr">
        <is>
          <t>경상남도 창원시 진해구 풍호동 83-77</t>
        </is>
      </c>
      <c r="AB423" s="0" t="inlineStr">
        <is>
          <t>경상남도</t>
        </is>
      </c>
      <c r="AC423" s="0" t="inlineStr">
        <is>
          <t>창원시</t>
        </is>
      </c>
      <c r="AD423" s="0" t="inlineStr">
        <is>
          <t>진해구</t>
        </is>
      </c>
      <c r="AE423" s="0" t="inlineStr">
        <is>
          <t>풍호동</t>
        </is>
      </c>
      <c r="AG423" s="0" t="inlineStr">
        <is>
          <t>경상남도 창원시 진해구 풍호로 68</t>
        </is>
      </c>
      <c r="AH423" s="0" t="n">
        <v>0</v>
      </c>
      <c r="AI423" s="0" t="n">
        <v>188</v>
      </c>
      <c r="AJ423" s="0" t="n">
        <v>16</v>
      </c>
      <c r="AK423" s="0" t="n">
        <v>938</v>
      </c>
      <c r="AL423" s="0" t="n">
        <v>1.51</v>
      </c>
    </row>
    <row r="424">
      <c r="A424" s="0" t="inlineStr">
        <is>
          <t>[화천동]</t>
        </is>
      </c>
      <c r="B424" s="0" t="n">
        <v>128748</v>
      </c>
      <c r="C424" s="0" t="n">
        <v>1</v>
      </c>
      <c r="D424" s="0" t="inlineStr">
        <is>
          <t>중앙상가</t>
        </is>
      </c>
      <c r="E424" s="0" t="inlineStr">
        <is>
          <t>1980.12.</t>
        </is>
      </c>
      <c r="F424" s="0" t="n">
        <v>96</v>
      </c>
      <c r="G424" s="0" t="n">
        <v>26.19</v>
      </c>
      <c r="H424" s="0" t="n">
        <v>86.61</v>
      </c>
      <c r="I424" s="0" t="n">
        <v>24.2</v>
      </c>
      <c r="J424" s="0" t="n">
        <v>80</v>
      </c>
      <c r="K424" s="0" t="n">
        <v>1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86A</t>
        </is>
      </c>
      <c r="X424" s="0" t="n">
        <v>4</v>
      </c>
      <c r="Y424" s="0" t="n">
        <v>4</v>
      </c>
      <c r="Z424" s="0" t="inlineStr">
        <is>
          <t>https://new.land.naver.com/complexes/128748?tab=detail&amp;rf=Y</t>
        </is>
      </c>
      <c r="AA424" s="0" t="inlineStr">
        <is>
          <t>경상남도 창원시 진해구 화천동 50-10</t>
        </is>
      </c>
      <c r="AB424" s="0" t="inlineStr">
        <is>
          <t>경상남도</t>
        </is>
      </c>
      <c r="AC424" s="0" t="inlineStr">
        <is>
          <t>창원시</t>
        </is>
      </c>
      <c r="AD424" s="0" t="inlineStr">
        <is>
          <t>진해구</t>
        </is>
      </c>
      <c r="AE424" s="0" t="inlineStr">
        <is>
          <t>화천동</t>
        </is>
      </c>
      <c r="AG424" s="0" t="inlineStr">
        <is>
          <t>경상남도 창원시 진해구 벚꽃로60번길 9-6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[화천동]</t>
        </is>
      </c>
      <c r="B425" s="0" t="n">
        <v>128748</v>
      </c>
      <c r="C425" s="0" t="n">
        <v>2</v>
      </c>
      <c r="D425" s="0" t="inlineStr">
        <is>
          <t>중앙상가</t>
        </is>
      </c>
      <c r="E425" s="0" t="inlineStr">
        <is>
          <t>1980.12.</t>
        </is>
      </c>
      <c r="F425" s="0" t="n">
        <v>96</v>
      </c>
      <c r="G425" s="0" t="n">
        <v>26.31</v>
      </c>
      <c r="H425" s="0" t="n">
        <v>87</v>
      </c>
      <c r="I425" s="0" t="n">
        <v>24.31</v>
      </c>
      <c r="J425" s="0" t="n">
        <v>80.39</v>
      </c>
      <c r="K425" s="0" t="n">
        <v>95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87B</t>
        </is>
      </c>
      <c r="X425" s="0" t="n">
        <v>4</v>
      </c>
      <c r="Y425" s="0" t="n">
        <v>4</v>
      </c>
      <c r="Z425" s="0" t="inlineStr">
        <is>
          <t>https://new.land.naver.com/complexes/128748?tab=detail&amp;rf=Y</t>
        </is>
      </c>
      <c r="AA425" s="0" t="inlineStr">
        <is>
          <t>경상남도 창원시 진해구 화천동 50-10</t>
        </is>
      </c>
      <c r="AB425" s="0" t="inlineStr">
        <is>
          <t>경상남도</t>
        </is>
      </c>
      <c r="AC425" s="0" t="inlineStr">
        <is>
          <t>창원시</t>
        </is>
      </c>
      <c r="AD425" s="0" t="inlineStr">
        <is>
          <t>진해구</t>
        </is>
      </c>
      <c r="AE425" s="0" t="inlineStr">
        <is>
          <t>화천동</t>
        </is>
      </c>
      <c r="AG425" s="0" t="inlineStr">
        <is>
          <t>경상남도 창원시 진해구 벚꽃로60번길 9-6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[화천동]</t>
        </is>
      </c>
      <c r="B426" s="0" t="n">
        <v>142402</v>
      </c>
      <c r="C426" s="0" t="n">
        <v>1</v>
      </c>
      <c r="D426" s="0" t="inlineStr">
        <is>
          <t>중앙</t>
        </is>
      </c>
      <c r="E426" s="0" t="inlineStr">
        <is>
          <t>2018.09.</t>
        </is>
      </c>
      <c r="F426" s="0" t="n">
        <v>16</v>
      </c>
      <c r="G426" s="0" t="n">
        <v>32.06</v>
      </c>
      <c r="H426" s="0" t="n">
        <v>106.01</v>
      </c>
      <c r="I426" s="0" t="n">
        <v>25.35</v>
      </c>
      <c r="J426" s="0" t="n">
        <v>83.81</v>
      </c>
      <c r="K426" s="0" t="n">
        <v>8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106A</t>
        </is>
      </c>
      <c r="X426" s="0" t="n">
        <v>9</v>
      </c>
      <c r="Y426" s="0" t="n">
        <v>9</v>
      </c>
      <c r="Z426" s="0" t="inlineStr">
        <is>
          <t>https://new.land.naver.com/complexes/142402?tab=detail&amp;rf=Y</t>
        </is>
      </c>
      <c r="AA426" s="0" t="inlineStr">
        <is>
          <t>경상남도 창원시 진해구 화천동 8-1</t>
        </is>
      </c>
      <c r="AB426" s="0" t="inlineStr">
        <is>
          <t>경상남도</t>
        </is>
      </c>
      <c r="AC426" s="0" t="inlineStr">
        <is>
          <t>창원시</t>
        </is>
      </c>
      <c r="AD426" s="0" t="inlineStr">
        <is>
          <t>진해구</t>
        </is>
      </c>
      <c r="AE426" s="0" t="inlineStr">
        <is>
          <t>화천동</t>
        </is>
      </c>
      <c r="AG426" s="0" t="inlineStr">
        <is>
          <t>경상남도 창원시 진해구 중원로85번길 17</t>
        </is>
      </c>
      <c r="AH426" s="0" t="n">
        <v>0</v>
      </c>
      <c r="AI426" s="0" t="n">
        <v>388</v>
      </c>
      <c r="AJ426" s="0" t="n">
        <v>53</v>
      </c>
      <c r="AK426" s="0" t="n">
        <v>16</v>
      </c>
      <c r="AL426" s="0" t="n">
        <v>1</v>
      </c>
    </row>
    <row r="427">
      <c r="A427" s="0" t="inlineStr">
        <is>
          <t>[화천동]</t>
        </is>
      </c>
      <c r="B427" s="0" t="n">
        <v>142402</v>
      </c>
      <c r="C427" s="0" t="n">
        <v>2</v>
      </c>
      <c r="D427" s="0" t="inlineStr">
        <is>
          <t>중앙</t>
        </is>
      </c>
      <c r="E427" s="0" t="inlineStr">
        <is>
          <t>2018.09.</t>
        </is>
      </c>
      <c r="F427" s="0" t="n">
        <v>16</v>
      </c>
      <c r="G427" s="0" t="n">
        <v>32.36</v>
      </c>
      <c r="H427" s="0" t="n">
        <v>107</v>
      </c>
      <c r="I427" s="0" t="n">
        <v>25.59</v>
      </c>
      <c r="J427" s="0" t="n">
        <v>84.59999999999999</v>
      </c>
      <c r="K427" s="0" t="n">
        <v>8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107B</t>
        </is>
      </c>
      <c r="X427" s="0" t="n">
        <v>9</v>
      </c>
      <c r="Y427" s="0" t="n">
        <v>9</v>
      </c>
      <c r="Z427" s="0" t="inlineStr">
        <is>
          <t>https://new.land.naver.com/complexes/142402?tab=detail&amp;rf=Y</t>
        </is>
      </c>
      <c r="AA427" s="0" t="inlineStr">
        <is>
          <t>경상남도 창원시 진해구 화천동 8-1</t>
        </is>
      </c>
      <c r="AB427" s="0" t="inlineStr">
        <is>
          <t>경상남도</t>
        </is>
      </c>
      <c r="AC427" s="0" t="inlineStr">
        <is>
          <t>창원시</t>
        </is>
      </c>
      <c r="AD427" s="0" t="inlineStr">
        <is>
          <t>진해구</t>
        </is>
      </c>
      <c r="AE427" s="0" t="inlineStr">
        <is>
          <t>화천동</t>
        </is>
      </c>
      <c r="AG427" s="0" t="inlineStr">
        <is>
          <t>경상남도 창원시 진해구 중원로85번길 17</t>
        </is>
      </c>
      <c r="AH427" s="0" t="n">
        <v>0</v>
      </c>
      <c r="AI427" s="0" t="n">
        <v>388</v>
      </c>
      <c r="AJ427" s="0" t="n">
        <v>53</v>
      </c>
      <c r="AK427" s="0" t="n">
        <v>16</v>
      </c>
      <c r="AL427" s="0" t="n">
        <v>1</v>
      </c>
    </row>
    <row r="428">
      <c r="A428" s="0" t="inlineStr">
        <is>
          <t>[화천동]</t>
        </is>
      </c>
      <c r="B428" s="0" t="n">
        <v>120753</v>
      </c>
      <c r="C428" s="0" t="n">
        <v>1</v>
      </c>
      <c r="D428" s="0" t="inlineStr">
        <is>
          <t>태연빌리지</t>
        </is>
      </c>
      <c r="E428" s="0" t="inlineStr">
        <is>
          <t>2015.06.</t>
        </is>
      </c>
      <c r="F428" s="0" t="n">
        <v>16</v>
      </c>
      <c r="G428" s="0" t="n">
        <v>25.96</v>
      </c>
      <c r="H428" s="0" t="n">
        <v>85.83</v>
      </c>
      <c r="I428" s="0" t="n">
        <v>19.5</v>
      </c>
      <c r="J428" s="0" t="n">
        <v>64.48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85</v>
      </c>
      <c r="X428" s="0" t="n">
        <v>10</v>
      </c>
      <c r="Y428" s="0" t="n">
        <v>10</v>
      </c>
      <c r="Z428" s="0" t="inlineStr">
        <is>
          <t>https://new.land.naver.com/complexes/120753?tab=detail&amp;rf=Y</t>
        </is>
      </c>
      <c r="AA428" s="0" t="inlineStr">
        <is>
          <t>경상남도 창원시 진해구 화천동 10-1</t>
        </is>
      </c>
      <c r="AB428" s="0" t="inlineStr">
        <is>
          <t>경상남도</t>
        </is>
      </c>
      <c r="AC428" s="0" t="inlineStr">
        <is>
          <t>창원시</t>
        </is>
      </c>
      <c r="AD428" s="0" t="inlineStr">
        <is>
          <t>진해구</t>
        </is>
      </c>
      <c r="AE428" s="0" t="inlineStr">
        <is>
          <t>화천동</t>
        </is>
      </c>
      <c r="AG428" s="0" t="inlineStr">
        <is>
          <t>경상남도 창원시 진해구 중원로85번길 15</t>
        </is>
      </c>
      <c r="AH428" s="0" t="n">
        <v>0</v>
      </c>
      <c r="AI428" s="0" t="n">
        <v>353</v>
      </c>
      <c r="AJ428" s="0" t="n">
        <v>51</v>
      </c>
      <c r="AK428" s="0" t="n">
        <v>16</v>
      </c>
      <c r="AL428" s="0" t="n">
        <v>1</v>
      </c>
    </row>
    <row r="429">
      <c r="A429" s="0" t="inlineStr">
        <is>
          <t>[화천동]</t>
        </is>
      </c>
      <c r="B429" s="0" t="n">
        <v>120753</v>
      </c>
      <c r="C429" s="0" t="n">
        <v>2</v>
      </c>
      <c r="D429" s="0" t="inlineStr">
        <is>
          <t>태연빌리지</t>
        </is>
      </c>
      <c r="E429" s="0" t="inlineStr">
        <is>
          <t>2015.06.</t>
        </is>
      </c>
      <c r="F429" s="0" t="n">
        <v>16</v>
      </c>
      <c r="G429" s="0" t="n">
        <v>31.51</v>
      </c>
      <c r="H429" s="0" t="n">
        <v>104.18</v>
      </c>
      <c r="I429" s="0" t="n">
        <v>23.87</v>
      </c>
      <c r="J429" s="0" t="n">
        <v>78.91</v>
      </c>
      <c r="K429" s="0" t="n">
        <v>15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104</v>
      </c>
      <c r="X429" s="0" t="n">
        <v>10</v>
      </c>
      <c r="Y429" s="0" t="n">
        <v>10</v>
      </c>
      <c r="Z429" s="0" t="inlineStr">
        <is>
          <t>https://new.land.naver.com/complexes/120753?tab=detail&amp;rf=Y</t>
        </is>
      </c>
      <c r="AA429" s="0" t="inlineStr">
        <is>
          <t>경상남도 창원시 진해구 화천동 10-1</t>
        </is>
      </c>
      <c r="AB429" s="0" t="inlineStr">
        <is>
          <t>경상남도</t>
        </is>
      </c>
      <c r="AC429" s="0" t="inlineStr">
        <is>
          <t>창원시</t>
        </is>
      </c>
      <c r="AD429" s="0" t="inlineStr">
        <is>
          <t>진해구</t>
        </is>
      </c>
      <c r="AE429" s="0" t="inlineStr">
        <is>
          <t>화천동</t>
        </is>
      </c>
      <c r="AG429" s="0" t="inlineStr">
        <is>
          <t>경상남도 창원시 진해구 중원로85번길 15</t>
        </is>
      </c>
      <c r="AH429" s="0" t="n">
        <v>0</v>
      </c>
      <c r="AI429" s="0" t="n">
        <v>353</v>
      </c>
      <c r="AJ429" s="0" t="n">
        <v>51</v>
      </c>
      <c r="AK429" s="0" t="n">
        <v>16</v>
      </c>
      <c r="AL429" s="0" t="n">
        <v>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경화동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두산위브</t>
        </is>
      </c>
      <c r="B6" s="10" t="inlineStr">
        <is>
          <t>'17.02.</t>
        </is>
      </c>
      <c r="C6" s="134" t="n">
        <v>462</v>
      </c>
      <c r="D6" s="132" t="n">
        <v>80.3</v>
      </c>
      <c r="E6" s="133" t="n">
        <v>24</v>
      </c>
      <c r="F6" s="132" t="n">
        <v>59.9</v>
      </c>
      <c r="G6" s="17" t="n">
        <v>18</v>
      </c>
      <c r="H6" s="134" t="n">
        <v>71</v>
      </c>
      <c r="I6" s="135" t="n">
        <v>32800</v>
      </c>
      <c r="J6" s="135" t="inlineStr">
        <is>
          <t>중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두산위브</t>
        </is>
      </c>
      <c r="B7" s="10" t="inlineStr">
        <is>
          <t>'17.02.</t>
        </is>
      </c>
      <c r="C7" s="134" t="n">
        <v>462</v>
      </c>
      <c r="D7" s="132" t="n">
        <v>98.59999999999999</v>
      </c>
      <c r="E7" s="133" t="n">
        <v>30</v>
      </c>
      <c r="F7" s="132" t="n">
        <v>73.90000000000001</v>
      </c>
      <c r="G7" s="17" t="n">
        <v>22</v>
      </c>
      <c r="H7" s="134" t="n">
        <v>13</v>
      </c>
      <c r="I7" s="135" t="n">
        <v>36000</v>
      </c>
      <c r="J7" s="135" t="inlineStr">
        <is>
          <t>중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98B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두산위브</t>
        </is>
      </c>
      <c r="B8" s="10" t="inlineStr">
        <is>
          <t>'17.02.</t>
        </is>
      </c>
      <c r="C8" s="134" t="n">
        <v>462</v>
      </c>
      <c r="D8" s="132" t="n">
        <v>98.2</v>
      </c>
      <c r="E8" s="133" t="n">
        <v>30</v>
      </c>
      <c r="F8" s="132" t="n">
        <v>73.90000000000001</v>
      </c>
      <c r="G8" s="17" t="n">
        <v>22</v>
      </c>
      <c r="H8" s="134" t="n">
        <v>11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98A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두산위브</t>
        </is>
      </c>
      <c r="B9" s="10" t="inlineStr">
        <is>
          <t>'17.02.</t>
        </is>
      </c>
      <c r="C9" s="134" t="n">
        <v>462</v>
      </c>
      <c r="D9" s="132" t="n">
        <v>99.40000000000001</v>
      </c>
      <c r="E9" s="133" t="n">
        <v>30</v>
      </c>
      <c r="F9" s="132" t="n">
        <v>74.7</v>
      </c>
      <c r="G9" s="17" t="n">
        <v>23</v>
      </c>
      <c r="H9" s="134" t="n">
        <v>147</v>
      </c>
      <c r="I9" s="135" t="n">
        <v>39500</v>
      </c>
      <c r="J9" s="135" t="inlineStr">
        <is>
          <t>고</t>
        </is>
      </c>
      <c r="K9" s="135" t="n">
        <v>30000</v>
      </c>
      <c r="L9" s="135" t="inlineStr">
        <is>
          <t>11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99C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두산위브</t>
        </is>
      </c>
      <c r="B10" s="10" t="inlineStr">
        <is>
          <t>'17.02.</t>
        </is>
      </c>
      <c r="C10" s="134" t="n">
        <v>462</v>
      </c>
      <c r="D10" s="132" t="n">
        <v>112.8</v>
      </c>
      <c r="E10" s="133" t="n">
        <v>34</v>
      </c>
      <c r="F10" s="132" t="n">
        <v>84.90000000000001</v>
      </c>
      <c r="G10" s="17" t="n">
        <v>26</v>
      </c>
      <c r="H10" s="134" t="n">
        <v>59</v>
      </c>
      <c r="I10" s="135" t="n">
        <v>43000</v>
      </c>
      <c r="J10" s="135" t="inlineStr">
        <is>
          <t>중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112C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두산위브</t>
        </is>
      </c>
      <c r="B11" s="10" t="inlineStr">
        <is>
          <t>'17.02.</t>
        </is>
      </c>
      <c r="C11" s="134" t="n">
        <v>462</v>
      </c>
      <c r="D11" s="132" t="n">
        <v>112.6</v>
      </c>
      <c r="E11" s="133" t="n">
        <v>34</v>
      </c>
      <c r="F11" s="132" t="n">
        <v>84.8</v>
      </c>
      <c r="G11" s="17" t="n">
        <v>26</v>
      </c>
      <c r="H11" s="134" t="n">
        <v>54</v>
      </c>
      <c r="I11" s="135" t="n">
        <v>39500</v>
      </c>
      <c r="J11" s="135" t="inlineStr">
        <is>
          <t>고</t>
        </is>
      </c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112B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두산위브</t>
        </is>
      </c>
      <c r="B12" s="10" t="inlineStr">
        <is>
          <t>'17.02.</t>
        </is>
      </c>
      <c r="C12" s="134" t="n">
        <v>462</v>
      </c>
      <c r="D12" s="132" t="n">
        <v>113.2</v>
      </c>
      <c r="E12" s="133" t="n">
        <v>34</v>
      </c>
      <c r="F12" s="132" t="n">
        <v>85</v>
      </c>
      <c r="G12" s="17" t="n">
        <v>26</v>
      </c>
      <c r="H12" s="134" t="n">
        <v>60</v>
      </c>
      <c r="I12" s="135" t="n">
        <v>38500</v>
      </c>
      <c r="J12" s="135" t="inlineStr">
        <is>
          <t>중</t>
        </is>
      </c>
      <c r="K12" s="135" t="n">
        <v>34000</v>
      </c>
      <c r="L12" s="135" t="inlineStr">
        <is>
          <t>고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113A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두산위브</t>
        </is>
      </c>
      <c r="B13" s="10" t="inlineStr">
        <is>
          <t>'17.02.</t>
        </is>
      </c>
      <c r="C13" s="134" t="n">
        <v>462</v>
      </c>
      <c r="D13" s="132" t="n">
        <v>113.2</v>
      </c>
      <c r="E13" s="133" t="n">
        <v>34</v>
      </c>
      <c r="F13" s="132" t="n">
        <v>84.90000000000001</v>
      </c>
      <c r="G13" s="17" t="n">
        <v>26</v>
      </c>
      <c r="H13" s="134" t="n">
        <v>47</v>
      </c>
      <c r="I13" s="135" t="n">
        <v>39000</v>
      </c>
      <c r="J13" s="135" t="inlineStr">
        <is>
          <t>중</t>
        </is>
      </c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113D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2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7" t="n"/>
      <c r="P14" s="137" t="n"/>
      <c r="Q14" s="133" t="n"/>
      <c r="R14" s="133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7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대동다숲</t>
        </is>
      </c>
      <c r="B15" s="10" t="inlineStr">
        <is>
          <t>'06.08.</t>
        </is>
      </c>
      <c r="C15" s="134" t="n">
        <v>408</v>
      </c>
      <c r="D15" s="132" t="n">
        <v>111.1</v>
      </c>
      <c r="E15" s="133" t="n">
        <v>34</v>
      </c>
      <c r="F15" s="132" t="n">
        <v>85</v>
      </c>
      <c r="G15" s="17" t="n">
        <v>26</v>
      </c>
      <c r="H15" s="134" t="n">
        <v>378</v>
      </c>
      <c r="I15" s="135" t="n">
        <v>22500</v>
      </c>
      <c r="J15" s="135" t="inlineStr">
        <is>
          <t>고</t>
        </is>
      </c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111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3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대동다숲</t>
        </is>
      </c>
      <c r="B16" s="10" t="inlineStr">
        <is>
          <t>'06.08.</t>
        </is>
      </c>
      <c r="C16" s="134" t="n">
        <v>408</v>
      </c>
      <c r="D16" s="132" t="n">
        <v>160.5</v>
      </c>
      <c r="E16" s="133" t="n">
        <v>49</v>
      </c>
      <c r="F16" s="132" t="n">
        <v>130.2</v>
      </c>
      <c r="G16" s="17" t="n">
        <v>39</v>
      </c>
      <c r="H16" s="134" t="n">
        <v>30</v>
      </c>
      <c r="I16" s="135" t="n">
        <v>35000</v>
      </c>
      <c r="J16" s="135" t="inlineStr">
        <is>
          <t>중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160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7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창원경화베스티움</t>
        </is>
      </c>
      <c r="B18" s="10" t="inlineStr">
        <is>
          <t>'18.12.</t>
        </is>
      </c>
      <c r="C18" s="134" t="n">
        <v>285</v>
      </c>
      <c r="D18" s="132" t="n">
        <v>100.3</v>
      </c>
      <c r="E18" s="133" t="n">
        <v>30</v>
      </c>
      <c r="F18" s="132" t="n">
        <v>76.3</v>
      </c>
      <c r="G18" s="17" t="n">
        <v>23</v>
      </c>
      <c r="H18" s="134" t="n">
        <v>47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inlineStr">
        <is>
          <t>100A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3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창원경화베스티움</t>
        </is>
      </c>
      <c r="B19" s="10" t="inlineStr">
        <is>
          <t>'18.12.</t>
        </is>
      </c>
      <c r="C19" s="134" t="n">
        <v>285</v>
      </c>
      <c r="D19" s="132" t="n">
        <v>100.1</v>
      </c>
      <c r="E19" s="133" t="n">
        <v>30</v>
      </c>
      <c r="F19" s="132" t="n">
        <v>76.09999999999999</v>
      </c>
      <c r="G19" s="17" t="n">
        <v>23</v>
      </c>
      <c r="H19" s="134" t="n">
        <v>5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100B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3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창원경화베스티움</t>
        </is>
      </c>
      <c r="B20" s="10" t="inlineStr">
        <is>
          <t>'18.12.</t>
        </is>
      </c>
      <c r="C20" s="134" t="n">
        <v>285</v>
      </c>
      <c r="D20" s="132" t="n">
        <v>110.9</v>
      </c>
      <c r="E20" s="133" t="n">
        <v>34</v>
      </c>
      <c r="F20" s="132" t="n">
        <v>84.5</v>
      </c>
      <c r="G20" s="17" t="n">
        <v>26</v>
      </c>
      <c r="H20" s="134" t="n">
        <v>45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110C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3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창원경화베스티움</t>
        </is>
      </c>
      <c r="B21" s="10" t="inlineStr">
        <is>
          <t>'18.12.</t>
        </is>
      </c>
      <c r="C21" s="134" t="n">
        <v>285</v>
      </c>
      <c r="D21" s="132" t="n">
        <v>111.3</v>
      </c>
      <c r="E21" s="133" t="n">
        <v>34</v>
      </c>
      <c r="F21" s="132" t="n">
        <v>85</v>
      </c>
      <c r="G21" s="17" t="n">
        <v>26</v>
      </c>
      <c r="H21" s="134" t="n">
        <v>90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inlineStr">
        <is>
          <t>111A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창원경화베스티움</t>
        </is>
      </c>
      <c r="B22" s="10" t="inlineStr">
        <is>
          <t>'18.12.</t>
        </is>
      </c>
      <c r="C22" s="134" t="n">
        <v>285</v>
      </c>
      <c r="D22" s="132" t="n">
        <v>111.6</v>
      </c>
      <c r="E22" s="133" t="n">
        <v>34</v>
      </c>
      <c r="F22" s="132" t="n">
        <v>84.90000000000001</v>
      </c>
      <c r="G22" s="17" t="n">
        <v>26</v>
      </c>
      <c r="H22" s="134" t="n">
        <v>78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111B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3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창원경화베스티움</t>
        </is>
      </c>
      <c r="B23" s="10" t="inlineStr">
        <is>
          <t>'18.12.</t>
        </is>
      </c>
      <c r="C23" s="134" t="n">
        <v>285</v>
      </c>
      <c r="D23" s="132" t="n">
        <v>111.1</v>
      </c>
      <c r="E23" s="133" t="n">
        <v>34</v>
      </c>
      <c r="F23" s="132" t="n">
        <v>84.7</v>
      </c>
      <c r="G23" s="17" t="n">
        <v>26</v>
      </c>
      <c r="H23" s="134" t="n">
        <v>14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111T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3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창원경화베스티움</t>
        </is>
      </c>
      <c r="B24" s="10" t="inlineStr">
        <is>
          <t>'18.12.</t>
        </is>
      </c>
      <c r="C24" s="134" t="n">
        <v>285</v>
      </c>
      <c r="D24" s="132" t="n">
        <v>192.5</v>
      </c>
      <c r="E24" s="133" t="n">
        <v>58</v>
      </c>
      <c r="F24" s="132" t="n">
        <v>145.6</v>
      </c>
      <c r="G24" s="17" t="n">
        <v>44</v>
      </c>
      <c r="H24" s="134" t="n">
        <v>6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5</v>
      </c>
      <c r="R24" s="121" t="n">
        <v>3</v>
      </c>
      <c r="S24" s="121" t="inlineStr">
        <is>
          <t>계</t>
        </is>
      </c>
      <c r="T24" s="5" t="inlineStr">
        <is>
          <t>192P</t>
        </is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3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2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7" t="n"/>
      <c r="P25" s="137" t="n"/>
      <c r="Q25" s="133" t="n"/>
      <c r="R25" s="133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7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경화삼정그린코아1단지</t>
        </is>
      </c>
      <c r="B26" s="10" t="inlineStr">
        <is>
          <t>'05.08.</t>
        </is>
      </c>
      <c r="C26" s="134" t="n">
        <v>202</v>
      </c>
      <c r="D26" s="132" t="n">
        <v>111.2</v>
      </c>
      <c r="E26" s="133" t="n">
        <v>34</v>
      </c>
      <c r="F26" s="132" t="n">
        <v>84.90000000000001</v>
      </c>
      <c r="G26" s="17" t="n">
        <v>26</v>
      </c>
      <c r="H26" s="134" t="n">
        <v>202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111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3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2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7" t="n"/>
      <c r="P27" s="137" t="n"/>
      <c r="Q27" s="133" t="n"/>
      <c r="R27" s="133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7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경화주공</t>
        </is>
      </c>
      <c r="B28" s="10" t="inlineStr">
        <is>
          <t>'86.11.</t>
        </is>
      </c>
      <c r="C28" s="134" t="n">
        <v>420</v>
      </c>
      <c r="D28" s="132" t="n">
        <v>37.4</v>
      </c>
      <c r="E28" s="133" t="n">
        <v>11</v>
      </c>
      <c r="F28" s="132" t="n">
        <v>32</v>
      </c>
      <c r="G28" s="17" t="n">
        <v>10</v>
      </c>
      <c r="H28" s="134" t="n">
        <v>220</v>
      </c>
      <c r="I28" s="135" t="n">
        <v>9000</v>
      </c>
      <c r="J28" s="135" t="inlineStr">
        <is>
          <t>고</t>
        </is>
      </c>
      <c r="K28" s="135" t="n">
        <v>4000</v>
      </c>
      <c r="L28" s="135" t="inlineStr">
        <is>
          <t>5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n">
        <v>37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3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경화주공</t>
        </is>
      </c>
      <c r="B29" s="10" t="inlineStr">
        <is>
          <t>'86.11.</t>
        </is>
      </c>
      <c r="C29" s="134" t="n">
        <v>420</v>
      </c>
      <c r="D29" s="132" t="n">
        <v>45.1</v>
      </c>
      <c r="E29" s="133" t="n">
        <v>14</v>
      </c>
      <c r="F29" s="132" t="n">
        <v>39.7</v>
      </c>
      <c r="G29" s="17" t="n">
        <v>12</v>
      </c>
      <c r="H29" s="134" t="n">
        <v>200</v>
      </c>
      <c r="I29" s="135" t="n">
        <v>10600</v>
      </c>
      <c r="J29" s="135" t="inlineStr">
        <is>
          <t>고</t>
        </is>
      </c>
      <c r="K29" s="135" t="n">
        <v>7500</v>
      </c>
      <c r="L29" s="135" t="inlineStr">
        <is>
          <t>5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1" t="n">
        <v>2</v>
      </c>
      <c r="R29" s="121" t="n">
        <v>1</v>
      </c>
      <c r="S29" s="121" t="inlineStr">
        <is>
          <t>계</t>
        </is>
      </c>
      <c r="T29" s="5" t="n">
        <v>45</v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3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2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7" t="n"/>
      <c r="P30" s="137" t="n"/>
      <c r="Q30" s="133" t="n"/>
      <c r="R30" s="133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7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포스코더샵</t>
        </is>
      </c>
      <c r="B31" s="10" t="inlineStr">
        <is>
          <t>'05.11.</t>
        </is>
      </c>
      <c r="C31" s="134" t="n">
        <v>441</v>
      </c>
      <c r="D31" s="132" t="n">
        <v>111.5</v>
      </c>
      <c r="E31" s="133" t="n">
        <v>34</v>
      </c>
      <c r="F31" s="132" t="n">
        <v>84.90000000000001</v>
      </c>
      <c r="G31" s="17" t="n">
        <v>26</v>
      </c>
      <c r="H31" s="134" t="n">
        <v>351</v>
      </c>
      <c r="I31" s="135" t="n">
        <v>23500</v>
      </c>
      <c r="J31" s="135" t="inlineStr">
        <is>
          <t>고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111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3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포스코더샵</t>
        </is>
      </c>
      <c r="B32" s="10" t="inlineStr">
        <is>
          <t>'05.11.</t>
        </is>
      </c>
      <c r="C32" s="134" t="n">
        <v>441</v>
      </c>
      <c r="D32" s="132" t="n">
        <v>113.6</v>
      </c>
      <c r="E32" s="133" t="n">
        <v>34</v>
      </c>
      <c r="F32" s="132" t="n">
        <v>84.90000000000001</v>
      </c>
      <c r="G32" s="17" t="n">
        <v>26</v>
      </c>
      <c r="H32" s="134" t="n">
        <v>90</v>
      </c>
      <c r="I32" s="135" t="n">
        <v>24000</v>
      </c>
      <c r="J32" s="135" t="inlineStr">
        <is>
          <t>중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113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3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44" dxfId="23">
      <formula>AV4="X"</formula>
    </cfRule>
    <cfRule type="expression" priority="445" dxfId="22">
      <formula>AV4="후보"</formula>
    </cfRule>
  </conditionalFormatting>
  <conditionalFormatting sqref="AC1:AC2 AC4:AC6 N4:N5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N1:N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">
    <cfRule type="expression" priority="433" dxfId="3">
      <formula>AND(IF(OR($Q6=1,$Q6=2),1,0),IF($X6&lt;=20,1,0))</formula>
    </cfRule>
    <cfRule type="expression" priority="434" dxfId="2">
      <formula>AND(IF($Q6=2,1,0),IF($X6&lt;30,1,0))</formula>
    </cfRule>
    <cfRule type="expression" priority="435" dxfId="1">
      <formula>AND(IF($Q6=3,1,0),IF($X6&lt;30,1,0))</formula>
    </cfRule>
    <cfRule type="expression" priority="436" dxfId="0">
      <formula>AND(IF($Q6=3,1,IF($Q6=4,1,0)),IF($F6&lt;=85,1,0))</formula>
    </cfRule>
  </conditionalFormatting>
  <conditionalFormatting sqref="X6">
    <cfRule type="expression" priority="429" dxfId="3">
      <formula>AND(IF(OR($Q6=1,$Q6=2),1,0),IF($X6&lt;=20,1,0))</formula>
    </cfRule>
    <cfRule type="expression" priority="430" dxfId="2">
      <formula>AND(IF($Q6=2,1,0),IF($X6&lt;30,1,0))</formula>
    </cfRule>
    <cfRule type="expression" priority="431" dxfId="1">
      <formula>AND(IF($Q6=3,1,0),IF($X6&lt;30,1,0))</formula>
    </cfRule>
    <cfRule type="expression" priority="432" dxfId="0">
      <formula>AND(IF($Q6=3,1,IF($Q6=4,1,0)),IF($F6&lt;=85,1,0))</formula>
    </cfRule>
  </conditionalFormatting>
  <conditionalFormatting sqref="AI6">
    <cfRule type="expression" priority="425" dxfId="3">
      <formula>AND(IF(OR($Q6=1,$Q6=2),1,0),IF($X6&lt;=20,1,0))</formula>
    </cfRule>
    <cfRule type="expression" priority="426" dxfId="2">
      <formula>AND(IF($Q6=2,1,0),IF($X6&lt;30,1,0))</formula>
    </cfRule>
    <cfRule type="expression" priority="427" dxfId="1">
      <formula>AND(IF($Q6=3,1,0),IF($X6&lt;30,1,0))</formula>
    </cfRule>
    <cfRule type="expression" priority="428" dxfId="0">
      <formula>AND(IF($Q6=3,1,IF($Q6=4,1,0)),IF($F6&lt;=85,1,0))</formula>
    </cfRule>
  </conditionalFormatting>
  <conditionalFormatting sqref="AV7">
    <cfRule type="expression" priority="423" dxfId="23">
      <formula>AV7="X"</formula>
    </cfRule>
    <cfRule type="expression" priority="424" dxfId="22">
      <formula>AV7="후보"</formula>
    </cfRule>
  </conditionalFormatting>
  <conditionalFormatting sqref="AC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">
    <cfRule type="expression" priority="414" dxfId="3">
      <formula>AND(IF(OR($Q7=1,$Q7=2),1,0),IF($X7&lt;=20,1,0))</formula>
    </cfRule>
    <cfRule type="expression" priority="415" dxfId="2">
      <formula>AND(IF($Q7=2,1,0),IF($X7&lt;30,1,0))</formula>
    </cfRule>
    <cfRule type="expression" priority="416" dxfId="1">
      <formula>AND(IF($Q7=3,1,0),IF($X7&lt;30,1,0))</formula>
    </cfRule>
    <cfRule type="expression" priority="417" dxfId="0">
      <formula>AND(IF($Q7=3,1,IF($Q7=4,1,0)),IF($F7&lt;=85,1,0))</formula>
    </cfRule>
  </conditionalFormatting>
  <conditionalFormatting sqref="X7">
    <cfRule type="expression" priority="410" dxfId="3">
      <formula>AND(IF(OR($Q7=1,$Q7=2),1,0),IF($X7&lt;=20,1,0))</formula>
    </cfRule>
    <cfRule type="expression" priority="411" dxfId="2">
      <formula>AND(IF($Q7=2,1,0),IF($X7&lt;30,1,0))</formula>
    </cfRule>
    <cfRule type="expression" priority="412" dxfId="1">
      <formula>AND(IF($Q7=3,1,0),IF($X7&lt;30,1,0))</formula>
    </cfRule>
    <cfRule type="expression" priority="413" dxfId="0">
      <formula>AND(IF($Q7=3,1,IF($Q7=4,1,0)),IF($F7&lt;=85,1,0))</formula>
    </cfRule>
  </conditionalFormatting>
  <conditionalFormatting sqref="AI7">
    <cfRule type="expression" priority="406" dxfId="3">
      <formula>AND(IF(OR($Q7=1,$Q7=2),1,0),IF($X7&lt;=20,1,0))</formula>
    </cfRule>
    <cfRule type="expression" priority="407" dxfId="2">
      <formula>AND(IF($Q7=2,1,0),IF($X7&lt;30,1,0))</formula>
    </cfRule>
    <cfRule type="expression" priority="408" dxfId="1">
      <formula>AND(IF($Q7=3,1,0),IF($X7&lt;30,1,0))</formula>
    </cfRule>
    <cfRule type="expression" priority="409" dxfId="0">
      <formula>AND(IF($Q7=3,1,IF($Q7=4,1,0)),IF($F7&lt;=85,1,0))</formula>
    </cfRule>
  </conditionalFormatting>
  <conditionalFormatting sqref="AV8">
    <cfRule type="expression" priority="404" dxfId="23">
      <formula>AV8="X"</formula>
    </cfRule>
    <cfRule type="expression" priority="405" dxfId="22">
      <formula>AV8="후보"</formula>
    </cfRule>
  </conditionalFormatting>
  <conditionalFormatting sqref="AC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8">
    <cfRule type="expression" priority="395" dxfId="3">
      <formula>AND(IF(OR($Q8=1,$Q8=2),1,0),IF($X8&lt;=20,1,0))</formula>
    </cfRule>
    <cfRule type="expression" priority="396" dxfId="2">
      <formula>AND(IF($Q8=2,1,0),IF($X8&lt;30,1,0))</formula>
    </cfRule>
    <cfRule type="expression" priority="397" dxfId="1">
      <formula>AND(IF($Q8=3,1,0),IF($X8&lt;30,1,0))</formula>
    </cfRule>
    <cfRule type="expression" priority="398" dxfId="0">
      <formula>AND(IF($Q8=3,1,IF($Q8=4,1,0)),IF($F8&lt;=85,1,0))</formula>
    </cfRule>
  </conditionalFormatting>
  <conditionalFormatting sqref="X8">
    <cfRule type="expression" priority="391" dxfId="3">
      <formula>AND(IF(OR($Q8=1,$Q8=2),1,0),IF($X8&lt;=20,1,0))</formula>
    </cfRule>
    <cfRule type="expression" priority="392" dxfId="2">
      <formula>AND(IF($Q8=2,1,0),IF($X8&lt;30,1,0))</formula>
    </cfRule>
    <cfRule type="expression" priority="393" dxfId="1">
      <formula>AND(IF($Q8=3,1,0),IF($X8&lt;30,1,0))</formula>
    </cfRule>
    <cfRule type="expression" priority="394" dxfId="0">
      <formula>AND(IF($Q8=3,1,IF($Q8=4,1,0)),IF($F8&lt;=85,1,0))</formula>
    </cfRule>
  </conditionalFormatting>
  <conditionalFormatting sqref="AI8">
    <cfRule type="expression" priority="387" dxfId="3">
      <formula>AND(IF(OR($Q8=1,$Q8=2),1,0),IF($X8&lt;=20,1,0))</formula>
    </cfRule>
    <cfRule type="expression" priority="388" dxfId="2">
      <formula>AND(IF($Q8=2,1,0),IF($X8&lt;30,1,0))</formula>
    </cfRule>
    <cfRule type="expression" priority="389" dxfId="1">
      <formula>AND(IF($Q8=3,1,0),IF($X8&lt;30,1,0))</formula>
    </cfRule>
    <cfRule type="expression" priority="390" dxfId="0">
      <formula>AND(IF($Q8=3,1,IF($Q8=4,1,0)),IF($F8&lt;=85,1,0))</formula>
    </cfRule>
  </conditionalFormatting>
  <conditionalFormatting sqref="AV9">
    <cfRule type="expression" priority="385" dxfId="23">
      <formula>AV9="X"</formula>
    </cfRule>
    <cfRule type="expression" priority="386" dxfId="22">
      <formula>AV9="후보"</formula>
    </cfRule>
  </conditionalFormatting>
  <conditionalFormatting sqref="AC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9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9">
    <cfRule type="expression" priority="376" dxfId="3">
      <formula>AND(IF(OR($Q9=1,$Q9=2),1,0),IF($X9&lt;=20,1,0))</formula>
    </cfRule>
    <cfRule type="expression" priority="377" dxfId="2">
      <formula>AND(IF($Q9=2,1,0),IF($X9&lt;30,1,0))</formula>
    </cfRule>
    <cfRule type="expression" priority="378" dxfId="1">
      <formula>AND(IF($Q9=3,1,0),IF($X9&lt;30,1,0))</formula>
    </cfRule>
    <cfRule type="expression" priority="379" dxfId="0">
      <formula>AND(IF($Q9=3,1,IF($Q9=4,1,0)),IF($F9&lt;=85,1,0))</formula>
    </cfRule>
  </conditionalFormatting>
  <conditionalFormatting sqref="X9">
    <cfRule type="expression" priority="372" dxfId="3">
      <formula>AND(IF(OR($Q9=1,$Q9=2),1,0),IF($X9&lt;=20,1,0))</formula>
    </cfRule>
    <cfRule type="expression" priority="373" dxfId="2">
      <formula>AND(IF($Q9=2,1,0),IF($X9&lt;30,1,0))</formula>
    </cfRule>
    <cfRule type="expression" priority="374" dxfId="1">
      <formula>AND(IF($Q9=3,1,0),IF($X9&lt;30,1,0))</formula>
    </cfRule>
    <cfRule type="expression" priority="375" dxfId="0">
      <formula>AND(IF($Q9=3,1,IF($Q9=4,1,0)),IF($F9&lt;=85,1,0))</formula>
    </cfRule>
  </conditionalFormatting>
  <conditionalFormatting sqref="AI9">
    <cfRule type="expression" priority="368" dxfId="3">
      <formula>AND(IF(OR($Q9=1,$Q9=2),1,0),IF($X9&lt;=20,1,0))</formula>
    </cfRule>
    <cfRule type="expression" priority="369" dxfId="2">
      <formula>AND(IF($Q9=2,1,0),IF($X9&lt;30,1,0))</formula>
    </cfRule>
    <cfRule type="expression" priority="370" dxfId="1">
      <formula>AND(IF($Q9=3,1,0),IF($X9&lt;30,1,0))</formula>
    </cfRule>
    <cfRule type="expression" priority="371" dxfId="0">
      <formula>AND(IF($Q9=3,1,IF($Q9=4,1,0)),IF($F9&lt;=85,1,0))</formula>
    </cfRule>
  </conditionalFormatting>
  <conditionalFormatting sqref="AV10">
    <cfRule type="expression" priority="366" dxfId="23">
      <formula>AV10="X"</formula>
    </cfRule>
    <cfRule type="expression" priority="367" dxfId="22">
      <formula>AV10="후보"</formula>
    </cfRule>
  </conditionalFormatting>
  <conditionalFormatting sqref="AC1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0">
    <cfRule type="expression" priority="357" dxfId="3">
      <formula>AND(IF(OR($Q10=1,$Q10=2),1,0),IF($X10&lt;=20,1,0))</formula>
    </cfRule>
    <cfRule type="expression" priority="358" dxfId="2">
      <formula>AND(IF($Q10=2,1,0),IF($X10&lt;30,1,0))</formula>
    </cfRule>
    <cfRule type="expression" priority="359" dxfId="1">
      <formula>AND(IF($Q10=3,1,0),IF($X10&lt;30,1,0))</formula>
    </cfRule>
    <cfRule type="expression" priority="360" dxfId="0">
      <formula>AND(IF($Q10=3,1,IF($Q10=4,1,0)),IF($F10&lt;=85,1,0))</formula>
    </cfRule>
  </conditionalFormatting>
  <conditionalFormatting sqref="X10">
    <cfRule type="expression" priority="353" dxfId="3">
      <formula>AND(IF(OR($Q10=1,$Q10=2),1,0),IF($X10&lt;=20,1,0))</formula>
    </cfRule>
    <cfRule type="expression" priority="354" dxfId="2">
      <formula>AND(IF($Q10=2,1,0),IF($X10&lt;30,1,0))</formula>
    </cfRule>
    <cfRule type="expression" priority="355" dxfId="1">
      <formula>AND(IF($Q10=3,1,0),IF($X10&lt;30,1,0))</formula>
    </cfRule>
    <cfRule type="expression" priority="356" dxfId="0">
      <formula>AND(IF($Q10=3,1,IF($Q10=4,1,0)),IF($F10&lt;=85,1,0))</formula>
    </cfRule>
  </conditionalFormatting>
  <conditionalFormatting sqref="AI10">
    <cfRule type="expression" priority="349" dxfId="3">
      <formula>AND(IF(OR($Q10=1,$Q10=2),1,0),IF($X10&lt;=20,1,0))</formula>
    </cfRule>
    <cfRule type="expression" priority="350" dxfId="2">
      <formula>AND(IF($Q10=2,1,0),IF($X10&lt;30,1,0))</formula>
    </cfRule>
    <cfRule type="expression" priority="351" dxfId="1">
      <formula>AND(IF($Q10=3,1,0),IF($X10&lt;30,1,0))</formula>
    </cfRule>
    <cfRule type="expression" priority="352" dxfId="0">
      <formula>AND(IF($Q10=3,1,IF($Q10=4,1,0)),IF($F10&lt;=85,1,0))</formula>
    </cfRule>
  </conditionalFormatting>
  <conditionalFormatting sqref="AV11">
    <cfRule type="expression" priority="347" dxfId="23">
      <formula>AV11="X"</formula>
    </cfRule>
    <cfRule type="expression" priority="348" dxfId="22">
      <formula>AV11="후보"</formula>
    </cfRule>
  </conditionalFormatting>
  <conditionalFormatting sqref="AC1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1">
    <cfRule type="expression" priority="338" dxfId="3">
      <formula>AND(IF(OR($Q11=1,$Q11=2),1,0),IF($X11&lt;=20,1,0))</formula>
    </cfRule>
    <cfRule type="expression" priority="339" dxfId="2">
      <formula>AND(IF($Q11=2,1,0),IF($X11&lt;30,1,0))</formula>
    </cfRule>
    <cfRule type="expression" priority="340" dxfId="1">
      <formula>AND(IF($Q11=3,1,0),IF($X11&lt;30,1,0))</formula>
    </cfRule>
    <cfRule type="expression" priority="341" dxfId="0">
      <formula>AND(IF($Q11=3,1,IF($Q11=4,1,0)),IF($F11&lt;=85,1,0))</formula>
    </cfRule>
  </conditionalFormatting>
  <conditionalFormatting sqref="X11">
    <cfRule type="expression" priority="334" dxfId="3">
      <formula>AND(IF(OR($Q11=1,$Q11=2),1,0),IF($X11&lt;=20,1,0))</formula>
    </cfRule>
    <cfRule type="expression" priority="335" dxfId="2">
      <formula>AND(IF($Q11=2,1,0),IF($X11&lt;30,1,0))</formula>
    </cfRule>
    <cfRule type="expression" priority="336" dxfId="1">
      <formula>AND(IF($Q11=3,1,0),IF($X11&lt;30,1,0))</formula>
    </cfRule>
    <cfRule type="expression" priority="337" dxfId="0">
      <formula>AND(IF($Q11=3,1,IF($Q11=4,1,0)),IF($F11&lt;=85,1,0))</formula>
    </cfRule>
  </conditionalFormatting>
  <conditionalFormatting sqref="AI11">
    <cfRule type="expression" priority="330" dxfId="3">
      <formula>AND(IF(OR($Q11=1,$Q11=2),1,0),IF($X11&lt;=20,1,0))</formula>
    </cfRule>
    <cfRule type="expression" priority="331" dxfId="2">
      <formula>AND(IF($Q11=2,1,0),IF($X11&lt;30,1,0))</formula>
    </cfRule>
    <cfRule type="expression" priority="332" dxfId="1">
      <formula>AND(IF($Q11=3,1,0),IF($X11&lt;30,1,0))</formula>
    </cfRule>
    <cfRule type="expression" priority="333" dxfId="0">
      <formula>AND(IF($Q11=3,1,IF($Q11=4,1,0)),IF($F11&lt;=85,1,0))</formula>
    </cfRule>
  </conditionalFormatting>
  <conditionalFormatting sqref="AV12">
    <cfRule type="expression" priority="328" dxfId="23">
      <formula>AV12="X"</formula>
    </cfRule>
    <cfRule type="expression" priority="329" dxfId="22">
      <formula>AV12="후보"</formula>
    </cfRule>
  </conditionalFormatting>
  <conditionalFormatting sqref="AC1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2">
    <cfRule type="expression" priority="319" dxfId="3">
      <formula>AND(IF(OR($Q12=1,$Q12=2),1,0),IF($X12&lt;=20,1,0))</formula>
    </cfRule>
    <cfRule type="expression" priority="320" dxfId="2">
      <formula>AND(IF($Q12=2,1,0),IF($X12&lt;30,1,0))</formula>
    </cfRule>
    <cfRule type="expression" priority="321" dxfId="1">
      <formula>AND(IF($Q12=3,1,0),IF($X12&lt;30,1,0))</formula>
    </cfRule>
    <cfRule type="expression" priority="322" dxfId="0">
      <formula>AND(IF($Q12=3,1,IF($Q12=4,1,0)),IF($F12&lt;=85,1,0))</formula>
    </cfRule>
  </conditionalFormatting>
  <conditionalFormatting sqref="X12">
    <cfRule type="expression" priority="315" dxfId="3">
      <formula>AND(IF(OR($Q12=1,$Q12=2),1,0),IF($X12&lt;=20,1,0))</formula>
    </cfRule>
    <cfRule type="expression" priority="316" dxfId="2">
      <formula>AND(IF($Q12=2,1,0),IF($X12&lt;30,1,0))</formula>
    </cfRule>
    <cfRule type="expression" priority="317" dxfId="1">
      <formula>AND(IF($Q12=3,1,0),IF($X12&lt;30,1,0))</formula>
    </cfRule>
    <cfRule type="expression" priority="318" dxfId="0">
      <formula>AND(IF($Q12=3,1,IF($Q12=4,1,0)),IF($F12&lt;=85,1,0))</formula>
    </cfRule>
  </conditionalFormatting>
  <conditionalFormatting sqref="AI12">
    <cfRule type="expression" priority="311" dxfId="3">
      <formula>AND(IF(OR($Q12=1,$Q12=2),1,0),IF($X12&lt;=20,1,0))</formula>
    </cfRule>
    <cfRule type="expression" priority="312" dxfId="2">
      <formula>AND(IF($Q12=2,1,0),IF($X12&lt;30,1,0))</formula>
    </cfRule>
    <cfRule type="expression" priority="313" dxfId="1">
      <formula>AND(IF($Q12=3,1,0),IF($X12&lt;30,1,0))</formula>
    </cfRule>
    <cfRule type="expression" priority="314" dxfId="0">
      <formula>AND(IF($Q12=3,1,IF($Q12=4,1,0)),IF($F12&lt;=85,1,0))</formula>
    </cfRule>
  </conditionalFormatting>
  <conditionalFormatting sqref="AV13">
    <cfRule type="expression" priority="309" dxfId="23">
      <formula>AV13="X"</formula>
    </cfRule>
    <cfRule type="expression" priority="310" dxfId="22">
      <formula>AV13="후보"</formula>
    </cfRule>
  </conditionalFormatting>
  <conditionalFormatting sqref="AC1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3">
    <cfRule type="expression" priority="300" dxfId="3">
      <formula>AND(IF(OR($Q13=1,$Q13=2),1,0),IF($X13&lt;=20,1,0))</formula>
    </cfRule>
    <cfRule type="expression" priority="301" dxfId="2">
      <formula>AND(IF($Q13=2,1,0),IF($X13&lt;30,1,0))</formula>
    </cfRule>
    <cfRule type="expression" priority="302" dxfId="1">
      <formula>AND(IF($Q13=3,1,0),IF($X13&lt;30,1,0))</formula>
    </cfRule>
    <cfRule type="expression" priority="303" dxfId="0">
      <formula>AND(IF($Q13=3,1,IF($Q13=4,1,0)),IF($F13&lt;=85,1,0))</formula>
    </cfRule>
  </conditionalFormatting>
  <conditionalFormatting sqref="X13">
    <cfRule type="expression" priority="296" dxfId="3">
      <formula>AND(IF(OR($Q13=1,$Q13=2),1,0),IF($X13&lt;=20,1,0))</formula>
    </cfRule>
    <cfRule type="expression" priority="297" dxfId="2">
      <formula>AND(IF($Q13=2,1,0),IF($X13&lt;30,1,0))</formula>
    </cfRule>
    <cfRule type="expression" priority="298" dxfId="1">
      <formula>AND(IF($Q13=3,1,0),IF($X13&lt;30,1,0))</formula>
    </cfRule>
    <cfRule type="expression" priority="299" dxfId="0">
      <formula>AND(IF($Q13=3,1,IF($Q13=4,1,0)),IF($F13&lt;=85,1,0))</formula>
    </cfRule>
  </conditionalFormatting>
  <conditionalFormatting sqref="AI13">
    <cfRule type="expression" priority="292" dxfId="3">
      <formula>AND(IF(OR($Q13=1,$Q13=2),1,0),IF($X13&lt;=20,1,0))</formula>
    </cfRule>
    <cfRule type="expression" priority="293" dxfId="2">
      <formula>AND(IF($Q13=2,1,0),IF($X13&lt;30,1,0))</formula>
    </cfRule>
    <cfRule type="expression" priority="294" dxfId="1">
      <formula>AND(IF($Q13=3,1,0),IF($X13&lt;30,1,0))</formula>
    </cfRule>
    <cfRule type="expression" priority="295" dxfId="0">
      <formula>AND(IF($Q13=3,1,IF($Q13=4,1,0)),IF($F13&lt;=85,1,0))</formula>
    </cfRule>
  </conditionalFormatting>
  <conditionalFormatting sqref="AV14">
    <cfRule type="expression" priority="290" dxfId="23">
      <formula>AV14="X"</formula>
    </cfRule>
    <cfRule type="expression" priority="291" dxfId="22">
      <formula>AV14="후보"</formula>
    </cfRule>
  </conditionalFormatting>
  <conditionalFormatting sqref="AC14 N1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5">
    <cfRule type="expression" priority="285" dxfId="23">
      <formula>AV15="X"</formula>
    </cfRule>
    <cfRule type="expression" priority="286" dxfId="22">
      <formula>AV15="후보"</formula>
    </cfRule>
  </conditionalFormatting>
  <conditionalFormatting sqref="AC1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5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5">
    <cfRule type="expression" priority="276" dxfId="3">
      <formula>AND(IF(OR($Q15=1,$Q15=2),1,0),IF($X15&lt;=20,1,0))</formula>
    </cfRule>
    <cfRule type="expression" priority="277" dxfId="2">
      <formula>AND(IF($Q15=2,1,0),IF($X15&lt;30,1,0))</formula>
    </cfRule>
    <cfRule type="expression" priority="278" dxfId="1">
      <formula>AND(IF($Q15=3,1,0),IF($X15&lt;30,1,0))</formula>
    </cfRule>
    <cfRule type="expression" priority="279" dxfId="0">
      <formula>AND(IF($Q15=3,1,IF($Q15=4,1,0)),IF($F15&lt;=85,1,0))</formula>
    </cfRule>
  </conditionalFormatting>
  <conditionalFormatting sqref="X15">
    <cfRule type="expression" priority="272" dxfId="3">
      <formula>AND(IF(OR($Q15=1,$Q15=2),1,0),IF($X15&lt;=20,1,0))</formula>
    </cfRule>
    <cfRule type="expression" priority="273" dxfId="2">
      <formula>AND(IF($Q15=2,1,0),IF($X15&lt;30,1,0))</formula>
    </cfRule>
    <cfRule type="expression" priority="274" dxfId="1">
      <formula>AND(IF($Q15=3,1,0),IF($X15&lt;30,1,0))</formula>
    </cfRule>
    <cfRule type="expression" priority="275" dxfId="0">
      <formula>AND(IF($Q15=3,1,IF($Q15=4,1,0)),IF($F15&lt;=85,1,0))</formula>
    </cfRule>
  </conditionalFormatting>
  <conditionalFormatting sqref="AI15">
    <cfRule type="expression" priority="268" dxfId="3">
      <formula>AND(IF(OR($Q15=1,$Q15=2),1,0),IF($X15&lt;=20,1,0))</formula>
    </cfRule>
    <cfRule type="expression" priority="269" dxfId="2">
      <formula>AND(IF($Q15=2,1,0),IF($X15&lt;30,1,0))</formula>
    </cfRule>
    <cfRule type="expression" priority="270" dxfId="1">
      <formula>AND(IF($Q15=3,1,0),IF($X15&lt;30,1,0))</formula>
    </cfRule>
    <cfRule type="expression" priority="271" dxfId="0">
      <formula>AND(IF($Q15=3,1,IF($Q15=4,1,0)),IF($F15&lt;=85,1,0))</formula>
    </cfRule>
  </conditionalFormatting>
  <conditionalFormatting sqref="AV16">
    <cfRule type="expression" priority="266" dxfId="23">
      <formula>AV16="X"</formula>
    </cfRule>
    <cfRule type="expression" priority="267" dxfId="22">
      <formula>AV16="후보"</formula>
    </cfRule>
  </conditionalFormatting>
  <conditionalFormatting sqref="AC1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6">
    <cfRule type="expression" priority="257" dxfId="3">
      <formula>AND(IF(OR($Q16=1,$Q16=2),1,0),IF($X16&lt;=20,1,0))</formula>
    </cfRule>
    <cfRule type="expression" priority="258" dxfId="2">
      <formula>AND(IF($Q16=2,1,0),IF($X16&lt;30,1,0))</formula>
    </cfRule>
    <cfRule type="expression" priority="259" dxfId="1">
      <formula>AND(IF($Q16=3,1,0),IF($X16&lt;30,1,0))</formula>
    </cfRule>
    <cfRule type="expression" priority="260" dxfId="0">
      <formula>AND(IF($Q16=3,1,IF($Q16=4,1,0)),IF($F16&lt;=85,1,0))</formula>
    </cfRule>
  </conditionalFormatting>
  <conditionalFormatting sqref="X16">
    <cfRule type="expression" priority="253" dxfId="3">
      <formula>AND(IF(OR($Q16=1,$Q16=2),1,0),IF($X16&lt;=20,1,0))</formula>
    </cfRule>
    <cfRule type="expression" priority="254" dxfId="2">
      <formula>AND(IF($Q16=2,1,0),IF($X16&lt;30,1,0))</formula>
    </cfRule>
    <cfRule type="expression" priority="255" dxfId="1">
      <formula>AND(IF($Q16=3,1,0),IF($X16&lt;30,1,0))</formula>
    </cfRule>
    <cfRule type="expression" priority="256" dxfId="0">
      <formula>AND(IF($Q16=3,1,IF($Q16=4,1,0)),IF($F16&lt;=85,1,0))</formula>
    </cfRule>
  </conditionalFormatting>
  <conditionalFormatting sqref="AI16">
    <cfRule type="expression" priority="249" dxfId="3">
      <formula>AND(IF(OR($Q16=1,$Q16=2),1,0),IF($X16&lt;=20,1,0))</formula>
    </cfRule>
    <cfRule type="expression" priority="250" dxfId="2">
      <formula>AND(IF($Q16=2,1,0),IF($X16&lt;30,1,0))</formula>
    </cfRule>
    <cfRule type="expression" priority="251" dxfId="1">
      <formula>AND(IF($Q16=3,1,0),IF($X16&lt;30,1,0))</formula>
    </cfRule>
    <cfRule type="expression" priority="252" dxfId="0">
      <formula>AND(IF($Q16=3,1,IF($Q16=4,1,0)),IF($F16&lt;=85,1,0))</formula>
    </cfRule>
  </conditionalFormatting>
  <conditionalFormatting sqref="AV17">
    <cfRule type="expression" priority="247" dxfId="23">
      <formula>AV17="X"</formula>
    </cfRule>
    <cfRule type="expression" priority="248" dxfId="22">
      <formula>AV17="후보"</formula>
    </cfRule>
  </conditionalFormatting>
  <conditionalFormatting sqref="AC17 N1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8">
    <cfRule type="expression" priority="242" dxfId="23">
      <formula>AV18="X"</formula>
    </cfRule>
    <cfRule type="expression" priority="243" dxfId="22">
      <formula>AV18="후보"</formula>
    </cfRule>
  </conditionalFormatting>
  <conditionalFormatting sqref="AC1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8">
    <cfRule type="expression" priority="233" dxfId="3">
      <formula>AND(IF(OR($Q18=1,$Q18=2),1,0),IF($X18&lt;=20,1,0))</formula>
    </cfRule>
    <cfRule type="expression" priority="234" dxfId="2">
      <formula>AND(IF($Q18=2,1,0),IF($X18&lt;30,1,0))</formula>
    </cfRule>
    <cfRule type="expression" priority="235" dxfId="1">
      <formula>AND(IF($Q18=3,1,0),IF($X18&lt;30,1,0))</formula>
    </cfRule>
    <cfRule type="expression" priority="236" dxfId="0">
      <formula>AND(IF($Q18=3,1,IF($Q18=4,1,0)),IF($F18&lt;=85,1,0))</formula>
    </cfRule>
  </conditionalFormatting>
  <conditionalFormatting sqref="X18">
    <cfRule type="expression" priority="229" dxfId="3">
      <formula>AND(IF(OR($Q18=1,$Q18=2),1,0),IF($X18&lt;=20,1,0))</formula>
    </cfRule>
    <cfRule type="expression" priority="230" dxfId="2">
      <formula>AND(IF($Q18=2,1,0),IF($X18&lt;30,1,0))</formula>
    </cfRule>
    <cfRule type="expression" priority="231" dxfId="1">
      <formula>AND(IF($Q18=3,1,0),IF($X18&lt;30,1,0))</formula>
    </cfRule>
    <cfRule type="expression" priority="232" dxfId="0">
      <formula>AND(IF($Q18=3,1,IF($Q18=4,1,0)),IF($F18&lt;=85,1,0))</formula>
    </cfRule>
  </conditionalFormatting>
  <conditionalFormatting sqref="AI18">
    <cfRule type="expression" priority="225" dxfId="3">
      <formula>AND(IF(OR($Q18=1,$Q18=2),1,0),IF($X18&lt;=20,1,0))</formula>
    </cfRule>
    <cfRule type="expression" priority="226" dxfId="2">
      <formula>AND(IF($Q18=2,1,0),IF($X18&lt;30,1,0))</formula>
    </cfRule>
    <cfRule type="expression" priority="227" dxfId="1">
      <formula>AND(IF($Q18=3,1,0),IF($X18&lt;30,1,0))</formula>
    </cfRule>
    <cfRule type="expression" priority="228" dxfId="0">
      <formula>AND(IF($Q18=3,1,IF($Q18=4,1,0)),IF($F18&lt;=85,1,0))</formula>
    </cfRule>
  </conditionalFormatting>
  <conditionalFormatting sqref="AV19">
    <cfRule type="expression" priority="223" dxfId="23">
      <formula>AV19="X"</formula>
    </cfRule>
    <cfRule type="expression" priority="224" dxfId="22">
      <formula>AV19="후보"</formula>
    </cfRule>
  </conditionalFormatting>
  <conditionalFormatting sqref="AC1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9">
    <cfRule type="expression" priority="214" dxfId="3">
      <formula>AND(IF(OR($Q19=1,$Q19=2),1,0),IF($X19&lt;=20,1,0))</formula>
    </cfRule>
    <cfRule type="expression" priority="215" dxfId="2">
      <formula>AND(IF($Q19=2,1,0),IF($X19&lt;30,1,0))</formula>
    </cfRule>
    <cfRule type="expression" priority="216" dxfId="1">
      <formula>AND(IF($Q19=3,1,0),IF($X19&lt;30,1,0))</formula>
    </cfRule>
    <cfRule type="expression" priority="217" dxfId="0">
      <formula>AND(IF($Q19=3,1,IF($Q19=4,1,0)),IF($F19&lt;=85,1,0))</formula>
    </cfRule>
  </conditionalFormatting>
  <conditionalFormatting sqref="X19">
    <cfRule type="expression" priority="210" dxfId="3">
      <formula>AND(IF(OR($Q19=1,$Q19=2),1,0),IF($X19&lt;=20,1,0))</formula>
    </cfRule>
    <cfRule type="expression" priority="211" dxfId="2">
      <formula>AND(IF($Q19=2,1,0),IF($X19&lt;30,1,0))</formula>
    </cfRule>
    <cfRule type="expression" priority="212" dxfId="1">
      <formula>AND(IF($Q19=3,1,0),IF($X19&lt;30,1,0))</formula>
    </cfRule>
    <cfRule type="expression" priority="213" dxfId="0">
      <formula>AND(IF($Q19=3,1,IF($Q19=4,1,0)),IF($F19&lt;=85,1,0))</formula>
    </cfRule>
  </conditionalFormatting>
  <conditionalFormatting sqref="AI19">
    <cfRule type="expression" priority="206" dxfId="3">
      <formula>AND(IF(OR($Q19=1,$Q19=2),1,0),IF($X19&lt;=20,1,0))</formula>
    </cfRule>
    <cfRule type="expression" priority="207" dxfId="2">
      <formula>AND(IF($Q19=2,1,0),IF($X19&lt;30,1,0))</formula>
    </cfRule>
    <cfRule type="expression" priority="208" dxfId="1">
      <formula>AND(IF($Q19=3,1,0),IF($X19&lt;30,1,0))</formula>
    </cfRule>
    <cfRule type="expression" priority="209" dxfId="0">
      <formula>AND(IF($Q19=3,1,IF($Q19=4,1,0)),IF($F19&lt;=85,1,0))</formula>
    </cfRule>
  </conditionalFormatting>
  <conditionalFormatting sqref="AV20">
    <cfRule type="expression" priority="204" dxfId="23">
      <formula>AV20="X"</formula>
    </cfRule>
    <cfRule type="expression" priority="205" dxfId="22">
      <formula>AV20="후보"</formula>
    </cfRule>
  </conditionalFormatting>
  <conditionalFormatting sqref="AC2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0">
    <cfRule type="expression" priority="195" dxfId="3">
      <formula>AND(IF(OR($Q20=1,$Q20=2),1,0),IF($X20&lt;=20,1,0))</formula>
    </cfRule>
    <cfRule type="expression" priority="196" dxfId="2">
      <formula>AND(IF($Q20=2,1,0),IF($X20&lt;30,1,0))</formula>
    </cfRule>
    <cfRule type="expression" priority="197" dxfId="1">
      <formula>AND(IF($Q20=3,1,0),IF($X20&lt;30,1,0))</formula>
    </cfRule>
    <cfRule type="expression" priority="198" dxfId="0">
      <formula>AND(IF($Q20=3,1,IF($Q20=4,1,0)),IF($F20&lt;=85,1,0))</formula>
    </cfRule>
  </conditionalFormatting>
  <conditionalFormatting sqref="X20">
    <cfRule type="expression" priority="191" dxfId="3">
      <formula>AND(IF(OR($Q20=1,$Q20=2),1,0),IF($X20&lt;=20,1,0))</formula>
    </cfRule>
    <cfRule type="expression" priority="192" dxfId="2">
      <formula>AND(IF($Q20=2,1,0),IF($X20&lt;30,1,0))</formula>
    </cfRule>
    <cfRule type="expression" priority="193" dxfId="1">
      <formula>AND(IF($Q20=3,1,0),IF($X20&lt;30,1,0))</formula>
    </cfRule>
    <cfRule type="expression" priority="194" dxfId="0">
      <formula>AND(IF($Q20=3,1,IF($Q20=4,1,0)),IF($F20&lt;=85,1,0))</formula>
    </cfRule>
  </conditionalFormatting>
  <conditionalFormatting sqref="AI20">
    <cfRule type="expression" priority="187" dxfId="3">
      <formula>AND(IF(OR($Q20=1,$Q20=2),1,0),IF($X20&lt;=20,1,0))</formula>
    </cfRule>
    <cfRule type="expression" priority="188" dxfId="2">
      <formula>AND(IF($Q20=2,1,0),IF($X20&lt;30,1,0))</formula>
    </cfRule>
    <cfRule type="expression" priority="189" dxfId="1">
      <formula>AND(IF($Q20=3,1,0),IF($X20&lt;30,1,0))</formula>
    </cfRule>
    <cfRule type="expression" priority="190" dxfId="0">
      <formula>AND(IF($Q20=3,1,IF($Q20=4,1,0)),IF($F20&lt;=85,1,0))</formula>
    </cfRule>
  </conditionalFormatting>
  <conditionalFormatting sqref="AV21">
    <cfRule type="expression" priority="185" dxfId="23">
      <formula>AV21="X"</formula>
    </cfRule>
    <cfRule type="expression" priority="186" dxfId="22">
      <formula>AV21="후보"</formula>
    </cfRule>
  </conditionalFormatting>
  <conditionalFormatting sqref="AC2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1">
    <cfRule type="expression" priority="176" dxfId="3">
      <formula>AND(IF(OR($Q21=1,$Q21=2),1,0),IF($X21&lt;=20,1,0))</formula>
    </cfRule>
    <cfRule type="expression" priority="177" dxfId="2">
      <formula>AND(IF($Q21=2,1,0),IF($X21&lt;30,1,0))</formula>
    </cfRule>
    <cfRule type="expression" priority="178" dxfId="1">
      <formula>AND(IF($Q21=3,1,0),IF($X21&lt;30,1,0))</formula>
    </cfRule>
    <cfRule type="expression" priority="179" dxfId="0">
      <formula>AND(IF($Q21=3,1,IF($Q21=4,1,0)),IF($F21&lt;=85,1,0))</formula>
    </cfRule>
  </conditionalFormatting>
  <conditionalFormatting sqref="X21">
    <cfRule type="expression" priority="172" dxfId="3">
      <formula>AND(IF(OR($Q21=1,$Q21=2),1,0),IF($X21&lt;=20,1,0))</formula>
    </cfRule>
    <cfRule type="expression" priority="173" dxfId="2">
      <formula>AND(IF($Q21=2,1,0),IF($X21&lt;30,1,0))</formula>
    </cfRule>
    <cfRule type="expression" priority="174" dxfId="1">
      <formula>AND(IF($Q21=3,1,0),IF($X21&lt;30,1,0))</formula>
    </cfRule>
    <cfRule type="expression" priority="175" dxfId="0">
      <formula>AND(IF($Q21=3,1,IF($Q21=4,1,0)),IF($F21&lt;=85,1,0))</formula>
    </cfRule>
  </conditionalFormatting>
  <conditionalFormatting sqref="AI21">
    <cfRule type="expression" priority="168" dxfId="3">
      <formula>AND(IF(OR($Q21=1,$Q21=2),1,0),IF($X21&lt;=20,1,0))</formula>
    </cfRule>
    <cfRule type="expression" priority="169" dxfId="2">
      <formula>AND(IF($Q21=2,1,0),IF($X21&lt;30,1,0))</formula>
    </cfRule>
    <cfRule type="expression" priority="170" dxfId="1">
      <formula>AND(IF($Q21=3,1,0),IF($X21&lt;30,1,0))</formula>
    </cfRule>
    <cfRule type="expression" priority="171" dxfId="0">
      <formula>AND(IF($Q21=3,1,IF($Q21=4,1,0)),IF($F21&lt;=85,1,0))</formula>
    </cfRule>
  </conditionalFormatting>
  <conditionalFormatting sqref="AV22">
    <cfRule type="expression" priority="166" dxfId="23">
      <formula>AV22="X"</formula>
    </cfRule>
    <cfRule type="expression" priority="167" dxfId="22">
      <formula>AV22="후보"</formula>
    </cfRule>
  </conditionalFormatting>
  <conditionalFormatting sqref="AC2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22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22">
    <cfRule type="expression" priority="157" dxfId="3">
      <formula>AND(IF(OR($Q22=1,$Q22=2),1,0),IF($X22&lt;=20,1,0))</formula>
    </cfRule>
    <cfRule type="expression" priority="158" dxfId="2">
      <formula>AND(IF($Q22=2,1,0),IF($X22&lt;30,1,0))</formula>
    </cfRule>
    <cfRule type="expression" priority="159" dxfId="1">
      <formula>AND(IF($Q22=3,1,0),IF($X22&lt;30,1,0))</formula>
    </cfRule>
    <cfRule type="expression" priority="160" dxfId="0">
      <formula>AND(IF($Q22=3,1,IF($Q22=4,1,0)),IF($F22&lt;=85,1,0))</formula>
    </cfRule>
  </conditionalFormatting>
  <conditionalFormatting sqref="X22">
    <cfRule type="expression" priority="153" dxfId="3">
      <formula>AND(IF(OR($Q22=1,$Q22=2),1,0),IF($X22&lt;=20,1,0))</formula>
    </cfRule>
    <cfRule type="expression" priority="154" dxfId="2">
      <formula>AND(IF($Q22=2,1,0),IF($X22&lt;30,1,0))</formula>
    </cfRule>
    <cfRule type="expression" priority="155" dxfId="1">
      <formula>AND(IF($Q22=3,1,0),IF($X22&lt;30,1,0))</formula>
    </cfRule>
    <cfRule type="expression" priority="156" dxfId="0">
      <formula>AND(IF($Q22=3,1,IF($Q22=4,1,0)),IF($F22&lt;=85,1,0))</formula>
    </cfRule>
  </conditionalFormatting>
  <conditionalFormatting sqref="AI22">
    <cfRule type="expression" priority="149" dxfId="3">
      <formula>AND(IF(OR($Q22=1,$Q22=2),1,0),IF($X22&lt;=20,1,0))</formula>
    </cfRule>
    <cfRule type="expression" priority="150" dxfId="2">
      <formula>AND(IF($Q22=2,1,0),IF($X22&lt;30,1,0))</formula>
    </cfRule>
    <cfRule type="expression" priority="151" dxfId="1">
      <formula>AND(IF($Q22=3,1,0),IF($X22&lt;30,1,0))</formula>
    </cfRule>
    <cfRule type="expression" priority="152" dxfId="0">
      <formula>AND(IF($Q22=3,1,IF($Q22=4,1,0)),IF($F22&lt;=85,1,0))</formula>
    </cfRule>
  </conditionalFormatting>
  <conditionalFormatting sqref="AV23">
    <cfRule type="expression" priority="147" dxfId="23">
      <formula>AV23="X"</formula>
    </cfRule>
    <cfRule type="expression" priority="148" dxfId="22">
      <formula>AV23="후보"</formula>
    </cfRule>
  </conditionalFormatting>
  <conditionalFormatting sqref="AC23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23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23">
    <cfRule type="expression" priority="138" dxfId="3">
      <formula>AND(IF(OR($Q23=1,$Q23=2),1,0),IF($X23&lt;=20,1,0))</formula>
    </cfRule>
    <cfRule type="expression" priority="139" dxfId="2">
      <formula>AND(IF($Q23=2,1,0),IF($X23&lt;30,1,0))</formula>
    </cfRule>
    <cfRule type="expression" priority="140" dxfId="1">
      <formula>AND(IF($Q23=3,1,0),IF($X23&lt;30,1,0))</formula>
    </cfRule>
    <cfRule type="expression" priority="141" dxfId="0">
      <formula>AND(IF($Q23=3,1,IF($Q23=4,1,0)),IF($F23&lt;=85,1,0))</formula>
    </cfRule>
  </conditionalFormatting>
  <conditionalFormatting sqref="X23">
    <cfRule type="expression" priority="134" dxfId="3">
      <formula>AND(IF(OR($Q23=1,$Q23=2),1,0),IF($X23&lt;=20,1,0))</formula>
    </cfRule>
    <cfRule type="expression" priority="135" dxfId="2">
      <formula>AND(IF($Q23=2,1,0),IF($X23&lt;30,1,0))</formula>
    </cfRule>
    <cfRule type="expression" priority="136" dxfId="1">
      <formula>AND(IF($Q23=3,1,0),IF($X23&lt;30,1,0))</formula>
    </cfRule>
    <cfRule type="expression" priority="137" dxfId="0">
      <formula>AND(IF($Q23=3,1,IF($Q23=4,1,0)),IF($F23&lt;=85,1,0))</formula>
    </cfRule>
  </conditionalFormatting>
  <conditionalFormatting sqref="AI23">
    <cfRule type="expression" priority="130" dxfId="3">
      <formula>AND(IF(OR($Q23=1,$Q23=2),1,0),IF($X23&lt;=20,1,0))</formula>
    </cfRule>
    <cfRule type="expression" priority="131" dxfId="2">
      <formula>AND(IF($Q23=2,1,0),IF($X23&lt;30,1,0))</formula>
    </cfRule>
    <cfRule type="expression" priority="132" dxfId="1">
      <formula>AND(IF($Q23=3,1,0),IF($X23&lt;30,1,0))</formula>
    </cfRule>
    <cfRule type="expression" priority="133" dxfId="0">
      <formula>AND(IF($Q23=3,1,IF($Q23=4,1,0)),IF($F23&lt;=85,1,0))</formula>
    </cfRule>
  </conditionalFormatting>
  <conditionalFormatting sqref="AV24">
    <cfRule type="expression" priority="128" dxfId="23">
      <formula>AV24="X"</formula>
    </cfRule>
    <cfRule type="expression" priority="129" dxfId="22">
      <formula>AV24="후보"</formula>
    </cfRule>
  </conditionalFormatting>
  <conditionalFormatting sqref="AC24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2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24">
    <cfRule type="expression" priority="119" dxfId="3">
      <formula>AND(IF(OR($Q24=1,$Q24=2),1,0),IF($X24&lt;=20,1,0))</formula>
    </cfRule>
    <cfRule type="expression" priority="120" dxfId="2">
      <formula>AND(IF($Q24=2,1,0),IF($X24&lt;30,1,0))</formula>
    </cfRule>
    <cfRule type="expression" priority="121" dxfId="1">
      <formula>AND(IF($Q24=3,1,0),IF($X24&lt;30,1,0))</formula>
    </cfRule>
    <cfRule type="expression" priority="122" dxfId="0">
      <formula>AND(IF($Q24=3,1,IF($Q24=4,1,0)),IF($F24&lt;=85,1,0))</formula>
    </cfRule>
  </conditionalFormatting>
  <conditionalFormatting sqref="X24">
    <cfRule type="expression" priority="115" dxfId="3">
      <formula>AND(IF(OR($Q24=1,$Q24=2),1,0),IF($X24&lt;=20,1,0))</formula>
    </cfRule>
    <cfRule type="expression" priority="116" dxfId="2">
      <formula>AND(IF($Q24=2,1,0),IF($X24&lt;30,1,0))</formula>
    </cfRule>
    <cfRule type="expression" priority="117" dxfId="1">
      <formula>AND(IF($Q24=3,1,0),IF($X24&lt;30,1,0))</formula>
    </cfRule>
    <cfRule type="expression" priority="118" dxfId="0">
      <formula>AND(IF($Q24=3,1,IF($Q24=4,1,0)),IF($F24&lt;=85,1,0))</formula>
    </cfRule>
  </conditionalFormatting>
  <conditionalFormatting sqref="AI24">
    <cfRule type="expression" priority="111" dxfId="3">
      <formula>AND(IF(OR($Q24=1,$Q24=2),1,0),IF($X24&lt;=20,1,0))</formula>
    </cfRule>
    <cfRule type="expression" priority="112" dxfId="2">
      <formula>AND(IF($Q24=2,1,0),IF($X24&lt;30,1,0))</formula>
    </cfRule>
    <cfRule type="expression" priority="113" dxfId="1">
      <formula>AND(IF($Q24=3,1,0),IF($X24&lt;30,1,0))</formula>
    </cfRule>
    <cfRule type="expression" priority="114" dxfId="0">
      <formula>AND(IF($Q24=3,1,IF($Q24=4,1,0)),IF($F24&lt;=85,1,0))</formula>
    </cfRule>
  </conditionalFormatting>
  <conditionalFormatting sqref="AV25">
    <cfRule type="expression" priority="109" dxfId="23">
      <formula>AV25="X"</formula>
    </cfRule>
    <cfRule type="expression" priority="110" dxfId="22">
      <formula>AV25="후보"</formula>
    </cfRule>
  </conditionalFormatting>
  <conditionalFormatting sqref="AC25 N25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26">
    <cfRule type="expression" priority="104" dxfId="23">
      <formula>AV26="X"</formula>
    </cfRule>
    <cfRule type="expression" priority="105" dxfId="22">
      <formula>AV26="후보"</formula>
    </cfRule>
  </conditionalFormatting>
  <conditionalFormatting sqref="AC2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6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6">
    <cfRule type="expression" priority="95" dxfId="3">
      <formula>AND(IF(OR($Q26=1,$Q26=2),1,0),IF($X26&lt;=20,1,0))</formula>
    </cfRule>
    <cfRule type="expression" priority="96" dxfId="2">
      <formula>AND(IF($Q26=2,1,0),IF($X26&lt;30,1,0))</formula>
    </cfRule>
    <cfRule type="expression" priority="97" dxfId="1">
      <formula>AND(IF($Q26=3,1,0),IF($X26&lt;30,1,0))</formula>
    </cfRule>
    <cfRule type="expression" priority="98" dxfId="0">
      <formula>AND(IF($Q26=3,1,IF($Q26=4,1,0)),IF($F26&lt;=85,1,0))</formula>
    </cfRule>
  </conditionalFormatting>
  <conditionalFormatting sqref="X26">
    <cfRule type="expression" priority="91" dxfId="3">
      <formula>AND(IF(OR($Q26=1,$Q26=2),1,0),IF($X26&lt;=20,1,0))</formula>
    </cfRule>
    <cfRule type="expression" priority="92" dxfId="2">
      <formula>AND(IF($Q26=2,1,0),IF($X26&lt;30,1,0))</formula>
    </cfRule>
    <cfRule type="expression" priority="93" dxfId="1">
      <formula>AND(IF($Q26=3,1,0),IF($X26&lt;30,1,0))</formula>
    </cfRule>
    <cfRule type="expression" priority="94" dxfId="0">
      <formula>AND(IF($Q26=3,1,IF($Q26=4,1,0)),IF($F26&lt;=85,1,0))</formula>
    </cfRule>
  </conditionalFormatting>
  <conditionalFormatting sqref="AI26">
    <cfRule type="expression" priority="87" dxfId="3">
      <formula>AND(IF(OR($Q26=1,$Q26=2),1,0),IF($X26&lt;=20,1,0))</formula>
    </cfRule>
    <cfRule type="expression" priority="88" dxfId="2">
      <formula>AND(IF($Q26=2,1,0),IF($X26&lt;30,1,0))</formula>
    </cfRule>
    <cfRule type="expression" priority="89" dxfId="1">
      <formula>AND(IF($Q26=3,1,0),IF($X26&lt;30,1,0))</formula>
    </cfRule>
    <cfRule type="expression" priority="90" dxfId="0">
      <formula>AND(IF($Q26=3,1,IF($Q26=4,1,0)),IF($F26&lt;=85,1,0))</formula>
    </cfRule>
  </conditionalFormatting>
  <conditionalFormatting sqref="AV27">
    <cfRule type="expression" priority="85" dxfId="23">
      <formula>AV27="X"</formula>
    </cfRule>
    <cfRule type="expression" priority="86" dxfId="22">
      <formula>AV27="후보"</formula>
    </cfRule>
  </conditionalFormatting>
  <conditionalFormatting sqref="AC27 N27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8">
    <cfRule type="expression" priority="80" dxfId="23">
      <formula>AV28="X"</formula>
    </cfRule>
    <cfRule type="expression" priority="81" dxfId="22">
      <formula>AV28="후보"</formula>
    </cfRule>
  </conditionalFormatting>
  <conditionalFormatting sqref="AC2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8">
    <cfRule type="expression" priority="71" dxfId="3">
      <formula>AND(IF(OR($Q28=1,$Q28=2),1,0),IF($X28&lt;=20,1,0))</formula>
    </cfRule>
    <cfRule type="expression" priority="72" dxfId="2">
      <formula>AND(IF($Q28=2,1,0),IF($X28&lt;30,1,0))</formula>
    </cfRule>
    <cfRule type="expression" priority="73" dxfId="1">
      <formula>AND(IF($Q28=3,1,0),IF($X28&lt;30,1,0))</formula>
    </cfRule>
    <cfRule type="expression" priority="74" dxfId="0">
      <formula>AND(IF($Q28=3,1,IF($Q28=4,1,0)),IF($F28&lt;=85,1,0))</formula>
    </cfRule>
  </conditionalFormatting>
  <conditionalFormatting sqref="X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AI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V29">
    <cfRule type="expression" priority="61" dxfId="23">
      <formula>AV29="X"</formula>
    </cfRule>
    <cfRule type="expression" priority="62" dxfId="22">
      <formula>AV29="후보"</formula>
    </cfRule>
  </conditionalFormatting>
  <conditionalFormatting sqref="AC2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9">
    <cfRule type="expression" priority="52" dxfId="3">
      <formula>AND(IF(OR($Q29=1,$Q29=2),1,0),IF($X29&lt;=20,1,0))</formula>
    </cfRule>
    <cfRule type="expression" priority="53" dxfId="2">
      <formula>AND(IF($Q29=2,1,0),IF($X29&lt;30,1,0))</formula>
    </cfRule>
    <cfRule type="expression" priority="54" dxfId="1">
      <formula>AND(IF($Q29=3,1,0),IF($X29&lt;30,1,0))</formula>
    </cfRule>
    <cfRule type="expression" priority="55" dxfId="0">
      <formula>AND(IF($Q29=3,1,IF($Q29=4,1,0)),IF($F29&lt;=85,1,0))</formula>
    </cfRule>
  </conditionalFormatting>
  <conditionalFormatting sqref="X29">
    <cfRule type="expression" priority="48" dxfId="3">
      <formula>AND(IF(OR($Q29=1,$Q29=2),1,0),IF($X29&lt;=20,1,0))</formula>
    </cfRule>
    <cfRule type="expression" priority="49" dxfId="2">
      <formula>AND(IF($Q29=2,1,0),IF($X29&lt;30,1,0))</formula>
    </cfRule>
    <cfRule type="expression" priority="50" dxfId="1">
      <formula>AND(IF($Q29=3,1,0),IF($X29&lt;30,1,0))</formula>
    </cfRule>
    <cfRule type="expression" priority="51" dxfId="0">
      <formula>AND(IF($Q29=3,1,IF($Q29=4,1,0)),IF($F29&lt;=85,1,0))</formula>
    </cfRule>
  </conditionalFormatting>
  <conditionalFormatting sqref="AI29">
    <cfRule type="expression" priority="44" dxfId="3">
      <formula>AND(IF(OR($Q29=1,$Q29=2),1,0),IF($X29&lt;=20,1,0))</formula>
    </cfRule>
    <cfRule type="expression" priority="45" dxfId="2">
      <formula>AND(IF($Q29=2,1,0),IF($X29&lt;30,1,0))</formula>
    </cfRule>
    <cfRule type="expression" priority="46" dxfId="1">
      <formula>AND(IF($Q29=3,1,0),IF($X29&lt;30,1,0))</formula>
    </cfRule>
    <cfRule type="expression" priority="47" dxfId="0">
      <formula>AND(IF($Q29=3,1,IF($Q29=4,1,0)),IF($F29&lt;=85,1,0))</formula>
    </cfRule>
  </conditionalFormatting>
  <conditionalFormatting sqref="AV30">
    <cfRule type="expression" priority="42" dxfId="23">
      <formula>AV30="X"</formula>
    </cfRule>
    <cfRule type="expression" priority="43" dxfId="22">
      <formula>AV30="후보"</formula>
    </cfRule>
  </conditionalFormatting>
  <conditionalFormatting sqref="AC30 N3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1">
    <cfRule type="expression" priority="37" dxfId="23">
      <formula>AV31="X"</formula>
    </cfRule>
    <cfRule type="expression" priority="38" dxfId="22">
      <formula>AV31="후보"</formula>
    </cfRule>
  </conditionalFormatting>
  <conditionalFormatting sqref="AC3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23">
      <formula>AV32="X"</formula>
    </cfRule>
    <cfRule type="expression" priority="19" dxfId="22">
      <formula>AV32="후보"</formula>
    </cfRule>
  </conditionalFormatting>
  <conditionalFormatting sqref="AC3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남문동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진해남문리젠시빌란트더웰</t>
        </is>
      </c>
      <c r="B6" s="10" t="inlineStr">
        <is>
          <t>'24.03.</t>
        </is>
      </c>
      <c r="C6" s="134" t="n">
        <v>458</v>
      </c>
      <c r="D6" s="132" t="n">
        <v>100.4</v>
      </c>
      <c r="E6" s="133" t="n">
        <v>30</v>
      </c>
      <c r="F6" s="132" t="n">
        <v>74.40000000000001</v>
      </c>
      <c r="G6" s="17" t="n">
        <v>23</v>
      </c>
      <c r="H6" s="134" t="n">
        <v>120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100A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진해남문리젠시빌란트더웰</t>
        </is>
      </c>
      <c r="B7" s="10" t="inlineStr">
        <is>
          <t>'24.03.</t>
        </is>
      </c>
      <c r="C7" s="134" t="n">
        <v>458</v>
      </c>
      <c r="D7" s="132" t="n">
        <v>101.4</v>
      </c>
      <c r="E7" s="133" t="n">
        <v>31</v>
      </c>
      <c r="F7" s="132" t="n">
        <v>74.90000000000001</v>
      </c>
      <c r="G7" s="17" t="n">
        <v>23</v>
      </c>
      <c r="H7" s="134" t="n">
        <v>24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101B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진해남문리젠시빌란트더웰</t>
        </is>
      </c>
      <c r="B8" s="10" t="inlineStr">
        <is>
          <t>'24.03.</t>
        </is>
      </c>
      <c r="C8" s="134" t="n">
        <v>458</v>
      </c>
      <c r="D8" s="132" t="n">
        <v>112.9</v>
      </c>
      <c r="E8" s="133" t="n">
        <v>34</v>
      </c>
      <c r="F8" s="132" t="n">
        <v>84.90000000000001</v>
      </c>
      <c r="G8" s="17" t="n">
        <v>26</v>
      </c>
      <c r="H8" s="134" t="n">
        <v>314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112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진해남문하우스디</t>
        </is>
      </c>
      <c r="B10" s="10" t="inlineStr">
        <is>
          <t>'19.01.</t>
        </is>
      </c>
      <c r="C10" s="134" t="n">
        <v>299</v>
      </c>
      <c r="D10" s="132" t="n">
        <v>95.2</v>
      </c>
      <c r="E10" s="133" t="n">
        <v>29</v>
      </c>
      <c r="F10" s="132" t="n">
        <v>73</v>
      </c>
      <c r="G10" s="17" t="n">
        <v>22</v>
      </c>
      <c r="H10" s="134" t="n">
        <v>40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95A-1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진해남문하우스디</t>
        </is>
      </c>
      <c r="B11" s="10" t="inlineStr">
        <is>
          <t>'19.01.</t>
        </is>
      </c>
      <c r="C11" s="134" t="n">
        <v>299</v>
      </c>
      <c r="D11" s="132" t="n">
        <v>95.2</v>
      </c>
      <c r="E11" s="133" t="n">
        <v>29</v>
      </c>
      <c r="F11" s="132" t="n">
        <v>73</v>
      </c>
      <c r="G11" s="17" t="n">
        <v>22</v>
      </c>
      <c r="H11" s="134" t="n">
        <v>31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95A-2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진해남문하우스디</t>
        </is>
      </c>
      <c r="B12" s="10" t="inlineStr">
        <is>
          <t>'19.01.</t>
        </is>
      </c>
      <c r="C12" s="134" t="n">
        <v>299</v>
      </c>
      <c r="D12" s="132" t="n">
        <v>110</v>
      </c>
      <c r="E12" s="133" t="n">
        <v>33</v>
      </c>
      <c r="F12" s="132" t="n">
        <v>84.90000000000001</v>
      </c>
      <c r="G12" s="17" t="n">
        <v>26</v>
      </c>
      <c r="H12" s="134" t="n">
        <v>96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110B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진해남문하우스디</t>
        </is>
      </c>
      <c r="B13" s="10" t="inlineStr">
        <is>
          <t>'19.01.</t>
        </is>
      </c>
      <c r="C13" s="134" t="n">
        <v>299</v>
      </c>
      <c r="D13" s="132" t="n">
        <v>110.2</v>
      </c>
      <c r="E13" s="133" t="n">
        <v>33</v>
      </c>
      <c r="F13" s="132" t="n">
        <v>84.90000000000001</v>
      </c>
      <c r="G13" s="17" t="n">
        <v>26</v>
      </c>
      <c r="H13" s="134" t="n">
        <v>48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110A-2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진해남문하우스디</t>
        </is>
      </c>
      <c r="B14" s="10" t="inlineStr">
        <is>
          <t>'19.01.</t>
        </is>
      </c>
      <c r="C14" s="134" t="n">
        <v>299</v>
      </c>
      <c r="D14" s="132" t="n">
        <v>110.2</v>
      </c>
      <c r="E14" s="133" t="n">
        <v>33</v>
      </c>
      <c r="F14" s="132" t="n">
        <v>84.90000000000001</v>
      </c>
      <c r="G14" s="17" t="n">
        <v>26</v>
      </c>
      <c r="H14" s="134" t="n">
        <v>42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110A-1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3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진해남문하우스디</t>
        </is>
      </c>
      <c r="B15" s="10" t="inlineStr">
        <is>
          <t>'19.01.</t>
        </is>
      </c>
      <c r="C15" s="134" t="n">
        <v>299</v>
      </c>
      <c r="D15" s="132" t="n">
        <v>110.9</v>
      </c>
      <c r="E15" s="133" t="n">
        <v>34</v>
      </c>
      <c r="F15" s="132" t="n">
        <v>84.90000000000001</v>
      </c>
      <c r="G15" s="17" t="n">
        <v>26</v>
      </c>
      <c r="H15" s="134" t="n">
        <v>42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110C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3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2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7" t="n"/>
      <c r="P16" s="137" t="n"/>
      <c r="Q16" s="133" t="n"/>
      <c r="R16" s="133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7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남문호반베르디움</t>
        </is>
      </c>
      <c r="B17" s="10" t="inlineStr">
        <is>
          <t>'18.06.</t>
        </is>
      </c>
      <c r="C17" s="134" t="n">
        <v>944</v>
      </c>
      <c r="D17" s="132" t="n">
        <v>97.2</v>
      </c>
      <c r="E17" s="133" t="n">
        <v>29</v>
      </c>
      <c r="F17" s="132" t="n">
        <v>72</v>
      </c>
      <c r="G17" s="17" t="n">
        <v>22</v>
      </c>
      <c r="H17" s="134" t="n">
        <v>371</v>
      </c>
      <c r="I17" s="135" t="n">
        <v>27000</v>
      </c>
      <c r="J17" s="135" t="inlineStr">
        <is>
          <t>16</t>
        </is>
      </c>
      <c r="K17" s="135" t="n">
        <v>20000</v>
      </c>
      <c r="L17" s="135" t="inlineStr">
        <is>
          <t>10</t>
        </is>
      </c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97A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3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남문호반베르디움</t>
        </is>
      </c>
      <c r="B18" s="10" t="inlineStr">
        <is>
          <t>'18.06.</t>
        </is>
      </c>
      <c r="C18" s="134" t="n">
        <v>944</v>
      </c>
      <c r="D18" s="132" t="n">
        <v>97.3</v>
      </c>
      <c r="E18" s="133" t="n">
        <v>29</v>
      </c>
      <c r="F18" s="132" t="n">
        <v>72</v>
      </c>
      <c r="G18" s="17" t="n">
        <v>22</v>
      </c>
      <c r="H18" s="134" t="n">
        <v>125</v>
      </c>
      <c r="I18" s="135" t="n">
        <v>26800</v>
      </c>
      <c r="J18" s="135" t="inlineStr">
        <is>
          <t>5</t>
        </is>
      </c>
      <c r="K18" s="135" t="n">
        <v>20000</v>
      </c>
      <c r="L18" s="135" t="inlineStr">
        <is>
          <t>11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97B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3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남문호반베르디움</t>
        </is>
      </c>
      <c r="B19" s="10" t="inlineStr">
        <is>
          <t>'18.06.</t>
        </is>
      </c>
      <c r="C19" s="134" t="n">
        <v>944</v>
      </c>
      <c r="D19" s="132" t="n">
        <v>110.2</v>
      </c>
      <c r="E19" s="133" t="n">
        <v>33</v>
      </c>
      <c r="F19" s="132" t="n">
        <v>85</v>
      </c>
      <c r="G19" s="17" t="n">
        <v>26</v>
      </c>
      <c r="H19" s="134" t="n">
        <v>448</v>
      </c>
      <c r="I19" s="135" t="n">
        <v>32000</v>
      </c>
      <c r="J19" s="135" t="inlineStr">
        <is>
          <t>18</t>
        </is>
      </c>
      <c r="K19" s="135" t="n">
        <v>23000</v>
      </c>
      <c r="L19" s="135" t="inlineStr">
        <is>
          <t>20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110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3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2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7" t="n"/>
      <c r="P20" s="137" t="n"/>
      <c r="Q20" s="133" t="n"/>
      <c r="R20" s="133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7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진해남문시티프라디움2차</t>
        </is>
      </c>
      <c r="B21" s="10" t="inlineStr">
        <is>
          <t>'17.12.</t>
        </is>
      </c>
      <c r="C21" s="134" t="n">
        <v>876</v>
      </c>
      <c r="D21" s="132" t="n">
        <v>96.5</v>
      </c>
      <c r="E21" s="133" t="n">
        <v>29</v>
      </c>
      <c r="F21" s="132" t="n">
        <v>74.09999999999999</v>
      </c>
      <c r="G21" s="17" t="n">
        <v>22</v>
      </c>
      <c r="H21" s="134" t="n">
        <v>115</v>
      </c>
      <c r="I21" s="135" t="n">
        <v>27000</v>
      </c>
      <c r="J21" s="135" t="inlineStr">
        <is>
          <t>중</t>
        </is>
      </c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96C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진해남문시티프라디움2차</t>
        </is>
      </c>
      <c r="B22" s="10" t="inlineStr">
        <is>
          <t>'17.12.</t>
        </is>
      </c>
      <c r="C22" s="134" t="n">
        <v>876</v>
      </c>
      <c r="D22" s="132" t="n">
        <v>96.5</v>
      </c>
      <c r="E22" s="133" t="n">
        <v>29</v>
      </c>
      <c r="F22" s="132" t="n">
        <v>74.3</v>
      </c>
      <c r="G22" s="17" t="n">
        <v>22</v>
      </c>
      <c r="H22" s="134" t="n">
        <v>113</v>
      </c>
      <c r="I22" s="135" t="n">
        <v>28000</v>
      </c>
      <c r="J22" s="135" t="inlineStr">
        <is>
          <t>22</t>
        </is>
      </c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96A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3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진해남문시티프라디움2차</t>
        </is>
      </c>
      <c r="B23" s="10" t="inlineStr">
        <is>
          <t>'17.12.</t>
        </is>
      </c>
      <c r="C23" s="134" t="n">
        <v>876</v>
      </c>
      <c r="D23" s="132" t="n">
        <v>96.90000000000001</v>
      </c>
      <c r="E23" s="133" t="n">
        <v>29</v>
      </c>
      <c r="F23" s="132" t="n">
        <v>74.5</v>
      </c>
      <c r="G23" s="17" t="n">
        <v>23</v>
      </c>
      <c r="H23" s="134" t="n">
        <v>64</v>
      </c>
      <c r="I23" s="135" t="n"/>
      <c r="J23" s="135" t="n"/>
      <c r="K23" s="135" t="n">
        <v>21000</v>
      </c>
      <c r="L23" s="135" t="inlineStr">
        <is>
          <t>고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96B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3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진해남문시티프라디움2차</t>
        </is>
      </c>
      <c r="B24" s="10" t="inlineStr">
        <is>
          <t>'17.12.</t>
        </is>
      </c>
      <c r="C24" s="134" t="n">
        <v>876</v>
      </c>
      <c r="D24" s="132" t="n">
        <v>109.3</v>
      </c>
      <c r="E24" s="133" t="n">
        <v>33</v>
      </c>
      <c r="F24" s="132" t="n">
        <v>85</v>
      </c>
      <c r="G24" s="17" t="n">
        <v>26</v>
      </c>
      <c r="H24" s="134" t="n">
        <v>584</v>
      </c>
      <c r="I24" s="135" t="n">
        <v>30000</v>
      </c>
      <c r="J24" s="135" t="inlineStr">
        <is>
          <t>10</t>
        </is>
      </c>
      <c r="K24" s="135" t="n">
        <v>22000</v>
      </c>
      <c r="L24" s="135" t="inlineStr">
        <is>
          <t>11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109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3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2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7" t="n"/>
      <c r="P25" s="137" t="n"/>
      <c r="Q25" s="133" t="n"/>
      <c r="R25" s="133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7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시티프라디움1차</t>
        </is>
      </c>
      <c r="B26" s="10" t="inlineStr">
        <is>
          <t>'17.04.</t>
        </is>
      </c>
      <c r="C26" s="134" t="n">
        <v>1103</v>
      </c>
      <c r="D26" s="132" t="n">
        <v>83.90000000000001</v>
      </c>
      <c r="E26" s="133" t="n">
        <v>25</v>
      </c>
      <c r="F26" s="132" t="n">
        <v>60</v>
      </c>
      <c r="G26" s="17" t="n">
        <v>18</v>
      </c>
      <c r="H26" s="134" t="n">
        <v>430</v>
      </c>
      <c r="I26" s="135" t="n">
        <v>20400</v>
      </c>
      <c r="J26" s="135" t="inlineStr">
        <is>
          <t>11</t>
        </is>
      </c>
      <c r="K26" s="135" t="n">
        <v>17000</v>
      </c>
      <c r="L26" s="135" t="inlineStr">
        <is>
          <t>중</t>
        </is>
      </c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83A</t>
        </is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3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시티프라디움1차</t>
        </is>
      </c>
      <c r="B27" s="10" t="inlineStr">
        <is>
          <t>'17.04.</t>
        </is>
      </c>
      <c r="C27" s="134" t="n">
        <v>1103</v>
      </c>
      <c r="D27" s="132" t="n">
        <v>83.3</v>
      </c>
      <c r="E27" s="133" t="n">
        <v>25</v>
      </c>
      <c r="F27" s="132" t="n">
        <v>60</v>
      </c>
      <c r="G27" s="17" t="n">
        <v>18</v>
      </c>
      <c r="H27" s="134" t="n">
        <v>374</v>
      </c>
      <c r="I27" s="135" t="n">
        <v>21000</v>
      </c>
      <c r="J27" s="135" t="inlineStr">
        <is>
          <t>12</t>
        </is>
      </c>
      <c r="K27" s="135" t="n">
        <v>19000</v>
      </c>
      <c r="L27" s="135" t="inlineStr">
        <is>
          <t>25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83B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3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시티프라디움1차</t>
        </is>
      </c>
      <c r="B28" s="10" t="inlineStr">
        <is>
          <t>'17.04.</t>
        </is>
      </c>
      <c r="C28" s="134" t="n">
        <v>1103</v>
      </c>
      <c r="D28" s="132" t="n">
        <v>83.8</v>
      </c>
      <c r="E28" s="133" t="n">
        <v>25</v>
      </c>
      <c r="F28" s="132" t="n">
        <v>60</v>
      </c>
      <c r="G28" s="17" t="n">
        <v>18</v>
      </c>
      <c r="H28" s="134" t="n">
        <v>299</v>
      </c>
      <c r="I28" s="135" t="n">
        <v>20000</v>
      </c>
      <c r="J28" s="135" t="inlineStr">
        <is>
          <t>고</t>
        </is>
      </c>
      <c r="K28" s="135" t="n">
        <v>18000</v>
      </c>
      <c r="L28" s="135" t="inlineStr">
        <is>
          <t>24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83C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3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23">
      <formula>AV4="X"</formula>
    </cfRule>
    <cfRule type="expression" priority="383" dxfId="22">
      <formula>AV4="후보"</formula>
    </cfRule>
  </conditionalFormatting>
  <conditionalFormatting sqref="AC1:AC2 AC4:AC6 N4:N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N1:N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23">
      <formula>AV7="X"</formula>
    </cfRule>
    <cfRule type="expression" priority="362" dxfId="22">
      <formula>AV7="후보"</formula>
    </cfRule>
  </conditionalFormatting>
  <conditionalFormatting sqref="AC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23">
      <formula>AV8="X"</formula>
    </cfRule>
    <cfRule type="expression" priority="343" dxfId="22">
      <formula>AV8="후보"</formula>
    </cfRule>
  </conditionalFormatting>
  <conditionalFormatting sqref="AC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23">
      <formula>AV9="X"</formula>
    </cfRule>
    <cfRule type="expression" priority="324" dxfId="22">
      <formula>AV9="후보"</formula>
    </cfRule>
  </conditionalFormatting>
  <conditionalFormatting sqref="AC9 N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0">
    <cfRule type="expression" priority="318" dxfId="23">
      <formula>AV10="X"</formula>
    </cfRule>
    <cfRule type="expression" priority="319" dxfId="22">
      <formula>AV10="후보"</formula>
    </cfRule>
  </conditionalFormatting>
  <conditionalFormatting sqref="AC1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">
    <cfRule type="expression" priority="309" dxfId="3">
      <formula>AND(IF(OR($Q10=1,$Q10=2),1,0),IF($X10&lt;=20,1,0))</formula>
    </cfRule>
    <cfRule type="expression" priority="310" dxfId="2">
      <formula>AND(IF($Q10=2,1,0),IF($X10&lt;30,1,0))</formula>
    </cfRule>
    <cfRule type="expression" priority="311" dxfId="1">
      <formula>AND(IF($Q10=3,1,0),IF($X10&lt;30,1,0))</formula>
    </cfRule>
    <cfRule type="expression" priority="312" dxfId="0">
      <formula>AND(IF($Q10=3,1,IF($Q10=4,1,0)),IF($F10&lt;=85,1,0))</formula>
    </cfRule>
  </conditionalFormatting>
  <conditionalFormatting sqref="X10">
    <cfRule type="expression" priority="305" dxfId="3">
      <formula>AND(IF(OR($Q10=1,$Q10=2),1,0),IF($X10&lt;=20,1,0))</formula>
    </cfRule>
    <cfRule type="expression" priority="306" dxfId="2">
      <formula>AND(IF($Q10=2,1,0),IF($X10&lt;30,1,0))</formula>
    </cfRule>
    <cfRule type="expression" priority="307" dxfId="1">
      <formula>AND(IF($Q10=3,1,0),IF($X10&lt;30,1,0))</formula>
    </cfRule>
    <cfRule type="expression" priority="308" dxfId="0">
      <formula>AND(IF($Q10=3,1,IF($Q10=4,1,0)),IF($F10&lt;=85,1,0))</formula>
    </cfRule>
  </conditionalFormatting>
  <conditionalFormatting sqref="AI10">
    <cfRule type="expression" priority="301" dxfId="3">
      <formula>AND(IF(OR($Q10=1,$Q10=2),1,0),IF($X10&lt;=20,1,0))</formula>
    </cfRule>
    <cfRule type="expression" priority="302" dxfId="2">
      <formula>AND(IF($Q10=2,1,0),IF($X10&lt;30,1,0))</formula>
    </cfRule>
    <cfRule type="expression" priority="303" dxfId="1">
      <formula>AND(IF($Q10=3,1,0),IF($X10&lt;30,1,0))</formula>
    </cfRule>
    <cfRule type="expression" priority="304" dxfId="0">
      <formula>AND(IF($Q10=3,1,IF($Q10=4,1,0)),IF($F10&lt;=85,1,0))</formula>
    </cfRule>
  </conditionalFormatting>
  <conditionalFormatting sqref="AV11">
    <cfRule type="expression" priority="299" dxfId="23">
      <formula>AV11="X"</formula>
    </cfRule>
    <cfRule type="expression" priority="300" dxfId="22">
      <formula>AV11="후보"</formula>
    </cfRule>
  </conditionalFormatting>
  <conditionalFormatting sqref="AC1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23">
      <formula>AV12="X"</formula>
    </cfRule>
    <cfRule type="expression" priority="281" dxfId="22">
      <formula>AV12="후보"</formula>
    </cfRule>
  </conditionalFormatting>
  <conditionalFormatting sqref="AC1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23">
      <formula>AV13="X"</formula>
    </cfRule>
    <cfRule type="expression" priority="262" dxfId="22">
      <formula>AV13="후보"</formula>
    </cfRule>
  </conditionalFormatting>
  <conditionalFormatting sqref="AC1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">
    <cfRule type="expression" priority="252" dxfId="3">
      <formula>AND(IF(OR($Q13=1,$Q13=2),1,0),IF($X13&lt;=20,1,0))</formula>
    </cfRule>
    <cfRule type="expression" priority="253" dxfId="2">
      <formula>AND(IF($Q13=2,1,0),IF($X13&lt;30,1,0))</formula>
    </cfRule>
    <cfRule type="expression" priority="254" dxfId="1">
      <formula>AND(IF($Q13=3,1,0),IF($X13&lt;30,1,0))</formula>
    </cfRule>
    <cfRule type="expression" priority="255" dxfId="0">
      <formula>AND(IF($Q13=3,1,IF($Q13=4,1,0)),IF($F13&lt;=85,1,0))</formula>
    </cfRule>
  </conditionalFormatting>
  <conditionalFormatting sqref="X13">
    <cfRule type="expression" priority="248" dxfId="3">
      <formula>AND(IF(OR($Q13=1,$Q13=2),1,0),IF($X13&lt;=20,1,0))</formula>
    </cfRule>
    <cfRule type="expression" priority="249" dxfId="2">
      <formula>AND(IF($Q13=2,1,0),IF($X13&lt;30,1,0))</formula>
    </cfRule>
    <cfRule type="expression" priority="250" dxfId="1">
      <formula>AND(IF($Q13=3,1,0),IF($X13&lt;30,1,0))</formula>
    </cfRule>
    <cfRule type="expression" priority="251" dxfId="0">
      <formula>AND(IF($Q13=3,1,IF($Q13=4,1,0)),IF($F13&lt;=85,1,0))</formula>
    </cfRule>
  </conditionalFormatting>
  <conditionalFormatting sqref="AI13">
    <cfRule type="expression" priority="244" dxfId="3">
      <formula>AND(IF(OR($Q13=1,$Q13=2),1,0),IF($X13&lt;=20,1,0))</formula>
    </cfRule>
    <cfRule type="expression" priority="245" dxfId="2">
      <formula>AND(IF($Q13=2,1,0),IF($X13&lt;30,1,0))</formula>
    </cfRule>
    <cfRule type="expression" priority="246" dxfId="1">
      <formula>AND(IF($Q13=3,1,0),IF($X13&lt;30,1,0))</formula>
    </cfRule>
    <cfRule type="expression" priority="247" dxfId="0">
      <formula>AND(IF($Q13=3,1,IF($Q13=4,1,0)),IF($F13&lt;=85,1,0))</formula>
    </cfRule>
  </conditionalFormatting>
  <conditionalFormatting sqref="AV14">
    <cfRule type="expression" priority="242" dxfId="23">
      <formula>AV14="X"</formula>
    </cfRule>
    <cfRule type="expression" priority="243" dxfId="22">
      <formula>AV14="후보"</formula>
    </cfRule>
  </conditionalFormatting>
  <conditionalFormatting sqref="AC1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4">
    <cfRule type="expression" priority="233" dxfId="3">
      <formula>AND(IF(OR($Q14=1,$Q14=2),1,0),IF($X14&lt;=20,1,0))</formula>
    </cfRule>
    <cfRule type="expression" priority="234" dxfId="2">
      <formula>AND(IF($Q14=2,1,0),IF($X14&lt;30,1,0))</formula>
    </cfRule>
    <cfRule type="expression" priority="235" dxfId="1">
      <formula>AND(IF($Q14=3,1,0),IF($X14&lt;30,1,0))</formula>
    </cfRule>
    <cfRule type="expression" priority="236" dxfId="0">
      <formula>AND(IF($Q14=3,1,IF($Q14=4,1,0)),IF($F14&lt;=85,1,0))</formula>
    </cfRule>
  </conditionalFormatting>
  <conditionalFormatting sqref="X14">
    <cfRule type="expression" priority="229" dxfId="3">
      <formula>AND(IF(OR($Q14=1,$Q14=2),1,0),IF($X14&lt;=20,1,0))</formula>
    </cfRule>
    <cfRule type="expression" priority="230" dxfId="2">
      <formula>AND(IF($Q14=2,1,0),IF($X14&lt;30,1,0))</formula>
    </cfRule>
    <cfRule type="expression" priority="231" dxfId="1">
      <formula>AND(IF($Q14=3,1,0),IF($X14&lt;30,1,0))</formula>
    </cfRule>
    <cfRule type="expression" priority="232" dxfId="0">
      <formula>AND(IF($Q14=3,1,IF($Q14=4,1,0)),IF($F14&lt;=85,1,0))</formula>
    </cfRule>
  </conditionalFormatting>
  <conditionalFormatting sqref="AI14">
    <cfRule type="expression" priority="225" dxfId="3">
      <formula>AND(IF(OR($Q14=1,$Q14=2),1,0),IF($X14&lt;=20,1,0))</formula>
    </cfRule>
    <cfRule type="expression" priority="226" dxfId="2">
      <formula>AND(IF($Q14=2,1,0),IF($X14&lt;30,1,0))</formula>
    </cfRule>
    <cfRule type="expression" priority="227" dxfId="1">
      <formula>AND(IF($Q14=3,1,0),IF($X14&lt;30,1,0))</formula>
    </cfRule>
    <cfRule type="expression" priority="228" dxfId="0">
      <formula>AND(IF($Q14=3,1,IF($Q14=4,1,0)),IF($F14&lt;=85,1,0))</formula>
    </cfRule>
  </conditionalFormatting>
  <conditionalFormatting sqref="AV15">
    <cfRule type="expression" priority="223" dxfId="23">
      <formula>AV15="X"</formula>
    </cfRule>
    <cfRule type="expression" priority="224" dxfId="22">
      <formula>AV15="후보"</formula>
    </cfRule>
  </conditionalFormatting>
  <conditionalFormatting sqref="AC1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5">
    <cfRule type="expression" priority="214" dxfId="3">
      <formula>AND(IF(OR($Q15=1,$Q15=2),1,0),IF($X15&lt;=20,1,0))</formula>
    </cfRule>
    <cfRule type="expression" priority="215" dxfId="2">
      <formula>AND(IF($Q15=2,1,0),IF($X15&lt;30,1,0))</formula>
    </cfRule>
    <cfRule type="expression" priority="216" dxfId="1">
      <formula>AND(IF($Q15=3,1,0),IF($X15&lt;30,1,0))</formula>
    </cfRule>
    <cfRule type="expression" priority="217" dxfId="0">
      <formula>AND(IF($Q15=3,1,IF($Q15=4,1,0)),IF($F15&lt;=85,1,0))</formula>
    </cfRule>
  </conditionalFormatting>
  <conditionalFormatting sqref="X15">
    <cfRule type="expression" priority="210" dxfId="3">
      <formula>AND(IF(OR($Q15=1,$Q15=2),1,0),IF($X15&lt;=20,1,0))</formula>
    </cfRule>
    <cfRule type="expression" priority="211" dxfId="2">
      <formula>AND(IF($Q15=2,1,0),IF($X15&lt;30,1,0))</formula>
    </cfRule>
    <cfRule type="expression" priority="212" dxfId="1">
      <formula>AND(IF($Q15=3,1,0),IF($X15&lt;30,1,0))</formula>
    </cfRule>
    <cfRule type="expression" priority="213" dxfId="0">
      <formula>AND(IF($Q15=3,1,IF($Q15=4,1,0)),IF($F15&lt;=85,1,0))</formula>
    </cfRule>
  </conditionalFormatting>
  <conditionalFormatting sqref="AI15">
    <cfRule type="expression" priority="206" dxfId="3">
      <formula>AND(IF(OR($Q15=1,$Q15=2),1,0),IF($X15&lt;=20,1,0))</formula>
    </cfRule>
    <cfRule type="expression" priority="207" dxfId="2">
      <formula>AND(IF($Q15=2,1,0),IF($X15&lt;30,1,0))</formula>
    </cfRule>
    <cfRule type="expression" priority="208" dxfId="1">
      <formula>AND(IF($Q15=3,1,0),IF($X15&lt;30,1,0))</formula>
    </cfRule>
    <cfRule type="expression" priority="209" dxfId="0">
      <formula>AND(IF($Q15=3,1,IF($Q15=4,1,0)),IF($F15&lt;=85,1,0))</formula>
    </cfRule>
  </conditionalFormatting>
  <conditionalFormatting sqref="AV16">
    <cfRule type="expression" priority="204" dxfId="23">
      <formula>AV16="X"</formula>
    </cfRule>
    <cfRule type="expression" priority="205" dxfId="22">
      <formula>AV16="후보"</formula>
    </cfRule>
  </conditionalFormatting>
  <conditionalFormatting sqref="AC16 N1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7">
    <cfRule type="expression" priority="199" dxfId="23">
      <formula>AV17="X"</formula>
    </cfRule>
    <cfRule type="expression" priority="200" dxfId="22">
      <formula>AV17="후보"</formula>
    </cfRule>
  </conditionalFormatting>
  <conditionalFormatting sqref="AC1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8">
    <cfRule type="expression" priority="171" dxfId="3">
      <formula>AND(IF(OR($Q18=1,$Q18=2),1,0),IF($X18&lt;=20,1,0))</formula>
    </cfRule>
    <cfRule type="expression" priority="172" dxfId="2">
      <formula>AND(IF($Q18=2,1,0),IF($X18&lt;30,1,0))</formula>
    </cfRule>
    <cfRule type="expression" priority="173" dxfId="1">
      <formula>AND(IF($Q18=3,1,0),IF($X18&lt;30,1,0))</formula>
    </cfRule>
    <cfRule type="expression" priority="174" dxfId="0">
      <formula>AND(IF($Q18=3,1,IF($Q18=4,1,0)),IF($F18&lt;=85,1,0))</formula>
    </cfRule>
  </conditionalFormatting>
  <conditionalFormatting sqref="X18">
    <cfRule type="expression" priority="167" dxfId="3">
      <formula>AND(IF(OR($Q18=1,$Q18=2),1,0),IF($X18&lt;=20,1,0))</formula>
    </cfRule>
    <cfRule type="expression" priority="168" dxfId="2">
      <formula>AND(IF($Q18=2,1,0),IF($X18&lt;30,1,0))</formula>
    </cfRule>
    <cfRule type="expression" priority="169" dxfId="1">
      <formula>AND(IF($Q18=3,1,0),IF($X18&lt;30,1,0))</formula>
    </cfRule>
    <cfRule type="expression" priority="170" dxfId="0">
      <formula>AND(IF($Q18=3,1,IF($Q18=4,1,0)),IF($F18&lt;=85,1,0))</formula>
    </cfRule>
  </conditionalFormatting>
  <conditionalFormatting sqref="AI18">
    <cfRule type="expression" priority="163" dxfId="3">
      <formula>AND(IF(OR($Q18=1,$Q18=2),1,0),IF($X18&lt;=20,1,0))</formula>
    </cfRule>
    <cfRule type="expression" priority="164" dxfId="2">
      <formula>AND(IF($Q18=2,1,0),IF($X18&lt;30,1,0))</formula>
    </cfRule>
    <cfRule type="expression" priority="165" dxfId="1">
      <formula>AND(IF($Q18=3,1,0),IF($X18&lt;30,1,0))</formula>
    </cfRule>
    <cfRule type="expression" priority="166" dxfId="0">
      <formula>AND(IF($Q18=3,1,IF($Q18=4,1,0)),IF($F18&lt;=85,1,0))</formula>
    </cfRule>
  </conditionalFormatting>
  <conditionalFormatting sqref="AV19">
    <cfRule type="expression" priority="161" dxfId="23">
      <formula>AV19="X"</formula>
    </cfRule>
    <cfRule type="expression" priority="162" dxfId="22">
      <formula>AV19="후보"</formula>
    </cfRule>
  </conditionalFormatting>
  <conditionalFormatting sqref="AC1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9">
    <cfRule type="expression" priority="152" dxfId="3">
      <formula>AND(IF(OR($Q19=1,$Q19=2),1,0),IF($X19&lt;=20,1,0))</formula>
    </cfRule>
    <cfRule type="expression" priority="153" dxfId="2">
      <formula>AND(IF($Q19=2,1,0),IF($X19&lt;30,1,0))</formula>
    </cfRule>
    <cfRule type="expression" priority="154" dxfId="1">
      <formula>AND(IF($Q19=3,1,0),IF($X19&lt;30,1,0))</formula>
    </cfRule>
    <cfRule type="expression" priority="155" dxfId="0">
      <formula>AND(IF($Q19=3,1,IF($Q19=4,1,0)),IF($F19&lt;=85,1,0))</formula>
    </cfRule>
  </conditionalFormatting>
  <conditionalFormatting sqref="X19">
    <cfRule type="expression" priority="148" dxfId="3">
      <formula>AND(IF(OR($Q19=1,$Q19=2),1,0),IF($X19&lt;=20,1,0))</formula>
    </cfRule>
    <cfRule type="expression" priority="149" dxfId="2">
      <formula>AND(IF($Q19=2,1,0),IF($X19&lt;30,1,0))</formula>
    </cfRule>
    <cfRule type="expression" priority="150" dxfId="1">
      <formula>AND(IF($Q19=3,1,0),IF($X19&lt;30,1,0))</formula>
    </cfRule>
    <cfRule type="expression" priority="151" dxfId="0">
      <formula>AND(IF($Q19=3,1,IF($Q19=4,1,0)),IF($F19&lt;=85,1,0))</formula>
    </cfRule>
  </conditionalFormatting>
  <conditionalFormatting sqref="AI19">
    <cfRule type="expression" priority="144" dxfId="3">
      <formula>AND(IF(OR($Q19=1,$Q19=2),1,0),IF($X19&lt;=20,1,0))</formula>
    </cfRule>
    <cfRule type="expression" priority="145" dxfId="2">
      <formula>AND(IF($Q19=2,1,0),IF($X19&lt;30,1,0))</formula>
    </cfRule>
    <cfRule type="expression" priority="146" dxfId="1">
      <formula>AND(IF($Q19=3,1,0),IF($X19&lt;30,1,0))</formula>
    </cfRule>
    <cfRule type="expression" priority="147" dxfId="0">
      <formula>AND(IF($Q19=3,1,IF($Q19=4,1,0)),IF($F19&lt;=85,1,0))</formula>
    </cfRule>
  </conditionalFormatting>
  <conditionalFormatting sqref="AV20">
    <cfRule type="expression" priority="142" dxfId="23">
      <formula>AV20="X"</formula>
    </cfRule>
    <cfRule type="expression" priority="143" dxfId="22">
      <formula>AV20="후보"</formula>
    </cfRule>
  </conditionalFormatting>
  <conditionalFormatting sqref="AC20 N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23">
      <formula>AV23="X"</formula>
    </cfRule>
    <cfRule type="expression" priority="100" dxfId="22">
      <formula>AV23="후보"</formula>
    </cfRule>
  </conditionalFormatting>
  <conditionalFormatting sqref="AC2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23">
      <formula>AV24="X"</formula>
    </cfRule>
    <cfRule type="expression" priority="81" dxfId="22">
      <formula>AV24="후보"</formula>
    </cfRule>
  </conditionalFormatting>
  <conditionalFormatting sqref="AC2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4">
    <cfRule type="expression" priority="71" dxfId="3">
      <formula>AND(IF(OR($Q24=1,$Q24=2),1,0),IF($X24&lt;=20,1,0))</formula>
    </cfRule>
    <cfRule type="expression" priority="72" dxfId="2">
      <formula>AND(IF($Q24=2,1,0),IF($X24&lt;30,1,0))</formula>
    </cfRule>
    <cfRule type="expression" priority="73" dxfId="1">
      <formula>AND(IF($Q24=3,1,0),IF($X24&lt;30,1,0))</formula>
    </cfRule>
    <cfRule type="expression" priority="74" dxfId="0">
      <formula>AND(IF($Q24=3,1,IF($Q24=4,1,0)),IF($F24&lt;=85,1,0))</formula>
    </cfRule>
  </conditionalFormatting>
  <conditionalFormatting sqref="X24">
    <cfRule type="expression" priority="67" dxfId="3">
      <formula>AND(IF(OR($Q24=1,$Q24=2),1,0),IF($X24&lt;=20,1,0))</formula>
    </cfRule>
    <cfRule type="expression" priority="68" dxfId="2">
      <formula>AND(IF($Q24=2,1,0),IF($X24&lt;30,1,0))</formula>
    </cfRule>
    <cfRule type="expression" priority="69" dxfId="1">
      <formula>AND(IF($Q24=3,1,0),IF($X24&lt;30,1,0))</formula>
    </cfRule>
    <cfRule type="expression" priority="70" dxfId="0">
      <formula>AND(IF($Q24=3,1,IF($Q24=4,1,0)),IF($F24&lt;=85,1,0))</formula>
    </cfRule>
  </conditionalFormatting>
  <conditionalFormatting sqref="AI24">
    <cfRule type="expression" priority="63" dxfId="3">
      <formula>AND(IF(OR($Q24=1,$Q24=2),1,0),IF($X24&lt;=20,1,0))</formula>
    </cfRule>
    <cfRule type="expression" priority="64" dxfId="2">
      <formula>AND(IF($Q24=2,1,0),IF($X24&lt;30,1,0))</formula>
    </cfRule>
    <cfRule type="expression" priority="65" dxfId="1">
      <formula>AND(IF($Q24=3,1,0),IF($X24&lt;30,1,0))</formula>
    </cfRule>
    <cfRule type="expression" priority="66" dxfId="0">
      <formula>AND(IF($Q24=3,1,IF($Q24=4,1,0)),IF($F24&lt;=85,1,0))</formula>
    </cfRule>
  </conditionalFormatting>
  <conditionalFormatting sqref="AV25">
    <cfRule type="expression" priority="61" dxfId="23">
      <formula>AV25="X"</formula>
    </cfRule>
    <cfRule type="expression" priority="62" dxfId="22">
      <formula>AV25="후보"</formula>
    </cfRule>
  </conditionalFormatting>
  <conditionalFormatting sqref="AC25 N2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남양동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창원진해비전시티우방아이유쉘</t>
        </is>
      </c>
      <c r="B6" s="10" t="inlineStr">
        <is>
          <t>'21.08.</t>
        </is>
      </c>
      <c r="C6" s="134" t="n">
        <v>564</v>
      </c>
      <c r="D6" s="132" t="n">
        <v>101.8</v>
      </c>
      <c r="E6" s="133" t="n">
        <v>31</v>
      </c>
      <c r="F6" s="132" t="n">
        <v>76.59999999999999</v>
      </c>
      <c r="G6" s="17" t="n">
        <v>23</v>
      </c>
      <c r="H6" s="134" t="n">
        <v>564</v>
      </c>
      <c r="I6" s="135" t="n">
        <v>23250</v>
      </c>
      <c r="J6" s="135" t="inlineStr">
        <is>
          <t>중</t>
        </is>
      </c>
      <c r="K6" s="135" t="n">
        <v>17000</v>
      </c>
      <c r="L6" s="135" t="inlineStr">
        <is>
          <t>11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101A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7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남양에스티엑스칸</t>
        </is>
      </c>
      <c r="B8" s="10" t="inlineStr">
        <is>
          <t>'09.02.</t>
        </is>
      </c>
      <c r="C8" s="134" t="n">
        <v>385</v>
      </c>
      <c r="D8" s="132" t="n">
        <v>110.4</v>
      </c>
      <c r="E8" s="133" t="n">
        <v>33</v>
      </c>
      <c r="F8" s="132" t="n">
        <v>85</v>
      </c>
      <c r="G8" s="17" t="n">
        <v>26</v>
      </c>
      <c r="H8" s="134" t="n">
        <v>24</v>
      </c>
      <c r="I8" s="135" t="n">
        <v>18500</v>
      </c>
      <c r="J8" s="135" t="inlineStr">
        <is>
          <t>중</t>
        </is>
      </c>
      <c r="K8" s="135" t="n">
        <v>14000</v>
      </c>
      <c r="L8" s="135" t="inlineStr">
        <is>
          <t>중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110A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남양에스티엑스칸</t>
        </is>
      </c>
      <c r="B9" s="10" t="inlineStr">
        <is>
          <t>'09.02.</t>
        </is>
      </c>
      <c r="C9" s="134" t="n">
        <v>385</v>
      </c>
      <c r="D9" s="132" t="n">
        <v>110.7</v>
      </c>
      <c r="E9" s="133" t="n">
        <v>33</v>
      </c>
      <c r="F9" s="132" t="n">
        <v>85</v>
      </c>
      <c r="G9" s="17" t="n">
        <v>26</v>
      </c>
      <c r="H9" s="134" t="n">
        <v>13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110B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남양에스티엑스칸</t>
        </is>
      </c>
      <c r="B10" s="10" t="inlineStr">
        <is>
          <t>'09.02.</t>
        </is>
      </c>
      <c r="C10" s="134" t="n">
        <v>385</v>
      </c>
      <c r="D10" s="132" t="n">
        <v>111.4</v>
      </c>
      <c r="E10" s="133" t="n">
        <v>34</v>
      </c>
      <c r="F10" s="132" t="n">
        <v>85</v>
      </c>
      <c r="G10" s="17" t="n">
        <v>26</v>
      </c>
      <c r="H10" s="134" t="n">
        <v>347</v>
      </c>
      <c r="I10" s="135" t="n">
        <v>18300</v>
      </c>
      <c r="J10" s="135" t="inlineStr">
        <is>
          <t>고</t>
        </is>
      </c>
      <c r="K10" s="135" t="n">
        <v>14000</v>
      </c>
      <c r="L10" s="135" t="inlineStr">
        <is>
          <t>8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111A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남양에스티엑스칸</t>
        </is>
      </c>
      <c r="B11" s="10" t="inlineStr">
        <is>
          <t>'09.02.</t>
        </is>
      </c>
      <c r="C11" s="134" t="n">
        <v>385</v>
      </c>
      <c r="D11" s="132" t="n">
        <v>111.4</v>
      </c>
      <c r="E11" s="133" t="n">
        <v>34</v>
      </c>
      <c r="F11" s="132" t="n">
        <v>85</v>
      </c>
      <c r="G11" s="17" t="n">
        <v>26</v>
      </c>
      <c r="H11" s="134" t="n">
        <v>1</v>
      </c>
      <c r="I11" s="135" t="n">
        <v>18300</v>
      </c>
      <c r="J11" s="135" t="inlineStr">
        <is>
          <t>고</t>
        </is>
      </c>
      <c r="K11" s="135" t="n">
        <v>14000</v>
      </c>
      <c r="L11" s="135" t="inlineStr">
        <is>
          <t>8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111B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01" dxfId="23">
      <formula>AV4="X"</formula>
    </cfRule>
    <cfRule type="expression" priority="102" dxfId="22">
      <formula>AV4="후보"</formula>
    </cfRule>
  </conditionalFormatting>
  <conditionalFormatting sqref="AC1:AC2 AC4:AC6 N4:N5">
    <cfRule type="cellIs" priority="98" operator="greaterThan" dxfId="17">
      <formula>0.9</formula>
    </cfRule>
    <cfRule type="cellIs" priority="99" operator="greaterThan" dxfId="16">
      <formula>0.85</formula>
    </cfRule>
  </conditionalFormatting>
  <conditionalFormatting sqref="N1:N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">
    <cfRule type="expression" priority="90" dxfId="3">
      <formula>AND(IF(OR($Q6=1,$Q6=2),1,0),IF($X6&lt;=20,1,0))</formula>
    </cfRule>
    <cfRule type="expression" priority="91" dxfId="2">
      <formula>AND(IF($Q6=2,1,0),IF($X6&lt;30,1,0))</formula>
    </cfRule>
    <cfRule type="expression" priority="92" dxfId="1">
      <formula>AND(IF($Q6=3,1,0),IF($X6&lt;30,1,0))</formula>
    </cfRule>
    <cfRule type="expression" priority="93" dxfId="0">
      <formula>AND(IF($Q6=3,1,IF($Q6=4,1,0)),IF($F6&lt;=85,1,0))</formula>
    </cfRule>
  </conditionalFormatting>
  <conditionalFormatting sqref="X6">
    <cfRule type="expression" priority="86" dxfId="3">
      <formula>AND(IF(OR($Q6=1,$Q6=2),1,0),IF($X6&lt;=20,1,0))</formula>
    </cfRule>
    <cfRule type="expression" priority="87" dxfId="2">
      <formula>AND(IF($Q6=2,1,0),IF($X6&lt;30,1,0))</formula>
    </cfRule>
    <cfRule type="expression" priority="88" dxfId="1">
      <formula>AND(IF($Q6=3,1,0),IF($X6&lt;30,1,0))</formula>
    </cfRule>
    <cfRule type="expression" priority="89" dxfId="0">
      <formula>AND(IF($Q6=3,1,IF($Q6=4,1,0)),IF($F6&lt;=85,1,0))</formula>
    </cfRule>
  </conditionalFormatting>
  <conditionalFormatting sqref="AI6">
    <cfRule type="expression" priority="82" dxfId="3">
      <formula>AND(IF(OR($Q6=1,$Q6=2),1,0),IF($X6&lt;=20,1,0))</formula>
    </cfRule>
    <cfRule type="expression" priority="83" dxfId="2">
      <formula>AND(IF($Q6=2,1,0),IF($X6&lt;30,1,0))</formula>
    </cfRule>
    <cfRule type="expression" priority="84" dxfId="1">
      <formula>AND(IF($Q6=3,1,0),IF($X6&lt;30,1,0))</formula>
    </cfRule>
    <cfRule type="expression" priority="85" dxfId="0">
      <formula>AND(IF($Q6=3,1,IF($Q6=4,1,0)),IF($F6&lt;=85,1,0))</formula>
    </cfRule>
  </conditionalFormatting>
  <conditionalFormatting sqref="AV7">
    <cfRule type="expression" priority="80" dxfId="23">
      <formula>AV7="X"</formula>
    </cfRule>
    <cfRule type="expression" priority="81" dxfId="22">
      <formula>AV7="후보"</formula>
    </cfRule>
  </conditionalFormatting>
  <conditionalFormatting sqref="AC7 N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">
    <cfRule type="expression" priority="75" dxfId="23">
      <formula>AV8="X"</formula>
    </cfRule>
    <cfRule type="expression" priority="76" dxfId="22">
      <formula>AV8="후보"</formula>
    </cfRule>
  </conditionalFormatting>
  <conditionalFormatting sqref="AC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23">
      <formula>AV9="X"</formula>
    </cfRule>
    <cfRule type="expression" priority="57" dxfId="22">
      <formula>AV9="후보"</formula>
    </cfRule>
  </conditionalFormatting>
  <conditionalFormatting sqref="AC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23">
      <formula>AV10="X"</formula>
    </cfRule>
    <cfRule type="expression" priority="38" dxfId="22">
      <formula>AV10="후보"</formula>
    </cfRule>
  </conditionalFormatting>
  <conditionalFormatting sqref="AC1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청안해오름</t>
        </is>
      </c>
      <c r="B6" s="10" t="inlineStr">
        <is>
          <t>'04.03.</t>
        </is>
      </c>
      <c r="C6" s="134" t="n">
        <v>274</v>
      </c>
      <c r="D6" s="132" t="n">
        <v>113</v>
      </c>
      <c r="E6" s="133" t="n">
        <v>34</v>
      </c>
      <c r="F6" s="132" t="n">
        <v>84.90000000000001</v>
      </c>
      <c r="G6" s="17" t="n">
        <v>26</v>
      </c>
      <c r="H6" s="134" t="n">
        <v>18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112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진해신항만경남아너스빌</t>
        </is>
      </c>
      <c r="B6" s="10" t="inlineStr">
        <is>
          <t>'08.08.</t>
        </is>
      </c>
      <c r="C6" s="134" t="n">
        <v>468</v>
      </c>
      <c r="D6" s="132" t="n">
        <v>84.3</v>
      </c>
      <c r="E6" s="133" t="n">
        <v>25</v>
      </c>
      <c r="F6" s="132" t="n">
        <v>59.7</v>
      </c>
      <c r="G6" s="17" t="n">
        <v>18</v>
      </c>
      <c r="H6" s="134" t="n">
        <v>180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84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진해신항만경남아너스빌</t>
        </is>
      </c>
      <c r="B7" s="10" t="inlineStr">
        <is>
          <t>'08.08.</t>
        </is>
      </c>
      <c r="C7" s="134" t="n">
        <v>468</v>
      </c>
      <c r="D7" s="132" t="n">
        <v>114.4</v>
      </c>
      <c r="E7" s="133" t="n">
        <v>35</v>
      </c>
      <c r="F7" s="132" t="n">
        <v>84.8</v>
      </c>
      <c r="G7" s="17" t="n">
        <v>26</v>
      </c>
      <c r="H7" s="134" t="n">
        <v>288</v>
      </c>
      <c r="I7" s="135" t="n">
        <v>18500</v>
      </c>
      <c r="J7" s="135" t="inlineStr">
        <is>
          <t>고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114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7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남명플럼빌리지</t>
        </is>
      </c>
      <c r="B9" s="10" t="inlineStr">
        <is>
          <t>'04.03.</t>
        </is>
      </c>
      <c r="C9" s="134" t="n">
        <v>498</v>
      </c>
      <c r="D9" s="132" t="n">
        <v>79.40000000000001</v>
      </c>
      <c r="E9" s="133" t="n">
        <v>24</v>
      </c>
      <c r="F9" s="132" t="n">
        <v>59.9</v>
      </c>
      <c r="G9" s="17" t="n">
        <v>18</v>
      </c>
      <c r="H9" s="134" t="n">
        <v>390</v>
      </c>
      <c r="I9" s="135" t="n">
        <v>10000</v>
      </c>
      <c r="J9" s="135" t="inlineStr">
        <is>
          <t>10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79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남명플럼빌리지</t>
        </is>
      </c>
      <c r="B10" s="10" t="inlineStr">
        <is>
          <t>'04.03.</t>
        </is>
      </c>
      <c r="C10" s="134" t="n">
        <v>498</v>
      </c>
      <c r="D10" s="132" t="n">
        <v>106.6</v>
      </c>
      <c r="E10" s="133" t="n">
        <v>32</v>
      </c>
      <c r="F10" s="132" t="n">
        <v>85</v>
      </c>
      <c r="G10" s="17" t="n">
        <v>26</v>
      </c>
      <c r="H10" s="134" t="n">
        <v>108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106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82" dxfId="23">
      <formula>AV4="X"</formula>
    </cfRule>
    <cfRule type="expression" priority="83" dxfId="22">
      <formula>AV4="후보"</formula>
    </cfRule>
  </conditionalFormatting>
  <conditionalFormatting sqref="AC1:AC2 AC4:AC6 N4:N5">
    <cfRule type="cellIs" priority="79" operator="greaterThan" dxfId="17">
      <formula>0.9</formula>
    </cfRule>
    <cfRule type="cellIs" priority="80" operator="greaterThan" dxfId="16">
      <formula>0.85</formula>
    </cfRule>
  </conditionalFormatting>
  <conditionalFormatting sqref="N1:N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">
    <cfRule type="expression" priority="71" dxfId="3">
      <formula>AND(IF(OR($Q6=1,$Q6=2),1,0),IF($X6&lt;=20,1,0))</formula>
    </cfRule>
    <cfRule type="expression" priority="72" dxfId="2">
      <formula>AND(IF($Q6=2,1,0),IF($X6&lt;30,1,0))</formula>
    </cfRule>
    <cfRule type="expression" priority="73" dxfId="1">
      <formula>AND(IF($Q6=3,1,0),IF($X6&lt;30,1,0))</formula>
    </cfRule>
    <cfRule type="expression" priority="74" dxfId="0">
      <formula>AND(IF($Q6=3,1,IF($Q6=4,1,0)),IF($F6&lt;=85,1,0))</formula>
    </cfRule>
  </conditionalFormatting>
  <conditionalFormatting sqref="X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AI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V7">
    <cfRule type="expression" priority="61" dxfId="23">
      <formula>AV7="X"</formula>
    </cfRule>
    <cfRule type="expression" priority="62" dxfId="22">
      <formula>AV7="후보"</formula>
    </cfRule>
  </conditionalFormatting>
  <conditionalFormatting sqref="AC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7">
    <cfRule type="expression" priority="52" dxfId="3">
      <formula>AND(IF(OR($Q7=1,$Q7=2),1,0),IF($X7&lt;=20,1,0))</formula>
    </cfRule>
    <cfRule type="expression" priority="53" dxfId="2">
      <formula>AND(IF($Q7=2,1,0),IF($X7&lt;30,1,0))</formula>
    </cfRule>
    <cfRule type="expression" priority="54" dxfId="1">
      <formula>AND(IF($Q7=3,1,0),IF($X7&lt;30,1,0))</formula>
    </cfRule>
    <cfRule type="expression" priority="55" dxfId="0">
      <formula>AND(IF($Q7=3,1,IF($Q7=4,1,0)),IF($F7&lt;=85,1,0))</formula>
    </cfRule>
  </conditionalFormatting>
  <conditionalFormatting sqref="X7">
    <cfRule type="expression" priority="48" dxfId="3">
      <formula>AND(IF(OR($Q7=1,$Q7=2),1,0),IF($X7&lt;=20,1,0))</formula>
    </cfRule>
    <cfRule type="expression" priority="49" dxfId="2">
      <formula>AND(IF($Q7=2,1,0),IF($X7&lt;30,1,0))</formula>
    </cfRule>
    <cfRule type="expression" priority="50" dxfId="1">
      <formula>AND(IF($Q7=3,1,0),IF($X7&lt;30,1,0))</formula>
    </cfRule>
    <cfRule type="expression" priority="51" dxfId="0">
      <formula>AND(IF($Q7=3,1,IF($Q7=4,1,0)),IF($F7&lt;=85,1,0))</formula>
    </cfRule>
  </conditionalFormatting>
  <conditionalFormatting sqref="AI7">
    <cfRule type="expression" priority="44" dxfId="3">
      <formula>AND(IF(OR($Q7=1,$Q7=2),1,0),IF($X7&lt;=20,1,0))</formula>
    </cfRule>
    <cfRule type="expression" priority="45" dxfId="2">
      <formula>AND(IF($Q7=2,1,0),IF($X7&lt;30,1,0))</formula>
    </cfRule>
    <cfRule type="expression" priority="46" dxfId="1">
      <formula>AND(IF($Q7=3,1,0),IF($X7&lt;30,1,0))</formula>
    </cfRule>
    <cfRule type="expression" priority="47" dxfId="0">
      <formula>AND(IF($Q7=3,1,IF($Q7=4,1,0)),IF($F7&lt;=85,1,0))</formula>
    </cfRule>
  </conditionalFormatting>
  <conditionalFormatting sqref="AV8">
    <cfRule type="expression" priority="42" dxfId="23">
      <formula>AV8="X"</formula>
    </cfRule>
    <cfRule type="expression" priority="43" dxfId="22">
      <formula>AV8="후보"</formula>
    </cfRule>
  </conditionalFormatting>
  <conditionalFormatting sqref="AC8 N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부흥동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태영데시앙</t>
        </is>
      </c>
      <c r="B6" s="10" t="inlineStr">
        <is>
          <t>'07.01.</t>
        </is>
      </c>
      <c r="C6" s="134" t="n">
        <v>204</v>
      </c>
      <c r="D6" s="132" t="n">
        <v>109.9</v>
      </c>
      <c r="E6" s="133" t="n">
        <v>33</v>
      </c>
      <c r="F6" s="132" t="n">
        <v>85</v>
      </c>
      <c r="G6" s="17" t="n">
        <v>26</v>
      </c>
      <c r="H6" s="134" t="n">
        <v>156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태영데시앙</t>
        </is>
      </c>
      <c r="B7" s="10" t="inlineStr">
        <is>
          <t>'07.01.</t>
        </is>
      </c>
      <c r="C7" s="134" t="n">
        <v>204</v>
      </c>
      <c r="D7" s="132" t="n">
        <v>151.9</v>
      </c>
      <c r="E7" s="133" t="n">
        <v>46</v>
      </c>
      <c r="F7" s="132" t="n">
        <v>126.6</v>
      </c>
      <c r="G7" s="17" t="n">
        <v>38</v>
      </c>
      <c r="H7" s="134" t="n">
        <v>48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151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석동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진해GS자이</t>
        </is>
      </c>
      <c r="B6" s="10" t="inlineStr">
        <is>
          <t>'06.04.</t>
        </is>
      </c>
      <c r="C6" s="134" t="n">
        <v>516</v>
      </c>
      <c r="D6" s="132" t="n">
        <v>115.4</v>
      </c>
      <c r="E6" s="133" t="n">
        <v>35</v>
      </c>
      <c r="F6" s="132" t="n">
        <v>84.90000000000001</v>
      </c>
      <c r="G6" s="17" t="n">
        <v>26</v>
      </c>
      <c r="H6" s="134" t="n">
        <v>404</v>
      </c>
      <c r="I6" s="135" t="n">
        <v>36000</v>
      </c>
      <c r="J6" s="135" t="inlineStr">
        <is>
          <t>14</t>
        </is>
      </c>
      <c r="K6" s="135" t="n">
        <v>29000</v>
      </c>
      <c r="L6" s="135" t="inlineStr">
        <is>
          <t>13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115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진해GS자이</t>
        </is>
      </c>
      <c r="B7" s="10" t="inlineStr">
        <is>
          <t>'06.04.</t>
        </is>
      </c>
      <c r="C7" s="134" t="n">
        <v>516</v>
      </c>
      <c r="D7" s="132" t="n">
        <v>158</v>
      </c>
      <c r="E7" s="133" t="n">
        <v>48</v>
      </c>
      <c r="F7" s="132" t="n">
        <v>125.3</v>
      </c>
      <c r="G7" s="17" t="n">
        <v>38</v>
      </c>
      <c r="H7" s="134" t="n">
        <v>84</v>
      </c>
      <c r="I7" s="135" t="n"/>
      <c r="J7" s="135" t="n"/>
      <c r="K7" s="135" t="n">
        <v>35000</v>
      </c>
      <c r="L7" s="135" t="inlineStr">
        <is>
          <t>9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158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진해GS자이</t>
        </is>
      </c>
      <c r="B8" s="10" t="inlineStr">
        <is>
          <t>'06.04.</t>
        </is>
      </c>
      <c r="C8" s="134" t="n">
        <v>516</v>
      </c>
      <c r="D8" s="132" t="n">
        <v>196.2</v>
      </c>
      <c r="E8" s="133" t="n">
        <v>59</v>
      </c>
      <c r="F8" s="132" t="n">
        <v>155.7</v>
      </c>
      <c r="G8" s="17" t="n">
        <v>47</v>
      </c>
      <c r="H8" s="134" t="n">
        <v>28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5</v>
      </c>
      <c r="R8" s="121" t="n">
        <v>2</v>
      </c>
      <c r="S8" s="121" t="inlineStr">
        <is>
          <t>계</t>
        </is>
      </c>
      <c r="T8" s="5" t="n">
        <v>196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진해석동푸르지오</t>
        </is>
      </c>
      <c r="B10" s="10" t="inlineStr">
        <is>
          <t>'06.08.</t>
        </is>
      </c>
      <c r="C10" s="134" t="n">
        <v>647</v>
      </c>
      <c r="D10" s="132" t="n">
        <v>116.9</v>
      </c>
      <c r="E10" s="133" t="n">
        <v>35</v>
      </c>
      <c r="F10" s="132" t="n">
        <v>85</v>
      </c>
      <c r="G10" s="17" t="n">
        <v>26</v>
      </c>
      <c r="H10" s="134" t="n">
        <v>343</v>
      </c>
      <c r="I10" s="135" t="n">
        <v>32000</v>
      </c>
      <c r="J10" s="135" t="inlineStr">
        <is>
          <t>중</t>
        </is>
      </c>
      <c r="K10" s="135" t="n">
        <v>26000</v>
      </c>
      <c r="L10" s="135" t="inlineStr">
        <is>
          <t>중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116A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진해석동푸르지오</t>
        </is>
      </c>
      <c r="B11" s="10" t="inlineStr">
        <is>
          <t>'06.08.</t>
        </is>
      </c>
      <c r="C11" s="134" t="n">
        <v>647</v>
      </c>
      <c r="D11" s="132" t="n">
        <v>116.9</v>
      </c>
      <c r="E11" s="133" t="n">
        <v>35</v>
      </c>
      <c r="F11" s="132" t="n">
        <v>85</v>
      </c>
      <c r="G11" s="17" t="n">
        <v>26</v>
      </c>
      <c r="H11" s="134" t="n">
        <v>90</v>
      </c>
      <c r="I11" s="135" t="n">
        <v>32000</v>
      </c>
      <c r="J11" s="135" t="inlineStr">
        <is>
          <t>중</t>
        </is>
      </c>
      <c r="K11" s="135" t="n">
        <v>26000</v>
      </c>
      <c r="L11" s="135" t="inlineStr">
        <is>
          <t>중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116B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진해석동푸르지오</t>
        </is>
      </c>
      <c r="B12" s="10" t="inlineStr">
        <is>
          <t>'06.08.</t>
        </is>
      </c>
      <c r="C12" s="134" t="n">
        <v>647</v>
      </c>
      <c r="D12" s="132" t="n">
        <v>149.1</v>
      </c>
      <c r="E12" s="133" t="n">
        <v>45</v>
      </c>
      <c r="F12" s="132" t="n">
        <v>116.5</v>
      </c>
      <c r="G12" s="17" t="n">
        <v>35</v>
      </c>
      <c r="H12" s="134" t="n">
        <v>134</v>
      </c>
      <c r="I12" s="135" t="n">
        <v>39500</v>
      </c>
      <c r="J12" s="135" t="inlineStr">
        <is>
          <t>12</t>
        </is>
      </c>
      <c r="K12" s="135" t="n">
        <v>32000</v>
      </c>
      <c r="L12" s="135" t="inlineStr">
        <is>
          <t>11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149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진해석동푸르지오</t>
        </is>
      </c>
      <c r="B13" s="10" t="inlineStr">
        <is>
          <t>'06.08.</t>
        </is>
      </c>
      <c r="C13" s="134" t="n">
        <v>647</v>
      </c>
      <c r="D13" s="132" t="n">
        <v>172.1</v>
      </c>
      <c r="E13" s="133" t="n">
        <v>52</v>
      </c>
      <c r="F13" s="132" t="n">
        <v>138</v>
      </c>
      <c r="G13" s="17" t="n">
        <v>42</v>
      </c>
      <c r="H13" s="134" t="n">
        <v>80</v>
      </c>
      <c r="I13" s="135" t="n">
        <v>40000</v>
      </c>
      <c r="J13" s="135" t="inlineStr">
        <is>
          <t>중</t>
        </is>
      </c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172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2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7" t="n"/>
      <c r="P14" s="137" t="n"/>
      <c r="Q14" s="133" t="n"/>
      <c r="R14" s="133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7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진해석동한솔솔파크1단지</t>
        </is>
      </c>
      <c r="B15" s="10" t="inlineStr">
        <is>
          <t>'09.02.</t>
        </is>
      </c>
      <c r="C15" s="134" t="n">
        <v>264</v>
      </c>
      <c r="D15" s="132" t="n">
        <v>143.6</v>
      </c>
      <c r="E15" s="133" t="n">
        <v>43</v>
      </c>
      <c r="F15" s="132" t="n">
        <v>119.6</v>
      </c>
      <c r="G15" s="17" t="n">
        <v>36</v>
      </c>
      <c r="H15" s="134" t="n">
        <v>44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143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3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진해석동한솔솔파크1단지</t>
        </is>
      </c>
      <c r="B16" s="10" t="inlineStr">
        <is>
          <t>'09.02.</t>
        </is>
      </c>
      <c r="C16" s="134" t="n">
        <v>264</v>
      </c>
      <c r="D16" s="132" t="n">
        <v>160.1</v>
      </c>
      <c r="E16" s="133" t="n">
        <v>48</v>
      </c>
      <c r="F16" s="132" t="n">
        <v>131.5</v>
      </c>
      <c r="G16" s="17" t="n">
        <v>40</v>
      </c>
      <c r="H16" s="134" t="n">
        <v>132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160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진해석동한솔솔파크1단지</t>
        </is>
      </c>
      <c r="B17" s="10" t="inlineStr">
        <is>
          <t>'09.02.</t>
        </is>
      </c>
      <c r="C17" s="134" t="n">
        <v>264</v>
      </c>
      <c r="D17" s="132" t="n">
        <v>183.9</v>
      </c>
      <c r="E17" s="133" t="n">
        <v>56</v>
      </c>
      <c r="F17" s="132" t="n">
        <v>153.3</v>
      </c>
      <c r="G17" s="17" t="n">
        <v>46</v>
      </c>
      <c r="H17" s="134" t="n">
        <v>88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183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3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2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7" t="n"/>
      <c r="P18" s="137" t="n"/>
      <c r="Q18" s="133" t="n"/>
      <c r="R18" s="133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7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벚꽃그린빌주공3단지</t>
        </is>
      </c>
      <c r="B19" s="10" t="inlineStr">
        <is>
          <t>'03.03.</t>
        </is>
      </c>
      <c r="C19" s="134" t="n">
        <v>613</v>
      </c>
      <c r="D19" s="132" t="n">
        <v>82.8</v>
      </c>
      <c r="E19" s="133" t="n">
        <v>25</v>
      </c>
      <c r="F19" s="132" t="n">
        <v>66.7</v>
      </c>
      <c r="G19" s="17" t="n">
        <v>20</v>
      </c>
      <c r="H19" s="134" t="n">
        <v>20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82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3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벚꽃그린빌주공3단지</t>
        </is>
      </c>
      <c r="B20" s="10" t="inlineStr">
        <is>
          <t>'03.03.</t>
        </is>
      </c>
      <c r="C20" s="134" t="n">
        <v>613</v>
      </c>
      <c r="D20" s="132" t="n">
        <v>105.5</v>
      </c>
      <c r="E20" s="133" t="n">
        <v>32</v>
      </c>
      <c r="F20" s="132" t="n">
        <v>85</v>
      </c>
      <c r="G20" s="17" t="n">
        <v>26</v>
      </c>
      <c r="H20" s="134" t="n">
        <v>413</v>
      </c>
      <c r="I20" s="135" t="n">
        <v>33000</v>
      </c>
      <c r="J20" s="135" t="inlineStr">
        <is>
          <t>중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105B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3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벚꽃그린빌주공3단지</t>
        </is>
      </c>
      <c r="B21" s="10" t="inlineStr">
        <is>
          <t>'03.03.</t>
        </is>
      </c>
      <c r="C21" s="134" t="n">
        <v>613</v>
      </c>
      <c r="D21" s="132" t="n">
        <v>105.5</v>
      </c>
      <c r="E21" s="133" t="n">
        <v>32</v>
      </c>
      <c r="F21" s="132" t="n">
        <v>85</v>
      </c>
      <c r="G21" s="17" t="n">
        <v>26</v>
      </c>
      <c r="H21" s="134" t="n">
        <v>180</v>
      </c>
      <c r="I21" s="135" t="n">
        <v>33000</v>
      </c>
      <c r="J21" s="135" t="inlineStr">
        <is>
          <t>중</t>
        </is>
      </c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105A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2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7" t="n"/>
      <c r="P22" s="137" t="n"/>
      <c r="Q22" s="133" t="n"/>
      <c r="R22" s="133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7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진해석동우림필유</t>
        </is>
      </c>
      <c r="B23" s="10" t="inlineStr">
        <is>
          <t>'08.03.</t>
        </is>
      </c>
      <c r="C23" s="134" t="n">
        <v>1192</v>
      </c>
      <c r="D23" s="132" t="n">
        <v>111.6</v>
      </c>
      <c r="E23" s="133" t="n">
        <v>34</v>
      </c>
      <c r="F23" s="132" t="n">
        <v>84.90000000000001</v>
      </c>
      <c r="G23" s="17" t="n">
        <v>26</v>
      </c>
      <c r="H23" s="134" t="n">
        <v>398</v>
      </c>
      <c r="I23" s="135" t="n">
        <v>43000</v>
      </c>
      <c r="J23" s="135" t="inlineStr">
        <is>
          <t>6</t>
        </is>
      </c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111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3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진해석동우림필유</t>
        </is>
      </c>
      <c r="B24" s="10" t="inlineStr">
        <is>
          <t>'08.03.</t>
        </is>
      </c>
      <c r="C24" s="134" t="n">
        <v>1192</v>
      </c>
      <c r="D24" s="132" t="n">
        <v>112.5</v>
      </c>
      <c r="E24" s="133" t="n">
        <v>34</v>
      </c>
      <c r="F24" s="132" t="n">
        <v>85</v>
      </c>
      <c r="G24" s="17" t="n">
        <v>26</v>
      </c>
      <c r="H24" s="134" t="n">
        <v>238</v>
      </c>
      <c r="I24" s="135" t="n">
        <v>44000</v>
      </c>
      <c r="J24" s="135" t="inlineStr">
        <is>
          <t>고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112B</t>
        </is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3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진해석동우림필유</t>
        </is>
      </c>
      <c r="B25" s="10" t="inlineStr">
        <is>
          <t>'08.03.</t>
        </is>
      </c>
      <c r="C25" s="134" t="n">
        <v>1192</v>
      </c>
      <c r="D25" s="132" t="n">
        <v>113.5</v>
      </c>
      <c r="E25" s="133" t="n">
        <v>34</v>
      </c>
      <c r="F25" s="132" t="n">
        <v>85</v>
      </c>
      <c r="G25" s="17" t="n">
        <v>26</v>
      </c>
      <c r="H25" s="134" t="n">
        <v>238</v>
      </c>
      <c r="I25" s="135" t="n">
        <v>41000</v>
      </c>
      <c r="J25" s="135" t="inlineStr">
        <is>
          <t>중</t>
        </is>
      </c>
      <c r="K25" s="135" t="n">
        <v>31000</v>
      </c>
      <c r="L25" s="135" t="inlineStr">
        <is>
          <t>고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113A</t>
        </is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3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진해석동우림필유</t>
        </is>
      </c>
      <c r="B26" s="10" t="inlineStr">
        <is>
          <t>'08.03.</t>
        </is>
      </c>
      <c r="C26" s="134" t="n">
        <v>1192</v>
      </c>
      <c r="D26" s="132" t="n">
        <v>163.7</v>
      </c>
      <c r="E26" s="133" t="n">
        <v>50</v>
      </c>
      <c r="F26" s="132" t="n">
        <v>133.4</v>
      </c>
      <c r="G26" s="17" t="n">
        <v>40</v>
      </c>
      <c r="H26" s="134" t="n">
        <v>146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163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3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진해석동우림필유</t>
        </is>
      </c>
      <c r="B27" s="10" t="inlineStr">
        <is>
          <t>'08.03.</t>
        </is>
      </c>
      <c r="C27" s="134" t="n">
        <v>1192</v>
      </c>
      <c r="D27" s="132" t="n">
        <v>175.8</v>
      </c>
      <c r="E27" s="133" t="n">
        <v>53</v>
      </c>
      <c r="F27" s="132" t="n">
        <v>133.8</v>
      </c>
      <c r="G27" s="17" t="n">
        <v>40</v>
      </c>
      <c r="H27" s="134" t="n">
        <v>4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1" t="n">
        <v>4</v>
      </c>
      <c r="R27" s="121" t="n">
        <v>3</v>
      </c>
      <c r="S27" s="121" t="inlineStr">
        <is>
          <t>계</t>
        </is>
      </c>
      <c r="T27" s="5" t="inlineStr">
        <is>
          <t>175B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3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진해석동우림필유</t>
        </is>
      </c>
      <c r="B28" s="10" t="inlineStr">
        <is>
          <t>'08.03.</t>
        </is>
      </c>
      <c r="C28" s="134" t="n">
        <v>1192</v>
      </c>
      <c r="D28" s="132" t="n">
        <v>177.3</v>
      </c>
      <c r="E28" s="133" t="n">
        <v>54</v>
      </c>
      <c r="F28" s="132" t="n">
        <v>132.1</v>
      </c>
      <c r="G28" s="17" t="n">
        <v>40</v>
      </c>
      <c r="H28" s="134" t="n">
        <v>4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1" t="n">
        <v>4</v>
      </c>
      <c r="R28" s="121" t="n">
        <v>3</v>
      </c>
      <c r="S28" s="121" t="inlineStr">
        <is>
          <t>계</t>
        </is>
      </c>
      <c r="T28" s="5" t="inlineStr">
        <is>
          <t>177A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3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진해석동우림필유</t>
        </is>
      </c>
      <c r="B29" s="10" t="inlineStr">
        <is>
          <t>'08.03.</t>
        </is>
      </c>
      <c r="C29" s="134" t="n">
        <v>1192</v>
      </c>
      <c r="D29" s="132" t="n">
        <v>195.5</v>
      </c>
      <c r="E29" s="133" t="n">
        <v>59</v>
      </c>
      <c r="F29" s="132" t="n">
        <v>161.8</v>
      </c>
      <c r="G29" s="17" t="n">
        <v>49</v>
      </c>
      <c r="H29" s="134" t="n">
        <v>52</v>
      </c>
      <c r="I29" s="135" t="n">
        <v>58000</v>
      </c>
      <c r="J29" s="135" t="inlineStr">
        <is>
          <t>중</t>
        </is>
      </c>
      <c r="K29" s="135" t="n">
        <v>55000</v>
      </c>
      <c r="L29" s="135" t="inlineStr">
        <is>
          <t>9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1" t="n">
        <v>4</v>
      </c>
      <c r="R29" s="121" t="n">
        <v>3</v>
      </c>
      <c r="S29" s="121" t="inlineStr">
        <is>
          <t>계</t>
        </is>
      </c>
      <c r="T29" s="5" t="inlineStr">
        <is>
          <t>195B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3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진해석동우림필유</t>
        </is>
      </c>
      <c r="B30" s="10" t="inlineStr">
        <is>
          <t>'08.03.</t>
        </is>
      </c>
      <c r="C30" s="134" t="n">
        <v>1192</v>
      </c>
      <c r="D30" s="132" t="n">
        <v>196.4</v>
      </c>
      <c r="E30" s="133" t="n">
        <v>59</v>
      </c>
      <c r="F30" s="132" t="n">
        <v>159.7</v>
      </c>
      <c r="G30" s="17" t="n">
        <v>48</v>
      </c>
      <c r="H30" s="134" t="n">
        <v>51</v>
      </c>
      <c r="I30" s="135" t="n">
        <v>58000</v>
      </c>
      <c r="J30" s="135" t="inlineStr">
        <is>
          <t>중</t>
        </is>
      </c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1" t="n">
        <v>4</v>
      </c>
      <c r="R30" s="121" t="n">
        <v>2</v>
      </c>
      <c r="S30" s="121" t="inlineStr">
        <is>
          <t>계</t>
        </is>
      </c>
      <c r="T30" s="5" t="inlineStr">
        <is>
          <t>196A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3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진해석동우림필유</t>
        </is>
      </c>
      <c r="B31" s="10" t="inlineStr">
        <is>
          <t>'08.03.</t>
        </is>
      </c>
      <c r="C31" s="134" t="n">
        <v>1192</v>
      </c>
      <c r="D31" s="132" t="n">
        <v>228.9</v>
      </c>
      <c r="E31" s="133" t="n">
        <v>69</v>
      </c>
      <c r="F31" s="132" t="n">
        <v>190</v>
      </c>
      <c r="G31" s="17" t="n">
        <v>57</v>
      </c>
      <c r="H31" s="134" t="n">
        <v>56</v>
      </c>
      <c r="I31" s="135" t="n">
        <v>75000</v>
      </c>
      <c r="J31" s="135" t="inlineStr">
        <is>
          <t>중</t>
        </is>
      </c>
      <c r="K31" s="135" t="n">
        <v>50000</v>
      </c>
      <c r="L31" s="135" t="inlineStr">
        <is>
          <t>고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1" t="n">
        <v>4</v>
      </c>
      <c r="R31" s="121" t="n">
        <v>3</v>
      </c>
      <c r="S31" s="121" t="inlineStr">
        <is>
          <t>계</t>
        </is>
      </c>
      <c r="T31" s="5" t="n">
        <v>228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3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진해석동우림필유</t>
        </is>
      </c>
      <c r="B32" s="10" t="inlineStr">
        <is>
          <t>'08.03.</t>
        </is>
      </c>
      <c r="C32" s="134" t="n">
        <v>1192</v>
      </c>
      <c r="D32" s="132" t="n">
        <v>307.5</v>
      </c>
      <c r="E32" s="133" t="n">
        <v>93</v>
      </c>
      <c r="F32" s="132" t="n">
        <v>258.7</v>
      </c>
      <c r="G32" s="17" t="n">
        <v>78</v>
      </c>
      <c r="H32" s="134" t="n">
        <v>3</v>
      </c>
      <c r="I32" s="135" t="n">
        <v>80000</v>
      </c>
      <c r="J32" s="135" t="inlineStr">
        <is>
          <t>고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1" t="n">
        <v>5</v>
      </c>
      <c r="R32" s="121" t="n">
        <v>3</v>
      </c>
      <c r="S32" s="121" t="inlineStr">
        <is>
          <t>계</t>
        </is>
      </c>
      <c r="T32" s="5" t="n">
        <v>307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3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진해석동우림필유</t>
        </is>
      </c>
      <c r="B33" s="10" t="inlineStr">
        <is>
          <t>'08.03.</t>
        </is>
      </c>
      <c r="C33" s="134" t="n">
        <v>1192</v>
      </c>
      <c r="D33" s="132" t="n">
        <v>313.8</v>
      </c>
      <c r="E33" s="133" t="n">
        <v>95</v>
      </c>
      <c r="F33" s="132" t="n">
        <v>266.2</v>
      </c>
      <c r="G33" s="17" t="n">
        <v>81</v>
      </c>
      <c r="H33" s="134" t="n">
        <v>2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1" t="n">
        <v>5</v>
      </c>
      <c r="R33" s="121" t="n">
        <v>3</v>
      </c>
      <c r="S33" s="121" t="inlineStr">
        <is>
          <t>계</t>
        </is>
      </c>
      <c r="T33" s="5" t="n">
        <v>313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3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2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7" t="n"/>
      <c r="P34" s="137" t="n"/>
      <c r="Q34" s="133" t="n"/>
      <c r="R34" s="133" t="n"/>
      <c r="S34" s="9" t="n"/>
      <c r="T34" s="47" t="n"/>
      <c r="U34" s="9" t="n"/>
      <c r="W34" s="68">
        <f>$A$4&amp;" "&amp;A35&amp;"("&amp;B35&amp;","&amp;C35&amp;"^)"</f>
        <v/>
      </c>
      <c r="X34" s="69" t="n"/>
      <c r="Y34" s="69" t="n"/>
      <c r="Z34" s="69" t="n"/>
      <c r="AA34" s="69" t="n"/>
      <c r="AB34" s="69" t="n"/>
      <c r="AC34" s="69" t="n"/>
      <c r="AD34" s="69" t="n"/>
      <c r="AE34" s="69" t="n"/>
      <c r="AF34" s="70" t="n"/>
      <c r="AH34" s="20">
        <f>IF(A34="","",A34)</f>
        <v/>
      </c>
      <c r="AI34" s="157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벚꽃그린빌주공4단지</t>
        </is>
      </c>
      <c r="B35" s="10" t="inlineStr">
        <is>
          <t>'03.07.</t>
        </is>
      </c>
      <c r="C35" s="134" t="n">
        <v>397</v>
      </c>
      <c r="D35" s="132" t="n">
        <v>70.2</v>
      </c>
      <c r="E35" s="133" t="n">
        <v>21</v>
      </c>
      <c r="F35" s="132" t="n">
        <v>59.8</v>
      </c>
      <c r="G35" s="17" t="n">
        <v>18</v>
      </c>
      <c r="H35" s="134" t="n">
        <v>43</v>
      </c>
      <c r="I35" s="135" t="n"/>
      <c r="J35" s="135" t="n"/>
      <c r="K35" s="135" t="n"/>
      <c r="L35" s="135" t="n"/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1" t="n">
        <v>3</v>
      </c>
      <c r="R35" s="121" t="n">
        <v>1</v>
      </c>
      <c r="S35" s="121" t="inlineStr">
        <is>
          <t>복</t>
        </is>
      </c>
      <c r="T35" s="5" t="n">
        <v>70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3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벚꽃그린빌주공4단지</t>
        </is>
      </c>
      <c r="B36" s="10" t="inlineStr">
        <is>
          <t>'03.07.</t>
        </is>
      </c>
      <c r="C36" s="134" t="n">
        <v>397</v>
      </c>
      <c r="D36" s="132" t="n">
        <v>75.90000000000001</v>
      </c>
      <c r="E36" s="133" t="n">
        <v>23</v>
      </c>
      <c r="F36" s="132" t="n">
        <v>59.8</v>
      </c>
      <c r="G36" s="17" t="n">
        <v>18</v>
      </c>
      <c r="H36" s="134" t="n">
        <v>132</v>
      </c>
      <c r="I36" s="135" t="n">
        <v>22000</v>
      </c>
      <c r="J36" s="135" t="inlineStr">
        <is>
          <t>중</t>
        </is>
      </c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1" t="n">
        <v>3</v>
      </c>
      <c r="R36" s="121" t="n">
        <v>1</v>
      </c>
      <c r="S36" s="121" t="inlineStr">
        <is>
          <t>계</t>
        </is>
      </c>
      <c r="T36" s="5" t="n">
        <v>75</v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3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벚꽃그린빌주공4단지</t>
        </is>
      </c>
      <c r="B37" s="10" t="inlineStr">
        <is>
          <t>'03.07.</t>
        </is>
      </c>
      <c r="C37" s="134" t="n">
        <v>397</v>
      </c>
      <c r="D37" s="132" t="n">
        <v>87.90000000000001</v>
      </c>
      <c r="E37" s="133" t="n">
        <v>27</v>
      </c>
      <c r="F37" s="132" t="n">
        <v>75</v>
      </c>
      <c r="G37" s="17" t="n">
        <v>23</v>
      </c>
      <c r="H37" s="134" t="n">
        <v>34</v>
      </c>
      <c r="I37" s="135" t="n"/>
      <c r="J37" s="135" t="n"/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1" t="n">
        <v>3</v>
      </c>
      <c r="R37" s="121" t="n">
        <v>2</v>
      </c>
      <c r="S37" s="121" t="inlineStr">
        <is>
          <t>복</t>
        </is>
      </c>
      <c r="T37" s="5" t="n">
        <v>87</v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3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벚꽃그린빌주공4단지</t>
        </is>
      </c>
      <c r="B38" s="10" t="inlineStr">
        <is>
          <t>'03.07.</t>
        </is>
      </c>
      <c r="C38" s="134" t="n">
        <v>397</v>
      </c>
      <c r="D38" s="132" t="n">
        <v>94.59999999999999</v>
      </c>
      <c r="E38" s="133" t="n">
        <v>29</v>
      </c>
      <c r="F38" s="132" t="n">
        <v>75</v>
      </c>
      <c r="G38" s="17" t="n">
        <v>23</v>
      </c>
      <c r="H38" s="134" t="n">
        <v>108</v>
      </c>
      <c r="I38" s="135" t="n"/>
      <c r="J38" s="135" t="n"/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94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3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벚꽃그린빌주공4단지</t>
        </is>
      </c>
      <c r="B39" s="10" t="inlineStr">
        <is>
          <t>'03.07.</t>
        </is>
      </c>
      <c r="C39" s="134" t="n">
        <v>397</v>
      </c>
      <c r="D39" s="132" t="n">
        <v>99.59999999999999</v>
      </c>
      <c r="E39" s="133" t="n">
        <v>30</v>
      </c>
      <c r="F39" s="132" t="n">
        <v>85</v>
      </c>
      <c r="G39" s="17" t="n">
        <v>26</v>
      </c>
      <c r="H39" s="134" t="n">
        <v>20</v>
      </c>
      <c r="I39" s="135" t="n"/>
      <c r="J39" s="135" t="n"/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1" t="n">
        <v>3</v>
      </c>
      <c r="R39" s="121" t="n">
        <v>2</v>
      </c>
      <c r="S39" s="121" t="inlineStr">
        <is>
          <t>복</t>
        </is>
      </c>
      <c r="T39" s="5" t="n">
        <v>99</v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3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벚꽃그린빌주공4단지</t>
        </is>
      </c>
      <c r="B40" s="10" t="inlineStr">
        <is>
          <t>'03.07.</t>
        </is>
      </c>
      <c r="C40" s="134" t="n">
        <v>397</v>
      </c>
      <c r="D40" s="132" t="n">
        <v>107</v>
      </c>
      <c r="E40" s="133" t="n">
        <v>32</v>
      </c>
      <c r="F40" s="132" t="n">
        <v>85</v>
      </c>
      <c r="G40" s="17" t="n">
        <v>26</v>
      </c>
      <c r="H40" s="134" t="n">
        <v>60</v>
      </c>
      <c r="I40" s="135" t="n"/>
      <c r="J40" s="135" t="n"/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107</v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3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2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7" t="n"/>
      <c r="P41" s="137" t="n"/>
      <c r="Q41" s="133" t="n"/>
      <c r="R41" s="133" t="n"/>
      <c r="S41" s="9" t="n"/>
      <c r="T41" s="47" t="n"/>
      <c r="U41" s="9" t="n"/>
      <c r="W41" s="68">
        <f>$A$4&amp;" "&amp;A42&amp;"("&amp;B42&amp;","&amp;C42&amp;"^)"</f>
        <v/>
      </c>
      <c r="X41" s="69" t="n"/>
      <c r="Y41" s="69" t="n"/>
      <c r="Z41" s="69" t="n"/>
      <c r="AA41" s="69" t="n"/>
      <c r="AB41" s="69" t="n"/>
      <c r="AC41" s="69" t="n"/>
      <c r="AD41" s="69" t="n"/>
      <c r="AE41" s="69" t="n"/>
      <c r="AF41" s="70" t="n"/>
      <c r="AH41" s="20">
        <f>IF(A41="","",A41)</f>
        <v/>
      </c>
      <c r="AI41" s="157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벚꽃그린빌주공2단지</t>
        </is>
      </c>
      <c r="B42" s="10" t="inlineStr">
        <is>
          <t>'03.07.</t>
        </is>
      </c>
      <c r="C42" s="134" t="n">
        <v>266</v>
      </c>
      <c r="D42" s="132" t="n">
        <v>63.3</v>
      </c>
      <c r="E42" s="133" t="n">
        <v>19</v>
      </c>
      <c r="F42" s="132" t="n">
        <v>51.7</v>
      </c>
      <c r="G42" s="17" t="n">
        <v>16</v>
      </c>
      <c r="H42" s="134" t="n">
        <v>80</v>
      </c>
      <c r="I42" s="135" t="n"/>
      <c r="J42" s="135" t="n"/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1" t="n">
        <v>3</v>
      </c>
      <c r="R42" s="121" t="n">
        <v>1</v>
      </c>
      <c r="S42" s="121" t="inlineStr">
        <is>
          <t>계</t>
        </is>
      </c>
      <c r="T42" s="5" t="n">
        <v>63</v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3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벚꽃그린빌주공2단지</t>
        </is>
      </c>
      <c r="B43" s="10" t="inlineStr">
        <is>
          <t>'03.07.</t>
        </is>
      </c>
      <c r="C43" s="134" t="n">
        <v>266</v>
      </c>
      <c r="D43" s="132" t="n">
        <v>84.3</v>
      </c>
      <c r="E43" s="133" t="n">
        <v>26</v>
      </c>
      <c r="F43" s="132" t="n">
        <v>59.8</v>
      </c>
      <c r="G43" s="17" t="n">
        <v>18</v>
      </c>
      <c r="H43" s="134" t="n">
        <v>186</v>
      </c>
      <c r="I43" s="135" t="n"/>
      <c r="J43" s="135" t="n"/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84</v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3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n"/>
      <c r="B44" s="121" t="n"/>
      <c r="C44" s="6" t="n"/>
      <c r="D44" s="9" t="n"/>
      <c r="E44" s="14" t="n"/>
      <c r="F44" s="132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7" t="n"/>
      <c r="P44" s="137" t="n"/>
      <c r="Q44" s="133" t="n"/>
      <c r="R44" s="133" t="n"/>
      <c r="S44" s="9" t="n"/>
      <c r="T44" s="47" t="n"/>
      <c r="U44" s="9" t="n"/>
      <c r="W44" s="68">
        <f>$A$4&amp;" "&amp;A45&amp;"("&amp;B45&amp;","&amp;C45&amp;"^)"</f>
        <v/>
      </c>
      <c r="X44" s="69" t="n"/>
      <c r="Y44" s="69" t="n"/>
      <c r="Z44" s="69" t="n"/>
      <c r="AA44" s="69" t="n"/>
      <c r="AB44" s="69" t="n"/>
      <c r="AC44" s="69" t="n"/>
      <c r="AD44" s="69" t="n"/>
      <c r="AE44" s="69" t="n"/>
      <c r="AF44" s="70" t="n"/>
      <c r="AH44" s="20">
        <f>IF(A44="","",A44)</f>
        <v/>
      </c>
      <c r="AI44" s="157">
        <f>IF(E44="","",E44)</f>
        <v/>
      </c>
      <c r="AJ44" s="121" t="n"/>
      <c r="AK44" s="121" t="n"/>
      <c r="AL44" s="121" t="n"/>
      <c r="AM44" s="121" t="n"/>
      <c r="AN44" s="121" t="n"/>
      <c r="AO44" s="121" t="n"/>
      <c r="AP44" s="121" t="n"/>
      <c r="AQ44" s="121" t="n"/>
      <c r="AR44" s="121" t="n"/>
      <c r="AS44" s="121" t="n"/>
      <c r="AT44" s="121" t="n"/>
      <c r="AU44" s="121" t="n"/>
      <c r="AV44" s="121" t="n"/>
    </row>
    <row r="45">
      <c r="A45" s="9" t="inlineStr">
        <is>
          <t>주공</t>
        </is>
      </c>
      <c r="B45" s="10" t="inlineStr">
        <is>
          <t>'91.11.</t>
        </is>
      </c>
      <c r="C45" s="134" t="n">
        <v>750</v>
      </c>
      <c r="D45" s="132" t="n">
        <v>42.4</v>
      </c>
      <c r="E45" s="133" t="n">
        <v>13</v>
      </c>
      <c r="F45" s="132" t="n">
        <v>32.8</v>
      </c>
      <c r="G45" s="17" t="n">
        <v>10</v>
      </c>
      <c r="H45" s="134" t="n">
        <v>327</v>
      </c>
      <c r="I45" s="135" t="n">
        <v>9700</v>
      </c>
      <c r="J45" s="135" t="inlineStr">
        <is>
          <t>5</t>
        </is>
      </c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1" t="n">
        <v>2</v>
      </c>
      <c r="R45" s="121" t="n">
        <v>1</v>
      </c>
      <c r="S45" s="121" t="inlineStr">
        <is>
          <t>계</t>
        </is>
      </c>
      <c r="T45" s="5" t="n">
        <v>42</v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3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주공</t>
        </is>
      </c>
      <c r="B46" s="10" t="inlineStr">
        <is>
          <t>'91.11.</t>
        </is>
      </c>
      <c r="C46" s="134" t="n">
        <v>750</v>
      </c>
      <c r="D46" s="132" t="n">
        <v>54.8</v>
      </c>
      <c r="E46" s="133" t="n">
        <v>17</v>
      </c>
      <c r="F46" s="132" t="n">
        <v>42.5</v>
      </c>
      <c r="G46" s="17" t="n">
        <v>13</v>
      </c>
      <c r="H46" s="134" t="n">
        <v>302</v>
      </c>
      <c r="I46" s="135" t="n">
        <v>13000</v>
      </c>
      <c r="J46" s="135" t="inlineStr">
        <is>
          <t>고</t>
        </is>
      </c>
      <c r="K46" s="135" t="n">
        <v>8000</v>
      </c>
      <c r="L46" s="135" t="inlineStr">
        <is>
          <t>5</t>
        </is>
      </c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1" t="n">
        <v>2</v>
      </c>
      <c r="R46" s="121" t="n">
        <v>1</v>
      </c>
      <c r="S46" s="121" t="inlineStr">
        <is>
          <t>계</t>
        </is>
      </c>
      <c r="T46" s="5" t="inlineStr">
        <is>
          <t>54A</t>
        </is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3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주공</t>
        </is>
      </c>
      <c r="B47" s="10" t="inlineStr">
        <is>
          <t>'91.11.</t>
        </is>
      </c>
      <c r="C47" s="134" t="n">
        <v>750</v>
      </c>
      <c r="D47" s="132" t="n">
        <v>55.4</v>
      </c>
      <c r="E47" s="133" t="n">
        <v>17</v>
      </c>
      <c r="F47" s="132" t="n">
        <v>42.8</v>
      </c>
      <c r="G47" s="17" t="n">
        <v>13</v>
      </c>
      <c r="H47" s="134" t="n">
        <v>1</v>
      </c>
      <c r="I47" s="135" t="n"/>
      <c r="J47" s="135" t="n"/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inlineStr">
        <is>
          <t>55B</t>
        </is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3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주공</t>
        </is>
      </c>
      <c r="B48" s="10" t="inlineStr">
        <is>
          <t>'91.11.</t>
        </is>
      </c>
      <c r="C48" s="134" t="n">
        <v>750</v>
      </c>
      <c r="D48" s="132" t="n">
        <v>57.9</v>
      </c>
      <c r="E48" s="133" t="n">
        <v>18</v>
      </c>
      <c r="F48" s="132" t="n">
        <v>47</v>
      </c>
      <c r="G48" s="17" t="n">
        <v>14</v>
      </c>
      <c r="H48" s="134" t="n">
        <v>60</v>
      </c>
      <c r="I48" s="135" t="n"/>
      <c r="J48" s="135" t="n"/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57A</t>
        </is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3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주공</t>
        </is>
      </c>
      <c r="B49" s="10" t="inlineStr">
        <is>
          <t>'91.11.</t>
        </is>
      </c>
      <c r="C49" s="134" t="n">
        <v>750</v>
      </c>
      <c r="D49" s="132" t="n">
        <v>58.2</v>
      </c>
      <c r="E49" s="133" t="n">
        <v>18</v>
      </c>
      <c r="F49" s="132" t="n">
        <v>47.3</v>
      </c>
      <c r="G49" s="17" t="n">
        <v>14</v>
      </c>
      <c r="H49" s="134" t="n">
        <v>60</v>
      </c>
      <c r="I49" s="135" t="n"/>
      <c r="J49" s="135" t="n"/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58B</t>
        </is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3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39" dxfId="23">
      <formula>AV4="X"</formula>
    </cfRule>
    <cfRule type="expression" priority="740" dxfId="22">
      <formula>AV4="후보"</formula>
    </cfRule>
  </conditionalFormatting>
  <conditionalFormatting sqref="AC1:AC2 AC4:AC6 N4:N5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N1:N2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">
    <cfRule type="expression" priority="728" dxfId="3">
      <formula>AND(IF(OR($Q6=1,$Q6=2),1,0),IF($X6&lt;=20,1,0))</formula>
    </cfRule>
    <cfRule type="expression" priority="729" dxfId="2">
      <formula>AND(IF($Q6=2,1,0),IF($X6&lt;30,1,0))</formula>
    </cfRule>
    <cfRule type="expression" priority="730" dxfId="1">
      <formula>AND(IF($Q6=3,1,0),IF($X6&lt;30,1,0))</formula>
    </cfRule>
    <cfRule type="expression" priority="731" dxfId="0">
      <formula>AND(IF($Q6=3,1,IF($Q6=4,1,0)),IF($F6&lt;=85,1,0))</formula>
    </cfRule>
  </conditionalFormatting>
  <conditionalFormatting sqref="X6">
    <cfRule type="expression" priority="724" dxfId="3">
      <formula>AND(IF(OR($Q6=1,$Q6=2),1,0),IF($X6&lt;=20,1,0))</formula>
    </cfRule>
    <cfRule type="expression" priority="725" dxfId="2">
      <formula>AND(IF($Q6=2,1,0),IF($X6&lt;30,1,0))</formula>
    </cfRule>
    <cfRule type="expression" priority="726" dxfId="1">
      <formula>AND(IF($Q6=3,1,0),IF($X6&lt;30,1,0))</formula>
    </cfRule>
    <cfRule type="expression" priority="727" dxfId="0">
      <formula>AND(IF($Q6=3,1,IF($Q6=4,1,0)),IF($F6&lt;=85,1,0))</formula>
    </cfRule>
  </conditionalFormatting>
  <conditionalFormatting sqref="AI6">
    <cfRule type="expression" priority="720" dxfId="3">
      <formula>AND(IF(OR($Q6=1,$Q6=2),1,0),IF($X6&lt;=20,1,0))</formula>
    </cfRule>
    <cfRule type="expression" priority="721" dxfId="2">
      <formula>AND(IF($Q6=2,1,0),IF($X6&lt;30,1,0))</formula>
    </cfRule>
    <cfRule type="expression" priority="722" dxfId="1">
      <formula>AND(IF($Q6=3,1,0),IF($X6&lt;30,1,0))</formula>
    </cfRule>
    <cfRule type="expression" priority="723" dxfId="0">
      <formula>AND(IF($Q6=3,1,IF($Q6=4,1,0)),IF($F6&lt;=85,1,0))</formula>
    </cfRule>
  </conditionalFormatting>
  <conditionalFormatting sqref="AV7">
    <cfRule type="expression" priority="718" dxfId="23">
      <formula>AV7="X"</formula>
    </cfRule>
    <cfRule type="expression" priority="719" dxfId="22">
      <formula>AV7="후보"</formula>
    </cfRule>
  </conditionalFormatting>
  <conditionalFormatting sqref="AC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7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7">
    <cfRule type="expression" priority="709" dxfId="3">
      <formula>AND(IF(OR($Q7=1,$Q7=2),1,0),IF($X7&lt;=20,1,0))</formula>
    </cfRule>
    <cfRule type="expression" priority="710" dxfId="2">
      <formula>AND(IF($Q7=2,1,0),IF($X7&lt;30,1,0))</formula>
    </cfRule>
    <cfRule type="expression" priority="711" dxfId="1">
      <formula>AND(IF($Q7=3,1,0),IF($X7&lt;30,1,0))</formula>
    </cfRule>
    <cfRule type="expression" priority="712" dxfId="0">
      <formula>AND(IF($Q7=3,1,IF($Q7=4,1,0)),IF($F7&lt;=85,1,0))</formula>
    </cfRule>
  </conditionalFormatting>
  <conditionalFormatting sqref="X7">
    <cfRule type="expression" priority="705" dxfId="3">
      <formula>AND(IF(OR($Q7=1,$Q7=2),1,0),IF($X7&lt;=20,1,0))</formula>
    </cfRule>
    <cfRule type="expression" priority="706" dxfId="2">
      <formula>AND(IF($Q7=2,1,0),IF($X7&lt;30,1,0))</formula>
    </cfRule>
    <cfRule type="expression" priority="707" dxfId="1">
      <formula>AND(IF($Q7=3,1,0),IF($X7&lt;30,1,0))</formula>
    </cfRule>
    <cfRule type="expression" priority="708" dxfId="0">
      <formula>AND(IF($Q7=3,1,IF($Q7=4,1,0)),IF($F7&lt;=85,1,0))</formula>
    </cfRule>
  </conditionalFormatting>
  <conditionalFormatting sqref="AI7">
    <cfRule type="expression" priority="701" dxfId="3">
      <formula>AND(IF(OR($Q7=1,$Q7=2),1,0),IF($X7&lt;=20,1,0))</formula>
    </cfRule>
    <cfRule type="expression" priority="702" dxfId="2">
      <formula>AND(IF($Q7=2,1,0),IF($X7&lt;30,1,0))</formula>
    </cfRule>
    <cfRule type="expression" priority="703" dxfId="1">
      <formula>AND(IF($Q7=3,1,0),IF($X7&lt;30,1,0))</formula>
    </cfRule>
    <cfRule type="expression" priority="704" dxfId="0">
      <formula>AND(IF($Q7=3,1,IF($Q7=4,1,0)),IF($F7&lt;=85,1,0))</formula>
    </cfRule>
  </conditionalFormatting>
  <conditionalFormatting sqref="AV8">
    <cfRule type="expression" priority="699" dxfId="23">
      <formula>AV8="X"</formula>
    </cfRule>
    <cfRule type="expression" priority="700" dxfId="22">
      <formula>AV8="후보"</formula>
    </cfRule>
  </conditionalFormatting>
  <conditionalFormatting sqref="AC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">
    <cfRule type="expression" priority="690" dxfId="3">
      <formula>AND(IF(OR($Q8=1,$Q8=2),1,0),IF($X8&lt;=20,1,0))</formula>
    </cfRule>
    <cfRule type="expression" priority="691" dxfId="2">
      <formula>AND(IF($Q8=2,1,0),IF($X8&lt;30,1,0))</formula>
    </cfRule>
    <cfRule type="expression" priority="692" dxfId="1">
      <formula>AND(IF($Q8=3,1,0),IF($X8&lt;30,1,0))</formula>
    </cfRule>
    <cfRule type="expression" priority="693" dxfId="0">
      <formula>AND(IF($Q8=3,1,IF($Q8=4,1,0)),IF($F8&lt;=85,1,0))</formula>
    </cfRule>
  </conditionalFormatting>
  <conditionalFormatting sqref="X8">
    <cfRule type="expression" priority="686" dxfId="3">
      <formula>AND(IF(OR($Q8=1,$Q8=2),1,0),IF($X8&lt;=20,1,0))</formula>
    </cfRule>
    <cfRule type="expression" priority="687" dxfId="2">
      <formula>AND(IF($Q8=2,1,0),IF($X8&lt;30,1,0))</formula>
    </cfRule>
    <cfRule type="expression" priority="688" dxfId="1">
      <formula>AND(IF($Q8=3,1,0),IF($X8&lt;30,1,0))</formula>
    </cfRule>
    <cfRule type="expression" priority="689" dxfId="0">
      <formula>AND(IF($Q8=3,1,IF($Q8=4,1,0)),IF($F8&lt;=85,1,0))</formula>
    </cfRule>
  </conditionalFormatting>
  <conditionalFormatting sqref="AI8">
    <cfRule type="expression" priority="682" dxfId="3">
      <formula>AND(IF(OR($Q8=1,$Q8=2),1,0),IF($X8&lt;=20,1,0))</formula>
    </cfRule>
    <cfRule type="expression" priority="683" dxfId="2">
      <formula>AND(IF($Q8=2,1,0),IF($X8&lt;30,1,0))</formula>
    </cfRule>
    <cfRule type="expression" priority="684" dxfId="1">
      <formula>AND(IF($Q8=3,1,0),IF($X8&lt;30,1,0))</formula>
    </cfRule>
    <cfRule type="expression" priority="685" dxfId="0">
      <formula>AND(IF($Q8=3,1,IF($Q8=4,1,0)),IF($F8&lt;=85,1,0))</formula>
    </cfRule>
  </conditionalFormatting>
  <conditionalFormatting sqref="AV9">
    <cfRule type="expression" priority="680" dxfId="23">
      <formula>AV9="X"</formula>
    </cfRule>
    <cfRule type="expression" priority="681" dxfId="22">
      <formula>AV9="후보"</formula>
    </cfRule>
  </conditionalFormatting>
  <conditionalFormatting sqref="AC9 N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10">
    <cfRule type="expression" priority="675" dxfId="23">
      <formula>AV10="X"</formula>
    </cfRule>
    <cfRule type="expression" priority="676" dxfId="22">
      <formula>AV10="후보"</formula>
    </cfRule>
  </conditionalFormatting>
  <conditionalFormatting sqref="AC10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0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0">
    <cfRule type="expression" priority="666" dxfId="3">
      <formula>AND(IF(OR($Q10=1,$Q10=2),1,0),IF($X10&lt;=20,1,0))</formula>
    </cfRule>
    <cfRule type="expression" priority="667" dxfId="2">
      <formula>AND(IF($Q10=2,1,0),IF($X10&lt;30,1,0))</formula>
    </cfRule>
    <cfRule type="expression" priority="668" dxfId="1">
      <formula>AND(IF($Q10=3,1,0),IF($X10&lt;30,1,0))</formula>
    </cfRule>
    <cfRule type="expression" priority="669" dxfId="0">
      <formula>AND(IF($Q10=3,1,IF($Q10=4,1,0)),IF($F10&lt;=85,1,0))</formula>
    </cfRule>
  </conditionalFormatting>
  <conditionalFormatting sqref="X10">
    <cfRule type="expression" priority="662" dxfId="3">
      <formula>AND(IF(OR($Q10=1,$Q10=2),1,0),IF($X10&lt;=20,1,0))</formula>
    </cfRule>
    <cfRule type="expression" priority="663" dxfId="2">
      <formula>AND(IF($Q10=2,1,0),IF($X10&lt;30,1,0))</formula>
    </cfRule>
    <cfRule type="expression" priority="664" dxfId="1">
      <formula>AND(IF($Q10=3,1,0),IF($X10&lt;30,1,0))</formula>
    </cfRule>
    <cfRule type="expression" priority="665" dxfId="0">
      <formula>AND(IF($Q10=3,1,IF($Q10=4,1,0)),IF($F10&lt;=85,1,0))</formula>
    </cfRule>
  </conditionalFormatting>
  <conditionalFormatting sqref="AI10">
    <cfRule type="expression" priority="658" dxfId="3">
      <formula>AND(IF(OR($Q10=1,$Q10=2),1,0),IF($X10&lt;=20,1,0))</formula>
    </cfRule>
    <cfRule type="expression" priority="659" dxfId="2">
      <formula>AND(IF($Q10=2,1,0),IF($X10&lt;30,1,0))</formula>
    </cfRule>
    <cfRule type="expression" priority="660" dxfId="1">
      <formula>AND(IF($Q10=3,1,0),IF($X10&lt;30,1,0))</formula>
    </cfRule>
    <cfRule type="expression" priority="661" dxfId="0">
      <formula>AND(IF($Q10=3,1,IF($Q10=4,1,0)),IF($F10&lt;=85,1,0))</formula>
    </cfRule>
  </conditionalFormatting>
  <conditionalFormatting sqref="AV11">
    <cfRule type="expression" priority="656" dxfId="23">
      <formula>AV11="X"</formula>
    </cfRule>
    <cfRule type="expression" priority="657" dxfId="22">
      <formula>AV11="후보"</formula>
    </cfRule>
  </conditionalFormatting>
  <conditionalFormatting sqref="AC11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">
    <cfRule type="expression" priority="647" dxfId="3">
      <formula>AND(IF(OR($Q11=1,$Q11=2),1,0),IF($X11&lt;=20,1,0))</formula>
    </cfRule>
    <cfRule type="expression" priority="648" dxfId="2">
      <formula>AND(IF($Q11=2,1,0),IF($X11&lt;30,1,0))</formula>
    </cfRule>
    <cfRule type="expression" priority="649" dxfId="1">
      <formula>AND(IF($Q11=3,1,0),IF($X11&lt;30,1,0))</formula>
    </cfRule>
    <cfRule type="expression" priority="650" dxfId="0">
      <formula>AND(IF($Q11=3,1,IF($Q11=4,1,0)),IF($F11&lt;=85,1,0))</formula>
    </cfRule>
  </conditionalFormatting>
  <conditionalFormatting sqref="X11">
    <cfRule type="expression" priority="643" dxfId="3">
      <formula>AND(IF(OR($Q11=1,$Q11=2),1,0),IF($X11&lt;=20,1,0))</formula>
    </cfRule>
    <cfRule type="expression" priority="644" dxfId="2">
      <formula>AND(IF($Q11=2,1,0),IF($X11&lt;30,1,0))</formula>
    </cfRule>
    <cfRule type="expression" priority="645" dxfId="1">
      <formula>AND(IF($Q11=3,1,0),IF($X11&lt;30,1,0))</formula>
    </cfRule>
    <cfRule type="expression" priority="646" dxfId="0">
      <formula>AND(IF($Q11=3,1,IF($Q11=4,1,0)),IF($F11&lt;=85,1,0))</formula>
    </cfRule>
  </conditionalFormatting>
  <conditionalFormatting sqref="AI11">
    <cfRule type="expression" priority="639" dxfId="3">
      <formula>AND(IF(OR($Q11=1,$Q11=2),1,0),IF($X11&lt;=20,1,0))</formula>
    </cfRule>
    <cfRule type="expression" priority="640" dxfId="2">
      <formula>AND(IF($Q11=2,1,0),IF($X11&lt;30,1,0))</formula>
    </cfRule>
    <cfRule type="expression" priority="641" dxfId="1">
      <formula>AND(IF($Q11=3,1,0),IF($X11&lt;30,1,0))</formula>
    </cfRule>
    <cfRule type="expression" priority="642" dxfId="0">
      <formula>AND(IF($Q11=3,1,IF($Q11=4,1,0)),IF($F11&lt;=85,1,0))</formula>
    </cfRule>
  </conditionalFormatting>
  <conditionalFormatting sqref="AV12">
    <cfRule type="expression" priority="637" dxfId="23">
      <formula>AV12="X"</formula>
    </cfRule>
    <cfRule type="expression" priority="638" dxfId="22">
      <formula>AV12="후보"</formula>
    </cfRule>
  </conditionalFormatting>
  <conditionalFormatting sqref="AC12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2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2">
    <cfRule type="expression" priority="628" dxfId="3">
      <formula>AND(IF(OR($Q12=1,$Q12=2),1,0),IF($X12&lt;=20,1,0))</formula>
    </cfRule>
    <cfRule type="expression" priority="629" dxfId="2">
      <formula>AND(IF($Q12=2,1,0),IF($X12&lt;30,1,0))</formula>
    </cfRule>
    <cfRule type="expression" priority="630" dxfId="1">
      <formula>AND(IF($Q12=3,1,0),IF($X12&lt;30,1,0))</formula>
    </cfRule>
    <cfRule type="expression" priority="631" dxfId="0">
      <formula>AND(IF($Q12=3,1,IF($Q12=4,1,0)),IF($F12&lt;=85,1,0))</formula>
    </cfRule>
  </conditionalFormatting>
  <conditionalFormatting sqref="X12">
    <cfRule type="expression" priority="624" dxfId="3">
      <formula>AND(IF(OR($Q12=1,$Q12=2),1,0),IF($X12&lt;=20,1,0))</formula>
    </cfRule>
    <cfRule type="expression" priority="625" dxfId="2">
      <formula>AND(IF($Q12=2,1,0),IF($X12&lt;30,1,0))</formula>
    </cfRule>
    <cfRule type="expression" priority="626" dxfId="1">
      <formula>AND(IF($Q12=3,1,0),IF($X12&lt;30,1,0))</formula>
    </cfRule>
    <cfRule type="expression" priority="627" dxfId="0">
      <formula>AND(IF($Q12=3,1,IF($Q12=4,1,0)),IF($F12&lt;=85,1,0))</formula>
    </cfRule>
  </conditionalFormatting>
  <conditionalFormatting sqref="AI12">
    <cfRule type="expression" priority="620" dxfId="3">
      <formula>AND(IF(OR($Q12=1,$Q12=2),1,0),IF($X12&lt;=20,1,0))</formula>
    </cfRule>
    <cfRule type="expression" priority="621" dxfId="2">
      <formula>AND(IF($Q12=2,1,0),IF($X12&lt;30,1,0))</formula>
    </cfRule>
    <cfRule type="expression" priority="622" dxfId="1">
      <formula>AND(IF($Q12=3,1,0),IF($X12&lt;30,1,0))</formula>
    </cfRule>
    <cfRule type="expression" priority="623" dxfId="0">
      <formula>AND(IF($Q12=3,1,IF($Q12=4,1,0)),IF($F12&lt;=85,1,0))</formula>
    </cfRule>
  </conditionalFormatting>
  <conditionalFormatting sqref="AV13">
    <cfRule type="expression" priority="618" dxfId="23">
      <formula>AV13="X"</formula>
    </cfRule>
    <cfRule type="expression" priority="619" dxfId="22">
      <formula>AV13="후보"</formula>
    </cfRule>
  </conditionalFormatting>
  <conditionalFormatting sqref="AC13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3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3">
    <cfRule type="expression" priority="609" dxfId="3">
      <formula>AND(IF(OR($Q13=1,$Q13=2),1,0),IF($X13&lt;=20,1,0))</formula>
    </cfRule>
    <cfRule type="expression" priority="610" dxfId="2">
      <formula>AND(IF($Q13=2,1,0),IF($X13&lt;30,1,0))</formula>
    </cfRule>
    <cfRule type="expression" priority="611" dxfId="1">
      <formula>AND(IF($Q13=3,1,0),IF($X13&lt;30,1,0))</formula>
    </cfRule>
    <cfRule type="expression" priority="612" dxfId="0">
      <formula>AND(IF($Q13=3,1,IF($Q13=4,1,0)),IF($F13&lt;=85,1,0))</formula>
    </cfRule>
  </conditionalFormatting>
  <conditionalFormatting sqref="X13">
    <cfRule type="expression" priority="605" dxfId="3">
      <formula>AND(IF(OR($Q13=1,$Q13=2),1,0),IF($X13&lt;=20,1,0))</formula>
    </cfRule>
    <cfRule type="expression" priority="606" dxfId="2">
      <formula>AND(IF($Q13=2,1,0),IF($X13&lt;30,1,0))</formula>
    </cfRule>
    <cfRule type="expression" priority="607" dxfId="1">
      <formula>AND(IF($Q13=3,1,0),IF($X13&lt;30,1,0))</formula>
    </cfRule>
    <cfRule type="expression" priority="608" dxfId="0">
      <formula>AND(IF($Q13=3,1,IF($Q13=4,1,0)),IF($F13&lt;=85,1,0))</formula>
    </cfRule>
  </conditionalFormatting>
  <conditionalFormatting sqref="AI13">
    <cfRule type="expression" priority="601" dxfId="3">
      <formula>AND(IF(OR($Q13=1,$Q13=2),1,0),IF($X13&lt;=20,1,0))</formula>
    </cfRule>
    <cfRule type="expression" priority="602" dxfId="2">
      <formula>AND(IF($Q13=2,1,0),IF($X13&lt;30,1,0))</formula>
    </cfRule>
    <cfRule type="expression" priority="603" dxfId="1">
      <formula>AND(IF($Q13=3,1,0),IF($X13&lt;30,1,0))</formula>
    </cfRule>
    <cfRule type="expression" priority="604" dxfId="0">
      <formula>AND(IF($Q13=3,1,IF($Q13=4,1,0)),IF($F13&lt;=85,1,0))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 N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15">
    <cfRule type="expression" priority="594" dxfId="23">
      <formula>AV15="X"</formula>
    </cfRule>
    <cfRule type="expression" priority="595" dxfId="22">
      <formula>AV15="후보"</formula>
    </cfRule>
  </conditionalFormatting>
  <conditionalFormatting sqref="AC1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5">
    <cfRule type="expression" priority="585" dxfId="3">
      <formula>AND(IF(OR($Q15=1,$Q15=2),1,0),IF($X15&lt;=20,1,0))</formula>
    </cfRule>
    <cfRule type="expression" priority="586" dxfId="2">
      <formula>AND(IF($Q15=2,1,0),IF($X15&lt;30,1,0))</formula>
    </cfRule>
    <cfRule type="expression" priority="587" dxfId="1">
      <formula>AND(IF($Q15=3,1,0),IF($X15&lt;30,1,0))</formula>
    </cfRule>
    <cfRule type="expression" priority="588" dxfId="0">
      <formula>AND(IF($Q15=3,1,IF($Q15=4,1,0)),IF($F15&lt;=85,1,0))</formula>
    </cfRule>
  </conditionalFormatting>
  <conditionalFormatting sqref="X15">
    <cfRule type="expression" priority="581" dxfId="3">
      <formula>AND(IF(OR($Q15=1,$Q15=2),1,0),IF($X15&lt;=20,1,0))</formula>
    </cfRule>
    <cfRule type="expression" priority="582" dxfId="2">
      <formula>AND(IF($Q15=2,1,0),IF($X15&lt;30,1,0))</formula>
    </cfRule>
    <cfRule type="expression" priority="583" dxfId="1">
      <formula>AND(IF($Q15=3,1,0),IF($X15&lt;30,1,0))</formula>
    </cfRule>
    <cfRule type="expression" priority="584" dxfId="0">
      <formula>AND(IF($Q15=3,1,IF($Q15=4,1,0)),IF($F15&lt;=85,1,0))</formula>
    </cfRule>
  </conditionalFormatting>
  <conditionalFormatting sqref="AI15">
    <cfRule type="expression" priority="577" dxfId="3">
      <formula>AND(IF(OR($Q15=1,$Q15=2),1,0),IF($X15&lt;=20,1,0))</formula>
    </cfRule>
    <cfRule type="expression" priority="578" dxfId="2">
      <formula>AND(IF($Q15=2,1,0),IF($X15&lt;30,1,0))</formula>
    </cfRule>
    <cfRule type="expression" priority="579" dxfId="1">
      <formula>AND(IF($Q15=3,1,0),IF($X15&lt;30,1,0))</formula>
    </cfRule>
    <cfRule type="expression" priority="580" dxfId="0">
      <formula>AND(IF($Q15=3,1,IF($Q15=4,1,0)),IF($F15&lt;=85,1,0))</formula>
    </cfRule>
  </conditionalFormatting>
  <conditionalFormatting sqref="AV16">
    <cfRule type="expression" priority="575" dxfId="23">
      <formula>AV16="X"</formula>
    </cfRule>
    <cfRule type="expression" priority="576" dxfId="22">
      <formula>AV16="후보"</formula>
    </cfRule>
  </conditionalFormatting>
  <conditionalFormatting sqref="AC16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6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6">
    <cfRule type="expression" priority="566" dxfId="3">
      <formula>AND(IF(OR($Q16=1,$Q16=2),1,0),IF($X16&lt;=20,1,0))</formula>
    </cfRule>
    <cfRule type="expression" priority="567" dxfId="2">
      <formula>AND(IF($Q16=2,1,0),IF($X16&lt;30,1,0))</formula>
    </cfRule>
    <cfRule type="expression" priority="568" dxfId="1">
      <formula>AND(IF($Q16=3,1,0),IF($X16&lt;30,1,0))</formula>
    </cfRule>
    <cfRule type="expression" priority="569" dxfId="0">
      <formula>AND(IF($Q16=3,1,IF($Q16=4,1,0)),IF($F16&lt;=85,1,0))</formula>
    </cfRule>
  </conditionalFormatting>
  <conditionalFormatting sqref="X16">
    <cfRule type="expression" priority="562" dxfId="3">
      <formula>AND(IF(OR($Q16=1,$Q16=2),1,0),IF($X16&lt;=20,1,0))</formula>
    </cfRule>
    <cfRule type="expression" priority="563" dxfId="2">
      <formula>AND(IF($Q16=2,1,0),IF($X16&lt;30,1,0))</formula>
    </cfRule>
    <cfRule type="expression" priority="564" dxfId="1">
      <formula>AND(IF($Q16=3,1,0),IF($X16&lt;30,1,0))</formula>
    </cfRule>
    <cfRule type="expression" priority="565" dxfId="0">
      <formula>AND(IF($Q16=3,1,IF($Q16=4,1,0)),IF($F16&lt;=85,1,0))</formula>
    </cfRule>
  </conditionalFormatting>
  <conditionalFormatting sqref="AI16">
    <cfRule type="expression" priority="558" dxfId="3">
      <formula>AND(IF(OR($Q16=1,$Q16=2),1,0),IF($X16&lt;=20,1,0))</formula>
    </cfRule>
    <cfRule type="expression" priority="559" dxfId="2">
      <formula>AND(IF($Q16=2,1,0),IF($X16&lt;30,1,0))</formula>
    </cfRule>
    <cfRule type="expression" priority="560" dxfId="1">
      <formula>AND(IF($Q16=3,1,0),IF($X16&lt;30,1,0))</formula>
    </cfRule>
    <cfRule type="expression" priority="561" dxfId="0">
      <formula>AND(IF($Q16=3,1,IF($Q16=4,1,0)),IF($F16&lt;=85,1,0))</formula>
    </cfRule>
  </conditionalFormatting>
  <conditionalFormatting sqref="AV17">
    <cfRule type="expression" priority="556" dxfId="23">
      <formula>AV17="X"</formula>
    </cfRule>
    <cfRule type="expression" priority="557" dxfId="22">
      <formula>AV17="후보"</formula>
    </cfRule>
  </conditionalFormatting>
  <conditionalFormatting sqref="AC1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7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7">
    <cfRule type="expression" priority="547" dxfId="3">
      <formula>AND(IF(OR($Q17=1,$Q17=2),1,0),IF($X17&lt;=20,1,0))</formula>
    </cfRule>
    <cfRule type="expression" priority="548" dxfId="2">
      <formula>AND(IF($Q17=2,1,0),IF($X17&lt;30,1,0))</formula>
    </cfRule>
    <cfRule type="expression" priority="549" dxfId="1">
      <formula>AND(IF($Q17=3,1,0),IF($X17&lt;30,1,0))</formula>
    </cfRule>
    <cfRule type="expression" priority="550" dxfId="0">
      <formula>AND(IF($Q17=3,1,IF($Q17=4,1,0)),IF($F17&lt;=85,1,0))</formula>
    </cfRule>
  </conditionalFormatting>
  <conditionalFormatting sqref="X17">
    <cfRule type="expression" priority="543" dxfId="3">
      <formula>AND(IF(OR($Q17=1,$Q17=2),1,0),IF($X17&lt;=20,1,0))</formula>
    </cfRule>
    <cfRule type="expression" priority="544" dxfId="2">
      <formula>AND(IF($Q17=2,1,0),IF($X17&lt;30,1,0))</formula>
    </cfRule>
    <cfRule type="expression" priority="545" dxfId="1">
      <formula>AND(IF($Q17=3,1,0),IF($X17&lt;30,1,0))</formula>
    </cfRule>
    <cfRule type="expression" priority="546" dxfId="0">
      <formula>AND(IF($Q17=3,1,IF($Q17=4,1,0)),IF($F17&lt;=85,1,0))</formula>
    </cfRule>
  </conditionalFormatting>
  <conditionalFormatting sqref="AI17">
    <cfRule type="expression" priority="539" dxfId="3">
      <formula>AND(IF(OR($Q17=1,$Q17=2),1,0),IF($X17&lt;=20,1,0))</formula>
    </cfRule>
    <cfRule type="expression" priority="540" dxfId="2">
      <formula>AND(IF($Q17=2,1,0),IF($X17&lt;30,1,0))</formula>
    </cfRule>
    <cfRule type="expression" priority="541" dxfId="1">
      <formula>AND(IF($Q17=3,1,0),IF($X17&lt;30,1,0))</formula>
    </cfRule>
    <cfRule type="expression" priority="542" dxfId="0">
      <formula>AND(IF($Q17=3,1,IF($Q17=4,1,0)),IF($F17&lt;=85,1,0))</formula>
    </cfRule>
  </conditionalFormatting>
  <conditionalFormatting sqref="AV18">
    <cfRule type="expression" priority="537" dxfId="23">
      <formula>AV18="X"</formula>
    </cfRule>
    <cfRule type="expression" priority="538" dxfId="22">
      <formula>AV18="후보"</formula>
    </cfRule>
  </conditionalFormatting>
  <conditionalFormatting sqref="AC18 N18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19">
    <cfRule type="expression" priority="532" dxfId="23">
      <formula>AV19="X"</formula>
    </cfRule>
    <cfRule type="expression" priority="533" dxfId="22">
      <formula>AV19="후보"</formula>
    </cfRule>
  </conditionalFormatting>
  <conditionalFormatting sqref="AC1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9">
    <cfRule type="expression" priority="523" dxfId="3">
      <formula>AND(IF(OR($Q19=1,$Q19=2),1,0),IF($X19&lt;=20,1,0))</formula>
    </cfRule>
    <cfRule type="expression" priority="524" dxfId="2">
      <formula>AND(IF($Q19=2,1,0),IF($X19&lt;30,1,0))</formula>
    </cfRule>
    <cfRule type="expression" priority="525" dxfId="1">
      <formula>AND(IF($Q19=3,1,0),IF($X19&lt;30,1,0))</formula>
    </cfRule>
    <cfRule type="expression" priority="526" dxfId="0">
      <formula>AND(IF($Q19=3,1,IF($Q19=4,1,0)),IF($F19&lt;=85,1,0))</formula>
    </cfRule>
  </conditionalFormatting>
  <conditionalFormatting sqref="X19">
    <cfRule type="expression" priority="519" dxfId="3">
      <formula>AND(IF(OR($Q19=1,$Q19=2),1,0),IF($X19&lt;=20,1,0))</formula>
    </cfRule>
    <cfRule type="expression" priority="520" dxfId="2">
      <formula>AND(IF($Q19=2,1,0),IF($X19&lt;30,1,0))</formula>
    </cfRule>
    <cfRule type="expression" priority="521" dxfId="1">
      <formula>AND(IF($Q19=3,1,0),IF($X19&lt;30,1,0))</formula>
    </cfRule>
    <cfRule type="expression" priority="522" dxfId="0">
      <formula>AND(IF($Q19=3,1,IF($Q19=4,1,0)),IF($F19&lt;=85,1,0))</formula>
    </cfRule>
  </conditionalFormatting>
  <conditionalFormatting sqref="AI19">
    <cfRule type="expression" priority="515" dxfId="3">
      <formula>AND(IF(OR($Q19=1,$Q19=2),1,0),IF($X19&lt;=20,1,0))</formula>
    </cfRule>
    <cfRule type="expression" priority="516" dxfId="2">
      <formula>AND(IF($Q19=2,1,0),IF($X19&lt;30,1,0))</formula>
    </cfRule>
    <cfRule type="expression" priority="517" dxfId="1">
      <formula>AND(IF($Q19=3,1,0),IF($X19&lt;30,1,0))</formula>
    </cfRule>
    <cfRule type="expression" priority="518" dxfId="0">
      <formula>AND(IF($Q19=3,1,IF($Q19=4,1,0)),IF($F19&lt;=85,1,0))</formula>
    </cfRule>
  </conditionalFormatting>
  <conditionalFormatting sqref="AV20">
    <cfRule type="expression" priority="513" dxfId="23">
      <formula>AV20="X"</formula>
    </cfRule>
    <cfRule type="expression" priority="514" dxfId="22">
      <formula>AV20="후보"</formula>
    </cfRule>
  </conditionalFormatting>
  <conditionalFormatting sqref="AC2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0">
    <cfRule type="expression" priority="504" dxfId="3">
      <formula>AND(IF(OR($Q20=1,$Q20=2),1,0),IF($X20&lt;=20,1,0))</formula>
    </cfRule>
    <cfRule type="expression" priority="505" dxfId="2">
      <formula>AND(IF($Q20=2,1,0),IF($X20&lt;30,1,0))</formula>
    </cfRule>
    <cfRule type="expression" priority="506" dxfId="1">
      <formula>AND(IF($Q20=3,1,0),IF($X20&lt;30,1,0))</formula>
    </cfRule>
    <cfRule type="expression" priority="507" dxfId="0">
      <formula>AND(IF($Q20=3,1,IF($Q20=4,1,0)),IF($F20&lt;=85,1,0))</formula>
    </cfRule>
  </conditionalFormatting>
  <conditionalFormatting sqref="X20">
    <cfRule type="expression" priority="500" dxfId="3">
      <formula>AND(IF(OR($Q20=1,$Q20=2),1,0),IF($X20&lt;=20,1,0))</formula>
    </cfRule>
    <cfRule type="expression" priority="501" dxfId="2">
      <formula>AND(IF($Q20=2,1,0),IF($X20&lt;30,1,0))</formula>
    </cfRule>
    <cfRule type="expression" priority="502" dxfId="1">
      <formula>AND(IF($Q20=3,1,0),IF($X20&lt;30,1,0))</formula>
    </cfRule>
    <cfRule type="expression" priority="503" dxfId="0">
      <formula>AND(IF($Q20=3,1,IF($Q20=4,1,0)),IF($F20&lt;=85,1,0))</formula>
    </cfRule>
  </conditionalFormatting>
  <conditionalFormatting sqref="AI20">
    <cfRule type="expression" priority="496" dxfId="3">
      <formula>AND(IF(OR($Q20=1,$Q20=2),1,0),IF($X20&lt;=20,1,0))</formula>
    </cfRule>
    <cfRule type="expression" priority="497" dxfId="2">
      <formula>AND(IF($Q20=2,1,0),IF($X20&lt;30,1,0))</formula>
    </cfRule>
    <cfRule type="expression" priority="498" dxfId="1">
      <formula>AND(IF($Q20=3,1,0),IF($X20&lt;30,1,0))</formula>
    </cfRule>
    <cfRule type="expression" priority="499" dxfId="0">
      <formula>AND(IF($Q20=3,1,IF($Q20=4,1,0)),IF($F20&lt;=85,1,0))</formula>
    </cfRule>
  </conditionalFormatting>
  <conditionalFormatting sqref="AV21">
    <cfRule type="expression" priority="494" dxfId="23">
      <formula>AV21="X"</formula>
    </cfRule>
    <cfRule type="expression" priority="495" dxfId="22">
      <formula>AV21="후보"</formula>
    </cfRule>
  </conditionalFormatting>
  <conditionalFormatting sqref="AC2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1">
    <cfRule type="expression" priority="485" dxfId="3">
      <formula>AND(IF(OR($Q21=1,$Q21=2),1,0),IF($X21&lt;=20,1,0))</formula>
    </cfRule>
    <cfRule type="expression" priority="486" dxfId="2">
      <formula>AND(IF($Q21=2,1,0),IF($X21&lt;30,1,0))</formula>
    </cfRule>
    <cfRule type="expression" priority="487" dxfId="1">
      <formula>AND(IF($Q21=3,1,0),IF($X21&lt;30,1,0))</formula>
    </cfRule>
    <cfRule type="expression" priority="488" dxfId="0">
      <formula>AND(IF($Q21=3,1,IF($Q21=4,1,0)),IF($F21&lt;=85,1,0))</formula>
    </cfRule>
  </conditionalFormatting>
  <conditionalFormatting sqref="X21">
    <cfRule type="expression" priority="481" dxfId="3">
      <formula>AND(IF(OR($Q21=1,$Q21=2),1,0),IF($X21&lt;=20,1,0))</formula>
    </cfRule>
    <cfRule type="expression" priority="482" dxfId="2">
      <formula>AND(IF($Q21=2,1,0),IF($X21&lt;30,1,0))</formula>
    </cfRule>
    <cfRule type="expression" priority="483" dxfId="1">
      <formula>AND(IF($Q21=3,1,0),IF($X21&lt;30,1,0))</formula>
    </cfRule>
    <cfRule type="expression" priority="484" dxfId="0">
      <formula>AND(IF($Q21=3,1,IF($Q21=4,1,0)),IF($F21&lt;=85,1,0))</formula>
    </cfRule>
  </conditionalFormatting>
  <conditionalFormatting sqref="AI21">
    <cfRule type="expression" priority="477" dxfId="3">
      <formula>AND(IF(OR($Q21=1,$Q21=2),1,0),IF($X21&lt;=20,1,0))</formula>
    </cfRule>
    <cfRule type="expression" priority="478" dxfId="2">
      <formula>AND(IF($Q21=2,1,0),IF($X21&lt;30,1,0))</formula>
    </cfRule>
    <cfRule type="expression" priority="479" dxfId="1">
      <formula>AND(IF($Q21=3,1,0),IF($X21&lt;30,1,0))</formula>
    </cfRule>
    <cfRule type="expression" priority="480" dxfId="0">
      <formula>AND(IF($Q21=3,1,IF($Q21=4,1,0)),IF($F21&lt;=85,1,0))</formula>
    </cfRule>
  </conditionalFormatting>
  <conditionalFormatting sqref="AV22">
    <cfRule type="expression" priority="475" dxfId="23">
      <formula>AV22="X"</formula>
    </cfRule>
    <cfRule type="expression" priority="476" dxfId="22">
      <formula>AV22="후보"</formula>
    </cfRule>
  </conditionalFormatting>
  <conditionalFormatting sqref="AC22 N2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23">
    <cfRule type="expression" priority="470" dxfId="23">
      <formula>AV23="X"</formula>
    </cfRule>
    <cfRule type="expression" priority="471" dxfId="22">
      <formula>AV23="후보"</formula>
    </cfRule>
  </conditionalFormatting>
  <conditionalFormatting sqref="AC2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3">
    <cfRule type="expression" priority="461" dxfId="3">
      <formula>AND(IF(OR($Q23=1,$Q23=2),1,0),IF($X23&lt;=20,1,0))</formula>
    </cfRule>
    <cfRule type="expression" priority="462" dxfId="2">
      <formula>AND(IF($Q23=2,1,0),IF($X23&lt;30,1,0))</formula>
    </cfRule>
    <cfRule type="expression" priority="463" dxfId="1">
      <formula>AND(IF($Q23=3,1,0),IF($X23&lt;30,1,0))</formula>
    </cfRule>
    <cfRule type="expression" priority="464" dxfId="0">
      <formula>AND(IF($Q23=3,1,IF($Q23=4,1,0)),IF($F23&lt;=85,1,0))</formula>
    </cfRule>
  </conditionalFormatting>
  <conditionalFormatting sqref="X23">
    <cfRule type="expression" priority="457" dxfId="3">
      <formula>AND(IF(OR($Q23=1,$Q23=2),1,0),IF($X23&lt;=20,1,0))</formula>
    </cfRule>
    <cfRule type="expression" priority="458" dxfId="2">
      <formula>AND(IF($Q23=2,1,0),IF($X23&lt;30,1,0))</formula>
    </cfRule>
    <cfRule type="expression" priority="459" dxfId="1">
      <formula>AND(IF($Q23=3,1,0),IF($X23&lt;30,1,0))</formula>
    </cfRule>
    <cfRule type="expression" priority="460" dxfId="0">
      <formula>AND(IF($Q23=3,1,IF($Q23=4,1,0)),IF($F23&lt;=85,1,0))</formula>
    </cfRule>
  </conditionalFormatting>
  <conditionalFormatting sqref="AI23">
    <cfRule type="expression" priority="453" dxfId="3">
      <formula>AND(IF(OR($Q23=1,$Q23=2),1,0),IF($X23&lt;=20,1,0))</formula>
    </cfRule>
    <cfRule type="expression" priority="454" dxfId="2">
      <formula>AND(IF($Q23=2,1,0),IF($X23&lt;30,1,0))</formula>
    </cfRule>
    <cfRule type="expression" priority="455" dxfId="1">
      <formula>AND(IF($Q23=3,1,0),IF($X23&lt;30,1,0))</formula>
    </cfRule>
    <cfRule type="expression" priority="456" dxfId="0">
      <formula>AND(IF($Q23=3,1,IF($Q23=4,1,0)),IF($F23&lt;=85,1,0))</formula>
    </cfRule>
  </conditionalFormatting>
  <conditionalFormatting sqref="AV24">
    <cfRule type="expression" priority="451" dxfId="23">
      <formula>AV24="X"</formula>
    </cfRule>
    <cfRule type="expression" priority="452" dxfId="22">
      <formula>AV24="후보"</formula>
    </cfRule>
  </conditionalFormatting>
  <conditionalFormatting sqref="AC2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4">
    <cfRule type="expression" priority="442" dxfId="3">
      <formula>AND(IF(OR($Q24=1,$Q24=2),1,0),IF($X24&lt;=20,1,0))</formula>
    </cfRule>
    <cfRule type="expression" priority="443" dxfId="2">
      <formula>AND(IF($Q24=2,1,0),IF($X24&lt;30,1,0))</formula>
    </cfRule>
    <cfRule type="expression" priority="444" dxfId="1">
      <formula>AND(IF($Q24=3,1,0),IF($X24&lt;30,1,0))</formula>
    </cfRule>
    <cfRule type="expression" priority="445" dxfId="0">
      <formula>AND(IF($Q24=3,1,IF($Q24=4,1,0)),IF($F24&lt;=85,1,0))</formula>
    </cfRule>
  </conditionalFormatting>
  <conditionalFormatting sqref="X24">
    <cfRule type="expression" priority="438" dxfId="3">
      <formula>AND(IF(OR($Q24=1,$Q24=2),1,0),IF($X24&lt;=20,1,0))</formula>
    </cfRule>
    <cfRule type="expression" priority="439" dxfId="2">
      <formula>AND(IF($Q24=2,1,0),IF($X24&lt;30,1,0))</formula>
    </cfRule>
    <cfRule type="expression" priority="440" dxfId="1">
      <formula>AND(IF($Q24=3,1,0),IF($X24&lt;30,1,0))</formula>
    </cfRule>
    <cfRule type="expression" priority="441" dxfId="0">
      <formula>AND(IF($Q24=3,1,IF($Q24=4,1,0)),IF($F24&lt;=85,1,0))</formula>
    </cfRule>
  </conditionalFormatting>
  <conditionalFormatting sqref="AI24">
    <cfRule type="expression" priority="434" dxfId="3">
      <formula>AND(IF(OR($Q24=1,$Q24=2),1,0),IF($X24&lt;=20,1,0))</formula>
    </cfRule>
    <cfRule type="expression" priority="435" dxfId="2">
      <formula>AND(IF($Q24=2,1,0),IF($X24&lt;30,1,0))</formula>
    </cfRule>
    <cfRule type="expression" priority="436" dxfId="1">
      <formula>AND(IF($Q24=3,1,0),IF($X24&lt;30,1,0))</formula>
    </cfRule>
    <cfRule type="expression" priority="437" dxfId="0">
      <formula>AND(IF($Q24=3,1,IF($Q24=4,1,0)),IF($F24&lt;=85,1,0))</formula>
    </cfRule>
  </conditionalFormatting>
  <conditionalFormatting sqref="AV25">
    <cfRule type="expression" priority="432" dxfId="23">
      <formula>AV25="X"</formula>
    </cfRule>
    <cfRule type="expression" priority="433" dxfId="22">
      <formula>AV25="후보"</formula>
    </cfRule>
  </conditionalFormatting>
  <conditionalFormatting sqref="AC2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5">
    <cfRule type="expression" priority="423" dxfId="3">
      <formula>AND(IF(OR($Q25=1,$Q25=2),1,0),IF($X25&lt;=20,1,0))</formula>
    </cfRule>
    <cfRule type="expression" priority="424" dxfId="2">
      <formula>AND(IF($Q25=2,1,0),IF($X25&lt;30,1,0))</formula>
    </cfRule>
    <cfRule type="expression" priority="425" dxfId="1">
      <formula>AND(IF($Q25=3,1,0),IF($X25&lt;30,1,0))</formula>
    </cfRule>
    <cfRule type="expression" priority="426" dxfId="0">
      <formula>AND(IF($Q25=3,1,IF($Q25=4,1,0)),IF($F25&lt;=85,1,0))</formula>
    </cfRule>
  </conditionalFormatting>
  <conditionalFormatting sqref="X25">
    <cfRule type="expression" priority="419" dxfId="3">
      <formula>AND(IF(OR($Q25=1,$Q25=2),1,0),IF($X25&lt;=20,1,0))</formula>
    </cfRule>
    <cfRule type="expression" priority="420" dxfId="2">
      <formula>AND(IF($Q25=2,1,0),IF($X25&lt;30,1,0))</formula>
    </cfRule>
    <cfRule type="expression" priority="421" dxfId="1">
      <formula>AND(IF($Q25=3,1,0),IF($X25&lt;30,1,0))</formula>
    </cfRule>
    <cfRule type="expression" priority="422" dxfId="0">
      <formula>AND(IF($Q25=3,1,IF($Q25=4,1,0)),IF($F25&lt;=85,1,0))</formula>
    </cfRule>
  </conditionalFormatting>
  <conditionalFormatting sqref="AI25">
    <cfRule type="expression" priority="415" dxfId="3">
      <formula>AND(IF(OR($Q25=1,$Q25=2),1,0),IF($X25&lt;=20,1,0))</formula>
    </cfRule>
    <cfRule type="expression" priority="416" dxfId="2">
      <formula>AND(IF($Q25=2,1,0),IF($X25&lt;30,1,0))</formula>
    </cfRule>
    <cfRule type="expression" priority="417" dxfId="1">
      <formula>AND(IF($Q25=3,1,0),IF($X25&lt;30,1,0))</formula>
    </cfRule>
    <cfRule type="expression" priority="418" dxfId="0">
      <formula>AND(IF($Q25=3,1,IF($Q25=4,1,0)),IF($F25&lt;=85,1,0))</formula>
    </cfRule>
  </conditionalFormatting>
  <conditionalFormatting sqref="AV26">
    <cfRule type="expression" priority="413" dxfId="23">
      <formula>AV26="X"</formula>
    </cfRule>
    <cfRule type="expression" priority="414" dxfId="22">
      <formula>AV26="후보"</formula>
    </cfRule>
  </conditionalFormatting>
  <conditionalFormatting sqref="AC26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6">
    <cfRule type="expression" priority="404" dxfId="3">
      <formula>AND(IF(OR($Q26=1,$Q26=2),1,0),IF($X26&lt;=20,1,0))</formula>
    </cfRule>
    <cfRule type="expression" priority="405" dxfId="2">
      <formula>AND(IF($Q26=2,1,0),IF($X26&lt;30,1,0))</formula>
    </cfRule>
    <cfRule type="expression" priority="406" dxfId="1">
      <formula>AND(IF($Q26=3,1,0),IF($X26&lt;30,1,0))</formula>
    </cfRule>
    <cfRule type="expression" priority="407" dxfId="0">
      <formula>AND(IF($Q26=3,1,IF($Q26=4,1,0)),IF($F26&lt;=85,1,0))</formula>
    </cfRule>
  </conditionalFormatting>
  <conditionalFormatting sqref="X26">
    <cfRule type="expression" priority="400" dxfId="3">
      <formula>AND(IF(OR($Q26=1,$Q26=2),1,0),IF($X26&lt;=20,1,0))</formula>
    </cfRule>
    <cfRule type="expression" priority="401" dxfId="2">
      <formula>AND(IF($Q26=2,1,0),IF($X26&lt;30,1,0))</formula>
    </cfRule>
    <cfRule type="expression" priority="402" dxfId="1">
      <formula>AND(IF($Q26=3,1,0),IF($X26&lt;30,1,0))</formula>
    </cfRule>
    <cfRule type="expression" priority="403" dxfId="0">
      <formula>AND(IF($Q26=3,1,IF($Q26=4,1,0)),IF($F26&lt;=85,1,0))</formula>
    </cfRule>
  </conditionalFormatting>
  <conditionalFormatting sqref="AI26">
    <cfRule type="expression" priority="396" dxfId="3">
      <formula>AND(IF(OR($Q26=1,$Q26=2),1,0),IF($X26&lt;=20,1,0))</formula>
    </cfRule>
    <cfRule type="expression" priority="397" dxfId="2">
      <formula>AND(IF($Q26=2,1,0),IF($X26&lt;30,1,0))</formula>
    </cfRule>
    <cfRule type="expression" priority="398" dxfId="1">
      <formula>AND(IF($Q26=3,1,0),IF($X26&lt;30,1,0))</formula>
    </cfRule>
    <cfRule type="expression" priority="399" dxfId="0">
      <formula>AND(IF($Q26=3,1,IF($Q26=4,1,0)),IF($F26&lt;=85,1,0))</formula>
    </cfRule>
  </conditionalFormatting>
  <conditionalFormatting sqref="AV27">
    <cfRule type="expression" priority="394" dxfId="23">
      <formula>AV27="X"</formula>
    </cfRule>
    <cfRule type="expression" priority="395" dxfId="22">
      <formula>AV27="후보"</formula>
    </cfRule>
  </conditionalFormatting>
  <conditionalFormatting sqref="AC2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7">
    <cfRule type="expression" priority="385" dxfId="3">
      <formula>AND(IF(OR($Q27=1,$Q27=2),1,0),IF($X27&lt;=20,1,0))</formula>
    </cfRule>
    <cfRule type="expression" priority="386" dxfId="2">
      <formula>AND(IF($Q27=2,1,0),IF($X27&lt;30,1,0))</formula>
    </cfRule>
    <cfRule type="expression" priority="387" dxfId="1">
      <formula>AND(IF($Q27=3,1,0),IF($X27&lt;30,1,0))</formula>
    </cfRule>
    <cfRule type="expression" priority="388" dxfId="0">
      <formula>AND(IF($Q27=3,1,IF($Q27=4,1,0)),IF($F27&lt;=85,1,0))</formula>
    </cfRule>
  </conditionalFormatting>
  <conditionalFormatting sqref="X27">
    <cfRule type="expression" priority="381" dxfId="3">
      <formula>AND(IF(OR($Q27=1,$Q27=2),1,0),IF($X27&lt;=20,1,0))</formula>
    </cfRule>
    <cfRule type="expression" priority="382" dxfId="2">
      <formula>AND(IF($Q27=2,1,0),IF($X27&lt;30,1,0))</formula>
    </cfRule>
    <cfRule type="expression" priority="383" dxfId="1">
      <formula>AND(IF($Q27=3,1,0),IF($X27&lt;30,1,0))</formula>
    </cfRule>
    <cfRule type="expression" priority="384" dxfId="0">
      <formula>AND(IF($Q27=3,1,IF($Q27=4,1,0)),IF($F27&lt;=85,1,0))</formula>
    </cfRule>
  </conditionalFormatting>
  <conditionalFormatting sqref="AI27">
    <cfRule type="expression" priority="377" dxfId="3">
      <formula>AND(IF(OR($Q27=1,$Q27=2),1,0),IF($X27&lt;=20,1,0))</formula>
    </cfRule>
    <cfRule type="expression" priority="378" dxfId="2">
      <formula>AND(IF($Q27=2,1,0),IF($X27&lt;30,1,0))</formula>
    </cfRule>
    <cfRule type="expression" priority="379" dxfId="1">
      <formula>AND(IF($Q27=3,1,0),IF($X27&lt;30,1,0))</formula>
    </cfRule>
    <cfRule type="expression" priority="380" dxfId="0">
      <formula>AND(IF($Q27=3,1,IF($Q27=4,1,0)),IF($F27&lt;=85,1,0))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0">
    <cfRule type="expression" priority="328" dxfId="3">
      <formula>AND(IF(OR($Q30=1,$Q30=2),1,0),IF($X30&lt;=20,1,0))</formula>
    </cfRule>
    <cfRule type="expression" priority="329" dxfId="2">
      <formula>AND(IF($Q30=2,1,0),IF($X30&lt;30,1,0))</formula>
    </cfRule>
    <cfRule type="expression" priority="330" dxfId="1">
      <formula>AND(IF($Q30=3,1,0),IF($X30&lt;30,1,0))</formula>
    </cfRule>
    <cfRule type="expression" priority="331" dxfId="0">
      <formula>AND(IF($Q30=3,1,IF($Q30=4,1,0)),IF($F30&lt;=85,1,0))</formula>
    </cfRule>
  </conditionalFormatting>
  <conditionalFormatting sqref="X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AI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V31">
    <cfRule type="expression" priority="318" dxfId="23">
      <formula>AV31="X"</formula>
    </cfRule>
    <cfRule type="expression" priority="319" dxfId="22">
      <formula>AV31="후보"</formula>
    </cfRule>
  </conditionalFormatting>
  <conditionalFormatting sqref="AC3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1">
    <cfRule type="expression" priority="309" dxfId="3">
      <formula>AND(IF(OR($Q31=1,$Q31=2),1,0),IF($X31&lt;=20,1,0))</formula>
    </cfRule>
    <cfRule type="expression" priority="310" dxfId="2">
      <formula>AND(IF($Q31=2,1,0),IF($X31&lt;30,1,0))</formula>
    </cfRule>
    <cfRule type="expression" priority="311" dxfId="1">
      <formula>AND(IF($Q31=3,1,0),IF($X31&lt;30,1,0))</formula>
    </cfRule>
    <cfRule type="expression" priority="312" dxfId="0">
      <formula>AND(IF($Q31=3,1,IF($Q31=4,1,0)),IF($F31&lt;=85,1,0))</formula>
    </cfRule>
  </conditionalFormatting>
  <conditionalFormatting sqref="X31">
    <cfRule type="expression" priority="305" dxfId="3">
      <formula>AND(IF(OR($Q31=1,$Q31=2),1,0),IF($X31&lt;=20,1,0))</formula>
    </cfRule>
    <cfRule type="expression" priority="306" dxfId="2">
      <formula>AND(IF($Q31=2,1,0),IF($X31&lt;30,1,0))</formula>
    </cfRule>
    <cfRule type="expression" priority="307" dxfId="1">
      <formula>AND(IF($Q31=3,1,0),IF($X31&lt;30,1,0))</formula>
    </cfRule>
    <cfRule type="expression" priority="308" dxfId="0">
      <formula>AND(IF($Q31=3,1,IF($Q31=4,1,0)),IF($F31&lt;=85,1,0))</formula>
    </cfRule>
  </conditionalFormatting>
  <conditionalFormatting sqref="AI31">
    <cfRule type="expression" priority="301" dxfId="3">
      <formula>AND(IF(OR($Q31=1,$Q31=2),1,0),IF($X31&lt;=20,1,0))</formula>
    </cfRule>
    <cfRule type="expression" priority="302" dxfId="2">
      <formula>AND(IF($Q31=2,1,0),IF($X31&lt;30,1,0))</formula>
    </cfRule>
    <cfRule type="expression" priority="303" dxfId="1">
      <formula>AND(IF($Q31=3,1,0),IF($X31&lt;30,1,0))</formula>
    </cfRule>
    <cfRule type="expression" priority="304" dxfId="0">
      <formula>AND(IF($Q31=3,1,IF($Q31=4,1,0)),IF($F31&lt;=85,1,0))</formula>
    </cfRule>
  </conditionalFormatting>
  <conditionalFormatting sqref="AV32">
    <cfRule type="expression" priority="299" dxfId="23">
      <formula>AV32="X"</formula>
    </cfRule>
    <cfRule type="expression" priority="300" dxfId="22">
      <formula>AV32="후보"</formula>
    </cfRule>
  </conditionalFormatting>
  <conditionalFormatting sqref="AC3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2">
    <cfRule type="expression" priority="290" dxfId="3">
      <formula>AND(IF(OR($Q32=1,$Q32=2),1,0),IF($X32&lt;=20,1,0))</formula>
    </cfRule>
    <cfRule type="expression" priority="291" dxfId="2">
      <formula>AND(IF($Q32=2,1,0),IF($X32&lt;30,1,0))</formula>
    </cfRule>
    <cfRule type="expression" priority="292" dxfId="1">
      <formula>AND(IF($Q32=3,1,0),IF($X32&lt;30,1,0))</formula>
    </cfRule>
    <cfRule type="expression" priority="293" dxfId="0">
      <formula>AND(IF($Q32=3,1,IF($Q32=4,1,0)),IF($F32&lt;=85,1,0))</formula>
    </cfRule>
  </conditionalFormatting>
  <conditionalFormatting sqref="X32">
    <cfRule type="expression" priority="286" dxfId="3">
      <formula>AND(IF(OR($Q32=1,$Q32=2),1,0),IF($X32&lt;=20,1,0))</formula>
    </cfRule>
    <cfRule type="expression" priority="287" dxfId="2">
      <formula>AND(IF($Q32=2,1,0),IF($X32&lt;30,1,0))</formula>
    </cfRule>
    <cfRule type="expression" priority="288" dxfId="1">
      <formula>AND(IF($Q32=3,1,0),IF($X32&lt;30,1,0))</formula>
    </cfRule>
    <cfRule type="expression" priority="289" dxfId="0">
      <formula>AND(IF($Q32=3,1,IF($Q32=4,1,0)),IF($F32&lt;=85,1,0))</formula>
    </cfRule>
  </conditionalFormatting>
  <conditionalFormatting sqref="AI32">
    <cfRule type="expression" priority="282" dxfId="3">
      <formula>AND(IF(OR($Q32=1,$Q32=2),1,0),IF($X32&lt;=20,1,0))</formula>
    </cfRule>
    <cfRule type="expression" priority="283" dxfId="2">
      <formula>AND(IF($Q32=2,1,0),IF($X32&lt;30,1,0))</formula>
    </cfRule>
    <cfRule type="expression" priority="284" dxfId="1">
      <formula>AND(IF($Q32=3,1,0),IF($X32&lt;30,1,0))</formula>
    </cfRule>
    <cfRule type="expression" priority="285" dxfId="0">
      <formula>AND(IF($Q32=3,1,IF($Q32=4,1,0)),IF($F32&lt;=85,1,0))</formula>
    </cfRule>
  </conditionalFormatting>
  <conditionalFormatting sqref="AV33">
    <cfRule type="expression" priority="280" dxfId="23">
      <formula>AV33="X"</formula>
    </cfRule>
    <cfRule type="expression" priority="281" dxfId="22">
      <formula>AV33="후보"</formula>
    </cfRule>
  </conditionalFormatting>
  <conditionalFormatting sqref="AC3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3">
    <cfRule type="expression" priority="271" dxfId="3">
      <formula>AND(IF(OR($Q33=1,$Q33=2),1,0),IF($X33&lt;=20,1,0))</formula>
    </cfRule>
    <cfRule type="expression" priority="272" dxfId="2">
      <formula>AND(IF($Q33=2,1,0),IF($X33&lt;30,1,0))</formula>
    </cfRule>
    <cfRule type="expression" priority="273" dxfId="1">
      <formula>AND(IF($Q33=3,1,0),IF($X33&lt;30,1,0))</formula>
    </cfRule>
    <cfRule type="expression" priority="274" dxfId="0">
      <formula>AND(IF($Q33=3,1,IF($Q33=4,1,0)),IF($F33&lt;=85,1,0))</formula>
    </cfRule>
  </conditionalFormatting>
  <conditionalFormatting sqref="X33">
    <cfRule type="expression" priority="267" dxfId="3">
      <formula>AND(IF(OR($Q33=1,$Q33=2),1,0),IF($X33&lt;=20,1,0))</formula>
    </cfRule>
    <cfRule type="expression" priority="268" dxfId="2">
      <formula>AND(IF($Q33=2,1,0),IF($X33&lt;30,1,0))</formula>
    </cfRule>
    <cfRule type="expression" priority="269" dxfId="1">
      <formula>AND(IF($Q33=3,1,0),IF($X33&lt;30,1,0))</formula>
    </cfRule>
    <cfRule type="expression" priority="270" dxfId="0">
      <formula>AND(IF($Q33=3,1,IF($Q33=4,1,0)),IF($F33&lt;=85,1,0))</formula>
    </cfRule>
  </conditionalFormatting>
  <conditionalFormatting sqref="AI33">
    <cfRule type="expression" priority="263" dxfId="3">
      <formula>AND(IF(OR($Q33=1,$Q33=2),1,0),IF($X33&lt;=20,1,0))</formula>
    </cfRule>
    <cfRule type="expression" priority="264" dxfId="2">
      <formula>AND(IF($Q33=2,1,0),IF($X33&lt;30,1,0))</formula>
    </cfRule>
    <cfRule type="expression" priority="265" dxfId="1">
      <formula>AND(IF($Q33=3,1,0),IF($X33&lt;30,1,0))</formula>
    </cfRule>
    <cfRule type="expression" priority="266" dxfId="0">
      <formula>AND(IF($Q33=3,1,IF($Q33=4,1,0)),IF($F33&lt;=85,1,0))</formula>
    </cfRule>
  </conditionalFormatting>
  <conditionalFormatting sqref="AV34">
    <cfRule type="expression" priority="261" dxfId="23">
      <formula>AV34="X"</formula>
    </cfRule>
    <cfRule type="expression" priority="262" dxfId="22">
      <formula>AV34="후보"</formula>
    </cfRule>
  </conditionalFormatting>
  <conditionalFormatting sqref="AC34 N3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5">
    <cfRule type="expression" priority="247" dxfId="3">
      <formula>AND(IF(OR($Q35=1,$Q35=2),1,0),IF($X35&lt;=20,1,0))</formula>
    </cfRule>
    <cfRule type="expression" priority="248" dxfId="2">
      <formula>AND(IF($Q35=2,1,0),IF($X35&lt;30,1,0))</formula>
    </cfRule>
    <cfRule type="expression" priority="249" dxfId="1">
      <formula>AND(IF($Q35=3,1,0),IF($X35&lt;30,1,0))</formula>
    </cfRule>
    <cfRule type="expression" priority="250" dxfId="0">
      <formula>AND(IF($Q35=3,1,IF($Q35=4,1,0)),IF($F35&lt;=85,1,0))</formula>
    </cfRule>
  </conditionalFormatting>
  <conditionalFormatting sqref="X35">
    <cfRule type="expression" priority="243" dxfId="3">
      <formula>AND(IF(OR($Q35=1,$Q35=2),1,0),IF($X35&lt;=20,1,0))</formula>
    </cfRule>
    <cfRule type="expression" priority="244" dxfId="2">
      <formula>AND(IF($Q35=2,1,0),IF($X35&lt;30,1,0))</formula>
    </cfRule>
    <cfRule type="expression" priority="245" dxfId="1">
      <formula>AND(IF($Q35=3,1,0),IF($X35&lt;30,1,0))</formula>
    </cfRule>
    <cfRule type="expression" priority="246" dxfId="0">
      <formula>AND(IF($Q35=3,1,IF($Q35=4,1,0)),IF($F35&lt;=85,1,0))</formula>
    </cfRule>
  </conditionalFormatting>
  <conditionalFormatting sqref="AI35">
    <cfRule type="expression" priority="239" dxfId="3">
      <formula>AND(IF(OR($Q35=1,$Q35=2),1,0),IF($X35&lt;=20,1,0))</formula>
    </cfRule>
    <cfRule type="expression" priority="240" dxfId="2">
      <formula>AND(IF($Q35=2,1,0),IF($X35&lt;30,1,0))</formula>
    </cfRule>
    <cfRule type="expression" priority="241" dxfId="1">
      <formula>AND(IF($Q35=3,1,0),IF($X35&lt;30,1,0))</formula>
    </cfRule>
    <cfRule type="expression" priority="242" dxfId="0">
      <formula>AND(IF($Q35=3,1,IF($Q35=4,1,0)),IF($F35&lt;=85,1,0))</formula>
    </cfRule>
  </conditionalFormatting>
  <conditionalFormatting sqref="AV36">
    <cfRule type="expression" priority="237" dxfId="23">
      <formula>AV36="X"</formula>
    </cfRule>
    <cfRule type="expression" priority="238" dxfId="22">
      <formula>AV36="후보"</formula>
    </cfRule>
  </conditionalFormatting>
  <conditionalFormatting sqref="AC3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23">
      <formula>AV37="X"</formula>
    </cfRule>
    <cfRule type="expression" priority="219" dxfId="22">
      <formula>AV37="후보"</formula>
    </cfRule>
  </conditionalFormatting>
  <conditionalFormatting sqref="AC3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23">
      <formula>AV38="X"</formula>
    </cfRule>
    <cfRule type="expression" priority="200" dxfId="22">
      <formula>AV38="후보"</formula>
    </cfRule>
  </conditionalFormatting>
  <conditionalFormatting sqref="AC3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23">
      <formula>AV39="X"</formula>
    </cfRule>
    <cfRule type="expression" priority="181" dxfId="22">
      <formula>AV39="후보"</formula>
    </cfRule>
  </conditionalFormatting>
  <conditionalFormatting sqref="AC3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23">
      <formula>AV40="X"</formula>
    </cfRule>
    <cfRule type="expression" priority="162" dxfId="22">
      <formula>AV40="후보"</formula>
    </cfRule>
  </conditionalFormatting>
  <conditionalFormatting sqref="AC4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0">
    <cfRule type="expression" priority="152" dxfId="3">
      <formula>AND(IF(OR($Q40=1,$Q40=2),1,0),IF($X40&lt;=20,1,0))</formula>
    </cfRule>
    <cfRule type="expression" priority="153" dxfId="2">
      <formula>AND(IF($Q40=2,1,0),IF($X40&lt;30,1,0))</formula>
    </cfRule>
    <cfRule type="expression" priority="154" dxfId="1">
      <formula>AND(IF($Q40=3,1,0),IF($X40&lt;30,1,0))</formula>
    </cfRule>
    <cfRule type="expression" priority="155" dxfId="0">
      <formula>AND(IF($Q40=3,1,IF($Q40=4,1,0)),IF($F40&lt;=85,1,0))</formula>
    </cfRule>
  </conditionalFormatting>
  <conditionalFormatting sqref="X40">
    <cfRule type="expression" priority="148" dxfId="3">
      <formula>AND(IF(OR($Q40=1,$Q40=2),1,0),IF($X40&lt;=20,1,0))</formula>
    </cfRule>
    <cfRule type="expression" priority="149" dxfId="2">
      <formula>AND(IF($Q40=2,1,0),IF($X40&lt;30,1,0))</formula>
    </cfRule>
    <cfRule type="expression" priority="150" dxfId="1">
      <formula>AND(IF($Q40=3,1,0),IF($X40&lt;30,1,0))</formula>
    </cfRule>
    <cfRule type="expression" priority="151" dxfId="0">
      <formula>AND(IF($Q40=3,1,IF($Q40=4,1,0)),IF($F40&lt;=85,1,0))</formula>
    </cfRule>
  </conditionalFormatting>
  <conditionalFormatting sqref="AI40">
    <cfRule type="expression" priority="144" dxfId="3">
      <formula>AND(IF(OR($Q40=1,$Q40=2),1,0),IF($X40&lt;=20,1,0))</formula>
    </cfRule>
    <cfRule type="expression" priority="145" dxfId="2">
      <formula>AND(IF($Q40=2,1,0),IF($X40&lt;30,1,0))</formula>
    </cfRule>
    <cfRule type="expression" priority="146" dxfId="1">
      <formula>AND(IF($Q40=3,1,0),IF($X40&lt;30,1,0))</formula>
    </cfRule>
    <cfRule type="expression" priority="147" dxfId="0">
      <formula>AND(IF($Q40=3,1,IF($Q40=4,1,0)),IF($F40&lt;=85,1,0))</formula>
    </cfRule>
  </conditionalFormatting>
  <conditionalFormatting sqref="AV41">
    <cfRule type="expression" priority="142" dxfId="23">
      <formula>AV41="X"</formula>
    </cfRule>
    <cfRule type="expression" priority="143" dxfId="22">
      <formula>AV41="후보"</formula>
    </cfRule>
  </conditionalFormatting>
  <conditionalFormatting sqref="AC41 N4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 N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45">
    <cfRule type="expression" priority="94" dxfId="23">
      <formula>AV45="X"</formula>
    </cfRule>
    <cfRule type="expression" priority="95" dxfId="22">
      <formula>AV45="후보"</formula>
    </cfRule>
  </conditionalFormatting>
  <conditionalFormatting sqref="AC4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5">
    <cfRule type="expression" priority="85" dxfId="3">
      <formula>AND(IF(OR($Q45=1,$Q45=2),1,0),IF($X45&lt;=20,1,0))</formula>
    </cfRule>
    <cfRule type="expression" priority="86" dxfId="2">
      <formula>AND(IF($Q45=2,1,0),IF($X45&lt;30,1,0))</formula>
    </cfRule>
    <cfRule type="expression" priority="87" dxfId="1">
      <formula>AND(IF($Q45=3,1,0),IF($X45&lt;30,1,0))</formula>
    </cfRule>
    <cfRule type="expression" priority="88" dxfId="0">
      <formula>AND(IF($Q45=3,1,IF($Q45=4,1,0)),IF($F45&lt;=85,1,0))</formula>
    </cfRule>
  </conditionalFormatting>
  <conditionalFormatting sqref="X45">
    <cfRule type="expression" priority="81" dxfId="3">
      <formula>AND(IF(OR($Q45=1,$Q45=2),1,0),IF($X45&lt;=20,1,0))</formula>
    </cfRule>
    <cfRule type="expression" priority="82" dxfId="2">
      <formula>AND(IF($Q45=2,1,0),IF($X45&lt;30,1,0))</formula>
    </cfRule>
    <cfRule type="expression" priority="83" dxfId="1">
      <formula>AND(IF($Q45=3,1,0),IF($X45&lt;30,1,0))</formula>
    </cfRule>
    <cfRule type="expression" priority="84" dxfId="0">
      <formula>AND(IF($Q45=3,1,IF($Q45=4,1,0)),IF($F45&lt;=85,1,0))</formula>
    </cfRule>
  </conditionalFormatting>
  <conditionalFormatting sqref="AI45">
    <cfRule type="expression" priority="77" dxfId="3">
      <formula>AND(IF(OR($Q45=1,$Q45=2),1,0),IF($X45&lt;=20,1,0))</formula>
    </cfRule>
    <cfRule type="expression" priority="78" dxfId="2">
      <formula>AND(IF($Q45=2,1,0),IF($X45&lt;30,1,0))</formula>
    </cfRule>
    <cfRule type="expression" priority="79" dxfId="1">
      <formula>AND(IF($Q45=3,1,0),IF($X45&lt;30,1,0))</formula>
    </cfRule>
    <cfRule type="expression" priority="80" dxfId="0">
      <formula>AND(IF($Q45=3,1,IF($Q45=4,1,0)),IF($F45&lt;=85,1,0))</formula>
    </cfRule>
  </conditionalFormatting>
  <conditionalFormatting sqref="AV46">
    <cfRule type="expression" priority="75" dxfId="23">
      <formula>AV46="X"</formula>
    </cfRule>
    <cfRule type="expression" priority="76" dxfId="22">
      <formula>AV46="후보"</formula>
    </cfRule>
  </conditionalFormatting>
  <conditionalFormatting sqref="AC4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6">
    <cfRule type="expression" priority="66" dxfId="3">
      <formula>AND(IF(OR($Q46=1,$Q46=2),1,0),IF($X46&lt;=20,1,0))</formula>
    </cfRule>
    <cfRule type="expression" priority="67" dxfId="2">
      <formula>AND(IF($Q46=2,1,0),IF($X46&lt;30,1,0))</formula>
    </cfRule>
    <cfRule type="expression" priority="68" dxfId="1">
      <formula>AND(IF($Q46=3,1,0),IF($X46&lt;30,1,0))</formula>
    </cfRule>
    <cfRule type="expression" priority="69" dxfId="0">
      <formula>AND(IF($Q46=3,1,IF($Q46=4,1,0)),IF($F46&lt;=85,1,0))</formula>
    </cfRule>
  </conditionalFormatting>
  <conditionalFormatting sqref="X46">
    <cfRule type="expression" priority="62" dxfId="3">
      <formula>AND(IF(OR($Q46=1,$Q46=2),1,0),IF($X46&lt;=20,1,0))</formula>
    </cfRule>
    <cfRule type="expression" priority="63" dxfId="2">
      <formula>AND(IF($Q46=2,1,0),IF($X46&lt;30,1,0))</formula>
    </cfRule>
    <cfRule type="expression" priority="64" dxfId="1">
      <formula>AND(IF($Q46=3,1,0),IF($X46&lt;30,1,0))</formula>
    </cfRule>
    <cfRule type="expression" priority="65" dxfId="0">
      <formula>AND(IF($Q46=3,1,IF($Q46=4,1,0)),IF($F46&lt;=85,1,0))</formula>
    </cfRule>
  </conditionalFormatting>
  <conditionalFormatting sqref="AI46">
    <cfRule type="expression" priority="58" dxfId="3">
      <formula>AND(IF(OR($Q46=1,$Q46=2),1,0),IF($X46&lt;=20,1,0))</formula>
    </cfRule>
    <cfRule type="expression" priority="59" dxfId="2">
      <formula>AND(IF($Q46=2,1,0),IF($X46&lt;30,1,0))</formula>
    </cfRule>
    <cfRule type="expression" priority="60" dxfId="1">
      <formula>AND(IF($Q46=3,1,0),IF($X46&lt;30,1,0))</formula>
    </cfRule>
    <cfRule type="expression" priority="61" dxfId="0">
      <formula>AND(IF($Q46=3,1,IF($Q46=4,1,0)),IF($F46&lt;=85,1,0))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안골동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창원마린푸르지오2차</t>
        </is>
      </c>
      <c r="B6" s="10" t="inlineStr">
        <is>
          <t>'16.10.</t>
        </is>
      </c>
      <c r="C6" s="134" t="n">
        <v>599</v>
      </c>
      <c r="D6" s="132" t="n">
        <v>82.8</v>
      </c>
      <c r="E6" s="133" t="n">
        <v>25</v>
      </c>
      <c r="F6" s="132" t="n">
        <v>59.9</v>
      </c>
      <c r="G6" s="17" t="n">
        <v>18</v>
      </c>
      <c r="H6" s="134" t="n">
        <v>63</v>
      </c>
      <c r="I6" s="135" t="n">
        <v>23000</v>
      </c>
      <c r="J6" s="135" t="inlineStr">
        <is>
          <t>5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82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창원마린푸르지오2차</t>
        </is>
      </c>
      <c r="B7" s="10" t="inlineStr">
        <is>
          <t>'16.10.</t>
        </is>
      </c>
      <c r="C7" s="134" t="n">
        <v>599</v>
      </c>
      <c r="D7" s="132" t="n">
        <v>99.90000000000001</v>
      </c>
      <c r="E7" s="133" t="n">
        <v>30</v>
      </c>
      <c r="F7" s="132" t="n">
        <v>75</v>
      </c>
      <c r="G7" s="17" t="n">
        <v>23</v>
      </c>
      <c r="H7" s="134" t="n">
        <v>82</v>
      </c>
      <c r="I7" s="135" t="n">
        <v>29000</v>
      </c>
      <c r="J7" s="135" t="inlineStr">
        <is>
          <t>11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99B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창원마린푸르지오2차</t>
        </is>
      </c>
      <c r="B8" s="10" t="inlineStr">
        <is>
          <t>'16.10.</t>
        </is>
      </c>
      <c r="C8" s="134" t="n">
        <v>599</v>
      </c>
      <c r="D8" s="132" t="n">
        <v>99.5</v>
      </c>
      <c r="E8" s="133" t="n">
        <v>30</v>
      </c>
      <c r="F8" s="132" t="n">
        <v>74.90000000000001</v>
      </c>
      <c r="G8" s="17" t="n">
        <v>23</v>
      </c>
      <c r="H8" s="134" t="n">
        <v>79</v>
      </c>
      <c r="I8" s="135" t="n">
        <v>29000</v>
      </c>
      <c r="J8" s="135" t="inlineStr">
        <is>
          <t>5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99A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창원마린푸르지오2차</t>
        </is>
      </c>
      <c r="B9" s="10" t="inlineStr">
        <is>
          <t>'16.10.</t>
        </is>
      </c>
      <c r="C9" s="134" t="n">
        <v>599</v>
      </c>
      <c r="D9" s="132" t="n">
        <v>111.9</v>
      </c>
      <c r="E9" s="133" t="n">
        <v>34</v>
      </c>
      <c r="F9" s="132" t="n">
        <v>85</v>
      </c>
      <c r="G9" s="17" t="n">
        <v>26</v>
      </c>
      <c r="H9" s="134" t="n">
        <v>240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inlineStr">
        <is>
          <t>111A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창원마린푸르지오2차</t>
        </is>
      </c>
      <c r="B10" s="10" t="inlineStr">
        <is>
          <t>'16.10.</t>
        </is>
      </c>
      <c r="C10" s="134" t="n">
        <v>599</v>
      </c>
      <c r="D10" s="132" t="n">
        <v>112.7</v>
      </c>
      <c r="E10" s="133" t="n">
        <v>34</v>
      </c>
      <c r="F10" s="132" t="n">
        <v>84.90000000000001</v>
      </c>
      <c r="G10" s="17" t="n">
        <v>26</v>
      </c>
      <c r="H10" s="134" t="n">
        <v>135</v>
      </c>
      <c r="I10" s="135" t="n">
        <v>33000</v>
      </c>
      <c r="J10" s="135" t="inlineStr">
        <is>
          <t>5</t>
        </is>
      </c>
      <c r="K10" s="135" t="n">
        <v>28000</v>
      </c>
      <c r="L10" s="135" t="inlineStr">
        <is>
          <t>7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112B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부산신항만이지더원1단지</t>
        </is>
      </c>
      <c r="B6" s="10" t="inlineStr">
        <is>
          <t>'14.10.</t>
        </is>
      </c>
      <c r="C6" s="134" t="n">
        <v>340</v>
      </c>
      <c r="D6" s="132" t="n">
        <v>80.40000000000001</v>
      </c>
      <c r="E6" s="133" t="n">
        <v>24</v>
      </c>
      <c r="F6" s="132" t="n">
        <v>59.9</v>
      </c>
      <c r="G6" s="17" t="n">
        <v>18</v>
      </c>
      <c r="H6" s="134" t="n">
        <v>56</v>
      </c>
      <c r="I6" s="135" t="n">
        <v>20000</v>
      </c>
      <c r="J6" s="135" t="inlineStr">
        <is>
          <t>9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부산신항만이지더원1단지</t>
        </is>
      </c>
      <c r="B7" s="10" t="inlineStr">
        <is>
          <t>'14.10.</t>
        </is>
      </c>
      <c r="C7" s="134" t="n">
        <v>340</v>
      </c>
      <c r="D7" s="132" t="n">
        <v>112.3</v>
      </c>
      <c r="E7" s="133" t="n">
        <v>34</v>
      </c>
      <c r="F7" s="132" t="n">
        <v>84.90000000000001</v>
      </c>
      <c r="G7" s="17" t="n">
        <v>26</v>
      </c>
      <c r="H7" s="134" t="n">
        <v>284</v>
      </c>
      <c r="I7" s="135" t="n">
        <v>26000</v>
      </c>
      <c r="J7" s="135" t="inlineStr">
        <is>
          <t>5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112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7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부산신항만이지더원2단지</t>
        </is>
      </c>
      <c r="B9" s="10" t="inlineStr">
        <is>
          <t>'14.10.</t>
        </is>
      </c>
      <c r="C9" s="134" t="n">
        <v>452</v>
      </c>
      <c r="D9" s="132" t="n">
        <v>80.40000000000001</v>
      </c>
      <c r="E9" s="133" t="n">
        <v>24</v>
      </c>
      <c r="F9" s="132" t="n">
        <v>59.9</v>
      </c>
      <c r="G9" s="17" t="n">
        <v>18</v>
      </c>
      <c r="H9" s="134" t="n">
        <v>112</v>
      </c>
      <c r="I9" s="135" t="n">
        <v>20000</v>
      </c>
      <c r="J9" s="135" t="inlineStr">
        <is>
          <t>15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80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부산신항만이지더원2단지</t>
        </is>
      </c>
      <c r="B10" s="10" t="inlineStr">
        <is>
          <t>'14.10.</t>
        </is>
      </c>
      <c r="C10" s="134" t="n">
        <v>452</v>
      </c>
      <c r="D10" s="132" t="n">
        <v>112.3</v>
      </c>
      <c r="E10" s="133" t="n">
        <v>34</v>
      </c>
      <c r="F10" s="132" t="n">
        <v>84.90000000000001</v>
      </c>
      <c r="G10" s="17" t="n">
        <v>26</v>
      </c>
      <c r="H10" s="134" t="n">
        <v>340</v>
      </c>
      <c r="I10" s="135" t="n">
        <v>26500</v>
      </c>
      <c r="J10" s="135" t="inlineStr">
        <is>
          <t>중</t>
        </is>
      </c>
      <c r="K10" s="135" t="n">
        <v>23000</v>
      </c>
      <c r="L10" s="135" t="inlineStr">
        <is>
          <t>중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112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7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일신님</t>
        </is>
      </c>
      <c r="B12" s="10" t="inlineStr">
        <is>
          <t>'05.08.</t>
        </is>
      </c>
      <c r="C12" s="134" t="n">
        <v>869</v>
      </c>
      <c r="D12" s="132" t="n">
        <v>110.2</v>
      </c>
      <c r="E12" s="133" t="n">
        <v>33</v>
      </c>
      <c r="F12" s="132" t="n">
        <v>85</v>
      </c>
      <c r="G12" s="17" t="n">
        <v>26</v>
      </c>
      <c r="H12" s="134" t="n">
        <v>479</v>
      </c>
      <c r="I12" s="135" t="n">
        <v>23000</v>
      </c>
      <c r="J12" s="135" t="inlineStr">
        <is>
          <t>5</t>
        </is>
      </c>
      <c r="K12" s="135" t="n">
        <v>22500</v>
      </c>
      <c r="L12" s="135" t="inlineStr">
        <is>
          <t>7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110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일신님</t>
        </is>
      </c>
      <c r="B13" s="10" t="inlineStr">
        <is>
          <t>'05.08.</t>
        </is>
      </c>
      <c r="C13" s="134" t="n">
        <v>869</v>
      </c>
      <c r="D13" s="132" t="n">
        <v>134.1</v>
      </c>
      <c r="E13" s="133" t="n">
        <v>41</v>
      </c>
      <c r="F13" s="132" t="n">
        <v>101.7</v>
      </c>
      <c r="G13" s="17" t="n">
        <v>31</v>
      </c>
      <c r="H13" s="134" t="n">
        <v>300</v>
      </c>
      <c r="I13" s="135" t="n">
        <v>28000</v>
      </c>
      <c r="J13" s="135" t="inlineStr">
        <is>
          <t>7</t>
        </is>
      </c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134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일신님</t>
        </is>
      </c>
      <c r="B14" s="10" t="inlineStr">
        <is>
          <t>'05.08.</t>
        </is>
      </c>
      <c r="C14" s="134" t="n">
        <v>869</v>
      </c>
      <c r="D14" s="132" t="n">
        <v>158.4</v>
      </c>
      <c r="E14" s="133" t="n">
        <v>48</v>
      </c>
      <c r="F14" s="132" t="n">
        <v>121.4</v>
      </c>
      <c r="G14" s="17" t="n">
        <v>37</v>
      </c>
      <c r="H14" s="134" t="n">
        <v>90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158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3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2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7" t="n"/>
      <c r="P15" s="137" t="n"/>
      <c r="Q15" s="133" t="n"/>
      <c r="R15" s="133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7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부산신항사랑으로부영6블럭</t>
        </is>
      </c>
      <c r="B16" s="10" t="inlineStr">
        <is>
          <t>'19.06.</t>
        </is>
      </c>
      <c r="C16" s="134" t="n">
        <v>539</v>
      </c>
      <c r="D16" s="132" t="n">
        <v>112.6</v>
      </c>
      <c r="E16" s="133" t="n">
        <v>34</v>
      </c>
      <c r="F16" s="132" t="n">
        <v>85</v>
      </c>
      <c r="G16" s="17" t="n">
        <v>26</v>
      </c>
      <c r="H16" s="134" t="n">
        <v>357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112A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부산신항사랑으로부영6블럭</t>
        </is>
      </c>
      <c r="B17" s="10" t="inlineStr">
        <is>
          <t>'19.06.</t>
        </is>
      </c>
      <c r="C17" s="134" t="n">
        <v>539</v>
      </c>
      <c r="D17" s="132" t="n">
        <v>113.3</v>
      </c>
      <c r="E17" s="133" t="n">
        <v>34</v>
      </c>
      <c r="F17" s="132" t="n">
        <v>84.90000000000001</v>
      </c>
      <c r="G17" s="17" t="n">
        <v>26</v>
      </c>
      <c r="H17" s="134" t="n">
        <v>95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113B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3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부산신항사랑으로부영6블럭</t>
        </is>
      </c>
      <c r="B18" s="10" t="inlineStr">
        <is>
          <t>'19.06.</t>
        </is>
      </c>
      <c r="C18" s="134" t="n">
        <v>539</v>
      </c>
      <c r="D18" s="132" t="n">
        <v>113.2</v>
      </c>
      <c r="E18" s="133" t="n">
        <v>34</v>
      </c>
      <c r="F18" s="132" t="n">
        <v>84.59999999999999</v>
      </c>
      <c r="G18" s="17" t="n">
        <v>26</v>
      </c>
      <c r="H18" s="134" t="n">
        <v>87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113C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3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7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코아루</t>
        </is>
      </c>
      <c r="B20" s="10" t="inlineStr">
        <is>
          <t>'05.09.</t>
        </is>
      </c>
      <c r="C20" s="134" t="n">
        <v>897</v>
      </c>
      <c r="D20" s="132" t="n">
        <v>112.6</v>
      </c>
      <c r="E20" s="133" t="n">
        <v>34</v>
      </c>
      <c r="F20" s="132" t="n">
        <v>84.7</v>
      </c>
      <c r="G20" s="17" t="n">
        <v>26</v>
      </c>
      <c r="H20" s="134" t="n">
        <v>597</v>
      </c>
      <c r="I20" s="135" t="n">
        <v>22000</v>
      </c>
      <c r="J20" s="135" t="inlineStr">
        <is>
          <t>5</t>
        </is>
      </c>
      <c r="K20" s="135" t="n">
        <v>22500</v>
      </c>
      <c r="L20" s="135" t="inlineStr">
        <is>
          <t>중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112A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3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코아루</t>
        </is>
      </c>
      <c r="B21" s="10" t="inlineStr">
        <is>
          <t>'05.09.</t>
        </is>
      </c>
      <c r="C21" s="134" t="n">
        <v>897</v>
      </c>
      <c r="D21" s="132" t="n">
        <v>112.6</v>
      </c>
      <c r="E21" s="133" t="n">
        <v>34</v>
      </c>
      <c r="F21" s="132" t="n">
        <v>84.7</v>
      </c>
      <c r="G21" s="17" t="n">
        <v>26</v>
      </c>
      <c r="H21" s="134" t="n">
        <v>180</v>
      </c>
      <c r="I21" s="135" t="n">
        <v>22000</v>
      </c>
      <c r="J21" s="135" t="inlineStr">
        <is>
          <t>5</t>
        </is>
      </c>
      <c r="K21" s="135" t="n">
        <v>22500</v>
      </c>
      <c r="L21" s="135" t="inlineStr">
        <is>
          <t>중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112B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코아루</t>
        </is>
      </c>
      <c r="B22" s="10" t="inlineStr">
        <is>
          <t>'05.09.</t>
        </is>
      </c>
      <c r="C22" s="134" t="n">
        <v>897</v>
      </c>
      <c r="D22" s="132" t="n">
        <v>149.6</v>
      </c>
      <c r="E22" s="133" t="n">
        <v>45</v>
      </c>
      <c r="F22" s="132" t="n">
        <v>120.4</v>
      </c>
      <c r="G22" s="17" t="n">
        <v>36</v>
      </c>
      <c r="H22" s="134" t="n">
        <v>120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149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3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2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7" t="n"/>
      <c r="P23" s="137" t="n"/>
      <c r="Q23" s="133" t="n"/>
      <c r="R23" s="133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7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현대</t>
        </is>
      </c>
      <c r="B24" s="10" t="inlineStr">
        <is>
          <t>'98.12.</t>
        </is>
      </c>
      <c r="C24" s="134" t="n">
        <v>508</v>
      </c>
      <c r="D24" s="132" t="n">
        <v>104.8</v>
      </c>
      <c r="E24" s="133" t="n">
        <v>32</v>
      </c>
      <c r="F24" s="132" t="n">
        <v>85</v>
      </c>
      <c r="G24" s="17" t="n">
        <v>26</v>
      </c>
      <c r="H24" s="134" t="n">
        <v>508</v>
      </c>
      <c r="I24" s="135" t="n">
        <v>16900</v>
      </c>
      <c r="J24" s="135" t="inlineStr">
        <is>
          <t>고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104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3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292" dxfId="23">
      <formula>AV4="X"</formula>
    </cfRule>
    <cfRule type="expression" priority="293" dxfId="22">
      <formula>AV4="후보"</formula>
    </cfRule>
  </conditionalFormatting>
  <conditionalFormatting sqref="AC1:AC2 AC4:AC6 N4:N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N1:N2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X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I6">
    <cfRule type="expression" priority="273" dxfId="3">
      <formula>AND(IF(OR($Q6=1,$Q6=2),1,0),IF($X6&lt;=20,1,0))</formula>
    </cfRule>
    <cfRule type="expression" priority="274" dxfId="2">
      <formula>AND(IF($Q6=2,1,0),IF($X6&lt;30,1,0))</formula>
    </cfRule>
    <cfRule type="expression" priority="275" dxfId="1">
      <formula>AND(IF($Q6=3,1,0),IF($X6&lt;30,1,0))</formula>
    </cfRule>
    <cfRule type="expression" priority="276" dxfId="0">
      <formula>AND(IF($Q6=3,1,IF($Q6=4,1,0)),IF($F6&lt;=85,1,0))</formula>
    </cfRule>
  </conditionalFormatting>
  <conditionalFormatting sqref="AV7">
    <cfRule type="expression" priority="271" dxfId="23">
      <formula>AV7="X"</formula>
    </cfRule>
    <cfRule type="expression" priority="272" dxfId="22">
      <formula>AV7="후보"</formula>
    </cfRule>
  </conditionalFormatting>
  <conditionalFormatting sqref="AC7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7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X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I7">
    <cfRule type="expression" priority="254" dxfId="3">
      <formula>AND(IF(OR($Q7=1,$Q7=2),1,0),IF($X7&lt;=20,1,0))</formula>
    </cfRule>
    <cfRule type="expression" priority="255" dxfId="2">
      <formula>AND(IF($Q7=2,1,0),IF($X7&lt;30,1,0))</formula>
    </cfRule>
    <cfRule type="expression" priority="256" dxfId="1">
      <formula>AND(IF($Q7=3,1,0),IF($X7&lt;30,1,0))</formula>
    </cfRule>
    <cfRule type="expression" priority="257" dxfId="0">
      <formula>AND(IF($Q7=3,1,IF($Q7=4,1,0)),IF($F7&lt;=85,1,0))</formula>
    </cfRule>
  </conditionalFormatting>
  <conditionalFormatting sqref="AV8">
    <cfRule type="expression" priority="252" dxfId="23">
      <formula>AV8="X"</formula>
    </cfRule>
    <cfRule type="expression" priority="253" dxfId="22">
      <formula>AV8="후보"</formula>
    </cfRule>
  </conditionalFormatting>
  <conditionalFormatting sqref="AC8 N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9">
    <cfRule type="expression" priority="247" dxfId="23">
      <formula>AV9="X"</formula>
    </cfRule>
    <cfRule type="expression" priority="248" dxfId="22">
      <formula>AV9="후보"</formula>
    </cfRule>
  </conditionalFormatting>
  <conditionalFormatting sqref="AC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9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9">
    <cfRule type="expression" priority="238" dxfId="3">
      <formula>AND(IF(OR($Q9=1,$Q9=2),1,0),IF($X9&lt;=20,1,0))</formula>
    </cfRule>
    <cfRule type="expression" priority="239" dxfId="2">
      <formula>AND(IF($Q9=2,1,0),IF($X9&lt;30,1,0))</formula>
    </cfRule>
    <cfRule type="expression" priority="240" dxfId="1">
      <formula>AND(IF($Q9=3,1,0),IF($X9&lt;30,1,0))</formula>
    </cfRule>
    <cfRule type="expression" priority="241" dxfId="0">
      <formula>AND(IF($Q9=3,1,IF($Q9=4,1,0)),IF($F9&lt;=85,1,0))</formula>
    </cfRule>
  </conditionalFormatting>
  <conditionalFormatting sqref="X9">
    <cfRule type="expression" priority="234" dxfId="3">
      <formula>AND(IF(OR($Q9=1,$Q9=2),1,0),IF($X9&lt;=20,1,0))</formula>
    </cfRule>
    <cfRule type="expression" priority="235" dxfId="2">
      <formula>AND(IF($Q9=2,1,0),IF($X9&lt;30,1,0))</formula>
    </cfRule>
    <cfRule type="expression" priority="236" dxfId="1">
      <formula>AND(IF($Q9=3,1,0),IF($X9&lt;30,1,0))</formula>
    </cfRule>
    <cfRule type="expression" priority="237" dxfId="0">
      <formula>AND(IF($Q9=3,1,IF($Q9=4,1,0)),IF($F9&lt;=85,1,0))</formula>
    </cfRule>
  </conditionalFormatting>
  <conditionalFormatting sqref="AI9">
    <cfRule type="expression" priority="230" dxfId="3">
      <formula>AND(IF(OR($Q9=1,$Q9=2),1,0),IF($X9&lt;=20,1,0))</formula>
    </cfRule>
    <cfRule type="expression" priority="231" dxfId="2">
      <formula>AND(IF($Q9=2,1,0),IF($X9&lt;30,1,0))</formula>
    </cfRule>
    <cfRule type="expression" priority="232" dxfId="1">
      <formula>AND(IF($Q9=3,1,0),IF($X9&lt;30,1,0))</formula>
    </cfRule>
    <cfRule type="expression" priority="233" dxfId="0">
      <formula>AND(IF($Q9=3,1,IF($Q9=4,1,0)),IF($F9&lt;=85,1,0))</formula>
    </cfRule>
  </conditionalFormatting>
  <conditionalFormatting sqref="AV10">
    <cfRule type="expression" priority="228" dxfId="23">
      <formula>AV10="X"</formula>
    </cfRule>
    <cfRule type="expression" priority="229" dxfId="22">
      <formula>AV10="후보"</formula>
    </cfRule>
  </conditionalFormatting>
  <conditionalFormatting sqref="AC10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0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0">
    <cfRule type="expression" priority="219" dxfId="3">
      <formula>AND(IF(OR($Q10=1,$Q10=2),1,0),IF($X10&lt;=20,1,0))</formula>
    </cfRule>
    <cfRule type="expression" priority="220" dxfId="2">
      <formula>AND(IF($Q10=2,1,0),IF($X10&lt;30,1,0))</formula>
    </cfRule>
    <cfRule type="expression" priority="221" dxfId="1">
      <formula>AND(IF($Q10=3,1,0),IF($X10&lt;30,1,0))</formula>
    </cfRule>
    <cfRule type="expression" priority="222" dxfId="0">
      <formula>AND(IF($Q10=3,1,IF($Q10=4,1,0)),IF($F10&lt;=85,1,0))</formula>
    </cfRule>
  </conditionalFormatting>
  <conditionalFormatting sqref="X10">
    <cfRule type="expression" priority="215" dxfId="3">
      <formula>AND(IF(OR($Q10=1,$Q10=2),1,0),IF($X10&lt;=20,1,0))</formula>
    </cfRule>
    <cfRule type="expression" priority="216" dxfId="2">
      <formula>AND(IF($Q10=2,1,0),IF($X10&lt;30,1,0))</formula>
    </cfRule>
    <cfRule type="expression" priority="217" dxfId="1">
      <formula>AND(IF($Q10=3,1,0),IF($X10&lt;30,1,0))</formula>
    </cfRule>
    <cfRule type="expression" priority="218" dxfId="0">
      <formula>AND(IF($Q10=3,1,IF($Q10=4,1,0)),IF($F10&lt;=85,1,0))</formula>
    </cfRule>
  </conditionalFormatting>
  <conditionalFormatting sqref="AI10">
    <cfRule type="expression" priority="211" dxfId="3">
      <formula>AND(IF(OR($Q10=1,$Q10=2),1,0),IF($X10&lt;=20,1,0))</formula>
    </cfRule>
    <cfRule type="expression" priority="212" dxfId="2">
      <formula>AND(IF($Q10=2,1,0),IF($X10&lt;30,1,0))</formula>
    </cfRule>
    <cfRule type="expression" priority="213" dxfId="1">
      <formula>AND(IF($Q10=3,1,0),IF($X10&lt;30,1,0))</formula>
    </cfRule>
    <cfRule type="expression" priority="214" dxfId="0">
      <formula>AND(IF($Q10=3,1,IF($Q10=4,1,0)),IF($F10&lt;=85,1,0))</formula>
    </cfRule>
  </conditionalFormatting>
  <conditionalFormatting sqref="AV11">
    <cfRule type="expression" priority="209" dxfId="23">
      <formula>AV11="X"</formula>
    </cfRule>
    <cfRule type="expression" priority="210" dxfId="22">
      <formula>AV11="후보"</formula>
    </cfRule>
  </conditionalFormatting>
  <conditionalFormatting sqref="AC11 N11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2">
    <cfRule type="expression" priority="204" dxfId="23">
      <formula>AV12="X"</formula>
    </cfRule>
    <cfRule type="expression" priority="205" dxfId="22">
      <formula>AV12="후보"</formula>
    </cfRule>
  </conditionalFormatting>
  <conditionalFormatting sqref="AC1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2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2">
    <cfRule type="expression" priority="195" dxfId="3">
      <formula>AND(IF(OR($Q12=1,$Q12=2),1,0),IF($X12&lt;=20,1,0))</formula>
    </cfRule>
    <cfRule type="expression" priority="196" dxfId="2">
      <formula>AND(IF($Q12=2,1,0),IF($X12&lt;30,1,0))</formula>
    </cfRule>
    <cfRule type="expression" priority="197" dxfId="1">
      <formula>AND(IF($Q12=3,1,0),IF($X12&lt;30,1,0))</formula>
    </cfRule>
    <cfRule type="expression" priority="198" dxfId="0">
      <formula>AND(IF($Q12=3,1,IF($Q12=4,1,0)),IF($F12&lt;=85,1,0))</formula>
    </cfRule>
  </conditionalFormatting>
  <conditionalFormatting sqref="X12">
    <cfRule type="expression" priority="191" dxfId="3">
      <formula>AND(IF(OR($Q12=1,$Q12=2),1,0),IF($X12&lt;=20,1,0))</formula>
    </cfRule>
    <cfRule type="expression" priority="192" dxfId="2">
      <formula>AND(IF($Q12=2,1,0),IF($X12&lt;30,1,0))</formula>
    </cfRule>
    <cfRule type="expression" priority="193" dxfId="1">
      <formula>AND(IF($Q12=3,1,0),IF($X12&lt;30,1,0))</formula>
    </cfRule>
    <cfRule type="expression" priority="194" dxfId="0">
      <formula>AND(IF($Q12=3,1,IF($Q12=4,1,0)),IF($F12&lt;=85,1,0))</formula>
    </cfRule>
  </conditionalFormatting>
  <conditionalFormatting sqref="AI12">
    <cfRule type="expression" priority="187" dxfId="3">
      <formula>AND(IF(OR($Q12=1,$Q12=2),1,0),IF($X12&lt;=20,1,0))</formula>
    </cfRule>
    <cfRule type="expression" priority="188" dxfId="2">
      <formula>AND(IF($Q12=2,1,0),IF($X12&lt;30,1,0))</formula>
    </cfRule>
    <cfRule type="expression" priority="189" dxfId="1">
      <formula>AND(IF($Q12=3,1,0),IF($X12&lt;30,1,0))</formula>
    </cfRule>
    <cfRule type="expression" priority="190" dxfId="0">
      <formula>AND(IF($Q12=3,1,IF($Q12=4,1,0)),IF($F12&lt;=85,1,0))</formula>
    </cfRule>
  </conditionalFormatting>
  <conditionalFormatting sqref="AV13">
    <cfRule type="expression" priority="185" dxfId="23">
      <formula>AV13="X"</formula>
    </cfRule>
    <cfRule type="expression" priority="186" dxfId="22">
      <formula>AV13="후보"</formula>
    </cfRule>
  </conditionalFormatting>
  <conditionalFormatting sqref="AC1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3">
    <cfRule type="expression" priority="176" dxfId="3">
      <formula>AND(IF(OR($Q13=1,$Q13=2),1,0),IF($X13&lt;=20,1,0))</formula>
    </cfRule>
    <cfRule type="expression" priority="177" dxfId="2">
      <formula>AND(IF($Q13=2,1,0),IF($X13&lt;30,1,0))</formula>
    </cfRule>
    <cfRule type="expression" priority="178" dxfId="1">
      <formula>AND(IF($Q13=3,1,0),IF($X13&lt;30,1,0))</formula>
    </cfRule>
    <cfRule type="expression" priority="179" dxfId="0">
      <formula>AND(IF($Q13=3,1,IF($Q13=4,1,0)),IF($F13&lt;=85,1,0))</formula>
    </cfRule>
  </conditionalFormatting>
  <conditionalFormatting sqref="X13">
    <cfRule type="expression" priority="172" dxfId="3">
      <formula>AND(IF(OR($Q13=1,$Q13=2),1,0),IF($X13&lt;=20,1,0))</formula>
    </cfRule>
    <cfRule type="expression" priority="173" dxfId="2">
      <formula>AND(IF($Q13=2,1,0),IF($X13&lt;30,1,0))</formula>
    </cfRule>
    <cfRule type="expression" priority="174" dxfId="1">
      <formula>AND(IF($Q13=3,1,0),IF($X13&lt;30,1,0))</formula>
    </cfRule>
    <cfRule type="expression" priority="175" dxfId="0">
      <formula>AND(IF($Q13=3,1,IF($Q13=4,1,0)),IF($F13&lt;=85,1,0))</formula>
    </cfRule>
  </conditionalFormatting>
  <conditionalFormatting sqref="AI13">
    <cfRule type="expression" priority="168" dxfId="3">
      <formula>AND(IF(OR($Q13=1,$Q13=2),1,0),IF($X13&lt;=20,1,0))</formula>
    </cfRule>
    <cfRule type="expression" priority="169" dxfId="2">
      <formula>AND(IF($Q13=2,1,0),IF($X13&lt;30,1,0))</formula>
    </cfRule>
    <cfRule type="expression" priority="170" dxfId="1">
      <formula>AND(IF($Q13=3,1,0),IF($X13&lt;30,1,0))</formula>
    </cfRule>
    <cfRule type="expression" priority="171" dxfId="0">
      <formula>AND(IF($Q13=3,1,IF($Q13=4,1,0)),IF($F13&lt;=85,1,0))</formula>
    </cfRule>
  </conditionalFormatting>
  <conditionalFormatting sqref="AV14">
    <cfRule type="expression" priority="166" dxfId="23">
      <formula>AV14="X"</formula>
    </cfRule>
    <cfRule type="expression" priority="167" dxfId="22">
      <formula>AV14="후보"</formula>
    </cfRule>
  </conditionalFormatting>
  <conditionalFormatting sqref="AC1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4">
    <cfRule type="expression" priority="157" dxfId="3">
      <formula>AND(IF(OR($Q14=1,$Q14=2),1,0),IF($X14&lt;=20,1,0))</formula>
    </cfRule>
    <cfRule type="expression" priority="158" dxfId="2">
      <formula>AND(IF($Q14=2,1,0),IF($X14&lt;30,1,0))</formula>
    </cfRule>
    <cfRule type="expression" priority="159" dxfId="1">
      <formula>AND(IF($Q14=3,1,0),IF($X14&lt;30,1,0))</formula>
    </cfRule>
    <cfRule type="expression" priority="160" dxfId="0">
      <formula>AND(IF($Q14=3,1,IF($Q14=4,1,0)),IF($F14&lt;=85,1,0))</formula>
    </cfRule>
  </conditionalFormatting>
  <conditionalFormatting sqref="X14">
    <cfRule type="expression" priority="153" dxfId="3">
      <formula>AND(IF(OR($Q14=1,$Q14=2),1,0),IF($X14&lt;=20,1,0))</formula>
    </cfRule>
    <cfRule type="expression" priority="154" dxfId="2">
      <formula>AND(IF($Q14=2,1,0),IF($X14&lt;30,1,0))</formula>
    </cfRule>
    <cfRule type="expression" priority="155" dxfId="1">
      <formula>AND(IF($Q14=3,1,0),IF($X14&lt;30,1,0))</formula>
    </cfRule>
    <cfRule type="expression" priority="156" dxfId="0">
      <formula>AND(IF($Q14=3,1,IF($Q14=4,1,0)),IF($F14&lt;=85,1,0))</formula>
    </cfRule>
  </conditionalFormatting>
  <conditionalFormatting sqref="AI14">
    <cfRule type="expression" priority="149" dxfId="3">
      <formula>AND(IF(OR($Q14=1,$Q14=2),1,0),IF($X14&lt;=20,1,0))</formula>
    </cfRule>
    <cfRule type="expression" priority="150" dxfId="2">
      <formula>AND(IF($Q14=2,1,0),IF($X14&lt;30,1,0))</formula>
    </cfRule>
    <cfRule type="expression" priority="151" dxfId="1">
      <formula>AND(IF($Q14=3,1,0),IF($X14&lt;30,1,0))</formula>
    </cfRule>
    <cfRule type="expression" priority="152" dxfId="0">
      <formula>AND(IF($Q14=3,1,IF($Q14=4,1,0)),IF($F14&lt;=85,1,0))</formula>
    </cfRule>
  </conditionalFormatting>
  <conditionalFormatting sqref="AV15">
    <cfRule type="expression" priority="147" dxfId="23">
      <formula>AV15="X"</formula>
    </cfRule>
    <cfRule type="expression" priority="148" dxfId="22">
      <formula>AV15="후보"</formula>
    </cfRule>
  </conditionalFormatting>
  <conditionalFormatting sqref="AC15 N1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6">
    <cfRule type="expression" priority="142" dxfId="23">
      <formula>AV16="X"</formula>
    </cfRule>
    <cfRule type="expression" priority="143" dxfId="22">
      <formula>AV16="후보"</formula>
    </cfRule>
  </conditionalFormatting>
  <conditionalFormatting sqref="AC1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23">
      <formula>AV17="X"</formula>
    </cfRule>
    <cfRule type="expression" priority="124" dxfId="22">
      <formula>AV17="후보"</formula>
    </cfRule>
  </conditionalFormatting>
  <conditionalFormatting sqref="AC1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7">
    <cfRule type="expression" priority="114" dxfId="3">
      <formula>AND(IF(OR($Q17=1,$Q17=2),1,0),IF($X17&lt;=20,1,0))</formula>
    </cfRule>
    <cfRule type="expression" priority="115" dxfId="2">
      <formula>AND(IF($Q17=2,1,0),IF($X17&lt;30,1,0))</formula>
    </cfRule>
    <cfRule type="expression" priority="116" dxfId="1">
      <formula>AND(IF($Q17=3,1,0),IF($X17&lt;30,1,0))</formula>
    </cfRule>
    <cfRule type="expression" priority="117" dxfId="0">
      <formula>AND(IF($Q17=3,1,IF($Q17=4,1,0)),IF($F17&lt;=85,1,0))</formula>
    </cfRule>
  </conditionalFormatting>
  <conditionalFormatting sqref="X17">
    <cfRule type="expression" priority="110" dxfId="3">
      <formula>AND(IF(OR($Q17=1,$Q17=2),1,0),IF($X17&lt;=20,1,0))</formula>
    </cfRule>
    <cfRule type="expression" priority="111" dxfId="2">
      <formula>AND(IF($Q17=2,1,0),IF($X17&lt;30,1,0))</formula>
    </cfRule>
    <cfRule type="expression" priority="112" dxfId="1">
      <formula>AND(IF($Q17=3,1,0),IF($X17&lt;30,1,0))</formula>
    </cfRule>
    <cfRule type="expression" priority="113" dxfId="0">
      <formula>AND(IF($Q17=3,1,IF($Q17=4,1,0)),IF($F17&lt;=85,1,0))</formula>
    </cfRule>
  </conditionalFormatting>
  <conditionalFormatting sqref="AI17">
    <cfRule type="expression" priority="106" dxfId="3">
      <formula>AND(IF(OR($Q17=1,$Q17=2),1,0),IF($X17&lt;=20,1,0))</formula>
    </cfRule>
    <cfRule type="expression" priority="107" dxfId="2">
      <formula>AND(IF($Q17=2,1,0),IF($X17&lt;30,1,0))</formula>
    </cfRule>
    <cfRule type="expression" priority="108" dxfId="1">
      <formula>AND(IF($Q17=3,1,0),IF($X17&lt;30,1,0))</formula>
    </cfRule>
    <cfRule type="expression" priority="109" dxfId="0">
      <formula>AND(IF($Q17=3,1,IF($Q17=4,1,0)),IF($F17&lt;=85,1,0))</formula>
    </cfRule>
  </conditionalFormatting>
  <conditionalFormatting sqref="AV18">
    <cfRule type="expression" priority="104" dxfId="23">
      <formula>AV18="X"</formula>
    </cfRule>
    <cfRule type="expression" priority="105" dxfId="22">
      <formula>AV18="후보"</formula>
    </cfRule>
  </conditionalFormatting>
  <conditionalFormatting sqref="AC1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8">
    <cfRule type="expression" priority="95" dxfId="3">
      <formula>AND(IF(OR($Q18=1,$Q18=2),1,0),IF($X18&lt;=20,1,0))</formula>
    </cfRule>
    <cfRule type="expression" priority="96" dxfId="2">
      <formula>AND(IF($Q18=2,1,0),IF($X18&lt;30,1,0))</formula>
    </cfRule>
    <cfRule type="expression" priority="97" dxfId="1">
      <formula>AND(IF($Q18=3,1,0),IF($X18&lt;30,1,0))</formula>
    </cfRule>
    <cfRule type="expression" priority="98" dxfId="0">
      <formula>AND(IF($Q18=3,1,IF($Q18=4,1,0)),IF($F18&lt;=85,1,0))</formula>
    </cfRule>
  </conditionalFormatting>
  <conditionalFormatting sqref="X18">
    <cfRule type="expression" priority="91" dxfId="3">
      <formula>AND(IF(OR($Q18=1,$Q18=2),1,0),IF($X18&lt;=20,1,0))</formula>
    </cfRule>
    <cfRule type="expression" priority="92" dxfId="2">
      <formula>AND(IF($Q18=2,1,0),IF($X18&lt;30,1,0))</formula>
    </cfRule>
    <cfRule type="expression" priority="93" dxfId="1">
      <formula>AND(IF($Q18=3,1,0),IF($X18&lt;30,1,0))</formula>
    </cfRule>
    <cfRule type="expression" priority="94" dxfId="0">
      <formula>AND(IF($Q18=3,1,IF($Q18=4,1,0)),IF($F18&lt;=85,1,0))</formula>
    </cfRule>
  </conditionalFormatting>
  <conditionalFormatting sqref="AI18">
    <cfRule type="expression" priority="87" dxfId="3">
      <formula>AND(IF(OR($Q18=1,$Q18=2),1,0),IF($X18&lt;=20,1,0))</formula>
    </cfRule>
    <cfRule type="expression" priority="88" dxfId="2">
      <formula>AND(IF($Q18=2,1,0),IF($X18&lt;30,1,0))</formula>
    </cfRule>
    <cfRule type="expression" priority="89" dxfId="1">
      <formula>AND(IF($Q18=3,1,0),IF($X18&lt;30,1,0))</formula>
    </cfRule>
    <cfRule type="expression" priority="90" dxfId="0">
      <formula>AND(IF($Q18=3,1,IF($Q18=4,1,0)),IF($F18&lt;=85,1,0))</formula>
    </cfRule>
  </conditionalFormatting>
  <conditionalFormatting sqref="AV19">
    <cfRule type="expression" priority="85" dxfId="23">
      <formula>AV19="X"</formula>
    </cfRule>
    <cfRule type="expression" priority="86" dxfId="22">
      <formula>AV19="후보"</formula>
    </cfRule>
  </conditionalFormatting>
  <conditionalFormatting sqref="AC19 N1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1">
    <cfRule type="expression" priority="52" dxfId="3">
      <formula>AND(IF(OR($Q21=1,$Q21=2),1,0),IF($X21&lt;=20,1,0))</formula>
    </cfRule>
    <cfRule type="expression" priority="53" dxfId="2">
      <formula>AND(IF($Q21=2,1,0),IF($X21&lt;30,1,0))</formula>
    </cfRule>
    <cfRule type="expression" priority="54" dxfId="1">
      <formula>AND(IF($Q21=3,1,0),IF($X21&lt;30,1,0))</formula>
    </cfRule>
    <cfRule type="expression" priority="55" dxfId="0">
      <formula>AND(IF($Q21=3,1,IF($Q21=4,1,0)),IF($F21&lt;=85,1,0))</formula>
    </cfRule>
  </conditionalFormatting>
  <conditionalFormatting sqref="X21">
    <cfRule type="expression" priority="48" dxfId="3">
      <formula>AND(IF(OR($Q21=1,$Q21=2),1,0),IF($X21&lt;=20,1,0))</formula>
    </cfRule>
    <cfRule type="expression" priority="49" dxfId="2">
      <formula>AND(IF($Q21=2,1,0),IF($X21&lt;30,1,0))</formula>
    </cfRule>
    <cfRule type="expression" priority="50" dxfId="1">
      <formula>AND(IF($Q21=3,1,0),IF($X21&lt;30,1,0))</formula>
    </cfRule>
    <cfRule type="expression" priority="51" dxfId="0">
      <formula>AND(IF($Q21=3,1,IF($Q21=4,1,0)),IF($F21&lt;=85,1,0))</formula>
    </cfRule>
  </conditionalFormatting>
  <conditionalFormatting sqref="AI21">
    <cfRule type="expression" priority="44" dxfId="3">
      <formula>AND(IF(OR($Q21=1,$Q21=2),1,0),IF($X21&lt;=20,1,0))</formula>
    </cfRule>
    <cfRule type="expression" priority="45" dxfId="2">
      <formula>AND(IF($Q21=2,1,0),IF($X21&lt;30,1,0))</formula>
    </cfRule>
    <cfRule type="expression" priority="46" dxfId="1">
      <formula>AND(IF($Q21=3,1,0),IF($X21&lt;30,1,0))</formula>
    </cfRule>
    <cfRule type="expression" priority="47" dxfId="0">
      <formula>AND(IF($Q21=3,1,IF($Q21=4,1,0)),IF($F21&lt;=85,1,0))</formula>
    </cfRule>
  </conditionalFormatting>
  <conditionalFormatting sqref="AV22">
    <cfRule type="expression" priority="42" dxfId="23">
      <formula>AV22="X"</formula>
    </cfRule>
    <cfRule type="expression" priority="43" dxfId="22">
      <formula>AV22="후보"</formula>
    </cfRule>
  </conditionalFormatting>
  <conditionalFormatting sqref="AC2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2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2">
    <cfRule type="expression" priority="33" dxfId="3">
      <formula>AND(IF(OR($Q22=1,$Q22=2),1,0),IF($X22&lt;=20,1,0))</formula>
    </cfRule>
    <cfRule type="expression" priority="34" dxfId="2">
      <formula>AND(IF($Q22=2,1,0),IF($X22&lt;30,1,0))</formula>
    </cfRule>
    <cfRule type="expression" priority="35" dxfId="1">
      <formula>AND(IF($Q22=3,1,0),IF($X22&lt;30,1,0))</formula>
    </cfRule>
    <cfRule type="expression" priority="36" dxfId="0">
      <formula>AND(IF($Q22=3,1,IF($Q22=4,1,0)),IF($F22&lt;=85,1,0))</formula>
    </cfRule>
  </conditionalFormatting>
  <conditionalFormatting sqref="X22">
    <cfRule type="expression" priority="29" dxfId="3">
      <formula>AND(IF(OR($Q22=1,$Q22=2),1,0),IF($X22&lt;=20,1,0))</formula>
    </cfRule>
    <cfRule type="expression" priority="30" dxfId="2">
      <formula>AND(IF($Q22=2,1,0),IF($X22&lt;30,1,0))</formula>
    </cfRule>
    <cfRule type="expression" priority="31" dxfId="1">
      <formula>AND(IF($Q22=3,1,0),IF($X22&lt;30,1,0))</formula>
    </cfRule>
    <cfRule type="expression" priority="32" dxfId="0">
      <formula>AND(IF($Q22=3,1,IF($Q22=4,1,0)),IF($F22&lt;=85,1,0))</formula>
    </cfRule>
  </conditionalFormatting>
  <conditionalFormatting sqref="AI22">
    <cfRule type="expression" priority="25" dxfId="3">
      <formula>AND(IF(OR($Q22=1,$Q22=2),1,0),IF($X22&lt;=20,1,0))</formula>
    </cfRule>
    <cfRule type="expression" priority="26" dxfId="2">
      <formula>AND(IF($Q22=2,1,0),IF($X22&lt;30,1,0))</formula>
    </cfRule>
    <cfRule type="expression" priority="27" dxfId="1">
      <formula>AND(IF($Q22=3,1,0),IF($X22&lt;30,1,0))</formula>
    </cfRule>
    <cfRule type="expression" priority="28" dxfId="0">
      <formula>AND(IF($Q22=3,1,IF($Q22=4,1,0)),IF($F22&lt;=85,1,0))</formula>
    </cfRule>
  </conditionalFormatting>
  <conditionalFormatting sqref="AV23">
    <cfRule type="expression" priority="23" dxfId="23">
      <formula>AV23="X"</formula>
    </cfRule>
    <cfRule type="expression" priority="24" dxfId="22">
      <formula>AV23="후보"</formula>
    </cfRule>
  </conditionalFormatting>
  <conditionalFormatting sqref="AC23 N23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남흥</t>
        </is>
      </c>
      <c r="B6" s="10" t="inlineStr">
        <is>
          <t>'91.12.</t>
        </is>
      </c>
      <c r="C6" s="134" t="n">
        <v>268</v>
      </c>
      <c r="D6" s="132" t="n">
        <v>89.3</v>
      </c>
      <c r="E6" s="133" t="n">
        <v>27</v>
      </c>
      <c r="F6" s="132" t="n">
        <v>77.2</v>
      </c>
      <c r="G6" s="17" t="n">
        <v>23</v>
      </c>
      <c r="H6" s="134" t="n">
        <v>108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89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남흥</t>
        </is>
      </c>
      <c r="B7" s="10" t="inlineStr">
        <is>
          <t>'91.12.</t>
        </is>
      </c>
      <c r="C7" s="134" t="n">
        <v>268</v>
      </c>
      <c r="D7" s="132" t="n">
        <v>99.2</v>
      </c>
      <c r="E7" s="133" t="n">
        <v>30</v>
      </c>
      <c r="F7" s="132" t="n">
        <v>85</v>
      </c>
      <c r="G7" s="17" t="n">
        <v>26</v>
      </c>
      <c r="H7" s="134" t="n">
        <v>150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99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남흥</t>
        </is>
      </c>
      <c r="B8" s="10" t="inlineStr">
        <is>
          <t>'91.12.</t>
        </is>
      </c>
      <c r="C8" s="134" t="n">
        <v>268</v>
      </c>
      <c r="D8" s="132" t="n">
        <v>145.7</v>
      </c>
      <c r="E8" s="133" t="n">
        <v>44</v>
      </c>
      <c r="F8" s="132" t="n">
        <v>128.6</v>
      </c>
      <c r="G8" s="17" t="n">
        <v>39</v>
      </c>
      <c r="H8" s="134" t="n">
        <v>10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145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진해이동디에스아이존빌</t>
        </is>
      </c>
      <c r="B10" s="10" t="inlineStr">
        <is>
          <t>'08.10.</t>
        </is>
      </c>
      <c r="C10" s="134" t="n">
        <v>328</v>
      </c>
      <c r="D10" s="132" t="n">
        <v>121.3</v>
      </c>
      <c r="E10" s="133" t="n">
        <v>37</v>
      </c>
      <c r="F10" s="132" t="n">
        <v>84.8</v>
      </c>
      <c r="G10" s="17" t="n">
        <v>26</v>
      </c>
      <c r="H10" s="134" t="n">
        <v>289</v>
      </c>
      <c r="I10" s="135" t="n">
        <v>36000</v>
      </c>
      <c r="J10" s="135" t="inlineStr">
        <is>
          <t>고</t>
        </is>
      </c>
      <c r="K10" s="135" t="n">
        <v>29000</v>
      </c>
      <c r="L10" s="135" t="inlineStr">
        <is>
          <t>중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121A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진해이동디에스아이존빌</t>
        </is>
      </c>
      <c r="B11" s="10" t="inlineStr">
        <is>
          <t>'08.10.</t>
        </is>
      </c>
      <c r="C11" s="134" t="n">
        <v>328</v>
      </c>
      <c r="D11" s="132" t="n">
        <v>122.1</v>
      </c>
      <c r="E11" s="133" t="n">
        <v>37</v>
      </c>
      <c r="F11" s="132" t="n">
        <v>84.7</v>
      </c>
      <c r="G11" s="17" t="n">
        <v>26</v>
      </c>
      <c r="H11" s="134" t="n">
        <v>39</v>
      </c>
      <c r="I11" s="135" t="n">
        <v>36000</v>
      </c>
      <c r="J11" s="135" t="inlineStr">
        <is>
          <t>중</t>
        </is>
      </c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122B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01" dxfId="23">
      <formula>AV4="X"</formula>
    </cfRule>
    <cfRule type="expression" priority="102" dxfId="22">
      <formula>AV4="후보"</formula>
    </cfRule>
  </conditionalFormatting>
  <conditionalFormatting sqref="AC1:AC2 AC4:AC6 N4:N5">
    <cfRule type="cellIs" priority="98" operator="greaterThan" dxfId="17">
      <formula>0.9</formula>
    </cfRule>
    <cfRule type="cellIs" priority="99" operator="greaterThan" dxfId="16">
      <formula>0.85</formula>
    </cfRule>
  </conditionalFormatting>
  <conditionalFormatting sqref="N1:N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">
    <cfRule type="expression" priority="90" dxfId="3">
      <formula>AND(IF(OR($Q6=1,$Q6=2),1,0),IF($X6&lt;=20,1,0))</formula>
    </cfRule>
    <cfRule type="expression" priority="91" dxfId="2">
      <formula>AND(IF($Q6=2,1,0),IF($X6&lt;30,1,0))</formula>
    </cfRule>
    <cfRule type="expression" priority="92" dxfId="1">
      <formula>AND(IF($Q6=3,1,0),IF($X6&lt;30,1,0))</formula>
    </cfRule>
    <cfRule type="expression" priority="93" dxfId="0">
      <formula>AND(IF($Q6=3,1,IF($Q6=4,1,0)),IF($F6&lt;=85,1,0))</formula>
    </cfRule>
  </conditionalFormatting>
  <conditionalFormatting sqref="X6">
    <cfRule type="expression" priority="86" dxfId="3">
      <formula>AND(IF(OR($Q6=1,$Q6=2),1,0),IF($X6&lt;=20,1,0))</formula>
    </cfRule>
    <cfRule type="expression" priority="87" dxfId="2">
      <formula>AND(IF($Q6=2,1,0),IF($X6&lt;30,1,0))</formula>
    </cfRule>
    <cfRule type="expression" priority="88" dxfId="1">
      <formula>AND(IF($Q6=3,1,0),IF($X6&lt;30,1,0))</formula>
    </cfRule>
    <cfRule type="expression" priority="89" dxfId="0">
      <formula>AND(IF($Q6=3,1,IF($Q6=4,1,0)),IF($F6&lt;=85,1,0))</formula>
    </cfRule>
  </conditionalFormatting>
  <conditionalFormatting sqref="AI6">
    <cfRule type="expression" priority="82" dxfId="3">
      <formula>AND(IF(OR($Q6=1,$Q6=2),1,0),IF($X6&lt;=20,1,0))</formula>
    </cfRule>
    <cfRule type="expression" priority="83" dxfId="2">
      <formula>AND(IF($Q6=2,1,0),IF($X6&lt;30,1,0))</formula>
    </cfRule>
    <cfRule type="expression" priority="84" dxfId="1">
      <formula>AND(IF($Q6=3,1,0),IF($X6&lt;30,1,0))</formula>
    </cfRule>
    <cfRule type="expression" priority="85" dxfId="0">
      <formula>AND(IF($Q6=3,1,IF($Q6=4,1,0)),IF($F6&lt;=85,1,0))</formula>
    </cfRule>
  </conditionalFormatting>
  <conditionalFormatting sqref="AV7">
    <cfRule type="expression" priority="80" dxfId="23">
      <formula>AV7="X"</formula>
    </cfRule>
    <cfRule type="expression" priority="81" dxfId="22">
      <formula>AV7="후보"</formula>
    </cfRule>
  </conditionalFormatting>
  <conditionalFormatting sqref="AC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">
    <cfRule type="expression" priority="71" dxfId="3">
      <formula>AND(IF(OR($Q7=1,$Q7=2),1,0),IF($X7&lt;=20,1,0))</formula>
    </cfRule>
    <cfRule type="expression" priority="72" dxfId="2">
      <formula>AND(IF($Q7=2,1,0),IF($X7&lt;30,1,0))</formula>
    </cfRule>
    <cfRule type="expression" priority="73" dxfId="1">
      <formula>AND(IF($Q7=3,1,0),IF($X7&lt;30,1,0))</formula>
    </cfRule>
    <cfRule type="expression" priority="74" dxfId="0">
      <formula>AND(IF($Q7=3,1,IF($Q7=4,1,0)),IF($F7&lt;=85,1,0))</formula>
    </cfRule>
  </conditionalFormatting>
  <conditionalFormatting sqref="X7">
    <cfRule type="expression" priority="67" dxfId="3">
      <formula>AND(IF(OR($Q7=1,$Q7=2),1,0),IF($X7&lt;=20,1,0))</formula>
    </cfRule>
    <cfRule type="expression" priority="68" dxfId="2">
      <formula>AND(IF($Q7=2,1,0),IF($X7&lt;30,1,0))</formula>
    </cfRule>
    <cfRule type="expression" priority="69" dxfId="1">
      <formula>AND(IF($Q7=3,1,0),IF($X7&lt;30,1,0))</formula>
    </cfRule>
    <cfRule type="expression" priority="70" dxfId="0">
      <formula>AND(IF($Q7=3,1,IF($Q7=4,1,0)),IF($F7&lt;=85,1,0))</formula>
    </cfRule>
  </conditionalFormatting>
  <conditionalFormatting sqref="AI7">
    <cfRule type="expression" priority="63" dxfId="3">
      <formula>AND(IF(OR($Q7=1,$Q7=2),1,0),IF($X7&lt;=20,1,0))</formula>
    </cfRule>
    <cfRule type="expression" priority="64" dxfId="2">
      <formula>AND(IF($Q7=2,1,0),IF($X7&lt;30,1,0))</formula>
    </cfRule>
    <cfRule type="expression" priority="65" dxfId="1">
      <formula>AND(IF($Q7=3,1,0),IF($X7&lt;30,1,0))</formula>
    </cfRule>
    <cfRule type="expression" priority="66" dxfId="0">
      <formula>AND(IF($Q7=3,1,IF($Q7=4,1,0)),IF($F7&lt;=85,1,0))</formula>
    </cfRule>
  </conditionalFormatting>
  <conditionalFormatting sqref="AV8">
    <cfRule type="expression" priority="61" dxfId="23">
      <formula>AV8="X"</formula>
    </cfRule>
    <cfRule type="expression" priority="62" dxfId="22">
      <formula>AV8="후보"</formula>
    </cfRule>
  </conditionalFormatting>
  <conditionalFormatting sqref="AC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23">
      <formula>AV9="X"</formula>
    </cfRule>
    <cfRule type="expression" priority="43" dxfId="22">
      <formula>AV9="후보"</formula>
    </cfRule>
  </conditionalFormatting>
  <conditionalFormatting sqref="AC9 N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">
    <cfRule type="expression" priority="37" dxfId="23">
      <formula>AV10="X"</formula>
    </cfRule>
    <cfRule type="expression" priority="38" dxfId="22">
      <formula>AV10="후보"</formula>
    </cfRule>
  </conditionalFormatting>
  <conditionalFormatting sqref="AC1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자은동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자은프라임</t>
        </is>
      </c>
      <c r="B6" s="10" t="inlineStr">
        <is>
          <t>'15.05.</t>
        </is>
      </c>
      <c r="C6" s="134" t="n">
        <v>1298</v>
      </c>
      <c r="D6" s="132" t="n">
        <v>81.09999999999999</v>
      </c>
      <c r="E6" s="133" t="n">
        <v>25</v>
      </c>
      <c r="F6" s="132" t="n">
        <v>59.9</v>
      </c>
      <c r="G6" s="17" t="n">
        <v>18</v>
      </c>
      <c r="H6" s="134" t="n">
        <v>393</v>
      </c>
      <c r="I6" s="135" t="n">
        <v>27000</v>
      </c>
      <c r="J6" s="135" t="inlineStr">
        <is>
          <t>고</t>
        </is>
      </c>
      <c r="K6" s="135" t="n">
        <v>21000</v>
      </c>
      <c r="L6" s="135" t="inlineStr">
        <is>
          <t>중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자은프라임</t>
        </is>
      </c>
      <c r="B7" s="10" t="inlineStr">
        <is>
          <t>'15.05.</t>
        </is>
      </c>
      <c r="C7" s="134" t="n">
        <v>1298</v>
      </c>
      <c r="D7" s="132" t="n">
        <v>81.2</v>
      </c>
      <c r="E7" s="133" t="n">
        <v>25</v>
      </c>
      <c r="F7" s="132" t="n">
        <v>60</v>
      </c>
      <c r="G7" s="17" t="n">
        <v>18</v>
      </c>
      <c r="H7" s="134" t="n">
        <v>146</v>
      </c>
      <c r="I7" s="135" t="n">
        <v>27000</v>
      </c>
      <c r="J7" s="135" t="inlineStr">
        <is>
          <t>중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81C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자은프라임</t>
        </is>
      </c>
      <c r="B8" s="10" t="inlineStr">
        <is>
          <t>'15.05.</t>
        </is>
      </c>
      <c r="C8" s="134" t="n">
        <v>1298</v>
      </c>
      <c r="D8" s="132" t="n">
        <v>81</v>
      </c>
      <c r="E8" s="133" t="n">
        <v>25</v>
      </c>
      <c r="F8" s="132" t="n">
        <v>59.8</v>
      </c>
      <c r="G8" s="17" t="n">
        <v>18</v>
      </c>
      <c r="H8" s="134" t="n">
        <v>65</v>
      </c>
      <c r="I8" s="135" t="n">
        <v>28500</v>
      </c>
      <c r="J8" s="135" t="inlineStr">
        <is>
          <t>고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81B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자은프라임</t>
        </is>
      </c>
      <c r="B9" s="10" t="inlineStr">
        <is>
          <t>'15.05.</t>
        </is>
      </c>
      <c r="C9" s="134" t="n">
        <v>1298</v>
      </c>
      <c r="D9" s="132" t="n">
        <v>81.3</v>
      </c>
      <c r="E9" s="133" t="n">
        <v>25</v>
      </c>
      <c r="F9" s="132" t="n">
        <v>60</v>
      </c>
      <c r="G9" s="17" t="n">
        <v>18</v>
      </c>
      <c r="H9" s="134" t="n">
        <v>19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81D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자은프라임</t>
        </is>
      </c>
      <c r="B10" s="10" t="inlineStr">
        <is>
          <t>'15.05.</t>
        </is>
      </c>
      <c r="C10" s="134" t="n">
        <v>1298</v>
      </c>
      <c r="D10" s="132" t="n">
        <v>101.6</v>
      </c>
      <c r="E10" s="133" t="n">
        <v>31</v>
      </c>
      <c r="F10" s="132" t="n">
        <v>75</v>
      </c>
      <c r="G10" s="17" t="n">
        <v>23</v>
      </c>
      <c r="H10" s="134" t="n">
        <v>159</v>
      </c>
      <c r="I10" s="135" t="n">
        <v>34000</v>
      </c>
      <c r="J10" s="135" t="inlineStr">
        <is>
          <t>11</t>
        </is>
      </c>
      <c r="K10" s="135" t="n">
        <v>27000</v>
      </c>
      <c r="L10" s="135" t="inlineStr">
        <is>
          <t>중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101A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자은프라임</t>
        </is>
      </c>
      <c r="B11" s="10" t="inlineStr">
        <is>
          <t>'15.05.</t>
        </is>
      </c>
      <c r="C11" s="134" t="n">
        <v>1298</v>
      </c>
      <c r="D11" s="132" t="n">
        <v>101</v>
      </c>
      <c r="E11" s="133" t="n">
        <v>31</v>
      </c>
      <c r="F11" s="132" t="n">
        <v>74.59999999999999</v>
      </c>
      <c r="G11" s="17" t="n">
        <v>23</v>
      </c>
      <c r="H11" s="134" t="n">
        <v>41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101B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자은프라임</t>
        </is>
      </c>
      <c r="B12" s="10" t="inlineStr">
        <is>
          <t>'15.05.</t>
        </is>
      </c>
      <c r="C12" s="134" t="n">
        <v>1298</v>
      </c>
      <c r="D12" s="132" t="n">
        <v>101.4</v>
      </c>
      <c r="E12" s="133" t="n">
        <v>31</v>
      </c>
      <c r="F12" s="132" t="n">
        <v>74.8</v>
      </c>
      <c r="G12" s="17" t="n">
        <v>23</v>
      </c>
      <c r="H12" s="134" t="n">
        <v>28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101C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자은프라임</t>
        </is>
      </c>
      <c r="B13" s="10" t="inlineStr">
        <is>
          <t>'15.05.</t>
        </is>
      </c>
      <c r="C13" s="134" t="n">
        <v>1298</v>
      </c>
      <c r="D13" s="132" t="n">
        <v>115</v>
      </c>
      <c r="E13" s="133" t="n">
        <v>35</v>
      </c>
      <c r="F13" s="132" t="n">
        <v>84.90000000000001</v>
      </c>
      <c r="G13" s="17" t="n">
        <v>26</v>
      </c>
      <c r="H13" s="134" t="n">
        <v>336</v>
      </c>
      <c r="I13" s="135" t="n">
        <v>38000</v>
      </c>
      <c r="J13" s="135" t="inlineStr">
        <is>
          <t>15</t>
        </is>
      </c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114A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자은프라임</t>
        </is>
      </c>
      <c r="B14" s="10" t="inlineStr">
        <is>
          <t>'15.05.</t>
        </is>
      </c>
      <c r="C14" s="134" t="n">
        <v>1298</v>
      </c>
      <c r="D14" s="132" t="n">
        <v>115</v>
      </c>
      <c r="E14" s="133" t="n">
        <v>35</v>
      </c>
      <c r="F14" s="132" t="n">
        <v>84.90000000000001</v>
      </c>
      <c r="G14" s="17" t="n">
        <v>26</v>
      </c>
      <c r="H14" s="134" t="n">
        <v>111</v>
      </c>
      <c r="I14" s="135" t="n">
        <v>38000</v>
      </c>
      <c r="J14" s="135" t="inlineStr">
        <is>
          <t>15</t>
        </is>
      </c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115B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3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2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7" t="n"/>
      <c r="P15" s="137" t="n"/>
      <c r="Q15" s="133" t="n"/>
      <c r="R15" s="133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7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성원</t>
        </is>
      </c>
      <c r="B16" s="10" t="inlineStr">
        <is>
          <t>'95.09.</t>
        </is>
      </c>
      <c r="C16" s="134" t="n">
        <v>650</v>
      </c>
      <c r="D16" s="132" t="n">
        <v>52.4</v>
      </c>
      <c r="E16" s="133" t="n">
        <v>16</v>
      </c>
      <c r="F16" s="132" t="n">
        <v>39.8</v>
      </c>
      <c r="G16" s="17" t="n">
        <v>12</v>
      </c>
      <c r="H16" s="134" t="n">
        <v>650</v>
      </c>
      <c r="I16" s="135" t="n">
        <v>10500</v>
      </c>
      <c r="J16" s="135" t="inlineStr">
        <is>
          <t>5</t>
        </is>
      </c>
      <c r="K16" s="135" t="n">
        <v>8000</v>
      </c>
      <c r="L16" s="135" t="inlineStr">
        <is>
          <t>5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2</v>
      </c>
      <c r="R16" s="121" t="n">
        <v>1</v>
      </c>
      <c r="S16" s="121" t="inlineStr">
        <is>
          <t>복</t>
        </is>
      </c>
      <c r="T16" s="5" t="n">
        <v>52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7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창원자은에일린의뜰</t>
        </is>
      </c>
      <c r="B18" s="10" t="inlineStr">
        <is>
          <t>'17.10.</t>
        </is>
      </c>
      <c r="C18" s="134" t="n">
        <v>520</v>
      </c>
      <c r="D18" s="132" t="n">
        <v>110.9</v>
      </c>
      <c r="E18" s="133" t="n">
        <v>34</v>
      </c>
      <c r="F18" s="132" t="n">
        <v>84.90000000000001</v>
      </c>
      <c r="G18" s="17" t="n">
        <v>26</v>
      </c>
      <c r="H18" s="134" t="n">
        <v>224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110A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3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창원자은에일린의뜰</t>
        </is>
      </c>
      <c r="B19" s="10" t="inlineStr">
        <is>
          <t>'17.10.</t>
        </is>
      </c>
      <c r="C19" s="134" t="n">
        <v>520</v>
      </c>
      <c r="D19" s="132" t="n">
        <v>111</v>
      </c>
      <c r="E19" s="133" t="n">
        <v>34</v>
      </c>
      <c r="F19" s="132" t="n">
        <v>85</v>
      </c>
      <c r="G19" s="17" t="n">
        <v>26</v>
      </c>
      <c r="H19" s="134" t="n">
        <v>18</v>
      </c>
      <c r="I19" s="135" t="n">
        <v>43000</v>
      </c>
      <c r="J19" s="135" t="inlineStr">
        <is>
          <t>고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110C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3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창원자은에일린의뜰</t>
        </is>
      </c>
      <c r="B20" s="10" t="inlineStr">
        <is>
          <t>'17.10.</t>
        </is>
      </c>
      <c r="C20" s="134" t="n">
        <v>520</v>
      </c>
      <c r="D20" s="132" t="n">
        <v>111.4</v>
      </c>
      <c r="E20" s="133" t="n">
        <v>34</v>
      </c>
      <c r="F20" s="132" t="n">
        <v>84.8</v>
      </c>
      <c r="G20" s="17" t="n">
        <v>26</v>
      </c>
      <c r="H20" s="134" t="n">
        <v>48</v>
      </c>
      <c r="I20" s="135" t="n">
        <v>47000</v>
      </c>
      <c r="J20" s="135" t="inlineStr">
        <is>
          <t>12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inlineStr">
        <is>
          <t>111B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3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창원자은에일린의뜰</t>
        </is>
      </c>
      <c r="B21" s="10" t="inlineStr">
        <is>
          <t>'17.10.</t>
        </is>
      </c>
      <c r="C21" s="134" t="n">
        <v>520</v>
      </c>
      <c r="D21" s="132" t="n">
        <v>132</v>
      </c>
      <c r="E21" s="133" t="n">
        <v>40</v>
      </c>
      <c r="F21" s="132" t="n">
        <v>101.5</v>
      </c>
      <c r="G21" s="17" t="n">
        <v>31</v>
      </c>
      <c r="H21" s="134" t="n">
        <v>103</v>
      </c>
      <c r="I21" s="135" t="n">
        <v>60000</v>
      </c>
      <c r="J21" s="135" t="inlineStr">
        <is>
          <t>중</t>
        </is>
      </c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inlineStr">
        <is>
          <t>132A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창원자은에일린의뜰</t>
        </is>
      </c>
      <c r="B22" s="10" t="inlineStr">
        <is>
          <t>'17.10.</t>
        </is>
      </c>
      <c r="C22" s="134" t="n">
        <v>520</v>
      </c>
      <c r="D22" s="132" t="n">
        <v>132</v>
      </c>
      <c r="E22" s="133" t="n">
        <v>40</v>
      </c>
      <c r="F22" s="132" t="n">
        <v>101.3</v>
      </c>
      <c r="G22" s="17" t="n">
        <v>31</v>
      </c>
      <c r="H22" s="134" t="n">
        <v>41</v>
      </c>
      <c r="I22" s="135" t="n">
        <v>51000</v>
      </c>
      <c r="J22" s="135" t="inlineStr">
        <is>
          <t>7</t>
        </is>
      </c>
      <c r="K22" s="135" t="n">
        <v>43000</v>
      </c>
      <c r="L22" s="135" t="inlineStr">
        <is>
          <t>10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inlineStr">
        <is>
          <t>132B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3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창원자은에일린의뜰</t>
        </is>
      </c>
      <c r="B23" s="10" t="inlineStr">
        <is>
          <t>'17.10.</t>
        </is>
      </c>
      <c r="C23" s="134" t="n">
        <v>520</v>
      </c>
      <c r="D23" s="132" t="n">
        <v>148.8</v>
      </c>
      <c r="E23" s="133" t="n">
        <v>45</v>
      </c>
      <c r="F23" s="132" t="n">
        <v>114.8</v>
      </c>
      <c r="G23" s="17" t="n">
        <v>35</v>
      </c>
      <c r="H23" s="134" t="n">
        <v>86</v>
      </c>
      <c r="I23" s="135" t="n">
        <v>57000</v>
      </c>
      <c r="J23" s="135" t="inlineStr">
        <is>
          <t>고</t>
        </is>
      </c>
      <c r="K23" s="135" t="n">
        <v>44000</v>
      </c>
      <c r="L23" s="135" t="inlineStr">
        <is>
          <t>19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1" t="n">
        <v>4</v>
      </c>
      <c r="R23" s="121" t="n">
        <v>2</v>
      </c>
      <c r="S23" s="121" t="inlineStr">
        <is>
          <t>계</t>
        </is>
      </c>
      <c r="T23" s="5" t="n">
        <v>148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3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n"/>
      <c r="B24" s="121" t="n"/>
      <c r="C24" s="6" t="n"/>
      <c r="D24" s="9" t="n"/>
      <c r="E24" s="14" t="n"/>
      <c r="F24" s="132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7" t="n"/>
      <c r="P24" s="137" t="n"/>
      <c r="Q24" s="133" t="n"/>
      <c r="R24" s="133" t="n"/>
      <c r="S24" s="9" t="n"/>
      <c r="T24" s="47" t="n"/>
      <c r="U24" s="9" t="n"/>
      <c r="W24" s="68">
        <f>$A$4&amp;" "&amp;A25&amp;"("&amp;B25&amp;","&amp;C25&amp;"^)"</f>
        <v/>
      </c>
      <c r="X24" s="69" t="n"/>
      <c r="Y24" s="69" t="n"/>
      <c r="Z24" s="69" t="n"/>
      <c r="AA24" s="69" t="n"/>
      <c r="AB24" s="69" t="n"/>
      <c r="AC24" s="69" t="n"/>
      <c r="AD24" s="69" t="n"/>
      <c r="AE24" s="69" t="n"/>
      <c r="AF24" s="70" t="n"/>
      <c r="AH24" s="20">
        <f>IF(A24="","",A24)</f>
        <v/>
      </c>
      <c r="AI24" s="157">
        <f>IF(E24="","",E24)</f>
        <v/>
      </c>
      <c r="AJ24" s="121" t="n"/>
      <c r="AK24" s="121" t="n"/>
      <c r="AL24" s="121" t="n"/>
      <c r="AM24" s="121" t="n"/>
      <c r="AN24" s="121" t="n"/>
      <c r="AO24" s="121" t="n"/>
      <c r="AP24" s="121" t="n"/>
      <c r="AQ24" s="121" t="n"/>
      <c r="AR24" s="121" t="n"/>
      <c r="AS24" s="121" t="n"/>
      <c r="AT24" s="121" t="n"/>
      <c r="AU24" s="121" t="n"/>
      <c r="AV24" s="121" t="n"/>
    </row>
    <row r="25">
      <c r="A25" s="9" t="inlineStr">
        <is>
          <t>대동빌라트1단지</t>
        </is>
      </c>
      <c r="B25" s="10" t="inlineStr">
        <is>
          <t>'96.12.</t>
        </is>
      </c>
      <c r="C25" s="134" t="n">
        <v>299</v>
      </c>
      <c r="D25" s="132" t="n">
        <v>104</v>
      </c>
      <c r="E25" s="133" t="n">
        <v>31</v>
      </c>
      <c r="F25" s="132" t="n">
        <v>84.90000000000001</v>
      </c>
      <c r="G25" s="17" t="n">
        <v>26</v>
      </c>
      <c r="H25" s="134" t="n">
        <v>251</v>
      </c>
      <c r="I25" s="135" t="n"/>
      <c r="J25" s="135" t="n"/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103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3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대동빌라트1단지</t>
        </is>
      </c>
      <c r="B26" s="10" t="inlineStr">
        <is>
          <t>'96.12.</t>
        </is>
      </c>
      <c r="C26" s="134" t="n">
        <v>299</v>
      </c>
      <c r="D26" s="132" t="n">
        <v>160.6</v>
      </c>
      <c r="E26" s="133" t="n">
        <v>49</v>
      </c>
      <c r="F26" s="132" t="n">
        <v>130.4</v>
      </c>
      <c r="G26" s="17" t="n">
        <v>39</v>
      </c>
      <c r="H26" s="134" t="n">
        <v>48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160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3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2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7" t="n"/>
      <c r="P27" s="137" t="n"/>
      <c r="Q27" s="133" t="n"/>
      <c r="R27" s="133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7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진해자은벚꽃주공</t>
        </is>
      </c>
      <c r="B28" s="10" t="inlineStr">
        <is>
          <t>'00.08.</t>
        </is>
      </c>
      <c r="C28" s="134" t="n">
        <v>600</v>
      </c>
      <c r="D28" s="132" t="n">
        <v>80</v>
      </c>
      <c r="E28" s="133" t="n">
        <v>24</v>
      </c>
      <c r="F28" s="132" t="n">
        <v>59.7</v>
      </c>
      <c r="G28" s="17" t="n">
        <v>18</v>
      </c>
      <c r="H28" s="134" t="n">
        <v>216</v>
      </c>
      <c r="I28" s="135" t="n">
        <v>17000</v>
      </c>
      <c r="J28" s="135" t="inlineStr">
        <is>
          <t>중</t>
        </is>
      </c>
      <c r="K28" s="135" t="n">
        <v>16000</v>
      </c>
      <c r="L28" s="135" t="inlineStr">
        <is>
          <t>중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1" t="n">
        <v>3</v>
      </c>
      <c r="R28" s="121" t="n">
        <v>1</v>
      </c>
      <c r="S28" s="121" t="inlineStr">
        <is>
          <t>계</t>
        </is>
      </c>
      <c r="T28" s="5" t="inlineStr">
        <is>
          <t>80A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3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진해자은벚꽃주공</t>
        </is>
      </c>
      <c r="B29" s="10" t="inlineStr">
        <is>
          <t>'00.08.</t>
        </is>
      </c>
      <c r="C29" s="134" t="n">
        <v>600</v>
      </c>
      <c r="D29" s="132" t="n">
        <v>80.40000000000001</v>
      </c>
      <c r="E29" s="133" t="n">
        <v>24</v>
      </c>
      <c r="F29" s="132" t="n">
        <v>60</v>
      </c>
      <c r="G29" s="17" t="n">
        <v>18</v>
      </c>
      <c r="H29" s="134" t="n">
        <v>24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inlineStr">
        <is>
          <t>80B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3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진해자은벚꽃주공</t>
        </is>
      </c>
      <c r="B30" s="10" t="inlineStr">
        <is>
          <t>'00.08.</t>
        </is>
      </c>
      <c r="C30" s="134" t="n">
        <v>600</v>
      </c>
      <c r="D30" s="132" t="n">
        <v>101.3</v>
      </c>
      <c r="E30" s="133" t="n">
        <v>31</v>
      </c>
      <c r="F30" s="132" t="n">
        <v>75.59999999999999</v>
      </c>
      <c r="G30" s="17" t="n">
        <v>23</v>
      </c>
      <c r="H30" s="134" t="n">
        <v>72</v>
      </c>
      <c r="I30" s="135" t="n">
        <v>22000</v>
      </c>
      <c r="J30" s="135" t="inlineStr">
        <is>
          <t>7</t>
        </is>
      </c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101A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3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진해자은벚꽃주공</t>
        </is>
      </c>
      <c r="B31" s="10" t="inlineStr">
        <is>
          <t>'00.08.</t>
        </is>
      </c>
      <c r="C31" s="134" t="n">
        <v>600</v>
      </c>
      <c r="D31" s="132" t="n">
        <v>101.3</v>
      </c>
      <c r="E31" s="133" t="n">
        <v>31</v>
      </c>
      <c r="F31" s="132" t="n">
        <v>75.59999999999999</v>
      </c>
      <c r="G31" s="17" t="n">
        <v>23</v>
      </c>
      <c r="H31" s="134" t="n">
        <v>60</v>
      </c>
      <c r="I31" s="135" t="n">
        <v>22000</v>
      </c>
      <c r="J31" s="135" t="inlineStr">
        <is>
          <t>7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101B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3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진해자은벚꽃주공</t>
        </is>
      </c>
      <c r="B32" s="10" t="inlineStr">
        <is>
          <t>'00.08.</t>
        </is>
      </c>
      <c r="C32" s="134" t="n">
        <v>600</v>
      </c>
      <c r="D32" s="132" t="n">
        <v>101.6</v>
      </c>
      <c r="E32" s="133" t="n">
        <v>31</v>
      </c>
      <c r="F32" s="132" t="n">
        <v>75.8</v>
      </c>
      <c r="G32" s="17" t="n">
        <v>23</v>
      </c>
      <c r="H32" s="134" t="n">
        <v>48</v>
      </c>
      <c r="I32" s="135" t="n">
        <v>22000</v>
      </c>
      <c r="J32" s="135" t="inlineStr">
        <is>
          <t>7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101C</t>
        </is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3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진해자은벚꽃주공</t>
        </is>
      </c>
      <c r="B33" s="10" t="inlineStr">
        <is>
          <t>'00.08.</t>
        </is>
      </c>
      <c r="C33" s="134" t="n">
        <v>600</v>
      </c>
      <c r="D33" s="132" t="n">
        <v>113.4</v>
      </c>
      <c r="E33" s="133" t="n">
        <v>34</v>
      </c>
      <c r="F33" s="132" t="n">
        <v>84.59999999999999</v>
      </c>
      <c r="G33" s="17" t="n">
        <v>26</v>
      </c>
      <c r="H33" s="134" t="n">
        <v>70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113A</t>
        </is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3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진해자은벚꽃주공</t>
        </is>
      </c>
      <c r="B34" s="10" t="inlineStr">
        <is>
          <t>'00.08.</t>
        </is>
      </c>
      <c r="C34" s="134" t="n">
        <v>600</v>
      </c>
      <c r="D34" s="132" t="n">
        <v>113.8</v>
      </c>
      <c r="E34" s="133" t="n">
        <v>34</v>
      </c>
      <c r="F34" s="132" t="n">
        <v>84.90000000000001</v>
      </c>
      <c r="G34" s="17" t="n">
        <v>26</v>
      </c>
      <c r="H34" s="134" t="n">
        <v>62</v>
      </c>
      <c r="I34" s="135" t="n"/>
      <c r="J34" s="135" t="n"/>
      <c r="K34" s="135" t="n"/>
      <c r="L34" s="135" t="n"/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113B</t>
        </is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3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진해자은벚꽃주공</t>
        </is>
      </c>
      <c r="B35" s="10" t="inlineStr">
        <is>
          <t>'00.08.</t>
        </is>
      </c>
      <c r="C35" s="134" t="n">
        <v>600</v>
      </c>
      <c r="D35" s="132" t="n">
        <v>113.8</v>
      </c>
      <c r="E35" s="133" t="n">
        <v>34</v>
      </c>
      <c r="F35" s="132" t="n">
        <v>84.90000000000001</v>
      </c>
      <c r="G35" s="17" t="n">
        <v>26</v>
      </c>
      <c r="H35" s="134" t="n">
        <v>48</v>
      </c>
      <c r="I35" s="135" t="n"/>
      <c r="J35" s="135" t="n"/>
      <c r="K35" s="135" t="n"/>
      <c r="L35" s="135" t="n"/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113C</t>
        </is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3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2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7" t="n"/>
      <c r="P36" s="137" t="n"/>
      <c r="Q36" s="133" t="n"/>
      <c r="R36" s="133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7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자은월드메르디앙</t>
        </is>
      </c>
      <c r="B37" s="10" t="inlineStr">
        <is>
          <t>'08.01.</t>
        </is>
      </c>
      <c r="C37" s="134" t="n">
        <v>358</v>
      </c>
      <c r="D37" s="132" t="n">
        <v>112.9</v>
      </c>
      <c r="E37" s="133" t="n">
        <v>34</v>
      </c>
      <c r="F37" s="132" t="n">
        <v>84.90000000000001</v>
      </c>
      <c r="G37" s="17" t="n">
        <v>26</v>
      </c>
      <c r="H37" s="134" t="n">
        <v>55</v>
      </c>
      <c r="I37" s="135" t="n">
        <v>31000</v>
      </c>
      <c r="J37" s="135" t="inlineStr">
        <is>
          <t>중</t>
        </is>
      </c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1" t="n">
        <v>3</v>
      </c>
      <c r="R37" s="121" t="n">
        <v>2</v>
      </c>
      <c r="S37" s="121" t="inlineStr">
        <is>
          <t>복</t>
        </is>
      </c>
      <c r="T37" s="5" t="inlineStr">
        <is>
          <t>112B</t>
        </is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3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자은월드메르디앙</t>
        </is>
      </c>
      <c r="B38" s="10" t="inlineStr">
        <is>
          <t>'08.01.</t>
        </is>
      </c>
      <c r="C38" s="134" t="n">
        <v>358</v>
      </c>
      <c r="D38" s="132" t="n">
        <v>113.4</v>
      </c>
      <c r="E38" s="133" t="n">
        <v>34</v>
      </c>
      <c r="F38" s="132" t="n">
        <v>84.90000000000001</v>
      </c>
      <c r="G38" s="17" t="n">
        <v>26</v>
      </c>
      <c r="H38" s="134" t="n">
        <v>230</v>
      </c>
      <c r="I38" s="135" t="n">
        <v>30000</v>
      </c>
      <c r="J38" s="135" t="inlineStr">
        <is>
          <t>중</t>
        </is>
      </c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113A</t>
        </is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3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자은월드메르디앙</t>
        </is>
      </c>
      <c r="B39" s="10" t="inlineStr">
        <is>
          <t>'08.01.</t>
        </is>
      </c>
      <c r="C39" s="134" t="n">
        <v>358</v>
      </c>
      <c r="D39" s="132" t="n">
        <v>114.2</v>
      </c>
      <c r="E39" s="133" t="n">
        <v>35</v>
      </c>
      <c r="F39" s="132" t="n">
        <v>85</v>
      </c>
      <c r="G39" s="17" t="n">
        <v>26</v>
      </c>
      <c r="H39" s="134" t="n">
        <v>13</v>
      </c>
      <c r="I39" s="135" t="n"/>
      <c r="J39" s="135" t="n"/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1" t="n">
        <v>3</v>
      </c>
      <c r="R39" s="121" t="n">
        <v>2</v>
      </c>
      <c r="S39" s="121" t="inlineStr">
        <is>
          <t>복</t>
        </is>
      </c>
      <c r="T39" s="5" t="inlineStr">
        <is>
          <t>114C</t>
        </is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3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자은월드메르디앙</t>
        </is>
      </c>
      <c r="B40" s="10" t="inlineStr">
        <is>
          <t>'08.01.</t>
        </is>
      </c>
      <c r="C40" s="134" t="n">
        <v>358</v>
      </c>
      <c r="D40" s="132" t="n">
        <v>158.7</v>
      </c>
      <c r="E40" s="133" t="n">
        <v>48</v>
      </c>
      <c r="F40" s="132" t="n">
        <v>126.2</v>
      </c>
      <c r="G40" s="17" t="n">
        <v>38</v>
      </c>
      <c r="H40" s="134" t="n">
        <v>60</v>
      </c>
      <c r="I40" s="135" t="n">
        <v>36500</v>
      </c>
      <c r="J40" s="135" t="inlineStr">
        <is>
          <t>고</t>
        </is>
      </c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158</v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3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2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7" t="n"/>
      <c r="P41" s="137" t="n"/>
      <c r="Q41" s="133" t="n"/>
      <c r="R41" s="133" t="n"/>
      <c r="S41" s="9" t="n"/>
      <c r="T41" s="47" t="n"/>
      <c r="U41" s="9" t="n"/>
      <c r="W41" s="68">
        <f>$A$4&amp;" "&amp;A42&amp;"("&amp;B42&amp;","&amp;C42&amp;"^)"</f>
        <v/>
      </c>
      <c r="X41" s="69" t="n"/>
      <c r="Y41" s="69" t="n"/>
      <c r="Z41" s="69" t="n"/>
      <c r="AA41" s="69" t="n"/>
      <c r="AB41" s="69" t="n"/>
      <c r="AC41" s="69" t="n"/>
      <c r="AD41" s="69" t="n"/>
      <c r="AE41" s="69" t="n"/>
      <c r="AF41" s="70" t="n"/>
      <c r="AH41" s="20">
        <f>IF(A41="","",A41)</f>
        <v/>
      </c>
      <c r="AI41" s="157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협성DS이아이존빌</t>
        </is>
      </c>
      <c r="B42" s="10" t="inlineStr">
        <is>
          <t>'14.06.</t>
        </is>
      </c>
      <c r="C42" s="134" t="n">
        <v>433</v>
      </c>
      <c r="D42" s="132" t="n">
        <v>79.7</v>
      </c>
      <c r="E42" s="133" t="n">
        <v>24</v>
      </c>
      <c r="F42" s="132" t="n">
        <v>59.9</v>
      </c>
      <c r="G42" s="17" t="n">
        <v>18</v>
      </c>
      <c r="H42" s="134" t="n">
        <v>113</v>
      </c>
      <c r="I42" s="135" t="n">
        <v>26500</v>
      </c>
      <c r="J42" s="135" t="inlineStr">
        <is>
          <t>중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79A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3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협성DS이아이존빌</t>
        </is>
      </c>
      <c r="B43" s="10" t="inlineStr">
        <is>
          <t>'14.06.</t>
        </is>
      </c>
      <c r="C43" s="134" t="n">
        <v>433</v>
      </c>
      <c r="D43" s="132" t="n">
        <v>81</v>
      </c>
      <c r="E43" s="133" t="n">
        <v>24</v>
      </c>
      <c r="F43" s="132" t="n">
        <v>60</v>
      </c>
      <c r="G43" s="17" t="n">
        <v>18</v>
      </c>
      <c r="H43" s="134" t="n">
        <v>52</v>
      </c>
      <c r="I43" s="135" t="n">
        <v>26000</v>
      </c>
      <c r="J43" s="135" t="inlineStr">
        <is>
          <t>고</t>
        </is>
      </c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80B</t>
        </is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3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협성DS이아이존빌</t>
        </is>
      </c>
      <c r="B44" s="10" t="inlineStr">
        <is>
          <t>'14.06.</t>
        </is>
      </c>
      <c r="C44" s="134" t="n">
        <v>433</v>
      </c>
      <c r="D44" s="132" t="n">
        <v>112.3</v>
      </c>
      <c r="E44" s="133" t="n">
        <v>34</v>
      </c>
      <c r="F44" s="132" t="n">
        <v>85</v>
      </c>
      <c r="G44" s="17" t="n">
        <v>26</v>
      </c>
      <c r="H44" s="134" t="n">
        <v>106</v>
      </c>
      <c r="I44" s="135" t="n">
        <v>37000</v>
      </c>
      <c r="J44" s="135" t="inlineStr">
        <is>
          <t>중</t>
        </is>
      </c>
      <c r="K44" s="135" t="n"/>
      <c r="L44" s="135" t="n"/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112A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3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협성DS이아이존빌</t>
        </is>
      </c>
      <c r="B45" s="10" t="inlineStr">
        <is>
          <t>'14.06.</t>
        </is>
      </c>
      <c r="C45" s="134" t="n">
        <v>433</v>
      </c>
      <c r="D45" s="132" t="n">
        <v>113.9</v>
      </c>
      <c r="E45" s="133" t="n">
        <v>34</v>
      </c>
      <c r="F45" s="132" t="n">
        <v>85</v>
      </c>
      <c r="G45" s="17" t="n">
        <v>26</v>
      </c>
      <c r="H45" s="134" t="n">
        <v>162</v>
      </c>
      <c r="I45" s="135" t="n">
        <v>32000</v>
      </c>
      <c r="J45" s="135" t="inlineStr">
        <is>
          <t>5</t>
        </is>
      </c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113B</t>
        </is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3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2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7" t="n"/>
      <c r="P46" s="137" t="n"/>
      <c r="Q46" s="133" t="n"/>
      <c r="R46" s="133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7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자은더샵</t>
        </is>
      </c>
      <c r="B47" s="10" t="inlineStr">
        <is>
          <t>'05.11.</t>
        </is>
      </c>
      <c r="C47" s="134" t="n">
        <v>442</v>
      </c>
      <c r="D47" s="132" t="n">
        <v>99.7</v>
      </c>
      <c r="E47" s="133" t="n">
        <v>30</v>
      </c>
      <c r="F47" s="132" t="n">
        <v>74.2</v>
      </c>
      <c r="G47" s="17" t="n">
        <v>22</v>
      </c>
      <c r="H47" s="134" t="n">
        <v>58</v>
      </c>
      <c r="I47" s="135" t="n"/>
      <c r="J47" s="135" t="n"/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99</v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3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자은더샵</t>
        </is>
      </c>
      <c r="B48" s="10" t="inlineStr">
        <is>
          <t>'05.11.</t>
        </is>
      </c>
      <c r="C48" s="134" t="n">
        <v>442</v>
      </c>
      <c r="D48" s="132" t="n">
        <v>110.1</v>
      </c>
      <c r="E48" s="133" t="n">
        <v>33</v>
      </c>
      <c r="F48" s="132" t="n">
        <v>84.40000000000001</v>
      </c>
      <c r="G48" s="17" t="n">
        <v>26</v>
      </c>
      <c r="H48" s="134" t="n">
        <v>326</v>
      </c>
      <c r="I48" s="135" t="n">
        <v>27000</v>
      </c>
      <c r="J48" s="135" t="inlineStr">
        <is>
          <t>11</t>
        </is>
      </c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110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3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자은더샵</t>
        </is>
      </c>
      <c r="B49" s="10" t="inlineStr">
        <is>
          <t>'05.11.</t>
        </is>
      </c>
      <c r="C49" s="134" t="n">
        <v>442</v>
      </c>
      <c r="D49" s="132" t="n">
        <v>147.8</v>
      </c>
      <c r="E49" s="133" t="n">
        <v>45</v>
      </c>
      <c r="F49" s="132" t="n">
        <v>123.2</v>
      </c>
      <c r="G49" s="17" t="n">
        <v>37</v>
      </c>
      <c r="H49" s="134" t="n">
        <v>58</v>
      </c>
      <c r="I49" s="135" t="n">
        <v>35500</v>
      </c>
      <c r="J49" s="135" t="inlineStr">
        <is>
          <t>10</t>
        </is>
      </c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1" t="n">
        <v>4</v>
      </c>
      <c r="R49" s="121" t="n">
        <v>2</v>
      </c>
      <c r="S49" s="121" t="inlineStr">
        <is>
          <t>계</t>
        </is>
      </c>
      <c r="T49" s="5" t="n">
        <v>147</v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3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2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7" t="n"/>
      <c r="P50" s="137" t="n"/>
      <c r="Q50" s="133" t="n"/>
      <c r="R50" s="133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7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자은중흥S-클래스</t>
        </is>
      </c>
      <c r="B51" s="10" t="inlineStr">
        <is>
          <t>'17.02.</t>
        </is>
      </c>
      <c r="C51" s="134" t="n">
        <v>767</v>
      </c>
      <c r="D51" s="132" t="n">
        <v>100.9</v>
      </c>
      <c r="E51" s="133" t="n">
        <v>31</v>
      </c>
      <c r="F51" s="132" t="n">
        <v>76.2</v>
      </c>
      <c r="G51" s="17" t="n">
        <v>23</v>
      </c>
      <c r="H51" s="134" t="n">
        <v>212</v>
      </c>
      <c r="I51" s="135" t="n">
        <v>40500</v>
      </c>
      <c r="J51" s="135" t="inlineStr">
        <is>
          <t>고</t>
        </is>
      </c>
      <c r="K51" s="135" t="n">
        <v>32000</v>
      </c>
      <c r="L51" s="135" t="inlineStr">
        <is>
          <t>17</t>
        </is>
      </c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100</v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3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자은중흥S-클래스</t>
        </is>
      </c>
      <c r="B52" s="10" t="inlineStr">
        <is>
          <t>'17.02.</t>
        </is>
      </c>
      <c r="C52" s="134" t="n">
        <v>767</v>
      </c>
      <c r="D52" s="132" t="n">
        <v>112.4</v>
      </c>
      <c r="E52" s="133" t="n">
        <v>34</v>
      </c>
      <c r="F52" s="132" t="n">
        <v>84.90000000000001</v>
      </c>
      <c r="G52" s="17" t="n">
        <v>26</v>
      </c>
      <c r="H52" s="134" t="n">
        <v>555</v>
      </c>
      <c r="I52" s="135" t="n">
        <v>42000</v>
      </c>
      <c r="J52" s="135" t="inlineStr">
        <is>
          <t>중</t>
        </is>
      </c>
      <c r="K52" s="135" t="n">
        <v>35000</v>
      </c>
      <c r="L52" s="135" t="inlineStr">
        <is>
          <t>7</t>
        </is>
      </c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112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3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n"/>
      <c r="B53" s="121" t="n"/>
      <c r="C53" s="6" t="n"/>
      <c r="D53" s="9" t="n"/>
      <c r="E53" s="14" t="n"/>
      <c r="F53" s="132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7" t="n"/>
      <c r="P53" s="137" t="n"/>
      <c r="Q53" s="133" t="n"/>
      <c r="R53" s="133" t="n"/>
      <c r="S53" s="9" t="n"/>
      <c r="T53" s="47" t="n"/>
      <c r="U53" s="9" t="n"/>
      <c r="W53" s="68">
        <f>$A$4&amp;" "&amp;A54&amp;"("&amp;B54&amp;","&amp;C54&amp;"^)"</f>
        <v/>
      </c>
      <c r="X53" s="69" t="n"/>
      <c r="Y53" s="69" t="n"/>
      <c r="Z53" s="69" t="n"/>
      <c r="AA53" s="69" t="n"/>
      <c r="AB53" s="69" t="n"/>
      <c r="AC53" s="69" t="n"/>
      <c r="AD53" s="69" t="n"/>
      <c r="AE53" s="69" t="n"/>
      <c r="AF53" s="70" t="n"/>
      <c r="AH53" s="20">
        <f>IF(A53="","",A53)</f>
        <v/>
      </c>
      <c r="AI53" s="157">
        <f>IF(E53="","",E53)</f>
        <v/>
      </c>
      <c r="AJ53" s="121" t="n"/>
      <c r="AK53" s="121" t="n"/>
      <c r="AL53" s="121" t="n"/>
      <c r="AM53" s="121" t="n"/>
      <c r="AN53" s="121" t="n"/>
      <c r="AO53" s="121" t="n"/>
      <c r="AP53" s="121" t="n"/>
      <c r="AQ53" s="121" t="n"/>
      <c r="AR53" s="121" t="n"/>
      <c r="AS53" s="121" t="n"/>
      <c r="AT53" s="121" t="n"/>
      <c r="AU53" s="121" t="n"/>
      <c r="AV53" s="121" t="n"/>
    </row>
    <row r="54">
      <c r="A54" s="9" t="inlineStr">
        <is>
          <t>삼성</t>
        </is>
      </c>
      <c r="B54" s="10" t="inlineStr">
        <is>
          <t>'93.07.</t>
        </is>
      </c>
      <c r="C54" s="134" t="n">
        <v>370</v>
      </c>
      <c r="D54" s="132" t="n">
        <v>68.5</v>
      </c>
      <c r="E54" s="133" t="n">
        <v>21</v>
      </c>
      <c r="F54" s="132" t="n">
        <v>49.1</v>
      </c>
      <c r="G54" s="17" t="n">
        <v>15</v>
      </c>
      <c r="H54" s="134" t="n">
        <v>100</v>
      </c>
      <c r="I54" s="135" t="n">
        <v>11000</v>
      </c>
      <c r="J54" s="135" t="inlineStr">
        <is>
          <t>고</t>
        </is>
      </c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21" t="n">
        <v>2</v>
      </c>
      <c r="R54" s="121" t="n">
        <v>1</v>
      </c>
      <c r="S54" s="121" t="inlineStr">
        <is>
          <t>계</t>
        </is>
      </c>
      <c r="T54" s="5" t="n">
        <v>68</v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3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삼성</t>
        </is>
      </c>
      <c r="B55" s="10" t="inlineStr">
        <is>
          <t>'93.07.</t>
        </is>
      </c>
      <c r="C55" s="134" t="n">
        <v>370</v>
      </c>
      <c r="D55" s="132" t="n">
        <v>81.5</v>
      </c>
      <c r="E55" s="133" t="n">
        <v>25</v>
      </c>
      <c r="F55" s="132" t="n">
        <v>59.9</v>
      </c>
      <c r="G55" s="17" t="n">
        <v>18</v>
      </c>
      <c r="H55" s="134" t="n">
        <v>270</v>
      </c>
      <c r="I55" s="135" t="n">
        <v>13600</v>
      </c>
      <c r="J55" s="135" t="inlineStr">
        <is>
          <t>10</t>
        </is>
      </c>
      <c r="K55" s="135" t="n">
        <v>11000</v>
      </c>
      <c r="L55" s="135" t="inlineStr">
        <is>
          <t>8</t>
        </is>
      </c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1" t="n">
        <v>3</v>
      </c>
      <c r="R55" s="121" t="n">
        <v>1</v>
      </c>
      <c r="S55" s="121" t="inlineStr">
        <is>
          <t>계</t>
        </is>
      </c>
      <c r="T55" s="5" t="n">
        <v>81</v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3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25" dxfId="23">
      <formula>AV4="X"</formula>
    </cfRule>
    <cfRule type="expression" priority="826" dxfId="22">
      <formula>AV4="후보"</formula>
    </cfRule>
  </conditionalFormatting>
  <conditionalFormatting sqref="AC1:AC2 AC4:AC6 N4:N5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N1:N2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6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6">
    <cfRule type="expression" priority="814" dxfId="3">
      <formula>AND(IF(OR($Q6=1,$Q6=2),1,0),IF($X6&lt;=20,1,0))</formula>
    </cfRule>
    <cfRule type="expression" priority="815" dxfId="2">
      <formula>AND(IF($Q6=2,1,0),IF($X6&lt;30,1,0))</formula>
    </cfRule>
    <cfRule type="expression" priority="816" dxfId="1">
      <formula>AND(IF($Q6=3,1,0),IF($X6&lt;30,1,0))</formula>
    </cfRule>
    <cfRule type="expression" priority="817" dxfId="0">
      <formula>AND(IF($Q6=3,1,IF($Q6=4,1,0)),IF($F6&lt;=85,1,0))</formula>
    </cfRule>
  </conditionalFormatting>
  <conditionalFormatting sqref="X6">
    <cfRule type="expression" priority="810" dxfId="3">
      <formula>AND(IF(OR($Q6=1,$Q6=2),1,0),IF($X6&lt;=20,1,0))</formula>
    </cfRule>
    <cfRule type="expression" priority="811" dxfId="2">
      <formula>AND(IF($Q6=2,1,0),IF($X6&lt;30,1,0))</formula>
    </cfRule>
    <cfRule type="expression" priority="812" dxfId="1">
      <formula>AND(IF($Q6=3,1,0),IF($X6&lt;30,1,0))</formula>
    </cfRule>
    <cfRule type="expression" priority="813" dxfId="0">
      <formula>AND(IF($Q6=3,1,IF($Q6=4,1,0)),IF($F6&lt;=85,1,0))</formula>
    </cfRule>
  </conditionalFormatting>
  <conditionalFormatting sqref="AI6">
    <cfRule type="expression" priority="806" dxfId="3">
      <formula>AND(IF(OR($Q6=1,$Q6=2),1,0),IF($X6&lt;=20,1,0))</formula>
    </cfRule>
    <cfRule type="expression" priority="807" dxfId="2">
      <formula>AND(IF($Q6=2,1,0),IF($X6&lt;30,1,0))</formula>
    </cfRule>
    <cfRule type="expression" priority="808" dxfId="1">
      <formula>AND(IF($Q6=3,1,0),IF($X6&lt;30,1,0))</formula>
    </cfRule>
    <cfRule type="expression" priority="809" dxfId="0">
      <formula>AND(IF($Q6=3,1,IF($Q6=4,1,0)),IF($F6&lt;=85,1,0))</formula>
    </cfRule>
  </conditionalFormatting>
  <conditionalFormatting sqref="AV7">
    <cfRule type="expression" priority="804" dxfId="23">
      <formula>AV7="X"</formula>
    </cfRule>
    <cfRule type="expression" priority="805" dxfId="22">
      <formula>AV7="후보"</formula>
    </cfRule>
  </conditionalFormatting>
  <conditionalFormatting sqref="AC7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">
    <cfRule type="expression" priority="795" dxfId="3">
      <formula>AND(IF(OR($Q7=1,$Q7=2),1,0),IF($X7&lt;=20,1,0))</formula>
    </cfRule>
    <cfRule type="expression" priority="796" dxfId="2">
      <formula>AND(IF($Q7=2,1,0),IF($X7&lt;30,1,0))</formula>
    </cfRule>
    <cfRule type="expression" priority="797" dxfId="1">
      <formula>AND(IF($Q7=3,1,0),IF($X7&lt;30,1,0))</formula>
    </cfRule>
    <cfRule type="expression" priority="798" dxfId="0">
      <formula>AND(IF($Q7=3,1,IF($Q7=4,1,0)),IF($F7&lt;=85,1,0))</formula>
    </cfRule>
  </conditionalFormatting>
  <conditionalFormatting sqref="X7">
    <cfRule type="expression" priority="791" dxfId="3">
      <formula>AND(IF(OR($Q7=1,$Q7=2),1,0),IF($X7&lt;=20,1,0))</formula>
    </cfRule>
    <cfRule type="expression" priority="792" dxfId="2">
      <formula>AND(IF($Q7=2,1,0),IF($X7&lt;30,1,0))</formula>
    </cfRule>
    <cfRule type="expression" priority="793" dxfId="1">
      <formula>AND(IF($Q7=3,1,0),IF($X7&lt;30,1,0))</formula>
    </cfRule>
    <cfRule type="expression" priority="794" dxfId="0">
      <formula>AND(IF($Q7=3,1,IF($Q7=4,1,0)),IF($F7&lt;=85,1,0))</formula>
    </cfRule>
  </conditionalFormatting>
  <conditionalFormatting sqref="AI7">
    <cfRule type="expression" priority="787" dxfId="3">
      <formula>AND(IF(OR($Q7=1,$Q7=2),1,0),IF($X7&lt;=20,1,0))</formula>
    </cfRule>
    <cfRule type="expression" priority="788" dxfId="2">
      <formula>AND(IF($Q7=2,1,0),IF($X7&lt;30,1,0))</formula>
    </cfRule>
    <cfRule type="expression" priority="789" dxfId="1">
      <formula>AND(IF($Q7=3,1,0),IF($X7&lt;30,1,0))</formula>
    </cfRule>
    <cfRule type="expression" priority="790" dxfId="0">
      <formula>AND(IF($Q7=3,1,IF($Q7=4,1,0)),IF($F7&lt;=85,1,0))</formula>
    </cfRule>
  </conditionalFormatting>
  <conditionalFormatting sqref="AV8">
    <cfRule type="expression" priority="785" dxfId="23">
      <formula>AV8="X"</formula>
    </cfRule>
    <cfRule type="expression" priority="786" dxfId="22">
      <formula>AV8="후보"</formula>
    </cfRule>
  </conditionalFormatting>
  <conditionalFormatting sqref="AC8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">
    <cfRule type="expression" priority="776" dxfId="3">
      <formula>AND(IF(OR($Q8=1,$Q8=2),1,0),IF($X8&lt;=20,1,0))</formula>
    </cfRule>
    <cfRule type="expression" priority="777" dxfId="2">
      <formula>AND(IF($Q8=2,1,0),IF($X8&lt;30,1,0))</formula>
    </cfRule>
    <cfRule type="expression" priority="778" dxfId="1">
      <formula>AND(IF($Q8=3,1,0),IF($X8&lt;30,1,0))</formula>
    </cfRule>
    <cfRule type="expression" priority="779" dxfId="0">
      <formula>AND(IF($Q8=3,1,IF($Q8=4,1,0)),IF($F8&lt;=85,1,0))</formula>
    </cfRule>
  </conditionalFormatting>
  <conditionalFormatting sqref="X8">
    <cfRule type="expression" priority="772" dxfId="3">
      <formula>AND(IF(OR($Q8=1,$Q8=2),1,0),IF($X8&lt;=20,1,0))</formula>
    </cfRule>
    <cfRule type="expression" priority="773" dxfId="2">
      <formula>AND(IF($Q8=2,1,0),IF($X8&lt;30,1,0))</formula>
    </cfRule>
    <cfRule type="expression" priority="774" dxfId="1">
      <formula>AND(IF($Q8=3,1,0),IF($X8&lt;30,1,0))</formula>
    </cfRule>
    <cfRule type="expression" priority="775" dxfId="0">
      <formula>AND(IF($Q8=3,1,IF($Q8=4,1,0)),IF($F8&lt;=85,1,0))</formula>
    </cfRule>
  </conditionalFormatting>
  <conditionalFormatting sqref="AI8">
    <cfRule type="expression" priority="768" dxfId="3">
      <formula>AND(IF(OR($Q8=1,$Q8=2),1,0),IF($X8&lt;=20,1,0))</formula>
    </cfRule>
    <cfRule type="expression" priority="769" dxfId="2">
      <formula>AND(IF($Q8=2,1,0),IF($X8&lt;30,1,0))</formula>
    </cfRule>
    <cfRule type="expression" priority="770" dxfId="1">
      <formula>AND(IF($Q8=3,1,0),IF($X8&lt;30,1,0))</formula>
    </cfRule>
    <cfRule type="expression" priority="771" dxfId="0">
      <formula>AND(IF($Q8=3,1,IF($Q8=4,1,0)),IF($F8&lt;=85,1,0))</formula>
    </cfRule>
  </conditionalFormatting>
  <conditionalFormatting sqref="AV9">
    <cfRule type="expression" priority="766" dxfId="23">
      <formula>AV9="X"</formula>
    </cfRule>
    <cfRule type="expression" priority="767" dxfId="22">
      <formula>AV9="후보"</formula>
    </cfRule>
  </conditionalFormatting>
  <conditionalFormatting sqref="AC9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9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9">
    <cfRule type="expression" priority="757" dxfId="3">
      <formula>AND(IF(OR($Q9=1,$Q9=2),1,0),IF($X9&lt;=20,1,0))</formula>
    </cfRule>
    <cfRule type="expression" priority="758" dxfId="2">
      <formula>AND(IF($Q9=2,1,0),IF($X9&lt;30,1,0))</formula>
    </cfRule>
    <cfRule type="expression" priority="759" dxfId="1">
      <formula>AND(IF($Q9=3,1,0),IF($X9&lt;30,1,0))</formula>
    </cfRule>
    <cfRule type="expression" priority="760" dxfId="0">
      <formula>AND(IF($Q9=3,1,IF($Q9=4,1,0)),IF($F9&lt;=85,1,0))</formula>
    </cfRule>
  </conditionalFormatting>
  <conditionalFormatting sqref="X9">
    <cfRule type="expression" priority="753" dxfId="3">
      <formula>AND(IF(OR($Q9=1,$Q9=2),1,0),IF($X9&lt;=20,1,0))</formula>
    </cfRule>
    <cfRule type="expression" priority="754" dxfId="2">
      <formula>AND(IF($Q9=2,1,0),IF($X9&lt;30,1,0))</formula>
    </cfRule>
    <cfRule type="expression" priority="755" dxfId="1">
      <formula>AND(IF($Q9=3,1,0),IF($X9&lt;30,1,0))</formula>
    </cfRule>
    <cfRule type="expression" priority="756" dxfId="0">
      <formula>AND(IF($Q9=3,1,IF($Q9=4,1,0)),IF($F9&lt;=85,1,0))</formula>
    </cfRule>
  </conditionalFormatting>
  <conditionalFormatting sqref="AI9">
    <cfRule type="expression" priority="749" dxfId="3">
      <formula>AND(IF(OR($Q9=1,$Q9=2),1,0),IF($X9&lt;=20,1,0))</formula>
    </cfRule>
    <cfRule type="expression" priority="750" dxfId="2">
      <formula>AND(IF($Q9=2,1,0),IF($X9&lt;30,1,0))</formula>
    </cfRule>
    <cfRule type="expression" priority="751" dxfId="1">
      <formula>AND(IF($Q9=3,1,0),IF($X9&lt;30,1,0))</formula>
    </cfRule>
    <cfRule type="expression" priority="752" dxfId="0">
      <formula>AND(IF($Q9=3,1,IF($Q9=4,1,0)),IF($F9&lt;=85,1,0))</formula>
    </cfRule>
  </conditionalFormatting>
  <conditionalFormatting sqref="AV10">
    <cfRule type="expression" priority="747" dxfId="23">
      <formula>AV10="X"</formula>
    </cfRule>
    <cfRule type="expression" priority="748" dxfId="22">
      <formula>AV10="후보"</formula>
    </cfRule>
  </conditionalFormatting>
  <conditionalFormatting sqref="AC10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">
    <cfRule type="expression" priority="738" dxfId="3">
      <formula>AND(IF(OR($Q10=1,$Q10=2),1,0),IF($X10&lt;=20,1,0))</formula>
    </cfRule>
    <cfRule type="expression" priority="739" dxfId="2">
      <formula>AND(IF($Q10=2,1,0),IF($X10&lt;30,1,0))</formula>
    </cfRule>
    <cfRule type="expression" priority="740" dxfId="1">
      <formula>AND(IF($Q10=3,1,0),IF($X10&lt;30,1,0))</formula>
    </cfRule>
    <cfRule type="expression" priority="741" dxfId="0">
      <formula>AND(IF($Q10=3,1,IF($Q10=4,1,0)),IF($F10&lt;=85,1,0))</formula>
    </cfRule>
  </conditionalFormatting>
  <conditionalFormatting sqref="X10">
    <cfRule type="expression" priority="734" dxfId="3">
      <formula>AND(IF(OR($Q10=1,$Q10=2),1,0),IF($X10&lt;=20,1,0))</formula>
    </cfRule>
    <cfRule type="expression" priority="735" dxfId="2">
      <formula>AND(IF($Q10=2,1,0),IF($X10&lt;30,1,0))</formula>
    </cfRule>
    <cfRule type="expression" priority="736" dxfId="1">
      <formula>AND(IF($Q10=3,1,0),IF($X10&lt;30,1,0))</formula>
    </cfRule>
    <cfRule type="expression" priority="737" dxfId="0">
      <formula>AND(IF($Q10=3,1,IF($Q10=4,1,0)),IF($F10&lt;=85,1,0))</formula>
    </cfRule>
  </conditionalFormatting>
  <conditionalFormatting sqref="AI10">
    <cfRule type="expression" priority="730" dxfId="3">
      <formula>AND(IF(OR($Q10=1,$Q10=2),1,0),IF($X10&lt;=20,1,0))</formula>
    </cfRule>
    <cfRule type="expression" priority="731" dxfId="2">
      <formula>AND(IF($Q10=2,1,0),IF($X10&lt;30,1,0))</formula>
    </cfRule>
    <cfRule type="expression" priority="732" dxfId="1">
      <formula>AND(IF($Q10=3,1,0),IF($X10&lt;30,1,0))</formula>
    </cfRule>
    <cfRule type="expression" priority="733" dxfId="0">
      <formula>AND(IF($Q10=3,1,IF($Q10=4,1,0)),IF($F10&lt;=85,1,0))</formula>
    </cfRule>
  </conditionalFormatting>
  <conditionalFormatting sqref="AV11">
    <cfRule type="expression" priority="728" dxfId="23">
      <formula>AV11="X"</formula>
    </cfRule>
    <cfRule type="expression" priority="729" dxfId="22">
      <formula>AV11="후보"</formula>
    </cfRule>
  </conditionalFormatting>
  <conditionalFormatting sqref="AC11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1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1">
    <cfRule type="expression" priority="719" dxfId="3">
      <formula>AND(IF(OR($Q11=1,$Q11=2),1,0),IF($X11&lt;=20,1,0))</formula>
    </cfRule>
    <cfRule type="expression" priority="720" dxfId="2">
      <formula>AND(IF($Q11=2,1,0),IF($X11&lt;30,1,0))</formula>
    </cfRule>
    <cfRule type="expression" priority="721" dxfId="1">
      <formula>AND(IF($Q11=3,1,0),IF($X11&lt;30,1,0))</formula>
    </cfRule>
    <cfRule type="expression" priority="722" dxfId="0">
      <formula>AND(IF($Q11=3,1,IF($Q11=4,1,0)),IF($F11&lt;=85,1,0))</formula>
    </cfRule>
  </conditionalFormatting>
  <conditionalFormatting sqref="X11">
    <cfRule type="expression" priority="715" dxfId="3">
      <formula>AND(IF(OR($Q11=1,$Q11=2),1,0),IF($X11&lt;=20,1,0))</formula>
    </cfRule>
    <cfRule type="expression" priority="716" dxfId="2">
      <formula>AND(IF($Q11=2,1,0),IF($X11&lt;30,1,0))</formula>
    </cfRule>
    <cfRule type="expression" priority="717" dxfId="1">
      <formula>AND(IF($Q11=3,1,0),IF($X11&lt;30,1,0))</formula>
    </cfRule>
    <cfRule type="expression" priority="718" dxfId="0">
      <formula>AND(IF($Q11=3,1,IF($Q11=4,1,0)),IF($F11&lt;=85,1,0))</formula>
    </cfRule>
  </conditionalFormatting>
  <conditionalFormatting sqref="AI11">
    <cfRule type="expression" priority="711" dxfId="3">
      <formula>AND(IF(OR($Q11=1,$Q11=2),1,0),IF($X11&lt;=20,1,0))</formula>
    </cfRule>
    <cfRule type="expression" priority="712" dxfId="2">
      <formula>AND(IF($Q11=2,1,0),IF($X11&lt;30,1,0))</formula>
    </cfRule>
    <cfRule type="expression" priority="713" dxfId="1">
      <formula>AND(IF($Q11=3,1,0),IF($X11&lt;30,1,0))</formula>
    </cfRule>
    <cfRule type="expression" priority="714" dxfId="0">
      <formula>AND(IF($Q11=3,1,IF($Q11=4,1,0)),IF($F11&lt;=85,1,0))</formula>
    </cfRule>
  </conditionalFormatting>
  <conditionalFormatting sqref="AV12">
    <cfRule type="expression" priority="709" dxfId="23">
      <formula>AV12="X"</formula>
    </cfRule>
    <cfRule type="expression" priority="710" dxfId="22">
      <formula>AV12="후보"</formula>
    </cfRule>
  </conditionalFormatting>
  <conditionalFormatting sqref="AC12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2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X12">
    <cfRule type="expression" priority="696" dxfId="3">
      <formula>AND(IF(OR($Q12=1,$Q12=2),1,0),IF($X12&lt;=20,1,0))</formula>
    </cfRule>
    <cfRule type="expression" priority="697" dxfId="2">
      <formula>AND(IF($Q12=2,1,0),IF($X12&lt;30,1,0))</formula>
    </cfRule>
    <cfRule type="expression" priority="698" dxfId="1">
      <formula>AND(IF($Q12=3,1,0),IF($X12&lt;30,1,0))</formula>
    </cfRule>
    <cfRule type="expression" priority="699" dxfId="0">
      <formula>AND(IF($Q12=3,1,IF($Q12=4,1,0)),IF($F12&lt;=85,1,0))</formula>
    </cfRule>
  </conditionalFormatting>
  <conditionalFormatting sqref="AI12">
    <cfRule type="expression" priority="692" dxfId="3">
      <formula>AND(IF(OR($Q12=1,$Q12=2),1,0),IF($X12&lt;=20,1,0))</formula>
    </cfRule>
    <cfRule type="expression" priority="693" dxfId="2">
      <formula>AND(IF($Q12=2,1,0),IF($X12&lt;30,1,0))</formula>
    </cfRule>
    <cfRule type="expression" priority="694" dxfId="1">
      <formula>AND(IF($Q12=3,1,0),IF($X12&lt;30,1,0))</formula>
    </cfRule>
    <cfRule type="expression" priority="695" dxfId="0">
      <formula>AND(IF($Q12=3,1,IF($Q12=4,1,0)),IF($F12&lt;=85,1,0))</formula>
    </cfRule>
  </conditionalFormatting>
  <conditionalFormatting sqref="AV13">
    <cfRule type="expression" priority="690" dxfId="23">
      <formula>AV13="X"</formula>
    </cfRule>
    <cfRule type="expression" priority="691" dxfId="22">
      <formula>AV13="후보"</formula>
    </cfRule>
  </conditionalFormatting>
  <conditionalFormatting sqref="AC13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3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X13">
    <cfRule type="expression" priority="677" dxfId="3">
      <formula>AND(IF(OR($Q13=1,$Q13=2),1,0),IF($X13&lt;=20,1,0))</formula>
    </cfRule>
    <cfRule type="expression" priority="678" dxfId="2">
      <formula>AND(IF($Q13=2,1,0),IF($X13&lt;30,1,0))</formula>
    </cfRule>
    <cfRule type="expression" priority="679" dxfId="1">
      <formula>AND(IF($Q13=3,1,0),IF($X13&lt;30,1,0))</formula>
    </cfRule>
    <cfRule type="expression" priority="680" dxfId="0">
      <formula>AND(IF($Q13=3,1,IF($Q13=4,1,0)),IF($F13&lt;=85,1,0))</formula>
    </cfRule>
  </conditionalFormatting>
  <conditionalFormatting sqref="AI13">
    <cfRule type="expression" priority="673" dxfId="3">
      <formula>AND(IF(OR($Q13=1,$Q13=2),1,0),IF($X13&lt;=20,1,0))</formula>
    </cfRule>
    <cfRule type="expression" priority="674" dxfId="2">
      <formula>AND(IF($Q13=2,1,0),IF($X13&lt;30,1,0))</formula>
    </cfRule>
    <cfRule type="expression" priority="675" dxfId="1">
      <formula>AND(IF($Q13=3,1,0),IF($X13&lt;30,1,0))</formula>
    </cfRule>
    <cfRule type="expression" priority="676" dxfId="0">
      <formula>AND(IF($Q13=3,1,IF($Q13=4,1,0)),IF($F13&lt;=85,1,0))</formula>
    </cfRule>
  </conditionalFormatting>
  <conditionalFormatting sqref="AV14">
    <cfRule type="expression" priority="671" dxfId="23">
      <formula>AV14="X"</formula>
    </cfRule>
    <cfRule type="expression" priority="672" dxfId="22">
      <formula>AV14="후보"</formula>
    </cfRule>
  </conditionalFormatting>
  <conditionalFormatting sqref="AC1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X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AI14">
    <cfRule type="expression" priority="654" dxfId="3">
      <formula>AND(IF(OR($Q14=1,$Q14=2),1,0),IF($X14&lt;=20,1,0))</formula>
    </cfRule>
    <cfRule type="expression" priority="655" dxfId="2">
      <formula>AND(IF($Q14=2,1,0),IF($X14&lt;30,1,0))</formula>
    </cfRule>
    <cfRule type="expression" priority="656" dxfId="1">
      <formula>AND(IF($Q14=3,1,0),IF($X14&lt;30,1,0))</formula>
    </cfRule>
    <cfRule type="expression" priority="657" dxfId="0">
      <formula>AND(IF($Q14=3,1,IF($Q14=4,1,0)),IF($F14&lt;=85,1,0))</formula>
    </cfRule>
  </conditionalFormatting>
  <conditionalFormatting sqref="AV15">
    <cfRule type="expression" priority="652" dxfId="23">
      <formula>AV15="X"</formula>
    </cfRule>
    <cfRule type="expression" priority="653" dxfId="22">
      <formula>AV15="후보"</formula>
    </cfRule>
  </conditionalFormatting>
  <conditionalFormatting sqref="AC15 N1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AV16">
    <cfRule type="expression" priority="647" dxfId="23">
      <formula>AV16="X"</formula>
    </cfRule>
    <cfRule type="expression" priority="648" dxfId="22">
      <formula>AV16="후보"</formula>
    </cfRule>
  </conditionalFormatting>
  <conditionalFormatting sqref="AC16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6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6">
    <cfRule type="expression" priority="638" dxfId="3">
      <formula>AND(IF(OR($Q16=1,$Q16=2),1,0),IF($X16&lt;=20,1,0))</formula>
    </cfRule>
    <cfRule type="expression" priority="639" dxfId="2">
      <formula>AND(IF($Q16=2,1,0),IF($X16&lt;30,1,0))</formula>
    </cfRule>
    <cfRule type="expression" priority="640" dxfId="1">
      <formula>AND(IF($Q16=3,1,0),IF($X16&lt;30,1,0))</formula>
    </cfRule>
    <cfRule type="expression" priority="641" dxfId="0">
      <formula>AND(IF($Q16=3,1,IF($Q16=4,1,0)),IF($F16&lt;=85,1,0))</formula>
    </cfRule>
  </conditionalFormatting>
  <conditionalFormatting sqref="X16">
    <cfRule type="expression" priority="634" dxfId="3">
      <formula>AND(IF(OR($Q16=1,$Q16=2),1,0),IF($X16&lt;=20,1,0))</formula>
    </cfRule>
    <cfRule type="expression" priority="635" dxfId="2">
      <formula>AND(IF($Q16=2,1,0),IF($X16&lt;30,1,0))</formula>
    </cfRule>
    <cfRule type="expression" priority="636" dxfId="1">
      <formula>AND(IF($Q16=3,1,0),IF($X16&lt;30,1,0))</formula>
    </cfRule>
    <cfRule type="expression" priority="637" dxfId="0">
      <formula>AND(IF($Q16=3,1,IF($Q16=4,1,0)),IF($F16&lt;=85,1,0))</formula>
    </cfRule>
  </conditionalFormatting>
  <conditionalFormatting sqref="AI16">
    <cfRule type="expression" priority="630" dxfId="3">
      <formula>AND(IF(OR($Q16=1,$Q16=2),1,0),IF($X16&lt;=20,1,0))</formula>
    </cfRule>
    <cfRule type="expression" priority="631" dxfId="2">
      <formula>AND(IF($Q16=2,1,0),IF($X16&lt;30,1,0))</formula>
    </cfRule>
    <cfRule type="expression" priority="632" dxfId="1">
      <formula>AND(IF($Q16=3,1,0),IF($X16&lt;30,1,0))</formula>
    </cfRule>
    <cfRule type="expression" priority="633" dxfId="0">
      <formula>AND(IF($Q16=3,1,IF($Q16=4,1,0)),IF($F16&lt;=85,1,0))</formula>
    </cfRule>
  </conditionalFormatting>
  <conditionalFormatting sqref="AV17">
    <cfRule type="expression" priority="628" dxfId="23">
      <formula>AV17="X"</formula>
    </cfRule>
    <cfRule type="expression" priority="629" dxfId="22">
      <formula>AV17="후보"</formula>
    </cfRule>
  </conditionalFormatting>
  <conditionalFormatting sqref="AC17 N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18">
    <cfRule type="expression" priority="623" dxfId="23">
      <formula>AV18="X"</formula>
    </cfRule>
    <cfRule type="expression" priority="624" dxfId="22">
      <formula>AV18="후보"</formula>
    </cfRule>
  </conditionalFormatting>
  <conditionalFormatting sqref="AC1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8">
    <cfRule type="expression" priority="614" dxfId="3">
      <formula>AND(IF(OR($Q18=1,$Q18=2),1,0),IF($X18&lt;=20,1,0))</formula>
    </cfRule>
    <cfRule type="expression" priority="615" dxfId="2">
      <formula>AND(IF($Q18=2,1,0),IF($X18&lt;30,1,0))</formula>
    </cfRule>
    <cfRule type="expression" priority="616" dxfId="1">
      <formula>AND(IF($Q18=3,1,0),IF($X18&lt;30,1,0))</formula>
    </cfRule>
    <cfRule type="expression" priority="617" dxfId="0">
      <formula>AND(IF($Q18=3,1,IF($Q18=4,1,0)),IF($F18&lt;=85,1,0))</formula>
    </cfRule>
  </conditionalFormatting>
  <conditionalFormatting sqref="X18">
    <cfRule type="expression" priority="610" dxfId="3">
      <formula>AND(IF(OR($Q18=1,$Q18=2),1,0),IF($X18&lt;=20,1,0))</formula>
    </cfRule>
    <cfRule type="expression" priority="611" dxfId="2">
      <formula>AND(IF($Q18=2,1,0),IF($X18&lt;30,1,0))</formula>
    </cfRule>
    <cfRule type="expression" priority="612" dxfId="1">
      <formula>AND(IF($Q18=3,1,0),IF($X18&lt;30,1,0))</formula>
    </cfRule>
    <cfRule type="expression" priority="613" dxfId="0">
      <formula>AND(IF($Q18=3,1,IF($Q18=4,1,0)),IF($F18&lt;=85,1,0))</formula>
    </cfRule>
  </conditionalFormatting>
  <conditionalFormatting sqref="AI18">
    <cfRule type="expression" priority="606" dxfId="3">
      <formula>AND(IF(OR($Q18=1,$Q18=2),1,0),IF($X18&lt;=20,1,0))</formula>
    </cfRule>
    <cfRule type="expression" priority="607" dxfId="2">
      <formula>AND(IF($Q18=2,1,0),IF($X18&lt;30,1,0))</formula>
    </cfRule>
    <cfRule type="expression" priority="608" dxfId="1">
      <formula>AND(IF($Q18=3,1,0),IF($X18&lt;30,1,0))</formula>
    </cfRule>
    <cfRule type="expression" priority="609" dxfId="0">
      <formula>AND(IF($Q18=3,1,IF($Q18=4,1,0)),IF($F18&lt;=85,1,0))</formula>
    </cfRule>
  </conditionalFormatting>
  <conditionalFormatting sqref="AV19">
    <cfRule type="expression" priority="604" dxfId="23">
      <formula>AV19="X"</formula>
    </cfRule>
    <cfRule type="expression" priority="605" dxfId="22">
      <formula>AV19="후보"</formula>
    </cfRule>
  </conditionalFormatting>
  <conditionalFormatting sqref="AC1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9">
    <cfRule type="expression" priority="595" dxfId="3">
      <formula>AND(IF(OR($Q19=1,$Q19=2),1,0),IF($X19&lt;=20,1,0))</formula>
    </cfRule>
    <cfRule type="expression" priority="596" dxfId="2">
      <formula>AND(IF($Q19=2,1,0),IF($X19&lt;30,1,0))</formula>
    </cfRule>
    <cfRule type="expression" priority="597" dxfId="1">
      <formula>AND(IF($Q19=3,1,0),IF($X19&lt;30,1,0))</formula>
    </cfRule>
    <cfRule type="expression" priority="598" dxfId="0">
      <formula>AND(IF($Q19=3,1,IF($Q19=4,1,0)),IF($F19&lt;=85,1,0))</formula>
    </cfRule>
  </conditionalFormatting>
  <conditionalFormatting sqref="X19">
    <cfRule type="expression" priority="591" dxfId="3">
      <formula>AND(IF(OR($Q19=1,$Q19=2),1,0),IF($X19&lt;=20,1,0))</formula>
    </cfRule>
    <cfRule type="expression" priority="592" dxfId="2">
      <formula>AND(IF($Q19=2,1,0),IF($X19&lt;30,1,0))</formula>
    </cfRule>
    <cfRule type="expression" priority="593" dxfId="1">
      <formula>AND(IF($Q19=3,1,0),IF($X19&lt;30,1,0))</formula>
    </cfRule>
    <cfRule type="expression" priority="594" dxfId="0">
      <formula>AND(IF($Q19=3,1,IF($Q19=4,1,0)),IF($F19&lt;=85,1,0))</formula>
    </cfRule>
  </conditionalFormatting>
  <conditionalFormatting sqref="AI19">
    <cfRule type="expression" priority="587" dxfId="3">
      <formula>AND(IF(OR($Q19=1,$Q19=2),1,0),IF($X19&lt;=20,1,0))</formula>
    </cfRule>
    <cfRule type="expression" priority="588" dxfId="2">
      <formula>AND(IF($Q19=2,1,0),IF($X19&lt;30,1,0))</formula>
    </cfRule>
    <cfRule type="expression" priority="589" dxfId="1">
      <formula>AND(IF($Q19=3,1,0),IF($X19&lt;30,1,0))</formula>
    </cfRule>
    <cfRule type="expression" priority="590" dxfId="0">
      <formula>AND(IF($Q19=3,1,IF($Q19=4,1,0)),IF($F19&lt;=85,1,0))</formula>
    </cfRule>
  </conditionalFormatting>
  <conditionalFormatting sqref="AV20">
    <cfRule type="expression" priority="585" dxfId="23">
      <formula>AV20="X"</formula>
    </cfRule>
    <cfRule type="expression" priority="586" dxfId="22">
      <formula>AV20="후보"</formula>
    </cfRule>
  </conditionalFormatting>
  <conditionalFormatting sqref="AC2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0">
    <cfRule type="expression" priority="576" dxfId="3">
      <formula>AND(IF(OR($Q20=1,$Q20=2),1,0),IF($X20&lt;=20,1,0))</formula>
    </cfRule>
    <cfRule type="expression" priority="577" dxfId="2">
      <formula>AND(IF($Q20=2,1,0),IF($X20&lt;30,1,0))</formula>
    </cfRule>
    <cfRule type="expression" priority="578" dxfId="1">
      <formula>AND(IF($Q20=3,1,0),IF($X20&lt;30,1,0))</formula>
    </cfRule>
    <cfRule type="expression" priority="579" dxfId="0">
      <formula>AND(IF($Q20=3,1,IF($Q20=4,1,0)),IF($F20&lt;=85,1,0))</formula>
    </cfRule>
  </conditionalFormatting>
  <conditionalFormatting sqref="X20">
    <cfRule type="expression" priority="572" dxfId="3">
      <formula>AND(IF(OR($Q20=1,$Q20=2),1,0),IF($X20&lt;=20,1,0))</formula>
    </cfRule>
    <cfRule type="expression" priority="573" dxfId="2">
      <formula>AND(IF($Q20=2,1,0),IF($X20&lt;30,1,0))</formula>
    </cfRule>
    <cfRule type="expression" priority="574" dxfId="1">
      <formula>AND(IF($Q20=3,1,0),IF($X20&lt;30,1,0))</formula>
    </cfRule>
    <cfRule type="expression" priority="575" dxfId="0">
      <formula>AND(IF($Q20=3,1,IF($Q20=4,1,0)),IF($F20&lt;=85,1,0))</formula>
    </cfRule>
  </conditionalFormatting>
  <conditionalFormatting sqref="AI20">
    <cfRule type="expression" priority="568" dxfId="3">
      <formula>AND(IF(OR($Q20=1,$Q20=2),1,0),IF($X20&lt;=20,1,0))</formula>
    </cfRule>
    <cfRule type="expression" priority="569" dxfId="2">
      <formula>AND(IF($Q20=2,1,0),IF($X20&lt;30,1,0))</formula>
    </cfRule>
    <cfRule type="expression" priority="570" dxfId="1">
      <formula>AND(IF($Q20=3,1,0),IF($X20&lt;30,1,0))</formula>
    </cfRule>
    <cfRule type="expression" priority="571" dxfId="0">
      <formula>AND(IF($Q20=3,1,IF($Q20=4,1,0)),IF($F20&lt;=85,1,0))</formula>
    </cfRule>
  </conditionalFormatting>
  <conditionalFormatting sqref="AV21">
    <cfRule type="expression" priority="566" dxfId="23">
      <formula>AV21="X"</formula>
    </cfRule>
    <cfRule type="expression" priority="567" dxfId="22">
      <formula>AV21="후보"</formula>
    </cfRule>
  </conditionalFormatting>
  <conditionalFormatting sqref="AC2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1">
    <cfRule type="expression" priority="557" dxfId="3">
      <formula>AND(IF(OR($Q21=1,$Q21=2),1,0),IF($X21&lt;=20,1,0))</formula>
    </cfRule>
    <cfRule type="expression" priority="558" dxfId="2">
      <formula>AND(IF($Q21=2,1,0),IF($X21&lt;30,1,0))</formula>
    </cfRule>
    <cfRule type="expression" priority="559" dxfId="1">
      <formula>AND(IF($Q21=3,1,0),IF($X21&lt;30,1,0))</formula>
    </cfRule>
    <cfRule type="expression" priority="560" dxfId="0">
      <formula>AND(IF($Q21=3,1,IF($Q21=4,1,0)),IF($F21&lt;=85,1,0))</formula>
    </cfRule>
  </conditionalFormatting>
  <conditionalFormatting sqref="X21">
    <cfRule type="expression" priority="553" dxfId="3">
      <formula>AND(IF(OR($Q21=1,$Q21=2),1,0),IF($X21&lt;=20,1,0))</formula>
    </cfRule>
    <cfRule type="expression" priority="554" dxfId="2">
      <formula>AND(IF($Q21=2,1,0),IF($X21&lt;30,1,0))</formula>
    </cfRule>
    <cfRule type="expression" priority="555" dxfId="1">
      <formula>AND(IF($Q21=3,1,0),IF($X21&lt;30,1,0))</formula>
    </cfRule>
    <cfRule type="expression" priority="556" dxfId="0">
      <formula>AND(IF($Q21=3,1,IF($Q21=4,1,0)),IF($F21&lt;=85,1,0))</formula>
    </cfRule>
  </conditionalFormatting>
  <conditionalFormatting sqref="AI21">
    <cfRule type="expression" priority="549" dxfId="3">
      <formula>AND(IF(OR($Q21=1,$Q21=2),1,0),IF($X21&lt;=20,1,0))</formula>
    </cfRule>
    <cfRule type="expression" priority="550" dxfId="2">
      <formula>AND(IF($Q21=2,1,0),IF($X21&lt;30,1,0))</formula>
    </cfRule>
    <cfRule type="expression" priority="551" dxfId="1">
      <formula>AND(IF($Q21=3,1,0),IF($X21&lt;30,1,0))</formula>
    </cfRule>
    <cfRule type="expression" priority="552" dxfId="0">
      <formula>AND(IF($Q21=3,1,IF($Q21=4,1,0)),IF($F21&lt;=85,1,0))</formula>
    </cfRule>
  </conditionalFormatting>
  <conditionalFormatting sqref="AV22">
    <cfRule type="expression" priority="547" dxfId="23">
      <formula>AV22="X"</formula>
    </cfRule>
    <cfRule type="expression" priority="548" dxfId="22">
      <formula>AV22="후보"</formula>
    </cfRule>
  </conditionalFormatting>
  <conditionalFormatting sqref="AC2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2">
    <cfRule type="expression" priority="538" dxfId="3">
      <formula>AND(IF(OR($Q22=1,$Q22=2),1,0),IF($X22&lt;=20,1,0))</formula>
    </cfRule>
    <cfRule type="expression" priority="539" dxfId="2">
      <formula>AND(IF($Q22=2,1,0),IF($X22&lt;30,1,0))</formula>
    </cfRule>
    <cfRule type="expression" priority="540" dxfId="1">
      <formula>AND(IF($Q22=3,1,0),IF($X22&lt;30,1,0))</formula>
    </cfRule>
    <cfRule type="expression" priority="541" dxfId="0">
      <formula>AND(IF($Q22=3,1,IF($Q22=4,1,0)),IF($F22&lt;=85,1,0))</formula>
    </cfRule>
  </conditionalFormatting>
  <conditionalFormatting sqref="X22">
    <cfRule type="expression" priority="534" dxfId="3">
      <formula>AND(IF(OR($Q22=1,$Q22=2),1,0),IF($X22&lt;=20,1,0))</formula>
    </cfRule>
    <cfRule type="expression" priority="535" dxfId="2">
      <formula>AND(IF($Q22=2,1,0),IF($X22&lt;30,1,0))</formula>
    </cfRule>
    <cfRule type="expression" priority="536" dxfId="1">
      <formula>AND(IF($Q22=3,1,0),IF($X22&lt;30,1,0))</formula>
    </cfRule>
    <cfRule type="expression" priority="537" dxfId="0">
      <formula>AND(IF($Q22=3,1,IF($Q22=4,1,0)),IF($F22&lt;=85,1,0))</formula>
    </cfRule>
  </conditionalFormatting>
  <conditionalFormatting sqref="AI22">
    <cfRule type="expression" priority="530" dxfId="3">
      <formula>AND(IF(OR($Q22=1,$Q22=2),1,0),IF($X22&lt;=20,1,0))</formula>
    </cfRule>
    <cfRule type="expression" priority="531" dxfId="2">
      <formula>AND(IF($Q22=2,1,0),IF($X22&lt;30,1,0))</formula>
    </cfRule>
    <cfRule type="expression" priority="532" dxfId="1">
      <formula>AND(IF($Q22=3,1,0),IF($X22&lt;30,1,0))</formula>
    </cfRule>
    <cfRule type="expression" priority="533" dxfId="0">
      <formula>AND(IF($Q22=3,1,IF($Q22=4,1,0)),IF($F22&lt;=85,1,0))</formula>
    </cfRule>
  </conditionalFormatting>
  <conditionalFormatting sqref="AV23">
    <cfRule type="expression" priority="528" dxfId="23">
      <formula>AV23="X"</formula>
    </cfRule>
    <cfRule type="expression" priority="529" dxfId="22">
      <formula>AV23="후보"</formula>
    </cfRule>
  </conditionalFormatting>
  <conditionalFormatting sqref="AC2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3">
    <cfRule type="expression" priority="519" dxfId="3">
      <formula>AND(IF(OR($Q23=1,$Q23=2),1,0),IF($X23&lt;=20,1,0))</formula>
    </cfRule>
    <cfRule type="expression" priority="520" dxfId="2">
      <formula>AND(IF($Q23=2,1,0),IF($X23&lt;30,1,0))</formula>
    </cfRule>
    <cfRule type="expression" priority="521" dxfId="1">
      <formula>AND(IF($Q23=3,1,0),IF($X23&lt;30,1,0))</formula>
    </cfRule>
    <cfRule type="expression" priority="522" dxfId="0">
      <formula>AND(IF($Q23=3,1,IF($Q23=4,1,0)),IF($F23&lt;=85,1,0))</formula>
    </cfRule>
  </conditionalFormatting>
  <conditionalFormatting sqref="X23">
    <cfRule type="expression" priority="515" dxfId="3">
      <formula>AND(IF(OR($Q23=1,$Q23=2),1,0),IF($X23&lt;=20,1,0))</formula>
    </cfRule>
    <cfRule type="expression" priority="516" dxfId="2">
      <formula>AND(IF($Q23=2,1,0),IF($X23&lt;30,1,0))</formula>
    </cfRule>
    <cfRule type="expression" priority="517" dxfId="1">
      <formula>AND(IF($Q23=3,1,0),IF($X23&lt;30,1,0))</formula>
    </cfRule>
    <cfRule type="expression" priority="518" dxfId="0">
      <formula>AND(IF($Q23=3,1,IF($Q23=4,1,0)),IF($F23&lt;=85,1,0))</formula>
    </cfRule>
  </conditionalFormatting>
  <conditionalFormatting sqref="AI23">
    <cfRule type="expression" priority="511" dxfId="3">
      <formula>AND(IF(OR($Q23=1,$Q23=2),1,0),IF($X23&lt;=20,1,0))</formula>
    </cfRule>
    <cfRule type="expression" priority="512" dxfId="2">
      <formula>AND(IF($Q23=2,1,0),IF($X23&lt;30,1,0))</formula>
    </cfRule>
    <cfRule type="expression" priority="513" dxfId="1">
      <formula>AND(IF($Q23=3,1,0),IF($X23&lt;30,1,0))</formula>
    </cfRule>
    <cfRule type="expression" priority="514" dxfId="0">
      <formula>AND(IF($Q23=3,1,IF($Q23=4,1,0)),IF($F23&lt;=85,1,0))</formula>
    </cfRule>
  </conditionalFormatting>
  <conditionalFormatting sqref="AV24">
    <cfRule type="expression" priority="509" dxfId="23">
      <formula>AV24="X"</formula>
    </cfRule>
    <cfRule type="expression" priority="510" dxfId="22">
      <formula>AV24="후보"</formula>
    </cfRule>
  </conditionalFormatting>
  <conditionalFormatting sqref="AC24 N2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25">
    <cfRule type="expression" priority="504" dxfId="23">
      <formula>AV25="X"</formula>
    </cfRule>
    <cfRule type="expression" priority="505" dxfId="22">
      <formula>AV25="후보"</formula>
    </cfRule>
  </conditionalFormatting>
  <conditionalFormatting sqref="AC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5">
    <cfRule type="expression" priority="495" dxfId="3">
      <formula>AND(IF(OR($Q25=1,$Q25=2),1,0),IF($X25&lt;=20,1,0))</formula>
    </cfRule>
    <cfRule type="expression" priority="496" dxfId="2">
      <formula>AND(IF($Q25=2,1,0),IF($X25&lt;30,1,0))</formula>
    </cfRule>
    <cfRule type="expression" priority="497" dxfId="1">
      <formula>AND(IF($Q25=3,1,0),IF($X25&lt;30,1,0))</formula>
    </cfRule>
    <cfRule type="expression" priority="498" dxfId="0">
      <formula>AND(IF($Q25=3,1,IF($Q25=4,1,0)),IF($F25&lt;=85,1,0))</formula>
    </cfRule>
  </conditionalFormatting>
  <conditionalFormatting sqref="X25">
    <cfRule type="expression" priority="491" dxfId="3">
      <formula>AND(IF(OR($Q25=1,$Q25=2),1,0),IF($X25&lt;=20,1,0))</formula>
    </cfRule>
    <cfRule type="expression" priority="492" dxfId="2">
      <formula>AND(IF($Q25=2,1,0),IF($X25&lt;30,1,0))</formula>
    </cfRule>
    <cfRule type="expression" priority="493" dxfId="1">
      <formula>AND(IF($Q25=3,1,0),IF($X25&lt;30,1,0))</formula>
    </cfRule>
    <cfRule type="expression" priority="494" dxfId="0">
      <formula>AND(IF($Q25=3,1,IF($Q25=4,1,0)),IF($F25&lt;=85,1,0))</formula>
    </cfRule>
  </conditionalFormatting>
  <conditionalFormatting sqref="AI25">
    <cfRule type="expression" priority="487" dxfId="3">
      <formula>AND(IF(OR($Q25=1,$Q25=2),1,0),IF($X25&lt;=20,1,0))</formula>
    </cfRule>
    <cfRule type="expression" priority="488" dxfId="2">
      <formula>AND(IF($Q25=2,1,0),IF($X25&lt;30,1,0))</formula>
    </cfRule>
    <cfRule type="expression" priority="489" dxfId="1">
      <formula>AND(IF($Q25=3,1,0),IF($X25&lt;30,1,0))</formula>
    </cfRule>
    <cfRule type="expression" priority="490" dxfId="0">
      <formula>AND(IF($Q25=3,1,IF($Q25=4,1,0)),IF($F25&lt;=85,1,0))</formula>
    </cfRule>
  </conditionalFormatting>
  <conditionalFormatting sqref="AV26">
    <cfRule type="expression" priority="485" dxfId="23">
      <formula>AV26="X"</formula>
    </cfRule>
    <cfRule type="expression" priority="486" dxfId="22">
      <formula>AV26="후보"</formula>
    </cfRule>
  </conditionalFormatting>
  <conditionalFormatting sqref="AC2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6">
    <cfRule type="expression" priority="476" dxfId="3">
      <formula>AND(IF(OR($Q26=1,$Q26=2),1,0),IF($X26&lt;=20,1,0))</formula>
    </cfRule>
    <cfRule type="expression" priority="477" dxfId="2">
      <formula>AND(IF($Q26=2,1,0),IF($X26&lt;30,1,0))</formula>
    </cfRule>
    <cfRule type="expression" priority="478" dxfId="1">
      <formula>AND(IF($Q26=3,1,0),IF($X26&lt;30,1,0))</formula>
    </cfRule>
    <cfRule type="expression" priority="479" dxfId="0">
      <formula>AND(IF($Q26=3,1,IF($Q26=4,1,0)),IF($F26&lt;=85,1,0))</formula>
    </cfRule>
  </conditionalFormatting>
  <conditionalFormatting sqref="X26">
    <cfRule type="expression" priority="472" dxfId="3">
      <formula>AND(IF(OR($Q26=1,$Q26=2),1,0),IF($X26&lt;=20,1,0))</formula>
    </cfRule>
    <cfRule type="expression" priority="473" dxfId="2">
      <formula>AND(IF($Q26=2,1,0),IF($X26&lt;30,1,0))</formula>
    </cfRule>
    <cfRule type="expression" priority="474" dxfId="1">
      <formula>AND(IF($Q26=3,1,0),IF($X26&lt;30,1,0))</formula>
    </cfRule>
    <cfRule type="expression" priority="475" dxfId="0">
      <formula>AND(IF($Q26=3,1,IF($Q26=4,1,0)),IF($F26&lt;=85,1,0))</formula>
    </cfRule>
  </conditionalFormatting>
  <conditionalFormatting sqref="AI26">
    <cfRule type="expression" priority="468" dxfId="3">
      <formula>AND(IF(OR($Q26=1,$Q26=2),1,0),IF($X26&lt;=20,1,0))</formula>
    </cfRule>
    <cfRule type="expression" priority="469" dxfId="2">
      <formula>AND(IF($Q26=2,1,0),IF($X26&lt;30,1,0))</formula>
    </cfRule>
    <cfRule type="expression" priority="470" dxfId="1">
      <formula>AND(IF($Q26=3,1,0),IF($X26&lt;30,1,0))</formula>
    </cfRule>
    <cfRule type="expression" priority="471" dxfId="0">
      <formula>AND(IF($Q26=3,1,IF($Q26=4,1,0)),IF($F26&lt;=85,1,0))</formula>
    </cfRule>
  </conditionalFormatting>
  <conditionalFormatting sqref="AV27">
    <cfRule type="expression" priority="466" dxfId="23">
      <formula>AV27="X"</formula>
    </cfRule>
    <cfRule type="expression" priority="467" dxfId="22">
      <formula>AV27="후보"</formula>
    </cfRule>
  </conditionalFormatting>
  <conditionalFormatting sqref="AC27 N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8">
    <cfRule type="expression" priority="461" dxfId="23">
      <formula>AV28="X"</formula>
    </cfRule>
    <cfRule type="expression" priority="462" dxfId="22">
      <formula>AV28="후보"</formula>
    </cfRule>
  </conditionalFormatting>
  <conditionalFormatting sqref="AC2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8">
    <cfRule type="expression" priority="452" dxfId="3">
      <formula>AND(IF(OR($Q28=1,$Q28=2),1,0),IF($X28&lt;=20,1,0))</formula>
    </cfRule>
    <cfRule type="expression" priority="453" dxfId="2">
      <formula>AND(IF($Q28=2,1,0),IF($X28&lt;30,1,0))</formula>
    </cfRule>
    <cfRule type="expression" priority="454" dxfId="1">
      <formula>AND(IF($Q28=3,1,0),IF($X28&lt;30,1,0))</formula>
    </cfRule>
    <cfRule type="expression" priority="455" dxfId="0">
      <formula>AND(IF($Q28=3,1,IF($Q28=4,1,0)),IF($F28&lt;=85,1,0))</formula>
    </cfRule>
  </conditionalFormatting>
  <conditionalFormatting sqref="X28">
    <cfRule type="expression" priority="448" dxfId="3">
      <formula>AND(IF(OR($Q28=1,$Q28=2),1,0),IF($X28&lt;=20,1,0))</formula>
    </cfRule>
    <cfRule type="expression" priority="449" dxfId="2">
      <formula>AND(IF($Q28=2,1,0),IF($X28&lt;30,1,0))</formula>
    </cfRule>
    <cfRule type="expression" priority="450" dxfId="1">
      <formula>AND(IF($Q28=3,1,0),IF($X28&lt;30,1,0))</formula>
    </cfRule>
    <cfRule type="expression" priority="451" dxfId="0">
      <formula>AND(IF($Q28=3,1,IF($Q28=4,1,0)),IF($F28&lt;=85,1,0))</formula>
    </cfRule>
  </conditionalFormatting>
  <conditionalFormatting sqref="AI28">
    <cfRule type="expression" priority="444" dxfId="3">
      <formula>AND(IF(OR($Q28=1,$Q28=2),1,0),IF($X28&lt;=20,1,0))</formula>
    </cfRule>
    <cfRule type="expression" priority="445" dxfId="2">
      <formula>AND(IF($Q28=2,1,0),IF($X28&lt;30,1,0))</formula>
    </cfRule>
    <cfRule type="expression" priority="446" dxfId="1">
      <formula>AND(IF($Q28=3,1,0),IF($X28&lt;30,1,0))</formula>
    </cfRule>
    <cfRule type="expression" priority="447" dxfId="0">
      <formula>AND(IF($Q28=3,1,IF($Q28=4,1,0)),IF($F28&lt;=85,1,0))</formula>
    </cfRule>
  </conditionalFormatting>
  <conditionalFormatting sqref="AV29">
    <cfRule type="expression" priority="442" dxfId="23">
      <formula>AV29="X"</formula>
    </cfRule>
    <cfRule type="expression" priority="443" dxfId="22">
      <formula>AV29="후보"</formula>
    </cfRule>
  </conditionalFormatting>
  <conditionalFormatting sqref="AC2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9">
    <cfRule type="expression" priority="433" dxfId="3">
      <formula>AND(IF(OR($Q29=1,$Q29=2),1,0),IF($X29&lt;=20,1,0))</formula>
    </cfRule>
    <cfRule type="expression" priority="434" dxfId="2">
      <formula>AND(IF($Q29=2,1,0),IF($X29&lt;30,1,0))</formula>
    </cfRule>
    <cfRule type="expression" priority="435" dxfId="1">
      <formula>AND(IF($Q29=3,1,0),IF($X29&lt;30,1,0))</formula>
    </cfRule>
    <cfRule type="expression" priority="436" dxfId="0">
      <formula>AND(IF($Q29=3,1,IF($Q29=4,1,0)),IF($F29&lt;=85,1,0))</formula>
    </cfRule>
  </conditionalFormatting>
  <conditionalFormatting sqref="X29">
    <cfRule type="expression" priority="429" dxfId="3">
      <formula>AND(IF(OR($Q29=1,$Q29=2),1,0),IF($X29&lt;=20,1,0))</formula>
    </cfRule>
    <cfRule type="expression" priority="430" dxfId="2">
      <formula>AND(IF($Q29=2,1,0),IF($X29&lt;30,1,0))</formula>
    </cfRule>
    <cfRule type="expression" priority="431" dxfId="1">
      <formula>AND(IF($Q29=3,1,0),IF($X29&lt;30,1,0))</formula>
    </cfRule>
    <cfRule type="expression" priority="432" dxfId="0">
      <formula>AND(IF($Q29=3,1,IF($Q29=4,1,0)),IF($F29&lt;=85,1,0))</formula>
    </cfRule>
  </conditionalFormatting>
  <conditionalFormatting sqref="AI29">
    <cfRule type="expression" priority="425" dxfId="3">
      <formula>AND(IF(OR($Q29=1,$Q29=2),1,0),IF($X29&lt;=20,1,0))</formula>
    </cfRule>
    <cfRule type="expression" priority="426" dxfId="2">
      <formula>AND(IF($Q29=2,1,0),IF($X29&lt;30,1,0))</formula>
    </cfRule>
    <cfRule type="expression" priority="427" dxfId="1">
      <formula>AND(IF($Q29=3,1,0),IF($X29&lt;30,1,0))</formula>
    </cfRule>
    <cfRule type="expression" priority="428" dxfId="0">
      <formula>AND(IF($Q29=3,1,IF($Q29=4,1,0)),IF($F29&lt;=85,1,0))</formula>
    </cfRule>
  </conditionalFormatting>
  <conditionalFormatting sqref="AV30">
    <cfRule type="expression" priority="423" dxfId="23">
      <formula>AV30="X"</formula>
    </cfRule>
    <cfRule type="expression" priority="424" dxfId="22">
      <formula>AV30="후보"</formula>
    </cfRule>
  </conditionalFormatting>
  <conditionalFormatting sqref="AC3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0">
    <cfRule type="expression" priority="414" dxfId="3">
      <formula>AND(IF(OR($Q30=1,$Q30=2),1,0),IF($X30&lt;=20,1,0))</formula>
    </cfRule>
    <cfRule type="expression" priority="415" dxfId="2">
      <formula>AND(IF($Q30=2,1,0),IF($X30&lt;30,1,0))</formula>
    </cfRule>
    <cfRule type="expression" priority="416" dxfId="1">
      <formula>AND(IF($Q30=3,1,0),IF($X30&lt;30,1,0))</formula>
    </cfRule>
    <cfRule type="expression" priority="417" dxfId="0">
      <formula>AND(IF($Q30=3,1,IF($Q30=4,1,0)),IF($F30&lt;=85,1,0))</formula>
    </cfRule>
  </conditionalFormatting>
  <conditionalFormatting sqref="X30">
    <cfRule type="expression" priority="410" dxfId="3">
      <formula>AND(IF(OR($Q30=1,$Q30=2),1,0),IF($X30&lt;=20,1,0))</formula>
    </cfRule>
    <cfRule type="expression" priority="411" dxfId="2">
      <formula>AND(IF($Q30=2,1,0),IF($X30&lt;30,1,0))</formula>
    </cfRule>
    <cfRule type="expression" priority="412" dxfId="1">
      <formula>AND(IF($Q30=3,1,0),IF($X30&lt;30,1,0))</formula>
    </cfRule>
    <cfRule type="expression" priority="413" dxfId="0">
      <formula>AND(IF($Q30=3,1,IF($Q30=4,1,0)),IF($F30&lt;=85,1,0))</formula>
    </cfRule>
  </conditionalFormatting>
  <conditionalFormatting sqref="AI30">
    <cfRule type="expression" priority="406" dxfId="3">
      <formula>AND(IF(OR($Q30=1,$Q30=2),1,0),IF($X30&lt;=20,1,0))</formula>
    </cfRule>
    <cfRule type="expression" priority="407" dxfId="2">
      <formula>AND(IF($Q30=2,1,0),IF($X30&lt;30,1,0))</formula>
    </cfRule>
    <cfRule type="expression" priority="408" dxfId="1">
      <formula>AND(IF($Q30=3,1,0),IF($X30&lt;30,1,0))</formula>
    </cfRule>
    <cfRule type="expression" priority="409" dxfId="0">
      <formula>AND(IF($Q30=3,1,IF($Q30=4,1,0)),IF($F30&lt;=85,1,0))</formula>
    </cfRule>
  </conditionalFormatting>
  <conditionalFormatting sqref="AV31">
    <cfRule type="expression" priority="404" dxfId="23">
      <formula>AV31="X"</formula>
    </cfRule>
    <cfRule type="expression" priority="405" dxfId="22">
      <formula>AV31="후보"</formula>
    </cfRule>
  </conditionalFormatting>
  <conditionalFormatting sqref="AC3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1">
    <cfRule type="expression" priority="395" dxfId="3">
      <formula>AND(IF(OR($Q31=1,$Q31=2),1,0),IF($X31&lt;=20,1,0))</formula>
    </cfRule>
    <cfRule type="expression" priority="396" dxfId="2">
      <formula>AND(IF($Q31=2,1,0),IF($X31&lt;30,1,0))</formula>
    </cfRule>
    <cfRule type="expression" priority="397" dxfId="1">
      <formula>AND(IF($Q31=3,1,0),IF($X31&lt;30,1,0))</formula>
    </cfRule>
    <cfRule type="expression" priority="398" dxfId="0">
      <formula>AND(IF($Q31=3,1,IF($Q31=4,1,0)),IF($F31&lt;=85,1,0))</formula>
    </cfRule>
  </conditionalFormatting>
  <conditionalFormatting sqref="X31">
    <cfRule type="expression" priority="391" dxfId="3">
      <formula>AND(IF(OR($Q31=1,$Q31=2),1,0),IF($X31&lt;=20,1,0))</formula>
    </cfRule>
    <cfRule type="expression" priority="392" dxfId="2">
      <formula>AND(IF($Q31=2,1,0),IF($X31&lt;30,1,0))</formula>
    </cfRule>
    <cfRule type="expression" priority="393" dxfId="1">
      <formula>AND(IF($Q31=3,1,0),IF($X31&lt;30,1,0))</formula>
    </cfRule>
    <cfRule type="expression" priority="394" dxfId="0">
      <formula>AND(IF($Q31=3,1,IF($Q31=4,1,0)),IF($F31&lt;=85,1,0))</formula>
    </cfRule>
  </conditionalFormatting>
  <conditionalFormatting sqref="AI31">
    <cfRule type="expression" priority="387" dxfId="3">
      <formula>AND(IF(OR($Q31=1,$Q31=2),1,0),IF($X31&lt;=20,1,0))</formula>
    </cfRule>
    <cfRule type="expression" priority="388" dxfId="2">
      <formula>AND(IF($Q31=2,1,0),IF($X31&lt;30,1,0))</formula>
    </cfRule>
    <cfRule type="expression" priority="389" dxfId="1">
      <formula>AND(IF($Q31=3,1,0),IF($X31&lt;30,1,0))</formula>
    </cfRule>
    <cfRule type="expression" priority="390" dxfId="0">
      <formula>AND(IF($Q31=3,1,IF($Q31=4,1,0)),IF($F31&lt;=85,1,0))</formula>
    </cfRule>
  </conditionalFormatting>
  <conditionalFormatting sqref="AV32">
    <cfRule type="expression" priority="385" dxfId="23">
      <formula>AV32="X"</formula>
    </cfRule>
    <cfRule type="expression" priority="386" dxfId="22">
      <formula>AV32="후보"</formula>
    </cfRule>
  </conditionalFormatting>
  <conditionalFormatting sqref="AC3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2">
    <cfRule type="expression" priority="376" dxfId="3">
      <formula>AND(IF(OR($Q32=1,$Q32=2),1,0),IF($X32&lt;=20,1,0))</formula>
    </cfRule>
    <cfRule type="expression" priority="377" dxfId="2">
      <formula>AND(IF($Q32=2,1,0),IF($X32&lt;30,1,0))</formula>
    </cfRule>
    <cfRule type="expression" priority="378" dxfId="1">
      <formula>AND(IF($Q32=3,1,0),IF($X32&lt;30,1,0))</formula>
    </cfRule>
    <cfRule type="expression" priority="379" dxfId="0">
      <formula>AND(IF($Q32=3,1,IF($Q32=4,1,0)),IF($F32&lt;=85,1,0))</formula>
    </cfRule>
  </conditionalFormatting>
  <conditionalFormatting sqref="X32">
    <cfRule type="expression" priority="372" dxfId="3">
      <formula>AND(IF(OR($Q32=1,$Q32=2),1,0),IF($X32&lt;=20,1,0))</formula>
    </cfRule>
    <cfRule type="expression" priority="373" dxfId="2">
      <formula>AND(IF($Q32=2,1,0),IF($X32&lt;30,1,0))</formula>
    </cfRule>
    <cfRule type="expression" priority="374" dxfId="1">
      <formula>AND(IF($Q32=3,1,0),IF($X32&lt;30,1,0))</formula>
    </cfRule>
    <cfRule type="expression" priority="375" dxfId="0">
      <formula>AND(IF($Q32=3,1,IF($Q32=4,1,0)),IF($F32&lt;=85,1,0))</formula>
    </cfRule>
  </conditionalFormatting>
  <conditionalFormatting sqref="AI32">
    <cfRule type="expression" priority="368" dxfId="3">
      <formula>AND(IF(OR($Q32=1,$Q32=2),1,0),IF($X32&lt;=20,1,0))</formula>
    </cfRule>
    <cfRule type="expression" priority="369" dxfId="2">
      <formula>AND(IF($Q32=2,1,0),IF($X32&lt;30,1,0))</formula>
    </cfRule>
    <cfRule type="expression" priority="370" dxfId="1">
      <formula>AND(IF($Q32=3,1,0),IF($X32&lt;30,1,0))</formula>
    </cfRule>
    <cfRule type="expression" priority="371" dxfId="0">
      <formula>AND(IF($Q32=3,1,IF($Q32=4,1,0)),IF($F32&lt;=85,1,0))</formula>
    </cfRule>
  </conditionalFormatting>
  <conditionalFormatting sqref="AV33">
    <cfRule type="expression" priority="366" dxfId="23">
      <formula>AV33="X"</formula>
    </cfRule>
    <cfRule type="expression" priority="367" dxfId="22">
      <formula>AV33="후보"</formula>
    </cfRule>
  </conditionalFormatting>
  <conditionalFormatting sqref="AC3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3">
    <cfRule type="expression" priority="357" dxfId="3">
      <formula>AND(IF(OR($Q33=1,$Q33=2),1,0),IF($X33&lt;=20,1,0))</formula>
    </cfRule>
    <cfRule type="expression" priority="358" dxfId="2">
      <formula>AND(IF($Q33=2,1,0),IF($X33&lt;30,1,0))</formula>
    </cfRule>
    <cfRule type="expression" priority="359" dxfId="1">
      <formula>AND(IF($Q33=3,1,0),IF($X33&lt;30,1,0))</formula>
    </cfRule>
    <cfRule type="expression" priority="360" dxfId="0">
      <formula>AND(IF($Q33=3,1,IF($Q33=4,1,0)),IF($F33&lt;=85,1,0))</formula>
    </cfRule>
  </conditionalFormatting>
  <conditionalFormatting sqref="X33">
    <cfRule type="expression" priority="353" dxfId="3">
      <formula>AND(IF(OR($Q33=1,$Q33=2),1,0),IF($X33&lt;=20,1,0))</formula>
    </cfRule>
    <cfRule type="expression" priority="354" dxfId="2">
      <formula>AND(IF($Q33=2,1,0),IF($X33&lt;30,1,0))</formula>
    </cfRule>
    <cfRule type="expression" priority="355" dxfId="1">
      <formula>AND(IF($Q33=3,1,0),IF($X33&lt;30,1,0))</formula>
    </cfRule>
    <cfRule type="expression" priority="356" dxfId="0">
      <formula>AND(IF($Q33=3,1,IF($Q33=4,1,0)),IF($F33&lt;=85,1,0))</formula>
    </cfRule>
  </conditionalFormatting>
  <conditionalFormatting sqref="AI33">
    <cfRule type="expression" priority="349" dxfId="3">
      <formula>AND(IF(OR($Q33=1,$Q33=2),1,0),IF($X33&lt;=20,1,0))</formula>
    </cfRule>
    <cfRule type="expression" priority="350" dxfId="2">
      <formula>AND(IF($Q33=2,1,0),IF($X33&lt;30,1,0))</formula>
    </cfRule>
    <cfRule type="expression" priority="351" dxfId="1">
      <formula>AND(IF($Q33=3,1,0),IF($X33&lt;30,1,0))</formula>
    </cfRule>
    <cfRule type="expression" priority="352" dxfId="0">
      <formula>AND(IF($Q33=3,1,IF($Q33=4,1,0)),IF($F33&lt;=85,1,0))</formula>
    </cfRule>
  </conditionalFormatting>
  <conditionalFormatting sqref="AV34">
    <cfRule type="expression" priority="347" dxfId="23">
      <formula>AV34="X"</formula>
    </cfRule>
    <cfRule type="expression" priority="348" dxfId="22">
      <formula>AV34="후보"</formula>
    </cfRule>
  </conditionalFormatting>
  <conditionalFormatting sqref="AC3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34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34">
    <cfRule type="expression" priority="338" dxfId="3">
      <formula>AND(IF(OR($Q34=1,$Q34=2),1,0),IF($X34&lt;=20,1,0))</formula>
    </cfRule>
    <cfRule type="expression" priority="339" dxfId="2">
      <formula>AND(IF($Q34=2,1,0),IF($X34&lt;30,1,0))</formula>
    </cfRule>
    <cfRule type="expression" priority="340" dxfId="1">
      <formula>AND(IF($Q34=3,1,0),IF($X34&lt;30,1,0))</formula>
    </cfRule>
    <cfRule type="expression" priority="341" dxfId="0">
      <formula>AND(IF($Q34=3,1,IF($Q34=4,1,0)),IF($F34&lt;=85,1,0))</formula>
    </cfRule>
  </conditionalFormatting>
  <conditionalFormatting sqref="X34">
    <cfRule type="expression" priority="334" dxfId="3">
      <formula>AND(IF(OR($Q34=1,$Q34=2),1,0),IF($X34&lt;=20,1,0))</formula>
    </cfRule>
    <cfRule type="expression" priority="335" dxfId="2">
      <formula>AND(IF($Q34=2,1,0),IF($X34&lt;30,1,0))</formula>
    </cfRule>
    <cfRule type="expression" priority="336" dxfId="1">
      <formula>AND(IF($Q34=3,1,0),IF($X34&lt;30,1,0))</formula>
    </cfRule>
    <cfRule type="expression" priority="337" dxfId="0">
      <formula>AND(IF($Q34=3,1,IF($Q34=4,1,0)),IF($F34&lt;=85,1,0))</formula>
    </cfRule>
  </conditionalFormatting>
  <conditionalFormatting sqref="AI34">
    <cfRule type="expression" priority="330" dxfId="3">
      <formula>AND(IF(OR($Q34=1,$Q34=2),1,0),IF($X34&lt;=20,1,0))</formula>
    </cfRule>
    <cfRule type="expression" priority="331" dxfId="2">
      <formula>AND(IF($Q34=2,1,0),IF($X34&lt;30,1,0))</formula>
    </cfRule>
    <cfRule type="expression" priority="332" dxfId="1">
      <formula>AND(IF($Q34=3,1,0),IF($X34&lt;30,1,0))</formula>
    </cfRule>
    <cfRule type="expression" priority="333" dxfId="0">
      <formula>AND(IF($Q34=3,1,IF($Q34=4,1,0)),IF($F34&lt;=85,1,0))</formula>
    </cfRule>
  </conditionalFormatting>
  <conditionalFormatting sqref="AV35">
    <cfRule type="expression" priority="328" dxfId="23">
      <formula>AV35="X"</formula>
    </cfRule>
    <cfRule type="expression" priority="329" dxfId="22">
      <formula>AV35="후보"</formula>
    </cfRule>
  </conditionalFormatting>
  <conditionalFormatting sqref="AC3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3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35">
    <cfRule type="expression" priority="319" dxfId="3">
      <formula>AND(IF(OR($Q35=1,$Q35=2),1,0),IF($X35&lt;=20,1,0))</formula>
    </cfRule>
    <cfRule type="expression" priority="320" dxfId="2">
      <formula>AND(IF($Q35=2,1,0),IF($X35&lt;30,1,0))</formula>
    </cfRule>
    <cfRule type="expression" priority="321" dxfId="1">
      <formula>AND(IF($Q35=3,1,0),IF($X35&lt;30,1,0))</formula>
    </cfRule>
    <cfRule type="expression" priority="322" dxfId="0">
      <formula>AND(IF($Q35=3,1,IF($Q35=4,1,0)),IF($F35&lt;=85,1,0))</formula>
    </cfRule>
  </conditionalFormatting>
  <conditionalFormatting sqref="X35">
    <cfRule type="expression" priority="315" dxfId="3">
      <formula>AND(IF(OR($Q35=1,$Q35=2),1,0),IF($X35&lt;=20,1,0))</formula>
    </cfRule>
    <cfRule type="expression" priority="316" dxfId="2">
      <formula>AND(IF($Q35=2,1,0),IF($X35&lt;30,1,0))</formula>
    </cfRule>
    <cfRule type="expression" priority="317" dxfId="1">
      <formula>AND(IF($Q35=3,1,0),IF($X35&lt;30,1,0))</formula>
    </cfRule>
    <cfRule type="expression" priority="318" dxfId="0">
      <formula>AND(IF($Q35=3,1,IF($Q35=4,1,0)),IF($F35&lt;=85,1,0))</formula>
    </cfRule>
  </conditionalFormatting>
  <conditionalFormatting sqref="AI35">
    <cfRule type="expression" priority="311" dxfId="3">
      <formula>AND(IF(OR($Q35=1,$Q35=2),1,0),IF($X35&lt;=20,1,0))</formula>
    </cfRule>
    <cfRule type="expression" priority="312" dxfId="2">
      <formula>AND(IF($Q35=2,1,0),IF($X35&lt;30,1,0))</formula>
    </cfRule>
    <cfRule type="expression" priority="313" dxfId="1">
      <formula>AND(IF($Q35=3,1,0),IF($X35&lt;30,1,0))</formula>
    </cfRule>
    <cfRule type="expression" priority="314" dxfId="0">
      <formula>AND(IF($Q35=3,1,IF($Q35=4,1,0)),IF($F35&lt;=85,1,0))</formula>
    </cfRule>
  </conditionalFormatting>
  <conditionalFormatting sqref="AV36">
    <cfRule type="expression" priority="309" dxfId="23">
      <formula>AV36="X"</formula>
    </cfRule>
    <cfRule type="expression" priority="310" dxfId="22">
      <formula>AV36="후보"</formula>
    </cfRule>
  </conditionalFormatting>
  <conditionalFormatting sqref="AC36 N3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37">
    <cfRule type="expression" priority="304" dxfId="23">
      <formula>AV37="X"</formula>
    </cfRule>
    <cfRule type="expression" priority="305" dxfId="22">
      <formula>AV37="후보"</formula>
    </cfRule>
  </conditionalFormatting>
  <conditionalFormatting sqref="AC3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7">
    <cfRule type="expression" priority="295" dxfId="3">
      <formula>AND(IF(OR($Q37=1,$Q37=2),1,0),IF($X37&lt;=20,1,0))</formula>
    </cfRule>
    <cfRule type="expression" priority="296" dxfId="2">
      <formula>AND(IF($Q37=2,1,0),IF($X37&lt;30,1,0))</formula>
    </cfRule>
    <cfRule type="expression" priority="297" dxfId="1">
      <formula>AND(IF($Q37=3,1,0),IF($X37&lt;30,1,0))</formula>
    </cfRule>
    <cfRule type="expression" priority="298" dxfId="0">
      <formula>AND(IF($Q37=3,1,IF($Q37=4,1,0)),IF($F37&lt;=85,1,0))</formula>
    </cfRule>
  </conditionalFormatting>
  <conditionalFormatting sqref="X37">
    <cfRule type="expression" priority="291" dxfId="3">
      <formula>AND(IF(OR($Q37=1,$Q37=2),1,0),IF($X37&lt;=20,1,0))</formula>
    </cfRule>
    <cfRule type="expression" priority="292" dxfId="2">
      <formula>AND(IF($Q37=2,1,0),IF($X37&lt;30,1,0))</formula>
    </cfRule>
    <cfRule type="expression" priority="293" dxfId="1">
      <formula>AND(IF($Q37=3,1,0),IF($X37&lt;30,1,0))</formula>
    </cfRule>
    <cfRule type="expression" priority="294" dxfId="0">
      <formula>AND(IF($Q37=3,1,IF($Q37=4,1,0)),IF($F37&lt;=85,1,0))</formula>
    </cfRule>
  </conditionalFormatting>
  <conditionalFormatting sqref="AI37">
    <cfRule type="expression" priority="287" dxfId="3">
      <formula>AND(IF(OR($Q37=1,$Q37=2),1,0),IF($X37&lt;=20,1,0))</formula>
    </cfRule>
    <cfRule type="expression" priority="288" dxfId="2">
      <formula>AND(IF($Q37=2,1,0),IF($X37&lt;30,1,0))</formula>
    </cfRule>
    <cfRule type="expression" priority="289" dxfId="1">
      <formula>AND(IF($Q37=3,1,0),IF($X37&lt;30,1,0))</formula>
    </cfRule>
    <cfRule type="expression" priority="290" dxfId="0">
      <formula>AND(IF($Q37=3,1,IF($Q37=4,1,0)),IF($F37&lt;=85,1,0))</formula>
    </cfRule>
  </conditionalFormatting>
  <conditionalFormatting sqref="AV38">
    <cfRule type="expression" priority="285" dxfId="23">
      <formula>AV38="X"</formula>
    </cfRule>
    <cfRule type="expression" priority="286" dxfId="22">
      <formula>AV38="후보"</formula>
    </cfRule>
  </conditionalFormatting>
  <conditionalFormatting sqref="AC3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8">
    <cfRule type="expression" priority="276" dxfId="3">
      <formula>AND(IF(OR($Q38=1,$Q38=2),1,0),IF($X38&lt;=20,1,0))</formula>
    </cfRule>
    <cfRule type="expression" priority="277" dxfId="2">
      <formula>AND(IF($Q38=2,1,0),IF($X38&lt;30,1,0))</formula>
    </cfRule>
    <cfRule type="expression" priority="278" dxfId="1">
      <formula>AND(IF($Q38=3,1,0),IF($X38&lt;30,1,0))</formula>
    </cfRule>
    <cfRule type="expression" priority="279" dxfId="0">
      <formula>AND(IF($Q38=3,1,IF($Q38=4,1,0)),IF($F38&lt;=85,1,0))</formula>
    </cfRule>
  </conditionalFormatting>
  <conditionalFormatting sqref="X38">
    <cfRule type="expression" priority="272" dxfId="3">
      <formula>AND(IF(OR($Q38=1,$Q38=2),1,0),IF($X38&lt;=20,1,0))</formula>
    </cfRule>
    <cfRule type="expression" priority="273" dxfId="2">
      <formula>AND(IF($Q38=2,1,0),IF($X38&lt;30,1,0))</formula>
    </cfRule>
    <cfRule type="expression" priority="274" dxfId="1">
      <formula>AND(IF($Q38=3,1,0),IF($X38&lt;30,1,0))</formula>
    </cfRule>
    <cfRule type="expression" priority="275" dxfId="0">
      <formula>AND(IF($Q38=3,1,IF($Q38=4,1,0)),IF($F38&lt;=85,1,0))</formula>
    </cfRule>
  </conditionalFormatting>
  <conditionalFormatting sqref="AI38">
    <cfRule type="expression" priority="268" dxfId="3">
      <formula>AND(IF(OR($Q38=1,$Q38=2),1,0),IF($X38&lt;=20,1,0))</formula>
    </cfRule>
    <cfRule type="expression" priority="269" dxfId="2">
      <formula>AND(IF($Q38=2,1,0),IF($X38&lt;30,1,0))</formula>
    </cfRule>
    <cfRule type="expression" priority="270" dxfId="1">
      <formula>AND(IF($Q38=3,1,0),IF($X38&lt;30,1,0))</formula>
    </cfRule>
    <cfRule type="expression" priority="271" dxfId="0">
      <formula>AND(IF($Q38=3,1,IF($Q38=4,1,0)),IF($F38&lt;=85,1,0))</formula>
    </cfRule>
  </conditionalFormatting>
  <conditionalFormatting sqref="AV39">
    <cfRule type="expression" priority="266" dxfId="23">
      <formula>AV39="X"</formula>
    </cfRule>
    <cfRule type="expression" priority="267" dxfId="22">
      <formula>AV39="후보"</formula>
    </cfRule>
  </conditionalFormatting>
  <conditionalFormatting sqref="AC3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9">
    <cfRule type="expression" priority="257" dxfId="3">
      <formula>AND(IF(OR($Q39=1,$Q39=2),1,0),IF($X39&lt;=20,1,0))</formula>
    </cfRule>
    <cfRule type="expression" priority="258" dxfId="2">
      <formula>AND(IF($Q39=2,1,0),IF($X39&lt;30,1,0))</formula>
    </cfRule>
    <cfRule type="expression" priority="259" dxfId="1">
      <formula>AND(IF($Q39=3,1,0),IF($X39&lt;30,1,0))</formula>
    </cfRule>
    <cfRule type="expression" priority="260" dxfId="0">
      <formula>AND(IF($Q39=3,1,IF($Q39=4,1,0)),IF($F39&lt;=85,1,0))</formula>
    </cfRule>
  </conditionalFormatting>
  <conditionalFormatting sqref="X39">
    <cfRule type="expression" priority="253" dxfId="3">
      <formula>AND(IF(OR($Q39=1,$Q39=2),1,0),IF($X39&lt;=20,1,0))</formula>
    </cfRule>
    <cfRule type="expression" priority="254" dxfId="2">
      <formula>AND(IF($Q39=2,1,0),IF($X39&lt;30,1,0))</formula>
    </cfRule>
    <cfRule type="expression" priority="255" dxfId="1">
      <formula>AND(IF($Q39=3,1,0),IF($X39&lt;30,1,0))</formula>
    </cfRule>
    <cfRule type="expression" priority="256" dxfId="0">
      <formula>AND(IF($Q39=3,1,IF($Q39=4,1,0)),IF($F39&lt;=85,1,0))</formula>
    </cfRule>
  </conditionalFormatting>
  <conditionalFormatting sqref="AI39">
    <cfRule type="expression" priority="249" dxfId="3">
      <formula>AND(IF(OR($Q39=1,$Q39=2),1,0),IF($X39&lt;=20,1,0))</formula>
    </cfRule>
    <cfRule type="expression" priority="250" dxfId="2">
      <formula>AND(IF($Q39=2,1,0),IF($X39&lt;30,1,0))</formula>
    </cfRule>
    <cfRule type="expression" priority="251" dxfId="1">
      <formula>AND(IF($Q39=3,1,0),IF($X39&lt;30,1,0))</formula>
    </cfRule>
    <cfRule type="expression" priority="252" dxfId="0">
      <formula>AND(IF($Q39=3,1,IF($Q39=4,1,0)),IF($F39&lt;=85,1,0))</formula>
    </cfRule>
  </conditionalFormatting>
  <conditionalFormatting sqref="AV40">
    <cfRule type="expression" priority="247" dxfId="23">
      <formula>AV40="X"</formula>
    </cfRule>
    <cfRule type="expression" priority="248" dxfId="22">
      <formula>AV40="후보"</formula>
    </cfRule>
  </conditionalFormatting>
  <conditionalFormatting sqref="AC4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4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40">
    <cfRule type="expression" priority="238" dxfId="3">
      <formula>AND(IF(OR($Q40=1,$Q40=2),1,0),IF($X40&lt;=20,1,0))</formula>
    </cfRule>
    <cfRule type="expression" priority="239" dxfId="2">
      <formula>AND(IF($Q40=2,1,0),IF($X40&lt;30,1,0))</formula>
    </cfRule>
    <cfRule type="expression" priority="240" dxfId="1">
      <formula>AND(IF($Q40=3,1,0),IF($X40&lt;30,1,0))</formula>
    </cfRule>
    <cfRule type="expression" priority="241" dxfId="0">
      <formula>AND(IF($Q40=3,1,IF($Q40=4,1,0)),IF($F40&lt;=85,1,0))</formula>
    </cfRule>
  </conditionalFormatting>
  <conditionalFormatting sqref="X40">
    <cfRule type="expression" priority="234" dxfId="3">
      <formula>AND(IF(OR($Q40=1,$Q40=2),1,0),IF($X40&lt;=20,1,0))</formula>
    </cfRule>
    <cfRule type="expression" priority="235" dxfId="2">
      <formula>AND(IF($Q40=2,1,0),IF($X40&lt;30,1,0))</formula>
    </cfRule>
    <cfRule type="expression" priority="236" dxfId="1">
      <formula>AND(IF($Q40=3,1,0),IF($X40&lt;30,1,0))</formula>
    </cfRule>
    <cfRule type="expression" priority="237" dxfId="0">
      <formula>AND(IF($Q40=3,1,IF($Q40=4,1,0)),IF($F40&lt;=85,1,0))</formula>
    </cfRule>
  </conditionalFormatting>
  <conditionalFormatting sqref="AI40">
    <cfRule type="expression" priority="230" dxfId="3">
      <formula>AND(IF(OR($Q40=1,$Q40=2),1,0),IF($X40&lt;=20,1,0))</formula>
    </cfRule>
    <cfRule type="expression" priority="231" dxfId="2">
      <formula>AND(IF($Q40=2,1,0),IF($X40&lt;30,1,0))</formula>
    </cfRule>
    <cfRule type="expression" priority="232" dxfId="1">
      <formula>AND(IF($Q40=3,1,0),IF($X40&lt;30,1,0))</formula>
    </cfRule>
    <cfRule type="expression" priority="233" dxfId="0">
      <formula>AND(IF($Q40=3,1,IF($Q40=4,1,0)),IF($F40&lt;=85,1,0))</formula>
    </cfRule>
  </conditionalFormatting>
  <conditionalFormatting sqref="AV41">
    <cfRule type="expression" priority="228" dxfId="23">
      <formula>AV41="X"</formula>
    </cfRule>
    <cfRule type="expression" priority="229" dxfId="22">
      <formula>AV41="후보"</formula>
    </cfRule>
  </conditionalFormatting>
  <conditionalFormatting sqref="AC41 N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42">
    <cfRule type="expression" priority="223" dxfId="23">
      <formula>AV42="X"</formula>
    </cfRule>
    <cfRule type="expression" priority="224" dxfId="22">
      <formula>AV42="후보"</formula>
    </cfRule>
  </conditionalFormatting>
  <conditionalFormatting sqref="AC4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2">
    <cfRule type="expression" priority="214" dxfId="3">
      <formula>AND(IF(OR($Q42=1,$Q42=2),1,0),IF($X42&lt;=20,1,0))</formula>
    </cfRule>
    <cfRule type="expression" priority="215" dxfId="2">
      <formula>AND(IF($Q42=2,1,0),IF($X42&lt;30,1,0))</formula>
    </cfRule>
    <cfRule type="expression" priority="216" dxfId="1">
      <formula>AND(IF($Q42=3,1,0),IF($X42&lt;30,1,0))</formula>
    </cfRule>
    <cfRule type="expression" priority="217" dxfId="0">
      <formula>AND(IF($Q42=3,1,IF($Q42=4,1,0)),IF($F42&lt;=85,1,0))</formula>
    </cfRule>
  </conditionalFormatting>
  <conditionalFormatting sqref="X42">
    <cfRule type="expression" priority="210" dxfId="3">
      <formula>AND(IF(OR($Q42=1,$Q42=2),1,0),IF($X42&lt;=20,1,0))</formula>
    </cfRule>
    <cfRule type="expression" priority="211" dxfId="2">
      <formula>AND(IF($Q42=2,1,0),IF($X42&lt;30,1,0))</formula>
    </cfRule>
    <cfRule type="expression" priority="212" dxfId="1">
      <formula>AND(IF($Q42=3,1,0),IF($X42&lt;30,1,0))</formula>
    </cfRule>
    <cfRule type="expression" priority="213" dxfId="0">
      <formula>AND(IF($Q42=3,1,IF($Q42=4,1,0)),IF($F42&lt;=85,1,0))</formula>
    </cfRule>
  </conditionalFormatting>
  <conditionalFormatting sqref="AI42">
    <cfRule type="expression" priority="206" dxfId="3">
      <formula>AND(IF(OR($Q42=1,$Q42=2),1,0),IF($X42&lt;=20,1,0))</formula>
    </cfRule>
    <cfRule type="expression" priority="207" dxfId="2">
      <formula>AND(IF($Q42=2,1,0),IF($X42&lt;30,1,0))</formula>
    </cfRule>
    <cfRule type="expression" priority="208" dxfId="1">
      <formula>AND(IF($Q42=3,1,0),IF($X42&lt;30,1,0))</formula>
    </cfRule>
    <cfRule type="expression" priority="209" dxfId="0">
      <formula>AND(IF($Q42=3,1,IF($Q42=4,1,0)),IF($F42&lt;=85,1,0))</formula>
    </cfRule>
  </conditionalFormatting>
  <conditionalFormatting sqref="AV43">
    <cfRule type="expression" priority="204" dxfId="23">
      <formula>AV43="X"</formula>
    </cfRule>
    <cfRule type="expression" priority="205" dxfId="22">
      <formula>AV43="후보"</formula>
    </cfRule>
  </conditionalFormatting>
  <conditionalFormatting sqref="AC4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3">
    <cfRule type="expression" priority="195" dxfId="3">
      <formula>AND(IF(OR($Q43=1,$Q43=2),1,0),IF($X43&lt;=20,1,0))</formula>
    </cfRule>
    <cfRule type="expression" priority="196" dxfId="2">
      <formula>AND(IF($Q43=2,1,0),IF($X43&lt;30,1,0))</formula>
    </cfRule>
    <cfRule type="expression" priority="197" dxfId="1">
      <formula>AND(IF($Q43=3,1,0),IF($X43&lt;30,1,0))</formula>
    </cfRule>
    <cfRule type="expression" priority="198" dxfId="0">
      <formula>AND(IF($Q43=3,1,IF($Q43=4,1,0)),IF($F43&lt;=85,1,0))</formula>
    </cfRule>
  </conditionalFormatting>
  <conditionalFormatting sqref="X43">
    <cfRule type="expression" priority="191" dxfId="3">
      <formula>AND(IF(OR($Q43=1,$Q43=2),1,0),IF($X43&lt;=20,1,0))</formula>
    </cfRule>
    <cfRule type="expression" priority="192" dxfId="2">
      <formula>AND(IF($Q43=2,1,0),IF($X43&lt;30,1,0))</formula>
    </cfRule>
    <cfRule type="expression" priority="193" dxfId="1">
      <formula>AND(IF($Q43=3,1,0),IF($X43&lt;30,1,0))</formula>
    </cfRule>
    <cfRule type="expression" priority="194" dxfId="0">
      <formula>AND(IF($Q43=3,1,IF($Q43=4,1,0)),IF($F43&lt;=85,1,0))</formula>
    </cfRule>
  </conditionalFormatting>
  <conditionalFormatting sqref="AI43">
    <cfRule type="expression" priority="187" dxfId="3">
      <formula>AND(IF(OR($Q43=1,$Q43=2),1,0),IF($X43&lt;=20,1,0))</formula>
    </cfRule>
    <cfRule type="expression" priority="188" dxfId="2">
      <formula>AND(IF($Q43=2,1,0),IF($X43&lt;30,1,0))</formula>
    </cfRule>
    <cfRule type="expression" priority="189" dxfId="1">
      <formula>AND(IF($Q43=3,1,0),IF($X43&lt;30,1,0))</formula>
    </cfRule>
    <cfRule type="expression" priority="190" dxfId="0">
      <formula>AND(IF($Q43=3,1,IF($Q43=4,1,0)),IF($F43&lt;=85,1,0))</formula>
    </cfRule>
  </conditionalFormatting>
  <conditionalFormatting sqref="AV44">
    <cfRule type="expression" priority="185" dxfId="23">
      <formula>AV44="X"</formula>
    </cfRule>
    <cfRule type="expression" priority="186" dxfId="22">
      <formula>AV44="후보"</formula>
    </cfRule>
  </conditionalFormatting>
  <conditionalFormatting sqref="AC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4">
    <cfRule type="expression" priority="176" dxfId="3">
      <formula>AND(IF(OR($Q44=1,$Q44=2),1,0),IF($X44&lt;=20,1,0))</formula>
    </cfRule>
    <cfRule type="expression" priority="177" dxfId="2">
      <formula>AND(IF($Q44=2,1,0),IF($X44&lt;30,1,0))</formula>
    </cfRule>
    <cfRule type="expression" priority="178" dxfId="1">
      <formula>AND(IF($Q44=3,1,0),IF($X44&lt;30,1,0))</formula>
    </cfRule>
    <cfRule type="expression" priority="179" dxfId="0">
      <formula>AND(IF($Q44=3,1,IF($Q44=4,1,0)),IF($F44&lt;=85,1,0))</formula>
    </cfRule>
  </conditionalFormatting>
  <conditionalFormatting sqref="X44">
    <cfRule type="expression" priority="172" dxfId="3">
      <formula>AND(IF(OR($Q44=1,$Q44=2),1,0),IF($X44&lt;=20,1,0))</formula>
    </cfRule>
    <cfRule type="expression" priority="173" dxfId="2">
      <formula>AND(IF($Q44=2,1,0),IF($X44&lt;30,1,0))</formula>
    </cfRule>
    <cfRule type="expression" priority="174" dxfId="1">
      <formula>AND(IF($Q44=3,1,0),IF($X44&lt;30,1,0))</formula>
    </cfRule>
    <cfRule type="expression" priority="175" dxfId="0">
      <formula>AND(IF($Q44=3,1,IF($Q44=4,1,0)),IF($F44&lt;=85,1,0))</formula>
    </cfRule>
  </conditionalFormatting>
  <conditionalFormatting sqref="AI44">
    <cfRule type="expression" priority="168" dxfId="3">
      <formula>AND(IF(OR($Q44=1,$Q44=2),1,0),IF($X44&lt;=20,1,0))</formula>
    </cfRule>
    <cfRule type="expression" priority="169" dxfId="2">
      <formula>AND(IF($Q44=2,1,0),IF($X44&lt;30,1,0))</formula>
    </cfRule>
    <cfRule type="expression" priority="170" dxfId="1">
      <formula>AND(IF($Q44=3,1,0),IF($X44&lt;30,1,0))</formula>
    </cfRule>
    <cfRule type="expression" priority="171" dxfId="0">
      <formula>AND(IF($Q44=3,1,IF($Q44=4,1,0)),IF($F44&lt;=85,1,0))</formula>
    </cfRule>
  </conditionalFormatting>
  <conditionalFormatting sqref="AV45">
    <cfRule type="expression" priority="166" dxfId="23">
      <formula>AV45="X"</formula>
    </cfRule>
    <cfRule type="expression" priority="167" dxfId="22">
      <formula>AV45="후보"</formula>
    </cfRule>
  </conditionalFormatting>
  <conditionalFormatting sqref="AC4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5">
    <cfRule type="expression" priority="157" dxfId="3">
      <formula>AND(IF(OR($Q45=1,$Q45=2),1,0),IF($X45&lt;=20,1,0))</formula>
    </cfRule>
    <cfRule type="expression" priority="158" dxfId="2">
      <formula>AND(IF($Q45=2,1,0),IF($X45&lt;30,1,0))</formula>
    </cfRule>
    <cfRule type="expression" priority="159" dxfId="1">
      <formula>AND(IF($Q45=3,1,0),IF($X45&lt;30,1,0))</formula>
    </cfRule>
    <cfRule type="expression" priority="160" dxfId="0">
      <formula>AND(IF($Q45=3,1,IF($Q45=4,1,0)),IF($F45&lt;=85,1,0))</formula>
    </cfRule>
  </conditionalFormatting>
  <conditionalFormatting sqref="X45">
    <cfRule type="expression" priority="153" dxfId="3">
      <formula>AND(IF(OR($Q45=1,$Q45=2),1,0),IF($X45&lt;=20,1,0))</formula>
    </cfRule>
    <cfRule type="expression" priority="154" dxfId="2">
      <formula>AND(IF($Q45=2,1,0),IF($X45&lt;30,1,0))</formula>
    </cfRule>
    <cfRule type="expression" priority="155" dxfId="1">
      <formula>AND(IF($Q45=3,1,0),IF($X45&lt;30,1,0))</formula>
    </cfRule>
    <cfRule type="expression" priority="156" dxfId="0">
      <formula>AND(IF($Q45=3,1,IF($Q45=4,1,0)),IF($F45&lt;=85,1,0))</formula>
    </cfRule>
  </conditionalFormatting>
  <conditionalFormatting sqref="AI45">
    <cfRule type="expression" priority="149" dxfId="3">
      <formula>AND(IF(OR($Q45=1,$Q45=2),1,0),IF($X45&lt;=20,1,0))</formula>
    </cfRule>
    <cfRule type="expression" priority="150" dxfId="2">
      <formula>AND(IF($Q45=2,1,0),IF($X45&lt;30,1,0))</formula>
    </cfRule>
    <cfRule type="expression" priority="151" dxfId="1">
      <formula>AND(IF($Q45=3,1,0),IF($X45&lt;30,1,0))</formula>
    </cfRule>
    <cfRule type="expression" priority="152" dxfId="0">
      <formula>AND(IF($Q45=3,1,IF($Q45=4,1,0)),IF($F45&lt;=85,1,0))</formula>
    </cfRule>
  </conditionalFormatting>
  <conditionalFormatting sqref="AV46">
    <cfRule type="expression" priority="147" dxfId="23">
      <formula>AV46="X"</formula>
    </cfRule>
    <cfRule type="expression" priority="148" dxfId="22">
      <formula>AV46="후보"</formula>
    </cfRule>
  </conditionalFormatting>
  <conditionalFormatting sqref="AC46 N4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7">
    <cfRule type="expression" priority="142" dxfId="23">
      <formula>AV47="X"</formula>
    </cfRule>
    <cfRule type="expression" priority="143" dxfId="22">
      <formula>AV47="후보"</formula>
    </cfRule>
  </conditionalFormatting>
  <conditionalFormatting sqref="AC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7">
    <cfRule type="expression" priority="133" dxfId="3">
      <formula>AND(IF(OR($Q47=1,$Q47=2),1,0),IF($X47&lt;=20,1,0))</formula>
    </cfRule>
    <cfRule type="expression" priority="134" dxfId="2">
      <formula>AND(IF($Q47=2,1,0),IF($X47&lt;30,1,0))</formula>
    </cfRule>
    <cfRule type="expression" priority="135" dxfId="1">
      <formula>AND(IF($Q47=3,1,0),IF($X47&lt;30,1,0))</formula>
    </cfRule>
    <cfRule type="expression" priority="136" dxfId="0">
      <formula>AND(IF($Q47=3,1,IF($Q47=4,1,0)),IF($F47&lt;=85,1,0))</formula>
    </cfRule>
  </conditionalFormatting>
  <conditionalFormatting sqref="X47">
    <cfRule type="expression" priority="129" dxfId="3">
      <formula>AND(IF(OR($Q47=1,$Q47=2),1,0),IF($X47&lt;=20,1,0))</formula>
    </cfRule>
    <cfRule type="expression" priority="130" dxfId="2">
      <formula>AND(IF($Q47=2,1,0),IF($X47&lt;30,1,0))</formula>
    </cfRule>
    <cfRule type="expression" priority="131" dxfId="1">
      <formula>AND(IF($Q47=3,1,0),IF($X47&lt;30,1,0))</formula>
    </cfRule>
    <cfRule type="expression" priority="132" dxfId="0">
      <formula>AND(IF($Q47=3,1,IF($Q47=4,1,0)),IF($F47&lt;=85,1,0))</formula>
    </cfRule>
  </conditionalFormatting>
  <conditionalFormatting sqref="AI47">
    <cfRule type="expression" priority="125" dxfId="3">
      <formula>AND(IF(OR($Q47=1,$Q47=2),1,0),IF($X47&lt;=20,1,0))</formula>
    </cfRule>
    <cfRule type="expression" priority="126" dxfId="2">
      <formula>AND(IF($Q47=2,1,0),IF($X47&lt;30,1,0))</formula>
    </cfRule>
    <cfRule type="expression" priority="127" dxfId="1">
      <formula>AND(IF($Q47=3,1,0),IF($X47&lt;30,1,0))</formula>
    </cfRule>
    <cfRule type="expression" priority="128" dxfId="0">
      <formula>AND(IF($Q47=3,1,IF($Q47=4,1,0)),IF($F47&lt;=85,1,0))</formula>
    </cfRule>
  </conditionalFormatting>
  <conditionalFormatting sqref="AV48">
    <cfRule type="expression" priority="123" dxfId="23">
      <formula>AV48="X"</formula>
    </cfRule>
    <cfRule type="expression" priority="124" dxfId="22">
      <formula>AV48="후보"</formula>
    </cfRule>
  </conditionalFormatting>
  <conditionalFormatting sqref="AC4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4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48">
    <cfRule type="expression" priority="114" dxfId="3">
      <formula>AND(IF(OR($Q48=1,$Q48=2),1,0),IF($X48&lt;=20,1,0))</formula>
    </cfRule>
    <cfRule type="expression" priority="115" dxfId="2">
      <formula>AND(IF($Q48=2,1,0),IF($X48&lt;30,1,0))</formula>
    </cfRule>
    <cfRule type="expression" priority="116" dxfId="1">
      <formula>AND(IF($Q48=3,1,0),IF($X48&lt;30,1,0))</formula>
    </cfRule>
    <cfRule type="expression" priority="117" dxfId="0">
      <formula>AND(IF($Q48=3,1,IF($Q48=4,1,0)),IF($F48&lt;=85,1,0))</formula>
    </cfRule>
  </conditionalFormatting>
  <conditionalFormatting sqref="X48">
    <cfRule type="expression" priority="110" dxfId="3">
      <formula>AND(IF(OR($Q48=1,$Q48=2),1,0),IF($X48&lt;=20,1,0))</formula>
    </cfRule>
    <cfRule type="expression" priority="111" dxfId="2">
      <formula>AND(IF($Q48=2,1,0),IF($X48&lt;30,1,0))</formula>
    </cfRule>
    <cfRule type="expression" priority="112" dxfId="1">
      <formula>AND(IF($Q48=3,1,0),IF($X48&lt;30,1,0))</formula>
    </cfRule>
    <cfRule type="expression" priority="113" dxfId="0">
      <formula>AND(IF($Q48=3,1,IF($Q48=4,1,0)),IF($F48&lt;=85,1,0))</formula>
    </cfRule>
  </conditionalFormatting>
  <conditionalFormatting sqref="AI48">
    <cfRule type="expression" priority="106" dxfId="3">
      <formula>AND(IF(OR($Q48=1,$Q48=2),1,0),IF($X48&lt;=20,1,0))</formula>
    </cfRule>
    <cfRule type="expression" priority="107" dxfId="2">
      <formula>AND(IF($Q48=2,1,0),IF($X48&lt;30,1,0))</formula>
    </cfRule>
    <cfRule type="expression" priority="108" dxfId="1">
      <formula>AND(IF($Q48=3,1,0),IF($X48&lt;30,1,0))</formula>
    </cfRule>
    <cfRule type="expression" priority="109" dxfId="0">
      <formula>AND(IF($Q48=3,1,IF($Q48=4,1,0)),IF($F48&lt;=85,1,0))</formula>
    </cfRule>
  </conditionalFormatting>
  <conditionalFormatting sqref="AV49">
    <cfRule type="expression" priority="104" dxfId="23">
      <formula>AV49="X"</formula>
    </cfRule>
    <cfRule type="expression" priority="105" dxfId="22">
      <formula>AV49="후보"</formula>
    </cfRule>
  </conditionalFormatting>
  <conditionalFormatting sqref="AC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9">
    <cfRule type="expression" priority="95" dxfId="3">
      <formula>AND(IF(OR($Q49=1,$Q49=2),1,0),IF($X49&lt;=20,1,0))</formula>
    </cfRule>
    <cfRule type="expression" priority="96" dxfId="2">
      <formula>AND(IF($Q49=2,1,0),IF($X49&lt;30,1,0))</formula>
    </cfRule>
    <cfRule type="expression" priority="97" dxfId="1">
      <formula>AND(IF($Q49=3,1,0),IF($X49&lt;30,1,0))</formula>
    </cfRule>
    <cfRule type="expression" priority="98" dxfId="0">
      <formula>AND(IF($Q49=3,1,IF($Q49=4,1,0)),IF($F49&lt;=85,1,0))</formula>
    </cfRule>
  </conditionalFormatting>
  <conditionalFormatting sqref="X49">
    <cfRule type="expression" priority="91" dxfId="3">
      <formula>AND(IF(OR($Q49=1,$Q49=2),1,0),IF($X49&lt;=20,1,0))</formula>
    </cfRule>
    <cfRule type="expression" priority="92" dxfId="2">
      <formula>AND(IF($Q49=2,1,0),IF($X49&lt;30,1,0))</formula>
    </cfRule>
    <cfRule type="expression" priority="93" dxfId="1">
      <formula>AND(IF($Q49=3,1,0),IF($X49&lt;30,1,0))</formula>
    </cfRule>
    <cfRule type="expression" priority="94" dxfId="0">
      <formula>AND(IF($Q49=3,1,IF($Q49=4,1,0)),IF($F49&lt;=85,1,0))</formula>
    </cfRule>
  </conditionalFormatting>
  <conditionalFormatting sqref="AI49">
    <cfRule type="expression" priority="87" dxfId="3">
      <formula>AND(IF(OR($Q49=1,$Q49=2),1,0),IF($X49&lt;=20,1,0))</formula>
    </cfRule>
    <cfRule type="expression" priority="88" dxfId="2">
      <formula>AND(IF($Q49=2,1,0),IF($X49&lt;30,1,0))</formula>
    </cfRule>
    <cfRule type="expression" priority="89" dxfId="1">
      <formula>AND(IF($Q49=3,1,0),IF($X49&lt;30,1,0))</formula>
    </cfRule>
    <cfRule type="expression" priority="90" dxfId="0">
      <formula>AND(IF($Q49=3,1,IF($Q49=4,1,0)),IF($F49&lt;=85,1,0))</formula>
    </cfRule>
  </conditionalFormatting>
  <conditionalFormatting sqref="AV50">
    <cfRule type="expression" priority="85" dxfId="23">
      <formula>AV50="X"</formula>
    </cfRule>
    <cfRule type="expression" priority="86" dxfId="22">
      <formula>AV50="후보"</formula>
    </cfRule>
  </conditionalFormatting>
  <conditionalFormatting sqref="AC50 N5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1">
    <cfRule type="expression" priority="71" dxfId="3">
      <formula>AND(IF(OR($Q51=1,$Q51=2),1,0),IF($X51&lt;=20,1,0))</formula>
    </cfRule>
    <cfRule type="expression" priority="72" dxfId="2">
      <formula>AND(IF($Q51=2,1,0),IF($X51&lt;30,1,0))</formula>
    </cfRule>
    <cfRule type="expression" priority="73" dxfId="1">
      <formula>AND(IF($Q51=3,1,0),IF($X51&lt;30,1,0))</formula>
    </cfRule>
    <cfRule type="expression" priority="74" dxfId="0">
      <formula>AND(IF($Q51=3,1,IF($Q51=4,1,0)),IF($F51&lt;=85,1,0))</formula>
    </cfRule>
  </conditionalFormatting>
  <conditionalFormatting sqref="X51">
    <cfRule type="expression" priority="67" dxfId="3">
      <formula>AND(IF(OR($Q51=1,$Q51=2),1,0),IF($X51&lt;=20,1,0))</formula>
    </cfRule>
    <cfRule type="expression" priority="68" dxfId="2">
      <formula>AND(IF($Q51=2,1,0),IF($X51&lt;30,1,0))</formula>
    </cfRule>
    <cfRule type="expression" priority="69" dxfId="1">
      <formula>AND(IF($Q51=3,1,0),IF($X51&lt;30,1,0))</formula>
    </cfRule>
    <cfRule type="expression" priority="70" dxfId="0">
      <formula>AND(IF($Q51=3,1,IF($Q51=4,1,0)),IF($F51&lt;=85,1,0))</formula>
    </cfRule>
  </conditionalFormatting>
  <conditionalFormatting sqref="AI51">
    <cfRule type="expression" priority="63" dxfId="3">
      <formula>AND(IF(OR($Q51=1,$Q51=2),1,0),IF($X51&lt;=20,1,0))</formula>
    </cfRule>
    <cfRule type="expression" priority="64" dxfId="2">
      <formula>AND(IF($Q51=2,1,0),IF($X51&lt;30,1,0))</formula>
    </cfRule>
    <cfRule type="expression" priority="65" dxfId="1">
      <formula>AND(IF($Q51=3,1,0),IF($X51&lt;30,1,0))</formula>
    </cfRule>
    <cfRule type="expression" priority="66" dxfId="0">
      <formula>AND(IF($Q51=3,1,IF($Q51=4,1,0)),IF($F51&lt;=85,1,0))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2">
    <cfRule type="expression" priority="52" dxfId="3">
      <formula>AND(IF(OR($Q52=1,$Q52=2),1,0),IF($X52&lt;=20,1,0))</formula>
    </cfRule>
    <cfRule type="expression" priority="53" dxfId="2">
      <formula>AND(IF($Q52=2,1,0),IF($X52&lt;30,1,0))</formula>
    </cfRule>
    <cfRule type="expression" priority="54" dxfId="1">
      <formula>AND(IF($Q52=3,1,0),IF($X52&lt;30,1,0))</formula>
    </cfRule>
    <cfRule type="expression" priority="55" dxfId="0">
      <formula>AND(IF($Q52=3,1,IF($Q52=4,1,0)),IF($F52&lt;=85,1,0))</formula>
    </cfRule>
  </conditionalFormatting>
  <conditionalFormatting sqref="X52">
    <cfRule type="expression" priority="48" dxfId="3">
      <formula>AND(IF(OR($Q52=1,$Q52=2),1,0),IF($X52&lt;=20,1,0))</formula>
    </cfRule>
    <cfRule type="expression" priority="49" dxfId="2">
      <formula>AND(IF($Q52=2,1,0),IF($X52&lt;30,1,0))</formula>
    </cfRule>
    <cfRule type="expression" priority="50" dxfId="1">
      <formula>AND(IF($Q52=3,1,0),IF($X52&lt;30,1,0))</formula>
    </cfRule>
    <cfRule type="expression" priority="51" dxfId="0">
      <formula>AND(IF($Q52=3,1,IF($Q52=4,1,0)),IF($F52&lt;=85,1,0))</formula>
    </cfRule>
  </conditionalFormatting>
  <conditionalFormatting sqref="AI52">
    <cfRule type="expression" priority="44" dxfId="3">
      <formula>AND(IF(OR($Q52=1,$Q52=2),1,0),IF($X52&lt;=20,1,0))</formula>
    </cfRule>
    <cfRule type="expression" priority="45" dxfId="2">
      <formula>AND(IF($Q52=2,1,0),IF($X52&lt;30,1,0))</formula>
    </cfRule>
    <cfRule type="expression" priority="46" dxfId="1">
      <formula>AND(IF($Q52=3,1,0),IF($X52&lt;30,1,0))</formula>
    </cfRule>
    <cfRule type="expression" priority="47" dxfId="0">
      <formula>AND(IF($Q52=3,1,IF($Q52=4,1,0)),IF($F52&lt;=85,1,0))</formula>
    </cfRule>
  </conditionalFormatting>
  <conditionalFormatting sqref="AV53">
    <cfRule type="expression" priority="42" dxfId="23">
      <formula>AV53="X"</formula>
    </cfRule>
    <cfRule type="expression" priority="43" dxfId="22">
      <formula>AV53="후보"</formula>
    </cfRule>
  </conditionalFormatting>
  <conditionalFormatting sqref="AC53 N5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창원한신휴플러스오션파크</t>
        </is>
      </c>
      <c r="B6" s="10" t="inlineStr">
        <is>
          <t>'16.05.</t>
        </is>
      </c>
      <c r="C6" s="134" t="n">
        <v>684</v>
      </c>
      <c r="D6" s="132" t="n">
        <v>89.7</v>
      </c>
      <c r="E6" s="133" t="n">
        <v>27</v>
      </c>
      <c r="F6" s="132" t="n">
        <v>69.8</v>
      </c>
      <c r="G6" s="17" t="n">
        <v>21</v>
      </c>
      <c r="H6" s="134" t="n">
        <v>101</v>
      </c>
      <c r="I6" s="135" t="n">
        <v>31200</v>
      </c>
      <c r="J6" s="135" t="inlineStr">
        <is>
          <t>고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89A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창원한신휴플러스오션파크</t>
        </is>
      </c>
      <c r="B7" s="10" t="inlineStr">
        <is>
          <t>'16.05.</t>
        </is>
      </c>
      <c r="C7" s="134" t="n">
        <v>684</v>
      </c>
      <c r="D7" s="132" t="n">
        <v>90.59999999999999</v>
      </c>
      <c r="E7" s="133" t="n">
        <v>27</v>
      </c>
      <c r="F7" s="132" t="n">
        <v>69.90000000000001</v>
      </c>
      <c r="G7" s="17" t="n">
        <v>21</v>
      </c>
      <c r="H7" s="134" t="n">
        <v>160</v>
      </c>
      <c r="I7" s="135" t="n">
        <v>32000</v>
      </c>
      <c r="J7" s="135" t="inlineStr">
        <is>
          <t>중</t>
        </is>
      </c>
      <c r="K7" s="135" t="n">
        <v>27000</v>
      </c>
      <c r="L7" s="135" t="inlineStr">
        <is>
          <t>중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90B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창원한신휴플러스오션파크</t>
        </is>
      </c>
      <c r="B8" s="10" t="inlineStr">
        <is>
          <t>'16.05.</t>
        </is>
      </c>
      <c r="C8" s="134" t="n">
        <v>684</v>
      </c>
      <c r="D8" s="132" t="n">
        <v>109.7</v>
      </c>
      <c r="E8" s="133" t="n">
        <v>33</v>
      </c>
      <c r="F8" s="132" t="n">
        <v>84.5</v>
      </c>
      <c r="G8" s="17" t="n">
        <v>26</v>
      </c>
      <c r="H8" s="134" t="n">
        <v>217</v>
      </c>
      <c r="I8" s="135" t="n">
        <v>42000</v>
      </c>
      <c r="J8" s="135" t="inlineStr">
        <is>
          <t>고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창원한신휴플러스오션파크</t>
        </is>
      </c>
      <c r="B9" s="10" t="inlineStr">
        <is>
          <t>'16.05.</t>
        </is>
      </c>
      <c r="C9" s="134" t="n">
        <v>684</v>
      </c>
      <c r="D9" s="132" t="n">
        <v>109.2</v>
      </c>
      <c r="E9" s="133" t="n">
        <v>33</v>
      </c>
      <c r="F9" s="132" t="n">
        <v>84.40000000000001</v>
      </c>
      <c r="G9" s="17" t="n">
        <v>26</v>
      </c>
      <c r="H9" s="134" t="n">
        <v>66</v>
      </c>
      <c r="I9" s="135" t="n">
        <v>39000</v>
      </c>
      <c r="J9" s="135" t="inlineStr">
        <is>
          <t>7</t>
        </is>
      </c>
      <c r="K9" s="135" t="n">
        <v>30000</v>
      </c>
      <c r="L9" s="135" t="inlineStr">
        <is>
          <t>중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109D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창원한신휴플러스오션파크</t>
        </is>
      </c>
      <c r="B10" s="10" t="inlineStr">
        <is>
          <t>'16.05.</t>
        </is>
      </c>
      <c r="C10" s="134" t="n">
        <v>684</v>
      </c>
      <c r="D10" s="132" t="n">
        <v>109.7</v>
      </c>
      <c r="E10" s="133" t="n">
        <v>33</v>
      </c>
      <c r="F10" s="132" t="n">
        <v>84.7</v>
      </c>
      <c r="G10" s="17" t="n">
        <v>26</v>
      </c>
      <c r="H10" s="134" t="n">
        <v>64</v>
      </c>
      <c r="I10" s="135" t="n">
        <v>40000</v>
      </c>
      <c r="J10" s="135" t="inlineStr">
        <is>
          <t>중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109E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창원한신휴플러스오션파크</t>
        </is>
      </c>
      <c r="B11" s="10" t="inlineStr">
        <is>
          <t>'16.05.</t>
        </is>
      </c>
      <c r="C11" s="134" t="n">
        <v>684</v>
      </c>
      <c r="D11" s="132" t="n">
        <v>109.5</v>
      </c>
      <c r="E11" s="133" t="n">
        <v>33</v>
      </c>
      <c r="F11" s="132" t="n">
        <v>85</v>
      </c>
      <c r="G11" s="17" t="n">
        <v>26</v>
      </c>
      <c r="H11" s="134" t="n">
        <v>44</v>
      </c>
      <c r="I11" s="135" t="n">
        <v>40000</v>
      </c>
      <c r="J11" s="135" t="inlineStr">
        <is>
          <t>22</t>
        </is>
      </c>
      <c r="K11" s="135" t="n">
        <v>32000</v>
      </c>
      <c r="L11" s="135" t="inlineStr">
        <is>
          <t>중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109C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창원한신휴플러스오션파크</t>
        </is>
      </c>
      <c r="B12" s="10" t="inlineStr">
        <is>
          <t>'16.05.</t>
        </is>
      </c>
      <c r="C12" s="134" t="n">
        <v>684</v>
      </c>
      <c r="D12" s="132" t="n">
        <v>109.4</v>
      </c>
      <c r="E12" s="133" t="n">
        <v>33</v>
      </c>
      <c r="F12" s="132" t="n">
        <v>84.7</v>
      </c>
      <c r="G12" s="17" t="n">
        <v>26</v>
      </c>
      <c r="H12" s="134" t="n">
        <v>22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109F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창원한신휴플러스오션파크</t>
        </is>
      </c>
      <c r="B13" s="10" t="inlineStr">
        <is>
          <t>'16.05.</t>
        </is>
      </c>
      <c r="C13" s="134" t="n">
        <v>684</v>
      </c>
      <c r="D13" s="132" t="n">
        <v>113.8</v>
      </c>
      <c r="E13" s="133" t="n">
        <v>34</v>
      </c>
      <c r="F13" s="132" t="n">
        <v>84.5</v>
      </c>
      <c r="G13" s="17" t="n">
        <v>26</v>
      </c>
      <c r="H13" s="134" t="n">
        <v>10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113B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2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7" t="n"/>
      <c r="P14" s="137" t="n"/>
      <c r="Q14" s="133" t="n"/>
      <c r="R14" s="133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7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진해장천대동다숲</t>
        </is>
      </c>
      <c r="B15" s="10" t="inlineStr">
        <is>
          <t>'07.12.</t>
        </is>
      </c>
      <c r="C15" s="134" t="n">
        <v>1264</v>
      </c>
      <c r="D15" s="132" t="n">
        <v>85.8</v>
      </c>
      <c r="E15" s="133" t="n">
        <v>26</v>
      </c>
      <c r="F15" s="132" t="n">
        <v>60</v>
      </c>
      <c r="G15" s="17" t="n">
        <v>18</v>
      </c>
      <c r="H15" s="134" t="n">
        <v>120</v>
      </c>
      <c r="I15" s="135" t="n">
        <v>25000</v>
      </c>
      <c r="J15" s="135" t="inlineStr">
        <is>
          <t>중</t>
        </is>
      </c>
      <c r="K15" s="135" t="n">
        <v>22500</v>
      </c>
      <c r="L15" s="135" t="inlineStr">
        <is>
          <t>고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85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3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진해장천대동다숲</t>
        </is>
      </c>
      <c r="B16" s="10" t="inlineStr">
        <is>
          <t>'07.12.</t>
        </is>
      </c>
      <c r="C16" s="134" t="n">
        <v>1264</v>
      </c>
      <c r="D16" s="132" t="n">
        <v>110.5</v>
      </c>
      <c r="E16" s="133" t="n">
        <v>33</v>
      </c>
      <c r="F16" s="132" t="n">
        <v>84.90000000000001</v>
      </c>
      <c r="G16" s="17" t="n">
        <v>26</v>
      </c>
      <c r="H16" s="134" t="n">
        <v>402</v>
      </c>
      <c r="I16" s="135" t="n">
        <v>32500</v>
      </c>
      <c r="J16" s="135" t="inlineStr">
        <is>
          <t>고</t>
        </is>
      </c>
      <c r="K16" s="135" t="n">
        <v>26000</v>
      </c>
      <c r="L16" s="135" t="inlineStr">
        <is>
          <t>고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110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진해장천대동다숲</t>
        </is>
      </c>
      <c r="B17" s="10" t="inlineStr">
        <is>
          <t>'07.12.</t>
        </is>
      </c>
      <c r="C17" s="134" t="n">
        <v>1264</v>
      </c>
      <c r="D17" s="132" t="n">
        <v>111.3</v>
      </c>
      <c r="E17" s="133" t="n">
        <v>34</v>
      </c>
      <c r="F17" s="132" t="n">
        <v>84.8</v>
      </c>
      <c r="G17" s="17" t="n">
        <v>26</v>
      </c>
      <c r="H17" s="134" t="n">
        <v>251</v>
      </c>
      <c r="I17" s="135" t="n">
        <v>32500</v>
      </c>
      <c r="J17" s="135" t="inlineStr">
        <is>
          <t>중</t>
        </is>
      </c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111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3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진해장천대동다숲</t>
        </is>
      </c>
      <c r="B18" s="10" t="inlineStr">
        <is>
          <t>'07.12.</t>
        </is>
      </c>
      <c r="C18" s="134" t="n">
        <v>1264</v>
      </c>
      <c r="D18" s="132" t="n">
        <v>117.9</v>
      </c>
      <c r="E18" s="133" t="n">
        <v>36</v>
      </c>
      <c r="F18" s="132" t="n">
        <v>85</v>
      </c>
      <c r="G18" s="17" t="n">
        <v>26</v>
      </c>
      <c r="H18" s="134" t="n">
        <v>253</v>
      </c>
      <c r="I18" s="135" t="n">
        <v>31500</v>
      </c>
      <c r="J18" s="135" t="inlineStr">
        <is>
          <t>중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n">
        <v>117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3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진해장천대동다숲</t>
        </is>
      </c>
      <c r="B19" s="10" t="inlineStr">
        <is>
          <t>'07.12.</t>
        </is>
      </c>
      <c r="C19" s="134" t="n">
        <v>1264</v>
      </c>
      <c r="D19" s="132" t="n">
        <v>156.2</v>
      </c>
      <c r="E19" s="133" t="n">
        <v>47</v>
      </c>
      <c r="F19" s="132" t="n">
        <v>122.1</v>
      </c>
      <c r="G19" s="17" t="n">
        <v>37</v>
      </c>
      <c r="H19" s="134" t="n">
        <v>90</v>
      </c>
      <c r="I19" s="135" t="n">
        <v>43500</v>
      </c>
      <c r="J19" s="135" t="inlineStr">
        <is>
          <t>중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156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3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진해장천대동다숲</t>
        </is>
      </c>
      <c r="B20" s="10" t="inlineStr">
        <is>
          <t>'07.12.</t>
        </is>
      </c>
      <c r="C20" s="134" t="n">
        <v>1264</v>
      </c>
      <c r="D20" s="132" t="n">
        <v>184.1</v>
      </c>
      <c r="E20" s="133" t="n">
        <v>56</v>
      </c>
      <c r="F20" s="132" t="n">
        <v>141.4</v>
      </c>
      <c r="G20" s="17" t="n">
        <v>43</v>
      </c>
      <c r="H20" s="134" t="n">
        <v>90</v>
      </c>
      <c r="I20" s="135" t="n">
        <v>52000</v>
      </c>
      <c r="J20" s="135" t="inlineStr">
        <is>
          <t>중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184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3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진해장천대동다숲</t>
        </is>
      </c>
      <c r="B21" s="10" t="inlineStr">
        <is>
          <t>'07.12.</t>
        </is>
      </c>
      <c r="C21" s="134" t="n">
        <v>1264</v>
      </c>
      <c r="D21" s="132" t="n">
        <v>213.6</v>
      </c>
      <c r="E21" s="133" t="n">
        <v>65</v>
      </c>
      <c r="F21" s="132" t="n">
        <v>177.8</v>
      </c>
      <c r="G21" s="17" t="n">
        <v>54</v>
      </c>
      <c r="H21" s="134" t="n">
        <v>28</v>
      </c>
      <c r="I21" s="135" t="n">
        <v>60000</v>
      </c>
      <c r="J21" s="135" t="inlineStr">
        <is>
          <t>고</t>
        </is>
      </c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5</v>
      </c>
      <c r="R21" s="121" t="n">
        <v>2</v>
      </c>
      <c r="S21" s="121" t="inlineStr">
        <is>
          <t>계</t>
        </is>
      </c>
      <c r="T21" s="5" t="n">
        <v>213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진해장천대동다숲</t>
        </is>
      </c>
      <c r="B22" s="10" t="inlineStr">
        <is>
          <t>'07.12.</t>
        </is>
      </c>
      <c r="C22" s="134" t="n">
        <v>1264</v>
      </c>
      <c r="D22" s="132" t="n">
        <v>263.4</v>
      </c>
      <c r="E22" s="133" t="n">
        <v>80</v>
      </c>
      <c r="F22" s="132" t="n">
        <v>225.5</v>
      </c>
      <c r="G22" s="17" t="n">
        <v>68</v>
      </c>
      <c r="H22" s="134" t="n">
        <v>30</v>
      </c>
      <c r="I22" s="135" t="n">
        <v>62500</v>
      </c>
      <c r="J22" s="135" t="inlineStr">
        <is>
          <t>9</t>
        </is>
      </c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1" t="n">
        <v>5</v>
      </c>
      <c r="R22" s="121" t="n">
        <v>3</v>
      </c>
      <c r="S22" s="121" t="inlineStr">
        <is>
          <t>계</t>
        </is>
      </c>
      <c r="T22" s="5" t="n">
        <v>263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3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2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7" t="n"/>
      <c r="P23" s="137" t="n"/>
      <c r="Q23" s="133" t="n"/>
      <c r="R23" s="133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7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벽산e솔렌스힐</t>
        </is>
      </c>
      <c r="B24" s="10" t="inlineStr">
        <is>
          <t>'08.07.</t>
        </is>
      </c>
      <c r="C24" s="134" t="n">
        <v>282</v>
      </c>
      <c r="D24" s="132" t="n">
        <v>109.7</v>
      </c>
      <c r="E24" s="133" t="n">
        <v>33</v>
      </c>
      <c r="F24" s="132" t="n">
        <v>84.90000000000001</v>
      </c>
      <c r="G24" s="17" t="n">
        <v>26</v>
      </c>
      <c r="H24" s="134" t="n">
        <v>147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109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3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벽산e솔렌스힐</t>
        </is>
      </c>
      <c r="B25" s="10" t="inlineStr">
        <is>
          <t>'08.07.</t>
        </is>
      </c>
      <c r="C25" s="134" t="n">
        <v>282</v>
      </c>
      <c r="D25" s="132" t="n">
        <v>151.2</v>
      </c>
      <c r="E25" s="133" t="n">
        <v>46</v>
      </c>
      <c r="F25" s="132" t="n">
        <v>120.7</v>
      </c>
      <c r="G25" s="17" t="n">
        <v>37</v>
      </c>
      <c r="H25" s="134" t="n">
        <v>45</v>
      </c>
      <c r="I25" s="135" t="n"/>
      <c r="J25" s="135" t="n"/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151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3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벽산e솔렌스힐</t>
        </is>
      </c>
      <c r="B26" s="10" t="inlineStr">
        <is>
          <t>'08.07.</t>
        </is>
      </c>
      <c r="C26" s="134" t="n">
        <v>282</v>
      </c>
      <c r="D26" s="132" t="n">
        <v>174.5</v>
      </c>
      <c r="E26" s="133" t="n">
        <v>53</v>
      </c>
      <c r="F26" s="132" t="n">
        <v>140.5</v>
      </c>
      <c r="G26" s="17" t="n">
        <v>42</v>
      </c>
      <c r="H26" s="134" t="n">
        <v>90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174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3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72" dxfId="23">
      <formula>AV4="X"</formula>
    </cfRule>
    <cfRule type="expression" priority="373" dxfId="22">
      <formula>AV4="후보"</formula>
    </cfRule>
  </conditionalFormatting>
  <conditionalFormatting sqref="AC1:AC2 AC4:AC6 N4:N5">
    <cfRule type="cellIs" priority="369" operator="greaterThan" dxfId="17">
      <formula>0.9</formula>
    </cfRule>
    <cfRule type="cellIs" priority="370" operator="greaterThan" dxfId="16">
      <formula>0.85</formula>
    </cfRule>
  </conditionalFormatting>
  <conditionalFormatting sqref="N1:N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X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I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V7">
    <cfRule type="expression" priority="351" dxfId="23">
      <formula>AV7="X"</formula>
    </cfRule>
    <cfRule type="expression" priority="352" dxfId="22">
      <formula>AV7="후보"</formula>
    </cfRule>
  </conditionalFormatting>
  <conditionalFormatting sqref="AC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">
    <cfRule type="expression" priority="342" dxfId="3">
      <formula>AND(IF(OR($Q7=1,$Q7=2),1,0),IF($X7&lt;=20,1,0))</formula>
    </cfRule>
    <cfRule type="expression" priority="343" dxfId="2">
      <formula>AND(IF($Q7=2,1,0),IF($X7&lt;30,1,0))</formula>
    </cfRule>
    <cfRule type="expression" priority="344" dxfId="1">
      <formula>AND(IF($Q7=3,1,0),IF($X7&lt;30,1,0))</formula>
    </cfRule>
    <cfRule type="expression" priority="345" dxfId="0">
      <formula>AND(IF($Q7=3,1,IF($Q7=4,1,0)),IF($F7&lt;=85,1,0))</formula>
    </cfRule>
  </conditionalFormatting>
  <conditionalFormatting sqref="X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AI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V8">
    <cfRule type="expression" priority="332" dxfId="23">
      <formula>AV8="X"</formula>
    </cfRule>
    <cfRule type="expression" priority="333" dxfId="22">
      <formula>AV8="후보"</formula>
    </cfRule>
  </conditionalFormatting>
  <conditionalFormatting sqref="AC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">
    <cfRule type="expression" priority="323" dxfId="3">
      <formula>AND(IF(OR($Q8=1,$Q8=2),1,0),IF($X8&lt;=20,1,0))</formula>
    </cfRule>
    <cfRule type="expression" priority="324" dxfId="2">
      <formula>AND(IF($Q8=2,1,0),IF($X8&lt;30,1,0))</formula>
    </cfRule>
    <cfRule type="expression" priority="325" dxfId="1">
      <formula>AND(IF($Q8=3,1,0),IF($X8&lt;30,1,0))</formula>
    </cfRule>
    <cfRule type="expression" priority="326" dxfId="0">
      <formula>AND(IF($Q8=3,1,IF($Q8=4,1,0)),IF($F8&lt;=85,1,0))</formula>
    </cfRule>
  </conditionalFormatting>
  <conditionalFormatting sqref="X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AI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V9">
    <cfRule type="expression" priority="313" dxfId="23">
      <formula>AV9="X"</formula>
    </cfRule>
    <cfRule type="expression" priority="314" dxfId="22">
      <formula>AV9="후보"</formula>
    </cfRule>
  </conditionalFormatting>
  <conditionalFormatting sqref="AC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9">
    <cfRule type="expression" priority="304" dxfId="3">
      <formula>AND(IF(OR($Q9=1,$Q9=2),1,0),IF($X9&lt;=20,1,0))</formula>
    </cfRule>
    <cfRule type="expression" priority="305" dxfId="2">
      <formula>AND(IF($Q9=2,1,0),IF($X9&lt;30,1,0))</formula>
    </cfRule>
    <cfRule type="expression" priority="306" dxfId="1">
      <formula>AND(IF($Q9=3,1,0),IF($X9&lt;30,1,0))</formula>
    </cfRule>
    <cfRule type="expression" priority="307" dxfId="0">
      <formula>AND(IF($Q9=3,1,IF($Q9=4,1,0)),IF($F9&lt;=85,1,0))</formula>
    </cfRule>
  </conditionalFormatting>
  <conditionalFormatting sqref="X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AI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V10">
    <cfRule type="expression" priority="294" dxfId="23">
      <formula>AV10="X"</formula>
    </cfRule>
    <cfRule type="expression" priority="295" dxfId="22">
      <formula>AV10="후보"</formula>
    </cfRule>
  </conditionalFormatting>
  <conditionalFormatting sqref="AC1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">
    <cfRule type="expression" priority="285" dxfId="3">
      <formula>AND(IF(OR($Q10=1,$Q10=2),1,0),IF($X10&lt;=20,1,0))</formula>
    </cfRule>
    <cfRule type="expression" priority="286" dxfId="2">
      <formula>AND(IF($Q10=2,1,0),IF($X10&lt;30,1,0))</formula>
    </cfRule>
    <cfRule type="expression" priority="287" dxfId="1">
      <formula>AND(IF($Q10=3,1,0),IF($X10&lt;30,1,0))</formula>
    </cfRule>
    <cfRule type="expression" priority="288" dxfId="0">
      <formula>AND(IF($Q10=3,1,IF($Q10=4,1,0)),IF($F10&lt;=85,1,0))</formula>
    </cfRule>
  </conditionalFormatting>
  <conditionalFormatting sqref="X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AI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V11">
    <cfRule type="expression" priority="275" dxfId="23">
      <formula>AV11="X"</formula>
    </cfRule>
    <cfRule type="expression" priority="276" dxfId="22">
      <formula>AV11="후보"</formula>
    </cfRule>
  </conditionalFormatting>
  <conditionalFormatting sqref="AC1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">
    <cfRule type="expression" priority="266" dxfId="3">
      <formula>AND(IF(OR($Q11=1,$Q11=2),1,0),IF($X11&lt;=20,1,0))</formula>
    </cfRule>
    <cfRule type="expression" priority="267" dxfId="2">
      <formula>AND(IF($Q11=2,1,0),IF($X11&lt;30,1,0))</formula>
    </cfRule>
    <cfRule type="expression" priority="268" dxfId="1">
      <formula>AND(IF($Q11=3,1,0),IF($X11&lt;30,1,0))</formula>
    </cfRule>
    <cfRule type="expression" priority="269" dxfId="0">
      <formula>AND(IF($Q11=3,1,IF($Q11=4,1,0)),IF($F11&lt;=85,1,0))</formula>
    </cfRule>
  </conditionalFormatting>
  <conditionalFormatting sqref="X11">
    <cfRule type="expression" priority="262" dxfId="3">
      <formula>AND(IF(OR($Q11=1,$Q11=2),1,0),IF($X11&lt;=20,1,0))</formula>
    </cfRule>
    <cfRule type="expression" priority="263" dxfId="2">
      <formula>AND(IF($Q11=2,1,0),IF($X11&lt;30,1,0))</formula>
    </cfRule>
    <cfRule type="expression" priority="264" dxfId="1">
      <formula>AND(IF($Q11=3,1,0),IF($X11&lt;30,1,0))</formula>
    </cfRule>
    <cfRule type="expression" priority="265" dxfId="0">
      <formula>AND(IF($Q11=3,1,IF($Q11=4,1,0)),IF($F11&lt;=85,1,0))</formula>
    </cfRule>
  </conditionalFormatting>
  <conditionalFormatting sqref="AI11">
    <cfRule type="expression" priority="258" dxfId="3">
      <formula>AND(IF(OR($Q11=1,$Q11=2),1,0),IF($X11&lt;=20,1,0))</formula>
    </cfRule>
    <cfRule type="expression" priority="259" dxfId="2">
      <formula>AND(IF($Q11=2,1,0),IF($X11&lt;30,1,0))</formula>
    </cfRule>
    <cfRule type="expression" priority="260" dxfId="1">
      <formula>AND(IF($Q11=3,1,0),IF($X11&lt;30,1,0))</formula>
    </cfRule>
    <cfRule type="expression" priority="261" dxfId="0">
      <formula>AND(IF($Q11=3,1,IF($Q11=4,1,0)),IF($F11&lt;=85,1,0))</formula>
    </cfRule>
  </conditionalFormatting>
  <conditionalFormatting sqref="AV12">
    <cfRule type="expression" priority="256" dxfId="23">
      <formula>AV12="X"</formula>
    </cfRule>
    <cfRule type="expression" priority="257" dxfId="22">
      <formula>AV12="후보"</formula>
    </cfRule>
  </conditionalFormatting>
  <conditionalFormatting sqref="AC1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2">
    <cfRule type="expression" priority="247" dxfId="3">
      <formula>AND(IF(OR($Q12=1,$Q12=2),1,0),IF($X12&lt;=20,1,0))</formula>
    </cfRule>
    <cfRule type="expression" priority="248" dxfId="2">
      <formula>AND(IF($Q12=2,1,0),IF($X12&lt;30,1,0))</formula>
    </cfRule>
    <cfRule type="expression" priority="249" dxfId="1">
      <formula>AND(IF($Q12=3,1,0),IF($X12&lt;30,1,0))</formula>
    </cfRule>
    <cfRule type="expression" priority="250" dxfId="0">
      <formula>AND(IF($Q12=3,1,IF($Q12=4,1,0)),IF($F12&lt;=85,1,0))</formula>
    </cfRule>
  </conditionalFormatting>
  <conditionalFormatting sqref="X12">
    <cfRule type="expression" priority="243" dxfId="3">
      <formula>AND(IF(OR($Q12=1,$Q12=2),1,0),IF($X12&lt;=20,1,0))</formula>
    </cfRule>
    <cfRule type="expression" priority="244" dxfId="2">
      <formula>AND(IF($Q12=2,1,0),IF($X12&lt;30,1,0))</formula>
    </cfRule>
    <cfRule type="expression" priority="245" dxfId="1">
      <formula>AND(IF($Q12=3,1,0),IF($X12&lt;30,1,0))</formula>
    </cfRule>
    <cfRule type="expression" priority="246" dxfId="0">
      <formula>AND(IF($Q12=3,1,IF($Q12=4,1,0)),IF($F12&lt;=85,1,0))</formula>
    </cfRule>
  </conditionalFormatting>
  <conditionalFormatting sqref="AI12">
    <cfRule type="expression" priority="239" dxfId="3">
      <formula>AND(IF(OR($Q12=1,$Q12=2),1,0),IF($X12&lt;=20,1,0))</formula>
    </cfRule>
    <cfRule type="expression" priority="240" dxfId="2">
      <formula>AND(IF($Q12=2,1,0),IF($X12&lt;30,1,0))</formula>
    </cfRule>
    <cfRule type="expression" priority="241" dxfId="1">
      <formula>AND(IF($Q12=3,1,0),IF($X12&lt;30,1,0))</formula>
    </cfRule>
    <cfRule type="expression" priority="242" dxfId="0">
      <formula>AND(IF($Q12=3,1,IF($Q12=4,1,0)),IF($F12&lt;=85,1,0))</formula>
    </cfRule>
  </conditionalFormatting>
  <conditionalFormatting sqref="AV13">
    <cfRule type="expression" priority="237" dxfId="23">
      <formula>AV13="X"</formula>
    </cfRule>
    <cfRule type="expression" priority="238" dxfId="22">
      <formula>AV13="후보"</formula>
    </cfRule>
  </conditionalFormatting>
  <conditionalFormatting sqref="AC1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">
    <cfRule type="expression" priority="228" dxfId="3">
      <formula>AND(IF(OR($Q13=1,$Q13=2),1,0),IF($X13&lt;=20,1,0))</formula>
    </cfRule>
    <cfRule type="expression" priority="229" dxfId="2">
      <formula>AND(IF($Q13=2,1,0),IF($X13&lt;30,1,0))</formula>
    </cfRule>
    <cfRule type="expression" priority="230" dxfId="1">
      <formula>AND(IF($Q13=3,1,0),IF($X13&lt;30,1,0))</formula>
    </cfRule>
    <cfRule type="expression" priority="231" dxfId="0">
      <formula>AND(IF($Q13=3,1,IF($Q13=4,1,0)),IF($F13&lt;=85,1,0))</formula>
    </cfRule>
  </conditionalFormatting>
  <conditionalFormatting sqref="X13">
    <cfRule type="expression" priority="224" dxfId="3">
      <formula>AND(IF(OR($Q13=1,$Q13=2),1,0),IF($X13&lt;=20,1,0))</formula>
    </cfRule>
    <cfRule type="expression" priority="225" dxfId="2">
      <formula>AND(IF($Q13=2,1,0),IF($X13&lt;30,1,0))</formula>
    </cfRule>
    <cfRule type="expression" priority="226" dxfId="1">
      <formula>AND(IF($Q13=3,1,0),IF($X13&lt;30,1,0))</formula>
    </cfRule>
    <cfRule type="expression" priority="227" dxfId="0">
      <formula>AND(IF($Q13=3,1,IF($Q13=4,1,0)),IF($F13&lt;=85,1,0))</formula>
    </cfRule>
  </conditionalFormatting>
  <conditionalFormatting sqref="AI13">
    <cfRule type="expression" priority="220" dxfId="3">
      <formula>AND(IF(OR($Q13=1,$Q13=2),1,0),IF($X13&lt;=20,1,0))</formula>
    </cfRule>
    <cfRule type="expression" priority="221" dxfId="2">
      <formula>AND(IF($Q13=2,1,0),IF($X13&lt;30,1,0))</formula>
    </cfRule>
    <cfRule type="expression" priority="222" dxfId="1">
      <formula>AND(IF($Q13=3,1,0),IF($X13&lt;30,1,0))</formula>
    </cfRule>
    <cfRule type="expression" priority="223" dxfId="0">
      <formula>AND(IF($Q13=3,1,IF($Q13=4,1,0)),IF($F13&lt;=85,1,0))</formula>
    </cfRule>
  </conditionalFormatting>
  <conditionalFormatting sqref="AV14">
    <cfRule type="expression" priority="218" dxfId="23">
      <formula>AV14="X"</formula>
    </cfRule>
    <cfRule type="expression" priority="219" dxfId="22">
      <formula>AV14="후보"</formula>
    </cfRule>
  </conditionalFormatting>
  <conditionalFormatting sqref="AC14 N1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5">
    <cfRule type="expression" priority="213" dxfId="23">
      <formula>AV15="X"</formula>
    </cfRule>
    <cfRule type="expression" priority="214" dxfId="22">
      <formula>AV15="후보"</formula>
    </cfRule>
  </conditionalFormatting>
  <conditionalFormatting sqref="AC1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23">
      <formula>AV16="X"</formula>
    </cfRule>
    <cfRule type="expression" priority="195" dxfId="22">
      <formula>AV16="후보"</formula>
    </cfRule>
  </conditionalFormatting>
  <conditionalFormatting sqref="AC1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6">
    <cfRule type="expression" priority="185" dxfId="3">
      <formula>AND(IF(OR($Q16=1,$Q16=2),1,0),IF($X16&lt;=20,1,0))</formula>
    </cfRule>
    <cfRule type="expression" priority="186" dxfId="2">
      <formula>AND(IF($Q16=2,1,0),IF($X16&lt;30,1,0))</formula>
    </cfRule>
    <cfRule type="expression" priority="187" dxfId="1">
      <formula>AND(IF($Q16=3,1,0),IF($X16&lt;30,1,0))</formula>
    </cfRule>
    <cfRule type="expression" priority="188" dxfId="0">
      <formula>AND(IF($Q16=3,1,IF($Q16=4,1,0)),IF($F16&lt;=85,1,0))</formula>
    </cfRule>
  </conditionalFormatting>
  <conditionalFormatting sqref="X16">
    <cfRule type="expression" priority="181" dxfId="3">
      <formula>AND(IF(OR($Q16=1,$Q16=2),1,0),IF($X16&lt;=20,1,0))</formula>
    </cfRule>
    <cfRule type="expression" priority="182" dxfId="2">
      <formula>AND(IF($Q16=2,1,0),IF($X16&lt;30,1,0))</formula>
    </cfRule>
    <cfRule type="expression" priority="183" dxfId="1">
      <formula>AND(IF($Q16=3,1,0),IF($X16&lt;30,1,0))</formula>
    </cfRule>
    <cfRule type="expression" priority="184" dxfId="0">
      <formula>AND(IF($Q16=3,1,IF($Q16=4,1,0)),IF($F16&lt;=85,1,0))</formula>
    </cfRule>
  </conditionalFormatting>
  <conditionalFormatting sqref="AI16">
    <cfRule type="expression" priority="177" dxfId="3">
      <formula>AND(IF(OR($Q16=1,$Q16=2),1,0),IF($X16&lt;=20,1,0))</formula>
    </cfRule>
    <cfRule type="expression" priority="178" dxfId="2">
      <formula>AND(IF($Q16=2,1,0),IF($X16&lt;30,1,0))</formula>
    </cfRule>
    <cfRule type="expression" priority="179" dxfId="1">
      <formula>AND(IF($Q16=3,1,0),IF($X16&lt;30,1,0))</formula>
    </cfRule>
    <cfRule type="expression" priority="180" dxfId="0">
      <formula>AND(IF($Q16=3,1,IF($Q16=4,1,0)),IF($F16&lt;=85,1,0))</formula>
    </cfRule>
  </conditionalFormatting>
  <conditionalFormatting sqref="AV17">
    <cfRule type="expression" priority="175" dxfId="23">
      <formula>AV17="X"</formula>
    </cfRule>
    <cfRule type="expression" priority="176" dxfId="22">
      <formula>AV17="후보"</formula>
    </cfRule>
  </conditionalFormatting>
  <conditionalFormatting sqref="AC1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7">
    <cfRule type="expression" priority="166" dxfId="3">
      <formula>AND(IF(OR($Q17=1,$Q17=2),1,0),IF($X17&lt;=20,1,0))</formula>
    </cfRule>
    <cfRule type="expression" priority="167" dxfId="2">
      <formula>AND(IF($Q17=2,1,0),IF($X17&lt;30,1,0))</formula>
    </cfRule>
    <cfRule type="expression" priority="168" dxfId="1">
      <formula>AND(IF($Q17=3,1,0),IF($X17&lt;30,1,0))</formula>
    </cfRule>
    <cfRule type="expression" priority="169" dxfId="0">
      <formula>AND(IF($Q17=3,1,IF($Q17=4,1,0)),IF($F17&lt;=85,1,0))</formula>
    </cfRule>
  </conditionalFormatting>
  <conditionalFormatting sqref="X17">
    <cfRule type="expression" priority="162" dxfId="3">
      <formula>AND(IF(OR($Q17=1,$Q17=2),1,0),IF($X17&lt;=20,1,0))</formula>
    </cfRule>
    <cfRule type="expression" priority="163" dxfId="2">
      <formula>AND(IF($Q17=2,1,0),IF($X17&lt;30,1,0))</formula>
    </cfRule>
    <cfRule type="expression" priority="164" dxfId="1">
      <formula>AND(IF($Q17=3,1,0),IF($X17&lt;30,1,0))</formula>
    </cfRule>
    <cfRule type="expression" priority="165" dxfId="0">
      <formula>AND(IF($Q17=3,1,IF($Q17=4,1,0)),IF($F17&lt;=85,1,0))</formula>
    </cfRule>
  </conditionalFormatting>
  <conditionalFormatting sqref="AI17">
    <cfRule type="expression" priority="158" dxfId="3">
      <formula>AND(IF(OR($Q17=1,$Q17=2),1,0),IF($X17&lt;=20,1,0))</formula>
    </cfRule>
    <cfRule type="expression" priority="159" dxfId="2">
      <formula>AND(IF($Q17=2,1,0),IF($X17&lt;30,1,0))</formula>
    </cfRule>
    <cfRule type="expression" priority="160" dxfId="1">
      <formula>AND(IF($Q17=3,1,0),IF($X17&lt;30,1,0))</formula>
    </cfRule>
    <cfRule type="expression" priority="161" dxfId="0">
      <formula>AND(IF($Q17=3,1,IF($Q17=4,1,0)),IF($F17&lt;=85,1,0))</formula>
    </cfRule>
  </conditionalFormatting>
  <conditionalFormatting sqref="AV18">
    <cfRule type="expression" priority="156" dxfId="23">
      <formula>AV18="X"</formula>
    </cfRule>
    <cfRule type="expression" priority="157" dxfId="22">
      <formula>AV18="후보"</formula>
    </cfRule>
  </conditionalFormatting>
  <conditionalFormatting sqref="AC1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8">
    <cfRule type="expression" priority="147" dxfId="3">
      <formula>AND(IF(OR($Q18=1,$Q18=2),1,0),IF($X18&lt;=20,1,0))</formula>
    </cfRule>
    <cfRule type="expression" priority="148" dxfId="2">
      <formula>AND(IF($Q18=2,1,0),IF($X18&lt;30,1,0))</formula>
    </cfRule>
    <cfRule type="expression" priority="149" dxfId="1">
      <formula>AND(IF($Q18=3,1,0),IF($X18&lt;30,1,0))</formula>
    </cfRule>
    <cfRule type="expression" priority="150" dxfId="0">
      <formula>AND(IF($Q18=3,1,IF($Q18=4,1,0)),IF($F18&lt;=85,1,0))</formula>
    </cfRule>
  </conditionalFormatting>
  <conditionalFormatting sqref="X18">
    <cfRule type="expression" priority="143" dxfId="3">
      <formula>AND(IF(OR($Q18=1,$Q18=2),1,0),IF($X18&lt;=20,1,0))</formula>
    </cfRule>
    <cfRule type="expression" priority="144" dxfId="2">
      <formula>AND(IF($Q18=2,1,0),IF($X18&lt;30,1,0))</formula>
    </cfRule>
    <cfRule type="expression" priority="145" dxfId="1">
      <formula>AND(IF($Q18=3,1,0),IF($X18&lt;30,1,0))</formula>
    </cfRule>
    <cfRule type="expression" priority="146" dxfId="0">
      <formula>AND(IF($Q18=3,1,IF($Q18=4,1,0)),IF($F18&lt;=85,1,0))</formula>
    </cfRule>
  </conditionalFormatting>
  <conditionalFormatting sqref="AI18">
    <cfRule type="expression" priority="139" dxfId="3">
      <formula>AND(IF(OR($Q18=1,$Q18=2),1,0),IF($X18&lt;=20,1,0))</formula>
    </cfRule>
    <cfRule type="expression" priority="140" dxfId="2">
      <formula>AND(IF($Q18=2,1,0),IF($X18&lt;30,1,0))</formula>
    </cfRule>
    <cfRule type="expression" priority="141" dxfId="1">
      <formula>AND(IF($Q18=3,1,0),IF($X18&lt;30,1,0))</formula>
    </cfRule>
    <cfRule type="expression" priority="142" dxfId="0">
      <formula>AND(IF($Q18=3,1,IF($Q18=4,1,0)),IF($F18&lt;=85,1,0))</formula>
    </cfRule>
  </conditionalFormatting>
  <conditionalFormatting sqref="AV19">
    <cfRule type="expression" priority="137" dxfId="23">
      <formula>AV19="X"</formula>
    </cfRule>
    <cfRule type="expression" priority="138" dxfId="22">
      <formula>AV19="후보"</formula>
    </cfRule>
  </conditionalFormatting>
  <conditionalFormatting sqref="AC1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9">
    <cfRule type="expression" priority="128" dxfId="3">
      <formula>AND(IF(OR($Q19=1,$Q19=2),1,0),IF($X19&lt;=20,1,0))</formula>
    </cfRule>
    <cfRule type="expression" priority="129" dxfId="2">
      <formula>AND(IF($Q19=2,1,0),IF($X19&lt;30,1,0))</formula>
    </cfRule>
    <cfRule type="expression" priority="130" dxfId="1">
      <formula>AND(IF($Q19=3,1,0),IF($X19&lt;30,1,0))</formula>
    </cfRule>
    <cfRule type="expression" priority="131" dxfId="0">
      <formula>AND(IF($Q19=3,1,IF($Q19=4,1,0)),IF($F19&lt;=85,1,0))</formula>
    </cfRule>
  </conditionalFormatting>
  <conditionalFormatting sqref="X19">
    <cfRule type="expression" priority="124" dxfId="3">
      <formula>AND(IF(OR($Q19=1,$Q19=2),1,0),IF($X19&lt;=20,1,0))</formula>
    </cfRule>
    <cfRule type="expression" priority="125" dxfId="2">
      <formula>AND(IF($Q19=2,1,0),IF($X19&lt;30,1,0))</formula>
    </cfRule>
    <cfRule type="expression" priority="126" dxfId="1">
      <formula>AND(IF($Q19=3,1,0),IF($X19&lt;30,1,0))</formula>
    </cfRule>
    <cfRule type="expression" priority="127" dxfId="0">
      <formula>AND(IF($Q19=3,1,IF($Q19=4,1,0)),IF($F19&lt;=85,1,0))</formula>
    </cfRule>
  </conditionalFormatting>
  <conditionalFormatting sqref="AI19">
    <cfRule type="expression" priority="120" dxfId="3">
      <formula>AND(IF(OR($Q19=1,$Q19=2),1,0),IF($X19&lt;=20,1,0))</formula>
    </cfRule>
    <cfRule type="expression" priority="121" dxfId="2">
      <formula>AND(IF($Q19=2,1,0),IF($X19&lt;30,1,0))</formula>
    </cfRule>
    <cfRule type="expression" priority="122" dxfId="1">
      <formula>AND(IF($Q19=3,1,0),IF($X19&lt;30,1,0))</formula>
    </cfRule>
    <cfRule type="expression" priority="123" dxfId="0">
      <formula>AND(IF($Q19=3,1,IF($Q19=4,1,0)),IF($F19&lt;=85,1,0))</formula>
    </cfRule>
  </conditionalFormatting>
  <conditionalFormatting sqref="AV20">
    <cfRule type="expression" priority="118" dxfId="23">
      <formula>AV20="X"</formula>
    </cfRule>
    <cfRule type="expression" priority="119" dxfId="22">
      <formula>AV20="후보"</formula>
    </cfRule>
  </conditionalFormatting>
  <conditionalFormatting sqref="AC2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X20">
    <cfRule type="expression" priority="105" dxfId="3">
      <formula>AND(IF(OR($Q20=1,$Q20=2),1,0),IF($X20&lt;=20,1,0))</formula>
    </cfRule>
    <cfRule type="expression" priority="106" dxfId="2">
      <formula>AND(IF($Q20=2,1,0),IF($X20&lt;30,1,0))</formula>
    </cfRule>
    <cfRule type="expression" priority="107" dxfId="1">
      <formula>AND(IF($Q20=3,1,0),IF($X20&lt;30,1,0))</formula>
    </cfRule>
    <cfRule type="expression" priority="108" dxfId="0">
      <formula>AND(IF($Q20=3,1,IF($Q20=4,1,0)),IF($F20&lt;=85,1,0))</formula>
    </cfRule>
  </conditionalFormatting>
  <conditionalFormatting sqref="AI20">
    <cfRule type="expression" priority="101" dxfId="3">
      <formula>AND(IF(OR($Q20=1,$Q20=2),1,0),IF($X20&lt;=20,1,0))</formula>
    </cfRule>
    <cfRule type="expression" priority="102" dxfId="2">
      <formula>AND(IF($Q20=2,1,0),IF($X20&lt;30,1,0))</formula>
    </cfRule>
    <cfRule type="expression" priority="103" dxfId="1">
      <formula>AND(IF($Q20=3,1,0),IF($X20&lt;30,1,0))</formula>
    </cfRule>
    <cfRule type="expression" priority="104" dxfId="0">
      <formula>AND(IF($Q20=3,1,IF($Q20=4,1,0)),IF($F20&lt;=85,1,0))</formula>
    </cfRule>
  </conditionalFormatting>
  <conditionalFormatting sqref="AV21">
    <cfRule type="expression" priority="99" dxfId="23">
      <formula>AV21="X"</formula>
    </cfRule>
    <cfRule type="expression" priority="100" dxfId="22">
      <formula>AV21="후보"</formula>
    </cfRule>
  </conditionalFormatting>
  <conditionalFormatting sqref="AC2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1">
    <cfRule type="expression" priority="90" dxfId="3">
      <formula>AND(IF(OR($Q21=1,$Q21=2),1,0),IF($X21&lt;=20,1,0))</formula>
    </cfRule>
    <cfRule type="expression" priority="91" dxfId="2">
      <formula>AND(IF($Q21=2,1,0),IF($X21&lt;30,1,0))</formula>
    </cfRule>
    <cfRule type="expression" priority="92" dxfId="1">
      <formula>AND(IF($Q21=3,1,0),IF($X21&lt;30,1,0))</formula>
    </cfRule>
    <cfRule type="expression" priority="93" dxfId="0">
      <formula>AND(IF($Q21=3,1,IF($Q21=4,1,0)),IF($F21&lt;=85,1,0))</formula>
    </cfRule>
  </conditionalFormatting>
  <conditionalFormatting sqref="X21">
    <cfRule type="expression" priority="86" dxfId="3">
      <formula>AND(IF(OR($Q21=1,$Q21=2),1,0),IF($X21&lt;=20,1,0))</formula>
    </cfRule>
    <cfRule type="expression" priority="87" dxfId="2">
      <formula>AND(IF($Q21=2,1,0),IF($X21&lt;30,1,0))</formula>
    </cfRule>
    <cfRule type="expression" priority="88" dxfId="1">
      <formula>AND(IF($Q21=3,1,0),IF($X21&lt;30,1,0))</formula>
    </cfRule>
    <cfRule type="expression" priority="89" dxfId="0">
      <formula>AND(IF($Q21=3,1,IF($Q21=4,1,0)),IF($F21&lt;=85,1,0))</formula>
    </cfRule>
  </conditionalFormatting>
  <conditionalFormatting sqref="AI21">
    <cfRule type="expression" priority="82" dxfId="3">
      <formula>AND(IF(OR($Q21=1,$Q21=2),1,0),IF($X21&lt;=20,1,0))</formula>
    </cfRule>
    <cfRule type="expression" priority="83" dxfId="2">
      <formula>AND(IF($Q21=2,1,0),IF($X21&lt;30,1,0))</formula>
    </cfRule>
    <cfRule type="expression" priority="84" dxfId="1">
      <formula>AND(IF($Q21=3,1,0),IF($X21&lt;30,1,0))</formula>
    </cfRule>
    <cfRule type="expression" priority="85" dxfId="0">
      <formula>AND(IF($Q21=3,1,IF($Q21=4,1,0)),IF($F21&lt;=85,1,0))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청안동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부영2차</t>
        </is>
      </c>
      <c r="B6" s="10" t="inlineStr">
        <is>
          <t>'02.05.</t>
        </is>
      </c>
      <c r="C6" s="134" t="n">
        <v>440</v>
      </c>
      <c r="D6" s="132" t="n">
        <v>77.8</v>
      </c>
      <c r="E6" s="133" t="n">
        <v>24</v>
      </c>
      <c r="F6" s="132" t="n">
        <v>59.8</v>
      </c>
      <c r="G6" s="17" t="n">
        <v>18</v>
      </c>
      <c r="H6" s="134" t="n">
        <v>440</v>
      </c>
      <c r="I6" s="135" t="n">
        <v>12000</v>
      </c>
      <c r="J6" s="135" t="inlineStr">
        <is>
          <t>13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77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7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부영3차</t>
        </is>
      </c>
      <c r="B8" s="10" t="inlineStr">
        <is>
          <t>'03.02.</t>
        </is>
      </c>
      <c r="C8" s="134" t="n">
        <v>1275</v>
      </c>
      <c r="D8" s="132" t="n">
        <v>68</v>
      </c>
      <c r="E8" s="133" t="n">
        <v>21</v>
      </c>
      <c r="F8" s="132" t="n">
        <v>49.8</v>
      </c>
      <c r="G8" s="17" t="n">
        <v>15</v>
      </c>
      <c r="H8" s="134" t="n">
        <v>705</v>
      </c>
      <c r="I8" s="135" t="n">
        <v>8100</v>
      </c>
      <c r="J8" s="135" t="inlineStr">
        <is>
          <t>6</t>
        </is>
      </c>
      <c r="K8" s="135" t="n">
        <v>8000</v>
      </c>
      <c r="L8" s="135" t="inlineStr">
        <is>
          <t>15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2</v>
      </c>
      <c r="R8" s="121" t="n">
        <v>1</v>
      </c>
      <c r="S8" s="121" t="inlineStr">
        <is>
          <t>복</t>
        </is>
      </c>
      <c r="T8" s="5" t="n">
        <v>67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부영3차</t>
        </is>
      </c>
      <c r="B9" s="10" t="inlineStr">
        <is>
          <t>'03.02.</t>
        </is>
      </c>
      <c r="C9" s="134" t="n">
        <v>1275</v>
      </c>
      <c r="D9" s="132" t="n">
        <v>78.2</v>
      </c>
      <c r="E9" s="133" t="n">
        <v>24</v>
      </c>
      <c r="F9" s="132" t="n">
        <v>59.8</v>
      </c>
      <c r="G9" s="17" t="n">
        <v>18</v>
      </c>
      <c r="H9" s="134" t="n">
        <v>570</v>
      </c>
      <c r="I9" s="135" t="n">
        <v>12000</v>
      </c>
      <c r="J9" s="135" t="inlineStr">
        <is>
          <t>고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78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2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7" t="n"/>
      <c r="P10" s="137" t="n"/>
      <c r="Q10" s="133" t="n"/>
      <c r="R10" s="133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7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부영1차</t>
        </is>
      </c>
      <c r="B11" s="10" t="inlineStr">
        <is>
          <t>'02.01.</t>
        </is>
      </c>
      <c r="C11" s="134" t="n">
        <v>906</v>
      </c>
      <c r="D11" s="132" t="n">
        <v>113.3</v>
      </c>
      <c r="E11" s="133" t="n">
        <v>34</v>
      </c>
      <c r="F11" s="132" t="n">
        <v>85</v>
      </c>
      <c r="G11" s="17" t="n">
        <v>26</v>
      </c>
      <c r="H11" s="134" t="n">
        <v>906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113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2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7" t="n"/>
      <c r="P12" s="137" t="n"/>
      <c r="Q12" s="133" t="n"/>
      <c r="R12" s="133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7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풍림</t>
        </is>
      </c>
      <c r="B13" s="10" t="inlineStr">
        <is>
          <t>'00.12.</t>
        </is>
      </c>
      <c r="C13" s="134" t="n">
        <v>1170</v>
      </c>
      <c r="D13" s="132" t="n">
        <v>76.90000000000001</v>
      </c>
      <c r="E13" s="133" t="n">
        <v>23</v>
      </c>
      <c r="F13" s="132" t="n">
        <v>60</v>
      </c>
      <c r="G13" s="17" t="n">
        <v>18</v>
      </c>
      <c r="H13" s="134" t="n">
        <v>1170</v>
      </c>
      <c r="I13" s="135" t="n">
        <v>12000</v>
      </c>
      <c r="J13" s="135" t="inlineStr">
        <is>
          <t>12</t>
        </is>
      </c>
      <c r="K13" s="135" t="n">
        <v>12000</v>
      </c>
      <c r="L13" s="135" t="inlineStr">
        <is>
          <t>11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76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2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7" t="n"/>
      <c r="P14" s="137" t="n"/>
      <c r="Q14" s="133" t="n"/>
      <c r="R14" s="133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7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해인로즈빌</t>
        </is>
      </c>
      <c r="B15" s="10" t="inlineStr">
        <is>
          <t>'02.04.</t>
        </is>
      </c>
      <c r="C15" s="134" t="n">
        <v>1140</v>
      </c>
      <c r="D15" s="132" t="n">
        <v>77</v>
      </c>
      <c r="E15" s="133" t="n">
        <v>23</v>
      </c>
      <c r="F15" s="132" t="n">
        <v>59.8</v>
      </c>
      <c r="G15" s="17" t="n">
        <v>18</v>
      </c>
      <c r="H15" s="134" t="n">
        <v>210</v>
      </c>
      <c r="I15" s="135" t="n">
        <v>11000</v>
      </c>
      <c r="J15" s="135" t="inlineStr">
        <is>
          <t>11</t>
        </is>
      </c>
      <c r="K15" s="135" t="n">
        <v>13000</v>
      </c>
      <c r="L15" s="135" t="inlineStr">
        <is>
          <t>중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2</v>
      </c>
      <c r="R15" s="121" t="n">
        <v>1</v>
      </c>
      <c r="S15" s="121" t="inlineStr">
        <is>
          <t>계</t>
        </is>
      </c>
      <c r="T15" s="5" t="inlineStr">
        <is>
          <t>77C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3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해인로즈빌</t>
        </is>
      </c>
      <c r="B16" s="10" t="inlineStr">
        <is>
          <t>'02.04.</t>
        </is>
      </c>
      <c r="C16" s="134" t="n">
        <v>1140</v>
      </c>
      <c r="D16" s="132" t="n">
        <v>79</v>
      </c>
      <c r="E16" s="133" t="n">
        <v>24</v>
      </c>
      <c r="F16" s="132" t="n">
        <v>60</v>
      </c>
      <c r="G16" s="17" t="n">
        <v>18</v>
      </c>
      <c r="H16" s="134" t="n">
        <v>690</v>
      </c>
      <c r="I16" s="135" t="n">
        <v>11900</v>
      </c>
      <c r="J16" s="135" t="inlineStr">
        <is>
          <t>6</t>
        </is>
      </c>
      <c r="K16" s="135" t="n">
        <v>12500</v>
      </c>
      <c r="L16" s="135" t="inlineStr">
        <is>
          <t>중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78A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해인로즈빌</t>
        </is>
      </c>
      <c r="B17" s="10" t="inlineStr">
        <is>
          <t>'02.04.</t>
        </is>
      </c>
      <c r="C17" s="134" t="n">
        <v>1140</v>
      </c>
      <c r="D17" s="132" t="n">
        <v>78.90000000000001</v>
      </c>
      <c r="E17" s="133" t="n">
        <v>24</v>
      </c>
      <c r="F17" s="132" t="n">
        <v>59.9</v>
      </c>
      <c r="G17" s="17" t="n">
        <v>18</v>
      </c>
      <c r="H17" s="134" t="n">
        <v>240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inlineStr">
        <is>
          <t>78B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3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173" dxfId="23">
      <formula>AV4="X"</formula>
    </cfRule>
    <cfRule type="expression" priority="174" dxfId="22">
      <formula>AV4="후보"</formula>
    </cfRule>
  </conditionalFormatting>
  <conditionalFormatting sqref="AC1:AC2 AC4:AC6 N4:N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N1:N2">
    <cfRule type="cellIs" priority="168" operator="greaterThan" dxfId="17">
      <formula>0.9</formula>
    </cfRule>
    <cfRule type="cellIs" priority="169" operator="greaterThan" dxfId="16">
      <formula>0.85</formula>
    </cfRule>
  </conditionalFormatting>
  <conditionalFormatting sqref="N6">
    <cfRule type="cellIs" priority="166" operator="greaterThan" dxfId="17">
      <formula>0.9</formula>
    </cfRule>
    <cfRule type="cellIs" priority="167" operator="greaterThan" dxfId="16">
      <formula>0.85</formula>
    </cfRule>
  </conditionalFormatting>
  <conditionalFormatting sqref="E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X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I6">
    <cfRule type="expression" priority="154" dxfId="3">
      <formula>AND(IF(OR($Q6=1,$Q6=2),1,0),IF($X6&lt;=20,1,0))</formula>
    </cfRule>
    <cfRule type="expression" priority="155" dxfId="2">
      <formula>AND(IF($Q6=2,1,0),IF($X6&lt;30,1,0))</formula>
    </cfRule>
    <cfRule type="expression" priority="156" dxfId="1">
      <formula>AND(IF($Q6=3,1,0),IF($X6&lt;30,1,0))</formula>
    </cfRule>
    <cfRule type="expression" priority="157" dxfId="0">
      <formula>AND(IF($Q6=3,1,IF($Q6=4,1,0)),IF($F6&lt;=85,1,0))</formula>
    </cfRule>
  </conditionalFormatting>
  <conditionalFormatting sqref="AV7">
    <cfRule type="expression" priority="152" dxfId="23">
      <formula>AV7="X"</formula>
    </cfRule>
    <cfRule type="expression" priority="153" dxfId="22">
      <formula>AV7="후보"</formula>
    </cfRule>
  </conditionalFormatting>
  <conditionalFormatting sqref="AC7 N7">
    <cfRule type="cellIs" priority="149" operator="greaterThan" dxfId="17">
      <formula>0.9</formula>
    </cfRule>
    <cfRule type="cellIs" priority="150" operator="greaterThan" dxfId="16">
      <formula>0.85</formula>
    </cfRule>
  </conditionalFormatting>
  <conditionalFormatting sqref="AV8">
    <cfRule type="expression" priority="147" dxfId="23">
      <formula>AV8="X"</formula>
    </cfRule>
    <cfRule type="expression" priority="148" dxfId="22">
      <formula>AV8="후보"</formula>
    </cfRule>
  </conditionalFormatting>
  <conditionalFormatting sqref="AC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8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X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I8">
    <cfRule type="expression" priority="130" dxfId="3">
      <formula>AND(IF(OR($Q8=1,$Q8=2),1,0),IF($X8&lt;=20,1,0))</formula>
    </cfRule>
    <cfRule type="expression" priority="131" dxfId="2">
      <formula>AND(IF($Q8=2,1,0),IF($X8&lt;30,1,0))</formula>
    </cfRule>
    <cfRule type="expression" priority="132" dxfId="1">
      <formula>AND(IF($Q8=3,1,0),IF($X8&lt;30,1,0))</formula>
    </cfRule>
    <cfRule type="expression" priority="133" dxfId="0">
      <formula>AND(IF($Q8=3,1,IF($Q8=4,1,0)),IF($F8&lt;=85,1,0))</formula>
    </cfRule>
  </conditionalFormatting>
  <conditionalFormatting sqref="AV9">
    <cfRule type="expression" priority="128" dxfId="23">
      <formula>AV9="X"</formula>
    </cfRule>
    <cfRule type="expression" priority="129" dxfId="22">
      <formula>AV9="후보"</formula>
    </cfRule>
  </conditionalFormatting>
  <conditionalFormatting sqref="AC9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9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X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I9">
    <cfRule type="expression" priority="111" dxfId="3">
      <formula>AND(IF(OR($Q9=1,$Q9=2),1,0),IF($X9&lt;=20,1,0))</formula>
    </cfRule>
    <cfRule type="expression" priority="112" dxfId="2">
      <formula>AND(IF($Q9=2,1,0),IF($X9&lt;30,1,0))</formula>
    </cfRule>
    <cfRule type="expression" priority="113" dxfId="1">
      <formula>AND(IF($Q9=3,1,0),IF($X9&lt;30,1,0))</formula>
    </cfRule>
    <cfRule type="expression" priority="114" dxfId="0">
      <formula>AND(IF($Q9=3,1,IF($Q9=4,1,0)),IF($F9&lt;=85,1,0))</formula>
    </cfRule>
  </conditionalFormatting>
  <conditionalFormatting sqref="AV10">
    <cfRule type="expression" priority="109" dxfId="23">
      <formula>AV10="X"</formula>
    </cfRule>
    <cfRule type="expression" priority="110" dxfId="22">
      <formula>AV10="후보"</formula>
    </cfRule>
  </conditionalFormatting>
  <conditionalFormatting sqref="AC10 N10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11">
    <cfRule type="expression" priority="104" dxfId="23">
      <formula>AV11="X"</formula>
    </cfRule>
    <cfRule type="expression" priority="105" dxfId="22">
      <formula>AV11="후보"</formula>
    </cfRule>
  </conditionalFormatting>
  <conditionalFormatting sqref="AC1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1">
    <cfRule type="expression" priority="95" dxfId="3">
      <formula>AND(IF(OR($Q11=1,$Q11=2),1,0),IF($X11&lt;=20,1,0))</formula>
    </cfRule>
    <cfRule type="expression" priority="96" dxfId="2">
      <formula>AND(IF($Q11=2,1,0),IF($X11&lt;30,1,0))</formula>
    </cfRule>
    <cfRule type="expression" priority="97" dxfId="1">
      <formula>AND(IF($Q11=3,1,0),IF($X11&lt;30,1,0))</formula>
    </cfRule>
    <cfRule type="expression" priority="98" dxfId="0">
      <formula>AND(IF($Q11=3,1,IF($Q11=4,1,0)),IF($F11&lt;=85,1,0))</formula>
    </cfRule>
  </conditionalFormatting>
  <conditionalFormatting sqref="X11">
    <cfRule type="expression" priority="91" dxfId="3">
      <formula>AND(IF(OR($Q11=1,$Q11=2),1,0),IF($X11&lt;=20,1,0))</formula>
    </cfRule>
    <cfRule type="expression" priority="92" dxfId="2">
      <formula>AND(IF($Q11=2,1,0),IF($X11&lt;30,1,0))</formula>
    </cfRule>
    <cfRule type="expression" priority="93" dxfId="1">
      <formula>AND(IF($Q11=3,1,0),IF($X11&lt;30,1,0))</formula>
    </cfRule>
    <cfRule type="expression" priority="94" dxfId="0">
      <formula>AND(IF($Q11=3,1,IF($Q11=4,1,0)),IF($F11&lt;=85,1,0))</formula>
    </cfRule>
  </conditionalFormatting>
  <conditionalFormatting sqref="AI11">
    <cfRule type="expression" priority="87" dxfId="3">
      <formula>AND(IF(OR($Q11=1,$Q11=2),1,0),IF($X11&lt;=20,1,0))</formula>
    </cfRule>
    <cfRule type="expression" priority="88" dxfId="2">
      <formula>AND(IF($Q11=2,1,0),IF($X11&lt;30,1,0))</formula>
    </cfRule>
    <cfRule type="expression" priority="89" dxfId="1">
      <formula>AND(IF($Q11=3,1,0),IF($X11&lt;30,1,0))</formula>
    </cfRule>
    <cfRule type="expression" priority="90" dxfId="0">
      <formula>AND(IF($Q11=3,1,IF($Q11=4,1,0)),IF($F11&lt;=85,1,0))</formula>
    </cfRule>
  </conditionalFormatting>
  <conditionalFormatting sqref="AV12">
    <cfRule type="expression" priority="85" dxfId="23">
      <formula>AV12="X"</formula>
    </cfRule>
    <cfRule type="expression" priority="86" dxfId="22">
      <formula>AV12="후보"</formula>
    </cfRule>
  </conditionalFormatting>
  <conditionalFormatting sqref="AC12 N1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3">
    <cfRule type="expression" priority="80" dxfId="23">
      <formula>AV13="X"</formula>
    </cfRule>
    <cfRule type="expression" priority="81" dxfId="22">
      <formula>AV13="후보"</formula>
    </cfRule>
  </conditionalFormatting>
  <conditionalFormatting sqref="AC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23">
      <formula>AV14="X"</formula>
    </cfRule>
    <cfRule type="expression" priority="62" dxfId="22">
      <formula>AV14="후보"</formula>
    </cfRule>
  </conditionalFormatting>
  <conditionalFormatting sqref="AC14 N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">
    <cfRule type="expression" priority="56" dxfId="23">
      <formula>AV15="X"</formula>
    </cfRule>
    <cfRule type="expression" priority="57" dxfId="22">
      <formula>AV15="후보"</formula>
    </cfRule>
  </conditionalFormatting>
  <conditionalFormatting sqref="AC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23">
      <formula>AV16="X"</formula>
    </cfRule>
    <cfRule type="expression" priority="38" dxfId="22">
      <formula>AV16="후보"</formula>
    </cfRule>
  </conditionalFormatting>
  <conditionalFormatting sqref="AC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23">
      <formula>AV17="X"</formula>
    </cfRule>
    <cfRule type="expression" priority="19" dxfId="22">
      <formula>AV17="후보"</formula>
    </cfRule>
  </conditionalFormatting>
  <conditionalFormatting sqref="AC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29" sqref="I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풍호동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경동윈츠빌</t>
        </is>
      </c>
      <c r="B6" s="10" t="inlineStr">
        <is>
          <t>'04.05.</t>
        </is>
      </c>
      <c r="C6" s="134" t="n">
        <v>248</v>
      </c>
      <c r="D6" s="132" t="n">
        <v>109</v>
      </c>
      <c r="E6" s="133" t="n">
        <v>33</v>
      </c>
      <c r="F6" s="132" t="n">
        <v>84.40000000000001</v>
      </c>
      <c r="G6" s="17" t="n">
        <v>26</v>
      </c>
      <c r="H6" s="134" t="n">
        <v>160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경동윈츠빌</t>
        </is>
      </c>
      <c r="B7" s="10" t="inlineStr">
        <is>
          <t>'04.05.</t>
        </is>
      </c>
      <c r="C7" s="134" t="n">
        <v>248</v>
      </c>
      <c r="D7" s="132" t="n">
        <v>139.5</v>
      </c>
      <c r="E7" s="133" t="n">
        <v>42</v>
      </c>
      <c r="F7" s="132" t="n">
        <v>115.9</v>
      </c>
      <c r="G7" s="17" t="n">
        <v>35</v>
      </c>
      <c r="H7" s="134" t="n">
        <v>88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139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7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창원마린푸르지오1단지</t>
        </is>
      </c>
      <c r="B9" s="10" t="inlineStr">
        <is>
          <t>'15.10.</t>
        </is>
      </c>
      <c r="C9" s="134" t="n">
        <v>1822</v>
      </c>
      <c r="D9" s="132" t="n">
        <v>81.40000000000001</v>
      </c>
      <c r="E9" s="133" t="n">
        <v>25</v>
      </c>
      <c r="F9" s="132" t="n">
        <v>60</v>
      </c>
      <c r="G9" s="17" t="n">
        <v>18</v>
      </c>
      <c r="H9" s="134" t="n">
        <v>124</v>
      </c>
      <c r="I9" s="135" t="n">
        <v>34000</v>
      </c>
      <c r="J9" s="135" t="inlineStr">
        <is>
          <t>중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81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창원마린푸르지오1단지</t>
        </is>
      </c>
      <c r="B10" s="10" t="inlineStr">
        <is>
          <t>'15.10.</t>
        </is>
      </c>
      <c r="C10" s="134" t="n">
        <v>1822</v>
      </c>
      <c r="D10" s="132" t="n">
        <v>89.09999999999999</v>
      </c>
      <c r="E10" s="133" t="n">
        <v>27</v>
      </c>
      <c r="F10" s="132" t="n">
        <v>66</v>
      </c>
      <c r="G10" s="17" t="n">
        <v>20</v>
      </c>
      <c r="H10" s="134" t="n">
        <v>15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89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창원마린푸르지오1단지</t>
        </is>
      </c>
      <c r="B11" s="10" t="inlineStr">
        <is>
          <t>'15.10.</t>
        </is>
      </c>
      <c r="C11" s="134" t="n">
        <v>1822</v>
      </c>
      <c r="D11" s="132" t="n">
        <v>98</v>
      </c>
      <c r="E11" s="133" t="n">
        <v>30</v>
      </c>
      <c r="F11" s="132" t="n">
        <v>73</v>
      </c>
      <c r="G11" s="17" t="n">
        <v>22</v>
      </c>
      <c r="H11" s="134" t="n">
        <v>42</v>
      </c>
      <c r="I11" s="135" t="n">
        <v>36500</v>
      </c>
      <c r="J11" s="135" t="inlineStr">
        <is>
          <t>5</t>
        </is>
      </c>
      <c r="K11" s="135" t="n">
        <v>27000</v>
      </c>
      <c r="L11" s="135" t="inlineStr">
        <is>
          <t>중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97D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창원마린푸르지오1단지</t>
        </is>
      </c>
      <c r="B12" s="10" t="inlineStr">
        <is>
          <t>'15.10.</t>
        </is>
      </c>
      <c r="C12" s="134" t="n">
        <v>1822</v>
      </c>
      <c r="D12" s="132" t="n">
        <v>98.3</v>
      </c>
      <c r="E12" s="133" t="n">
        <v>30</v>
      </c>
      <c r="F12" s="132" t="n">
        <v>73</v>
      </c>
      <c r="G12" s="17" t="n">
        <v>22</v>
      </c>
      <c r="H12" s="134" t="n">
        <v>201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98A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창원마린푸르지오1단지</t>
        </is>
      </c>
      <c r="B13" s="10" t="inlineStr">
        <is>
          <t>'15.10.</t>
        </is>
      </c>
      <c r="C13" s="134" t="n">
        <v>1822</v>
      </c>
      <c r="D13" s="132" t="n">
        <v>98.7</v>
      </c>
      <c r="E13" s="133" t="n">
        <v>30</v>
      </c>
      <c r="F13" s="132" t="n">
        <v>73</v>
      </c>
      <c r="G13" s="17" t="n">
        <v>22</v>
      </c>
      <c r="H13" s="134" t="n">
        <v>92</v>
      </c>
      <c r="I13" s="135" t="n">
        <v>38000</v>
      </c>
      <c r="J13" s="135" t="inlineStr">
        <is>
          <t>9</t>
        </is>
      </c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98B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창원마린푸르지오1단지</t>
        </is>
      </c>
      <c r="B14" s="10" t="inlineStr">
        <is>
          <t>'15.10.</t>
        </is>
      </c>
      <c r="C14" s="134" t="n">
        <v>1822</v>
      </c>
      <c r="D14" s="132" t="n">
        <v>98.09999999999999</v>
      </c>
      <c r="E14" s="133" t="n">
        <v>30</v>
      </c>
      <c r="F14" s="132" t="n">
        <v>73</v>
      </c>
      <c r="G14" s="17" t="n">
        <v>22</v>
      </c>
      <c r="H14" s="134" t="n">
        <v>48</v>
      </c>
      <c r="I14" s="135" t="n">
        <v>40000</v>
      </c>
      <c r="J14" s="135" t="inlineStr">
        <is>
          <t>11</t>
        </is>
      </c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98C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3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창원마린푸르지오1단지</t>
        </is>
      </c>
      <c r="B15" s="10" t="inlineStr">
        <is>
          <t>'15.10.</t>
        </is>
      </c>
      <c r="C15" s="134" t="n">
        <v>1822</v>
      </c>
      <c r="D15" s="132" t="n">
        <v>104.3</v>
      </c>
      <c r="E15" s="133" t="n">
        <v>32</v>
      </c>
      <c r="F15" s="132" t="n">
        <v>77.8</v>
      </c>
      <c r="G15" s="17" t="n">
        <v>24</v>
      </c>
      <c r="H15" s="134" t="n">
        <v>12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104A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3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창원마린푸르지오1단지</t>
        </is>
      </c>
      <c r="B16" s="10" t="inlineStr">
        <is>
          <t>'15.10.</t>
        </is>
      </c>
      <c r="C16" s="134" t="n">
        <v>1822</v>
      </c>
      <c r="D16" s="132" t="n">
        <v>104.7</v>
      </c>
      <c r="E16" s="133" t="n">
        <v>32</v>
      </c>
      <c r="F16" s="132" t="n">
        <v>77.7</v>
      </c>
      <c r="G16" s="17" t="n">
        <v>24</v>
      </c>
      <c r="H16" s="134" t="n">
        <v>12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104B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창원마린푸르지오1단지</t>
        </is>
      </c>
      <c r="B17" s="10" t="inlineStr">
        <is>
          <t>'15.10.</t>
        </is>
      </c>
      <c r="C17" s="134" t="n">
        <v>1822</v>
      </c>
      <c r="D17" s="132" t="n">
        <v>113.8</v>
      </c>
      <c r="E17" s="133" t="n">
        <v>34</v>
      </c>
      <c r="F17" s="132" t="n">
        <v>85</v>
      </c>
      <c r="G17" s="17" t="n">
        <v>26</v>
      </c>
      <c r="H17" s="134" t="n">
        <v>693</v>
      </c>
      <c r="I17" s="135" t="n">
        <v>46500</v>
      </c>
      <c r="J17" s="135" t="inlineStr">
        <is>
          <t>5</t>
        </is>
      </c>
      <c r="K17" s="135" t="n">
        <v>34000</v>
      </c>
      <c r="L17" s="135" t="inlineStr">
        <is>
          <t>중</t>
        </is>
      </c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113A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3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창원마린푸르지오1단지</t>
        </is>
      </c>
      <c r="B18" s="10" t="inlineStr">
        <is>
          <t>'15.10.</t>
        </is>
      </c>
      <c r="C18" s="134" t="n">
        <v>1822</v>
      </c>
      <c r="D18" s="132" t="n">
        <v>113.3</v>
      </c>
      <c r="E18" s="133" t="n">
        <v>34</v>
      </c>
      <c r="F18" s="132" t="n">
        <v>85</v>
      </c>
      <c r="G18" s="17" t="n">
        <v>26</v>
      </c>
      <c r="H18" s="134" t="n">
        <v>204</v>
      </c>
      <c r="I18" s="135" t="n">
        <v>47000</v>
      </c>
      <c r="J18" s="135" t="inlineStr">
        <is>
          <t>6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113C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3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창원마린푸르지오1단지</t>
        </is>
      </c>
      <c r="B19" s="10" t="inlineStr">
        <is>
          <t>'15.10.</t>
        </is>
      </c>
      <c r="C19" s="134" t="n">
        <v>1822</v>
      </c>
      <c r="D19" s="132" t="n">
        <v>114</v>
      </c>
      <c r="E19" s="133" t="n">
        <v>34</v>
      </c>
      <c r="F19" s="132" t="n">
        <v>85</v>
      </c>
      <c r="G19" s="17" t="n">
        <v>26</v>
      </c>
      <c r="H19" s="134" t="n">
        <v>201</v>
      </c>
      <c r="I19" s="135" t="n">
        <v>47500</v>
      </c>
      <c r="J19" s="135" t="inlineStr">
        <is>
          <t>고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114B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3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창원마린푸르지오1단지</t>
        </is>
      </c>
      <c r="B20" s="10" t="inlineStr">
        <is>
          <t>'15.10.</t>
        </is>
      </c>
      <c r="C20" s="134" t="n">
        <v>1822</v>
      </c>
      <c r="D20" s="132" t="n">
        <v>129.3</v>
      </c>
      <c r="E20" s="133" t="n">
        <v>39</v>
      </c>
      <c r="F20" s="132" t="n">
        <v>104</v>
      </c>
      <c r="G20" s="17" t="n">
        <v>31</v>
      </c>
      <c r="H20" s="134" t="n">
        <v>177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129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3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창원마린푸르지오1단지</t>
        </is>
      </c>
      <c r="B21" s="10" t="inlineStr">
        <is>
          <t>'15.10.</t>
        </is>
      </c>
      <c r="C21" s="134" t="n">
        <v>1822</v>
      </c>
      <c r="D21" s="132" t="n">
        <v>142.1</v>
      </c>
      <c r="E21" s="133" t="n">
        <v>43</v>
      </c>
      <c r="F21" s="132" t="n">
        <v>114.9</v>
      </c>
      <c r="G21" s="17" t="n">
        <v>35</v>
      </c>
      <c r="H21" s="134" t="n">
        <v>1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142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2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7" t="n"/>
      <c r="P22" s="137" t="n"/>
      <c r="Q22" s="133" t="n"/>
      <c r="R22" s="133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7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디에스아이존빌</t>
        </is>
      </c>
      <c r="B23" s="10" t="inlineStr">
        <is>
          <t>'02.01.</t>
        </is>
      </c>
      <c r="C23" s="134" t="n">
        <v>372</v>
      </c>
      <c r="D23" s="132" t="n">
        <v>78.59999999999999</v>
      </c>
      <c r="E23" s="133" t="n">
        <v>24</v>
      </c>
      <c r="F23" s="132" t="n">
        <v>60</v>
      </c>
      <c r="G23" s="17" t="n">
        <v>18</v>
      </c>
      <c r="H23" s="134" t="n">
        <v>132</v>
      </c>
      <c r="I23" s="135" t="n">
        <v>17000</v>
      </c>
      <c r="J23" s="135" t="inlineStr">
        <is>
          <t>5</t>
        </is>
      </c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78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3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디에스아이존빌</t>
        </is>
      </c>
      <c r="B24" s="10" t="inlineStr">
        <is>
          <t>'02.01.</t>
        </is>
      </c>
      <c r="C24" s="134" t="n">
        <v>372</v>
      </c>
      <c r="D24" s="132" t="n">
        <v>95.2</v>
      </c>
      <c r="E24" s="133" t="n">
        <v>29</v>
      </c>
      <c r="F24" s="132" t="n">
        <v>76.2</v>
      </c>
      <c r="G24" s="17" t="n">
        <v>23</v>
      </c>
      <c r="H24" s="134" t="n">
        <v>72</v>
      </c>
      <c r="I24" s="135" t="n">
        <v>23000</v>
      </c>
      <c r="J24" s="135" t="inlineStr">
        <is>
          <t>5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95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3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디에스아이존빌</t>
        </is>
      </c>
      <c r="B25" s="10" t="inlineStr">
        <is>
          <t>'02.01.</t>
        </is>
      </c>
      <c r="C25" s="134" t="n">
        <v>372</v>
      </c>
      <c r="D25" s="132" t="n">
        <v>103.1</v>
      </c>
      <c r="E25" s="133" t="n">
        <v>31</v>
      </c>
      <c r="F25" s="132" t="n">
        <v>84.59999999999999</v>
      </c>
      <c r="G25" s="17" t="n">
        <v>26</v>
      </c>
      <c r="H25" s="134" t="n">
        <v>120</v>
      </c>
      <c r="I25" s="135" t="n">
        <v>20500</v>
      </c>
      <c r="J25" s="135" t="inlineStr">
        <is>
          <t>중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103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3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디에스아이존빌</t>
        </is>
      </c>
      <c r="B26" s="10" t="inlineStr">
        <is>
          <t>'02.01.</t>
        </is>
      </c>
      <c r="C26" s="134" t="n">
        <v>372</v>
      </c>
      <c r="D26" s="132" t="n">
        <v>126.6</v>
      </c>
      <c r="E26" s="133" t="n">
        <v>38</v>
      </c>
      <c r="F26" s="132" t="n">
        <v>107.7</v>
      </c>
      <c r="G26" s="17" t="n">
        <v>33</v>
      </c>
      <c r="H26" s="134" t="n">
        <v>48</v>
      </c>
      <c r="I26" s="135" t="n">
        <v>28000</v>
      </c>
      <c r="J26" s="135" t="inlineStr">
        <is>
          <t>6</t>
        </is>
      </c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126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3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2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7" t="n"/>
      <c r="P27" s="137" t="n"/>
      <c r="Q27" s="133" t="n"/>
      <c r="R27" s="133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7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우성</t>
        </is>
      </c>
      <c r="B28" s="10" t="inlineStr">
        <is>
          <t>'93.12.</t>
        </is>
      </c>
      <c r="C28" s="134" t="n">
        <v>1763</v>
      </c>
      <c r="D28" s="132" t="n">
        <v>79.90000000000001</v>
      </c>
      <c r="E28" s="133" t="n">
        <v>24</v>
      </c>
      <c r="F28" s="132" t="n">
        <v>59.9</v>
      </c>
      <c r="G28" s="17" t="n">
        <v>18</v>
      </c>
      <c r="H28" s="134" t="n">
        <v>548</v>
      </c>
      <c r="I28" s="135" t="n">
        <v>13800</v>
      </c>
      <c r="J28" s="135" t="inlineStr">
        <is>
          <t>5</t>
        </is>
      </c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n">
        <v>79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3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우성</t>
        </is>
      </c>
      <c r="B29" s="10" t="inlineStr">
        <is>
          <t>'93.12.</t>
        </is>
      </c>
      <c r="C29" s="134" t="n">
        <v>1763</v>
      </c>
      <c r="D29" s="132" t="n">
        <v>86.7</v>
      </c>
      <c r="E29" s="133" t="n">
        <v>26</v>
      </c>
      <c r="F29" s="132" t="n">
        <v>69.59999999999999</v>
      </c>
      <c r="G29" s="17" t="n">
        <v>21</v>
      </c>
      <c r="H29" s="134" t="n">
        <v>114</v>
      </c>
      <c r="I29" s="135" t="n">
        <v>18500</v>
      </c>
      <c r="J29" s="135" t="inlineStr">
        <is>
          <t>중</t>
        </is>
      </c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n">
        <v>86</v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3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우성</t>
        </is>
      </c>
      <c r="B30" s="10" t="inlineStr">
        <is>
          <t>'93.12.</t>
        </is>
      </c>
      <c r="C30" s="134" t="n">
        <v>1763</v>
      </c>
      <c r="D30" s="132" t="n">
        <v>94.90000000000001</v>
      </c>
      <c r="E30" s="133" t="n">
        <v>29</v>
      </c>
      <c r="F30" s="132" t="n">
        <v>77.09999999999999</v>
      </c>
      <c r="G30" s="17" t="n">
        <v>23</v>
      </c>
      <c r="H30" s="134" t="n">
        <v>110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n">
        <v>94</v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3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우성</t>
        </is>
      </c>
      <c r="B31" s="10" t="inlineStr">
        <is>
          <t>'93.12.</t>
        </is>
      </c>
      <c r="C31" s="134" t="n">
        <v>1763</v>
      </c>
      <c r="D31" s="132" t="n">
        <v>103.5</v>
      </c>
      <c r="E31" s="133" t="n">
        <v>31</v>
      </c>
      <c r="F31" s="132" t="n">
        <v>84.8</v>
      </c>
      <c r="G31" s="17" t="n">
        <v>26</v>
      </c>
      <c r="H31" s="134" t="n">
        <v>785</v>
      </c>
      <c r="I31" s="135" t="n">
        <v>21000</v>
      </c>
      <c r="J31" s="135" t="inlineStr">
        <is>
          <t>5</t>
        </is>
      </c>
      <c r="K31" s="135" t="n">
        <v>18000</v>
      </c>
      <c r="L31" s="135" t="inlineStr">
        <is>
          <t>10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103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3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우성</t>
        </is>
      </c>
      <c r="B32" s="10" t="inlineStr">
        <is>
          <t>'93.12.</t>
        </is>
      </c>
      <c r="C32" s="134" t="n">
        <v>1763</v>
      </c>
      <c r="D32" s="132" t="n">
        <v>123</v>
      </c>
      <c r="E32" s="133" t="n">
        <v>37</v>
      </c>
      <c r="F32" s="132" t="n">
        <v>101.7</v>
      </c>
      <c r="G32" s="17" t="n">
        <v>31</v>
      </c>
      <c r="H32" s="134" t="n">
        <v>50</v>
      </c>
      <c r="I32" s="135" t="n"/>
      <c r="J32" s="135" t="n"/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1" t="n">
        <v>4</v>
      </c>
      <c r="R32" s="121" t="n">
        <v>2</v>
      </c>
      <c r="S32" s="121" t="inlineStr">
        <is>
          <t>계</t>
        </is>
      </c>
      <c r="T32" s="5" t="n">
        <v>123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3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우성</t>
        </is>
      </c>
      <c r="B33" s="10" t="inlineStr">
        <is>
          <t>'93.12.</t>
        </is>
      </c>
      <c r="C33" s="134" t="n">
        <v>1763</v>
      </c>
      <c r="D33" s="132" t="n">
        <v>153.4</v>
      </c>
      <c r="E33" s="133" t="n">
        <v>46</v>
      </c>
      <c r="F33" s="132" t="n">
        <v>129.6</v>
      </c>
      <c r="G33" s="17" t="n">
        <v>39</v>
      </c>
      <c r="H33" s="134" t="n">
        <v>156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1" t="n">
        <v>4</v>
      </c>
      <c r="R33" s="121" t="n">
        <v>2</v>
      </c>
      <c r="S33" s="121" t="inlineStr">
        <is>
          <t>계</t>
        </is>
      </c>
      <c r="T33" s="5" t="n">
        <v>153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3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2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7" t="n"/>
      <c r="P34" s="137" t="n"/>
      <c r="Q34" s="133" t="n"/>
      <c r="R34" s="133" t="n"/>
      <c r="S34" s="9" t="n"/>
      <c r="T34" s="47" t="n"/>
      <c r="U34" s="9" t="n"/>
      <c r="W34" s="68">
        <f>$A$4&amp;" "&amp;A35&amp;"("&amp;B35&amp;","&amp;C35&amp;"^)"</f>
        <v/>
      </c>
      <c r="X34" s="69" t="n"/>
      <c r="Y34" s="69" t="n"/>
      <c r="Z34" s="69" t="n"/>
      <c r="AA34" s="69" t="n"/>
      <c r="AB34" s="69" t="n"/>
      <c r="AC34" s="69" t="n"/>
      <c r="AD34" s="69" t="n"/>
      <c r="AE34" s="69" t="n"/>
      <c r="AF34" s="70" t="n"/>
      <c r="AH34" s="20">
        <f>IF(A34="","",A34)</f>
        <v/>
      </c>
      <c r="AI34" s="157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풍호시영</t>
        </is>
      </c>
      <c r="B35" s="10" t="inlineStr">
        <is>
          <t>'91.01.</t>
        </is>
      </c>
      <c r="C35" s="134" t="n">
        <v>460</v>
      </c>
      <c r="D35" s="132" t="n">
        <v>58.8</v>
      </c>
      <c r="E35" s="133" t="n">
        <v>18</v>
      </c>
      <c r="F35" s="132" t="n">
        <v>49.8</v>
      </c>
      <c r="G35" s="17" t="n">
        <v>15</v>
      </c>
      <c r="H35" s="134" t="n">
        <v>460</v>
      </c>
      <c r="I35" s="135" t="n">
        <v>13200</v>
      </c>
      <c r="J35" s="135" t="inlineStr">
        <is>
          <t>5</t>
        </is>
      </c>
      <c r="K35" s="135" t="n">
        <v>9000</v>
      </c>
      <c r="L35" s="135" t="inlineStr">
        <is>
          <t>5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n">
        <v>58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3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2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7" t="n"/>
      <c r="P36" s="137" t="n"/>
      <c r="Q36" s="133" t="n"/>
      <c r="R36" s="133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7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창원마린푸르지오2단지</t>
        </is>
      </c>
      <c r="B37" s="10" t="inlineStr">
        <is>
          <t>'15.10.</t>
        </is>
      </c>
      <c r="C37" s="134" t="n">
        <v>310</v>
      </c>
      <c r="D37" s="132" t="n">
        <v>112.9</v>
      </c>
      <c r="E37" s="133" t="n">
        <v>34</v>
      </c>
      <c r="F37" s="132" t="n">
        <v>85</v>
      </c>
      <c r="G37" s="17" t="n">
        <v>26</v>
      </c>
      <c r="H37" s="134" t="n">
        <v>79</v>
      </c>
      <c r="I37" s="135" t="n">
        <v>44000</v>
      </c>
      <c r="J37" s="135" t="inlineStr">
        <is>
          <t>고</t>
        </is>
      </c>
      <c r="K37" s="135" t="n">
        <v>36000</v>
      </c>
      <c r="L37" s="135" t="inlineStr">
        <is>
          <t>8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112C</t>
        </is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3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창원마린푸르지오2단지</t>
        </is>
      </c>
      <c r="B38" s="10" t="inlineStr">
        <is>
          <t>'15.10.</t>
        </is>
      </c>
      <c r="C38" s="134" t="n">
        <v>310</v>
      </c>
      <c r="D38" s="132" t="n">
        <v>112.9</v>
      </c>
      <c r="E38" s="133" t="n">
        <v>34</v>
      </c>
      <c r="F38" s="132" t="n">
        <v>85</v>
      </c>
      <c r="G38" s="17" t="n">
        <v>26</v>
      </c>
      <c r="H38" s="134" t="n">
        <v>78</v>
      </c>
      <c r="I38" s="135" t="n">
        <v>44000</v>
      </c>
      <c r="J38" s="135" t="inlineStr">
        <is>
          <t>고</t>
        </is>
      </c>
      <c r="K38" s="135" t="n">
        <v>36000</v>
      </c>
      <c r="L38" s="135" t="inlineStr">
        <is>
          <t>8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112A</t>
        </is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3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창원마린푸르지오2단지</t>
        </is>
      </c>
      <c r="B39" s="10" t="inlineStr">
        <is>
          <t>'15.10.</t>
        </is>
      </c>
      <c r="C39" s="134" t="n">
        <v>310</v>
      </c>
      <c r="D39" s="132" t="n">
        <v>113.7</v>
      </c>
      <c r="E39" s="133" t="n">
        <v>34</v>
      </c>
      <c r="F39" s="132" t="n">
        <v>85</v>
      </c>
      <c r="G39" s="17" t="n">
        <v>26</v>
      </c>
      <c r="H39" s="134" t="n">
        <v>153</v>
      </c>
      <c r="I39" s="135" t="n">
        <v>44000</v>
      </c>
      <c r="J39" s="135" t="inlineStr">
        <is>
          <t>고</t>
        </is>
      </c>
      <c r="K39" s="135" t="n">
        <v>35000</v>
      </c>
      <c r="L39" s="135" t="inlineStr">
        <is>
          <t>중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113B</t>
        </is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3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2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7" t="n"/>
      <c r="P40" s="137" t="n"/>
      <c r="Q40" s="133" t="n"/>
      <c r="R40" s="133" t="n"/>
      <c r="S40" s="9" t="n"/>
      <c r="T40" s="47" t="n"/>
      <c r="U40" s="9" t="n"/>
      <c r="W40" s="68">
        <f>$A$4&amp;" "&amp;A41&amp;"("&amp;B41&amp;","&amp;C41&amp;"^)"</f>
        <v/>
      </c>
      <c r="X40" s="69" t="n"/>
      <c r="Y40" s="69" t="n"/>
      <c r="Z40" s="69" t="n"/>
      <c r="AA40" s="69" t="n"/>
      <c r="AB40" s="69" t="n"/>
      <c r="AC40" s="69" t="n"/>
      <c r="AD40" s="69" t="n"/>
      <c r="AE40" s="69" t="n"/>
      <c r="AF40" s="70" t="n"/>
      <c r="AH40" s="20">
        <f>IF(A40="","",A40)</f>
        <v/>
      </c>
      <c r="AI40" s="157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주공</t>
        </is>
      </c>
      <c r="B41" s="10" t="inlineStr">
        <is>
          <t>'90.08.</t>
        </is>
      </c>
      <c r="C41" s="134" t="n">
        <v>390</v>
      </c>
      <c r="D41" s="132" t="n">
        <v>49.5</v>
      </c>
      <c r="E41" s="133" t="n">
        <v>15</v>
      </c>
      <c r="F41" s="132" t="n">
        <v>39.3</v>
      </c>
      <c r="G41" s="17" t="n">
        <v>12</v>
      </c>
      <c r="H41" s="134" t="n">
        <v>150</v>
      </c>
      <c r="I41" s="135" t="n">
        <v>9000</v>
      </c>
      <c r="J41" s="135" t="inlineStr">
        <is>
          <t>고</t>
        </is>
      </c>
      <c r="K41" s="135" t="n">
        <v>7000</v>
      </c>
      <c r="L41" s="135" t="inlineStr">
        <is>
          <t>고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1" t="n">
        <v>2</v>
      </c>
      <c r="R41" s="121" t="n">
        <v>1</v>
      </c>
      <c r="S41" s="121" t="inlineStr">
        <is>
          <t>계</t>
        </is>
      </c>
      <c r="T41" s="5" t="n">
        <v>49</v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3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주공</t>
        </is>
      </c>
      <c r="B42" s="10" t="inlineStr">
        <is>
          <t>'90.08.</t>
        </is>
      </c>
      <c r="C42" s="134" t="n">
        <v>390</v>
      </c>
      <c r="D42" s="132" t="n">
        <v>49.9</v>
      </c>
      <c r="E42" s="133" t="n">
        <v>15</v>
      </c>
      <c r="F42" s="132" t="n">
        <v>39.7</v>
      </c>
      <c r="G42" s="17" t="n">
        <v>12</v>
      </c>
      <c r="H42" s="134" t="n">
        <v>120</v>
      </c>
      <c r="I42" s="135" t="n">
        <v>9500</v>
      </c>
      <c r="J42" s="135" t="inlineStr">
        <is>
          <t>고</t>
        </is>
      </c>
      <c r="K42" s="135" t="n">
        <v>7000</v>
      </c>
      <c r="L42" s="135" t="inlineStr">
        <is>
          <t>고</t>
        </is>
      </c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1" t="n">
        <v>2</v>
      </c>
      <c r="R42" s="121" t="n">
        <v>1</v>
      </c>
      <c r="S42" s="121" t="inlineStr">
        <is>
          <t>계</t>
        </is>
      </c>
      <c r="T42" s="5" t="inlineStr">
        <is>
          <t>49S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3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주공</t>
        </is>
      </c>
      <c r="B43" s="10" t="inlineStr">
        <is>
          <t>'90.08.</t>
        </is>
      </c>
      <c r="C43" s="134" t="n">
        <v>390</v>
      </c>
      <c r="D43" s="132" t="n">
        <v>57.6</v>
      </c>
      <c r="E43" s="133" t="n">
        <v>17</v>
      </c>
      <c r="F43" s="132" t="n">
        <v>46.7</v>
      </c>
      <c r="G43" s="17" t="n">
        <v>14</v>
      </c>
      <c r="H43" s="134" t="n">
        <v>60</v>
      </c>
      <c r="I43" s="135" t="n"/>
      <c r="J43" s="135" t="n"/>
      <c r="K43" s="135" t="n">
        <v>8000</v>
      </c>
      <c r="L43" s="135" t="inlineStr">
        <is>
          <t>중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57</v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3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주공</t>
        </is>
      </c>
      <c r="B44" s="10" t="inlineStr">
        <is>
          <t>'90.08.</t>
        </is>
      </c>
      <c r="C44" s="134" t="n">
        <v>390</v>
      </c>
      <c r="D44" s="132" t="n">
        <v>57.9</v>
      </c>
      <c r="E44" s="133" t="n">
        <v>18</v>
      </c>
      <c r="F44" s="132" t="n">
        <v>47</v>
      </c>
      <c r="G44" s="17" t="n">
        <v>14</v>
      </c>
      <c r="H44" s="134" t="n">
        <v>60</v>
      </c>
      <c r="I44" s="135" t="n">
        <v>12000</v>
      </c>
      <c r="J44" s="135" t="inlineStr">
        <is>
          <t>중</t>
        </is>
      </c>
      <c r="K44" s="135" t="n">
        <v>7400</v>
      </c>
      <c r="L44" s="135" t="inlineStr">
        <is>
          <t>5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1" t="n">
        <v>2</v>
      </c>
      <c r="R44" s="121" t="n">
        <v>1</v>
      </c>
      <c r="S44" s="121" t="inlineStr">
        <is>
          <t>계</t>
        </is>
      </c>
      <c r="T44" s="5" t="inlineStr">
        <is>
          <t>57S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3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2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7" t="n"/>
      <c r="P45" s="137" t="n"/>
      <c r="Q45" s="133" t="n"/>
      <c r="R45" s="133" t="n"/>
      <c r="S45" s="9" t="n"/>
      <c r="T45" s="47" t="n"/>
      <c r="U45" s="9" t="n"/>
      <c r="W45" s="68">
        <f>$A$4&amp;" "&amp;A46&amp;"("&amp;B46&amp;","&amp;C46&amp;"^)"</f>
        <v/>
      </c>
      <c r="X45" s="69" t="n"/>
      <c r="Y45" s="69" t="n"/>
      <c r="Z45" s="69" t="n"/>
      <c r="AA45" s="69" t="n"/>
      <c r="AB45" s="69" t="n"/>
      <c r="AC45" s="69" t="n"/>
      <c r="AD45" s="69" t="n"/>
      <c r="AE45" s="69" t="n"/>
      <c r="AF45" s="70" t="n"/>
      <c r="AH45" s="20">
        <f>IF(A45="","",A45)</f>
        <v/>
      </c>
      <c r="AI45" s="157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풍호한림리츠빌</t>
        </is>
      </c>
      <c r="B46" s="10" t="inlineStr">
        <is>
          <t>'05.06.</t>
        </is>
      </c>
      <c r="C46" s="134" t="n">
        <v>620</v>
      </c>
      <c r="D46" s="132" t="n">
        <v>114.8</v>
      </c>
      <c r="E46" s="133" t="n">
        <v>35</v>
      </c>
      <c r="F46" s="132" t="n">
        <v>85</v>
      </c>
      <c r="G46" s="17" t="n">
        <v>26</v>
      </c>
      <c r="H46" s="134" t="n">
        <v>384</v>
      </c>
      <c r="I46" s="135" t="n">
        <v>30000</v>
      </c>
      <c r="J46" s="135" t="inlineStr">
        <is>
          <t>중</t>
        </is>
      </c>
      <c r="K46" s="135" t="n">
        <v>26000</v>
      </c>
      <c r="L46" s="135" t="inlineStr">
        <is>
          <t>7</t>
        </is>
      </c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114</v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3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풍호한림리츠빌</t>
        </is>
      </c>
      <c r="B47" s="10" t="inlineStr">
        <is>
          <t>'05.06.</t>
        </is>
      </c>
      <c r="C47" s="134" t="n">
        <v>620</v>
      </c>
      <c r="D47" s="132" t="n">
        <v>159.8</v>
      </c>
      <c r="E47" s="133" t="n">
        <v>48</v>
      </c>
      <c r="F47" s="132" t="n">
        <v>131.6</v>
      </c>
      <c r="G47" s="17" t="n">
        <v>40</v>
      </c>
      <c r="H47" s="134" t="n">
        <v>180</v>
      </c>
      <c r="I47" s="135" t="n">
        <v>40000</v>
      </c>
      <c r="J47" s="135" t="inlineStr">
        <is>
          <t>중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159</v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3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풍호한림리츠빌</t>
        </is>
      </c>
      <c r="B48" s="10" t="inlineStr">
        <is>
          <t>'05.06.</t>
        </is>
      </c>
      <c r="C48" s="134" t="n">
        <v>620</v>
      </c>
      <c r="D48" s="132" t="n">
        <v>219.5</v>
      </c>
      <c r="E48" s="133" t="n">
        <v>66</v>
      </c>
      <c r="F48" s="132" t="n">
        <v>189.6</v>
      </c>
      <c r="G48" s="17" t="n">
        <v>57</v>
      </c>
      <c r="H48" s="134" t="n">
        <v>56</v>
      </c>
      <c r="I48" s="135" t="n">
        <v>51000</v>
      </c>
      <c r="J48" s="135" t="inlineStr">
        <is>
          <t>고</t>
        </is>
      </c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1" t="n">
        <v>5</v>
      </c>
      <c r="R48" s="121" t="n">
        <v>2</v>
      </c>
      <c r="S48" s="121" t="inlineStr">
        <is>
          <t>계</t>
        </is>
      </c>
      <c r="T48" s="5" t="n">
        <v>219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3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23">
      <formula>AV4="X"</formula>
    </cfRule>
    <cfRule type="expression" priority="721" dxfId="22">
      <formula>AV4="후보"</formula>
    </cfRule>
  </conditionalFormatting>
  <conditionalFormatting sqref="AC1:AC2 AC4:AC6 N4:N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:N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23">
      <formula>AV7="X"</formula>
    </cfRule>
    <cfRule type="expression" priority="700" dxfId="22">
      <formula>AV7="후보"</formula>
    </cfRule>
  </conditionalFormatting>
  <conditionalFormatting sqref="AC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23">
      <formula>AV8="X"</formula>
    </cfRule>
    <cfRule type="expression" priority="681" dxfId="22">
      <formula>AV8="후보"</formula>
    </cfRule>
  </conditionalFormatting>
  <conditionalFormatting sqref="AC8 N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9">
    <cfRule type="expression" priority="675" dxfId="23">
      <formula>AV9="X"</formula>
    </cfRule>
    <cfRule type="expression" priority="676" dxfId="22">
      <formula>AV9="후보"</formula>
    </cfRule>
  </conditionalFormatting>
  <conditionalFormatting sqref="AC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9">
    <cfRule type="expression" priority="666" dxfId="3">
      <formula>AND(IF(OR($Q9=1,$Q9=2),1,0),IF($X9&lt;=20,1,0))</formula>
    </cfRule>
    <cfRule type="expression" priority="667" dxfId="2">
      <formula>AND(IF($Q9=2,1,0),IF($X9&lt;30,1,0))</formula>
    </cfRule>
    <cfRule type="expression" priority="668" dxfId="1">
      <formula>AND(IF($Q9=3,1,0),IF($X9&lt;30,1,0))</formula>
    </cfRule>
    <cfRule type="expression" priority="669" dxfId="0">
      <formula>AND(IF($Q9=3,1,IF($Q9=4,1,0)),IF($F9&lt;=85,1,0))</formula>
    </cfRule>
  </conditionalFormatting>
  <conditionalFormatting sqref="X9">
    <cfRule type="expression" priority="662" dxfId="3">
      <formula>AND(IF(OR($Q9=1,$Q9=2),1,0),IF($X9&lt;=20,1,0))</formula>
    </cfRule>
    <cfRule type="expression" priority="663" dxfId="2">
      <formula>AND(IF($Q9=2,1,0),IF($X9&lt;30,1,0))</formula>
    </cfRule>
    <cfRule type="expression" priority="664" dxfId="1">
      <formula>AND(IF($Q9=3,1,0),IF($X9&lt;30,1,0))</formula>
    </cfRule>
    <cfRule type="expression" priority="665" dxfId="0">
      <formula>AND(IF($Q9=3,1,IF($Q9=4,1,0)),IF($F9&lt;=85,1,0))</formula>
    </cfRule>
  </conditionalFormatting>
  <conditionalFormatting sqref="AI9">
    <cfRule type="expression" priority="658" dxfId="3">
      <formula>AND(IF(OR($Q9=1,$Q9=2),1,0),IF($X9&lt;=20,1,0))</formula>
    </cfRule>
    <cfRule type="expression" priority="659" dxfId="2">
      <formula>AND(IF($Q9=2,1,0),IF($X9&lt;30,1,0))</formula>
    </cfRule>
    <cfRule type="expression" priority="660" dxfId="1">
      <formula>AND(IF($Q9=3,1,0),IF($X9&lt;30,1,0))</formula>
    </cfRule>
    <cfRule type="expression" priority="661" dxfId="0">
      <formula>AND(IF($Q9=3,1,IF($Q9=4,1,0)),IF($F9&lt;=85,1,0))</formula>
    </cfRule>
  </conditionalFormatting>
  <conditionalFormatting sqref="AV10">
    <cfRule type="expression" priority="656" dxfId="23">
      <formula>AV10="X"</formula>
    </cfRule>
    <cfRule type="expression" priority="657" dxfId="22">
      <formula>AV10="후보"</formula>
    </cfRule>
  </conditionalFormatting>
  <conditionalFormatting sqref="AC1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0">
    <cfRule type="expression" priority="647" dxfId="3">
      <formula>AND(IF(OR($Q10=1,$Q10=2),1,0),IF($X10&lt;=20,1,0))</formula>
    </cfRule>
    <cfRule type="expression" priority="648" dxfId="2">
      <formula>AND(IF($Q10=2,1,0),IF($X10&lt;30,1,0))</formula>
    </cfRule>
    <cfRule type="expression" priority="649" dxfId="1">
      <formula>AND(IF($Q10=3,1,0),IF($X10&lt;30,1,0))</formula>
    </cfRule>
    <cfRule type="expression" priority="650" dxfId="0">
      <formula>AND(IF($Q10=3,1,IF($Q10=4,1,0)),IF($F10&lt;=85,1,0))</formula>
    </cfRule>
  </conditionalFormatting>
  <conditionalFormatting sqref="X10">
    <cfRule type="expression" priority="643" dxfId="3">
      <formula>AND(IF(OR($Q10=1,$Q10=2),1,0),IF($X10&lt;=20,1,0))</formula>
    </cfRule>
    <cfRule type="expression" priority="644" dxfId="2">
      <formula>AND(IF($Q10=2,1,0),IF($X10&lt;30,1,0))</formula>
    </cfRule>
    <cfRule type="expression" priority="645" dxfId="1">
      <formula>AND(IF($Q10=3,1,0),IF($X10&lt;30,1,0))</formula>
    </cfRule>
    <cfRule type="expression" priority="646" dxfId="0">
      <formula>AND(IF($Q10=3,1,IF($Q10=4,1,0)),IF($F10&lt;=85,1,0))</formula>
    </cfRule>
  </conditionalFormatting>
  <conditionalFormatting sqref="AI10">
    <cfRule type="expression" priority="639" dxfId="3">
      <formula>AND(IF(OR($Q10=1,$Q10=2),1,0),IF($X10&lt;=20,1,0))</formula>
    </cfRule>
    <cfRule type="expression" priority="640" dxfId="2">
      <formula>AND(IF($Q10=2,1,0),IF($X10&lt;30,1,0))</formula>
    </cfRule>
    <cfRule type="expression" priority="641" dxfId="1">
      <formula>AND(IF($Q10=3,1,0),IF($X10&lt;30,1,0))</formula>
    </cfRule>
    <cfRule type="expression" priority="642" dxfId="0">
      <formula>AND(IF($Q10=3,1,IF($Q10=4,1,0)),IF($F10&lt;=85,1,0))</formula>
    </cfRule>
  </conditionalFormatting>
  <conditionalFormatting sqref="AV11">
    <cfRule type="expression" priority="637" dxfId="23">
      <formula>AV11="X"</formula>
    </cfRule>
    <cfRule type="expression" priority="638" dxfId="22">
      <formula>AV11="후보"</formula>
    </cfRule>
  </conditionalFormatting>
  <conditionalFormatting sqref="AC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23">
      <formula>AV12="X"</formula>
    </cfRule>
    <cfRule type="expression" priority="619" dxfId="22">
      <formula>AV12="후보"</formula>
    </cfRule>
  </conditionalFormatting>
  <conditionalFormatting sqref="AC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23">
      <formula>AV13="X"</formula>
    </cfRule>
    <cfRule type="expression" priority="600" dxfId="22">
      <formula>AV13="후보"</formula>
    </cfRule>
  </conditionalFormatting>
  <conditionalFormatting sqref="AC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23">
      <formula>AV14="X"</formula>
    </cfRule>
    <cfRule type="expression" priority="581" dxfId="22">
      <formula>AV14="후보"</formula>
    </cfRule>
  </conditionalFormatting>
  <conditionalFormatting sqref="AC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23">
      <formula>AV15="X"</formula>
    </cfRule>
    <cfRule type="expression" priority="562" dxfId="22">
      <formula>AV15="후보"</formula>
    </cfRule>
  </conditionalFormatting>
  <conditionalFormatting sqref="AC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5">
    <cfRule type="expression" priority="552" dxfId="3">
      <formula>AND(IF(OR($Q15=1,$Q15=2),1,0),IF($X15&lt;=20,1,0))</formula>
    </cfRule>
    <cfRule type="expression" priority="553" dxfId="2">
      <formula>AND(IF($Q15=2,1,0),IF($X15&lt;30,1,0))</formula>
    </cfRule>
    <cfRule type="expression" priority="554" dxfId="1">
      <formula>AND(IF($Q15=3,1,0),IF($X15&lt;30,1,0))</formula>
    </cfRule>
    <cfRule type="expression" priority="555" dxfId="0">
      <formula>AND(IF($Q15=3,1,IF($Q15=4,1,0)),IF($F15&lt;=85,1,0))</formula>
    </cfRule>
  </conditionalFormatting>
  <conditionalFormatting sqref="X15">
    <cfRule type="expression" priority="548" dxfId="3">
      <formula>AND(IF(OR($Q15=1,$Q15=2),1,0),IF($X15&lt;=20,1,0))</formula>
    </cfRule>
    <cfRule type="expression" priority="549" dxfId="2">
      <formula>AND(IF($Q15=2,1,0),IF($X15&lt;30,1,0))</formula>
    </cfRule>
    <cfRule type="expression" priority="550" dxfId="1">
      <formula>AND(IF($Q15=3,1,0),IF($X15&lt;30,1,0))</formula>
    </cfRule>
    <cfRule type="expression" priority="551" dxfId="0">
      <formula>AND(IF($Q15=3,1,IF($Q15=4,1,0)),IF($F15&lt;=85,1,0))</formula>
    </cfRule>
  </conditionalFormatting>
  <conditionalFormatting sqref="AI15">
    <cfRule type="expression" priority="544" dxfId="3">
      <formula>AND(IF(OR($Q15=1,$Q15=2),1,0),IF($X15&lt;=20,1,0))</formula>
    </cfRule>
    <cfRule type="expression" priority="545" dxfId="2">
      <formula>AND(IF($Q15=2,1,0),IF($X15&lt;30,1,0))</formula>
    </cfRule>
    <cfRule type="expression" priority="546" dxfId="1">
      <formula>AND(IF($Q15=3,1,0),IF($X15&lt;30,1,0))</formula>
    </cfRule>
    <cfRule type="expression" priority="547" dxfId="0">
      <formula>AND(IF($Q15=3,1,IF($Q15=4,1,0)),IF($F15&lt;=85,1,0))</formula>
    </cfRule>
  </conditionalFormatting>
  <conditionalFormatting sqref="AV16">
    <cfRule type="expression" priority="542" dxfId="23">
      <formula>AV16="X"</formula>
    </cfRule>
    <cfRule type="expression" priority="543" dxfId="22">
      <formula>AV16="후보"</formula>
    </cfRule>
  </conditionalFormatting>
  <conditionalFormatting sqref="AC1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6">
    <cfRule type="expression" priority="533" dxfId="3">
      <formula>AND(IF(OR($Q16=1,$Q16=2),1,0),IF($X16&lt;=20,1,0))</formula>
    </cfRule>
    <cfRule type="expression" priority="534" dxfId="2">
      <formula>AND(IF($Q16=2,1,0),IF($X16&lt;30,1,0))</formula>
    </cfRule>
    <cfRule type="expression" priority="535" dxfId="1">
      <formula>AND(IF($Q16=3,1,0),IF($X16&lt;30,1,0))</formula>
    </cfRule>
    <cfRule type="expression" priority="536" dxfId="0">
      <formula>AND(IF($Q16=3,1,IF($Q16=4,1,0)),IF($F16&lt;=85,1,0))</formula>
    </cfRule>
  </conditionalFormatting>
  <conditionalFormatting sqref="X16">
    <cfRule type="expression" priority="529" dxfId="3">
      <formula>AND(IF(OR($Q16=1,$Q16=2),1,0),IF($X16&lt;=20,1,0))</formula>
    </cfRule>
    <cfRule type="expression" priority="530" dxfId="2">
      <formula>AND(IF($Q16=2,1,0),IF($X16&lt;30,1,0))</formula>
    </cfRule>
    <cfRule type="expression" priority="531" dxfId="1">
      <formula>AND(IF($Q16=3,1,0),IF($X16&lt;30,1,0))</formula>
    </cfRule>
    <cfRule type="expression" priority="532" dxfId="0">
      <formula>AND(IF($Q16=3,1,IF($Q16=4,1,0)),IF($F16&lt;=85,1,0))</formula>
    </cfRule>
  </conditionalFormatting>
  <conditionalFormatting sqref="AI16">
    <cfRule type="expression" priority="525" dxfId="3">
      <formula>AND(IF(OR($Q16=1,$Q16=2),1,0),IF($X16&lt;=20,1,0))</formula>
    </cfRule>
    <cfRule type="expression" priority="526" dxfId="2">
      <formula>AND(IF($Q16=2,1,0),IF($X16&lt;30,1,0))</formula>
    </cfRule>
    <cfRule type="expression" priority="527" dxfId="1">
      <formula>AND(IF($Q16=3,1,0),IF($X16&lt;30,1,0))</formula>
    </cfRule>
    <cfRule type="expression" priority="528" dxfId="0">
      <formula>AND(IF($Q16=3,1,IF($Q16=4,1,0)),IF($F16&lt;=85,1,0))</formula>
    </cfRule>
  </conditionalFormatting>
  <conditionalFormatting sqref="AV17">
    <cfRule type="expression" priority="523" dxfId="23">
      <formula>AV17="X"</formula>
    </cfRule>
    <cfRule type="expression" priority="524" dxfId="22">
      <formula>AV17="후보"</formula>
    </cfRule>
  </conditionalFormatting>
  <conditionalFormatting sqref="AC1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7">
    <cfRule type="expression" priority="514" dxfId="3">
      <formula>AND(IF(OR($Q17=1,$Q17=2),1,0),IF($X17&lt;=20,1,0))</formula>
    </cfRule>
    <cfRule type="expression" priority="515" dxfId="2">
      <formula>AND(IF($Q17=2,1,0),IF($X17&lt;30,1,0))</formula>
    </cfRule>
    <cfRule type="expression" priority="516" dxfId="1">
      <formula>AND(IF($Q17=3,1,0),IF($X17&lt;30,1,0))</formula>
    </cfRule>
    <cfRule type="expression" priority="517" dxfId="0">
      <formula>AND(IF($Q17=3,1,IF($Q17=4,1,0)),IF($F17&lt;=85,1,0))</formula>
    </cfRule>
  </conditionalFormatting>
  <conditionalFormatting sqref="X17">
    <cfRule type="expression" priority="510" dxfId="3">
      <formula>AND(IF(OR($Q17=1,$Q17=2),1,0),IF($X17&lt;=20,1,0))</formula>
    </cfRule>
    <cfRule type="expression" priority="511" dxfId="2">
      <formula>AND(IF($Q17=2,1,0),IF($X17&lt;30,1,0))</formula>
    </cfRule>
    <cfRule type="expression" priority="512" dxfId="1">
      <formula>AND(IF($Q17=3,1,0),IF($X17&lt;30,1,0))</formula>
    </cfRule>
    <cfRule type="expression" priority="513" dxfId="0">
      <formula>AND(IF($Q17=3,1,IF($Q17=4,1,0)),IF($F17&lt;=85,1,0))</formula>
    </cfRule>
  </conditionalFormatting>
  <conditionalFormatting sqref="AI17">
    <cfRule type="expression" priority="506" dxfId="3">
      <formula>AND(IF(OR($Q17=1,$Q17=2),1,0),IF($X17&lt;=20,1,0))</formula>
    </cfRule>
    <cfRule type="expression" priority="507" dxfId="2">
      <formula>AND(IF($Q17=2,1,0),IF($X17&lt;30,1,0))</formula>
    </cfRule>
    <cfRule type="expression" priority="508" dxfId="1">
      <formula>AND(IF($Q17=3,1,0),IF($X17&lt;30,1,0))</formula>
    </cfRule>
    <cfRule type="expression" priority="509" dxfId="0">
      <formula>AND(IF($Q17=3,1,IF($Q17=4,1,0)),IF($F17&lt;=85,1,0))</formula>
    </cfRule>
  </conditionalFormatting>
  <conditionalFormatting sqref="AV18">
    <cfRule type="expression" priority="504" dxfId="23">
      <formula>AV18="X"</formula>
    </cfRule>
    <cfRule type="expression" priority="505" dxfId="22">
      <formula>AV18="후보"</formula>
    </cfRule>
  </conditionalFormatting>
  <conditionalFormatting sqref="AC1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8">
    <cfRule type="expression" priority="495" dxfId="3">
      <formula>AND(IF(OR($Q18=1,$Q18=2),1,0),IF($X18&lt;=20,1,0))</formula>
    </cfRule>
    <cfRule type="expression" priority="496" dxfId="2">
      <formula>AND(IF($Q18=2,1,0),IF($X18&lt;30,1,0))</formula>
    </cfRule>
    <cfRule type="expression" priority="497" dxfId="1">
      <formula>AND(IF($Q18=3,1,0),IF($X18&lt;30,1,0))</formula>
    </cfRule>
    <cfRule type="expression" priority="498" dxfId="0">
      <formula>AND(IF($Q18=3,1,IF($Q18=4,1,0)),IF($F18&lt;=85,1,0))</formula>
    </cfRule>
  </conditionalFormatting>
  <conditionalFormatting sqref="X18">
    <cfRule type="expression" priority="491" dxfId="3">
      <formula>AND(IF(OR($Q18=1,$Q18=2),1,0),IF($X18&lt;=20,1,0))</formula>
    </cfRule>
    <cfRule type="expression" priority="492" dxfId="2">
      <formula>AND(IF($Q18=2,1,0),IF($X18&lt;30,1,0))</formula>
    </cfRule>
    <cfRule type="expression" priority="493" dxfId="1">
      <formula>AND(IF($Q18=3,1,0),IF($X18&lt;30,1,0))</formula>
    </cfRule>
    <cfRule type="expression" priority="494" dxfId="0">
      <formula>AND(IF($Q18=3,1,IF($Q18=4,1,0)),IF($F18&lt;=85,1,0))</formula>
    </cfRule>
  </conditionalFormatting>
  <conditionalFormatting sqref="AI18">
    <cfRule type="expression" priority="487" dxfId="3">
      <formula>AND(IF(OR($Q18=1,$Q18=2),1,0),IF($X18&lt;=20,1,0))</formula>
    </cfRule>
    <cfRule type="expression" priority="488" dxfId="2">
      <formula>AND(IF($Q18=2,1,0),IF($X18&lt;30,1,0))</formula>
    </cfRule>
    <cfRule type="expression" priority="489" dxfId="1">
      <formula>AND(IF($Q18=3,1,0),IF($X18&lt;30,1,0))</formula>
    </cfRule>
    <cfRule type="expression" priority="490" dxfId="0">
      <formula>AND(IF($Q18=3,1,IF($Q18=4,1,0)),IF($F18&lt;=85,1,0))</formula>
    </cfRule>
  </conditionalFormatting>
  <conditionalFormatting sqref="AV19">
    <cfRule type="expression" priority="485" dxfId="23">
      <formula>AV19="X"</formula>
    </cfRule>
    <cfRule type="expression" priority="486" dxfId="22">
      <formula>AV19="후보"</formula>
    </cfRule>
  </conditionalFormatting>
  <conditionalFormatting sqref="AC1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23">
      <formula>AV20="X"</formula>
    </cfRule>
    <cfRule type="expression" priority="467" dxfId="22">
      <formula>AV20="후보"</formula>
    </cfRule>
  </conditionalFormatting>
  <conditionalFormatting sqref="AC2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23">
      <formula>AV21="X"</formula>
    </cfRule>
    <cfRule type="expression" priority="448" dxfId="22">
      <formula>AV21="후보"</formula>
    </cfRule>
  </conditionalFormatting>
  <conditionalFormatting sqref="AC2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1">
    <cfRule type="expression" priority="438" dxfId="3">
      <formula>AND(IF(OR($Q21=1,$Q21=2),1,0),IF($X21&lt;=20,1,0))</formula>
    </cfRule>
    <cfRule type="expression" priority="439" dxfId="2">
      <formula>AND(IF($Q21=2,1,0),IF($X21&lt;30,1,0))</formula>
    </cfRule>
    <cfRule type="expression" priority="440" dxfId="1">
      <formula>AND(IF($Q21=3,1,0),IF($X21&lt;30,1,0))</formula>
    </cfRule>
    <cfRule type="expression" priority="441" dxfId="0">
      <formula>AND(IF($Q21=3,1,IF($Q21=4,1,0)),IF($F21&lt;=85,1,0))</formula>
    </cfRule>
  </conditionalFormatting>
  <conditionalFormatting sqref="X21">
    <cfRule type="expression" priority="434" dxfId="3">
      <formula>AND(IF(OR($Q21=1,$Q21=2),1,0),IF($X21&lt;=20,1,0))</formula>
    </cfRule>
    <cfRule type="expression" priority="435" dxfId="2">
      <formula>AND(IF($Q21=2,1,0),IF($X21&lt;30,1,0))</formula>
    </cfRule>
    <cfRule type="expression" priority="436" dxfId="1">
      <formula>AND(IF($Q21=3,1,0),IF($X21&lt;30,1,0))</formula>
    </cfRule>
    <cfRule type="expression" priority="437" dxfId="0">
      <formula>AND(IF($Q21=3,1,IF($Q21=4,1,0)),IF($F21&lt;=85,1,0))</formula>
    </cfRule>
  </conditionalFormatting>
  <conditionalFormatting sqref="AI21">
    <cfRule type="expression" priority="430" dxfId="3">
      <formula>AND(IF(OR($Q21=1,$Q21=2),1,0),IF($X21&lt;=20,1,0))</formula>
    </cfRule>
    <cfRule type="expression" priority="431" dxfId="2">
      <formula>AND(IF($Q21=2,1,0),IF($X21&lt;30,1,0))</formula>
    </cfRule>
    <cfRule type="expression" priority="432" dxfId="1">
      <formula>AND(IF($Q21=3,1,0),IF($X21&lt;30,1,0))</formula>
    </cfRule>
    <cfRule type="expression" priority="433" dxfId="0">
      <formula>AND(IF($Q21=3,1,IF($Q21=4,1,0)),IF($F21&lt;=85,1,0))</formula>
    </cfRule>
  </conditionalFormatting>
  <conditionalFormatting sqref="AV22">
    <cfRule type="expression" priority="428" dxfId="23">
      <formula>AV22="X"</formula>
    </cfRule>
    <cfRule type="expression" priority="429" dxfId="22">
      <formula>AV22="후보"</formula>
    </cfRule>
  </conditionalFormatting>
  <conditionalFormatting sqref="AC22 N2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3">
    <cfRule type="expression" priority="423" dxfId="23">
      <formula>AV23="X"</formula>
    </cfRule>
    <cfRule type="expression" priority="424" dxfId="22">
      <formula>AV23="후보"</formula>
    </cfRule>
  </conditionalFormatting>
  <conditionalFormatting sqref="AC2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23">
      <formula>AV24="X"</formula>
    </cfRule>
    <cfRule type="expression" priority="405" dxfId="22">
      <formula>AV24="후보"</formula>
    </cfRule>
  </conditionalFormatting>
  <conditionalFormatting sqref="AC2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X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I24">
    <cfRule type="expression" priority="387" dxfId="3">
      <formula>AND(IF(OR($Q24=1,$Q24=2),1,0),IF($X24&lt;=20,1,0))</formula>
    </cfRule>
    <cfRule type="expression" priority="388" dxfId="2">
      <formula>AND(IF($Q24=2,1,0),IF($X24&lt;30,1,0))</formula>
    </cfRule>
    <cfRule type="expression" priority="389" dxfId="1">
      <formula>AND(IF($Q24=3,1,0),IF($X24&lt;30,1,0))</formula>
    </cfRule>
    <cfRule type="expression" priority="390" dxfId="0">
      <formula>AND(IF($Q24=3,1,IF($Q24=4,1,0)),IF($F24&lt;=85,1,0))</formula>
    </cfRule>
  </conditionalFormatting>
  <conditionalFormatting sqref="AV25">
    <cfRule type="expression" priority="385" dxfId="23">
      <formula>AV25="X"</formula>
    </cfRule>
    <cfRule type="expression" priority="386" dxfId="22">
      <formula>AV25="후보"</formula>
    </cfRule>
  </conditionalFormatting>
  <conditionalFormatting sqref="AC2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5">
    <cfRule type="expression" priority="376" dxfId="3">
      <formula>AND(IF(OR($Q25=1,$Q25=2),1,0),IF($X25&lt;=20,1,0))</formula>
    </cfRule>
    <cfRule type="expression" priority="377" dxfId="2">
      <formula>AND(IF($Q25=2,1,0),IF($X25&lt;30,1,0))</formula>
    </cfRule>
    <cfRule type="expression" priority="378" dxfId="1">
      <formula>AND(IF($Q25=3,1,0),IF($X25&lt;30,1,0))</formula>
    </cfRule>
    <cfRule type="expression" priority="379" dxfId="0">
      <formula>AND(IF($Q25=3,1,IF($Q25=4,1,0)),IF($F25&lt;=85,1,0))</formula>
    </cfRule>
  </conditionalFormatting>
  <conditionalFormatting sqref="X25">
    <cfRule type="expression" priority="372" dxfId="3">
      <formula>AND(IF(OR($Q25=1,$Q25=2),1,0),IF($X25&lt;=20,1,0))</formula>
    </cfRule>
    <cfRule type="expression" priority="373" dxfId="2">
      <formula>AND(IF($Q25=2,1,0),IF($X25&lt;30,1,0))</formula>
    </cfRule>
    <cfRule type="expression" priority="374" dxfId="1">
      <formula>AND(IF($Q25=3,1,0),IF($X25&lt;30,1,0))</formula>
    </cfRule>
    <cfRule type="expression" priority="375" dxfId="0">
      <formula>AND(IF($Q25=3,1,IF($Q25=4,1,0)),IF($F25&lt;=85,1,0))</formula>
    </cfRule>
  </conditionalFormatting>
  <conditionalFormatting sqref="AI25">
    <cfRule type="expression" priority="368" dxfId="3">
      <formula>AND(IF(OR($Q25=1,$Q25=2),1,0),IF($X25&lt;=20,1,0))</formula>
    </cfRule>
    <cfRule type="expression" priority="369" dxfId="2">
      <formula>AND(IF($Q25=2,1,0),IF($X25&lt;30,1,0))</formula>
    </cfRule>
    <cfRule type="expression" priority="370" dxfId="1">
      <formula>AND(IF($Q25=3,1,0),IF($X25&lt;30,1,0))</formula>
    </cfRule>
    <cfRule type="expression" priority="371" dxfId="0">
      <formula>AND(IF($Q25=3,1,IF($Q25=4,1,0)),IF($F25&lt;=85,1,0))</formula>
    </cfRule>
  </conditionalFormatting>
  <conditionalFormatting sqref="AV26">
    <cfRule type="expression" priority="366" dxfId="23">
      <formula>AV26="X"</formula>
    </cfRule>
    <cfRule type="expression" priority="367" dxfId="22">
      <formula>AV26="후보"</formula>
    </cfRule>
  </conditionalFormatting>
  <conditionalFormatting sqref="AC2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6">
    <cfRule type="expression" priority="357" dxfId="3">
      <formula>AND(IF(OR($Q26=1,$Q26=2),1,0),IF($X26&lt;=20,1,0))</formula>
    </cfRule>
    <cfRule type="expression" priority="358" dxfId="2">
      <formula>AND(IF($Q26=2,1,0),IF($X26&lt;30,1,0))</formula>
    </cfRule>
    <cfRule type="expression" priority="359" dxfId="1">
      <formula>AND(IF($Q26=3,1,0),IF($X26&lt;30,1,0))</formula>
    </cfRule>
    <cfRule type="expression" priority="360" dxfId="0">
      <formula>AND(IF($Q26=3,1,IF($Q26=4,1,0)),IF($F26&lt;=85,1,0))</formula>
    </cfRule>
  </conditionalFormatting>
  <conditionalFormatting sqref="X26">
    <cfRule type="expression" priority="353" dxfId="3">
      <formula>AND(IF(OR($Q26=1,$Q26=2),1,0),IF($X26&lt;=20,1,0))</formula>
    </cfRule>
    <cfRule type="expression" priority="354" dxfId="2">
      <formula>AND(IF($Q26=2,1,0),IF($X26&lt;30,1,0))</formula>
    </cfRule>
    <cfRule type="expression" priority="355" dxfId="1">
      <formula>AND(IF($Q26=3,1,0),IF($X26&lt;30,1,0))</formula>
    </cfRule>
    <cfRule type="expression" priority="356" dxfId="0">
      <formula>AND(IF($Q26=3,1,IF($Q26=4,1,0)),IF($F26&lt;=85,1,0))</formula>
    </cfRule>
  </conditionalFormatting>
  <conditionalFormatting sqref="AI26">
    <cfRule type="expression" priority="349" dxfId="3">
      <formula>AND(IF(OR($Q26=1,$Q26=2),1,0),IF($X26&lt;=20,1,0))</formula>
    </cfRule>
    <cfRule type="expression" priority="350" dxfId="2">
      <formula>AND(IF($Q26=2,1,0),IF($X26&lt;30,1,0))</formula>
    </cfRule>
    <cfRule type="expression" priority="351" dxfId="1">
      <formula>AND(IF($Q26=3,1,0),IF($X26&lt;30,1,0))</formula>
    </cfRule>
    <cfRule type="expression" priority="352" dxfId="0">
      <formula>AND(IF($Q26=3,1,IF($Q26=4,1,0)),IF($F26&lt;=85,1,0))</formula>
    </cfRule>
  </conditionalFormatting>
  <conditionalFormatting sqref="AV27">
    <cfRule type="expression" priority="347" dxfId="23">
      <formula>AV27="X"</formula>
    </cfRule>
    <cfRule type="expression" priority="348" dxfId="22">
      <formula>AV27="후보"</formula>
    </cfRule>
  </conditionalFormatting>
  <conditionalFormatting sqref="AC27 N2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8">
    <cfRule type="expression" priority="342" dxfId="23">
      <formula>AV28="X"</formula>
    </cfRule>
    <cfRule type="expression" priority="343" dxfId="22">
      <formula>AV28="후보"</formula>
    </cfRule>
  </conditionalFormatting>
  <conditionalFormatting sqref="AC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23">
      <formula>AV29="X"</formula>
    </cfRule>
    <cfRule type="expression" priority="324" dxfId="22">
      <formula>AV29="후보"</formula>
    </cfRule>
  </conditionalFormatting>
  <conditionalFormatting sqref="AC2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9">
    <cfRule type="expression" priority="314" dxfId="3">
      <formula>AND(IF(OR($Q29=1,$Q29=2),1,0),IF($X29&lt;=20,1,0))</formula>
    </cfRule>
    <cfRule type="expression" priority="315" dxfId="2">
      <formula>AND(IF($Q29=2,1,0),IF($X29&lt;30,1,0))</formula>
    </cfRule>
    <cfRule type="expression" priority="316" dxfId="1">
      <formula>AND(IF($Q29=3,1,0),IF($X29&lt;30,1,0))</formula>
    </cfRule>
    <cfRule type="expression" priority="317" dxfId="0">
      <formula>AND(IF($Q29=3,1,IF($Q29=4,1,0)),IF($F29&lt;=85,1,0))</formula>
    </cfRule>
  </conditionalFormatting>
  <conditionalFormatting sqref="X29">
    <cfRule type="expression" priority="310" dxfId="3">
      <formula>AND(IF(OR($Q29=1,$Q29=2),1,0),IF($X29&lt;=20,1,0))</formula>
    </cfRule>
    <cfRule type="expression" priority="311" dxfId="2">
      <formula>AND(IF($Q29=2,1,0),IF($X29&lt;30,1,0))</formula>
    </cfRule>
    <cfRule type="expression" priority="312" dxfId="1">
      <formula>AND(IF($Q29=3,1,0),IF($X29&lt;30,1,0))</formula>
    </cfRule>
    <cfRule type="expression" priority="313" dxfId="0">
      <formula>AND(IF($Q29=3,1,IF($Q29=4,1,0)),IF($F29&lt;=85,1,0))</formula>
    </cfRule>
  </conditionalFormatting>
  <conditionalFormatting sqref="AI29">
    <cfRule type="expression" priority="306" dxfId="3">
      <formula>AND(IF(OR($Q29=1,$Q29=2),1,0),IF($X29&lt;=20,1,0))</formula>
    </cfRule>
    <cfRule type="expression" priority="307" dxfId="2">
      <formula>AND(IF($Q29=2,1,0),IF($X29&lt;30,1,0))</formula>
    </cfRule>
    <cfRule type="expression" priority="308" dxfId="1">
      <formula>AND(IF($Q29=3,1,0),IF($X29&lt;30,1,0))</formula>
    </cfRule>
    <cfRule type="expression" priority="309" dxfId="0">
      <formula>AND(IF($Q29=3,1,IF($Q29=4,1,0)),IF($F29&lt;=85,1,0))</formula>
    </cfRule>
  </conditionalFormatting>
  <conditionalFormatting sqref="AV30">
    <cfRule type="expression" priority="304" dxfId="23">
      <formula>AV30="X"</formula>
    </cfRule>
    <cfRule type="expression" priority="305" dxfId="22">
      <formula>AV30="후보"</formula>
    </cfRule>
  </conditionalFormatting>
  <conditionalFormatting sqref="AC3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0">
    <cfRule type="expression" priority="295" dxfId="3">
      <formula>AND(IF(OR($Q30=1,$Q30=2),1,0),IF($X30&lt;=20,1,0))</formula>
    </cfRule>
    <cfRule type="expression" priority="296" dxfId="2">
      <formula>AND(IF($Q30=2,1,0),IF($X30&lt;30,1,0))</formula>
    </cfRule>
    <cfRule type="expression" priority="297" dxfId="1">
      <formula>AND(IF($Q30=3,1,0),IF($X30&lt;30,1,0))</formula>
    </cfRule>
    <cfRule type="expression" priority="298" dxfId="0">
      <formula>AND(IF($Q30=3,1,IF($Q30=4,1,0)),IF($F30&lt;=85,1,0))</formula>
    </cfRule>
  </conditionalFormatting>
  <conditionalFormatting sqref="X30">
    <cfRule type="expression" priority="291" dxfId="3">
      <formula>AND(IF(OR($Q30=1,$Q30=2),1,0),IF($X30&lt;=20,1,0))</formula>
    </cfRule>
    <cfRule type="expression" priority="292" dxfId="2">
      <formula>AND(IF($Q30=2,1,0),IF($X30&lt;30,1,0))</formula>
    </cfRule>
    <cfRule type="expression" priority="293" dxfId="1">
      <formula>AND(IF($Q30=3,1,0),IF($X30&lt;30,1,0))</formula>
    </cfRule>
    <cfRule type="expression" priority="294" dxfId="0">
      <formula>AND(IF($Q30=3,1,IF($Q30=4,1,0)),IF($F30&lt;=85,1,0))</formula>
    </cfRule>
  </conditionalFormatting>
  <conditionalFormatting sqref="AI30">
    <cfRule type="expression" priority="287" dxfId="3">
      <formula>AND(IF(OR($Q30=1,$Q30=2),1,0),IF($X30&lt;=20,1,0))</formula>
    </cfRule>
    <cfRule type="expression" priority="288" dxfId="2">
      <formula>AND(IF($Q30=2,1,0),IF($X30&lt;30,1,0))</formula>
    </cfRule>
    <cfRule type="expression" priority="289" dxfId="1">
      <formula>AND(IF($Q30=3,1,0),IF($X30&lt;30,1,0))</formula>
    </cfRule>
    <cfRule type="expression" priority="290" dxfId="0">
      <formula>AND(IF($Q30=3,1,IF($Q30=4,1,0)),IF($F30&lt;=85,1,0))</formula>
    </cfRule>
  </conditionalFormatting>
  <conditionalFormatting sqref="AV31">
    <cfRule type="expression" priority="285" dxfId="23">
      <formula>AV31="X"</formula>
    </cfRule>
    <cfRule type="expression" priority="286" dxfId="22">
      <formula>AV31="후보"</formula>
    </cfRule>
  </conditionalFormatting>
  <conditionalFormatting sqref="AC3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1">
    <cfRule type="expression" priority="276" dxfId="3">
      <formula>AND(IF(OR($Q31=1,$Q31=2),1,0),IF($X31&lt;=20,1,0))</formula>
    </cfRule>
    <cfRule type="expression" priority="277" dxfId="2">
      <formula>AND(IF($Q31=2,1,0),IF($X31&lt;30,1,0))</formula>
    </cfRule>
    <cfRule type="expression" priority="278" dxfId="1">
      <formula>AND(IF($Q31=3,1,0),IF($X31&lt;30,1,0))</formula>
    </cfRule>
    <cfRule type="expression" priority="279" dxfId="0">
      <formula>AND(IF($Q31=3,1,IF($Q31=4,1,0)),IF($F31&lt;=85,1,0))</formula>
    </cfRule>
  </conditionalFormatting>
  <conditionalFormatting sqref="X31">
    <cfRule type="expression" priority="272" dxfId="3">
      <formula>AND(IF(OR($Q31=1,$Q31=2),1,0),IF($X31&lt;=20,1,0))</formula>
    </cfRule>
    <cfRule type="expression" priority="273" dxfId="2">
      <formula>AND(IF($Q31=2,1,0),IF($X31&lt;30,1,0))</formula>
    </cfRule>
    <cfRule type="expression" priority="274" dxfId="1">
      <formula>AND(IF($Q31=3,1,0),IF($X31&lt;30,1,0))</formula>
    </cfRule>
    <cfRule type="expression" priority="275" dxfId="0">
      <formula>AND(IF($Q31=3,1,IF($Q31=4,1,0)),IF($F31&lt;=85,1,0))</formula>
    </cfRule>
  </conditionalFormatting>
  <conditionalFormatting sqref="AI31">
    <cfRule type="expression" priority="268" dxfId="3">
      <formula>AND(IF(OR($Q31=1,$Q31=2),1,0),IF($X31&lt;=20,1,0))</formula>
    </cfRule>
    <cfRule type="expression" priority="269" dxfId="2">
      <formula>AND(IF($Q31=2,1,0),IF($X31&lt;30,1,0))</formula>
    </cfRule>
    <cfRule type="expression" priority="270" dxfId="1">
      <formula>AND(IF($Q31=3,1,0),IF($X31&lt;30,1,0))</formula>
    </cfRule>
    <cfRule type="expression" priority="271" dxfId="0">
      <formula>AND(IF($Q31=3,1,IF($Q31=4,1,0)),IF($F31&lt;=85,1,0))</formula>
    </cfRule>
  </conditionalFormatting>
  <conditionalFormatting sqref="AV32">
    <cfRule type="expression" priority="266" dxfId="23">
      <formula>AV32="X"</formula>
    </cfRule>
    <cfRule type="expression" priority="267" dxfId="22">
      <formula>AV32="후보"</formula>
    </cfRule>
  </conditionalFormatting>
  <conditionalFormatting sqref="AC3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2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2">
    <cfRule type="expression" priority="257" dxfId="3">
      <formula>AND(IF(OR($Q32=1,$Q32=2),1,0),IF($X32&lt;=20,1,0))</formula>
    </cfRule>
    <cfRule type="expression" priority="258" dxfId="2">
      <formula>AND(IF($Q32=2,1,0),IF($X32&lt;30,1,0))</formula>
    </cfRule>
    <cfRule type="expression" priority="259" dxfId="1">
      <formula>AND(IF($Q32=3,1,0),IF($X32&lt;30,1,0))</formula>
    </cfRule>
    <cfRule type="expression" priority="260" dxfId="0">
      <formula>AND(IF($Q32=3,1,IF($Q32=4,1,0)),IF($F32&lt;=85,1,0))</formula>
    </cfRule>
  </conditionalFormatting>
  <conditionalFormatting sqref="X32">
    <cfRule type="expression" priority="253" dxfId="3">
      <formula>AND(IF(OR($Q32=1,$Q32=2),1,0),IF($X32&lt;=20,1,0))</formula>
    </cfRule>
    <cfRule type="expression" priority="254" dxfId="2">
      <formula>AND(IF($Q32=2,1,0),IF($X32&lt;30,1,0))</formula>
    </cfRule>
    <cfRule type="expression" priority="255" dxfId="1">
      <formula>AND(IF($Q32=3,1,0),IF($X32&lt;30,1,0))</formula>
    </cfRule>
    <cfRule type="expression" priority="256" dxfId="0">
      <formula>AND(IF($Q32=3,1,IF($Q32=4,1,0)),IF($F32&lt;=85,1,0))</formula>
    </cfRule>
  </conditionalFormatting>
  <conditionalFormatting sqref="AI32">
    <cfRule type="expression" priority="249" dxfId="3">
      <formula>AND(IF(OR($Q32=1,$Q32=2),1,0),IF($X32&lt;=20,1,0))</formula>
    </cfRule>
    <cfRule type="expression" priority="250" dxfId="2">
      <formula>AND(IF($Q32=2,1,0),IF($X32&lt;30,1,0))</formula>
    </cfRule>
    <cfRule type="expression" priority="251" dxfId="1">
      <formula>AND(IF($Q32=3,1,0),IF($X32&lt;30,1,0))</formula>
    </cfRule>
    <cfRule type="expression" priority="252" dxfId="0">
      <formula>AND(IF($Q32=3,1,IF($Q32=4,1,0)),IF($F32&lt;=85,1,0))</formula>
    </cfRule>
  </conditionalFormatting>
  <conditionalFormatting sqref="AV33">
    <cfRule type="expression" priority="247" dxfId="23">
      <formula>AV33="X"</formula>
    </cfRule>
    <cfRule type="expression" priority="248" dxfId="22">
      <formula>AV33="후보"</formula>
    </cfRule>
  </conditionalFormatting>
  <conditionalFormatting sqref="AC3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3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33">
    <cfRule type="expression" priority="238" dxfId="3">
      <formula>AND(IF(OR($Q33=1,$Q33=2),1,0),IF($X33&lt;=20,1,0))</formula>
    </cfRule>
    <cfRule type="expression" priority="239" dxfId="2">
      <formula>AND(IF($Q33=2,1,0),IF($X33&lt;30,1,0))</formula>
    </cfRule>
    <cfRule type="expression" priority="240" dxfId="1">
      <formula>AND(IF($Q33=3,1,0),IF($X33&lt;30,1,0))</formula>
    </cfRule>
    <cfRule type="expression" priority="241" dxfId="0">
      <formula>AND(IF($Q33=3,1,IF($Q33=4,1,0)),IF($F33&lt;=85,1,0))</formula>
    </cfRule>
  </conditionalFormatting>
  <conditionalFormatting sqref="X33">
    <cfRule type="expression" priority="234" dxfId="3">
      <formula>AND(IF(OR($Q33=1,$Q33=2),1,0),IF($X33&lt;=20,1,0))</formula>
    </cfRule>
    <cfRule type="expression" priority="235" dxfId="2">
      <formula>AND(IF($Q33=2,1,0),IF($X33&lt;30,1,0))</formula>
    </cfRule>
    <cfRule type="expression" priority="236" dxfId="1">
      <formula>AND(IF($Q33=3,1,0),IF($X33&lt;30,1,0))</formula>
    </cfRule>
    <cfRule type="expression" priority="237" dxfId="0">
      <formula>AND(IF($Q33=3,1,IF($Q33=4,1,0)),IF($F33&lt;=85,1,0))</formula>
    </cfRule>
  </conditionalFormatting>
  <conditionalFormatting sqref="AI33">
    <cfRule type="expression" priority="230" dxfId="3">
      <formula>AND(IF(OR($Q33=1,$Q33=2),1,0),IF($X33&lt;=20,1,0))</formula>
    </cfRule>
    <cfRule type="expression" priority="231" dxfId="2">
      <formula>AND(IF($Q33=2,1,0),IF($X33&lt;30,1,0))</formula>
    </cfRule>
    <cfRule type="expression" priority="232" dxfId="1">
      <formula>AND(IF($Q33=3,1,0),IF($X33&lt;30,1,0))</formula>
    </cfRule>
    <cfRule type="expression" priority="233" dxfId="0">
      <formula>AND(IF($Q33=3,1,IF($Q33=4,1,0)),IF($F33&lt;=85,1,0))</formula>
    </cfRule>
  </conditionalFormatting>
  <conditionalFormatting sqref="AV34">
    <cfRule type="expression" priority="228" dxfId="23">
      <formula>AV34="X"</formula>
    </cfRule>
    <cfRule type="expression" priority="229" dxfId="22">
      <formula>AV34="후보"</formula>
    </cfRule>
  </conditionalFormatting>
  <conditionalFormatting sqref="AC34 N3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35">
    <cfRule type="expression" priority="223" dxfId="23">
      <formula>AV35="X"</formula>
    </cfRule>
    <cfRule type="expression" priority="224" dxfId="22">
      <formula>AV35="후보"</formula>
    </cfRule>
  </conditionalFormatting>
  <conditionalFormatting sqref="AC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5">
    <cfRule type="expression" priority="214" dxfId="3">
      <formula>AND(IF(OR($Q35=1,$Q35=2),1,0),IF($X35&lt;=20,1,0))</formula>
    </cfRule>
    <cfRule type="expression" priority="215" dxfId="2">
      <formula>AND(IF($Q35=2,1,0),IF($X35&lt;30,1,0))</formula>
    </cfRule>
    <cfRule type="expression" priority="216" dxfId="1">
      <formula>AND(IF($Q35=3,1,0),IF($X35&lt;30,1,0))</formula>
    </cfRule>
    <cfRule type="expression" priority="217" dxfId="0">
      <formula>AND(IF($Q35=3,1,IF($Q35=4,1,0)),IF($F35&lt;=85,1,0))</formula>
    </cfRule>
  </conditionalFormatting>
  <conditionalFormatting sqref="X35">
    <cfRule type="expression" priority="210" dxfId="3">
      <formula>AND(IF(OR($Q35=1,$Q35=2),1,0),IF($X35&lt;=20,1,0))</formula>
    </cfRule>
    <cfRule type="expression" priority="211" dxfId="2">
      <formula>AND(IF($Q35=2,1,0),IF($X35&lt;30,1,0))</formula>
    </cfRule>
    <cfRule type="expression" priority="212" dxfId="1">
      <formula>AND(IF($Q35=3,1,0),IF($X35&lt;30,1,0))</formula>
    </cfRule>
    <cfRule type="expression" priority="213" dxfId="0">
      <formula>AND(IF($Q35=3,1,IF($Q35=4,1,0)),IF($F35&lt;=85,1,0))</formula>
    </cfRule>
  </conditionalFormatting>
  <conditionalFormatting sqref="AI35">
    <cfRule type="expression" priority="206" dxfId="3">
      <formula>AND(IF(OR($Q35=1,$Q35=2),1,0),IF($X35&lt;=20,1,0))</formula>
    </cfRule>
    <cfRule type="expression" priority="207" dxfId="2">
      <formula>AND(IF($Q35=2,1,0),IF($X35&lt;30,1,0))</formula>
    </cfRule>
    <cfRule type="expression" priority="208" dxfId="1">
      <formula>AND(IF($Q35=3,1,0),IF($X35&lt;30,1,0))</formula>
    </cfRule>
    <cfRule type="expression" priority="209" dxfId="0">
      <formula>AND(IF($Q35=3,1,IF($Q35=4,1,0)),IF($F35&lt;=85,1,0))</formula>
    </cfRule>
  </conditionalFormatting>
  <conditionalFormatting sqref="AV36">
    <cfRule type="expression" priority="204" dxfId="23">
      <formula>AV36="X"</formula>
    </cfRule>
    <cfRule type="expression" priority="205" dxfId="22">
      <formula>AV36="후보"</formula>
    </cfRule>
  </conditionalFormatting>
  <conditionalFormatting sqref="AC36 N3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7">
    <cfRule type="expression" priority="199" dxfId="23">
      <formula>AV37="X"</formula>
    </cfRule>
    <cfRule type="expression" priority="200" dxfId="22">
      <formula>AV37="후보"</formula>
    </cfRule>
  </conditionalFormatting>
  <conditionalFormatting sqref="AC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23">
      <formula>AV38="X"</formula>
    </cfRule>
    <cfRule type="expression" priority="181" dxfId="22">
      <formula>AV38="후보"</formula>
    </cfRule>
  </conditionalFormatting>
  <conditionalFormatting sqref="AC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23">
      <formula>AV39="X"</formula>
    </cfRule>
    <cfRule type="expression" priority="162" dxfId="22">
      <formula>AV39="후보"</formula>
    </cfRule>
  </conditionalFormatting>
  <conditionalFormatting sqref="AC3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23">
      <formula>AV40="X"</formula>
    </cfRule>
    <cfRule type="expression" priority="143" dxfId="22">
      <formula>AV40="후보"</formula>
    </cfRule>
  </conditionalFormatting>
  <conditionalFormatting sqref="AC40 N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1">
    <cfRule type="expression" priority="137" dxfId="23">
      <formula>AV41="X"</formula>
    </cfRule>
    <cfRule type="expression" priority="138" dxfId="22">
      <formula>AV41="후보"</formula>
    </cfRule>
  </conditionalFormatting>
  <conditionalFormatting sqref="AC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23">
      <formula>AV42="X"</formula>
    </cfRule>
    <cfRule type="expression" priority="119" dxfId="22">
      <formula>AV42="후보"</formula>
    </cfRule>
  </conditionalFormatting>
  <conditionalFormatting sqref="AC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23">
      <formula>AV43="X"</formula>
    </cfRule>
    <cfRule type="expression" priority="100" dxfId="22">
      <formula>AV43="후보"</formula>
    </cfRule>
  </conditionalFormatting>
  <conditionalFormatting sqref="AC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23">
      <formula>AV44="X"</formula>
    </cfRule>
    <cfRule type="expression" priority="81" dxfId="22">
      <formula>AV44="후보"</formula>
    </cfRule>
  </conditionalFormatting>
  <conditionalFormatting sqref="AC4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23">
      <formula>AV45="X"</formula>
    </cfRule>
    <cfRule type="expression" priority="62" dxfId="22">
      <formula>AV45="후보"</formula>
    </cfRule>
  </conditionalFormatting>
  <conditionalFormatting sqref="AC45 N4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6">
    <cfRule type="expression" priority="56" dxfId="23">
      <formula>AV46="X"</formula>
    </cfRule>
    <cfRule type="expression" priority="57" dxfId="22">
      <formula>AV46="후보"</formula>
    </cfRule>
  </conditionalFormatting>
  <conditionalFormatting sqref="AC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23">
      <formula>AV47="X"</formula>
    </cfRule>
    <cfRule type="expression" priority="38" dxfId="22">
      <formula>AV47="후보"</formula>
    </cfRule>
  </conditionalFormatting>
  <conditionalFormatting sqref="AC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23">
      <formula>AV48="X"</formula>
    </cfRule>
    <cfRule type="expression" priority="19" dxfId="22">
      <formula>AV48="후보"</formula>
    </cfRule>
  </conditionalFormatting>
  <conditionalFormatting sqref="AC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4" t="n">
        <v>905</v>
      </c>
      <c r="D6" s="132" t="n">
        <v>79.3</v>
      </c>
      <c r="E6" s="133" t="n">
        <v>24</v>
      </c>
      <c r="F6" s="132" t="n">
        <v>59.8</v>
      </c>
      <c r="G6" s="17" t="n">
        <v>18</v>
      </c>
      <c r="H6" s="134" t="n">
        <v>240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2022-08-10T12:47:10Z</dcterms:modified>
  <cp:lastModifiedBy>MinsuKwon</cp:lastModifiedBy>
  <cp:lastPrinted>2018-04-28T10:52:41Z</cp:lastPrinted>
</cp:coreProperties>
</file>