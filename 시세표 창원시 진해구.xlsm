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VSProject\pythonWorkspace\RealestateProject\"/>
    </mc:Choice>
  </mc:AlternateContent>
  <bookViews>
    <workbookView xWindow="-105" yWindow="-105" windowWidth="25815" windowHeight="15615"/>
  </bookViews>
  <sheets>
    <sheet name="단지추출" sheetId="1" r:id="rId1"/>
    <sheet name="단지추출_가격표용" sheetId="2" r:id="rId2"/>
    <sheet name="동별가격표" sheetId="3" r:id="rId3"/>
    <sheet name="정보입력(KB)" sheetId="4" r:id="rId4"/>
    <sheet name="정보입력" sheetId="5" r:id="rId5"/>
    <sheet name="경화동" sheetId="6" r:id="rId6"/>
    <sheet name="남문동" sheetId="7" r:id="rId7"/>
    <sheet name="남양동" sheetId="8" r:id="rId8"/>
    <sheet name="두동" sheetId="9" r:id="rId9"/>
    <sheet name="마천동" sheetId="10" r:id="rId10"/>
    <sheet name="부흥동" sheetId="11" r:id="rId11"/>
    <sheet name="석동" sheetId="12" r:id="rId12"/>
    <sheet name="안골동" sheetId="13" r:id="rId13"/>
    <sheet name="용원동" sheetId="14" r:id="rId14"/>
    <sheet name="이동" sheetId="15" r:id="rId15"/>
    <sheet name="자은동" sheetId="16" r:id="rId16"/>
    <sheet name="장천동" sheetId="17" r:id="rId17"/>
    <sheet name="청안동" sheetId="18" r:id="rId18"/>
    <sheet name="풍호동" sheetId="19" r:id="rId19"/>
    <sheet name="양식" sheetId="20" r:id="rId20"/>
  </sheets>
  <definedNames>
    <definedName name="_xlnm._FilterDatabase" localSheetId="1" hidden="1">단지추출_가격표용!$A$3:$U$131</definedName>
    <definedName name="_xlnm.Print_Area" localSheetId="5">경화동!$A$1:$U$6</definedName>
    <definedName name="_xlnm.Print_Area" localSheetId="6">남문동!$A$1:$U$6</definedName>
    <definedName name="_xlnm.Print_Area" localSheetId="7">남양동!$A$1:$U$6</definedName>
    <definedName name="_xlnm.Print_Area" localSheetId="0">단지추출!$A$1:$U$3</definedName>
    <definedName name="_xlnm.Print_Area" localSheetId="1">단지추출_가격표용!$A$1:$U$3</definedName>
    <definedName name="_xlnm.Print_Area" localSheetId="8">두동!$A$1:$U$6</definedName>
    <definedName name="_xlnm.Print_Area" localSheetId="9">마천동!$A$1:$U$6</definedName>
    <definedName name="_xlnm.Print_Area" localSheetId="10">부흥동!$A$1:$U$6</definedName>
    <definedName name="_xlnm.Print_Area" localSheetId="11">석동!$A$1:$U$6</definedName>
    <definedName name="_xlnm.Print_Area" localSheetId="12">안골동!$A$1:$U$6</definedName>
    <definedName name="_xlnm.Print_Area" localSheetId="19">양식!$A$1:$U$6</definedName>
    <definedName name="_xlnm.Print_Area" localSheetId="13">용원동!$A$1:$U$6</definedName>
    <definedName name="_xlnm.Print_Area" localSheetId="14">이동!$A$1:$U$6</definedName>
    <definedName name="_xlnm.Print_Area" localSheetId="15">자은동!$A$1:$U$6</definedName>
    <definedName name="_xlnm.Print_Area" localSheetId="16">장천동!$A$1:$U$6</definedName>
    <definedName name="_xlnm.Print_Area" localSheetId="17">청안동!$A$1:$U$6</definedName>
    <definedName name="_xlnm.Print_Area" localSheetId="18">풍호동!$A$1:$U$6</definedName>
    <definedName name="_xlnm.Print_Titles" localSheetId="5">경화동!$1:$3</definedName>
    <definedName name="_xlnm.Print_Titles" localSheetId="6">남문동!$1:$3</definedName>
    <definedName name="_xlnm.Print_Titles" localSheetId="7">남양동!$1:$3</definedName>
    <definedName name="_xlnm.Print_Titles" localSheetId="0">단지추출!$1:$3</definedName>
    <definedName name="_xlnm.Print_Titles" localSheetId="1">단지추출_가격표용!$1:$3</definedName>
    <definedName name="_xlnm.Print_Titles" localSheetId="8">두동!$1:$3</definedName>
    <definedName name="_xlnm.Print_Titles" localSheetId="9">마천동!$1:$3</definedName>
    <definedName name="_xlnm.Print_Titles" localSheetId="10">부흥동!$1:$3</definedName>
    <definedName name="_xlnm.Print_Titles" localSheetId="11">석동!$1:$3</definedName>
    <definedName name="_xlnm.Print_Titles" localSheetId="12">안골동!$1:$3</definedName>
    <definedName name="_xlnm.Print_Titles" localSheetId="19">양식!$1:$3</definedName>
    <definedName name="_xlnm.Print_Titles" localSheetId="13">용원동!$1:$3</definedName>
    <definedName name="_xlnm.Print_Titles" localSheetId="14">이동!$1:$3</definedName>
    <definedName name="_xlnm.Print_Titles" localSheetId="15">자은동!$1:$3</definedName>
    <definedName name="_xlnm.Print_Titles" localSheetId="16">장천동!$1:$3</definedName>
    <definedName name="_xlnm.Print_Titles" localSheetId="17">청안동!$1:$3</definedName>
    <definedName name="_xlnm.Print_Titles" localSheetId="18">풍호동!$1:$3</definedName>
  </definedNames>
  <calcPr calcId="162913"/>
</workbook>
</file>

<file path=xl/calcChain.xml><?xml version="1.0" encoding="utf-8"?>
<calcChain xmlns="http://schemas.openxmlformats.org/spreadsheetml/2006/main">
  <c r="P10" i="2" l="1"/>
  <c r="O10" i="2"/>
  <c r="N10" i="2"/>
  <c r="M10" i="2"/>
  <c r="P19" i="2"/>
  <c r="O19" i="2"/>
  <c r="N19" i="2"/>
  <c r="M19" i="2"/>
  <c r="P40" i="2"/>
  <c r="O40" i="2"/>
  <c r="N40" i="2"/>
  <c r="M40" i="2"/>
  <c r="P73" i="2"/>
  <c r="O73" i="2"/>
  <c r="N73" i="2"/>
  <c r="M73" i="2"/>
  <c r="P83" i="2"/>
  <c r="O83" i="2"/>
  <c r="N83" i="2"/>
  <c r="M83" i="2"/>
  <c r="P13" i="2"/>
  <c r="O13" i="2"/>
  <c r="N13" i="2"/>
  <c r="M13" i="2"/>
  <c r="P68" i="2"/>
  <c r="O68" i="2"/>
  <c r="N68" i="2"/>
  <c r="M68" i="2"/>
  <c r="P131" i="2"/>
  <c r="O131" i="2"/>
  <c r="N131" i="2"/>
  <c r="M131" i="2"/>
  <c r="P130" i="2"/>
  <c r="O130" i="2"/>
  <c r="N130" i="2"/>
  <c r="M130" i="2"/>
  <c r="P59" i="2"/>
  <c r="O59" i="2"/>
  <c r="N59" i="2"/>
  <c r="M59" i="2"/>
  <c r="P129" i="2"/>
  <c r="O129" i="2"/>
  <c r="N129" i="2"/>
  <c r="M129" i="2"/>
  <c r="P64" i="2"/>
  <c r="O64" i="2"/>
  <c r="N64" i="2"/>
  <c r="M64" i="2"/>
  <c r="P69" i="2"/>
  <c r="O69" i="2"/>
  <c r="N69" i="2"/>
  <c r="M69" i="2"/>
  <c r="P128" i="2"/>
  <c r="O128" i="2"/>
  <c r="N128" i="2"/>
  <c r="M128" i="2"/>
  <c r="P58" i="2"/>
  <c r="O58" i="2"/>
  <c r="N58" i="2"/>
  <c r="M58" i="2"/>
  <c r="P56" i="2"/>
  <c r="O56" i="2"/>
  <c r="N56" i="2"/>
  <c r="M56" i="2"/>
  <c r="P67" i="2"/>
  <c r="O67" i="2"/>
  <c r="N67" i="2"/>
  <c r="M67" i="2"/>
  <c r="P127" i="2"/>
  <c r="O127" i="2"/>
  <c r="N127" i="2"/>
  <c r="M127" i="2"/>
  <c r="P11" i="2"/>
  <c r="O11" i="2"/>
  <c r="N11" i="2"/>
  <c r="M11" i="2"/>
  <c r="P126" i="2"/>
  <c r="O126" i="2"/>
  <c r="N126" i="2"/>
  <c r="M126" i="2"/>
  <c r="P33" i="2"/>
  <c r="O33" i="2"/>
  <c r="N33" i="2"/>
  <c r="M33" i="2"/>
  <c r="P125" i="2"/>
  <c r="O125" i="2"/>
  <c r="N125" i="2"/>
  <c r="M125" i="2"/>
  <c r="P124" i="2"/>
  <c r="O124" i="2"/>
  <c r="N124" i="2"/>
  <c r="M124" i="2"/>
  <c r="P76" i="2"/>
  <c r="O76" i="2"/>
  <c r="N76" i="2"/>
  <c r="M76" i="2"/>
  <c r="P75" i="2"/>
  <c r="O75" i="2"/>
  <c r="N75" i="2"/>
  <c r="M75" i="2"/>
  <c r="P123" i="2"/>
  <c r="O123" i="2"/>
  <c r="N123" i="2"/>
  <c r="M123" i="2"/>
  <c r="P72" i="2"/>
  <c r="O72" i="2"/>
  <c r="N72" i="2"/>
  <c r="M72" i="2"/>
  <c r="P84" i="2"/>
  <c r="O84" i="2"/>
  <c r="N84" i="2"/>
  <c r="M84" i="2"/>
  <c r="P74" i="2"/>
  <c r="O74" i="2"/>
  <c r="N74" i="2"/>
  <c r="M74" i="2"/>
  <c r="P122" i="2"/>
  <c r="O122" i="2"/>
  <c r="N122" i="2"/>
  <c r="M122" i="2"/>
  <c r="P121" i="2"/>
  <c r="O121" i="2"/>
  <c r="N121" i="2"/>
  <c r="M121" i="2"/>
  <c r="P120" i="2"/>
  <c r="O120" i="2"/>
  <c r="N120" i="2"/>
  <c r="M120" i="2"/>
  <c r="P5" i="2"/>
  <c r="O5" i="2"/>
  <c r="N5" i="2"/>
  <c r="M5" i="2"/>
  <c r="P9" i="2"/>
  <c r="O9" i="2"/>
  <c r="N9" i="2"/>
  <c r="M9" i="2"/>
  <c r="P14" i="2"/>
  <c r="O14" i="2"/>
  <c r="N14" i="2"/>
  <c r="M14" i="2"/>
  <c r="P34" i="2"/>
  <c r="O34" i="2"/>
  <c r="N34" i="2"/>
  <c r="M34" i="2"/>
  <c r="P49" i="2"/>
  <c r="O49" i="2"/>
  <c r="N49" i="2"/>
  <c r="M49" i="2"/>
  <c r="P18" i="2"/>
  <c r="O18" i="2"/>
  <c r="N18" i="2"/>
  <c r="M18" i="2"/>
  <c r="P32" i="2"/>
  <c r="O32" i="2"/>
  <c r="N32" i="2"/>
  <c r="M32" i="2"/>
  <c r="P70" i="2"/>
  <c r="O70" i="2"/>
  <c r="N70" i="2"/>
  <c r="M70" i="2"/>
  <c r="P77" i="2"/>
  <c r="O77" i="2"/>
  <c r="N77" i="2"/>
  <c r="M77" i="2"/>
  <c r="P16" i="2"/>
  <c r="O16" i="2"/>
  <c r="N16" i="2"/>
  <c r="M16" i="2"/>
  <c r="P17" i="2"/>
  <c r="O17" i="2"/>
  <c r="N17" i="2"/>
  <c r="M17" i="2"/>
  <c r="P27" i="2"/>
  <c r="O27" i="2"/>
  <c r="N27" i="2"/>
  <c r="M27" i="2"/>
  <c r="P50" i="2"/>
  <c r="O50" i="2"/>
  <c r="N50" i="2"/>
  <c r="M50" i="2"/>
  <c r="P119" i="2"/>
  <c r="O119" i="2"/>
  <c r="N119" i="2"/>
  <c r="M119" i="2"/>
  <c r="P24" i="2"/>
  <c r="O24" i="2"/>
  <c r="N24" i="2"/>
  <c r="M24" i="2"/>
  <c r="P47" i="2"/>
  <c r="O47" i="2"/>
  <c r="N47" i="2"/>
  <c r="M47" i="2"/>
  <c r="P26" i="2"/>
  <c r="O26" i="2"/>
  <c r="N26" i="2"/>
  <c r="M26" i="2"/>
  <c r="P39" i="2"/>
  <c r="O39" i="2"/>
  <c r="N39" i="2"/>
  <c r="M39" i="2"/>
  <c r="P118" i="2"/>
  <c r="O118" i="2"/>
  <c r="N118" i="2"/>
  <c r="M118" i="2"/>
  <c r="P117" i="2"/>
  <c r="O117" i="2"/>
  <c r="N117" i="2"/>
  <c r="M117" i="2"/>
  <c r="P116" i="2"/>
  <c r="O116" i="2"/>
  <c r="N116" i="2"/>
  <c r="M116" i="2"/>
  <c r="P115" i="2"/>
  <c r="O115" i="2"/>
  <c r="N115" i="2"/>
  <c r="M115" i="2"/>
  <c r="P114" i="2"/>
  <c r="O114" i="2"/>
  <c r="N114" i="2"/>
  <c r="M114" i="2"/>
  <c r="P7" i="2"/>
  <c r="O7" i="2"/>
  <c r="N7" i="2"/>
  <c r="M7" i="2"/>
  <c r="P6" i="2"/>
  <c r="O6" i="2"/>
  <c r="N6" i="2"/>
  <c r="M6" i="2"/>
  <c r="P113" i="2"/>
  <c r="O113" i="2"/>
  <c r="N113" i="2"/>
  <c r="M113" i="2"/>
  <c r="P80" i="2"/>
  <c r="O80" i="2"/>
  <c r="N80" i="2"/>
  <c r="M80" i="2"/>
  <c r="P21" i="2"/>
  <c r="O21" i="2"/>
  <c r="N21" i="2"/>
  <c r="M21" i="2"/>
  <c r="P31" i="2"/>
  <c r="O31" i="2"/>
  <c r="N31" i="2"/>
  <c r="M31" i="2"/>
  <c r="P43" i="2"/>
  <c r="O43" i="2"/>
  <c r="N43" i="2"/>
  <c r="M43" i="2"/>
  <c r="P25" i="2"/>
  <c r="O25" i="2"/>
  <c r="N25" i="2"/>
  <c r="M25" i="2"/>
  <c r="P112" i="2"/>
  <c r="O112" i="2"/>
  <c r="N112" i="2"/>
  <c r="M112" i="2"/>
  <c r="P111" i="2"/>
  <c r="O111" i="2"/>
  <c r="N111" i="2"/>
  <c r="M111" i="2"/>
  <c r="P66" i="2"/>
  <c r="O66" i="2"/>
  <c r="N66" i="2"/>
  <c r="M66" i="2"/>
  <c r="P110" i="2"/>
  <c r="O110" i="2"/>
  <c r="N110" i="2"/>
  <c r="M110" i="2"/>
  <c r="P55" i="2"/>
  <c r="O55" i="2"/>
  <c r="N55" i="2"/>
  <c r="M55" i="2"/>
  <c r="P109" i="2"/>
  <c r="O109" i="2"/>
  <c r="N109" i="2"/>
  <c r="M109" i="2"/>
  <c r="P108" i="2"/>
  <c r="O108" i="2"/>
  <c r="N108" i="2"/>
  <c r="M108" i="2"/>
  <c r="P42" i="2"/>
  <c r="O42" i="2"/>
  <c r="N42" i="2"/>
  <c r="M42" i="2"/>
  <c r="P54" i="2"/>
  <c r="O54" i="2"/>
  <c r="N54" i="2"/>
  <c r="M54" i="2"/>
  <c r="P46" i="2"/>
  <c r="O46" i="2"/>
  <c r="N46" i="2"/>
  <c r="M46" i="2"/>
  <c r="P107" i="2"/>
  <c r="O107" i="2"/>
  <c r="N107" i="2"/>
  <c r="M107" i="2"/>
  <c r="P48" i="2"/>
  <c r="O48" i="2"/>
  <c r="N48" i="2"/>
  <c r="M48" i="2"/>
  <c r="P62" i="2"/>
  <c r="O62" i="2"/>
  <c r="N62" i="2"/>
  <c r="M62" i="2"/>
  <c r="P106" i="2"/>
  <c r="O106" i="2"/>
  <c r="N106" i="2"/>
  <c r="M106" i="2"/>
  <c r="P41" i="2"/>
  <c r="O41" i="2"/>
  <c r="N41" i="2"/>
  <c r="M41" i="2"/>
  <c r="P53" i="2"/>
  <c r="O53" i="2"/>
  <c r="N53" i="2"/>
  <c r="M53" i="2"/>
  <c r="P105" i="2"/>
  <c r="O105" i="2"/>
  <c r="N105" i="2"/>
  <c r="M105" i="2"/>
  <c r="P71" i="2"/>
  <c r="O71" i="2"/>
  <c r="N71" i="2"/>
  <c r="M71" i="2"/>
  <c r="P81" i="2"/>
  <c r="O81" i="2"/>
  <c r="N81" i="2"/>
  <c r="M81" i="2"/>
  <c r="P104" i="2"/>
  <c r="O104" i="2"/>
  <c r="N104" i="2"/>
  <c r="M104" i="2"/>
  <c r="P103" i="2"/>
  <c r="O103" i="2"/>
  <c r="N103" i="2"/>
  <c r="M103" i="2"/>
  <c r="P102" i="2"/>
  <c r="O102" i="2"/>
  <c r="N102" i="2"/>
  <c r="M102" i="2"/>
  <c r="P101" i="2"/>
  <c r="O101" i="2"/>
  <c r="N101" i="2"/>
  <c r="M101" i="2"/>
  <c r="P57" i="2"/>
  <c r="O57" i="2"/>
  <c r="N57" i="2"/>
  <c r="M57" i="2"/>
  <c r="P4" i="2"/>
  <c r="O4" i="2"/>
  <c r="N4" i="2"/>
  <c r="M4" i="2"/>
  <c r="P8" i="2"/>
  <c r="O8" i="2"/>
  <c r="N8" i="2"/>
  <c r="M8" i="2"/>
  <c r="P100" i="2"/>
  <c r="O100" i="2"/>
  <c r="N100" i="2"/>
  <c r="M100" i="2"/>
  <c r="P15" i="2"/>
  <c r="O15" i="2"/>
  <c r="N15" i="2"/>
  <c r="M15" i="2"/>
  <c r="P30" i="2"/>
  <c r="O30" i="2"/>
  <c r="N30" i="2"/>
  <c r="M30" i="2"/>
  <c r="P99" i="2"/>
  <c r="O99" i="2"/>
  <c r="N99" i="2"/>
  <c r="M99" i="2"/>
  <c r="P98" i="2"/>
  <c r="O98" i="2"/>
  <c r="N98" i="2"/>
  <c r="M98" i="2"/>
  <c r="P97" i="2"/>
  <c r="O97" i="2"/>
  <c r="N97" i="2"/>
  <c r="M97" i="2"/>
  <c r="P12" i="2"/>
  <c r="O12" i="2"/>
  <c r="N12" i="2"/>
  <c r="M12" i="2"/>
  <c r="P23" i="2"/>
  <c r="O23" i="2"/>
  <c r="N23" i="2"/>
  <c r="M23" i="2"/>
  <c r="P37" i="2"/>
  <c r="O37" i="2"/>
  <c r="N37" i="2"/>
  <c r="M37" i="2"/>
  <c r="P96" i="2"/>
  <c r="O96" i="2"/>
  <c r="N96" i="2"/>
  <c r="M96" i="2"/>
  <c r="P29" i="2"/>
  <c r="O29" i="2"/>
  <c r="N29" i="2"/>
  <c r="M29" i="2"/>
  <c r="P95" i="2"/>
  <c r="O95" i="2"/>
  <c r="N95" i="2"/>
  <c r="M95" i="2"/>
  <c r="P94" i="2"/>
  <c r="O94" i="2"/>
  <c r="N94" i="2"/>
  <c r="M94" i="2"/>
  <c r="P93" i="2"/>
  <c r="O93" i="2"/>
  <c r="N93" i="2"/>
  <c r="M93" i="2"/>
  <c r="P79" i="2"/>
  <c r="O79" i="2"/>
  <c r="N79" i="2"/>
  <c r="M79" i="2"/>
  <c r="P63" i="2"/>
  <c r="O63" i="2"/>
  <c r="N63" i="2"/>
  <c r="M63" i="2"/>
  <c r="P92" i="2"/>
  <c r="O92" i="2"/>
  <c r="N92" i="2"/>
  <c r="M92" i="2"/>
  <c r="P65" i="2"/>
  <c r="O65" i="2"/>
  <c r="N65" i="2"/>
  <c r="M65" i="2"/>
  <c r="P52" i="2"/>
  <c r="O52" i="2"/>
  <c r="N52" i="2"/>
  <c r="M52" i="2"/>
  <c r="P60" i="2"/>
  <c r="O60" i="2"/>
  <c r="N60" i="2"/>
  <c r="M60" i="2"/>
  <c r="P38" i="2"/>
  <c r="O38" i="2"/>
  <c r="N38" i="2"/>
  <c r="M38" i="2"/>
  <c r="P45" i="2"/>
  <c r="O45" i="2"/>
  <c r="N45" i="2"/>
  <c r="M45" i="2"/>
  <c r="P36" i="2"/>
  <c r="O36" i="2"/>
  <c r="N36" i="2"/>
  <c r="M36" i="2"/>
  <c r="P44" i="2"/>
  <c r="O44" i="2"/>
  <c r="N44" i="2"/>
  <c r="M44" i="2"/>
  <c r="P91" i="2"/>
  <c r="O91" i="2"/>
  <c r="N91" i="2"/>
  <c r="M91" i="2"/>
  <c r="P90" i="2"/>
  <c r="O90" i="2"/>
  <c r="N90" i="2"/>
  <c r="M90" i="2"/>
  <c r="P89" i="2"/>
  <c r="O89" i="2"/>
  <c r="N89" i="2"/>
  <c r="M89" i="2"/>
  <c r="P88" i="2"/>
  <c r="O88" i="2"/>
  <c r="N88" i="2"/>
  <c r="M88" i="2"/>
  <c r="P51" i="2"/>
  <c r="O51" i="2"/>
  <c r="N51" i="2"/>
  <c r="M51" i="2"/>
  <c r="P78" i="2"/>
  <c r="O78" i="2"/>
  <c r="N78" i="2"/>
  <c r="M78" i="2"/>
  <c r="P82" i="2"/>
  <c r="O82" i="2"/>
  <c r="N82" i="2"/>
  <c r="M82" i="2"/>
  <c r="P87" i="2"/>
  <c r="O87" i="2"/>
  <c r="N87" i="2"/>
  <c r="M87" i="2"/>
  <c r="P86" i="2"/>
  <c r="O86" i="2"/>
  <c r="N86" i="2"/>
  <c r="M86" i="2"/>
  <c r="P85" i="2"/>
  <c r="O85" i="2"/>
  <c r="N85" i="2"/>
  <c r="M85" i="2"/>
  <c r="P28" i="2"/>
  <c r="O28" i="2"/>
  <c r="N28" i="2"/>
  <c r="M28" i="2"/>
  <c r="P61" i="2"/>
  <c r="O61" i="2"/>
  <c r="N61" i="2"/>
  <c r="M61" i="2"/>
  <c r="P22" i="2"/>
  <c r="O22" i="2"/>
  <c r="N22" i="2"/>
  <c r="M22" i="2"/>
  <c r="P20" i="2"/>
  <c r="O20" i="2"/>
  <c r="N20" i="2"/>
  <c r="M20" i="2"/>
  <c r="P35" i="2"/>
  <c r="O35" i="2"/>
  <c r="N35" i="2"/>
  <c r="M35" i="2"/>
  <c r="AU221" i="1"/>
  <c r="AR221" i="1"/>
  <c r="AP221" i="1"/>
  <c r="AI221" i="1"/>
  <c r="AH221" i="1"/>
  <c r="AF221" i="1"/>
  <c r="AE221" i="1"/>
  <c r="AC221" i="1"/>
  <c r="AB221" i="1"/>
  <c r="AA221" i="1"/>
  <c r="Z221" i="1"/>
  <c r="Y221" i="1"/>
  <c r="X221" i="1"/>
  <c r="W221" i="1"/>
  <c r="P221" i="1"/>
  <c r="O221" i="1"/>
  <c r="AD221" i="1" s="1"/>
  <c r="N221" i="1"/>
  <c r="AO221" i="1" s="1"/>
  <c r="M221" i="1"/>
  <c r="AU220" i="1"/>
  <c r="AT220" i="1"/>
  <c r="AR220" i="1"/>
  <c r="AP220" i="1"/>
  <c r="AN220" i="1"/>
  <c r="AJ220" i="1"/>
  <c r="AI220" i="1"/>
  <c r="AH220" i="1"/>
  <c r="AF220" i="1"/>
  <c r="AE220" i="1"/>
  <c r="AD220" i="1"/>
  <c r="AC220" i="1"/>
  <c r="AB220" i="1"/>
  <c r="AA220" i="1"/>
  <c r="Z220" i="1"/>
  <c r="Y220" i="1"/>
  <c r="X220" i="1"/>
  <c r="W220" i="1"/>
  <c r="P220" i="1"/>
  <c r="O220" i="1"/>
  <c r="AQ220" i="1" s="1"/>
  <c r="N220" i="1"/>
  <c r="AO220" i="1" s="1"/>
  <c r="AV220" i="1" s="1"/>
  <c r="M220" i="1"/>
  <c r="AU219" i="1"/>
  <c r="AP219" i="1"/>
  <c r="AO219" i="1"/>
  <c r="AN219" i="1"/>
  <c r="AI219" i="1"/>
  <c r="AT219" i="1" s="1"/>
  <c r="AH219" i="1"/>
  <c r="AF219" i="1"/>
  <c r="AE219" i="1"/>
  <c r="AD219" i="1"/>
  <c r="AC219" i="1"/>
  <c r="AA219" i="1"/>
  <c r="Z219" i="1"/>
  <c r="Y219" i="1"/>
  <c r="X219" i="1"/>
  <c r="W219" i="1"/>
  <c r="P219" i="1"/>
  <c r="O219" i="1"/>
  <c r="AQ219" i="1" s="1"/>
  <c r="N219" i="1"/>
  <c r="M219" i="1"/>
  <c r="AU218" i="1"/>
  <c r="AT218" i="1"/>
  <c r="AP218" i="1"/>
  <c r="AO218" i="1"/>
  <c r="AN218" i="1"/>
  <c r="AJ218" i="1"/>
  <c r="AI218" i="1"/>
  <c r="AH218" i="1"/>
  <c r="AF218" i="1"/>
  <c r="AE218" i="1"/>
  <c r="AD218" i="1"/>
  <c r="AA218" i="1"/>
  <c r="Z218" i="1"/>
  <c r="Y218" i="1"/>
  <c r="X218" i="1"/>
  <c r="W218" i="1"/>
  <c r="P218" i="1"/>
  <c r="O218" i="1"/>
  <c r="AQ218" i="1" s="1"/>
  <c r="N218" i="1"/>
  <c r="AC218" i="1" s="1"/>
  <c r="M218" i="1"/>
  <c r="AU217" i="1"/>
  <c r="AP217" i="1"/>
  <c r="AN217" i="1"/>
  <c r="AI217" i="1"/>
  <c r="AT217" i="1" s="1"/>
  <c r="AH217" i="1"/>
  <c r="AF217" i="1"/>
  <c r="AE217" i="1"/>
  <c r="AA217" i="1"/>
  <c r="Z217" i="1"/>
  <c r="Y217" i="1"/>
  <c r="X217" i="1"/>
  <c r="W217" i="1"/>
  <c r="P217" i="1"/>
  <c r="O217" i="1"/>
  <c r="AD217" i="1" s="1"/>
  <c r="N217" i="1"/>
  <c r="M217" i="1"/>
  <c r="AR217" i="1" s="1"/>
  <c r="AU216" i="1"/>
  <c r="AR216" i="1"/>
  <c r="AP216" i="1"/>
  <c r="AI216" i="1"/>
  <c r="AH216" i="1"/>
  <c r="AF216" i="1"/>
  <c r="AE216" i="1"/>
  <c r="AB216" i="1"/>
  <c r="AA216" i="1"/>
  <c r="Z216" i="1"/>
  <c r="Y216" i="1"/>
  <c r="X216" i="1"/>
  <c r="W216" i="1"/>
  <c r="P216" i="1"/>
  <c r="O216" i="1"/>
  <c r="AD216" i="1" s="1"/>
  <c r="N216" i="1"/>
  <c r="AC216" i="1" s="1"/>
  <c r="M216" i="1"/>
  <c r="AU215" i="1"/>
  <c r="AT215" i="1"/>
  <c r="AR215" i="1"/>
  <c r="AP215" i="1"/>
  <c r="AI215" i="1"/>
  <c r="AN215" i="1" s="1"/>
  <c r="AH215" i="1"/>
  <c r="AF215" i="1"/>
  <c r="AE215" i="1"/>
  <c r="AC215" i="1"/>
  <c r="AB215" i="1"/>
  <c r="AA215" i="1"/>
  <c r="Z215" i="1"/>
  <c r="Y215" i="1"/>
  <c r="X215" i="1"/>
  <c r="W215" i="1"/>
  <c r="P215" i="1"/>
  <c r="O215" i="1"/>
  <c r="AD215" i="1" s="1"/>
  <c r="N215" i="1"/>
  <c r="AO215" i="1" s="1"/>
  <c r="M215" i="1"/>
  <c r="AU214" i="1"/>
  <c r="AT214" i="1"/>
  <c r="AR214" i="1"/>
  <c r="AP214" i="1"/>
  <c r="AN214" i="1"/>
  <c r="AJ214" i="1"/>
  <c r="AI214" i="1"/>
  <c r="AH214" i="1"/>
  <c r="AF214" i="1"/>
  <c r="AE214" i="1"/>
  <c r="AD214" i="1"/>
  <c r="AC214" i="1"/>
  <c r="AB214" i="1"/>
  <c r="AA214" i="1"/>
  <c r="Z214" i="1"/>
  <c r="Y214" i="1"/>
  <c r="X214" i="1"/>
  <c r="W214" i="1"/>
  <c r="P214" i="1"/>
  <c r="O214" i="1"/>
  <c r="AQ214" i="1" s="1"/>
  <c r="N214" i="1"/>
  <c r="AO214" i="1" s="1"/>
  <c r="M214" i="1"/>
  <c r="AU213" i="1"/>
  <c r="AP213" i="1"/>
  <c r="AO213" i="1"/>
  <c r="AN213" i="1"/>
  <c r="AI213" i="1"/>
  <c r="AT213" i="1" s="1"/>
  <c r="AH213" i="1"/>
  <c r="AF213" i="1"/>
  <c r="AE213" i="1"/>
  <c r="AD213" i="1"/>
  <c r="AC213" i="1"/>
  <c r="AA213" i="1"/>
  <c r="Z213" i="1"/>
  <c r="Y213" i="1"/>
  <c r="X213" i="1"/>
  <c r="W213" i="1"/>
  <c r="P213" i="1"/>
  <c r="O213" i="1"/>
  <c r="AQ213" i="1" s="1"/>
  <c r="N213" i="1"/>
  <c r="M213" i="1"/>
  <c r="AU212" i="1"/>
  <c r="AT212" i="1"/>
  <c r="AP212" i="1"/>
  <c r="AN212" i="1"/>
  <c r="AJ212" i="1"/>
  <c r="AI212" i="1"/>
  <c r="AH212" i="1"/>
  <c r="AF212" i="1"/>
  <c r="AE212" i="1"/>
  <c r="AD212" i="1"/>
  <c r="AA212" i="1"/>
  <c r="Z212" i="1"/>
  <c r="Y212" i="1"/>
  <c r="X212" i="1"/>
  <c r="W212" i="1"/>
  <c r="P212" i="1"/>
  <c r="O212" i="1"/>
  <c r="AQ212" i="1" s="1"/>
  <c r="N212" i="1"/>
  <c r="AC212" i="1" s="1"/>
  <c r="M212" i="1"/>
  <c r="AU211" i="1"/>
  <c r="AP211" i="1"/>
  <c r="AN211" i="1"/>
  <c r="AI211" i="1"/>
  <c r="AT211" i="1" s="1"/>
  <c r="AH211" i="1"/>
  <c r="AF211" i="1"/>
  <c r="AE211" i="1"/>
  <c r="AA211" i="1"/>
  <c r="Z211" i="1"/>
  <c r="Y211" i="1"/>
  <c r="X211" i="1"/>
  <c r="W211" i="1"/>
  <c r="P211" i="1"/>
  <c r="O211" i="1"/>
  <c r="N211" i="1"/>
  <c r="M211" i="1"/>
  <c r="AR211" i="1" s="1"/>
  <c r="AU210" i="1"/>
  <c r="AR210" i="1"/>
  <c r="AP210" i="1"/>
  <c r="AO210" i="1"/>
  <c r="AV210" i="1" s="1"/>
  <c r="AI210" i="1"/>
  <c r="AH210" i="1"/>
  <c r="AF210" i="1"/>
  <c r="AE210" i="1"/>
  <c r="AB210" i="1"/>
  <c r="AA210" i="1"/>
  <c r="Z210" i="1"/>
  <c r="Y210" i="1"/>
  <c r="X210" i="1"/>
  <c r="W210" i="1"/>
  <c r="P210" i="1"/>
  <c r="O210" i="1"/>
  <c r="AD210" i="1" s="1"/>
  <c r="N210" i="1"/>
  <c r="AC210" i="1" s="1"/>
  <c r="M210" i="1"/>
  <c r="AU209" i="1"/>
  <c r="AT209" i="1"/>
  <c r="AR209" i="1"/>
  <c r="AP209" i="1"/>
  <c r="AJ209" i="1"/>
  <c r="AI209" i="1"/>
  <c r="AN209" i="1" s="1"/>
  <c r="AH209" i="1"/>
  <c r="AF209" i="1"/>
  <c r="AE209" i="1"/>
  <c r="AC209" i="1"/>
  <c r="AB209" i="1"/>
  <c r="AA209" i="1"/>
  <c r="Z209" i="1"/>
  <c r="Y209" i="1"/>
  <c r="X209" i="1"/>
  <c r="W209" i="1"/>
  <c r="P209" i="1"/>
  <c r="O209" i="1"/>
  <c r="AD209" i="1" s="1"/>
  <c r="N209" i="1"/>
  <c r="AO209" i="1" s="1"/>
  <c r="AV209" i="1" s="1"/>
  <c r="M209" i="1"/>
  <c r="AU208" i="1"/>
  <c r="AT208" i="1"/>
  <c r="AR208" i="1"/>
  <c r="AP208" i="1"/>
  <c r="AN208" i="1"/>
  <c r="AJ208" i="1"/>
  <c r="AI208" i="1"/>
  <c r="AH208" i="1"/>
  <c r="AF208" i="1"/>
  <c r="AE208" i="1"/>
  <c r="AD208" i="1"/>
  <c r="AC208" i="1"/>
  <c r="AB208" i="1"/>
  <c r="AA208" i="1"/>
  <c r="Z208" i="1"/>
  <c r="Y208" i="1"/>
  <c r="X208" i="1"/>
  <c r="W208" i="1"/>
  <c r="P208" i="1"/>
  <c r="O208" i="1"/>
  <c r="AQ208" i="1" s="1"/>
  <c r="N208" i="1"/>
  <c r="AO208" i="1" s="1"/>
  <c r="M208" i="1"/>
  <c r="AU207" i="1"/>
  <c r="AP207" i="1"/>
  <c r="AO207" i="1"/>
  <c r="AV207" i="1" s="1"/>
  <c r="AN207" i="1"/>
  <c r="AI207" i="1"/>
  <c r="AT207" i="1" s="1"/>
  <c r="AH207" i="1"/>
  <c r="AF207" i="1"/>
  <c r="AE207" i="1"/>
  <c r="AD207" i="1"/>
  <c r="AC207" i="1"/>
  <c r="AA207" i="1"/>
  <c r="Z207" i="1"/>
  <c r="Y207" i="1"/>
  <c r="X207" i="1"/>
  <c r="W207" i="1"/>
  <c r="P207" i="1"/>
  <c r="O207" i="1"/>
  <c r="AQ207" i="1" s="1"/>
  <c r="N207" i="1"/>
  <c r="M207" i="1"/>
  <c r="AU206" i="1"/>
  <c r="AT206" i="1"/>
  <c r="AP206" i="1"/>
  <c r="AN206" i="1"/>
  <c r="AJ206" i="1"/>
  <c r="AI206" i="1"/>
  <c r="AH206" i="1"/>
  <c r="AF206" i="1"/>
  <c r="AE206" i="1"/>
  <c r="AD206" i="1"/>
  <c r="AA206" i="1"/>
  <c r="Z206" i="1"/>
  <c r="Y206" i="1"/>
  <c r="X206" i="1"/>
  <c r="W206" i="1"/>
  <c r="P206" i="1"/>
  <c r="O206" i="1"/>
  <c r="AQ206" i="1" s="1"/>
  <c r="N206" i="1"/>
  <c r="AC206" i="1" s="1"/>
  <c r="M206" i="1"/>
  <c r="AU205" i="1"/>
  <c r="AT205" i="1"/>
  <c r="AP205" i="1"/>
  <c r="AN205" i="1"/>
  <c r="AJ205" i="1"/>
  <c r="AI205" i="1"/>
  <c r="AH205" i="1"/>
  <c r="AF205" i="1"/>
  <c r="AE205" i="1"/>
  <c r="AA205" i="1"/>
  <c r="Z205" i="1"/>
  <c r="Y205" i="1"/>
  <c r="X205" i="1"/>
  <c r="W205" i="1"/>
  <c r="P205" i="1"/>
  <c r="O205" i="1"/>
  <c r="AD205" i="1" s="1"/>
  <c r="N205" i="1"/>
  <c r="M205" i="1"/>
  <c r="AR205" i="1" s="1"/>
  <c r="AU204" i="1"/>
  <c r="AR204" i="1"/>
  <c r="AQ204" i="1"/>
  <c r="AP204" i="1"/>
  <c r="AO204" i="1"/>
  <c r="AV204" i="1" s="1"/>
  <c r="AI204" i="1"/>
  <c r="AH204" i="1"/>
  <c r="AF204" i="1"/>
  <c r="AE204" i="1"/>
  <c r="AB204" i="1"/>
  <c r="AA204" i="1"/>
  <c r="Z204" i="1"/>
  <c r="Y204" i="1"/>
  <c r="X204" i="1"/>
  <c r="W204" i="1"/>
  <c r="P204" i="1"/>
  <c r="O204" i="1"/>
  <c r="AD204" i="1" s="1"/>
  <c r="N204" i="1"/>
  <c r="AC204" i="1" s="1"/>
  <c r="M204" i="1"/>
  <c r="AU203" i="1"/>
  <c r="AT203" i="1"/>
  <c r="AR203" i="1"/>
  <c r="AP203" i="1"/>
  <c r="AJ203" i="1"/>
  <c r="AI203" i="1"/>
  <c r="AN203" i="1" s="1"/>
  <c r="AH203" i="1"/>
  <c r="AF203" i="1"/>
  <c r="AE203" i="1"/>
  <c r="AC203" i="1"/>
  <c r="AB203" i="1"/>
  <c r="AA203" i="1"/>
  <c r="Z203" i="1"/>
  <c r="Y203" i="1"/>
  <c r="X203" i="1"/>
  <c r="W203" i="1"/>
  <c r="P203" i="1"/>
  <c r="O203" i="1"/>
  <c r="AD203" i="1" s="1"/>
  <c r="N203" i="1"/>
  <c r="AO203" i="1" s="1"/>
  <c r="M203" i="1"/>
  <c r="AU202" i="1"/>
  <c r="AT202" i="1"/>
  <c r="AR202" i="1"/>
  <c r="AP202" i="1"/>
  <c r="AN202" i="1"/>
  <c r="AJ202" i="1"/>
  <c r="AI202" i="1"/>
  <c r="AH202" i="1"/>
  <c r="AF202" i="1"/>
  <c r="AE202" i="1"/>
  <c r="AD202" i="1"/>
  <c r="AC202" i="1"/>
  <c r="AB202" i="1"/>
  <c r="AA202" i="1"/>
  <c r="Z202" i="1"/>
  <c r="Y202" i="1"/>
  <c r="X202" i="1"/>
  <c r="W202" i="1"/>
  <c r="P202" i="1"/>
  <c r="O202" i="1"/>
  <c r="AQ202" i="1" s="1"/>
  <c r="N202" i="1"/>
  <c r="AO202" i="1" s="1"/>
  <c r="M202" i="1"/>
  <c r="AU201" i="1"/>
  <c r="AP201" i="1"/>
  <c r="AO201" i="1"/>
  <c r="AN201" i="1"/>
  <c r="AI201" i="1"/>
  <c r="AT201" i="1" s="1"/>
  <c r="AH201" i="1"/>
  <c r="AF201" i="1"/>
  <c r="AE201" i="1"/>
  <c r="AD201" i="1"/>
  <c r="AC201" i="1"/>
  <c r="AA201" i="1"/>
  <c r="Z201" i="1"/>
  <c r="Y201" i="1"/>
  <c r="X201" i="1"/>
  <c r="W201" i="1"/>
  <c r="P201" i="1"/>
  <c r="O201" i="1"/>
  <c r="AQ201" i="1" s="1"/>
  <c r="N201" i="1"/>
  <c r="M201" i="1"/>
  <c r="AU200" i="1"/>
  <c r="AT200" i="1"/>
  <c r="AP200" i="1"/>
  <c r="AJ200" i="1"/>
  <c r="AI200" i="1"/>
  <c r="AN200" i="1" s="1"/>
  <c r="AH200" i="1"/>
  <c r="AF200" i="1"/>
  <c r="AE200" i="1"/>
  <c r="AD200" i="1"/>
  <c r="AA200" i="1"/>
  <c r="Z200" i="1"/>
  <c r="Y200" i="1"/>
  <c r="X200" i="1"/>
  <c r="W200" i="1"/>
  <c r="P200" i="1"/>
  <c r="O200" i="1"/>
  <c r="AQ200" i="1" s="1"/>
  <c r="N200" i="1"/>
  <c r="AC200" i="1" s="1"/>
  <c r="M200" i="1"/>
  <c r="AU199" i="1"/>
  <c r="AT199" i="1"/>
  <c r="AP199" i="1"/>
  <c r="AN199" i="1"/>
  <c r="AJ199" i="1"/>
  <c r="AI199" i="1"/>
  <c r="AH199" i="1"/>
  <c r="AF199" i="1"/>
  <c r="AE199" i="1"/>
  <c r="AA199" i="1"/>
  <c r="Z199" i="1"/>
  <c r="Y199" i="1"/>
  <c r="X199" i="1"/>
  <c r="W199" i="1"/>
  <c r="P199" i="1"/>
  <c r="O199" i="1"/>
  <c r="AD199" i="1" s="1"/>
  <c r="N199" i="1"/>
  <c r="M199" i="1"/>
  <c r="AR199" i="1" s="1"/>
  <c r="AU198" i="1"/>
  <c r="AR198" i="1"/>
  <c r="AQ198" i="1"/>
  <c r="AP198" i="1"/>
  <c r="AO198" i="1"/>
  <c r="AI198" i="1"/>
  <c r="AH198" i="1"/>
  <c r="AF198" i="1"/>
  <c r="AE198" i="1"/>
  <c r="AB198" i="1"/>
  <c r="AA198" i="1"/>
  <c r="Z198" i="1"/>
  <c r="Y198" i="1"/>
  <c r="X198" i="1"/>
  <c r="W198" i="1"/>
  <c r="P198" i="1"/>
  <c r="O198" i="1"/>
  <c r="AD198" i="1" s="1"/>
  <c r="N198" i="1"/>
  <c r="AC198" i="1" s="1"/>
  <c r="M198" i="1"/>
  <c r="AU197" i="1"/>
  <c r="AT197" i="1"/>
  <c r="AR197" i="1"/>
  <c r="AP197" i="1"/>
  <c r="AJ197" i="1"/>
  <c r="AI197" i="1"/>
  <c r="AN197" i="1" s="1"/>
  <c r="AH197" i="1"/>
  <c r="AF197" i="1"/>
  <c r="AE197" i="1"/>
  <c r="AC197" i="1"/>
  <c r="AB197" i="1"/>
  <c r="AA197" i="1"/>
  <c r="Z197" i="1"/>
  <c r="Y197" i="1"/>
  <c r="X197" i="1"/>
  <c r="W197" i="1"/>
  <c r="P197" i="1"/>
  <c r="O197" i="1"/>
  <c r="AD197" i="1" s="1"/>
  <c r="N197" i="1"/>
  <c r="AO197" i="1" s="1"/>
  <c r="M197" i="1"/>
  <c r="AU196" i="1"/>
  <c r="AT196" i="1"/>
  <c r="AR196" i="1"/>
  <c r="AP196" i="1"/>
  <c r="AN196" i="1"/>
  <c r="AJ196" i="1"/>
  <c r="AI196" i="1"/>
  <c r="AH196" i="1"/>
  <c r="AF196" i="1"/>
  <c r="AE196" i="1"/>
  <c r="AD196" i="1"/>
  <c r="AC196" i="1"/>
  <c r="AB196" i="1"/>
  <c r="AA196" i="1"/>
  <c r="Z196" i="1"/>
  <c r="Y196" i="1"/>
  <c r="X196" i="1"/>
  <c r="W196" i="1"/>
  <c r="P196" i="1"/>
  <c r="O196" i="1"/>
  <c r="AQ196" i="1" s="1"/>
  <c r="N196" i="1"/>
  <c r="AO196" i="1" s="1"/>
  <c r="M196" i="1"/>
  <c r="AU195" i="1"/>
  <c r="AP195" i="1"/>
  <c r="AO195" i="1"/>
  <c r="AV195" i="1" s="1"/>
  <c r="AN195" i="1"/>
  <c r="AI195" i="1"/>
  <c r="AT195" i="1" s="1"/>
  <c r="AH195" i="1"/>
  <c r="AF195" i="1"/>
  <c r="AE195" i="1"/>
  <c r="AD195" i="1"/>
  <c r="AA195" i="1"/>
  <c r="Z195" i="1"/>
  <c r="Y195" i="1"/>
  <c r="X195" i="1"/>
  <c r="W195" i="1"/>
  <c r="P195" i="1"/>
  <c r="O195" i="1"/>
  <c r="AQ195" i="1" s="1"/>
  <c r="N195" i="1"/>
  <c r="AC195" i="1" s="1"/>
  <c r="M195" i="1"/>
  <c r="AU194" i="1"/>
  <c r="AT194" i="1"/>
  <c r="AP194" i="1"/>
  <c r="AJ194" i="1"/>
  <c r="AI194" i="1"/>
  <c r="AN194" i="1" s="1"/>
  <c r="AH194" i="1"/>
  <c r="AF194" i="1"/>
  <c r="AE194" i="1"/>
  <c r="AA194" i="1"/>
  <c r="Z194" i="1"/>
  <c r="Y194" i="1"/>
  <c r="X194" i="1"/>
  <c r="W194" i="1"/>
  <c r="P194" i="1"/>
  <c r="O194" i="1"/>
  <c r="AQ194" i="1" s="1"/>
  <c r="N194" i="1"/>
  <c r="AC194" i="1" s="1"/>
  <c r="M194" i="1"/>
  <c r="AU193" i="1"/>
  <c r="AT193" i="1"/>
  <c r="AQ193" i="1"/>
  <c r="AP193" i="1"/>
  <c r="AN193" i="1"/>
  <c r="AJ193" i="1"/>
  <c r="AI193" i="1"/>
  <c r="AH193" i="1"/>
  <c r="AF193" i="1"/>
  <c r="AE193" i="1"/>
  <c r="AA193" i="1"/>
  <c r="Z193" i="1"/>
  <c r="Y193" i="1"/>
  <c r="X193" i="1"/>
  <c r="W193" i="1"/>
  <c r="P193" i="1"/>
  <c r="O193" i="1"/>
  <c r="AD193" i="1" s="1"/>
  <c r="N193" i="1"/>
  <c r="M193" i="1"/>
  <c r="AR193" i="1" s="1"/>
  <c r="AU192" i="1"/>
  <c r="AR192" i="1"/>
  <c r="AP192" i="1"/>
  <c r="AO192" i="1"/>
  <c r="AV192" i="1" s="1"/>
  <c r="AI192" i="1"/>
  <c r="AH192" i="1"/>
  <c r="AF192" i="1"/>
  <c r="AE192" i="1"/>
  <c r="AB192" i="1"/>
  <c r="AA192" i="1"/>
  <c r="Z192" i="1"/>
  <c r="Y192" i="1"/>
  <c r="X192" i="1"/>
  <c r="W192" i="1"/>
  <c r="P192" i="1"/>
  <c r="O192" i="1"/>
  <c r="N192" i="1"/>
  <c r="AC192" i="1" s="1"/>
  <c r="M192" i="1"/>
  <c r="AU191" i="1"/>
  <c r="AR191" i="1"/>
  <c r="AP191" i="1"/>
  <c r="AI191" i="1"/>
  <c r="AN191" i="1" s="1"/>
  <c r="AH191" i="1"/>
  <c r="AF191" i="1"/>
  <c r="AE191" i="1"/>
  <c r="AC191" i="1"/>
  <c r="AB191" i="1"/>
  <c r="AA191" i="1"/>
  <c r="Z191" i="1"/>
  <c r="Y191" i="1"/>
  <c r="X191" i="1"/>
  <c r="W191" i="1"/>
  <c r="P191" i="1"/>
  <c r="O191" i="1"/>
  <c r="AD191" i="1" s="1"/>
  <c r="N191" i="1"/>
  <c r="AO191" i="1" s="1"/>
  <c r="AV191" i="1" s="1"/>
  <c r="M191" i="1"/>
  <c r="AU190" i="1"/>
  <c r="AT190" i="1"/>
  <c r="AP190" i="1"/>
  <c r="AN190" i="1"/>
  <c r="AJ190" i="1"/>
  <c r="AI190" i="1"/>
  <c r="AH190" i="1"/>
  <c r="AF190" i="1"/>
  <c r="AE190" i="1"/>
  <c r="AD190" i="1"/>
  <c r="AC190" i="1"/>
  <c r="AB190" i="1"/>
  <c r="AA190" i="1"/>
  <c r="Z190" i="1"/>
  <c r="Y190" i="1"/>
  <c r="X190" i="1"/>
  <c r="W190" i="1"/>
  <c r="P190" i="1"/>
  <c r="O190" i="1"/>
  <c r="AQ190" i="1" s="1"/>
  <c r="N190" i="1"/>
  <c r="AO190" i="1" s="1"/>
  <c r="AV190" i="1" s="1"/>
  <c r="M190" i="1"/>
  <c r="AR190" i="1" s="1"/>
  <c r="AV189" i="1"/>
  <c r="AU189" i="1"/>
  <c r="AP189" i="1"/>
  <c r="AO189" i="1"/>
  <c r="AN189" i="1"/>
  <c r="AI189" i="1"/>
  <c r="AT189" i="1" s="1"/>
  <c r="AH189" i="1"/>
  <c r="AF189" i="1"/>
  <c r="AE189" i="1"/>
  <c r="AD189" i="1"/>
  <c r="AA189" i="1"/>
  <c r="Z189" i="1"/>
  <c r="Y189" i="1"/>
  <c r="X189" i="1"/>
  <c r="W189" i="1"/>
  <c r="P189" i="1"/>
  <c r="O189" i="1"/>
  <c r="AQ189" i="1" s="1"/>
  <c r="N189" i="1"/>
  <c r="AC189" i="1" s="1"/>
  <c r="M189" i="1"/>
  <c r="AU188" i="1"/>
  <c r="AT188" i="1"/>
  <c r="AP188" i="1"/>
  <c r="AJ188" i="1"/>
  <c r="AI188" i="1"/>
  <c r="AN188" i="1" s="1"/>
  <c r="AH188" i="1"/>
  <c r="AF188" i="1"/>
  <c r="AE188" i="1"/>
  <c r="AA188" i="1"/>
  <c r="Z188" i="1"/>
  <c r="Y188" i="1"/>
  <c r="X188" i="1"/>
  <c r="W188" i="1"/>
  <c r="P188" i="1"/>
  <c r="O188" i="1"/>
  <c r="AQ188" i="1" s="1"/>
  <c r="N188" i="1"/>
  <c r="AC188" i="1" s="1"/>
  <c r="M188" i="1"/>
  <c r="AU187" i="1"/>
  <c r="AT187" i="1"/>
  <c r="AQ187" i="1"/>
  <c r="AP187" i="1"/>
  <c r="AN187" i="1"/>
  <c r="AJ187" i="1"/>
  <c r="AI187" i="1"/>
  <c r="AH187" i="1"/>
  <c r="AF187" i="1"/>
  <c r="AE187" i="1"/>
  <c r="AA187" i="1"/>
  <c r="Z187" i="1"/>
  <c r="Y187" i="1"/>
  <c r="X187" i="1"/>
  <c r="W187" i="1"/>
  <c r="P187" i="1"/>
  <c r="O187" i="1"/>
  <c r="AD187" i="1" s="1"/>
  <c r="N187" i="1"/>
  <c r="M187" i="1"/>
  <c r="AR187" i="1" s="1"/>
  <c r="AU186" i="1"/>
  <c r="AR186" i="1"/>
  <c r="AP186" i="1"/>
  <c r="AO186" i="1"/>
  <c r="AV186" i="1" s="1"/>
  <c r="AI186" i="1"/>
  <c r="AH186" i="1"/>
  <c r="AF186" i="1"/>
  <c r="AE186" i="1"/>
  <c r="AB186" i="1"/>
  <c r="AA186" i="1"/>
  <c r="Z186" i="1"/>
  <c r="Y186" i="1"/>
  <c r="X186" i="1"/>
  <c r="W186" i="1"/>
  <c r="P186" i="1"/>
  <c r="O186" i="1"/>
  <c r="AD186" i="1" s="1"/>
  <c r="N186" i="1"/>
  <c r="AC186" i="1" s="1"/>
  <c r="M186" i="1"/>
  <c r="AU185" i="1"/>
  <c r="AR185" i="1"/>
  <c r="AP185" i="1"/>
  <c r="AI185" i="1"/>
  <c r="AN185" i="1" s="1"/>
  <c r="AH185" i="1"/>
  <c r="AF185" i="1"/>
  <c r="AE185" i="1"/>
  <c r="AC185" i="1"/>
  <c r="AB185" i="1"/>
  <c r="AA185" i="1"/>
  <c r="Z185" i="1"/>
  <c r="Y185" i="1"/>
  <c r="X185" i="1"/>
  <c r="W185" i="1"/>
  <c r="P185" i="1"/>
  <c r="O185" i="1"/>
  <c r="AD185" i="1" s="1"/>
  <c r="N185" i="1"/>
  <c r="AO185" i="1" s="1"/>
  <c r="AV185" i="1" s="1"/>
  <c r="M185" i="1"/>
  <c r="AU184" i="1"/>
  <c r="AT184" i="1"/>
  <c r="AP184" i="1"/>
  <c r="AN184" i="1"/>
  <c r="AJ184" i="1"/>
  <c r="AI184" i="1"/>
  <c r="AH184" i="1"/>
  <c r="AF184" i="1"/>
  <c r="AE184" i="1"/>
  <c r="AD184" i="1"/>
  <c r="AC184" i="1"/>
  <c r="AB184" i="1"/>
  <c r="AA184" i="1"/>
  <c r="Z184" i="1"/>
  <c r="Y184" i="1"/>
  <c r="X184" i="1"/>
  <c r="W184" i="1"/>
  <c r="P184" i="1"/>
  <c r="O184" i="1"/>
  <c r="AQ184" i="1" s="1"/>
  <c r="N184" i="1"/>
  <c r="AO184" i="1" s="1"/>
  <c r="M184" i="1"/>
  <c r="AR184" i="1" s="1"/>
  <c r="AU183" i="1"/>
  <c r="AP183" i="1"/>
  <c r="AO183" i="1"/>
  <c r="AN183" i="1"/>
  <c r="AI183" i="1"/>
  <c r="AT183" i="1" s="1"/>
  <c r="AH183" i="1"/>
  <c r="AF183" i="1"/>
  <c r="AE183" i="1"/>
  <c r="AD183" i="1"/>
  <c r="AA183" i="1"/>
  <c r="Z183" i="1"/>
  <c r="Y183" i="1"/>
  <c r="X183" i="1"/>
  <c r="W183" i="1"/>
  <c r="P183" i="1"/>
  <c r="O183" i="1"/>
  <c r="AQ183" i="1" s="1"/>
  <c r="N183" i="1"/>
  <c r="AC183" i="1" s="1"/>
  <c r="M183" i="1"/>
  <c r="AU182" i="1"/>
  <c r="AT182" i="1"/>
  <c r="AP182" i="1"/>
  <c r="AN182" i="1"/>
  <c r="AJ182" i="1"/>
  <c r="AI182" i="1"/>
  <c r="AH182" i="1"/>
  <c r="AF182" i="1"/>
  <c r="AE182" i="1"/>
  <c r="AD182" i="1"/>
  <c r="AA182" i="1"/>
  <c r="Z182" i="1"/>
  <c r="Y182" i="1"/>
  <c r="X182" i="1"/>
  <c r="W182" i="1"/>
  <c r="P182" i="1"/>
  <c r="O182" i="1"/>
  <c r="AQ182" i="1" s="1"/>
  <c r="N182" i="1"/>
  <c r="AC182" i="1" s="1"/>
  <c r="M182" i="1"/>
  <c r="AU181" i="1"/>
  <c r="AT181" i="1"/>
  <c r="AQ181" i="1"/>
  <c r="AP181" i="1"/>
  <c r="AN181" i="1"/>
  <c r="AJ181" i="1"/>
  <c r="AI181" i="1"/>
  <c r="AH181" i="1"/>
  <c r="AF181" i="1"/>
  <c r="AE181" i="1"/>
  <c r="AA181" i="1"/>
  <c r="Z181" i="1"/>
  <c r="Y181" i="1"/>
  <c r="X181" i="1"/>
  <c r="W181" i="1"/>
  <c r="P181" i="1"/>
  <c r="O181" i="1"/>
  <c r="AD181" i="1" s="1"/>
  <c r="N181" i="1"/>
  <c r="M181" i="1"/>
  <c r="AR181" i="1" s="1"/>
  <c r="AU180" i="1"/>
  <c r="AR180" i="1"/>
  <c r="AQ180" i="1"/>
  <c r="AP180" i="1"/>
  <c r="AO180" i="1"/>
  <c r="AI180" i="1"/>
  <c r="AH180" i="1"/>
  <c r="AF180" i="1"/>
  <c r="AE180" i="1"/>
  <c r="AB180" i="1"/>
  <c r="AA180" i="1"/>
  <c r="Z180" i="1"/>
  <c r="Y180" i="1"/>
  <c r="X180" i="1"/>
  <c r="W180" i="1"/>
  <c r="P180" i="1"/>
  <c r="O180" i="1"/>
  <c r="AD180" i="1" s="1"/>
  <c r="N180" i="1"/>
  <c r="AC180" i="1" s="1"/>
  <c r="M180" i="1"/>
  <c r="AU179" i="1"/>
  <c r="AT179" i="1"/>
  <c r="AR179" i="1"/>
  <c r="AP179" i="1"/>
  <c r="AJ179" i="1"/>
  <c r="AI179" i="1"/>
  <c r="AN179" i="1" s="1"/>
  <c r="AH179" i="1"/>
  <c r="AF179" i="1"/>
  <c r="AE179" i="1"/>
  <c r="AC179" i="1"/>
  <c r="AB179" i="1"/>
  <c r="AA179" i="1"/>
  <c r="Z179" i="1"/>
  <c r="Y179" i="1"/>
  <c r="X179" i="1"/>
  <c r="W179" i="1"/>
  <c r="P179" i="1"/>
  <c r="O179" i="1"/>
  <c r="AD179" i="1" s="1"/>
  <c r="N179" i="1"/>
  <c r="AO179" i="1" s="1"/>
  <c r="M179" i="1"/>
  <c r="AU178" i="1"/>
  <c r="AT178" i="1"/>
  <c r="AR178" i="1"/>
  <c r="AP178" i="1"/>
  <c r="AN178" i="1"/>
  <c r="AJ178" i="1"/>
  <c r="AI178" i="1"/>
  <c r="AH178" i="1"/>
  <c r="AF178" i="1"/>
  <c r="AE178" i="1"/>
  <c r="AD178" i="1"/>
  <c r="AC178" i="1"/>
  <c r="AB178" i="1"/>
  <c r="AA178" i="1"/>
  <c r="Z178" i="1"/>
  <c r="Y178" i="1"/>
  <c r="X178" i="1"/>
  <c r="W178" i="1"/>
  <c r="P178" i="1"/>
  <c r="O178" i="1"/>
  <c r="AQ178" i="1" s="1"/>
  <c r="N178" i="1"/>
  <c r="AO178" i="1" s="1"/>
  <c r="M178" i="1"/>
  <c r="AU177" i="1"/>
  <c r="AP177" i="1"/>
  <c r="AO177" i="1"/>
  <c r="AV177" i="1" s="1"/>
  <c r="AN177" i="1"/>
  <c r="AI177" i="1"/>
  <c r="AT177" i="1" s="1"/>
  <c r="AH177" i="1"/>
  <c r="AF177" i="1"/>
  <c r="AE177" i="1"/>
  <c r="AD177" i="1"/>
  <c r="AC177" i="1"/>
  <c r="AA177" i="1"/>
  <c r="Z177" i="1"/>
  <c r="Y177" i="1"/>
  <c r="X177" i="1"/>
  <c r="W177" i="1"/>
  <c r="P177" i="1"/>
  <c r="O177" i="1"/>
  <c r="AQ177" i="1" s="1"/>
  <c r="N177" i="1"/>
  <c r="M177" i="1"/>
  <c r="AU176" i="1"/>
  <c r="AT176" i="1"/>
  <c r="AP176" i="1"/>
  <c r="AN176" i="1"/>
  <c r="AJ176" i="1"/>
  <c r="AI176" i="1"/>
  <c r="AH176" i="1"/>
  <c r="AF176" i="1"/>
  <c r="AE176" i="1"/>
  <c r="AD176" i="1"/>
  <c r="AA176" i="1"/>
  <c r="Z176" i="1"/>
  <c r="Y176" i="1"/>
  <c r="X176" i="1"/>
  <c r="W176" i="1"/>
  <c r="P176" i="1"/>
  <c r="O176" i="1"/>
  <c r="AQ176" i="1" s="1"/>
  <c r="N176" i="1"/>
  <c r="AC176" i="1" s="1"/>
  <c r="M176" i="1"/>
  <c r="AU175" i="1"/>
  <c r="AT175" i="1"/>
  <c r="AQ175" i="1"/>
  <c r="AP175" i="1"/>
  <c r="AN175" i="1"/>
  <c r="AJ175" i="1"/>
  <c r="AI175" i="1"/>
  <c r="AH175" i="1"/>
  <c r="AF175" i="1"/>
  <c r="AE175" i="1"/>
  <c r="AA175" i="1"/>
  <c r="Z175" i="1"/>
  <c r="Y175" i="1"/>
  <c r="X175" i="1"/>
  <c r="W175" i="1"/>
  <c r="P175" i="1"/>
  <c r="O175" i="1"/>
  <c r="AD175" i="1" s="1"/>
  <c r="N175" i="1"/>
  <c r="M175" i="1"/>
  <c r="AR175" i="1" s="1"/>
  <c r="AU174" i="1"/>
  <c r="AR174" i="1"/>
  <c r="AP174" i="1"/>
  <c r="AO174" i="1"/>
  <c r="AI174" i="1"/>
  <c r="AH174" i="1"/>
  <c r="AF174" i="1"/>
  <c r="AE174" i="1"/>
  <c r="AB174" i="1"/>
  <c r="AA174" i="1"/>
  <c r="Z174" i="1"/>
  <c r="Y174" i="1"/>
  <c r="X174" i="1"/>
  <c r="W174" i="1"/>
  <c r="P174" i="1"/>
  <c r="O174" i="1"/>
  <c r="AD174" i="1" s="1"/>
  <c r="N174" i="1"/>
  <c r="AC174" i="1" s="1"/>
  <c r="M174" i="1"/>
  <c r="AU173" i="1"/>
  <c r="AR173" i="1"/>
  <c r="AP173" i="1"/>
  <c r="AJ173" i="1"/>
  <c r="AI173" i="1"/>
  <c r="AN173" i="1" s="1"/>
  <c r="AH173" i="1"/>
  <c r="AF173" i="1"/>
  <c r="AE173" i="1"/>
  <c r="AC173" i="1"/>
  <c r="AB173" i="1"/>
  <c r="AA173" i="1"/>
  <c r="Z173" i="1"/>
  <c r="Y173" i="1"/>
  <c r="X173" i="1"/>
  <c r="W173" i="1"/>
  <c r="P173" i="1"/>
  <c r="O173" i="1"/>
  <c r="AD173" i="1" s="1"/>
  <c r="N173" i="1"/>
  <c r="AO173" i="1" s="1"/>
  <c r="M173" i="1"/>
  <c r="AU172" i="1"/>
  <c r="AT172" i="1"/>
  <c r="AP172" i="1"/>
  <c r="AN172" i="1"/>
  <c r="AJ172" i="1"/>
  <c r="AI172" i="1"/>
  <c r="AH172" i="1"/>
  <c r="AF172" i="1"/>
  <c r="AE172" i="1"/>
  <c r="AD172" i="1"/>
  <c r="AC172" i="1"/>
  <c r="AA172" i="1"/>
  <c r="Z172" i="1"/>
  <c r="Y172" i="1"/>
  <c r="X172" i="1"/>
  <c r="W172" i="1"/>
  <c r="P172" i="1"/>
  <c r="O172" i="1"/>
  <c r="AQ172" i="1" s="1"/>
  <c r="N172" i="1"/>
  <c r="AO172" i="1" s="1"/>
  <c r="AV172" i="1" s="1"/>
  <c r="M172" i="1"/>
  <c r="AR172" i="1" s="1"/>
  <c r="AU171" i="1"/>
  <c r="AP171" i="1"/>
  <c r="AN171" i="1"/>
  <c r="AI171" i="1"/>
  <c r="AT171" i="1" s="1"/>
  <c r="AH171" i="1"/>
  <c r="AF171" i="1"/>
  <c r="AE171" i="1"/>
  <c r="AD171" i="1"/>
  <c r="AA171" i="1"/>
  <c r="Z171" i="1"/>
  <c r="Y171" i="1"/>
  <c r="X171" i="1"/>
  <c r="W171" i="1"/>
  <c r="P171" i="1"/>
  <c r="O171" i="1"/>
  <c r="AQ171" i="1" s="1"/>
  <c r="N171" i="1"/>
  <c r="AC171" i="1" s="1"/>
  <c r="M171" i="1"/>
  <c r="AU170" i="1"/>
  <c r="AT170" i="1"/>
  <c r="AP170" i="1"/>
  <c r="AO170" i="1"/>
  <c r="AN170" i="1"/>
  <c r="AJ170" i="1"/>
  <c r="AI170" i="1"/>
  <c r="AH170" i="1"/>
  <c r="AF170" i="1"/>
  <c r="AE170" i="1"/>
  <c r="AC170" i="1"/>
  <c r="AA170" i="1"/>
  <c r="Z170" i="1"/>
  <c r="Y170" i="1"/>
  <c r="X170" i="1"/>
  <c r="W170" i="1"/>
  <c r="P170" i="1"/>
  <c r="O170" i="1"/>
  <c r="N170" i="1"/>
  <c r="M170" i="1"/>
  <c r="AU169" i="1"/>
  <c r="AR169" i="1"/>
  <c r="AP169" i="1"/>
  <c r="AI169" i="1"/>
  <c r="AH169" i="1"/>
  <c r="AF169" i="1"/>
  <c r="AE169" i="1"/>
  <c r="AD169" i="1"/>
  <c r="AB169" i="1"/>
  <c r="AA169" i="1"/>
  <c r="Z169" i="1"/>
  <c r="Y169" i="1"/>
  <c r="X169" i="1"/>
  <c r="W169" i="1"/>
  <c r="P169" i="1"/>
  <c r="O169" i="1"/>
  <c r="AQ169" i="1" s="1"/>
  <c r="N169" i="1"/>
  <c r="M169" i="1"/>
  <c r="AU168" i="1"/>
  <c r="AR168" i="1"/>
  <c r="AQ168" i="1"/>
  <c r="AP168" i="1"/>
  <c r="AO168" i="1"/>
  <c r="AJ168" i="1"/>
  <c r="AI168" i="1"/>
  <c r="AN168" i="1" s="1"/>
  <c r="AH168" i="1"/>
  <c r="AF168" i="1"/>
  <c r="AE168" i="1"/>
  <c r="AC168" i="1"/>
  <c r="AB168" i="1"/>
  <c r="AA168" i="1"/>
  <c r="Z168" i="1"/>
  <c r="Y168" i="1"/>
  <c r="X168" i="1"/>
  <c r="W168" i="1"/>
  <c r="P168" i="1"/>
  <c r="O168" i="1"/>
  <c r="AD168" i="1" s="1"/>
  <c r="N168" i="1"/>
  <c r="M168" i="1"/>
  <c r="AU167" i="1"/>
  <c r="AR167" i="1"/>
  <c r="AP167" i="1"/>
  <c r="AN167" i="1"/>
  <c r="AJ167" i="1"/>
  <c r="AI167" i="1"/>
  <c r="AT167" i="1" s="1"/>
  <c r="AH167" i="1"/>
  <c r="AF167" i="1"/>
  <c r="AE167" i="1"/>
  <c r="AD167" i="1"/>
  <c r="AB167" i="1"/>
  <c r="AA167" i="1"/>
  <c r="Z167" i="1"/>
  <c r="Y167" i="1"/>
  <c r="X167" i="1"/>
  <c r="W167" i="1"/>
  <c r="P167" i="1"/>
  <c r="O167" i="1"/>
  <c r="AQ167" i="1" s="1"/>
  <c r="N167" i="1"/>
  <c r="M167" i="1"/>
  <c r="AV166" i="1"/>
  <c r="AU166" i="1"/>
  <c r="AT166" i="1"/>
  <c r="AP166" i="1"/>
  <c r="AO166" i="1"/>
  <c r="AN166" i="1"/>
  <c r="AJ166" i="1"/>
  <c r="AI166" i="1"/>
  <c r="AH166" i="1"/>
  <c r="AF166" i="1"/>
  <c r="AE166" i="1"/>
  <c r="AD166" i="1"/>
  <c r="AC166" i="1"/>
  <c r="AA166" i="1"/>
  <c r="Z166" i="1"/>
  <c r="Y166" i="1"/>
  <c r="X166" i="1"/>
  <c r="W166" i="1"/>
  <c r="P166" i="1"/>
  <c r="O166" i="1"/>
  <c r="AQ166" i="1" s="1"/>
  <c r="N166" i="1"/>
  <c r="M166" i="1"/>
  <c r="AU165" i="1"/>
  <c r="AP165" i="1"/>
  <c r="AN165" i="1"/>
  <c r="AI165" i="1"/>
  <c r="AH165" i="1"/>
  <c r="AF165" i="1"/>
  <c r="AE165" i="1"/>
  <c r="AD165" i="1"/>
  <c r="AB165" i="1"/>
  <c r="AA165" i="1"/>
  <c r="Z165" i="1"/>
  <c r="Y165" i="1"/>
  <c r="X165" i="1"/>
  <c r="W165" i="1"/>
  <c r="P165" i="1"/>
  <c r="O165" i="1"/>
  <c r="AQ165" i="1" s="1"/>
  <c r="N165" i="1"/>
  <c r="AC165" i="1" s="1"/>
  <c r="M165" i="1"/>
  <c r="AR165" i="1" s="1"/>
  <c r="AU164" i="1"/>
  <c r="AT164" i="1"/>
  <c r="AP164" i="1"/>
  <c r="AO164" i="1"/>
  <c r="AJ164" i="1"/>
  <c r="AI164" i="1"/>
  <c r="AN164" i="1" s="1"/>
  <c r="AH164" i="1"/>
  <c r="AF164" i="1"/>
  <c r="AE164" i="1"/>
  <c r="AC164" i="1"/>
  <c r="AA164" i="1"/>
  <c r="Z164" i="1"/>
  <c r="Y164" i="1"/>
  <c r="X164" i="1"/>
  <c r="W164" i="1"/>
  <c r="P164" i="1"/>
  <c r="O164" i="1"/>
  <c r="AD164" i="1" s="1"/>
  <c r="N164" i="1"/>
  <c r="M164" i="1"/>
  <c r="AU163" i="1"/>
  <c r="AR163" i="1"/>
  <c r="AQ163" i="1"/>
  <c r="AP163" i="1"/>
  <c r="AI163" i="1"/>
  <c r="AH163" i="1"/>
  <c r="AF163" i="1"/>
  <c r="AE163" i="1"/>
  <c r="AD163" i="1"/>
  <c r="AB163" i="1"/>
  <c r="AA163" i="1"/>
  <c r="Z163" i="1"/>
  <c r="Y163" i="1"/>
  <c r="X163" i="1"/>
  <c r="W163" i="1"/>
  <c r="P163" i="1"/>
  <c r="O163" i="1"/>
  <c r="N163" i="1"/>
  <c r="AO163" i="1" s="1"/>
  <c r="M163" i="1"/>
  <c r="AU162" i="1"/>
  <c r="AT162" i="1"/>
  <c r="AP162" i="1"/>
  <c r="AJ162" i="1"/>
  <c r="AI162" i="1"/>
  <c r="AN162" i="1" s="1"/>
  <c r="AH162" i="1"/>
  <c r="AF162" i="1"/>
  <c r="AE162" i="1"/>
  <c r="AC162" i="1"/>
  <c r="AA162" i="1"/>
  <c r="Z162" i="1"/>
  <c r="Y162" i="1"/>
  <c r="X162" i="1"/>
  <c r="W162" i="1"/>
  <c r="P162" i="1"/>
  <c r="O162" i="1"/>
  <c r="AQ162" i="1" s="1"/>
  <c r="N162" i="1"/>
  <c r="AO162" i="1" s="1"/>
  <c r="M162" i="1"/>
  <c r="AR162" i="1" s="1"/>
  <c r="AU161" i="1"/>
  <c r="AR161" i="1"/>
  <c r="AP161" i="1"/>
  <c r="AN161" i="1"/>
  <c r="AI161" i="1"/>
  <c r="AT161" i="1" s="1"/>
  <c r="AH161" i="1"/>
  <c r="AF161" i="1"/>
  <c r="AE161" i="1"/>
  <c r="AD161" i="1"/>
  <c r="AB161" i="1"/>
  <c r="AA161" i="1"/>
  <c r="Z161" i="1"/>
  <c r="Y161" i="1"/>
  <c r="X161" i="1"/>
  <c r="W161" i="1"/>
  <c r="P161" i="1"/>
  <c r="O161" i="1"/>
  <c r="AQ161" i="1" s="1"/>
  <c r="N161" i="1"/>
  <c r="AC161" i="1" s="1"/>
  <c r="M161" i="1"/>
  <c r="AU160" i="1"/>
  <c r="AT160" i="1"/>
  <c r="AP160" i="1"/>
  <c r="AO160" i="1"/>
  <c r="AJ160" i="1"/>
  <c r="AI160" i="1"/>
  <c r="AN160" i="1" s="1"/>
  <c r="AH160" i="1"/>
  <c r="AF160" i="1"/>
  <c r="AE160" i="1"/>
  <c r="AC160" i="1"/>
  <c r="AA160" i="1"/>
  <c r="Z160" i="1"/>
  <c r="Y160" i="1"/>
  <c r="X160" i="1"/>
  <c r="W160" i="1"/>
  <c r="P160" i="1"/>
  <c r="O160" i="1"/>
  <c r="AD160" i="1" s="1"/>
  <c r="N160" i="1"/>
  <c r="M160" i="1"/>
  <c r="AU159" i="1"/>
  <c r="AT159" i="1"/>
  <c r="AR159" i="1"/>
  <c r="AP159" i="1"/>
  <c r="AN159" i="1"/>
  <c r="AJ159" i="1"/>
  <c r="AI159" i="1"/>
  <c r="AH159" i="1"/>
  <c r="AF159" i="1"/>
  <c r="AE159" i="1"/>
  <c r="AD159" i="1"/>
  <c r="AB159" i="1"/>
  <c r="AA159" i="1"/>
  <c r="Z159" i="1"/>
  <c r="Y159" i="1"/>
  <c r="X159" i="1"/>
  <c r="W159" i="1"/>
  <c r="P159" i="1"/>
  <c r="O159" i="1"/>
  <c r="AQ159" i="1" s="1"/>
  <c r="N159" i="1"/>
  <c r="M159" i="1"/>
  <c r="AU158" i="1"/>
  <c r="AT158" i="1"/>
  <c r="AQ158" i="1"/>
  <c r="AP158" i="1"/>
  <c r="AO158" i="1"/>
  <c r="AN158" i="1"/>
  <c r="AJ158" i="1"/>
  <c r="AI158" i="1"/>
  <c r="AH158" i="1"/>
  <c r="AF158" i="1"/>
  <c r="AE158" i="1"/>
  <c r="AC158" i="1"/>
  <c r="AA158" i="1"/>
  <c r="Z158" i="1"/>
  <c r="Y158" i="1"/>
  <c r="X158" i="1"/>
  <c r="W158" i="1"/>
  <c r="P158" i="1"/>
  <c r="O158" i="1"/>
  <c r="AD158" i="1" s="1"/>
  <c r="N158" i="1"/>
  <c r="M158" i="1"/>
  <c r="AR158" i="1" s="1"/>
  <c r="AU157" i="1"/>
  <c r="AR157" i="1"/>
  <c r="AP157" i="1"/>
  <c r="AI157" i="1"/>
  <c r="AH157" i="1"/>
  <c r="AF157" i="1"/>
  <c r="AE157" i="1"/>
  <c r="AD157" i="1"/>
  <c r="AB157" i="1"/>
  <c r="AA157" i="1"/>
  <c r="Z157" i="1"/>
  <c r="Y157" i="1"/>
  <c r="X157" i="1"/>
  <c r="W157" i="1"/>
  <c r="P157" i="1"/>
  <c r="O157" i="1"/>
  <c r="AQ157" i="1" s="1"/>
  <c r="N157" i="1"/>
  <c r="AO157" i="1" s="1"/>
  <c r="M157" i="1"/>
  <c r="AU156" i="1"/>
  <c r="AT156" i="1"/>
  <c r="AP156" i="1"/>
  <c r="AJ156" i="1"/>
  <c r="AI156" i="1"/>
  <c r="AN156" i="1" s="1"/>
  <c r="AH156" i="1"/>
  <c r="AF156" i="1"/>
  <c r="AE156" i="1"/>
  <c r="AC156" i="1"/>
  <c r="AA156" i="1"/>
  <c r="Z156" i="1"/>
  <c r="Y156" i="1"/>
  <c r="X156" i="1"/>
  <c r="W156" i="1"/>
  <c r="P156" i="1"/>
  <c r="O156" i="1"/>
  <c r="AQ156" i="1" s="1"/>
  <c r="N156" i="1"/>
  <c r="AO156" i="1" s="1"/>
  <c r="M156" i="1"/>
  <c r="AR156" i="1" s="1"/>
  <c r="AU155" i="1"/>
  <c r="AR155" i="1"/>
  <c r="AP155" i="1"/>
  <c r="AN155" i="1"/>
  <c r="AI155" i="1"/>
  <c r="AT155" i="1" s="1"/>
  <c r="AH155" i="1"/>
  <c r="AF155" i="1"/>
  <c r="AE155" i="1"/>
  <c r="AD155" i="1"/>
  <c r="AB155" i="1"/>
  <c r="AA155" i="1"/>
  <c r="Z155" i="1"/>
  <c r="Y155" i="1"/>
  <c r="X155" i="1"/>
  <c r="W155" i="1"/>
  <c r="P155" i="1"/>
  <c r="O155" i="1"/>
  <c r="AQ155" i="1" s="1"/>
  <c r="N155" i="1"/>
  <c r="AC155" i="1" s="1"/>
  <c r="M155" i="1"/>
  <c r="AU154" i="1"/>
  <c r="AT154" i="1"/>
  <c r="AP154" i="1"/>
  <c r="AO154" i="1"/>
  <c r="AJ154" i="1"/>
  <c r="AI154" i="1"/>
  <c r="AN154" i="1" s="1"/>
  <c r="AH154" i="1"/>
  <c r="AF154" i="1"/>
  <c r="AE154" i="1"/>
  <c r="AC154" i="1"/>
  <c r="AA154" i="1"/>
  <c r="Z154" i="1"/>
  <c r="Y154" i="1"/>
  <c r="X154" i="1"/>
  <c r="W154" i="1"/>
  <c r="P154" i="1"/>
  <c r="O154" i="1"/>
  <c r="AD154" i="1" s="1"/>
  <c r="N154" i="1"/>
  <c r="M154" i="1"/>
  <c r="AU153" i="1"/>
  <c r="AT153" i="1"/>
  <c r="AP153" i="1"/>
  <c r="AN153" i="1"/>
  <c r="AJ153" i="1"/>
  <c r="AI153" i="1"/>
  <c r="AH153" i="1"/>
  <c r="AF153" i="1"/>
  <c r="AE153" i="1"/>
  <c r="AD153" i="1"/>
  <c r="AB153" i="1"/>
  <c r="AA153" i="1"/>
  <c r="Z153" i="1"/>
  <c r="Y153" i="1"/>
  <c r="X153" i="1"/>
  <c r="W153" i="1"/>
  <c r="P153" i="1"/>
  <c r="O153" i="1"/>
  <c r="AQ153" i="1" s="1"/>
  <c r="N153" i="1"/>
  <c r="M153" i="1"/>
  <c r="AR153" i="1" s="1"/>
  <c r="AU152" i="1"/>
  <c r="AT152" i="1"/>
  <c r="AP152" i="1"/>
  <c r="AO152" i="1"/>
  <c r="AV152" i="1" s="1"/>
  <c r="AN152" i="1"/>
  <c r="AJ152" i="1"/>
  <c r="AI152" i="1"/>
  <c r="AH152" i="1"/>
  <c r="AF152" i="1"/>
  <c r="AE152" i="1"/>
  <c r="AA152" i="1"/>
  <c r="Z152" i="1"/>
  <c r="Y152" i="1"/>
  <c r="X152" i="1"/>
  <c r="W152" i="1"/>
  <c r="P152" i="1"/>
  <c r="O152" i="1"/>
  <c r="AD152" i="1" s="1"/>
  <c r="N152" i="1"/>
  <c r="AC152" i="1" s="1"/>
  <c r="M152" i="1"/>
  <c r="AR152" i="1" s="1"/>
  <c r="AU151" i="1"/>
  <c r="AR151" i="1"/>
  <c r="AP151" i="1"/>
  <c r="AI151" i="1"/>
  <c r="AH151" i="1"/>
  <c r="AF151" i="1"/>
  <c r="AE151" i="1"/>
  <c r="AB151" i="1"/>
  <c r="AA151" i="1"/>
  <c r="Z151" i="1"/>
  <c r="Y151" i="1"/>
  <c r="X151" i="1"/>
  <c r="W151" i="1"/>
  <c r="P151" i="1"/>
  <c r="O151" i="1"/>
  <c r="AQ151" i="1" s="1"/>
  <c r="N151" i="1"/>
  <c r="AO151" i="1" s="1"/>
  <c r="M151" i="1"/>
  <c r="AU150" i="1"/>
  <c r="AT150" i="1"/>
  <c r="AP150" i="1"/>
  <c r="AJ150" i="1"/>
  <c r="AI150" i="1"/>
  <c r="AN150" i="1" s="1"/>
  <c r="AH150" i="1"/>
  <c r="AF150" i="1"/>
  <c r="AE150" i="1"/>
  <c r="AC150" i="1"/>
  <c r="AA150" i="1"/>
  <c r="Z150" i="1"/>
  <c r="Y150" i="1"/>
  <c r="X150" i="1"/>
  <c r="W150" i="1"/>
  <c r="P150" i="1"/>
  <c r="O150" i="1"/>
  <c r="AQ150" i="1" s="1"/>
  <c r="N150" i="1"/>
  <c r="AO150" i="1" s="1"/>
  <c r="M150" i="1"/>
  <c r="AR150" i="1" s="1"/>
  <c r="AU149" i="1"/>
  <c r="AR149" i="1"/>
  <c r="AP149" i="1"/>
  <c r="AN149" i="1"/>
  <c r="AI149" i="1"/>
  <c r="AT149" i="1" s="1"/>
  <c r="AH149" i="1"/>
  <c r="AF149" i="1"/>
  <c r="AE149" i="1"/>
  <c r="AD149" i="1"/>
  <c r="AB149" i="1"/>
  <c r="AA149" i="1"/>
  <c r="Z149" i="1"/>
  <c r="Y149" i="1"/>
  <c r="X149" i="1"/>
  <c r="W149" i="1"/>
  <c r="P149" i="1"/>
  <c r="O149" i="1"/>
  <c r="AQ149" i="1" s="1"/>
  <c r="N149" i="1"/>
  <c r="AC149" i="1" s="1"/>
  <c r="M149" i="1"/>
  <c r="AU148" i="1"/>
  <c r="AT148" i="1"/>
  <c r="AP148" i="1"/>
  <c r="AO148" i="1"/>
  <c r="AJ148" i="1"/>
  <c r="AI148" i="1"/>
  <c r="AN148" i="1" s="1"/>
  <c r="AH148" i="1"/>
  <c r="AF148" i="1"/>
  <c r="AE148" i="1"/>
  <c r="AC148" i="1"/>
  <c r="AA148" i="1"/>
  <c r="Z148" i="1"/>
  <c r="Y148" i="1"/>
  <c r="X148" i="1"/>
  <c r="W148" i="1"/>
  <c r="P148" i="1"/>
  <c r="O148" i="1"/>
  <c r="AD148" i="1" s="1"/>
  <c r="N148" i="1"/>
  <c r="M148" i="1"/>
  <c r="AU147" i="1"/>
  <c r="AT147" i="1"/>
  <c r="AR147" i="1"/>
  <c r="AP147" i="1"/>
  <c r="AN147" i="1"/>
  <c r="AJ147" i="1"/>
  <c r="AI147" i="1"/>
  <c r="AH147" i="1"/>
  <c r="AF147" i="1"/>
  <c r="AE147" i="1"/>
  <c r="AD147" i="1"/>
  <c r="AB147" i="1"/>
  <c r="AA147" i="1"/>
  <c r="Z147" i="1"/>
  <c r="Y147" i="1"/>
  <c r="X147" i="1"/>
  <c r="W147" i="1"/>
  <c r="P147" i="1"/>
  <c r="O147" i="1"/>
  <c r="AQ147" i="1" s="1"/>
  <c r="N147" i="1"/>
  <c r="M147" i="1"/>
  <c r="AU146" i="1"/>
  <c r="AT146" i="1"/>
  <c r="AP146" i="1"/>
  <c r="AO146" i="1"/>
  <c r="AV146" i="1" s="1"/>
  <c r="AN146" i="1"/>
  <c r="AJ146" i="1"/>
  <c r="AI146" i="1"/>
  <c r="AH146" i="1"/>
  <c r="AF146" i="1"/>
  <c r="AE146" i="1"/>
  <c r="AC146" i="1"/>
  <c r="AA146" i="1"/>
  <c r="Z146" i="1"/>
  <c r="Y146" i="1"/>
  <c r="X146" i="1"/>
  <c r="W146" i="1"/>
  <c r="P146" i="1"/>
  <c r="O146" i="1"/>
  <c r="AD146" i="1" s="1"/>
  <c r="N146" i="1"/>
  <c r="M146" i="1"/>
  <c r="AR146" i="1" s="1"/>
  <c r="AU145" i="1"/>
  <c r="AR145" i="1"/>
  <c r="AP145" i="1"/>
  <c r="AI145" i="1"/>
  <c r="AH145" i="1"/>
  <c r="AF145" i="1"/>
  <c r="AE145" i="1"/>
  <c r="AD145" i="1"/>
  <c r="AB145" i="1"/>
  <c r="AA145" i="1"/>
  <c r="Z145" i="1"/>
  <c r="Y145" i="1"/>
  <c r="X145" i="1"/>
  <c r="W145" i="1"/>
  <c r="P145" i="1"/>
  <c r="O145" i="1"/>
  <c r="AQ145" i="1" s="1"/>
  <c r="N145" i="1"/>
  <c r="AO145" i="1" s="1"/>
  <c r="M145" i="1"/>
  <c r="AU144" i="1"/>
  <c r="AT144" i="1"/>
  <c r="AP144" i="1"/>
  <c r="AJ144" i="1"/>
  <c r="AI144" i="1"/>
  <c r="AN144" i="1" s="1"/>
  <c r="AH144" i="1"/>
  <c r="AF144" i="1"/>
  <c r="AE144" i="1"/>
  <c r="AC144" i="1"/>
  <c r="AA144" i="1"/>
  <c r="Z144" i="1"/>
  <c r="Y144" i="1"/>
  <c r="X144" i="1"/>
  <c r="W144" i="1"/>
  <c r="P144" i="1"/>
  <c r="O144" i="1"/>
  <c r="AQ144" i="1" s="1"/>
  <c r="N144" i="1"/>
  <c r="AO144" i="1" s="1"/>
  <c r="AV144" i="1" s="1"/>
  <c r="M144" i="1"/>
  <c r="AR144" i="1" s="1"/>
  <c r="AU143" i="1"/>
  <c r="AR143" i="1"/>
  <c r="AP143" i="1"/>
  <c r="AN143" i="1"/>
  <c r="AI143" i="1"/>
  <c r="AT143" i="1" s="1"/>
  <c r="AH143" i="1"/>
  <c r="AF143" i="1"/>
  <c r="AE143" i="1"/>
  <c r="AD143" i="1"/>
  <c r="AB143" i="1"/>
  <c r="AA143" i="1"/>
  <c r="Z143" i="1"/>
  <c r="Y143" i="1"/>
  <c r="X143" i="1"/>
  <c r="W143" i="1"/>
  <c r="P143" i="1"/>
  <c r="O143" i="1"/>
  <c r="AQ143" i="1" s="1"/>
  <c r="N143" i="1"/>
  <c r="AC143" i="1" s="1"/>
  <c r="M143" i="1"/>
  <c r="AV142" i="1"/>
  <c r="AU142" i="1"/>
  <c r="AT142" i="1"/>
  <c r="AP142" i="1"/>
  <c r="AO142" i="1"/>
  <c r="AJ142" i="1"/>
  <c r="AI142" i="1"/>
  <c r="AN142" i="1" s="1"/>
  <c r="AH142" i="1"/>
  <c r="AF142" i="1"/>
  <c r="AE142" i="1"/>
  <c r="AC142" i="1"/>
  <c r="AA142" i="1"/>
  <c r="Z142" i="1"/>
  <c r="Y142" i="1"/>
  <c r="X142" i="1"/>
  <c r="W142" i="1"/>
  <c r="P142" i="1"/>
  <c r="O142" i="1"/>
  <c r="AD142" i="1" s="1"/>
  <c r="N142" i="1"/>
  <c r="M142" i="1"/>
  <c r="AU141" i="1"/>
  <c r="AT141" i="1"/>
  <c r="AP141" i="1"/>
  <c r="AN141" i="1"/>
  <c r="AJ141" i="1"/>
  <c r="AI141" i="1"/>
  <c r="AH141" i="1"/>
  <c r="AF141" i="1"/>
  <c r="AE141" i="1"/>
  <c r="AD141" i="1"/>
  <c r="AB141" i="1"/>
  <c r="AA141" i="1"/>
  <c r="Z141" i="1"/>
  <c r="Y141" i="1"/>
  <c r="X141" i="1"/>
  <c r="W141" i="1"/>
  <c r="P141" i="1"/>
  <c r="O141" i="1"/>
  <c r="AQ141" i="1" s="1"/>
  <c r="N141" i="1"/>
  <c r="M141" i="1"/>
  <c r="AR141" i="1" s="1"/>
  <c r="AU140" i="1"/>
  <c r="AT140" i="1"/>
  <c r="AQ140" i="1"/>
  <c r="AP140" i="1"/>
  <c r="AO140" i="1"/>
  <c r="AV140" i="1" s="1"/>
  <c r="AN140" i="1"/>
  <c r="AJ140" i="1"/>
  <c r="AI140" i="1"/>
  <c r="AH140" i="1"/>
  <c r="AF140" i="1"/>
  <c r="AE140" i="1"/>
  <c r="AC140" i="1"/>
  <c r="AA140" i="1"/>
  <c r="Z140" i="1"/>
  <c r="Y140" i="1"/>
  <c r="X140" i="1"/>
  <c r="W140" i="1"/>
  <c r="P140" i="1"/>
  <c r="O140" i="1"/>
  <c r="AD140" i="1" s="1"/>
  <c r="N140" i="1"/>
  <c r="M140" i="1"/>
  <c r="AR140" i="1" s="1"/>
  <c r="AU139" i="1"/>
  <c r="AR139" i="1"/>
  <c r="AP139" i="1"/>
  <c r="AI139" i="1"/>
  <c r="AH139" i="1"/>
  <c r="AF139" i="1"/>
  <c r="AE139" i="1"/>
  <c r="AD139" i="1"/>
  <c r="AB139" i="1"/>
  <c r="AA139" i="1"/>
  <c r="Z139" i="1"/>
  <c r="Y139" i="1"/>
  <c r="X139" i="1"/>
  <c r="W139" i="1"/>
  <c r="P139" i="1"/>
  <c r="O139" i="1"/>
  <c r="AQ139" i="1" s="1"/>
  <c r="N139" i="1"/>
  <c r="M139" i="1"/>
  <c r="AU138" i="1"/>
  <c r="AT138" i="1"/>
  <c r="AQ138" i="1"/>
  <c r="AP138" i="1"/>
  <c r="AJ138" i="1"/>
  <c r="AI138" i="1"/>
  <c r="AN138" i="1" s="1"/>
  <c r="AH138" i="1"/>
  <c r="AF138" i="1"/>
  <c r="AE138" i="1"/>
  <c r="AC138" i="1"/>
  <c r="AA138" i="1"/>
  <c r="Z138" i="1"/>
  <c r="Y138" i="1"/>
  <c r="X138" i="1"/>
  <c r="W138" i="1"/>
  <c r="P138" i="1"/>
  <c r="O138" i="1"/>
  <c r="AD138" i="1" s="1"/>
  <c r="N138" i="1"/>
  <c r="AO138" i="1" s="1"/>
  <c r="AV138" i="1" s="1"/>
  <c r="M138" i="1"/>
  <c r="AR138" i="1" s="1"/>
  <c r="AU137" i="1"/>
  <c r="AR137" i="1"/>
  <c r="AP137" i="1"/>
  <c r="AI137" i="1"/>
  <c r="AH137" i="1"/>
  <c r="AF137" i="1"/>
  <c r="AE137" i="1"/>
  <c r="AD137" i="1"/>
  <c r="AB137" i="1"/>
  <c r="AA137" i="1"/>
  <c r="Z137" i="1"/>
  <c r="Y137" i="1"/>
  <c r="X137" i="1"/>
  <c r="W137" i="1"/>
  <c r="P137" i="1"/>
  <c r="O137" i="1"/>
  <c r="AQ137" i="1" s="1"/>
  <c r="N137" i="1"/>
  <c r="AC137" i="1" s="1"/>
  <c r="M137" i="1"/>
  <c r="AU136" i="1"/>
  <c r="AT136" i="1"/>
  <c r="AP136" i="1"/>
  <c r="AO136" i="1"/>
  <c r="AV136" i="1" s="1"/>
  <c r="AJ136" i="1"/>
  <c r="AI136" i="1"/>
  <c r="AN136" i="1" s="1"/>
  <c r="AH136" i="1"/>
  <c r="AF136" i="1"/>
  <c r="AE136" i="1"/>
  <c r="AC136" i="1"/>
  <c r="AB136" i="1"/>
  <c r="AA136" i="1"/>
  <c r="Z136" i="1"/>
  <c r="Y136" i="1"/>
  <c r="X136" i="1"/>
  <c r="W136" i="1"/>
  <c r="P136" i="1"/>
  <c r="O136" i="1"/>
  <c r="AD136" i="1" s="1"/>
  <c r="N136" i="1"/>
  <c r="M136" i="1"/>
  <c r="AR136" i="1" s="1"/>
  <c r="AU135" i="1"/>
  <c r="AT135" i="1"/>
  <c r="AP135" i="1"/>
  <c r="AN135" i="1"/>
  <c r="AJ135" i="1"/>
  <c r="AI135" i="1"/>
  <c r="AH135" i="1"/>
  <c r="AF135" i="1"/>
  <c r="AE135" i="1"/>
  <c r="AD135" i="1"/>
  <c r="AB135" i="1"/>
  <c r="AA135" i="1"/>
  <c r="Z135" i="1"/>
  <c r="Y135" i="1"/>
  <c r="X135" i="1"/>
  <c r="W135" i="1"/>
  <c r="P135" i="1"/>
  <c r="O135" i="1"/>
  <c r="AQ135" i="1" s="1"/>
  <c r="N135" i="1"/>
  <c r="AO135" i="1" s="1"/>
  <c r="AV135" i="1" s="1"/>
  <c r="M135" i="1"/>
  <c r="AR135" i="1" s="1"/>
  <c r="AU134" i="1"/>
  <c r="AT134" i="1"/>
  <c r="AQ134" i="1"/>
  <c r="AP134" i="1"/>
  <c r="AO134" i="1"/>
  <c r="AV134" i="1" s="1"/>
  <c r="AN134" i="1"/>
  <c r="AJ134" i="1"/>
  <c r="AI134" i="1"/>
  <c r="AH134" i="1"/>
  <c r="AF134" i="1"/>
  <c r="AE134" i="1"/>
  <c r="AA134" i="1"/>
  <c r="Z134" i="1"/>
  <c r="Y134" i="1"/>
  <c r="X134" i="1"/>
  <c r="W134" i="1"/>
  <c r="P134" i="1"/>
  <c r="O134" i="1"/>
  <c r="AD134" i="1" s="1"/>
  <c r="N134" i="1"/>
  <c r="AC134" i="1" s="1"/>
  <c r="M134" i="1"/>
  <c r="AU133" i="1"/>
  <c r="AP133" i="1"/>
  <c r="AI133" i="1"/>
  <c r="AH133" i="1"/>
  <c r="AF133" i="1"/>
  <c r="AE133" i="1"/>
  <c r="AA133" i="1"/>
  <c r="Z133" i="1"/>
  <c r="Y133" i="1"/>
  <c r="X133" i="1"/>
  <c r="W133" i="1"/>
  <c r="P133" i="1"/>
  <c r="O133" i="1"/>
  <c r="AQ133" i="1" s="1"/>
  <c r="N133" i="1"/>
  <c r="AC133" i="1" s="1"/>
  <c r="M133" i="1"/>
  <c r="AR133" i="1" s="1"/>
  <c r="AU132" i="1"/>
  <c r="AT132" i="1"/>
  <c r="AP132" i="1"/>
  <c r="AJ132" i="1"/>
  <c r="AI132" i="1"/>
  <c r="AN132" i="1" s="1"/>
  <c r="AH132" i="1"/>
  <c r="AF132" i="1"/>
  <c r="AE132" i="1"/>
  <c r="AA132" i="1"/>
  <c r="Z132" i="1"/>
  <c r="Y132" i="1"/>
  <c r="X132" i="1"/>
  <c r="W132" i="1"/>
  <c r="P132" i="1"/>
  <c r="O132" i="1"/>
  <c r="AD132" i="1" s="1"/>
  <c r="N132" i="1"/>
  <c r="AO132" i="1" s="1"/>
  <c r="AV132" i="1" s="1"/>
  <c r="M132" i="1"/>
  <c r="AR132" i="1" s="1"/>
  <c r="AU131" i="1"/>
  <c r="AR131" i="1"/>
  <c r="AP131" i="1"/>
  <c r="AN131" i="1"/>
  <c r="AI131" i="1"/>
  <c r="AH131" i="1"/>
  <c r="AF131" i="1"/>
  <c r="AE131" i="1"/>
  <c r="AB131" i="1"/>
  <c r="AA131" i="1"/>
  <c r="Z131" i="1"/>
  <c r="Y131" i="1"/>
  <c r="X131" i="1"/>
  <c r="W131" i="1"/>
  <c r="P131" i="1"/>
  <c r="O131" i="1"/>
  <c r="AQ131" i="1" s="1"/>
  <c r="N131" i="1"/>
  <c r="AC131" i="1" s="1"/>
  <c r="M131" i="1"/>
  <c r="AU130" i="1"/>
  <c r="AT130" i="1"/>
  <c r="AP130" i="1"/>
  <c r="AO130" i="1"/>
  <c r="AI130" i="1"/>
  <c r="AN130" i="1" s="1"/>
  <c r="AH130" i="1"/>
  <c r="AF130" i="1"/>
  <c r="AE130" i="1"/>
  <c r="AC130" i="1"/>
  <c r="AA130" i="1"/>
  <c r="Z130" i="1"/>
  <c r="Y130" i="1"/>
  <c r="X130" i="1"/>
  <c r="W130" i="1"/>
  <c r="P130" i="1"/>
  <c r="O130" i="1"/>
  <c r="AD130" i="1" s="1"/>
  <c r="N130" i="1"/>
  <c r="M130" i="1"/>
  <c r="AR130" i="1" s="1"/>
  <c r="AV130" i="1" s="1"/>
  <c r="AU129" i="1"/>
  <c r="AT129" i="1"/>
  <c r="AR129" i="1"/>
  <c r="AP129" i="1"/>
  <c r="AN129" i="1"/>
  <c r="AJ129" i="1"/>
  <c r="AI129" i="1"/>
  <c r="AH129" i="1"/>
  <c r="AF129" i="1"/>
  <c r="AE129" i="1"/>
  <c r="AD129" i="1"/>
  <c r="AC129" i="1"/>
  <c r="AB129" i="1"/>
  <c r="AA129" i="1"/>
  <c r="Z129" i="1"/>
  <c r="Y129" i="1"/>
  <c r="X129" i="1"/>
  <c r="W129" i="1"/>
  <c r="P129" i="1"/>
  <c r="O129" i="1"/>
  <c r="AQ129" i="1" s="1"/>
  <c r="N129" i="1"/>
  <c r="AO129" i="1" s="1"/>
  <c r="AV129" i="1" s="1"/>
  <c r="M129" i="1"/>
  <c r="AV128" i="1"/>
  <c r="AU128" i="1"/>
  <c r="AT128" i="1"/>
  <c r="AQ128" i="1"/>
  <c r="AP128" i="1"/>
  <c r="AO128" i="1"/>
  <c r="AN128" i="1"/>
  <c r="AJ128" i="1"/>
  <c r="AI128" i="1"/>
  <c r="AH128" i="1"/>
  <c r="AF128" i="1"/>
  <c r="AE128" i="1"/>
  <c r="AD128" i="1"/>
  <c r="AC128" i="1"/>
  <c r="AA128" i="1"/>
  <c r="Z128" i="1"/>
  <c r="Y128" i="1"/>
  <c r="X128" i="1"/>
  <c r="W128" i="1"/>
  <c r="P128" i="1"/>
  <c r="O128" i="1"/>
  <c r="N128" i="1"/>
  <c r="M128" i="1"/>
  <c r="AU127" i="1"/>
  <c r="AR127" i="1"/>
  <c r="AP127" i="1"/>
  <c r="AO127" i="1"/>
  <c r="AI127" i="1"/>
  <c r="AN127" i="1" s="1"/>
  <c r="AH127" i="1"/>
  <c r="AF127" i="1"/>
  <c r="AE127" i="1"/>
  <c r="AC127" i="1"/>
  <c r="AB127" i="1"/>
  <c r="AA127" i="1"/>
  <c r="Z127" i="1"/>
  <c r="Y127" i="1"/>
  <c r="X127" i="1"/>
  <c r="W127" i="1"/>
  <c r="P127" i="1"/>
  <c r="O127" i="1"/>
  <c r="AQ127" i="1" s="1"/>
  <c r="N127" i="1"/>
  <c r="M127" i="1"/>
  <c r="AU126" i="1"/>
  <c r="AT126" i="1"/>
  <c r="AR126" i="1"/>
  <c r="AP126" i="1"/>
  <c r="AO126" i="1"/>
  <c r="AV126" i="1" s="1"/>
  <c r="AJ126" i="1"/>
  <c r="AI126" i="1"/>
  <c r="AN126" i="1" s="1"/>
  <c r="AH126" i="1"/>
  <c r="AF126" i="1"/>
  <c r="AE126" i="1"/>
  <c r="AD126" i="1"/>
  <c r="AC126" i="1"/>
  <c r="AB126" i="1"/>
  <c r="AA126" i="1"/>
  <c r="Z126" i="1"/>
  <c r="Y126" i="1"/>
  <c r="X126" i="1"/>
  <c r="W126" i="1"/>
  <c r="P126" i="1"/>
  <c r="O126" i="1"/>
  <c r="AQ126" i="1" s="1"/>
  <c r="N126" i="1"/>
  <c r="M126" i="1"/>
  <c r="AU125" i="1"/>
  <c r="AT125" i="1"/>
  <c r="AP125" i="1"/>
  <c r="AN125" i="1"/>
  <c r="AJ125" i="1"/>
  <c r="AI125" i="1"/>
  <c r="AH125" i="1"/>
  <c r="AF125" i="1"/>
  <c r="AE125" i="1"/>
  <c r="AD125" i="1"/>
  <c r="AC125" i="1"/>
  <c r="AA125" i="1"/>
  <c r="Z125" i="1"/>
  <c r="Y125" i="1"/>
  <c r="X125" i="1"/>
  <c r="W125" i="1"/>
  <c r="P125" i="1"/>
  <c r="O125" i="1"/>
  <c r="AQ125" i="1" s="1"/>
  <c r="N125" i="1"/>
  <c r="AO125" i="1" s="1"/>
  <c r="M125" i="1"/>
  <c r="AR125" i="1" s="1"/>
  <c r="AU124" i="1"/>
  <c r="AP124" i="1"/>
  <c r="AO124" i="1"/>
  <c r="AV124" i="1" s="1"/>
  <c r="AN124" i="1"/>
  <c r="AI124" i="1"/>
  <c r="AT124" i="1" s="1"/>
  <c r="AH124" i="1"/>
  <c r="AF124" i="1"/>
  <c r="AE124" i="1"/>
  <c r="AD124" i="1"/>
  <c r="AA124" i="1"/>
  <c r="Z124" i="1"/>
  <c r="Y124" i="1"/>
  <c r="X124" i="1"/>
  <c r="W124" i="1"/>
  <c r="P124" i="1"/>
  <c r="O124" i="1"/>
  <c r="AQ124" i="1" s="1"/>
  <c r="N124" i="1"/>
  <c r="AC124" i="1" s="1"/>
  <c r="M124" i="1"/>
  <c r="AR124" i="1" s="1"/>
  <c r="AU123" i="1"/>
  <c r="AP123" i="1"/>
  <c r="AI123" i="1"/>
  <c r="AN123" i="1" s="1"/>
  <c r="AH123" i="1"/>
  <c r="AF123" i="1"/>
  <c r="AE123" i="1"/>
  <c r="AA123" i="1"/>
  <c r="Z123" i="1"/>
  <c r="Y123" i="1"/>
  <c r="X123" i="1"/>
  <c r="W123" i="1"/>
  <c r="P123" i="1"/>
  <c r="O123" i="1"/>
  <c r="AD123" i="1" s="1"/>
  <c r="N123" i="1"/>
  <c r="AO123" i="1" s="1"/>
  <c r="AV123" i="1" s="1"/>
  <c r="M123" i="1"/>
  <c r="AR123" i="1" s="1"/>
  <c r="AU122" i="1"/>
  <c r="AT122" i="1"/>
  <c r="AR122" i="1"/>
  <c r="AP122" i="1"/>
  <c r="AJ122" i="1"/>
  <c r="AI122" i="1"/>
  <c r="AN122" i="1" s="1"/>
  <c r="AH122" i="1"/>
  <c r="AF122" i="1"/>
  <c r="AE122" i="1"/>
  <c r="AB122" i="1"/>
  <c r="AA122" i="1"/>
  <c r="Z122" i="1"/>
  <c r="Y122" i="1"/>
  <c r="X122" i="1"/>
  <c r="W122" i="1"/>
  <c r="P122" i="1"/>
  <c r="O122" i="1"/>
  <c r="AQ122" i="1" s="1"/>
  <c r="N122" i="1"/>
  <c r="AO122" i="1" s="1"/>
  <c r="AV122" i="1" s="1"/>
  <c r="M122" i="1"/>
  <c r="AU121" i="1"/>
  <c r="AR121" i="1"/>
  <c r="AP121" i="1"/>
  <c r="AO121" i="1"/>
  <c r="AV121" i="1" s="1"/>
  <c r="AI121" i="1"/>
  <c r="AN121" i="1" s="1"/>
  <c r="AH121" i="1"/>
  <c r="AF121" i="1"/>
  <c r="AE121" i="1"/>
  <c r="AC121" i="1"/>
  <c r="AB121" i="1"/>
  <c r="AA121" i="1"/>
  <c r="Z121" i="1"/>
  <c r="Y121" i="1"/>
  <c r="X121" i="1"/>
  <c r="W121" i="1"/>
  <c r="P121" i="1"/>
  <c r="O121" i="1"/>
  <c r="AQ121" i="1" s="1"/>
  <c r="N121" i="1"/>
  <c r="M121" i="1"/>
  <c r="AU120" i="1"/>
  <c r="AT120" i="1"/>
  <c r="AR120" i="1"/>
  <c r="AP120" i="1"/>
  <c r="AO120" i="1"/>
  <c r="AV120" i="1" s="1"/>
  <c r="AJ120" i="1"/>
  <c r="AI120" i="1"/>
  <c r="AN120" i="1" s="1"/>
  <c r="AH120" i="1"/>
  <c r="AF120" i="1"/>
  <c r="AE120" i="1"/>
  <c r="AD120" i="1"/>
  <c r="AC120" i="1"/>
  <c r="AB120" i="1"/>
  <c r="AA120" i="1"/>
  <c r="Z120" i="1"/>
  <c r="Y120" i="1"/>
  <c r="X120" i="1"/>
  <c r="W120" i="1"/>
  <c r="P120" i="1"/>
  <c r="O120" i="1"/>
  <c r="AQ120" i="1" s="1"/>
  <c r="N120" i="1"/>
  <c r="M120" i="1"/>
  <c r="AU119" i="1"/>
  <c r="AT119" i="1"/>
  <c r="AP119" i="1"/>
  <c r="AN119" i="1"/>
  <c r="AJ119" i="1"/>
  <c r="AI119" i="1"/>
  <c r="AH119" i="1"/>
  <c r="AF119" i="1"/>
  <c r="AE119" i="1"/>
  <c r="AD119" i="1"/>
  <c r="AC119" i="1"/>
  <c r="AA119" i="1"/>
  <c r="Z119" i="1"/>
  <c r="Y119" i="1"/>
  <c r="X119" i="1"/>
  <c r="W119" i="1"/>
  <c r="P119" i="1"/>
  <c r="O119" i="1"/>
  <c r="AQ119" i="1" s="1"/>
  <c r="N119" i="1"/>
  <c r="AO119" i="1" s="1"/>
  <c r="AV119" i="1" s="1"/>
  <c r="M119" i="1"/>
  <c r="AR119" i="1" s="1"/>
  <c r="AU118" i="1"/>
  <c r="AP118" i="1"/>
  <c r="AO118" i="1"/>
  <c r="AN118" i="1"/>
  <c r="AI118" i="1"/>
  <c r="AT118" i="1" s="1"/>
  <c r="AH118" i="1"/>
  <c r="AF118" i="1"/>
  <c r="AE118" i="1"/>
  <c r="AD118" i="1"/>
  <c r="AA118" i="1"/>
  <c r="Z118" i="1"/>
  <c r="Y118" i="1"/>
  <c r="X118" i="1"/>
  <c r="W118" i="1"/>
  <c r="P118" i="1"/>
  <c r="O118" i="1"/>
  <c r="AQ118" i="1" s="1"/>
  <c r="N118" i="1"/>
  <c r="AC118" i="1" s="1"/>
  <c r="M118" i="1"/>
  <c r="AR118" i="1" s="1"/>
  <c r="AU117" i="1"/>
  <c r="AP117" i="1"/>
  <c r="AI117" i="1"/>
  <c r="AN117" i="1" s="1"/>
  <c r="AH117" i="1"/>
  <c r="AF117" i="1"/>
  <c r="AE117" i="1"/>
  <c r="AA117" i="1"/>
  <c r="Z117" i="1"/>
  <c r="Y117" i="1"/>
  <c r="X117" i="1"/>
  <c r="W117" i="1"/>
  <c r="P117" i="1"/>
  <c r="O117" i="1"/>
  <c r="AD117" i="1" s="1"/>
  <c r="N117" i="1"/>
  <c r="AO117" i="1" s="1"/>
  <c r="M117" i="1"/>
  <c r="AR117" i="1" s="1"/>
  <c r="AU116" i="1"/>
  <c r="AT116" i="1"/>
  <c r="AR116" i="1"/>
  <c r="AP116" i="1"/>
  <c r="AN116" i="1"/>
  <c r="AJ116" i="1"/>
  <c r="AI116" i="1"/>
  <c r="AH116" i="1"/>
  <c r="AF116" i="1"/>
  <c r="AE116" i="1"/>
  <c r="AB116" i="1"/>
  <c r="AA116" i="1"/>
  <c r="Z116" i="1"/>
  <c r="Y116" i="1"/>
  <c r="X116" i="1"/>
  <c r="W116" i="1"/>
  <c r="P116" i="1"/>
  <c r="O116" i="1"/>
  <c r="AQ116" i="1" s="1"/>
  <c r="N116" i="1"/>
  <c r="AO116" i="1" s="1"/>
  <c r="AV116" i="1" s="1"/>
  <c r="M116" i="1"/>
  <c r="AU115" i="1"/>
  <c r="AR115" i="1"/>
  <c r="AP115" i="1"/>
  <c r="AO115" i="1"/>
  <c r="AV115" i="1" s="1"/>
  <c r="AI115" i="1"/>
  <c r="AN115" i="1" s="1"/>
  <c r="AH115" i="1"/>
  <c r="AF115" i="1"/>
  <c r="AE115" i="1"/>
  <c r="AC115" i="1"/>
  <c r="AB115" i="1"/>
  <c r="AA115" i="1"/>
  <c r="Z115" i="1"/>
  <c r="Y115" i="1"/>
  <c r="X115" i="1"/>
  <c r="W115" i="1"/>
  <c r="P115" i="1"/>
  <c r="O115" i="1"/>
  <c r="AQ115" i="1" s="1"/>
  <c r="N115" i="1"/>
  <c r="M115" i="1"/>
  <c r="AU114" i="1"/>
  <c r="AT114" i="1"/>
  <c r="AR114" i="1"/>
  <c r="AP114" i="1"/>
  <c r="AJ114" i="1"/>
  <c r="AI114" i="1"/>
  <c r="AN114" i="1" s="1"/>
  <c r="AH114" i="1"/>
  <c r="AF114" i="1"/>
  <c r="AE114" i="1"/>
  <c r="AC114" i="1"/>
  <c r="AB114" i="1"/>
  <c r="AA114" i="1"/>
  <c r="Z114" i="1"/>
  <c r="Y114" i="1"/>
  <c r="X114" i="1"/>
  <c r="W114" i="1"/>
  <c r="P114" i="1"/>
  <c r="O114" i="1"/>
  <c r="AQ114" i="1" s="1"/>
  <c r="N114" i="1"/>
  <c r="AO114" i="1" s="1"/>
  <c r="AV114" i="1" s="1"/>
  <c r="M114" i="1"/>
  <c r="AU113" i="1"/>
  <c r="AT113" i="1"/>
  <c r="AR113" i="1"/>
  <c r="AP113" i="1"/>
  <c r="AN113" i="1"/>
  <c r="AJ113" i="1"/>
  <c r="AI113" i="1"/>
  <c r="AH113" i="1"/>
  <c r="AF113" i="1"/>
  <c r="AE113" i="1"/>
  <c r="AD113" i="1"/>
  <c r="AC113" i="1"/>
  <c r="AB113" i="1"/>
  <c r="AA113" i="1"/>
  <c r="Z113" i="1"/>
  <c r="Y113" i="1"/>
  <c r="X113" i="1"/>
  <c r="W113" i="1"/>
  <c r="P113" i="1"/>
  <c r="O113" i="1"/>
  <c r="AQ113" i="1" s="1"/>
  <c r="N113" i="1"/>
  <c r="AO113" i="1" s="1"/>
  <c r="AV113" i="1" s="1"/>
  <c r="M113" i="1"/>
  <c r="AU112" i="1"/>
  <c r="AP112" i="1"/>
  <c r="AO112" i="1"/>
  <c r="AN112" i="1"/>
  <c r="AI112" i="1"/>
  <c r="AT112" i="1" s="1"/>
  <c r="AH112" i="1"/>
  <c r="AF112" i="1"/>
  <c r="AE112" i="1"/>
  <c r="AD112" i="1"/>
  <c r="AC112" i="1"/>
  <c r="AA112" i="1"/>
  <c r="Z112" i="1"/>
  <c r="Y112" i="1"/>
  <c r="X112" i="1"/>
  <c r="W112" i="1"/>
  <c r="P112" i="1"/>
  <c r="O112" i="1"/>
  <c r="AQ112" i="1" s="1"/>
  <c r="N112" i="1"/>
  <c r="M112" i="1"/>
  <c r="AU111" i="1"/>
  <c r="AT111" i="1"/>
  <c r="AP111" i="1"/>
  <c r="AN111" i="1"/>
  <c r="AJ111" i="1"/>
  <c r="AI111" i="1"/>
  <c r="AH111" i="1"/>
  <c r="AF111" i="1"/>
  <c r="AE111" i="1"/>
  <c r="AD111" i="1"/>
  <c r="AA111" i="1"/>
  <c r="Z111" i="1"/>
  <c r="Y111" i="1"/>
  <c r="X111" i="1"/>
  <c r="W111" i="1"/>
  <c r="P111" i="1"/>
  <c r="O111" i="1"/>
  <c r="AQ111" i="1" s="1"/>
  <c r="N111" i="1"/>
  <c r="M111" i="1"/>
  <c r="AR111" i="1" s="1"/>
  <c r="AU110" i="1"/>
  <c r="AT110" i="1"/>
  <c r="AQ110" i="1"/>
  <c r="AP110" i="1"/>
  <c r="AN110" i="1"/>
  <c r="AJ110" i="1"/>
  <c r="AI110" i="1"/>
  <c r="AH110" i="1"/>
  <c r="AF110" i="1"/>
  <c r="AE110" i="1"/>
  <c r="AA110" i="1"/>
  <c r="Z110" i="1"/>
  <c r="Y110" i="1"/>
  <c r="X110" i="1"/>
  <c r="W110" i="1"/>
  <c r="P110" i="1"/>
  <c r="O110" i="1"/>
  <c r="AD110" i="1" s="1"/>
  <c r="N110" i="1"/>
  <c r="AO110" i="1" s="1"/>
  <c r="M110" i="1"/>
  <c r="AR110" i="1" s="1"/>
  <c r="AU109" i="1"/>
  <c r="AR109" i="1"/>
  <c r="AP109" i="1"/>
  <c r="AO109" i="1"/>
  <c r="AI109" i="1"/>
  <c r="AH109" i="1"/>
  <c r="AF109" i="1"/>
  <c r="AE109" i="1"/>
  <c r="AB109" i="1"/>
  <c r="AA109" i="1"/>
  <c r="Z109" i="1"/>
  <c r="Y109" i="1"/>
  <c r="X109" i="1"/>
  <c r="W109" i="1"/>
  <c r="P109" i="1"/>
  <c r="O109" i="1"/>
  <c r="AQ109" i="1" s="1"/>
  <c r="N109" i="1"/>
  <c r="AC109" i="1" s="1"/>
  <c r="M109" i="1"/>
  <c r="AU108" i="1"/>
  <c r="AT108" i="1"/>
  <c r="AR108" i="1"/>
  <c r="AP108" i="1"/>
  <c r="AJ108" i="1"/>
  <c r="AI108" i="1"/>
  <c r="AN108" i="1" s="1"/>
  <c r="AH108" i="1"/>
  <c r="AF108" i="1"/>
  <c r="AE108" i="1"/>
  <c r="AC108" i="1"/>
  <c r="AB108" i="1"/>
  <c r="AA108" i="1"/>
  <c r="Z108" i="1"/>
  <c r="Y108" i="1"/>
  <c r="X108" i="1"/>
  <c r="W108" i="1"/>
  <c r="P108" i="1"/>
  <c r="O108" i="1"/>
  <c r="AQ108" i="1" s="1"/>
  <c r="N108" i="1"/>
  <c r="AO108" i="1" s="1"/>
  <c r="AV108" i="1" s="1"/>
  <c r="M108" i="1"/>
  <c r="AU107" i="1"/>
  <c r="AT107" i="1"/>
  <c r="AR107" i="1"/>
  <c r="AP107" i="1"/>
  <c r="AN107" i="1"/>
  <c r="AJ107" i="1"/>
  <c r="AI107" i="1"/>
  <c r="AH107" i="1"/>
  <c r="AF107" i="1"/>
  <c r="AE107" i="1"/>
  <c r="AD107" i="1"/>
  <c r="AC107" i="1"/>
  <c r="AB107" i="1"/>
  <c r="AA107" i="1"/>
  <c r="Z107" i="1"/>
  <c r="Y107" i="1"/>
  <c r="X107" i="1"/>
  <c r="W107" i="1"/>
  <c r="P107" i="1"/>
  <c r="O107" i="1"/>
  <c r="AQ107" i="1" s="1"/>
  <c r="N107" i="1"/>
  <c r="AO107" i="1" s="1"/>
  <c r="AV107" i="1" s="1"/>
  <c r="M107" i="1"/>
  <c r="AV106" i="1"/>
  <c r="AU106" i="1"/>
  <c r="AP106" i="1"/>
  <c r="AO106" i="1"/>
  <c r="AN106" i="1"/>
  <c r="AI106" i="1"/>
  <c r="AT106" i="1" s="1"/>
  <c r="AH106" i="1"/>
  <c r="AF106" i="1"/>
  <c r="AE106" i="1"/>
  <c r="AD106" i="1"/>
  <c r="AC106" i="1"/>
  <c r="AA106" i="1"/>
  <c r="Z106" i="1"/>
  <c r="Y106" i="1"/>
  <c r="X106" i="1"/>
  <c r="W106" i="1"/>
  <c r="P106" i="1"/>
  <c r="O106" i="1"/>
  <c r="AQ106" i="1" s="1"/>
  <c r="N106" i="1"/>
  <c r="M106" i="1"/>
  <c r="AU105" i="1"/>
  <c r="AT105" i="1"/>
  <c r="AP105" i="1"/>
  <c r="AN105" i="1"/>
  <c r="AJ105" i="1"/>
  <c r="AI105" i="1"/>
  <c r="AH105" i="1"/>
  <c r="AF105" i="1"/>
  <c r="AE105" i="1"/>
  <c r="AD105" i="1"/>
  <c r="AA105" i="1"/>
  <c r="Z105" i="1"/>
  <c r="Y105" i="1"/>
  <c r="X105" i="1"/>
  <c r="W105" i="1"/>
  <c r="P105" i="1"/>
  <c r="O105" i="1"/>
  <c r="AQ105" i="1" s="1"/>
  <c r="N105" i="1"/>
  <c r="M105" i="1"/>
  <c r="AR105" i="1" s="1"/>
  <c r="AU104" i="1"/>
  <c r="AT104" i="1"/>
  <c r="AQ104" i="1"/>
  <c r="AP104" i="1"/>
  <c r="AN104" i="1"/>
  <c r="AJ104" i="1"/>
  <c r="AI104" i="1"/>
  <c r="AH104" i="1"/>
  <c r="AF104" i="1"/>
  <c r="AE104" i="1"/>
  <c r="AA104" i="1"/>
  <c r="Z104" i="1"/>
  <c r="Y104" i="1"/>
  <c r="X104" i="1"/>
  <c r="W104" i="1"/>
  <c r="P104" i="1"/>
  <c r="O104" i="1"/>
  <c r="AD104" i="1" s="1"/>
  <c r="N104" i="1"/>
  <c r="AO104" i="1" s="1"/>
  <c r="AV104" i="1" s="1"/>
  <c r="M104" i="1"/>
  <c r="AR104" i="1" s="1"/>
  <c r="AU103" i="1"/>
  <c r="AR103" i="1"/>
  <c r="AP103" i="1"/>
  <c r="AO103" i="1"/>
  <c r="AI103" i="1"/>
  <c r="AH103" i="1"/>
  <c r="AF103" i="1"/>
  <c r="AE103" i="1"/>
  <c r="AB103" i="1"/>
  <c r="AA103" i="1"/>
  <c r="Z103" i="1"/>
  <c r="Y103" i="1"/>
  <c r="X103" i="1"/>
  <c r="W103" i="1"/>
  <c r="P103" i="1"/>
  <c r="O103" i="1"/>
  <c r="AQ103" i="1" s="1"/>
  <c r="N103" i="1"/>
  <c r="AC103" i="1" s="1"/>
  <c r="M103" i="1"/>
  <c r="AU102" i="1"/>
  <c r="AT102" i="1"/>
  <c r="AR102" i="1"/>
  <c r="AP102" i="1"/>
  <c r="AJ102" i="1"/>
  <c r="AI102" i="1"/>
  <c r="AN102" i="1" s="1"/>
  <c r="AH102" i="1"/>
  <c r="AF102" i="1"/>
  <c r="AE102" i="1"/>
  <c r="AC102" i="1"/>
  <c r="AB102" i="1"/>
  <c r="AA102" i="1"/>
  <c r="Z102" i="1"/>
  <c r="Y102" i="1"/>
  <c r="X102" i="1"/>
  <c r="W102" i="1"/>
  <c r="P102" i="1"/>
  <c r="O102" i="1"/>
  <c r="AQ102" i="1" s="1"/>
  <c r="N102" i="1"/>
  <c r="AO102" i="1" s="1"/>
  <c r="M102" i="1"/>
  <c r="AU101" i="1"/>
  <c r="AT101" i="1"/>
  <c r="AR101" i="1"/>
  <c r="AP101" i="1"/>
  <c r="AN101" i="1"/>
  <c r="AJ101" i="1"/>
  <c r="AI101" i="1"/>
  <c r="AH101" i="1"/>
  <c r="AF101" i="1"/>
  <c r="AE101" i="1"/>
  <c r="AD101" i="1"/>
  <c r="AC101" i="1"/>
  <c r="AB101" i="1"/>
  <c r="AA101" i="1"/>
  <c r="Z101" i="1"/>
  <c r="Y101" i="1"/>
  <c r="X101" i="1"/>
  <c r="W101" i="1"/>
  <c r="P101" i="1"/>
  <c r="O101" i="1"/>
  <c r="AQ101" i="1" s="1"/>
  <c r="N101" i="1"/>
  <c r="AO101" i="1" s="1"/>
  <c r="AV101" i="1" s="1"/>
  <c r="M101" i="1"/>
  <c r="AU100" i="1"/>
  <c r="AP100" i="1"/>
  <c r="AO100" i="1"/>
  <c r="AN100" i="1"/>
  <c r="AI100" i="1"/>
  <c r="AT100" i="1" s="1"/>
  <c r="AH100" i="1"/>
  <c r="AF100" i="1"/>
  <c r="AE100" i="1"/>
  <c r="AD100" i="1"/>
  <c r="AC100" i="1"/>
  <c r="AA100" i="1"/>
  <c r="Z100" i="1"/>
  <c r="Y100" i="1"/>
  <c r="X100" i="1"/>
  <c r="W100" i="1"/>
  <c r="P100" i="1"/>
  <c r="O100" i="1"/>
  <c r="AQ100" i="1" s="1"/>
  <c r="N100" i="1"/>
  <c r="M100" i="1"/>
  <c r="AU99" i="1"/>
  <c r="AT99" i="1"/>
  <c r="AP99" i="1"/>
  <c r="AN99" i="1"/>
  <c r="AJ99" i="1"/>
  <c r="AI99" i="1"/>
  <c r="AH99" i="1"/>
  <c r="AF99" i="1"/>
  <c r="AE99" i="1"/>
  <c r="AD99" i="1"/>
  <c r="AA99" i="1"/>
  <c r="Z99" i="1"/>
  <c r="Y99" i="1"/>
  <c r="X99" i="1"/>
  <c r="W99" i="1"/>
  <c r="P99" i="1"/>
  <c r="O99" i="1"/>
  <c r="AQ99" i="1" s="1"/>
  <c r="N99" i="1"/>
  <c r="M99" i="1"/>
  <c r="AR99" i="1" s="1"/>
  <c r="AU98" i="1"/>
  <c r="AT98" i="1"/>
  <c r="AP98" i="1"/>
  <c r="AN98" i="1"/>
  <c r="AJ98" i="1"/>
  <c r="AI98" i="1"/>
  <c r="AH98" i="1"/>
  <c r="AF98" i="1"/>
  <c r="AE98" i="1"/>
  <c r="AA98" i="1"/>
  <c r="Z98" i="1"/>
  <c r="Y98" i="1"/>
  <c r="X98" i="1"/>
  <c r="W98" i="1"/>
  <c r="P98" i="1"/>
  <c r="O98" i="1"/>
  <c r="AD98" i="1" s="1"/>
  <c r="N98" i="1"/>
  <c r="AO98" i="1" s="1"/>
  <c r="AV98" i="1" s="1"/>
  <c r="M98" i="1"/>
  <c r="AR98" i="1" s="1"/>
  <c r="AU97" i="1"/>
  <c r="AR97" i="1"/>
  <c r="AP97" i="1"/>
  <c r="AO97" i="1"/>
  <c r="AV97" i="1" s="1"/>
  <c r="AI97" i="1"/>
  <c r="AH97" i="1"/>
  <c r="AF97" i="1"/>
  <c r="AE97" i="1"/>
  <c r="AB97" i="1"/>
  <c r="AA97" i="1"/>
  <c r="Z97" i="1"/>
  <c r="Y97" i="1"/>
  <c r="X97" i="1"/>
  <c r="W97" i="1"/>
  <c r="P97" i="1"/>
  <c r="O97" i="1"/>
  <c r="AQ97" i="1" s="1"/>
  <c r="N97" i="1"/>
  <c r="AC97" i="1" s="1"/>
  <c r="M97" i="1"/>
  <c r="AU96" i="1"/>
  <c r="AT96" i="1"/>
  <c r="AR96" i="1"/>
  <c r="AP96" i="1"/>
  <c r="AJ96" i="1"/>
  <c r="AI96" i="1"/>
  <c r="AN96" i="1" s="1"/>
  <c r="AH96" i="1"/>
  <c r="AF96" i="1"/>
  <c r="AE96" i="1"/>
  <c r="AC96" i="1"/>
  <c r="AB96" i="1"/>
  <c r="AA96" i="1"/>
  <c r="Z96" i="1"/>
  <c r="Y96" i="1"/>
  <c r="X96" i="1"/>
  <c r="W96" i="1"/>
  <c r="P96" i="1"/>
  <c r="O96" i="1"/>
  <c r="AQ96" i="1" s="1"/>
  <c r="N96" i="1"/>
  <c r="AO96" i="1" s="1"/>
  <c r="AV96" i="1" s="1"/>
  <c r="M96" i="1"/>
  <c r="AU95" i="1"/>
  <c r="AT95" i="1"/>
  <c r="AR95" i="1"/>
  <c r="AP95" i="1"/>
  <c r="AN95" i="1"/>
  <c r="AJ95" i="1"/>
  <c r="AI95" i="1"/>
  <c r="AH95" i="1"/>
  <c r="AF95" i="1"/>
  <c r="AE95" i="1"/>
  <c r="AD95" i="1"/>
  <c r="AC95" i="1"/>
  <c r="AB95" i="1"/>
  <c r="AA95" i="1"/>
  <c r="Z95" i="1"/>
  <c r="Y95" i="1"/>
  <c r="X95" i="1"/>
  <c r="W95" i="1"/>
  <c r="P95" i="1"/>
  <c r="O95" i="1"/>
  <c r="AQ95" i="1" s="1"/>
  <c r="N95" i="1"/>
  <c r="AO95" i="1" s="1"/>
  <c r="AV95" i="1" s="1"/>
  <c r="M95" i="1"/>
  <c r="AU94" i="1"/>
  <c r="AP94" i="1"/>
  <c r="AO94" i="1"/>
  <c r="AN94" i="1"/>
  <c r="AI94" i="1"/>
  <c r="AT94" i="1" s="1"/>
  <c r="AH94" i="1"/>
  <c r="AF94" i="1"/>
  <c r="AE94" i="1"/>
  <c r="AD94" i="1"/>
  <c r="AC94" i="1"/>
  <c r="AA94" i="1"/>
  <c r="Z94" i="1"/>
  <c r="Y94" i="1"/>
  <c r="X94" i="1"/>
  <c r="W94" i="1"/>
  <c r="P94" i="1"/>
  <c r="O94" i="1"/>
  <c r="AQ94" i="1" s="1"/>
  <c r="N94" i="1"/>
  <c r="M94" i="1"/>
  <c r="AU93" i="1"/>
  <c r="AT93" i="1"/>
  <c r="AP93" i="1"/>
  <c r="AN93" i="1"/>
  <c r="AJ93" i="1"/>
  <c r="AI93" i="1"/>
  <c r="AH93" i="1"/>
  <c r="AF93" i="1"/>
  <c r="AE93" i="1"/>
  <c r="AD93" i="1"/>
  <c r="AA93" i="1"/>
  <c r="Z93" i="1"/>
  <c r="Y93" i="1"/>
  <c r="X93" i="1"/>
  <c r="W93" i="1"/>
  <c r="P93" i="1"/>
  <c r="O93" i="1"/>
  <c r="AQ93" i="1" s="1"/>
  <c r="N93" i="1"/>
  <c r="M93" i="1"/>
  <c r="AR93" i="1" s="1"/>
  <c r="AU92" i="1"/>
  <c r="AT92" i="1"/>
  <c r="AP92" i="1"/>
  <c r="AN92" i="1"/>
  <c r="AJ92" i="1"/>
  <c r="AI92" i="1"/>
  <c r="AH92" i="1"/>
  <c r="AF92" i="1"/>
  <c r="AE92" i="1"/>
  <c r="AA92" i="1"/>
  <c r="Z92" i="1"/>
  <c r="Y92" i="1"/>
  <c r="X92" i="1"/>
  <c r="W92" i="1"/>
  <c r="P92" i="1"/>
  <c r="O92" i="1"/>
  <c r="AD92" i="1" s="1"/>
  <c r="N92" i="1"/>
  <c r="AO92" i="1" s="1"/>
  <c r="AV92" i="1" s="1"/>
  <c r="M92" i="1"/>
  <c r="AR92" i="1" s="1"/>
  <c r="AU91" i="1"/>
  <c r="AR91" i="1"/>
  <c r="AP91" i="1"/>
  <c r="AO91" i="1"/>
  <c r="AV91" i="1" s="1"/>
  <c r="AI91" i="1"/>
  <c r="AH91" i="1"/>
  <c r="AF91" i="1"/>
  <c r="AE91" i="1"/>
  <c r="AB91" i="1"/>
  <c r="AA91" i="1"/>
  <c r="Z91" i="1"/>
  <c r="Y91" i="1"/>
  <c r="X91" i="1"/>
  <c r="W91" i="1"/>
  <c r="P91" i="1"/>
  <c r="O91" i="1"/>
  <c r="AQ91" i="1" s="1"/>
  <c r="N91" i="1"/>
  <c r="AC91" i="1" s="1"/>
  <c r="M91" i="1"/>
  <c r="AU90" i="1"/>
  <c r="AT90" i="1"/>
  <c r="AR90" i="1"/>
  <c r="AP90" i="1"/>
  <c r="AJ90" i="1"/>
  <c r="AI90" i="1"/>
  <c r="AN90" i="1" s="1"/>
  <c r="AH90" i="1"/>
  <c r="AF90" i="1"/>
  <c r="AE90" i="1"/>
  <c r="AC90" i="1"/>
  <c r="AB90" i="1"/>
  <c r="AA90" i="1"/>
  <c r="Z90" i="1"/>
  <c r="Y90" i="1"/>
  <c r="X90" i="1"/>
  <c r="W90" i="1"/>
  <c r="P90" i="1"/>
  <c r="O90" i="1"/>
  <c r="AQ90" i="1" s="1"/>
  <c r="N90" i="1"/>
  <c r="AO90" i="1" s="1"/>
  <c r="AV90" i="1" s="1"/>
  <c r="M90" i="1"/>
  <c r="AU89" i="1"/>
  <c r="AT89" i="1"/>
  <c r="AR89" i="1"/>
  <c r="AP89" i="1"/>
  <c r="AN89" i="1"/>
  <c r="AJ89" i="1"/>
  <c r="AI89" i="1"/>
  <c r="AH89" i="1"/>
  <c r="AF89" i="1"/>
  <c r="AE89" i="1"/>
  <c r="AD89" i="1"/>
  <c r="AC89" i="1"/>
  <c r="AB89" i="1"/>
  <c r="AA89" i="1"/>
  <c r="Z89" i="1"/>
  <c r="Y89" i="1"/>
  <c r="X89" i="1"/>
  <c r="W89" i="1"/>
  <c r="P89" i="1"/>
  <c r="O89" i="1"/>
  <c r="AQ89" i="1" s="1"/>
  <c r="N89" i="1"/>
  <c r="AO89" i="1" s="1"/>
  <c r="M89" i="1"/>
  <c r="AV88" i="1"/>
  <c r="AU88" i="1"/>
  <c r="AP88" i="1"/>
  <c r="AO88" i="1"/>
  <c r="AN88" i="1"/>
  <c r="AI88" i="1"/>
  <c r="AT88" i="1" s="1"/>
  <c r="AH88" i="1"/>
  <c r="AF88" i="1"/>
  <c r="AE88" i="1"/>
  <c r="AD88" i="1"/>
  <c r="AC88" i="1"/>
  <c r="AA88" i="1"/>
  <c r="Z88" i="1"/>
  <c r="Y88" i="1"/>
  <c r="X88" i="1"/>
  <c r="W88" i="1"/>
  <c r="P88" i="1"/>
  <c r="O88" i="1"/>
  <c r="AQ88" i="1" s="1"/>
  <c r="N88" i="1"/>
  <c r="M88" i="1"/>
  <c r="AU87" i="1"/>
  <c r="AT87" i="1"/>
  <c r="AP87" i="1"/>
  <c r="AN87" i="1"/>
  <c r="AJ87" i="1"/>
  <c r="AI87" i="1"/>
  <c r="AH87" i="1"/>
  <c r="AF87" i="1"/>
  <c r="AE87" i="1"/>
  <c r="AD87" i="1"/>
  <c r="AA87" i="1"/>
  <c r="Z87" i="1"/>
  <c r="Y87" i="1"/>
  <c r="X87" i="1"/>
  <c r="W87" i="1"/>
  <c r="P87" i="1"/>
  <c r="O87" i="1"/>
  <c r="AQ87" i="1" s="1"/>
  <c r="N87" i="1"/>
  <c r="M87" i="1"/>
  <c r="AR87" i="1" s="1"/>
  <c r="AU86" i="1"/>
  <c r="AT86" i="1"/>
  <c r="AQ86" i="1"/>
  <c r="AP86" i="1"/>
  <c r="AN86" i="1"/>
  <c r="AJ86" i="1"/>
  <c r="AI86" i="1"/>
  <c r="AH86" i="1"/>
  <c r="AF86" i="1"/>
  <c r="AE86" i="1"/>
  <c r="AA86" i="1"/>
  <c r="Z86" i="1"/>
  <c r="Y86" i="1"/>
  <c r="X86" i="1"/>
  <c r="W86" i="1"/>
  <c r="P86" i="1"/>
  <c r="O86" i="1"/>
  <c r="AD86" i="1" s="1"/>
  <c r="N86" i="1"/>
  <c r="AO86" i="1" s="1"/>
  <c r="AV86" i="1" s="1"/>
  <c r="M86" i="1"/>
  <c r="AR86" i="1" s="1"/>
  <c r="AU85" i="1"/>
  <c r="AR85" i="1"/>
  <c r="AP85" i="1"/>
  <c r="AO85" i="1"/>
  <c r="AV85" i="1" s="1"/>
  <c r="AI85" i="1"/>
  <c r="AH85" i="1"/>
  <c r="AF85" i="1"/>
  <c r="AE85" i="1"/>
  <c r="AB85" i="1"/>
  <c r="AA85" i="1"/>
  <c r="Z85" i="1"/>
  <c r="Y85" i="1"/>
  <c r="X85" i="1"/>
  <c r="W85" i="1"/>
  <c r="P85" i="1"/>
  <c r="O85" i="1"/>
  <c r="AQ85" i="1" s="1"/>
  <c r="N85" i="1"/>
  <c r="AC85" i="1" s="1"/>
  <c r="M85" i="1"/>
  <c r="AU84" i="1"/>
  <c r="AT84" i="1"/>
  <c r="AR84" i="1"/>
  <c r="AP84" i="1"/>
  <c r="AJ84" i="1"/>
  <c r="AI84" i="1"/>
  <c r="AN84" i="1" s="1"/>
  <c r="AH84" i="1"/>
  <c r="AF84" i="1"/>
  <c r="AE84" i="1"/>
  <c r="AC84" i="1"/>
  <c r="AB84" i="1"/>
  <c r="AA84" i="1"/>
  <c r="Z84" i="1"/>
  <c r="Y84" i="1"/>
  <c r="X84" i="1"/>
  <c r="W84" i="1"/>
  <c r="P84" i="1"/>
  <c r="O84" i="1"/>
  <c r="AQ84" i="1" s="1"/>
  <c r="N84" i="1"/>
  <c r="AO84" i="1" s="1"/>
  <c r="AV84" i="1" s="1"/>
  <c r="M84" i="1"/>
  <c r="AU83" i="1"/>
  <c r="AT83" i="1"/>
  <c r="AR83" i="1"/>
  <c r="AP83" i="1"/>
  <c r="AN83" i="1"/>
  <c r="AJ83" i="1"/>
  <c r="AI83" i="1"/>
  <c r="AH83" i="1"/>
  <c r="AF83" i="1"/>
  <c r="AE83" i="1"/>
  <c r="AD83" i="1"/>
  <c r="AC83" i="1"/>
  <c r="AB83" i="1"/>
  <c r="AA83" i="1"/>
  <c r="Z83" i="1"/>
  <c r="Y83" i="1"/>
  <c r="X83" i="1"/>
  <c r="W83" i="1"/>
  <c r="P83" i="1"/>
  <c r="O83" i="1"/>
  <c r="AQ83" i="1" s="1"/>
  <c r="N83" i="1"/>
  <c r="AO83" i="1" s="1"/>
  <c r="AV83" i="1" s="1"/>
  <c r="M83" i="1"/>
  <c r="AU82" i="1"/>
  <c r="AP82" i="1"/>
  <c r="AO82" i="1"/>
  <c r="AN82" i="1"/>
  <c r="AI82" i="1"/>
  <c r="AT82" i="1" s="1"/>
  <c r="AH82" i="1"/>
  <c r="AF82" i="1"/>
  <c r="AE82" i="1"/>
  <c r="AD82" i="1"/>
  <c r="AC82" i="1"/>
  <c r="AA82" i="1"/>
  <c r="Z82" i="1"/>
  <c r="Y82" i="1"/>
  <c r="X82" i="1"/>
  <c r="W82" i="1"/>
  <c r="P82" i="1"/>
  <c r="O82" i="1"/>
  <c r="AQ82" i="1" s="1"/>
  <c r="N82" i="1"/>
  <c r="M82" i="1"/>
  <c r="AU81" i="1"/>
  <c r="AT81" i="1"/>
  <c r="AP81" i="1"/>
  <c r="AN81" i="1"/>
  <c r="AJ81" i="1"/>
  <c r="AI81" i="1"/>
  <c r="AH81" i="1"/>
  <c r="AF81" i="1"/>
  <c r="AE81" i="1"/>
  <c r="AD81" i="1"/>
  <c r="AC81" i="1"/>
  <c r="AA81" i="1"/>
  <c r="Z81" i="1"/>
  <c r="Y81" i="1"/>
  <c r="X81" i="1"/>
  <c r="W81" i="1"/>
  <c r="P81" i="1"/>
  <c r="O81" i="1"/>
  <c r="AQ81" i="1" s="1"/>
  <c r="N81" i="1"/>
  <c r="AO81" i="1" s="1"/>
  <c r="AV81" i="1" s="1"/>
  <c r="M81" i="1"/>
  <c r="AU80" i="1"/>
  <c r="AT80" i="1"/>
  <c r="AQ80" i="1"/>
  <c r="AP80" i="1"/>
  <c r="AN80" i="1"/>
  <c r="AJ80" i="1"/>
  <c r="AI80" i="1"/>
  <c r="AH80" i="1"/>
  <c r="AF80" i="1"/>
  <c r="AE80" i="1"/>
  <c r="AD80" i="1"/>
  <c r="AA80" i="1"/>
  <c r="Z80" i="1"/>
  <c r="Y80" i="1"/>
  <c r="X80" i="1"/>
  <c r="W80" i="1"/>
  <c r="P80" i="1"/>
  <c r="O80" i="1"/>
  <c r="N80" i="1"/>
  <c r="M80" i="1"/>
  <c r="AR80" i="1" s="1"/>
  <c r="AU79" i="1"/>
  <c r="AR79" i="1"/>
  <c r="AP79" i="1"/>
  <c r="AO79" i="1"/>
  <c r="AI79" i="1"/>
  <c r="AH79" i="1"/>
  <c r="AF79" i="1"/>
  <c r="AE79" i="1"/>
  <c r="AA79" i="1"/>
  <c r="Z79" i="1"/>
  <c r="Y79" i="1"/>
  <c r="X79" i="1"/>
  <c r="W79" i="1"/>
  <c r="P79" i="1"/>
  <c r="O79" i="1"/>
  <c r="AD79" i="1" s="1"/>
  <c r="N79" i="1"/>
  <c r="AC79" i="1" s="1"/>
  <c r="M79" i="1"/>
  <c r="AB79" i="1" s="1"/>
  <c r="AU78" i="1"/>
  <c r="AR78" i="1"/>
  <c r="AQ78" i="1"/>
  <c r="AP78" i="1"/>
  <c r="AI78" i="1"/>
  <c r="AN78" i="1" s="1"/>
  <c r="AH78" i="1"/>
  <c r="AF78" i="1"/>
  <c r="AE78" i="1"/>
  <c r="AC78" i="1"/>
  <c r="AB78" i="1"/>
  <c r="AA78" i="1"/>
  <c r="Z78" i="1"/>
  <c r="Y78" i="1"/>
  <c r="X78" i="1"/>
  <c r="W78" i="1"/>
  <c r="P78" i="1"/>
  <c r="O78" i="1"/>
  <c r="AD78" i="1" s="1"/>
  <c r="N78" i="1"/>
  <c r="AO78" i="1" s="1"/>
  <c r="M78" i="1"/>
  <c r="AU77" i="1"/>
  <c r="AR77" i="1"/>
  <c r="AQ77" i="1"/>
  <c r="AP77" i="1"/>
  <c r="AI77" i="1"/>
  <c r="AJ77" i="1" s="1"/>
  <c r="AH77" i="1"/>
  <c r="AF77" i="1"/>
  <c r="AE77" i="1"/>
  <c r="AC77" i="1"/>
  <c r="AB77" i="1"/>
  <c r="AA77" i="1"/>
  <c r="Z77" i="1"/>
  <c r="Y77" i="1"/>
  <c r="X77" i="1"/>
  <c r="W77" i="1"/>
  <c r="P77" i="1"/>
  <c r="O77" i="1"/>
  <c r="AD77" i="1" s="1"/>
  <c r="N77" i="1"/>
  <c r="AO77" i="1" s="1"/>
  <c r="M77" i="1"/>
  <c r="AU76" i="1"/>
  <c r="AT76" i="1"/>
  <c r="AR76" i="1"/>
  <c r="AP76" i="1"/>
  <c r="AO76" i="1"/>
  <c r="AV76" i="1" s="1"/>
  <c r="AN76" i="1"/>
  <c r="AJ76" i="1"/>
  <c r="AI76" i="1"/>
  <c r="AH76" i="1"/>
  <c r="AF76" i="1"/>
  <c r="AE76" i="1"/>
  <c r="AD76" i="1"/>
  <c r="AC76" i="1"/>
  <c r="AB76" i="1"/>
  <c r="AA76" i="1"/>
  <c r="Z76" i="1"/>
  <c r="Y76" i="1"/>
  <c r="X76" i="1"/>
  <c r="W76" i="1"/>
  <c r="P76" i="1"/>
  <c r="O76" i="1"/>
  <c r="AQ76" i="1" s="1"/>
  <c r="N76" i="1"/>
  <c r="M76" i="1"/>
  <c r="AU75" i="1"/>
  <c r="AR75" i="1"/>
  <c r="AP75" i="1"/>
  <c r="AN75" i="1"/>
  <c r="AJ75" i="1"/>
  <c r="AI75" i="1"/>
  <c r="AT75" i="1" s="1"/>
  <c r="AH75" i="1"/>
  <c r="AF75" i="1"/>
  <c r="AE75" i="1"/>
  <c r="AD75" i="1"/>
  <c r="AC75" i="1"/>
  <c r="AB75" i="1"/>
  <c r="AA75" i="1"/>
  <c r="Z75" i="1"/>
  <c r="Y75" i="1"/>
  <c r="X75" i="1"/>
  <c r="W75" i="1"/>
  <c r="P75" i="1"/>
  <c r="O75" i="1"/>
  <c r="AQ75" i="1" s="1"/>
  <c r="N75" i="1"/>
  <c r="AO75" i="1" s="1"/>
  <c r="AV75" i="1" s="1"/>
  <c r="M75" i="1"/>
  <c r="AU74" i="1"/>
  <c r="AP74" i="1"/>
  <c r="AO74" i="1"/>
  <c r="AV74" i="1" s="1"/>
  <c r="AN74" i="1"/>
  <c r="AI74" i="1"/>
  <c r="AT74" i="1" s="1"/>
  <c r="AH74" i="1"/>
  <c r="AF74" i="1"/>
  <c r="AE74" i="1"/>
  <c r="AD74" i="1"/>
  <c r="AC74" i="1"/>
  <c r="AA74" i="1"/>
  <c r="Z74" i="1"/>
  <c r="Y74" i="1"/>
  <c r="X74" i="1"/>
  <c r="W74" i="1"/>
  <c r="P74" i="1"/>
  <c r="O74" i="1"/>
  <c r="AQ74" i="1" s="1"/>
  <c r="N74" i="1"/>
  <c r="M74" i="1"/>
  <c r="AR74" i="1" s="1"/>
  <c r="AU73" i="1"/>
  <c r="AT73" i="1"/>
  <c r="AP73" i="1"/>
  <c r="AO73" i="1"/>
  <c r="AV73" i="1" s="1"/>
  <c r="AJ73" i="1"/>
  <c r="AI73" i="1"/>
  <c r="AN73" i="1" s="1"/>
  <c r="AH73" i="1"/>
  <c r="AF73" i="1"/>
  <c r="AE73" i="1"/>
  <c r="AD73" i="1"/>
  <c r="AA73" i="1"/>
  <c r="Z73" i="1"/>
  <c r="Y73" i="1"/>
  <c r="X73" i="1"/>
  <c r="W73" i="1"/>
  <c r="P73" i="1"/>
  <c r="O73" i="1"/>
  <c r="AQ73" i="1" s="1"/>
  <c r="N73" i="1"/>
  <c r="AC73" i="1" s="1"/>
  <c r="M73" i="1"/>
  <c r="AR73" i="1" s="1"/>
  <c r="AU72" i="1"/>
  <c r="AT72" i="1"/>
  <c r="AP72" i="1"/>
  <c r="AN72" i="1"/>
  <c r="AJ72" i="1"/>
  <c r="AI72" i="1"/>
  <c r="AH72" i="1"/>
  <c r="AF72" i="1"/>
  <c r="AE72" i="1"/>
  <c r="AA72" i="1"/>
  <c r="Z72" i="1"/>
  <c r="Y72" i="1"/>
  <c r="X72" i="1"/>
  <c r="W72" i="1"/>
  <c r="P72" i="1"/>
  <c r="O72" i="1"/>
  <c r="AQ72" i="1" s="1"/>
  <c r="N72" i="1"/>
  <c r="AO72" i="1" s="1"/>
  <c r="M72" i="1"/>
  <c r="AR72" i="1" s="1"/>
  <c r="AU71" i="1"/>
  <c r="AR71" i="1"/>
  <c r="AP71" i="1"/>
  <c r="AO71" i="1"/>
  <c r="AI71" i="1"/>
  <c r="AN71" i="1" s="1"/>
  <c r="AH71" i="1"/>
  <c r="AF71" i="1"/>
  <c r="AE71" i="1"/>
  <c r="AB71" i="1"/>
  <c r="AA71" i="1"/>
  <c r="Z71" i="1"/>
  <c r="Y71" i="1"/>
  <c r="X71" i="1"/>
  <c r="W71" i="1"/>
  <c r="P71" i="1"/>
  <c r="O71" i="1"/>
  <c r="AQ71" i="1" s="1"/>
  <c r="N71" i="1"/>
  <c r="AC71" i="1" s="1"/>
  <c r="M71" i="1"/>
  <c r="AU70" i="1"/>
  <c r="AR70" i="1"/>
  <c r="AP70" i="1"/>
  <c r="AI70" i="1"/>
  <c r="AT70" i="1" s="1"/>
  <c r="AH70" i="1"/>
  <c r="AF70" i="1"/>
  <c r="AE70" i="1"/>
  <c r="AC70" i="1"/>
  <c r="AB70" i="1"/>
  <c r="AA70" i="1"/>
  <c r="Z70" i="1"/>
  <c r="Y70" i="1"/>
  <c r="X70" i="1"/>
  <c r="W70" i="1"/>
  <c r="P70" i="1"/>
  <c r="O70" i="1"/>
  <c r="AQ70" i="1" s="1"/>
  <c r="N70" i="1"/>
  <c r="AO70" i="1" s="1"/>
  <c r="AV70" i="1" s="1"/>
  <c r="M70" i="1"/>
  <c r="AU69" i="1"/>
  <c r="AT69" i="1"/>
  <c r="AR69" i="1"/>
  <c r="AP69" i="1"/>
  <c r="AN69" i="1"/>
  <c r="AJ69" i="1"/>
  <c r="AI69" i="1"/>
  <c r="AH69" i="1"/>
  <c r="AF69" i="1"/>
  <c r="AE69" i="1"/>
  <c r="AD69" i="1"/>
  <c r="AC69" i="1"/>
  <c r="AB69" i="1"/>
  <c r="AA69" i="1"/>
  <c r="Z69" i="1"/>
  <c r="Y69" i="1"/>
  <c r="X69" i="1"/>
  <c r="W69" i="1"/>
  <c r="P69" i="1"/>
  <c r="O69" i="1"/>
  <c r="AQ69" i="1" s="1"/>
  <c r="N69" i="1"/>
  <c r="AO69" i="1" s="1"/>
  <c r="AV69" i="1" s="1"/>
  <c r="M69" i="1"/>
  <c r="AU68" i="1"/>
  <c r="AP68" i="1"/>
  <c r="AO68" i="1"/>
  <c r="AN68" i="1"/>
  <c r="AI68" i="1"/>
  <c r="AT68" i="1" s="1"/>
  <c r="AH68" i="1"/>
  <c r="AF68" i="1"/>
  <c r="AE68" i="1"/>
  <c r="AD68" i="1"/>
  <c r="AC68" i="1"/>
  <c r="AA68" i="1"/>
  <c r="Z68" i="1"/>
  <c r="Y68" i="1"/>
  <c r="X68" i="1"/>
  <c r="W68" i="1"/>
  <c r="P68" i="1"/>
  <c r="O68" i="1"/>
  <c r="AQ68" i="1" s="1"/>
  <c r="N68" i="1"/>
  <c r="M68" i="1"/>
  <c r="AR68" i="1" s="1"/>
  <c r="AU67" i="1"/>
  <c r="AT67" i="1"/>
  <c r="AP67" i="1"/>
  <c r="AO67" i="1"/>
  <c r="AV67" i="1" s="1"/>
  <c r="AJ67" i="1"/>
  <c r="AI67" i="1"/>
  <c r="AN67" i="1" s="1"/>
  <c r="AH67" i="1"/>
  <c r="AF67" i="1"/>
  <c r="AE67" i="1"/>
  <c r="AD67" i="1"/>
  <c r="AA67" i="1"/>
  <c r="Z67" i="1"/>
  <c r="Y67" i="1"/>
  <c r="X67" i="1"/>
  <c r="W67" i="1"/>
  <c r="P67" i="1"/>
  <c r="O67" i="1"/>
  <c r="AQ67" i="1" s="1"/>
  <c r="N67" i="1"/>
  <c r="AC67" i="1" s="1"/>
  <c r="M67" i="1"/>
  <c r="AR67" i="1" s="1"/>
  <c r="AU66" i="1"/>
  <c r="AT66" i="1"/>
  <c r="AP66" i="1"/>
  <c r="AN66" i="1"/>
  <c r="AJ66" i="1"/>
  <c r="AI66" i="1"/>
  <c r="AH66" i="1"/>
  <c r="AF66" i="1"/>
  <c r="AE66" i="1"/>
  <c r="AA66" i="1"/>
  <c r="Z66" i="1"/>
  <c r="Y66" i="1"/>
  <c r="X66" i="1"/>
  <c r="W66" i="1"/>
  <c r="P66" i="1"/>
  <c r="O66" i="1"/>
  <c r="AQ66" i="1" s="1"/>
  <c r="N66" i="1"/>
  <c r="AO66" i="1" s="1"/>
  <c r="AV66" i="1" s="1"/>
  <c r="M66" i="1"/>
  <c r="AR66" i="1" s="1"/>
  <c r="AU65" i="1"/>
  <c r="AR65" i="1"/>
  <c r="AP65" i="1"/>
  <c r="AO65" i="1"/>
  <c r="AV65" i="1" s="1"/>
  <c r="AI65" i="1"/>
  <c r="AN65" i="1" s="1"/>
  <c r="AH65" i="1"/>
  <c r="AF65" i="1"/>
  <c r="AE65" i="1"/>
  <c r="AB65" i="1"/>
  <c r="AA65" i="1"/>
  <c r="Z65" i="1"/>
  <c r="Y65" i="1"/>
  <c r="X65" i="1"/>
  <c r="W65" i="1"/>
  <c r="P65" i="1"/>
  <c r="O65" i="1"/>
  <c r="AQ65" i="1" s="1"/>
  <c r="N65" i="1"/>
  <c r="AC65" i="1" s="1"/>
  <c r="M65" i="1"/>
  <c r="AU64" i="1"/>
  <c r="AR64" i="1"/>
  <c r="AP64" i="1"/>
  <c r="AI64" i="1"/>
  <c r="AT64" i="1" s="1"/>
  <c r="AH64" i="1"/>
  <c r="AF64" i="1"/>
  <c r="AE64" i="1"/>
  <c r="AC64" i="1"/>
  <c r="AB64" i="1"/>
  <c r="AA64" i="1"/>
  <c r="Z64" i="1"/>
  <c r="Y64" i="1"/>
  <c r="X64" i="1"/>
  <c r="W64" i="1"/>
  <c r="P64" i="1"/>
  <c r="O64" i="1"/>
  <c r="AQ64" i="1" s="1"/>
  <c r="N64" i="1"/>
  <c r="AO64" i="1" s="1"/>
  <c r="AV64" i="1" s="1"/>
  <c r="M64" i="1"/>
  <c r="AU63" i="1"/>
  <c r="AT63" i="1"/>
  <c r="AR63" i="1"/>
  <c r="AP63" i="1"/>
  <c r="AN63" i="1"/>
  <c r="AJ63" i="1"/>
  <c r="AI63" i="1"/>
  <c r="AH63" i="1"/>
  <c r="AF63" i="1"/>
  <c r="AE63" i="1"/>
  <c r="AD63" i="1"/>
  <c r="AC63" i="1"/>
  <c r="AB63" i="1"/>
  <c r="AA63" i="1"/>
  <c r="Z63" i="1"/>
  <c r="Y63" i="1"/>
  <c r="X63" i="1"/>
  <c r="W63" i="1"/>
  <c r="P63" i="1"/>
  <c r="O63" i="1"/>
  <c r="AQ63" i="1" s="1"/>
  <c r="N63" i="1"/>
  <c r="AO63" i="1" s="1"/>
  <c r="AV63" i="1" s="1"/>
  <c r="M63" i="1"/>
  <c r="AU62" i="1"/>
  <c r="AP62" i="1"/>
  <c r="AO62" i="1"/>
  <c r="AN62" i="1"/>
  <c r="AI62" i="1"/>
  <c r="AT62" i="1" s="1"/>
  <c r="AH62" i="1"/>
  <c r="AF62" i="1"/>
  <c r="AE62" i="1"/>
  <c r="AD62" i="1"/>
  <c r="AC62" i="1"/>
  <c r="AA62" i="1"/>
  <c r="Z62" i="1"/>
  <c r="Y62" i="1"/>
  <c r="X62" i="1"/>
  <c r="W62" i="1"/>
  <c r="P62" i="1"/>
  <c r="O62" i="1"/>
  <c r="AQ62" i="1" s="1"/>
  <c r="N62" i="1"/>
  <c r="M62" i="1"/>
  <c r="AR62" i="1" s="1"/>
  <c r="AU61" i="1"/>
  <c r="AT61" i="1"/>
  <c r="AP61" i="1"/>
  <c r="AO61" i="1"/>
  <c r="AJ61" i="1"/>
  <c r="AI61" i="1"/>
  <c r="AN61" i="1" s="1"/>
  <c r="AH61" i="1"/>
  <c r="AF61" i="1"/>
  <c r="AE61" i="1"/>
  <c r="AD61" i="1"/>
  <c r="AA61" i="1"/>
  <c r="Z61" i="1"/>
  <c r="Y61" i="1"/>
  <c r="X61" i="1"/>
  <c r="W61" i="1"/>
  <c r="P61" i="1"/>
  <c r="O61" i="1"/>
  <c r="AQ61" i="1" s="1"/>
  <c r="N61" i="1"/>
  <c r="AC61" i="1" s="1"/>
  <c r="M61" i="1"/>
  <c r="AR61" i="1" s="1"/>
  <c r="AU60" i="1"/>
  <c r="AT60" i="1"/>
  <c r="AP60" i="1"/>
  <c r="AN60" i="1"/>
  <c r="AJ60" i="1"/>
  <c r="AI60" i="1"/>
  <c r="AH60" i="1"/>
  <c r="AF60" i="1"/>
  <c r="AE60" i="1"/>
  <c r="AA60" i="1"/>
  <c r="Z60" i="1"/>
  <c r="Y60" i="1"/>
  <c r="X60" i="1"/>
  <c r="W60" i="1"/>
  <c r="P60" i="1"/>
  <c r="O60" i="1"/>
  <c r="AQ60" i="1" s="1"/>
  <c r="N60" i="1"/>
  <c r="AO60" i="1" s="1"/>
  <c r="M60" i="1"/>
  <c r="AR60" i="1" s="1"/>
  <c r="AU59" i="1"/>
  <c r="AR59" i="1"/>
  <c r="AP59" i="1"/>
  <c r="AO59" i="1"/>
  <c r="AV59" i="1" s="1"/>
  <c r="AI59" i="1"/>
  <c r="AN59" i="1" s="1"/>
  <c r="AH59" i="1"/>
  <c r="AF59" i="1"/>
  <c r="AE59" i="1"/>
  <c r="AB59" i="1"/>
  <c r="AA59" i="1"/>
  <c r="Z59" i="1"/>
  <c r="Y59" i="1"/>
  <c r="X59" i="1"/>
  <c r="W59" i="1"/>
  <c r="P59" i="1"/>
  <c r="O59" i="1"/>
  <c r="AQ59" i="1" s="1"/>
  <c r="N59" i="1"/>
  <c r="AC59" i="1" s="1"/>
  <c r="M59" i="1"/>
  <c r="AU58" i="1"/>
  <c r="AR58" i="1"/>
  <c r="AP58" i="1"/>
  <c r="AI58" i="1"/>
  <c r="AT58" i="1" s="1"/>
  <c r="AH58" i="1"/>
  <c r="AF58" i="1"/>
  <c r="AE58" i="1"/>
  <c r="AC58" i="1"/>
  <c r="AB58" i="1"/>
  <c r="AA58" i="1"/>
  <c r="Z58" i="1"/>
  <c r="Y58" i="1"/>
  <c r="X58" i="1"/>
  <c r="W58" i="1"/>
  <c r="P58" i="1"/>
  <c r="O58" i="1"/>
  <c r="AQ58" i="1" s="1"/>
  <c r="N58" i="1"/>
  <c r="AO58" i="1" s="1"/>
  <c r="AV58" i="1" s="1"/>
  <c r="M58" i="1"/>
  <c r="AU57" i="1"/>
  <c r="AT57" i="1"/>
  <c r="AR57" i="1"/>
  <c r="AP57" i="1"/>
  <c r="AN57" i="1"/>
  <c r="AJ57" i="1"/>
  <c r="AI57" i="1"/>
  <c r="AH57" i="1"/>
  <c r="AF57" i="1"/>
  <c r="AE57" i="1"/>
  <c r="AD57" i="1"/>
  <c r="AC57" i="1"/>
  <c r="AB57" i="1"/>
  <c r="AA57" i="1"/>
  <c r="Z57" i="1"/>
  <c r="Y57" i="1"/>
  <c r="X57" i="1"/>
  <c r="W57" i="1"/>
  <c r="P57" i="1"/>
  <c r="O57" i="1"/>
  <c r="AQ57" i="1" s="1"/>
  <c r="N57" i="1"/>
  <c r="AO57" i="1" s="1"/>
  <c r="AV57" i="1" s="1"/>
  <c r="M57" i="1"/>
  <c r="AU56" i="1"/>
  <c r="AP56" i="1"/>
  <c r="AO56" i="1"/>
  <c r="AV56" i="1" s="1"/>
  <c r="AN56" i="1"/>
  <c r="AI56" i="1"/>
  <c r="AT56" i="1" s="1"/>
  <c r="AH56" i="1"/>
  <c r="AF56" i="1"/>
  <c r="AE56" i="1"/>
  <c r="AD56" i="1"/>
  <c r="AC56" i="1"/>
  <c r="AA56" i="1"/>
  <c r="Z56" i="1"/>
  <c r="Y56" i="1"/>
  <c r="X56" i="1"/>
  <c r="W56" i="1"/>
  <c r="P56" i="1"/>
  <c r="O56" i="1"/>
  <c r="AQ56" i="1" s="1"/>
  <c r="N56" i="1"/>
  <c r="M56" i="1"/>
  <c r="AR56" i="1" s="1"/>
  <c r="AU55" i="1"/>
  <c r="AT55" i="1"/>
  <c r="AP55" i="1"/>
  <c r="AO55" i="1"/>
  <c r="AV55" i="1" s="1"/>
  <c r="AJ55" i="1"/>
  <c r="AI55" i="1"/>
  <c r="AN55" i="1" s="1"/>
  <c r="AH55" i="1"/>
  <c r="AF55" i="1"/>
  <c r="AE55" i="1"/>
  <c r="AD55" i="1"/>
  <c r="AA55" i="1"/>
  <c r="Z55" i="1"/>
  <c r="Y55" i="1"/>
  <c r="X55" i="1"/>
  <c r="W55" i="1"/>
  <c r="P55" i="1"/>
  <c r="O55" i="1"/>
  <c r="AQ55" i="1" s="1"/>
  <c r="N55" i="1"/>
  <c r="AC55" i="1" s="1"/>
  <c r="M55" i="1"/>
  <c r="AR55" i="1" s="1"/>
  <c r="AU54" i="1"/>
  <c r="AT54" i="1"/>
  <c r="AP54" i="1"/>
  <c r="AN54" i="1"/>
  <c r="AJ54" i="1"/>
  <c r="AI54" i="1"/>
  <c r="AH54" i="1"/>
  <c r="AF54" i="1"/>
  <c r="AE54" i="1"/>
  <c r="AA54" i="1"/>
  <c r="Z54" i="1"/>
  <c r="Y54" i="1"/>
  <c r="X54" i="1"/>
  <c r="W54" i="1"/>
  <c r="P54" i="1"/>
  <c r="O54" i="1"/>
  <c r="AQ54" i="1" s="1"/>
  <c r="N54" i="1"/>
  <c r="AO54" i="1" s="1"/>
  <c r="AV54" i="1" s="1"/>
  <c r="M54" i="1"/>
  <c r="AR54" i="1" s="1"/>
  <c r="AU53" i="1"/>
  <c r="AR53" i="1"/>
  <c r="AP53" i="1"/>
  <c r="AO53" i="1"/>
  <c r="AI53" i="1"/>
  <c r="AN53" i="1" s="1"/>
  <c r="AH53" i="1"/>
  <c r="AF53" i="1"/>
  <c r="AE53" i="1"/>
  <c r="AB53" i="1"/>
  <c r="AA53" i="1"/>
  <c r="Z53" i="1"/>
  <c r="Y53" i="1"/>
  <c r="X53" i="1"/>
  <c r="W53" i="1"/>
  <c r="P53" i="1"/>
  <c r="O53" i="1"/>
  <c r="AQ53" i="1" s="1"/>
  <c r="N53" i="1"/>
  <c r="AC53" i="1" s="1"/>
  <c r="M53" i="1"/>
  <c r="AU52" i="1"/>
  <c r="AR52" i="1"/>
  <c r="AP52" i="1"/>
  <c r="AI52" i="1"/>
  <c r="AT52" i="1" s="1"/>
  <c r="AH52" i="1"/>
  <c r="AF52" i="1"/>
  <c r="AE52" i="1"/>
  <c r="AC52" i="1"/>
  <c r="AB52" i="1"/>
  <c r="AA52" i="1"/>
  <c r="Z52" i="1"/>
  <c r="Y52" i="1"/>
  <c r="X52" i="1"/>
  <c r="W52" i="1"/>
  <c r="P52" i="1"/>
  <c r="O52" i="1"/>
  <c r="AQ52" i="1" s="1"/>
  <c r="N52" i="1"/>
  <c r="AO52" i="1" s="1"/>
  <c r="AV52" i="1" s="1"/>
  <c r="M52" i="1"/>
  <c r="AU51" i="1"/>
  <c r="AT51" i="1"/>
  <c r="AR51" i="1"/>
  <c r="AP51" i="1"/>
  <c r="AN51" i="1"/>
  <c r="AJ51" i="1"/>
  <c r="AI51" i="1"/>
  <c r="AH51" i="1"/>
  <c r="AF51" i="1"/>
  <c r="AE51" i="1"/>
  <c r="AD51" i="1"/>
  <c r="AC51" i="1"/>
  <c r="AB51" i="1"/>
  <c r="AA51" i="1"/>
  <c r="Z51" i="1"/>
  <c r="Y51" i="1"/>
  <c r="X51" i="1"/>
  <c r="W51" i="1"/>
  <c r="P51" i="1"/>
  <c r="O51" i="1"/>
  <c r="AQ51" i="1" s="1"/>
  <c r="N51" i="1"/>
  <c r="AO51" i="1" s="1"/>
  <c r="AV51" i="1" s="1"/>
  <c r="M51" i="1"/>
  <c r="AU50" i="1"/>
  <c r="AP50" i="1"/>
  <c r="AO50" i="1"/>
  <c r="AV50" i="1" s="1"/>
  <c r="AN50" i="1"/>
  <c r="AI50" i="1"/>
  <c r="AT50" i="1" s="1"/>
  <c r="AH50" i="1"/>
  <c r="AF50" i="1"/>
  <c r="AE50" i="1"/>
  <c r="AD50" i="1"/>
  <c r="AC50" i="1"/>
  <c r="AA50" i="1"/>
  <c r="Z50" i="1"/>
  <c r="Y50" i="1"/>
  <c r="X50" i="1"/>
  <c r="W50" i="1"/>
  <c r="P50" i="1"/>
  <c r="O50" i="1"/>
  <c r="AQ50" i="1" s="1"/>
  <c r="N50" i="1"/>
  <c r="M50" i="1"/>
  <c r="AR50" i="1" s="1"/>
  <c r="AU49" i="1"/>
  <c r="AT49" i="1"/>
  <c r="AP49" i="1"/>
  <c r="AO49" i="1"/>
  <c r="AV49" i="1" s="1"/>
  <c r="AJ49" i="1"/>
  <c r="AI49" i="1"/>
  <c r="AN49" i="1" s="1"/>
  <c r="AH49" i="1"/>
  <c r="AF49" i="1"/>
  <c r="AE49" i="1"/>
  <c r="AD49" i="1"/>
  <c r="AA49" i="1"/>
  <c r="Z49" i="1"/>
  <c r="Y49" i="1"/>
  <c r="X49" i="1"/>
  <c r="W49" i="1"/>
  <c r="P49" i="1"/>
  <c r="O49" i="1"/>
  <c r="AQ49" i="1" s="1"/>
  <c r="N49" i="1"/>
  <c r="AC49" i="1" s="1"/>
  <c r="M49" i="1"/>
  <c r="AR49" i="1" s="1"/>
  <c r="AU48" i="1"/>
  <c r="AT48" i="1"/>
  <c r="AP48" i="1"/>
  <c r="AN48" i="1"/>
  <c r="AJ48" i="1"/>
  <c r="AI48" i="1"/>
  <c r="AH48" i="1"/>
  <c r="AF48" i="1"/>
  <c r="AE48" i="1"/>
  <c r="AA48" i="1"/>
  <c r="Z48" i="1"/>
  <c r="Y48" i="1"/>
  <c r="X48" i="1"/>
  <c r="W48" i="1"/>
  <c r="P48" i="1"/>
  <c r="O48" i="1"/>
  <c r="AQ48" i="1" s="1"/>
  <c r="N48" i="1"/>
  <c r="AO48" i="1" s="1"/>
  <c r="AV48" i="1" s="1"/>
  <c r="M48" i="1"/>
  <c r="AR48" i="1" s="1"/>
  <c r="AU47" i="1"/>
  <c r="AR47" i="1"/>
  <c r="AP47" i="1"/>
  <c r="AO47" i="1"/>
  <c r="AV47" i="1" s="1"/>
  <c r="AI47" i="1"/>
  <c r="AN47" i="1" s="1"/>
  <c r="AH47" i="1"/>
  <c r="AF47" i="1"/>
  <c r="AE47" i="1"/>
  <c r="AB47" i="1"/>
  <c r="AA47" i="1"/>
  <c r="Z47" i="1"/>
  <c r="Y47" i="1"/>
  <c r="X47" i="1"/>
  <c r="W47" i="1"/>
  <c r="P47" i="1"/>
  <c r="O47" i="1"/>
  <c r="AQ47" i="1" s="1"/>
  <c r="N47" i="1"/>
  <c r="AC47" i="1" s="1"/>
  <c r="M47" i="1"/>
  <c r="AU46" i="1"/>
  <c r="AR46" i="1"/>
  <c r="AP46" i="1"/>
  <c r="AI46" i="1"/>
  <c r="AT46" i="1" s="1"/>
  <c r="AH46" i="1"/>
  <c r="AF46" i="1"/>
  <c r="AE46" i="1"/>
  <c r="AC46" i="1"/>
  <c r="AB46" i="1"/>
  <c r="AA46" i="1"/>
  <c r="Z46" i="1"/>
  <c r="Y46" i="1"/>
  <c r="X46" i="1"/>
  <c r="W46" i="1"/>
  <c r="P46" i="1"/>
  <c r="O46" i="1"/>
  <c r="AQ46" i="1" s="1"/>
  <c r="N46" i="1"/>
  <c r="AO46" i="1" s="1"/>
  <c r="AV46" i="1" s="1"/>
  <c r="M46" i="1"/>
  <c r="AU45" i="1"/>
  <c r="AT45" i="1"/>
  <c r="AR45" i="1"/>
  <c r="AP45" i="1"/>
  <c r="AN45" i="1"/>
  <c r="AJ45" i="1"/>
  <c r="AI45" i="1"/>
  <c r="AH45" i="1"/>
  <c r="AF45" i="1"/>
  <c r="AE45" i="1"/>
  <c r="AD45" i="1"/>
  <c r="AC45" i="1"/>
  <c r="AB45" i="1"/>
  <c r="AA45" i="1"/>
  <c r="Z45" i="1"/>
  <c r="Y45" i="1"/>
  <c r="X45" i="1"/>
  <c r="W45" i="1"/>
  <c r="P45" i="1"/>
  <c r="O45" i="1"/>
  <c r="AQ45" i="1" s="1"/>
  <c r="N45" i="1"/>
  <c r="AO45" i="1" s="1"/>
  <c r="AV45" i="1" s="1"/>
  <c r="M45" i="1"/>
  <c r="AU44" i="1"/>
  <c r="AP44" i="1"/>
  <c r="AO44" i="1"/>
  <c r="AN44" i="1"/>
  <c r="AI44" i="1"/>
  <c r="AT44" i="1" s="1"/>
  <c r="AH44" i="1"/>
  <c r="AF44" i="1"/>
  <c r="AE44" i="1"/>
  <c r="AD44" i="1"/>
  <c r="AC44" i="1"/>
  <c r="AA44" i="1"/>
  <c r="Z44" i="1"/>
  <c r="Y44" i="1"/>
  <c r="X44" i="1"/>
  <c r="W44" i="1"/>
  <c r="P44" i="1"/>
  <c r="O44" i="1"/>
  <c r="AQ44" i="1" s="1"/>
  <c r="N44" i="1"/>
  <c r="M44" i="1"/>
  <c r="AR44" i="1" s="1"/>
  <c r="AU43" i="1"/>
  <c r="AT43" i="1"/>
  <c r="AP43" i="1"/>
  <c r="AO43" i="1"/>
  <c r="AV43" i="1" s="1"/>
  <c r="AJ43" i="1"/>
  <c r="AI43" i="1"/>
  <c r="AN43" i="1" s="1"/>
  <c r="AH43" i="1"/>
  <c r="AF43" i="1"/>
  <c r="AE43" i="1"/>
  <c r="AD43" i="1"/>
  <c r="AA43" i="1"/>
  <c r="Z43" i="1"/>
  <c r="Y43" i="1"/>
  <c r="X43" i="1"/>
  <c r="W43" i="1"/>
  <c r="P43" i="1"/>
  <c r="O43" i="1"/>
  <c r="AQ43" i="1" s="1"/>
  <c r="N43" i="1"/>
  <c r="AC43" i="1" s="1"/>
  <c r="M43" i="1"/>
  <c r="AR43" i="1" s="1"/>
  <c r="AU42" i="1"/>
  <c r="AT42" i="1"/>
  <c r="AP42" i="1"/>
  <c r="AN42" i="1"/>
  <c r="AJ42" i="1"/>
  <c r="AI42" i="1"/>
  <c r="AH42" i="1"/>
  <c r="AF42" i="1"/>
  <c r="AE42" i="1"/>
  <c r="AA42" i="1"/>
  <c r="Z42" i="1"/>
  <c r="Y42" i="1"/>
  <c r="X42" i="1"/>
  <c r="W42" i="1"/>
  <c r="P42" i="1"/>
  <c r="O42" i="1"/>
  <c r="AQ42" i="1" s="1"/>
  <c r="N42" i="1"/>
  <c r="AO42" i="1" s="1"/>
  <c r="AV42" i="1" s="1"/>
  <c r="M42" i="1"/>
  <c r="AR42" i="1" s="1"/>
  <c r="AU41" i="1"/>
  <c r="AR41" i="1"/>
  <c r="AP41" i="1"/>
  <c r="AO41" i="1"/>
  <c r="AI41" i="1"/>
  <c r="AN41" i="1" s="1"/>
  <c r="AH41" i="1"/>
  <c r="AF41" i="1"/>
  <c r="AE41" i="1"/>
  <c r="AB41" i="1"/>
  <c r="AA41" i="1"/>
  <c r="Z41" i="1"/>
  <c r="Y41" i="1"/>
  <c r="X41" i="1"/>
  <c r="W41" i="1"/>
  <c r="P41" i="1"/>
  <c r="O41" i="1"/>
  <c r="AQ41" i="1" s="1"/>
  <c r="N41" i="1"/>
  <c r="AC41" i="1" s="1"/>
  <c r="M41" i="1"/>
  <c r="AU40" i="1"/>
  <c r="AR40" i="1"/>
  <c r="AP40" i="1"/>
  <c r="AI40" i="1"/>
  <c r="AT40" i="1" s="1"/>
  <c r="AH40" i="1"/>
  <c r="AF40" i="1"/>
  <c r="AE40" i="1"/>
  <c r="AC40" i="1"/>
  <c r="AB40" i="1"/>
  <c r="AA40" i="1"/>
  <c r="Z40" i="1"/>
  <c r="Y40" i="1"/>
  <c r="X40" i="1"/>
  <c r="W40" i="1"/>
  <c r="P40" i="1"/>
  <c r="O40" i="1"/>
  <c r="AQ40" i="1" s="1"/>
  <c r="N40" i="1"/>
  <c r="AO40" i="1" s="1"/>
  <c r="AV40" i="1" s="1"/>
  <c r="M40" i="1"/>
  <c r="AU39" i="1"/>
  <c r="AT39" i="1"/>
  <c r="AR39" i="1"/>
  <c r="AP39" i="1"/>
  <c r="AN39" i="1"/>
  <c r="AJ39" i="1"/>
  <c r="AI39" i="1"/>
  <c r="AH39" i="1"/>
  <c r="AF39" i="1"/>
  <c r="AE39" i="1"/>
  <c r="AD39" i="1"/>
  <c r="AC39" i="1"/>
  <c r="AB39" i="1"/>
  <c r="AA39" i="1"/>
  <c r="Z39" i="1"/>
  <c r="Y39" i="1"/>
  <c r="X39" i="1"/>
  <c r="W39" i="1"/>
  <c r="P39" i="1"/>
  <c r="O39" i="1"/>
  <c r="AQ39" i="1" s="1"/>
  <c r="N39" i="1"/>
  <c r="AO39" i="1" s="1"/>
  <c r="AV39" i="1" s="1"/>
  <c r="M39" i="1"/>
  <c r="AU38" i="1"/>
  <c r="AP38" i="1"/>
  <c r="AO38" i="1"/>
  <c r="AN38" i="1"/>
  <c r="AI38" i="1"/>
  <c r="AT38" i="1" s="1"/>
  <c r="AH38" i="1"/>
  <c r="AF38" i="1"/>
  <c r="AE38" i="1"/>
  <c r="AD38" i="1"/>
  <c r="AC38" i="1"/>
  <c r="AA38" i="1"/>
  <c r="Z38" i="1"/>
  <c r="Y38" i="1"/>
  <c r="X38" i="1"/>
  <c r="W38" i="1"/>
  <c r="P38" i="1"/>
  <c r="O38" i="1"/>
  <c r="AQ38" i="1" s="1"/>
  <c r="N38" i="1"/>
  <c r="M38" i="1"/>
  <c r="AR38" i="1" s="1"/>
  <c r="AU37" i="1"/>
  <c r="AT37" i="1"/>
  <c r="AP37" i="1"/>
  <c r="AO37" i="1"/>
  <c r="AV37" i="1" s="1"/>
  <c r="AJ37" i="1"/>
  <c r="AI37" i="1"/>
  <c r="AN37" i="1" s="1"/>
  <c r="AH37" i="1"/>
  <c r="AF37" i="1"/>
  <c r="AE37" i="1"/>
  <c r="AD37" i="1"/>
  <c r="AA37" i="1"/>
  <c r="Z37" i="1"/>
  <c r="Y37" i="1"/>
  <c r="X37" i="1"/>
  <c r="W37" i="1"/>
  <c r="P37" i="1"/>
  <c r="O37" i="1"/>
  <c r="AQ37" i="1" s="1"/>
  <c r="N37" i="1"/>
  <c r="AC37" i="1" s="1"/>
  <c r="M37" i="1"/>
  <c r="AR37" i="1" s="1"/>
  <c r="AU36" i="1"/>
  <c r="AT36" i="1"/>
  <c r="AP36" i="1"/>
  <c r="AN36" i="1"/>
  <c r="AJ36" i="1"/>
  <c r="AI36" i="1"/>
  <c r="AH36" i="1"/>
  <c r="AF36" i="1"/>
  <c r="AE36" i="1"/>
  <c r="AA36" i="1"/>
  <c r="Z36" i="1"/>
  <c r="Y36" i="1"/>
  <c r="X36" i="1"/>
  <c r="W36" i="1"/>
  <c r="P36" i="1"/>
  <c r="O36" i="1"/>
  <c r="AQ36" i="1" s="1"/>
  <c r="N36" i="1"/>
  <c r="AO36" i="1" s="1"/>
  <c r="AV36" i="1" s="1"/>
  <c r="M36" i="1"/>
  <c r="AR36" i="1" s="1"/>
  <c r="AU35" i="1"/>
  <c r="AR35" i="1"/>
  <c r="AP35" i="1"/>
  <c r="AO35" i="1"/>
  <c r="AI35" i="1"/>
  <c r="AN35" i="1" s="1"/>
  <c r="AH35" i="1"/>
  <c r="AF35" i="1"/>
  <c r="AE35" i="1"/>
  <c r="AB35" i="1"/>
  <c r="AA35" i="1"/>
  <c r="Z35" i="1"/>
  <c r="Y35" i="1"/>
  <c r="X35" i="1"/>
  <c r="W35" i="1"/>
  <c r="P35" i="1"/>
  <c r="O35" i="1"/>
  <c r="AQ35" i="1" s="1"/>
  <c r="N35" i="1"/>
  <c r="AC35" i="1" s="1"/>
  <c r="M35" i="1"/>
  <c r="AU34" i="1"/>
  <c r="AR34" i="1"/>
  <c r="AP34" i="1"/>
  <c r="AI34" i="1"/>
  <c r="AT34" i="1" s="1"/>
  <c r="AH34" i="1"/>
  <c r="AF34" i="1"/>
  <c r="AE34" i="1"/>
  <c r="AC34" i="1"/>
  <c r="AB34" i="1"/>
  <c r="AA34" i="1"/>
  <c r="Z34" i="1"/>
  <c r="Y34" i="1"/>
  <c r="X34" i="1"/>
  <c r="W34" i="1"/>
  <c r="P34" i="1"/>
  <c r="O34" i="1"/>
  <c r="AQ34" i="1" s="1"/>
  <c r="N34" i="1"/>
  <c r="AO34" i="1" s="1"/>
  <c r="AV34" i="1" s="1"/>
  <c r="M34" i="1"/>
  <c r="AU33" i="1"/>
  <c r="AT33" i="1"/>
  <c r="AR33" i="1"/>
  <c r="AP33" i="1"/>
  <c r="AN33" i="1"/>
  <c r="AJ33" i="1"/>
  <c r="AI33" i="1"/>
  <c r="AH33" i="1"/>
  <c r="AF33" i="1"/>
  <c r="AE33" i="1"/>
  <c r="AD33" i="1"/>
  <c r="AC33" i="1"/>
  <c r="AB33" i="1"/>
  <c r="AA33" i="1"/>
  <c r="Z33" i="1"/>
  <c r="Y33" i="1"/>
  <c r="X33" i="1"/>
  <c r="W33" i="1"/>
  <c r="P33" i="1"/>
  <c r="O33" i="1"/>
  <c r="AQ33" i="1" s="1"/>
  <c r="N33" i="1"/>
  <c r="AO33" i="1" s="1"/>
  <c r="AV33" i="1" s="1"/>
  <c r="M33" i="1"/>
  <c r="AU32" i="1"/>
  <c r="AP32" i="1"/>
  <c r="AO32" i="1"/>
  <c r="AV32" i="1" s="1"/>
  <c r="AN32" i="1"/>
  <c r="AI32" i="1"/>
  <c r="AT32" i="1" s="1"/>
  <c r="AH32" i="1"/>
  <c r="AF32" i="1"/>
  <c r="AE32" i="1"/>
  <c r="AD32" i="1"/>
  <c r="AC32" i="1"/>
  <c r="AA32" i="1"/>
  <c r="Z32" i="1"/>
  <c r="Y32" i="1"/>
  <c r="X32" i="1"/>
  <c r="W32" i="1"/>
  <c r="P32" i="1"/>
  <c r="O32" i="1"/>
  <c r="AQ32" i="1" s="1"/>
  <c r="N32" i="1"/>
  <c r="M32" i="1"/>
  <c r="AR32" i="1" s="1"/>
  <c r="AU31" i="1"/>
  <c r="AT31" i="1"/>
  <c r="AP31" i="1"/>
  <c r="AO31" i="1"/>
  <c r="AV31" i="1" s="1"/>
  <c r="AJ31" i="1"/>
  <c r="AI31" i="1"/>
  <c r="AN31" i="1" s="1"/>
  <c r="AH31" i="1"/>
  <c r="AF31" i="1"/>
  <c r="AE31" i="1"/>
  <c r="AD31" i="1"/>
  <c r="AA31" i="1"/>
  <c r="Z31" i="1"/>
  <c r="Y31" i="1"/>
  <c r="X31" i="1"/>
  <c r="W31" i="1"/>
  <c r="P31" i="1"/>
  <c r="O31" i="1"/>
  <c r="AQ31" i="1" s="1"/>
  <c r="N31" i="1"/>
  <c r="AC31" i="1" s="1"/>
  <c r="M31" i="1"/>
  <c r="AR31" i="1" s="1"/>
  <c r="AU30" i="1"/>
  <c r="AT30" i="1"/>
  <c r="AP30" i="1"/>
  <c r="AN30" i="1"/>
  <c r="AJ30" i="1"/>
  <c r="AI30" i="1"/>
  <c r="AH30" i="1"/>
  <c r="AF30" i="1"/>
  <c r="AE30" i="1"/>
  <c r="AA30" i="1"/>
  <c r="Z30" i="1"/>
  <c r="Y30" i="1"/>
  <c r="X30" i="1"/>
  <c r="W30" i="1"/>
  <c r="P30" i="1"/>
  <c r="O30" i="1"/>
  <c r="AQ30" i="1" s="1"/>
  <c r="N30" i="1"/>
  <c r="AO30" i="1" s="1"/>
  <c r="AV30" i="1" s="1"/>
  <c r="M30" i="1"/>
  <c r="AR30" i="1" s="1"/>
  <c r="AU29" i="1"/>
  <c r="AR29" i="1"/>
  <c r="AP29" i="1"/>
  <c r="AO29" i="1"/>
  <c r="AV29" i="1" s="1"/>
  <c r="AI29" i="1"/>
  <c r="AN29" i="1" s="1"/>
  <c r="AH29" i="1"/>
  <c r="AF29" i="1"/>
  <c r="AE29" i="1"/>
  <c r="AB29" i="1"/>
  <c r="AA29" i="1"/>
  <c r="Z29" i="1"/>
  <c r="Y29" i="1"/>
  <c r="X29" i="1"/>
  <c r="W29" i="1"/>
  <c r="P29" i="1"/>
  <c r="O29" i="1"/>
  <c r="AQ29" i="1" s="1"/>
  <c r="N29" i="1"/>
  <c r="AC29" i="1" s="1"/>
  <c r="M29" i="1"/>
  <c r="AU28" i="1"/>
  <c r="AR28" i="1"/>
  <c r="AP28" i="1"/>
  <c r="AI28" i="1"/>
  <c r="AT28" i="1" s="1"/>
  <c r="AH28" i="1"/>
  <c r="AF28" i="1"/>
  <c r="AE28" i="1"/>
  <c r="AC28" i="1"/>
  <c r="AB28" i="1"/>
  <c r="AA28" i="1"/>
  <c r="Z28" i="1"/>
  <c r="Y28" i="1"/>
  <c r="X28" i="1"/>
  <c r="W28" i="1"/>
  <c r="P28" i="1"/>
  <c r="O28" i="1"/>
  <c r="AQ28" i="1" s="1"/>
  <c r="N28" i="1"/>
  <c r="AO28" i="1" s="1"/>
  <c r="AV28" i="1" s="1"/>
  <c r="M28" i="1"/>
  <c r="AU27" i="1"/>
  <c r="AT27" i="1"/>
  <c r="AR27" i="1"/>
  <c r="AP27" i="1"/>
  <c r="AN27" i="1"/>
  <c r="AJ27" i="1"/>
  <c r="AI27" i="1"/>
  <c r="AH27" i="1"/>
  <c r="AF27" i="1"/>
  <c r="AE27" i="1"/>
  <c r="AD27" i="1"/>
  <c r="AC27" i="1"/>
  <c r="AB27" i="1"/>
  <c r="AA27" i="1"/>
  <c r="Z27" i="1"/>
  <c r="Y27" i="1"/>
  <c r="X27" i="1"/>
  <c r="W27" i="1"/>
  <c r="P27" i="1"/>
  <c r="O27" i="1"/>
  <c r="AQ27" i="1" s="1"/>
  <c r="N27" i="1"/>
  <c r="AO27" i="1" s="1"/>
  <c r="AV27" i="1" s="1"/>
  <c r="M27" i="1"/>
  <c r="AU26" i="1"/>
  <c r="AP26" i="1"/>
  <c r="AO26" i="1"/>
  <c r="AV26" i="1" s="1"/>
  <c r="AN26" i="1"/>
  <c r="AI26" i="1"/>
  <c r="AT26" i="1" s="1"/>
  <c r="AH26" i="1"/>
  <c r="AF26" i="1"/>
  <c r="AE26" i="1"/>
  <c r="AD26" i="1"/>
  <c r="AC26" i="1"/>
  <c r="AA26" i="1"/>
  <c r="Z26" i="1"/>
  <c r="Y26" i="1"/>
  <c r="X26" i="1"/>
  <c r="W26" i="1"/>
  <c r="P26" i="1"/>
  <c r="O26" i="1"/>
  <c r="AQ26" i="1" s="1"/>
  <c r="N26" i="1"/>
  <c r="M26" i="1"/>
  <c r="AR26" i="1" s="1"/>
  <c r="AU25" i="1"/>
  <c r="AT25" i="1"/>
  <c r="AP25" i="1"/>
  <c r="AO25" i="1"/>
  <c r="AV25" i="1" s="1"/>
  <c r="AJ25" i="1"/>
  <c r="AI25" i="1"/>
  <c r="AN25" i="1" s="1"/>
  <c r="AH25" i="1"/>
  <c r="AF25" i="1"/>
  <c r="AE25" i="1"/>
  <c r="AD25" i="1"/>
  <c r="AA25" i="1"/>
  <c r="Z25" i="1"/>
  <c r="Y25" i="1"/>
  <c r="X25" i="1"/>
  <c r="W25" i="1"/>
  <c r="P25" i="1"/>
  <c r="O25" i="1"/>
  <c r="AQ25" i="1" s="1"/>
  <c r="N25" i="1"/>
  <c r="AC25" i="1" s="1"/>
  <c r="M25" i="1"/>
  <c r="AR25" i="1" s="1"/>
  <c r="AU24" i="1"/>
  <c r="AT24" i="1"/>
  <c r="AP24" i="1"/>
  <c r="AN24" i="1"/>
  <c r="AJ24" i="1"/>
  <c r="AI24" i="1"/>
  <c r="AH24" i="1"/>
  <c r="AF24" i="1"/>
  <c r="AE24" i="1"/>
  <c r="AA24" i="1"/>
  <c r="Z24" i="1"/>
  <c r="Y24" i="1"/>
  <c r="X24" i="1"/>
  <c r="W24" i="1"/>
  <c r="P24" i="1"/>
  <c r="O24" i="1"/>
  <c r="AQ24" i="1" s="1"/>
  <c r="N24" i="1"/>
  <c r="AO24" i="1" s="1"/>
  <c r="AV24" i="1" s="1"/>
  <c r="M24" i="1"/>
  <c r="AR24" i="1" s="1"/>
  <c r="AU23" i="1"/>
  <c r="AR23" i="1"/>
  <c r="AP23" i="1"/>
  <c r="AO23" i="1"/>
  <c r="AI23" i="1"/>
  <c r="AN23" i="1" s="1"/>
  <c r="AH23" i="1"/>
  <c r="AF23" i="1"/>
  <c r="AE23" i="1"/>
  <c r="AB23" i="1"/>
  <c r="AA23" i="1"/>
  <c r="Z23" i="1"/>
  <c r="Y23" i="1"/>
  <c r="X23" i="1"/>
  <c r="W23" i="1"/>
  <c r="P23" i="1"/>
  <c r="O23" i="1"/>
  <c r="AQ23" i="1" s="1"/>
  <c r="N23" i="1"/>
  <c r="AC23" i="1" s="1"/>
  <c r="M23" i="1"/>
  <c r="AU22" i="1"/>
  <c r="AR22" i="1"/>
  <c r="AP22" i="1"/>
  <c r="AI22" i="1"/>
  <c r="AT22" i="1" s="1"/>
  <c r="AH22" i="1"/>
  <c r="AF22" i="1"/>
  <c r="AE22" i="1"/>
  <c r="AC22" i="1"/>
  <c r="AB22" i="1"/>
  <c r="AA22" i="1"/>
  <c r="Z22" i="1"/>
  <c r="Y22" i="1"/>
  <c r="X22" i="1"/>
  <c r="W22" i="1"/>
  <c r="P22" i="1"/>
  <c r="O22" i="1"/>
  <c r="AQ22" i="1" s="1"/>
  <c r="N22" i="1"/>
  <c r="AO22" i="1" s="1"/>
  <c r="AV22" i="1" s="1"/>
  <c r="M22" i="1"/>
  <c r="AU21" i="1"/>
  <c r="AT21" i="1"/>
  <c r="AR21" i="1"/>
  <c r="AP21" i="1"/>
  <c r="AN21" i="1"/>
  <c r="AJ21" i="1"/>
  <c r="AI21" i="1"/>
  <c r="AH21" i="1"/>
  <c r="AF21" i="1"/>
  <c r="AE21" i="1"/>
  <c r="AD21" i="1"/>
  <c r="AC21" i="1"/>
  <c r="AB21" i="1"/>
  <c r="AA21" i="1"/>
  <c r="Z21" i="1"/>
  <c r="Y21" i="1"/>
  <c r="X21" i="1"/>
  <c r="W21" i="1"/>
  <c r="P21" i="1"/>
  <c r="O21" i="1"/>
  <c r="AQ21" i="1" s="1"/>
  <c r="N21" i="1"/>
  <c r="AO21" i="1" s="1"/>
  <c r="AV21" i="1" s="1"/>
  <c r="M21" i="1"/>
  <c r="AU20" i="1"/>
  <c r="AP20" i="1"/>
  <c r="AO20" i="1"/>
  <c r="AV20" i="1" s="1"/>
  <c r="AN20" i="1"/>
  <c r="AI20" i="1"/>
  <c r="AT20" i="1" s="1"/>
  <c r="AH20" i="1"/>
  <c r="AF20" i="1"/>
  <c r="AE20" i="1"/>
  <c r="AD20" i="1"/>
  <c r="AC20" i="1"/>
  <c r="AA20" i="1"/>
  <c r="Z20" i="1"/>
  <c r="Y20" i="1"/>
  <c r="X20" i="1"/>
  <c r="W20" i="1"/>
  <c r="P20" i="1"/>
  <c r="O20" i="1"/>
  <c r="AQ20" i="1" s="1"/>
  <c r="N20" i="1"/>
  <c r="M20" i="1"/>
  <c r="AR20" i="1" s="1"/>
  <c r="AU19" i="1"/>
  <c r="AT19" i="1"/>
  <c r="AP19" i="1"/>
  <c r="AO19" i="1"/>
  <c r="AV19" i="1" s="1"/>
  <c r="AJ19" i="1"/>
  <c r="AI19" i="1"/>
  <c r="AN19" i="1" s="1"/>
  <c r="AH19" i="1"/>
  <c r="AF19" i="1"/>
  <c r="AE19" i="1"/>
  <c r="AD19" i="1"/>
  <c r="AA19" i="1"/>
  <c r="Z19" i="1"/>
  <c r="Y19" i="1"/>
  <c r="X19" i="1"/>
  <c r="W19" i="1"/>
  <c r="P19" i="1"/>
  <c r="O19" i="1"/>
  <c r="AQ19" i="1" s="1"/>
  <c r="N19" i="1"/>
  <c r="AC19" i="1" s="1"/>
  <c r="M19" i="1"/>
  <c r="AR19" i="1" s="1"/>
  <c r="AU18" i="1"/>
  <c r="AT18" i="1"/>
  <c r="AP18" i="1"/>
  <c r="AN18" i="1"/>
  <c r="AJ18" i="1"/>
  <c r="AI18" i="1"/>
  <c r="AH18" i="1"/>
  <c r="AF18" i="1"/>
  <c r="AE18" i="1"/>
  <c r="AA18" i="1"/>
  <c r="Z18" i="1"/>
  <c r="Y18" i="1"/>
  <c r="X18" i="1"/>
  <c r="W18" i="1"/>
  <c r="P18" i="1"/>
  <c r="O18" i="1"/>
  <c r="AQ18" i="1" s="1"/>
  <c r="N18" i="1"/>
  <c r="AO18" i="1" s="1"/>
  <c r="AV18" i="1" s="1"/>
  <c r="M18" i="1"/>
  <c r="AR18" i="1" s="1"/>
  <c r="AU17" i="1"/>
  <c r="AP17" i="1"/>
  <c r="AO17" i="1"/>
  <c r="AV17" i="1" s="1"/>
  <c r="AI17" i="1"/>
  <c r="AN17" i="1" s="1"/>
  <c r="AH17" i="1"/>
  <c r="AF17" i="1"/>
  <c r="AE17" i="1"/>
  <c r="AB17" i="1"/>
  <c r="AA17" i="1"/>
  <c r="Z17" i="1"/>
  <c r="Y17" i="1"/>
  <c r="X17" i="1"/>
  <c r="W17" i="1"/>
  <c r="P17" i="1"/>
  <c r="O17" i="1"/>
  <c r="AQ17" i="1" s="1"/>
  <c r="N17" i="1"/>
  <c r="AC17" i="1" s="1"/>
  <c r="M17" i="1"/>
  <c r="AR17" i="1" s="1"/>
  <c r="AU16" i="1"/>
  <c r="AR16" i="1"/>
  <c r="AP16" i="1"/>
  <c r="AI16" i="1"/>
  <c r="AT16" i="1" s="1"/>
  <c r="AH16" i="1"/>
  <c r="AF16" i="1"/>
  <c r="AE16" i="1"/>
  <c r="AB16" i="1"/>
  <c r="AA16" i="1"/>
  <c r="Z16" i="1"/>
  <c r="Y16" i="1"/>
  <c r="X16" i="1"/>
  <c r="W16" i="1"/>
  <c r="P16" i="1"/>
  <c r="O16" i="1"/>
  <c r="AQ16" i="1" s="1"/>
  <c r="N16" i="1"/>
  <c r="AC16" i="1" s="1"/>
  <c r="M16" i="1"/>
  <c r="AU15" i="1"/>
  <c r="AT15" i="1"/>
  <c r="AR15" i="1"/>
  <c r="AP15" i="1"/>
  <c r="AN15" i="1"/>
  <c r="AJ15" i="1"/>
  <c r="AI15" i="1"/>
  <c r="AH15" i="1"/>
  <c r="AF15" i="1"/>
  <c r="AE15" i="1"/>
  <c r="AD15" i="1"/>
  <c r="AC15" i="1"/>
  <c r="AB15" i="1"/>
  <c r="AA15" i="1"/>
  <c r="Z15" i="1"/>
  <c r="Y15" i="1"/>
  <c r="X15" i="1"/>
  <c r="W15" i="1"/>
  <c r="P15" i="1"/>
  <c r="O15" i="1"/>
  <c r="AQ15" i="1" s="1"/>
  <c r="N15" i="1"/>
  <c r="AO15" i="1" s="1"/>
  <c r="AV15" i="1" s="1"/>
  <c r="M15" i="1"/>
  <c r="AU14" i="1"/>
  <c r="AP14" i="1"/>
  <c r="AO14" i="1"/>
  <c r="AV14" i="1" s="1"/>
  <c r="AN14" i="1"/>
  <c r="AI14" i="1"/>
  <c r="AT14" i="1" s="1"/>
  <c r="AH14" i="1"/>
  <c r="AF14" i="1"/>
  <c r="AE14" i="1"/>
  <c r="AD14" i="1"/>
  <c r="AC14" i="1"/>
  <c r="AA14" i="1"/>
  <c r="Z14" i="1"/>
  <c r="Y14" i="1"/>
  <c r="X14" i="1"/>
  <c r="W14" i="1"/>
  <c r="P14" i="1"/>
  <c r="O14" i="1"/>
  <c r="AQ14" i="1" s="1"/>
  <c r="N14" i="1"/>
  <c r="M14" i="1"/>
  <c r="AR14" i="1" s="1"/>
  <c r="AU13" i="1"/>
  <c r="AT13" i="1"/>
  <c r="AP13" i="1"/>
  <c r="AO13" i="1"/>
  <c r="AJ13" i="1"/>
  <c r="AI13" i="1"/>
  <c r="AN13" i="1" s="1"/>
  <c r="AH13" i="1"/>
  <c r="AF13" i="1"/>
  <c r="AE13" i="1"/>
  <c r="AD13" i="1"/>
  <c r="AA13" i="1"/>
  <c r="Z13" i="1"/>
  <c r="Y13" i="1"/>
  <c r="X13" i="1"/>
  <c r="W13" i="1"/>
  <c r="P13" i="1"/>
  <c r="O13" i="1"/>
  <c r="AQ13" i="1" s="1"/>
  <c r="N13" i="1"/>
  <c r="AC13" i="1" s="1"/>
  <c r="M13" i="1"/>
  <c r="AR13" i="1" s="1"/>
  <c r="AU12" i="1"/>
  <c r="AT12" i="1"/>
  <c r="AP12" i="1"/>
  <c r="AN12" i="1"/>
  <c r="AJ12" i="1"/>
  <c r="AI12" i="1"/>
  <c r="AH12" i="1"/>
  <c r="AF12" i="1"/>
  <c r="AE12" i="1"/>
  <c r="AA12" i="1"/>
  <c r="Z12" i="1"/>
  <c r="Y12" i="1"/>
  <c r="X12" i="1"/>
  <c r="W12" i="1"/>
  <c r="P12" i="1"/>
  <c r="O12" i="1"/>
  <c r="AQ12" i="1" s="1"/>
  <c r="N12" i="1"/>
  <c r="AO12" i="1" s="1"/>
  <c r="AV12" i="1" s="1"/>
  <c r="M12" i="1"/>
  <c r="AR12" i="1" s="1"/>
  <c r="AU11" i="1"/>
  <c r="AP11" i="1"/>
  <c r="AO11" i="1"/>
  <c r="AI11" i="1"/>
  <c r="AN11" i="1" s="1"/>
  <c r="AH11" i="1"/>
  <c r="AF11" i="1"/>
  <c r="AE11" i="1"/>
  <c r="AA11" i="1"/>
  <c r="Z11" i="1"/>
  <c r="Y11" i="1"/>
  <c r="X11" i="1"/>
  <c r="W11" i="1"/>
  <c r="P11" i="1"/>
  <c r="O11" i="1"/>
  <c r="AQ11" i="1" s="1"/>
  <c r="N11" i="1"/>
  <c r="AC11" i="1" s="1"/>
  <c r="M11" i="1"/>
  <c r="AR11" i="1" s="1"/>
  <c r="AU10" i="1"/>
  <c r="AR10" i="1"/>
  <c r="AP10" i="1"/>
  <c r="AI10" i="1"/>
  <c r="AT10" i="1" s="1"/>
  <c r="AH10" i="1"/>
  <c r="AF10" i="1"/>
  <c r="AE10" i="1"/>
  <c r="AB10" i="1"/>
  <c r="AA10" i="1"/>
  <c r="Z10" i="1"/>
  <c r="Y10" i="1"/>
  <c r="X10" i="1"/>
  <c r="W10" i="1"/>
  <c r="P10" i="1"/>
  <c r="O10" i="1"/>
  <c r="AQ10" i="1" s="1"/>
  <c r="N10" i="1"/>
  <c r="AC10" i="1" s="1"/>
  <c r="M10" i="1"/>
  <c r="AU9" i="1"/>
  <c r="AT9" i="1"/>
  <c r="AR9" i="1"/>
  <c r="AP9" i="1"/>
  <c r="AN9" i="1"/>
  <c r="AJ9" i="1"/>
  <c r="AI9" i="1"/>
  <c r="AH9" i="1"/>
  <c r="AF9" i="1"/>
  <c r="AE9" i="1"/>
  <c r="AC9" i="1"/>
  <c r="AB9" i="1"/>
  <c r="AA9" i="1"/>
  <c r="Z9" i="1"/>
  <c r="Y9" i="1"/>
  <c r="X9" i="1"/>
  <c r="W9" i="1"/>
  <c r="P9" i="1"/>
  <c r="O9" i="1"/>
  <c r="AD9" i="1" s="1"/>
  <c r="N9" i="1"/>
  <c r="AO9" i="1" s="1"/>
  <c r="AV9" i="1" s="1"/>
  <c r="M9" i="1"/>
  <c r="AU8" i="1"/>
  <c r="AP8" i="1"/>
  <c r="AO8" i="1"/>
  <c r="AN8" i="1"/>
  <c r="AI8" i="1"/>
  <c r="AT8" i="1" s="1"/>
  <c r="AH8" i="1"/>
  <c r="AF8" i="1"/>
  <c r="AE8" i="1"/>
  <c r="AD8" i="1"/>
  <c r="AC8" i="1"/>
  <c r="AB8" i="1"/>
  <c r="AA8" i="1"/>
  <c r="Z8" i="1"/>
  <c r="Y8" i="1"/>
  <c r="X8" i="1"/>
  <c r="W8" i="1"/>
  <c r="P8" i="1"/>
  <c r="O8" i="1"/>
  <c r="AQ8" i="1" s="1"/>
  <c r="N8" i="1"/>
  <c r="M8" i="1"/>
  <c r="AR8" i="1" s="1"/>
  <c r="AU7" i="1"/>
  <c r="AT7" i="1"/>
  <c r="AP7" i="1"/>
  <c r="AO7" i="1"/>
  <c r="AV7" i="1" s="1"/>
  <c r="AJ7" i="1"/>
  <c r="AI7" i="1"/>
  <c r="AN7" i="1" s="1"/>
  <c r="AH7" i="1"/>
  <c r="AF7" i="1"/>
  <c r="AE7" i="1"/>
  <c r="AD7" i="1"/>
  <c r="AC7" i="1"/>
  <c r="AA7" i="1"/>
  <c r="Z7" i="1"/>
  <c r="Y7" i="1"/>
  <c r="X7" i="1"/>
  <c r="W7" i="1"/>
  <c r="P7" i="1"/>
  <c r="O7" i="1"/>
  <c r="AQ7" i="1" s="1"/>
  <c r="N7" i="1"/>
  <c r="M7" i="1"/>
  <c r="AR7" i="1" s="1"/>
  <c r="AU6" i="1"/>
  <c r="AT6" i="1"/>
  <c r="AP6" i="1"/>
  <c r="AN6" i="1"/>
  <c r="AJ6" i="1"/>
  <c r="AI6" i="1"/>
  <c r="AH6" i="1"/>
  <c r="AF6" i="1"/>
  <c r="AE6" i="1"/>
  <c r="AD6" i="1"/>
  <c r="AA6" i="1"/>
  <c r="Z6" i="1"/>
  <c r="Y6" i="1"/>
  <c r="X6" i="1"/>
  <c r="W6" i="1"/>
  <c r="P6" i="1"/>
  <c r="O6" i="1"/>
  <c r="AQ6" i="1" s="1"/>
  <c r="N6" i="1"/>
  <c r="AO6" i="1" s="1"/>
  <c r="AV6" i="1" s="1"/>
  <c r="M6" i="1"/>
  <c r="AR6" i="1" s="1"/>
  <c r="AU5" i="1"/>
  <c r="AP5" i="1"/>
  <c r="AO5" i="1"/>
  <c r="AI5" i="1"/>
  <c r="AN5" i="1" s="1"/>
  <c r="AH5" i="1"/>
  <c r="AF5" i="1"/>
  <c r="AE5" i="1"/>
  <c r="AA5" i="1"/>
  <c r="Z5" i="1"/>
  <c r="Y5" i="1"/>
  <c r="X5" i="1"/>
  <c r="W5" i="1"/>
  <c r="P5" i="1"/>
  <c r="O5" i="1"/>
  <c r="AQ5" i="1" s="1"/>
  <c r="N5" i="1"/>
  <c r="AC5" i="1" s="1"/>
  <c r="M5" i="1"/>
  <c r="AR5" i="1" s="1"/>
  <c r="AU4" i="1"/>
  <c r="AR4" i="1"/>
  <c r="AP4" i="1"/>
  <c r="AI4" i="1"/>
  <c r="AT4" i="1" s="1"/>
  <c r="AH4" i="1"/>
  <c r="AF4" i="1"/>
  <c r="AE4" i="1"/>
  <c r="AB4" i="1"/>
  <c r="AA4" i="1"/>
  <c r="Z4" i="1"/>
  <c r="Y4" i="1"/>
  <c r="X4" i="1"/>
  <c r="W4" i="1"/>
  <c r="P4" i="1"/>
  <c r="O4" i="1"/>
  <c r="AQ4" i="1" s="1"/>
  <c r="N4" i="1"/>
  <c r="AC4" i="1" s="1"/>
  <c r="M4" i="1"/>
  <c r="AP6" i="20"/>
  <c r="AI6" i="20"/>
  <c r="AN6" i="20" s="1"/>
  <c r="AH6" i="20"/>
  <c r="AF6" i="20"/>
  <c r="AE6" i="20"/>
  <c r="AA6" i="20"/>
  <c r="Z6" i="20"/>
  <c r="Y6" i="20"/>
  <c r="X6" i="20"/>
  <c r="W6" i="20"/>
  <c r="P6" i="20"/>
  <c r="O6" i="20"/>
  <c r="AD6" i="20" s="1"/>
  <c r="N6" i="20"/>
  <c r="M6" i="20"/>
  <c r="AR6" i="20" s="1"/>
  <c r="AI5" i="20"/>
  <c r="AH5" i="20"/>
  <c r="W5" i="20"/>
  <c r="AI4" i="20"/>
  <c r="AU3" i="20"/>
  <c r="AO3" i="20"/>
  <c r="AI3" i="20"/>
  <c r="AH3" i="20"/>
  <c r="AN2" i="20"/>
  <c r="AM2" i="20"/>
  <c r="AL2" i="20"/>
  <c r="AK2" i="20"/>
  <c r="AJ2" i="20"/>
  <c r="AA2" i="20"/>
  <c r="A2" i="20"/>
  <c r="AU1" i="20"/>
  <c r="AU6" i="20" s="1"/>
  <c r="AR1" i="20"/>
  <c r="AR3" i="20" s="1"/>
  <c r="AQ1" i="20"/>
  <c r="AQ3" i="20" s="1"/>
  <c r="AP1" i="20"/>
  <c r="AP3" i="20" s="1"/>
  <c r="AO1" i="20"/>
  <c r="AA1" i="20"/>
  <c r="A1" i="20"/>
  <c r="AI48" i="19"/>
  <c r="AN48" i="19" s="1"/>
  <c r="AH48" i="19"/>
  <c r="AF48" i="19"/>
  <c r="AE48" i="19"/>
  <c r="AA48" i="19"/>
  <c r="Z48" i="19"/>
  <c r="Y48" i="19"/>
  <c r="X48" i="19"/>
  <c r="W48" i="19"/>
  <c r="P48" i="19"/>
  <c r="O48" i="19"/>
  <c r="AD48" i="19" s="1"/>
  <c r="N48" i="19"/>
  <c r="AC48" i="19" s="1"/>
  <c r="M48" i="19"/>
  <c r="AI47" i="19"/>
  <c r="AH47" i="19"/>
  <c r="AF47" i="19"/>
  <c r="AE47" i="19"/>
  <c r="AB47" i="19"/>
  <c r="AA47" i="19"/>
  <c r="Z47" i="19"/>
  <c r="Y47" i="19"/>
  <c r="X47" i="19"/>
  <c r="W47" i="19"/>
  <c r="P47" i="19"/>
  <c r="O47" i="19"/>
  <c r="AD47" i="19" s="1"/>
  <c r="N47" i="19"/>
  <c r="M47" i="19"/>
  <c r="AQ46" i="19"/>
  <c r="AI46" i="19"/>
  <c r="AH46" i="19"/>
  <c r="AF46" i="19"/>
  <c r="AE46" i="19"/>
  <c r="AC46" i="19"/>
  <c r="AB46" i="19"/>
  <c r="AA46" i="19"/>
  <c r="Z46" i="19"/>
  <c r="Y46" i="19"/>
  <c r="X46" i="19"/>
  <c r="W46" i="19"/>
  <c r="P46" i="19"/>
  <c r="O46" i="19"/>
  <c r="AD46" i="19" s="1"/>
  <c r="N46" i="19"/>
  <c r="M46" i="19"/>
  <c r="AI45" i="19"/>
  <c r="AH45" i="19"/>
  <c r="W45" i="19"/>
  <c r="AI44" i="19"/>
  <c r="AT44" i="19" s="1"/>
  <c r="AH44" i="19"/>
  <c r="AF44" i="19"/>
  <c r="AE44" i="19"/>
  <c r="AA44" i="19"/>
  <c r="Z44" i="19"/>
  <c r="Y44" i="19"/>
  <c r="X44" i="19"/>
  <c r="W44" i="19"/>
  <c r="P44" i="19"/>
  <c r="O44" i="19"/>
  <c r="AD44" i="19" s="1"/>
  <c r="N44" i="19"/>
  <c r="AC44" i="19" s="1"/>
  <c r="M44" i="19"/>
  <c r="AP43" i="19"/>
  <c r="AI43" i="19"/>
  <c r="AH43" i="19"/>
  <c r="AF43" i="19"/>
  <c r="AE43" i="19"/>
  <c r="AB43" i="19"/>
  <c r="AA43" i="19"/>
  <c r="Z43" i="19"/>
  <c r="Y43" i="19"/>
  <c r="X43" i="19"/>
  <c r="W43" i="19"/>
  <c r="P43" i="19"/>
  <c r="O43" i="19"/>
  <c r="N43" i="19"/>
  <c r="M43" i="19"/>
  <c r="AI42" i="19"/>
  <c r="AH42" i="19"/>
  <c r="AF42" i="19"/>
  <c r="AE42" i="19"/>
  <c r="AC42" i="19"/>
  <c r="AB42" i="19"/>
  <c r="AA42" i="19"/>
  <c r="Z42" i="19"/>
  <c r="Y42" i="19"/>
  <c r="X42" i="19"/>
  <c r="W42" i="19"/>
  <c r="P42" i="19"/>
  <c r="O42" i="19"/>
  <c r="AD42" i="19" s="1"/>
  <c r="N42" i="19"/>
  <c r="AO42" i="19" s="1"/>
  <c r="M42" i="19"/>
  <c r="AI41" i="19"/>
  <c r="AH41" i="19"/>
  <c r="AF41" i="19"/>
  <c r="AE41" i="19"/>
  <c r="AD41" i="19"/>
  <c r="AC41" i="19"/>
  <c r="AB41" i="19"/>
  <c r="AA41" i="19"/>
  <c r="Z41" i="19"/>
  <c r="Y41" i="19"/>
  <c r="X41" i="19"/>
  <c r="W41" i="19"/>
  <c r="P41" i="19"/>
  <c r="O41" i="19"/>
  <c r="AQ41" i="19" s="1"/>
  <c r="N41" i="19"/>
  <c r="M41" i="19"/>
  <c r="AI40" i="19"/>
  <c r="AH40" i="19"/>
  <c r="W40" i="19"/>
  <c r="AQ39" i="19"/>
  <c r="AI39" i="19"/>
  <c r="AH39" i="19"/>
  <c r="AF39" i="19"/>
  <c r="AE39" i="19"/>
  <c r="AB39" i="19"/>
  <c r="AA39" i="19"/>
  <c r="Z39" i="19"/>
  <c r="Y39" i="19"/>
  <c r="X39" i="19"/>
  <c r="W39" i="19"/>
  <c r="P39" i="19"/>
  <c r="O39" i="19"/>
  <c r="AD39" i="19" s="1"/>
  <c r="N39" i="19"/>
  <c r="M39" i="19"/>
  <c r="AI38" i="19"/>
  <c r="AH38" i="19"/>
  <c r="AF38" i="19"/>
  <c r="AE38" i="19"/>
  <c r="AB38" i="19"/>
  <c r="AA38" i="19"/>
  <c r="Z38" i="19"/>
  <c r="Y38" i="19"/>
  <c r="X38" i="19"/>
  <c r="W38" i="19"/>
  <c r="P38" i="19"/>
  <c r="O38" i="19"/>
  <c r="AD38" i="19" s="1"/>
  <c r="N38" i="19"/>
  <c r="AO38" i="19" s="1"/>
  <c r="M38" i="19"/>
  <c r="AI37" i="19"/>
  <c r="AH37" i="19"/>
  <c r="AF37" i="19"/>
  <c r="AE37" i="19"/>
  <c r="AC37" i="19"/>
  <c r="AB37" i="19"/>
  <c r="AA37" i="19"/>
  <c r="Z37" i="19"/>
  <c r="Y37" i="19"/>
  <c r="X37" i="19"/>
  <c r="W37" i="19"/>
  <c r="P37" i="19"/>
  <c r="O37" i="19"/>
  <c r="N37" i="19"/>
  <c r="AO37" i="19" s="1"/>
  <c r="M37" i="19"/>
  <c r="AI36" i="19"/>
  <c r="AH36" i="19"/>
  <c r="W36" i="19"/>
  <c r="AP35" i="19"/>
  <c r="AI35" i="19"/>
  <c r="AH35" i="19"/>
  <c r="AF35" i="19"/>
  <c r="AE35" i="19"/>
  <c r="AA35" i="19"/>
  <c r="Z35" i="19"/>
  <c r="Y35" i="19"/>
  <c r="X35" i="19"/>
  <c r="W35" i="19"/>
  <c r="P35" i="19"/>
  <c r="O35" i="19"/>
  <c r="AD35" i="19" s="1"/>
  <c r="N35" i="19"/>
  <c r="M35" i="19"/>
  <c r="AI34" i="19"/>
  <c r="AH34" i="19"/>
  <c r="W34" i="19"/>
  <c r="AV33" i="19"/>
  <c r="AU33" i="19"/>
  <c r="AT33" i="19"/>
  <c r="AP33" i="19"/>
  <c r="AO33" i="19"/>
  <c r="AI33" i="19"/>
  <c r="AH33" i="19"/>
  <c r="AF33" i="19"/>
  <c r="AE33" i="19"/>
  <c r="AD33" i="19"/>
  <c r="AA33" i="19"/>
  <c r="Z33" i="19"/>
  <c r="Y33" i="19"/>
  <c r="X33" i="19"/>
  <c r="W33" i="19"/>
  <c r="P33" i="19"/>
  <c r="O33" i="19"/>
  <c r="N33" i="19"/>
  <c r="AC33" i="19" s="1"/>
  <c r="M33" i="19"/>
  <c r="AT32" i="19"/>
  <c r="AP32" i="19"/>
  <c r="AI32" i="19"/>
  <c r="AH32" i="19"/>
  <c r="AF32" i="19"/>
  <c r="AE32" i="19"/>
  <c r="AA32" i="19"/>
  <c r="Z32" i="19"/>
  <c r="Y32" i="19"/>
  <c r="X32" i="19"/>
  <c r="W32" i="19"/>
  <c r="P32" i="19"/>
  <c r="O32" i="19"/>
  <c r="AD32" i="19" s="1"/>
  <c r="N32" i="19"/>
  <c r="AC32" i="19" s="1"/>
  <c r="M32" i="19"/>
  <c r="AI31" i="19"/>
  <c r="AH31" i="19"/>
  <c r="AF31" i="19"/>
  <c r="AE31" i="19"/>
  <c r="AA31" i="19"/>
  <c r="Z31" i="19"/>
  <c r="Y31" i="19"/>
  <c r="X31" i="19"/>
  <c r="W31" i="19"/>
  <c r="P31" i="19"/>
  <c r="O31" i="19"/>
  <c r="AD31" i="19" s="1"/>
  <c r="N31" i="19"/>
  <c r="M31" i="19"/>
  <c r="AP30" i="19"/>
  <c r="AI30" i="19"/>
  <c r="AH30" i="19"/>
  <c r="AF30" i="19"/>
  <c r="AE30" i="19"/>
  <c r="AB30" i="19"/>
  <c r="AA30" i="19"/>
  <c r="Z30" i="19"/>
  <c r="Y30" i="19"/>
  <c r="X30" i="19"/>
  <c r="W30" i="19"/>
  <c r="P30" i="19"/>
  <c r="O30" i="19"/>
  <c r="AD30" i="19" s="1"/>
  <c r="N30" i="19"/>
  <c r="AO30" i="19" s="1"/>
  <c r="AV30" i="19" s="1"/>
  <c r="M30" i="19"/>
  <c r="AI29" i="19"/>
  <c r="AH29" i="19"/>
  <c r="AF29" i="19"/>
  <c r="AE29" i="19"/>
  <c r="AC29" i="19"/>
  <c r="AB29" i="19"/>
  <c r="AA29" i="19"/>
  <c r="Z29" i="19"/>
  <c r="Y29" i="19"/>
  <c r="X29" i="19"/>
  <c r="W29" i="19"/>
  <c r="P29" i="19"/>
  <c r="O29" i="19"/>
  <c r="N29" i="19"/>
  <c r="AO29" i="19" s="1"/>
  <c r="M29" i="19"/>
  <c r="AT28" i="19"/>
  <c r="AI28" i="19"/>
  <c r="AH28" i="19"/>
  <c r="AF28" i="19"/>
  <c r="AE28" i="19"/>
  <c r="AD28" i="19"/>
  <c r="AC28" i="19"/>
  <c r="AB28" i="19"/>
  <c r="AA28" i="19"/>
  <c r="Z28" i="19"/>
  <c r="Y28" i="19"/>
  <c r="X28" i="19"/>
  <c r="W28" i="19"/>
  <c r="P28" i="19"/>
  <c r="O28" i="19"/>
  <c r="N28" i="19"/>
  <c r="M28" i="19"/>
  <c r="AI27" i="19"/>
  <c r="AH27" i="19"/>
  <c r="W27" i="19"/>
  <c r="AP26" i="19"/>
  <c r="AI26" i="19"/>
  <c r="AH26" i="19"/>
  <c r="AF26" i="19"/>
  <c r="AE26" i="19"/>
  <c r="AB26" i="19"/>
  <c r="AA26" i="19"/>
  <c r="Z26" i="19"/>
  <c r="Y26" i="19"/>
  <c r="X26" i="19"/>
  <c r="W26" i="19"/>
  <c r="P26" i="19"/>
  <c r="O26" i="19"/>
  <c r="AD26" i="19" s="1"/>
  <c r="N26" i="19"/>
  <c r="AO26" i="19" s="1"/>
  <c r="AV26" i="19" s="1"/>
  <c r="M26" i="19"/>
  <c r="AT25" i="19"/>
  <c r="AI25" i="19"/>
  <c r="AH25" i="19"/>
  <c r="AF25" i="19"/>
  <c r="AE25" i="19"/>
  <c r="AC25" i="19"/>
  <c r="AB25" i="19"/>
  <c r="AA25" i="19"/>
  <c r="Z25" i="19"/>
  <c r="Y25" i="19"/>
  <c r="X25" i="19"/>
  <c r="W25" i="19"/>
  <c r="P25" i="19"/>
  <c r="O25" i="19"/>
  <c r="N25" i="19"/>
  <c r="M25" i="19"/>
  <c r="AU24" i="19"/>
  <c r="AT24" i="19"/>
  <c r="AI24" i="19"/>
  <c r="AH24" i="19"/>
  <c r="AF24" i="19"/>
  <c r="AE24" i="19"/>
  <c r="AD24" i="19"/>
  <c r="AC24" i="19"/>
  <c r="AB24" i="19"/>
  <c r="AA24" i="19"/>
  <c r="Z24" i="19"/>
  <c r="Y24" i="19"/>
  <c r="X24" i="19"/>
  <c r="W24" i="19"/>
  <c r="P24" i="19"/>
  <c r="O24" i="19"/>
  <c r="N24" i="19"/>
  <c r="M24" i="19"/>
  <c r="AT23" i="19"/>
  <c r="AN23" i="19"/>
  <c r="AI23" i="19"/>
  <c r="AH23" i="19"/>
  <c r="AF23" i="19"/>
  <c r="AE23" i="19"/>
  <c r="AD23" i="19"/>
  <c r="AC23" i="19"/>
  <c r="AA23" i="19"/>
  <c r="Z23" i="19"/>
  <c r="Y23" i="19"/>
  <c r="X23" i="19"/>
  <c r="W23" i="19"/>
  <c r="P23" i="19"/>
  <c r="O23" i="19"/>
  <c r="N23" i="19"/>
  <c r="M23" i="19"/>
  <c r="AI22" i="19"/>
  <c r="AH22" i="19"/>
  <c r="W22" i="19"/>
  <c r="AP21" i="19"/>
  <c r="AI21" i="19"/>
  <c r="AH21" i="19"/>
  <c r="AF21" i="19"/>
  <c r="AE21" i="19"/>
  <c r="AC21" i="19"/>
  <c r="AB21" i="19"/>
  <c r="AA21" i="19"/>
  <c r="Z21" i="19"/>
  <c r="Y21" i="19"/>
  <c r="X21" i="19"/>
  <c r="W21" i="19"/>
  <c r="P21" i="19"/>
  <c r="O21" i="19"/>
  <c r="AQ21" i="19" s="1"/>
  <c r="N21" i="19"/>
  <c r="AO21" i="19" s="1"/>
  <c r="AV21" i="19" s="1"/>
  <c r="M21" i="19"/>
  <c r="AT20" i="19"/>
  <c r="AP20" i="19"/>
  <c r="AO20" i="19"/>
  <c r="AV20" i="19" s="1"/>
  <c r="AN20" i="19"/>
  <c r="AI20" i="19"/>
  <c r="AH20" i="19"/>
  <c r="AF20" i="19"/>
  <c r="AE20" i="19"/>
  <c r="AD20" i="19"/>
  <c r="AC20" i="19"/>
  <c r="AB20" i="19"/>
  <c r="AA20" i="19"/>
  <c r="Z20" i="19"/>
  <c r="Y20" i="19"/>
  <c r="X20" i="19"/>
  <c r="W20" i="19"/>
  <c r="P20" i="19"/>
  <c r="O20" i="19"/>
  <c r="N20" i="19"/>
  <c r="M20" i="19"/>
  <c r="AI19" i="19"/>
  <c r="AT19" i="19" s="1"/>
  <c r="AH19" i="19"/>
  <c r="AF19" i="19"/>
  <c r="AE19" i="19"/>
  <c r="AD19" i="19"/>
  <c r="AC19" i="19"/>
  <c r="AA19" i="19"/>
  <c r="Z19" i="19"/>
  <c r="Y19" i="19"/>
  <c r="X19" i="19"/>
  <c r="W19" i="19"/>
  <c r="P19" i="19"/>
  <c r="O19" i="19"/>
  <c r="AQ19" i="19" s="1"/>
  <c r="N19" i="19"/>
  <c r="M19" i="19"/>
  <c r="AT18" i="19"/>
  <c r="AI18" i="19"/>
  <c r="AH18" i="19"/>
  <c r="AF18" i="19"/>
  <c r="AE18" i="19"/>
  <c r="AD18" i="19"/>
  <c r="AA18" i="19"/>
  <c r="Z18" i="19"/>
  <c r="Y18" i="19"/>
  <c r="X18" i="19"/>
  <c r="W18" i="19"/>
  <c r="P18" i="19"/>
  <c r="O18" i="19"/>
  <c r="AQ18" i="19" s="1"/>
  <c r="N18" i="19"/>
  <c r="AC18" i="19" s="1"/>
  <c r="M18" i="19"/>
  <c r="AI17" i="19"/>
  <c r="AT17" i="19" s="1"/>
  <c r="AH17" i="19"/>
  <c r="AF17" i="19"/>
  <c r="AE17" i="19"/>
  <c r="AA17" i="19"/>
  <c r="Z17" i="19"/>
  <c r="Y17" i="19"/>
  <c r="X17" i="19"/>
  <c r="W17" i="19"/>
  <c r="P17" i="19"/>
  <c r="O17" i="19"/>
  <c r="AD17" i="19" s="1"/>
  <c r="N17" i="19"/>
  <c r="M17" i="19"/>
  <c r="AP16" i="19"/>
  <c r="AI16" i="19"/>
  <c r="AH16" i="19"/>
  <c r="AF16" i="19"/>
  <c r="AE16" i="19"/>
  <c r="AB16" i="19"/>
  <c r="AA16" i="19"/>
  <c r="Z16" i="19"/>
  <c r="Y16" i="19"/>
  <c r="X16" i="19"/>
  <c r="W16" i="19"/>
  <c r="P16" i="19"/>
  <c r="O16" i="19"/>
  <c r="N16" i="19"/>
  <c r="M16" i="19"/>
  <c r="AT15" i="19"/>
  <c r="AQ15" i="19"/>
  <c r="AP15" i="19"/>
  <c r="AI15" i="19"/>
  <c r="AH15" i="19"/>
  <c r="AF15" i="19"/>
  <c r="AE15" i="19"/>
  <c r="AC15" i="19"/>
  <c r="AB15" i="19"/>
  <c r="AA15" i="19"/>
  <c r="Z15" i="19"/>
  <c r="Y15" i="19"/>
  <c r="X15" i="19"/>
  <c r="W15" i="19"/>
  <c r="P15" i="19"/>
  <c r="O15" i="19"/>
  <c r="AD15" i="19" s="1"/>
  <c r="N15" i="19"/>
  <c r="AO15" i="19" s="1"/>
  <c r="AV15" i="19" s="1"/>
  <c r="M15" i="19"/>
  <c r="AT14" i="19"/>
  <c r="AI14" i="19"/>
  <c r="AN14" i="19" s="1"/>
  <c r="AH14" i="19"/>
  <c r="AF14" i="19"/>
  <c r="AE14" i="19"/>
  <c r="AC14" i="19"/>
  <c r="AB14" i="19"/>
  <c r="AA14" i="19"/>
  <c r="Z14" i="19"/>
  <c r="Y14" i="19"/>
  <c r="X14" i="19"/>
  <c r="W14" i="19"/>
  <c r="P14" i="19"/>
  <c r="O14" i="19"/>
  <c r="N14" i="19"/>
  <c r="M14" i="19"/>
  <c r="AV13" i="19"/>
  <c r="AR13" i="19"/>
  <c r="AP13" i="19"/>
  <c r="AO13" i="19"/>
  <c r="AI13" i="19"/>
  <c r="AN13" i="19" s="1"/>
  <c r="AH13" i="19"/>
  <c r="AF13" i="19"/>
  <c r="AE13" i="19"/>
  <c r="AD13" i="19"/>
  <c r="AC13" i="19"/>
  <c r="AB13" i="19"/>
  <c r="AA13" i="19"/>
  <c r="Z13" i="19"/>
  <c r="Y13" i="19"/>
  <c r="X13" i="19"/>
  <c r="W13" i="19"/>
  <c r="P13" i="19"/>
  <c r="O13" i="19"/>
  <c r="AQ13" i="19" s="1"/>
  <c r="N13" i="19"/>
  <c r="M13" i="19"/>
  <c r="AT12" i="19"/>
  <c r="AP12" i="19"/>
  <c r="AJ12" i="19"/>
  <c r="AI12" i="19"/>
  <c r="AH12" i="19"/>
  <c r="AF12" i="19"/>
  <c r="AE12" i="19"/>
  <c r="AD12" i="19"/>
  <c r="AA12" i="19"/>
  <c r="Z12" i="19"/>
  <c r="Y12" i="19"/>
  <c r="X12" i="19"/>
  <c r="W12" i="19"/>
  <c r="P12" i="19"/>
  <c r="O12" i="19"/>
  <c r="AQ12" i="19" s="1"/>
  <c r="N12" i="19"/>
  <c r="AO12" i="19" s="1"/>
  <c r="AV12" i="19" s="1"/>
  <c r="M12" i="19"/>
  <c r="AN11" i="19"/>
  <c r="AI11" i="19"/>
  <c r="AT11" i="19" s="1"/>
  <c r="AH11" i="19"/>
  <c r="AF11" i="19"/>
  <c r="AE11" i="19"/>
  <c r="AA11" i="19"/>
  <c r="Z11" i="19"/>
  <c r="Y11" i="19"/>
  <c r="X11" i="19"/>
  <c r="W11" i="19"/>
  <c r="P11" i="19"/>
  <c r="O11" i="19"/>
  <c r="N11" i="19"/>
  <c r="AC11" i="19" s="1"/>
  <c r="M11" i="19"/>
  <c r="AQ10" i="19"/>
  <c r="AP10" i="19"/>
  <c r="AI10" i="19"/>
  <c r="AH10" i="19"/>
  <c r="AF10" i="19"/>
  <c r="AE10" i="19"/>
  <c r="AB10" i="19"/>
  <c r="AA10" i="19"/>
  <c r="Z10" i="19"/>
  <c r="Y10" i="19"/>
  <c r="X10" i="19"/>
  <c r="W10" i="19"/>
  <c r="P10" i="19"/>
  <c r="O10" i="19"/>
  <c r="AD10" i="19" s="1"/>
  <c r="N10" i="19"/>
  <c r="AC10" i="19" s="1"/>
  <c r="M10" i="19"/>
  <c r="AT9" i="19"/>
  <c r="AQ9" i="19"/>
  <c r="AI9" i="19"/>
  <c r="AH9" i="19"/>
  <c r="AF9" i="19"/>
  <c r="AE9" i="19"/>
  <c r="AB9" i="19"/>
  <c r="AA9" i="19"/>
  <c r="Z9" i="19"/>
  <c r="Y9" i="19"/>
  <c r="X9" i="19"/>
  <c r="W9" i="19"/>
  <c r="P9" i="19"/>
  <c r="O9" i="19"/>
  <c r="AD9" i="19" s="1"/>
  <c r="N9" i="19"/>
  <c r="M9" i="19"/>
  <c r="AI8" i="19"/>
  <c r="AH8" i="19"/>
  <c r="W8" i="19"/>
  <c r="AQ7" i="19"/>
  <c r="AP7" i="19"/>
  <c r="AI7" i="19"/>
  <c r="AH7" i="19"/>
  <c r="AF7" i="19"/>
  <c r="AE7" i="19"/>
  <c r="AA7" i="19"/>
  <c r="Z7" i="19"/>
  <c r="Y7" i="19"/>
  <c r="X7" i="19"/>
  <c r="W7" i="19"/>
  <c r="P7" i="19"/>
  <c r="O7" i="19"/>
  <c r="AD7" i="19" s="1"/>
  <c r="N7" i="19"/>
  <c r="AC7" i="19" s="1"/>
  <c r="M7" i="19"/>
  <c r="AQ6" i="19"/>
  <c r="AP6" i="19"/>
  <c r="AO6" i="19"/>
  <c r="AV6" i="19" s="1"/>
  <c r="AI6" i="19"/>
  <c r="AH6" i="19"/>
  <c r="AF6" i="19"/>
  <c r="AE6" i="19"/>
  <c r="AC6" i="19"/>
  <c r="AA6" i="19"/>
  <c r="Z6" i="19"/>
  <c r="Y6" i="19"/>
  <c r="X6" i="19"/>
  <c r="W6" i="19"/>
  <c r="P6" i="19"/>
  <c r="O6" i="19"/>
  <c r="AD6" i="19" s="1"/>
  <c r="N6" i="19"/>
  <c r="M6" i="19"/>
  <c r="AB6" i="19" s="1"/>
  <c r="AI5" i="19"/>
  <c r="AH5" i="19"/>
  <c r="W5" i="19"/>
  <c r="AI4" i="19"/>
  <c r="AP3" i="19"/>
  <c r="AO3" i="19"/>
  <c r="AI3" i="19"/>
  <c r="AH3" i="19"/>
  <c r="AN2" i="19"/>
  <c r="AN33" i="19" s="1"/>
  <c r="AM2" i="19"/>
  <c r="AL2" i="19"/>
  <c r="AK2" i="19"/>
  <c r="AJ2" i="19"/>
  <c r="AJ24" i="19" s="1"/>
  <c r="AA2" i="19"/>
  <c r="A2" i="19"/>
  <c r="AU1" i="19"/>
  <c r="AR1" i="19"/>
  <c r="AQ1" i="19"/>
  <c r="AQ3" i="19" s="1"/>
  <c r="AP1" i="19"/>
  <c r="AP18" i="19" s="1"/>
  <c r="AO1" i="19"/>
  <c r="AO23" i="19" s="1"/>
  <c r="AJ1" i="19"/>
  <c r="AH1" i="19"/>
  <c r="AH2" i="19" s="1"/>
  <c r="AA1" i="19"/>
  <c r="A1" i="19"/>
  <c r="AP17" i="18"/>
  <c r="AO17" i="18"/>
  <c r="AV17" i="18" s="1"/>
  <c r="AI17" i="18"/>
  <c r="AN17" i="18" s="1"/>
  <c r="AH17" i="18"/>
  <c r="AF17" i="18"/>
  <c r="AE17" i="18"/>
  <c r="AC17" i="18"/>
  <c r="AB17" i="18"/>
  <c r="AA17" i="18"/>
  <c r="Z17" i="18"/>
  <c r="Y17" i="18"/>
  <c r="X17" i="18"/>
  <c r="W17" i="18"/>
  <c r="P17" i="18"/>
  <c r="O17" i="18"/>
  <c r="AD17" i="18" s="1"/>
  <c r="N17" i="18"/>
  <c r="M17" i="18"/>
  <c r="AI16" i="18"/>
  <c r="AH16" i="18"/>
  <c r="AF16" i="18"/>
  <c r="AE16" i="18"/>
  <c r="AD16" i="18"/>
  <c r="AC16" i="18"/>
  <c r="AB16" i="18"/>
  <c r="AA16" i="18"/>
  <c r="Z16" i="18"/>
  <c r="Y16" i="18"/>
  <c r="X16" i="18"/>
  <c r="W16" i="18"/>
  <c r="P16" i="18"/>
  <c r="O16" i="18"/>
  <c r="AQ16" i="18" s="1"/>
  <c r="N16" i="18"/>
  <c r="M16" i="18"/>
  <c r="AT15" i="18"/>
  <c r="AJ15" i="18"/>
  <c r="AI15" i="18"/>
  <c r="AH15" i="18"/>
  <c r="AF15" i="18"/>
  <c r="AE15" i="18"/>
  <c r="AD15" i="18"/>
  <c r="AC15" i="18"/>
  <c r="AA15" i="18"/>
  <c r="Z15" i="18"/>
  <c r="Y15" i="18"/>
  <c r="X15" i="18"/>
  <c r="W15" i="18"/>
  <c r="P15" i="18"/>
  <c r="O15" i="18"/>
  <c r="AQ15" i="18" s="1"/>
  <c r="N15" i="18"/>
  <c r="M15" i="18"/>
  <c r="AR15" i="18" s="1"/>
  <c r="AI14" i="18"/>
  <c r="AH14" i="18"/>
  <c r="W14" i="18"/>
  <c r="AQ13" i="18"/>
  <c r="AI13" i="18"/>
  <c r="AN13" i="18" s="1"/>
  <c r="AH13" i="18"/>
  <c r="AF13" i="18"/>
  <c r="AE13" i="18"/>
  <c r="AC13" i="18"/>
  <c r="AB13" i="18"/>
  <c r="AA13" i="18"/>
  <c r="Z13" i="18"/>
  <c r="Y13" i="18"/>
  <c r="X13" i="18"/>
  <c r="W13" i="18"/>
  <c r="P13" i="18"/>
  <c r="O13" i="18"/>
  <c r="AD13" i="18" s="1"/>
  <c r="N13" i="18"/>
  <c r="M13" i="18"/>
  <c r="AI12" i="18"/>
  <c r="AH12" i="18"/>
  <c r="W12" i="18"/>
  <c r="AV11" i="18"/>
  <c r="AP11" i="18"/>
  <c r="AO11" i="18"/>
  <c r="AI11" i="18"/>
  <c r="AN11" i="18" s="1"/>
  <c r="AH11" i="18"/>
  <c r="AF11" i="18"/>
  <c r="AE11" i="18"/>
  <c r="AA11" i="18"/>
  <c r="Z11" i="18"/>
  <c r="Y11" i="18"/>
  <c r="X11" i="18"/>
  <c r="W11" i="18"/>
  <c r="P11" i="18"/>
  <c r="O11" i="18"/>
  <c r="AD11" i="18" s="1"/>
  <c r="N11" i="18"/>
  <c r="AC11" i="18" s="1"/>
  <c r="M11" i="18"/>
  <c r="AI10" i="18"/>
  <c r="AH10" i="18"/>
  <c r="W10" i="18"/>
  <c r="AT9" i="18"/>
  <c r="AJ9" i="18"/>
  <c r="AI9" i="18"/>
  <c r="AH9" i="18"/>
  <c r="AF9" i="18"/>
  <c r="AE9" i="18"/>
  <c r="AD9" i="18"/>
  <c r="AC9" i="18"/>
  <c r="AA9" i="18"/>
  <c r="Z9" i="18"/>
  <c r="Y9" i="18"/>
  <c r="X9" i="18"/>
  <c r="W9" i="18"/>
  <c r="P9" i="18"/>
  <c r="O9" i="18"/>
  <c r="AQ9" i="18" s="1"/>
  <c r="N9" i="18"/>
  <c r="AO9" i="18" s="1"/>
  <c r="M9" i="18"/>
  <c r="AR9" i="18" s="1"/>
  <c r="AU8" i="18"/>
  <c r="AP8" i="18"/>
  <c r="AN8" i="18"/>
  <c r="AI8" i="18"/>
  <c r="AT8" i="18" s="1"/>
  <c r="AH8" i="18"/>
  <c r="AF8" i="18"/>
  <c r="AE8" i="18"/>
  <c r="AD8" i="18"/>
  <c r="AA8" i="18"/>
  <c r="Z8" i="18"/>
  <c r="Y8" i="18"/>
  <c r="X8" i="18"/>
  <c r="W8" i="18"/>
  <c r="P8" i="18"/>
  <c r="O8" i="18"/>
  <c r="AQ8" i="18" s="1"/>
  <c r="N8" i="18"/>
  <c r="AC8" i="18" s="1"/>
  <c r="M8" i="18"/>
  <c r="AI7" i="18"/>
  <c r="AH7" i="18"/>
  <c r="W7" i="18"/>
  <c r="AR6" i="18"/>
  <c r="AI6" i="18"/>
  <c r="AH6" i="18"/>
  <c r="AF6" i="18"/>
  <c r="AE6" i="18"/>
  <c r="AD6" i="18"/>
  <c r="AC6" i="18"/>
  <c r="AB6" i="18"/>
  <c r="AA6" i="18"/>
  <c r="Z6" i="18"/>
  <c r="Y6" i="18"/>
  <c r="X6" i="18"/>
  <c r="W6" i="18"/>
  <c r="P6" i="18"/>
  <c r="O6" i="18"/>
  <c r="AQ6" i="18" s="1"/>
  <c r="N6" i="18"/>
  <c r="M6" i="18"/>
  <c r="AI5" i="18"/>
  <c r="AH5" i="18"/>
  <c r="W5" i="18"/>
  <c r="AI4" i="18"/>
  <c r="AQ3" i="18"/>
  <c r="AP3" i="18"/>
  <c r="AO3" i="18"/>
  <c r="AI3" i="18"/>
  <c r="AH3" i="18"/>
  <c r="AN2" i="18"/>
  <c r="AN15" i="18" s="1"/>
  <c r="AM2" i="18"/>
  <c r="AL2" i="18"/>
  <c r="AK2" i="18"/>
  <c r="AJ2" i="18"/>
  <c r="AA2" i="18"/>
  <c r="A2" i="18"/>
  <c r="AU1" i="18"/>
  <c r="AU11" i="18" s="1"/>
  <c r="AR1" i="18"/>
  <c r="AR16" i="18" s="1"/>
  <c r="AQ1" i="18"/>
  <c r="AP1" i="18"/>
  <c r="AP13" i="18" s="1"/>
  <c r="AO1" i="18"/>
  <c r="AO13" i="18" s="1"/>
  <c r="AJ1" i="18"/>
  <c r="AH1" i="18"/>
  <c r="AH2" i="18" s="1"/>
  <c r="AA1" i="18"/>
  <c r="A1" i="18"/>
  <c r="AP26" i="17"/>
  <c r="AO26" i="17"/>
  <c r="AV26" i="17" s="1"/>
  <c r="AI26" i="17"/>
  <c r="AN26" i="17" s="1"/>
  <c r="AH26" i="17"/>
  <c r="AF26" i="17"/>
  <c r="AE26" i="17"/>
  <c r="AC26" i="17"/>
  <c r="AB26" i="17"/>
  <c r="AA26" i="17"/>
  <c r="Z26" i="17"/>
  <c r="Y26" i="17"/>
  <c r="X26" i="17"/>
  <c r="W26" i="17"/>
  <c r="P26" i="17"/>
  <c r="O26" i="17"/>
  <c r="N26" i="17"/>
  <c r="M26" i="17"/>
  <c r="AP25" i="17"/>
  <c r="AO25" i="17"/>
  <c r="AV25" i="17" s="1"/>
  <c r="AI25" i="17"/>
  <c r="AH25" i="17"/>
  <c r="AF25" i="17"/>
  <c r="AE25" i="17"/>
  <c r="AD25" i="17"/>
  <c r="AC25" i="17"/>
  <c r="AB25" i="17"/>
  <c r="AA25" i="17"/>
  <c r="Z25" i="17"/>
  <c r="Y25" i="17"/>
  <c r="X25" i="17"/>
  <c r="W25" i="17"/>
  <c r="P25" i="17"/>
  <c r="O25" i="17"/>
  <c r="N25" i="17"/>
  <c r="M25" i="17"/>
  <c r="AT24" i="17"/>
  <c r="AP24" i="17"/>
  <c r="AJ24" i="17"/>
  <c r="AI24" i="17"/>
  <c r="AH24" i="17"/>
  <c r="AF24" i="17"/>
  <c r="AE24" i="17"/>
  <c r="AD24" i="17"/>
  <c r="AC24" i="17"/>
  <c r="AA24" i="17"/>
  <c r="Z24" i="17"/>
  <c r="Y24" i="17"/>
  <c r="X24" i="17"/>
  <c r="W24" i="17"/>
  <c r="P24" i="17"/>
  <c r="O24" i="17"/>
  <c r="N24" i="17"/>
  <c r="AO24" i="17" s="1"/>
  <c r="AV24" i="17" s="1"/>
  <c r="M24" i="17"/>
  <c r="AI23" i="17"/>
  <c r="AH23" i="17"/>
  <c r="W23" i="17"/>
  <c r="AI22" i="17"/>
  <c r="AN22" i="17" s="1"/>
  <c r="AH22" i="17"/>
  <c r="AF22" i="17"/>
  <c r="AE22" i="17"/>
  <c r="AC22" i="17"/>
  <c r="AB22" i="17"/>
  <c r="AA22" i="17"/>
  <c r="Z22" i="17"/>
  <c r="Y22" i="17"/>
  <c r="X22" i="17"/>
  <c r="W22" i="17"/>
  <c r="P22" i="17"/>
  <c r="O22" i="17"/>
  <c r="AD22" i="17" s="1"/>
  <c r="N22" i="17"/>
  <c r="M22" i="17"/>
  <c r="AI21" i="17"/>
  <c r="AH21" i="17"/>
  <c r="AF21" i="17"/>
  <c r="AE21" i="17"/>
  <c r="AD21" i="17"/>
  <c r="AC21" i="17"/>
  <c r="AB21" i="17"/>
  <c r="AA21" i="17"/>
  <c r="Z21" i="17"/>
  <c r="Y21" i="17"/>
  <c r="X21" i="17"/>
  <c r="W21" i="17"/>
  <c r="P21" i="17"/>
  <c r="O21" i="17"/>
  <c r="N21" i="17"/>
  <c r="M21" i="17"/>
  <c r="AT20" i="17"/>
  <c r="AI20" i="17"/>
  <c r="AH20" i="17"/>
  <c r="AF20" i="17"/>
  <c r="AE20" i="17"/>
  <c r="AD20" i="17"/>
  <c r="AC20" i="17"/>
  <c r="AA20" i="17"/>
  <c r="Z20" i="17"/>
  <c r="Y20" i="17"/>
  <c r="X20" i="17"/>
  <c r="W20" i="17"/>
  <c r="P20" i="17"/>
  <c r="O20" i="17"/>
  <c r="N20" i="17"/>
  <c r="AO20" i="17" s="1"/>
  <c r="M20" i="17"/>
  <c r="AR20" i="17" s="1"/>
  <c r="AN19" i="17"/>
  <c r="AI19" i="17"/>
  <c r="AT19" i="17" s="1"/>
  <c r="AH19" i="17"/>
  <c r="AF19" i="17"/>
  <c r="AE19" i="17"/>
  <c r="AD19" i="17"/>
  <c r="AA19" i="17"/>
  <c r="Z19" i="17"/>
  <c r="Y19" i="17"/>
  <c r="X19" i="17"/>
  <c r="W19" i="17"/>
  <c r="P19" i="17"/>
  <c r="O19" i="17"/>
  <c r="N19" i="17"/>
  <c r="AC19" i="17" s="1"/>
  <c r="M19" i="17"/>
  <c r="AR19" i="17" s="1"/>
  <c r="AO18" i="17"/>
  <c r="AI18" i="17"/>
  <c r="AN18" i="17" s="1"/>
  <c r="AH18" i="17"/>
  <c r="AF18" i="17"/>
  <c r="AE18" i="17"/>
  <c r="AA18" i="17"/>
  <c r="Z18" i="17"/>
  <c r="Y18" i="17"/>
  <c r="X18" i="17"/>
  <c r="W18" i="17"/>
  <c r="P18" i="17"/>
  <c r="O18" i="17"/>
  <c r="AD18" i="17" s="1"/>
  <c r="N18" i="17"/>
  <c r="AC18" i="17" s="1"/>
  <c r="M18" i="17"/>
  <c r="AT17" i="17"/>
  <c r="AP17" i="17"/>
  <c r="AI17" i="17"/>
  <c r="AN17" i="17" s="1"/>
  <c r="AH17" i="17"/>
  <c r="AF17" i="17"/>
  <c r="AE17" i="17"/>
  <c r="AB17" i="17"/>
  <c r="AA17" i="17"/>
  <c r="Z17" i="17"/>
  <c r="Y17" i="17"/>
  <c r="X17" i="17"/>
  <c r="W17" i="17"/>
  <c r="P17" i="17"/>
  <c r="O17" i="17"/>
  <c r="AD17" i="17" s="1"/>
  <c r="N17" i="17"/>
  <c r="M17" i="17"/>
  <c r="AI16" i="17"/>
  <c r="AT16" i="17" s="1"/>
  <c r="AH16" i="17"/>
  <c r="AF16" i="17"/>
  <c r="AE16" i="17"/>
  <c r="AC16" i="17"/>
  <c r="AB16" i="17"/>
  <c r="AA16" i="17"/>
  <c r="Z16" i="17"/>
  <c r="Y16" i="17"/>
  <c r="X16" i="17"/>
  <c r="W16" i="17"/>
  <c r="P16" i="17"/>
  <c r="O16" i="17"/>
  <c r="AD16" i="17" s="1"/>
  <c r="N16" i="17"/>
  <c r="M16" i="17"/>
  <c r="AR15" i="17"/>
  <c r="AI15" i="17"/>
  <c r="AH15" i="17"/>
  <c r="AF15" i="17"/>
  <c r="AE15" i="17"/>
  <c r="AD15" i="17"/>
  <c r="AC15" i="17"/>
  <c r="AB15" i="17"/>
  <c r="AA15" i="17"/>
  <c r="Z15" i="17"/>
  <c r="Y15" i="17"/>
  <c r="X15" i="17"/>
  <c r="W15" i="17"/>
  <c r="P15" i="17"/>
  <c r="O15" i="17"/>
  <c r="N15" i="17"/>
  <c r="M15" i="17"/>
  <c r="AI14" i="17"/>
  <c r="AH14" i="17"/>
  <c r="W14" i="17"/>
  <c r="AT13" i="17"/>
  <c r="AP13" i="17"/>
  <c r="AI13" i="17"/>
  <c r="AN13" i="17" s="1"/>
  <c r="AH13" i="17"/>
  <c r="AF13" i="17"/>
  <c r="AE13" i="17"/>
  <c r="AB13" i="17"/>
  <c r="AA13" i="17"/>
  <c r="Z13" i="17"/>
  <c r="Y13" i="17"/>
  <c r="X13" i="17"/>
  <c r="W13" i="17"/>
  <c r="P13" i="17"/>
  <c r="O13" i="17"/>
  <c r="AD13" i="17" s="1"/>
  <c r="N13" i="17"/>
  <c r="M13" i="17"/>
  <c r="AP12" i="17"/>
  <c r="AO12" i="17"/>
  <c r="AV12" i="17" s="1"/>
  <c r="AI12" i="17"/>
  <c r="AT12" i="17" s="1"/>
  <c r="AH12" i="17"/>
  <c r="AF12" i="17"/>
  <c r="AE12" i="17"/>
  <c r="AC12" i="17"/>
  <c r="AB12" i="17"/>
  <c r="AA12" i="17"/>
  <c r="Z12" i="17"/>
  <c r="Y12" i="17"/>
  <c r="X12" i="17"/>
  <c r="W12" i="17"/>
  <c r="P12" i="17"/>
  <c r="O12" i="17"/>
  <c r="AD12" i="17" s="1"/>
  <c r="N12" i="17"/>
  <c r="M12" i="17"/>
  <c r="AR11" i="17"/>
  <c r="AI11" i="17"/>
  <c r="AH11" i="17"/>
  <c r="AF11" i="17"/>
  <c r="AE11" i="17"/>
  <c r="AD11" i="17"/>
  <c r="AC11" i="17"/>
  <c r="AB11" i="17"/>
  <c r="AA11" i="17"/>
  <c r="Z11" i="17"/>
  <c r="Y11" i="17"/>
  <c r="X11" i="17"/>
  <c r="W11" i="17"/>
  <c r="P11" i="17"/>
  <c r="O11" i="17"/>
  <c r="N11" i="17"/>
  <c r="M11" i="17"/>
  <c r="AT10" i="17"/>
  <c r="AP10" i="17"/>
  <c r="AN10" i="17"/>
  <c r="AJ10" i="17"/>
  <c r="AI10" i="17"/>
  <c r="AH10" i="17"/>
  <c r="AF10" i="17"/>
  <c r="AE10" i="17"/>
  <c r="AD10" i="17"/>
  <c r="AC10" i="17"/>
  <c r="AA10" i="17"/>
  <c r="Z10" i="17"/>
  <c r="Y10" i="17"/>
  <c r="X10" i="17"/>
  <c r="W10" i="17"/>
  <c r="P10" i="17"/>
  <c r="O10" i="17"/>
  <c r="N10" i="17"/>
  <c r="AO10" i="17" s="1"/>
  <c r="M10" i="17"/>
  <c r="AU9" i="17"/>
  <c r="AP9" i="17"/>
  <c r="AO9" i="17"/>
  <c r="AN9" i="17"/>
  <c r="AI9" i="17"/>
  <c r="AT9" i="17" s="1"/>
  <c r="AH9" i="17"/>
  <c r="AF9" i="17"/>
  <c r="AE9" i="17"/>
  <c r="AA9" i="17"/>
  <c r="Z9" i="17"/>
  <c r="Y9" i="17"/>
  <c r="X9" i="17"/>
  <c r="W9" i="17"/>
  <c r="P9" i="17"/>
  <c r="O9" i="17"/>
  <c r="N9" i="17"/>
  <c r="AC9" i="17" s="1"/>
  <c r="M9" i="17"/>
  <c r="AP8" i="17"/>
  <c r="AO8" i="17"/>
  <c r="AI8" i="17"/>
  <c r="AH8" i="17"/>
  <c r="AF8" i="17"/>
  <c r="AE8" i="17"/>
  <c r="AA8" i="17"/>
  <c r="Z8" i="17"/>
  <c r="Y8" i="17"/>
  <c r="X8" i="17"/>
  <c r="W8" i="17"/>
  <c r="P8" i="17"/>
  <c r="O8" i="17"/>
  <c r="AD8" i="17" s="1"/>
  <c r="N8" i="17"/>
  <c r="AC8" i="17" s="1"/>
  <c r="M8" i="17"/>
  <c r="AT7" i="17"/>
  <c r="AP7" i="17"/>
  <c r="AJ7" i="17"/>
  <c r="AI7" i="17"/>
  <c r="AN7" i="17" s="1"/>
  <c r="AH7" i="17"/>
  <c r="AF7" i="17"/>
  <c r="AE7" i="17"/>
  <c r="AB7" i="17"/>
  <c r="AA7" i="17"/>
  <c r="Z7" i="17"/>
  <c r="Y7" i="17"/>
  <c r="X7" i="17"/>
  <c r="W7" i="17"/>
  <c r="P7" i="17"/>
  <c r="O7" i="17"/>
  <c r="AD7" i="17" s="1"/>
  <c r="N7" i="17"/>
  <c r="M7" i="17"/>
  <c r="AR6" i="17"/>
  <c r="AN6" i="17"/>
  <c r="AI6" i="17"/>
  <c r="AJ6" i="17" s="1"/>
  <c r="AH6" i="17"/>
  <c r="AF6" i="17"/>
  <c r="AE6" i="17"/>
  <c r="AD6" i="17"/>
  <c r="AC6" i="17"/>
  <c r="AB6" i="17"/>
  <c r="AA6" i="17"/>
  <c r="Z6" i="17"/>
  <c r="Y6" i="17"/>
  <c r="X6" i="17"/>
  <c r="W6" i="17"/>
  <c r="P6" i="17"/>
  <c r="O6" i="17"/>
  <c r="AQ6" i="17" s="1"/>
  <c r="N6" i="17"/>
  <c r="M6" i="17"/>
  <c r="AI5" i="17"/>
  <c r="AH5" i="17"/>
  <c r="W5" i="17"/>
  <c r="AI4" i="17"/>
  <c r="AP3" i="17"/>
  <c r="AO3" i="17"/>
  <c r="AI3" i="17"/>
  <c r="AH3" i="17"/>
  <c r="AN2" i="17"/>
  <c r="AN16" i="17" s="1"/>
  <c r="AM2" i="17"/>
  <c r="AL2" i="17"/>
  <c r="AK2" i="17"/>
  <c r="AJ2" i="17"/>
  <c r="AJ20" i="17" s="1"/>
  <c r="AA2" i="17"/>
  <c r="A2" i="17"/>
  <c r="AU1" i="17"/>
  <c r="AR1" i="17"/>
  <c r="AQ1" i="17"/>
  <c r="AP1" i="17"/>
  <c r="AP22" i="17" s="1"/>
  <c r="AO1" i="17"/>
  <c r="AO22" i="17" s="1"/>
  <c r="AA1" i="17"/>
  <c r="A1" i="17"/>
  <c r="AI55" i="16"/>
  <c r="AH55" i="16"/>
  <c r="AF55" i="16"/>
  <c r="AE55" i="16"/>
  <c r="AC55" i="16"/>
  <c r="AB55" i="16"/>
  <c r="AA55" i="16"/>
  <c r="Z55" i="16"/>
  <c r="Y55" i="16"/>
  <c r="X55" i="16"/>
  <c r="W55" i="16"/>
  <c r="P55" i="16"/>
  <c r="O55" i="16"/>
  <c r="N55" i="16"/>
  <c r="M55" i="16"/>
  <c r="AT54" i="16"/>
  <c r="AQ54" i="16"/>
  <c r="AI54" i="16"/>
  <c r="AN54" i="16" s="1"/>
  <c r="AH54" i="16"/>
  <c r="AF54" i="16"/>
  <c r="AE54" i="16"/>
  <c r="AC54" i="16"/>
  <c r="AA54" i="16"/>
  <c r="Z54" i="16"/>
  <c r="Y54" i="16"/>
  <c r="X54" i="16"/>
  <c r="W54" i="16"/>
  <c r="P54" i="16"/>
  <c r="O54" i="16"/>
  <c r="AD54" i="16" s="1"/>
  <c r="N54" i="16"/>
  <c r="M54" i="16"/>
  <c r="AI53" i="16"/>
  <c r="AH53" i="16"/>
  <c r="W53" i="16"/>
  <c r="AI52" i="16"/>
  <c r="AH52" i="16"/>
  <c r="AF52" i="16"/>
  <c r="AE52" i="16"/>
  <c r="AB52" i="16"/>
  <c r="AA52" i="16"/>
  <c r="Z52" i="16"/>
  <c r="Y52" i="16"/>
  <c r="X52" i="16"/>
  <c r="W52" i="16"/>
  <c r="P52" i="16"/>
  <c r="O52" i="16"/>
  <c r="AD52" i="16" s="1"/>
  <c r="N52" i="16"/>
  <c r="M52" i="16"/>
  <c r="AI51" i="16"/>
  <c r="AN51" i="16" s="1"/>
  <c r="AH51" i="16"/>
  <c r="AF51" i="16"/>
  <c r="AE51" i="16"/>
  <c r="AC51" i="16"/>
  <c r="AA51" i="16"/>
  <c r="Z51" i="16"/>
  <c r="Y51" i="16"/>
  <c r="X51" i="16"/>
  <c r="W51" i="16"/>
  <c r="P51" i="16"/>
  <c r="O51" i="16"/>
  <c r="AD51" i="16" s="1"/>
  <c r="N51" i="16"/>
  <c r="M51" i="16"/>
  <c r="AI50" i="16"/>
  <c r="AH50" i="16"/>
  <c r="W50" i="16"/>
  <c r="AT49" i="16"/>
  <c r="AJ49" i="16"/>
  <c r="AI49" i="16"/>
  <c r="AN49" i="16" s="1"/>
  <c r="AH49" i="16"/>
  <c r="AF49" i="16"/>
  <c r="AE49" i="16"/>
  <c r="AC49" i="16"/>
  <c r="AA49" i="16"/>
  <c r="Z49" i="16"/>
  <c r="Y49" i="16"/>
  <c r="X49" i="16"/>
  <c r="W49" i="16"/>
  <c r="P49" i="16"/>
  <c r="O49" i="16"/>
  <c r="AQ49" i="16" s="1"/>
  <c r="N49" i="16"/>
  <c r="M49" i="16"/>
  <c r="AU48" i="16"/>
  <c r="AN48" i="16"/>
  <c r="AI48" i="16"/>
  <c r="AT48" i="16" s="1"/>
  <c r="AH48" i="16"/>
  <c r="AF48" i="16"/>
  <c r="AE48" i="16"/>
  <c r="AD48" i="16"/>
  <c r="AB48" i="16"/>
  <c r="AA48" i="16"/>
  <c r="Z48" i="16"/>
  <c r="Y48" i="16"/>
  <c r="X48" i="16"/>
  <c r="W48" i="16"/>
  <c r="P48" i="16"/>
  <c r="O48" i="16"/>
  <c r="AQ48" i="16" s="1"/>
  <c r="N48" i="16"/>
  <c r="AC48" i="16" s="1"/>
  <c r="M48" i="16"/>
  <c r="AT47" i="16"/>
  <c r="AP47" i="16"/>
  <c r="AO47" i="16"/>
  <c r="AV47" i="16" s="1"/>
  <c r="AI47" i="16"/>
  <c r="AN47" i="16" s="1"/>
  <c r="AH47" i="16"/>
  <c r="AF47" i="16"/>
  <c r="AE47" i="16"/>
  <c r="AC47" i="16"/>
  <c r="AA47" i="16"/>
  <c r="Z47" i="16"/>
  <c r="Y47" i="16"/>
  <c r="X47" i="16"/>
  <c r="W47" i="16"/>
  <c r="P47" i="16"/>
  <c r="O47" i="16"/>
  <c r="AD47" i="16" s="1"/>
  <c r="N47" i="16"/>
  <c r="M47" i="16"/>
  <c r="AI46" i="16"/>
  <c r="AH46" i="16"/>
  <c r="W46" i="16"/>
  <c r="AT45" i="16"/>
  <c r="AJ45" i="16"/>
  <c r="AI45" i="16"/>
  <c r="AN45" i="16" s="1"/>
  <c r="AH45" i="16"/>
  <c r="AF45" i="16"/>
  <c r="AE45" i="16"/>
  <c r="AC45" i="16"/>
  <c r="AA45" i="16"/>
  <c r="Z45" i="16"/>
  <c r="Y45" i="16"/>
  <c r="X45" i="16"/>
  <c r="W45" i="16"/>
  <c r="P45" i="16"/>
  <c r="O45" i="16"/>
  <c r="AQ45" i="16" s="1"/>
  <c r="N45" i="16"/>
  <c r="M45" i="16"/>
  <c r="AU44" i="16"/>
  <c r="AN44" i="16"/>
  <c r="AI44" i="16"/>
  <c r="AT44" i="16" s="1"/>
  <c r="AH44" i="16"/>
  <c r="AF44" i="16"/>
  <c r="AE44" i="16"/>
  <c r="AD44" i="16"/>
  <c r="AB44" i="16"/>
  <c r="AA44" i="16"/>
  <c r="Z44" i="16"/>
  <c r="Y44" i="16"/>
  <c r="X44" i="16"/>
  <c r="W44" i="16"/>
  <c r="P44" i="16"/>
  <c r="O44" i="16"/>
  <c r="AQ44" i="16" s="1"/>
  <c r="N44" i="16"/>
  <c r="AC44" i="16" s="1"/>
  <c r="M44" i="16"/>
  <c r="AT43" i="16"/>
  <c r="AO43" i="16"/>
  <c r="AI43" i="16"/>
  <c r="AN43" i="16" s="1"/>
  <c r="AH43" i="16"/>
  <c r="AF43" i="16"/>
  <c r="AE43" i="16"/>
  <c r="AC43" i="16"/>
  <c r="AA43" i="16"/>
  <c r="Z43" i="16"/>
  <c r="Y43" i="16"/>
  <c r="X43" i="16"/>
  <c r="W43" i="16"/>
  <c r="P43" i="16"/>
  <c r="O43" i="16"/>
  <c r="AD43" i="16" s="1"/>
  <c r="N43" i="16"/>
  <c r="M43" i="16"/>
  <c r="AI42" i="16"/>
  <c r="AT42" i="16" s="1"/>
  <c r="AH42" i="16"/>
  <c r="AF42" i="16"/>
  <c r="AE42" i="16"/>
  <c r="AD42" i="16"/>
  <c r="AB42" i="16"/>
  <c r="AA42" i="16"/>
  <c r="Z42" i="16"/>
  <c r="Y42" i="16"/>
  <c r="X42" i="16"/>
  <c r="W42" i="16"/>
  <c r="P42" i="16"/>
  <c r="O42" i="16"/>
  <c r="AQ42" i="16" s="1"/>
  <c r="N42" i="16"/>
  <c r="M42" i="16"/>
  <c r="AI41" i="16"/>
  <c r="AH41" i="16"/>
  <c r="W41" i="16"/>
  <c r="AU40" i="16"/>
  <c r="AN40" i="16"/>
  <c r="AI40" i="16"/>
  <c r="AT40" i="16" s="1"/>
  <c r="AH40" i="16"/>
  <c r="AF40" i="16"/>
  <c r="AE40" i="16"/>
  <c r="AD40" i="16"/>
  <c r="AB40" i="16"/>
  <c r="AA40" i="16"/>
  <c r="Z40" i="16"/>
  <c r="Y40" i="16"/>
  <c r="X40" i="16"/>
  <c r="W40" i="16"/>
  <c r="P40" i="16"/>
  <c r="O40" i="16"/>
  <c r="AQ40" i="16" s="1"/>
  <c r="N40" i="16"/>
  <c r="AC40" i="16" s="1"/>
  <c r="M40" i="16"/>
  <c r="AT39" i="16"/>
  <c r="AP39" i="16"/>
  <c r="AO39" i="16"/>
  <c r="AV39" i="16" s="1"/>
  <c r="AI39" i="16"/>
  <c r="AN39" i="16" s="1"/>
  <c r="AH39" i="16"/>
  <c r="AF39" i="16"/>
  <c r="AE39" i="16"/>
  <c r="AC39" i="16"/>
  <c r="AA39" i="16"/>
  <c r="Z39" i="16"/>
  <c r="Y39" i="16"/>
  <c r="X39" i="16"/>
  <c r="W39" i="16"/>
  <c r="P39" i="16"/>
  <c r="O39" i="16"/>
  <c r="AD39" i="16" s="1"/>
  <c r="N39" i="16"/>
  <c r="M39" i="16"/>
  <c r="AI38" i="16"/>
  <c r="AT38" i="16" s="1"/>
  <c r="AH38" i="16"/>
  <c r="AF38" i="16"/>
  <c r="AE38" i="16"/>
  <c r="AD38" i="16"/>
  <c r="AB38" i="16"/>
  <c r="AA38" i="16"/>
  <c r="Z38" i="16"/>
  <c r="Y38" i="16"/>
  <c r="X38" i="16"/>
  <c r="W38" i="16"/>
  <c r="P38" i="16"/>
  <c r="O38" i="16"/>
  <c r="AQ38" i="16" s="1"/>
  <c r="N38" i="16"/>
  <c r="M38" i="16"/>
  <c r="AT37" i="16"/>
  <c r="AI37" i="16"/>
  <c r="AH37" i="16"/>
  <c r="AF37" i="16"/>
  <c r="AE37" i="16"/>
  <c r="AC37" i="16"/>
  <c r="AA37" i="16"/>
  <c r="Z37" i="16"/>
  <c r="Y37" i="16"/>
  <c r="X37" i="16"/>
  <c r="W37" i="16"/>
  <c r="P37" i="16"/>
  <c r="O37" i="16"/>
  <c r="AD37" i="16" s="1"/>
  <c r="N37" i="16"/>
  <c r="M37" i="16"/>
  <c r="AI36" i="16"/>
  <c r="AH36" i="16"/>
  <c r="W36" i="16"/>
  <c r="AT35" i="16"/>
  <c r="AP35" i="16"/>
  <c r="AO35" i="16"/>
  <c r="AV35" i="16" s="1"/>
  <c r="AI35" i="16"/>
  <c r="AN35" i="16" s="1"/>
  <c r="AH35" i="16"/>
  <c r="AF35" i="16"/>
  <c r="AE35" i="16"/>
  <c r="AC35" i="16"/>
  <c r="AA35" i="16"/>
  <c r="Z35" i="16"/>
  <c r="Y35" i="16"/>
  <c r="X35" i="16"/>
  <c r="W35" i="16"/>
  <c r="P35" i="16"/>
  <c r="O35" i="16"/>
  <c r="AD35" i="16" s="1"/>
  <c r="N35" i="16"/>
  <c r="M35" i="16"/>
  <c r="AP34" i="16"/>
  <c r="AI34" i="16"/>
  <c r="AT34" i="16" s="1"/>
  <c r="AH34" i="16"/>
  <c r="AF34" i="16"/>
  <c r="AE34" i="16"/>
  <c r="AD34" i="16"/>
  <c r="AB34" i="16"/>
  <c r="AA34" i="16"/>
  <c r="Z34" i="16"/>
  <c r="Y34" i="16"/>
  <c r="X34" i="16"/>
  <c r="W34" i="16"/>
  <c r="P34" i="16"/>
  <c r="O34" i="16"/>
  <c r="AQ34" i="16" s="1"/>
  <c r="N34" i="16"/>
  <c r="M34" i="16"/>
  <c r="AT33" i="16"/>
  <c r="AQ33" i="16"/>
  <c r="AP33" i="16"/>
  <c r="AO33" i="16"/>
  <c r="AV33" i="16" s="1"/>
  <c r="AI33" i="16"/>
  <c r="AH33" i="16"/>
  <c r="AF33" i="16"/>
  <c r="AE33" i="16"/>
  <c r="AC33" i="16"/>
  <c r="AA33" i="16"/>
  <c r="Z33" i="16"/>
  <c r="Y33" i="16"/>
  <c r="X33" i="16"/>
  <c r="W33" i="16"/>
  <c r="P33" i="16"/>
  <c r="O33" i="16"/>
  <c r="AD33" i="16" s="1"/>
  <c r="N33" i="16"/>
  <c r="M33" i="16"/>
  <c r="AR33" i="16" s="1"/>
  <c r="AI32" i="16"/>
  <c r="AH32" i="16"/>
  <c r="AF32" i="16"/>
  <c r="AE32" i="16"/>
  <c r="AD32" i="16"/>
  <c r="AB32" i="16"/>
  <c r="AA32" i="16"/>
  <c r="Z32" i="16"/>
  <c r="Y32" i="16"/>
  <c r="X32" i="16"/>
  <c r="W32" i="16"/>
  <c r="P32" i="16"/>
  <c r="O32" i="16"/>
  <c r="AQ32" i="16" s="1"/>
  <c r="N32" i="16"/>
  <c r="AO32" i="16" s="1"/>
  <c r="M32" i="16"/>
  <c r="AT31" i="16"/>
  <c r="AP31" i="16"/>
  <c r="AO31" i="16"/>
  <c r="AV31" i="16" s="1"/>
  <c r="AJ31" i="16"/>
  <c r="AI31" i="16"/>
  <c r="AN31" i="16" s="1"/>
  <c r="AH31" i="16"/>
  <c r="AF31" i="16"/>
  <c r="AE31" i="16"/>
  <c r="AC31" i="16"/>
  <c r="AA31" i="16"/>
  <c r="Z31" i="16"/>
  <c r="Y31" i="16"/>
  <c r="X31" i="16"/>
  <c r="W31" i="16"/>
  <c r="P31" i="16"/>
  <c r="O31" i="16"/>
  <c r="AQ31" i="16" s="1"/>
  <c r="N31" i="16"/>
  <c r="M31" i="16"/>
  <c r="AU30" i="16"/>
  <c r="AP30" i="16"/>
  <c r="AN30" i="16"/>
  <c r="AI30" i="16"/>
  <c r="AT30" i="16" s="1"/>
  <c r="AH30" i="16"/>
  <c r="AF30" i="16"/>
  <c r="AE30" i="16"/>
  <c r="AD30" i="16"/>
  <c r="AB30" i="16"/>
  <c r="AA30" i="16"/>
  <c r="Z30" i="16"/>
  <c r="Y30" i="16"/>
  <c r="X30" i="16"/>
  <c r="W30" i="16"/>
  <c r="P30" i="16"/>
  <c r="O30" i="16"/>
  <c r="AQ30" i="16" s="1"/>
  <c r="N30" i="16"/>
  <c r="AC30" i="16" s="1"/>
  <c r="M30" i="16"/>
  <c r="AT29" i="16"/>
  <c r="AP29" i="16"/>
  <c r="AO29" i="16"/>
  <c r="AV29" i="16" s="1"/>
  <c r="AI29" i="16"/>
  <c r="AN29" i="16" s="1"/>
  <c r="AH29" i="16"/>
  <c r="AF29" i="16"/>
  <c r="AE29" i="16"/>
  <c r="AC29" i="16"/>
  <c r="AA29" i="16"/>
  <c r="Z29" i="16"/>
  <c r="Y29" i="16"/>
  <c r="X29" i="16"/>
  <c r="W29" i="16"/>
  <c r="P29" i="16"/>
  <c r="O29" i="16"/>
  <c r="AD29" i="16" s="1"/>
  <c r="N29" i="16"/>
  <c r="M29" i="16"/>
  <c r="AP28" i="16"/>
  <c r="AI28" i="16"/>
  <c r="AT28" i="16" s="1"/>
  <c r="AH28" i="16"/>
  <c r="AF28" i="16"/>
  <c r="AE28" i="16"/>
  <c r="AD28" i="16"/>
  <c r="AB28" i="16"/>
  <c r="AA28" i="16"/>
  <c r="Z28" i="16"/>
  <c r="Y28" i="16"/>
  <c r="X28" i="16"/>
  <c r="W28" i="16"/>
  <c r="P28" i="16"/>
  <c r="O28" i="16"/>
  <c r="AQ28" i="16" s="1"/>
  <c r="N28" i="16"/>
  <c r="M28" i="16"/>
  <c r="AI27" i="16"/>
  <c r="AH27" i="16"/>
  <c r="W27" i="16"/>
  <c r="AU26" i="16"/>
  <c r="AP26" i="16"/>
  <c r="AN26" i="16"/>
  <c r="AI26" i="16"/>
  <c r="AT26" i="16" s="1"/>
  <c r="AH26" i="16"/>
  <c r="AF26" i="16"/>
  <c r="AE26" i="16"/>
  <c r="AD26" i="16"/>
  <c r="AB26" i="16"/>
  <c r="AA26" i="16"/>
  <c r="Z26" i="16"/>
  <c r="Y26" i="16"/>
  <c r="X26" i="16"/>
  <c r="W26" i="16"/>
  <c r="P26" i="16"/>
  <c r="O26" i="16"/>
  <c r="AQ26" i="16" s="1"/>
  <c r="N26" i="16"/>
  <c r="AC26" i="16" s="1"/>
  <c r="M26" i="16"/>
  <c r="AV25" i="16"/>
  <c r="AT25" i="16"/>
  <c r="AP25" i="16"/>
  <c r="AO25" i="16"/>
  <c r="AI25" i="16"/>
  <c r="AN25" i="16" s="1"/>
  <c r="AH25" i="16"/>
  <c r="AF25" i="16"/>
  <c r="AE25" i="16"/>
  <c r="AC25" i="16"/>
  <c r="AA25" i="16"/>
  <c r="Z25" i="16"/>
  <c r="Y25" i="16"/>
  <c r="X25" i="16"/>
  <c r="W25" i="16"/>
  <c r="P25" i="16"/>
  <c r="O25" i="16"/>
  <c r="AD25" i="16" s="1"/>
  <c r="N25" i="16"/>
  <c r="M25" i="16"/>
  <c r="AI24" i="16"/>
  <c r="AH24" i="16"/>
  <c r="W24" i="16"/>
  <c r="AT23" i="16"/>
  <c r="AJ23" i="16"/>
  <c r="AI23" i="16"/>
  <c r="AH23" i="16"/>
  <c r="AF23" i="16"/>
  <c r="AE23" i="16"/>
  <c r="AC23" i="16"/>
  <c r="AA23" i="16"/>
  <c r="Z23" i="16"/>
  <c r="Y23" i="16"/>
  <c r="X23" i="16"/>
  <c r="W23" i="16"/>
  <c r="P23" i="16"/>
  <c r="O23" i="16"/>
  <c r="AQ23" i="16" s="1"/>
  <c r="N23" i="16"/>
  <c r="M23" i="16"/>
  <c r="AR23" i="16" s="1"/>
  <c r="AU22" i="16"/>
  <c r="AN22" i="16"/>
  <c r="AI22" i="16"/>
  <c r="AT22" i="16" s="1"/>
  <c r="AH22" i="16"/>
  <c r="AF22" i="16"/>
  <c r="AE22" i="16"/>
  <c r="AD22" i="16"/>
  <c r="AB22" i="16"/>
  <c r="AA22" i="16"/>
  <c r="Z22" i="16"/>
  <c r="Y22" i="16"/>
  <c r="X22" i="16"/>
  <c r="W22" i="16"/>
  <c r="P22" i="16"/>
  <c r="O22" i="16"/>
  <c r="AQ22" i="16" s="1"/>
  <c r="N22" i="16"/>
  <c r="AC22" i="16" s="1"/>
  <c r="M22" i="16"/>
  <c r="AT21" i="16"/>
  <c r="AO21" i="16"/>
  <c r="AJ21" i="16"/>
  <c r="AI21" i="16"/>
  <c r="AN21" i="16" s="1"/>
  <c r="AH21" i="16"/>
  <c r="AF21" i="16"/>
  <c r="AE21" i="16"/>
  <c r="AC21" i="16"/>
  <c r="AA21" i="16"/>
  <c r="Z21" i="16"/>
  <c r="Y21" i="16"/>
  <c r="X21" i="16"/>
  <c r="W21" i="16"/>
  <c r="P21" i="16"/>
  <c r="O21" i="16"/>
  <c r="AD21" i="16" s="1"/>
  <c r="N21" i="16"/>
  <c r="M21" i="16"/>
  <c r="AU20" i="16"/>
  <c r="AN20" i="16"/>
  <c r="AI20" i="16"/>
  <c r="AT20" i="16" s="1"/>
  <c r="AH20" i="16"/>
  <c r="AF20" i="16"/>
  <c r="AE20" i="16"/>
  <c r="AD20" i="16"/>
  <c r="AB20" i="16"/>
  <c r="AA20" i="16"/>
  <c r="Z20" i="16"/>
  <c r="Y20" i="16"/>
  <c r="X20" i="16"/>
  <c r="W20" i="16"/>
  <c r="P20" i="16"/>
  <c r="O20" i="16"/>
  <c r="AQ20" i="16" s="1"/>
  <c r="N20" i="16"/>
  <c r="M20" i="16"/>
  <c r="AT19" i="16"/>
  <c r="AO19" i="16"/>
  <c r="AJ19" i="16"/>
  <c r="AI19" i="16"/>
  <c r="AH19" i="16"/>
  <c r="AF19" i="16"/>
  <c r="AE19" i="16"/>
  <c r="AC19" i="16"/>
  <c r="AA19" i="16"/>
  <c r="Z19" i="16"/>
  <c r="Y19" i="16"/>
  <c r="X19" i="16"/>
  <c r="W19" i="16"/>
  <c r="P19" i="16"/>
  <c r="O19" i="16"/>
  <c r="AD19" i="16" s="1"/>
  <c r="N19" i="16"/>
  <c r="M19" i="16"/>
  <c r="AR18" i="16"/>
  <c r="AP18" i="16"/>
  <c r="AI18" i="16"/>
  <c r="AH18" i="16"/>
  <c r="AF18" i="16"/>
  <c r="AE18" i="16"/>
  <c r="AD18" i="16"/>
  <c r="AB18" i="16"/>
  <c r="AA18" i="16"/>
  <c r="Z18" i="16"/>
  <c r="Y18" i="16"/>
  <c r="X18" i="16"/>
  <c r="W18" i="16"/>
  <c r="P18" i="16"/>
  <c r="O18" i="16"/>
  <c r="AQ18" i="16" s="1"/>
  <c r="N18" i="16"/>
  <c r="AO18" i="16" s="1"/>
  <c r="AV18" i="16" s="1"/>
  <c r="M18" i="16"/>
  <c r="AI17" i="16"/>
  <c r="AH17" i="16"/>
  <c r="W17" i="16"/>
  <c r="AU16" i="16"/>
  <c r="AN16" i="16"/>
  <c r="AI16" i="16"/>
  <c r="AT16" i="16" s="1"/>
  <c r="AH16" i="16"/>
  <c r="AF16" i="16"/>
  <c r="AE16" i="16"/>
  <c r="AD16" i="16"/>
  <c r="AB16" i="16"/>
  <c r="AA16" i="16"/>
  <c r="Z16" i="16"/>
  <c r="Y16" i="16"/>
  <c r="X16" i="16"/>
  <c r="W16" i="16"/>
  <c r="P16" i="16"/>
  <c r="O16" i="16"/>
  <c r="AQ16" i="16" s="1"/>
  <c r="N16" i="16"/>
  <c r="M16" i="16"/>
  <c r="AI15" i="16"/>
  <c r="AH15" i="16"/>
  <c r="W15" i="16"/>
  <c r="AU14" i="16"/>
  <c r="AN14" i="16"/>
  <c r="AI14" i="16"/>
  <c r="AT14" i="16" s="1"/>
  <c r="AH14" i="16"/>
  <c r="AF14" i="16"/>
  <c r="AE14" i="16"/>
  <c r="AD14" i="16"/>
  <c r="AB14" i="16"/>
  <c r="AA14" i="16"/>
  <c r="Z14" i="16"/>
  <c r="Y14" i="16"/>
  <c r="X14" i="16"/>
  <c r="W14" i="16"/>
  <c r="P14" i="16"/>
  <c r="O14" i="16"/>
  <c r="AQ14" i="16" s="1"/>
  <c r="N14" i="16"/>
  <c r="AC14" i="16" s="1"/>
  <c r="M14" i="16"/>
  <c r="AT13" i="16"/>
  <c r="AO13" i="16"/>
  <c r="AJ13" i="16"/>
  <c r="AI13" i="16"/>
  <c r="AN13" i="16" s="1"/>
  <c r="AH13" i="16"/>
  <c r="AF13" i="16"/>
  <c r="AE13" i="16"/>
  <c r="AC13" i="16"/>
  <c r="AA13" i="16"/>
  <c r="Z13" i="16"/>
  <c r="Y13" i="16"/>
  <c r="X13" i="16"/>
  <c r="W13" i="16"/>
  <c r="P13" i="16"/>
  <c r="O13" i="16"/>
  <c r="AD13" i="16" s="1"/>
  <c r="N13" i="16"/>
  <c r="M13" i="16"/>
  <c r="AU12" i="16"/>
  <c r="AP12" i="16"/>
  <c r="AN12" i="16"/>
  <c r="AI12" i="16"/>
  <c r="AT12" i="16" s="1"/>
  <c r="AH12" i="16"/>
  <c r="AF12" i="16"/>
  <c r="AE12" i="16"/>
  <c r="AD12" i="16"/>
  <c r="AB12" i="16"/>
  <c r="AA12" i="16"/>
  <c r="Z12" i="16"/>
  <c r="Y12" i="16"/>
  <c r="X12" i="16"/>
  <c r="W12" i="16"/>
  <c r="P12" i="16"/>
  <c r="O12" i="16"/>
  <c r="AQ12" i="16" s="1"/>
  <c r="N12" i="16"/>
  <c r="M12" i="16"/>
  <c r="AT11" i="16"/>
  <c r="AP11" i="16"/>
  <c r="AO11" i="16"/>
  <c r="AV11" i="16" s="1"/>
  <c r="AJ11" i="16"/>
  <c r="AI11" i="16"/>
  <c r="AH11" i="16"/>
  <c r="AF11" i="16"/>
  <c r="AE11" i="16"/>
  <c r="AC11" i="16"/>
  <c r="AA11" i="16"/>
  <c r="Z11" i="16"/>
  <c r="Y11" i="16"/>
  <c r="X11" i="16"/>
  <c r="W11" i="16"/>
  <c r="P11" i="16"/>
  <c r="O11" i="16"/>
  <c r="AD11" i="16" s="1"/>
  <c r="N11" i="16"/>
  <c r="M11" i="16"/>
  <c r="AU10" i="16"/>
  <c r="AR10" i="16"/>
  <c r="AI10" i="16"/>
  <c r="AH10" i="16"/>
  <c r="AF10" i="16"/>
  <c r="AE10" i="16"/>
  <c r="AD10" i="16"/>
  <c r="AB10" i="16"/>
  <c r="AA10" i="16"/>
  <c r="Z10" i="16"/>
  <c r="Y10" i="16"/>
  <c r="X10" i="16"/>
  <c r="W10" i="16"/>
  <c r="P10" i="16"/>
  <c r="O10" i="16"/>
  <c r="AQ10" i="16" s="1"/>
  <c r="N10" i="16"/>
  <c r="M10" i="16"/>
  <c r="AT9" i="16"/>
  <c r="AQ9" i="16"/>
  <c r="AP9" i="16"/>
  <c r="AO9" i="16"/>
  <c r="AV9" i="16" s="1"/>
  <c r="AJ9" i="16"/>
  <c r="AI9" i="16"/>
  <c r="AN9" i="16" s="1"/>
  <c r="AH9" i="16"/>
  <c r="AF9" i="16"/>
  <c r="AE9" i="16"/>
  <c r="AC9" i="16"/>
  <c r="AA9" i="16"/>
  <c r="Z9" i="16"/>
  <c r="Y9" i="16"/>
  <c r="X9" i="16"/>
  <c r="W9" i="16"/>
  <c r="P9" i="16"/>
  <c r="O9" i="16"/>
  <c r="AD9" i="16" s="1"/>
  <c r="N9" i="16"/>
  <c r="M9" i="16"/>
  <c r="AU8" i="16"/>
  <c r="AN8" i="16"/>
  <c r="AI8" i="16"/>
  <c r="AH8" i="16"/>
  <c r="AF8" i="16"/>
  <c r="AE8" i="16"/>
  <c r="AD8" i="16"/>
  <c r="AB8" i="16"/>
  <c r="AA8" i="16"/>
  <c r="Z8" i="16"/>
  <c r="Y8" i="16"/>
  <c r="X8" i="16"/>
  <c r="W8" i="16"/>
  <c r="P8" i="16"/>
  <c r="O8" i="16"/>
  <c r="AQ8" i="16" s="1"/>
  <c r="N8" i="16"/>
  <c r="AC8" i="16" s="1"/>
  <c r="M8" i="16"/>
  <c r="AT7" i="16"/>
  <c r="AO7" i="16"/>
  <c r="AJ7" i="16"/>
  <c r="AI7" i="16"/>
  <c r="AN7" i="16" s="1"/>
  <c r="AH7" i="16"/>
  <c r="AF7" i="16"/>
  <c r="AE7" i="16"/>
  <c r="AC7" i="16"/>
  <c r="AA7" i="16"/>
  <c r="Z7" i="16"/>
  <c r="Y7" i="16"/>
  <c r="X7" i="16"/>
  <c r="W7" i="16"/>
  <c r="P7" i="16"/>
  <c r="O7" i="16"/>
  <c r="N7" i="16"/>
  <c r="M7" i="16"/>
  <c r="AU6" i="16"/>
  <c r="AN6" i="16"/>
  <c r="AI6" i="16"/>
  <c r="AH6" i="16"/>
  <c r="AF6" i="16"/>
  <c r="AE6" i="16"/>
  <c r="AD6" i="16"/>
  <c r="AB6" i="16"/>
  <c r="AA6" i="16"/>
  <c r="Z6" i="16"/>
  <c r="Y6" i="16"/>
  <c r="X6" i="16"/>
  <c r="W6" i="16"/>
  <c r="P6" i="16"/>
  <c r="O6" i="16"/>
  <c r="AQ6" i="16" s="1"/>
  <c r="N6" i="16"/>
  <c r="M6" i="16"/>
  <c r="AI5" i="16"/>
  <c r="AH5" i="16"/>
  <c r="W5" i="16"/>
  <c r="AI4" i="16"/>
  <c r="AU3" i="16"/>
  <c r="AQ3" i="16"/>
  <c r="AO3" i="16"/>
  <c r="AI3" i="16"/>
  <c r="AH3" i="16"/>
  <c r="AN2" i="16"/>
  <c r="AN42" i="16" s="1"/>
  <c r="AM2" i="16"/>
  <c r="AL2" i="16"/>
  <c r="AK2" i="16"/>
  <c r="AJ2" i="16"/>
  <c r="AJ54" i="16" s="1"/>
  <c r="AH2" i="16"/>
  <c r="AA2" i="16"/>
  <c r="A2" i="16"/>
  <c r="AU1" i="16"/>
  <c r="AU32" i="16" s="1"/>
  <c r="AR1" i="16"/>
  <c r="AQ1" i="16"/>
  <c r="AQ52" i="16" s="1"/>
  <c r="AP1" i="16"/>
  <c r="AP42" i="16" s="1"/>
  <c r="AO1" i="16"/>
  <c r="AO54" i="16" s="1"/>
  <c r="AJ1" i="16"/>
  <c r="AH1" i="16"/>
  <c r="AA1" i="16"/>
  <c r="A1" i="16"/>
  <c r="AT11" i="15"/>
  <c r="AO11" i="15"/>
  <c r="AJ11" i="15"/>
  <c r="AI11" i="15"/>
  <c r="AN11" i="15" s="1"/>
  <c r="AH11" i="15"/>
  <c r="AF11" i="15"/>
  <c r="AE11" i="15"/>
  <c r="AC11" i="15"/>
  <c r="AA11" i="15"/>
  <c r="Z11" i="15"/>
  <c r="Y11" i="15"/>
  <c r="X11" i="15"/>
  <c r="W11" i="15"/>
  <c r="P11" i="15"/>
  <c r="O11" i="15"/>
  <c r="AD11" i="15" s="1"/>
  <c r="N11" i="15"/>
  <c r="M11" i="15"/>
  <c r="AU10" i="15"/>
  <c r="AP10" i="15"/>
  <c r="AI10" i="15"/>
  <c r="AH10" i="15"/>
  <c r="AF10" i="15"/>
  <c r="AE10" i="15"/>
  <c r="AD10" i="15"/>
  <c r="AB10" i="15"/>
  <c r="AA10" i="15"/>
  <c r="Z10" i="15"/>
  <c r="Y10" i="15"/>
  <c r="X10" i="15"/>
  <c r="W10" i="15"/>
  <c r="P10" i="15"/>
  <c r="O10" i="15"/>
  <c r="AQ10" i="15" s="1"/>
  <c r="N10" i="15"/>
  <c r="M10" i="15"/>
  <c r="AI9" i="15"/>
  <c r="AH9" i="15"/>
  <c r="W9" i="15"/>
  <c r="AU8" i="15"/>
  <c r="AP8" i="15"/>
  <c r="AI8" i="15"/>
  <c r="AH8" i="15"/>
  <c r="AF8" i="15"/>
  <c r="AE8" i="15"/>
  <c r="AD8" i="15"/>
  <c r="AB8" i="15"/>
  <c r="AA8" i="15"/>
  <c r="Z8" i="15"/>
  <c r="Y8" i="15"/>
  <c r="X8" i="15"/>
  <c r="W8" i="15"/>
  <c r="P8" i="15"/>
  <c r="O8" i="15"/>
  <c r="AQ8" i="15" s="1"/>
  <c r="N8" i="15"/>
  <c r="M8" i="15"/>
  <c r="AT7" i="15"/>
  <c r="AP7" i="15"/>
  <c r="AO7" i="15"/>
  <c r="AV7" i="15" s="1"/>
  <c r="AJ7" i="15"/>
  <c r="AI7" i="15"/>
  <c r="AN7" i="15" s="1"/>
  <c r="AH7" i="15"/>
  <c r="AF7" i="15"/>
  <c r="AE7" i="15"/>
  <c r="AC7" i="15"/>
  <c r="AA7" i="15"/>
  <c r="Z7" i="15"/>
  <c r="Y7" i="15"/>
  <c r="X7" i="15"/>
  <c r="W7" i="15"/>
  <c r="P7" i="15"/>
  <c r="O7" i="15"/>
  <c r="AD7" i="15" s="1"/>
  <c r="N7" i="15"/>
  <c r="M7" i="15"/>
  <c r="AU6" i="15"/>
  <c r="AP6" i="15"/>
  <c r="AN6" i="15"/>
  <c r="AI6" i="15"/>
  <c r="AH6" i="15"/>
  <c r="AF6" i="15"/>
  <c r="AE6" i="15"/>
  <c r="AD6" i="15"/>
  <c r="AB6" i="15"/>
  <c r="AA6" i="15"/>
  <c r="Z6" i="15"/>
  <c r="Y6" i="15"/>
  <c r="X6" i="15"/>
  <c r="W6" i="15"/>
  <c r="P6" i="15"/>
  <c r="O6" i="15"/>
  <c r="AQ6" i="15" s="1"/>
  <c r="N6" i="15"/>
  <c r="M6" i="15"/>
  <c r="AI5" i="15"/>
  <c r="AH5" i="15"/>
  <c r="W5" i="15"/>
  <c r="AI4" i="15"/>
  <c r="AU3" i="15"/>
  <c r="AQ3" i="15"/>
  <c r="AO3" i="15"/>
  <c r="AI3" i="15"/>
  <c r="AH3" i="15"/>
  <c r="AN2" i="15"/>
  <c r="AM2" i="15"/>
  <c r="AL2" i="15"/>
  <c r="AK2" i="15"/>
  <c r="AJ2" i="15"/>
  <c r="AH2" i="15"/>
  <c r="AA2" i="15"/>
  <c r="A2" i="15"/>
  <c r="AU1" i="15"/>
  <c r="AU11" i="15" s="1"/>
  <c r="AR1" i="15"/>
  <c r="AQ1" i="15"/>
  <c r="AP1" i="15"/>
  <c r="AO1" i="15"/>
  <c r="AJ1" i="15"/>
  <c r="AH1" i="15"/>
  <c r="AA1" i="15"/>
  <c r="A1" i="15"/>
  <c r="AT24" i="14"/>
  <c r="AJ24" i="14"/>
  <c r="AI24" i="14"/>
  <c r="AH24" i="14"/>
  <c r="AF24" i="14"/>
  <c r="AE24" i="14"/>
  <c r="AC24" i="14"/>
  <c r="AA24" i="14"/>
  <c r="Z24" i="14"/>
  <c r="Y24" i="14"/>
  <c r="X24" i="14"/>
  <c r="W24" i="14"/>
  <c r="P24" i="14"/>
  <c r="O24" i="14"/>
  <c r="N24" i="14"/>
  <c r="M24" i="14"/>
  <c r="AI23" i="14"/>
  <c r="AH23" i="14"/>
  <c r="W23" i="14"/>
  <c r="AT22" i="14"/>
  <c r="AP22" i="14"/>
  <c r="AI22" i="14"/>
  <c r="AH22" i="14"/>
  <c r="AF22" i="14"/>
  <c r="AE22" i="14"/>
  <c r="AA22" i="14"/>
  <c r="Z22" i="14"/>
  <c r="Y22" i="14"/>
  <c r="X22" i="14"/>
  <c r="W22" i="14"/>
  <c r="P22" i="14"/>
  <c r="O22" i="14"/>
  <c r="AD22" i="14" s="1"/>
  <c r="N22" i="14"/>
  <c r="M22" i="14"/>
  <c r="AT21" i="14"/>
  <c r="AP21" i="14"/>
  <c r="AI21" i="14"/>
  <c r="AH21" i="14"/>
  <c r="AF21" i="14"/>
  <c r="AE21" i="14"/>
  <c r="AD21" i="14"/>
  <c r="AA21" i="14"/>
  <c r="Z21" i="14"/>
  <c r="Y21" i="14"/>
  <c r="X21" i="14"/>
  <c r="W21" i="14"/>
  <c r="P21" i="14"/>
  <c r="O21" i="14"/>
  <c r="AQ21" i="14" s="1"/>
  <c r="N21" i="14"/>
  <c r="M21" i="14"/>
  <c r="AR21" i="14" s="1"/>
  <c r="AQ20" i="14"/>
  <c r="AI20" i="14"/>
  <c r="AT20" i="14" s="1"/>
  <c r="AH20" i="14"/>
  <c r="AF20" i="14"/>
  <c r="AE20" i="14"/>
  <c r="AA20" i="14"/>
  <c r="Z20" i="14"/>
  <c r="Y20" i="14"/>
  <c r="X20" i="14"/>
  <c r="W20" i="14"/>
  <c r="P20" i="14"/>
  <c r="O20" i="14"/>
  <c r="AD20" i="14" s="1"/>
  <c r="N20" i="14"/>
  <c r="AC20" i="14" s="1"/>
  <c r="M20" i="14"/>
  <c r="AR20" i="14" s="1"/>
  <c r="AI19" i="14"/>
  <c r="AH19" i="14"/>
  <c r="W19" i="14"/>
  <c r="AT18" i="14"/>
  <c r="AP18" i="14"/>
  <c r="AO18" i="14"/>
  <c r="AV18" i="14" s="1"/>
  <c r="AI18" i="14"/>
  <c r="AH18" i="14"/>
  <c r="AF18" i="14"/>
  <c r="AE18" i="14"/>
  <c r="AD18" i="14"/>
  <c r="AC18" i="14"/>
  <c r="AA18" i="14"/>
  <c r="Z18" i="14"/>
  <c r="Y18" i="14"/>
  <c r="X18" i="14"/>
  <c r="W18" i="14"/>
  <c r="P18" i="14"/>
  <c r="O18" i="14"/>
  <c r="AQ18" i="14" s="1"/>
  <c r="N18" i="14"/>
  <c r="M18" i="14"/>
  <c r="AT17" i="14"/>
  <c r="AP17" i="14"/>
  <c r="AI17" i="14"/>
  <c r="AH17" i="14"/>
  <c r="AF17" i="14"/>
  <c r="AE17" i="14"/>
  <c r="AD17" i="14"/>
  <c r="AA17" i="14"/>
  <c r="Z17" i="14"/>
  <c r="Y17" i="14"/>
  <c r="X17" i="14"/>
  <c r="W17" i="14"/>
  <c r="P17" i="14"/>
  <c r="O17" i="14"/>
  <c r="AQ17" i="14" s="1"/>
  <c r="N17" i="14"/>
  <c r="M17" i="14"/>
  <c r="AR17" i="14" s="1"/>
  <c r="AQ16" i="14"/>
  <c r="AP16" i="14"/>
  <c r="AO16" i="14"/>
  <c r="AV16" i="14" s="1"/>
  <c r="AI16" i="14"/>
  <c r="AT16" i="14" s="1"/>
  <c r="AH16" i="14"/>
  <c r="AF16" i="14"/>
  <c r="AE16" i="14"/>
  <c r="AA16" i="14"/>
  <c r="Z16" i="14"/>
  <c r="Y16" i="14"/>
  <c r="X16" i="14"/>
  <c r="W16" i="14"/>
  <c r="P16" i="14"/>
  <c r="O16" i="14"/>
  <c r="AD16" i="14" s="1"/>
  <c r="N16" i="14"/>
  <c r="AC16" i="14" s="1"/>
  <c r="M16" i="14"/>
  <c r="AR16" i="14" s="1"/>
  <c r="AI15" i="14"/>
  <c r="AH15" i="14"/>
  <c r="W15" i="14"/>
  <c r="AT14" i="14"/>
  <c r="AP14" i="14"/>
  <c r="AO14" i="14"/>
  <c r="AV14" i="14" s="1"/>
  <c r="AJ14" i="14"/>
  <c r="AI14" i="14"/>
  <c r="AH14" i="14"/>
  <c r="AF14" i="14"/>
  <c r="AE14" i="14"/>
  <c r="AD14" i="14"/>
  <c r="AC14" i="14"/>
  <c r="AA14" i="14"/>
  <c r="Z14" i="14"/>
  <c r="Y14" i="14"/>
  <c r="X14" i="14"/>
  <c r="W14" i="14"/>
  <c r="P14" i="14"/>
  <c r="O14" i="14"/>
  <c r="AQ14" i="14" s="1"/>
  <c r="N14" i="14"/>
  <c r="M14" i="14"/>
  <c r="AT13" i="14"/>
  <c r="AP13" i="14"/>
  <c r="AJ13" i="14"/>
  <c r="AI13" i="14"/>
  <c r="AH13" i="14"/>
  <c r="AF13" i="14"/>
  <c r="AE13" i="14"/>
  <c r="AD13" i="14"/>
  <c r="AA13" i="14"/>
  <c r="Z13" i="14"/>
  <c r="Y13" i="14"/>
  <c r="X13" i="14"/>
  <c r="W13" i="14"/>
  <c r="P13" i="14"/>
  <c r="O13" i="14"/>
  <c r="AQ13" i="14" s="1"/>
  <c r="N13" i="14"/>
  <c r="M13" i="14"/>
  <c r="AR13" i="14" s="1"/>
  <c r="AQ12" i="14"/>
  <c r="AI12" i="14"/>
  <c r="AT12" i="14" s="1"/>
  <c r="AH12" i="14"/>
  <c r="AF12" i="14"/>
  <c r="AE12" i="14"/>
  <c r="AA12" i="14"/>
  <c r="Z12" i="14"/>
  <c r="Y12" i="14"/>
  <c r="X12" i="14"/>
  <c r="W12" i="14"/>
  <c r="P12" i="14"/>
  <c r="O12" i="14"/>
  <c r="AD12" i="14" s="1"/>
  <c r="N12" i="14"/>
  <c r="AC12" i="14" s="1"/>
  <c r="M12" i="14"/>
  <c r="AR12" i="14" s="1"/>
  <c r="AI11" i="14"/>
  <c r="AH11" i="14"/>
  <c r="W11" i="14"/>
  <c r="AT10" i="14"/>
  <c r="AO10" i="14"/>
  <c r="AJ10" i="14"/>
  <c r="AI10" i="14"/>
  <c r="AH10" i="14"/>
  <c r="AF10" i="14"/>
  <c r="AE10" i="14"/>
  <c r="AD10" i="14"/>
  <c r="AC10" i="14"/>
  <c r="AA10" i="14"/>
  <c r="Z10" i="14"/>
  <c r="Y10" i="14"/>
  <c r="X10" i="14"/>
  <c r="W10" i="14"/>
  <c r="P10" i="14"/>
  <c r="O10" i="14"/>
  <c r="AQ10" i="14" s="1"/>
  <c r="N10" i="14"/>
  <c r="M10" i="14"/>
  <c r="AT9" i="14"/>
  <c r="AP9" i="14"/>
  <c r="AJ9" i="14"/>
  <c r="AI9" i="14"/>
  <c r="AH9" i="14"/>
  <c r="AF9" i="14"/>
  <c r="AE9" i="14"/>
  <c r="AD9" i="14"/>
  <c r="AA9" i="14"/>
  <c r="Z9" i="14"/>
  <c r="Y9" i="14"/>
  <c r="X9" i="14"/>
  <c r="W9" i="14"/>
  <c r="P9" i="14"/>
  <c r="O9" i="14"/>
  <c r="AQ9" i="14" s="1"/>
  <c r="N9" i="14"/>
  <c r="M9" i="14"/>
  <c r="AR9" i="14" s="1"/>
  <c r="AI8" i="14"/>
  <c r="AH8" i="14"/>
  <c r="W8" i="14"/>
  <c r="AU7" i="14"/>
  <c r="AR7" i="14"/>
  <c r="AN7" i="14"/>
  <c r="AI7" i="14"/>
  <c r="AT7" i="14" s="1"/>
  <c r="AH7" i="14"/>
  <c r="AF7" i="14"/>
  <c r="AE7" i="14"/>
  <c r="AD7" i="14"/>
  <c r="AC7" i="14"/>
  <c r="AB7" i="14"/>
  <c r="AA7" i="14"/>
  <c r="Z7" i="14"/>
  <c r="Y7" i="14"/>
  <c r="X7" i="14"/>
  <c r="W7" i="14"/>
  <c r="P7" i="14"/>
  <c r="O7" i="14"/>
  <c r="AQ7" i="14" s="1"/>
  <c r="N7" i="14"/>
  <c r="M7" i="14"/>
  <c r="AT6" i="14"/>
  <c r="AJ6" i="14"/>
  <c r="AI6" i="14"/>
  <c r="AH6" i="14"/>
  <c r="AF6" i="14"/>
  <c r="AE6" i="14"/>
  <c r="AD6" i="14"/>
  <c r="AC6" i="14"/>
  <c r="AA6" i="14"/>
  <c r="Z6" i="14"/>
  <c r="Y6" i="14"/>
  <c r="X6" i="14"/>
  <c r="W6" i="14"/>
  <c r="P6" i="14"/>
  <c r="O6" i="14"/>
  <c r="AQ6" i="14" s="1"/>
  <c r="N6" i="14"/>
  <c r="M6" i="14"/>
  <c r="AI5" i="14"/>
  <c r="AH5" i="14"/>
  <c r="W5" i="14"/>
  <c r="AI4" i="14"/>
  <c r="AR3" i="14"/>
  <c r="AQ3" i="14"/>
  <c r="AP3" i="14"/>
  <c r="AI3" i="14"/>
  <c r="AH3" i="14"/>
  <c r="AN2" i="14"/>
  <c r="AM2" i="14"/>
  <c r="AL2" i="14"/>
  <c r="AK2" i="14"/>
  <c r="AJ2" i="14"/>
  <c r="AJ21" i="14" s="1"/>
  <c r="AA2" i="14"/>
  <c r="A2" i="14"/>
  <c r="AU1" i="14"/>
  <c r="AR1" i="14"/>
  <c r="AQ1" i="14"/>
  <c r="AQ22" i="14" s="1"/>
  <c r="AP1" i="14"/>
  <c r="AP24" i="14" s="1"/>
  <c r="AO1" i="14"/>
  <c r="AJ1" i="14"/>
  <c r="AH1" i="14"/>
  <c r="AH2" i="14" s="1"/>
  <c r="AA1" i="14"/>
  <c r="A1" i="14"/>
  <c r="AU10" i="13"/>
  <c r="AN10" i="13"/>
  <c r="AI10" i="13"/>
  <c r="AT10" i="13" s="1"/>
  <c r="AH10" i="13"/>
  <c r="AF10" i="13"/>
  <c r="AE10" i="13"/>
  <c r="AD10" i="13"/>
  <c r="AC10" i="13"/>
  <c r="AB10" i="13"/>
  <c r="AA10" i="13"/>
  <c r="Z10" i="13"/>
  <c r="Y10" i="13"/>
  <c r="X10" i="13"/>
  <c r="W10" i="13"/>
  <c r="P10" i="13"/>
  <c r="O10" i="13"/>
  <c r="AQ10" i="13" s="1"/>
  <c r="N10" i="13"/>
  <c r="M10" i="13"/>
  <c r="AT9" i="13"/>
  <c r="AP9" i="13"/>
  <c r="AO9" i="13"/>
  <c r="AV9" i="13" s="1"/>
  <c r="AJ9" i="13"/>
  <c r="AI9" i="13"/>
  <c r="AH9" i="13"/>
  <c r="AF9" i="13"/>
  <c r="AE9" i="13"/>
  <c r="AD9" i="13"/>
  <c r="AC9" i="13"/>
  <c r="AA9" i="13"/>
  <c r="Z9" i="13"/>
  <c r="Y9" i="13"/>
  <c r="X9" i="13"/>
  <c r="W9" i="13"/>
  <c r="P9" i="13"/>
  <c r="O9" i="13"/>
  <c r="AQ9" i="13" s="1"/>
  <c r="N9" i="13"/>
  <c r="M9" i="13"/>
  <c r="AU8" i="13"/>
  <c r="AT8" i="13"/>
  <c r="AP8" i="13"/>
  <c r="AN8" i="13"/>
  <c r="AI8" i="13"/>
  <c r="AH8" i="13"/>
  <c r="AF8" i="13"/>
  <c r="AE8" i="13"/>
  <c r="AD8" i="13"/>
  <c r="AA8" i="13"/>
  <c r="Z8" i="13"/>
  <c r="Y8" i="13"/>
  <c r="X8" i="13"/>
  <c r="W8" i="13"/>
  <c r="P8" i="13"/>
  <c r="O8" i="13"/>
  <c r="AQ8" i="13" s="1"/>
  <c r="N8" i="13"/>
  <c r="M8" i="13"/>
  <c r="AR8" i="13" s="1"/>
  <c r="AO7" i="13"/>
  <c r="AI7" i="13"/>
  <c r="AT7" i="13" s="1"/>
  <c r="AH7" i="13"/>
  <c r="AF7" i="13"/>
  <c r="AE7" i="13"/>
  <c r="AA7" i="13"/>
  <c r="Z7" i="13"/>
  <c r="Y7" i="13"/>
  <c r="X7" i="13"/>
  <c r="W7" i="13"/>
  <c r="P7" i="13"/>
  <c r="O7" i="13"/>
  <c r="AD7" i="13" s="1"/>
  <c r="N7" i="13"/>
  <c r="AC7" i="13" s="1"/>
  <c r="M7" i="13"/>
  <c r="AR6" i="13"/>
  <c r="AI6" i="13"/>
  <c r="AH6" i="13"/>
  <c r="AF6" i="13"/>
  <c r="AE6" i="13"/>
  <c r="AB6" i="13"/>
  <c r="AA6" i="13"/>
  <c r="Z6" i="13"/>
  <c r="Y6" i="13"/>
  <c r="X6" i="13"/>
  <c r="W6" i="13"/>
  <c r="P6" i="13"/>
  <c r="O6" i="13"/>
  <c r="AD6" i="13" s="1"/>
  <c r="N6" i="13"/>
  <c r="AO6" i="13" s="1"/>
  <c r="M6" i="13"/>
  <c r="AI5" i="13"/>
  <c r="AH5" i="13"/>
  <c r="W5" i="13"/>
  <c r="AI4" i="13"/>
  <c r="AU3" i="13"/>
  <c r="AO3" i="13"/>
  <c r="AI3" i="13"/>
  <c r="AH3" i="13"/>
  <c r="AN2" i="13"/>
  <c r="AN7" i="13" s="1"/>
  <c r="AM2" i="13"/>
  <c r="AL2" i="13"/>
  <c r="AK2" i="13"/>
  <c r="AJ2" i="13"/>
  <c r="AJ8" i="13" s="1"/>
  <c r="AA2" i="13"/>
  <c r="A2" i="13"/>
  <c r="AU1" i="13"/>
  <c r="AU7" i="13" s="1"/>
  <c r="AR1" i="13"/>
  <c r="AQ1" i="13"/>
  <c r="AQ3" i="13" s="1"/>
  <c r="AP1" i="13"/>
  <c r="AP10" i="13" s="1"/>
  <c r="AO1" i="13"/>
  <c r="AO10" i="13" s="1"/>
  <c r="AA1" i="13"/>
  <c r="A1" i="13"/>
  <c r="AJ1" i="13" s="1"/>
  <c r="AP49" i="12"/>
  <c r="AO49" i="12"/>
  <c r="AV49" i="12" s="1"/>
  <c r="AI49" i="12"/>
  <c r="AT49" i="12" s="1"/>
  <c r="AH49" i="12"/>
  <c r="AF49" i="12"/>
  <c r="AE49" i="12"/>
  <c r="AA49" i="12"/>
  <c r="Z49" i="12"/>
  <c r="Y49" i="12"/>
  <c r="X49" i="12"/>
  <c r="W49" i="12"/>
  <c r="P49" i="12"/>
  <c r="O49" i="12"/>
  <c r="AD49" i="12" s="1"/>
  <c r="N49" i="12"/>
  <c r="AC49" i="12" s="1"/>
  <c r="M49" i="12"/>
  <c r="AP48" i="12"/>
  <c r="AI48" i="12"/>
  <c r="AH48" i="12"/>
  <c r="AF48" i="12"/>
  <c r="AE48" i="12"/>
  <c r="AB48" i="12"/>
  <c r="AA48" i="12"/>
  <c r="Z48" i="12"/>
  <c r="Y48" i="12"/>
  <c r="X48" i="12"/>
  <c r="W48" i="12"/>
  <c r="P48" i="12"/>
  <c r="O48" i="12"/>
  <c r="AD48" i="12" s="1"/>
  <c r="N48" i="12"/>
  <c r="AO48" i="12" s="1"/>
  <c r="AV48" i="12" s="1"/>
  <c r="M48" i="12"/>
  <c r="AT47" i="12"/>
  <c r="AP47" i="12"/>
  <c r="AI47" i="12"/>
  <c r="AH47" i="12"/>
  <c r="AF47" i="12"/>
  <c r="AE47" i="12"/>
  <c r="AC47" i="12"/>
  <c r="AB47" i="12"/>
  <c r="AA47" i="12"/>
  <c r="Z47" i="12"/>
  <c r="Y47" i="12"/>
  <c r="X47" i="12"/>
  <c r="W47" i="12"/>
  <c r="P47" i="12"/>
  <c r="O47" i="12"/>
  <c r="AD47" i="12" s="1"/>
  <c r="N47" i="12"/>
  <c r="AO47" i="12" s="1"/>
  <c r="AV47" i="12" s="1"/>
  <c r="M47" i="12"/>
  <c r="AN46" i="12"/>
  <c r="AI46" i="12"/>
  <c r="AT46" i="12" s="1"/>
  <c r="AH46" i="12"/>
  <c r="AF46" i="12"/>
  <c r="AE46" i="12"/>
  <c r="AD46" i="12"/>
  <c r="AC46" i="12"/>
  <c r="AB46" i="12"/>
  <c r="AA46" i="12"/>
  <c r="Z46" i="12"/>
  <c r="Y46" i="12"/>
  <c r="X46" i="12"/>
  <c r="W46" i="12"/>
  <c r="P46" i="12"/>
  <c r="O46" i="12"/>
  <c r="N46" i="12"/>
  <c r="M46" i="12"/>
  <c r="AT45" i="12"/>
  <c r="AI45" i="12"/>
  <c r="AH45" i="12"/>
  <c r="AF45" i="12"/>
  <c r="AE45" i="12"/>
  <c r="AD45" i="12"/>
  <c r="AC45" i="12"/>
  <c r="AA45" i="12"/>
  <c r="Z45" i="12"/>
  <c r="Y45" i="12"/>
  <c r="X45" i="12"/>
  <c r="W45" i="12"/>
  <c r="P45" i="12"/>
  <c r="O45" i="12"/>
  <c r="N45" i="12"/>
  <c r="M45" i="12"/>
  <c r="AI44" i="12"/>
  <c r="AH44" i="12"/>
  <c r="W44" i="12"/>
  <c r="AT43" i="12"/>
  <c r="AP43" i="12"/>
  <c r="AI43" i="12"/>
  <c r="AH43" i="12"/>
  <c r="AF43" i="12"/>
  <c r="AE43" i="12"/>
  <c r="AC43" i="12"/>
  <c r="AB43" i="12"/>
  <c r="AA43" i="12"/>
  <c r="Z43" i="12"/>
  <c r="Y43" i="12"/>
  <c r="X43" i="12"/>
  <c r="W43" i="12"/>
  <c r="P43" i="12"/>
  <c r="O43" i="12"/>
  <c r="AD43" i="12" s="1"/>
  <c r="N43" i="12"/>
  <c r="AO43" i="12" s="1"/>
  <c r="AV43" i="12" s="1"/>
  <c r="M43" i="12"/>
  <c r="AP42" i="12"/>
  <c r="AO42" i="12"/>
  <c r="AV42" i="12" s="1"/>
  <c r="AI42" i="12"/>
  <c r="AT42" i="12" s="1"/>
  <c r="AH42" i="12"/>
  <c r="AF42" i="12"/>
  <c r="AE42" i="12"/>
  <c r="AD42" i="12"/>
  <c r="AC42" i="12"/>
  <c r="AB42" i="12"/>
  <c r="AA42" i="12"/>
  <c r="Z42" i="12"/>
  <c r="Y42" i="12"/>
  <c r="X42" i="12"/>
  <c r="W42" i="12"/>
  <c r="P42" i="12"/>
  <c r="O42" i="12"/>
  <c r="N42" i="12"/>
  <c r="M42" i="12"/>
  <c r="AI41" i="12"/>
  <c r="AH41" i="12"/>
  <c r="W41" i="12"/>
  <c r="AP40" i="12"/>
  <c r="AI40" i="12"/>
  <c r="AH40" i="12"/>
  <c r="AF40" i="12"/>
  <c r="AE40" i="12"/>
  <c r="AB40" i="12"/>
  <c r="AA40" i="12"/>
  <c r="Z40" i="12"/>
  <c r="Y40" i="12"/>
  <c r="X40" i="12"/>
  <c r="W40" i="12"/>
  <c r="P40" i="12"/>
  <c r="O40" i="12"/>
  <c r="AD40" i="12" s="1"/>
  <c r="N40" i="12"/>
  <c r="AO40" i="12" s="1"/>
  <c r="AV40" i="12" s="1"/>
  <c r="M40" i="12"/>
  <c r="AT39" i="12"/>
  <c r="AP39" i="12"/>
  <c r="AI39" i="12"/>
  <c r="AH39" i="12"/>
  <c r="AF39" i="12"/>
  <c r="AE39" i="12"/>
  <c r="AC39" i="12"/>
  <c r="AB39" i="12"/>
  <c r="AA39" i="12"/>
  <c r="Z39" i="12"/>
  <c r="Y39" i="12"/>
  <c r="X39" i="12"/>
  <c r="W39" i="12"/>
  <c r="P39" i="12"/>
  <c r="O39" i="12"/>
  <c r="AD39" i="12" s="1"/>
  <c r="N39" i="12"/>
  <c r="AO39" i="12" s="1"/>
  <c r="AV39" i="12" s="1"/>
  <c r="M39" i="12"/>
  <c r="AP38" i="12"/>
  <c r="AI38" i="12"/>
  <c r="AH38" i="12"/>
  <c r="AF38" i="12"/>
  <c r="AE38" i="12"/>
  <c r="AD38" i="12"/>
  <c r="AC38" i="12"/>
  <c r="AB38" i="12"/>
  <c r="AA38" i="12"/>
  <c r="Z38" i="12"/>
  <c r="Y38" i="12"/>
  <c r="X38" i="12"/>
  <c r="W38" i="12"/>
  <c r="P38" i="12"/>
  <c r="O38" i="12"/>
  <c r="N38" i="12"/>
  <c r="AO38" i="12" s="1"/>
  <c r="AV38" i="12" s="1"/>
  <c r="M38" i="12"/>
  <c r="AV37" i="12"/>
  <c r="AT37" i="12"/>
  <c r="AP37" i="12"/>
  <c r="AO37" i="12"/>
  <c r="AI37" i="12"/>
  <c r="AH37" i="12"/>
  <c r="AF37" i="12"/>
  <c r="AE37" i="12"/>
  <c r="AD37" i="12"/>
  <c r="AC37" i="12"/>
  <c r="AA37" i="12"/>
  <c r="Z37" i="12"/>
  <c r="Y37" i="12"/>
  <c r="X37" i="12"/>
  <c r="W37" i="12"/>
  <c r="P37" i="12"/>
  <c r="O37" i="12"/>
  <c r="N37" i="12"/>
  <c r="M37" i="12"/>
  <c r="AT36" i="12"/>
  <c r="AI36" i="12"/>
  <c r="AH36" i="12"/>
  <c r="AF36" i="12"/>
  <c r="AE36" i="12"/>
  <c r="AD36" i="12"/>
  <c r="AA36" i="12"/>
  <c r="Z36" i="12"/>
  <c r="Y36" i="12"/>
  <c r="X36" i="12"/>
  <c r="W36" i="12"/>
  <c r="P36" i="12"/>
  <c r="O36" i="12"/>
  <c r="N36" i="12"/>
  <c r="M36" i="12"/>
  <c r="AV35" i="12"/>
  <c r="AP35" i="12"/>
  <c r="AO35" i="12"/>
  <c r="AI35" i="12"/>
  <c r="AT35" i="12" s="1"/>
  <c r="AH35" i="12"/>
  <c r="AF35" i="12"/>
  <c r="AE35" i="12"/>
  <c r="AA35" i="12"/>
  <c r="Z35" i="12"/>
  <c r="Y35" i="12"/>
  <c r="X35" i="12"/>
  <c r="W35" i="12"/>
  <c r="P35" i="12"/>
  <c r="O35" i="12"/>
  <c r="AD35" i="12" s="1"/>
  <c r="N35" i="12"/>
  <c r="AC35" i="12" s="1"/>
  <c r="M35" i="12"/>
  <c r="AI34" i="12"/>
  <c r="AH34" i="12"/>
  <c r="W34" i="12"/>
  <c r="AT33" i="12"/>
  <c r="AP33" i="12"/>
  <c r="AO33" i="12"/>
  <c r="AV33" i="12" s="1"/>
  <c r="AI33" i="12"/>
  <c r="AH33" i="12"/>
  <c r="AF33" i="12"/>
  <c r="AE33" i="12"/>
  <c r="AD33" i="12"/>
  <c r="AC33" i="12"/>
  <c r="AB33" i="12"/>
  <c r="AA33" i="12"/>
  <c r="Z33" i="12"/>
  <c r="Y33" i="12"/>
  <c r="X33" i="12"/>
  <c r="W33" i="12"/>
  <c r="P33" i="12"/>
  <c r="O33" i="12"/>
  <c r="N33" i="12"/>
  <c r="M33" i="12"/>
  <c r="AT32" i="12"/>
  <c r="AJ32" i="12"/>
  <c r="AI32" i="12"/>
  <c r="AH32" i="12"/>
  <c r="AF32" i="12"/>
  <c r="AE32" i="12"/>
  <c r="AD32" i="12"/>
  <c r="AC32" i="12"/>
  <c r="AA32" i="12"/>
  <c r="Z32" i="12"/>
  <c r="Y32" i="12"/>
  <c r="X32" i="12"/>
  <c r="W32" i="12"/>
  <c r="P32" i="12"/>
  <c r="O32" i="12"/>
  <c r="N32" i="12"/>
  <c r="M32" i="12"/>
  <c r="AQ31" i="12"/>
  <c r="AI31" i="12"/>
  <c r="AT31" i="12" s="1"/>
  <c r="AH31" i="12"/>
  <c r="AF31" i="12"/>
  <c r="AE31" i="12"/>
  <c r="AA31" i="12"/>
  <c r="Z31" i="12"/>
  <c r="Y31" i="12"/>
  <c r="X31" i="12"/>
  <c r="W31" i="12"/>
  <c r="P31" i="12"/>
  <c r="O31" i="12"/>
  <c r="AD31" i="12" s="1"/>
  <c r="N31" i="12"/>
  <c r="AC31" i="12" s="1"/>
  <c r="M31" i="12"/>
  <c r="AI30" i="12"/>
  <c r="AH30" i="12"/>
  <c r="AF30" i="12"/>
  <c r="AE30" i="12"/>
  <c r="AA30" i="12"/>
  <c r="Z30" i="12"/>
  <c r="Y30" i="12"/>
  <c r="X30" i="12"/>
  <c r="W30" i="12"/>
  <c r="P30" i="12"/>
  <c r="O30" i="12"/>
  <c r="AD30" i="12" s="1"/>
  <c r="N30" i="12"/>
  <c r="AC30" i="12" s="1"/>
  <c r="M30" i="12"/>
  <c r="AB30" i="12" s="1"/>
  <c r="AT29" i="12"/>
  <c r="AQ29" i="12"/>
  <c r="AI29" i="12"/>
  <c r="AH29" i="12"/>
  <c r="AF29" i="12"/>
  <c r="AE29" i="12"/>
  <c r="AB29" i="12"/>
  <c r="AA29" i="12"/>
  <c r="Z29" i="12"/>
  <c r="Y29" i="12"/>
  <c r="X29" i="12"/>
  <c r="W29" i="12"/>
  <c r="P29" i="12"/>
  <c r="O29" i="12"/>
  <c r="AD29" i="12" s="1"/>
  <c r="N29" i="12"/>
  <c r="M29" i="12"/>
  <c r="AU28" i="12"/>
  <c r="AP28" i="12"/>
  <c r="AO28" i="12"/>
  <c r="AV28" i="12" s="1"/>
  <c r="AI28" i="12"/>
  <c r="AH28" i="12"/>
  <c r="AF28" i="12"/>
  <c r="AE28" i="12"/>
  <c r="AD28" i="12"/>
  <c r="AC28" i="12"/>
  <c r="AB28" i="12"/>
  <c r="AA28" i="12"/>
  <c r="Z28" i="12"/>
  <c r="Y28" i="12"/>
  <c r="X28" i="12"/>
  <c r="W28" i="12"/>
  <c r="P28" i="12"/>
  <c r="O28" i="12"/>
  <c r="N28" i="12"/>
  <c r="M28" i="12"/>
  <c r="AP27" i="12"/>
  <c r="AO27" i="12"/>
  <c r="AV27" i="12" s="1"/>
  <c r="AI27" i="12"/>
  <c r="AN27" i="12" s="1"/>
  <c r="AH27" i="12"/>
  <c r="AF27" i="12"/>
  <c r="AE27" i="12"/>
  <c r="AD27" i="12"/>
  <c r="AC27" i="12"/>
  <c r="AA27" i="12"/>
  <c r="Z27" i="12"/>
  <c r="Y27" i="12"/>
  <c r="X27" i="12"/>
  <c r="W27" i="12"/>
  <c r="P27" i="12"/>
  <c r="O27" i="12"/>
  <c r="AQ27" i="12" s="1"/>
  <c r="N27" i="12"/>
  <c r="M27" i="12"/>
  <c r="AB27" i="12" s="1"/>
  <c r="AT26" i="12"/>
  <c r="AQ26" i="12"/>
  <c r="AP26" i="12"/>
  <c r="AI26" i="12"/>
  <c r="AH26" i="12"/>
  <c r="AF26" i="12"/>
  <c r="AE26" i="12"/>
  <c r="AA26" i="12"/>
  <c r="Z26" i="12"/>
  <c r="Y26" i="12"/>
  <c r="X26" i="12"/>
  <c r="W26" i="12"/>
  <c r="P26" i="12"/>
  <c r="O26" i="12"/>
  <c r="AD26" i="12" s="1"/>
  <c r="N26" i="12"/>
  <c r="AO26" i="12" s="1"/>
  <c r="AV26" i="12" s="1"/>
  <c r="M26" i="12"/>
  <c r="AP25" i="12"/>
  <c r="AI25" i="12"/>
  <c r="AH25" i="12"/>
  <c r="AF25" i="12"/>
  <c r="AE25" i="12"/>
  <c r="AA25" i="12"/>
  <c r="Z25" i="12"/>
  <c r="Y25" i="12"/>
  <c r="X25" i="12"/>
  <c r="W25" i="12"/>
  <c r="P25" i="12"/>
  <c r="O25" i="12"/>
  <c r="AD25" i="12" s="1"/>
  <c r="N25" i="12"/>
  <c r="AO25" i="12" s="1"/>
  <c r="M25" i="12"/>
  <c r="AB25" i="12" s="1"/>
  <c r="AP24" i="12"/>
  <c r="AI24" i="12"/>
  <c r="AT24" i="12" s="1"/>
  <c r="AH24" i="12"/>
  <c r="AF24" i="12"/>
  <c r="AE24" i="12"/>
  <c r="AB24" i="12"/>
  <c r="AA24" i="12"/>
  <c r="Z24" i="12"/>
  <c r="Y24" i="12"/>
  <c r="X24" i="12"/>
  <c r="W24" i="12"/>
  <c r="P24" i="12"/>
  <c r="O24" i="12"/>
  <c r="AD24" i="12" s="1"/>
  <c r="N24" i="12"/>
  <c r="AO24" i="12" s="1"/>
  <c r="M24" i="12"/>
  <c r="AI23" i="12"/>
  <c r="AN23" i="12" s="1"/>
  <c r="AH23" i="12"/>
  <c r="AF23" i="12"/>
  <c r="AE23" i="12"/>
  <c r="AC23" i="12"/>
  <c r="AA23" i="12"/>
  <c r="Z23" i="12"/>
  <c r="Y23" i="12"/>
  <c r="X23" i="12"/>
  <c r="W23" i="12"/>
  <c r="P23" i="12"/>
  <c r="O23" i="12"/>
  <c r="AD23" i="12" s="1"/>
  <c r="N23" i="12"/>
  <c r="M23" i="12"/>
  <c r="AI22" i="12"/>
  <c r="AH22" i="12"/>
  <c r="W22" i="12"/>
  <c r="AT21" i="12"/>
  <c r="AO21" i="12"/>
  <c r="AI21" i="12"/>
  <c r="AN21" i="12" s="1"/>
  <c r="AH21" i="12"/>
  <c r="AF21" i="12"/>
  <c r="AE21" i="12"/>
  <c r="AA21" i="12"/>
  <c r="Z21" i="12"/>
  <c r="Y21" i="12"/>
  <c r="X21" i="12"/>
  <c r="W21" i="12"/>
  <c r="P21" i="12"/>
  <c r="O21" i="12"/>
  <c r="AD21" i="12" s="1"/>
  <c r="N21" i="12"/>
  <c r="AC21" i="12" s="1"/>
  <c r="M21" i="12"/>
  <c r="AP20" i="12"/>
  <c r="AI20" i="12"/>
  <c r="AT20" i="12" s="1"/>
  <c r="AH20" i="12"/>
  <c r="AF20" i="12"/>
  <c r="AE20" i="12"/>
  <c r="AB20" i="12"/>
  <c r="AA20" i="12"/>
  <c r="Z20" i="12"/>
  <c r="Y20" i="12"/>
  <c r="X20" i="12"/>
  <c r="W20" i="12"/>
  <c r="P20" i="12"/>
  <c r="O20" i="12"/>
  <c r="AD20" i="12" s="1"/>
  <c r="N20" i="12"/>
  <c r="AO20" i="12" s="1"/>
  <c r="M20" i="12"/>
  <c r="AP19" i="12"/>
  <c r="AO19" i="12"/>
  <c r="AV19" i="12" s="1"/>
  <c r="AI19" i="12"/>
  <c r="AN19" i="12" s="1"/>
  <c r="AH19" i="12"/>
  <c r="AF19" i="12"/>
  <c r="AE19" i="12"/>
  <c r="AC19" i="12"/>
  <c r="AB19" i="12"/>
  <c r="AA19" i="12"/>
  <c r="Z19" i="12"/>
  <c r="Y19" i="12"/>
  <c r="X19" i="12"/>
  <c r="W19" i="12"/>
  <c r="P19" i="12"/>
  <c r="O19" i="12"/>
  <c r="AD19" i="12" s="1"/>
  <c r="N19" i="12"/>
  <c r="M19" i="12"/>
  <c r="AI18" i="12"/>
  <c r="AH18" i="12"/>
  <c r="W18" i="12"/>
  <c r="AT17" i="12"/>
  <c r="AP17" i="12"/>
  <c r="AO17" i="12"/>
  <c r="AV17" i="12" s="1"/>
  <c r="AI17" i="12"/>
  <c r="AN17" i="12" s="1"/>
  <c r="AH17" i="12"/>
  <c r="AF17" i="12"/>
  <c r="AE17" i="12"/>
  <c r="AA17" i="12"/>
  <c r="Z17" i="12"/>
  <c r="Y17" i="12"/>
  <c r="X17" i="12"/>
  <c r="W17" i="12"/>
  <c r="P17" i="12"/>
  <c r="O17" i="12"/>
  <c r="AD17" i="12" s="1"/>
  <c r="N17" i="12"/>
  <c r="AC17" i="12" s="1"/>
  <c r="M17" i="12"/>
  <c r="AP16" i="12"/>
  <c r="AN16" i="12"/>
  <c r="AI16" i="12"/>
  <c r="AT16" i="12" s="1"/>
  <c r="AH16" i="12"/>
  <c r="AF16" i="12"/>
  <c r="AE16" i="12"/>
  <c r="AB16" i="12"/>
  <c r="AA16" i="12"/>
  <c r="Z16" i="12"/>
  <c r="Y16" i="12"/>
  <c r="X16" i="12"/>
  <c r="W16" i="12"/>
  <c r="P16" i="12"/>
  <c r="O16" i="12"/>
  <c r="AD16" i="12" s="1"/>
  <c r="N16" i="12"/>
  <c r="M16" i="12"/>
  <c r="AQ15" i="12"/>
  <c r="AP15" i="12"/>
  <c r="AO15" i="12"/>
  <c r="AV15" i="12" s="1"/>
  <c r="AI15" i="12"/>
  <c r="AN15" i="12" s="1"/>
  <c r="AH15" i="12"/>
  <c r="AF15" i="12"/>
  <c r="AE15" i="12"/>
  <c r="AC15" i="12"/>
  <c r="AB15" i="12"/>
  <c r="AA15" i="12"/>
  <c r="Z15" i="12"/>
  <c r="Y15" i="12"/>
  <c r="X15" i="12"/>
  <c r="W15" i="12"/>
  <c r="P15" i="12"/>
  <c r="O15" i="12"/>
  <c r="AD15" i="12" s="1"/>
  <c r="N15" i="12"/>
  <c r="M15" i="12"/>
  <c r="AI14" i="12"/>
  <c r="AH14" i="12"/>
  <c r="W14" i="12"/>
  <c r="AT13" i="12"/>
  <c r="AO13" i="12"/>
  <c r="AJ13" i="12"/>
  <c r="AI13" i="12"/>
  <c r="AN13" i="12" s="1"/>
  <c r="AH13" i="12"/>
  <c r="AF13" i="12"/>
  <c r="AE13" i="12"/>
  <c r="AA13" i="12"/>
  <c r="Z13" i="12"/>
  <c r="Y13" i="12"/>
  <c r="X13" i="12"/>
  <c r="W13" i="12"/>
  <c r="P13" i="12"/>
  <c r="O13" i="12"/>
  <c r="AD13" i="12" s="1"/>
  <c r="N13" i="12"/>
  <c r="AC13" i="12" s="1"/>
  <c r="M13" i="12"/>
  <c r="AP12" i="12"/>
  <c r="AN12" i="12"/>
  <c r="AI12" i="12"/>
  <c r="AT12" i="12" s="1"/>
  <c r="AH12" i="12"/>
  <c r="AF12" i="12"/>
  <c r="AE12" i="12"/>
  <c r="AB12" i="12"/>
  <c r="AA12" i="12"/>
  <c r="Z12" i="12"/>
  <c r="Y12" i="12"/>
  <c r="X12" i="12"/>
  <c r="W12" i="12"/>
  <c r="P12" i="12"/>
  <c r="O12" i="12"/>
  <c r="AD12" i="12" s="1"/>
  <c r="N12" i="12"/>
  <c r="M12" i="12"/>
  <c r="AQ11" i="12"/>
  <c r="AO11" i="12"/>
  <c r="AI11" i="12"/>
  <c r="AN11" i="12" s="1"/>
  <c r="AH11" i="12"/>
  <c r="AF11" i="12"/>
  <c r="AE11" i="12"/>
  <c r="AC11" i="12"/>
  <c r="AB11" i="12"/>
  <c r="AA11" i="12"/>
  <c r="Z11" i="12"/>
  <c r="Y11" i="12"/>
  <c r="X11" i="12"/>
  <c r="W11" i="12"/>
  <c r="P11" i="12"/>
  <c r="O11" i="12"/>
  <c r="AD11" i="12" s="1"/>
  <c r="N11" i="12"/>
  <c r="M11" i="12"/>
  <c r="AR10" i="12"/>
  <c r="AI10" i="12"/>
  <c r="AH10" i="12"/>
  <c r="AF10" i="12"/>
  <c r="AE10" i="12"/>
  <c r="AD10" i="12"/>
  <c r="AC10" i="12"/>
  <c r="AB10" i="12"/>
  <c r="AA10" i="12"/>
  <c r="Z10" i="12"/>
  <c r="Y10" i="12"/>
  <c r="X10" i="12"/>
  <c r="W10" i="12"/>
  <c r="P10" i="12"/>
  <c r="O10" i="12"/>
  <c r="AQ10" i="12" s="1"/>
  <c r="N10" i="12"/>
  <c r="AO10" i="12" s="1"/>
  <c r="M10" i="12"/>
  <c r="AI9" i="12"/>
  <c r="AH9" i="12"/>
  <c r="W9" i="12"/>
  <c r="AP8" i="12"/>
  <c r="AN8" i="12"/>
  <c r="AI8" i="12"/>
  <c r="AT8" i="12" s="1"/>
  <c r="AH8" i="12"/>
  <c r="AF8" i="12"/>
  <c r="AE8" i="12"/>
  <c r="AB8" i="12"/>
  <c r="AA8" i="12"/>
  <c r="Z8" i="12"/>
  <c r="Y8" i="12"/>
  <c r="X8" i="12"/>
  <c r="W8" i="12"/>
  <c r="P8" i="12"/>
  <c r="O8" i="12"/>
  <c r="AD8" i="12" s="1"/>
  <c r="N8" i="12"/>
  <c r="M8" i="12"/>
  <c r="AQ7" i="12"/>
  <c r="AP7" i="12"/>
  <c r="AO7" i="12"/>
  <c r="AV7" i="12" s="1"/>
  <c r="AI7" i="12"/>
  <c r="AN7" i="12" s="1"/>
  <c r="AH7" i="12"/>
  <c r="AF7" i="12"/>
  <c r="AE7" i="12"/>
  <c r="AC7" i="12"/>
  <c r="AB7" i="12"/>
  <c r="AA7" i="12"/>
  <c r="Z7" i="12"/>
  <c r="Y7" i="12"/>
  <c r="X7" i="12"/>
  <c r="W7" i="12"/>
  <c r="P7" i="12"/>
  <c r="O7" i="12"/>
  <c r="AD7" i="12" s="1"/>
  <c r="N7" i="12"/>
  <c r="M7" i="12"/>
  <c r="AR6" i="12"/>
  <c r="AI6" i="12"/>
  <c r="AH6" i="12"/>
  <c r="AF6" i="12"/>
  <c r="AE6" i="12"/>
  <c r="AD6" i="12"/>
  <c r="AC6" i="12"/>
  <c r="AB6" i="12"/>
  <c r="AA6" i="12"/>
  <c r="Z6" i="12"/>
  <c r="Y6" i="12"/>
  <c r="X6" i="12"/>
  <c r="W6" i="12"/>
  <c r="P6" i="12"/>
  <c r="O6" i="12"/>
  <c r="AQ6" i="12" s="1"/>
  <c r="N6" i="12"/>
  <c r="AO6" i="12" s="1"/>
  <c r="M6" i="12"/>
  <c r="AI5" i="12"/>
  <c r="AH5" i="12"/>
  <c r="W5" i="12"/>
  <c r="AI4" i="12"/>
  <c r="AQ3" i="12"/>
  <c r="AP3" i="12"/>
  <c r="AO3" i="12"/>
  <c r="AI3" i="12"/>
  <c r="AH3" i="12"/>
  <c r="AN2" i="12"/>
  <c r="AN42" i="12" s="1"/>
  <c r="AM2" i="12"/>
  <c r="AL2" i="12"/>
  <c r="AK2" i="12"/>
  <c r="AJ2" i="12"/>
  <c r="AJ29" i="12" s="1"/>
  <c r="AA2" i="12"/>
  <c r="A2" i="12"/>
  <c r="AU1" i="12"/>
  <c r="AR1" i="12"/>
  <c r="AQ1" i="12"/>
  <c r="AQ28" i="12" s="1"/>
  <c r="AP1" i="12"/>
  <c r="AP36" i="12" s="1"/>
  <c r="AO1" i="12"/>
  <c r="AO46" i="12" s="1"/>
  <c r="AJ1" i="12"/>
  <c r="AH1" i="12"/>
  <c r="AH2" i="12" s="1"/>
  <c r="AA1" i="12"/>
  <c r="A1" i="12"/>
  <c r="AQ7" i="11"/>
  <c r="AP7" i="11"/>
  <c r="AO7" i="11"/>
  <c r="AV7" i="11" s="1"/>
  <c r="AI7" i="11"/>
  <c r="AN7" i="11" s="1"/>
  <c r="AH7" i="11"/>
  <c r="AF7" i="11"/>
  <c r="AE7" i="11"/>
  <c r="AC7" i="11"/>
  <c r="AB7" i="11"/>
  <c r="AA7" i="11"/>
  <c r="Z7" i="11"/>
  <c r="Y7" i="11"/>
  <c r="X7" i="11"/>
  <c r="W7" i="11"/>
  <c r="P7" i="11"/>
  <c r="O7" i="11"/>
  <c r="AD7" i="11" s="1"/>
  <c r="N7" i="11"/>
  <c r="M7" i="11"/>
  <c r="AR6" i="11"/>
  <c r="AP6" i="11"/>
  <c r="AI6" i="11"/>
  <c r="AH6" i="11"/>
  <c r="AF6" i="11"/>
  <c r="AE6" i="11"/>
  <c r="AD6" i="11"/>
  <c r="AC6" i="11"/>
  <c r="AB6" i="11"/>
  <c r="AA6" i="11"/>
  <c r="Z6" i="11"/>
  <c r="Y6" i="11"/>
  <c r="X6" i="11"/>
  <c r="W6" i="11"/>
  <c r="P6" i="11"/>
  <c r="O6" i="11"/>
  <c r="AQ6" i="11" s="1"/>
  <c r="N6" i="11"/>
  <c r="AO6" i="11" s="1"/>
  <c r="AV6" i="11" s="1"/>
  <c r="M6" i="11"/>
  <c r="AI5" i="11"/>
  <c r="AH5" i="11"/>
  <c r="W5" i="11"/>
  <c r="AI4" i="11"/>
  <c r="AQ3" i="11"/>
  <c r="AP3" i="11"/>
  <c r="AO3" i="11"/>
  <c r="AI3" i="11"/>
  <c r="AH3" i="11"/>
  <c r="AN2" i="11"/>
  <c r="AM2" i="11"/>
  <c r="AL2" i="11"/>
  <c r="AK2" i="11"/>
  <c r="AJ2" i="11"/>
  <c r="AA2" i="11"/>
  <c r="A2" i="11"/>
  <c r="AU1" i="11"/>
  <c r="AU3" i="11" s="1"/>
  <c r="AR1" i="11"/>
  <c r="AQ1" i="11"/>
  <c r="AP1" i="11"/>
  <c r="AO1" i="11"/>
  <c r="AJ1" i="11"/>
  <c r="AH1" i="11"/>
  <c r="AH2" i="11" s="1"/>
  <c r="AA1" i="11"/>
  <c r="A1" i="11"/>
  <c r="AP10" i="10"/>
  <c r="AO10" i="10"/>
  <c r="AV10" i="10" s="1"/>
  <c r="AI10" i="10"/>
  <c r="AN10" i="10" s="1"/>
  <c r="AH10" i="10"/>
  <c r="AF10" i="10"/>
  <c r="AE10" i="10"/>
  <c r="AC10" i="10"/>
  <c r="AB10" i="10"/>
  <c r="AA10" i="10"/>
  <c r="Z10" i="10"/>
  <c r="Y10" i="10"/>
  <c r="X10" i="10"/>
  <c r="W10" i="10"/>
  <c r="P10" i="10"/>
  <c r="O10" i="10"/>
  <c r="AD10" i="10" s="1"/>
  <c r="N10" i="10"/>
  <c r="M10" i="10"/>
  <c r="AR9" i="10"/>
  <c r="AP9" i="10"/>
  <c r="AI9" i="10"/>
  <c r="AH9" i="10"/>
  <c r="AF9" i="10"/>
  <c r="AE9" i="10"/>
  <c r="AD9" i="10"/>
  <c r="AC9" i="10"/>
  <c r="AB9" i="10"/>
  <c r="AA9" i="10"/>
  <c r="Z9" i="10"/>
  <c r="Y9" i="10"/>
  <c r="X9" i="10"/>
  <c r="W9" i="10"/>
  <c r="P9" i="10"/>
  <c r="O9" i="10"/>
  <c r="N9" i="10"/>
  <c r="AO9" i="10" s="1"/>
  <c r="M9" i="10"/>
  <c r="AI8" i="10"/>
  <c r="AH8" i="10"/>
  <c r="W8" i="10"/>
  <c r="AU7" i="10"/>
  <c r="AP7" i="10"/>
  <c r="AI7" i="10"/>
  <c r="AT7" i="10" s="1"/>
  <c r="AH7" i="10"/>
  <c r="AF7" i="10"/>
  <c r="AE7" i="10"/>
  <c r="AB7" i="10"/>
  <c r="AA7" i="10"/>
  <c r="Z7" i="10"/>
  <c r="Y7" i="10"/>
  <c r="X7" i="10"/>
  <c r="W7" i="10"/>
  <c r="P7" i="10"/>
  <c r="O7" i="10"/>
  <c r="AD7" i="10" s="1"/>
  <c r="N7" i="10"/>
  <c r="M7" i="10"/>
  <c r="AP6" i="10"/>
  <c r="AO6" i="10"/>
  <c r="AV6" i="10" s="1"/>
  <c r="AI6" i="10"/>
  <c r="AN6" i="10" s="1"/>
  <c r="AH6" i="10"/>
  <c r="AF6" i="10"/>
  <c r="AE6" i="10"/>
  <c r="AC6" i="10"/>
  <c r="AB6" i="10"/>
  <c r="AA6" i="10"/>
  <c r="Z6" i="10"/>
  <c r="Y6" i="10"/>
  <c r="X6" i="10"/>
  <c r="W6" i="10"/>
  <c r="P6" i="10"/>
  <c r="O6" i="10"/>
  <c r="AD6" i="10" s="1"/>
  <c r="N6" i="10"/>
  <c r="M6" i="10"/>
  <c r="AR6" i="10" s="1"/>
  <c r="AI5" i="10"/>
  <c r="AH5" i="10"/>
  <c r="W5" i="10"/>
  <c r="AI4" i="10"/>
  <c r="AP3" i="10"/>
  <c r="AO3" i="10"/>
  <c r="AI3" i="10"/>
  <c r="AH3" i="10"/>
  <c r="AN2" i="10"/>
  <c r="AN7" i="10" s="1"/>
  <c r="AM2" i="10"/>
  <c r="AL2" i="10"/>
  <c r="AK2" i="10"/>
  <c r="AJ2" i="10"/>
  <c r="AA2" i="10"/>
  <c r="A2" i="10"/>
  <c r="AU1" i="10"/>
  <c r="AU3" i="10" s="1"/>
  <c r="AR1" i="10"/>
  <c r="AR3" i="10" s="1"/>
  <c r="AQ1" i="10"/>
  <c r="AQ3" i="10" s="1"/>
  <c r="AP1" i="10"/>
  <c r="AO1" i="10"/>
  <c r="AA1" i="10"/>
  <c r="A1" i="10"/>
  <c r="AU6" i="9"/>
  <c r="AP6" i="9"/>
  <c r="AN6" i="9"/>
  <c r="AI6" i="9"/>
  <c r="AT6" i="9" s="1"/>
  <c r="AH6" i="9"/>
  <c r="AF6" i="9"/>
  <c r="AE6" i="9"/>
  <c r="AB6" i="9"/>
  <c r="AA6" i="9"/>
  <c r="Z6" i="9"/>
  <c r="Y6" i="9"/>
  <c r="X6" i="9"/>
  <c r="W6" i="9"/>
  <c r="P6" i="9"/>
  <c r="O6" i="9"/>
  <c r="AD6" i="9" s="1"/>
  <c r="N6" i="9"/>
  <c r="M6" i="9"/>
  <c r="AI5" i="9"/>
  <c r="AH5" i="9"/>
  <c r="W5" i="9"/>
  <c r="AI4" i="9"/>
  <c r="AU3" i="9"/>
  <c r="AO3" i="9"/>
  <c r="AI3" i="9"/>
  <c r="AH3" i="9"/>
  <c r="AN2" i="9"/>
  <c r="AM2" i="9"/>
  <c r="AL2" i="9"/>
  <c r="AK2" i="9"/>
  <c r="AJ2" i="9"/>
  <c r="AA2" i="9"/>
  <c r="A2" i="9"/>
  <c r="AU1" i="9"/>
  <c r="AR1" i="9"/>
  <c r="AR3" i="9" s="1"/>
  <c r="AQ1" i="9"/>
  <c r="AQ3" i="9" s="1"/>
  <c r="AP1" i="9"/>
  <c r="AP3" i="9" s="1"/>
  <c r="AO1" i="9"/>
  <c r="AA1" i="9"/>
  <c r="A1" i="9"/>
  <c r="AJ1" i="9" s="1"/>
  <c r="AT11" i="8"/>
  <c r="AO11" i="8"/>
  <c r="AI11" i="8"/>
  <c r="AH11" i="8"/>
  <c r="AF11" i="8"/>
  <c r="AE11" i="8"/>
  <c r="AA11" i="8"/>
  <c r="Z11" i="8"/>
  <c r="Y11" i="8"/>
  <c r="X11" i="8"/>
  <c r="W11" i="8"/>
  <c r="P11" i="8"/>
  <c r="O11" i="8"/>
  <c r="AD11" i="8" s="1"/>
  <c r="N11" i="8"/>
  <c r="AC11" i="8" s="1"/>
  <c r="M11" i="8"/>
  <c r="AU10" i="8"/>
  <c r="AN10" i="8"/>
  <c r="AI10" i="8"/>
  <c r="AT10" i="8" s="1"/>
  <c r="AH10" i="8"/>
  <c r="AF10" i="8"/>
  <c r="AE10" i="8"/>
  <c r="AB10" i="8"/>
  <c r="AA10" i="8"/>
  <c r="Z10" i="8"/>
  <c r="Y10" i="8"/>
  <c r="X10" i="8"/>
  <c r="W10" i="8"/>
  <c r="P10" i="8"/>
  <c r="O10" i="8"/>
  <c r="AD10" i="8" s="1"/>
  <c r="N10" i="8"/>
  <c r="M10" i="8"/>
  <c r="AR9" i="8"/>
  <c r="AP9" i="8"/>
  <c r="AO9" i="8"/>
  <c r="AV9" i="8" s="1"/>
  <c r="AI9" i="8"/>
  <c r="AN9" i="8" s="1"/>
  <c r="AH9" i="8"/>
  <c r="AF9" i="8"/>
  <c r="AE9" i="8"/>
  <c r="AC9" i="8"/>
  <c r="AB9" i="8"/>
  <c r="AA9" i="8"/>
  <c r="Z9" i="8"/>
  <c r="Y9" i="8"/>
  <c r="X9" i="8"/>
  <c r="W9" i="8"/>
  <c r="P9" i="8"/>
  <c r="O9" i="8"/>
  <c r="AD9" i="8" s="1"/>
  <c r="N9" i="8"/>
  <c r="M9" i="8"/>
  <c r="AU8" i="8"/>
  <c r="AR8" i="8"/>
  <c r="AP8" i="8"/>
  <c r="AI8" i="8"/>
  <c r="AH8" i="8"/>
  <c r="AF8" i="8"/>
  <c r="AE8" i="8"/>
  <c r="AD8" i="8"/>
  <c r="AC8" i="8"/>
  <c r="AB8" i="8"/>
  <c r="AA8" i="8"/>
  <c r="Z8" i="8"/>
  <c r="Y8" i="8"/>
  <c r="X8" i="8"/>
  <c r="W8" i="8"/>
  <c r="P8" i="8"/>
  <c r="O8" i="8"/>
  <c r="AQ8" i="8" s="1"/>
  <c r="N8" i="8"/>
  <c r="AO8" i="8" s="1"/>
  <c r="AV8" i="8" s="1"/>
  <c r="M8" i="8"/>
  <c r="AI7" i="8"/>
  <c r="AH7" i="8"/>
  <c r="W7" i="8"/>
  <c r="AU6" i="8"/>
  <c r="AN6" i="8"/>
  <c r="AI6" i="8"/>
  <c r="AT6" i="8" s="1"/>
  <c r="AH6" i="8"/>
  <c r="AF6" i="8"/>
  <c r="AE6" i="8"/>
  <c r="AB6" i="8"/>
  <c r="AA6" i="8"/>
  <c r="Z6" i="8"/>
  <c r="Y6" i="8"/>
  <c r="X6" i="8"/>
  <c r="W6" i="8"/>
  <c r="P6" i="8"/>
  <c r="O6" i="8"/>
  <c r="AD6" i="8" s="1"/>
  <c r="N6" i="8"/>
  <c r="M6" i="8"/>
  <c r="AI5" i="8"/>
  <c r="AH5" i="8"/>
  <c r="W5" i="8"/>
  <c r="AI4" i="8"/>
  <c r="AU3" i="8"/>
  <c r="AO3" i="8"/>
  <c r="AI3" i="8"/>
  <c r="AH3" i="8"/>
  <c r="AN2" i="8"/>
  <c r="AN11" i="8" s="1"/>
  <c r="AM2" i="8"/>
  <c r="AL2" i="8"/>
  <c r="AK2" i="8"/>
  <c r="AJ2" i="8"/>
  <c r="AJ11" i="8" s="1"/>
  <c r="AA2" i="8"/>
  <c r="A2" i="8"/>
  <c r="AU1" i="8"/>
  <c r="AU11" i="8" s="1"/>
  <c r="AR1" i="8"/>
  <c r="AR3" i="8" s="1"/>
  <c r="AQ1" i="8"/>
  <c r="AQ3" i="8" s="1"/>
  <c r="AP1" i="8"/>
  <c r="AP6" i="8" s="1"/>
  <c r="AO1" i="8"/>
  <c r="AA1" i="8"/>
  <c r="A1" i="8"/>
  <c r="AJ1" i="8" s="1"/>
  <c r="AT28" i="7"/>
  <c r="AI28" i="7"/>
  <c r="AH28" i="7"/>
  <c r="AF28" i="7"/>
  <c r="AE28" i="7"/>
  <c r="AA28" i="7"/>
  <c r="Z28" i="7"/>
  <c r="Y28" i="7"/>
  <c r="X28" i="7"/>
  <c r="W28" i="7"/>
  <c r="P28" i="7"/>
  <c r="O28" i="7"/>
  <c r="AD28" i="7" s="1"/>
  <c r="N28" i="7"/>
  <c r="AC28" i="7" s="1"/>
  <c r="M28" i="7"/>
  <c r="AI27" i="7"/>
  <c r="AT27" i="7" s="1"/>
  <c r="AH27" i="7"/>
  <c r="AF27" i="7"/>
  <c r="AE27" i="7"/>
  <c r="AB27" i="7"/>
  <c r="AA27" i="7"/>
  <c r="Z27" i="7"/>
  <c r="Y27" i="7"/>
  <c r="X27" i="7"/>
  <c r="W27" i="7"/>
  <c r="P27" i="7"/>
  <c r="O27" i="7"/>
  <c r="AD27" i="7" s="1"/>
  <c r="N27" i="7"/>
  <c r="M27" i="7"/>
  <c r="AI26" i="7"/>
  <c r="AH26" i="7"/>
  <c r="AF26" i="7"/>
  <c r="AE26" i="7"/>
  <c r="AC26" i="7"/>
  <c r="AA26" i="7"/>
  <c r="Z26" i="7"/>
  <c r="Y26" i="7"/>
  <c r="X26" i="7"/>
  <c r="W26" i="7"/>
  <c r="P26" i="7"/>
  <c r="O26" i="7"/>
  <c r="AD26" i="7" s="1"/>
  <c r="N26" i="7"/>
  <c r="M26" i="7"/>
  <c r="AR26" i="7" s="1"/>
  <c r="AI25" i="7"/>
  <c r="AH25" i="7"/>
  <c r="W25" i="7"/>
  <c r="AT24" i="7"/>
  <c r="AI24" i="7"/>
  <c r="AH24" i="7"/>
  <c r="AF24" i="7"/>
  <c r="AE24" i="7"/>
  <c r="AA24" i="7"/>
  <c r="Z24" i="7"/>
  <c r="Y24" i="7"/>
  <c r="X24" i="7"/>
  <c r="W24" i="7"/>
  <c r="P24" i="7"/>
  <c r="O24" i="7"/>
  <c r="AD24" i="7" s="1"/>
  <c r="N24" i="7"/>
  <c r="AC24" i="7" s="1"/>
  <c r="M24" i="7"/>
  <c r="AP23" i="7"/>
  <c r="AI23" i="7"/>
  <c r="AT23" i="7" s="1"/>
  <c r="AH23" i="7"/>
  <c r="AF23" i="7"/>
  <c r="AE23" i="7"/>
  <c r="AB23" i="7"/>
  <c r="AA23" i="7"/>
  <c r="Z23" i="7"/>
  <c r="Y23" i="7"/>
  <c r="X23" i="7"/>
  <c r="W23" i="7"/>
  <c r="P23" i="7"/>
  <c r="O23" i="7"/>
  <c r="AD23" i="7" s="1"/>
  <c r="N23" i="7"/>
  <c r="M23" i="7"/>
  <c r="AQ22" i="7"/>
  <c r="AI22" i="7"/>
  <c r="AH22" i="7"/>
  <c r="AF22" i="7"/>
  <c r="AE22" i="7"/>
  <c r="AC22" i="7"/>
  <c r="AB22" i="7"/>
  <c r="AA22" i="7"/>
  <c r="Z22" i="7"/>
  <c r="Y22" i="7"/>
  <c r="X22" i="7"/>
  <c r="W22" i="7"/>
  <c r="P22" i="7"/>
  <c r="O22" i="7"/>
  <c r="AD22" i="7" s="1"/>
  <c r="N22" i="7"/>
  <c r="M22" i="7"/>
  <c r="AR21" i="7"/>
  <c r="AI21" i="7"/>
  <c r="AH21" i="7"/>
  <c r="AF21" i="7"/>
  <c r="AE21" i="7"/>
  <c r="AD21" i="7"/>
  <c r="AB21" i="7"/>
  <c r="AA21" i="7"/>
  <c r="Z21" i="7"/>
  <c r="Y21" i="7"/>
  <c r="X21" i="7"/>
  <c r="W21" i="7"/>
  <c r="P21" i="7"/>
  <c r="O21" i="7"/>
  <c r="AQ21" i="7" s="1"/>
  <c r="N21" i="7"/>
  <c r="M21" i="7"/>
  <c r="AI20" i="7"/>
  <c r="AH20" i="7"/>
  <c r="W20" i="7"/>
  <c r="AI19" i="7"/>
  <c r="AT19" i="7" s="1"/>
  <c r="AH19" i="7"/>
  <c r="AF19" i="7"/>
  <c r="AE19" i="7"/>
  <c r="AB19" i="7"/>
  <c r="AA19" i="7"/>
  <c r="Z19" i="7"/>
  <c r="Y19" i="7"/>
  <c r="X19" i="7"/>
  <c r="W19" i="7"/>
  <c r="P19" i="7"/>
  <c r="O19" i="7"/>
  <c r="AD19" i="7" s="1"/>
  <c r="N19" i="7"/>
  <c r="M19" i="7"/>
  <c r="AI18" i="7"/>
  <c r="AH18" i="7"/>
  <c r="AF18" i="7"/>
  <c r="AE18" i="7"/>
  <c r="AC18" i="7"/>
  <c r="AB18" i="7"/>
  <c r="AA18" i="7"/>
  <c r="Z18" i="7"/>
  <c r="Y18" i="7"/>
  <c r="X18" i="7"/>
  <c r="W18" i="7"/>
  <c r="P18" i="7"/>
  <c r="O18" i="7"/>
  <c r="AD18" i="7" s="1"/>
  <c r="N18" i="7"/>
  <c r="M18" i="7"/>
  <c r="AR18" i="7" s="1"/>
  <c r="AR17" i="7"/>
  <c r="AI17" i="7"/>
  <c r="AH17" i="7"/>
  <c r="AF17" i="7"/>
  <c r="AE17" i="7"/>
  <c r="AD17" i="7"/>
  <c r="AB17" i="7"/>
  <c r="AA17" i="7"/>
  <c r="Z17" i="7"/>
  <c r="Y17" i="7"/>
  <c r="X17" i="7"/>
  <c r="W17" i="7"/>
  <c r="P17" i="7"/>
  <c r="O17" i="7"/>
  <c r="AQ17" i="7" s="1"/>
  <c r="N17" i="7"/>
  <c r="M17" i="7"/>
  <c r="AI16" i="7"/>
  <c r="AH16" i="7"/>
  <c r="W16" i="7"/>
  <c r="AP15" i="7"/>
  <c r="AI15" i="7"/>
  <c r="AT15" i="7" s="1"/>
  <c r="AH15" i="7"/>
  <c r="AF15" i="7"/>
  <c r="AE15" i="7"/>
  <c r="AB15" i="7"/>
  <c r="AA15" i="7"/>
  <c r="Z15" i="7"/>
  <c r="Y15" i="7"/>
  <c r="X15" i="7"/>
  <c r="W15" i="7"/>
  <c r="P15" i="7"/>
  <c r="O15" i="7"/>
  <c r="AD15" i="7" s="1"/>
  <c r="N15" i="7"/>
  <c r="M15" i="7"/>
  <c r="AP14" i="7"/>
  <c r="AO14" i="7"/>
  <c r="AV14" i="7" s="1"/>
  <c r="AI14" i="7"/>
  <c r="AH14" i="7"/>
  <c r="AF14" i="7"/>
  <c r="AE14" i="7"/>
  <c r="AC14" i="7"/>
  <c r="AA14" i="7"/>
  <c r="Z14" i="7"/>
  <c r="Y14" i="7"/>
  <c r="X14" i="7"/>
  <c r="W14" i="7"/>
  <c r="P14" i="7"/>
  <c r="O14" i="7"/>
  <c r="AD14" i="7" s="1"/>
  <c r="N14" i="7"/>
  <c r="M14" i="7"/>
  <c r="AR14" i="7" s="1"/>
  <c r="AR13" i="7"/>
  <c r="AP13" i="7"/>
  <c r="AI13" i="7"/>
  <c r="AH13" i="7"/>
  <c r="AF13" i="7"/>
  <c r="AE13" i="7"/>
  <c r="AD13" i="7"/>
  <c r="AB13" i="7"/>
  <c r="AA13" i="7"/>
  <c r="Z13" i="7"/>
  <c r="Y13" i="7"/>
  <c r="X13" i="7"/>
  <c r="W13" i="7"/>
  <c r="P13" i="7"/>
  <c r="O13" i="7"/>
  <c r="AQ13" i="7" s="1"/>
  <c r="N13" i="7"/>
  <c r="AO13" i="7" s="1"/>
  <c r="AV13" i="7" s="1"/>
  <c r="M13" i="7"/>
  <c r="AT12" i="7"/>
  <c r="AP12" i="7"/>
  <c r="AO12" i="7"/>
  <c r="AV12" i="7" s="1"/>
  <c r="AJ12" i="7"/>
  <c r="AI12" i="7"/>
  <c r="AH12" i="7"/>
  <c r="AF12" i="7"/>
  <c r="AE12" i="7"/>
  <c r="AC12" i="7"/>
  <c r="AA12" i="7"/>
  <c r="Z12" i="7"/>
  <c r="Y12" i="7"/>
  <c r="X12" i="7"/>
  <c r="W12" i="7"/>
  <c r="P12" i="7"/>
  <c r="O12" i="7"/>
  <c r="AQ12" i="7" s="1"/>
  <c r="N12" i="7"/>
  <c r="M12" i="7"/>
  <c r="AR12" i="7" s="1"/>
  <c r="AP11" i="7"/>
  <c r="AO11" i="7"/>
  <c r="AV11" i="7" s="1"/>
  <c r="AI11" i="7"/>
  <c r="AH11" i="7"/>
  <c r="AF11" i="7"/>
  <c r="AE11" i="7"/>
  <c r="AD11" i="7"/>
  <c r="AB11" i="7"/>
  <c r="AA11" i="7"/>
  <c r="Z11" i="7"/>
  <c r="Y11" i="7"/>
  <c r="X11" i="7"/>
  <c r="W11" i="7"/>
  <c r="P11" i="7"/>
  <c r="O11" i="7"/>
  <c r="AQ11" i="7" s="1"/>
  <c r="N11" i="7"/>
  <c r="AC11" i="7" s="1"/>
  <c r="M11" i="7"/>
  <c r="AR11" i="7" s="1"/>
  <c r="AT10" i="7"/>
  <c r="AP10" i="7"/>
  <c r="AO10" i="7"/>
  <c r="AV10" i="7" s="1"/>
  <c r="AJ10" i="7"/>
  <c r="AI10" i="7"/>
  <c r="AH10" i="7"/>
  <c r="AF10" i="7"/>
  <c r="AE10" i="7"/>
  <c r="AC10" i="7"/>
  <c r="AA10" i="7"/>
  <c r="Z10" i="7"/>
  <c r="Y10" i="7"/>
  <c r="X10" i="7"/>
  <c r="W10" i="7"/>
  <c r="P10" i="7"/>
  <c r="O10" i="7"/>
  <c r="AD10" i="7" s="1"/>
  <c r="N10" i="7"/>
  <c r="M10" i="7"/>
  <c r="AI9" i="7"/>
  <c r="AH9" i="7"/>
  <c r="W9" i="7"/>
  <c r="AT8" i="7"/>
  <c r="AQ8" i="7"/>
  <c r="AP8" i="7"/>
  <c r="AO8" i="7"/>
  <c r="AV8" i="7" s="1"/>
  <c r="AJ8" i="7"/>
  <c r="AI8" i="7"/>
  <c r="AH8" i="7"/>
  <c r="AF8" i="7"/>
  <c r="AE8" i="7"/>
  <c r="AD8" i="7"/>
  <c r="AC8" i="7"/>
  <c r="AA8" i="7"/>
  <c r="Z8" i="7"/>
  <c r="Y8" i="7"/>
  <c r="X8" i="7"/>
  <c r="W8" i="7"/>
  <c r="P8" i="7"/>
  <c r="O8" i="7"/>
  <c r="N8" i="7"/>
  <c r="M8" i="7"/>
  <c r="AR8" i="7" s="1"/>
  <c r="AV7" i="7"/>
  <c r="AU7" i="7"/>
  <c r="AP7" i="7"/>
  <c r="AO7" i="7"/>
  <c r="AI7" i="7"/>
  <c r="AH7" i="7"/>
  <c r="AF7" i="7"/>
  <c r="AE7" i="7"/>
  <c r="AD7" i="7"/>
  <c r="AB7" i="7"/>
  <c r="AA7" i="7"/>
  <c r="Z7" i="7"/>
  <c r="Y7" i="7"/>
  <c r="X7" i="7"/>
  <c r="W7" i="7"/>
  <c r="P7" i="7"/>
  <c r="O7" i="7"/>
  <c r="AQ7" i="7" s="1"/>
  <c r="N7" i="7"/>
  <c r="AC7" i="7" s="1"/>
  <c r="M7" i="7"/>
  <c r="AR7" i="7" s="1"/>
  <c r="AT6" i="7"/>
  <c r="AP6" i="7"/>
  <c r="AO6" i="7"/>
  <c r="AV6" i="7" s="1"/>
  <c r="AJ6" i="7"/>
  <c r="AI6" i="7"/>
  <c r="AH6" i="7"/>
  <c r="AF6" i="7"/>
  <c r="AE6" i="7"/>
  <c r="AC6" i="7"/>
  <c r="AA6" i="7"/>
  <c r="Z6" i="7"/>
  <c r="Y6" i="7"/>
  <c r="X6" i="7"/>
  <c r="W6" i="7"/>
  <c r="P6" i="7"/>
  <c r="O6" i="7"/>
  <c r="AD6" i="7" s="1"/>
  <c r="N6" i="7"/>
  <c r="M6" i="7"/>
  <c r="AI5" i="7"/>
  <c r="AH5" i="7"/>
  <c r="W5" i="7"/>
  <c r="AI4" i="7"/>
  <c r="AU3" i="7"/>
  <c r="AR3" i="7"/>
  <c r="AI3" i="7"/>
  <c r="AH3" i="7"/>
  <c r="AN2" i="7"/>
  <c r="AM2" i="7"/>
  <c r="AL2" i="7"/>
  <c r="AK2" i="7"/>
  <c r="AJ2" i="7"/>
  <c r="AJ28" i="7" s="1"/>
  <c r="AH2" i="7"/>
  <c r="AA2" i="7"/>
  <c r="A2" i="7"/>
  <c r="AU1" i="7"/>
  <c r="AU8" i="7" s="1"/>
  <c r="AR1" i="7"/>
  <c r="AR27" i="7" s="1"/>
  <c r="AQ1" i="7"/>
  <c r="AQ3" i="7" s="1"/>
  <c r="AP1" i="7"/>
  <c r="AO1" i="7"/>
  <c r="AO24" i="7" s="1"/>
  <c r="AH1" i="7"/>
  <c r="AA1" i="7"/>
  <c r="A1" i="7"/>
  <c r="AJ1" i="7" s="1"/>
  <c r="AI32" i="6"/>
  <c r="AH32" i="6"/>
  <c r="AF32" i="6"/>
  <c r="AE32" i="6"/>
  <c r="AD32" i="6"/>
  <c r="AA32" i="6"/>
  <c r="Z32" i="6"/>
  <c r="Y32" i="6"/>
  <c r="X32" i="6"/>
  <c r="W32" i="6"/>
  <c r="P32" i="6"/>
  <c r="O32" i="6"/>
  <c r="N32" i="6"/>
  <c r="AC32" i="6" s="1"/>
  <c r="M32" i="6"/>
  <c r="AB32" i="6" s="1"/>
  <c r="AT31" i="6"/>
  <c r="AI31" i="6"/>
  <c r="AH31" i="6"/>
  <c r="AF31" i="6"/>
  <c r="AE31" i="6"/>
  <c r="AA31" i="6"/>
  <c r="Z31" i="6"/>
  <c r="Y31" i="6"/>
  <c r="X31" i="6"/>
  <c r="W31" i="6"/>
  <c r="P31" i="6"/>
  <c r="O31" i="6"/>
  <c r="AD31" i="6" s="1"/>
  <c r="N31" i="6"/>
  <c r="AO31" i="6" s="1"/>
  <c r="M31" i="6"/>
  <c r="AI30" i="6"/>
  <c r="AH30" i="6"/>
  <c r="W30" i="6"/>
  <c r="AT29" i="6"/>
  <c r="AI29" i="6"/>
  <c r="AH29" i="6"/>
  <c r="AF29" i="6"/>
  <c r="AE29" i="6"/>
  <c r="AC29" i="6"/>
  <c r="AA29" i="6"/>
  <c r="Z29" i="6"/>
  <c r="Y29" i="6"/>
  <c r="X29" i="6"/>
  <c r="W29" i="6"/>
  <c r="P29" i="6"/>
  <c r="O29" i="6"/>
  <c r="AQ29" i="6" s="1"/>
  <c r="N29" i="6"/>
  <c r="M29" i="6"/>
  <c r="AI28" i="6"/>
  <c r="AH28" i="6"/>
  <c r="AF28" i="6"/>
  <c r="AE28" i="6"/>
  <c r="AD28" i="6"/>
  <c r="AA28" i="6"/>
  <c r="Z28" i="6"/>
  <c r="Y28" i="6"/>
  <c r="X28" i="6"/>
  <c r="W28" i="6"/>
  <c r="P28" i="6"/>
  <c r="O28" i="6"/>
  <c r="N28" i="6"/>
  <c r="AC28" i="6" s="1"/>
  <c r="M28" i="6"/>
  <c r="AB28" i="6" s="1"/>
  <c r="AI27" i="6"/>
  <c r="AH27" i="6"/>
  <c r="W27" i="6"/>
  <c r="AP26" i="6"/>
  <c r="AI26" i="6"/>
  <c r="AJ26" i="6" s="1"/>
  <c r="AH26" i="6"/>
  <c r="AF26" i="6"/>
  <c r="AE26" i="6"/>
  <c r="AD26" i="6"/>
  <c r="AB26" i="6"/>
  <c r="AA26" i="6"/>
  <c r="Z26" i="6"/>
  <c r="Y26" i="6"/>
  <c r="X26" i="6"/>
  <c r="W26" i="6"/>
  <c r="P26" i="6"/>
  <c r="O26" i="6"/>
  <c r="N26" i="6"/>
  <c r="AO26" i="6" s="1"/>
  <c r="AV26" i="6" s="1"/>
  <c r="M26" i="6"/>
  <c r="AI25" i="6"/>
  <c r="AH25" i="6"/>
  <c r="W25" i="6"/>
  <c r="AP24" i="6"/>
  <c r="AI24" i="6"/>
  <c r="AN24" i="6" s="1"/>
  <c r="AH24" i="6"/>
  <c r="AF24" i="6"/>
  <c r="AE24" i="6"/>
  <c r="AC24" i="6"/>
  <c r="AB24" i="6"/>
  <c r="AA24" i="6"/>
  <c r="Z24" i="6"/>
  <c r="Y24" i="6"/>
  <c r="X24" i="6"/>
  <c r="W24" i="6"/>
  <c r="P24" i="6"/>
  <c r="O24" i="6"/>
  <c r="AD24" i="6" s="1"/>
  <c r="N24" i="6"/>
  <c r="AO24" i="6" s="1"/>
  <c r="AV24" i="6" s="1"/>
  <c r="M24" i="6"/>
  <c r="AP23" i="6"/>
  <c r="AO23" i="6"/>
  <c r="AV23" i="6" s="1"/>
  <c r="AI23" i="6"/>
  <c r="AN23" i="6" s="1"/>
  <c r="AH23" i="6"/>
  <c r="AF23" i="6"/>
  <c r="AE23" i="6"/>
  <c r="AC23" i="6"/>
  <c r="AB23" i="6"/>
  <c r="AA23" i="6"/>
  <c r="Z23" i="6"/>
  <c r="Y23" i="6"/>
  <c r="X23" i="6"/>
  <c r="W23" i="6"/>
  <c r="P23" i="6"/>
  <c r="O23" i="6"/>
  <c r="AD23" i="6" s="1"/>
  <c r="N23" i="6"/>
  <c r="M23" i="6"/>
  <c r="AT22" i="6"/>
  <c r="AP22" i="6"/>
  <c r="AI22" i="6"/>
  <c r="AH22" i="6"/>
  <c r="AF22" i="6"/>
  <c r="AE22" i="6"/>
  <c r="AD22" i="6"/>
  <c r="AC22" i="6"/>
  <c r="AA22" i="6"/>
  <c r="Z22" i="6"/>
  <c r="Y22" i="6"/>
  <c r="X22" i="6"/>
  <c r="W22" i="6"/>
  <c r="P22" i="6"/>
  <c r="O22" i="6"/>
  <c r="AQ22" i="6" s="1"/>
  <c r="N22" i="6"/>
  <c r="AO22" i="6" s="1"/>
  <c r="AV22" i="6" s="1"/>
  <c r="M22" i="6"/>
  <c r="AR22" i="6" s="1"/>
  <c r="AU21" i="6"/>
  <c r="AT21" i="6"/>
  <c r="AP21" i="6"/>
  <c r="AO21" i="6"/>
  <c r="AV21" i="6" s="1"/>
  <c r="AI21" i="6"/>
  <c r="AH21" i="6"/>
  <c r="AF21" i="6"/>
  <c r="AE21" i="6"/>
  <c r="AD21" i="6"/>
  <c r="AA21" i="6"/>
  <c r="Z21" i="6"/>
  <c r="Y21" i="6"/>
  <c r="X21" i="6"/>
  <c r="W21" i="6"/>
  <c r="P21" i="6"/>
  <c r="O21" i="6"/>
  <c r="AQ21" i="6" s="1"/>
  <c r="N21" i="6"/>
  <c r="AC21" i="6" s="1"/>
  <c r="M21" i="6"/>
  <c r="AR21" i="6" s="1"/>
  <c r="AP20" i="6"/>
  <c r="AO20" i="6"/>
  <c r="AV20" i="6" s="1"/>
  <c r="AI20" i="6"/>
  <c r="AT20" i="6" s="1"/>
  <c r="AH20" i="6"/>
  <c r="AF20" i="6"/>
  <c r="AE20" i="6"/>
  <c r="AA20" i="6"/>
  <c r="Z20" i="6"/>
  <c r="Y20" i="6"/>
  <c r="X20" i="6"/>
  <c r="W20" i="6"/>
  <c r="P20" i="6"/>
  <c r="O20" i="6"/>
  <c r="AQ20" i="6" s="1"/>
  <c r="N20" i="6"/>
  <c r="AC20" i="6" s="1"/>
  <c r="M20" i="6"/>
  <c r="AR20" i="6" s="1"/>
  <c r="AT19" i="6"/>
  <c r="AP19" i="6"/>
  <c r="AI19" i="6"/>
  <c r="AN19" i="6" s="1"/>
  <c r="AH19" i="6"/>
  <c r="AF19" i="6"/>
  <c r="AE19" i="6"/>
  <c r="AB19" i="6"/>
  <c r="AA19" i="6"/>
  <c r="Z19" i="6"/>
  <c r="Y19" i="6"/>
  <c r="X19" i="6"/>
  <c r="W19" i="6"/>
  <c r="P19" i="6"/>
  <c r="O19" i="6"/>
  <c r="AD19" i="6" s="1"/>
  <c r="N19" i="6"/>
  <c r="AC19" i="6" s="1"/>
  <c r="M19" i="6"/>
  <c r="AR19" i="6" s="1"/>
  <c r="AP18" i="6"/>
  <c r="AI18" i="6"/>
  <c r="AN18" i="6" s="1"/>
  <c r="AH18" i="6"/>
  <c r="AF18" i="6"/>
  <c r="AE18" i="6"/>
  <c r="AB18" i="6"/>
  <c r="AA18" i="6"/>
  <c r="Z18" i="6"/>
  <c r="Y18" i="6"/>
  <c r="X18" i="6"/>
  <c r="W18" i="6"/>
  <c r="P18" i="6"/>
  <c r="O18" i="6"/>
  <c r="AD18" i="6" s="1"/>
  <c r="N18" i="6"/>
  <c r="AO18" i="6" s="1"/>
  <c r="AV18" i="6" s="1"/>
  <c r="M18" i="6"/>
  <c r="AI17" i="6"/>
  <c r="AH17" i="6"/>
  <c r="W17" i="6"/>
  <c r="AI16" i="6"/>
  <c r="AT16" i="6" s="1"/>
  <c r="AH16" i="6"/>
  <c r="AF16" i="6"/>
  <c r="AE16" i="6"/>
  <c r="AA16" i="6"/>
  <c r="Z16" i="6"/>
  <c r="Y16" i="6"/>
  <c r="X16" i="6"/>
  <c r="W16" i="6"/>
  <c r="P16" i="6"/>
  <c r="O16" i="6"/>
  <c r="AQ16" i="6" s="1"/>
  <c r="N16" i="6"/>
  <c r="AC16" i="6" s="1"/>
  <c r="M16" i="6"/>
  <c r="AR16" i="6" s="1"/>
  <c r="AT15" i="6"/>
  <c r="AI15" i="6"/>
  <c r="AN15" i="6" s="1"/>
  <c r="AH15" i="6"/>
  <c r="AF15" i="6"/>
  <c r="AE15" i="6"/>
  <c r="AA15" i="6"/>
  <c r="Z15" i="6"/>
  <c r="Y15" i="6"/>
  <c r="X15" i="6"/>
  <c r="W15" i="6"/>
  <c r="P15" i="6"/>
  <c r="O15" i="6"/>
  <c r="AD15" i="6" s="1"/>
  <c r="N15" i="6"/>
  <c r="AC15" i="6" s="1"/>
  <c r="M15" i="6"/>
  <c r="AR15" i="6" s="1"/>
  <c r="AI14" i="6"/>
  <c r="AH14" i="6"/>
  <c r="W14" i="6"/>
  <c r="AU13" i="6"/>
  <c r="AT13" i="6"/>
  <c r="AI13" i="6"/>
  <c r="AH13" i="6"/>
  <c r="AF13" i="6"/>
  <c r="AE13" i="6"/>
  <c r="AD13" i="6"/>
  <c r="AA13" i="6"/>
  <c r="Z13" i="6"/>
  <c r="Y13" i="6"/>
  <c r="X13" i="6"/>
  <c r="W13" i="6"/>
  <c r="P13" i="6"/>
  <c r="O13" i="6"/>
  <c r="AQ13" i="6" s="1"/>
  <c r="N13" i="6"/>
  <c r="AC13" i="6" s="1"/>
  <c r="M13" i="6"/>
  <c r="AR13" i="6" s="1"/>
  <c r="AI12" i="6"/>
  <c r="AT12" i="6" s="1"/>
  <c r="AH12" i="6"/>
  <c r="AF12" i="6"/>
  <c r="AE12" i="6"/>
  <c r="AA12" i="6"/>
  <c r="Z12" i="6"/>
  <c r="Y12" i="6"/>
  <c r="X12" i="6"/>
  <c r="W12" i="6"/>
  <c r="P12" i="6"/>
  <c r="O12" i="6"/>
  <c r="AQ12" i="6" s="1"/>
  <c r="N12" i="6"/>
  <c r="AC12" i="6" s="1"/>
  <c r="M12" i="6"/>
  <c r="AR12" i="6" s="1"/>
  <c r="AI11" i="6"/>
  <c r="AN11" i="6" s="1"/>
  <c r="AH11" i="6"/>
  <c r="AF11" i="6"/>
  <c r="AE11" i="6"/>
  <c r="AB11" i="6"/>
  <c r="AA11" i="6"/>
  <c r="Z11" i="6"/>
  <c r="Y11" i="6"/>
  <c r="X11" i="6"/>
  <c r="W11" i="6"/>
  <c r="P11" i="6"/>
  <c r="O11" i="6"/>
  <c r="AD11" i="6" s="1"/>
  <c r="N11" i="6"/>
  <c r="AC11" i="6" s="1"/>
  <c r="M11" i="6"/>
  <c r="AU10" i="6"/>
  <c r="AR10" i="6"/>
  <c r="AI10" i="6"/>
  <c r="AN10" i="6" s="1"/>
  <c r="AH10" i="6"/>
  <c r="AF10" i="6"/>
  <c r="AE10" i="6"/>
  <c r="AC10" i="6"/>
  <c r="AB10" i="6"/>
  <c r="AA10" i="6"/>
  <c r="Z10" i="6"/>
  <c r="Y10" i="6"/>
  <c r="X10" i="6"/>
  <c r="W10" i="6"/>
  <c r="P10" i="6"/>
  <c r="O10" i="6"/>
  <c r="AD10" i="6" s="1"/>
  <c r="N10" i="6"/>
  <c r="AO10" i="6" s="1"/>
  <c r="M10" i="6"/>
  <c r="AU9" i="6"/>
  <c r="AR9" i="6"/>
  <c r="AI9" i="6"/>
  <c r="AN9" i="6" s="1"/>
  <c r="AH9" i="6"/>
  <c r="AF9" i="6"/>
  <c r="AE9" i="6"/>
  <c r="AD9" i="6"/>
  <c r="AC9" i="6"/>
  <c r="AB9" i="6"/>
  <c r="AA9" i="6"/>
  <c r="Z9" i="6"/>
  <c r="Y9" i="6"/>
  <c r="X9" i="6"/>
  <c r="W9" i="6"/>
  <c r="P9" i="6"/>
  <c r="O9" i="6"/>
  <c r="AQ9" i="6" s="1"/>
  <c r="N9" i="6"/>
  <c r="M9" i="6"/>
  <c r="AU8" i="6"/>
  <c r="AT8" i="6"/>
  <c r="AP8" i="6"/>
  <c r="AJ8" i="6"/>
  <c r="AI8" i="6"/>
  <c r="AH8" i="6"/>
  <c r="AF8" i="6"/>
  <c r="AE8" i="6"/>
  <c r="AD8" i="6"/>
  <c r="AC8" i="6"/>
  <c r="AA8" i="6"/>
  <c r="Z8" i="6"/>
  <c r="Y8" i="6"/>
  <c r="X8" i="6"/>
  <c r="W8" i="6"/>
  <c r="P8" i="6"/>
  <c r="O8" i="6"/>
  <c r="AQ8" i="6" s="1"/>
  <c r="N8" i="6"/>
  <c r="AO8" i="6" s="1"/>
  <c r="AV8" i="6" s="1"/>
  <c r="M8" i="6"/>
  <c r="AR8" i="6" s="1"/>
  <c r="AU7" i="6"/>
  <c r="AT7" i="6"/>
  <c r="AI7" i="6"/>
  <c r="AH7" i="6"/>
  <c r="AF7" i="6"/>
  <c r="AE7" i="6"/>
  <c r="AD7" i="6"/>
  <c r="AA7" i="6"/>
  <c r="Z7" i="6"/>
  <c r="Y7" i="6"/>
  <c r="X7" i="6"/>
  <c r="W7" i="6"/>
  <c r="P7" i="6"/>
  <c r="O7" i="6"/>
  <c r="AQ7" i="6" s="1"/>
  <c r="N7" i="6"/>
  <c r="AC7" i="6" s="1"/>
  <c r="M7" i="6"/>
  <c r="AR7" i="6" s="1"/>
  <c r="AU6" i="6"/>
  <c r="AI6" i="6"/>
  <c r="AT6" i="6" s="1"/>
  <c r="AH6" i="6"/>
  <c r="AF6" i="6"/>
  <c r="AE6" i="6"/>
  <c r="AA6" i="6"/>
  <c r="Z6" i="6"/>
  <c r="Y6" i="6"/>
  <c r="X6" i="6"/>
  <c r="W6" i="6"/>
  <c r="P6" i="6"/>
  <c r="O6" i="6"/>
  <c r="AQ6" i="6" s="1"/>
  <c r="N6" i="6"/>
  <c r="AC6" i="6" s="1"/>
  <c r="M6" i="6"/>
  <c r="AR6" i="6" s="1"/>
  <c r="AI5" i="6"/>
  <c r="AH5" i="6"/>
  <c r="W5" i="6"/>
  <c r="AI4" i="6"/>
  <c r="AU3" i="6"/>
  <c r="AR3" i="6"/>
  <c r="AI3" i="6"/>
  <c r="AH3" i="6"/>
  <c r="AN2" i="6"/>
  <c r="AN31" i="6" s="1"/>
  <c r="AM2" i="6"/>
  <c r="AL2" i="6"/>
  <c r="AK2" i="6"/>
  <c r="AJ2" i="6"/>
  <c r="AJ19" i="6" s="1"/>
  <c r="AA2" i="6"/>
  <c r="A2" i="6"/>
  <c r="AU1" i="6"/>
  <c r="AU31" i="6" s="1"/>
  <c r="AR1" i="6"/>
  <c r="AR11" i="6" s="1"/>
  <c r="AQ1" i="6"/>
  <c r="AQ3" i="6" s="1"/>
  <c r="AP1" i="6"/>
  <c r="AO1" i="6"/>
  <c r="AO29" i="6" s="1"/>
  <c r="AA1" i="6"/>
  <c r="A1" i="6"/>
  <c r="AH1" i="6" s="1"/>
  <c r="AH2" i="6" s="1"/>
  <c r="A43" i="3"/>
  <c r="A56" i="3" s="1"/>
  <c r="A69" i="3" s="1"/>
  <c r="C42" i="3"/>
  <c r="C55" i="3" s="1"/>
  <c r="C68" i="3" s="1"/>
  <c r="A41" i="3"/>
  <c r="A54" i="3" s="1"/>
  <c r="A67" i="3" s="1"/>
  <c r="C40" i="3"/>
  <c r="C53" i="3" s="1"/>
  <c r="C66" i="3" s="1"/>
  <c r="A39" i="3"/>
  <c r="A52" i="3" s="1"/>
  <c r="A65" i="3" s="1"/>
  <c r="C38" i="3"/>
  <c r="C51" i="3" s="1"/>
  <c r="C64" i="3" s="1"/>
  <c r="A37" i="3"/>
  <c r="A50" i="3" s="1"/>
  <c r="A63" i="3" s="1"/>
  <c r="C36" i="3"/>
  <c r="C49" i="3" s="1"/>
  <c r="C62" i="3" s="1"/>
  <c r="A35" i="3"/>
  <c r="A48" i="3" s="1"/>
  <c r="A61" i="3" s="1"/>
  <c r="C34" i="3"/>
  <c r="C47" i="3" s="1"/>
  <c r="C60" i="3" s="1"/>
  <c r="C30" i="3"/>
  <c r="C43" i="3" s="1"/>
  <c r="C56" i="3" s="1"/>
  <c r="C69" i="3" s="1"/>
  <c r="B30" i="3"/>
  <c r="B43" i="3" s="1"/>
  <c r="B56" i="3" s="1"/>
  <c r="B69" i="3" s="1"/>
  <c r="A30" i="3"/>
  <c r="C29" i="3"/>
  <c r="B29" i="3"/>
  <c r="B42" i="3" s="1"/>
  <c r="B55" i="3" s="1"/>
  <c r="B68" i="3" s="1"/>
  <c r="A29" i="3"/>
  <c r="A42" i="3" s="1"/>
  <c r="A55" i="3" s="1"/>
  <c r="A68" i="3" s="1"/>
  <c r="C28" i="3"/>
  <c r="C41" i="3" s="1"/>
  <c r="C54" i="3" s="1"/>
  <c r="C67" i="3" s="1"/>
  <c r="B28" i="3"/>
  <c r="B41" i="3" s="1"/>
  <c r="B54" i="3" s="1"/>
  <c r="B67" i="3" s="1"/>
  <c r="A28" i="3"/>
  <c r="C27" i="3"/>
  <c r="B27" i="3"/>
  <c r="B40" i="3" s="1"/>
  <c r="B53" i="3" s="1"/>
  <c r="B66" i="3" s="1"/>
  <c r="A27" i="3"/>
  <c r="A40" i="3" s="1"/>
  <c r="A53" i="3" s="1"/>
  <c r="A66" i="3" s="1"/>
  <c r="C26" i="3"/>
  <c r="C39" i="3" s="1"/>
  <c r="C52" i="3" s="1"/>
  <c r="C65" i="3" s="1"/>
  <c r="B26" i="3"/>
  <c r="B39" i="3" s="1"/>
  <c r="B52" i="3" s="1"/>
  <c r="B65" i="3" s="1"/>
  <c r="A26" i="3"/>
  <c r="C25" i="3"/>
  <c r="B25" i="3"/>
  <c r="B38" i="3" s="1"/>
  <c r="B51" i="3" s="1"/>
  <c r="B64" i="3" s="1"/>
  <c r="A25" i="3"/>
  <c r="A38" i="3" s="1"/>
  <c r="A51" i="3" s="1"/>
  <c r="A64" i="3" s="1"/>
  <c r="C24" i="3"/>
  <c r="C37" i="3" s="1"/>
  <c r="C50" i="3" s="1"/>
  <c r="C63" i="3" s="1"/>
  <c r="B24" i="3"/>
  <c r="B37" i="3" s="1"/>
  <c r="B50" i="3" s="1"/>
  <c r="B63" i="3" s="1"/>
  <c r="A24" i="3"/>
  <c r="C23" i="3"/>
  <c r="B23" i="3"/>
  <c r="B36" i="3" s="1"/>
  <c r="B49" i="3" s="1"/>
  <c r="B62" i="3" s="1"/>
  <c r="A23" i="3"/>
  <c r="A36" i="3" s="1"/>
  <c r="A49" i="3" s="1"/>
  <c r="A62" i="3" s="1"/>
  <c r="C22" i="3"/>
  <c r="C35" i="3" s="1"/>
  <c r="C48" i="3" s="1"/>
  <c r="C61" i="3" s="1"/>
  <c r="B22" i="3"/>
  <c r="B35" i="3" s="1"/>
  <c r="B48" i="3" s="1"/>
  <c r="B61" i="3" s="1"/>
  <c r="A22" i="3"/>
  <c r="C21" i="3"/>
  <c r="B21" i="3"/>
  <c r="B34" i="3" s="1"/>
  <c r="B47" i="3" s="1"/>
  <c r="B60" i="3" s="1"/>
  <c r="A21" i="3"/>
  <c r="A34" i="3" s="1"/>
  <c r="A47" i="3" s="1"/>
  <c r="A60" i="3" s="1"/>
  <c r="W20" i="3"/>
  <c r="W33" i="3" s="1"/>
  <c r="W46" i="3" s="1"/>
  <c r="W59" i="3" s="1"/>
  <c r="V20" i="3"/>
  <c r="V33" i="3" s="1"/>
  <c r="V46" i="3" s="1"/>
  <c r="V59" i="3" s="1"/>
  <c r="Q20" i="3"/>
  <c r="Q33" i="3" s="1"/>
  <c r="Q46" i="3" s="1"/>
  <c r="Q59" i="3" s="1"/>
  <c r="P20" i="3"/>
  <c r="P33" i="3" s="1"/>
  <c r="P46" i="3" s="1"/>
  <c r="P59" i="3" s="1"/>
  <c r="K20" i="3"/>
  <c r="K33" i="3" s="1"/>
  <c r="K46" i="3" s="1"/>
  <c r="K59" i="3" s="1"/>
  <c r="J20" i="3"/>
  <c r="J33" i="3" s="1"/>
  <c r="J46" i="3" s="1"/>
  <c r="J59" i="3" s="1"/>
  <c r="W7" i="3"/>
  <c r="V7" i="3"/>
  <c r="U7" i="3"/>
  <c r="U20" i="3" s="1"/>
  <c r="U33" i="3" s="1"/>
  <c r="U46" i="3" s="1"/>
  <c r="U59" i="3" s="1"/>
  <c r="T7" i="3"/>
  <c r="T20" i="3" s="1"/>
  <c r="T33" i="3" s="1"/>
  <c r="T46" i="3" s="1"/>
  <c r="T59" i="3" s="1"/>
  <c r="S7" i="3"/>
  <c r="S20" i="3" s="1"/>
  <c r="S33" i="3" s="1"/>
  <c r="S46" i="3" s="1"/>
  <c r="S59" i="3" s="1"/>
  <c r="R7" i="3"/>
  <c r="R20" i="3" s="1"/>
  <c r="R33" i="3" s="1"/>
  <c r="R46" i="3" s="1"/>
  <c r="R59" i="3" s="1"/>
  <c r="Q7" i="3"/>
  <c r="P7" i="3"/>
  <c r="O7" i="3"/>
  <c r="O20" i="3" s="1"/>
  <c r="O33" i="3" s="1"/>
  <c r="O46" i="3" s="1"/>
  <c r="O59" i="3" s="1"/>
  <c r="N7" i="3"/>
  <c r="N20" i="3" s="1"/>
  <c r="N33" i="3" s="1"/>
  <c r="N46" i="3" s="1"/>
  <c r="N59" i="3" s="1"/>
  <c r="M7" i="3"/>
  <c r="M20" i="3" s="1"/>
  <c r="M33" i="3" s="1"/>
  <c r="M46" i="3" s="1"/>
  <c r="M59" i="3" s="1"/>
  <c r="L7" i="3"/>
  <c r="L20" i="3" s="1"/>
  <c r="L33" i="3" s="1"/>
  <c r="L46" i="3" s="1"/>
  <c r="L59" i="3" s="1"/>
  <c r="K7" i="3"/>
  <c r="J7" i="3"/>
  <c r="I7" i="3"/>
  <c r="I20" i="3" s="1"/>
  <c r="I33" i="3" s="1"/>
  <c r="I46" i="3" s="1"/>
  <c r="I59" i="3" s="1"/>
  <c r="H7" i="3"/>
  <c r="H20" i="3" s="1"/>
  <c r="H33" i="3" s="1"/>
  <c r="H46" i="3" s="1"/>
  <c r="H59" i="3" s="1"/>
  <c r="G7" i="3"/>
  <c r="G20" i="3" s="1"/>
  <c r="G33" i="3" s="1"/>
  <c r="G46" i="3" s="1"/>
  <c r="G59" i="3" s="1"/>
  <c r="F7" i="3"/>
  <c r="F20" i="3" s="1"/>
  <c r="F33" i="3" s="1"/>
  <c r="F46" i="3" s="1"/>
  <c r="F59" i="3" s="1"/>
  <c r="E7" i="3"/>
  <c r="E20" i="3" s="1"/>
  <c r="E33" i="3" s="1"/>
  <c r="E46" i="3" s="1"/>
  <c r="E59" i="3" s="1"/>
  <c r="D7" i="3"/>
  <c r="D20" i="3" s="1"/>
  <c r="D33" i="3" s="1"/>
  <c r="D46" i="3" s="1"/>
  <c r="D59" i="3" s="1"/>
  <c r="A2" i="2"/>
  <c r="A1" i="2"/>
  <c r="AV8" i="1" l="1"/>
  <c r="AV11" i="1"/>
  <c r="AV13" i="1"/>
  <c r="AV38" i="1"/>
  <c r="AV44" i="1"/>
  <c r="AV62" i="1"/>
  <c r="AV68" i="1"/>
  <c r="AV5" i="1"/>
  <c r="AV60" i="1"/>
  <c r="AV72" i="1"/>
  <c r="AV94" i="1"/>
  <c r="AV41" i="1"/>
  <c r="AV61" i="1"/>
  <c r="AD4" i="1"/>
  <c r="AN4" i="1"/>
  <c r="AJ5" i="1"/>
  <c r="AT5" i="1"/>
  <c r="AB6" i="1"/>
  <c r="AD10" i="1"/>
  <c r="AN10" i="1"/>
  <c r="AJ11" i="1"/>
  <c r="AT11" i="1"/>
  <c r="AB12" i="1"/>
  <c r="AD16" i="1"/>
  <c r="AN16" i="1"/>
  <c r="AJ17" i="1"/>
  <c r="AT17" i="1"/>
  <c r="AB18" i="1"/>
  <c r="AD22" i="1"/>
  <c r="AN22" i="1"/>
  <c r="AJ23" i="1"/>
  <c r="AT23" i="1"/>
  <c r="AV23" i="1" s="1"/>
  <c r="AB24" i="1"/>
  <c r="AD28" i="1"/>
  <c r="AN28" i="1"/>
  <c r="AJ29" i="1"/>
  <c r="AT29" i="1"/>
  <c r="AB30" i="1"/>
  <c r="AD34" i="1"/>
  <c r="AN34" i="1"/>
  <c r="AJ35" i="1"/>
  <c r="AT35" i="1"/>
  <c r="AV35" i="1" s="1"/>
  <c r="AB36" i="1"/>
  <c r="AD40" i="1"/>
  <c r="AN40" i="1"/>
  <c r="AJ41" i="1"/>
  <c r="AT41" i="1"/>
  <c r="AB42" i="1"/>
  <c r="AD46" i="1"/>
  <c r="AN46" i="1"/>
  <c r="AJ47" i="1"/>
  <c r="AT47" i="1"/>
  <c r="AB48" i="1"/>
  <c r="AD52" i="1"/>
  <c r="AN52" i="1"/>
  <c r="AJ53" i="1"/>
  <c r="AT53" i="1"/>
  <c r="AV53" i="1" s="1"/>
  <c r="AB54" i="1"/>
  <c r="AD58" i="1"/>
  <c r="AN58" i="1"/>
  <c r="AJ59" i="1"/>
  <c r="AT59" i="1"/>
  <c r="AB60" i="1"/>
  <c r="AD64" i="1"/>
  <c r="AN64" i="1"/>
  <c r="AJ65" i="1"/>
  <c r="AT65" i="1"/>
  <c r="AB66" i="1"/>
  <c r="AD70" i="1"/>
  <c r="AN70" i="1"/>
  <c r="AJ71" i="1"/>
  <c r="AT71" i="1"/>
  <c r="AV71" i="1" s="1"/>
  <c r="AB72" i="1"/>
  <c r="AN77" i="1"/>
  <c r="AO80" i="1"/>
  <c r="AV80" i="1" s="1"/>
  <c r="AC80" i="1"/>
  <c r="AV89" i="1"/>
  <c r="AN91" i="1"/>
  <c r="AT91" i="1"/>
  <c r="AJ91" i="1"/>
  <c r="AV102" i="1"/>
  <c r="AN109" i="1"/>
  <c r="AT109" i="1"/>
  <c r="AV109" i="1" s="1"/>
  <c r="AJ109" i="1"/>
  <c r="AV110" i="1"/>
  <c r="AV118" i="1"/>
  <c r="AO4" i="1"/>
  <c r="AV4" i="1" s="1"/>
  <c r="AD5" i="1"/>
  <c r="AC6" i="1"/>
  <c r="AB7" i="1"/>
  <c r="AO10" i="1"/>
  <c r="AV10" i="1" s="1"/>
  <c r="AD11" i="1"/>
  <c r="AC12" i="1"/>
  <c r="AB13" i="1"/>
  <c r="AO16" i="1"/>
  <c r="AV16" i="1" s="1"/>
  <c r="AD17" i="1"/>
  <c r="AC18" i="1"/>
  <c r="AB19" i="1"/>
  <c r="AD23" i="1"/>
  <c r="AC24" i="1"/>
  <c r="AB25" i="1"/>
  <c r="AD29" i="1"/>
  <c r="AC30" i="1"/>
  <c r="AB31" i="1"/>
  <c r="AD35" i="1"/>
  <c r="AC36" i="1"/>
  <c r="AB37" i="1"/>
  <c r="AD41" i="1"/>
  <c r="AC42" i="1"/>
  <c r="AB43" i="1"/>
  <c r="AD47" i="1"/>
  <c r="AC48" i="1"/>
  <c r="AB49" i="1"/>
  <c r="AD53" i="1"/>
  <c r="AC54" i="1"/>
  <c r="AB55" i="1"/>
  <c r="AD59" i="1"/>
  <c r="AC60" i="1"/>
  <c r="AB61" i="1"/>
  <c r="AD65" i="1"/>
  <c r="AC66" i="1"/>
  <c r="AB67" i="1"/>
  <c r="AD71" i="1"/>
  <c r="AC72" i="1"/>
  <c r="AB73" i="1"/>
  <c r="AV78" i="1"/>
  <c r="AT78" i="1"/>
  <c r="AQ79" i="1"/>
  <c r="AR81" i="1"/>
  <c r="AB81" i="1"/>
  <c r="AO93" i="1"/>
  <c r="AV93" i="1" s="1"/>
  <c r="AC93" i="1"/>
  <c r="AR94" i="1"/>
  <c r="AB94" i="1"/>
  <c r="AQ98" i="1"/>
  <c r="AO111" i="1"/>
  <c r="AV111" i="1" s="1"/>
  <c r="AC111" i="1"/>
  <c r="AR112" i="1"/>
  <c r="AV112" i="1" s="1"/>
  <c r="AB112" i="1"/>
  <c r="AV117" i="1"/>
  <c r="AQ9" i="1"/>
  <c r="AD12" i="1"/>
  <c r="AB14" i="1"/>
  <c r="AD18" i="1"/>
  <c r="AB20" i="1"/>
  <c r="AD24" i="1"/>
  <c r="AB26" i="1"/>
  <c r="AD30" i="1"/>
  <c r="AB32" i="1"/>
  <c r="AD36" i="1"/>
  <c r="AB38" i="1"/>
  <c r="AD42" i="1"/>
  <c r="AB44" i="1"/>
  <c r="AD48" i="1"/>
  <c r="AB50" i="1"/>
  <c r="AD54" i="1"/>
  <c r="AB56" i="1"/>
  <c r="AD60" i="1"/>
  <c r="AB62" i="1"/>
  <c r="AD66" i="1"/>
  <c r="AB68" i="1"/>
  <c r="AD72" i="1"/>
  <c r="AB74" i="1"/>
  <c r="AN85" i="1"/>
  <c r="AT85" i="1"/>
  <c r="AJ85" i="1"/>
  <c r="AN103" i="1"/>
  <c r="AT103" i="1"/>
  <c r="AJ103" i="1"/>
  <c r="AJ8" i="1"/>
  <c r="AJ14" i="1"/>
  <c r="AJ20" i="1"/>
  <c r="AJ26" i="1"/>
  <c r="AJ32" i="1"/>
  <c r="AJ38" i="1"/>
  <c r="AJ44" i="1"/>
  <c r="AJ50" i="1"/>
  <c r="AJ56" i="1"/>
  <c r="AJ62" i="1"/>
  <c r="AJ68" i="1"/>
  <c r="AJ74" i="1"/>
  <c r="AJ78" i="1"/>
  <c r="AO87" i="1"/>
  <c r="AV87" i="1" s="1"/>
  <c r="AC87" i="1"/>
  <c r="AR88" i="1"/>
  <c r="AB88" i="1"/>
  <c r="AQ92" i="1"/>
  <c r="AV103" i="1"/>
  <c r="AO105" i="1"/>
  <c r="AV105" i="1" s="1"/>
  <c r="AC105" i="1"/>
  <c r="AR106" i="1"/>
  <c r="AB106" i="1"/>
  <c r="AV125" i="1"/>
  <c r="AT77" i="1"/>
  <c r="AV77" i="1" s="1"/>
  <c r="AN79" i="1"/>
  <c r="AT79" i="1"/>
  <c r="AV79" i="1" s="1"/>
  <c r="AJ79" i="1"/>
  <c r="AN97" i="1"/>
  <c r="AT97" i="1"/>
  <c r="AJ97" i="1"/>
  <c r="AJ4" i="1"/>
  <c r="AB5" i="1"/>
  <c r="AJ10" i="1"/>
  <c r="AB11" i="1"/>
  <c r="AJ16" i="1"/>
  <c r="AJ22" i="1"/>
  <c r="AJ28" i="1"/>
  <c r="AJ34" i="1"/>
  <c r="AJ40" i="1"/>
  <c r="AJ46" i="1"/>
  <c r="AJ52" i="1"/>
  <c r="AJ58" i="1"/>
  <c r="AJ64" i="1"/>
  <c r="AJ70" i="1"/>
  <c r="AR82" i="1"/>
  <c r="AV82" i="1" s="1"/>
  <c r="AB82" i="1"/>
  <c r="AO99" i="1"/>
  <c r="AV99" i="1" s="1"/>
  <c r="AC99" i="1"/>
  <c r="AR100" i="1"/>
  <c r="AV100" i="1" s="1"/>
  <c r="AB100" i="1"/>
  <c r="AV127" i="1"/>
  <c r="AB80" i="1"/>
  <c r="AD84" i="1"/>
  <c r="AB86" i="1"/>
  <c r="AD90" i="1"/>
  <c r="AB92" i="1"/>
  <c r="AD96" i="1"/>
  <c r="AB98" i="1"/>
  <c r="AD102" i="1"/>
  <c r="AB104" i="1"/>
  <c r="AD108" i="1"/>
  <c r="AB110" i="1"/>
  <c r="AD114" i="1"/>
  <c r="AJ115" i="1"/>
  <c r="AT115" i="1"/>
  <c r="AQ117" i="1"/>
  <c r="AJ121" i="1"/>
  <c r="AT121" i="1"/>
  <c r="AQ123" i="1"/>
  <c r="AD131" i="1"/>
  <c r="AN133" i="1"/>
  <c r="AT133" i="1"/>
  <c r="AJ133" i="1"/>
  <c r="AR134" i="1"/>
  <c r="AB134" i="1"/>
  <c r="AR142" i="1"/>
  <c r="AB142" i="1"/>
  <c r="AR160" i="1"/>
  <c r="AV160" i="1" s="1"/>
  <c r="AB160" i="1"/>
  <c r="AV170" i="1"/>
  <c r="AV213" i="1"/>
  <c r="AD85" i="1"/>
  <c r="AC86" i="1"/>
  <c r="AB87" i="1"/>
  <c r="AD91" i="1"/>
  <c r="AC92" i="1"/>
  <c r="AB93" i="1"/>
  <c r="AD97" i="1"/>
  <c r="AC98" i="1"/>
  <c r="AB99" i="1"/>
  <c r="AD103" i="1"/>
  <c r="AC104" i="1"/>
  <c r="AB105" i="1"/>
  <c r="AD109" i="1"/>
  <c r="AC110" i="1"/>
  <c r="AB111" i="1"/>
  <c r="AD115" i="1"/>
  <c r="AC116" i="1"/>
  <c r="AB117" i="1"/>
  <c r="AD121" i="1"/>
  <c r="AC122" i="1"/>
  <c r="AB123" i="1"/>
  <c r="AD127" i="1"/>
  <c r="AR128" i="1"/>
  <c r="AB128" i="1"/>
  <c r="AB130" i="1"/>
  <c r="AJ130" i="1"/>
  <c r="AC132" i="1"/>
  <c r="AO133" i="1"/>
  <c r="AV133" i="1" s="1"/>
  <c r="AT137" i="1"/>
  <c r="AJ137" i="1"/>
  <c r="AO147" i="1"/>
  <c r="AV147" i="1" s="1"/>
  <c r="AC147" i="1"/>
  <c r="AV150" i="1"/>
  <c r="AV151" i="1"/>
  <c r="AN151" i="1"/>
  <c r="AT151" i="1"/>
  <c r="AJ151" i="1"/>
  <c r="AV156" i="1"/>
  <c r="AV157" i="1"/>
  <c r="AV164" i="1"/>
  <c r="AD116" i="1"/>
  <c r="AC117" i="1"/>
  <c r="AJ117" i="1"/>
  <c r="AT117" i="1"/>
  <c r="AB118" i="1"/>
  <c r="AD122" i="1"/>
  <c r="AC123" i="1"/>
  <c r="AJ123" i="1"/>
  <c r="AT123" i="1"/>
  <c r="AB124" i="1"/>
  <c r="AQ132" i="1"/>
  <c r="AB133" i="1"/>
  <c r="AC135" i="1"/>
  <c r="AN137" i="1"/>
  <c r="AO139" i="1"/>
  <c r="AV139" i="1" s="1"/>
  <c r="AC139" i="1"/>
  <c r="AO153" i="1"/>
  <c r="AV153" i="1" s="1"/>
  <c r="AC153" i="1"/>
  <c r="AN157" i="1"/>
  <c r="AT157" i="1"/>
  <c r="AJ157" i="1"/>
  <c r="AR177" i="1"/>
  <c r="AB177" i="1"/>
  <c r="AR213" i="1"/>
  <c r="AB213" i="1"/>
  <c r="AN221" i="1"/>
  <c r="AT221" i="1"/>
  <c r="AJ221" i="1"/>
  <c r="AJ82" i="1"/>
  <c r="AJ88" i="1"/>
  <c r="AJ94" i="1"/>
  <c r="AJ100" i="1"/>
  <c r="AJ106" i="1"/>
  <c r="AJ112" i="1"/>
  <c r="AJ118" i="1"/>
  <c r="AB119" i="1"/>
  <c r="AJ124" i="1"/>
  <c r="AB125" i="1"/>
  <c r="AN139" i="1"/>
  <c r="AT139" i="1"/>
  <c r="AJ139" i="1"/>
  <c r="AQ146" i="1"/>
  <c r="AR148" i="1"/>
  <c r="AV148" i="1" s="1"/>
  <c r="AB148" i="1"/>
  <c r="AR154" i="1"/>
  <c r="AV154" i="1" s="1"/>
  <c r="AB154" i="1"/>
  <c r="AV168" i="1"/>
  <c r="AC193" i="1"/>
  <c r="AO193" i="1"/>
  <c r="AV193" i="1" s="1"/>
  <c r="AR194" i="1"/>
  <c r="AB194" i="1"/>
  <c r="AV218" i="1"/>
  <c r="AT131" i="1"/>
  <c r="AJ131" i="1"/>
  <c r="AQ152" i="1"/>
  <c r="AV158" i="1"/>
  <c r="AO159" i="1"/>
  <c r="AV159" i="1" s="1"/>
  <c r="AC159" i="1"/>
  <c r="AV162" i="1"/>
  <c r="AR164" i="1"/>
  <c r="AB164" i="1"/>
  <c r="AO167" i="1"/>
  <c r="AV167" i="1" s="1"/>
  <c r="AC167" i="1"/>
  <c r="AD170" i="1"/>
  <c r="AQ170" i="1"/>
  <c r="AD192" i="1"/>
  <c r="AQ192" i="1"/>
  <c r="AR201" i="1"/>
  <c r="AV201" i="1" s="1"/>
  <c r="AB201" i="1"/>
  <c r="AT127" i="1"/>
  <c r="AJ127" i="1"/>
  <c r="AO141" i="1"/>
  <c r="AV141" i="1" s="1"/>
  <c r="AC141" i="1"/>
  <c r="AN145" i="1"/>
  <c r="AT145" i="1"/>
  <c r="AV145" i="1" s="1"/>
  <c r="AJ145" i="1"/>
  <c r="AT163" i="1"/>
  <c r="AJ163" i="1"/>
  <c r="AN163" i="1"/>
  <c r="AR166" i="1"/>
  <c r="AB166" i="1"/>
  <c r="AD211" i="1"/>
  <c r="AQ211" i="1"/>
  <c r="AO131" i="1"/>
  <c r="AO137" i="1"/>
  <c r="AV137" i="1" s="1"/>
  <c r="AB140" i="1"/>
  <c r="AO143" i="1"/>
  <c r="AV143" i="1" s="1"/>
  <c r="AD144" i="1"/>
  <c r="AC145" i="1"/>
  <c r="AB146" i="1"/>
  <c r="AO149" i="1"/>
  <c r="AV149" i="1" s="1"/>
  <c r="AD150" i="1"/>
  <c r="AC151" i="1"/>
  <c r="AB152" i="1"/>
  <c r="AO155" i="1"/>
  <c r="AV155" i="1" s="1"/>
  <c r="AD156" i="1"/>
  <c r="AC157" i="1"/>
  <c r="AB158" i="1"/>
  <c r="AO161" i="1"/>
  <c r="AV161" i="1" s="1"/>
  <c r="AD162" i="1"/>
  <c r="AC163" i="1"/>
  <c r="AO165" i="1"/>
  <c r="AV165" i="1" s="1"/>
  <c r="AO176" i="1"/>
  <c r="AV176" i="1" s="1"/>
  <c r="AV179" i="1"/>
  <c r="AR183" i="1"/>
  <c r="AV183" i="1" s="1"/>
  <c r="AB183" i="1"/>
  <c r="AR195" i="1"/>
  <c r="AB195" i="1"/>
  <c r="AV197" i="1"/>
  <c r="AQ199" i="1"/>
  <c r="AO200" i="1"/>
  <c r="AV200" i="1" s="1"/>
  <c r="AV203" i="1"/>
  <c r="AQ205" i="1"/>
  <c r="AR207" i="1"/>
  <c r="AB207" i="1"/>
  <c r="AQ210" i="1"/>
  <c r="AO212" i="1"/>
  <c r="AV212" i="1" s="1"/>
  <c r="AV215" i="1"/>
  <c r="AR218" i="1"/>
  <c r="AB218" i="1"/>
  <c r="AQ130" i="1"/>
  <c r="AD133" i="1"/>
  <c r="AQ136" i="1"/>
  <c r="AQ142" i="1"/>
  <c r="AQ148" i="1"/>
  <c r="AD151" i="1"/>
  <c r="AQ154" i="1"/>
  <c r="AQ160" i="1"/>
  <c r="AR171" i="1"/>
  <c r="AB171" i="1"/>
  <c r="AN174" i="1"/>
  <c r="AT174" i="1"/>
  <c r="AJ174" i="1"/>
  <c r="AO182" i="1"/>
  <c r="AJ185" i="1"/>
  <c r="AN186" i="1"/>
  <c r="AT186" i="1"/>
  <c r="AJ186" i="1"/>
  <c r="AT191" i="1"/>
  <c r="AO194" i="1"/>
  <c r="AV194" i="1" s="1"/>
  <c r="AO206" i="1"/>
  <c r="AC169" i="1"/>
  <c r="AO169" i="1"/>
  <c r="AV174" i="1"/>
  <c r="AC175" i="1"/>
  <c r="AO175" i="1"/>
  <c r="AV175" i="1" s="1"/>
  <c r="AR176" i="1"/>
  <c r="AB176" i="1"/>
  <c r="AV178" i="1"/>
  <c r="AN180" i="1"/>
  <c r="AT180" i="1"/>
  <c r="AJ180" i="1"/>
  <c r="AV184" i="1"/>
  <c r="AC187" i="1"/>
  <c r="AO187" i="1"/>
  <c r="AV187" i="1" s="1"/>
  <c r="AR188" i="1"/>
  <c r="AB188" i="1"/>
  <c r="AV196" i="1"/>
  <c r="AN198" i="1"/>
  <c r="AT198" i="1"/>
  <c r="AJ198" i="1"/>
  <c r="AV202" i="1"/>
  <c r="AN204" i="1"/>
  <c r="AT204" i="1"/>
  <c r="AJ204" i="1"/>
  <c r="AR212" i="1"/>
  <c r="AB212" i="1"/>
  <c r="AV214" i="1"/>
  <c r="AJ215" i="1"/>
  <c r="AN216" i="1"/>
  <c r="AT216" i="1"/>
  <c r="AJ216" i="1"/>
  <c r="AC217" i="1"/>
  <c r="AO217" i="1"/>
  <c r="AV217" i="1" s="1"/>
  <c r="AV163" i="1"/>
  <c r="AT169" i="1"/>
  <c r="AJ169" i="1"/>
  <c r="AR170" i="1"/>
  <c r="AB170" i="1"/>
  <c r="AV180" i="1"/>
  <c r="AC181" i="1"/>
  <c r="AO181" i="1"/>
  <c r="AV181" i="1" s="1"/>
  <c r="AR182" i="1"/>
  <c r="AB182" i="1"/>
  <c r="AR189" i="1"/>
  <c r="AB189" i="1"/>
  <c r="AV198" i="1"/>
  <c r="AC199" i="1"/>
  <c r="AO199" i="1"/>
  <c r="AV199" i="1" s="1"/>
  <c r="AR200" i="1"/>
  <c r="AB200" i="1"/>
  <c r="AC205" i="1"/>
  <c r="AO205" i="1"/>
  <c r="AV205" i="1" s="1"/>
  <c r="AR206" i="1"/>
  <c r="AB206" i="1"/>
  <c r="AV208" i="1"/>
  <c r="AN210" i="1"/>
  <c r="AT210" i="1"/>
  <c r="AJ210" i="1"/>
  <c r="AR219" i="1"/>
  <c r="AV219" i="1" s="1"/>
  <c r="AB219" i="1"/>
  <c r="AB132" i="1"/>
  <c r="AB138" i="1"/>
  <c r="AJ143" i="1"/>
  <c r="AB144" i="1"/>
  <c r="AJ149" i="1"/>
  <c r="AB150" i="1"/>
  <c r="AJ155" i="1"/>
  <c r="AB156" i="1"/>
  <c r="AJ161" i="1"/>
  <c r="AB162" i="1"/>
  <c r="AQ164" i="1"/>
  <c r="AT165" i="1"/>
  <c r="AJ165" i="1"/>
  <c r="AT168" i="1"/>
  <c r="AN169" i="1"/>
  <c r="AO171" i="1"/>
  <c r="AT173" i="1"/>
  <c r="AV173" i="1" s="1"/>
  <c r="AQ174" i="1"/>
  <c r="AT185" i="1"/>
  <c r="AQ186" i="1"/>
  <c r="AO188" i="1"/>
  <c r="AV188" i="1" s="1"/>
  <c r="AJ191" i="1"/>
  <c r="AN192" i="1"/>
  <c r="AT192" i="1"/>
  <c r="AJ192" i="1"/>
  <c r="AC211" i="1"/>
  <c r="AO211" i="1"/>
  <c r="AV211" i="1" s="1"/>
  <c r="AQ216" i="1"/>
  <c r="AQ217" i="1"/>
  <c r="AV221" i="1"/>
  <c r="AO216" i="1"/>
  <c r="AJ171" i="1"/>
  <c r="AB172" i="1"/>
  <c r="AQ173" i="1"/>
  <c r="AJ177" i="1"/>
  <c r="AQ179" i="1"/>
  <c r="AJ183" i="1"/>
  <c r="AQ185" i="1"/>
  <c r="AD188" i="1"/>
  <c r="AJ189" i="1"/>
  <c r="AQ191" i="1"/>
  <c r="AD194" i="1"/>
  <c r="AJ195" i="1"/>
  <c r="AQ197" i="1"/>
  <c r="AJ201" i="1"/>
  <c r="AQ203" i="1"/>
  <c r="AJ207" i="1"/>
  <c r="AQ209" i="1"/>
  <c r="AJ213" i="1"/>
  <c r="AQ215" i="1"/>
  <c r="AJ219" i="1"/>
  <c r="AQ221" i="1"/>
  <c r="AB175" i="1"/>
  <c r="AB181" i="1"/>
  <c r="AB187" i="1"/>
  <c r="AB193" i="1"/>
  <c r="AB199" i="1"/>
  <c r="AB205" i="1"/>
  <c r="AB211" i="1"/>
  <c r="AB217" i="1"/>
  <c r="AJ211" i="1"/>
  <c r="AJ217" i="1"/>
  <c r="AP29" i="6"/>
  <c r="AV29" i="6" s="1"/>
  <c r="AP32" i="6"/>
  <c r="AJ1" i="6"/>
  <c r="AD6" i="6"/>
  <c r="AN6" i="6"/>
  <c r="AJ7" i="6"/>
  <c r="AB8" i="6"/>
  <c r="AP10" i="6"/>
  <c r="AV10" i="6" s="1"/>
  <c r="AO11" i="6"/>
  <c r="AD12" i="6"/>
  <c r="AN12" i="6"/>
  <c r="AU12" i="6"/>
  <c r="AJ13" i="6"/>
  <c r="AO15" i="6"/>
  <c r="AD16" i="6"/>
  <c r="AN16" i="6"/>
  <c r="AU16" i="6"/>
  <c r="AO19" i="6"/>
  <c r="AV19" i="6" s="1"/>
  <c r="AD20" i="6"/>
  <c r="AN20" i="6"/>
  <c r="AU20" i="6"/>
  <c r="AJ21" i="6"/>
  <c r="AB22" i="6"/>
  <c r="AQ23" i="6"/>
  <c r="AQ24" i="6"/>
  <c r="AN26" i="6"/>
  <c r="AO28" i="6"/>
  <c r="AR31" i="6"/>
  <c r="AB31" i="6"/>
  <c r="AO32" i="6"/>
  <c r="AN14" i="7"/>
  <c r="AN17" i="7"/>
  <c r="AT17" i="7"/>
  <c r="AJ17" i="7"/>
  <c r="AN22" i="7"/>
  <c r="AR28" i="7"/>
  <c r="AB28" i="7"/>
  <c r="AR11" i="8"/>
  <c r="AB11" i="8"/>
  <c r="AQ10" i="10"/>
  <c r="AN6" i="12"/>
  <c r="AT6" i="12"/>
  <c r="AJ6" i="12"/>
  <c r="AN10" i="12"/>
  <c r="AT10" i="12"/>
  <c r="AJ10" i="12"/>
  <c r="AO6" i="6"/>
  <c r="AV6" i="6" s="1"/>
  <c r="AN7" i="6"/>
  <c r="AQ10" i="6"/>
  <c r="AP11" i="6"/>
  <c r="AO12" i="6"/>
  <c r="AN13" i="6"/>
  <c r="AP15" i="6"/>
  <c r="AO16" i="6"/>
  <c r="AV16" i="6" s="1"/>
  <c r="AQ18" i="6"/>
  <c r="AN21" i="6"/>
  <c r="AJ22" i="6"/>
  <c r="AR23" i="6"/>
  <c r="AR24" i="6"/>
  <c r="AP28" i="6"/>
  <c r="AU29" i="6"/>
  <c r="AR32" i="6"/>
  <c r="AO26" i="7"/>
  <c r="AO22" i="7"/>
  <c r="AO18" i="7"/>
  <c r="AO3" i="7"/>
  <c r="AN28" i="7"/>
  <c r="AN24" i="7"/>
  <c r="AN10" i="7"/>
  <c r="AN6" i="7"/>
  <c r="AN27" i="7"/>
  <c r="AN23" i="7"/>
  <c r="AN19" i="7"/>
  <c r="AN15" i="7"/>
  <c r="AN12" i="7"/>
  <c r="AN8" i="7"/>
  <c r="AT11" i="7"/>
  <c r="AJ11" i="7"/>
  <c r="AO19" i="7"/>
  <c r="AC19" i="7"/>
  <c r="AO21" i="7"/>
  <c r="AN26" i="7"/>
  <c r="AO28" i="7"/>
  <c r="AP3" i="8"/>
  <c r="AP11" i="8"/>
  <c r="AV11" i="8" s="1"/>
  <c r="AO7" i="10"/>
  <c r="AC7" i="10"/>
  <c r="AP6" i="6"/>
  <c r="AO7" i="6"/>
  <c r="AN8" i="6"/>
  <c r="AJ9" i="6"/>
  <c r="AT9" i="6"/>
  <c r="AQ11" i="6"/>
  <c r="AP12" i="6"/>
  <c r="AO13" i="6"/>
  <c r="AQ15" i="6"/>
  <c r="AP16" i="6"/>
  <c r="AR18" i="6"/>
  <c r="AQ19" i="6"/>
  <c r="AN22" i="6"/>
  <c r="AU22" i="6"/>
  <c r="AJ23" i="6"/>
  <c r="AT23" i="6"/>
  <c r="AT24" i="6"/>
  <c r="AR26" i="6"/>
  <c r="AR28" i="6"/>
  <c r="AJ29" i="6"/>
  <c r="AJ31" i="6"/>
  <c r="AU32" i="6"/>
  <c r="AP26" i="7"/>
  <c r="AP22" i="7"/>
  <c r="AP18" i="7"/>
  <c r="AP21" i="7"/>
  <c r="AP17" i="7"/>
  <c r="AP28" i="7"/>
  <c r="AP24" i="7"/>
  <c r="AV24" i="7" s="1"/>
  <c r="AT7" i="7"/>
  <c r="AJ7" i="7"/>
  <c r="AN11" i="7"/>
  <c r="AN13" i="7"/>
  <c r="AT13" i="7"/>
  <c r="AJ13" i="7"/>
  <c r="AP19" i="7"/>
  <c r="AN21" i="7"/>
  <c r="AT21" i="7"/>
  <c r="AJ21" i="7"/>
  <c r="AQ26" i="7"/>
  <c r="AN8" i="8"/>
  <c r="AT8" i="8"/>
  <c r="AJ8" i="8"/>
  <c r="AO10" i="8"/>
  <c r="AC10" i="8"/>
  <c r="AJ1" i="10"/>
  <c r="AH1" i="10"/>
  <c r="AH2" i="10" s="1"/>
  <c r="AR3" i="11"/>
  <c r="AR7" i="11"/>
  <c r="AO12" i="12"/>
  <c r="AC12" i="12"/>
  <c r="AO16" i="12"/>
  <c r="AV16" i="12" s="1"/>
  <c r="AC16" i="12"/>
  <c r="AR21" i="12"/>
  <c r="AR23" i="12"/>
  <c r="AP7" i="6"/>
  <c r="AJ10" i="6"/>
  <c r="AT10" i="6"/>
  <c r="AP13" i="6"/>
  <c r="AB15" i="6"/>
  <c r="AC18" i="6"/>
  <c r="AJ18" i="6"/>
  <c r="AT18" i="6"/>
  <c r="AU23" i="6"/>
  <c r="AJ24" i="6"/>
  <c r="AU24" i="6"/>
  <c r="AQ26" i="6"/>
  <c r="AT26" i="6"/>
  <c r="AU28" i="6"/>
  <c r="AD29" i="6"/>
  <c r="AN29" i="6"/>
  <c r="AC31" i="6"/>
  <c r="AN7" i="7"/>
  <c r="AQ14" i="7"/>
  <c r="AO23" i="7"/>
  <c r="AV23" i="7" s="1"/>
  <c r="AC23" i="7"/>
  <c r="AQ9" i="10"/>
  <c r="AR47" i="12"/>
  <c r="AR43" i="12"/>
  <c r="AR39" i="12"/>
  <c r="AR29" i="12"/>
  <c r="AR46" i="12"/>
  <c r="AR42" i="12"/>
  <c r="AR38" i="12"/>
  <c r="AR48" i="12"/>
  <c r="AR40" i="12"/>
  <c r="AR28" i="12"/>
  <c r="AR3" i="12"/>
  <c r="AR24" i="12"/>
  <c r="AR20" i="12"/>
  <c r="AV20" i="12" s="1"/>
  <c r="AR16" i="12"/>
  <c r="AR12" i="12"/>
  <c r="AR8" i="12"/>
  <c r="AR19" i="12"/>
  <c r="AR15" i="12"/>
  <c r="AR11" i="12"/>
  <c r="AR7" i="12"/>
  <c r="AR33" i="12"/>
  <c r="AR30" i="12"/>
  <c r="AR27" i="12"/>
  <c r="AO8" i="12"/>
  <c r="AV8" i="12" s="1"/>
  <c r="AC8" i="12"/>
  <c r="AO3" i="6"/>
  <c r="AB6" i="6"/>
  <c r="AO9" i="6"/>
  <c r="AJ11" i="6"/>
  <c r="AT11" i="6"/>
  <c r="AB12" i="6"/>
  <c r="AJ15" i="6"/>
  <c r="AB16" i="6"/>
  <c r="AU18" i="6"/>
  <c r="AB20" i="6"/>
  <c r="AU26" i="6"/>
  <c r="AQ28" i="6"/>
  <c r="AT28" i="6"/>
  <c r="AJ28" i="6"/>
  <c r="AP31" i="6"/>
  <c r="AV31" i="6" s="1"/>
  <c r="AQ32" i="6"/>
  <c r="AT32" i="6"/>
  <c r="AJ32" i="6"/>
  <c r="AP3" i="7"/>
  <c r="AR10" i="7"/>
  <c r="AB10" i="7"/>
  <c r="AN18" i="7"/>
  <c r="AO27" i="7"/>
  <c r="AV27" i="7" s="1"/>
  <c r="AC27" i="7"/>
  <c r="AO6" i="8"/>
  <c r="AC6" i="8"/>
  <c r="AP10" i="8"/>
  <c r="AO6" i="9"/>
  <c r="AV6" i="9" s="1"/>
  <c r="AC6" i="9"/>
  <c r="AN9" i="10"/>
  <c r="AT9" i="10"/>
  <c r="AV9" i="10" s="1"/>
  <c r="AJ9" i="10"/>
  <c r="AP3" i="6"/>
  <c r="AJ6" i="6"/>
  <c r="AB7" i="6"/>
  <c r="AP9" i="6"/>
  <c r="AU11" i="6"/>
  <c r="AJ12" i="6"/>
  <c r="AB13" i="6"/>
  <c r="AU15" i="6"/>
  <c r="AJ16" i="6"/>
  <c r="AU19" i="6"/>
  <c r="AJ20" i="6"/>
  <c r="AB21" i="6"/>
  <c r="AC26" i="6"/>
  <c r="AN28" i="6"/>
  <c r="AR29" i="6"/>
  <c r="AB29" i="6"/>
  <c r="AQ31" i="6"/>
  <c r="AN32" i="6"/>
  <c r="AU28" i="7"/>
  <c r="AU24" i="7"/>
  <c r="AU10" i="7"/>
  <c r="AU6" i="7"/>
  <c r="AU27" i="7"/>
  <c r="AU23" i="7"/>
  <c r="AU19" i="7"/>
  <c r="AU15" i="7"/>
  <c r="AU26" i="7"/>
  <c r="AU22" i="7"/>
  <c r="AU18" i="7"/>
  <c r="AU14" i="7"/>
  <c r="AU21" i="7"/>
  <c r="AU17" i="7"/>
  <c r="AU13" i="7"/>
  <c r="AU12" i="7"/>
  <c r="AR6" i="7"/>
  <c r="AB6" i="7"/>
  <c r="AU11" i="7"/>
  <c r="AO15" i="7"/>
  <c r="AV15" i="7" s="1"/>
  <c r="AC15" i="7"/>
  <c r="AO17" i="7"/>
  <c r="AQ18" i="7"/>
  <c r="AR24" i="7"/>
  <c r="AB24" i="7"/>
  <c r="AP27" i="7"/>
  <c r="AQ9" i="8"/>
  <c r="AQ6" i="10"/>
  <c r="AN6" i="11"/>
  <c r="AT6" i="11"/>
  <c r="AJ6" i="11"/>
  <c r="AR13" i="12"/>
  <c r="AB13" i="12"/>
  <c r="AR17" i="12"/>
  <c r="AQ19" i="12"/>
  <c r="AQ23" i="12"/>
  <c r="AT28" i="12"/>
  <c r="AJ28" i="12"/>
  <c r="AR35" i="12"/>
  <c r="AB35" i="12"/>
  <c r="AC36" i="12"/>
  <c r="AO36" i="12"/>
  <c r="AR49" i="12"/>
  <c r="AC17" i="14"/>
  <c r="AO17" i="14"/>
  <c r="AV17" i="14" s="1"/>
  <c r="AD12" i="7"/>
  <c r="AC13" i="7"/>
  <c r="AB14" i="7"/>
  <c r="AQ15" i="7"/>
  <c r="AC17" i="7"/>
  <c r="AQ19" i="7"/>
  <c r="AC21" i="7"/>
  <c r="AR22" i="7"/>
  <c r="AQ23" i="7"/>
  <c r="AB26" i="7"/>
  <c r="AQ27" i="7"/>
  <c r="AQ6" i="8"/>
  <c r="AQ10" i="8"/>
  <c r="AQ6" i="9"/>
  <c r="AQ7" i="10"/>
  <c r="AR10" i="10"/>
  <c r="AU49" i="12"/>
  <c r="AU35" i="12"/>
  <c r="AU48" i="12"/>
  <c r="AU40" i="12"/>
  <c r="AU30" i="12"/>
  <c r="AU47" i="12"/>
  <c r="AU43" i="12"/>
  <c r="AU39" i="12"/>
  <c r="AU29" i="12"/>
  <c r="AU45" i="12"/>
  <c r="AU37" i="12"/>
  <c r="AU33" i="12"/>
  <c r="AU27" i="12"/>
  <c r="AQ8" i="12"/>
  <c r="AQ12" i="12"/>
  <c r="AP13" i="12"/>
  <c r="AV13" i="12" s="1"/>
  <c r="AQ16" i="12"/>
  <c r="AQ20" i="12"/>
  <c r="AP21" i="12"/>
  <c r="AV21" i="12" s="1"/>
  <c r="AB23" i="12"/>
  <c r="AQ24" i="12"/>
  <c r="AQ25" i="12"/>
  <c r="AT27" i="12"/>
  <c r="AN28" i="12"/>
  <c r="AU31" i="12"/>
  <c r="AN32" i="12"/>
  <c r="AQ33" i="12"/>
  <c r="AQ36" i="12"/>
  <c r="AN36" i="12"/>
  <c r="AQ37" i="12"/>
  <c r="AN37" i="12"/>
  <c r="AU38" i="12"/>
  <c r="AN43" i="12"/>
  <c r="AU46" i="12"/>
  <c r="AQ7" i="13"/>
  <c r="AN20" i="14"/>
  <c r="AN16" i="14"/>
  <c r="AN12" i="14"/>
  <c r="AN18" i="14"/>
  <c r="AN14" i="14"/>
  <c r="AN10" i="14"/>
  <c r="AN6" i="14"/>
  <c r="AN21" i="14"/>
  <c r="AN17" i="14"/>
  <c r="AN13" i="14"/>
  <c r="AN9" i="14"/>
  <c r="AN22" i="14"/>
  <c r="AR3" i="15"/>
  <c r="AR8" i="15"/>
  <c r="AR10" i="15"/>
  <c r="AR6" i="15"/>
  <c r="AQ6" i="7"/>
  <c r="AQ10" i="7"/>
  <c r="AJ14" i="7"/>
  <c r="AT14" i="7"/>
  <c r="AR15" i="7"/>
  <c r="AJ18" i="7"/>
  <c r="AT18" i="7"/>
  <c r="AR19" i="7"/>
  <c r="AJ22" i="7"/>
  <c r="AT22" i="7"/>
  <c r="AR23" i="7"/>
  <c r="AQ24" i="7"/>
  <c r="AJ26" i="7"/>
  <c r="AT26" i="7"/>
  <c r="AQ28" i="7"/>
  <c r="AR6" i="8"/>
  <c r="AJ9" i="8"/>
  <c r="AT9" i="8"/>
  <c r="AR10" i="8"/>
  <c r="AQ11" i="8"/>
  <c r="AR6" i="9"/>
  <c r="AJ6" i="10"/>
  <c r="AT6" i="10"/>
  <c r="AR7" i="10"/>
  <c r="AU9" i="10"/>
  <c r="AJ10" i="10"/>
  <c r="AT10" i="10"/>
  <c r="AU6" i="11"/>
  <c r="AJ7" i="11"/>
  <c r="AT7" i="11"/>
  <c r="AU6" i="12"/>
  <c r="AJ7" i="12"/>
  <c r="AT7" i="12"/>
  <c r="AU10" i="12"/>
  <c r="AJ11" i="12"/>
  <c r="AT11" i="12"/>
  <c r="AQ13" i="12"/>
  <c r="AJ15" i="12"/>
  <c r="AT15" i="12"/>
  <c r="AQ17" i="12"/>
  <c r="AJ19" i="12"/>
  <c r="AT19" i="12"/>
  <c r="AQ21" i="12"/>
  <c r="AJ23" i="12"/>
  <c r="AT23" i="12"/>
  <c r="AR25" i="12"/>
  <c r="AV25" i="12" s="1"/>
  <c r="AC26" i="12"/>
  <c r="AJ26" i="12"/>
  <c r="AU26" i="12"/>
  <c r="AJ27" i="12"/>
  <c r="AO29" i="12"/>
  <c r="AR31" i="12"/>
  <c r="AB31" i="12"/>
  <c r="AP32" i="12"/>
  <c r="AN33" i="12"/>
  <c r="AJ37" i="12"/>
  <c r="AJ43" i="12"/>
  <c r="AR45" i="12"/>
  <c r="AB45" i="12"/>
  <c r="AR9" i="13"/>
  <c r="AB9" i="13"/>
  <c r="AO3" i="14"/>
  <c r="AO24" i="14"/>
  <c r="AO7" i="14"/>
  <c r="AO20" i="14"/>
  <c r="AO12" i="14"/>
  <c r="AR14" i="14"/>
  <c r="AB14" i="14"/>
  <c r="AO22" i="14"/>
  <c r="AV22" i="14" s="1"/>
  <c r="AC22" i="14"/>
  <c r="AO42" i="16"/>
  <c r="AC42" i="16"/>
  <c r="AN21" i="17"/>
  <c r="AT21" i="17"/>
  <c r="AJ21" i="17"/>
  <c r="AD16" i="19"/>
  <c r="AQ16" i="19"/>
  <c r="AJ15" i="7"/>
  <c r="AJ19" i="7"/>
  <c r="AJ23" i="7"/>
  <c r="AJ27" i="7"/>
  <c r="AH1" i="8"/>
  <c r="AH2" i="8" s="1"/>
  <c r="AJ6" i="8"/>
  <c r="AU9" i="8"/>
  <c r="AJ10" i="8"/>
  <c r="AH1" i="9"/>
  <c r="AH2" i="9" s="1"/>
  <c r="AJ6" i="9"/>
  <c r="AU6" i="10"/>
  <c r="AJ7" i="10"/>
  <c r="AU10" i="10"/>
  <c r="AU7" i="11"/>
  <c r="AN49" i="12"/>
  <c r="AN35" i="12"/>
  <c r="AU7" i="12"/>
  <c r="AJ8" i="12"/>
  <c r="AU11" i="12"/>
  <c r="AJ12" i="12"/>
  <c r="AU15" i="12"/>
  <c r="AJ16" i="12"/>
  <c r="AB17" i="12"/>
  <c r="AU19" i="12"/>
  <c r="AC20" i="12"/>
  <c r="AJ20" i="12"/>
  <c r="AB21" i="12"/>
  <c r="AU23" i="12"/>
  <c r="AC24" i="12"/>
  <c r="AJ24" i="12"/>
  <c r="AT25" i="12"/>
  <c r="AJ25" i="12"/>
  <c r="AU25" i="12"/>
  <c r="AN26" i="12"/>
  <c r="AN29" i="12"/>
  <c r="AN30" i="12"/>
  <c r="AT30" i="12"/>
  <c r="AJ30" i="12"/>
  <c r="AR32" i="12"/>
  <c r="AJ33" i="12"/>
  <c r="AQ35" i="12"/>
  <c r="AQ38" i="12"/>
  <c r="AN40" i="12"/>
  <c r="AT40" i="12"/>
  <c r="AJ40" i="12"/>
  <c r="AN48" i="12"/>
  <c r="AT48" i="12"/>
  <c r="AJ48" i="12"/>
  <c r="AQ49" i="12"/>
  <c r="AR3" i="13"/>
  <c r="AR10" i="13"/>
  <c r="AV10" i="13" s="1"/>
  <c r="AN6" i="13"/>
  <c r="AT6" i="13"/>
  <c r="AJ6" i="13"/>
  <c r="AC8" i="13"/>
  <c r="AO8" i="13"/>
  <c r="AV8" i="13" s="1"/>
  <c r="AO6" i="14"/>
  <c r="AR10" i="14"/>
  <c r="AB10" i="14"/>
  <c r="AR18" i="14"/>
  <c r="AB18" i="14"/>
  <c r="AJ1" i="17"/>
  <c r="AH1" i="17"/>
  <c r="AH2" i="17" s="1"/>
  <c r="AR9" i="17"/>
  <c r="AB9" i="17"/>
  <c r="AJ24" i="7"/>
  <c r="AP46" i="12"/>
  <c r="AV46" i="12" s="1"/>
  <c r="AP45" i="12"/>
  <c r="AP31" i="12"/>
  <c r="AU3" i="12"/>
  <c r="AP6" i="12"/>
  <c r="AV6" i="12" s="1"/>
  <c r="AU8" i="12"/>
  <c r="AP10" i="12"/>
  <c r="AV10" i="12" s="1"/>
  <c r="AU12" i="12"/>
  <c r="AU16" i="12"/>
  <c r="AJ17" i="12"/>
  <c r="AN20" i="12"/>
  <c r="AU20" i="12"/>
  <c r="AJ21" i="12"/>
  <c r="AO23" i="12"/>
  <c r="AN24" i="12"/>
  <c r="AU24" i="12"/>
  <c r="AV24" i="12" s="1"/>
  <c r="AC25" i="12"/>
  <c r="AN25" i="12"/>
  <c r="AO30" i="12"/>
  <c r="AN31" i="12"/>
  <c r="AO32" i="12"/>
  <c r="AU32" i="12"/>
  <c r="AU36" i="12"/>
  <c r="AT38" i="12"/>
  <c r="AJ38" i="12"/>
  <c r="AN39" i="12"/>
  <c r="AU42" i="12"/>
  <c r="AQ45" i="12"/>
  <c r="AN45" i="12"/>
  <c r="AQ46" i="12"/>
  <c r="AN47" i="12"/>
  <c r="AC13" i="14"/>
  <c r="AO13" i="14"/>
  <c r="AC21" i="14"/>
  <c r="AO21" i="14"/>
  <c r="AD24" i="14"/>
  <c r="AQ24" i="14"/>
  <c r="AO38" i="16"/>
  <c r="AC38" i="16"/>
  <c r="AO52" i="16"/>
  <c r="AC52" i="16"/>
  <c r="AB8" i="7"/>
  <c r="AB12" i="7"/>
  <c r="AJ36" i="12"/>
  <c r="AJ45" i="12"/>
  <c r="AP11" i="12"/>
  <c r="AV11" i="12" s="1"/>
  <c r="AU13" i="12"/>
  <c r="AU17" i="12"/>
  <c r="AU21" i="12"/>
  <c r="AP23" i="12"/>
  <c r="AR26" i="12"/>
  <c r="AB26" i="12"/>
  <c r="AC29" i="12"/>
  <c r="AP29" i="12"/>
  <c r="AP30" i="12"/>
  <c r="AO31" i="12"/>
  <c r="AV31" i="12" s="1"/>
  <c r="AQ32" i="12"/>
  <c r="AR36" i="12"/>
  <c r="AR37" i="12"/>
  <c r="AB37" i="12"/>
  <c r="AN38" i="12"/>
  <c r="AJ39" i="12"/>
  <c r="AQ42" i="12"/>
  <c r="AO45" i="12"/>
  <c r="AJ47" i="12"/>
  <c r="AR7" i="13"/>
  <c r="AR6" i="14"/>
  <c r="AB6" i="14"/>
  <c r="AC9" i="14"/>
  <c r="AO9" i="14"/>
  <c r="AV9" i="14" s="1"/>
  <c r="AT8" i="15"/>
  <c r="AJ8" i="15"/>
  <c r="AN8" i="15"/>
  <c r="AO16" i="16"/>
  <c r="AC16" i="16"/>
  <c r="AQ39" i="12"/>
  <c r="AQ43" i="12"/>
  <c r="AQ47" i="12"/>
  <c r="AP6" i="13"/>
  <c r="AV6" i="13" s="1"/>
  <c r="AU24" i="14"/>
  <c r="AU22" i="14"/>
  <c r="AU9" i="14"/>
  <c r="AU13" i="14"/>
  <c r="AU17" i="14"/>
  <c r="AJ18" i="14"/>
  <c r="AU21" i="14"/>
  <c r="AR24" i="14"/>
  <c r="AB24" i="14"/>
  <c r="AP3" i="15"/>
  <c r="AP11" i="15"/>
  <c r="AV11" i="15" s="1"/>
  <c r="AT10" i="15"/>
  <c r="AJ10" i="15"/>
  <c r="AP6" i="16"/>
  <c r="AN10" i="16"/>
  <c r="AT10" i="16"/>
  <c r="AJ10" i="16"/>
  <c r="AO12" i="16"/>
  <c r="AV12" i="16" s="1"/>
  <c r="AC12" i="16"/>
  <c r="AN18" i="16"/>
  <c r="AT18" i="16"/>
  <c r="AJ18" i="16"/>
  <c r="AN32" i="16"/>
  <c r="AT32" i="16"/>
  <c r="AJ32" i="16"/>
  <c r="AR35" i="16"/>
  <c r="AB35" i="16"/>
  <c r="AP51" i="16"/>
  <c r="AQ16" i="17"/>
  <c r="AQ7" i="17"/>
  <c r="AQ3" i="17"/>
  <c r="AQ12" i="17"/>
  <c r="AN25" i="17"/>
  <c r="AT25" i="17"/>
  <c r="AJ25" i="17"/>
  <c r="AO35" i="19"/>
  <c r="AC35" i="19"/>
  <c r="AD43" i="19"/>
  <c r="AQ43" i="19"/>
  <c r="AQ30" i="12"/>
  <c r="AQ40" i="12"/>
  <c r="AJ42" i="12"/>
  <c r="AJ46" i="12"/>
  <c r="AQ48" i="12"/>
  <c r="AQ6" i="13"/>
  <c r="AP7" i="13"/>
  <c r="AV7" i="13" s="1"/>
  <c r="AN9" i="13"/>
  <c r="AU9" i="13"/>
  <c r="AJ10" i="13"/>
  <c r="AU6" i="14"/>
  <c r="AJ7" i="14"/>
  <c r="AU10" i="14"/>
  <c r="AP12" i="14"/>
  <c r="AU14" i="14"/>
  <c r="AU18" i="14"/>
  <c r="AP20" i="14"/>
  <c r="AR22" i="14"/>
  <c r="AB22" i="14"/>
  <c r="AN24" i="14"/>
  <c r="AC8" i="15"/>
  <c r="AO8" i="15"/>
  <c r="AV8" i="15" s="1"/>
  <c r="AN10" i="15"/>
  <c r="AR3" i="16"/>
  <c r="AR55" i="16"/>
  <c r="AR48" i="16"/>
  <c r="AR44" i="16"/>
  <c r="AR40" i="16"/>
  <c r="AR30" i="16"/>
  <c r="AR26" i="16"/>
  <c r="AR22" i="16"/>
  <c r="AR14" i="16"/>
  <c r="AR42" i="16"/>
  <c r="AR38" i="16"/>
  <c r="AR34" i="16"/>
  <c r="AR28" i="16"/>
  <c r="AR20" i="16"/>
  <c r="AR16" i="16"/>
  <c r="AR12" i="16"/>
  <c r="AR6" i="16"/>
  <c r="AR8" i="16"/>
  <c r="AP10" i="16"/>
  <c r="AQ19" i="16"/>
  <c r="AP20" i="16"/>
  <c r="AO28" i="16"/>
  <c r="AV28" i="16" s="1"/>
  <c r="AC28" i="16"/>
  <c r="AR32" i="16"/>
  <c r="AB54" i="16"/>
  <c r="AR54" i="16"/>
  <c r="AD55" i="16"/>
  <c r="AQ55" i="16"/>
  <c r="AN55" i="16"/>
  <c r="AT55" i="16"/>
  <c r="AJ55" i="16"/>
  <c r="AO7" i="17"/>
  <c r="AC7" i="17"/>
  <c r="AN30" i="19"/>
  <c r="AT30" i="19"/>
  <c r="AJ30" i="19"/>
  <c r="AC40" i="12"/>
  <c r="AC48" i="12"/>
  <c r="AB49" i="12"/>
  <c r="AH1" i="13"/>
  <c r="AH2" i="13" s="1"/>
  <c r="AP3" i="13"/>
  <c r="AC6" i="13"/>
  <c r="AB7" i="13"/>
  <c r="AU3" i="14"/>
  <c r="AP6" i="14"/>
  <c r="AP10" i="14"/>
  <c r="AV10" i="14" s="1"/>
  <c r="AB12" i="14"/>
  <c r="AB16" i="14"/>
  <c r="AB20" i="14"/>
  <c r="AJ22" i="14"/>
  <c r="AQ7" i="15"/>
  <c r="AQ11" i="15"/>
  <c r="AO6" i="16"/>
  <c r="AC6" i="16"/>
  <c r="AR7" i="16"/>
  <c r="AB7" i="16"/>
  <c r="AR9" i="16"/>
  <c r="AQ11" i="16"/>
  <c r="AR19" i="16"/>
  <c r="AR21" i="16"/>
  <c r="AB21" i="16"/>
  <c r="AR25" i="16"/>
  <c r="AB25" i="16"/>
  <c r="AO34" i="16"/>
  <c r="AV34" i="16" s="1"/>
  <c r="AC34" i="16"/>
  <c r="AR37" i="16"/>
  <c r="AR45" i="16"/>
  <c r="AR49" i="16"/>
  <c r="AR52" i="16"/>
  <c r="AQ20" i="17"/>
  <c r="AJ31" i="12"/>
  <c r="AB32" i="12"/>
  <c r="AJ35" i="12"/>
  <c r="AB36" i="12"/>
  <c r="AJ49" i="12"/>
  <c r="AU6" i="13"/>
  <c r="AJ7" i="13"/>
  <c r="AB8" i="13"/>
  <c r="AP7" i="14"/>
  <c r="AB9" i="14"/>
  <c r="AJ12" i="14"/>
  <c r="AB13" i="14"/>
  <c r="AJ16" i="14"/>
  <c r="AB17" i="14"/>
  <c r="AJ20" i="14"/>
  <c r="AB21" i="14"/>
  <c r="AO6" i="15"/>
  <c r="AV6" i="15" s="1"/>
  <c r="AC6" i="15"/>
  <c r="AR7" i="15"/>
  <c r="AB7" i="15"/>
  <c r="AT6" i="16"/>
  <c r="AJ6" i="16"/>
  <c r="AR11" i="16"/>
  <c r="AB11" i="16"/>
  <c r="AO20" i="16"/>
  <c r="AV20" i="16" s="1"/>
  <c r="AC20" i="16"/>
  <c r="AR29" i="16"/>
  <c r="AB29" i="16"/>
  <c r="AR31" i="16"/>
  <c r="AP38" i="16"/>
  <c r="AR47" i="16"/>
  <c r="AB47" i="16"/>
  <c r="AB51" i="16"/>
  <c r="AR51" i="16"/>
  <c r="AQ9" i="17"/>
  <c r="AN16" i="18"/>
  <c r="AT16" i="18"/>
  <c r="AJ16" i="18"/>
  <c r="AU12" i="14"/>
  <c r="AU16" i="14"/>
  <c r="AJ17" i="14"/>
  <c r="AU20" i="14"/>
  <c r="AT6" i="15"/>
  <c r="AJ6" i="15"/>
  <c r="AO10" i="15"/>
  <c r="AV10" i="15" s="1"/>
  <c r="AC10" i="15"/>
  <c r="AR11" i="15"/>
  <c r="AB11" i="15"/>
  <c r="AP54" i="16"/>
  <c r="AP37" i="16"/>
  <c r="AP19" i="16"/>
  <c r="AV19" i="16" s="1"/>
  <c r="AP52" i="16"/>
  <c r="AP32" i="16"/>
  <c r="AP49" i="16"/>
  <c r="AP45" i="16"/>
  <c r="AP23" i="16"/>
  <c r="AP3" i="16"/>
  <c r="AP55" i="16"/>
  <c r="AP48" i="16"/>
  <c r="AP44" i="16"/>
  <c r="AP40" i="16"/>
  <c r="AP22" i="16"/>
  <c r="AP14" i="16"/>
  <c r="AP8" i="16"/>
  <c r="AP43" i="16"/>
  <c r="AV43" i="16" s="1"/>
  <c r="AP21" i="16"/>
  <c r="AP13" i="16"/>
  <c r="AV13" i="16" s="1"/>
  <c r="AP7" i="16"/>
  <c r="AD7" i="16"/>
  <c r="AQ7" i="16"/>
  <c r="AT8" i="16"/>
  <c r="AJ8" i="16"/>
  <c r="AO10" i="16"/>
  <c r="AV10" i="16" s="1"/>
  <c r="AC10" i="16"/>
  <c r="AR13" i="16"/>
  <c r="AB13" i="16"/>
  <c r="AP16" i="16"/>
  <c r="AV32" i="16"/>
  <c r="AQ37" i="16"/>
  <c r="AR39" i="16"/>
  <c r="AB39" i="16"/>
  <c r="AR43" i="16"/>
  <c r="AB43" i="16"/>
  <c r="AR8" i="17"/>
  <c r="AV8" i="17" s="1"/>
  <c r="AB8" i="17"/>
  <c r="AO17" i="17"/>
  <c r="AV17" i="17" s="1"/>
  <c r="AC17" i="17"/>
  <c r="AD26" i="17"/>
  <c r="AQ26" i="17"/>
  <c r="AO8" i="16"/>
  <c r="AU9" i="16"/>
  <c r="AO14" i="16"/>
  <c r="AV14" i="16" s="1"/>
  <c r="AC18" i="16"/>
  <c r="AB19" i="16"/>
  <c r="AO22" i="16"/>
  <c r="AD23" i="16"/>
  <c r="AN23" i="16"/>
  <c r="AU23" i="16"/>
  <c r="AO26" i="16"/>
  <c r="AV26" i="16" s="1"/>
  <c r="AO30" i="16"/>
  <c r="AV30" i="16" s="1"/>
  <c r="AD31" i="16"/>
  <c r="AU31" i="16"/>
  <c r="AC32" i="16"/>
  <c r="AB33" i="16"/>
  <c r="AB37" i="16"/>
  <c r="AO40" i="16"/>
  <c r="AV40" i="16" s="1"/>
  <c r="AO44" i="16"/>
  <c r="AV44" i="16" s="1"/>
  <c r="AD45" i="16"/>
  <c r="AU45" i="16"/>
  <c r="AO48" i="16"/>
  <c r="AV48" i="16" s="1"/>
  <c r="AD49" i="16"/>
  <c r="AU49" i="16"/>
  <c r="AO51" i="16"/>
  <c r="AQ51" i="16"/>
  <c r="AN52" i="16"/>
  <c r="AT52" i="16"/>
  <c r="AR3" i="17"/>
  <c r="AR17" i="17"/>
  <c r="AR13" i="17"/>
  <c r="AR7" i="17"/>
  <c r="AR26" i="17"/>
  <c r="AR22" i="17"/>
  <c r="AR16" i="17"/>
  <c r="AR12" i="17"/>
  <c r="AN8" i="17"/>
  <c r="AT8" i="17"/>
  <c r="AJ8" i="17"/>
  <c r="AR10" i="17"/>
  <c r="AV10" i="17" s="1"/>
  <c r="AR21" i="17"/>
  <c r="AR8" i="18"/>
  <c r="AQ17" i="18"/>
  <c r="AB7" i="19"/>
  <c r="AR7" i="19"/>
  <c r="AR33" i="19"/>
  <c r="AB33" i="19"/>
  <c r="AQ13" i="16"/>
  <c r="AU18" i="16"/>
  <c r="AQ21" i="16"/>
  <c r="AO23" i="16"/>
  <c r="AV23" i="16" s="1"/>
  <c r="AQ25" i="16"/>
  <c r="AQ29" i="16"/>
  <c r="AJ33" i="16"/>
  <c r="AQ35" i="16"/>
  <c r="AJ37" i="16"/>
  <c r="AQ39" i="16"/>
  <c r="AQ43" i="16"/>
  <c r="AO45" i="16"/>
  <c r="AV45" i="16" s="1"/>
  <c r="AQ47" i="16"/>
  <c r="AO49" i="16"/>
  <c r="AJ52" i="16"/>
  <c r="AU18" i="17"/>
  <c r="AU8" i="17"/>
  <c r="AU3" i="17"/>
  <c r="AU17" i="17"/>
  <c r="AU13" i="17"/>
  <c r="AU7" i="17"/>
  <c r="AU26" i="17"/>
  <c r="AU22" i="17"/>
  <c r="AU16" i="17"/>
  <c r="AU12" i="17"/>
  <c r="AU25" i="17"/>
  <c r="AU21" i="17"/>
  <c r="AU15" i="17"/>
  <c r="AU11" i="17"/>
  <c r="AU24" i="17"/>
  <c r="AU20" i="17"/>
  <c r="AU10" i="17"/>
  <c r="AO13" i="17"/>
  <c r="AV13" i="17" s="1"/>
  <c r="AC13" i="17"/>
  <c r="AQ19" i="17"/>
  <c r="AN6" i="18"/>
  <c r="AT6" i="18"/>
  <c r="AJ6" i="18"/>
  <c r="AR11" i="18"/>
  <c r="AB11" i="18"/>
  <c r="AQ14" i="19"/>
  <c r="AD14" i="19"/>
  <c r="AR18" i="19"/>
  <c r="AB18" i="19"/>
  <c r="AN38" i="19"/>
  <c r="AT38" i="19"/>
  <c r="AJ38" i="19"/>
  <c r="AU52" i="16"/>
  <c r="AU55" i="16"/>
  <c r="AN11" i="16"/>
  <c r="AU11" i="16"/>
  <c r="AJ12" i="16"/>
  <c r="AJ16" i="16"/>
  <c r="AN19" i="16"/>
  <c r="AU19" i="16"/>
  <c r="AJ20" i="16"/>
  <c r="AJ28" i="16"/>
  <c r="AN33" i="16"/>
  <c r="AU33" i="16"/>
  <c r="AJ34" i="16"/>
  <c r="AN37" i="16"/>
  <c r="AU37" i="16"/>
  <c r="AJ38" i="16"/>
  <c r="AJ42" i="16"/>
  <c r="AT51" i="16"/>
  <c r="AU54" i="16"/>
  <c r="AV54" i="16" s="1"/>
  <c r="AT6" i="17"/>
  <c r="AD9" i="17"/>
  <c r="AV9" i="17"/>
  <c r="AQ10" i="17"/>
  <c r="AR18" i="17"/>
  <c r="AB18" i="17"/>
  <c r="AU19" i="17"/>
  <c r="AR24" i="17"/>
  <c r="AR25" i="17"/>
  <c r="AR28" i="19"/>
  <c r="AR24" i="19"/>
  <c r="AR20" i="19"/>
  <c r="AR47" i="19"/>
  <c r="AR43" i="19"/>
  <c r="AR26" i="19"/>
  <c r="AR25" i="19"/>
  <c r="AR14" i="19"/>
  <c r="AR21" i="19"/>
  <c r="AR42" i="19"/>
  <c r="AR41" i="19"/>
  <c r="AR37" i="19"/>
  <c r="AR30" i="19"/>
  <c r="AR29" i="19"/>
  <c r="AR38" i="19"/>
  <c r="AR16" i="19"/>
  <c r="AR15" i="19"/>
  <c r="AR3" i="19"/>
  <c r="AR46" i="19"/>
  <c r="AR9" i="19"/>
  <c r="AQ31" i="19"/>
  <c r="AJ25" i="16"/>
  <c r="AN28" i="16"/>
  <c r="AU28" i="16"/>
  <c r="AJ29" i="16"/>
  <c r="AN34" i="16"/>
  <c r="AU34" i="16"/>
  <c r="AJ35" i="16"/>
  <c r="AO37" i="16"/>
  <c r="AN38" i="16"/>
  <c r="AU38" i="16"/>
  <c r="AJ39" i="16"/>
  <c r="AU42" i="16"/>
  <c r="AJ43" i="16"/>
  <c r="AJ47" i="16"/>
  <c r="AJ51" i="16"/>
  <c r="AU51" i="16"/>
  <c r="AU6" i="17"/>
  <c r="AQ11" i="17"/>
  <c r="AQ15" i="17"/>
  <c r="AU7" i="15"/>
  <c r="AU7" i="16"/>
  <c r="AB9" i="16"/>
  <c r="AU13" i="16"/>
  <c r="AJ14" i="16"/>
  <c r="AU21" i="16"/>
  <c r="AJ22" i="16"/>
  <c r="AB23" i="16"/>
  <c r="AU25" i="16"/>
  <c r="AJ26" i="16"/>
  <c r="AU29" i="16"/>
  <c r="AJ30" i="16"/>
  <c r="AB31" i="16"/>
  <c r="AU35" i="16"/>
  <c r="AU39" i="16"/>
  <c r="AJ40" i="16"/>
  <c r="AU43" i="16"/>
  <c r="AJ44" i="16"/>
  <c r="AB45" i="16"/>
  <c r="AU47" i="16"/>
  <c r="AJ48" i="16"/>
  <c r="AB49" i="16"/>
  <c r="AO55" i="16"/>
  <c r="AV55" i="16" s="1"/>
  <c r="AJ17" i="17"/>
  <c r="AJ13" i="17"/>
  <c r="AN11" i="17"/>
  <c r="AT11" i="17"/>
  <c r="AJ11" i="17"/>
  <c r="AN15" i="17"/>
  <c r="AT15" i="17"/>
  <c r="AJ15" i="17"/>
  <c r="AV20" i="17"/>
  <c r="AQ21" i="17"/>
  <c r="AQ22" i="17"/>
  <c r="AQ24" i="17"/>
  <c r="AQ25" i="17"/>
  <c r="AR3" i="18"/>
  <c r="AR17" i="18"/>
  <c r="AR13" i="18"/>
  <c r="AV13" i="18" s="1"/>
  <c r="AR10" i="19"/>
  <c r="AQ11" i="19"/>
  <c r="AD11" i="19"/>
  <c r="AR12" i="19"/>
  <c r="AB12" i="19"/>
  <c r="AR19" i="19"/>
  <c r="AB19" i="19"/>
  <c r="AR48" i="19"/>
  <c r="AB48" i="19"/>
  <c r="AQ13" i="17"/>
  <c r="AQ17" i="17"/>
  <c r="AP18" i="17"/>
  <c r="AV18" i="17" s="1"/>
  <c r="AO19" i="17"/>
  <c r="AN20" i="17"/>
  <c r="AN24" i="17"/>
  <c r="AO8" i="18"/>
  <c r="AV8" i="18" s="1"/>
  <c r="AN9" i="18"/>
  <c r="AU9" i="18"/>
  <c r="AU15" i="18"/>
  <c r="AU48" i="19"/>
  <c r="AU44" i="19"/>
  <c r="AU32" i="19"/>
  <c r="AU18" i="19"/>
  <c r="AU47" i="19"/>
  <c r="AU43" i="19"/>
  <c r="AU39" i="19"/>
  <c r="AU35" i="19"/>
  <c r="AU31" i="19"/>
  <c r="AU17" i="19"/>
  <c r="AU46" i="19"/>
  <c r="AU42" i="19"/>
  <c r="AU38" i="19"/>
  <c r="AU30" i="19"/>
  <c r="AU26" i="19"/>
  <c r="AU16" i="19"/>
  <c r="AU10" i="19"/>
  <c r="AU6" i="19"/>
  <c r="AU41" i="19"/>
  <c r="AU37" i="19"/>
  <c r="AU29" i="19"/>
  <c r="AU25" i="19"/>
  <c r="AU21" i="19"/>
  <c r="AU15" i="19"/>
  <c r="AU9" i="19"/>
  <c r="AO11" i="19"/>
  <c r="AT13" i="19"/>
  <c r="AU14" i="19"/>
  <c r="AN21" i="19"/>
  <c r="AQ24" i="19"/>
  <c r="AJ28" i="19"/>
  <c r="AQ29" i="19"/>
  <c r="AN29" i="19"/>
  <c r="AR32" i="19"/>
  <c r="AB32" i="19"/>
  <c r="AQ35" i="19"/>
  <c r="AQ37" i="19"/>
  <c r="AN37" i="19"/>
  <c r="AQ38" i="19"/>
  <c r="AN41" i="19"/>
  <c r="AN42" i="19"/>
  <c r="AT42" i="19"/>
  <c r="AJ42" i="19"/>
  <c r="AO48" i="19"/>
  <c r="AQ8" i="17"/>
  <c r="AJ12" i="17"/>
  <c r="AJ16" i="17"/>
  <c r="AQ18" i="17"/>
  <c r="AP19" i="17"/>
  <c r="AJ22" i="17"/>
  <c r="AT22" i="17"/>
  <c r="AV22" i="17" s="1"/>
  <c r="AJ26" i="17"/>
  <c r="AT26" i="17"/>
  <c r="AU6" i="18"/>
  <c r="AQ11" i="18"/>
  <c r="AJ13" i="18"/>
  <c r="AT13" i="18"/>
  <c r="AO15" i="18"/>
  <c r="AV15" i="18" s="1"/>
  <c r="AU16" i="18"/>
  <c r="AJ17" i="18"/>
  <c r="AT17" i="18"/>
  <c r="AT7" i="19"/>
  <c r="AJ7" i="19"/>
  <c r="AU7" i="19"/>
  <c r="AO9" i="19"/>
  <c r="AP11" i="19"/>
  <c r="AU12" i="19"/>
  <c r="AJ13" i="19"/>
  <c r="AU13" i="19"/>
  <c r="AJ14" i="19"/>
  <c r="AO18" i="19"/>
  <c r="AV18" i="19" s="1"/>
  <c r="AJ21" i="19"/>
  <c r="AO25" i="19"/>
  <c r="AN26" i="19"/>
  <c r="AT26" i="19"/>
  <c r="AJ26" i="19"/>
  <c r="AN28" i="19"/>
  <c r="AJ29" i="19"/>
  <c r="AQ30" i="19"/>
  <c r="AO32" i="19"/>
  <c r="AV32" i="19" s="1"/>
  <c r="AQ33" i="19"/>
  <c r="AJ37" i="19"/>
  <c r="AJ41" i="19"/>
  <c r="AQ42" i="19"/>
  <c r="AR44" i="19"/>
  <c r="AB44" i="19"/>
  <c r="AP48" i="19"/>
  <c r="AO11" i="17"/>
  <c r="AN12" i="17"/>
  <c r="AO15" i="17"/>
  <c r="AP20" i="17"/>
  <c r="AO21" i="17"/>
  <c r="AV21" i="17" s="1"/>
  <c r="AO6" i="18"/>
  <c r="AV6" i="18" s="1"/>
  <c r="AP9" i="18"/>
  <c r="AV9" i="18" s="1"/>
  <c r="AU13" i="18"/>
  <c r="AP15" i="18"/>
  <c r="AO16" i="18"/>
  <c r="AU17" i="18"/>
  <c r="AO28" i="19"/>
  <c r="AV28" i="19" s="1"/>
  <c r="AO24" i="19"/>
  <c r="AO14" i="19"/>
  <c r="AN44" i="19"/>
  <c r="AN32" i="19"/>
  <c r="AN18" i="19"/>
  <c r="AN17" i="19"/>
  <c r="AU3" i="19"/>
  <c r="AR6" i="19"/>
  <c r="AN7" i="19"/>
  <c r="AN9" i="19"/>
  <c r="AC12" i="19"/>
  <c r="AR17" i="19"/>
  <c r="AN19" i="19"/>
  <c r="AQ20" i="19"/>
  <c r="AR23" i="19"/>
  <c r="AB23" i="19"/>
  <c r="AU23" i="19"/>
  <c r="AQ25" i="19"/>
  <c r="AN25" i="19"/>
  <c r="AR39" i="19"/>
  <c r="AO44" i="19"/>
  <c r="AO47" i="19"/>
  <c r="AC47" i="19"/>
  <c r="AN47" i="19"/>
  <c r="AO6" i="17"/>
  <c r="AV6" i="17" s="1"/>
  <c r="AP11" i="17"/>
  <c r="AP15" i="17"/>
  <c r="AO16" i="17"/>
  <c r="AJ18" i="17"/>
  <c r="AT18" i="17"/>
  <c r="AB19" i="17"/>
  <c r="AP21" i="17"/>
  <c r="AU3" i="18"/>
  <c r="AP6" i="18"/>
  <c r="AB8" i="18"/>
  <c r="AJ11" i="18"/>
  <c r="AT11" i="18"/>
  <c r="AP16" i="18"/>
  <c r="AP46" i="19"/>
  <c r="AP42" i="19"/>
  <c r="AV42" i="19" s="1"/>
  <c r="AP38" i="19"/>
  <c r="AV38" i="19" s="1"/>
  <c r="AP41" i="19"/>
  <c r="AP37" i="19"/>
  <c r="AV37" i="19" s="1"/>
  <c r="AP29" i="19"/>
  <c r="AV29" i="19" s="1"/>
  <c r="AP25" i="19"/>
  <c r="AP28" i="19"/>
  <c r="AP24" i="19"/>
  <c r="AP14" i="19"/>
  <c r="AP23" i="19"/>
  <c r="AV23" i="19" s="1"/>
  <c r="AP19" i="19"/>
  <c r="AN6" i="19"/>
  <c r="AT6" i="19"/>
  <c r="AO7" i="19"/>
  <c r="AV7" i="19" s="1"/>
  <c r="AJ9" i="19"/>
  <c r="AN10" i="19"/>
  <c r="AT10" i="19"/>
  <c r="AJ10" i="19"/>
  <c r="AR11" i="19"/>
  <c r="AB11" i="19"/>
  <c r="AU11" i="19"/>
  <c r="AN12" i="19"/>
  <c r="AN15" i="19"/>
  <c r="AO17" i="19"/>
  <c r="AC17" i="19"/>
  <c r="AP17" i="19"/>
  <c r="AO19" i="19"/>
  <c r="AV19" i="19" s="1"/>
  <c r="AU20" i="19"/>
  <c r="AN24" i="19"/>
  <c r="AJ25" i="19"/>
  <c r="AQ26" i="19"/>
  <c r="AU28" i="19"/>
  <c r="AT29" i="19"/>
  <c r="AR31" i="19"/>
  <c r="AN31" i="19"/>
  <c r="AT37" i="19"/>
  <c r="AO39" i="19"/>
  <c r="AC39" i="19"/>
  <c r="AN39" i="19"/>
  <c r="AT41" i="19"/>
  <c r="AP44" i="19"/>
  <c r="AO46" i="19"/>
  <c r="AP47" i="19"/>
  <c r="AJ1" i="20"/>
  <c r="AH1" i="20"/>
  <c r="AH2" i="20" s="1"/>
  <c r="AO6" i="20"/>
  <c r="AV6" i="20" s="1"/>
  <c r="AC6" i="20"/>
  <c r="AP6" i="17"/>
  <c r="AJ9" i="17"/>
  <c r="AB10" i="17"/>
  <c r="AP16" i="17"/>
  <c r="AJ19" i="17"/>
  <c r="AB20" i="17"/>
  <c r="AB24" i="17"/>
  <c r="AJ8" i="18"/>
  <c r="AB9" i="18"/>
  <c r="AB15" i="18"/>
  <c r="AJ33" i="19"/>
  <c r="AJ23" i="19"/>
  <c r="AJ19" i="19"/>
  <c r="AJ32" i="19"/>
  <c r="AJ18" i="19"/>
  <c r="AJ6" i="19"/>
  <c r="AC9" i="19"/>
  <c r="AP9" i="19"/>
  <c r="AO10" i="19"/>
  <c r="AV10" i="19" s="1"/>
  <c r="AJ15" i="19"/>
  <c r="AO16" i="19"/>
  <c r="AV16" i="19" s="1"/>
  <c r="AC16" i="19"/>
  <c r="AN16" i="19"/>
  <c r="AT16" i="19"/>
  <c r="AJ16" i="19"/>
  <c r="AQ17" i="19"/>
  <c r="AU19" i="19"/>
  <c r="AJ20" i="19"/>
  <c r="AT21" i="19"/>
  <c r="AQ23" i="19"/>
  <c r="AQ28" i="19"/>
  <c r="AO31" i="19"/>
  <c r="AC31" i="19"/>
  <c r="AP31" i="19"/>
  <c r="AR35" i="19"/>
  <c r="AN35" i="19"/>
  <c r="AP39" i="19"/>
  <c r="AO41" i="19"/>
  <c r="AO43" i="19"/>
  <c r="AV43" i="19" s="1"/>
  <c r="AC43" i="19"/>
  <c r="AN43" i="19"/>
  <c r="AN46" i="19"/>
  <c r="AT46" i="19"/>
  <c r="AJ46" i="19"/>
  <c r="AQ47" i="19"/>
  <c r="AQ6" i="20"/>
  <c r="AB17" i="19"/>
  <c r="AD21" i="19"/>
  <c r="AD25" i="19"/>
  <c r="AC26" i="19"/>
  <c r="AD29" i="19"/>
  <c r="AC30" i="19"/>
  <c r="AB31" i="19"/>
  <c r="AQ32" i="19"/>
  <c r="AB35" i="19"/>
  <c r="AD37" i="19"/>
  <c r="AC38" i="19"/>
  <c r="AQ44" i="19"/>
  <c r="AQ48" i="19"/>
  <c r="AB6" i="20"/>
  <c r="AJ11" i="19"/>
  <c r="AJ17" i="19"/>
  <c r="AJ31" i="19"/>
  <c r="AT31" i="19"/>
  <c r="AJ35" i="19"/>
  <c r="AT35" i="19"/>
  <c r="AJ39" i="19"/>
  <c r="AT39" i="19"/>
  <c r="AJ43" i="19"/>
  <c r="AT43" i="19"/>
  <c r="AJ47" i="19"/>
  <c r="AT47" i="19"/>
  <c r="AJ6" i="20"/>
  <c r="AT6" i="20"/>
  <c r="AJ44" i="19"/>
  <c r="AJ48" i="19"/>
  <c r="AT48" i="19"/>
  <c r="AV169" i="1" l="1"/>
  <c r="AV216" i="1"/>
  <c r="AV206" i="1"/>
  <c r="AV182" i="1"/>
  <c r="AV171" i="1"/>
  <c r="AV131" i="1"/>
  <c r="AV48" i="19"/>
  <c r="AV11" i="19"/>
  <c r="AV21" i="14"/>
  <c r="AV10" i="8"/>
  <c r="AV13" i="6"/>
  <c r="AV7" i="6"/>
  <c r="AV28" i="7"/>
  <c r="AV18" i="7"/>
  <c r="AV32" i="6"/>
  <c r="AV41" i="19"/>
  <c r="AV31" i="19"/>
  <c r="AV39" i="19"/>
  <c r="AV16" i="17"/>
  <c r="AV47" i="19"/>
  <c r="AV16" i="18"/>
  <c r="AV25" i="19"/>
  <c r="AV49" i="16"/>
  <c r="AV8" i="16"/>
  <c r="AV21" i="16"/>
  <c r="AV6" i="16"/>
  <c r="AV45" i="12"/>
  <c r="AV52" i="16"/>
  <c r="AV12" i="14"/>
  <c r="AV9" i="6"/>
  <c r="AV22" i="7"/>
  <c r="AV46" i="19"/>
  <c r="AV17" i="19"/>
  <c r="AV44" i="19"/>
  <c r="AV15" i="17"/>
  <c r="AV19" i="17"/>
  <c r="AV37" i="16"/>
  <c r="AV51" i="16"/>
  <c r="AV22" i="16"/>
  <c r="AV35" i="19"/>
  <c r="AV13" i="14"/>
  <c r="AV32" i="12"/>
  <c r="AV6" i="14"/>
  <c r="AV42" i="16"/>
  <c r="AV20" i="14"/>
  <c r="AV17" i="7"/>
  <c r="AV21" i="7"/>
  <c r="AV26" i="7"/>
  <c r="AV12" i="6"/>
  <c r="AV14" i="19"/>
  <c r="AV9" i="19"/>
  <c r="AV16" i="16"/>
  <c r="AV38" i="16"/>
  <c r="AV23" i="12"/>
  <c r="AV7" i="14"/>
  <c r="AV6" i="8"/>
  <c r="AV7" i="10"/>
  <c r="AV28" i="6"/>
  <c r="AV11" i="6"/>
  <c r="AV24" i="19"/>
  <c r="AV11" i="17"/>
  <c r="AV7" i="17"/>
  <c r="AV30" i="12"/>
  <c r="AV24" i="14"/>
  <c r="AV29" i="12"/>
  <c r="AV36" i="12"/>
  <c r="AV19" i="7"/>
  <c r="AV15" i="6"/>
  <c r="AV7" i="16"/>
  <c r="AV12" i="12"/>
</calcChain>
</file>

<file path=xl/comments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AA1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전용면적 5% 이내 차이나는 유사평형은 제일 세대수가 많은 평형 1Type 만 표기</t>
        </r>
      </text>
    </comment>
    <comment ref="N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단지 내 Type 별로 일정 세대수 이상만 추출</t>
        </r>
      </text>
    </comment>
    <comment ref="I3" authorId="1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1~3층 및 탑층 제외</t>
        </r>
      </text>
    </comment>
  </commentList>
</comments>
</file>

<file path=xl/comments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3개 동까지 묶어 한 열에 표기 가능</t>
        </r>
      </text>
    </comment>
  </commentList>
</comments>
</file>

<file path=xl/comments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9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0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1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2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3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4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5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6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7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comments18.xml><?xml version="1.0" encoding="utf-8"?>
<comments xmlns="http://schemas.openxmlformats.org/spreadsheetml/2006/main">
  <authors>
    <author>Yoom</author>
  </authors>
  <commentList>
    <comment ref="I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추출대상여부
단지추출 포함 : "추출대상" 입력
단지추출 불포함 : 공란</t>
        </r>
      </text>
    </comment>
    <comment ref="AA1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붉은색 색상 최대값</t>
        </r>
      </text>
    </comment>
    <comment ref="AA2" authorId="0" shapeId="0">
      <text>
        <r>
          <rPr>
            <sz val="11"/>
            <color theme="1"/>
            <rFont val="맑은 고딕"/>
            <family val="2"/>
            <charset val="129"/>
            <scheme val="minor"/>
          </rPr>
          <t>파란색상 최소값</t>
        </r>
      </text>
    </comment>
  </commentList>
</comments>
</file>

<file path=xl/sharedStrings.xml><?xml version="1.0" encoding="utf-8"?>
<sst xmlns="http://schemas.openxmlformats.org/spreadsheetml/2006/main" count="10009" uniqueCount="1154">
  <si>
    <t>창원시 진해구</t>
  </si>
  <si>
    <t>유사평형제거</t>
  </si>
  <si>
    <t>X</t>
  </si>
  <si>
    <t>추출기준세대수</t>
  </si>
  <si>
    <t>세대이상</t>
  </si>
  <si>
    <t>매매가 최대(색상 최대)</t>
  </si>
  <si>
    <t>인천광역시 연수구</t>
  </si>
  <si>
    <t>인천광역시 연수구 전체 등급</t>
  </si>
  <si>
    <t>기준연도</t>
  </si>
  <si>
    <t>기준월</t>
  </si>
  <si>
    <t>200세대 이상 108단지</t>
  </si>
  <si>
    <t>매매가 최소(색상 최소)</t>
  </si>
  <si>
    <t>입지평가 및 투자후보</t>
  </si>
  <si>
    <t>A-</t>
  </si>
  <si>
    <t>A</t>
  </si>
  <si>
    <t>C</t>
  </si>
  <si>
    <t>원금보전</t>
  </si>
  <si>
    <t>수익성</t>
  </si>
  <si>
    <t>환금성</t>
  </si>
  <si>
    <t>투자후보</t>
  </si>
  <si>
    <t>300세대 이상 69단지</t>
  </si>
  <si>
    <t>단지명</t>
  </si>
  <si>
    <t>입주
연도</t>
  </si>
  <si>
    <t>총세
대수</t>
  </si>
  <si>
    <t>공급
(m2)</t>
  </si>
  <si>
    <t>공급
면적</t>
  </si>
  <si>
    <t>전용
(m2)</t>
  </si>
  <si>
    <t>전용
면적</t>
  </si>
  <si>
    <t>세대</t>
  </si>
  <si>
    <t>매매
최저가</t>
  </si>
  <si>
    <t>층</t>
  </si>
  <si>
    <t>전세
최고가</t>
  </si>
  <si>
    <t>갭</t>
  </si>
  <si>
    <t>전세
가율</t>
  </si>
  <si>
    <t>매매
평단</t>
  </si>
  <si>
    <t>전세
평단</t>
  </si>
  <si>
    <t>방</t>
  </si>
  <si>
    <t>욕
실</t>
  </si>
  <si>
    <t>구
조</t>
  </si>
  <si>
    <t>매/전/월
Type</t>
  </si>
  <si>
    <t>비고</t>
  </si>
  <si>
    <t>공급
평형</t>
  </si>
  <si>
    <t>매매가</t>
  </si>
  <si>
    <t>전세가</t>
  </si>
  <si>
    <t>평단가</t>
  </si>
  <si>
    <t>방/
욕실</t>
  </si>
  <si>
    <t>직장</t>
  </si>
  <si>
    <t>교통</t>
  </si>
  <si>
    <t>학군</t>
  </si>
  <si>
    <t>환경</t>
  </si>
  <si>
    <t>공급</t>
  </si>
  <si>
    <t>전세가율★
(80%↑)</t>
  </si>
  <si>
    <t>절대가★
(4.5억↓)</t>
  </si>
  <si>
    <t>평단가
(1000↓)</t>
  </si>
  <si>
    <t>투자규모★
(갭6천↓)</t>
  </si>
  <si>
    <t>전고점
이하</t>
  </si>
  <si>
    <t>평형★
(15~34평)</t>
  </si>
  <si>
    <t>단지규모★
(300^↑)</t>
  </si>
  <si>
    <t>입주연도</t>
  </si>
  <si>
    <t>입주월</t>
  </si>
  <si>
    <t>20평대</t>
  </si>
  <si>
    <t>30평대</t>
  </si>
  <si>
    <t>40평대↑</t>
  </si>
  <si>
    <t>10년 이하</t>
  </si>
  <si>
    <t>10~20년</t>
  </si>
  <si>
    <t>20~30년</t>
  </si>
  <si>
    <t>30년 이상</t>
  </si>
  <si>
    <t>합계</t>
  </si>
  <si>
    <t>10평대</t>
  </si>
  <si>
    <t>O</t>
  </si>
  <si>
    <t>동1</t>
  </si>
  <si>
    <t>동2</t>
  </si>
  <si>
    <t>동3</t>
  </si>
  <si>
    <t>전체</t>
  </si>
  <si>
    <t>~</t>
  </si>
  <si>
    <t>20평대(방3)</t>
  </si>
  <si>
    <t>20평대(방2)</t>
  </si>
  <si>
    <t>동 이름 :</t>
  </si>
  <si>
    <t>KB 평면도입력</t>
  </si>
  <si>
    <t>[경화동]</t>
  </si>
  <si>
    <t>더좋은큐브(도시형)</t>
  </si>
  <si>
    <t>2013.09.</t>
  </si>
  <si>
    <t>계단식</t>
  </si>
  <si>
    <t>https://new.land.naver.com/complexes/118228?tab=detail&amp;rf=Y</t>
  </si>
  <si>
    <t>경상남도 창원시 진해구 경화동 900</t>
  </si>
  <si>
    <t>경상남도</t>
  </si>
  <si>
    <t>창원시</t>
  </si>
  <si>
    <t>진해구</t>
  </si>
  <si>
    <t>경화동</t>
  </si>
  <si>
    <t>경상남도 창원시 진해구 진해대로694번길 24</t>
  </si>
  <si>
    <t>67B</t>
  </si>
  <si>
    <t>67A</t>
  </si>
  <si>
    <t>경화삼정그린코아2단지</t>
  </si>
  <si>
    <t>2005.08.</t>
  </si>
  <si>
    <t>https://new.land.naver.com/complexes/14645?tab=detail&amp;rf=Y</t>
  </si>
  <si>
    <t>경상남도 창원시 진해구 경화동 1291</t>
  </si>
  <si>
    <t>경상남도 창원시 진해구 조천북로 99</t>
  </si>
  <si>
    <t>경화보람아름채시티</t>
  </si>
  <si>
    <t>2016.06.</t>
  </si>
  <si>
    <t>72C</t>
  </si>
  <si>
    <t>https://new.land.naver.com/complexes/112837?tab=detail&amp;rf=Y</t>
  </si>
  <si>
    <t>경상남도 창원시 진해구 경화동 908</t>
  </si>
  <si>
    <t>경상남도 창원시 진해구 병암로45번길 13-18</t>
  </si>
  <si>
    <t>73A</t>
  </si>
  <si>
    <t>73B</t>
  </si>
  <si>
    <t>73D</t>
  </si>
  <si>
    <t>경화</t>
  </si>
  <si>
    <t>1985.05.</t>
  </si>
  <si>
    <t>https://new.land.naver.com/complexes/7545?tab=detail&amp;rf=Y</t>
  </si>
  <si>
    <t>경상남도 창원시 진해구 경화동 904-2</t>
  </si>
  <si>
    <t>경상남도 창원시 진해구 경화시장로 34-3</t>
  </si>
  <si>
    <t>68B</t>
  </si>
  <si>
    <t>70A</t>
  </si>
  <si>
    <t>두산위브</t>
  </si>
  <si>
    <t>2017.02.</t>
  </si>
  <si>
    <t>https://new.land.naver.com/complexes/116297?tab=detail&amp;rf=Y</t>
  </si>
  <si>
    <t>경상남도 창원시 진해구 경화동 1334</t>
  </si>
  <si>
    <t>경상남도 창원시 진해구 조천로 30</t>
  </si>
  <si>
    <t>98B</t>
  </si>
  <si>
    <t>98A</t>
  </si>
  <si>
    <t>99C</t>
  </si>
  <si>
    <t>112C</t>
  </si>
  <si>
    <t>112B</t>
  </si>
  <si>
    <t>113A</t>
  </si>
  <si>
    <t>113D</t>
  </si>
  <si>
    <t>대방빌리지</t>
  </si>
  <si>
    <t>2002.05.</t>
  </si>
  <si>
    <t>https://new.land.naver.com/complexes/112838?tab=detail&amp;rf=Y</t>
  </si>
  <si>
    <t>경상남도 창원시 진해구 경화동 41</t>
  </si>
  <si>
    <t>경상남도 창원시 진해구 충장로 339</t>
  </si>
  <si>
    <t>99A</t>
  </si>
  <si>
    <t>100B</t>
  </si>
  <si>
    <t>부건이데아1차</t>
  </si>
  <si>
    <t>2016.01.</t>
  </si>
  <si>
    <t>https://new.land.naver.com/complexes/130346?tab=detail&amp;rf=Y</t>
  </si>
  <si>
    <t>경상남도 창원시 진해구 경화동 881</t>
  </si>
  <si>
    <t>경상남도 창원시 진해구 진해대로694번길 19</t>
  </si>
  <si>
    <t>79B</t>
  </si>
  <si>
    <t>79A</t>
  </si>
  <si>
    <t>81A</t>
  </si>
  <si>
    <t>81B</t>
  </si>
  <si>
    <t>대동다숲</t>
  </si>
  <si>
    <t>2006.08.</t>
  </si>
  <si>
    <t>https://new.land.naver.com/complexes/19387?tab=detail&amp;rf=Y</t>
  </si>
  <si>
    <t>경상남도 창원시 진해구 경화동 1388</t>
  </si>
  <si>
    <t>경상남도 창원시 진해구 조천북로 79</t>
  </si>
  <si>
    <t>창원경화베스티움</t>
  </si>
  <si>
    <t>2018.12.</t>
  </si>
  <si>
    <t>100A</t>
  </si>
  <si>
    <t>https://new.land.naver.com/complexes/124804?tab=detail&amp;rf=Y</t>
  </si>
  <si>
    <t>경상남도 창원시 진해구 경화동 1316</t>
  </si>
  <si>
    <t>경상남도 창원시 진해구 조천북로 131</t>
  </si>
  <si>
    <t>110C</t>
  </si>
  <si>
    <t>111A</t>
  </si>
  <si>
    <t>111B</t>
  </si>
  <si>
    <t>111T</t>
  </si>
  <si>
    <t>192P</t>
  </si>
  <si>
    <t>부건이데아2차</t>
  </si>
  <si>
    <t>2018.01.</t>
  </si>
  <si>
    <t>https://new.land.naver.com/complexes/130074?tab=detail&amp;rf=Y</t>
  </si>
  <si>
    <t>경상남도 창원시 진해구 경화동 890</t>
  </si>
  <si>
    <t>경상남도 창원시 진해구 진해대로694번길 23</t>
  </si>
  <si>
    <t>107A</t>
  </si>
  <si>
    <t>108B</t>
  </si>
  <si>
    <t>덕진디딤돌</t>
  </si>
  <si>
    <t>2015.03.</t>
  </si>
  <si>
    <t>65A</t>
  </si>
  <si>
    <t>https://new.land.naver.com/complexes/139405?tab=detail&amp;rf=Y</t>
  </si>
  <si>
    <t>경상남도 창원시 진해구 경화동 1488-4</t>
  </si>
  <si>
    <t>경상남도 창원시 진해구 조천북로68번길 8</t>
  </si>
  <si>
    <t>66B</t>
  </si>
  <si>
    <t>67C</t>
  </si>
  <si>
    <t>74B</t>
  </si>
  <si>
    <t>원창훼미리</t>
  </si>
  <si>
    <t>1999.09.</t>
  </si>
  <si>
    <t>복도식</t>
  </si>
  <si>
    <t>https://new.land.naver.com/complexes/16752?tab=detail&amp;rf=Y</t>
  </si>
  <si>
    <t>경상남도 창원시 진해구 경화동 751</t>
  </si>
  <si>
    <t>경상남도 창원시 진해구 병암북로4번길 25</t>
  </si>
  <si>
    <t>경화삼정그린코아1단지</t>
  </si>
  <si>
    <t>https://new.land.naver.com/complexes/14644?tab=detail&amp;rf=Y</t>
  </si>
  <si>
    <t>경상남도 창원시 진해구 경화동 1428-1</t>
  </si>
  <si>
    <t>경상남도 창원시 진해구 조천북로 97</t>
  </si>
  <si>
    <t>초원</t>
  </si>
  <si>
    <t>1992.04.</t>
  </si>
  <si>
    <t>https://new.land.naver.com/complexes/100827?tab=detail&amp;rf=Y</t>
  </si>
  <si>
    <t>경상남도 창원시 진해구 경화동 923</t>
  </si>
  <si>
    <t>경상남도 창원시 진해구 경화로38번길 23</t>
  </si>
  <si>
    <t>한빛프라자</t>
  </si>
  <si>
    <t>2000.10.</t>
  </si>
  <si>
    <t>https://new.land.naver.com/complexes/101969?tab=detail&amp;rf=Y</t>
  </si>
  <si>
    <t>경상남도 창원시 진해구 경화동 32-1</t>
  </si>
  <si>
    <t>경상남도 창원시 진해구 충장로 325</t>
  </si>
  <si>
    <t>경화주공</t>
  </si>
  <si>
    <t>1986.11.</t>
  </si>
  <si>
    <t>https://new.land.naver.com/complexes/7551?tab=detail&amp;rf=Y</t>
  </si>
  <si>
    <t>경상남도 창원시 진해구 경화동 859</t>
  </si>
  <si>
    <t>경상남도 창원시 진해구 충장로345번길 50</t>
  </si>
  <si>
    <t>성호허니문(도시형)</t>
  </si>
  <si>
    <t>https://new.land.naver.com/complexes/117214?tab=detail&amp;rf=Y</t>
  </si>
  <si>
    <t>경상남도 창원시 진해구 경화동 871-1</t>
  </si>
  <si>
    <t>경상남도 창원시 진해구 경화시장로 53-1</t>
  </si>
  <si>
    <t>포스코더샵</t>
  </si>
  <si>
    <t>2005.11.</t>
  </si>
  <si>
    <t>https://new.land.naver.com/complexes/19436?tab=detail&amp;rf=Y</t>
  </si>
  <si>
    <t>경상남도 창원시 진해구 경화동 1400</t>
  </si>
  <si>
    <t>경상남도 창원시 진해구 조천북로 65</t>
  </si>
  <si>
    <t>유일전원</t>
  </si>
  <si>
    <t>1995.06.</t>
  </si>
  <si>
    <t>https://new.land.naver.com/complexes/7549?tab=detail&amp;rf=Y</t>
  </si>
  <si>
    <t>경상남도 창원시 진해구 경화동 1280</t>
  </si>
  <si>
    <t>경상남도 창원시 진해구 조천로35번길 16</t>
  </si>
  <si>
    <t>66C</t>
  </si>
  <si>
    <t>77A</t>
  </si>
  <si>
    <t>78B</t>
  </si>
  <si>
    <t>107B</t>
  </si>
  <si>
    <t>108C</t>
  </si>
  <si>
    <t>108D</t>
  </si>
  <si>
    <t>109B</t>
  </si>
  <si>
    <t>109A</t>
  </si>
  <si>
    <t>[광화동]</t>
  </si>
  <si>
    <t>진해미진이지비아</t>
  </si>
  <si>
    <t>2014.05.</t>
  </si>
  <si>
    <t>https://new.land.naver.com/complexes/112618?tab=detail&amp;rf=Y</t>
  </si>
  <si>
    <t>경상남도 창원시 진해구 광화동 26</t>
  </si>
  <si>
    <t>광화동</t>
  </si>
  <si>
    <t>경상남도 창원시 진해구 중원동로 33</t>
  </si>
  <si>
    <t>83D</t>
  </si>
  <si>
    <t>83E</t>
  </si>
  <si>
    <t>84F</t>
  </si>
  <si>
    <t>[근화동]</t>
  </si>
  <si>
    <t>평화빌라트</t>
  </si>
  <si>
    <t>2001.11.</t>
  </si>
  <si>
    <t>https://new.land.naver.com/complexes/125019?tab=detail&amp;rf=Y</t>
  </si>
  <si>
    <t>경상남도 창원시 진해구 근화동 8</t>
  </si>
  <si>
    <t>근화동</t>
  </si>
  <si>
    <t>경상남도 창원시 진해구 중원동로 21</t>
  </si>
  <si>
    <t>[남문동]</t>
  </si>
  <si>
    <t>진해남문리젠시빌란트더웰</t>
  </si>
  <si>
    <t>2024.03.</t>
  </si>
  <si>
    <t>https://new.land.naver.com/complexes/140741?tab=detail&amp;rf=Y</t>
  </si>
  <si>
    <t>경상남도 창원시 진해구 남문동 1275-1번지(진해남문지구 A5-1블록)</t>
  </si>
  <si>
    <t>남문동</t>
  </si>
  <si>
    <t>경상남도 창원시 진해구</t>
  </si>
  <si>
    <t>101B</t>
  </si>
  <si>
    <t>진해남문하우스디</t>
  </si>
  <si>
    <t>2019.01.</t>
  </si>
  <si>
    <t>95A-1</t>
  </si>
  <si>
    <t>https://new.land.naver.com/complexes/115868?tab=detail&amp;rf=Y</t>
  </si>
  <si>
    <t>경상남도 창원시 진해구 남문동 1256-2</t>
  </si>
  <si>
    <t>경상남도 창원시 진해구 웅천동로106번길 20</t>
  </si>
  <si>
    <t>95A-2</t>
  </si>
  <si>
    <t>110B</t>
  </si>
  <si>
    <t>110A-2</t>
  </si>
  <si>
    <t>110A-1</t>
  </si>
  <si>
    <t>남문호반베르디움</t>
  </si>
  <si>
    <t>2018.06.</t>
  </si>
  <si>
    <t>97A</t>
  </si>
  <si>
    <t>https://new.land.naver.com/complexes/111933?tab=detail&amp;rf=Y</t>
  </si>
  <si>
    <t>경상남도 창원시 진해구 남문동 1293-1</t>
  </si>
  <si>
    <t>경상남도 창원시 진해구 웅천동로43번길 19</t>
  </si>
  <si>
    <t>97B</t>
  </si>
  <si>
    <t>진해남문시티프라디움2차</t>
  </si>
  <si>
    <t>2017.12.</t>
  </si>
  <si>
    <t>96C</t>
  </si>
  <si>
    <t>https://new.land.naver.com/complexes/111268?tab=detail&amp;rf=Y</t>
  </si>
  <si>
    <t>경상남도 창원시 진해구 남문동 1256-1</t>
  </si>
  <si>
    <t>경상남도 창원시 진해구 웅천동로 100</t>
  </si>
  <si>
    <t>96A</t>
  </si>
  <si>
    <t>96B</t>
  </si>
  <si>
    <t>시티프라디움1차</t>
  </si>
  <si>
    <t>2017.04.</t>
  </si>
  <si>
    <t>83A</t>
  </si>
  <si>
    <t>https://new.land.naver.com/complexes/109939?tab=detail&amp;rf=Y</t>
  </si>
  <si>
    <t>경상남도 창원시 진해구 남문동 1274-1</t>
  </si>
  <si>
    <t>경상남도 창원시 진해구 웅천동로 16</t>
  </si>
  <si>
    <t>83B</t>
  </si>
  <si>
    <t>83C</t>
  </si>
  <si>
    <t>[남양동]</t>
  </si>
  <si>
    <t>창원진해비전시티우방아이유쉘</t>
  </si>
  <si>
    <t>2021.08.</t>
  </si>
  <si>
    <t>101A</t>
  </si>
  <si>
    <t>https://new.land.naver.com/complexes/131489?tab=detail&amp;rf=Y</t>
  </si>
  <si>
    <t>경상남도 창원시 진해구 남양동 20-2번지</t>
  </si>
  <si>
    <t>남양동</t>
  </si>
  <si>
    <t>남양에스티엑스칸</t>
  </si>
  <si>
    <t>2009.02.</t>
  </si>
  <si>
    <t>110A</t>
  </si>
  <si>
    <t>https://new.land.naver.com/complexes/119261?tab=detail&amp;rf=Y</t>
  </si>
  <si>
    <t>경상남도 창원시 진해구 남양동 20</t>
  </si>
  <si>
    <t>경상남도 창원시 진해구 월남로 142</t>
  </si>
  <si>
    <t>[대죽동]</t>
  </si>
  <si>
    <t>미성빌리지4차</t>
  </si>
  <si>
    <t>2015.08.</t>
  </si>
  <si>
    <t>https://new.land.naver.com/complexes/138228?tab=detail&amp;rf=Y</t>
  </si>
  <si>
    <t>경상남도 창원시 진해구 대죽동 41-4</t>
  </si>
  <si>
    <t>대죽동</t>
  </si>
  <si>
    <t>경상남도 창원시 진해구 태평로 150</t>
  </si>
  <si>
    <t>위드필오션베이</t>
  </si>
  <si>
    <t>2017.09.</t>
  </si>
  <si>
    <t>https://new.land.naver.com/complexes/121384?tab=detail&amp;rf=Y</t>
  </si>
  <si>
    <t>경상남도 창원시 진해구 대죽동 42-1</t>
  </si>
  <si>
    <t>경상남도 창원시 진해구 태평로 162</t>
  </si>
  <si>
    <t>[덕산동]</t>
  </si>
  <si>
    <t>송림홈타운</t>
  </si>
  <si>
    <t>2002.12.</t>
  </si>
  <si>
    <t>https://new.land.naver.com/complexes/100833?tab=detail&amp;rf=Y</t>
  </si>
  <si>
    <t>경상남도 창원시 진해구 덕산동 72-9</t>
  </si>
  <si>
    <t>덕산동</t>
  </si>
  <si>
    <t>경상남도 창원시 진해구 동진로 138</t>
  </si>
  <si>
    <t>105A</t>
  </si>
  <si>
    <t>106B</t>
  </si>
  <si>
    <t>[두동]</t>
  </si>
  <si>
    <t>청안프리존빌</t>
  </si>
  <si>
    <t>2004.07.</t>
  </si>
  <si>
    <t>https://new.land.naver.com/complexes/128082?tab=detail&amp;rf=Y</t>
  </si>
  <si>
    <t>경상남도 창원시 진해구 두동 1296-16</t>
  </si>
  <si>
    <t>두동</t>
  </si>
  <si>
    <t>경상남도 창원시 진해구 웅동로 164</t>
  </si>
  <si>
    <t>희가로</t>
  </si>
  <si>
    <t>2008.11.</t>
  </si>
  <si>
    <t>https://new.land.naver.com/complexes/105381?tab=detail&amp;rf=Y</t>
  </si>
  <si>
    <t>경상남도 창원시 진해구 두동 1296-2</t>
  </si>
  <si>
    <t>경상남도 창원시 진해구 웅동로 182</t>
  </si>
  <si>
    <t>청안해오름</t>
  </si>
  <si>
    <t>2004.03.</t>
  </si>
  <si>
    <t>https://new.land.naver.com/complexes/102385?tab=detail&amp;rf=Y</t>
  </si>
  <si>
    <t>경상남도 창원시 진해구 두동 1296-1</t>
  </si>
  <si>
    <t>경상남도 창원시 진해구 웅동로 150</t>
  </si>
  <si>
    <t>[마천동]</t>
  </si>
  <si>
    <t>진해신항만경남아너스빌</t>
  </si>
  <si>
    <t>2008.08.</t>
  </si>
  <si>
    <t>https://new.land.naver.com/complexes/27813?tab=detail&amp;rf=Y</t>
  </si>
  <si>
    <t>경상남도 창원시 진해구 마천동 246</t>
  </si>
  <si>
    <t>마천동</t>
  </si>
  <si>
    <t>경상남도 창원시 진해구 마천로 50</t>
  </si>
  <si>
    <t>여명</t>
  </si>
  <si>
    <t>1998.04.</t>
  </si>
  <si>
    <t>https://new.land.naver.com/complexes/138589?tab=detail&amp;rf=Y</t>
  </si>
  <si>
    <t>경상남도 창원시 진해구 마천동 144-3</t>
  </si>
  <si>
    <t>경상남도 창원시 진해구 마천로 35</t>
  </si>
  <si>
    <t>95A</t>
  </si>
  <si>
    <t>남명플럼빌리지</t>
  </si>
  <si>
    <t>https://new.land.naver.com/complexes/105122?tab=detail&amp;rf=Y</t>
  </si>
  <si>
    <t>경상남도 창원시 진해구 마천동 99-3</t>
  </si>
  <si>
    <t>경상남도 창원시 진해구 웅동로 54</t>
  </si>
  <si>
    <t>한결예다움(도시형)</t>
  </si>
  <si>
    <t>2014.10.</t>
  </si>
  <si>
    <t>68A</t>
  </si>
  <si>
    <t>https://new.land.naver.com/complexes/133084?tab=detail&amp;rf=Y</t>
  </si>
  <si>
    <t>경상남도 창원시 진해구 마천동 50-12</t>
  </si>
  <si>
    <t>경상남도 창원시 진해구 웅동로 103</t>
  </si>
  <si>
    <t>69B</t>
  </si>
  <si>
    <t>[부흥동]</t>
  </si>
  <si>
    <t>태영데시앙</t>
  </si>
  <si>
    <t>2007.01.</t>
  </si>
  <si>
    <t>https://new.land.naver.com/complexes/22811?tab=detail&amp;rf=Y</t>
  </si>
  <si>
    <t>경상남도 창원시 진해구 부흥동 1-1</t>
  </si>
  <si>
    <t>부흥동</t>
  </si>
  <si>
    <t>경상남도 창원시 진해구 중원동로 38</t>
  </si>
  <si>
    <t>[북부동]</t>
  </si>
  <si>
    <t>대풍</t>
  </si>
  <si>
    <t>1996.02.</t>
  </si>
  <si>
    <t>https://new.land.naver.com/complexes/113243?tab=detail&amp;rf=Y</t>
  </si>
  <si>
    <t>경상남도 창원시 진해구 북부동 560</t>
  </si>
  <si>
    <t>북부동</t>
  </si>
  <si>
    <t>경상남도 창원시 진해구 웅천로159번길 15</t>
  </si>
  <si>
    <t>84B</t>
  </si>
  <si>
    <t>84A</t>
  </si>
  <si>
    <t>[석동]</t>
  </si>
  <si>
    <t>진해GS자이</t>
  </si>
  <si>
    <t>2006.04.</t>
  </si>
  <si>
    <t>https://new.land.naver.com/complexes/18816?tab=detail&amp;rf=Y</t>
  </si>
  <si>
    <t>경상남도 창원시 진해구 석동 232</t>
  </si>
  <si>
    <t>석동</t>
  </si>
  <si>
    <t>경상남도 창원시 진해구 동진로21번길 26</t>
  </si>
  <si>
    <t>상지약수</t>
  </si>
  <si>
    <t>1991.05.</t>
  </si>
  <si>
    <t>https://new.land.naver.com/complexes/7553?tab=detail&amp;rf=Y</t>
  </si>
  <si>
    <t>경상남도 창원시 진해구 석동 493</t>
  </si>
  <si>
    <t>경상남도 창원시 진해구 병암북로4번길 37</t>
  </si>
  <si>
    <t>진해석동푸르지오</t>
  </si>
  <si>
    <t>116A</t>
  </si>
  <si>
    <t>https://new.land.naver.com/complexes/19439?tab=detail&amp;rf=Y</t>
  </si>
  <si>
    <t>경상남도 창원시 진해구 석동 551-1</t>
  </si>
  <si>
    <t>경상남도 창원시 진해구 진해대로 727</t>
  </si>
  <si>
    <t>116B</t>
  </si>
  <si>
    <t>진해석동한솔솔파크1단지</t>
  </si>
  <si>
    <t>https://new.land.naver.com/complexes/27779?tab=detail&amp;rf=Y</t>
  </si>
  <si>
    <t>경상남도 창원시 진해구 석동 351</t>
  </si>
  <si>
    <t>경상남도 창원시 진해구 진해대로789번길 24</t>
  </si>
  <si>
    <t>진해석동한솔솔파크2단지</t>
  </si>
  <si>
    <t>https://new.land.naver.com/complexes/27780?tab=detail&amp;rf=Y</t>
  </si>
  <si>
    <t>경상남도 창원시 진해구 석동 287-5</t>
  </si>
  <si>
    <t>경상남도 창원시 진해구 돌리로16번길 18</t>
  </si>
  <si>
    <t>대림자동차공업(주)사원(대림)</t>
  </si>
  <si>
    <t>1992.09.</t>
  </si>
  <si>
    <t>https://new.land.naver.com/complexes/117620?tab=detail&amp;rf=Y</t>
  </si>
  <si>
    <t>경상남도 창원시 진해구 석동 567</t>
  </si>
  <si>
    <t>경상남도 창원시 진해구 진해대로763번길 11</t>
  </si>
  <si>
    <t>벚꽃그린빌주공3단지</t>
  </si>
  <si>
    <t>2003.03.</t>
  </si>
  <si>
    <t>https://new.land.naver.com/complexes/13137?tab=detail&amp;rf=Y</t>
  </si>
  <si>
    <t>경상남도 창원시 진해구 석동 656</t>
  </si>
  <si>
    <t>경상남도 창원시 진해구 석동로 60</t>
  </si>
  <si>
    <t>105B</t>
  </si>
  <si>
    <t>좋은아침</t>
  </si>
  <si>
    <t>https://new.land.naver.com/complexes/117737?tab=detail&amp;rf=Y</t>
  </si>
  <si>
    <t>경상남도 창원시 진해구 석동 407</t>
  </si>
  <si>
    <t>경상남도 창원시 진해구 진해대로763번길 19</t>
  </si>
  <si>
    <t>진해석동우림필유</t>
  </si>
  <si>
    <t>2008.03.</t>
  </si>
  <si>
    <t>https://new.land.naver.com/complexes/25487?tab=detail&amp;rf=Y</t>
  </si>
  <si>
    <t>경상남도 창원시 진해구 석동 675</t>
  </si>
  <si>
    <t>경상남도 창원시 진해구 해원로 45</t>
  </si>
  <si>
    <t>175B</t>
  </si>
  <si>
    <t>177A</t>
  </si>
  <si>
    <t>195B</t>
  </si>
  <si>
    <t>196A</t>
  </si>
  <si>
    <t>벚꽃그린빌주공4단지</t>
  </si>
  <si>
    <t>2003.07.</t>
  </si>
  <si>
    <t>https://new.land.naver.com/complexes/13135?tab=detail&amp;rf=Y</t>
  </si>
  <si>
    <t>경상남도 창원시 진해구 석동 659</t>
  </si>
  <si>
    <t>경상남도 창원시 진해구 석동로 80</t>
  </si>
  <si>
    <t>진해한림</t>
  </si>
  <si>
    <t>https://new.land.naver.com/complexes/7559?tab=detail&amp;rf=Y</t>
  </si>
  <si>
    <t>경상남도 창원시 진해구 석동 607</t>
  </si>
  <si>
    <t>경상남도 창원시 진해구 진해대로728번길 8-36</t>
  </si>
  <si>
    <t>벚꽃그린빌주공2단지</t>
  </si>
  <si>
    <t>https://new.land.naver.com/complexes/16754?tab=detail&amp;rf=Y</t>
  </si>
  <si>
    <t>경상남도 창원시 진해구 석동 660</t>
  </si>
  <si>
    <t>경상남도 창원시 진해구 냉천로107번길 14</t>
  </si>
  <si>
    <t>주공</t>
  </si>
  <si>
    <t>1991.11.</t>
  </si>
  <si>
    <t>https://new.land.naver.com/complexes/7555?tab=detail&amp;rf=Y</t>
  </si>
  <si>
    <t>경상남도 창원시 진해구 석동 90-1</t>
  </si>
  <si>
    <t>경상남도 창원시 진해구 냉천로 52</t>
  </si>
  <si>
    <t>54A</t>
  </si>
  <si>
    <t>55B</t>
  </si>
  <si>
    <t>57A</t>
  </si>
  <si>
    <t>58B</t>
  </si>
  <si>
    <t>[속천동]</t>
  </si>
  <si>
    <t>네오비치</t>
  </si>
  <si>
    <t>2003.04.</t>
  </si>
  <si>
    <t>https://new.land.naver.com/complexes/103794?tab=detail&amp;rf=Y</t>
  </si>
  <si>
    <t>경상남도 창원시 진해구 속천동 2-7</t>
  </si>
  <si>
    <t>속천동</t>
  </si>
  <si>
    <t>경상남도 창원시 진해구 속천로 65</t>
  </si>
  <si>
    <t>수창블루안</t>
  </si>
  <si>
    <t>2004.06.</t>
  </si>
  <si>
    <t>https://new.land.naver.com/complexes/103793?tab=detail&amp;rf=Y</t>
  </si>
  <si>
    <t>경상남도 창원시 진해구 속천동 1-3</t>
  </si>
  <si>
    <t>경상남도 창원시 진해구 속천로 58</t>
  </si>
  <si>
    <t>진해유진에코블루스카이</t>
  </si>
  <si>
    <t>2015.05.</t>
  </si>
  <si>
    <t>86A</t>
  </si>
  <si>
    <t>https://new.land.naver.com/complexes/109497?tab=detail&amp;rf=Y</t>
  </si>
  <si>
    <t>경상남도 창원시 진해구 속천동 7</t>
  </si>
  <si>
    <t>경상남도 창원시 진해구 속천로 45</t>
  </si>
  <si>
    <t>87C</t>
  </si>
  <si>
    <t>87B</t>
  </si>
  <si>
    <t>[안골동]</t>
  </si>
  <si>
    <t>창원마린푸르지오2차</t>
  </si>
  <si>
    <t>2016.10.</t>
  </si>
  <si>
    <t>https://new.land.naver.com/complexes/109158?tab=detail&amp;rf=Y</t>
  </si>
  <si>
    <t>경상남도 창원시 진해구 안골동 375</t>
  </si>
  <si>
    <t>안골동</t>
  </si>
  <si>
    <t>경상남도 창원시 진해구 안골로298번길 26</t>
  </si>
  <si>
    <t>99B</t>
  </si>
  <si>
    <t>[여좌동]</t>
  </si>
  <si>
    <t>금화골든파크</t>
  </si>
  <si>
    <t>2004.12.</t>
  </si>
  <si>
    <t>41A</t>
  </si>
  <si>
    <t>https://new.land.naver.com/complexes/23582?tab=detail&amp;rf=Y</t>
  </si>
  <si>
    <t>경상남도 창원시 진해구 여좌동 761-48</t>
  </si>
  <si>
    <t>여좌동</t>
  </si>
  <si>
    <t>경상남도 창원시 진해구 충장로 79</t>
  </si>
  <si>
    <t>42B</t>
  </si>
  <si>
    <t>43C</t>
  </si>
  <si>
    <t>헤븐하임</t>
  </si>
  <si>
    <t>https://new.land.naver.com/complexes/122749?tab=detail&amp;rf=Y</t>
  </si>
  <si>
    <t>경상남도 창원시 진해구 여좌동 797-1</t>
  </si>
  <si>
    <t>경상남도 창원시 진해구 충장로 147</t>
  </si>
  <si>
    <t>104A</t>
  </si>
  <si>
    <t>동원베이힐즈</t>
  </si>
  <si>
    <t>https://new.land.naver.com/complexes/134491?tab=detail&amp;rf=Y</t>
  </si>
  <si>
    <t>경상남도 창원시 진해구 여좌동 760-56</t>
  </si>
  <si>
    <t>경상남도 창원시 진해구 여명로 4</t>
  </si>
  <si>
    <t>대광</t>
  </si>
  <si>
    <t>1996.10.</t>
  </si>
  <si>
    <t>https://new.land.naver.com/complexes/7563?tab=detail&amp;rf=Y</t>
  </si>
  <si>
    <t>경상남도 창원시 진해구 여좌동 760-24</t>
  </si>
  <si>
    <t>경상남도 창원시 진해구 여명로16번길 22</t>
  </si>
  <si>
    <t>[용원동]</t>
  </si>
  <si>
    <t>부산신항만이지더원1단지</t>
  </si>
  <si>
    <t>https://new.land.naver.com/complexes/105289?tab=detail&amp;rf=Y</t>
  </si>
  <si>
    <t>경상남도 창원시 진해구 용원동 1338-2</t>
  </si>
  <si>
    <t>용원동</t>
  </si>
  <si>
    <t>경상남도 창원시 진해구 신항동로 143</t>
  </si>
  <si>
    <t>부산신항만이지더원2단지</t>
  </si>
  <si>
    <t>https://new.land.naver.com/complexes/105290?tab=detail&amp;rf=Y</t>
  </si>
  <si>
    <t>경상남도 창원시 진해구 용원동 1338-3</t>
  </si>
  <si>
    <t>경상남도 창원시 진해구 신항북로 202</t>
  </si>
  <si>
    <t>일신님</t>
  </si>
  <si>
    <t>https://new.land.naver.com/complexes/15440?tab=detail&amp;rf=Y</t>
  </si>
  <si>
    <t>경상남도 창원시 진해구 용원동 1208</t>
  </si>
  <si>
    <t>경상남도 창원시 진해구 안골로 359</t>
  </si>
  <si>
    <t>부산신항사랑으로부영6블럭</t>
  </si>
  <si>
    <t>2019.06.</t>
  </si>
  <si>
    <t>112A</t>
  </si>
  <si>
    <t>https://new.land.naver.com/complexes/128363?tab=detail&amp;rf=Y</t>
  </si>
  <si>
    <t>경상남도 창원시 진해구 용원동 1338</t>
  </si>
  <si>
    <t>경상남도 창원시 진해구 신항5로 56</t>
  </si>
  <si>
    <t>113B</t>
  </si>
  <si>
    <t>113C</t>
  </si>
  <si>
    <t>코아루</t>
  </si>
  <si>
    <t>2005.09.</t>
  </si>
  <si>
    <t>https://new.land.naver.com/complexes/13909?tab=detail&amp;rf=Y</t>
  </si>
  <si>
    <t>경상남도 창원시 진해구 용원동 1209</t>
  </si>
  <si>
    <t>경상남도 창원시 진해구 안골로 339</t>
  </si>
  <si>
    <t>재상베네스타운</t>
  </si>
  <si>
    <t>2003.09.</t>
  </si>
  <si>
    <t>https://new.land.naver.com/complexes/107551?tab=detail&amp;rf=Y</t>
  </si>
  <si>
    <t>경상남도 창원시 진해구 용원동 1135-6</t>
  </si>
  <si>
    <t>경상남도 창원시 진해구 용원남로7번길 16</t>
  </si>
  <si>
    <t>애플타운헤리티지(도시형)</t>
  </si>
  <si>
    <t>https://new.land.naver.com/complexes/123264?tab=detail&amp;rf=Y</t>
  </si>
  <si>
    <t>경상남도 창원시 진해구 용원동 1340</t>
  </si>
  <si>
    <t>경상남도 창원시 진해구 신항동로 141</t>
  </si>
  <si>
    <t>82B</t>
  </si>
  <si>
    <t>현대</t>
  </si>
  <si>
    <t>1998.12.</t>
  </si>
  <si>
    <t>https://new.land.naver.com/complexes/7566?tab=detail&amp;rf=Y</t>
  </si>
  <si>
    <t>경상남도 창원시 진해구 용원동 1206</t>
  </si>
  <si>
    <t>경상남도 창원시 진해구 안청북로 42</t>
  </si>
  <si>
    <t>[이동]</t>
  </si>
  <si>
    <t>뉴중앙하이츠(도시형)</t>
  </si>
  <si>
    <t>2013.10.</t>
  </si>
  <si>
    <t>https://new.land.naver.com/complexes/112965?tab=detail&amp;rf=Y</t>
  </si>
  <si>
    <t>경상남도 창원시 진해구 이동 398-2</t>
  </si>
  <si>
    <t>이동</t>
  </si>
  <si>
    <t>경상남도 창원시 진해구 천자로 13</t>
  </si>
  <si>
    <t>진해이동미소지움1단지</t>
  </si>
  <si>
    <t>2007.11.</t>
  </si>
  <si>
    <t>https://new.land.naver.com/complexes/27327?tab=detail&amp;rf=Y</t>
  </si>
  <si>
    <t>경상남도 창원시 진해구 이동 2-3</t>
  </si>
  <si>
    <t>경상남도 창원시 진해구 동진로21번길 17</t>
  </si>
  <si>
    <t>보람더좋은</t>
  </si>
  <si>
    <t>2012.12.</t>
  </si>
  <si>
    <t>https://new.land.naver.com/complexes/106618?tab=detail&amp;rf=Y</t>
  </si>
  <si>
    <t>경상남도 창원시 진해구 이동 505-5</t>
  </si>
  <si>
    <t>경상남도 창원시 진해구 진해대로728번길 8-27</t>
  </si>
  <si>
    <t>남흥</t>
  </si>
  <si>
    <t>1991.12.</t>
  </si>
  <si>
    <t>https://new.land.naver.com/complexes/7568?tab=detail&amp;rf=Y</t>
  </si>
  <si>
    <t>경상남도 창원시 진해구 이동 418-1</t>
  </si>
  <si>
    <t>경상남도 창원시 진해구 해원로 5</t>
  </si>
  <si>
    <t>진해이동미소지움2단지</t>
  </si>
  <si>
    <t>https://new.land.naver.com/complexes/27328?tab=detail&amp;rf=Y</t>
  </si>
  <si>
    <t>경상남도 창원시 진해구 이동 3-3</t>
  </si>
  <si>
    <t>경상남도 창원시 진해구 동진로21번길 12</t>
  </si>
  <si>
    <t>일루스빌</t>
  </si>
  <si>
    <t>2003.08.</t>
  </si>
  <si>
    <t>https://new.land.naver.com/complexes/111202?tab=detail&amp;rf=Y</t>
  </si>
  <si>
    <t>경상남도 창원시 진해구 이동 462-3</t>
  </si>
  <si>
    <t>경상남도 창원시 진해구 진해대로776번길 31</t>
  </si>
  <si>
    <t>진해이동디에스아이존빌</t>
  </si>
  <si>
    <t>2008.10.</t>
  </si>
  <si>
    <t>121A</t>
  </si>
  <si>
    <t>https://new.land.naver.com/complexes/26752?tab=detail&amp;rf=Y</t>
  </si>
  <si>
    <t>경상남도 창원시 진해구 이동 445-2</t>
  </si>
  <si>
    <t>경상남도 창원시 진해구 병암로 20</t>
  </si>
  <si>
    <t>122B</t>
  </si>
  <si>
    <t>보람더좋은퍼스트(도시형)</t>
  </si>
  <si>
    <t>2014.09.</t>
  </si>
  <si>
    <t>71A</t>
  </si>
  <si>
    <t>https://new.land.naver.com/complexes/118239?tab=detail&amp;rf=Y</t>
  </si>
  <si>
    <t>경상남도 창원시 진해구 이동 520-4</t>
  </si>
  <si>
    <t>경상남도 창원시 진해구 병암로7번길 8-25</t>
  </si>
  <si>
    <t>71B</t>
  </si>
  <si>
    <t>71D</t>
  </si>
  <si>
    <t>[인의동]</t>
  </si>
  <si>
    <t>성신아트</t>
  </si>
  <si>
    <t>1995.01.</t>
  </si>
  <si>
    <t>69A</t>
  </si>
  <si>
    <t>https://new.land.naver.com/complexes/100836?tab=detail&amp;rf=Y</t>
  </si>
  <si>
    <t>경상남도 창원시 진해구 인의동 28</t>
  </si>
  <si>
    <t>인의동</t>
  </si>
  <si>
    <t>경상남도 창원시 진해구 태평로34번길 11</t>
  </si>
  <si>
    <t>70C</t>
  </si>
  <si>
    <t>70B</t>
  </si>
  <si>
    <t>[자은동]</t>
  </si>
  <si>
    <t>중앙네이빌</t>
  </si>
  <si>
    <t>75A</t>
  </si>
  <si>
    <t>https://new.land.naver.com/complexes/137093?tab=detail&amp;rf=Y</t>
  </si>
  <si>
    <t>경상남도 창원시 진해구 자은동 383</t>
  </si>
  <si>
    <t>자은동</t>
  </si>
  <si>
    <t>경상남도 창원시 진해구 자은로88번길 32</t>
  </si>
  <si>
    <t>76B</t>
  </si>
  <si>
    <t>자은프라임</t>
  </si>
  <si>
    <t>https://new.land.naver.com/complexes/106127?tab=detail&amp;rf=Y</t>
  </si>
  <si>
    <t>경상남도 창원시 진해구 자은동 121</t>
  </si>
  <si>
    <t>경상남도 창원시 진해구 냉천로 257</t>
  </si>
  <si>
    <t>81C</t>
  </si>
  <si>
    <t>81D</t>
  </si>
  <si>
    <t>101C</t>
  </si>
  <si>
    <t>114A</t>
  </si>
  <si>
    <t>115B</t>
  </si>
  <si>
    <t>자은솔라움</t>
  </si>
  <si>
    <t>2005.12.</t>
  </si>
  <si>
    <t>https://new.land.naver.com/complexes/135803?tab=detail&amp;rf=Y</t>
  </si>
  <si>
    <t>경상남도 창원시 진해구 자은동 392</t>
  </si>
  <si>
    <t>경상남도 창원시 진해구 자은로88번길 42</t>
  </si>
  <si>
    <t>성원</t>
  </si>
  <si>
    <t>1995.09.</t>
  </si>
  <si>
    <t>https://new.land.naver.com/complexes/7577?tab=detail&amp;rf=Y</t>
  </si>
  <si>
    <t>경상남도 창원시 진해구 자은동 911</t>
  </si>
  <si>
    <t>경상남도 창원시 진해구 냉천로108번길 6</t>
  </si>
  <si>
    <t>창원자은에일린의뜰</t>
  </si>
  <si>
    <t>2017.10.</t>
  </si>
  <si>
    <t>https://new.land.naver.com/complexes/110474?tab=detail&amp;rf=Y</t>
  </si>
  <si>
    <t>경상남도 창원시 진해구 자은동 114</t>
  </si>
  <si>
    <t>경상남도 창원시 진해구 냉천로 235</t>
  </si>
  <si>
    <t>132A</t>
  </si>
  <si>
    <t>132B</t>
  </si>
  <si>
    <t>대동빌라트1단지</t>
  </si>
  <si>
    <t>1996.12.</t>
  </si>
  <si>
    <t>https://new.land.naver.com/complexes/7573?tab=detail&amp;rf=Y</t>
  </si>
  <si>
    <t>경상남도 창원시 진해구 자은동 910</t>
  </si>
  <si>
    <t>경상남도 창원시 진해구 냉천로 88</t>
  </si>
  <si>
    <t>진해자은벚꽃주공</t>
  </si>
  <si>
    <t>2000.08.</t>
  </si>
  <si>
    <t>80A</t>
  </si>
  <si>
    <t>https://new.land.naver.com/complexes/7579?tab=detail&amp;rf=Y</t>
  </si>
  <si>
    <t>경상남도 창원시 진해구 자은동 834-1</t>
  </si>
  <si>
    <t>경상남도 창원시 진해구 진해대로921번길 10</t>
  </si>
  <si>
    <t>80B</t>
  </si>
  <si>
    <t>자은월드메르디앙</t>
  </si>
  <si>
    <t>2008.01.</t>
  </si>
  <si>
    <t>https://new.land.naver.com/complexes/26576?tab=detail&amp;rf=Y</t>
  </si>
  <si>
    <t>경상남도 창원시 진해구 자은동 284-1</t>
  </si>
  <si>
    <t>경상남도 창원시 진해구 자은로64번가길 26</t>
  </si>
  <si>
    <t>114C</t>
  </si>
  <si>
    <t>대동빌라트2차</t>
  </si>
  <si>
    <t>https://new.land.naver.com/complexes/15716?tab=detail&amp;rf=Y</t>
  </si>
  <si>
    <t>경상남도 창원시 진해구 자은동 977-1</t>
  </si>
  <si>
    <t>경상남도 창원시 진해구 냉천로108번길 5-16</t>
  </si>
  <si>
    <t>원창베스트빌</t>
  </si>
  <si>
    <t>2003.11.</t>
  </si>
  <si>
    <t>https://new.land.naver.com/complexes/106408?tab=detail&amp;rf=Y</t>
  </si>
  <si>
    <t>경상남도 창원시 진해구 자은동 661-1</t>
  </si>
  <si>
    <t>경상남도 창원시 진해구 풍호로35번길 19</t>
  </si>
  <si>
    <t>협성DS이아이존빌</t>
  </si>
  <si>
    <t>2014.06.</t>
  </si>
  <si>
    <t>https://new.land.naver.com/complexes/105297?tab=detail&amp;rf=Y</t>
  </si>
  <si>
    <t>경상남도 창원시 진해구 자은동 663</t>
  </si>
  <si>
    <t>경상남도 창원시 진해구 풍호로35번길 11</t>
  </si>
  <si>
    <t>자은더샵</t>
  </si>
  <si>
    <t>https://new.land.naver.com/complexes/14467?tab=detail&amp;rf=Y</t>
  </si>
  <si>
    <t>경상남도 창원시 진해구 자은동 525-3</t>
  </si>
  <si>
    <t>경상남도 창원시 진해구 진해대로975번길 26</t>
  </si>
  <si>
    <t>자은중흥S-클래스</t>
  </si>
  <si>
    <t>https://new.land.naver.com/complexes/108775?tab=detail&amp;rf=Y</t>
  </si>
  <si>
    <t>경상남도 창원시 진해구 자은동 125</t>
  </si>
  <si>
    <t>경상남도 창원시 진해구 냉천로 262</t>
  </si>
  <si>
    <t>삼성</t>
  </si>
  <si>
    <t>1993.07.</t>
  </si>
  <si>
    <t>https://new.land.naver.com/complexes/7575?tab=detail&amp;rf=Y</t>
  </si>
  <si>
    <t>경상남도 창원시 진해구 자은동 849</t>
  </si>
  <si>
    <t>경상남도 창원시 진해구 자은로64번길 40</t>
  </si>
  <si>
    <t>[장천동]</t>
  </si>
  <si>
    <t>창원한신휴플러스오션파크</t>
  </si>
  <si>
    <t>2016.05.</t>
  </si>
  <si>
    <t>89A</t>
  </si>
  <si>
    <t>https://new.land.naver.com/complexes/108397?tab=detail&amp;rf=Y</t>
  </si>
  <si>
    <t>경상남도 창원시 진해구 장천동 260</t>
  </si>
  <si>
    <t>장천동</t>
  </si>
  <si>
    <t>경상남도 창원시 진해구 행암로 5</t>
  </si>
  <si>
    <t>90B</t>
  </si>
  <si>
    <t>109D</t>
  </si>
  <si>
    <t>109E</t>
  </si>
  <si>
    <t>109C</t>
  </si>
  <si>
    <t>109F</t>
  </si>
  <si>
    <t>진해장천대동다숲</t>
  </si>
  <si>
    <t>2007.12.</t>
  </si>
  <si>
    <t>https://new.land.naver.com/complexes/22971?tab=detail&amp;rf=Y</t>
  </si>
  <si>
    <t>경상남도 창원시 진해구 장천동 119-12</t>
  </si>
  <si>
    <t>경상남도 창원시 진해구 행암로 25</t>
  </si>
  <si>
    <t>벽산e솔렌스힐</t>
  </si>
  <si>
    <t>2008.07.</t>
  </si>
  <si>
    <t>https://new.land.naver.com/complexes/26961?tab=detail&amp;rf=Y</t>
  </si>
  <si>
    <t>경상남도 창원시 진해구 장천동 132</t>
  </si>
  <si>
    <t>경상남도 창원시 진해구 진해대로1099번길 10</t>
  </si>
  <si>
    <t>[제황산동]</t>
  </si>
  <si>
    <t>대암그린비치맨션</t>
  </si>
  <si>
    <t>1991.10.</t>
  </si>
  <si>
    <t>https://new.land.naver.com/complexes/24632?tab=detail&amp;rf=Y</t>
  </si>
  <si>
    <t>경상남도 창원시 진해구 제황산동 25-52</t>
  </si>
  <si>
    <t>제황산동</t>
  </si>
  <si>
    <t>경상남도 창원시 진해구 속천로23번길 9</t>
  </si>
  <si>
    <t>평화그린파크</t>
  </si>
  <si>
    <t>1996.08.</t>
  </si>
  <si>
    <t>https://new.land.naver.com/complexes/101005?tab=detail&amp;rf=Y</t>
  </si>
  <si>
    <t>경상남도 창원시 진해구 제황산동 26-4</t>
  </si>
  <si>
    <t>경상남도 창원시 진해구 제황로 10</t>
  </si>
  <si>
    <t>[청안동]</t>
  </si>
  <si>
    <t>부영2차</t>
  </si>
  <si>
    <t>https://new.land.naver.com/complexes/23949?tab=detail&amp;rf=Y</t>
  </si>
  <si>
    <t>경상남도 창원시 진해구 청안동 474</t>
  </si>
  <si>
    <t>청안동</t>
  </si>
  <si>
    <t>경상남도 창원시 진해구 안청북로 12</t>
  </si>
  <si>
    <t>부영3차</t>
  </si>
  <si>
    <t>2003.02.</t>
  </si>
  <si>
    <t>https://new.land.naver.com/complexes/23960?tab=detail&amp;rf=Y</t>
  </si>
  <si>
    <t>경상남도 창원시 진해구 청안동 473</t>
  </si>
  <si>
    <t>경상남도 창원시 진해구 안청북로 15</t>
  </si>
  <si>
    <t>부영1차</t>
  </si>
  <si>
    <t>2002.01.</t>
  </si>
  <si>
    <t>https://new.land.naver.com/complexes/23943?tab=detail&amp;rf=Y</t>
  </si>
  <si>
    <t>경상남도 창원시 진해구 청안동 477</t>
  </si>
  <si>
    <t>경상남도 창원시 진해구 안청남로 13</t>
  </si>
  <si>
    <t>풍림</t>
  </si>
  <si>
    <t>2000.12.</t>
  </si>
  <si>
    <t>https://new.land.naver.com/complexes/7583?tab=detail&amp;rf=Y</t>
  </si>
  <si>
    <t>경상남도 창원시 진해구 청안동 472</t>
  </si>
  <si>
    <t>경상남도 창원시 진해구 안청북로 39</t>
  </si>
  <si>
    <t>해인로즈빌</t>
  </si>
  <si>
    <t>2002.04.</t>
  </si>
  <si>
    <t>77C</t>
  </si>
  <si>
    <t>https://new.land.naver.com/complexes/14208?tab=detail&amp;rf=Y</t>
  </si>
  <si>
    <t>경상남도 창원시 진해구 청안동 471</t>
  </si>
  <si>
    <t>경상남도 창원시 진해구 안청로 126</t>
  </si>
  <si>
    <t>78A</t>
  </si>
  <si>
    <t>[충무동]</t>
  </si>
  <si>
    <t>마린힐즈</t>
  </si>
  <si>
    <t>2020.07.</t>
  </si>
  <si>
    <t>https://new.land.naver.com/complexes/138832?tab=detail&amp;rf=Y</t>
  </si>
  <si>
    <t>경상남도 창원시 진해구 충무동 5-10</t>
  </si>
  <si>
    <t>충무동</t>
  </si>
  <si>
    <t>경상남도 창원시 진해구 충장로52번길 3</t>
  </si>
  <si>
    <t>더프라임</t>
  </si>
  <si>
    <t>https://new.land.naver.com/complexes/122746?tab=detail&amp;rf=Y</t>
  </si>
  <si>
    <t>경상남도 창원시 진해구 충무동 28-8</t>
  </si>
  <si>
    <t>경상남도 창원시 진해구 충장로 160</t>
  </si>
  <si>
    <t>[태백동]</t>
  </si>
  <si>
    <t>원창시인의마을</t>
  </si>
  <si>
    <t>2002.11.</t>
  </si>
  <si>
    <t>https://new.land.naver.com/complexes/100854?tab=detail&amp;rf=Y</t>
  </si>
  <si>
    <t>경상남도 창원시 진해구 태백동 4-1</t>
  </si>
  <si>
    <t>태백동</t>
  </si>
  <si>
    <t>경상남도 창원시 진해구 태백서로45번길 3</t>
  </si>
  <si>
    <t>[태평동]</t>
  </si>
  <si>
    <t>미래골든빌</t>
  </si>
  <si>
    <t>2007.10.</t>
  </si>
  <si>
    <t>https://new.land.naver.com/complexes/27197?tab=detail&amp;rf=Y</t>
  </si>
  <si>
    <t>경상남도 창원시 진해구 태평동 17</t>
  </si>
  <si>
    <t>태평동</t>
  </si>
  <si>
    <t>경상남도 창원시 진해구 태평로7번길 3</t>
  </si>
  <si>
    <t>진해태평신생</t>
  </si>
  <si>
    <t>1993.01.</t>
  </si>
  <si>
    <t>https://new.land.naver.com/complexes/100856?tab=detail&amp;rf=Y</t>
  </si>
  <si>
    <t>경상남도 창원시 진해구 태평동 86-52</t>
  </si>
  <si>
    <t>경상남도 창원시 진해구 진희로 9</t>
  </si>
  <si>
    <t>[풍호동]</t>
  </si>
  <si>
    <t>평화마을</t>
  </si>
  <si>
    <t>2000.05.</t>
  </si>
  <si>
    <t>https://new.land.naver.com/complexes/16758?tab=detail&amp;rf=Y</t>
  </si>
  <si>
    <t>경상남도 창원시 진해구 풍호동 483-10</t>
  </si>
  <si>
    <t>풍호동</t>
  </si>
  <si>
    <t>경상남도 창원시 진해구 충장로603번길 10</t>
  </si>
  <si>
    <t>경동윈츠빌</t>
  </si>
  <si>
    <t>2004.05.</t>
  </si>
  <si>
    <t>https://new.land.naver.com/complexes/13136?tab=detail&amp;rf=Y</t>
  </si>
  <si>
    <t>경상남도 창원시 진해구 풍호동 731-1</t>
  </si>
  <si>
    <t>경상남도 창원시 진해구 풍호로3번길 14</t>
  </si>
  <si>
    <t>창원마린푸르지오1단지</t>
  </si>
  <si>
    <t>2015.10.</t>
  </si>
  <si>
    <t>https://new.land.naver.com/complexes/106560?tab=detail&amp;rf=Y</t>
  </si>
  <si>
    <t>경상남도 창원시 진해구 풍호동 305-8</t>
  </si>
  <si>
    <t>경상남도 창원시 진해구 천자로 386</t>
  </si>
  <si>
    <t>97D</t>
  </si>
  <si>
    <t>98C</t>
  </si>
  <si>
    <t>104B</t>
  </si>
  <si>
    <t>114B</t>
  </si>
  <si>
    <t>녹수</t>
  </si>
  <si>
    <t>1991.04.</t>
  </si>
  <si>
    <t>https://new.land.naver.com/complexes/120264?tab=detail&amp;rf=Y</t>
  </si>
  <si>
    <t>경상남도 창원시 진해구 풍호동 101-6</t>
  </si>
  <si>
    <t>경상남도 창원시 진해구 진해대로1033번길 17</t>
  </si>
  <si>
    <t>신광</t>
  </si>
  <si>
    <t>1990.09.</t>
  </si>
  <si>
    <t>https://new.land.naver.com/complexes/119602?tab=detail&amp;rf=Y</t>
  </si>
  <si>
    <t>경상남도 창원시 진해구 풍호동 325</t>
  </si>
  <si>
    <t>경상남도 창원시 진해구 천자로385번길 9</t>
  </si>
  <si>
    <t>54E</t>
  </si>
  <si>
    <t>55A</t>
  </si>
  <si>
    <t>55C</t>
  </si>
  <si>
    <t>56D</t>
  </si>
  <si>
    <t>56F</t>
  </si>
  <si>
    <t>82A</t>
  </si>
  <si>
    <t>디에스아이존빌</t>
  </si>
  <si>
    <t>https://new.land.naver.com/complexes/11437?tab=detail&amp;rf=Y</t>
  </si>
  <si>
    <t>경상남도 창원시 진해구 풍호동 83-101</t>
  </si>
  <si>
    <t>경상남도 창원시 진해구 풍호로42번길 15</t>
  </si>
  <si>
    <t>우성</t>
  </si>
  <si>
    <t>1993.12.</t>
  </si>
  <si>
    <t>https://new.land.naver.com/complexes/7589?tab=detail&amp;rf=Y</t>
  </si>
  <si>
    <t>경상남도 창원시 진해구 풍호동 83-3</t>
  </si>
  <si>
    <t>경상남도 창원시 진해구 충장로 575</t>
  </si>
  <si>
    <t>토원</t>
  </si>
  <si>
    <t>https://new.land.naver.com/complexes/117500?tab=detail&amp;rf=Y</t>
  </si>
  <si>
    <t>경상남도 창원시 진해구 풍호동 807-3</t>
  </si>
  <si>
    <t>경상남도 창원시 진해구 천자로413번길 5</t>
  </si>
  <si>
    <t>부길</t>
  </si>
  <si>
    <t>1996.11.</t>
  </si>
  <si>
    <t>https://new.land.naver.com/complexes/122172?tab=detail&amp;rf=Y</t>
  </si>
  <si>
    <t>경상남도 창원시 진해구 풍호동 650</t>
  </si>
  <si>
    <t>경상남도 창원시 진해구 충장로575번길 24</t>
  </si>
  <si>
    <t>풍호시영</t>
  </si>
  <si>
    <t>1991.01.</t>
  </si>
  <si>
    <t>https://new.land.naver.com/complexes/7588?tab=detail&amp;rf=Y</t>
  </si>
  <si>
    <t>경상남도 창원시 진해구 풍호동 75-1</t>
  </si>
  <si>
    <t>경상남도 창원시 진해구 진해대로1041번길 35</t>
  </si>
  <si>
    <t>금화골든뷰</t>
  </si>
  <si>
    <t>2006.02.</t>
  </si>
  <si>
    <t>https://new.land.naver.com/complexes/143260?tab=detail&amp;rf=Y</t>
  </si>
  <si>
    <t>경상남도 창원시 진해구 풍호동 814-6</t>
  </si>
  <si>
    <t>경상남도 창원시 진해구 진해대로1047번길 13</t>
  </si>
  <si>
    <t>샛별마을</t>
  </si>
  <si>
    <t>https://new.land.naver.com/complexes/117157?tab=detail&amp;rf=Y</t>
  </si>
  <si>
    <t>경상남도 창원시 진해구 풍호동 735-6</t>
  </si>
  <si>
    <t>경상남도 창원시 진해구 동진로 177</t>
  </si>
  <si>
    <t>창원마린푸르지오2단지</t>
  </si>
  <si>
    <t>https://new.land.naver.com/complexes/106561?tab=detail&amp;rf=Y</t>
  </si>
  <si>
    <t>경상남도 창원시 진해구 풍호동 305-17</t>
  </si>
  <si>
    <t>경상남도 창원시 진해구 충장로657번길 35</t>
  </si>
  <si>
    <t>1990.08.</t>
  </si>
  <si>
    <t>https://new.land.naver.com/complexes/7593?tab=detail&amp;rf=Y</t>
  </si>
  <si>
    <t>경상남도 창원시 진해구 풍호동 744</t>
  </si>
  <si>
    <t>경상남도 창원시 진해구 동진로 166</t>
  </si>
  <si>
    <t>49S</t>
  </si>
  <si>
    <t>57S</t>
  </si>
  <si>
    <t>풍호한림리츠빌</t>
  </si>
  <si>
    <t>2005.06.</t>
  </si>
  <si>
    <t>https://new.land.naver.com/complexes/13116?tab=detail&amp;rf=Y</t>
  </si>
  <si>
    <t>경상남도 창원시 진해구 풍호동 83-77</t>
  </si>
  <si>
    <t>경상남도 창원시 진해구 풍호로 68</t>
  </si>
  <si>
    <t>[화천동]</t>
  </si>
  <si>
    <t>중앙상가</t>
  </si>
  <si>
    <t>1980.12.</t>
  </si>
  <si>
    <t>https://new.land.naver.com/complexes/128748?tab=detail&amp;rf=Y</t>
  </si>
  <si>
    <t>경상남도 창원시 진해구 화천동 50-10</t>
  </si>
  <si>
    <t>화천동</t>
  </si>
  <si>
    <t>경상남도 창원시 진해구 벚꽃로60번길 9-6</t>
  </si>
  <si>
    <t>중앙</t>
  </si>
  <si>
    <t>2018.09.</t>
  </si>
  <si>
    <t>106A</t>
  </si>
  <si>
    <t>https://new.land.naver.com/complexes/142402?tab=detail&amp;rf=Y</t>
  </si>
  <si>
    <t>경상남도 창원시 진해구 화천동 8-1</t>
  </si>
  <si>
    <t>경상남도 창원시 진해구 중원로85번길 17</t>
  </si>
  <si>
    <t>태연빌리지</t>
  </si>
  <si>
    <t>2015.06.</t>
  </si>
  <si>
    <t>https://new.land.naver.com/complexes/120753?tab=detail&amp;rf=Y</t>
  </si>
  <si>
    <t>경상남도 창원시 진해구 화천동 10-1</t>
  </si>
  <si>
    <t>경상남도 창원시 진해구 중원로85번길 15</t>
  </si>
  <si>
    <t>추출대상</t>
  </si>
  <si>
    <t>매전갭</t>
  </si>
  <si>
    <t>'17.02.</t>
  </si>
  <si>
    <t>중</t>
  </si>
  <si>
    <t>계</t>
  </si>
  <si>
    <t>A+</t>
  </si>
  <si>
    <t>B+</t>
  </si>
  <si>
    <t>11</t>
  </si>
  <si>
    <t>고</t>
  </si>
  <si>
    <t>'06.08.</t>
  </si>
  <si>
    <t>'18.12.</t>
  </si>
  <si>
    <t>'05.08.</t>
  </si>
  <si>
    <t>'86.11.</t>
  </si>
  <si>
    <t>5</t>
  </si>
  <si>
    <t>'05.11.</t>
  </si>
  <si>
    <t>'24.03.</t>
  </si>
  <si>
    <t>'19.01.</t>
  </si>
  <si>
    <t>'18.06.</t>
  </si>
  <si>
    <t>10</t>
  </si>
  <si>
    <t>24</t>
  </si>
  <si>
    <t>6</t>
  </si>
  <si>
    <t>'17.12.</t>
  </si>
  <si>
    <t>22</t>
  </si>
  <si>
    <t>15</t>
  </si>
  <si>
    <t>'17.04.</t>
  </si>
  <si>
    <t>'21.08.</t>
  </si>
  <si>
    <t>'09.02.</t>
  </si>
  <si>
    <t>'04.03.</t>
  </si>
  <si>
    <t>'08.08.</t>
  </si>
  <si>
    <t>'07.01.</t>
  </si>
  <si>
    <t>'06.04.</t>
  </si>
  <si>
    <t>14</t>
  </si>
  <si>
    <t>13</t>
  </si>
  <si>
    <t>12</t>
  </si>
  <si>
    <t>'03.03.</t>
  </si>
  <si>
    <t>'08.03.</t>
  </si>
  <si>
    <t>9</t>
  </si>
  <si>
    <t>'03.07.</t>
  </si>
  <si>
    <t>복</t>
  </si>
  <si>
    <t>'91.11.</t>
  </si>
  <si>
    <t>'16.10.</t>
  </si>
  <si>
    <t>'14.10.</t>
  </si>
  <si>
    <t>7</t>
  </si>
  <si>
    <t>'19.06.</t>
  </si>
  <si>
    <t>'05.09.</t>
  </si>
  <si>
    <t>'98.12.</t>
  </si>
  <si>
    <t>'91.12.</t>
  </si>
  <si>
    <t>'08.10.</t>
  </si>
  <si>
    <t>'15.05.</t>
  </si>
  <si>
    <t>8</t>
  </si>
  <si>
    <t>'95.09.</t>
  </si>
  <si>
    <t>'17.10.</t>
  </si>
  <si>
    <t>'96.12.</t>
  </si>
  <si>
    <t>'00.08.</t>
  </si>
  <si>
    <t>'08.01.</t>
  </si>
  <si>
    <t>'14.06.</t>
  </si>
  <si>
    <t>17</t>
  </si>
  <si>
    <t>'93.07.</t>
  </si>
  <si>
    <t>'16.05.</t>
  </si>
  <si>
    <t>21</t>
  </si>
  <si>
    <t>'07.12.</t>
  </si>
  <si>
    <t>'08.07.</t>
  </si>
  <si>
    <t>'02.05.</t>
  </si>
  <si>
    <t>'03.02.</t>
  </si>
  <si>
    <t>'02.01.</t>
  </si>
  <si>
    <t>'00.12.</t>
  </si>
  <si>
    <t>'02.04.</t>
  </si>
  <si>
    <t>'04.05.</t>
  </si>
  <si>
    <t>'15.10.</t>
  </si>
  <si>
    <t>16</t>
  </si>
  <si>
    <t>'93.12.</t>
  </si>
  <si>
    <t>'91.01.</t>
  </si>
  <si>
    <t>'90.08.</t>
  </si>
  <si>
    <t>'05.06.</t>
  </si>
  <si>
    <t>동명</t>
  </si>
  <si>
    <t>'19.04</t>
  </si>
  <si>
    <t>경화동 두산위브</t>
    <phoneticPr fontId="2" type="noConversion"/>
  </si>
  <si>
    <t>17.02.</t>
    <phoneticPr fontId="2" type="noConversion"/>
  </si>
  <si>
    <t>경화동 두산위브</t>
    <phoneticPr fontId="2" type="noConversion"/>
  </si>
  <si>
    <t>경화동 대동다숲</t>
    <phoneticPr fontId="2" type="noConversion"/>
  </si>
  <si>
    <t>06.08.</t>
    <phoneticPr fontId="2" type="noConversion"/>
  </si>
  <si>
    <t>경화동 창원경화베스티움</t>
    <phoneticPr fontId="2" type="noConversion"/>
  </si>
  <si>
    <t>18.12.</t>
    <phoneticPr fontId="2" type="noConversion"/>
  </si>
  <si>
    <t>경화동 경화삼정그린코아1단지</t>
    <phoneticPr fontId="2" type="noConversion"/>
  </si>
  <si>
    <t>05.08.</t>
    <phoneticPr fontId="2" type="noConversion"/>
  </si>
  <si>
    <t>경화동 경화주공</t>
    <phoneticPr fontId="2" type="noConversion"/>
  </si>
  <si>
    <t>86.11.</t>
    <phoneticPr fontId="2" type="noConversion"/>
  </si>
  <si>
    <t>경화동 포스코더샵</t>
    <phoneticPr fontId="2" type="noConversion"/>
  </si>
  <si>
    <t>05.11.</t>
    <phoneticPr fontId="2" type="noConversion"/>
  </si>
  <si>
    <t>남문동 진해남문리젠시빌란트더웰</t>
    <phoneticPr fontId="2" type="noConversion"/>
  </si>
  <si>
    <t>24.03.</t>
    <phoneticPr fontId="2" type="noConversion"/>
  </si>
  <si>
    <t>남문동 진해남문하우스디</t>
    <phoneticPr fontId="2" type="noConversion"/>
  </si>
  <si>
    <t>19.01.</t>
    <phoneticPr fontId="2" type="noConversion"/>
  </si>
  <si>
    <t>남문동 남문호반베르디움</t>
    <phoneticPr fontId="2" type="noConversion"/>
  </si>
  <si>
    <t>18.06.</t>
    <phoneticPr fontId="2" type="noConversion"/>
  </si>
  <si>
    <t>남문동 진해남문시티프라디움2차</t>
    <phoneticPr fontId="2" type="noConversion"/>
  </si>
  <si>
    <t>17.12.</t>
    <phoneticPr fontId="2" type="noConversion"/>
  </si>
  <si>
    <t>남문동 시티프라디움1차</t>
    <phoneticPr fontId="2" type="noConversion"/>
  </si>
  <si>
    <t>17.04.</t>
    <phoneticPr fontId="2" type="noConversion"/>
  </si>
  <si>
    <t>남양동 창원진해비전시티우방아이유쉘</t>
    <phoneticPr fontId="2" type="noConversion"/>
  </si>
  <si>
    <t>21.08.</t>
    <phoneticPr fontId="2" type="noConversion"/>
  </si>
  <si>
    <t>남양동 남양에스티엑스칸</t>
    <phoneticPr fontId="2" type="noConversion"/>
  </si>
  <si>
    <t>09.02.</t>
    <phoneticPr fontId="2" type="noConversion"/>
  </si>
  <si>
    <t>두동 청안해오름</t>
    <phoneticPr fontId="2" type="noConversion"/>
  </si>
  <si>
    <t>04.03.</t>
    <phoneticPr fontId="2" type="noConversion"/>
  </si>
  <si>
    <t>마천동 진해신항만경남아너스빌</t>
    <phoneticPr fontId="2" type="noConversion"/>
  </si>
  <si>
    <t>08.08.</t>
    <phoneticPr fontId="2" type="noConversion"/>
  </si>
  <si>
    <t>마천동 남명플럼빌리지</t>
    <phoneticPr fontId="2" type="noConversion"/>
  </si>
  <si>
    <t>부흥동 태영데시앙</t>
    <phoneticPr fontId="2" type="noConversion"/>
  </si>
  <si>
    <t>07.01.</t>
    <phoneticPr fontId="2" type="noConversion"/>
  </si>
  <si>
    <t>석동 진해GS자이</t>
    <phoneticPr fontId="2" type="noConversion"/>
  </si>
  <si>
    <t>06.04.</t>
    <phoneticPr fontId="2" type="noConversion"/>
  </si>
  <si>
    <t>석동 진해석동푸르지오</t>
    <phoneticPr fontId="2" type="noConversion"/>
  </si>
  <si>
    <t>석동 진해석동한솔솔파크1단지</t>
    <phoneticPr fontId="2" type="noConversion"/>
  </si>
  <si>
    <t>석동 벚꽃그린빌주공3단지</t>
    <phoneticPr fontId="2" type="noConversion"/>
  </si>
  <si>
    <t>03.03.</t>
    <phoneticPr fontId="2" type="noConversion"/>
  </si>
  <si>
    <t>03.03.</t>
    <phoneticPr fontId="2" type="noConversion"/>
  </si>
  <si>
    <t>석동 진해석동우림필유</t>
    <phoneticPr fontId="2" type="noConversion"/>
  </si>
  <si>
    <t>08.03.</t>
    <phoneticPr fontId="2" type="noConversion"/>
  </si>
  <si>
    <t>석동 벚꽃그린빌주공4단지</t>
    <phoneticPr fontId="2" type="noConversion"/>
  </si>
  <si>
    <t>03.07.</t>
    <phoneticPr fontId="2" type="noConversion"/>
  </si>
  <si>
    <t>석동 벚꽃그린빌주공2단지</t>
    <phoneticPr fontId="2" type="noConversion"/>
  </si>
  <si>
    <t>석동 주공</t>
    <phoneticPr fontId="2" type="noConversion"/>
  </si>
  <si>
    <t>91.11.</t>
    <phoneticPr fontId="2" type="noConversion"/>
  </si>
  <si>
    <t>석동 주공</t>
    <phoneticPr fontId="2" type="noConversion"/>
  </si>
  <si>
    <t>안골동 창원마린푸르지오2차</t>
    <phoneticPr fontId="2" type="noConversion"/>
  </si>
  <si>
    <t>16.10.</t>
    <phoneticPr fontId="2" type="noConversion"/>
  </si>
  <si>
    <t>안골동 창원마린푸르지오2차</t>
    <phoneticPr fontId="2" type="noConversion"/>
  </si>
  <si>
    <t>16.10.</t>
    <phoneticPr fontId="2" type="noConversion"/>
  </si>
  <si>
    <t>16.10.</t>
    <phoneticPr fontId="2" type="noConversion"/>
  </si>
  <si>
    <t>16.10.</t>
    <phoneticPr fontId="2" type="noConversion"/>
  </si>
  <si>
    <t>용원동 부산신항만이지더원1단지</t>
    <phoneticPr fontId="2" type="noConversion"/>
  </si>
  <si>
    <t>14.10.</t>
    <phoneticPr fontId="2" type="noConversion"/>
  </si>
  <si>
    <t>용원동 부산신항만이지더원1단지</t>
    <phoneticPr fontId="2" type="noConversion"/>
  </si>
  <si>
    <t>14.10.</t>
    <phoneticPr fontId="2" type="noConversion"/>
  </si>
  <si>
    <t>용원동 부산신항만이지더원2단지</t>
    <phoneticPr fontId="2" type="noConversion"/>
  </si>
  <si>
    <t>용원동 일신님</t>
    <phoneticPr fontId="2" type="noConversion"/>
  </si>
  <si>
    <t>용원동 일신님</t>
    <phoneticPr fontId="2" type="noConversion"/>
  </si>
  <si>
    <t>용원동 부산신항사랑으로부영6블럭</t>
    <phoneticPr fontId="2" type="noConversion"/>
  </si>
  <si>
    <t>19.06.</t>
    <phoneticPr fontId="2" type="noConversion"/>
  </si>
  <si>
    <t>용원동 부산신항사랑으로부영6블럭</t>
    <phoneticPr fontId="2" type="noConversion"/>
  </si>
  <si>
    <t>용원동 코아루</t>
    <phoneticPr fontId="2" type="noConversion"/>
  </si>
  <si>
    <t>05.09.</t>
    <phoneticPr fontId="2" type="noConversion"/>
  </si>
  <si>
    <t>용원동 코아루</t>
    <phoneticPr fontId="2" type="noConversion"/>
  </si>
  <si>
    <t>용원동 현대</t>
    <phoneticPr fontId="2" type="noConversion"/>
  </si>
  <si>
    <t>98.12.</t>
    <phoneticPr fontId="2" type="noConversion"/>
  </si>
  <si>
    <t>이동 남흥</t>
    <phoneticPr fontId="2" type="noConversion"/>
  </si>
  <si>
    <t>91.12.</t>
    <phoneticPr fontId="2" type="noConversion"/>
  </si>
  <si>
    <t>이동 진해이동디에스아이존빌</t>
    <phoneticPr fontId="2" type="noConversion"/>
  </si>
  <si>
    <t>08.10.</t>
    <phoneticPr fontId="2" type="noConversion"/>
  </si>
  <si>
    <t>이동 진해이동디에스아이존빌</t>
    <phoneticPr fontId="2" type="noConversion"/>
  </si>
  <si>
    <t>자은동 자은프라임</t>
    <phoneticPr fontId="2" type="noConversion"/>
  </si>
  <si>
    <t>15.05.</t>
    <phoneticPr fontId="2" type="noConversion"/>
  </si>
  <si>
    <t>자은동 자은프라임</t>
    <phoneticPr fontId="2" type="noConversion"/>
  </si>
  <si>
    <t>15.05.</t>
    <phoneticPr fontId="2" type="noConversion"/>
  </si>
  <si>
    <t>15.05.</t>
    <phoneticPr fontId="2" type="noConversion"/>
  </si>
  <si>
    <t>자은동 자은프라임</t>
    <phoneticPr fontId="2" type="noConversion"/>
  </si>
  <si>
    <t>자은동 성원</t>
    <phoneticPr fontId="2" type="noConversion"/>
  </si>
  <si>
    <t>95.09.</t>
    <phoneticPr fontId="2" type="noConversion"/>
  </si>
  <si>
    <t>자은동 창원자은에일린의뜰</t>
    <phoneticPr fontId="2" type="noConversion"/>
  </si>
  <si>
    <t>17.10.</t>
    <phoneticPr fontId="2" type="noConversion"/>
  </si>
  <si>
    <t>자은동 대동빌라트1단지</t>
    <phoneticPr fontId="2" type="noConversion"/>
  </si>
  <si>
    <t>96.12.</t>
    <phoneticPr fontId="2" type="noConversion"/>
  </si>
  <si>
    <t>자은동 진해자은벚꽃주공</t>
    <phoneticPr fontId="2" type="noConversion"/>
  </si>
  <si>
    <t>00.08.</t>
    <phoneticPr fontId="2" type="noConversion"/>
  </si>
  <si>
    <t>00.08.</t>
    <phoneticPr fontId="2" type="noConversion"/>
  </si>
  <si>
    <t>자은동 자은월드메르디앙</t>
    <phoneticPr fontId="2" type="noConversion"/>
  </si>
  <si>
    <t>08.01.</t>
    <phoneticPr fontId="2" type="noConversion"/>
  </si>
  <si>
    <t>자은동 자은월드메르디앙</t>
    <phoneticPr fontId="2" type="noConversion"/>
  </si>
  <si>
    <t>자은동 협성DS이아이존빌</t>
    <phoneticPr fontId="2" type="noConversion"/>
  </si>
  <si>
    <t>14.06.</t>
    <phoneticPr fontId="2" type="noConversion"/>
  </si>
  <si>
    <t>자은동 자은더샵</t>
    <phoneticPr fontId="2" type="noConversion"/>
  </si>
  <si>
    <t>자은동 자은중흥S-클래스</t>
    <phoneticPr fontId="2" type="noConversion"/>
  </si>
  <si>
    <t>자은동 삼성</t>
    <phoneticPr fontId="2" type="noConversion"/>
  </si>
  <si>
    <t>93.07.</t>
    <phoneticPr fontId="2" type="noConversion"/>
  </si>
  <si>
    <t>장천동 창원한신휴플러스오션파크</t>
    <phoneticPr fontId="2" type="noConversion"/>
  </si>
  <si>
    <t>16.05.</t>
    <phoneticPr fontId="2" type="noConversion"/>
  </si>
  <si>
    <t>장천동 진해장천대동다숲</t>
    <phoneticPr fontId="2" type="noConversion"/>
  </si>
  <si>
    <t>07.12.</t>
    <phoneticPr fontId="2" type="noConversion"/>
  </si>
  <si>
    <t>장천동 벽산e솔렌스힐</t>
    <phoneticPr fontId="2" type="noConversion"/>
  </si>
  <si>
    <t>08.07.</t>
    <phoneticPr fontId="2" type="noConversion"/>
  </si>
  <si>
    <t>청안동 부영2차</t>
    <phoneticPr fontId="2" type="noConversion"/>
  </si>
  <si>
    <t>02.05.</t>
    <phoneticPr fontId="2" type="noConversion"/>
  </si>
  <si>
    <t>청안동 부영3차</t>
    <phoneticPr fontId="2" type="noConversion"/>
  </si>
  <si>
    <t>03.02.</t>
    <phoneticPr fontId="2" type="noConversion"/>
  </si>
  <si>
    <t>청안동 부영1차</t>
    <phoneticPr fontId="2" type="noConversion"/>
  </si>
  <si>
    <t>02.01.</t>
    <phoneticPr fontId="2" type="noConversion"/>
  </si>
  <si>
    <t>청안동 풍림</t>
    <phoneticPr fontId="2" type="noConversion"/>
  </si>
  <si>
    <t>00.12.</t>
    <phoneticPr fontId="2" type="noConversion"/>
  </si>
  <si>
    <t>청안동 해인로즈빌</t>
    <phoneticPr fontId="2" type="noConversion"/>
  </si>
  <si>
    <t>02.04.</t>
    <phoneticPr fontId="2" type="noConversion"/>
  </si>
  <si>
    <t>풍호동 경동윈츠빌</t>
    <phoneticPr fontId="2" type="noConversion"/>
  </si>
  <si>
    <t>04.05.</t>
    <phoneticPr fontId="2" type="noConversion"/>
  </si>
  <si>
    <t>풍호동 창원마린푸르지오1단지</t>
    <phoneticPr fontId="2" type="noConversion"/>
  </si>
  <si>
    <t>15.10.</t>
    <phoneticPr fontId="2" type="noConversion"/>
  </si>
  <si>
    <t>풍호동 디에스아이존빌</t>
    <phoneticPr fontId="2" type="noConversion"/>
  </si>
  <si>
    <t>풍호동 우성</t>
    <phoneticPr fontId="2" type="noConversion"/>
  </si>
  <si>
    <t>93.12.</t>
    <phoneticPr fontId="2" type="noConversion"/>
  </si>
  <si>
    <t>풍호동 풍호시영</t>
    <phoneticPr fontId="2" type="noConversion"/>
  </si>
  <si>
    <t>91.01.</t>
    <phoneticPr fontId="2" type="noConversion"/>
  </si>
  <si>
    <t>풍호동 창원마린푸르지오2단지</t>
    <phoneticPr fontId="2" type="noConversion"/>
  </si>
  <si>
    <t>풍호동 주공</t>
    <phoneticPr fontId="2" type="noConversion"/>
  </si>
  <si>
    <t>90.08.</t>
    <phoneticPr fontId="2" type="noConversion"/>
  </si>
  <si>
    <t>풍호동 풍호한림리츠빌</t>
    <phoneticPr fontId="2" type="noConversion"/>
  </si>
  <si>
    <t>05.06.</t>
    <phoneticPr fontId="2" type="noConversion"/>
  </si>
  <si>
    <t>17.02.</t>
    <phoneticPr fontId="2" type="noConversion"/>
  </si>
  <si>
    <t>경화동 대동다숲</t>
    <phoneticPr fontId="2" type="noConversion"/>
  </si>
  <si>
    <t>경화동 창원경화베스티움</t>
    <phoneticPr fontId="2" type="noConversion"/>
  </si>
  <si>
    <t>18.12.</t>
    <phoneticPr fontId="2" type="noConversion"/>
  </si>
  <si>
    <t>경화동 경화삼정그린코아1단지</t>
    <phoneticPr fontId="2" type="noConversion"/>
  </si>
  <si>
    <t>05.08.</t>
    <phoneticPr fontId="2" type="noConversion"/>
  </si>
  <si>
    <t>경화동 경화주공</t>
    <phoneticPr fontId="2" type="noConversion"/>
  </si>
  <si>
    <t>86.11.</t>
    <phoneticPr fontId="2" type="noConversion"/>
  </si>
  <si>
    <t>24.03.</t>
    <phoneticPr fontId="2" type="noConversion"/>
  </si>
  <si>
    <t>남문동 남문호반베르디움</t>
    <phoneticPr fontId="2" type="noConversion"/>
  </si>
  <si>
    <t>18.06.</t>
    <phoneticPr fontId="2" type="noConversion"/>
  </si>
  <si>
    <t>남문동 남문호반베르디움</t>
    <phoneticPr fontId="2" type="noConversion"/>
  </si>
  <si>
    <t>18.06.</t>
    <phoneticPr fontId="2" type="noConversion"/>
  </si>
  <si>
    <t>남문동 진해남문시티프라디움2차</t>
    <phoneticPr fontId="2" type="noConversion"/>
  </si>
  <si>
    <t>17.12.</t>
    <phoneticPr fontId="2" type="noConversion"/>
  </si>
  <si>
    <t>남문동 시티프라디움1차</t>
    <phoneticPr fontId="2" type="noConversion"/>
  </si>
  <si>
    <t>17.04.</t>
    <phoneticPr fontId="2" type="noConversion"/>
  </si>
  <si>
    <t>남양동 창원진해비전시티우방아이유쉘</t>
    <phoneticPr fontId="2" type="noConversion"/>
  </si>
  <si>
    <t>21.08.</t>
    <phoneticPr fontId="2" type="noConversion"/>
  </si>
  <si>
    <t>마천동 진해신항만경남아너스빌</t>
    <phoneticPr fontId="2" type="noConversion"/>
  </si>
  <si>
    <t>08.08.</t>
    <phoneticPr fontId="2" type="noConversion"/>
  </si>
  <si>
    <t>부흥동 태영데시앙</t>
    <phoneticPr fontId="2" type="noConversion"/>
  </si>
  <si>
    <t>07.01.</t>
    <phoneticPr fontId="2" type="noConversion"/>
  </si>
  <si>
    <t>석동 진해GS자이</t>
    <phoneticPr fontId="2" type="noConversion"/>
  </si>
  <si>
    <t>06.04.</t>
    <phoneticPr fontId="2" type="noConversion"/>
  </si>
  <si>
    <t>석동 진해석동한솔솔파크1단지</t>
    <phoneticPr fontId="2" type="noConversion"/>
  </si>
  <si>
    <t>09.02.</t>
    <phoneticPr fontId="2" type="noConversion"/>
  </si>
  <si>
    <t>09.02.</t>
    <phoneticPr fontId="2" type="noConversion"/>
  </si>
  <si>
    <t>03.03.</t>
    <phoneticPr fontId="2" type="noConversion"/>
  </si>
  <si>
    <t>석동 진해석동우림필유</t>
    <phoneticPr fontId="2" type="noConversion"/>
  </si>
  <si>
    <t>08.03.</t>
    <phoneticPr fontId="2" type="noConversion"/>
  </si>
  <si>
    <t>석동 진해석동우림필유</t>
    <phoneticPr fontId="2" type="noConversion"/>
  </si>
  <si>
    <t>08.03.</t>
    <phoneticPr fontId="2" type="noConversion"/>
  </si>
  <si>
    <t>석동 벚꽃그린빌주공2단지</t>
    <phoneticPr fontId="2" type="noConversion"/>
  </si>
  <si>
    <t>03.07.</t>
    <phoneticPr fontId="2" type="noConversion"/>
  </si>
  <si>
    <t>03.07.</t>
    <phoneticPr fontId="2" type="noConversion"/>
  </si>
  <si>
    <t>안골동 창원마린푸르지오2차</t>
    <phoneticPr fontId="2" type="noConversion"/>
  </si>
  <si>
    <t>16.10.</t>
    <phoneticPr fontId="2" type="noConversion"/>
  </si>
  <si>
    <t>용원동 부산신항만이지더원1단지</t>
    <phoneticPr fontId="2" type="noConversion"/>
  </si>
  <si>
    <t>용원동 일신님</t>
    <phoneticPr fontId="2" type="noConversion"/>
  </si>
  <si>
    <t>용원동 일신님</t>
    <phoneticPr fontId="2" type="noConversion"/>
  </si>
  <si>
    <t>05.09.</t>
    <phoneticPr fontId="2" type="noConversion"/>
  </si>
  <si>
    <t>07.12.</t>
    <phoneticPr fontId="2" type="noConversion"/>
  </si>
  <si>
    <t>장천동</t>
    <phoneticPr fontId="2" type="noConversion"/>
  </si>
  <si>
    <t>자은동</t>
    <phoneticPr fontId="2" type="noConversion"/>
  </si>
  <si>
    <t>석동</t>
    <phoneticPr fontId="2" type="noConversion"/>
  </si>
  <si>
    <t>진해석동우림필유(34평/4.3)</t>
  </si>
  <si>
    <t>진해석동우림필유('08/4.3)</t>
  </si>
  <si>
    <t>자은중흥S-클래스(34평/4.2)_x000D_
자은중흥S-클래스(31평/4.1)</t>
    <phoneticPr fontId="2" type="noConversion"/>
  </si>
  <si>
    <t>자은중흥S-클래스('17/4.2)_x000D_
자은중흥S-클래스('17/4.1)</t>
    <phoneticPr fontId="2" type="noConversion"/>
  </si>
  <si>
    <t>창원한신휴플러스오션파크('16/3.3)</t>
  </si>
  <si>
    <t>창원한신휴플러스오션파크(33평/4.0)_x000D_
창원한신휴플러스오션파크(27평/3.3)_x000D_
진해장천대동다숲(33평/3.2)</t>
    <phoneticPr fontId="2" type="noConversion"/>
  </si>
  <si>
    <t>창원한신휴플러스오션파크('16/4.0)_x000D_
진해장천대동다숲('07/3.2)</t>
    <phoneticPr fontId="2" type="noConversion"/>
  </si>
  <si>
    <t>진해GS자이(35평/3.5)_x000D_
벚꽃그린빌주공3단지(32평/3.4)_x000D_
진해석동푸르지오(35평/3.1)</t>
    <phoneticPr fontId="2" type="noConversion"/>
  </si>
  <si>
    <t>진해GS자이('06/3.5)_x000D_
벚꽃그린빌주공3단지('03/3.4)_x000D_
진해석동푸르지오('06/3.1)</t>
    <phoneticPr fontId="2" type="noConversion"/>
  </si>
  <si>
    <t>자은프라임(35평/3.9)_x000D_
협성DS이아이존빌(34평/3.7)_x000D_
자은프라임(31평/3.4)_x000D_
자은월드메르디앙(34평/3.0)</t>
    <phoneticPr fontId="2" type="noConversion"/>
  </si>
  <si>
    <t>자은프라임('15/3.9)_x000D_
협성DS이아이존빌('14/3.7)_x000D_
자은프라임('15/3.4)_x000D_
자은월드메르디앙('08/3.0)</t>
    <phoneticPr fontId="2" type="noConversion"/>
  </si>
  <si>
    <t>자은프라임('15/2.7)_x000D_
협성DS이아이존빌('14/2.7)</t>
    <phoneticPr fontId="2" type="noConversion"/>
  </si>
  <si>
    <t>진해장천대동다숲(26평/2.6)</t>
  </si>
  <si>
    <t>진해장천대동다숲('07/2.6)</t>
  </si>
  <si>
    <t>자은프라임(25평/2.7)_x000D_
협성DS이아이존빌(24평/2.7)_x000D_
자은더샵(33평/2.5)</t>
    <phoneticPr fontId="2" type="noConversion"/>
  </si>
  <si>
    <t>자은더샵('05/2.5)</t>
  </si>
  <si>
    <t>벚꽃그린빌주공4단지(23평/2.2)</t>
  </si>
  <si>
    <t>벚꽃그린빌주공4단지('03/2.2)</t>
  </si>
  <si>
    <t>삼성('93/1.4)</t>
  </si>
  <si>
    <t>주공(17평/1.3)</t>
  </si>
  <si>
    <t>주공('91/1.3)</t>
  </si>
  <si>
    <t>삼성('93/1.1)</t>
  </si>
  <si>
    <t>삼성(25평/1.4)_x000D_
삼성(21평/1.1)_x000D_
성원(16평/1.0)</t>
    <phoneticPr fontId="2" type="noConversion"/>
  </si>
  <si>
    <t>성원('95/1.0)</t>
  </si>
  <si>
    <t>풍호동</t>
    <phoneticPr fontId="2" type="noConversion"/>
  </si>
  <si>
    <t>창원마린푸르지오1단지(34평/4.7)_x000D_
창원마린푸르지오2단지(34평/4.5)</t>
    <phoneticPr fontId="2" type="noConversion"/>
  </si>
  <si>
    <t>창원마린푸르지오1단지('15/4.7)_x000D_
창원마린푸르지오2단지('15/4.5)</t>
    <phoneticPr fontId="2" type="noConversion"/>
  </si>
  <si>
    <t>창원마린푸르지오1단지('15/3.3)</t>
  </si>
  <si>
    <t>창원마린푸르지오1단지(25평/3.3)_x000D_
풍호한림리츠빌(35평/3.0)</t>
    <phoneticPr fontId="2" type="noConversion"/>
  </si>
  <si>
    <t>풍호한림리츠빌('05/3.0)</t>
  </si>
  <si>
    <t>디에스아이존빌('02/2.3)</t>
  </si>
  <si>
    <t>디에스아이존빌(29평/2.3)_x000D_
디에스아이존빌(31평/2.1)_x000D_
우성(31평/2.1)</t>
    <phoneticPr fontId="2" type="noConversion"/>
  </si>
  <si>
    <t>디에스아이존빌('02/2.1)_x000D_
우성('93/2.1)</t>
    <phoneticPr fontId="2" type="noConversion"/>
  </si>
  <si>
    <t>우성(26평/1.9)_x000D_
디에스아이존빌(24평/1.7)</t>
    <phoneticPr fontId="2" type="noConversion"/>
  </si>
  <si>
    <t>우성('93/1.9)_x000D_
디에스아이존빌('02/1.7)</t>
    <phoneticPr fontId="2" type="noConversion"/>
  </si>
  <si>
    <t>우성('93/1.4)</t>
  </si>
  <si>
    <t>풍호시영(18평/1.4)_x000D_
우성(24평/1.4)_x000D_
주공(18평/1.3)</t>
    <phoneticPr fontId="2" type="noConversion"/>
  </si>
  <si>
    <t>풍호시영('91/1.4)_x000D_
주공('90/1.3)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</si>
</sst>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2">
    <numFmt numFmtId="176" formatCode="#,##0_);[Red]\(#,##0\)"/>
    <numFmt numFmtId="177" formatCode="&quot;@&quot;#,##0_ "/>
    <numFmt numFmtId="178" formatCode="0_);[Red]\(0\)"/>
    <numFmt numFmtId="179" formatCode="0.0"/>
    <numFmt numFmtId="180" formatCode="#,###&quot;^&quot;"/>
    <numFmt numFmtId="181" formatCode="General&quot;^&quot;"/>
    <numFmt numFmtId="182" formatCode="0_ "/>
    <numFmt numFmtId="183" formatCode="#,##0_ "/>
    <numFmt numFmtId="184" formatCode="&quot;~&quot;General"/>
    <numFmt numFmtId="185" formatCode="General&quot;~&quot;"/>
    <numFmt numFmtId="186" formatCode="yyyy&quot;년&quot;\ m&quot;월&quot;\ d&quot;일&quot;;@"/>
    <numFmt numFmtId="187" formatCode="0.0%"/>
  </numFmts>
  <fonts count="17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  <font>
      <sz val="9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9"/>
      <color indexed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9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9" fontId="1" fillId="0" borderId="0">
      <alignment vertical="center"/>
    </xf>
  </cellStyleXfs>
  <cellXfs count="124">
    <xf numFmtId="0" fontId="0" fillId="0" borderId="0" xfId="0" applyAlignment="1">
      <alignment vertical="center"/>
    </xf>
    <xf numFmtId="0" fontId="4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49" fontId="4" fillId="2" borderId="0" xfId="0" applyNumberFormat="1" applyFont="1" applyFill="1" applyAlignment="1">
      <alignment horizontal="center" vertical="center"/>
    </xf>
    <xf numFmtId="9" fontId="4" fillId="2" borderId="1" xfId="1" applyFont="1" applyFill="1" applyBorder="1" applyAlignment="1">
      <alignment vertical="center"/>
    </xf>
    <xf numFmtId="49" fontId="4" fillId="2" borderId="1" xfId="0" applyNumberFormat="1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vertical="center"/>
    </xf>
    <xf numFmtId="0" fontId="6" fillId="2" borderId="1" xfId="0" applyFont="1" applyFill="1" applyBorder="1" applyAlignment="1">
      <alignment vertical="center"/>
    </xf>
    <xf numFmtId="0" fontId="4" fillId="2" borderId="1" xfId="0" applyFont="1" applyFill="1" applyBorder="1" applyAlignment="1">
      <alignment vertical="center"/>
    </xf>
    <xf numFmtId="0" fontId="4" fillId="2" borderId="1" xfId="0" quotePrefix="1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4" fillId="3" borderId="1" xfId="0" applyFont="1" applyFill="1" applyBorder="1" applyAlignment="1">
      <alignment horizontal="center" vertical="center"/>
    </xf>
    <xf numFmtId="49" fontId="4" fillId="3" borderId="1" xfId="0" applyNumberFormat="1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0" fontId="4" fillId="3" borderId="1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1" fontId="4" fillId="2" borderId="1" xfId="0" applyNumberFormat="1" applyFont="1" applyFill="1" applyBorder="1" applyAlignment="1">
      <alignment vertical="center"/>
    </xf>
    <xf numFmtId="0" fontId="7" fillId="3" borderId="1" xfId="0" quotePrefix="1" applyFont="1" applyFill="1" applyBorder="1" applyAlignment="1">
      <alignment horizontal="center" vertical="center"/>
    </xf>
    <xf numFmtId="0" fontId="8" fillId="3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4" fillId="4" borderId="1" xfId="0" applyFont="1" applyFill="1" applyBorder="1" applyAlignment="1">
      <alignment horizontal="center" vertical="center"/>
    </xf>
    <xf numFmtId="1" fontId="4" fillId="4" borderId="1" xfId="0" applyNumberFormat="1" applyFont="1" applyFill="1" applyBorder="1" applyAlignment="1">
      <alignment horizontal="center" vertical="center"/>
    </xf>
    <xf numFmtId="0" fontId="5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vertical="center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 applyProtection="1">
      <alignment horizontal="left" vertical="center"/>
      <protection locked="0"/>
    </xf>
    <xf numFmtId="0" fontId="8" fillId="3" borderId="1" xfId="0" quotePrefix="1" applyFont="1" applyFill="1" applyBorder="1" applyAlignment="1" applyProtection="1">
      <alignment horizontal="center" vertical="center"/>
      <protection locked="0"/>
    </xf>
    <xf numFmtId="0" fontId="8" fillId="3" borderId="1" xfId="0" applyFont="1" applyFill="1" applyBorder="1" applyAlignment="1" applyProtection="1">
      <alignment vertical="center"/>
      <protection locked="0"/>
    </xf>
    <xf numFmtId="0" fontId="7" fillId="3" borderId="1" xfId="0" applyFont="1" applyFill="1" applyBorder="1" applyAlignment="1" applyProtection="1">
      <alignment horizontal="center" vertical="center"/>
      <protection locked="0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4" fillId="3" borderId="1" xfId="0" applyFont="1" applyFill="1" applyBorder="1" applyAlignment="1" applyProtection="1">
      <alignment horizontal="center" vertical="center" wrapText="1"/>
      <protection locked="0"/>
    </xf>
    <xf numFmtId="49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49" fontId="3" fillId="3" borderId="1" xfId="0" applyNumberFormat="1" applyFont="1" applyFill="1" applyBorder="1" applyAlignment="1" applyProtection="1">
      <alignment horizontal="center" vertical="center" wrapText="1"/>
      <protection locked="0"/>
    </xf>
    <xf numFmtId="0" fontId="9" fillId="3" borderId="1" xfId="0" applyFont="1" applyFill="1" applyBorder="1" applyAlignment="1" applyProtection="1">
      <alignment horizontal="center" vertical="center" wrapText="1"/>
      <protection locked="0"/>
    </xf>
    <xf numFmtId="0" fontId="4" fillId="2" borderId="0" xfId="0" applyFont="1" applyFill="1" applyAlignment="1">
      <alignment vertical="center"/>
    </xf>
    <xf numFmtId="0" fontId="4" fillId="2" borderId="7" xfId="0" applyFont="1" applyFill="1" applyBorder="1" applyAlignment="1">
      <alignment vertical="center"/>
    </xf>
    <xf numFmtId="0" fontId="4" fillId="4" borderId="0" xfId="0" applyFont="1" applyFill="1" applyAlignment="1">
      <alignment vertical="center"/>
    </xf>
    <xf numFmtId="0" fontId="3" fillId="3" borderId="5" xfId="0" applyFont="1" applyFill="1" applyBorder="1" applyAlignment="1">
      <alignment vertical="center" wrapText="1"/>
    </xf>
    <xf numFmtId="0" fontId="3" fillId="3" borderId="6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/>
    </xf>
    <xf numFmtId="0" fontId="4" fillId="4" borderId="1" xfId="0" applyFont="1" applyFill="1" applyBorder="1" applyAlignment="1" applyProtection="1">
      <alignment horizontal="center" vertical="center"/>
      <protection locked="0"/>
    </xf>
    <xf numFmtId="0" fontId="4" fillId="4" borderId="1" xfId="0" applyFont="1" applyFill="1" applyBorder="1" applyAlignment="1">
      <alignment vertical="center"/>
    </xf>
    <xf numFmtId="0" fontId="4" fillId="2" borderId="8" xfId="0" applyFont="1" applyFill="1" applyBorder="1" applyAlignment="1" applyProtection="1">
      <alignment horizontal="center" vertical="center"/>
      <protection locked="0"/>
    </xf>
    <xf numFmtId="0" fontId="4" fillId="2" borderId="8" xfId="0" applyFont="1" applyFill="1" applyBorder="1" applyAlignment="1">
      <alignment vertical="center"/>
    </xf>
    <xf numFmtId="49" fontId="4" fillId="2" borderId="1" xfId="0" quotePrefix="1" applyNumberFormat="1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4" fillId="2" borderId="9" xfId="0" applyFont="1" applyFill="1" applyBorder="1" applyAlignment="1">
      <alignment vertical="center"/>
    </xf>
    <xf numFmtId="0" fontId="10" fillId="0" borderId="0" xfId="0" applyFont="1" applyAlignment="1">
      <alignment vertical="center" wrapText="1"/>
    </xf>
    <xf numFmtId="0" fontId="11" fillId="0" borderId="0" xfId="0" applyFont="1" applyAlignment="1">
      <alignment vertical="center" wrapText="1"/>
    </xf>
    <xf numFmtId="0" fontId="12" fillId="3" borderId="2" xfId="0" applyFont="1" applyFill="1" applyBorder="1" applyAlignment="1">
      <alignment horizontal="centerContinuous" vertical="center" wrapText="1"/>
    </xf>
    <xf numFmtId="0" fontId="12" fillId="3" borderId="3" xfId="0" applyFont="1" applyFill="1" applyBorder="1" applyAlignment="1">
      <alignment horizontal="centerContinuous" vertical="center" wrapText="1"/>
    </xf>
    <xf numFmtId="0" fontId="12" fillId="3" borderId="4" xfId="0" applyFont="1" applyFill="1" applyBorder="1" applyAlignment="1">
      <alignment horizontal="centerContinuous" vertical="center" wrapText="1"/>
    </xf>
    <xf numFmtId="0" fontId="12" fillId="3" borderId="1" xfId="0" applyFont="1" applyFill="1" applyBorder="1" applyAlignment="1">
      <alignment horizontal="center" vertical="center" wrapText="1"/>
    </xf>
    <xf numFmtId="0" fontId="12" fillId="5" borderId="3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vertical="center" wrapText="1"/>
    </xf>
    <xf numFmtId="0" fontId="12" fillId="6" borderId="7" xfId="0" applyFont="1" applyFill="1" applyBorder="1" applyAlignment="1">
      <alignment horizontal="center" vertical="center" wrapText="1"/>
    </xf>
    <xf numFmtId="0" fontId="4" fillId="6" borderId="1" xfId="0" applyFont="1" applyFill="1" applyBorder="1" applyAlignment="1">
      <alignment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12" fillId="7" borderId="3" xfId="0" applyFont="1" applyFill="1" applyBorder="1" applyAlignment="1">
      <alignment horizontal="center" vertical="center" wrapText="1"/>
    </xf>
    <xf numFmtId="0" fontId="4" fillId="7" borderId="1" xfId="0" applyFont="1" applyFill="1" applyBorder="1" applyAlignment="1">
      <alignment vertical="center" wrapText="1"/>
    </xf>
    <xf numFmtId="0" fontId="12" fillId="8" borderId="3" xfId="0" applyFont="1" applyFill="1" applyBorder="1" applyAlignment="1">
      <alignment horizontal="center" vertical="center" wrapText="1"/>
    </xf>
    <xf numFmtId="0" fontId="4" fillId="8" borderId="1" xfId="0" applyFont="1" applyFill="1" applyBorder="1" applyAlignment="1">
      <alignment vertical="center" wrapText="1"/>
    </xf>
    <xf numFmtId="0" fontId="0" fillId="2" borderId="0" xfId="0" applyFill="1" applyAlignment="1">
      <alignment vertical="center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3" fillId="3" borderId="4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Continuous" vertical="center"/>
    </xf>
    <xf numFmtId="0" fontId="4" fillId="3" borderId="3" xfId="0" applyFont="1" applyFill="1" applyBorder="1" applyAlignment="1">
      <alignment horizontal="centerContinuous" vertical="center"/>
    </xf>
    <xf numFmtId="0" fontId="4" fillId="3" borderId="4" xfId="0" applyFont="1" applyFill="1" applyBorder="1" applyAlignment="1">
      <alignment horizontal="centerContinuous" vertical="center"/>
    </xf>
    <xf numFmtId="0" fontId="13" fillId="0" borderId="0" xfId="0" applyFont="1" applyAlignment="1">
      <alignment vertical="center"/>
    </xf>
    <xf numFmtId="0" fontId="14" fillId="4" borderId="0" xfId="0" applyFont="1" applyFill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0" fillId="9" borderId="0" xfId="0" applyFill="1" applyAlignment="1">
      <alignment vertical="center"/>
    </xf>
    <xf numFmtId="0" fontId="4" fillId="3" borderId="1" xfId="0" applyFont="1" applyFill="1" applyBorder="1" applyAlignment="1" applyProtection="1">
      <alignment horizontal="center" vertical="center"/>
      <protection locked="0"/>
    </xf>
    <xf numFmtId="183" fontId="4" fillId="4" borderId="1" xfId="0" applyNumberFormat="1" applyFont="1" applyFill="1" applyBorder="1" applyAlignment="1" applyProtection="1">
      <alignment vertical="center"/>
      <protection locked="0"/>
    </xf>
    <xf numFmtId="186" fontId="6" fillId="2" borderId="0" xfId="0" quotePrefix="1" applyNumberFormat="1" applyFont="1" applyFill="1" applyAlignment="1" applyProtection="1">
      <alignment horizontal="left" vertical="center"/>
      <protection locked="0"/>
    </xf>
    <xf numFmtId="181" fontId="4" fillId="3" borderId="1" xfId="0" applyNumberFormat="1" applyFont="1" applyFill="1" applyBorder="1" applyAlignment="1" applyProtection="1">
      <alignment horizontal="center" vertical="center"/>
      <protection locked="0"/>
    </xf>
    <xf numFmtId="184" fontId="4" fillId="3" borderId="1" xfId="0" applyNumberFormat="1" applyFont="1" applyFill="1" applyBorder="1" applyAlignment="1">
      <alignment horizontal="center" vertical="center"/>
    </xf>
    <xf numFmtId="185" fontId="4" fillId="3" borderId="1" xfId="0" applyNumberFormat="1" applyFont="1" applyFill="1" applyBorder="1" applyAlignment="1">
      <alignment horizontal="center" vertical="center"/>
    </xf>
    <xf numFmtId="182" fontId="4" fillId="2" borderId="0" xfId="0" applyNumberFormat="1" applyFont="1" applyFill="1" applyAlignment="1">
      <alignment vertical="center"/>
    </xf>
    <xf numFmtId="183" fontId="4" fillId="2" borderId="1" xfId="0" applyNumberFormat="1" applyFont="1" applyFill="1" applyBorder="1" applyAlignment="1">
      <alignment vertical="center"/>
    </xf>
    <xf numFmtId="183" fontId="8" fillId="2" borderId="1" xfId="0" applyNumberFormat="1" applyFont="1" applyFill="1" applyBorder="1" applyAlignment="1">
      <alignment vertical="center"/>
    </xf>
    <xf numFmtId="187" fontId="4" fillId="2" borderId="1" xfId="1" applyNumberFormat="1" applyFont="1" applyFill="1" applyBorder="1" applyAlignment="1">
      <alignment vertical="center"/>
    </xf>
    <xf numFmtId="187" fontId="8" fillId="2" borderId="1" xfId="1" applyNumberFormat="1" applyFont="1" applyFill="1" applyBorder="1" applyAlignment="1">
      <alignment vertical="center"/>
    </xf>
    <xf numFmtId="179" fontId="12" fillId="6" borderId="10" xfId="0" applyNumberFormat="1" applyFont="1" applyFill="1" applyBorder="1" applyAlignment="1">
      <alignment horizontal="center" vertical="center" wrapText="1"/>
    </xf>
    <xf numFmtId="179" fontId="12" fillId="6" borderId="9" xfId="0" applyNumberFormat="1" applyFont="1" applyFill="1" applyBorder="1" applyAlignment="1">
      <alignment horizontal="center" vertical="center" wrapText="1"/>
    </xf>
    <xf numFmtId="179" fontId="12" fillId="6" borderId="2" xfId="0" applyNumberFormat="1" applyFont="1" applyFill="1" applyBorder="1" applyAlignment="1">
      <alignment horizontal="center" vertical="center" wrapText="1"/>
    </xf>
    <xf numFmtId="179" fontId="12" fillId="6" borderId="4" xfId="0" applyNumberFormat="1" applyFont="1" applyFill="1" applyBorder="1" applyAlignment="1">
      <alignment horizontal="center" vertical="center" wrapText="1"/>
    </xf>
    <xf numFmtId="179" fontId="12" fillId="5" borderId="2" xfId="0" applyNumberFormat="1" applyFont="1" applyFill="1" applyBorder="1" applyAlignment="1">
      <alignment horizontal="center" vertical="center" wrapText="1"/>
    </xf>
    <xf numFmtId="179" fontId="12" fillId="5" borderId="4" xfId="0" applyNumberFormat="1" applyFont="1" applyFill="1" applyBorder="1" applyAlignment="1">
      <alignment horizontal="center" vertical="center" wrapText="1"/>
    </xf>
    <xf numFmtId="179" fontId="12" fillId="7" borderId="2" xfId="0" applyNumberFormat="1" applyFont="1" applyFill="1" applyBorder="1" applyAlignment="1">
      <alignment horizontal="center" vertical="center" wrapText="1"/>
    </xf>
    <xf numFmtId="179" fontId="12" fillId="7" borderId="4" xfId="0" applyNumberFormat="1" applyFont="1" applyFill="1" applyBorder="1" applyAlignment="1">
      <alignment horizontal="center" vertical="center" wrapText="1"/>
    </xf>
    <xf numFmtId="179" fontId="12" fillId="8" borderId="2" xfId="0" applyNumberFormat="1" applyFont="1" applyFill="1" applyBorder="1" applyAlignment="1">
      <alignment horizontal="center" vertical="center" wrapText="1"/>
    </xf>
    <xf numFmtId="179" fontId="12" fillId="8" borderId="4" xfId="0" applyNumberFormat="1" applyFont="1" applyFill="1" applyBorder="1" applyAlignment="1">
      <alignment horizontal="center" vertical="center" wrapText="1"/>
    </xf>
    <xf numFmtId="181" fontId="4" fillId="2" borderId="0" xfId="0" applyNumberFormat="1" applyFont="1" applyFill="1" applyAlignment="1">
      <alignment horizontal="right" vertical="center"/>
    </xf>
    <xf numFmtId="181" fontId="4" fillId="3" borderId="1" xfId="0" applyNumberFormat="1" applyFont="1" applyFill="1" applyBorder="1" applyAlignment="1">
      <alignment horizontal="center" vertical="center"/>
    </xf>
    <xf numFmtId="178" fontId="4" fillId="2" borderId="1" xfId="0" applyNumberFormat="1" applyFont="1" applyFill="1" applyBorder="1" applyAlignment="1">
      <alignment horizontal="center" vertical="center"/>
    </xf>
    <xf numFmtId="181" fontId="4" fillId="2" borderId="1" xfId="0" applyNumberFormat="1" applyFont="1" applyFill="1" applyBorder="1" applyAlignment="1">
      <alignment horizontal="right" vertical="center"/>
    </xf>
    <xf numFmtId="178" fontId="3" fillId="2" borderId="1" xfId="0" applyNumberFormat="1" applyFont="1" applyFill="1" applyBorder="1" applyAlignment="1">
      <alignment horizontal="center" vertical="center" wrapText="1"/>
    </xf>
    <xf numFmtId="179" fontId="4" fillId="2" borderId="1" xfId="0" applyNumberFormat="1" applyFont="1" applyFill="1" applyBorder="1" applyAlignment="1">
      <alignment vertical="center"/>
    </xf>
    <xf numFmtId="177" fontId="4" fillId="2" borderId="1" xfId="0" applyNumberFormat="1" applyFont="1" applyFill="1" applyBorder="1" applyAlignment="1">
      <alignment vertical="center"/>
    </xf>
    <xf numFmtId="178" fontId="4" fillId="2" borderId="1" xfId="0" applyNumberFormat="1" applyFont="1" applyFill="1" applyBorder="1" applyAlignment="1">
      <alignment vertical="center"/>
    </xf>
    <xf numFmtId="180" fontId="4" fillId="2" borderId="1" xfId="0" applyNumberFormat="1" applyFont="1" applyFill="1" applyBorder="1" applyAlignment="1">
      <alignment horizontal="right" vertical="center"/>
    </xf>
    <xf numFmtId="176" fontId="4" fillId="0" borderId="1" xfId="0" applyNumberFormat="1" applyFont="1" applyBorder="1" applyAlignment="1">
      <alignment vertical="center"/>
    </xf>
    <xf numFmtId="176" fontId="4" fillId="2" borderId="1" xfId="0" applyNumberFormat="1" applyFont="1" applyFill="1" applyBorder="1" applyAlignment="1">
      <alignment vertical="center"/>
    </xf>
    <xf numFmtId="0" fontId="15" fillId="2" borderId="1" xfId="0" applyFont="1" applyFill="1" applyBorder="1" applyAlignment="1">
      <alignment vertical="center"/>
    </xf>
    <xf numFmtId="0" fontId="15" fillId="2" borderId="1" xfId="0" quotePrefix="1" applyFont="1" applyFill="1" applyBorder="1" applyAlignment="1">
      <alignment horizontal="center" vertical="center"/>
    </xf>
    <xf numFmtId="180" fontId="15" fillId="2" borderId="1" xfId="0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 applyProtection="1">
      <alignment horizontal="center" vertical="center" wrapText="1"/>
      <protection locked="0"/>
    </xf>
    <xf numFmtId="0" fontId="0" fillId="0" borderId="4" xfId="0" applyBorder="1" applyAlignment="1" applyProtection="1">
      <protection locked="0"/>
    </xf>
    <xf numFmtId="0" fontId="4" fillId="3" borderId="1" xfId="0" applyFont="1" applyFill="1" applyBorder="1" applyAlignment="1" applyProtection="1">
      <alignment horizontal="center" vertical="center"/>
      <protection locked="0"/>
    </xf>
    <xf numFmtId="0" fontId="4" fillId="3" borderId="1" xfId="0" applyFont="1" applyFill="1" applyBorder="1" applyAlignment="1" applyProtection="1">
      <alignment horizontal="left" vertical="center"/>
      <protection locked="0"/>
    </xf>
    <xf numFmtId="0" fontId="0" fillId="0" borderId="3" xfId="0" applyBorder="1" applyAlignment="1" applyProtection="1">
      <protection locked="0"/>
    </xf>
    <xf numFmtId="0" fontId="4" fillId="2" borderId="1" xfId="0" applyFont="1" applyFill="1" applyBorder="1" applyAlignment="1" applyProtection="1">
      <alignment horizontal="center" vertical="center"/>
      <protection locked="0"/>
    </xf>
    <xf numFmtId="0" fontId="10" fillId="0" borderId="0" xfId="0" applyFont="1" applyAlignment="1">
      <alignment horizontal="center" vertical="center" wrapText="1"/>
    </xf>
    <xf numFmtId="0" fontId="10" fillId="0" borderId="0" xfId="0" applyFont="1" applyAlignment="1">
      <alignment vertical="center" wrapText="1"/>
    </xf>
    <xf numFmtId="0" fontId="4" fillId="2" borderId="1" xfId="0" applyFont="1" applyFill="1" applyBorder="1" applyAlignment="1">
      <alignment horizontal="center" vertical="center"/>
    </xf>
    <xf numFmtId="0" fontId="0" fillId="0" borderId="3" xfId="0" applyBorder="1" applyAlignment="1"/>
    <xf numFmtId="0" fontId="0" fillId="0" borderId="4" xfId="0" applyBorder="1" applyAlignment="1"/>
  </cellXfs>
  <cellStyles count="2">
    <cellStyle name="백분율" xfId="1" builtinId="5"/>
    <cellStyle name="표준" xfId="0" builtinId="0"/>
  </cellStyles>
  <dxfs count="8352"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ill>
        <patternFill>
          <bgColor theme="4" tint="0.3999450666829432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/>
        <color rgb="FF0070C0"/>
      </font>
    </dxf>
    <dxf>
      <font>
        <b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5"/>
        </patternFill>
      </fill>
    </dxf>
    <dxf>
      <fill>
        <patternFill>
          <bgColor theme="7" tint="0.3999450666829432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5"/>
        </patternFill>
      </fill>
    </dxf>
    <dxf>
      <fill>
        <patternFill>
          <bgColor rgb="FF92D050"/>
        </patternFill>
      </fill>
    </dxf>
    <dxf>
      <fill>
        <patternFill>
          <bgColor theme="9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388097" name="Button 1025" hidden="1">
              <a:extLst>
                <a:ext uri="{63B3BB69-23CF-44E3-9099-C40C66FF867C}">
                  <a14:compatExt spid="_x0000_s388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342900</xdr:colOff>
          <xdr:row>0</xdr:row>
          <xdr:rowOff>47625</xdr:rowOff>
        </xdr:from>
        <xdr:to>
          <xdr:col>7</xdr:col>
          <xdr:colOff>304800</xdr:colOff>
          <xdr:row>1</xdr:row>
          <xdr:rowOff>104775</xdr:rowOff>
        </xdr:to>
        <xdr:sp macro="" textlink="">
          <xdr:nvSpPr>
            <xdr:cNvPr id="388098" name="Button 1026" hidden="1">
              <a:extLst>
                <a:ext uri="{63B3BB69-23CF-44E3-9099-C40C66FF867C}">
                  <a14:compatExt spid="_x0000_s388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후보단지추출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95250</xdr:colOff>
          <xdr:row>0</xdr:row>
          <xdr:rowOff>47625</xdr:rowOff>
        </xdr:from>
        <xdr:to>
          <xdr:col>4</xdr:col>
          <xdr:colOff>247650</xdr:colOff>
          <xdr:row>1</xdr:row>
          <xdr:rowOff>104775</xdr:rowOff>
        </xdr:to>
        <xdr:sp macro="" textlink="">
          <xdr:nvSpPr>
            <xdr:cNvPr id="582657" name="Button 1" hidden="1">
              <a:extLst>
                <a:ext uri="{63B3BB69-23CF-44E3-9099-C40C66FF867C}">
                  <a14:compatExt spid="_x0000_s582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전체단지추출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85725</xdr:rowOff>
        </xdr:from>
        <xdr:to>
          <xdr:col>3</xdr:col>
          <xdr:colOff>1533525</xdr:colOff>
          <xdr:row>2</xdr:row>
          <xdr:rowOff>57150</xdr:rowOff>
        </xdr:to>
        <xdr:sp macro="" textlink="">
          <xdr:nvSpPr>
            <xdr:cNvPr id="387073" name="Button 1" hidden="1">
              <a:extLst>
                <a:ext uri="{63B3BB69-23CF-44E3-9099-C40C66FF867C}">
                  <a14:compatExt spid="_x0000_s387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동별가격표 생성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285750</xdr:colOff>
          <xdr:row>0</xdr:row>
          <xdr:rowOff>76200</xdr:rowOff>
        </xdr:from>
        <xdr:to>
          <xdr:col>8</xdr:col>
          <xdr:colOff>76200</xdr:colOff>
          <xdr:row>0</xdr:row>
          <xdr:rowOff>361950</xdr:rowOff>
        </xdr:to>
        <xdr:sp macro="" textlink="">
          <xdr:nvSpPr>
            <xdr:cNvPr id="591873" name="Button 1" hidden="1">
              <a:extLst>
                <a:ext uri="{63B3BB69-23CF-44E3-9099-C40C66FF867C}">
                  <a14:compatExt spid="_x0000_s5918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Delete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133350</xdr:colOff>
          <xdr:row>0</xdr:row>
          <xdr:rowOff>85725</xdr:rowOff>
        </xdr:from>
        <xdr:to>
          <xdr:col>5</xdr:col>
          <xdr:colOff>609600</xdr:colOff>
          <xdr:row>0</xdr:row>
          <xdr:rowOff>361950</xdr:rowOff>
        </xdr:to>
        <xdr:sp macro="" textlink="">
          <xdr:nvSpPr>
            <xdr:cNvPr id="591874" name="Button 2" hidden="1">
              <a:extLst>
                <a:ext uri="{63B3BB69-23CF-44E3-9099-C40C66FF867C}">
                  <a14:compatExt spid="_x0000_s5918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361950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29" name="Button 1" hidden="1">
              <a:extLst>
                <a:ext uri="{63B3BB69-23CF-44E3-9099-C40C66FF867C}">
                  <a14:compatExt spid="_x0000_s355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371475</xdr:colOff>
          <xdr:row>0</xdr:row>
          <xdr:rowOff>47625</xdr:rowOff>
        </xdr:from>
        <xdr:to>
          <xdr:col>14</xdr:col>
          <xdr:colOff>152400</xdr:colOff>
          <xdr:row>1</xdr:row>
          <xdr:rowOff>114300</xdr:rowOff>
        </xdr:to>
        <xdr:sp macro="" textlink="">
          <xdr:nvSpPr>
            <xdr:cNvPr id="355330" name="Button 2" hidden="1">
              <a:extLst>
                <a:ext uri="{63B3BB69-23CF-44E3-9099-C40C66FF867C}">
                  <a14:compatExt spid="_x0000_s355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면적정보입력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6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7.v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8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9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10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2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3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5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6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7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8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9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20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>
    <tabColor theme="5" tint="0.59999389629810485"/>
    <pageSetUpPr fitToPage="1"/>
  </sheetPr>
  <dimension ref="A1:BH539"/>
  <sheetViews>
    <sheetView tabSelected="1" zoomScaleNormal="100" zoomScaleSheetLayoutView="85" workbookViewId="0">
      <pane xSplit="1" ySplit="3" topLeftCell="B202" activePane="bottomRight" state="frozen"/>
      <selection activeCell="U15" sqref="U15"/>
      <selection pane="topRight" activeCell="U15" sqref="U15"/>
      <selection pane="bottomLeft" activeCell="U15" sqref="U15"/>
      <selection pane="bottomRight" activeCell="U227" sqref="U227"/>
    </sheetView>
  </sheetViews>
  <sheetFormatPr defaultColWidth="9" defaultRowHeight="14.1" customHeight="1" x14ac:dyDescent="0.3"/>
  <cols>
    <col min="1" max="1" width="22.5" style="77" bestFit="1" customWidth="1"/>
    <col min="2" max="2" width="5.625" style="77" bestFit="1" customWidth="1"/>
    <col min="3" max="3" width="6.625" style="77" bestFit="1" customWidth="1"/>
    <col min="4" max="4" width="5.625" style="77" bestFit="1" customWidth="1"/>
    <col min="5" max="5" width="4.625" style="77" bestFit="1" customWidth="1"/>
    <col min="6" max="6" width="5.625" style="77" bestFit="1" customWidth="1"/>
    <col min="7" max="7" width="4.625" style="77" bestFit="1" customWidth="1"/>
    <col min="8" max="8" width="6.625" style="77" bestFit="1" customWidth="1"/>
    <col min="9" max="9" width="7.75" style="77" bestFit="1" customWidth="1"/>
    <col min="10" max="10" width="4" style="77" bestFit="1" customWidth="1"/>
    <col min="11" max="11" width="6.875" style="77" bestFit="1" customWidth="1"/>
    <col min="12" max="12" width="4" style="77" bestFit="1" customWidth="1"/>
    <col min="13" max="13" width="6.875" style="77" bestFit="1" customWidth="1"/>
    <col min="14" max="14" width="4.625" style="77" bestFit="1" customWidth="1"/>
    <col min="15" max="16" width="7.625" style="77" bestFit="1" customWidth="1"/>
    <col min="17" max="19" width="3.25" style="77" bestFit="1" customWidth="1"/>
    <col min="20" max="20" width="10.125" style="77" customWidth="1"/>
    <col min="21" max="21" width="25" style="77" customWidth="1"/>
    <col min="22" max="22" width="2.25" style="77" customWidth="1"/>
    <col min="23" max="23" width="5.625" style="77" bestFit="1" customWidth="1"/>
    <col min="24" max="24" width="4.5" style="77" customWidth="1"/>
    <col min="25" max="25" width="6.25" style="77" bestFit="1" customWidth="1"/>
    <col min="26" max="26" width="7.75" style="77" bestFit="1" customWidth="1"/>
    <col min="27" max="27" width="7" style="77" bestFit="1" customWidth="1"/>
    <col min="28" max="28" width="6.875" style="77" bestFit="1" customWidth="1"/>
    <col min="29" max="29" width="4.625" style="77" bestFit="1" customWidth="1"/>
    <col min="30" max="30" width="7.625" style="77" bestFit="1" customWidth="1"/>
    <col min="31" max="31" width="3.25" style="77" bestFit="1" customWidth="1"/>
    <col min="32" max="32" width="4.625" style="77" bestFit="1" customWidth="1"/>
    <col min="33" max="33" width="2.125" style="77" customWidth="1"/>
    <col min="34" max="34" width="22.5" style="77" bestFit="1" customWidth="1"/>
    <col min="35" max="35" width="4.625" style="77" bestFit="1" customWidth="1"/>
    <col min="36" max="40" width="4.625" style="77" customWidth="1"/>
    <col min="41" max="41" width="9.125" style="77" bestFit="1" customWidth="1"/>
    <col min="42" max="43" width="7.625" style="77" bestFit="1" customWidth="1"/>
    <col min="44" max="44" width="9.125" style="77" bestFit="1" customWidth="1"/>
    <col min="45" max="45" width="6.125" style="77" bestFit="1" customWidth="1"/>
    <col min="46" max="46" width="8.625" style="77" bestFit="1" customWidth="1"/>
    <col min="47" max="47" width="9.125" style="77" bestFit="1" customWidth="1"/>
    <col min="48" max="48" width="7.625" style="77" bestFit="1" customWidth="1"/>
    <col min="49" max="51" width="9" style="25" customWidth="1"/>
    <col min="52" max="52" width="1.25" style="25" customWidth="1"/>
    <col min="53" max="53" width="9" style="25" customWidth="1"/>
    <col min="54" max="16384" width="9" style="25"/>
  </cols>
  <sheetData>
    <row r="1" spans="1:60" ht="17.25" customHeight="1" x14ac:dyDescent="0.3">
      <c r="A1" s="24" t="s">
        <v>0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4" t="s">
        <v>2</v>
      </c>
      <c r="M1"/>
      <c r="N1" s="115" t="s">
        <v>3</v>
      </c>
      <c r="O1" s="114"/>
      <c r="P1" s="79">
        <v>0</v>
      </c>
      <c r="Q1" s="116" t="s">
        <v>4</v>
      </c>
      <c r="R1" s="117"/>
      <c r="S1" s="114"/>
      <c r="T1" s="28"/>
      <c r="U1" s="25"/>
      <c r="V1" s="25"/>
      <c r="W1" s="25"/>
      <c r="X1" s="38" t="s">
        <v>5</v>
      </c>
      <c r="Y1" s="38"/>
      <c r="Z1" s="38"/>
      <c r="AA1" s="40">
        <v>70000</v>
      </c>
      <c r="AB1" s="25"/>
      <c r="AC1" s="25"/>
      <c r="AD1" s="25"/>
      <c r="AE1" s="27"/>
      <c r="AF1" s="28"/>
      <c r="AG1" s="25"/>
      <c r="AH1" s="24" t="s">
        <v>6</v>
      </c>
      <c r="AI1" s="25"/>
      <c r="AJ1" s="118" t="s">
        <v>7</v>
      </c>
      <c r="AK1" s="117"/>
      <c r="AL1" s="117"/>
      <c r="AM1" s="117"/>
      <c r="AN1" s="114"/>
      <c r="AO1" s="22">
        <v>80</v>
      </c>
      <c r="AP1" s="22">
        <v>45000</v>
      </c>
      <c r="AQ1" s="23">
        <v>1000</v>
      </c>
      <c r="AR1" s="22">
        <v>6000</v>
      </c>
      <c r="AS1" s="2"/>
      <c r="AT1" s="2"/>
      <c r="AU1" s="22">
        <v>300</v>
      </c>
      <c r="AV1" s="25"/>
      <c r="AX1" s="78" t="s">
        <v>8</v>
      </c>
      <c r="AY1" s="78" t="s">
        <v>9</v>
      </c>
      <c r="AZ1" s="46"/>
      <c r="BH1" s="25" t="s">
        <v>10</v>
      </c>
    </row>
    <row r="2" spans="1:60" ht="12" customHeight="1" x14ac:dyDescent="0.3">
      <c r="A2" s="80"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  <c r="W2" s="25"/>
      <c r="X2" s="39" t="s">
        <v>11</v>
      </c>
      <c r="Y2" s="39"/>
      <c r="Z2" s="38"/>
      <c r="AA2" s="40">
        <v>10000</v>
      </c>
      <c r="AB2" s="25"/>
      <c r="AC2" s="25"/>
      <c r="AD2" s="25"/>
      <c r="AE2" s="27"/>
      <c r="AF2" s="28"/>
      <c r="AG2" s="25"/>
      <c r="AH2" s="30" t="s">
        <v>12</v>
      </c>
      <c r="AI2" s="31"/>
      <c r="AJ2" s="32" t="s">
        <v>13</v>
      </c>
      <c r="AK2" s="32" t="s">
        <v>14</v>
      </c>
      <c r="AL2" s="32" t="s">
        <v>14</v>
      </c>
      <c r="AM2" s="32" t="s">
        <v>14</v>
      </c>
      <c r="AN2" s="32" t="s">
        <v>15</v>
      </c>
      <c r="AO2" s="113" t="s">
        <v>16</v>
      </c>
      <c r="AP2" s="117"/>
      <c r="AQ2" s="114"/>
      <c r="AR2" s="113" t="s">
        <v>17</v>
      </c>
      <c r="AS2" s="114"/>
      <c r="AT2" s="113" t="s">
        <v>18</v>
      </c>
      <c r="AU2" s="114"/>
      <c r="AV2" s="33" t="s">
        <v>19</v>
      </c>
      <c r="AX2" s="45">
        <v>2020</v>
      </c>
      <c r="AY2" s="45">
        <v>9</v>
      </c>
      <c r="AZ2" s="47"/>
      <c r="BH2" s="25" t="s">
        <v>20</v>
      </c>
    </row>
    <row r="3" spans="1:60" ht="26.25" customHeight="1" x14ac:dyDescent="0.3">
      <c r="A3" s="33" t="s">
        <v>21</v>
      </c>
      <c r="B3" s="33" t="s">
        <v>22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27</v>
      </c>
      <c r="H3" s="78" t="s">
        <v>28</v>
      </c>
      <c r="I3" s="34" t="s">
        <v>29</v>
      </c>
      <c r="J3" s="34" t="s">
        <v>30</v>
      </c>
      <c r="K3" s="34" t="s">
        <v>31</v>
      </c>
      <c r="L3" s="34" t="s">
        <v>30</v>
      </c>
      <c r="M3" s="78" t="s">
        <v>32</v>
      </c>
      <c r="N3" s="33" t="s">
        <v>33</v>
      </c>
      <c r="O3" s="34" t="s">
        <v>34</v>
      </c>
      <c r="P3" s="34" t="s">
        <v>35</v>
      </c>
      <c r="Q3" s="35" t="s">
        <v>36</v>
      </c>
      <c r="R3" s="35" t="s">
        <v>37</v>
      </c>
      <c r="S3" s="33" t="s">
        <v>38</v>
      </c>
      <c r="T3" s="36" t="s">
        <v>39</v>
      </c>
      <c r="U3" s="78" t="s">
        <v>40</v>
      </c>
      <c r="V3" s="25"/>
      <c r="W3" s="33" t="s">
        <v>41</v>
      </c>
      <c r="X3" s="33" t="s">
        <v>25</v>
      </c>
      <c r="Y3" s="81" t="s">
        <v>28</v>
      </c>
      <c r="Z3" s="78" t="s">
        <v>42</v>
      </c>
      <c r="AA3" s="78" t="s">
        <v>43</v>
      </c>
      <c r="AB3" s="78" t="s">
        <v>32</v>
      </c>
      <c r="AC3" s="33" t="s">
        <v>33</v>
      </c>
      <c r="AD3" s="78" t="s">
        <v>44</v>
      </c>
      <c r="AE3" s="33" t="s">
        <v>38</v>
      </c>
      <c r="AF3" s="35" t="s">
        <v>45</v>
      </c>
      <c r="AG3" s="25"/>
      <c r="AH3" s="33" t="s">
        <v>21</v>
      </c>
      <c r="AI3" s="33" t="s">
        <v>25</v>
      </c>
      <c r="AJ3" s="33" t="s">
        <v>46</v>
      </c>
      <c r="AK3" s="33" t="s">
        <v>47</v>
      </c>
      <c r="AL3" s="33" t="s">
        <v>48</v>
      </c>
      <c r="AM3" s="33" t="s">
        <v>49</v>
      </c>
      <c r="AN3" s="33" t="s">
        <v>50</v>
      </c>
      <c r="AO3" s="33" t="s">
        <v>51</v>
      </c>
      <c r="AP3" s="33" t="s">
        <v>52</v>
      </c>
      <c r="AQ3" s="33" t="s">
        <v>53</v>
      </c>
      <c r="AR3" s="33" t="s">
        <v>54</v>
      </c>
      <c r="AS3" s="33" t="s">
        <v>55</v>
      </c>
      <c r="AT3" s="37" t="s">
        <v>56</v>
      </c>
      <c r="AU3" s="33" t="s">
        <v>57</v>
      </c>
      <c r="AV3" s="33" t="s">
        <v>19</v>
      </c>
      <c r="AX3" s="12" t="s">
        <v>58</v>
      </c>
      <c r="AY3" s="12" t="s">
        <v>59</v>
      </c>
      <c r="AZ3" s="49"/>
      <c r="BA3" s="50"/>
      <c r="BB3" s="82">
        <v>2010</v>
      </c>
      <c r="BC3" s="82">
        <v>2000</v>
      </c>
      <c r="BD3" s="82">
        <v>1990</v>
      </c>
      <c r="BE3" s="83">
        <v>1990</v>
      </c>
      <c r="BF3" s="38"/>
    </row>
    <row r="4" spans="1:60" s="38" customFormat="1" ht="12" x14ac:dyDescent="0.3">
      <c r="A4" s="110" t="s">
        <v>941</v>
      </c>
      <c r="B4" s="111" t="s">
        <v>942</v>
      </c>
      <c r="C4" s="112">
        <v>462</v>
      </c>
      <c r="D4" s="104">
        <v>80.3</v>
      </c>
      <c r="E4" s="106">
        <v>24</v>
      </c>
      <c r="F4" s="104">
        <v>59.9</v>
      </c>
      <c r="G4" s="17">
        <v>18</v>
      </c>
      <c r="H4" s="107">
        <v>71</v>
      </c>
      <c r="I4" s="108">
        <v>31000</v>
      </c>
      <c r="J4" s="108" t="s">
        <v>868</v>
      </c>
      <c r="K4" s="108"/>
      <c r="L4" s="108"/>
      <c r="M4" s="109">
        <f t="shared" ref="M4:M11" si="0">I4-K4</f>
        <v>31000</v>
      </c>
      <c r="N4" s="4">
        <f t="shared" ref="N4:N11" si="1">IF(ISERROR(K4/I4),"",K4/I4)</f>
        <v>0</v>
      </c>
      <c r="O4" s="105">
        <f t="shared" ref="O4:O11" si="2">I4/E4</f>
        <v>1291.6666666666667</v>
      </c>
      <c r="P4" s="105">
        <f t="shared" ref="P4:P11" si="3">K4/E4</f>
        <v>0</v>
      </c>
      <c r="Q4" s="75">
        <v>3</v>
      </c>
      <c r="R4" s="75">
        <v>2</v>
      </c>
      <c r="S4" s="75" t="s">
        <v>869</v>
      </c>
      <c r="T4" s="5">
        <v>80</v>
      </c>
      <c r="U4" s="9"/>
      <c r="W4" s="104">
        <f t="shared" ref="W4:X11" si="4">D4</f>
        <v>80.3</v>
      </c>
      <c r="X4" s="106">
        <f t="shared" si="4"/>
        <v>24</v>
      </c>
      <c r="Y4" s="102">
        <f t="shared" ref="Y4:Z11" si="5">H4</f>
        <v>71</v>
      </c>
      <c r="Z4" s="109">
        <f t="shared" si="5"/>
        <v>31000</v>
      </c>
      <c r="AA4" s="109">
        <f t="shared" ref="AA4:AA11" si="6">K4</f>
        <v>0</v>
      </c>
      <c r="AB4" s="109">
        <f t="shared" ref="AB4:AD19" si="7">M4</f>
        <v>31000</v>
      </c>
      <c r="AC4" s="4">
        <f t="shared" si="7"/>
        <v>0</v>
      </c>
      <c r="AD4" s="105">
        <f t="shared" si="7"/>
        <v>1291.6666666666667</v>
      </c>
      <c r="AE4" s="75" t="str">
        <f t="shared" ref="AE4:AE11" si="8">S4</f>
        <v>계</v>
      </c>
      <c r="AF4" s="75" t="str">
        <f t="shared" ref="AF4:AF11" si="9">Q4&amp;"/"&amp;R4</f>
        <v>3/2</v>
      </c>
      <c r="AH4" s="20" t="str">
        <f t="shared" ref="AH4:AH49" si="10">IF(A4="","",A4)</f>
        <v>경화동 두산위브</v>
      </c>
      <c r="AI4" s="106">
        <f t="shared" ref="AI4:AI49" si="11">IF(E4="","",E4)</f>
        <v>24</v>
      </c>
      <c r="AJ4" s="75" t="str">
        <f t="shared" ref="AJ4:AJ11" si="12">IF(AI4="","",$AJ$2)</f>
        <v>A-</v>
      </c>
      <c r="AK4" s="75" t="s">
        <v>14</v>
      </c>
      <c r="AL4" s="75" t="s">
        <v>870</v>
      </c>
      <c r="AM4" s="75" t="s">
        <v>871</v>
      </c>
      <c r="AN4" s="75" t="str">
        <f t="shared" ref="AN4:AN11" si="13">IF(AI4="","",$AN$2)</f>
        <v>C</v>
      </c>
      <c r="AO4" s="75" t="str">
        <f t="shared" ref="AO4:AO11" si="14">IF(N4="","",IF(N4&gt;=$AO$1/100,"O","X"))</f>
        <v>X</v>
      </c>
      <c r="AP4" s="75" t="str">
        <f t="shared" ref="AP4:AP11" si="15">IF(I4="","",IF(I4&lt;=$AP$1,"O","X"))</f>
        <v>O</v>
      </c>
      <c r="AQ4" s="75" t="str">
        <f t="shared" ref="AQ4:AQ11" si="16">IF(O4="","",IF(O4&lt;=$AQ$1,"O","X"))</f>
        <v>X</v>
      </c>
      <c r="AR4" s="75" t="str">
        <f t="shared" ref="AR4:AR11" si="17">IF(M4="","",IF(M4&lt;=$AR$1,"O","X"))</f>
        <v>X</v>
      </c>
      <c r="AS4" s="75" t="s">
        <v>2</v>
      </c>
      <c r="AT4" s="75" t="str">
        <f t="shared" ref="AT4:AT11" si="18">IF(OR(F4="",AI4=""),"",IF(AND((F4&lt;=85),(AI4&gt;=15)),"O","X"))</f>
        <v>O</v>
      </c>
      <c r="AU4" s="75" t="str">
        <f t="shared" ref="AU4:AU11" si="19">IF(C4="","",IF(C4&gt;=$AU$1,"O","X"))</f>
        <v>O</v>
      </c>
      <c r="AV4" s="75" t="str">
        <f t="shared" ref="AV4:AV11" si="20">IF(AO4="","",IF(AND(AO4="O",AP4="O",AR4="O",AT4="O",AU4="O"),"후보","X"))</f>
        <v>X</v>
      </c>
    </row>
    <row r="5" spans="1:60" s="38" customFormat="1" ht="12" x14ac:dyDescent="0.3">
      <c r="A5" s="110" t="s">
        <v>941</v>
      </c>
      <c r="B5" s="111" t="s">
        <v>942</v>
      </c>
      <c r="C5" s="112">
        <v>462</v>
      </c>
      <c r="D5" s="104">
        <v>98.6</v>
      </c>
      <c r="E5" s="106">
        <v>30</v>
      </c>
      <c r="F5" s="104">
        <v>73.900000000000006</v>
      </c>
      <c r="G5" s="17">
        <v>22</v>
      </c>
      <c r="H5" s="107">
        <v>13</v>
      </c>
      <c r="I5" s="108">
        <v>36000</v>
      </c>
      <c r="J5" s="108" t="s">
        <v>868</v>
      </c>
      <c r="K5" s="108"/>
      <c r="L5" s="108"/>
      <c r="M5" s="109">
        <f t="shared" si="0"/>
        <v>36000</v>
      </c>
      <c r="N5" s="4">
        <f t="shared" si="1"/>
        <v>0</v>
      </c>
      <c r="O5" s="105">
        <f t="shared" si="2"/>
        <v>1200</v>
      </c>
      <c r="P5" s="105">
        <f t="shared" si="3"/>
        <v>0</v>
      </c>
      <c r="Q5" s="75">
        <v>3</v>
      </c>
      <c r="R5" s="75">
        <v>2</v>
      </c>
      <c r="S5" s="75" t="s">
        <v>869</v>
      </c>
      <c r="T5" s="5" t="s">
        <v>118</v>
      </c>
      <c r="U5" s="9"/>
      <c r="W5" s="104">
        <f t="shared" si="4"/>
        <v>98.6</v>
      </c>
      <c r="X5" s="106">
        <f t="shared" si="4"/>
        <v>30</v>
      </c>
      <c r="Y5" s="102">
        <f t="shared" si="5"/>
        <v>13</v>
      </c>
      <c r="Z5" s="109">
        <f t="shared" si="5"/>
        <v>36000</v>
      </c>
      <c r="AA5" s="109">
        <f t="shared" si="6"/>
        <v>0</v>
      </c>
      <c r="AB5" s="109">
        <f t="shared" si="7"/>
        <v>36000</v>
      </c>
      <c r="AC5" s="4">
        <f t="shared" si="7"/>
        <v>0</v>
      </c>
      <c r="AD5" s="105">
        <f t="shared" si="7"/>
        <v>1200</v>
      </c>
      <c r="AE5" s="75" t="str">
        <f t="shared" si="8"/>
        <v>계</v>
      </c>
      <c r="AF5" s="75" t="str">
        <f t="shared" si="9"/>
        <v>3/2</v>
      </c>
      <c r="AH5" s="20" t="str">
        <f t="shared" si="10"/>
        <v>경화동 두산위브</v>
      </c>
      <c r="AI5" s="106">
        <f t="shared" si="11"/>
        <v>30</v>
      </c>
      <c r="AJ5" s="75" t="str">
        <f t="shared" si="12"/>
        <v>A-</v>
      </c>
      <c r="AK5" s="75" t="s">
        <v>14</v>
      </c>
      <c r="AL5" s="75" t="s">
        <v>870</v>
      </c>
      <c r="AM5" s="75" t="s">
        <v>871</v>
      </c>
      <c r="AN5" s="75" t="str">
        <f t="shared" si="13"/>
        <v>C</v>
      </c>
      <c r="AO5" s="75" t="str">
        <f t="shared" si="14"/>
        <v>X</v>
      </c>
      <c r="AP5" s="75" t="str">
        <f t="shared" si="15"/>
        <v>O</v>
      </c>
      <c r="AQ5" s="75" t="str">
        <f t="shared" si="16"/>
        <v>X</v>
      </c>
      <c r="AR5" s="75" t="str">
        <f t="shared" si="17"/>
        <v>X</v>
      </c>
      <c r="AS5" s="75" t="s">
        <v>2</v>
      </c>
      <c r="AT5" s="75" t="str">
        <f t="shared" si="18"/>
        <v>O</v>
      </c>
      <c r="AU5" s="75" t="str">
        <f t="shared" si="19"/>
        <v>O</v>
      </c>
      <c r="AV5" s="75" t="str">
        <f t="shared" si="20"/>
        <v>X</v>
      </c>
    </row>
    <row r="6" spans="1:60" s="38" customFormat="1" ht="12" x14ac:dyDescent="0.3">
      <c r="A6" s="110" t="s">
        <v>941</v>
      </c>
      <c r="B6" s="111" t="s">
        <v>942</v>
      </c>
      <c r="C6" s="112">
        <v>462</v>
      </c>
      <c r="D6" s="104">
        <v>98.2</v>
      </c>
      <c r="E6" s="106">
        <v>30</v>
      </c>
      <c r="F6" s="104">
        <v>73.900000000000006</v>
      </c>
      <c r="G6" s="17">
        <v>22</v>
      </c>
      <c r="H6" s="107">
        <v>11</v>
      </c>
      <c r="I6" s="108"/>
      <c r="J6" s="108"/>
      <c r="K6" s="108"/>
      <c r="L6" s="108"/>
      <c r="M6" s="109">
        <f t="shared" si="0"/>
        <v>0</v>
      </c>
      <c r="N6" s="4" t="str">
        <f t="shared" si="1"/>
        <v/>
      </c>
      <c r="O6" s="105">
        <f t="shared" si="2"/>
        <v>0</v>
      </c>
      <c r="P6" s="105">
        <f t="shared" si="3"/>
        <v>0</v>
      </c>
      <c r="Q6" s="75">
        <v>3</v>
      </c>
      <c r="R6" s="75">
        <v>2</v>
      </c>
      <c r="S6" s="75" t="s">
        <v>869</v>
      </c>
      <c r="T6" s="5" t="s">
        <v>119</v>
      </c>
      <c r="U6" s="9"/>
      <c r="W6" s="104">
        <f t="shared" si="4"/>
        <v>98.2</v>
      </c>
      <c r="X6" s="106">
        <f t="shared" si="4"/>
        <v>30</v>
      </c>
      <c r="Y6" s="102">
        <f t="shared" si="5"/>
        <v>11</v>
      </c>
      <c r="Z6" s="109">
        <f t="shared" si="5"/>
        <v>0</v>
      </c>
      <c r="AA6" s="109">
        <f t="shared" si="6"/>
        <v>0</v>
      </c>
      <c r="AB6" s="109">
        <f t="shared" si="7"/>
        <v>0</v>
      </c>
      <c r="AC6" s="4" t="str">
        <f t="shared" si="7"/>
        <v/>
      </c>
      <c r="AD6" s="105">
        <f t="shared" si="7"/>
        <v>0</v>
      </c>
      <c r="AE6" s="75" t="str">
        <f t="shared" si="8"/>
        <v>계</v>
      </c>
      <c r="AF6" s="75" t="str">
        <f t="shared" si="9"/>
        <v>3/2</v>
      </c>
      <c r="AH6" s="20" t="str">
        <f t="shared" si="10"/>
        <v>경화동 두산위브</v>
      </c>
      <c r="AI6" s="106">
        <f t="shared" si="11"/>
        <v>30</v>
      </c>
      <c r="AJ6" s="75" t="str">
        <f t="shared" si="12"/>
        <v>A-</v>
      </c>
      <c r="AK6" s="75" t="s">
        <v>14</v>
      </c>
      <c r="AL6" s="75" t="s">
        <v>870</v>
      </c>
      <c r="AM6" s="75" t="s">
        <v>871</v>
      </c>
      <c r="AN6" s="75" t="str">
        <f t="shared" si="13"/>
        <v>C</v>
      </c>
      <c r="AO6" s="75" t="str">
        <f t="shared" si="14"/>
        <v/>
      </c>
      <c r="AP6" s="75" t="str">
        <f t="shared" si="15"/>
        <v/>
      </c>
      <c r="AQ6" s="75" t="str">
        <f t="shared" si="16"/>
        <v>O</v>
      </c>
      <c r="AR6" s="75" t="str">
        <f t="shared" si="17"/>
        <v>O</v>
      </c>
      <c r="AS6" s="75" t="s">
        <v>2</v>
      </c>
      <c r="AT6" s="75" t="str">
        <f t="shared" si="18"/>
        <v>O</v>
      </c>
      <c r="AU6" s="75" t="str">
        <f t="shared" si="19"/>
        <v>O</v>
      </c>
      <c r="AV6" s="75" t="str">
        <f t="shared" si="20"/>
        <v/>
      </c>
    </row>
    <row r="7" spans="1:60" s="38" customFormat="1" ht="12" x14ac:dyDescent="0.3">
      <c r="A7" s="110" t="s">
        <v>941</v>
      </c>
      <c r="B7" s="111" t="s">
        <v>942</v>
      </c>
      <c r="C7" s="112">
        <v>462</v>
      </c>
      <c r="D7" s="104">
        <v>99.4</v>
      </c>
      <c r="E7" s="106">
        <v>30</v>
      </c>
      <c r="F7" s="104">
        <v>74.7</v>
      </c>
      <c r="G7" s="17">
        <v>23</v>
      </c>
      <c r="H7" s="107">
        <v>147</v>
      </c>
      <c r="I7" s="108">
        <v>39000</v>
      </c>
      <c r="J7" s="108" t="s">
        <v>872</v>
      </c>
      <c r="K7" s="108">
        <v>30000</v>
      </c>
      <c r="L7" s="108" t="s">
        <v>872</v>
      </c>
      <c r="M7" s="109">
        <f t="shared" si="0"/>
        <v>9000</v>
      </c>
      <c r="N7" s="4">
        <f t="shared" si="1"/>
        <v>0.76923076923076927</v>
      </c>
      <c r="O7" s="105">
        <f t="shared" si="2"/>
        <v>1300</v>
      </c>
      <c r="P7" s="105">
        <f t="shared" si="3"/>
        <v>1000</v>
      </c>
      <c r="Q7" s="75">
        <v>3</v>
      </c>
      <c r="R7" s="75">
        <v>2</v>
      </c>
      <c r="S7" s="75" t="s">
        <v>869</v>
      </c>
      <c r="T7" s="5" t="s">
        <v>120</v>
      </c>
      <c r="U7" s="9"/>
      <c r="W7" s="104">
        <f t="shared" si="4"/>
        <v>99.4</v>
      </c>
      <c r="X7" s="106">
        <f t="shared" si="4"/>
        <v>30</v>
      </c>
      <c r="Y7" s="102">
        <f t="shared" si="5"/>
        <v>147</v>
      </c>
      <c r="Z7" s="109">
        <f t="shared" si="5"/>
        <v>39000</v>
      </c>
      <c r="AA7" s="109">
        <f t="shared" si="6"/>
        <v>30000</v>
      </c>
      <c r="AB7" s="109">
        <f t="shared" si="7"/>
        <v>9000</v>
      </c>
      <c r="AC7" s="4">
        <f t="shared" si="7"/>
        <v>0.76923076923076927</v>
      </c>
      <c r="AD7" s="105">
        <f t="shared" si="7"/>
        <v>1300</v>
      </c>
      <c r="AE7" s="75" t="str">
        <f t="shared" si="8"/>
        <v>계</v>
      </c>
      <c r="AF7" s="75" t="str">
        <f t="shared" si="9"/>
        <v>3/2</v>
      </c>
      <c r="AH7" s="20" t="str">
        <f t="shared" si="10"/>
        <v>경화동 두산위브</v>
      </c>
      <c r="AI7" s="106">
        <f t="shared" si="11"/>
        <v>30</v>
      </c>
      <c r="AJ7" s="75" t="str">
        <f t="shared" si="12"/>
        <v>A-</v>
      </c>
      <c r="AK7" s="75" t="s">
        <v>14</v>
      </c>
      <c r="AL7" s="75" t="s">
        <v>870</v>
      </c>
      <c r="AM7" s="75" t="s">
        <v>871</v>
      </c>
      <c r="AN7" s="75" t="str">
        <f t="shared" si="13"/>
        <v>C</v>
      </c>
      <c r="AO7" s="75" t="str">
        <f t="shared" si="14"/>
        <v>X</v>
      </c>
      <c r="AP7" s="75" t="str">
        <f t="shared" si="15"/>
        <v>O</v>
      </c>
      <c r="AQ7" s="75" t="str">
        <f t="shared" si="16"/>
        <v>X</v>
      </c>
      <c r="AR7" s="75" t="str">
        <f t="shared" si="17"/>
        <v>X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>X</v>
      </c>
    </row>
    <row r="8" spans="1:60" s="38" customFormat="1" ht="12" x14ac:dyDescent="0.3">
      <c r="A8" s="110" t="s">
        <v>941</v>
      </c>
      <c r="B8" s="111" t="s">
        <v>942</v>
      </c>
      <c r="C8" s="112">
        <v>462</v>
      </c>
      <c r="D8" s="104">
        <v>112.8</v>
      </c>
      <c r="E8" s="106">
        <v>34</v>
      </c>
      <c r="F8" s="104">
        <v>84.9</v>
      </c>
      <c r="G8" s="17">
        <v>26</v>
      </c>
      <c r="H8" s="107">
        <v>59</v>
      </c>
      <c r="I8" s="108">
        <v>40500</v>
      </c>
      <c r="J8" s="108" t="s">
        <v>868</v>
      </c>
      <c r="K8" s="108"/>
      <c r="L8" s="108"/>
      <c r="M8" s="109">
        <f t="shared" si="0"/>
        <v>40500</v>
      </c>
      <c r="N8" s="4">
        <f t="shared" si="1"/>
        <v>0</v>
      </c>
      <c r="O8" s="105">
        <f t="shared" si="2"/>
        <v>1191.1764705882354</v>
      </c>
      <c r="P8" s="105">
        <f t="shared" si="3"/>
        <v>0</v>
      </c>
      <c r="Q8" s="75">
        <v>3</v>
      </c>
      <c r="R8" s="75">
        <v>2</v>
      </c>
      <c r="S8" s="75" t="s">
        <v>869</v>
      </c>
      <c r="T8" s="5" t="s">
        <v>121</v>
      </c>
      <c r="U8" s="9"/>
      <c r="W8" s="104">
        <f t="shared" si="4"/>
        <v>112.8</v>
      </c>
      <c r="X8" s="106">
        <f t="shared" si="4"/>
        <v>34</v>
      </c>
      <c r="Y8" s="102">
        <f t="shared" si="5"/>
        <v>59</v>
      </c>
      <c r="Z8" s="109">
        <f t="shared" si="5"/>
        <v>40500</v>
      </c>
      <c r="AA8" s="109">
        <f t="shared" si="6"/>
        <v>0</v>
      </c>
      <c r="AB8" s="109">
        <f t="shared" si="7"/>
        <v>40500</v>
      </c>
      <c r="AC8" s="4">
        <f t="shared" si="7"/>
        <v>0</v>
      </c>
      <c r="AD8" s="105">
        <f t="shared" si="7"/>
        <v>1191.1764705882354</v>
      </c>
      <c r="AE8" s="75" t="str">
        <f t="shared" si="8"/>
        <v>계</v>
      </c>
      <c r="AF8" s="75" t="str">
        <f t="shared" si="9"/>
        <v>3/2</v>
      </c>
      <c r="AH8" s="20" t="str">
        <f t="shared" si="10"/>
        <v>경화동 두산위브</v>
      </c>
      <c r="AI8" s="106">
        <f t="shared" si="11"/>
        <v>34</v>
      </c>
      <c r="AJ8" s="75" t="str">
        <f t="shared" si="12"/>
        <v>A-</v>
      </c>
      <c r="AK8" s="75" t="s">
        <v>14</v>
      </c>
      <c r="AL8" s="75" t="s">
        <v>870</v>
      </c>
      <c r="AM8" s="75" t="s">
        <v>871</v>
      </c>
      <c r="AN8" s="75" t="str">
        <f t="shared" si="13"/>
        <v>C</v>
      </c>
      <c r="AO8" s="75" t="str">
        <f t="shared" si="14"/>
        <v>X</v>
      </c>
      <c r="AP8" s="75" t="str">
        <f t="shared" si="15"/>
        <v>O</v>
      </c>
      <c r="AQ8" s="75" t="str">
        <f t="shared" si="16"/>
        <v>X</v>
      </c>
      <c r="AR8" s="75" t="str">
        <f t="shared" si="17"/>
        <v>X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>X</v>
      </c>
    </row>
    <row r="9" spans="1:60" s="38" customFormat="1" ht="12" x14ac:dyDescent="0.3">
      <c r="A9" s="110" t="s">
        <v>941</v>
      </c>
      <c r="B9" s="111" t="s">
        <v>942</v>
      </c>
      <c r="C9" s="112">
        <v>462</v>
      </c>
      <c r="D9" s="104">
        <v>112.6</v>
      </c>
      <c r="E9" s="106">
        <v>34</v>
      </c>
      <c r="F9" s="104">
        <v>84.8</v>
      </c>
      <c r="G9" s="17">
        <v>26</v>
      </c>
      <c r="H9" s="107">
        <v>54</v>
      </c>
      <c r="I9" s="108">
        <v>39500</v>
      </c>
      <c r="J9" s="108" t="s">
        <v>873</v>
      </c>
      <c r="K9" s="108"/>
      <c r="L9" s="108"/>
      <c r="M9" s="109">
        <f t="shared" si="0"/>
        <v>39500</v>
      </c>
      <c r="N9" s="4">
        <f t="shared" si="1"/>
        <v>0</v>
      </c>
      <c r="O9" s="105">
        <f t="shared" si="2"/>
        <v>1161.7647058823529</v>
      </c>
      <c r="P9" s="105">
        <f t="shared" si="3"/>
        <v>0</v>
      </c>
      <c r="Q9" s="75">
        <v>3</v>
      </c>
      <c r="R9" s="75">
        <v>2</v>
      </c>
      <c r="S9" s="75" t="s">
        <v>869</v>
      </c>
      <c r="T9" s="5" t="s">
        <v>122</v>
      </c>
      <c r="U9" s="9"/>
      <c r="W9" s="104">
        <f t="shared" si="4"/>
        <v>112.6</v>
      </c>
      <c r="X9" s="106">
        <f t="shared" si="4"/>
        <v>34</v>
      </c>
      <c r="Y9" s="102">
        <f t="shared" si="5"/>
        <v>54</v>
      </c>
      <c r="Z9" s="109">
        <f t="shared" si="5"/>
        <v>39500</v>
      </c>
      <c r="AA9" s="109">
        <f t="shared" si="6"/>
        <v>0</v>
      </c>
      <c r="AB9" s="109">
        <f t="shared" si="7"/>
        <v>39500</v>
      </c>
      <c r="AC9" s="4">
        <f t="shared" si="7"/>
        <v>0</v>
      </c>
      <c r="AD9" s="105">
        <f t="shared" si="7"/>
        <v>1161.7647058823529</v>
      </c>
      <c r="AE9" s="75" t="str">
        <f t="shared" si="8"/>
        <v>계</v>
      </c>
      <c r="AF9" s="75" t="str">
        <f t="shared" si="9"/>
        <v>3/2</v>
      </c>
      <c r="AH9" s="20" t="str">
        <f t="shared" si="10"/>
        <v>경화동 두산위브</v>
      </c>
      <c r="AI9" s="106">
        <f t="shared" si="11"/>
        <v>34</v>
      </c>
      <c r="AJ9" s="75" t="str">
        <f t="shared" si="12"/>
        <v>A-</v>
      </c>
      <c r="AK9" s="75" t="s">
        <v>14</v>
      </c>
      <c r="AL9" s="75" t="s">
        <v>870</v>
      </c>
      <c r="AM9" s="75" t="s">
        <v>871</v>
      </c>
      <c r="AN9" s="75" t="str">
        <f t="shared" si="13"/>
        <v>C</v>
      </c>
      <c r="AO9" s="75" t="str">
        <f t="shared" si="14"/>
        <v>X</v>
      </c>
      <c r="AP9" s="75" t="str">
        <f t="shared" si="15"/>
        <v>O</v>
      </c>
      <c r="AQ9" s="75" t="str">
        <f t="shared" si="16"/>
        <v>X</v>
      </c>
      <c r="AR9" s="75" t="str">
        <f t="shared" si="17"/>
        <v>X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>X</v>
      </c>
    </row>
    <row r="10" spans="1:60" s="38" customFormat="1" ht="12" x14ac:dyDescent="0.3">
      <c r="A10" s="110" t="s">
        <v>941</v>
      </c>
      <c r="B10" s="111" t="s">
        <v>942</v>
      </c>
      <c r="C10" s="112">
        <v>462</v>
      </c>
      <c r="D10" s="104">
        <v>113.2</v>
      </c>
      <c r="E10" s="106">
        <v>34</v>
      </c>
      <c r="F10" s="104">
        <v>85</v>
      </c>
      <c r="G10" s="17">
        <v>26</v>
      </c>
      <c r="H10" s="107">
        <v>60</v>
      </c>
      <c r="I10" s="108">
        <v>38500</v>
      </c>
      <c r="J10" s="108" t="s">
        <v>873</v>
      </c>
      <c r="K10" s="108">
        <v>34000</v>
      </c>
      <c r="L10" s="108" t="s">
        <v>873</v>
      </c>
      <c r="M10" s="109">
        <f t="shared" si="0"/>
        <v>4500</v>
      </c>
      <c r="N10" s="4">
        <f t="shared" si="1"/>
        <v>0.88311688311688308</v>
      </c>
      <c r="O10" s="105">
        <f t="shared" si="2"/>
        <v>1132.3529411764705</v>
      </c>
      <c r="P10" s="105">
        <f t="shared" si="3"/>
        <v>1000</v>
      </c>
      <c r="Q10" s="75">
        <v>3</v>
      </c>
      <c r="R10" s="75">
        <v>2</v>
      </c>
      <c r="S10" s="75" t="s">
        <v>869</v>
      </c>
      <c r="T10" s="5" t="s">
        <v>123</v>
      </c>
      <c r="U10" s="9"/>
      <c r="W10" s="104">
        <f t="shared" si="4"/>
        <v>113.2</v>
      </c>
      <c r="X10" s="106">
        <f t="shared" si="4"/>
        <v>34</v>
      </c>
      <c r="Y10" s="102">
        <f t="shared" si="5"/>
        <v>60</v>
      </c>
      <c r="Z10" s="109">
        <f t="shared" si="5"/>
        <v>38500</v>
      </c>
      <c r="AA10" s="109">
        <f t="shared" si="6"/>
        <v>34000</v>
      </c>
      <c r="AB10" s="109">
        <f t="shared" si="7"/>
        <v>4500</v>
      </c>
      <c r="AC10" s="4">
        <f t="shared" si="7"/>
        <v>0.88311688311688308</v>
      </c>
      <c r="AD10" s="105">
        <f t="shared" si="7"/>
        <v>1132.3529411764705</v>
      </c>
      <c r="AE10" s="75" t="str">
        <f t="shared" si="8"/>
        <v>계</v>
      </c>
      <c r="AF10" s="75" t="str">
        <f t="shared" si="9"/>
        <v>3/2</v>
      </c>
      <c r="AH10" s="20" t="str">
        <f t="shared" si="10"/>
        <v>경화동 두산위브</v>
      </c>
      <c r="AI10" s="106">
        <f t="shared" si="11"/>
        <v>34</v>
      </c>
      <c r="AJ10" s="75" t="str">
        <f t="shared" si="12"/>
        <v>A-</v>
      </c>
      <c r="AK10" s="75" t="s">
        <v>14</v>
      </c>
      <c r="AL10" s="75" t="s">
        <v>870</v>
      </c>
      <c r="AM10" s="75" t="s">
        <v>871</v>
      </c>
      <c r="AN10" s="75" t="str">
        <f t="shared" si="13"/>
        <v>C</v>
      </c>
      <c r="AO10" s="75" t="str">
        <f t="shared" si="14"/>
        <v>O</v>
      </c>
      <c r="AP10" s="75" t="str">
        <f t="shared" si="15"/>
        <v>O</v>
      </c>
      <c r="AQ10" s="75" t="str">
        <f t="shared" si="16"/>
        <v>X</v>
      </c>
      <c r="AR10" s="75" t="str">
        <f t="shared" si="17"/>
        <v>O</v>
      </c>
      <c r="AS10" s="75" t="s">
        <v>2</v>
      </c>
      <c r="AT10" s="75" t="str">
        <f t="shared" si="18"/>
        <v>O</v>
      </c>
      <c r="AU10" s="75" t="str">
        <f t="shared" si="19"/>
        <v>O</v>
      </c>
      <c r="AV10" s="75" t="str">
        <f t="shared" si="20"/>
        <v>후보</v>
      </c>
    </row>
    <row r="11" spans="1:60" s="38" customFormat="1" ht="12" x14ac:dyDescent="0.3">
      <c r="A11" s="110" t="s">
        <v>943</v>
      </c>
      <c r="B11" s="111" t="s">
        <v>942</v>
      </c>
      <c r="C11" s="112">
        <v>462</v>
      </c>
      <c r="D11" s="104">
        <v>113.2</v>
      </c>
      <c r="E11" s="106">
        <v>34</v>
      </c>
      <c r="F11" s="104">
        <v>84.9</v>
      </c>
      <c r="G11" s="17">
        <v>26</v>
      </c>
      <c r="H11" s="107">
        <v>47</v>
      </c>
      <c r="I11" s="108">
        <v>57000</v>
      </c>
      <c r="J11" s="108" t="s">
        <v>873</v>
      </c>
      <c r="K11" s="108"/>
      <c r="L11" s="108"/>
      <c r="M11" s="109">
        <f t="shared" si="0"/>
        <v>57000</v>
      </c>
      <c r="N11" s="4">
        <f t="shared" si="1"/>
        <v>0</v>
      </c>
      <c r="O11" s="105">
        <f t="shared" si="2"/>
        <v>1676.4705882352941</v>
      </c>
      <c r="P11" s="105">
        <f t="shared" si="3"/>
        <v>0</v>
      </c>
      <c r="Q11" s="75">
        <v>3</v>
      </c>
      <c r="R11" s="75">
        <v>2</v>
      </c>
      <c r="S11" s="75" t="s">
        <v>869</v>
      </c>
      <c r="T11" s="5" t="s">
        <v>124</v>
      </c>
      <c r="U11" s="9"/>
      <c r="W11" s="104">
        <f t="shared" si="4"/>
        <v>113.2</v>
      </c>
      <c r="X11" s="106">
        <f t="shared" si="4"/>
        <v>34</v>
      </c>
      <c r="Y11" s="102">
        <f t="shared" si="5"/>
        <v>47</v>
      </c>
      <c r="Z11" s="109">
        <f t="shared" si="5"/>
        <v>57000</v>
      </c>
      <c r="AA11" s="109">
        <f t="shared" si="6"/>
        <v>0</v>
      </c>
      <c r="AB11" s="109">
        <f t="shared" si="7"/>
        <v>57000</v>
      </c>
      <c r="AC11" s="4">
        <f t="shared" si="7"/>
        <v>0</v>
      </c>
      <c r="AD11" s="105">
        <f t="shared" si="7"/>
        <v>1676.4705882352941</v>
      </c>
      <c r="AE11" s="75" t="str">
        <f t="shared" si="8"/>
        <v>계</v>
      </c>
      <c r="AF11" s="75" t="str">
        <f t="shared" si="9"/>
        <v>3/2</v>
      </c>
      <c r="AH11" s="20" t="str">
        <f t="shared" si="10"/>
        <v>경화동 두산위브</v>
      </c>
      <c r="AI11" s="106">
        <f t="shared" si="11"/>
        <v>34</v>
      </c>
      <c r="AJ11" s="75" t="str">
        <f t="shared" si="12"/>
        <v>A-</v>
      </c>
      <c r="AK11" s="75" t="s">
        <v>14</v>
      </c>
      <c r="AL11" s="75" t="s">
        <v>870</v>
      </c>
      <c r="AM11" s="75" t="s">
        <v>871</v>
      </c>
      <c r="AN11" s="75" t="str">
        <f t="shared" si="13"/>
        <v>C</v>
      </c>
      <c r="AO11" s="75" t="str">
        <f t="shared" si="14"/>
        <v>X</v>
      </c>
      <c r="AP11" s="75" t="str">
        <f t="shared" si="15"/>
        <v>X</v>
      </c>
      <c r="AQ11" s="75" t="str">
        <f t="shared" si="16"/>
        <v>X</v>
      </c>
      <c r="AR11" s="75" t="str">
        <f t="shared" si="17"/>
        <v>X</v>
      </c>
      <c r="AS11" s="75" t="s">
        <v>2</v>
      </c>
      <c r="AT11" s="75" t="str">
        <f t="shared" si="18"/>
        <v>O</v>
      </c>
      <c r="AU11" s="75" t="str">
        <f t="shared" si="19"/>
        <v>O</v>
      </c>
      <c r="AV11" s="75" t="str">
        <f t="shared" si="20"/>
        <v>X</v>
      </c>
    </row>
    <row r="12" spans="1:60" s="38" customFormat="1" ht="12" x14ac:dyDescent="0.3">
      <c r="A12" s="110" t="s">
        <v>944</v>
      </c>
      <c r="B12" s="111" t="s">
        <v>945</v>
      </c>
      <c r="C12" s="112">
        <v>408</v>
      </c>
      <c r="D12" s="104">
        <v>111.1</v>
      </c>
      <c r="E12" s="106">
        <v>34</v>
      </c>
      <c r="F12" s="104">
        <v>85</v>
      </c>
      <c r="G12" s="17">
        <v>26</v>
      </c>
      <c r="H12" s="107">
        <v>378</v>
      </c>
      <c r="I12" s="108">
        <v>20000</v>
      </c>
      <c r="J12" s="108" t="s">
        <v>868</v>
      </c>
      <c r="K12" s="108"/>
      <c r="L12" s="108"/>
      <c r="M12" s="109">
        <f>I12-K12</f>
        <v>20000</v>
      </c>
      <c r="N12" s="4">
        <f>IF(ISERROR(K12/I12),"",K12/I12)</f>
        <v>0</v>
      </c>
      <c r="O12" s="105">
        <f>I12/E12</f>
        <v>588.23529411764707</v>
      </c>
      <c r="P12" s="105">
        <f>K12/E12</f>
        <v>0</v>
      </c>
      <c r="Q12" s="75">
        <v>3</v>
      </c>
      <c r="R12" s="75">
        <v>2</v>
      </c>
      <c r="S12" s="75" t="s">
        <v>869</v>
      </c>
      <c r="T12" s="5">
        <v>111</v>
      </c>
      <c r="U12" s="9"/>
      <c r="W12" s="104">
        <f>D12</f>
        <v>111.1</v>
      </c>
      <c r="X12" s="106">
        <f>E12</f>
        <v>34</v>
      </c>
      <c r="Y12" s="102">
        <f>H12</f>
        <v>378</v>
      </c>
      <c r="Z12" s="109">
        <f>I12</f>
        <v>20000</v>
      </c>
      <c r="AA12" s="109">
        <f>K12</f>
        <v>0</v>
      </c>
      <c r="AB12" s="109">
        <f t="shared" si="7"/>
        <v>20000</v>
      </c>
      <c r="AC12" s="4">
        <f t="shared" si="7"/>
        <v>0</v>
      </c>
      <c r="AD12" s="105">
        <f t="shared" si="7"/>
        <v>588.23529411764707</v>
      </c>
      <c r="AE12" s="75" t="str">
        <f>S12</f>
        <v>계</v>
      </c>
      <c r="AF12" s="75" t="str">
        <f>Q12&amp;"/"&amp;R12</f>
        <v>3/2</v>
      </c>
      <c r="AH12" s="20" t="str">
        <f t="shared" si="10"/>
        <v>경화동 대동다숲</v>
      </c>
      <c r="AI12" s="106">
        <f t="shared" si="11"/>
        <v>34</v>
      </c>
      <c r="AJ12" s="75" t="str">
        <f>IF(AI12="","",$AJ$2)</f>
        <v>A-</v>
      </c>
      <c r="AK12" s="75" t="s">
        <v>14</v>
      </c>
      <c r="AL12" s="75" t="s">
        <v>870</v>
      </c>
      <c r="AM12" s="75" t="s">
        <v>871</v>
      </c>
      <c r="AN12" s="75" t="str">
        <f>IF(AI12="","",$AN$2)</f>
        <v>C</v>
      </c>
      <c r="AO12" s="75" t="str">
        <f>IF(N12="","",IF(N12&gt;=$AO$1/100,"O","X"))</f>
        <v>X</v>
      </c>
      <c r="AP12" s="75" t="str">
        <f>IF(I12="","",IF(I12&lt;=$AP$1,"O","X"))</f>
        <v>O</v>
      </c>
      <c r="AQ12" s="75" t="str">
        <f>IF(O12="","",IF(O12&lt;=$AQ$1,"O","X"))</f>
        <v>O</v>
      </c>
      <c r="AR12" s="75" t="str">
        <f>IF(M12="","",IF(M12&lt;=$AR$1,"O","X"))</f>
        <v>X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>X</v>
      </c>
    </row>
    <row r="13" spans="1:60" s="38" customFormat="1" ht="12" x14ac:dyDescent="0.3">
      <c r="A13" s="110" t="s">
        <v>944</v>
      </c>
      <c r="B13" s="111" t="s">
        <v>945</v>
      </c>
      <c r="C13" s="112">
        <v>408</v>
      </c>
      <c r="D13" s="104">
        <v>160.5</v>
      </c>
      <c r="E13" s="106">
        <v>49</v>
      </c>
      <c r="F13" s="104">
        <v>130.19999999999999</v>
      </c>
      <c r="G13" s="17">
        <v>39</v>
      </c>
      <c r="H13" s="107">
        <v>30</v>
      </c>
      <c r="I13" s="108">
        <v>35000</v>
      </c>
      <c r="J13" s="108" t="s">
        <v>868</v>
      </c>
      <c r="K13" s="108"/>
      <c r="L13" s="108"/>
      <c r="M13" s="109">
        <f>I13-K13</f>
        <v>35000</v>
      </c>
      <c r="N13" s="4">
        <f>IF(ISERROR(K13/I13),"",K13/I13)</f>
        <v>0</v>
      </c>
      <c r="O13" s="105">
        <f>I13/E13</f>
        <v>714.28571428571433</v>
      </c>
      <c r="P13" s="105">
        <f>K13/E13</f>
        <v>0</v>
      </c>
      <c r="Q13" s="75">
        <v>4</v>
      </c>
      <c r="R13" s="75">
        <v>2</v>
      </c>
      <c r="S13" s="75" t="s">
        <v>869</v>
      </c>
      <c r="T13" s="5">
        <v>160</v>
      </c>
      <c r="U13" s="9"/>
      <c r="W13" s="104">
        <f>D13</f>
        <v>160.5</v>
      </c>
      <c r="X13" s="106">
        <f>E13</f>
        <v>49</v>
      </c>
      <c r="Y13" s="102">
        <f>H13</f>
        <v>30</v>
      </c>
      <c r="Z13" s="109">
        <f>I13</f>
        <v>35000</v>
      </c>
      <c r="AA13" s="109">
        <f>K13</f>
        <v>0</v>
      </c>
      <c r="AB13" s="109">
        <f t="shared" si="7"/>
        <v>35000</v>
      </c>
      <c r="AC13" s="4">
        <f t="shared" si="7"/>
        <v>0</v>
      </c>
      <c r="AD13" s="105">
        <f t="shared" si="7"/>
        <v>714.28571428571433</v>
      </c>
      <c r="AE13" s="75" t="str">
        <f>S13</f>
        <v>계</v>
      </c>
      <c r="AF13" s="75" t="str">
        <f>Q13&amp;"/"&amp;R13</f>
        <v>4/2</v>
      </c>
      <c r="AH13" s="20" t="str">
        <f t="shared" si="10"/>
        <v>경화동 대동다숲</v>
      </c>
      <c r="AI13" s="106">
        <f t="shared" si="11"/>
        <v>49</v>
      </c>
      <c r="AJ13" s="75" t="str">
        <f>IF(AI13="","",$AJ$2)</f>
        <v>A-</v>
      </c>
      <c r="AK13" s="75" t="s">
        <v>14</v>
      </c>
      <c r="AL13" s="75" t="s">
        <v>870</v>
      </c>
      <c r="AM13" s="75" t="s">
        <v>871</v>
      </c>
      <c r="AN13" s="75" t="str">
        <f>IF(AI13="","",$AN$2)</f>
        <v>C</v>
      </c>
      <c r="AO13" s="75" t="str">
        <f>IF(N13="","",IF(N13&gt;=$AO$1/100,"O","X"))</f>
        <v>X</v>
      </c>
      <c r="AP13" s="75" t="str">
        <f>IF(I13="","",IF(I13&lt;=$AP$1,"O","X"))</f>
        <v>O</v>
      </c>
      <c r="AQ13" s="75" t="str">
        <f>IF(O13="","",IF(O13&lt;=$AQ$1,"O","X"))</f>
        <v>O</v>
      </c>
      <c r="AR13" s="75" t="str">
        <f>IF(M13="","",IF(M13&lt;=$AR$1,"O","X"))</f>
        <v>X</v>
      </c>
      <c r="AS13" s="75" t="s">
        <v>2</v>
      </c>
      <c r="AT13" s="75" t="str">
        <f>IF(OR(F13="",AI13=""),"",IF(AND((F13&lt;=85),(AI13&gt;=15)),"O","X"))</f>
        <v>X</v>
      </c>
      <c r="AU13" s="75" t="str">
        <f>IF(C13="","",IF(C13&gt;=$AU$1,"O","X"))</f>
        <v>O</v>
      </c>
      <c r="AV13" s="75" t="str">
        <f>IF(AO13="","",IF(AND(AO13="O",AP13="O",AR13="O",AT13="O",AU13="O"),"후보","X"))</f>
        <v>X</v>
      </c>
    </row>
    <row r="14" spans="1:60" s="38" customFormat="1" ht="12" x14ac:dyDescent="0.3">
      <c r="A14" s="110" t="s">
        <v>946</v>
      </c>
      <c r="B14" s="111" t="s">
        <v>947</v>
      </c>
      <c r="C14" s="112">
        <v>285</v>
      </c>
      <c r="D14" s="104">
        <v>100.3</v>
      </c>
      <c r="E14" s="106">
        <v>30</v>
      </c>
      <c r="F14" s="104">
        <v>76.3</v>
      </c>
      <c r="G14" s="17">
        <v>23</v>
      </c>
      <c r="H14" s="107">
        <v>47</v>
      </c>
      <c r="I14" s="108"/>
      <c r="J14" s="108"/>
      <c r="K14" s="108"/>
      <c r="L14" s="108"/>
      <c r="M14" s="109">
        <f t="shared" ref="M14:M20" si="21">I14-K14</f>
        <v>0</v>
      </c>
      <c r="N14" s="4" t="str">
        <f t="shared" ref="N14:N20" si="22">IF(ISERROR(K14/I14),"",K14/I14)</f>
        <v/>
      </c>
      <c r="O14" s="105">
        <f t="shared" ref="O14:O20" si="23">I14/E14</f>
        <v>0</v>
      </c>
      <c r="P14" s="105">
        <f t="shared" ref="P14:P20" si="24">K14/E14</f>
        <v>0</v>
      </c>
      <c r="Q14" s="75">
        <v>4</v>
      </c>
      <c r="R14" s="75">
        <v>2</v>
      </c>
      <c r="S14" s="75" t="s">
        <v>869</v>
      </c>
      <c r="T14" s="5" t="s">
        <v>148</v>
      </c>
      <c r="U14" s="9"/>
      <c r="W14" s="104">
        <f t="shared" ref="W14:X20" si="25">D14</f>
        <v>100.3</v>
      </c>
      <c r="X14" s="106">
        <f t="shared" si="25"/>
        <v>30</v>
      </c>
      <c r="Y14" s="102">
        <f t="shared" ref="Y14:Z20" si="26">H14</f>
        <v>47</v>
      </c>
      <c r="Z14" s="109">
        <f t="shared" si="26"/>
        <v>0</v>
      </c>
      <c r="AA14" s="109">
        <f t="shared" ref="AA14:AA20" si="27">K14</f>
        <v>0</v>
      </c>
      <c r="AB14" s="109">
        <f t="shared" si="7"/>
        <v>0</v>
      </c>
      <c r="AC14" s="4" t="str">
        <f t="shared" si="7"/>
        <v/>
      </c>
      <c r="AD14" s="105">
        <f t="shared" si="7"/>
        <v>0</v>
      </c>
      <c r="AE14" s="75" t="str">
        <f t="shared" ref="AE14:AE20" si="28">S14</f>
        <v>계</v>
      </c>
      <c r="AF14" s="75" t="str">
        <f t="shared" ref="AF14:AF20" si="29">Q14&amp;"/"&amp;R14</f>
        <v>4/2</v>
      </c>
      <c r="AH14" s="20" t="str">
        <f t="shared" si="10"/>
        <v>경화동 창원경화베스티움</v>
      </c>
      <c r="AI14" s="106">
        <f t="shared" si="11"/>
        <v>30</v>
      </c>
      <c r="AJ14" s="75" t="str">
        <f t="shared" ref="AJ14:AJ20" si="30">IF(AI14="","",$AJ$2)</f>
        <v>A-</v>
      </c>
      <c r="AK14" s="75" t="s">
        <v>14</v>
      </c>
      <c r="AL14" s="75" t="s">
        <v>870</v>
      </c>
      <c r="AM14" s="75" t="s">
        <v>871</v>
      </c>
      <c r="AN14" s="75" t="str">
        <f t="shared" ref="AN14:AN20" si="31">IF(AI14="","",$AN$2)</f>
        <v>C</v>
      </c>
      <c r="AO14" s="75" t="str">
        <f t="shared" ref="AO14:AO20" si="32">IF(N14="","",IF(N14&gt;=$AO$1/100,"O","X"))</f>
        <v/>
      </c>
      <c r="AP14" s="75" t="str">
        <f t="shared" ref="AP14:AP20" si="33">IF(I14="","",IF(I14&lt;=$AP$1,"O","X"))</f>
        <v/>
      </c>
      <c r="AQ14" s="75" t="str">
        <f t="shared" ref="AQ14:AQ20" si="34">IF(O14="","",IF(O14&lt;=$AQ$1,"O","X"))</f>
        <v>O</v>
      </c>
      <c r="AR14" s="75" t="str">
        <f t="shared" ref="AR14:AR20" si="35">IF(M14="","",IF(M14&lt;=$AR$1,"O","X"))</f>
        <v>O</v>
      </c>
      <c r="AS14" s="75" t="s">
        <v>2</v>
      </c>
      <c r="AT14" s="75" t="str">
        <f t="shared" ref="AT14:AT20" si="36">IF(OR(F14="",AI14=""),"",IF(AND((F14&lt;=85),(AI14&gt;=15)),"O","X"))</f>
        <v>O</v>
      </c>
      <c r="AU14" s="75" t="str">
        <f t="shared" ref="AU14:AU20" si="37">IF(C14="","",IF(C14&gt;=$AU$1,"O","X"))</f>
        <v>X</v>
      </c>
      <c r="AV14" s="75" t="str">
        <f t="shared" ref="AV14:AV20" si="38">IF(AO14="","",IF(AND(AO14="O",AP14="O",AR14="O",AT14="O",AU14="O"),"후보","X"))</f>
        <v/>
      </c>
    </row>
    <row r="15" spans="1:60" s="38" customFormat="1" ht="12" x14ac:dyDescent="0.3">
      <c r="A15" s="110" t="s">
        <v>946</v>
      </c>
      <c r="B15" s="111" t="s">
        <v>947</v>
      </c>
      <c r="C15" s="112">
        <v>285</v>
      </c>
      <c r="D15" s="104">
        <v>100.1</v>
      </c>
      <c r="E15" s="106">
        <v>30</v>
      </c>
      <c r="F15" s="104">
        <v>76.099999999999994</v>
      </c>
      <c r="G15" s="17">
        <v>23</v>
      </c>
      <c r="H15" s="107">
        <v>5</v>
      </c>
      <c r="I15" s="108"/>
      <c r="J15" s="108"/>
      <c r="K15" s="108"/>
      <c r="L15" s="108"/>
      <c r="M15" s="109">
        <f t="shared" si="21"/>
        <v>0</v>
      </c>
      <c r="N15" s="4" t="str">
        <f t="shared" si="22"/>
        <v/>
      </c>
      <c r="O15" s="105">
        <f t="shared" si="23"/>
        <v>0</v>
      </c>
      <c r="P15" s="105">
        <f t="shared" si="24"/>
        <v>0</v>
      </c>
      <c r="Q15" s="75">
        <v>3</v>
      </c>
      <c r="R15" s="75">
        <v>2</v>
      </c>
      <c r="S15" s="75" t="s">
        <v>869</v>
      </c>
      <c r="T15" s="5" t="s">
        <v>131</v>
      </c>
      <c r="U15" s="9"/>
      <c r="W15" s="104">
        <f t="shared" si="25"/>
        <v>100.1</v>
      </c>
      <c r="X15" s="106">
        <f t="shared" si="25"/>
        <v>30</v>
      </c>
      <c r="Y15" s="102">
        <f t="shared" si="26"/>
        <v>5</v>
      </c>
      <c r="Z15" s="109">
        <f t="shared" si="26"/>
        <v>0</v>
      </c>
      <c r="AA15" s="109">
        <f t="shared" si="27"/>
        <v>0</v>
      </c>
      <c r="AB15" s="109">
        <f t="shared" si="7"/>
        <v>0</v>
      </c>
      <c r="AC15" s="4" t="str">
        <f t="shared" si="7"/>
        <v/>
      </c>
      <c r="AD15" s="105">
        <f t="shared" si="7"/>
        <v>0</v>
      </c>
      <c r="AE15" s="75" t="str">
        <f t="shared" si="28"/>
        <v>계</v>
      </c>
      <c r="AF15" s="75" t="str">
        <f t="shared" si="29"/>
        <v>3/2</v>
      </c>
      <c r="AH15" s="20" t="str">
        <f t="shared" si="10"/>
        <v>경화동 창원경화베스티움</v>
      </c>
      <c r="AI15" s="106">
        <f t="shared" si="11"/>
        <v>30</v>
      </c>
      <c r="AJ15" s="75" t="str">
        <f t="shared" si="30"/>
        <v>A-</v>
      </c>
      <c r="AK15" s="75" t="s">
        <v>14</v>
      </c>
      <c r="AL15" s="75" t="s">
        <v>870</v>
      </c>
      <c r="AM15" s="75" t="s">
        <v>871</v>
      </c>
      <c r="AN15" s="75" t="str">
        <f t="shared" si="31"/>
        <v>C</v>
      </c>
      <c r="AO15" s="75" t="str">
        <f t="shared" si="32"/>
        <v/>
      </c>
      <c r="AP15" s="75" t="str">
        <f t="shared" si="33"/>
        <v/>
      </c>
      <c r="AQ15" s="75" t="str">
        <f t="shared" si="34"/>
        <v>O</v>
      </c>
      <c r="AR15" s="75" t="str">
        <f t="shared" si="35"/>
        <v>O</v>
      </c>
      <c r="AS15" s="75" t="s">
        <v>2</v>
      </c>
      <c r="AT15" s="75" t="str">
        <f t="shared" si="36"/>
        <v>O</v>
      </c>
      <c r="AU15" s="75" t="str">
        <f t="shared" si="37"/>
        <v>X</v>
      </c>
      <c r="AV15" s="75" t="str">
        <f t="shared" si="38"/>
        <v/>
      </c>
    </row>
    <row r="16" spans="1:60" s="38" customFormat="1" ht="12" x14ac:dyDescent="0.3">
      <c r="A16" s="110" t="s">
        <v>946</v>
      </c>
      <c r="B16" s="111" t="s">
        <v>947</v>
      </c>
      <c r="C16" s="112">
        <v>285</v>
      </c>
      <c r="D16" s="104">
        <v>110.9</v>
      </c>
      <c r="E16" s="106">
        <v>34</v>
      </c>
      <c r="F16" s="104">
        <v>84.5</v>
      </c>
      <c r="G16" s="17">
        <v>26</v>
      </c>
      <c r="H16" s="107">
        <v>45</v>
      </c>
      <c r="I16" s="108"/>
      <c r="J16" s="108"/>
      <c r="K16" s="108"/>
      <c r="L16" s="108"/>
      <c r="M16" s="109">
        <f t="shared" si="21"/>
        <v>0</v>
      </c>
      <c r="N16" s="4" t="str">
        <f t="shared" si="22"/>
        <v/>
      </c>
      <c r="O16" s="105">
        <f t="shared" si="23"/>
        <v>0</v>
      </c>
      <c r="P16" s="105">
        <f t="shared" si="24"/>
        <v>0</v>
      </c>
      <c r="Q16" s="75">
        <v>3</v>
      </c>
      <c r="R16" s="75">
        <v>2</v>
      </c>
      <c r="S16" s="75" t="s">
        <v>869</v>
      </c>
      <c r="T16" s="5" t="s">
        <v>152</v>
      </c>
      <c r="U16" s="9"/>
      <c r="W16" s="104">
        <f t="shared" si="25"/>
        <v>110.9</v>
      </c>
      <c r="X16" s="106">
        <f t="shared" si="25"/>
        <v>34</v>
      </c>
      <c r="Y16" s="102">
        <f t="shared" si="26"/>
        <v>45</v>
      </c>
      <c r="Z16" s="109">
        <f t="shared" si="26"/>
        <v>0</v>
      </c>
      <c r="AA16" s="109">
        <f t="shared" si="27"/>
        <v>0</v>
      </c>
      <c r="AB16" s="109">
        <f t="shared" si="7"/>
        <v>0</v>
      </c>
      <c r="AC16" s="4" t="str">
        <f t="shared" si="7"/>
        <v/>
      </c>
      <c r="AD16" s="105">
        <f t="shared" si="7"/>
        <v>0</v>
      </c>
      <c r="AE16" s="75" t="str">
        <f t="shared" si="28"/>
        <v>계</v>
      </c>
      <c r="AF16" s="75" t="str">
        <f t="shared" si="29"/>
        <v>3/2</v>
      </c>
      <c r="AH16" s="20" t="str">
        <f t="shared" si="10"/>
        <v>경화동 창원경화베스티움</v>
      </c>
      <c r="AI16" s="106">
        <f t="shared" si="11"/>
        <v>34</v>
      </c>
      <c r="AJ16" s="75" t="str">
        <f t="shared" si="30"/>
        <v>A-</v>
      </c>
      <c r="AK16" s="75" t="s">
        <v>14</v>
      </c>
      <c r="AL16" s="75" t="s">
        <v>870</v>
      </c>
      <c r="AM16" s="75" t="s">
        <v>871</v>
      </c>
      <c r="AN16" s="75" t="str">
        <f t="shared" si="31"/>
        <v>C</v>
      </c>
      <c r="AO16" s="75" t="str">
        <f t="shared" si="32"/>
        <v/>
      </c>
      <c r="AP16" s="75" t="str">
        <f t="shared" si="33"/>
        <v/>
      </c>
      <c r="AQ16" s="75" t="str">
        <f t="shared" si="34"/>
        <v>O</v>
      </c>
      <c r="AR16" s="75" t="str">
        <f t="shared" si="35"/>
        <v>O</v>
      </c>
      <c r="AS16" s="75" t="s">
        <v>2</v>
      </c>
      <c r="AT16" s="75" t="str">
        <f t="shared" si="36"/>
        <v>O</v>
      </c>
      <c r="AU16" s="75" t="str">
        <f t="shared" si="37"/>
        <v>X</v>
      </c>
      <c r="AV16" s="75" t="str">
        <f t="shared" si="38"/>
        <v/>
      </c>
    </row>
    <row r="17" spans="1:48" s="38" customFormat="1" ht="12" x14ac:dyDescent="0.3">
      <c r="A17" s="110" t="s">
        <v>946</v>
      </c>
      <c r="B17" s="111" t="s">
        <v>947</v>
      </c>
      <c r="C17" s="112">
        <v>285</v>
      </c>
      <c r="D17" s="104">
        <v>111.3</v>
      </c>
      <c r="E17" s="106">
        <v>34</v>
      </c>
      <c r="F17" s="104">
        <v>85</v>
      </c>
      <c r="G17" s="17">
        <v>26</v>
      </c>
      <c r="H17" s="107">
        <v>90</v>
      </c>
      <c r="I17" s="108"/>
      <c r="J17" s="108"/>
      <c r="K17" s="108"/>
      <c r="L17" s="108"/>
      <c r="M17" s="109">
        <f t="shared" si="21"/>
        <v>0</v>
      </c>
      <c r="N17" s="4" t="str">
        <f t="shared" si="22"/>
        <v/>
      </c>
      <c r="O17" s="105">
        <f t="shared" si="23"/>
        <v>0</v>
      </c>
      <c r="P17" s="105">
        <f t="shared" si="24"/>
        <v>0</v>
      </c>
      <c r="Q17" s="75">
        <v>4</v>
      </c>
      <c r="R17" s="75">
        <v>2</v>
      </c>
      <c r="S17" s="75" t="s">
        <v>869</v>
      </c>
      <c r="T17" s="5" t="s">
        <v>153</v>
      </c>
      <c r="U17" s="9"/>
      <c r="W17" s="104">
        <f t="shared" si="25"/>
        <v>111.3</v>
      </c>
      <c r="X17" s="106">
        <f t="shared" si="25"/>
        <v>34</v>
      </c>
      <c r="Y17" s="102">
        <f t="shared" si="26"/>
        <v>90</v>
      </c>
      <c r="Z17" s="109">
        <f t="shared" si="26"/>
        <v>0</v>
      </c>
      <c r="AA17" s="109">
        <f t="shared" si="27"/>
        <v>0</v>
      </c>
      <c r="AB17" s="109">
        <f t="shared" si="7"/>
        <v>0</v>
      </c>
      <c r="AC17" s="4" t="str">
        <f t="shared" si="7"/>
        <v/>
      </c>
      <c r="AD17" s="105">
        <f t="shared" si="7"/>
        <v>0</v>
      </c>
      <c r="AE17" s="75" t="str">
        <f t="shared" si="28"/>
        <v>계</v>
      </c>
      <c r="AF17" s="75" t="str">
        <f t="shared" si="29"/>
        <v>4/2</v>
      </c>
      <c r="AH17" s="20" t="str">
        <f t="shared" si="10"/>
        <v>경화동 창원경화베스티움</v>
      </c>
      <c r="AI17" s="106">
        <f t="shared" si="11"/>
        <v>34</v>
      </c>
      <c r="AJ17" s="75" t="str">
        <f t="shared" si="30"/>
        <v>A-</v>
      </c>
      <c r="AK17" s="75" t="s">
        <v>14</v>
      </c>
      <c r="AL17" s="75" t="s">
        <v>870</v>
      </c>
      <c r="AM17" s="75" t="s">
        <v>871</v>
      </c>
      <c r="AN17" s="75" t="str">
        <f t="shared" si="31"/>
        <v>C</v>
      </c>
      <c r="AO17" s="75" t="str">
        <f t="shared" si="32"/>
        <v/>
      </c>
      <c r="AP17" s="75" t="str">
        <f t="shared" si="33"/>
        <v/>
      </c>
      <c r="AQ17" s="75" t="str">
        <f t="shared" si="34"/>
        <v>O</v>
      </c>
      <c r="AR17" s="75" t="str">
        <f t="shared" si="35"/>
        <v>O</v>
      </c>
      <c r="AS17" s="75" t="s">
        <v>2</v>
      </c>
      <c r="AT17" s="75" t="str">
        <f t="shared" si="36"/>
        <v>O</v>
      </c>
      <c r="AU17" s="75" t="str">
        <f t="shared" si="37"/>
        <v>X</v>
      </c>
      <c r="AV17" s="75" t="str">
        <f t="shared" si="38"/>
        <v/>
      </c>
    </row>
    <row r="18" spans="1:48" s="38" customFormat="1" ht="12" x14ac:dyDescent="0.3">
      <c r="A18" s="110" t="s">
        <v>946</v>
      </c>
      <c r="B18" s="111" t="s">
        <v>947</v>
      </c>
      <c r="C18" s="112">
        <v>285</v>
      </c>
      <c r="D18" s="104">
        <v>111.6</v>
      </c>
      <c r="E18" s="106">
        <v>34</v>
      </c>
      <c r="F18" s="104">
        <v>84.9</v>
      </c>
      <c r="G18" s="17">
        <v>26</v>
      </c>
      <c r="H18" s="107">
        <v>78</v>
      </c>
      <c r="I18" s="108"/>
      <c r="J18" s="108"/>
      <c r="K18" s="108"/>
      <c r="L18" s="108"/>
      <c r="M18" s="109">
        <f t="shared" si="21"/>
        <v>0</v>
      </c>
      <c r="N18" s="4" t="str">
        <f t="shared" si="22"/>
        <v/>
      </c>
      <c r="O18" s="105">
        <f t="shared" si="23"/>
        <v>0</v>
      </c>
      <c r="P18" s="105">
        <f t="shared" si="24"/>
        <v>0</v>
      </c>
      <c r="Q18" s="75">
        <v>3</v>
      </c>
      <c r="R18" s="75">
        <v>2</v>
      </c>
      <c r="S18" s="75" t="s">
        <v>869</v>
      </c>
      <c r="T18" s="5" t="s">
        <v>154</v>
      </c>
      <c r="U18" s="9"/>
      <c r="W18" s="104">
        <f t="shared" si="25"/>
        <v>111.6</v>
      </c>
      <c r="X18" s="106">
        <f t="shared" si="25"/>
        <v>34</v>
      </c>
      <c r="Y18" s="102">
        <f t="shared" si="26"/>
        <v>78</v>
      </c>
      <c r="Z18" s="109">
        <f t="shared" si="26"/>
        <v>0</v>
      </c>
      <c r="AA18" s="109">
        <f t="shared" si="27"/>
        <v>0</v>
      </c>
      <c r="AB18" s="109">
        <f t="shared" si="7"/>
        <v>0</v>
      </c>
      <c r="AC18" s="4" t="str">
        <f t="shared" si="7"/>
        <v/>
      </c>
      <c r="AD18" s="105">
        <f t="shared" si="7"/>
        <v>0</v>
      </c>
      <c r="AE18" s="75" t="str">
        <f t="shared" si="28"/>
        <v>계</v>
      </c>
      <c r="AF18" s="75" t="str">
        <f t="shared" si="29"/>
        <v>3/2</v>
      </c>
      <c r="AH18" s="20" t="str">
        <f t="shared" si="10"/>
        <v>경화동 창원경화베스티움</v>
      </c>
      <c r="AI18" s="106">
        <f t="shared" si="11"/>
        <v>34</v>
      </c>
      <c r="AJ18" s="75" t="str">
        <f t="shared" si="30"/>
        <v>A-</v>
      </c>
      <c r="AK18" s="75" t="s">
        <v>14</v>
      </c>
      <c r="AL18" s="75" t="s">
        <v>870</v>
      </c>
      <c r="AM18" s="75" t="s">
        <v>871</v>
      </c>
      <c r="AN18" s="75" t="str">
        <f t="shared" si="31"/>
        <v>C</v>
      </c>
      <c r="AO18" s="75" t="str">
        <f t="shared" si="32"/>
        <v/>
      </c>
      <c r="AP18" s="75" t="str">
        <f t="shared" si="33"/>
        <v/>
      </c>
      <c r="AQ18" s="75" t="str">
        <f t="shared" si="34"/>
        <v>O</v>
      </c>
      <c r="AR18" s="75" t="str">
        <f t="shared" si="35"/>
        <v>O</v>
      </c>
      <c r="AS18" s="75" t="s">
        <v>2</v>
      </c>
      <c r="AT18" s="75" t="str">
        <f t="shared" si="36"/>
        <v>O</v>
      </c>
      <c r="AU18" s="75" t="str">
        <f t="shared" si="37"/>
        <v>X</v>
      </c>
      <c r="AV18" s="75" t="str">
        <f t="shared" si="38"/>
        <v/>
      </c>
    </row>
    <row r="19" spans="1:48" s="38" customFormat="1" ht="12" x14ac:dyDescent="0.3">
      <c r="A19" s="110" t="s">
        <v>946</v>
      </c>
      <c r="B19" s="111" t="s">
        <v>947</v>
      </c>
      <c r="C19" s="112">
        <v>285</v>
      </c>
      <c r="D19" s="104">
        <v>111.1</v>
      </c>
      <c r="E19" s="106">
        <v>34</v>
      </c>
      <c r="F19" s="104">
        <v>84.7</v>
      </c>
      <c r="G19" s="17">
        <v>26</v>
      </c>
      <c r="H19" s="107">
        <v>14</v>
      </c>
      <c r="I19" s="108"/>
      <c r="J19" s="108"/>
      <c r="K19" s="108"/>
      <c r="L19" s="108"/>
      <c r="M19" s="109">
        <f t="shared" si="21"/>
        <v>0</v>
      </c>
      <c r="N19" s="4" t="str">
        <f t="shared" si="22"/>
        <v/>
      </c>
      <c r="O19" s="105">
        <f t="shared" si="23"/>
        <v>0</v>
      </c>
      <c r="P19" s="105">
        <f t="shared" si="24"/>
        <v>0</v>
      </c>
      <c r="Q19" s="75">
        <v>3</v>
      </c>
      <c r="R19" s="75">
        <v>2</v>
      </c>
      <c r="S19" s="75" t="s">
        <v>869</v>
      </c>
      <c r="T19" s="5" t="s">
        <v>155</v>
      </c>
      <c r="U19" s="9"/>
      <c r="W19" s="104">
        <f t="shared" si="25"/>
        <v>111.1</v>
      </c>
      <c r="X19" s="106">
        <f t="shared" si="25"/>
        <v>34</v>
      </c>
      <c r="Y19" s="102">
        <f t="shared" si="26"/>
        <v>14</v>
      </c>
      <c r="Z19" s="109">
        <f t="shared" si="26"/>
        <v>0</v>
      </c>
      <c r="AA19" s="109">
        <f t="shared" si="27"/>
        <v>0</v>
      </c>
      <c r="AB19" s="109">
        <f t="shared" si="7"/>
        <v>0</v>
      </c>
      <c r="AC19" s="4" t="str">
        <f t="shared" si="7"/>
        <v/>
      </c>
      <c r="AD19" s="105">
        <f t="shared" si="7"/>
        <v>0</v>
      </c>
      <c r="AE19" s="75" t="str">
        <f t="shared" si="28"/>
        <v>계</v>
      </c>
      <c r="AF19" s="75" t="str">
        <f t="shared" si="29"/>
        <v>3/2</v>
      </c>
      <c r="AH19" s="20" t="str">
        <f t="shared" si="10"/>
        <v>경화동 창원경화베스티움</v>
      </c>
      <c r="AI19" s="106">
        <f t="shared" si="11"/>
        <v>34</v>
      </c>
      <c r="AJ19" s="75" t="str">
        <f t="shared" si="30"/>
        <v>A-</v>
      </c>
      <c r="AK19" s="75" t="s">
        <v>14</v>
      </c>
      <c r="AL19" s="75" t="s">
        <v>870</v>
      </c>
      <c r="AM19" s="75" t="s">
        <v>871</v>
      </c>
      <c r="AN19" s="75" t="str">
        <f t="shared" si="31"/>
        <v>C</v>
      </c>
      <c r="AO19" s="75" t="str">
        <f t="shared" si="32"/>
        <v/>
      </c>
      <c r="AP19" s="75" t="str">
        <f t="shared" si="33"/>
        <v/>
      </c>
      <c r="AQ19" s="75" t="str">
        <f t="shared" si="34"/>
        <v>O</v>
      </c>
      <c r="AR19" s="75" t="str">
        <f t="shared" si="35"/>
        <v>O</v>
      </c>
      <c r="AS19" s="75" t="s">
        <v>2</v>
      </c>
      <c r="AT19" s="75" t="str">
        <f t="shared" si="36"/>
        <v>O</v>
      </c>
      <c r="AU19" s="75" t="str">
        <f t="shared" si="37"/>
        <v>X</v>
      </c>
      <c r="AV19" s="75" t="str">
        <f t="shared" si="38"/>
        <v/>
      </c>
    </row>
    <row r="20" spans="1:48" s="38" customFormat="1" ht="12" x14ac:dyDescent="0.3">
      <c r="A20" s="110" t="s">
        <v>946</v>
      </c>
      <c r="B20" s="111" t="s">
        <v>947</v>
      </c>
      <c r="C20" s="112">
        <v>285</v>
      </c>
      <c r="D20" s="104">
        <v>192.5</v>
      </c>
      <c r="E20" s="106">
        <v>58</v>
      </c>
      <c r="F20" s="104">
        <v>145.6</v>
      </c>
      <c r="G20" s="17">
        <v>44</v>
      </c>
      <c r="H20" s="107">
        <v>6</v>
      </c>
      <c r="I20" s="108"/>
      <c r="J20" s="108"/>
      <c r="K20" s="108"/>
      <c r="L20" s="108"/>
      <c r="M20" s="109">
        <f t="shared" si="21"/>
        <v>0</v>
      </c>
      <c r="N20" s="4" t="str">
        <f t="shared" si="22"/>
        <v/>
      </c>
      <c r="O20" s="105">
        <f t="shared" si="23"/>
        <v>0</v>
      </c>
      <c r="P20" s="105">
        <f t="shared" si="24"/>
        <v>0</v>
      </c>
      <c r="Q20" s="75">
        <v>5</v>
      </c>
      <c r="R20" s="75">
        <v>3</v>
      </c>
      <c r="S20" s="75" t="s">
        <v>869</v>
      </c>
      <c r="T20" s="5" t="s">
        <v>156</v>
      </c>
      <c r="U20" s="9"/>
      <c r="W20" s="104">
        <f t="shared" si="25"/>
        <v>192.5</v>
      </c>
      <c r="X20" s="106">
        <f t="shared" si="25"/>
        <v>58</v>
      </c>
      <c r="Y20" s="102">
        <f t="shared" si="26"/>
        <v>6</v>
      </c>
      <c r="Z20" s="109">
        <f t="shared" si="26"/>
        <v>0</v>
      </c>
      <c r="AA20" s="109">
        <f t="shared" si="27"/>
        <v>0</v>
      </c>
      <c r="AB20" s="109">
        <f t="shared" ref="AB20:AD20" si="39">M20</f>
        <v>0</v>
      </c>
      <c r="AC20" s="4" t="str">
        <f t="shared" si="39"/>
        <v/>
      </c>
      <c r="AD20" s="105">
        <f t="shared" si="39"/>
        <v>0</v>
      </c>
      <c r="AE20" s="75" t="str">
        <f t="shared" si="28"/>
        <v>계</v>
      </c>
      <c r="AF20" s="75" t="str">
        <f t="shared" si="29"/>
        <v>5/3</v>
      </c>
      <c r="AH20" s="20" t="str">
        <f t="shared" si="10"/>
        <v>경화동 창원경화베스티움</v>
      </c>
      <c r="AI20" s="106">
        <f t="shared" si="11"/>
        <v>58</v>
      </c>
      <c r="AJ20" s="75" t="str">
        <f t="shared" si="30"/>
        <v>A-</v>
      </c>
      <c r="AK20" s="75" t="s">
        <v>14</v>
      </c>
      <c r="AL20" s="75" t="s">
        <v>870</v>
      </c>
      <c r="AM20" s="75" t="s">
        <v>871</v>
      </c>
      <c r="AN20" s="75" t="str">
        <f t="shared" si="31"/>
        <v>C</v>
      </c>
      <c r="AO20" s="75" t="str">
        <f t="shared" si="32"/>
        <v/>
      </c>
      <c r="AP20" s="75" t="str">
        <f t="shared" si="33"/>
        <v/>
      </c>
      <c r="AQ20" s="75" t="str">
        <f t="shared" si="34"/>
        <v>O</v>
      </c>
      <c r="AR20" s="75" t="str">
        <f t="shared" si="35"/>
        <v>O</v>
      </c>
      <c r="AS20" s="75" t="s">
        <v>2</v>
      </c>
      <c r="AT20" s="75" t="str">
        <f t="shared" si="36"/>
        <v>X</v>
      </c>
      <c r="AU20" s="75" t="str">
        <f t="shared" si="37"/>
        <v>X</v>
      </c>
      <c r="AV20" s="75" t="str">
        <f t="shared" si="38"/>
        <v/>
      </c>
    </row>
    <row r="21" spans="1:48" s="38" customFormat="1" ht="12" x14ac:dyDescent="0.3">
      <c r="A21" s="110" t="s">
        <v>948</v>
      </c>
      <c r="B21" s="111" t="s">
        <v>949</v>
      </c>
      <c r="C21" s="112">
        <v>202</v>
      </c>
      <c r="D21" s="104">
        <v>111.2</v>
      </c>
      <c r="E21" s="106">
        <v>34</v>
      </c>
      <c r="F21" s="104">
        <v>84.9</v>
      </c>
      <c r="G21" s="17">
        <v>26</v>
      </c>
      <c r="H21" s="107">
        <v>202</v>
      </c>
      <c r="I21" s="108"/>
      <c r="J21" s="108"/>
      <c r="K21" s="108"/>
      <c r="L21" s="108"/>
      <c r="M21" s="109">
        <f t="shared" ref="M21:M28" si="40">I21-K21</f>
        <v>0</v>
      </c>
      <c r="N21" s="4" t="str">
        <f t="shared" ref="N21:N28" si="41">IF(ISERROR(K21/I21),"",K21/I21)</f>
        <v/>
      </c>
      <c r="O21" s="105">
        <f t="shared" ref="O21:O28" si="42">I21/E21</f>
        <v>0</v>
      </c>
      <c r="P21" s="105">
        <f t="shared" ref="P21:P28" si="43">K21/E21</f>
        <v>0</v>
      </c>
      <c r="Q21" s="75">
        <v>3</v>
      </c>
      <c r="R21" s="75">
        <v>2</v>
      </c>
      <c r="S21" s="75" t="s">
        <v>869</v>
      </c>
      <c r="T21" s="5">
        <v>111</v>
      </c>
      <c r="U21" s="9"/>
      <c r="W21" s="104">
        <f t="shared" ref="W21:X25" si="44">D21</f>
        <v>111.2</v>
      </c>
      <c r="X21" s="106">
        <f t="shared" si="44"/>
        <v>34</v>
      </c>
      <c r="Y21" s="102">
        <f t="shared" ref="Y21:Z25" si="45">H21</f>
        <v>202</v>
      </c>
      <c r="Z21" s="109">
        <f t="shared" si="45"/>
        <v>0</v>
      </c>
      <c r="AA21" s="109">
        <f t="shared" ref="AA21:AA28" si="46">K21</f>
        <v>0</v>
      </c>
      <c r="AB21" s="109">
        <f>M21</f>
        <v>0</v>
      </c>
      <c r="AC21" s="4" t="str">
        <f>N21</f>
        <v/>
      </c>
      <c r="AD21" s="105">
        <f>O21</f>
        <v>0</v>
      </c>
      <c r="AE21" s="75" t="str">
        <f t="shared" ref="AE21:AE28" si="47">S21</f>
        <v>계</v>
      </c>
      <c r="AF21" s="75" t="str">
        <f t="shared" ref="AF21:AF28" si="48">Q21&amp;"/"&amp;R21</f>
        <v>3/2</v>
      </c>
      <c r="AH21" s="20" t="str">
        <f t="shared" si="10"/>
        <v>경화동 경화삼정그린코아1단지</v>
      </c>
      <c r="AI21" s="106">
        <f t="shared" si="11"/>
        <v>34</v>
      </c>
      <c r="AJ21" s="75" t="str">
        <f t="shared" ref="AJ21:AJ28" si="49">IF(AI21="","",$AJ$2)</f>
        <v>A-</v>
      </c>
      <c r="AK21" s="75" t="s">
        <v>14</v>
      </c>
      <c r="AL21" s="75" t="s">
        <v>870</v>
      </c>
      <c r="AM21" s="75" t="s">
        <v>871</v>
      </c>
      <c r="AN21" s="75" t="str">
        <f t="shared" ref="AN21:AN28" si="50">IF(AI21="","",$AN$2)</f>
        <v>C</v>
      </c>
      <c r="AO21" s="75" t="str">
        <f t="shared" ref="AO21:AO28" si="51">IF(N21="","",IF(N21&gt;=$AO$1/100,"O","X"))</f>
        <v/>
      </c>
      <c r="AP21" s="75" t="str">
        <f t="shared" ref="AP21:AP28" si="52">IF(I21="","",IF(I21&lt;=$AP$1,"O","X"))</f>
        <v/>
      </c>
      <c r="AQ21" s="75" t="str">
        <f t="shared" ref="AQ21:AQ28" si="53">IF(O21="","",IF(O21&lt;=$AQ$1,"O","X"))</f>
        <v>O</v>
      </c>
      <c r="AR21" s="75" t="str">
        <f t="shared" ref="AR21:AR28" si="54">IF(M21="","",IF(M21&lt;=$AR$1,"O","X"))</f>
        <v>O</v>
      </c>
      <c r="AS21" s="75" t="s">
        <v>2</v>
      </c>
      <c r="AT21" s="75" t="str">
        <f t="shared" ref="AT21:AT28" si="55">IF(OR(F21="",AI21=""),"",IF(AND((F21&lt;=85),(AI21&gt;=15)),"O","X"))</f>
        <v>O</v>
      </c>
      <c r="AU21" s="75" t="str">
        <f t="shared" ref="AU21:AU28" si="56">IF(C21="","",IF(C21&gt;=$AU$1,"O","X"))</f>
        <v>X</v>
      </c>
      <c r="AV21" s="75" t="str">
        <f t="shared" ref="AV21:AV28" si="57">IF(AO21="","",IF(AND(AO21="O",AP21="O",AR21="O",AT21="O",AU21="O"),"후보","X"))</f>
        <v/>
      </c>
    </row>
    <row r="22" spans="1:48" s="38" customFormat="1" ht="12" x14ac:dyDescent="0.3">
      <c r="A22" s="110" t="s">
        <v>950</v>
      </c>
      <c r="B22" s="111" t="s">
        <v>951</v>
      </c>
      <c r="C22" s="112">
        <v>420</v>
      </c>
      <c r="D22" s="104">
        <v>37.4</v>
      </c>
      <c r="E22" s="106">
        <v>11</v>
      </c>
      <c r="F22" s="104">
        <v>32</v>
      </c>
      <c r="G22" s="17">
        <v>10</v>
      </c>
      <c r="H22" s="107">
        <v>220</v>
      </c>
      <c r="I22" s="108">
        <v>9000</v>
      </c>
      <c r="J22" s="108" t="s">
        <v>873</v>
      </c>
      <c r="K22" s="108">
        <v>3500</v>
      </c>
      <c r="L22" s="108" t="s">
        <v>878</v>
      </c>
      <c r="M22" s="109">
        <f t="shared" si="40"/>
        <v>5500</v>
      </c>
      <c r="N22" s="4">
        <f t="shared" si="41"/>
        <v>0.3888888888888889</v>
      </c>
      <c r="O22" s="105">
        <f t="shared" si="42"/>
        <v>818.18181818181813</v>
      </c>
      <c r="P22" s="105">
        <f t="shared" si="43"/>
        <v>318.18181818181819</v>
      </c>
      <c r="Q22" s="75">
        <v>2</v>
      </c>
      <c r="R22" s="75">
        <v>1</v>
      </c>
      <c r="S22" s="75" t="s">
        <v>869</v>
      </c>
      <c r="T22" s="5">
        <v>37</v>
      </c>
      <c r="U22" s="9"/>
      <c r="W22" s="104">
        <f t="shared" si="44"/>
        <v>37.4</v>
      </c>
      <c r="X22" s="106">
        <f t="shared" si="44"/>
        <v>11</v>
      </c>
      <c r="Y22" s="102">
        <f t="shared" si="45"/>
        <v>220</v>
      </c>
      <c r="Z22" s="109">
        <f t="shared" si="45"/>
        <v>9000</v>
      </c>
      <c r="AA22" s="109">
        <f t="shared" si="46"/>
        <v>3500</v>
      </c>
      <c r="AB22" s="109">
        <f t="shared" ref="AB22:AD37" si="58">M22</f>
        <v>5500</v>
      </c>
      <c r="AC22" s="4">
        <f t="shared" si="58"/>
        <v>0.3888888888888889</v>
      </c>
      <c r="AD22" s="105">
        <f t="shared" si="58"/>
        <v>818.18181818181813</v>
      </c>
      <c r="AE22" s="75" t="str">
        <f t="shared" si="47"/>
        <v>계</v>
      </c>
      <c r="AF22" s="75" t="str">
        <f t="shared" si="48"/>
        <v>2/1</v>
      </c>
      <c r="AH22" s="20" t="str">
        <f t="shared" si="10"/>
        <v>경화동 경화주공</v>
      </c>
      <c r="AI22" s="106">
        <f t="shared" si="11"/>
        <v>11</v>
      </c>
      <c r="AJ22" s="75" t="str">
        <f t="shared" si="49"/>
        <v>A-</v>
      </c>
      <c r="AK22" s="75" t="s">
        <v>14</v>
      </c>
      <c r="AL22" s="75" t="s">
        <v>870</v>
      </c>
      <c r="AM22" s="75" t="s">
        <v>871</v>
      </c>
      <c r="AN22" s="75" t="str">
        <f t="shared" si="50"/>
        <v>C</v>
      </c>
      <c r="AO22" s="75" t="str">
        <f t="shared" si="51"/>
        <v>X</v>
      </c>
      <c r="AP22" s="75" t="str">
        <f t="shared" si="52"/>
        <v>O</v>
      </c>
      <c r="AQ22" s="75" t="str">
        <f t="shared" si="53"/>
        <v>O</v>
      </c>
      <c r="AR22" s="75" t="str">
        <f t="shared" si="54"/>
        <v>O</v>
      </c>
      <c r="AS22" s="75" t="s">
        <v>2</v>
      </c>
      <c r="AT22" s="75" t="str">
        <f t="shared" si="55"/>
        <v>X</v>
      </c>
      <c r="AU22" s="75" t="str">
        <f t="shared" si="56"/>
        <v>O</v>
      </c>
      <c r="AV22" s="75" t="str">
        <f t="shared" si="57"/>
        <v>X</v>
      </c>
    </row>
    <row r="23" spans="1:48" s="38" customFormat="1" ht="12" x14ac:dyDescent="0.3">
      <c r="A23" s="110" t="s">
        <v>950</v>
      </c>
      <c r="B23" s="111" t="s">
        <v>951</v>
      </c>
      <c r="C23" s="112">
        <v>420</v>
      </c>
      <c r="D23" s="104">
        <v>45.1</v>
      </c>
      <c r="E23" s="106">
        <v>14</v>
      </c>
      <c r="F23" s="104">
        <v>39.700000000000003</v>
      </c>
      <c r="G23" s="17">
        <v>12</v>
      </c>
      <c r="H23" s="107">
        <v>200</v>
      </c>
      <c r="I23" s="108">
        <v>10700</v>
      </c>
      <c r="J23" s="108" t="s">
        <v>873</v>
      </c>
      <c r="K23" s="108">
        <v>7500</v>
      </c>
      <c r="L23" s="108" t="s">
        <v>878</v>
      </c>
      <c r="M23" s="109">
        <f t="shared" si="40"/>
        <v>3200</v>
      </c>
      <c r="N23" s="4">
        <f t="shared" si="41"/>
        <v>0.7009345794392523</v>
      </c>
      <c r="O23" s="105">
        <f t="shared" si="42"/>
        <v>764.28571428571433</v>
      </c>
      <c r="P23" s="105">
        <f t="shared" si="43"/>
        <v>535.71428571428567</v>
      </c>
      <c r="Q23" s="75">
        <v>2</v>
      </c>
      <c r="R23" s="75">
        <v>1</v>
      </c>
      <c r="S23" s="75" t="s">
        <v>869</v>
      </c>
      <c r="T23" s="5">
        <v>45</v>
      </c>
      <c r="U23" s="9"/>
      <c r="W23" s="104">
        <f t="shared" si="44"/>
        <v>45.1</v>
      </c>
      <c r="X23" s="106">
        <f t="shared" si="44"/>
        <v>14</v>
      </c>
      <c r="Y23" s="102">
        <f t="shared" si="45"/>
        <v>200</v>
      </c>
      <c r="Z23" s="109">
        <f t="shared" si="45"/>
        <v>10700</v>
      </c>
      <c r="AA23" s="109">
        <f t="shared" si="46"/>
        <v>7500</v>
      </c>
      <c r="AB23" s="109">
        <f t="shared" si="58"/>
        <v>3200</v>
      </c>
      <c r="AC23" s="4">
        <f t="shared" si="58"/>
        <v>0.7009345794392523</v>
      </c>
      <c r="AD23" s="105">
        <f t="shared" si="58"/>
        <v>764.28571428571433</v>
      </c>
      <c r="AE23" s="75" t="str">
        <f t="shared" si="47"/>
        <v>계</v>
      </c>
      <c r="AF23" s="75" t="str">
        <f t="shared" si="48"/>
        <v>2/1</v>
      </c>
      <c r="AH23" s="20" t="str">
        <f t="shared" si="10"/>
        <v>경화동 경화주공</v>
      </c>
      <c r="AI23" s="106">
        <f t="shared" si="11"/>
        <v>14</v>
      </c>
      <c r="AJ23" s="75" t="str">
        <f t="shared" si="49"/>
        <v>A-</v>
      </c>
      <c r="AK23" s="75" t="s">
        <v>14</v>
      </c>
      <c r="AL23" s="75" t="s">
        <v>870</v>
      </c>
      <c r="AM23" s="75" t="s">
        <v>871</v>
      </c>
      <c r="AN23" s="75" t="str">
        <f t="shared" si="50"/>
        <v>C</v>
      </c>
      <c r="AO23" s="75" t="str">
        <f t="shared" si="51"/>
        <v>X</v>
      </c>
      <c r="AP23" s="75" t="str">
        <f t="shared" si="52"/>
        <v>O</v>
      </c>
      <c r="AQ23" s="75" t="str">
        <f t="shared" si="53"/>
        <v>O</v>
      </c>
      <c r="AR23" s="75" t="str">
        <f t="shared" si="54"/>
        <v>O</v>
      </c>
      <c r="AS23" s="75" t="s">
        <v>2</v>
      </c>
      <c r="AT23" s="75" t="str">
        <f t="shared" si="55"/>
        <v>X</v>
      </c>
      <c r="AU23" s="75" t="str">
        <f t="shared" si="56"/>
        <v>O</v>
      </c>
      <c r="AV23" s="75" t="str">
        <f t="shared" si="57"/>
        <v>X</v>
      </c>
    </row>
    <row r="24" spans="1:48" s="38" customFormat="1" ht="12" x14ac:dyDescent="0.3">
      <c r="A24" s="110" t="s">
        <v>952</v>
      </c>
      <c r="B24" s="111" t="s">
        <v>953</v>
      </c>
      <c r="C24" s="112">
        <v>441</v>
      </c>
      <c r="D24" s="104">
        <v>111.5</v>
      </c>
      <c r="E24" s="106">
        <v>34</v>
      </c>
      <c r="F24" s="104">
        <v>84.9</v>
      </c>
      <c r="G24" s="17">
        <v>26</v>
      </c>
      <c r="H24" s="107">
        <v>351</v>
      </c>
      <c r="I24" s="108">
        <v>24000</v>
      </c>
      <c r="J24" s="108" t="s">
        <v>873</v>
      </c>
      <c r="K24" s="108"/>
      <c r="L24" s="108"/>
      <c r="M24" s="109">
        <f t="shared" si="40"/>
        <v>24000</v>
      </c>
      <c r="N24" s="4">
        <f t="shared" si="41"/>
        <v>0</v>
      </c>
      <c r="O24" s="105">
        <f t="shared" si="42"/>
        <v>705.88235294117646</v>
      </c>
      <c r="P24" s="105">
        <f t="shared" si="43"/>
        <v>0</v>
      </c>
      <c r="Q24" s="75">
        <v>3</v>
      </c>
      <c r="R24" s="75">
        <v>2</v>
      </c>
      <c r="S24" s="75" t="s">
        <v>869</v>
      </c>
      <c r="T24" s="5">
        <v>111</v>
      </c>
      <c r="U24" s="9"/>
      <c r="W24" s="104">
        <f t="shared" si="44"/>
        <v>111.5</v>
      </c>
      <c r="X24" s="106">
        <f t="shared" si="44"/>
        <v>34</v>
      </c>
      <c r="Y24" s="102">
        <f t="shared" si="45"/>
        <v>351</v>
      </c>
      <c r="Z24" s="109">
        <f t="shared" si="45"/>
        <v>24000</v>
      </c>
      <c r="AA24" s="109">
        <f t="shared" si="46"/>
        <v>0</v>
      </c>
      <c r="AB24" s="109">
        <f t="shared" si="58"/>
        <v>24000</v>
      </c>
      <c r="AC24" s="4">
        <f t="shared" si="58"/>
        <v>0</v>
      </c>
      <c r="AD24" s="105">
        <f t="shared" si="58"/>
        <v>705.88235294117646</v>
      </c>
      <c r="AE24" s="75" t="str">
        <f t="shared" si="47"/>
        <v>계</v>
      </c>
      <c r="AF24" s="75" t="str">
        <f t="shared" si="48"/>
        <v>3/2</v>
      </c>
      <c r="AH24" s="20" t="str">
        <f t="shared" si="10"/>
        <v>경화동 포스코더샵</v>
      </c>
      <c r="AI24" s="106">
        <f t="shared" si="11"/>
        <v>34</v>
      </c>
      <c r="AJ24" s="75" t="str">
        <f t="shared" si="49"/>
        <v>A-</v>
      </c>
      <c r="AK24" s="75" t="s">
        <v>14</v>
      </c>
      <c r="AL24" s="75" t="s">
        <v>870</v>
      </c>
      <c r="AM24" s="75" t="s">
        <v>871</v>
      </c>
      <c r="AN24" s="75" t="str">
        <f t="shared" si="50"/>
        <v>C</v>
      </c>
      <c r="AO24" s="75" t="str">
        <f t="shared" si="51"/>
        <v>X</v>
      </c>
      <c r="AP24" s="75" t="str">
        <f t="shared" si="52"/>
        <v>O</v>
      </c>
      <c r="AQ24" s="75" t="str">
        <f t="shared" si="53"/>
        <v>O</v>
      </c>
      <c r="AR24" s="75" t="str">
        <f t="shared" si="54"/>
        <v>X</v>
      </c>
      <c r="AS24" s="75" t="s">
        <v>2</v>
      </c>
      <c r="AT24" s="75" t="str">
        <f t="shared" si="55"/>
        <v>O</v>
      </c>
      <c r="AU24" s="75" t="str">
        <f t="shared" si="56"/>
        <v>O</v>
      </c>
      <c r="AV24" s="75" t="str">
        <f t="shared" si="57"/>
        <v>X</v>
      </c>
    </row>
    <row r="25" spans="1:48" s="38" customFormat="1" ht="12" x14ac:dyDescent="0.3">
      <c r="A25" s="110" t="s">
        <v>952</v>
      </c>
      <c r="B25" s="111" t="s">
        <v>953</v>
      </c>
      <c r="C25" s="112">
        <v>441</v>
      </c>
      <c r="D25" s="104">
        <v>113.6</v>
      </c>
      <c r="E25" s="106">
        <v>34</v>
      </c>
      <c r="F25" s="104">
        <v>84.9</v>
      </c>
      <c r="G25" s="17">
        <v>26</v>
      </c>
      <c r="H25" s="107">
        <v>90</v>
      </c>
      <c r="I25" s="108">
        <v>24000</v>
      </c>
      <c r="J25" s="108" t="s">
        <v>868</v>
      </c>
      <c r="K25" s="108"/>
      <c r="L25" s="108"/>
      <c r="M25" s="109">
        <f t="shared" si="40"/>
        <v>24000</v>
      </c>
      <c r="N25" s="4">
        <f t="shared" si="41"/>
        <v>0</v>
      </c>
      <c r="O25" s="105">
        <f t="shared" si="42"/>
        <v>705.88235294117646</v>
      </c>
      <c r="P25" s="105">
        <f t="shared" si="43"/>
        <v>0</v>
      </c>
      <c r="Q25" s="75">
        <v>3</v>
      </c>
      <c r="R25" s="75">
        <v>2</v>
      </c>
      <c r="S25" s="75" t="s">
        <v>869</v>
      </c>
      <c r="T25" s="5">
        <v>113</v>
      </c>
      <c r="U25" s="9"/>
      <c r="W25" s="104">
        <f t="shared" si="44"/>
        <v>113.6</v>
      </c>
      <c r="X25" s="106">
        <f t="shared" si="44"/>
        <v>34</v>
      </c>
      <c r="Y25" s="102">
        <f t="shared" si="45"/>
        <v>90</v>
      </c>
      <c r="Z25" s="109">
        <f t="shared" si="45"/>
        <v>24000</v>
      </c>
      <c r="AA25" s="109">
        <f t="shared" si="46"/>
        <v>0</v>
      </c>
      <c r="AB25" s="109">
        <f t="shared" si="58"/>
        <v>24000</v>
      </c>
      <c r="AC25" s="4">
        <f t="shared" si="58"/>
        <v>0</v>
      </c>
      <c r="AD25" s="105">
        <f t="shared" si="58"/>
        <v>705.88235294117646</v>
      </c>
      <c r="AE25" s="75" t="str">
        <f t="shared" si="47"/>
        <v>계</v>
      </c>
      <c r="AF25" s="75" t="str">
        <f t="shared" si="48"/>
        <v>3/2</v>
      </c>
      <c r="AH25" s="20" t="str">
        <f t="shared" si="10"/>
        <v>경화동 포스코더샵</v>
      </c>
      <c r="AI25" s="106">
        <f t="shared" si="11"/>
        <v>34</v>
      </c>
      <c r="AJ25" s="75" t="str">
        <f t="shared" si="49"/>
        <v>A-</v>
      </c>
      <c r="AK25" s="75" t="s">
        <v>14</v>
      </c>
      <c r="AL25" s="75" t="s">
        <v>870</v>
      </c>
      <c r="AM25" s="75" t="s">
        <v>871</v>
      </c>
      <c r="AN25" s="75" t="str">
        <f t="shared" si="50"/>
        <v>C</v>
      </c>
      <c r="AO25" s="75" t="str">
        <f t="shared" si="51"/>
        <v>X</v>
      </c>
      <c r="AP25" s="75" t="str">
        <f t="shared" si="52"/>
        <v>O</v>
      </c>
      <c r="AQ25" s="75" t="str">
        <f t="shared" si="53"/>
        <v>O</v>
      </c>
      <c r="AR25" s="75" t="str">
        <f t="shared" si="54"/>
        <v>X</v>
      </c>
      <c r="AS25" s="75" t="s">
        <v>2</v>
      </c>
      <c r="AT25" s="75" t="str">
        <f t="shared" si="55"/>
        <v>O</v>
      </c>
      <c r="AU25" s="75" t="str">
        <f t="shared" si="56"/>
        <v>O</v>
      </c>
      <c r="AV25" s="75" t="str">
        <f t="shared" si="57"/>
        <v>X</v>
      </c>
    </row>
    <row r="26" spans="1:48" s="38" customFormat="1" ht="24" x14ac:dyDescent="0.3">
      <c r="A26" s="110" t="s">
        <v>954</v>
      </c>
      <c r="B26" s="111" t="s">
        <v>955</v>
      </c>
      <c r="C26" s="112">
        <v>458</v>
      </c>
      <c r="D26" s="104">
        <v>100.4</v>
      </c>
      <c r="E26" s="106">
        <v>30</v>
      </c>
      <c r="F26" s="104">
        <v>74.400000000000006</v>
      </c>
      <c r="G26" s="17">
        <v>23</v>
      </c>
      <c r="H26" s="107">
        <v>120</v>
      </c>
      <c r="I26" s="108"/>
      <c r="J26" s="108"/>
      <c r="K26" s="108"/>
      <c r="L26" s="108"/>
      <c r="M26" s="109">
        <f t="shared" si="40"/>
        <v>0</v>
      </c>
      <c r="N26" s="4" t="str">
        <f t="shared" si="41"/>
        <v/>
      </c>
      <c r="O26" s="105">
        <f t="shared" si="42"/>
        <v>0</v>
      </c>
      <c r="P26" s="105">
        <f t="shared" si="43"/>
        <v>0</v>
      </c>
      <c r="Q26" s="75">
        <v>4</v>
      </c>
      <c r="R26" s="75">
        <v>2</v>
      </c>
      <c r="S26" s="75" t="s">
        <v>869</v>
      </c>
      <c r="T26" s="5" t="s">
        <v>148</v>
      </c>
      <c r="U26" s="9"/>
      <c r="W26" s="104">
        <f t="shared" ref="W26:X41" si="59">D26</f>
        <v>100.4</v>
      </c>
      <c r="X26" s="106">
        <f t="shared" si="59"/>
        <v>30</v>
      </c>
      <c r="Y26" s="102">
        <f t="shared" ref="Y26:Z41" si="60">H26</f>
        <v>120</v>
      </c>
      <c r="Z26" s="109">
        <f t="shared" si="60"/>
        <v>0</v>
      </c>
      <c r="AA26" s="109">
        <f t="shared" si="46"/>
        <v>0</v>
      </c>
      <c r="AB26" s="109">
        <f t="shared" si="58"/>
        <v>0</v>
      </c>
      <c r="AC26" s="4" t="str">
        <f t="shared" si="58"/>
        <v/>
      </c>
      <c r="AD26" s="105">
        <f t="shared" si="58"/>
        <v>0</v>
      </c>
      <c r="AE26" s="75" t="str">
        <f t="shared" si="47"/>
        <v>계</v>
      </c>
      <c r="AF26" s="75" t="str">
        <f t="shared" si="48"/>
        <v>4/2</v>
      </c>
      <c r="AH26" s="20" t="str">
        <f t="shared" si="10"/>
        <v>남문동 진해남문리젠시빌란트더웰</v>
      </c>
      <c r="AI26" s="106">
        <f t="shared" si="11"/>
        <v>30</v>
      </c>
      <c r="AJ26" s="75" t="str">
        <f t="shared" si="49"/>
        <v>A-</v>
      </c>
      <c r="AK26" s="75" t="s">
        <v>14</v>
      </c>
      <c r="AL26" s="75" t="s">
        <v>870</v>
      </c>
      <c r="AM26" s="75" t="s">
        <v>871</v>
      </c>
      <c r="AN26" s="75" t="str">
        <f t="shared" si="50"/>
        <v>C</v>
      </c>
      <c r="AO26" s="75" t="str">
        <f t="shared" si="51"/>
        <v/>
      </c>
      <c r="AP26" s="75" t="str">
        <f t="shared" si="52"/>
        <v/>
      </c>
      <c r="AQ26" s="75" t="str">
        <f t="shared" si="53"/>
        <v>O</v>
      </c>
      <c r="AR26" s="75" t="str">
        <f t="shared" si="54"/>
        <v>O</v>
      </c>
      <c r="AS26" s="75" t="s">
        <v>2</v>
      </c>
      <c r="AT26" s="75" t="str">
        <f t="shared" si="55"/>
        <v>O</v>
      </c>
      <c r="AU26" s="75" t="str">
        <f t="shared" si="56"/>
        <v>O</v>
      </c>
      <c r="AV26" s="75" t="str">
        <f t="shared" si="57"/>
        <v/>
      </c>
    </row>
    <row r="27" spans="1:48" s="38" customFormat="1" ht="24" x14ac:dyDescent="0.3">
      <c r="A27" s="110" t="s">
        <v>954</v>
      </c>
      <c r="B27" s="111" t="s">
        <v>955</v>
      </c>
      <c r="C27" s="112">
        <v>458</v>
      </c>
      <c r="D27" s="104">
        <v>101.4</v>
      </c>
      <c r="E27" s="106">
        <v>31</v>
      </c>
      <c r="F27" s="104">
        <v>74.900000000000006</v>
      </c>
      <c r="G27" s="17">
        <v>23</v>
      </c>
      <c r="H27" s="107">
        <v>24</v>
      </c>
      <c r="I27" s="108"/>
      <c r="J27" s="108"/>
      <c r="K27" s="108"/>
      <c r="L27" s="108"/>
      <c r="M27" s="109">
        <f t="shared" si="40"/>
        <v>0</v>
      </c>
      <c r="N27" s="4" t="str">
        <f t="shared" si="41"/>
        <v/>
      </c>
      <c r="O27" s="105">
        <f t="shared" si="42"/>
        <v>0</v>
      </c>
      <c r="P27" s="105">
        <f t="shared" si="43"/>
        <v>0</v>
      </c>
      <c r="Q27" s="75">
        <v>3</v>
      </c>
      <c r="R27" s="75">
        <v>2</v>
      </c>
      <c r="S27" s="75" t="s">
        <v>869</v>
      </c>
      <c r="T27" s="5" t="s">
        <v>244</v>
      </c>
      <c r="U27" s="9"/>
      <c r="W27" s="104">
        <f t="shared" si="59"/>
        <v>101.4</v>
      </c>
      <c r="X27" s="106">
        <f t="shared" si="59"/>
        <v>31</v>
      </c>
      <c r="Y27" s="102">
        <f t="shared" si="60"/>
        <v>24</v>
      </c>
      <c r="Z27" s="109">
        <f t="shared" si="60"/>
        <v>0</v>
      </c>
      <c r="AA27" s="109">
        <f t="shared" si="46"/>
        <v>0</v>
      </c>
      <c r="AB27" s="109">
        <f t="shared" si="58"/>
        <v>0</v>
      </c>
      <c r="AC27" s="4" t="str">
        <f t="shared" si="58"/>
        <v/>
      </c>
      <c r="AD27" s="105">
        <f t="shared" si="58"/>
        <v>0</v>
      </c>
      <c r="AE27" s="75" t="str">
        <f t="shared" si="47"/>
        <v>계</v>
      </c>
      <c r="AF27" s="75" t="str">
        <f t="shared" si="48"/>
        <v>3/2</v>
      </c>
      <c r="AH27" s="20" t="str">
        <f t="shared" si="10"/>
        <v>남문동 진해남문리젠시빌란트더웰</v>
      </c>
      <c r="AI27" s="106">
        <f t="shared" si="11"/>
        <v>31</v>
      </c>
      <c r="AJ27" s="75" t="str">
        <f t="shared" si="49"/>
        <v>A-</v>
      </c>
      <c r="AK27" s="75" t="s">
        <v>14</v>
      </c>
      <c r="AL27" s="75" t="s">
        <v>870</v>
      </c>
      <c r="AM27" s="75" t="s">
        <v>871</v>
      </c>
      <c r="AN27" s="75" t="str">
        <f t="shared" si="50"/>
        <v>C</v>
      </c>
      <c r="AO27" s="75" t="str">
        <f t="shared" si="51"/>
        <v/>
      </c>
      <c r="AP27" s="75" t="str">
        <f t="shared" si="52"/>
        <v/>
      </c>
      <c r="AQ27" s="75" t="str">
        <f t="shared" si="53"/>
        <v>O</v>
      </c>
      <c r="AR27" s="75" t="str">
        <f t="shared" si="54"/>
        <v>O</v>
      </c>
      <c r="AS27" s="75" t="s">
        <v>2</v>
      </c>
      <c r="AT27" s="75" t="str">
        <f t="shared" si="55"/>
        <v>O</v>
      </c>
      <c r="AU27" s="75" t="str">
        <f t="shared" si="56"/>
        <v>O</v>
      </c>
      <c r="AV27" s="75" t="str">
        <f t="shared" si="57"/>
        <v/>
      </c>
    </row>
    <row r="28" spans="1:48" s="38" customFormat="1" ht="24" x14ac:dyDescent="0.3">
      <c r="A28" s="110" t="s">
        <v>954</v>
      </c>
      <c r="B28" s="111" t="s">
        <v>955</v>
      </c>
      <c r="C28" s="112">
        <v>458</v>
      </c>
      <c r="D28" s="104">
        <v>112.9</v>
      </c>
      <c r="E28" s="106">
        <v>34</v>
      </c>
      <c r="F28" s="104">
        <v>84.9</v>
      </c>
      <c r="G28" s="17">
        <v>26</v>
      </c>
      <c r="H28" s="107">
        <v>314</v>
      </c>
      <c r="I28" s="108"/>
      <c r="J28" s="108"/>
      <c r="K28" s="108"/>
      <c r="L28" s="108"/>
      <c r="M28" s="109">
        <f t="shared" si="40"/>
        <v>0</v>
      </c>
      <c r="N28" s="4" t="str">
        <f t="shared" si="41"/>
        <v/>
      </c>
      <c r="O28" s="105">
        <f t="shared" si="42"/>
        <v>0</v>
      </c>
      <c r="P28" s="105">
        <f t="shared" si="43"/>
        <v>0</v>
      </c>
      <c r="Q28" s="75">
        <v>4</v>
      </c>
      <c r="R28" s="75">
        <v>2</v>
      </c>
      <c r="S28" s="75" t="s">
        <v>869</v>
      </c>
      <c r="T28" s="5">
        <v>112</v>
      </c>
      <c r="U28" s="9"/>
      <c r="W28" s="104">
        <f t="shared" si="59"/>
        <v>112.9</v>
      </c>
      <c r="X28" s="106">
        <f t="shared" si="59"/>
        <v>34</v>
      </c>
      <c r="Y28" s="102">
        <f t="shared" si="60"/>
        <v>314</v>
      </c>
      <c r="Z28" s="109">
        <f t="shared" si="60"/>
        <v>0</v>
      </c>
      <c r="AA28" s="109">
        <f t="shared" si="46"/>
        <v>0</v>
      </c>
      <c r="AB28" s="109">
        <f t="shared" si="58"/>
        <v>0</v>
      </c>
      <c r="AC28" s="4" t="str">
        <f t="shared" si="58"/>
        <v/>
      </c>
      <c r="AD28" s="105">
        <f t="shared" si="58"/>
        <v>0</v>
      </c>
      <c r="AE28" s="75" t="str">
        <f t="shared" si="47"/>
        <v>계</v>
      </c>
      <c r="AF28" s="75" t="str">
        <f t="shared" si="48"/>
        <v>4/2</v>
      </c>
      <c r="AH28" s="20" t="str">
        <f t="shared" si="10"/>
        <v>남문동 진해남문리젠시빌란트더웰</v>
      </c>
      <c r="AI28" s="106">
        <f t="shared" si="11"/>
        <v>34</v>
      </c>
      <c r="AJ28" s="75" t="str">
        <f t="shared" si="49"/>
        <v>A-</v>
      </c>
      <c r="AK28" s="75" t="s">
        <v>14</v>
      </c>
      <c r="AL28" s="75" t="s">
        <v>870</v>
      </c>
      <c r="AM28" s="75" t="s">
        <v>871</v>
      </c>
      <c r="AN28" s="75" t="str">
        <f t="shared" si="50"/>
        <v>C</v>
      </c>
      <c r="AO28" s="75" t="str">
        <f t="shared" si="51"/>
        <v/>
      </c>
      <c r="AP28" s="75" t="str">
        <f t="shared" si="52"/>
        <v/>
      </c>
      <c r="AQ28" s="75" t="str">
        <f t="shared" si="53"/>
        <v>O</v>
      </c>
      <c r="AR28" s="75" t="str">
        <f t="shared" si="54"/>
        <v>O</v>
      </c>
      <c r="AS28" s="75" t="s">
        <v>2</v>
      </c>
      <c r="AT28" s="75" t="str">
        <f t="shared" si="55"/>
        <v>O</v>
      </c>
      <c r="AU28" s="75" t="str">
        <f t="shared" si="56"/>
        <v>O</v>
      </c>
      <c r="AV28" s="75" t="str">
        <f t="shared" si="57"/>
        <v/>
      </c>
    </row>
    <row r="29" spans="1:48" s="38" customFormat="1" ht="12" x14ac:dyDescent="0.3">
      <c r="A29" s="110" t="s">
        <v>956</v>
      </c>
      <c r="B29" s="111" t="s">
        <v>957</v>
      </c>
      <c r="C29" s="112">
        <v>299</v>
      </c>
      <c r="D29" s="104">
        <v>95.2</v>
      </c>
      <c r="E29" s="106">
        <v>29</v>
      </c>
      <c r="F29" s="104">
        <v>73</v>
      </c>
      <c r="G29" s="17">
        <v>22</v>
      </c>
      <c r="H29" s="107">
        <v>40</v>
      </c>
      <c r="I29" s="108"/>
      <c r="J29" s="108"/>
      <c r="K29" s="108"/>
      <c r="L29" s="108"/>
      <c r="M29" s="109">
        <f t="shared" ref="M29:M34" si="61">I29-K29</f>
        <v>0</v>
      </c>
      <c r="N29" s="4" t="str">
        <f t="shared" ref="N29:N34" si="62">IF(ISERROR(K29/I29),"",K29/I29)</f>
        <v/>
      </c>
      <c r="O29" s="105">
        <f t="shared" ref="O29:O34" si="63">I29/E29</f>
        <v>0</v>
      </c>
      <c r="P29" s="105">
        <f t="shared" ref="P29:P34" si="64">K29/E29</f>
        <v>0</v>
      </c>
      <c r="Q29" s="75">
        <v>3</v>
      </c>
      <c r="R29" s="75">
        <v>2</v>
      </c>
      <c r="S29" s="75" t="s">
        <v>869</v>
      </c>
      <c r="T29" s="5" t="s">
        <v>247</v>
      </c>
      <c r="U29" s="9"/>
      <c r="W29" s="104">
        <f t="shared" si="59"/>
        <v>95.2</v>
      </c>
      <c r="X29" s="106">
        <f t="shared" si="59"/>
        <v>29</v>
      </c>
      <c r="Y29" s="102">
        <f t="shared" si="60"/>
        <v>40</v>
      </c>
      <c r="Z29" s="109">
        <f t="shared" si="60"/>
        <v>0</v>
      </c>
      <c r="AA29" s="109">
        <f t="shared" ref="AA29:AA34" si="65">K29</f>
        <v>0</v>
      </c>
      <c r="AB29" s="109">
        <f t="shared" si="58"/>
        <v>0</v>
      </c>
      <c r="AC29" s="4" t="str">
        <f t="shared" si="58"/>
        <v/>
      </c>
      <c r="AD29" s="105">
        <f t="shared" si="58"/>
        <v>0</v>
      </c>
      <c r="AE29" s="75" t="str">
        <f t="shared" ref="AE29:AE34" si="66">S29</f>
        <v>계</v>
      </c>
      <c r="AF29" s="75" t="str">
        <f t="shared" ref="AF29:AF34" si="67">Q29&amp;"/"&amp;R29</f>
        <v>3/2</v>
      </c>
      <c r="AH29" s="20" t="str">
        <f t="shared" si="10"/>
        <v>남문동 진해남문하우스디</v>
      </c>
      <c r="AI29" s="106">
        <f t="shared" si="11"/>
        <v>29</v>
      </c>
      <c r="AJ29" s="75" t="str">
        <f t="shared" ref="AJ29:AJ34" si="68">IF(AI29="","",$AJ$2)</f>
        <v>A-</v>
      </c>
      <c r="AK29" s="75" t="s">
        <v>14</v>
      </c>
      <c r="AL29" s="75" t="s">
        <v>870</v>
      </c>
      <c r="AM29" s="75" t="s">
        <v>871</v>
      </c>
      <c r="AN29" s="75" t="str">
        <f t="shared" ref="AN29:AN34" si="69">IF(AI29="","",$AN$2)</f>
        <v>C</v>
      </c>
      <c r="AO29" s="75" t="str">
        <f t="shared" ref="AO29:AO34" si="70">IF(N29="","",IF(N29&gt;=$AO$1/100,"O","X"))</f>
        <v/>
      </c>
      <c r="AP29" s="75" t="str">
        <f t="shared" ref="AP29:AP34" si="71">IF(I29="","",IF(I29&lt;=$AP$1,"O","X"))</f>
        <v/>
      </c>
      <c r="AQ29" s="75" t="str">
        <f t="shared" ref="AQ29:AQ34" si="72">IF(O29="","",IF(O29&lt;=$AQ$1,"O","X"))</f>
        <v>O</v>
      </c>
      <c r="AR29" s="75" t="str">
        <f t="shared" ref="AR29:AR34" si="73">IF(M29="","",IF(M29&lt;=$AR$1,"O","X"))</f>
        <v>O</v>
      </c>
      <c r="AS29" s="75" t="s">
        <v>2</v>
      </c>
      <c r="AT29" s="75" t="str">
        <f t="shared" ref="AT29:AT34" si="74">IF(OR(F29="",AI29=""),"",IF(AND((F29&lt;=85),(AI29&gt;=15)),"O","X"))</f>
        <v>O</v>
      </c>
      <c r="AU29" s="75" t="str">
        <f t="shared" ref="AU29:AU34" si="75">IF(C29="","",IF(C29&gt;=$AU$1,"O","X"))</f>
        <v>X</v>
      </c>
      <c r="AV29" s="75" t="str">
        <f t="shared" ref="AV29:AV34" si="76">IF(AO29="","",IF(AND(AO29="O",AP29="O",AR29="O",AT29="O",AU29="O"),"후보","X"))</f>
        <v/>
      </c>
    </row>
    <row r="30" spans="1:48" s="38" customFormat="1" ht="12" x14ac:dyDescent="0.3">
      <c r="A30" s="110" t="s">
        <v>956</v>
      </c>
      <c r="B30" s="111" t="s">
        <v>957</v>
      </c>
      <c r="C30" s="112">
        <v>299</v>
      </c>
      <c r="D30" s="104">
        <v>95.2</v>
      </c>
      <c r="E30" s="106">
        <v>29</v>
      </c>
      <c r="F30" s="104">
        <v>73</v>
      </c>
      <c r="G30" s="17">
        <v>22</v>
      </c>
      <c r="H30" s="107">
        <v>31</v>
      </c>
      <c r="I30" s="108"/>
      <c r="J30" s="108"/>
      <c r="K30" s="108"/>
      <c r="L30" s="108"/>
      <c r="M30" s="109">
        <f t="shared" si="61"/>
        <v>0</v>
      </c>
      <c r="N30" s="4" t="str">
        <f t="shared" si="62"/>
        <v/>
      </c>
      <c r="O30" s="105">
        <f t="shared" si="63"/>
        <v>0</v>
      </c>
      <c r="P30" s="105">
        <f t="shared" si="64"/>
        <v>0</v>
      </c>
      <c r="Q30" s="75">
        <v>3</v>
      </c>
      <c r="R30" s="75">
        <v>2</v>
      </c>
      <c r="S30" s="75" t="s">
        <v>869</v>
      </c>
      <c r="T30" s="5" t="s">
        <v>251</v>
      </c>
      <c r="U30" s="9"/>
      <c r="W30" s="104">
        <f t="shared" si="59"/>
        <v>95.2</v>
      </c>
      <c r="X30" s="106">
        <f t="shared" si="59"/>
        <v>29</v>
      </c>
      <c r="Y30" s="102">
        <f t="shared" si="60"/>
        <v>31</v>
      </c>
      <c r="Z30" s="109">
        <f t="shared" si="60"/>
        <v>0</v>
      </c>
      <c r="AA30" s="109">
        <f t="shared" si="65"/>
        <v>0</v>
      </c>
      <c r="AB30" s="109">
        <f t="shared" si="58"/>
        <v>0</v>
      </c>
      <c r="AC30" s="4" t="str">
        <f t="shared" si="58"/>
        <v/>
      </c>
      <c r="AD30" s="105">
        <f t="shared" si="58"/>
        <v>0</v>
      </c>
      <c r="AE30" s="75" t="str">
        <f t="shared" si="66"/>
        <v>계</v>
      </c>
      <c r="AF30" s="75" t="str">
        <f t="shared" si="67"/>
        <v>3/2</v>
      </c>
      <c r="AH30" s="20" t="str">
        <f t="shared" si="10"/>
        <v>남문동 진해남문하우스디</v>
      </c>
      <c r="AI30" s="106">
        <f t="shared" si="11"/>
        <v>29</v>
      </c>
      <c r="AJ30" s="75" t="str">
        <f t="shared" si="68"/>
        <v>A-</v>
      </c>
      <c r="AK30" s="75" t="s">
        <v>14</v>
      </c>
      <c r="AL30" s="75" t="s">
        <v>870</v>
      </c>
      <c r="AM30" s="75" t="s">
        <v>871</v>
      </c>
      <c r="AN30" s="75" t="str">
        <f t="shared" si="69"/>
        <v>C</v>
      </c>
      <c r="AO30" s="75" t="str">
        <f t="shared" si="70"/>
        <v/>
      </c>
      <c r="AP30" s="75" t="str">
        <f t="shared" si="71"/>
        <v/>
      </c>
      <c r="AQ30" s="75" t="str">
        <f t="shared" si="72"/>
        <v>O</v>
      </c>
      <c r="AR30" s="75" t="str">
        <f t="shared" si="73"/>
        <v>O</v>
      </c>
      <c r="AS30" s="75" t="s">
        <v>2</v>
      </c>
      <c r="AT30" s="75" t="str">
        <f t="shared" si="74"/>
        <v>O</v>
      </c>
      <c r="AU30" s="75" t="str">
        <f t="shared" si="75"/>
        <v>X</v>
      </c>
      <c r="AV30" s="75" t="str">
        <f t="shared" si="76"/>
        <v/>
      </c>
    </row>
    <row r="31" spans="1:48" s="38" customFormat="1" ht="12" x14ac:dyDescent="0.3">
      <c r="A31" s="110" t="s">
        <v>956</v>
      </c>
      <c r="B31" s="111" t="s">
        <v>957</v>
      </c>
      <c r="C31" s="112">
        <v>299</v>
      </c>
      <c r="D31" s="104">
        <v>110</v>
      </c>
      <c r="E31" s="106">
        <v>33</v>
      </c>
      <c r="F31" s="104">
        <v>84.9</v>
      </c>
      <c r="G31" s="17">
        <v>26</v>
      </c>
      <c r="H31" s="107">
        <v>96</v>
      </c>
      <c r="I31" s="108"/>
      <c r="J31" s="108"/>
      <c r="K31" s="108"/>
      <c r="L31" s="108"/>
      <c r="M31" s="109">
        <f t="shared" si="61"/>
        <v>0</v>
      </c>
      <c r="N31" s="4" t="str">
        <f t="shared" si="62"/>
        <v/>
      </c>
      <c r="O31" s="105">
        <f t="shared" si="63"/>
        <v>0</v>
      </c>
      <c r="P31" s="105">
        <f t="shared" si="64"/>
        <v>0</v>
      </c>
      <c r="Q31" s="75">
        <v>3</v>
      </c>
      <c r="R31" s="75">
        <v>2</v>
      </c>
      <c r="S31" s="75" t="s">
        <v>869</v>
      </c>
      <c r="T31" s="5" t="s">
        <v>252</v>
      </c>
      <c r="U31" s="9"/>
      <c r="W31" s="104">
        <f t="shared" si="59"/>
        <v>110</v>
      </c>
      <c r="X31" s="106">
        <f t="shared" si="59"/>
        <v>33</v>
      </c>
      <c r="Y31" s="102">
        <f t="shared" si="60"/>
        <v>96</v>
      </c>
      <c r="Z31" s="109">
        <f t="shared" si="60"/>
        <v>0</v>
      </c>
      <c r="AA31" s="109">
        <f t="shared" si="65"/>
        <v>0</v>
      </c>
      <c r="AB31" s="109">
        <f t="shared" si="58"/>
        <v>0</v>
      </c>
      <c r="AC31" s="4" t="str">
        <f t="shared" si="58"/>
        <v/>
      </c>
      <c r="AD31" s="105">
        <f t="shared" si="58"/>
        <v>0</v>
      </c>
      <c r="AE31" s="75" t="str">
        <f t="shared" si="66"/>
        <v>계</v>
      </c>
      <c r="AF31" s="75" t="str">
        <f t="shared" si="67"/>
        <v>3/2</v>
      </c>
      <c r="AH31" s="20" t="str">
        <f t="shared" si="10"/>
        <v>남문동 진해남문하우스디</v>
      </c>
      <c r="AI31" s="106">
        <f t="shared" si="11"/>
        <v>33</v>
      </c>
      <c r="AJ31" s="75" t="str">
        <f t="shared" si="68"/>
        <v>A-</v>
      </c>
      <c r="AK31" s="75" t="s">
        <v>14</v>
      </c>
      <c r="AL31" s="75" t="s">
        <v>870</v>
      </c>
      <c r="AM31" s="75" t="s">
        <v>871</v>
      </c>
      <c r="AN31" s="75" t="str">
        <f t="shared" si="69"/>
        <v>C</v>
      </c>
      <c r="AO31" s="75" t="str">
        <f t="shared" si="70"/>
        <v/>
      </c>
      <c r="AP31" s="75" t="str">
        <f t="shared" si="71"/>
        <v/>
      </c>
      <c r="AQ31" s="75" t="str">
        <f t="shared" si="72"/>
        <v>O</v>
      </c>
      <c r="AR31" s="75" t="str">
        <f t="shared" si="73"/>
        <v>O</v>
      </c>
      <c r="AS31" s="75" t="s">
        <v>2</v>
      </c>
      <c r="AT31" s="75" t="str">
        <f t="shared" si="74"/>
        <v>O</v>
      </c>
      <c r="AU31" s="75" t="str">
        <f t="shared" si="75"/>
        <v>X</v>
      </c>
      <c r="AV31" s="75" t="str">
        <f t="shared" si="76"/>
        <v/>
      </c>
    </row>
    <row r="32" spans="1:48" s="38" customFormat="1" ht="12" x14ac:dyDescent="0.3">
      <c r="A32" s="110" t="s">
        <v>956</v>
      </c>
      <c r="B32" s="111" t="s">
        <v>957</v>
      </c>
      <c r="C32" s="112">
        <v>299</v>
      </c>
      <c r="D32" s="104">
        <v>110.2</v>
      </c>
      <c r="E32" s="106">
        <v>33</v>
      </c>
      <c r="F32" s="104">
        <v>84.9</v>
      </c>
      <c r="G32" s="17">
        <v>26</v>
      </c>
      <c r="H32" s="107">
        <v>48</v>
      </c>
      <c r="I32" s="108"/>
      <c r="J32" s="108"/>
      <c r="K32" s="108"/>
      <c r="L32" s="108"/>
      <c r="M32" s="109">
        <f t="shared" si="61"/>
        <v>0</v>
      </c>
      <c r="N32" s="4" t="str">
        <f t="shared" si="62"/>
        <v/>
      </c>
      <c r="O32" s="105">
        <f t="shared" si="63"/>
        <v>0</v>
      </c>
      <c r="P32" s="105">
        <f t="shared" si="64"/>
        <v>0</v>
      </c>
      <c r="Q32" s="75">
        <v>3</v>
      </c>
      <c r="R32" s="75">
        <v>2</v>
      </c>
      <c r="S32" s="75" t="s">
        <v>869</v>
      </c>
      <c r="T32" s="5" t="s">
        <v>253</v>
      </c>
      <c r="U32" s="9"/>
      <c r="W32" s="104">
        <f t="shared" si="59"/>
        <v>110.2</v>
      </c>
      <c r="X32" s="106">
        <f t="shared" si="59"/>
        <v>33</v>
      </c>
      <c r="Y32" s="102">
        <f t="shared" si="60"/>
        <v>48</v>
      </c>
      <c r="Z32" s="109">
        <f t="shared" si="60"/>
        <v>0</v>
      </c>
      <c r="AA32" s="109">
        <f t="shared" si="65"/>
        <v>0</v>
      </c>
      <c r="AB32" s="109">
        <f t="shared" si="58"/>
        <v>0</v>
      </c>
      <c r="AC32" s="4" t="str">
        <f t="shared" si="58"/>
        <v/>
      </c>
      <c r="AD32" s="105">
        <f t="shared" si="58"/>
        <v>0</v>
      </c>
      <c r="AE32" s="75" t="str">
        <f t="shared" si="66"/>
        <v>계</v>
      </c>
      <c r="AF32" s="75" t="str">
        <f t="shared" si="67"/>
        <v>3/2</v>
      </c>
      <c r="AH32" s="20" t="str">
        <f t="shared" si="10"/>
        <v>남문동 진해남문하우스디</v>
      </c>
      <c r="AI32" s="106">
        <f t="shared" si="11"/>
        <v>33</v>
      </c>
      <c r="AJ32" s="75" t="str">
        <f t="shared" si="68"/>
        <v>A-</v>
      </c>
      <c r="AK32" s="75" t="s">
        <v>14</v>
      </c>
      <c r="AL32" s="75" t="s">
        <v>870</v>
      </c>
      <c r="AM32" s="75" t="s">
        <v>871</v>
      </c>
      <c r="AN32" s="75" t="str">
        <f t="shared" si="69"/>
        <v>C</v>
      </c>
      <c r="AO32" s="75" t="str">
        <f t="shared" si="70"/>
        <v/>
      </c>
      <c r="AP32" s="75" t="str">
        <f t="shared" si="71"/>
        <v/>
      </c>
      <c r="AQ32" s="75" t="str">
        <f t="shared" si="72"/>
        <v>O</v>
      </c>
      <c r="AR32" s="75" t="str">
        <f t="shared" si="73"/>
        <v>O</v>
      </c>
      <c r="AS32" s="75" t="s">
        <v>2</v>
      </c>
      <c r="AT32" s="75" t="str">
        <f t="shared" si="74"/>
        <v>O</v>
      </c>
      <c r="AU32" s="75" t="str">
        <f t="shared" si="75"/>
        <v>X</v>
      </c>
      <c r="AV32" s="75" t="str">
        <f t="shared" si="76"/>
        <v/>
      </c>
    </row>
    <row r="33" spans="1:48" s="38" customFormat="1" ht="12" x14ac:dyDescent="0.3">
      <c r="A33" s="110" t="s">
        <v>956</v>
      </c>
      <c r="B33" s="111" t="s">
        <v>957</v>
      </c>
      <c r="C33" s="112">
        <v>299</v>
      </c>
      <c r="D33" s="104">
        <v>110.2</v>
      </c>
      <c r="E33" s="106">
        <v>33</v>
      </c>
      <c r="F33" s="104">
        <v>84.9</v>
      </c>
      <c r="G33" s="17">
        <v>26</v>
      </c>
      <c r="H33" s="107">
        <v>42</v>
      </c>
      <c r="I33" s="108"/>
      <c r="J33" s="108"/>
      <c r="K33" s="108"/>
      <c r="L33" s="108"/>
      <c r="M33" s="109">
        <f t="shared" si="61"/>
        <v>0</v>
      </c>
      <c r="N33" s="4" t="str">
        <f t="shared" si="62"/>
        <v/>
      </c>
      <c r="O33" s="105">
        <f t="shared" si="63"/>
        <v>0</v>
      </c>
      <c r="P33" s="105">
        <f t="shared" si="64"/>
        <v>0</v>
      </c>
      <c r="Q33" s="75">
        <v>3</v>
      </c>
      <c r="R33" s="75">
        <v>2</v>
      </c>
      <c r="S33" s="75" t="s">
        <v>869</v>
      </c>
      <c r="T33" s="5" t="s">
        <v>254</v>
      </c>
      <c r="U33" s="9"/>
      <c r="W33" s="104">
        <f t="shared" si="59"/>
        <v>110.2</v>
      </c>
      <c r="X33" s="106">
        <f t="shared" si="59"/>
        <v>33</v>
      </c>
      <c r="Y33" s="102">
        <f t="shared" si="60"/>
        <v>42</v>
      </c>
      <c r="Z33" s="109">
        <f t="shared" si="60"/>
        <v>0</v>
      </c>
      <c r="AA33" s="109">
        <f t="shared" si="65"/>
        <v>0</v>
      </c>
      <c r="AB33" s="109">
        <f t="shared" si="58"/>
        <v>0</v>
      </c>
      <c r="AC33" s="4" t="str">
        <f t="shared" si="58"/>
        <v/>
      </c>
      <c r="AD33" s="105">
        <f t="shared" si="58"/>
        <v>0</v>
      </c>
      <c r="AE33" s="75" t="str">
        <f t="shared" si="66"/>
        <v>계</v>
      </c>
      <c r="AF33" s="75" t="str">
        <f t="shared" si="67"/>
        <v>3/2</v>
      </c>
      <c r="AH33" s="20" t="str">
        <f t="shared" si="10"/>
        <v>남문동 진해남문하우스디</v>
      </c>
      <c r="AI33" s="106">
        <f t="shared" si="11"/>
        <v>33</v>
      </c>
      <c r="AJ33" s="75" t="str">
        <f t="shared" si="68"/>
        <v>A-</v>
      </c>
      <c r="AK33" s="75" t="s">
        <v>14</v>
      </c>
      <c r="AL33" s="75" t="s">
        <v>870</v>
      </c>
      <c r="AM33" s="75" t="s">
        <v>871</v>
      </c>
      <c r="AN33" s="75" t="str">
        <f t="shared" si="69"/>
        <v>C</v>
      </c>
      <c r="AO33" s="75" t="str">
        <f t="shared" si="70"/>
        <v/>
      </c>
      <c r="AP33" s="75" t="str">
        <f t="shared" si="71"/>
        <v/>
      </c>
      <c r="AQ33" s="75" t="str">
        <f t="shared" si="72"/>
        <v>O</v>
      </c>
      <c r="AR33" s="75" t="str">
        <f t="shared" si="73"/>
        <v>O</v>
      </c>
      <c r="AS33" s="75" t="s">
        <v>2</v>
      </c>
      <c r="AT33" s="75" t="str">
        <f t="shared" si="74"/>
        <v>O</v>
      </c>
      <c r="AU33" s="75" t="str">
        <f t="shared" si="75"/>
        <v>X</v>
      </c>
      <c r="AV33" s="75" t="str">
        <f t="shared" si="76"/>
        <v/>
      </c>
    </row>
    <row r="34" spans="1:48" s="38" customFormat="1" ht="12" x14ac:dyDescent="0.3">
      <c r="A34" s="110" t="s">
        <v>956</v>
      </c>
      <c r="B34" s="111" t="s">
        <v>957</v>
      </c>
      <c r="C34" s="112">
        <v>299</v>
      </c>
      <c r="D34" s="104">
        <v>110.9</v>
      </c>
      <c r="E34" s="106">
        <v>34</v>
      </c>
      <c r="F34" s="104">
        <v>84.9</v>
      </c>
      <c r="G34" s="17">
        <v>26</v>
      </c>
      <c r="H34" s="107">
        <v>42</v>
      </c>
      <c r="I34" s="108"/>
      <c r="J34" s="108"/>
      <c r="K34" s="108"/>
      <c r="L34" s="108"/>
      <c r="M34" s="109">
        <f t="shared" si="61"/>
        <v>0</v>
      </c>
      <c r="N34" s="4" t="str">
        <f t="shared" si="62"/>
        <v/>
      </c>
      <c r="O34" s="105">
        <f t="shared" si="63"/>
        <v>0</v>
      </c>
      <c r="P34" s="105">
        <f t="shared" si="64"/>
        <v>0</v>
      </c>
      <c r="Q34" s="75">
        <v>3</v>
      </c>
      <c r="R34" s="75">
        <v>2</v>
      </c>
      <c r="S34" s="75" t="s">
        <v>869</v>
      </c>
      <c r="T34" s="5" t="s">
        <v>152</v>
      </c>
      <c r="U34" s="9"/>
      <c r="W34" s="104">
        <f t="shared" si="59"/>
        <v>110.9</v>
      </c>
      <c r="X34" s="106">
        <f t="shared" si="59"/>
        <v>34</v>
      </c>
      <c r="Y34" s="102">
        <f t="shared" si="60"/>
        <v>42</v>
      </c>
      <c r="Z34" s="109">
        <f t="shared" si="60"/>
        <v>0</v>
      </c>
      <c r="AA34" s="109">
        <f t="shared" si="65"/>
        <v>0</v>
      </c>
      <c r="AB34" s="109">
        <f t="shared" si="58"/>
        <v>0</v>
      </c>
      <c r="AC34" s="4" t="str">
        <f t="shared" si="58"/>
        <v/>
      </c>
      <c r="AD34" s="105">
        <f t="shared" si="58"/>
        <v>0</v>
      </c>
      <c r="AE34" s="75" t="str">
        <f t="shared" si="66"/>
        <v>계</v>
      </c>
      <c r="AF34" s="75" t="str">
        <f t="shared" si="67"/>
        <v>3/2</v>
      </c>
      <c r="AH34" s="20" t="str">
        <f t="shared" si="10"/>
        <v>남문동 진해남문하우스디</v>
      </c>
      <c r="AI34" s="106">
        <f t="shared" si="11"/>
        <v>34</v>
      </c>
      <c r="AJ34" s="75" t="str">
        <f t="shared" si="68"/>
        <v>A-</v>
      </c>
      <c r="AK34" s="75" t="s">
        <v>14</v>
      </c>
      <c r="AL34" s="75" t="s">
        <v>870</v>
      </c>
      <c r="AM34" s="75" t="s">
        <v>871</v>
      </c>
      <c r="AN34" s="75" t="str">
        <f t="shared" si="69"/>
        <v>C</v>
      </c>
      <c r="AO34" s="75" t="str">
        <f t="shared" si="70"/>
        <v/>
      </c>
      <c r="AP34" s="75" t="str">
        <f t="shared" si="71"/>
        <v/>
      </c>
      <c r="AQ34" s="75" t="str">
        <f t="shared" si="72"/>
        <v>O</v>
      </c>
      <c r="AR34" s="75" t="str">
        <f t="shared" si="73"/>
        <v>O</v>
      </c>
      <c r="AS34" s="75" t="s">
        <v>2</v>
      </c>
      <c r="AT34" s="75" t="str">
        <f t="shared" si="74"/>
        <v>O</v>
      </c>
      <c r="AU34" s="75" t="str">
        <f t="shared" si="75"/>
        <v>X</v>
      </c>
      <c r="AV34" s="75" t="str">
        <f t="shared" si="76"/>
        <v/>
      </c>
    </row>
    <row r="35" spans="1:48" s="38" customFormat="1" ht="12" x14ac:dyDescent="0.3">
      <c r="A35" s="110" t="s">
        <v>958</v>
      </c>
      <c r="B35" s="111" t="s">
        <v>959</v>
      </c>
      <c r="C35" s="112">
        <v>944</v>
      </c>
      <c r="D35" s="104">
        <v>97.2</v>
      </c>
      <c r="E35" s="106">
        <v>29</v>
      </c>
      <c r="F35" s="104">
        <v>72</v>
      </c>
      <c r="G35" s="17">
        <v>22</v>
      </c>
      <c r="H35" s="107">
        <v>371</v>
      </c>
      <c r="I35" s="108">
        <v>27000</v>
      </c>
      <c r="J35" s="108" t="s">
        <v>873</v>
      </c>
      <c r="K35" s="108">
        <v>21000</v>
      </c>
      <c r="L35" s="108" t="s">
        <v>883</v>
      </c>
      <c r="M35" s="109">
        <f t="shared" ref="M35:M69" si="77">I35-K35</f>
        <v>6000</v>
      </c>
      <c r="N35" s="4">
        <f t="shared" ref="N35:N69" si="78">IF(ISERROR(K35/I35),"",K35/I35)</f>
        <v>0.77777777777777779</v>
      </c>
      <c r="O35" s="105">
        <f t="shared" ref="O35:O69" si="79">I35/E35</f>
        <v>931.0344827586207</v>
      </c>
      <c r="P35" s="105">
        <f t="shared" ref="P35:P69" si="80">K35/E35</f>
        <v>724.13793103448279</v>
      </c>
      <c r="Q35" s="75">
        <v>3</v>
      </c>
      <c r="R35" s="75">
        <v>2</v>
      </c>
      <c r="S35" s="75" t="s">
        <v>869</v>
      </c>
      <c r="T35" s="5" t="s">
        <v>257</v>
      </c>
      <c r="U35" s="9"/>
      <c r="W35" s="104">
        <f t="shared" si="59"/>
        <v>97.2</v>
      </c>
      <c r="X35" s="106">
        <f t="shared" si="59"/>
        <v>29</v>
      </c>
      <c r="Y35" s="102">
        <f t="shared" si="60"/>
        <v>371</v>
      </c>
      <c r="Z35" s="109">
        <f t="shared" si="60"/>
        <v>27000</v>
      </c>
      <c r="AA35" s="109">
        <f t="shared" ref="AA35:AA69" si="81">K35</f>
        <v>21000</v>
      </c>
      <c r="AB35" s="109">
        <f t="shared" si="58"/>
        <v>6000</v>
      </c>
      <c r="AC35" s="4">
        <f t="shared" si="58"/>
        <v>0.77777777777777779</v>
      </c>
      <c r="AD35" s="105">
        <f t="shared" si="58"/>
        <v>931.0344827586207</v>
      </c>
      <c r="AE35" s="75" t="str">
        <f t="shared" ref="AE35:AE69" si="82">S35</f>
        <v>계</v>
      </c>
      <c r="AF35" s="75" t="str">
        <f t="shared" ref="AF35:AF69" si="83">Q35&amp;"/"&amp;R35</f>
        <v>3/2</v>
      </c>
      <c r="AH35" s="20" t="str">
        <f t="shared" si="10"/>
        <v>남문동 남문호반베르디움</v>
      </c>
      <c r="AI35" s="106">
        <f t="shared" si="11"/>
        <v>29</v>
      </c>
      <c r="AJ35" s="75" t="str">
        <f t="shared" ref="AJ35:AJ69" si="84">IF(AI35="","",$AJ$2)</f>
        <v>A-</v>
      </c>
      <c r="AK35" s="75" t="s">
        <v>14</v>
      </c>
      <c r="AL35" s="75" t="s">
        <v>870</v>
      </c>
      <c r="AM35" s="75" t="s">
        <v>871</v>
      </c>
      <c r="AN35" s="75" t="str">
        <f t="shared" ref="AN35:AN69" si="85">IF(AI35="","",$AN$2)</f>
        <v>C</v>
      </c>
      <c r="AO35" s="75" t="str">
        <f t="shared" ref="AO35:AO69" si="86">IF(N35="","",IF(N35&gt;=$AO$1/100,"O","X"))</f>
        <v>X</v>
      </c>
      <c r="AP35" s="75" t="str">
        <f t="shared" ref="AP35:AP69" si="87">IF(I35="","",IF(I35&lt;=$AP$1,"O","X"))</f>
        <v>O</v>
      </c>
      <c r="AQ35" s="75" t="str">
        <f t="shared" ref="AQ35:AQ69" si="88">IF(O35="","",IF(O35&lt;=$AQ$1,"O","X"))</f>
        <v>O</v>
      </c>
      <c r="AR35" s="75" t="str">
        <f t="shared" ref="AR35:AR69" si="89">IF(M35="","",IF(M35&lt;=$AR$1,"O","X"))</f>
        <v>O</v>
      </c>
      <c r="AS35" s="75" t="s">
        <v>2</v>
      </c>
      <c r="AT35" s="75" t="str">
        <f t="shared" ref="AT35:AT69" si="90">IF(OR(F35="",AI35=""),"",IF(AND((F35&lt;=85),(AI35&gt;=15)),"O","X"))</f>
        <v>O</v>
      </c>
      <c r="AU35" s="75" t="str">
        <f t="shared" ref="AU35:AU69" si="91">IF(C35="","",IF(C35&gt;=$AU$1,"O","X"))</f>
        <v>O</v>
      </c>
      <c r="AV35" s="75" t="str">
        <f t="shared" ref="AV35:AV69" si="92">IF(AO35="","",IF(AND(AO35="O",AP35="O",AR35="O",AT35="O",AU35="O"),"후보","X"))</f>
        <v>X</v>
      </c>
    </row>
    <row r="36" spans="1:48" s="38" customFormat="1" ht="12" x14ac:dyDescent="0.3">
      <c r="A36" s="110" t="s">
        <v>958</v>
      </c>
      <c r="B36" s="111" t="s">
        <v>959</v>
      </c>
      <c r="C36" s="112">
        <v>944</v>
      </c>
      <c r="D36" s="104">
        <v>97.3</v>
      </c>
      <c r="E36" s="106">
        <v>29</v>
      </c>
      <c r="F36" s="104">
        <v>72</v>
      </c>
      <c r="G36" s="17">
        <v>22</v>
      </c>
      <c r="H36" s="107">
        <v>125</v>
      </c>
      <c r="I36" s="108">
        <v>27000</v>
      </c>
      <c r="J36" s="108" t="s">
        <v>884</v>
      </c>
      <c r="K36" s="108">
        <v>20000</v>
      </c>
      <c r="L36" s="108" t="s">
        <v>868</v>
      </c>
      <c r="M36" s="109">
        <f t="shared" si="77"/>
        <v>7000</v>
      </c>
      <c r="N36" s="4">
        <f t="shared" si="78"/>
        <v>0.7407407407407407</v>
      </c>
      <c r="O36" s="105">
        <f t="shared" si="79"/>
        <v>931.0344827586207</v>
      </c>
      <c r="P36" s="105">
        <f t="shared" si="80"/>
        <v>689.65517241379314</v>
      </c>
      <c r="Q36" s="75">
        <v>3</v>
      </c>
      <c r="R36" s="75">
        <v>2</v>
      </c>
      <c r="S36" s="75" t="s">
        <v>869</v>
      </c>
      <c r="T36" s="5" t="s">
        <v>261</v>
      </c>
      <c r="U36" s="9"/>
      <c r="W36" s="104">
        <f t="shared" si="59"/>
        <v>97.3</v>
      </c>
      <c r="X36" s="106">
        <f t="shared" si="59"/>
        <v>29</v>
      </c>
      <c r="Y36" s="102">
        <f t="shared" si="60"/>
        <v>125</v>
      </c>
      <c r="Z36" s="109">
        <f t="shared" si="60"/>
        <v>27000</v>
      </c>
      <c r="AA36" s="109">
        <f t="shared" si="81"/>
        <v>20000</v>
      </c>
      <c r="AB36" s="109">
        <f t="shared" si="58"/>
        <v>7000</v>
      </c>
      <c r="AC36" s="4">
        <f t="shared" si="58"/>
        <v>0.7407407407407407</v>
      </c>
      <c r="AD36" s="105">
        <f t="shared" si="58"/>
        <v>931.0344827586207</v>
      </c>
      <c r="AE36" s="75" t="str">
        <f t="shared" si="82"/>
        <v>계</v>
      </c>
      <c r="AF36" s="75" t="str">
        <f t="shared" si="83"/>
        <v>3/2</v>
      </c>
      <c r="AH36" s="20" t="str">
        <f t="shared" si="10"/>
        <v>남문동 남문호반베르디움</v>
      </c>
      <c r="AI36" s="106">
        <f t="shared" si="11"/>
        <v>29</v>
      </c>
      <c r="AJ36" s="75" t="str">
        <f t="shared" si="84"/>
        <v>A-</v>
      </c>
      <c r="AK36" s="75" t="s">
        <v>14</v>
      </c>
      <c r="AL36" s="75" t="s">
        <v>870</v>
      </c>
      <c r="AM36" s="75" t="s">
        <v>871</v>
      </c>
      <c r="AN36" s="75" t="str">
        <f t="shared" si="85"/>
        <v>C</v>
      </c>
      <c r="AO36" s="75" t="str">
        <f t="shared" si="86"/>
        <v>X</v>
      </c>
      <c r="AP36" s="75" t="str">
        <f t="shared" si="87"/>
        <v>O</v>
      </c>
      <c r="AQ36" s="75" t="str">
        <f t="shared" si="88"/>
        <v>O</v>
      </c>
      <c r="AR36" s="75" t="str">
        <f t="shared" si="89"/>
        <v>X</v>
      </c>
      <c r="AS36" s="75" t="s">
        <v>2</v>
      </c>
      <c r="AT36" s="75" t="str">
        <f t="shared" si="90"/>
        <v>O</v>
      </c>
      <c r="AU36" s="75" t="str">
        <f t="shared" si="91"/>
        <v>O</v>
      </c>
      <c r="AV36" s="75" t="str">
        <f t="shared" si="92"/>
        <v>X</v>
      </c>
    </row>
    <row r="37" spans="1:48" s="38" customFormat="1" ht="12" x14ac:dyDescent="0.3">
      <c r="A37" s="110" t="s">
        <v>958</v>
      </c>
      <c r="B37" s="111" t="s">
        <v>959</v>
      </c>
      <c r="C37" s="112">
        <v>944</v>
      </c>
      <c r="D37" s="104">
        <v>110.2</v>
      </c>
      <c r="E37" s="106">
        <v>33</v>
      </c>
      <c r="F37" s="104">
        <v>85</v>
      </c>
      <c r="G37" s="17">
        <v>26</v>
      </c>
      <c r="H37" s="107">
        <v>448</v>
      </c>
      <c r="I37" s="108">
        <v>31000</v>
      </c>
      <c r="J37" s="108" t="s">
        <v>878</v>
      </c>
      <c r="K37" s="108">
        <v>24000</v>
      </c>
      <c r="L37" s="108" t="s">
        <v>885</v>
      </c>
      <c r="M37" s="109">
        <f t="shared" si="77"/>
        <v>7000</v>
      </c>
      <c r="N37" s="4">
        <f t="shared" si="78"/>
        <v>0.77419354838709675</v>
      </c>
      <c r="O37" s="105">
        <f t="shared" si="79"/>
        <v>939.39393939393938</v>
      </c>
      <c r="P37" s="105">
        <f t="shared" si="80"/>
        <v>727.27272727272725</v>
      </c>
      <c r="Q37" s="75">
        <v>4</v>
      </c>
      <c r="R37" s="75">
        <v>2</v>
      </c>
      <c r="S37" s="75" t="s">
        <v>869</v>
      </c>
      <c r="T37" s="5">
        <v>110</v>
      </c>
      <c r="U37" s="9"/>
      <c r="W37" s="104">
        <f t="shared" si="59"/>
        <v>110.2</v>
      </c>
      <c r="X37" s="106">
        <f t="shared" si="59"/>
        <v>33</v>
      </c>
      <c r="Y37" s="102">
        <f t="shared" si="60"/>
        <v>448</v>
      </c>
      <c r="Z37" s="109">
        <f t="shared" si="60"/>
        <v>31000</v>
      </c>
      <c r="AA37" s="109">
        <f t="shared" si="81"/>
        <v>24000</v>
      </c>
      <c r="AB37" s="109">
        <f t="shared" si="58"/>
        <v>7000</v>
      </c>
      <c r="AC37" s="4">
        <f t="shared" si="58"/>
        <v>0.77419354838709675</v>
      </c>
      <c r="AD37" s="105">
        <f t="shared" si="58"/>
        <v>939.39393939393938</v>
      </c>
      <c r="AE37" s="75" t="str">
        <f t="shared" si="82"/>
        <v>계</v>
      </c>
      <c r="AF37" s="75" t="str">
        <f t="shared" si="83"/>
        <v>4/2</v>
      </c>
      <c r="AH37" s="20" t="str">
        <f t="shared" si="10"/>
        <v>남문동 남문호반베르디움</v>
      </c>
      <c r="AI37" s="106">
        <f t="shared" si="11"/>
        <v>33</v>
      </c>
      <c r="AJ37" s="75" t="str">
        <f t="shared" si="84"/>
        <v>A-</v>
      </c>
      <c r="AK37" s="75" t="s">
        <v>14</v>
      </c>
      <c r="AL37" s="75" t="s">
        <v>870</v>
      </c>
      <c r="AM37" s="75" t="s">
        <v>871</v>
      </c>
      <c r="AN37" s="75" t="str">
        <f t="shared" si="85"/>
        <v>C</v>
      </c>
      <c r="AO37" s="75" t="str">
        <f t="shared" si="86"/>
        <v>X</v>
      </c>
      <c r="AP37" s="75" t="str">
        <f t="shared" si="87"/>
        <v>O</v>
      </c>
      <c r="AQ37" s="75" t="str">
        <f t="shared" si="88"/>
        <v>O</v>
      </c>
      <c r="AR37" s="75" t="str">
        <f t="shared" si="89"/>
        <v>X</v>
      </c>
      <c r="AS37" s="75" t="s">
        <v>2</v>
      </c>
      <c r="AT37" s="75" t="str">
        <f t="shared" si="90"/>
        <v>O</v>
      </c>
      <c r="AU37" s="75" t="str">
        <f t="shared" si="91"/>
        <v>O</v>
      </c>
      <c r="AV37" s="75" t="str">
        <f t="shared" si="92"/>
        <v>X</v>
      </c>
    </row>
    <row r="38" spans="1:48" s="38" customFormat="1" ht="24" x14ac:dyDescent="0.3">
      <c r="A38" s="110" t="s">
        <v>960</v>
      </c>
      <c r="B38" s="111" t="s">
        <v>961</v>
      </c>
      <c r="C38" s="112">
        <v>876</v>
      </c>
      <c r="D38" s="104">
        <v>96.5</v>
      </c>
      <c r="E38" s="106">
        <v>29</v>
      </c>
      <c r="F38" s="104">
        <v>74.099999999999994</v>
      </c>
      <c r="G38" s="17">
        <v>22</v>
      </c>
      <c r="H38" s="107">
        <v>115</v>
      </c>
      <c r="I38" s="108">
        <v>27000</v>
      </c>
      <c r="J38" s="108" t="s">
        <v>868</v>
      </c>
      <c r="K38" s="108"/>
      <c r="L38" s="108"/>
      <c r="M38" s="109">
        <f t="shared" si="77"/>
        <v>27000</v>
      </c>
      <c r="N38" s="4">
        <f t="shared" si="78"/>
        <v>0</v>
      </c>
      <c r="O38" s="105">
        <f t="shared" si="79"/>
        <v>931.0344827586207</v>
      </c>
      <c r="P38" s="105">
        <f t="shared" si="80"/>
        <v>0</v>
      </c>
      <c r="Q38" s="75">
        <v>3</v>
      </c>
      <c r="R38" s="75">
        <v>2</v>
      </c>
      <c r="S38" s="75" t="s">
        <v>869</v>
      </c>
      <c r="T38" s="5" t="s">
        <v>264</v>
      </c>
      <c r="U38" s="9"/>
      <c r="W38" s="104">
        <f t="shared" si="59"/>
        <v>96.5</v>
      </c>
      <c r="X38" s="106">
        <f t="shared" si="59"/>
        <v>29</v>
      </c>
      <c r="Y38" s="102">
        <f t="shared" si="60"/>
        <v>115</v>
      </c>
      <c r="Z38" s="109">
        <f t="shared" si="60"/>
        <v>27000</v>
      </c>
      <c r="AA38" s="109">
        <f t="shared" si="81"/>
        <v>0</v>
      </c>
      <c r="AB38" s="109">
        <f t="shared" ref="AB38:AD44" si="93">M38</f>
        <v>27000</v>
      </c>
      <c r="AC38" s="4">
        <f t="shared" si="93"/>
        <v>0</v>
      </c>
      <c r="AD38" s="105">
        <f t="shared" si="93"/>
        <v>931.0344827586207</v>
      </c>
      <c r="AE38" s="75" t="str">
        <f t="shared" si="82"/>
        <v>계</v>
      </c>
      <c r="AF38" s="75" t="str">
        <f t="shared" si="83"/>
        <v>3/2</v>
      </c>
      <c r="AH38" s="20" t="str">
        <f t="shared" si="10"/>
        <v>남문동 진해남문시티프라디움2차</v>
      </c>
      <c r="AI38" s="106">
        <f t="shared" si="11"/>
        <v>29</v>
      </c>
      <c r="AJ38" s="75" t="str">
        <f t="shared" si="84"/>
        <v>A-</v>
      </c>
      <c r="AK38" s="75" t="s">
        <v>14</v>
      </c>
      <c r="AL38" s="75" t="s">
        <v>870</v>
      </c>
      <c r="AM38" s="75" t="s">
        <v>871</v>
      </c>
      <c r="AN38" s="75" t="str">
        <f t="shared" si="85"/>
        <v>C</v>
      </c>
      <c r="AO38" s="75" t="str">
        <f t="shared" si="86"/>
        <v>X</v>
      </c>
      <c r="AP38" s="75" t="str">
        <f t="shared" si="87"/>
        <v>O</v>
      </c>
      <c r="AQ38" s="75" t="str">
        <f t="shared" si="88"/>
        <v>O</v>
      </c>
      <c r="AR38" s="75" t="str">
        <f t="shared" si="89"/>
        <v>X</v>
      </c>
      <c r="AS38" s="75" t="s">
        <v>2</v>
      </c>
      <c r="AT38" s="75" t="str">
        <f t="shared" si="90"/>
        <v>O</v>
      </c>
      <c r="AU38" s="75" t="str">
        <f t="shared" si="91"/>
        <v>O</v>
      </c>
      <c r="AV38" s="75" t="str">
        <f t="shared" si="92"/>
        <v>X</v>
      </c>
    </row>
    <row r="39" spans="1:48" s="38" customFormat="1" ht="24" x14ac:dyDescent="0.3">
      <c r="A39" s="110" t="s">
        <v>960</v>
      </c>
      <c r="B39" s="111" t="s">
        <v>961</v>
      </c>
      <c r="C39" s="112">
        <v>876</v>
      </c>
      <c r="D39" s="104">
        <v>96.5</v>
      </c>
      <c r="E39" s="106">
        <v>29</v>
      </c>
      <c r="F39" s="104">
        <v>74.3</v>
      </c>
      <c r="G39" s="17">
        <v>22</v>
      </c>
      <c r="H39" s="107">
        <v>113</v>
      </c>
      <c r="I39" s="108">
        <v>28000</v>
      </c>
      <c r="J39" s="108" t="s">
        <v>887</v>
      </c>
      <c r="K39" s="108"/>
      <c r="L39" s="108"/>
      <c r="M39" s="109">
        <f t="shared" si="77"/>
        <v>28000</v>
      </c>
      <c r="N39" s="4">
        <f t="shared" si="78"/>
        <v>0</v>
      </c>
      <c r="O39" s="105">
        <f t="shared" si="79"/>
        <v>965.51724137931035</v>
      </c>
      <c r="P39" s="105">
        <f t="shared" si="80"/>
        <v>0</v>
      </c>
      <c r="Q39" s="75">
        <v>3</v>
      </c>
      <c r="R39" s="75">
        <v>2</v>
      </c>
      <c r="S39" s="75" t="s">
        <v>869</v>
      </c>
      <c r="T39" s="5" t="s">
        <v>268</v>
      </c>
      <c r="U39" s="9"/>
      <c r="W39" s="104">
        <f t="shared" si="59"/>
        <v>96.5</v>
      </c>
      <c r="X39" s="106">
        <f t="shared" si="59"/>
        <v>29</v>
      </c>
      <c r="Y39" s="102">
        <f t="shared" si="60"/>
        <v>113</v>
      </c>
      <c r="Z39" s="109">
        <f t="shared" si="60"/>
        <v>28000</v>
      </c>
      <c r="AA39" s="109">
        <f t="shared" si="81"/>
        <v>0</v>
      </c>
      <c r="AB39" s="109">
        <f t="shared" si="93"/>
        <v>28000</v>
      </c>
      <c r="AC39" s="4">
        <f t="shared" si="93"/>
        <v>0</v>
      </c>
      <c r="AD39" s="105">
        <f t="shared" si="93"/>
        <v>965.51724137931035</v>
      </c>
      <c r="AE39" s="75" t="str">
        <f t="shared" si="82"/>
        <v>계</v>
      </c>
      <c r="AF39" s="75" t="str">
        <f t="shared" si="83"/>
        <v>3/2</v>
      </c>
      <c r="AH39" s="20" t="str">
        <f t="shared" si="10"/>
        <v>남문동 진해남문시티프라디움2차</v>
      </c>
      <c r="AI39" s="106">
        <f t="shared" si="11"/>
        <v>29</v>
      </c>
      <c r="AJ39" s="75" t="str">
        <f t="shared" si="84"/>
        <v>A-</v>
      </c>
      <c r="AK39" s="75" t="s">
        <v>14</v>
      </c>
      <c r="AL39" s="75" t="s">
        <v>870</v>
      </c>
      <c r="AM39" s="75" t="s">
        <v>871</v>
      </c>
      <c r="AN39" s="75" t="str">
        <f t="shared" si="85"/>
        <v>C</v>
      </c>
      <c r="AO39" s="75" t="str">
        <f t="shared" si="86"/>
        <v>X</v>
      </c>
      <c r="AP39" s="75" t="str">
        <f t="shared" si="87"/>
        <v>O</v>
      </c>
      <c r="AQ39" s="75" t="str">
        <f t="shared" si="88"/>
        <v>O</v>
      </c>
      <c r="AR39" s="75" t="str">
        <f t="shared" si="89"/>
        <v>X</v>
      </c>
      <c r="AS39" s="75" t="s">
        <v>2</v>
      </c>
      <c r="AT39" s="75" t="str">
        <f t="shared" si="90"/>
        <v>O</v>
      </c>
      <c r="AU39" s="75" t="str">
        <f t="shared" si="91"/>
        <v>O</v>
      </c>
      <c r="AV39" s="75" t="str">
        <f t="shared" si="92"/>
        <v>X</v>
      </c>
    </row>
    <row r="40" spans="1:48" s="38" customFormat="1" ht="24" x14ac:dyDescent="0.3">
      <c r="A40" s="110" t="s">
        <v>960</v>
      </c>
      <c r="B40" s="111" t="s">
        <v>961</v>
      </c>
      <c r="C40" s="112">
        <v>876</v>
      </c>
      <c r="D40" s="104">
        <v>96.9</v>
      </c>
      <c r="E40" s="106">
        <v>29</v>
      </c>
      <c r="F40" s="104">
        <v>74.5</v>
      </c>
      <c r="G40" s="17">
        <v>23</v>
      </c>
      <c r="H40" s="107">
        <v>64</v>
      </c>
      <c r="I40" s="108"/>
      <c r="J40" s="108"/>
      <c r="K40" s="108">
        <v>21000</v>
      </c>
      <c r="L40" s="108" t="s">
        <v>873</v>
      </c>
      <c r="M40" s="109">
        <f t="shared" si="77"/>
        <v>-21000</v>
      </c>
      <c r="N40" s="4" t="str">
        <f t="shared" si="78"/>
        <v/>
      </c>
      <c r="O40" s="105">
        <f t="shared" si="79"/>
        <v>0</v>
      </c>
      <c r="P40" s="105">
        <f t="shared" si="80"/>
        <v>724.13793103448279</v>
      </c>
      <c r="Q40" s="75">
        <v>3</v>
      </c>
      <c r="R40" s="75">
        <v>2</v>
      </c>
      <c r="S40" s="75" t="s">
        <v>869</v>
      </c>
      <c r="T40" s="5" t="s">
        <v>269</v>
      </c>
      <c r="U40" s="9"/>
      <c r="W40" s="104">
        <f t="shared" si="59"/>
        <v>96.9</v>
      </c>
      <c r="X40" s="106">
        <f t="shared" si="59"/>
        <v>29</v>
      </c>
      <c r="Y40" s="102">
        <f t="shared" si="60"/>
        <v>64</v>
      </c>
      <c r="Z40" s="109">
        <f t="shared" si="60"/>
        <v>0</v>
      </c>
      <c r="AA40" s="109">
        <f t="shared" si="81"/>
        <v>21000</v>
      </c>
      <c r="AB40" s="109">
        <f t="shared" si="93"/>
        <v>-21000</v>
      </c>
      <c r="AC40" s="4" t="str">
        <f t="shared" si="93"/>
        <v/>
      </c>
      <c r="AD40" s="105">
        <f t="shared" si="93"/>
        <v>0</v>
      </c>
      <c r="AE40" s="75" t="str">
        <f t="shared" si="82"/>
        <v>계</v>
      </c>
      <c r="AF40" s="75" t="str">
        <f t="shared" si="83"/>
        <v>3/2</v>
      </c>
      <c r="AH40" s="20" t="str">
        <f t="shared" si="10"/>
        <v>남문동 진해남문시티프라디움2차</v>
      </c>
      <c r="AI40" s="106">
        <f t="shared" si="11"/>
        <v>29</v>
      </c>
      <c r="AJ40" s="75" t="str">
        <f t="shared" si="84"/>
        <v>A-</v>
      </c>
      <c r="AK40" s="75" t="s">
        <v>14</v>
      </c>
      <c r="AL40" s="75" t="s">
        <v>870</v>
      </c>
      <c r="AM40" s="75" t="s">
        <v>871</v>
      </c>
      <c r="AN40" s="75" t="str">
        <f t="shared" si="85"/>
        <v>C</v>
      </c>
      <c r="AO40" s="75" t="str">
        <f t="shared" si="86"/>
        <v/>
      </c>
      <c r="AP40" s="75" t="str">
        <f t="shared" si="87"/>
        <v/>
      </c>
      <c r="AQ40" s="75" t="str">
        <f t="shared" si="88"/>
        <v>O</v>
      </c>
      <c r="AR40" s="75" t="str">
        <f t="shared" si="89"/>
        <v>O</v>
      </c>
      <c r="AS40" s="75" t="s">
        <v>2</v>
      </c>
      <c r="AT40" s="75" t="str">
        <f t="shared" si="90"/>
        <v>O</v>
      </c>
      <c r="AU40" s="75" t="str">
        <f t="shared" si="91"/>
        <v>O</v>
      </c>
      <c r="AV40" s="75" t="str">
        <f t="shared" si="92"/>
        <v/>
      </c>
    </row>
    <row r="41" spans="1:48" s="38" customFormat="1" ht="24" x14ac:dyDescent="0.3">
      <c r="A41" s="110" t="s">
        <v>960</v>
      </c>
      <c r="B41" s="111" t="s">
        <v>961</v>
      </c>
      <c r="C41" s="112">
        <v>876</v>
      </c>
      <c r="D41" s="104">
        <v>109.3</v>
      </c>
      <c r="E41" s="106">
        <v>33</v>
      </c>
      <c r="F41" s="104">
        <v>85</v>
      </c>
      <c r="G41" s="17">
        <v>26</v>
      </c>
      <c r="H41" s="107">
        <v>584</v>
      </c>
      <c r="I41" s="108">
        <v>30000</v>
      </c>
      <c r="J41" s="108" t="s">
        <v>888</v>
      </c>
      <c r="K41" s="108">
        <v>22000</v>
      </c>
      <c r="L41" s="108" t="s">
        <v>888</v>
      </c>
      <c r="M41" s="109">
        <f t="shared" si="77"/>
        <v>8000</v>
      </c>
      <c r="N41" s="4">
        <f t="shared" si="78"/>
        <v>0.73333333333333328</v>
      </c>
      <c r="O41" s="105">
        <f t="shared" si="79"/>
        <v>909.09090909090912</v>
      </c>
      <c r="P41" s="105">
        <f t="shared" si="80"/>
        <v>666.66666666666663</v>
      </c>
      <c r="Q41" s="75">
        <v>3</v>
      </c>
      <c r="R41" s="75">
        <v>2</v>
      </c>
      <c r="S41" s="75" t="s">
        <v>869</v>
      </c>
      <c r="T41" s="5">
        <v>109</v>
      </c>
      <c r="U41" s="9"/>
      <c r="W41" s="104">
        <f t="shared" si="59"/>
        <v>109.3</v>
      </c>
      <c r="X41" s="106">
        <f t="shared" si="59"/>
        <v>33</v>
      </c>
      <c r="Y41" s="102">
        <f t="shared" si="60"/>
        <v>584</v>
      </c>
      <c r="Z41" s="109">
        <f t="shared" si="60"/>
        <v>30000</v>
      </c>
      <c r="AA41" s="109">
        <f t="shared" si="81"/>
        <v>22000</v>
      </c>
      <c r="AB41" s="109">
        <f t="shared" si="93"/>
        <v>8000</v>
      </c>
      <c r="AC41" s="4">
        <f t="shared" si="93"/>
        <v>0.73333333333333328</v>
      </c>
      <c r="AD41" s="105">
        <f t="shared" si="93"/>
        <v>909.09090909090912</v>
      </c>
      <c r="AE41" s="75" t="str">
        <f t="shared" si="82"/>
        <v>계</v>
      </c>
      <c r="AF41" s="75" t="str">
        <f t="shared" si="83"/>
        <v>3/2</v>
      </c>
      <c r="AH41" s="20" t="str">
        <f t="shared" si="10"/>
        <v>남문동 진해남문시티프라디움2차</v>
      </c>
      <c r="AI41" s="106">
        <f t="shared" si="11"/>
        <v>33</v>
      </c>
      <c r="AJ41" s="75" t="str">
        <f t="shared" si="84"/>
        <v>A-</v>
      </c>
      <c r="AK41" s="75" t="s">
        <v>14</v>
      </c>
      <c r="AL41" s="75" t="s">
        <v>870</v>
      </c>
      <c r="AM41" s="75" t="s">
        <v>871</v>
      </c>
      <c r="AN41" s="75" t="str">
        <f t="shared" si="85"/>
        <v>C</v>
      </c>
      <c r="AO41" s="75" t="str">
        <f t="shared" si="86"/>
        <v>X</v>
      </c>
      <c r="AP41" s="75" t="str">
        <f t="shared" si="87"/>
        <v>O</v>
      </c>
      <c r="AQ41" s="75" t="str">
        <f t="shared" si="88"/>
        <v>O</v>
      </c>
      <c r="AR41" s="75" t="str">
        <f t="shared" si="89"/>
        <v>X</v>
      </c>
      <c r="AS41" s="75" t="s">
        <v>2</v>
      </c>
      <c r="AT41" s="75" t="str">
        <f t="shared" si="90"/>
        <v>O</v>
      </c>
      <c r="AU41" s="75" t="str">
        <f t="shared" si="91"/>
        <v>O</v>
      </c>
      <c r="AV41" s="75" t="str">
        <f t="shared" si="92"/>
        <v>X</v>
      </c>
    </row>
    <row r="42" spans="1:48" s="38" customFormat="1" ht="12" x14ac:dyDescent="0.3">
      <c r="A42" s="110" t="s">
        <v>962</v>
      </c>
      <c r="B42" s="111" t="s">
        <v>963</v>
      </c>
      <c r="C42" s="112">
        <v>1103</v>
      </c>
      <c r="D42" s="104">
        <v>83.9</v>
      </c>
      <c r="E42" s="106">
        <v>25</v>
      </c>
      <c r="F42" s="104">
        <v>60</v>
      </c>
      <c r="G42" s="17">
        <v>18</v>
      </c>
      <c r="H42" s="107">
        <v>430</v>
      </c>
      <c r="I42" s="108">
        <v>20500</v>
      </c>
      <c r="J42" s="108" t="s">
        <v>873</v>
      </c>
      <c r="K42" s="108">
        <v>17000</v>
      </c>
      <c r="L42" s="108" t="s">
        <v>868</v>
      </c>
      <c r="M42" s="109">
        <f t="shared" si="77"/>
        <v>3500</v>
      </c>
      <c r="N42" s="4">
        <f t="shared" si="78"/>
        <v>0.82926829268292679</v>
      </c>
      <c r="O42" s="105">
        <f t="shared" si="79"/>
        <v>820</v>
      </c>
      <c r="P42" s="105">
        <f t="shared" si="80"/>
        <v>680</v>
      </c>
      <c r="Q42" s="75">
        <v>3</v>
      </c>
      <c r="R42" s="75">
        <v>2</v>
      </c>
      <c r="S42" s="75" t="s">
        <v>869</v>
      </c>
      <c r="T42" s="5" t="s">
        <v>272</v>
      </c>
      <c r="U42" s="9"/>
      <c r="W42" s="104">
        <f t="shared" ref="W42:X44" si="94">D42</f>
        <v>83.9</v>
      </c>
      <c r="X42" s="106">
        <f t="shared" si="94"/>
        <v>25</v>
      </c>
      <c r="Y42" s="102">
        <f t="shared" ref="Y42:Z44" si="95">H42</f>
        <v>430</v>
      </c>
      <c r="Z42" s="109">
        <f t="shared" si="95"/>
        <v>20500</v>
      </c>
      <c r="AA42" s="109">
        <f t="shared" si="81"/>
        <v>17000</v>
      </c>
      <c r="AB42" s="109">
        <f t="shared" si="93"/>
        <v>3500</v>
      </c>
      <c r="AC42" s="4">
        <f t="shared" si="93"/>
        <v>0.82926829268292679</v>
      </c>
      <c r="AD42" s="105">
        <f t="shared" si="93"/>
        <v>820</v>
      </c>
      <c r="AE42" s="75" t="str">
        <f t="shared" si="82"/>
        <v>계</v>
      </c>
      <c r="AF42" s="75" t="str">
        <f t="shared" si="83"/>
        <v>3/2</v>
      </c>
      <c r="AH42" s="20" t="str">
        <f t="shared" si="10"/>
        <v>남문동 시티프라디움1차</v>
      </c>
      <c r="AI42" s="106">
        <f t="shared" si="11"/>
        <v>25</v>
      </c>
      <c r="AJ42" s="75" t="str">
        <f t="shared" si="84"/>
        <v>A-</v>
      </c>
      <c r="AK42" s="75" t="s">
        <v>14</v>
      </c>
      <c r="AL42" s="75" t="s">
        <v>870</v>
      </c>
      <c r="AM42" s="75" t="s">
        <v>871</v>
      </c>
      <c r="AN42" s="75" t="str">
        <f t="shared" si="85"/>
        <v>C</v>
      </c>
      <c r="AO42" s="75" t="str">
        <f t="shared" si="86"/>
        <v>O</v>
      </c>
      <c r="AP42" s="75" t="str">
        <f t="shared" si="87"/>
        <v>O</v>
      </c>
      <c r="AQ42" s="75" t="str">
        <f t="shared" si="88"/>
        <v>O</v>
      </c>
      <c r="AR42" s="75" t="str">
        <f t="shared" si="89"/>
        <v>O</v>
      </c>
      <c r="AS42" s="75" t="s">
        <v>2</v>
      </c>
      <c r="AT42" s="75" t="str">
        <f t="shared" si="90"/>
        <v>O</v>
      </c>
      <c r="AU42" s="75" t="str">
        <f t="shared" si="91"/>
        <v>O</v>
      </c>
      <c r="AV42" s="75" t="str">
        <f t="shared" si="92"/>
        <v>후보</v>
      </c>
    </row>
    <row r="43" spans="1:48" s="38" customFormat="1" ht="12" x14ac:dyDescent="0.3">
      <c r="A43" s="110" t="s">
        <v>962</v>
      </c>
      <c r="B43" s="111" t="s">
        <v>963</v>
      </c>
      <c r="C43" s="112">
        <v>1103</v>
      </c>
      <c r="D43" s="104">
        <v>83.3</v>
      </c>
      <c r="E43" s="106">
        <v>25</v>
      </c>
      <c r="F43" s="104">
        <v>60</v>
      </c>
      <c r="G43" s="17">
        <v>18</v>
      </c>
      <c r="H43" s="107">
        <v>374</v>
      </c>
      <c r="I43" s="108">
        <v>19500</v>
      </c>
      <c r="J43" s="108" t="s">
        <v>878</v>
      </c>
      <c r="K43" s="108">
        <v>22000</v>
      </c>
      <c r="L43" s="108" t="s">
        <v>873</v>
      </c>
      <c r="M43" s="109">
        <f t="shared" si="77"/>
        <v>-2500</v>
      </c>
      <c r="N43" s="4">
        <f t="shared" si="78"/>
        <v>1.1282051282051282</v>
      </c>
      <c r="O43" s="105">
        <f t="shared" si="79"/>
        <v>780</v>
      </c>
      <c r="P43" s="105">
        <f t="shared" si="80"/>
        <v>880</v>
      </c>
      <c r="Q43" s="75">
        <v>3</v>
      </c>
      <c r="R43" s="75">
        <v>2</v>
      </c>
      <c r="S43" s="75" t="s">
        <v>869</v>
      </c>
      <c r="T43" s="5" t="s">
        <v>276</v>
      </c>
      <c r="U43" s="9"/>
      <c r="W43" s="104">
        <f t="shared" si="94"/>
        <v>83.3</v>
      </c>
      <c r="X43" s="106">
        <f t="shared" si="94"/>
        <v>25</v>
      </c>
      <c r="Y43" s="102">
        <f t="shared" si="95"/>
        <v>374</v>
      </c>
      <c r="Z43" s="109">
        <f t="shared" si="95"/>
        <v>19500</v>
      </c>
      <c r="AA43" s="109">
        <f t="shared" si="81"/>
        <v>22000</v>
      </c>
      <c r="AB43" s="109">
        <f t="shared" si="93"/>
        <v>-2500</v>
      </c>
      <c r="AC43" s="4">
        <f t="shared" si="93"/>
        <v>1.1282051282051282</v>
      </c>
      <c r="AD43" s="105">
        <f t="shared" si="93"/>
        <v>780</v>
      </c>
      <c r="AE43" s="75" t="str">
        <f t="shared" si="82"/>
        <v>계</v>
      </c>
      <c r="AF43" s="75" t="str">
        <f t="shared" si="83"/>
        <v>3/2</v>
      </c>
      <c r="AH43" s="20" t="str">
        <f t="shared" si="10"/>
        <v>남문동 시티프라디움1차</v>
      </c>
      <c r="AI43" s="106">
        <f t="shared" si="11"/>
        <v>25</v>
      </c>
      <c r="AJ43" s="75" t="str">
        <f t="shared" si="84"/>
        <v>A-</v>
      </c>
      <c r="AK43" s="75" t="s">
        <v>14</v>
      </c>
      <c r="AL43" s="75" t="s">
        <v>870</v>
      </c>
      <c r="AM43" s="75" t="s">
        <v>871</v>
      </c>
      <c r="AN43" s="75" t="str">
        <f t="shared" si="85"/>
        <v>C</v>
      </c>
      <c r="AO43" s="75" t="str">
        <f t="shared" si="86"/>
        <v>O</v>
      </c>
      <c r="AP43" s="75" t="str">
        <f t="shared" si="87"/>
        <v>O</v>
      </c>
      <c r="AQ43" s="75" t="str">
        <f t="shared" si="88"/>
        <v>O</v>
      </c>
      <c r="AR43" s="75" t="str">
        <f t="shared" si="89"/>
        <v>O</v>
      </c>
      <c r="AS43" s="75" t="s">
        <v>2</v>
      </c>
      <c r="AT43" s="75" t="str">
        <f t="shared" si="90"/>
        <v>O</v>
      </c>
      <c r="AU43" s="75" t="str">
        <f t="shared" si="91"/>
        <v>O</v>
      </c>
      <c r="AV43" s="75" t="str">
        <f t="shared" si="92"/>
        <v>후보</v>
      </c>
    </row>
    <row r="44" spans="1:48" s="38" customFormat="1" ht="12" x14ac:dyDescent="0.3">
      <c r="A44" s="110" t="s">
        <v>962</v>
      </c>
      <c r="B44" s="111" t="s">
        <v>963</v>
      </c>
      <c r="C44" s="112">
        <v>1103</v>
      </c>
      <c r="D44" s="104">
        <v>83.8</v>
      </c>
      <c r="E44" s="106">
        <v>25</v>
      </c>
      <c r="F44" s="104">
        <v>60</v>
      </c>
      <c r="G44" s="17">
        <v>18</v>
      </c>
      <c r="H44" s="107">
        <v>299</v>
      </c>
      <c r="I44" s="108">
        <v>20000</v>
      </c>
      <c r="J44" s="108" t="s">
        <v>873</v>
      </c>
      <c r="K44" s="108">
        <v>18500</v>
      </c>
      <c r="L44" s="108" t="s">
        <v>884</v>
      </c>
      <c r="M44" s="109">
        <f t="shared" si="77"/>
        <v>1500</v>
      </c>
      <c r="N44" s="4">
        <f t="shared" si="78"/>
        <v>0.92500000000000004</v>
      </c>
      <c r="O44" s="105">
        <f t="shared" si="79"/>
        <v>800</v>
      </c>
      <c r="P44" s="105">
        <f t="shared" si="80"/>
        <v>740</v>
      </c>
      <c r="Q44" s="75">
        <v>3</v>
      </c>
      <c r="R44" s="75">
        <v>2</v>
      </c>
      <c r="S44" s="75" t="s">
        <v>869</v>
      </c>
      <c r="T44" s="5" t="s">
        <v>277</v>
      </c>
      <c r="U44" s="9"/>
      <c r="W44" s="104">
        <f t="shared" si="94"/>
        <v>83.8</v>
      </c>
      <c r="X44" s="106">
        <f t="shared" si="94"/>
        <v>25</v>
      </c>
      <c r="Y44" s="102">
        <f t="shared" si="95"/>
        <v>299</v>
      </c>
      <c r="Z44" s="109">
        <f t="shared" si="95"/>
        <v>20000</v>
      </c>
      <c r="AA44" s="109">
        <f t="shared" si="81"/>
        <v>18500</v>
      </c>
      <c r="AB44" s="109">
        <f t="shared" si="93"/>
        <v>1500</v>
      </c>
      <c r="AC44" s="4">
        <f t="shared" si="93"/>
        <v>0.92500000000000004</v>
      </c>
      <c r="AD44" s="105">
        <f t="shared" si="93"/>
        <v>800</v>
      </c>
      <c r="AE44" s="75" t="str">
        <f t="shared" si="82"/>
        <v>계</v>
      </c>
      <c r="AF44" s="75" t="str">
        <f t="shared" si="83"/>
        <v>3/2</v>
      </c>
      <c r="AH44" s="20" t="str">
        <f t="shared" si="10"/>
        <v>남문동 시티프라디움1차</v>
      </c>
      <c r="AI44" s="106">
        <f t="shared" si="11"/>
        <v>25</v>
      </c>
      <c r="AJ44" s="75" t="str">
        <f t="shared" si="84"/>
        <v>A-</v>
      </c>
      <c r="AK44" s="75" t="s">
        <v>14</v>
      </c>
      <c r="AL44" s="75" t="s">
        <v>870</v>
      </c>
      <c r="AM44" s="75" t="s">
        <v>871</v>
      </c>
      <c r="AN44" s="75" t="str">
        <f t="shared" si="85"/>
        <v>C</v>
      </c>
      <c r="AO44" s="75" t="str">
        <f t="shared" si="86"/>
        <v>O</v>
      </c>
      <c r="AP44" s="75" t="str">
        <f t="shared" si="87"/>
        <v>O</v>
      </c>
      <c r="AQ44" s="75" t="str">
        <f t="shared" si="88"/>
        <v>O</v>
      </c>
      <c r="AR44" s="75" t="str">
        <f t="shared" si="89"/>
        <v>O</v>
      </c>
      <c r="AS44" s="75" t="s">
        <v>2</v>
      </c>
      <c r="AT44" s="75" t="str">
        <f t="shared" si="90"/>
        <v>O</v>
      </c>
      <c r="AU44" s="75" t="str">
        <f t="shared" si="91"/>
        <v>O</v>
      </c>
      <c r="AV44" s="75" t="str">
        <f t="shared" si="92"/>
        <v>후보</v>
      </c>
    </row>
    <row r="45" spans="1:48" s="38" customFormat="1" ht="24" x14ac:dyDescent="0.3">
      <c r="A45" s="110" t="s">
        <v>964</v>
      </c>
      <c r="B45" s="111" t="s">
        <v>965</v>
      </c>
      <c r="C45" s="112">
        <v>564</v>
      </c>
      <c r="D45" s="104">
        <v>101.8</v>
      </c>
      <c r="E45" s="106">
        <v>31</v>
      </c>
      <c r="F45" s="104">
        <v>76.599999999999994</v>
      </c>
      <c r="G45" s="17">
        <v>23</v>
      </c>
      <c r="H45" s="107">
        <v>564</v>
      </c>
      <c r="I45" s="108">
        <v>23250</v>
      </c>
      <c r="J45" s="108" t="s">
        <v>873</v>
      </c>
      <c r="K45" s="108">
        <v>16500</v>
      </c>
      <c r="L45" s="108" t="s">
        <v>872</v>
      </c>
      <c r="M45" s="109">
        <f t="shared" si="77"/>
        <v>6750</v>
      </c>
      <c r="N45" s="4">
        <f t="shared" si="78"/>
        <v>0.70967741935483875</v>
      </c>
      <c r="O45" s="105">
        <f t="shared" si="79"/>
        <v>750</v>
      </c>
      <c r="P45" s="105">
        <f t="shared" si="80"/>
        <v>532.25806451612902</v>
      </c>
      <c r="Q45" s="75">
        <v>3</v>
      </c>
      <c r="R45" s="75">
        <v>2</v>
      </c>
      <c r="S45" s="75" t="s">
        <v>869</v>
      </c>
      <c r="T45" s="5" t="s">
        <v>281</v>
      </c>
      <c r="U45" s="9"/>
      <c r="W45" s="104">
        <f>D45</f>
        <v>101.8</v>
      </c>
      <c r="X45" s="106">
        <f>E45</f>
        <v>31</v>
      </c>
      <c r="Y45" s="102">
        <f>H45</f>
        <v>564</v>
      </c>
      <c r="Z45" s="109">
        <f>I45</f>
        <v>23250</v>
      </c>
      <c r="AA45" s="109">
        <f t="shared" si="81"/>
        <v>16500</v>
      </c>
      <c r="AB45" s="109">
        <f>M45</f>
        <v>6750</v>
      </c>
      <c r="AC45" s="4">
        <f>N45</f>
        <v>0.70967741935483875</v>
      </c>
      <c r="AD45" s="105">
        <f>O45</f>
        <v>750</v>
      </c>
      <c r="AE45" s="75" t="str">
        <f t="shared" si="82"/>
        <v>계</v>
      </c>
      <c r="AF45" s="75" t="str">
        <f t="shared" si="83"/>
        <v>3/2</v>
      </c>
      <c r="AH45" s="20" t="str">
        <f t="shared" si="10"/>
        <v>남양동 창원진해비전시티우방아이유쉘</v>
      </c>
      <c r="AI45" s="106">
        <f t="shared" si="11"/>
        <v>31</v>
      </c>
      <c r="AJ45" s="75" t="str">
        <f t="shared" si="84"/>
        <v>A-</v>
      </c>
      <c r="AK45" s="75" t="s">
        <v>14</v>
      </c>
      <c r="AL45" s="75" t="s">
        <v>870</v>
      </c>
      <c r="AM45" s="75" t="s">
        <v>871</v>
      </c>
      <c r="AN45" s="75" t="str">
        <f t="shared" si="85"/>
        <v>C</v>
      </c>
      <c r="AO45" s="75" t="str">
        <f t="shared" si="86"/>
        <v>X</v>
      </c>
      <c r="AP45" s="75" t="str">
        <f t="shared" si="87"/>
        <v>O</v>
      </c>
      <c r="AQ45" s="75" t="str">
        <f t="shared" si="88"/>
        <v>O</v>
      </c>
      <c r="AR45" s="75" t="str">
        <f t="shared" si="89"/>
        <v>X</v>
      </c>
      <c r="AS45" s="75" t="s">
        <v>2</v>
      </c>
      <c r="AT45" s="75" t="str">
        <f t="shared" si="90"/>
        <v>O</v>
      </c>
      <c r="AU45" s="75" t="str">
        <f t="shared" si="91"/>
        <v>O</v>
      </c>
      <c r="AV45" s="75" t="str">
        <f t="shared" si="92"/>
        <v>X</v>
      </c>
    </row>
    <row r="46" spans="1:48" s="38" customFormat="1" ht="12" x14ac:dyDescent="0.3">
      <c r="A46" s="110" t="s">
        <v>966</v>
      </c>
      <c r="B46" s="111" t="s">
        <v>967</v>
      </c>
      <c r="C46" s="112">
        <v>385</v>
      </c>
      <c r="D46" s="104">
        <v>110.4</v>
      </c>
      <c r="E46" s="106">
        <v>33</v>
      </c>
      <c r="F46" s="104">
        <v>85</v>
      </c>
      <c r="G46" s="17">
        <v>26</v>
      </c>
      <c r="H46" s="107">
        <v>24</v>
      </c>
      <c r="I46" s="108"/>
      <c r="J46" s="108"/>
      <c r="K46" s="108">
        <v>13500</v>
      </c>
      <c r="L46" s="108" t="s">
        <v>883</v>
      </c>
      <c r="M46" s="109">
        <f t="shared" si="77"/>
        <v>-13500</v>
      </c>
      <c r="N46" s="4" t="str">
        <f t="shared" si="78"/>
        <v/>
      </c>
      <c r="O46" s="105">
        <f t="shared" si="79"/>
        <v>0</v>
      </c>
      <c r="P46" s="105">
        <f t="shared" si="80"/>
        <v>409.09090909090907</v>
      </c>
      <c r="Q46" s="75">
        <v>3</v>
      </c>
      <c r="R46" s="75">
        <v>2</v>
      </c>
      <c r="S46" s="75" t="s">
        <v>869</v>
      </c>
      <c r="T46" s="5" t="s">
        <v>287</v>
      </c>
      <c r="U46" s="9"/>
      <c r="W46" s="104">
        <f t="shared" ref="W46:X49" si="96">D46</f>
        <v>110.4</v>
      </c>
      <c r="X46" s="106">
        <f t="shared" si="96"/>
        <v>33</v>
      </c>
      <c r="Y46" s="102">
        <f t="shared" ref="Y46:Z49" si="97">H46</f>
        <v>24</v>
      </c>
      <c r="Z46" s="109">
        <f t="shared" si="97"/>
        <v>0</v>
      </c>
      <c r="AA46" s="109">
        <f t="shared" si="81"/>
        <v>13500</v>
      </c>
      <c r="AB46" s="109">
        <f t="shared" ref="AB46:AD49" si="98">M46</f>
        <v>-13500</v>
      </c>
      <c r="AC46" s="4" t="str">
        <f t="shared" si="98"/>
        <v/>
      </c>
      <c r="AD46" s="105">
        <f t="shared" si="98"/>
        <v>0</v>
      </c>
      <c r="AE46" s="75" t="str">
        <f t="shared" si="82"/>
        <v>계</v>
      </c>
      <c r="AF46" s="75" t="str">
        <f t="shared" si="83"/>
        <v>3/2</v>
      </c>
      <c r="AH46" s="20" t="str">
        <f t="shared" si="10"/>
        <v>남양동 남양에스티엑스칸</v>
      </c>
      <c r="AI46" s="106">
        <f t="shared" si="11"/>
        <v>33</v>
      </c>
      <c r="AJ46" s="75" t="str">
        <f t="shared" si="84"/>
        <v>A-</v>
      </c>
      <c r="AK46" s="75" t="s">
        <v>14</v>
      </c>
      <c r="AL46" s="75" t="s">
        <v>870</v>
      </c>
      <c r="AM46" s="75" t="s">
        <v>871</v>
      </c>
      <c r="AN46" s="75" t="str">
        <f t="shared" si="85"/>
        <v>C</v>
      </c>
      <c r="AO46" s="75" t="str">
        <f t="shared" si="86"/>
        <v/>
      </c>
      <c r="AP46" s="75" t="str">
        <f t="shared" si="87"/>
        <v/>
      </c>
      <c r="AQ46" s="75" t="str">
        <f t="shared" si="88"/>
        <v>O</v>
      </c>
      <c r="AR46" s="75" t="str">
        <f t="shared" si="89"/>
        <v>O</v>
      </c>
      <c r="AS46" s="75" t="s">
        <v>2</v>
      </c>
      <c r="AT46" s="75" t="str">
        <f t="shared" si="90"/>
        <v>O</v>
      </c>
      <c r="AU46" s="75" t="str">
        <f t="shared" si="91"/>
        <v>O</v>
      </c>
      <c r="AV46" s="75" t="str">
        <f t="shared" si="92"/>
        <v/>
      </c>
    </row>
    <row r="47" spans="1:48" s="38" customFormat="1" ht="12" x14ac:dyDescent="0.3">
      <c r="A47" s="110" t="s">
        <v>966</v>
      </c>
      <c r="B47" s="111" t="s">
        <v>967</v>
      </c>
      <c r="C47" s="112">
        <v>385</v>
      </c>
      <c r="D47" s="104">
        <v>110.7</v>
      </c>
      <c r="E47" s="106">
        <v>33</v>
      </c>
      <c r="F47" s="104">
        <v>85</v>
      </c>
      <c r="G47" s="17">
        <v>26</v>
      </c>
      <c r="H47" s="107">
        <v>13</v>
      </c>
      <c r="I47" s="108"/>
      <c r="J47" s="108"/>
      <c r="K47" s="108"/>
      <c r="L47" s="108"/>
      <c r="M47" s="109">
        <f t="shared" si="77"/>
        <v>0</v>
      </c>
      <c r="N47" s="4" t="str">
        <f t="shared" si="78"/>
        <v/>
      </c>
      <c r="O47" s="105">
        <f t="shared" si="79"/>
        <v>0</v>
      </c>
      <c r="P47" s="105">
        <f t="shared" si="80"/>
        <v>0</v>
      </c>
      <c r="Q47" s="75">
        <v>3</v>
      </c>
      <c r="R47" s="75">
        <v>2</v>
      </c>
      <c r="S47" s="75" t="s">
        <v>869</v>
      </c>
      <c r="T47" s="5" t="s">
        <v>252</v>
      </c>
      <c r="U47" s="9"/>
      <c r="W47" s="104">
        <f t="shared" si="96"/>
        <v>110.7</v>
      </c>
      <c r="X47" s="106">
        <f t="shared" si="96"/>
        <v>33</v>
      </c>
      <c r="Y47" s="102">
        <f t="shared" si="97"/>
        <v>13</v>
      </c>
      <c r="Z47" s="109">
        <f t="shared" si="97"/>
        <v>0</v>
      </c>
      <c r="AA47" s="109">
        <f t="shared" si="81"/>
        <v>0</v>
      </c>
      <c r="AB47" s="109">
        <f t="shared" si="98"/>
        <v>0</v>
      </c>
      <c r="AC47" s="4" t="str">
        <f t="shared" si="98"/>
        <v/>
      </c>
      <c r="AD47" s="105">
        <f t="shared" si="98"/>
        <v>0</v>
      </c>
      <c r="AE47" s="75" t="str">
        <f t="shared" si="82"/>
        <v>계</v>
      </c>
      <c r="AF47" s="75" t="str">
        <f t="shared" si="83"/>
        <v>3/2</v>
      </c>
      <c r="AH47" s="20" t="str">
        <f t="shared" si="10"/>
        <v>남양동 남양에스티엑스칸</v>
      </c>
      <c r="AI47" s="106">
        <f t="shared" si="11"/>
        <v>33</v>
      </c>
      <c r="AJ47" s="75" t="str">
        <f t="shared" si="84"/>
        <v>A-</v>
      </c>
      <c r="AK47" s="75" t="s">
        <v>14</v>
      </c>
      <c r="AL47" s="75" t="s">
        <v>870</v>
      </c>
      <c r="AM47" s="75" t="s">
        <v>871</v>
      </c>
      <c r="AN47" s="75" t="str">
        <f t="shared" si="85"/>
        <v>C</v>
      </c>
      <c r="AO47" s="75" t="str">
        <f t="shared" si="86"/>
        <v/>
      </c>
      <c r="AP47" s="75" t="str">
        <f t="shared" si="87"/>
        <v/>
      </c>
      <c r="AQ47" s="75" t="str">
        <f t="shared" si="88"/>
        <v>O</v>
      </c>
      <c r="AR47" s="75" t="str">
        <f t="shared" si="89"/>
        <v>O</v>
      </c>
      <c r="AS47" s="75" t="s">
        <v>2</v>
      </c>
      <c r="AT47" s="75" t="str">
        <f t="shared" si="90"/>
        <v>O</v>
      </c>
      <c r="AU47" s="75" t="str">
        <f t="shared" si="91"/>
        <v>O</v>
      </c>
      <c r="AV47" s="75" t="str">
        <f t="shared" si="92"/>
        <v/>
      </c>
    </row>
    <row r="48" spans="1:48" s="38" customFormat="1" ht="12" x14ac:dyDescent="0.3">
      <c r="A48" s="110" t="s">
        <v>966</v>
      </c>
      <c r="B48" s="111" t="s">
        <v>967</v>
      </c>
      <c r="C48" s="112">
        <v>385</v>
      </c>
      <c r="D48" s="104">
        <v>111.4</v>
      </c>
      <c r="E48" s="106">
        <v>34</v>
      </c>
      <c r="F48" s="104">
        <v>85</v>
      </c>
      <c r="G48" s="17">
        <v>26</v>
      </c>
      <c r="H48" s="107">
        <v>347</v>
      </c>
      <c r="I48" s="108">
        <v>18300</v>
      </c>
      <c r="J48" s="108" t="s">
        <v>873</v>
      </c>
      <c r="K48" s="108">
        <v>13500</v>
      </c>
      <c r="L48" s="108" t="s">
        <v>868</v>
      </c>
      <c r="M48" s="109">
        <f t="shared" si="77"/>
        <v>4800</v>
      </c>
      <c r="N48" s="4">
        <f t="shared" si="78"/>
        <v>0.73770491803278693</v>
      </c>
      <c r="O48" s="105">
        <f t="shared" si="79"/>
        <v>538.23529411764707</v>
      </c>
      <c r="P48" s="105">
        <f t="shared" si="80"/>
        <v>397.05882352941177</v>
      </c>
      <c r="Q48" s="75">
        <v>3</v>
      </c>
      <c r="R48" s="75">
        <v>2</v>
      </c>
      <c r="S48" s="75" t="s">
        <v>869</v>
      </c>
      <c r="T48" s="5" t="s">
        <v>153</v>
      </c>
      <c r="U48" s="9"/>
      <c r="W48" s="104">
        <f t="shared" si="96"/>
        <v>111.4</v>
      </c>
      <c r="X48" s="106">
        <f t="shared" si="96"/>
        <v>34</v>
      </c>
      <c r="Y48" s="102">
        <f t="shared" si="97"/>
        <v>347</v>
      </c>
      <c r="Z48" s="109">
        <f t="shared" si="97"/>
        <v>18300</v>
      </c>
      <c r="AA48" s="109">
        <f t="shared" si="81"/>
        <v>13500</v>
      </c>
      <c r="AB48" s="109">
        <f t="shared" si="98"/>
        <v>4800</v>
      </c>
      <c r="AC48" s="4">
        <f t="shared" si="98"/>
        <v>0.73770491803278693</v>
      </c>
      <c r="AD48" s="105">
        <f t="shared" si="98"/>
        <v>538.23529411764707</v>
      </c>
      <c r="AE48" s="75" t="str">
        <f t="shared" si="82"/>
        <v>계</v>
      </c>
      <c r="AF48" s="75" t="str">
        <f t="shared" si="83"/>
        <v>3/2</v>
      </c>
      <c r="AH48" s="20" t="str">
        <f t="shared" si="10"/>
        <v>남양동 남양에스티엑스칸</v>
      </c>
      <c r="AI48" s="106">
        <f t="shared" si="11"/>
        <v>34</v>
      </c>
      <c r="AJ48" s="75" t="str">
        <f t="shared" si="84"/>
        <v>A-</v>
      </c>
      <c r="AK48" s="75" t="s">
        <v>14</v>
      </c>
      <c r="AL48" s="75" t="s">
        <v>870</v>
      </c>
      <c r="AM48" s="75" t="s">
        <v>871</v>
      </c>
      <c r="AN48" s="75" t="str">
        <f t="shared" si="85"/>
        <v>C</v>
      </c>
      <c r="AO48" s="75" t="str">
        <f t="shared" si="86"/>
        <v>X</v>
      </c>
      <c r="AP48" s="75" t="str">
        <f t="shared" si="87"/>
        <v>O</v>
      </c>
      <c r="AQ48" s="75" t="str">
        <f t="shared" si="88"/>
        <v>O</v>
      </c>
      <c r="AR48" s="75" t="str">
        <f t="shared" si="89"/>
        <v>O</v>
      </c>
      <c r="AS48" s="75" t="s">
        <v>2</v>
      </c>
      <c r="AT48" s="75" t="str">
        <f t="shared" si="90"/>
        <v>O</v>
      </c>
      <c r="AU48" s="75" t="str">
        <f t="shared" si="91"/>
        <v>O</v>
      </c>
      <c r="AV48" s="75" t="str">
        <f t="shared" si="92"/>
        <v>X</v>
      </c>
    </row>
    <row r="49" spans="1:48" s="38" customFormat="1" ht="12" x14ac:dyDescent="0.3">
      <c r="A49" s="110" t="s">
        <v>966</v>
      </c>
      <c r="B49" s="111" t="s">
        <v>967</v>
      </c>
      <c r="C49" s="112">
        <v>385</v>
      </c>
      <c r="D49" s="104">
        <v>111.4</v>
      </c>
      <c r="E49" s="106">
        <v>34</v>
      </c>
      <c r="F49" s="104">
        <v>85</v>
      </c>
      <c r="G49" s="17">
        <v>26</v>
      </c>
      <c r="H49" s="107">
        <v>1</v>
      </c>
      <c r="I49" s="108">
        <v>18300</v>
      </c>
      <c r="J49" s="108" t="s">
        <v>873</v>
      </c>
      <c r="K49" s="108">
        <v>13500</v>
      </c>
      <c r="L49" s="108" t="s">
        <v>868</v>
      </c>
      <c r="M49" s="109">
        <f t="shared" si="77"/>
        <v>4800</v>
      </c>
      <c r="N49" s="4">
        <f t="shared" si="78"/>
        <v>0.73770491803278693</v>
      </c>
      <c r="O49" s="105">
        <f t="shared" si="79"/>
        <v>538.23529411764707</v>
      </c>
      <c r="P49" s="105">
        <f t="shared" si="80"/>
        <v>397.05882352941177</v>
      </c>
      <c r="Q49" s="75">
        <v>3</v>
      </c>
      <c r="R49" s="75">
        <v>2</v>
      </c>
      <c r="S49" s="75" t="s">
        <v>869</v>
      </c>
      <c r="T49" s="5" t="s">
        <v>154</v>
      </c>
      <c r="U49" s="9"/>
      <c r="W49" s="104">
        <f t="shared" si="96"/>
        <v>111.4</v>
      </c>
      <c r="X49" s="106">
        <f t="shared" si="96"/>
        <v>34</v>
      </c>
      <c r="Y49" s="102">
        <f t="shared" si="97"/>
        <v>1</v>
      </c>
      <c r="Z49" s="109">
        <f t="shared" si="97"/>
        <v>18300</v>
      </c>
      <c r="AA49" s="109">
        <f t="shared" si="81"/>
        <v>13500</v>
      </c>
      <c r="AB49" s="109">
        <f t="shared" si="98"/>
        <v>4800</v>
      </c>
      <c r="AC49" s="4">
        <f t="shared" si="98"/>
        <v>0.73770491803278693</v>
      </c>
      <c r="AD49" s="105">
        <f t="shared" si="98"/>
        <v>538.23529411764707</v>
      </c>
      <c r="AE49" s="75" t="str">
        <f t="shared" si="82"/>
        <v>계</v>
      </c>
      <c r="AF49" s="75" t="str">
        <f t="shared" si="83"/>
        <v>3/2</v>
      </c>
      <c r="AH49" s="20" t="str">
        <f t="shared" si="10"/>
        <v>남양동 남양에스티엑스칸</v>
      </c>
      <c r="AI49" s="106">
        <f t="shared" si="11"/>
        <v>34</v>
      </c>
      <c r="AJ49" s="75" t="str">
        <f t="shared" si="84"/>
        <v>A-</v>
      </c>
      <c r="AK49" s="75" t="s">
        <v>14</v>
      </c>
      <c r="AL49" s="75" t="s">
        <v>870</v>
      </c>
      <c r="AM49" s="75" t="s">
        <v>871</v>
      </c>
      <c r="AN49" s="75" t="str">
        <f t="shared" si="85"/>
        <v>C</v>
      </c>
      <c r="AO49" s="75" t="str">
        <f t="shared" si="86"/>
        <v>X</v>
      </c>
      <c r="AP49" s="75" t="str">
        <f t="shared" si="87"/>
        <v>O</v>
      </c>
      <c r="AQ49" s="75" t="str">
        <f t="shared" si="88"/>
        <v>O</v>
      </c>
      <c r="AR49" s="75" t="str">
        <f t="shared" si="89"/>
        <v>O</v>
      </c>
      <c r="AS49" s="75" t="s">
        <v>2</v>
      </c>
      <c r="AT49" s="75" t="str">
        <f t="shared" si="90"/>
        <v>O</v>
      </c>
      <c r="AU49" s="75" t="str">
        <f t="shared" si="91"/>
        <v>O</v>
      </c>
      <c r="AV49" s="75" t="str">
        <f t="shared" si="92"/>
        <v>X</v>
      </c>
    </row>
    <row r="50" spans="1:48" s="38" customFormat="1" ht="12" x14ac:dyDescent="0.3">
      <c r="A50" s="110" t="s">
        <v>968</v>
      </c>
      <c r="B50" s="111" t="s">
        <v>969</v>
      </c>
      <c r="C50" s="112">
        <v>274</v>
      </c>
      <c r="D50" s="104">
        <v>113</v>
      </c>
      <c r="E50" s="106">
        <v>34</v>
      </c>
      <c r="F50" s="104">
        <v>84.9</v>
      </c>
      <c r="G50" s="17">
        <v>26</v>
      </c>
      <c r="H50" s="107">
        <v>18</v>
      </c>
      <c r="I50" s="108"/>
      <c r="J50" s="108"/>
      <c r="K50" s="108"/>
      <c r="L50" s="108"/>
      <c r="M50" s="109">
        <f t="shared" si="77"/>
        <v>0</v>
      </c>
      <c r="N50" s="4" t="str">
        <f t="shared" si="78"/>
        <v/>
      </c>
      <c r="O50" s="105">
        <f t="shared" si="79"/>
        <v>0</v>
      </c>
      <c r="P50" s="105">
        <f t="shared" si="80"/>
        <v>0</v>
      </c>
      <c r="Q50" s="75">
        <v>3</v>
      </c>
      <c r="R50" s="75">
        <v>2</v>
      </c>
      <c r="S50" s="75" t="s">
        <v>869</v>
      </c>
      <c r="T50" s="5">
        <v>112</v>
      </c>
      <c r="U50" s="9"/>
      <c r="W50" s="104">
        <f t="shared" ref="W50:X56" si="99">D50</f>
        <v>113</v>
      </c>
      <c r="X50" s="106">
        <f t="shared" si="99"/>
        <v>34</v>
      </c>
      <c r="Y50" s="102">
        <f t="shared" ref="Y50:Z56" si="100">H50</f>
        <v>18</v>
      </c>
      <c r="Z50" s="109">
        <f t="shared" si="100"/>
        <v>0</v>
      </c>
      <c r="AA50" s="109">
        <f t="shared" si="81"/>
        <v>0</v>
      </c>
      <c r="AB50" s="109">
        <f>M50</f>
        <v>0</v>
      </c>
      <c r="AC50" s="4" t="str">
        <f>N50</f>
        <v/>
      </c>
      <c r="AD50" s="105">
        <f>O50</f>
        <v>0</v>
      </c>
      <c r="AE50" s="75" t="str">
        <f t="shared" si="82"/>
        <v>계</v>
      </c>
      <c r="AF50" s="75" t="str">
        <f t="shared" si="83"/>
        <v>3/2</v>
      </c>
      <c r="AH50" s="20" t="str">
        <f>IF(A50="","",A50)</f>
        <v>두동 청안해오름</v>
      </c>
      <c r="AI50" s="106">
        <f>IF(E50="","",E50)</f>
        <v>34</v>
      </c>
      <c r="AJ50" s="75" t="str">
        <f t="shared" si="84"/>
        <v>A-</v>
      </c>
      <c r="AK50" s="75" t="s">
        <v>14</v>
      </c>
      <c r="AL50" s="75" t="s">
        <v>870</v>
      </c>
      <c r="AM50" s="75" t="s">
        <v>871</v>
      </c>
      <c r="AN50" s="75" t="str">
        <f t="shared" si="85"/>
        <v>C</v>
      </c>
      <c r="AO50" s="75" t="str">
        <f t="shared" si="86"/>
        <v/>
      </c>
      <c r="AP50" s="75" t="str">
        <f t="shared" si="87"/>
        <v/>
      </c>
      <c r="AQ50" s="75" t="str">
        <f t="shared" si="88"/>
        <v>O</v>
      </c>
      <c r="AR50" s="75" t="str">
        <f t="shared" si="89"/>
        <v>O</v>
      </c>
      <c r="AS50" s="75" t="s">
        <v>2</v>
      </c>
      <c r="AT50" s="75" t="str">
        <f t="shared" si="90"/>
        <v>O</v>
      </c>
      <c r="AU50" s="75" t="str">
        <f t="shared" si="91"/>
        <v>X</v>
      </c>
      <c r="AV50" s="75" t="str">
        <f t="shared" si="92"/>
        <v/>
      </c>
    </row>
    <row r="51" spans="1:48" s="38" customFormat="1" ht="12" x14ac:dyDescent="0.3">
      <c r="A51" s="110" t="s">
        <v>970</v>
      </c>
      <c r="B51" s="111" t="s">
        <v>971</v>
      </c>
      <c r="C51" s="112">
        <v>468</v>
      </c>
      <c r="D51" s="104">
        <v>84.3</v>
      </c>
      <c r="E51" s="106">
        <v>25</v>
      </c>
      <c r="F51" s="104">
        <v>59.7</v>
      </c>
      <c r="G51" s="17">
        <v>18</v>
      </c>
      <c r="H51" s="107">
        <v>180</v>
      </c>
      <c r="I51" s="108"/>
      <c r="J51" s="108"/>
      <c r="K51" s="108"/>
      <c r="L51" s="108"/>
      <c r="M51" s="109">
        <f t="shared" si="77"/>
        <v>0</v>
      </c>
      <c r="N51" s="4" t="str">
        <f t="shared" si="78"/>
        <v/>
      </c>
      <c r="O51" s="105">
        <f t="shared" si="79"/>
        <v>0</v>
      </c>
      <c r="P51" s="105">
        <f t="shared" si="80"/>
        <v>0</v>
      </c>
      <c r="Q51" s="75">
        <v>3</v>
      </c>
      <c r="R51" s="75">
        <v>2</v>
      </c>
      <c r="S51" s="75" t="s">
        <v>869</v>
      </c>
      <c r="T51" s="5">
        <v>84</v>
      </c>
      <c r="U51" s="9"/>
      <c r="W51" s="104">
        <f t="shared" si="99"/>
        <v>84.3</v>
      </c>
      <c r="X51" s="106">
        <f t="shared" si="99"/>
        <v>25</v>
      </c>
      <c r="Y51" s="102">
        <f t="shared" si="100"/>
        <v>180</v>
      </c>
      <c r="Z51" s="109">
        <f t="shared" si="100"/>
        <v>0</v>
      </c>
      <c r="AA51" s="109">
        <f t="shared" si="81"/>
        <v>0</v>
      </c>
      <c r="AB51" s="109">
        <f t="shared" ref="AB51:AD66" si="101">M51</f>
        <v>0</v>
      </c>
      <c r="AC51" s="4" t="str">
        <f t="shared" si="101"/>
        <v/>
      </c>
      <c r="AD51" s="105">
        <f t="shared" si="101"/>
        <v>0</v>
      </c>
      <c r="AE51" s="75" t="str">
        <f t="shared" si="82"/>
        <v>계</v>
      </c>
      <c r="AF51" s="75" t="str">
        <f t="shared" si="83"/>
        <v>3/2</v>
      </c>
      <c r="AH51" s="20" t="str">
        <f t="shared" ref="AH51:AH54" si="102">IF(A51="","",A51)</f>
        <v>마천동 진해신항만경남아너스빌</v>
      </c>
      <c r="AI51" s="106">
        <f t="shared" ref="AI51:AI54" si="103">IF(E51="","",E51)</f>
        <v>25</v>
      </c>
      <c r="AJ51" s="75" t="str">
        <f t="shared" si="84"/>
        <v>A-</v>
      </c>
      <c r="AK51" s="75" t="s">
        <v>14</v>
      </c>
      <c r="AL51" s="75" t="s">
        <v>870</v>
      </c>
      <c r="AM51" s="75" t="s">
        <v>871</v>
      </c>
      <c r="AN51" s="75" t="str">
        <f t="shared" si="85"/>
        <v>C</v>
      </c>
      <c r="AO51" s="75" t="str">
        <f t="shared" si="86"/>
        <v/>
      </c>
      <c r="AP51" s="75" t="str">
        <f t="shared" si="87"/>
        <v/>
      </c>
      <c r="AQ51" s="75" t="str">
        <f t="shared" si="88"/>
        <v>O</v>
      </c>
      <c r="AR51" s="75" t="str">
        <f t="shared" si="89"/>
        <v>O</v>
      </c>
      <c r="AS51" s="75" t="s">
        <v>2</v>
      </c>
      <c r="AT51" s="75" t="str">
        <f t="shared" si="90"/>
        <v>O</v>
      </c>
      <c r="AU51" s="75" t="str">
        <f t="shared" si="91"/>
        <v>O</v>
      </c>
      <c r="AV51" s="75" t="str">
        <f t="shared" si="92"/>
        <v/>
      </c>
    </row>
    <row r="52" spans="1:48" s="38" customFormat="1" ht="12" x14ac:dyDescent="0.3">
      <c r="A52" s="110" t="s">
        <v>970</v>
      </c>
      <c r="B52" s="111" t="s">
        <v>971</v>
      </c>
      <c r="C52" s="112">
        <v>468</v>
      </c>
      <c r="D52" s="104">
        <v>114.4</v>
      </c>
      <c r="E52" s="106">
        <v>35</v>
      </c>
      <c r="F52" s="104">
        <v>84.8</v>
      </c>
      <c r="G52" s="17">
        <v>26</v>
      </c>
      <c r="H52" s="107">
        <v>288</v>
      </c>
      <c r="I52" s="108">
        <v>19500</v>
      </c>
      <c r="J52" s="108" t="s">
        <v>868</v>
      </c>
      <c r="K52" s="108"/>
      <c r="L52" s="108"/>
      <c r="M52" s="109">
        <f t="shared" si="77"/>
        <v>19500</v>
      </c>
      <c r="N52" s="4">
        <f t="shared" si="78"/>
        <v>0</v>
      </c>
      <c r="O52" s="105">
        <f t="shared" si="79"/>
        <v>557.14285714285711</v>
      </c>
      <c r="P52" s="105">
        <f t="shared" si="80"/>
        <v>0</v>
      </c>
      <c r="Q52" s="75">
        <v>3</v>
      </c>
      <c r="R52" s="75">
        <v>2</v>
      </c>
      <c r="S52" s="75" t="s">
        <v>869</v>
      </c>
      <c r="T52" s="5">
        <v>114</v>
      </c>
      <c r="U52" s="9"/>
      <c r="W52" s="104">
        <f t="shared" si="99"/>
        <v>114.4</v>
      </c>
      <c r="X52" s="106">
        <f t="shared" si="99"/>
        <v>35</v>
      </c>
      <c r="Y52" s="102">
        <f t="shared" si="100"/>
        <v>288</v>
      </c>
      <c r="Z52" s="109">
        <f t="shared" si="100"/>
        <v>19500</v>
      </c>
      <c r="AA52" s="109">
        <f t="shared" si="81"/>
        <v>0</v>
      </c>
      <c r="AB52" s="109">
        <f t="shared" si="101"/>
        <v>19500</v>
      </c>
      <c r="AC52" s="4">
        <f t="shared" si="101"/>
        <v>0</v>
      </c>
      <c r="AD52" s="105">
        <f t="shared" si="101"/>
        <v>557.14285714285711</v>
      </c>
      <c r="AE52" s="75" t="str">
        <f t="shared" si="82"/>
        <v>계</v>
      </c>
      <c r="AF52" s="75" t="str">
        <f t="shared" si="83"/>
        <v>3/2</v>
      </c>
      <c r="AH52" s="20" t="str">
        <f t="shared" si="102"/>
        <v>마천동 진해신항만경남아너스빌</v>
      </c>
      <c r="AI52" s="106">
        <f t="shared" si="103"/>
        <v>35</v>
      </c>
      <c r="AJ52" s="75" t="str">
        <f t="shared" si="84"/>
        <v>A-</v>
      </c>
      <c r="AK52" s="75" t="s">
        <v>14</v>
      </c>
      <c r="AL52" s="75" t="s">
        <v>870</v>
      </c>
      <c r="AM52" s="75" t="s">
        <v>871</v>
      </c>
      <c r="AN52" s="75" t="str">
        <f t="shared" si="85"/>
        <v>C</v>
      </c>
      <c r="AO52" s="75" t="str">
        <f t="shared" si="86"/>
        <v>X</v>
      </c>
      <c r="AP52" s="75" t="str">
        <f t="shared" si="87"/>
        <v>O</v>
      </c>
      <c r="AQ52" s="75" t="str">
        <f t="shared" si="88"/>
        <v>O</v>
      </c>
      <c r="AR52" s="75" t="str">
        <f t="shared" si="89"/>
        <v>X</v>
      </c>
      <c r="AS52" s="75" t="s">
        <v>2</v>
      </c>
      <c r="AT52" s="75" t="str">
        <f t="shared" si="90"/>
        <v>O</v>
      </c>
      <c r="AU52" s="75" t="str">
        <f t="shared" si="91"/>
        <v>O</v>
      </c>
      <c r="AV52" s="75" t="str">
        <f t="shared" si="92"/>
        <v>X</v>
      </c>
    </row>
    <row r="53" spans="1:48" s="38" customFormat="1" ht="12" x14ac:dyDescent="0.3">
      <c r="A53" s="110" t="s">
        <v>972</v>
      </c>
      <c r="B53" s="111" t="s">
        <v>969</v>
      </c>
      <c r="C53" s="112">
        <v>498</v>
      </c>
      <c r="D53" s="104">
        <v>79.400000000000006</v>
      </c>
      <c r="E53" s="106">
        <v>24</v>
      </c>
      <c r="F53" s="104">
        <v>59.9</v>
      </c>
      <c r="G53" s="17">
        <v>18</v>
      </c>
      <c r="H53" s="107">
        <v>390</v>
      </c>
      <c r="I53" s="108">
        <v>10500</v>
      </c>
      <c r="J53" s="108" t="s">
        <v>878</v>
      </c>
      <c r="K53" s="108"/>
      <c r="L53" s="108"/>
      <c r="M53" s="109">
        <f t="shared" si="77"/>
        <v>10500</v>
      </c>
      <c r="N53" s="4">
        <f t="shared" si="78"/>
        <v>0</v>
      </c>
      <c r="O53" s="105">
        <f t="shared" si="79"/>
        <v>437.5</v>
      </c>
      <c r="P53" s="105">
        <f t="shared" si="80"/>
        <v>0</v>
      </c>
      <c r="Q53" s="75">
        <v>3</v>
      </c>
      <c r="R53" s="75">
        <v>1</v>
      </c>
      <c r="S53" s="75" t="s">
        <v>869</v>
      </c>
      <c r="T53" s="5">
        <v>79</v>
      </c>
      <c r="U53" s="9"/>
      <c r="W53" s="104">
        <f t="shared" si="99"/>
        <v>79.400000000000006</v>
      </c>
      <c r="X53" s="106">
        <f t="shared" si="99"/>
        <v>24</v>
      </c>
      <c r="Y53" s="102">
        <f t="shared" si="100"/>
        <v>390</v>
      </c>
      <c r="Z53" s="109">
        <f t="shared" si="100"/>
        <v>10500</v>
      </c>
      <c r="AA53" s="109">
        <f t="shared" si="81"/>
        <v>0</v>
      </c>
      <c r="AB53" s="109">
        <f t="shared" si="101"/>
        <v>10500</v>
      </c>
      <c r="AC53" s="4">
        <f t="shared" si="101"/>
        <v>0</v>
      </c>
      <c r="AD53" s="105">
        <f t="shared" si="101"/>
        <v>437.5</v>
      </c>
      <c r="AE53" s="75" t="str">
        <f t="shared" si="82"/>
        <v>계</v>
      </c>
      <c r="AF53" s="75" t="str">
        <f t="shared" si="83"/>
        <v>3/1</v>
      </c>
      <c r="AH53" s="20" t="str">
        <f t="shared" si="102"/>
        <v>마천동 남명플럼빌리지</v>
      </c>
      <c r="AI53" s="106">
        <f t="shared" si="103"/>
        <v>24</v>
      </c>
      <c r="AJ53" s="75" t="str">
        <f t="shared" si="84"/>
        <v>A-</v>
      </c>
      <c r="AK53" s="75" t="s">
        <v>14</v>
      </c>
      <c r="AL53" s="75" t="s">
        <v>870</v>
      </c>
      <c r="AM53" s="75" t="s">
        <v>871</v>
      </c>
      <c r="AN53" s="75" t="str">
        <f t="shared" si="85"/>
        <v>C</v>
      </c>
      <c r="AO53" s="75" t="str">
        <f t="shared" si="86"/>
        <v>X</v>
      </c>
      <c r="AP53" s="75" t="str">
        <f t="shared" si="87"/>
        <v>O</v>
      </c>
      <c r="AQ53" s="75" t="str">
        <f t="shared" si="88"/>
        <v>O</v>
      </c>
      <c r="AR53" s="75" t="str">
        <f t="shared" si="89"/>
        <v>X</v>
      </c>
      <c r="AS53" s="75" t="s">
        <v>2</v>
      </c>
      <c r="AT53" s="75" t="str">
        <f t="shared" si="90"/>
        <v>O</v>
      </c>
      <c r="AU53" s="75" t="str">
        <f t="shared" si="91"/>
        <v>O</v>
      </c>
      <c r="AV53" s="75" t="str">
        <f t="shared" si="92"/>
        <v>X</v>
      </c>
    </row>
    <row r="54" spans="1:48" s="38" customFormat="1" ht="12" x14ac:dyDescent="0.3">
      <c r="A54" s="110" t="s">
        <v>972</v>
      </c>
      <c r="B54" s="111" t="s">
        <v>969</v>
      </c>
      <c r="C54" s="112">
        <v>498</v>
      </c>
      <c r="D54" s="104">
        <v>106.6</v>
      </c>
      <c r="E54" s="106">
        <v>32</v>
      </c>
      <c r="F54" s="104">
        <v>85</v>
      </c>
      <c r="G54" s="17">
        <v>26</v>
      </c>
      <c r="H54" s="107">
        <v>108</v>
      </c>
      <c r="I54" s="108"/>
      <c r="J54" s="108"/>
      <c r="K54" s="108"/>
      <c r="L54" s="108"/>
      <c r="M54" s="109">
        <f t="shared" si="77"/>
        <v>0</v>
      </c>
      <c r="N54" s="4" t="str">
        <f t="shared" si="78"/>
        <v/>
      </c>
      <c r="O54" s="105">
        <f t="shared" si="79"/>
        <v>0</v>
      </c>
      <c r="P54" s="105">
        <f t="shared" si="80"/>
        <v>0</v>
      </c>
      <c r="Q54" s="75">
        <v>3</v>
      </c>
      <c r="R54" s="75">
        <v>2</v>
      </c>
      <c r="S54" s="75" t="s">
        <v>869</v>
      </c>
      <c r="T54" s="5">
        <v>106</v>
      </c>
      <c r="U54" s="9"/>
      <c r="W54" s="104">
        <f t="shared" si="99"/>
        <v>106.6</v>
      </c>
      <c r="X54" s="106">
        <f t="shared" si="99"/>
        <v>32</v>
      </c>
      <c r="Y54" s="102">
        <f t="shared" si="100"/>
        <v>108</v>
      </c>
      <c r="Z54" s="109">
        <f t="shared" si="100"/>
        <v>0</v>
      </c>
      <c r="AA54" s="109">
        <f t="shared" si="81"/>
        <v>0</v>
      </c>
      <c r="AB54" s="109">
        <f t="shared" si="101"/>
        <v>0</v>
      </c>
      <c r="AC54" s="4" t="str">
        <f t="shared" si="101"/>
        <v/>
      </c>
      <c r="AD54" s="105">
        <f t="shared" si="101"/>
        <v>0</v>
      </c>
      <c r="AE54" s="75" t="str">
        <f t="shared" si="82"/>
        <v>계</v>
      </c>
      <c r="AF54" s="75" t="str">
        <f t="shared" si="83"/>
        <v>3/2</v>
      </c>
      <c r="AH54" s="20" t="str">
        <f t="shared" si="102"/>
        <v>마천동 남명플럼빌리지</v>
      </c>
      <c r="AI54" s="106">
        <f t="shared" si="103"/>
        <v>32</v>
      </c>
      <c r="AJ54" s="75" t="str">
        <f t="shared" si="84"/>
        <v>A-</v>
      </c>
      <c r="AK54" s="75" t="s">
        <v>14</v>
      </c>
      <c r="AL54" s="75" t="s">
        <v>870</v>
      </c>
      <c r="AM54" s="75" t="s">
        <v>871</v>
      </c>
      <c r="AN54" s="75" t="str">
        <f t="shared" si="85"/>
        <v>C</v>
      </c>
      <c r="AO54" s="75" t="str">
        <f t="shared" si="86"/>
        <v/>
      </c>
      <c r="AP54" s="75" t="str">
        <f t="shared" si="87"/>
        <v/>
      </c>
      <c r="AQ54" s="75" t="str">
        <f t="shared" si="88"/>
        <v>O</v>
      </c>
      <c r="AR54" s="75" t="str">
        <f t="shared" si="89"/>
        <v>O</v>
      </c>
      <c r="AS54" s="75" t="s">
        <v>2</v>
      </c>
      <c r="AT54" s="75" t="str">
        <f t="shared" si="90"/>
        <v>O</v>
      </c>
      <c r="AU54" s="75" t="str">
        <f t="shared" si="91"/>
        <v>O</v>
      </c>
      <c r="AV54" s="75" t="str">
        <f t="shared" si="92"/>
        <v/>
      </c>
    </row>
    <row r="55" spans="1:48" s="38" customFormat="1" ht="12" x14ac:dyDescent="0.3">
      <c r="A55" s="110" t="s">
        <v>973</v>
      </c>
      <c r="B55" s="111" t="s">
        <v>974</v>
      </c>
      <c r="C55" s="112">
        <v>204</v>
      </c>
      <c r="D55" s="104">
        <v>109.9</v>
      </c>
      <c r="E55" s="106">
        <v>33</v>
      </c>
      <c r="F55" s="104">
        <v>85</v>
      </c>
      <c r="G55" s="17">
        <v>26</v>
      </c>
      <c r="H55" s="107">
        <v>156</v>
      </c>
      <c r="I55" s="108"/>
      <c r="J55" s="108"/>
      <c r="K55" s="108"/>
      <c r="L55" s="108"/>
      <c r="M55" s="109">
        <f t="shared" si="77"/>
        <v>0</v>
      </c>
      <c r="N55" s="4" t="str">
        <f t="shared" si="78"/>
        <v/>
      </c>
      <c r="O55" s="105">
        <f t="shared" si="79"/>
        <v>0</v>
      </c>
      <c r="P55" s="105">
        <f t="shared" si="80"/>
        <v>0</v>
      </c>
      <c r="Q55" s="75">
        <v>3</v>
      </c>
      <c r="R55" s="75">
        <v>2</v>
      </c>
      <c r="S55" s="75" t="s">
        <v>869</v>
      </c>
      <c r="T55" s="5">
        <v>109</v>
      </c>
      <c r="U55" s="9"/>
      <c r="W55" s="104">
        <f t="shared" si="99"/>
        <v>109.9</v>
      </c>
      <c r="X55" s="106">
        <f t="shared" si="99"/>
        <v>33</v>
      </c>
      <c r="Y55" s="102">
        <f t="shared" si="100"/>
        <v>156</v>
      </c>
      <c r="Z55" s="109">
        <f t="shared" si="100"/>
        <v>0</v>
      </c>
      <c r="AA55" s="109">
        <f t="shared" si="81"/>
        <v>0</v>
      </c>
      <c r="AB55" s="109">
        <f t="shared" si="101"/>
        <v>0</v>
      </c>
      <c r="AC55" s="4" t="str">
        <f t="shared" si="101"/>
        <v/>
      </c>
      <c r="AD55" s="105">
        <f t="shared" si="101"/>
        <v>0</v>
      </c>
      <c r="AE55" s="75" t="str">
        <f t="shared" si="82"/>
        <v>계</v>
      </c>
      <c r="AF55" s="75" t="str">
        <f t="shared" si="83"/>
        <v>3/2</v>
      </c>
      <c r="AH55" s="20" t="str">
        <f>IF(A55="","",A55)</f>
        <v>부흥동 태영데시앙</v>
      </c>
      <c r="AI55" s="106">
        <f>IF(E55="","",E55)</f>
        <v>33</v>
      </c>
      <c r="AJ55" s="75" t="str">
        <f t="shared" si="84"/>
        <v>A-</v>
      </c>
      <c r="AK55" s="75" t="s">
        <v>14</v>
      </c>
      <c r="AL55" s="75" t="s">
        <v>870</v>
      </c>
      <c r="AM55" s="75" t="s">
        <v>871</v>
      </c>
      <c r="AN55" s="75" t="str">
        <f t="shared" si="85"/>
        <v>C</v>
      </c>
      <c r="AO55" s="75" t="str">
        <f t="shared" si="86"/>
        <v/>
      </c>
      <c r="AP55" s="75" t="str">
        <f t="shared" si="87"/>
        <v/>
      </c>
      <c r="AQ55" s="75" t="str">
        <f t="shared" si="88"/>
        <v>O</v>
      </c>
      <c r="AR55" s="75" t="str">
        <f t="shared" si="89"/>
        <v>O</v>
      </c>
      <c r="AS55" s="75" t="s">
        <v>2</v>
      </c>
      <c r="AT55" s="75" t="str">
        <f t="shared" si="90"/>
        <v>O</v>
      </c>
      <c r="AU55" s="75" t="str">
        <f t="shared" si="91"/>
        <v>X</v>
      </c>
      <c r="AV55" s="75" t="str">
        <f t="shared" si="92"/>
        <v/>
      </c>
    </row>
    <row r="56" spans="1:48" s="38" customFormat="1" ht="12" x14ac:dyDescent="0.3">
      <c r="A56" s="110" t="s">
        <v>973</v>
      </c>
      <c r="B56" s="111" t="s">
        <v>974</v>
      </c>
      <c r="C56" s="112">
        <v>204</v>
      </c>
      <c r="D56" s="104">
        <v>151.9</v>
      </c>
      <c r="E56" s="106">
        <v>46</v>
      </c>
      <c r="F56" s="104">
        <v>126.6</v>
      </c>
      <c r="G56" s="17">
        <v>38</v>
      </c>
      <c r="H56" s="107">
        <v>48</v>
      </c>
      <c r="I56" s="108"/>
      <c r="J56" s="108"/>
      <c r="K56" s="108"/>
      <c r="L56" s="108"/>
      <c r="M56" s="109">
        <f t="shared" si="77"/>
        <v>0</v>
      </c>
      <c r="N56" s="4" t="str">
        <f t="shared" si="78"/>
        <v/>
      </c>
      <c r="O56" s="105">
        <f t="shared" si="79"/>
        <v>0</v>
      </c>
      <c r="P56" s="105">
        <f t="shared" si="80"/>
        <v>0</v>
      </c>
      <c r="Q56" s="75">
        <v>4</v>
      </c>
      <c r="R56" s="75">
        <v>2</v>
      </c>
      <c r="S56" s="75" t="s">
        <v>869</v>
      </c>
      <c r="T56" s="5">
        <v>151</v>
      </c>
      <c r="U56" s="9"/>
      <c r="W56" s="104">
        <f t="shared" si="99"/>
        <v>151.9</v>
      </c>
      <c r="X56" s="106">
        <f t="shared" si="99"/>
        <v>46</v>
      </c>
      <c r="Y56" s="102">
        <f t="shared" si="100"/>
        <v>48</v>
      </c>
      <c r="Z56" s="109">
        <f t="shared" si="100"/>
        <v>0</v>
      </c>
      <c r="AA56" s="109">
        <f t="shared" si="81"/>
        <v>0</v>
      </c>
      <c r="AB56" s="109">
        <f t="shared" si="101"/>
        <v>0</v>
      </c>
      <c r="AC56" s="4" t="str">
        <f t="shared" si="101"/>
        <v/>
      </c>
      <c r="AD56" s="105">
        <f t="shared" si="101"/>
        <v>0</v>
      </c>
      <c r="AE56" s="75" t="str">
        <f t="shared" si="82"/>
        <v>계</v>
      </c>
      <c r="AF56" s="75" t="str">
        <f t="shared" si="83"/>
        <v>4/2</v>
      </c>
      <c r="AH56" s="20" t="str">
        <f>IF(A56="","",A56)</f>
        <v>부흥동 태영데시앙</v>
      </c>
      <c r="AI56" s="106">
        <f>IF(E56="","",E56)</f>
        <v>46</v>
      </c>
      <c r="AJ56" s="75" t="str">
        <f t="shared" si="84"/>
        <v>A-</v>
      </c>
      <c r="AK56" s="75" t="s">
        <v>14</v>
      </c>
      <c r="AL56" s="75" t="s">
        <v>870</v>
      </c>
      <c r="AM56" s="75" t="s">
        <v>871</v>
      </c>
      <c r="AN56" s="75" t="str">
        <f t="shared" si="85"/>
        <v>C</v>
      </c>
      <c r="AO56" s="75" t="str">
        <f t="shared" si="86"/>
        <v/>
      </c>
      <c r="AP56" s="75" t="str">
        <f t="shared" si="87"/>
        <v/>
      </c>
      <c r="AQ56" s="75" t="str">
        <f t="shared" si="88"/>
        <v>O</v>
      </c>
      <c r="AR56" s="75" t="str">
        <f t="shared" si="89"/>
        <v>O</v>
      </c>
      <c r="AS56" s="75" t="s">
        <v>2</v>
      </c>
      <c r="AT56" s="75" t="str">
        <f t="shared" si="90"/>
        <v>X</v>
      </c>
      <c r="AU56" s="75" t="str">
        <f t="shared" si="91"/>
        <v>X</v>
      </c>
      <c r="AV56" s="75" t="str">
        <f t="shared" si="92"/>
        <v/>
      </c>
    </row>
    <row r="57" spans="1:48" s="38" customFormat="1" ht="12" x14ac:dyDescent="0.3">
      <c r="A57" s="110" t="s">
        <v>975</v>
      </c>
      <c r="B57" s="111" t="s">
        <v>976</v>
      </c>
      <c r="C57" s="112">
        <v>516</v>
      </c>
      <c r="D57" s="104">
        <v>115.4</v>
      </c>
      <c r="E57" s="106">
        <v>35</v>
      </c>
      <c r="F57" s="104">
        <v>84.9</v>
      </c>
      <c r="G57" s="17">
        <v>26</v>
      </c>
      <c r="H57" s="107">
        <v>404</v>
      </c>
      <c r="I57" s="108">
        <v>34700</v>
      </c>
      <c r="J57" s="108" t="s">
        <v>896</v>
      </c>
      <c r="K57" s="108">
        <v>30000</v>
      </c>
      <c r="L57" s="108" t="s">
        <v>897</v>
      </c>
      <c r="M57" s="109">
        <f t="shared" si="77"/>
        <v>4700</v>
      </c>
      <c r="N57" s="4">
        <f t="shared" si="78"/>
        <v>0.86455331412103742</v>
      </c>
      <c r="O57" s="105">
        <f t="shared" si="79"/>
        <v>991.42857142857144</v>
      </c>
      <c r="P57" s="105">
        <f t="shared" si="80"/>
        <v>857.14285714285711</v>
      </c>
      <c r="Q57" s="75">
        <v>3</v>
      </c>
      <c r="R57" s="75">
        <v>2</v>
      </c>
      <c r="S57" s="75" t="s">
        <v>869</v>
      </c>
      <c r="T57" s="5">
        <v>115</v>
      </c>
      <c r="U57" s="9"/>
      <c r="W57" s="104">
        <f t="shared" ref="W57:X72" si="104">D57</f>
        <v>115.4</v>
      </c>
      <c r="X57" s="106">
        <f t="shared" si="104"/>
        <v>35</v>
      </c>
      <c r="Y57" s="102">
        <f t="shared" ref="Y57:Z72" si="105">H57</f>
        <v>404</v>
      </c>
      <c r="Z57" s="109">
        <f t="shared" si="105"/>
        <v>34700</v>
      </c>
      <c r="AA57" s="109">
        <f t="shared" si="81"/>
        <v>30000</v>
      </c>
      <c r="AB57" s="109">
        <f t="shared" si="101"/>
        <v>4700</v>
      </c>
      <c r="AC57" s="4">
        <f t="shared" si="101"/>
        <v>0.86455331412103742</v>
      </c>
      <c r="AD57" s="105">
        <f t="shared" si="101"/>
        <v>991.42857142857144</v>
      </c>
      <c r="AE57" s="75" t="str">
        <f t="shared" si="82"/>
        <v>계</v>
      </c>
      <c r="AF57" s="75" t="str">
        <f t="shared" si="83"/>
        <v>3/2</v>
      </c>
      <c r="AH57" s="20" t="str">
        <f t="shared" ref="AH57:AH120" si="106">IF(A57="","",A57)</f>
        <v>석동 진해GS자이</v>
      </c>
      <c r="AI57" s="106">
        <f t="shared" ref="AI57:AI120" si="107">IF(E57="","",E57)</f>
        <v>35</v>
      </c>
      <c r="AJ57" s="75" t="str">
        <f t="shared" si="84"/>
        <v>A-</v>
      </c>
      <c r="AK57" s="75" t="s">
        <v>14</v>
      </c>
      <c r="AL57" s="75" t="s">
        <v>870</v>
      </c>
      <c r="AM57" s="75" t="s">
        <v>871</v>
      </c>
      <c r="AN57" s="75" t="str">
        <f t="shared" si="85"/>
        <v>C</v>
      </c>
      <c r="AO57" s="75" t="str">
        <f t="shared" si="86"/>
        <v>O</v>
      </c>
      <c r="AP57" s="75" t="str">
        <f t="shared" si="87"/>
        <v>O</v>
      </c>
      <c r="AQ57" s="75" t="str">
        <f t="shared" si="88"/>
        <v>O</v>
      </c>
      <c r="AR57" s="75" t="str">
        <f t="shared" si="89"/>
        <v>O</v>
      </c>
      <c r="AS57" s="75" t="s">
        <v>2</v>
      </c>
      <c r="AT57" s="75" t="str">
        <f t="shared" si="90"/>
        <v>O</v>
      </c>
      <c r="AU57" s="75" t="str">
        <f t="shared" si="91"/>
        <v>O</v>
      </c>
      <c r="AV57" s="75" t="str">
        <f t="shared" si="92"/>
        <v>후보</v>
      </c>
    </row>
    <row r="58" spans="1:48" s="38" customFormat="1" ht="12" x14ac:dyDescent="0.3">
      <c r="A58" s="110" t="s">
        <v>975</v>
      </c>
      <c r="B58" s="111" t="s">
        <v>976</v>
      </c>
      <c r="C58" s="112">
        <v>516</v>
      </c>
      <c r="D58" s="104">
        <v>158</v>
      </c>
      <c r="E58" s="106">
        <v>48</v>
      </c>
      <c r="F58" s="104">
        <v>125.3</v>
      </c>
      <c r="G58" s="17">
        <v>38</v>
      </c>
      <c r="H58" s="107">
        <v>84</v>
      </c>
      <c r="I58" s="108"/>
      <c r="J58" s="108"/>
      <c r="K58" s="108"/>
      <c r="L58" s="108"/>
      <c r="M58" s="109">
        <f t="shared" si="77"/>
        <v>0</v>
      </c>
      <c r="N58" s="4" t="str">
        <f t="shared" si="78"/>
        <v/>
      </c>
      <c r="O58" s="105">
        <f t="shared" si="79"/>
        <v>0</v>
      </c>
      <c r="P58" s="105">
        <f t="shared" si="80"/>
        <v>0</v>
      </c>
      <c r="Q58" s="75">
        <v>4</v>
      </c>
      <c r="R58" s="75">
        <v>2</v>
      </c>
      <c r="S58" s="75" t="s">
        <v>869</v>
      </c>
      <c r="T58" s="5">
        <v>158</v>
      </c>
      <c r="U58" s="9"/>
      <c r="W58" s="104">
        <f t="shared" si="104"/>
        <v>158</v>
      </c>
      <c r="X58" s="106">
        <f t="shared" si="104"/>
        <v>48</v>
      </c>
      <c r="Y58" s="102">
        <f t="shared" si="105"/>
        <v>84</v>
      </c>
      <c r="Z58" s="109">
        <f t="shared" si="105"/>
        <v>0</v>
      </c>
      <c r="AA58" s="109">
        <f t="shared" si="81"/>
        <v>0</v>
      </c>
      <c r="AB58" s="109">
        <f t="shared" si="101"/>
        <v>0</v>
      </c>
      <c r="AC58" s="4" t="str">
        <f t="shared" si="101"/>
        <v/>
      </c>
      <c r="AD58" s="105">
        <f t="shared" si="101"/>
        <v>0</v>
      </c>
      <c r="AE58" s="75" t="str">
        <f t="shared" si="82"/>
        <v>계</v>
      </c>
      <c r="AF58" s="75" t="str">
        <f t="shared" si="83"/>
        <v>4/2</v>
      </c>
      <c r="AH58" s="20" t="str">
        <f t="shared" si="106"/>
        <v>석동 진해GS자이</v>
      </c>
      <c r="AI58" s="106">
        <f t="shared" si="107"/>
        <v>48</v>
      </c>
      <c r="AJ58" s="75" t="str">
        <f t="shared" si="84"/>
        <v>A-</v>
      </c>
      <c r="AK58" s="75" t="s">
        <v>14</v>
      </c>
      <c r="AL58" s="75" t="s">
        <v>870</v>
      </c>
      <c r="AM58" s="75" t="s">
        <v>871</v>
      </c>
      <c r="AN58" s="75" t="str">
        <f t="shared" si="85"/>
        <v>C</v>
      </c>
      <c r="AO58" s="75" t="str">
        <f t="shared" si="86"/>
        <v/>
      </c>
      <c r="AP58" s="75" t="str">
        <f t="shared" si="87"/>
        <v/>
      </c>
      <c r="AQ58" s="75" t="str">
        <f t="shared" si="88"/>
        <v>O</v>
      </c>
      <c r="AR58" s="75" t="str">
        <f t="shared" si="89"/>
        <v>O</v>
      </c>
      <c r="AS58" s="75" t="s">
        <v>2</v>
      </c>
      <c r="AT58" s="75" t="str">
        <f t="shared" si="90"/>
        <v>X</v>
      </c>
      <c r="AU58" s="75" t="str">
        <f t="shared" si="91"/>
        <v>O</v>
      </c>
      <c r="AV58" s="75" t="str">
        <f t="shared" si="92"/>
        <v/>
      </c>
    </row>
    <row r="59" spans="1:48" s="38" customFormat="1" ht="12" x14ac:dyDescent="0.3">
      <c r="A59" s="110" t="s">
        <v>975</v>
      </c>
      <c r="B59" s="111" t="s">
        <v>976</v>
      </c>
      <c r="C59" s="112">
        <v>516</v>
      </c>
      <c r="D59" s="104">
        <v>196.2</v>
      </c>
      <c r="E59" s="106">
        <v>59</v>
      </c>
      <c r="F59" s="104">
        <v>155.69999999999999</v>
      </c>
      <c r="G59" s="17">
        <v>47</v>
      </c>
      <c r="H59" s="107">
        <v>28</v>
      </c>
      <c r="I59" s="108"/>
      <c r="J59" s="108"/>
      <c r="K59" s="108"/>
      <c r="L59" s="108"/>
      <c r="M59" s="109">
        <f t="shared" si="77"/>
        <v>0</v>
      </c>
      <c r="N59" s="4" t="str">
        <f t="shared" si="78"/>
        <v/>
      </c>
      <c r="O59" s="105">
        <f t="shared" si="79"/>
        <v>0</v>
      </c>
      <c r="P59" s="105">
        <f t="shared" si="80"/>
        <v>0</v>
      </c>
      <c r="Q59" s="75">
        <v>5</v>
      </c>
      <c r="R59" s="75">
        <v>2</v>
      </c>
      <c r="S59" s="75" t="s">
        <v>869</v>
      </c>
      <c r="T59" s="5">
        <v>196</v>
      </c>
      <c r="U59" s="9"/>
      <c r="W59" s="104">
        <f t="shared" si="104"/>
        <v>196.2</v>
      </c>
      <c r="X59" s="106">
        <f t="shared" si="104"/>
        <v>59</v>
      </c>
      <c r="Y59" s="102">
        <f t="shared" si="105"/>
        <v>28</v>
      </c>
      <c r="Z59" s="109">
        <f t="shared" si="105"/>
        <v>0</v>
      </c>
      <c r="AA59" s="109">
        <f t="shared" si="81"/>
        <v>0</v>
      </c>
      <c r="AB59" s="109">
        <f t="shared" si="101"/>
        <v>0</v>
      </c>
      <c r="AC59" s="4" t="str">
        <f t="shared" si="101"/>
        <v/>
      </c>
      <c r="AD59" s="105">
        <f t="shared" si="101"/>
        <v>0</v>
      </c>
      <c r="AE59" s="75" t="str">
        <f t="shared" si="82"/>
        <v>계</v>
      </c>
      <c r="AF59" s="75" t="str">
        <f t="shared" si="83"/>
        <v>5/2</v>
      </c>
      <c r="AH59" s="20" t="str">
        <f t="shared" si="106"/>
        <v>석동 진해GS자이</v>
      </c>
      <c r="AI59" s="106">
        <f t="shared" si="107"/>
        <v>59</v>
      </c>
      <c r="AJ59" s="75" t="str">
        <f t="shared" si="84"/>
        <v>A-</v>
      </c>
      <c r="AK59" s="75" t="s">
        <v>14</v>
      </c>
      <c r="AL59" s="75" t="s">
        <v>870</v>
      </c>
      <c r="AM59" s="75" t="s">
        <v>871</v>
      </c>
      <c r="AN59" s="75" t="str">
        <f t="shared" si="85"/>
        <v>C</v>
      </c>
      <c r="AO59" s="75" t="str">
        <f t="shared" si="86"/>
        <v/>
      </c>
      <c r="AP59" s="75" t="str">
        <f t="shared" si="87"/>
        <v/>
      </c>
      <c r="AQ59" s="75" t="str">
        <f t="shared" si="88"/>
        <v>O</v>
      </c>
      <c r="AR59" s="75" t="str">
        <f t="shared" si="89"/>
        <v>O</v>
      </c>
      <c r="AS59" s="75" t="s">
        <v>2</v>
      </c>
      <c r="AT59" s="75" t="str">
        <f t="shared" si="90"/>
        <v>X</v>
      </c>
      <c r="AU59" s="75" t="str">
        <f t="shared" si="91"/>
        <v>O</v>
      </c>
      <c r="AV59" s="75" t="str">
        <f t="shared" si="92"/>
        <v/>
      </c>
    </row>
    <row r="60" spans="1:48" s="38" customFormat="1" ht="12" x14ac:dyDescent="0.3">
      <c r="A60" s="110" t="s">
        <v>977</v>
      </c>
      <c r="B60" s="111" t="s">
        <v>945</v>
      </c>
      <c r="C60" s="112">
        <v>647</v>
      </c>
      <c r="D60" s="104">
        <v>116.9</v>
      </c>
      <c r="E60" s="106">
        <v>35</v>
      </c>
      <c r="F60" s="104">
        <v>85</v>
      </c>
      <c r="G60" s="17">
        <v>26</v>
      </c>
      <c r="H60" s="107">
        <v>343</v>
      </c>
      <c r="I60" s="108">
        <v>31000</v>
      </c>
      <c r="J60" s="108" t="s">
        <v>868</v>
      </c>
      <c r="K60" s="108">
        <v>27000</v>
      </c>
      <c r="L60" s="108" t="s">
        <v>898</v>
      </c>
      <c r="M60" s="109">
        <f t="shared" si="77"/>
        <v>4000</v>
      </c>
      <c r="N60" s="4">
        <f t="shared" si="78"/>
        <v>0.87096774193548387</v>
      </c>
      <c r="O60" s="105">
        <f t="shared" si="79"/>
        <v>885.71428571428567</v>
      </c>
      <c r="P60" s="105">
        <f t="shared" si="80"/>
        <v>771.42857142857144</v>
      </c>
      <c r="Q60" s="75">
        <v>3</v>
      </c>
      <c r="R60" s="75">
        <v>2</v>
      </c>
      <c r="S60" s="75" t="s">
        <v>869</v>
      </c>
      <c r="T60" s="5" t="s">
        <v>382</v>
      </c>
      <c r="U60" s="9"/>
      <c r="W60" s="104">
        <f t="shared" si="104"/>
        <v>116.9</v>
      </c>
      <c r="X60" s="106">
        <f t="shared" si="104"/>
        <v>35</v>
      </c>
      <c r="Y60" s="102">
        <f t="shared" si="105"/>
        <v>343</v>
      </c>
      <c r="Z60" s="109">
        <f t="shared" si="105"/>
        <v>31000</v>
      </c>
      <c r="AA60" s="109">
        <f t="shared" si="81"/>
        <v>27000</v>
      </c>
      <c r="AB60" s="109">
        <f t="shared" si="101"/>
        <v>4000</v>
      </c>
      <c r="AC60" s="4">
        <f t="shared" si="101"/>
        <v>0.87096774193548387</v>
      </c>
      <c r="AD60" s="105">
        <f t="shared" si="101"/>
        <v>885.71428571428567</v>
      </c>
      <c r="AE60" s="75" t="str">
        <f t="shared" si="82"/>
        <v>계</v>
      </c>
      <c r="AF60" s="75" t="str">
        <f t="shared" si="83"/>
        <v>3/2</v>
      </c>
      <c r="AH60" s="20" t="str">
        <f t="shared" si="106"/>
        <v>석동 진해석동푸르지오</v>
      </c>
      <c r="AI60" s="106">
        <f t="shared" si="107"/>
        <v>35</v>
      </c>
      <c r="AJ60" s="75" t="str">
        <f t="shared" si="84"/>
        <v>A-</v>
      </c>
      <c r="AK60" s="75" t="s">
        <v>14</v>
      </c>
      <c r="AL60" s="75" t="s">
        <v>870</v>
      </c>
      <c r="AM60" s="75" t="s">
        <v>871</v>
      </c>
      <c r="AN60" s="75" t="str">
        <f t="shared" si="85"/>
        <v>C</v>
      </c>
      <c r="AO60" s="75" t="str">
        <f t="shared" si="86"/>
        <v>O</v>
      </c>
      <c r="AP60" s="75" t="str">
        <f t="shared" si="87"/>
        <v>O</v>
      </c>
      <c r="AQ60" s="75" t="str">
        <f t="shared" si="88"/>
        <v>O</v>
      </c>
      <c r="AR60" s="75" t="str">
        <f t="shared" si="89"/>
        <v>O</v>
      </c>
      <c r="AS60" s="75" t="s">
        <v>2</v>
      </c>
      <c r="AT60" s="75" t="str">
        <f t="shared" si="90"/>
        <v>O</v>
      </c>
      <c r="AU60" s="75" t="str">
        <f t="shared" si="91"/>
        <v>O</v>
      </c>
      <c r="AV60" s="75" t="str">
        <f t="shared" si="92"/>
        <v>후보</v>
      </c>
    </row>
    <row r="61" spans="1:48" s="38" customFormat="1" ht="12" x14ac:dyDescent="0.3">
      <c r="A61" s="110" t="s">
        <v>977</v>
      </c>
      <c r="B61" s="111" t="s">
        <v>945</v>
      </c>
      <c r="C61" s="112">
        <v>647</v>
      </c>
      <c r="D61" s="104">
        <v>116.9</v>
      </c>
      <c r="E61" s="106">
        <v>35</v>
      </c>
      <c r="F61" s="104">
        <v>85</v>
      </c>
      <c r="G61" s="17">
        <v>26</v>
      </c>
      <c r="H61" s="107">
        <v>90</v>
      </c>
      <c r="I61" s="108">
        <v>31000</v>
      </c>
      <c r="J61" s="108" t="s">
        <v>868</v>
      </c>
      <c r="K61" s="108">
        <v>27000</v>
      </c>
      <c r="L61" s="108" t="s">
        <v>898</v>
      </c>
      <c r="M61" s="109">
        <f t="shared" si="77"/>
        <v>4000</v>
      </c>
      <c r="N61" s="4">
        <f t="shared" si="78"/>
        <v>0.87096774193548387</v>
      </c>
      <c r="O61" s="105">
        <f t="shared" si="79"/>
        <v>885.71428571428567</v>
      </c>
      <c r="P61" s="105">
        <f t="shared" si="80"/>
        <v>771.42857142857144</v>
      </c>
      <c r="Q61" s="75">
        <v>3</v>
      </c>
      <c r="R61" s="75">
        <v>2</v>
      </c>
      <c r="S61" s="75" t="s">
        <v>869</v>
      </c>
      <c r="T61" s="5" t="s">
        <v>386</v>
      </c>
      <c r="U61" s="9"/>
      <c r="W61" s="104">
        <f t="shared" si="104"/>
        <v>116.9</v>
      </c>
      <c r="X61" s="106">
        <f t="shared" si="104"/>
        <v>35</v>
      </c>
      <c r="Y61" s="102">
        <f t="shared" si="105"/>
        <v>90</v>
      </c>
      <c r="Z61" s="109">
        <f t="shared" si="105"/>
        <v>31000</v>
      </c>
      <c r="AA61" s="109">
        <f t="shared" si="81"/>
        <v>27000</v>
      </c>
      <c r="AB61" s="109">
        <f t="shared" si="101"/>
        <v>4000</v>
      </c>
      <c r="AC61" s="4">
        <f t="shared" si="101"/>
        <v>0.87096774193548387</v>
      </c>
      <c r="AD61" s="105">
        <f t="shared" si="101"/>
        <v>885.71428571428567</v>
      </c>
      <c r="AE61" s="75" t="str">
        <f t="shared" si="82"/>
        <v>계</v>
      </c>
      <c r="AF61" s="75" t="str">
        <f t="shared" si="83"/>
        <v>3/2</v>
      </c>
      <c r="AH61" s="20" t="str">
        <f t="shared" si="106"/>
        <v>석동 진해석동푸르지오</v>
      </c>
      <c r="AI61" s="106">
        <f t="shared" si="107"/>
        <v>35</v>
      </c>
      <c r="AJ61" s="75" t="str">
        <f t="shared" si="84"/>
        <v>A-</v>
      </c>
      <c r="AK61" s="75" t="s">
        <v>14</v>
      </c>
      <c r="AL61" s="75" t="s">
        <v>870</v>
      </c>
      <c r="AM61" s="75" t="s">
        <v>871</v>
      </c>
      <c r="AN61" s="75" t="str">
        <f t="shared" si="85"/>
        <v>C</v>
      </c>
      <c r="AO61" s="75" t="str">
        <f t="shared" si="86"/>
        <v>O</v>
      </c>
      <c r="AP61" s="75" t="str">
        <f t="shared" si="87"/>
        <v>O</v>
      </c>
      <c r="AQ61" s="75" t="str">
        <f t="shared" si="88"/>
        <v>O</v>
      </c>
      <c r="AR61" s="75" t="str">
        <f t="shared" si="89"/>
        <v>O</v>
      </c>
      <c r="AS61" s="75" t="s">
        <v>2</v>
      </c>
      <c r="AT61" s="75" t="str">
        <f t="shared" si="90"/>
        <v>O</v>
      </c>
      <c r="AU61" s="75" t="str">
        <f t="shared" si="91"/>
        <v>O</v>
      </c>
      <c r="AV61" s="75" t="str">
        <f t="shared" si="92"/>
        <v>후보</v>
      </c>
    </row>
    <row r="62" spans="1:48" s="38" customFormat="1" ht="12" x14ac:dyDescent="0.3">
      <c r="A62" s="110" t="s">
        <v>977</v>
      </c>
      <c r="B62" s="111" t="s">
        <v>945</v>
      </c>
      <c r="C62" s="112">
        <v>647</v>
      </c>
      <c r="D62" s="104">
        <v>149.1</v>
      </c>
      <c r="E62" s="106">
        <v>45</v>
      </c>
      <c r="F62" s="104">
        <v>116.5</v>
      </c>
      <c r="G62" s="17">
        <v>35</v>
      </c>
      <c r="H62" s="107">
        <v>134</v>
      </c>
      <c r="I62" s="108">
        <v>38000</v>
      </c>
      <c r="J62" s="108" t="s">
        <v>868</v>
      </c>
      <c r="K62" s="108">
        <v>32000</v>
      </c>
      <c r="L62" s="108" t="s">
        <v>872</v>
      </c>
      <c r="M62" s="109">
        <f t="shared" si="77"/>
        <v>6000</v>
      </c>
      <c r="N62" s="4">
        <f t="shared" si="78"/>
        <v>0.84210526315789469</v>
      </c>
      <c r="O62" s="105">
        <f t="shared" si="79"/>
        <v>844.44444444444446</v>
      </c>
      <c r="P62" s="105">
        <f t="shared" si="80"/>
        <v>711.11111111111109</v>
      </c>
      <c r="Q62" s="75">
        <v>4</v>
      </c>
      <c r="R62" s="75">
        <v>2</v>
      </c>
      <c r="S62" s="75" t="s">
        <v>869</v>
      </c>
      <c r="T62" s="5">
        <v>149</v>
      </c>
      <c r="U62" s="9"/>
      <c r="W62" s="104">
        <f t="shared" si="104"/>
        <v>149.1</v>
      </c>
      <c r="X62" s="106">
        <f t="shared" si="104"/>
        <v>45</v>
      </c>
      <c r="Y62" s="102">
        <f t="shared" si="105"/>
        <v>134</v>
      </c>
      <c r="Z62" s="109">
        <f t="shared" si="105"/>
        <v>38000</v>
      </c>
      <c r="AA62" s="109">
        <f t="shared" si="81"/>
        <v>32000</v>
      </c>
      <c r="AB62" s="109">
        <f t="shared" si="101"/>
        <v>6000</v>
      </c>
      <c r="AC62" s="4">
        <f t="shared" si="101"/>
        <v>0.84210526315789469</v>
      </c>
      <c r="AD62" s="105">
        <f t="shared" si="101"/>
        <v>844.44444444444446</v>
      </c>
      <c r="AE62" s="75" t="str">
        <f t="shared" si="82"/>
        <v>계</v>
      </c>
      <c r="AF62" s="75" t="str">
        <f t="shared" si="83"/>
        <v>4/2</v>
      </c>
      <c r="AH62" s="20" t="str">
        <f t="shared" si="106"/>
        <v>석동 진해석동푸르지오</v>
      </c>
      <c r="AI62" s="106">
        <f t="shared" si="107"/>
        <v>45</v>
      </c>
      <c r="AJ62" s="75" t="str">
        <f t="shared" si="84"/>
        <v>A-</v>
      </c>
      <c r="AK62" s="75" t="s">
        <v>14</v>
      </c>
      <c r="AL62" s="75" t="s">
        <v>870</v>
      </c>
      <c r="AM62" s="75" t="s">
        <v>871</v>
      </c>
      <c r="AN62" s="75" t="str">
        <f t="shared" si="85"/>
        <v>C</v>
      </c>
      <c r="AO62" s="75" t="str">
        <f t="shared" si="86"/>
        <v>O</v>
      </c>
      <c r="AP62" s="75" t="str">
        <f t="shared" si="87"/>
        <v>O</v>
      </c>
      <c r="AQ62" s="75" t="str">
        <f t="shared" si="88"/>
        <v>O</v>
      </c>
      <c r="AR62" s="75" t="str">
        <f t="shared" si="89"/>
        <v>O</v>
      </c>
      <c r="AS62" s="75" t="s">
        <v>2</v>
      </c>
      <c r="AT62" s="75" t="str">
        <f t="shared" si="90"/>
        <v>X</v>
      </c>
      <c r="AU62" s="75" t="str">
        <f t="shared" si="91"/>
        <v>O</v>
      </c>
      <c r="AV62" s="75" t="str">
        <f t="shared" si="92"/>
        <v>X</v>
      </c>
    </row>
    <row r="63" spans="1:48" s="38" customFormat="1" ht="12" x14ac:dyDescent="0.3">
      <c r="A63" s="110" t="s">
        <v>977</v>
      </c>
      <c r="B63" s="111" t="s">
        <v>945</v>
      </c>
      <c r="C63" s="112">
        <v>647</v>
      </c>
      <c r="D63" s="104">
        <v>172.1</v>
      </c>
      <c r="E63" s="106">
        <v>52</v>
      </c>
      <c r="F63" s="104">
        <v>138</v>
      </c>
      <c r="G63" s="17">
        <v>42</v>
      </c>
      <c r="H63" s="107">
        <v>80</v>
      </c>
      <c r="I63" s="108">
        <v>45000</v>
      </c>
      <c r="J63" s="108" t="s">
        <v>898</v>
      </c>
      <c r="K63" s="108"/>
      <c r="L63" s="108"/>
      <c r="M63" s="109">
        <f t="shared" si="77"/>
        <v>45000</v>
      </c>
      <c r="N63" s="4">
        <f t="shared" si="78"/>
        <v>0</v>
      </c>
      <c r="O63" s="105">
        <f t="shared" si="79"/>
        <v>865.38461538461536</v>
      </c>
      <c r="P63" s="105">
        <f t="shared" si="80"/>
        <v>0</v>
      </c>
      <c r="Q63" s="75">
        <v>4</v>
      </c>
      <c r="R63" s="75">
        <v>2</v>
      </c>
      <c r="S63" s="75" t="s">
        <v>869</v>
      </c>
      <c r="T63" s="5">
        <v>172</v>
      </c>
      <c r="U63" s="9"/>
      <c r="W63" s="104">
        <f t="shared" si="104"/>
        <v>172.1</v>
      </c>
      <c r="X63" s="106">
        <f t="shared" si="104"/>
        <v>52</v>
      </c>
      <c r="Y63" s="102">
        <f t="shared" si="105"/>
        <v>80</v>
      </c>
      <c r="Z63" s="109">
        <f t="shared" si="105"/>
        <v>45000</v>
      </c>
      <c r="AA63" s="109">
        <f t="shared" si="81"/>
        <v>0</v>
      </c>
      <c r="AB63" s="109">
        <f t="shared" si="101"/>
        <v>45000</v>
      </c>
      <c r="AC63" s="4">
        <f t="shared" si="101"/>
        <v>0</v>
      </c>
      <c r="AD63" s="105">
        <f t="shared" si="101"/>
        <v>865.38461538461536</v>
      </c>
      <c r="AE63" s="75" t="str">
        <f t="shared" si="82"/>
        <v>계</v>
      </c>
      <c r="AF63" s="75" t="str">
        <f t="shared" si="83"/>
        <v>4/2</v>
      </c>
      <c r="AH63" s="20" t="str">
        <f t="shared" si="106"/>
        <v>석동 진해석동푸르지오</v>
      </c>
      <c r="AI63" s="106">
        <f t="shared" si="107"/>
        <v>52</v>
      </c>
      <c r="AJ63" s="75" t="str">
        <f t="shared" si="84"/>
        <v>A-</v>
      </c>
      <c r="AK63" s="75" t="s">
        <v>14</v>
      </c>
      <c r="AL63" s="75" t="s">
        <v>870</v>
      </c>
      <c r="AM63" s="75" t="s">
        <v>871</v>
      </c>
      <c r="AN63" s="75" t="str">
        <f t="shared" si="85"/>
        <v>C</v>
      </c>
      <c r="AO63" s="75" t="str">
        <f t="shared" si="86"/>
        <v>X</v>
      </c>
      <c r="AP63" s="75" t="str">
        <f t="shared" si="87"/>
        <v>O</v>
      </c>
      <c r="AQ63" s="75" t="str">
        <f t="shared" si="88"/>
        <v>O</v>
      </c>
      <c r="AR63" s="75" t="str">
        <f t="shared" si="89"/>
        <v>X</v>
      </c>
      <c r="AS63" s="75" t="s">
        <v>2</v>
      </c>
      <c r="AT63" s="75" t="str">
        <f t="shared" si="90"/>
        <v>X</v>
      </c>
      <c r="AU63" s="75" t="str">
        <f t="shared" si="91"/>
        <v>O</v>
      </c>
      <c r="AV63" s="75" t="str">
        <f t="shared" si="92"/>
        <v>X</v>
      </c>
    </row>
    <row r="64" spans="1:48" s="38" customFormat="1" ht="12" x14ac:dyDescent="0.3">
      <c r="A64" s="110" t="s">
        <v>978</v>
      </c>
      <c r="B64" s="111" t="s">
        <v>967</v>
      </c>
      <c r="C64" s="112">
        <v>264</v>
      </c>
      <c r="D64" s="104">
        <v>143.6</v>
      </c>
      <c r="E64" s="106">
        <v>43</v>
      </c>
      <c r="F64" s="104">
        <v>119.6</v>
      </c>
      <c r="G64" s="17">
        <v>36</v>
      </c>
      <c r="H64" s="107">
        <v>44</v>
      </c>
      <c r="I64" s="108"/>
      <c r="J64" s="108"/>
      <c r="K64" s="108"/>
      <c r="L64" s="108"/>
      <c r="M64" s="109">
        <f t="shared" si="77"/>
        <v>0</v>
      </c>
      <c r="N64" s="4" t="str">
        <f t="shared" si="78"/>
        <v/>
      </c>
      <c r="O64" s="105">
        <f t="shared" si="79"/>
        <v>0</v>
      </c>
      <c r="P64" s="105">
        <f t="shared" si="80"/>
        <v>0</v>
      </c>
      <c r="Q64" s="75">
        <v>4</v>
      </c>
      <c r="R64" s="75">
        <v>2</v>
      </c>
      <c r="S64" s="75" t="s">
        <v>869</v>
      </c>
      <c r="T64" s="5">
        <v>143</v>
      </c>
      <c r="U64" s="9"/>
      <c r="W64" s="104">
        <f t="shared" si="104"/>
        <v>143.6</v>
      </c>
      <c r="X64" s="106">
        <f t="shared" si="104"/>
        <v>43</v>
      </c>
      <c r="Y64" s="102">
        <f t="shared" si="105"/>
        <v>44</v>
      </c>
      <c r="Z64" s="109">
        <f t="shared" si="105"/>
        <v>0</v>
      </c>
      <c r="AA64" s="109">
        <f t="shared" si="81"/>
        <v>0</v>
      </c>
      <c r="AB64" s="109">
        <f t="shared" si="101"/>
        <v>0</v>
      </c>
      <c r="AC64" s="4" t="str">
        <f t="shared" si="101"/>
        <v/>
      </c>
      <c r="AD64" s="105">
        <f t="shared" si="101"/>
        <v>0</v>
      </c>
      <c r="AE64" s="75" t="str">
        <f t="shared" si="82"/>
        <v>계</v>
      </c>
      <c r="AF64" s="75" t="str">
        <f t="shared" si="83"/>
        <v>4/2</v>
      </c>
      <c r="AH64" s="20" t="str">
        <f t="shared" si="106"/>
        <v>석동 진해석동한솔솔파크1단지</v>
      </c>
      <c r="AI64" s="106">
        <f t="shared" si="107"/>
        <v>43</v>
      </c>
      <c r="AJ64" s="75" t="str">
        <f t="shared" si="84"/>
        <v>A-</v>
      </c>
      <c r="AK64" s="75" t="s">
        <v>14</v>
      </c>
      <c r="AL64" s="75" t="s">
        <v>870</v>
      </c>
      <c r="AM64" s="75" t="s">
        <v>871</v>
      </c>
      <c r="AN64" s="75" t="str">
        <f t="shared" si="85"/>
        <v>C</v>
      </c>
      <c r="AO64" s="75" t="str">
        <f t="shared" si="86"/>
        <v/>
      </c>
      <c r="AP64" s="75" t="str">
        <f t="shared" si="87"/>
        <v/>
      </c>
      <c r="AQ64" s="75" t="str">
        <f t="shared" si="88"/>
        <v>O</v>
      </c>
      <c r="AR64" s="75" t="str">
        <f t="shared" si="89"/>
        <v>O</v>
      </c>
      <c r="AS64" s="75" t="s">
        <v>2</v>
      </c>
      <c r="AT64" s="75" t="str">
        <f t="shared" si="90"/>
        <v>X</v>
      </c>
      <c r="AU64" s="75" t="str">
        <f t="shared" si="91"/>
        <v>X</v>
      </c>
      <c r="AV64" s="75" t="str">
        <f t="shared" si="92"/>
        <v/>
      </c>
    </row>
    <row r="65" spans="1:48" s="38" customFormat="1" ht="12" x14ac:dyDescent="0.3">
      <c r="A65" s="110" t="s">
        <v>978</v>
      </c>
      <c r="B65" s="111" t="s">
        <v>967</v>
      </c>
      <c r="C65" s="112">
        <v>264</v>
      </c>
      <c r="D65" s="104">
        <v>160.1</v>
      </c>
      <c r="E65" s="106">
        <v>48</v>
      </c>
      <c r="F65" s="104">
        <v>131.5</v>
      </c>
      <c r="G65" s="17">
        <v>40</v>
      </c>
      <c r="H65" s="107">
        <v>132</v>
      </c>
      <c r="I65" s="108"/>
      <c r="J65" s="108"/>
      <c r="K65" s="108"/>
      <c r="L65" s="108"/>
      <c r="M65" s="109">
        <f t="shared" si="77"/>
        <v>0</v>
      </c>
      <c r="N65" s="4" t="str">
        <f t="shared" si="78"/>
        <v/>
      </c>
      <c r="O65" s="105">
        <f t="shared" si="79"/>
        <v>0</v>
      </c>
      <c r="P65" s="105">
        <f t="shared" si="80"/>
        <v>0</v>
      </c>
      <c r="Q65" s="75">
        <v>4</v>
      </c>
      <c r="R65" s="75">
        <v>2</v>
      </c>
      <c r="S65" s="75" t="s">
        <v>869</v>
      </c>
      <c r="T65" s="5">
        <v>160</v>
      </c>
      <c r="U65" s="9"/>
      <c r="W65" s="104">
        <f t="shared" si="104"/>
        <v>160.1</v>
      </c>
      <c r="X65" s="106">
        <f t="shared" si="104"/>
        <v>48</v>
      </c>
      <c r="Y65" s="102">
        <f t="shared" si="105"/>
        <v>132</v>
      </c>
      <c r="Z65" s="109">
        <f t="shared" si="105"/>
        <v>0</v>
      </c>
      <c r="AA65" s="109">
        <f t="shared" si="81"/>
        <v>0</v>
      </c>
      <c r="AB65" s="109">
        <f t="shared" si="101"/>
        <v>0</v>
      </c>
      <c r="AC65" s="4" t="str">
        <f t="shared" si="101"/>
        <v/>
      </c>
      <c r="AD65" s="105">
        <f t="shared" si="101"/>
        <v>0</v>
      </c>
      <c r="AE65" s="75" t="str">
        <f t="shared" si="82"/>
        <v>계</v>
      </c>
      <c r="AF65" s="75" t="str">
        <f t="shared" si="83"/>
        <v>4/2</v>
      </c>
      <c r="AH65" s="20" t="str">
        <f t="shared" si="106"/>
        <v>석동 진해석동한솔솔파크1단지</v>
      </c>
      <c r="AI65" s="106">
        <f t="shared" si="107"/>
        <v>48</v>
      </c>
      <c r="AJ65" s="75" t="str">
        <f t="shared" si="84"/>
        <v>A-</v>
      </c>
      <c r="AK65" s="75" t="s">
        <v>14</v>
      </c>
      <c r="AL65" s="75" t="s">
        <v>870</v>
      </c>
      <c r="AM65" s="75" t="s">
        <v>871</v>
      </c>
      <c r="AN65" s="75" t="str">
        <f t="shared" si="85"/>
        <v>C</v>
      </c>
      <c r="AO65" s="75" t="str">
        <f t="shared" si="86"/>
        <v/>
      </c>
      <c r="AP65" s="75" t="str">
        <f t="shared" si="87"/>
        <v/>
      </c>
      <c r="AQ65" s="75" t="str">
        <f t="shared" si="88"/>
        <v>O</v>
      </c>
      <c r="AR65" s="75" t="str">
        <f t="shared" si="89"/>
        <v>O</v>
      </c>
      <c r="AS65" s="75" t="s">
        <v>2</v>
      </c>
      <c r="AT65" s="75" t="str">
        <f t="shared" si="90"/>
        <v>X</v>
      </c>
      <c r="AU65" s="75" t="str">
        <f t="shared" si="91"/>
        <v>X</v>
      </c>
      <c r="AV65" s="75" t="str">
        <f t="shared" si="92"/>
        <v/>
      </c>
    </row>
    <row r="66" spans="1:48" s="38" customFormat="1" ht="12" x14ac:dyDescent="0.3">
      <c r="A66" s="110" t="s">
        <v>978</v>
      </c>
      <c r="B66" s="111" t="s">
        <v>967</v>
      </c>
      <c r="C66" s="112">
        <v>264</v>
      </c>
      <c r="D66" s="104">
        <v>183.9</v>
      </c>
      <c r="E66" s="106">
        <v>56</v>
      </c>
      <c r="F66" s="104">
        <v>153.30000000000001</v>
      </c>
      <c r="G66" s="17">
        <v>46</v>
      </c>
      <c r="H66" s="107">
        <v>88</v>
      </c>
      <c r="I66" s="108"/>
      <c r="J66" s="108"/>
      <c r="K66" s="108"/>
      <c r="L66" s="108"/>
      <c r="M66" s="109">
        <f t="shared" si="77"/>
        <v>0</v>
      </c>
      <c r="N66" s="4" t="str">
        <f t="shared" si="78"/>
        <v/>
      </c>
      <c r="O66" s="105">
        <f t="shared" si="79"/>
        <v>0</v>
      </c>
      <c r="P66" s="105">
        <f t="shared" si="80"/>
        <v>0</v>
      </c>
      <c r="Q66" s="75">
        <v>4</v>
      </c>
      <c r="R66" s="75">
        <v>2</v>
      </c>
      <c r="S66" s="75" t="s">
        <v>869</v>
      </c>
      <c r="T66" s="5">
        <v>183</v>
      </c>
      <c r="U66" s="9"/>
      <c r="W66" s="104">
        <f t="shared" si="104"/>
        <v>183.9</v>
      </c>
      <c r="X66" s="106">
        <f t="shared" si="104"/>
        <v>56</v>
      </c>
      <c r="Y66" s="102">
        <f t="shared" si="105"/>
        <v>88</v>
      </c>
      <c r="Z66" s="109">
        <f t="shared" si="105"/>
        <v>0</v>
      </c>
      <c r="AA66" s="109">
        <f t="shared" si="81"/>
        <v>0</v>
      </c>
      <c r="AB66" s="109">
        <f t="shared" si="101"/>
        <v>0</v>
      </c>
      <c r="AC66" s="4" t="str">
        <f t="shared" si="101"/>
        <v/>
      </c>
      <c r="AD66" s="105">
        <f t="shared" si="101"/>
        <v>0</v>
      </c>
      <c r="AE66" s="75" t="str">
        <f t="shared" si="82"/>
        <v>계</v>
      </c>
      <c r="AF66" s="75" t="str">
        <f t="shared" si="83"/>
        <v>4/2</v>
      </c>
      <c r="AH66" s="20" t="str">
        <f t="shared" si="106"/>
        <v>석동 진해석동한솔솔파크1단지</v>
      </c>
      <c r="AI66" s="106">
        <f t="shared" si="107"/>
        <v>56</v>
      </c>
      <c r="AJ66" s="75" t="str">
        <f t="shared" si="84"/>
        <v>A-</v>
      </c>
      <c r="AK66" s="75" t="s">
        <v>14</v>
      </c>
      <c r="AL66" s="75" t="s">
        <v>870</v>
      </c>
      <c r="AM66" s="75" t="s">
        <v>871</v>
      </c>
      <c r="AN66" s="75" t="str">
        <f t="shared" si="85"/>
        <v>C</v>
      </c>
      <c r="AO66" s="75" t="str">
        <f t="shared" si="86"/>
        <v/>
      </c>
      <c r="AP66" s="75" t="str">
        <f t="shared" si="87"/>
        <v/>
      </c>
      <c r="AQ66" s="75" t="str">
        <f t="shared" si="88"/>
        <v>O</v>
      </c>
      <c r="AR66" s="75" t="str">
        <f t="shared" si="89"/>
        <v>O</v>
      </c>
      <c r="AS66" s="75" t="s">
        <v>2</v>
      </c>
      <c r="AT66" s="75" t="str">
        <f t="shared" si="90"/>
        <v>X</v>
      </c>
      <c r="AU66" s="75" t="str">
        <f t="shared" si="91"/>
        <v>X</v>
      </c>
      <c r="AV66" s="75" t="str">
        <f t="shared" si="92"/>
        <v/>
      </c>
    </row>
    <row r="67" spans="1:48" s="38" customFormat="1" ht="12" x14ac:dyDescent="0.3">
      <c r="A67" s="110" t="s">
        <v>979</v>
      </c>
      <c r="B67" s="111" t="s">
        <v>980</v>
      </c>
      <c r="C67" s="112">
        <v>613</v>
      </c>
      <c r="D67" s="104">
        <v>82.8</v>
      </c>
      <c r="E67" s="106">
        <v>25</v>
      </c>
      <c r="F67" s="104">
        <v>66.7</v>
      </c>
      <c r="G67" s="17">
        <v>20</v>
      </c>
      <c r="H67" s="107">
        <v>20</v>
      </c>
      <c r="I67" s="108"/>
      <c r="J67" s="108"/>
      <c r="K67" s="108"/>
      <c r="L67" s="108"/>
      <c r="M67" s="109">
        <f t="shared" si="77"/>
        <v>0</v>
      </c>
      <c r="N67" s="4" t="str">
        <f t="shared" si="78"/>
        <v/>
      </c>
      <c r="O67" s="105">
        <f t="shared" si="79"/>
        <v>0</v>
      </c>
      <c r="P67" s="105">
        <f t="shared" si="80"/>
        <v>0</v>
      </c>
      <c r="Q67" s="75">
        <v>3</v>
      </c>
      <c r="R67" s="75">
        <v>2</v>
      </c>
      <c r="S67" s="75" t="s">
        <v>869</v>
      </c>
      <c r="T67" s="5">
        <v>82</v>
      </c>
      <c r="U67" s="9"/>
      <c r="W67" s="104">
        <f t="shared" si="104"/>
        <v>82.8</v>
      </c>
      <c r="X67" s="106">
        <f t="shared" si="104"/>
        <v>25</v>
      </c>
      <c r="Y67" s="102">
        <f t="shared" si="105"/>
        <v>20</v>
      </c>
      <c r="Z67" s="109">
        <f t="shared" si="105"/>
        <v>0</v>
      </c>
      <c r="AA67" s="109">
        <f t="shared" si="81"/>
        <v>0</v>
      </c>
      <c r="AB67" s="109">
        <f t="shared" ref="AB67:AD82" si="108">M67</f>
        <v>0</v>
      </c>
      <c r="AC67" s="4" t="str">
        <f t="shared" si="108"/>
        <v/>
      </c>
      <c r="AD67" s="105">
        <f t="shared" si="108"/>
        <v>0</v>
      </c>
      <c r="AE67" s="75" t="str">
        <f t="shared" si="82"/>
        <v>계</v>
      </c>
      <c r="AF67" s="75" t="str">
        <f t="shared" si="83"/>
        <v>3/2</v>
      </c>
      <c r="AH67" s="20" t="str">
        <f t="shared" si="106"/>
        <v>석동 벚꽃그린빌주공3단지</v>
      </c>
      <c r="AI67" s="106">
        <f t="shared" si="107"/>
        <v>25</v>
      </c>
      <c r="AJ67" s="75" t="str">
        <f t="shared" si="84"/>
        <v>A-</v>
      </c>
      <c r="AK67" s="75" t="s">
        <v>14</v>
      </c>
      <c r="AL67" s="75" t="s">
        <v>870</v>
      </c>
      <c r="AM67" s="75" t="s">
        <v>871</v>
      </c>
      <c r="AN67" s="75" t="str">
        <f t="shared" si="85"/>
        <v>C</v>
      </c>
      <c r="AO67" s="75" t="str">
        <f t="shared" si="86"/>
        <v/>
      </c>
      <c r="AP67" s="75" t="str">
        <f t="shared" si="87"/>
        <v/>
      </c>
      <c r="AQ67" s="75" t="str">
        <f t="shared" si="88"/>
        <v>O</v>
      </c>
      <c r="AR67" s="75" t="str">
        <f t="shared" si="89"/>
        <v>O</v>
      </c>
      <c r="AS67" s="75" t="s">
        <v>2</v>
      </c>
      <c r="AT67" s="75" t="str">
        <f t="shared" si="90"/>
        <v>O</v>
      </c>
      <c r="AU67" s="75" t="str">
        <f t="shared" si="91"/>
        <v>O</v>
      </c>
      <c r="AV67" s="75" t="str">
        <f t="shared" si="92"/>
        <v/>
      </c>
    </row>
    <row r="68" spans="1:48" s="38" customFormat="1" ht="12" x14ac:dyDescent="0.3">
      <c r="A68" s="110" t="s">
        <v>979</v>
      </c>
      <c r="B68" s="111" t="s">
        <v>981</v>
      </c>
      <c r="C68" s="112">
        <v>613</v>
      </c>
      <c r="D68" s="104">
        <v>105.5</v>
      </c>
      <c r="E68" s="106">
        <v>32</v>
      </c>
      <c r="F68" s="104">
        <v>85</v>
      </c>
      <c r="G68" s="17">
        <v>26</v>
      </c>
      <c r="H68" s="107">
        <v>413</v>
      </c>
      <c r="I68" s="108">
        <v>34000</v>
      </c>
      <c r="J68" s="108" t="s">
        <v>878</v>
      </c>
      <c r="K68" s="108"/>
      <c r="L68" s="108"/>
      <c r="M68" s="109">
        <f t="shared" si="77"/>
        <v>34000</v>
      </c>
      <c r="N68" s="4">
        <f t="shared" si="78"/>
        <v>0</v>
      </c>
      <c r="O68" s="105">
        <f t="shared" si="79"/>
        <v>1062.5</v>
      </c>
      <c r="P68" s="105">
        <f t="shared" si="80"/>
        <v>0</v>
      </c>
      <c r="Q68" s="75">
        <v>3</v>
      </c>
      <c r="R68" s="75">
        <v>2</v>
      </c>
      <c r="S68" s="75" t="s">
        <v>869</v>
      </c>
      <c r="T68" s="5" t="s">
        <v>405</v>
      </c>
      <c r="U68" s="9"/>
      <c r="W68" s="104">
        <f t="shared" si="104"/>
        <v>105.5</v>
      </c>
      <c r="X68" s="106">
        <f t="shared" si="104"/>
        <v>32</v>
      </c>
      <c r="Y68" s="102">
        <f t="shared" si="105"/>
        <v>413</v>
      </c>
      <c r="Z68" s="109">
        <f t="shared" si="105"/>
        <v>34000</v>
      </c>
      <c r="AA68" s="109">
        <f t="shared" si="81"/>
        <v>0</v>
      </c>
      <c r="AB68" s="109">
        <f t="shared" si="108"/>
        <v>34000</v>
      </c>
      <c r="AC68" s="4">
        <f t="shared" si="108"/>
        <v>0</v>
      </c>
      <c r="AD68" s="105">
        <f t="shared" si="108"/>
        <v>1062.5</v>
      </c>
      <c r="AE68" s="75" t="str">
        <f t="shared" si="82"/>
        <v>계</v>
      </c>
      <c r="AF68" s="75" t="str">
        <f t="shared" si="83"/>
        <v>3/2</v>
      </c>
      <c r="AH68" s="20" t="str">
        <f t="shared" si="106"/>
        <v>석동 벚꽃그린빌주공3단지</v>
      </c>
      <c r="AI68" s="106">
        <f t="shared" si="107"/>
        <v>32</v>
      </c>
      <c r="AJ68" s="75" t="str">
        <f t="shared" si="84"/>
        <v>A-</v>
      </c>
      <c r="AK68" s="75" t="s">
        <v>14</v>
      </c>
      <c r="AL68" s="75" t="s">
        <v>870</v>
      </c>
      <c r="AM68" s="75" t="s">
        <v>871</v>
      </c>
      <c r="AN68" s="75" t="str">
        <f t="shared" si="85"/>
        <v>C</v>
      </c>
      <c r="AO68" s="75" t="str">
        <f t="shared" si="86"/>
        <v>X</v>
      </c>
      <c r="AP68" s="75" t="str">
        <f t="shared" si="87"/>
        <v>O</v>
      </c>
      <c r="AQ68" s="75" t="str">
        <f t="shared" si="88"/>
        <v>X</v>
      </c>
      <c r="AR68" s="75" t="str">
        <f t="shared" si="89"/>
        <v>X</v>
      </c>
      <c r="AS68" s="75" t="s">
        <v>2</v>
      </c>
      <c r="AT68" s="75" t="str">
        <f t="shared" si="90"/>
        <v>O</v>
      </c>
      <c r="AU68" s="75" t="str">
        <f t="shared" si="91"/>
        <v>O</v>
      </c>
      <c r="AV68" s="75" t="str">
        <f t="shared" si="92"/>
        <v>X</v>
      </c>
    </row>
    <row r="69" spans="1:48" s="38" customFormat="1" ht="12" x14ac:dyDescent="0.3">
      <c r="A69" s="110" t="s">
        <v>979</v>
      </c>
      <c r="B69" s="111" t="s">
        <v>980</v>
      </c>
      <c r="C69" s="112">
        <v>613</v>
      </c>
      <c r="D69" s="104">
        <v>105.5</v>
      </c>
      <c r="E69" s="106">
        <v>32</v>
      </c>
      <c r="F69" s="104">
        <v>85</v>
      </c>
      <c r="G69" s="17">
        <v>26</v>
      </c>
      <c r="H69" s="107">
        <v>180</v>
      </c>
      <c r="I69" s="108">
        <v>34000</v>
      </c>
      <c r="J69" s="108" t="s">
        <v>878</v>
      </c>
      <c r="K69" s="108"/>
      <c r="L69" s="108"/>
      <c r="M69" s="109">
        <f t="shared" si="77"/>
        <v>34000</v>
      </c>
      <c r="N69" s="4">
        <f t="shared" si="78"/>
        <v>0</v>
      </c>
      <c r="O69" s="105">
        <f t="shared" si="79"/>
        <v>1062.5</v>
      </c>
      <c r="P69" s="105">
        <f t="shared" si="80"/>
        <v>0</v>
      </c>
      <c r="Q69" s="75">
        <v>3</v>
      </c>
      <c r="R69" s="75">
        <v>2</v>
      </c>
      <c r="S69" s="75" t="s">
        <v>869</v>
      </c>
      <c r="T69" s="5" t="s">
        <v>310</v>
      </c>
      <c r="U69" s="9"/>
      <c r="W69" s="104">
        <f t="shared" si="104"/>
        <v>105.5</v>
      </c>
      <c r="X69" s="106">
        <f t="shared" si="104"/>
        <v>32</v>
      </c>
      <c r="Y69" s="102">
        <f t="shared" si="105"/>
        <v>180</v>
      </c>
      <c r="Z69" s="109">
        <f t="shared" si="105"/>
        <v>34000</v>
      </c>
      <c r="AA69" s="109">
        <f t="shared" si="81"/>
        <v>0</v>
      </c>
      <c r="AB69" s="109">
        <f t="shared" si="108"/>
        <v>34000</v>
      </c>
      <c r="AC69" s="4">
        <f t="shared" si="108"/>
        <v>0</v>
      </c>
      <c r="AD69" s="105">
        <f t="shared" si="108"/>
        <v>1062.5</v>
      </c>
      <c r="AE69" s="75" t="str">
        <f t="shared" si="82"/>
        <v>계</v>
      </c>
      <c r="AF69" s="75" t="str">
        <f t="shared" si="83"/>
        <v>3/2</v>
      </c>
      <c r="AH69" s="20" t="str">
        <f t="shared" si="106"/>
        <v>석동 벚꽃그린빌주공3단지</v>
      </c>
      <c r="AI69" s="106">
        <f t="shared" si="107"/>
        <v>32</v>
      </c>
      <c r="AJ69" s="75" t="str">
        <f t="shared" si="84"/>
        <v>A-</v>
      </c>
      <c r="AK69" s="75" t="s">
        <v>14</v>
      </c>
      <c r="AL69" s="75" t="s">
        <v>870</v>
      </c>
      <c r="AM69" s="75" t="s">
        <v>871</v>
      </c>
      <c r="AN69" s="75" t="str">
        <f t="shared" si="85"/>
        <v>C</v>
      </c>
      <c r="AO69" s="75" t="str">
        <f t="shared" si="86"/>
        <v>X</v>
      </c>
      <c r="AP69" s="75" t="str">
        <f t="shared" si="87"/>
        <v>O</v>
      </c>
      <c r="AQ69" s="75" t="str">
        <f t="shared" si="88"/>
        <v>X</v>
      </c>
      <c r="AR69" s="75" t="str">
        <f t="shared" si="89"/>
        <v>X</v>
      </c>
      <c r="AS69" s="75" t="s">
        <v>2</v>
      </c>
      <c r="AT69" s="75" t="str">
        <f t="shared" si="90"/>
        <v>O</v>
      </c>
      <c r="AU69" s="75" t="str">
        <f t="shared" si="91"/>
        <v>O</v>
      </c>
      <c r="AV69" s="75" t="str">
        <f t="shared" si="92"/>
        <v>X</v>
      </c>
    </row>
    <row r="70" spans="1:48" s="38" customFormat="1" ht="12" x14ac:dyDescent="0.3">
      <c r="A70" s="110" t="s">
        <v>982</v>
      </c>
      <c r="B70" s="111" t="s">
        <v>983</v>
      </c>
      <c r="C70" s="112">
        <v>1192</v>
      </c>
      <c r="D70" s="104">
        <v>111.6</v>
      </c>
      <c r="E70" s="106">
        <v>34</v>
      </c>
      <c r="F70" s="104">
        <v>84.9</v>
      </c>
      <c r="G70" s="17">
        <v>26</v>
      </c>
      <c r="H70" s="107">
        <v>398</v>
      </c>
      <c r="I70" s="108">
        <v>43000</v>
      </c>
      <c r="J70" s="108" t="s">
        <v>885</v>
      </c>
      <c r="K70" s="108"/>
      <c r="L70" s="108"/>
      <c r="M70" s="109">
        <f t="shared" ref="M70:M86" si="109">I70-K70</f>
        <v>43000</v>
      </c>
      <c r="N70" s="4">
        <f t="shared" ref="N70:N86" si="110">IF(ISERROR(K70/I70),"",K70/I70)</f>
        <v>0</v>
      </c>
      <c r="O70" s="105">
        <f t="shared" ref="O70:O86" si="111">I70/E70</f>
        <v>1264.7058823529412</v>
      </c>
      <c r="P70" s="105">
        <f t="shared" ref="P70:P86" si="112">K70/E70</f>
        <v>0</v>
      </c>
      <c r="Q70" s="75">
        <v>3</v>
      </c>
      <c r="R70" s="75">
        <v>2</v>
      </c>
      <c r="S70" s="75" t="s">
        <v>869</v>
      </c>
      <c r="T70" s="5">
        <v>111</v>
      </c>
      <c r="U70" s="9"/>
      <c r="W70" s="104">
        <f t="shared" si="104"/>
        <v>111.6</v>
      </c>
      <c r="X70" s="106">
        <f t="shared" si="104"/>
        <v>34</v>
      </c>
      <c r="Y70" s="102">
        <f t="shared" si="105"/>
        <v>398</v>
      </c>
      <c r="Z70" s="109">
        <f t="shared" si="105"/>
        <v>43000</v>
      </c>
      <c r="AA70" s="109">
        <f t="shared" ref="AA70:AA86" si="113">K70</f>
        <v>0</v>
      </c>
      <c r="AB70" s="109">
        <f t="shared" si="108"/>
        <v>43000</v>
      </c>
      <c r="AC70" s="4">
        <f t="shared" si="108"/>
        <v>0</v>
      </c>
      <c r="AD70" s="105">
        <f t="shared" si="108"/>
        <v>1264.7058823529412</v>
      </c>
      <c r="AE70" s="75" t="str">
        <f t="shared" ref="AE70:AE86" si="114">S70</f>
        <v>계</v>
      </c>
      <c r="AF70" s="75" t="str">
        <f t="shared" ref="AF70:AF86" si="115">Q70&amp;"/"&amp;R70</f>
        <v>3/2</v>
      </c>
      <c r="AH70" s="20" t="str">
        <f t="shared" si="106"/>
        <v>석동 진해석동우림필유</v>
      </c>
      <c r="AI70" s="106">
        <f t="shared" si="107"/>
        <v>34</v>
      </c>
      <c r="AJ70" s="75" t="str">
        <f t="shared" ref="AJ70:AJ86" si="116">IF(AI70="","",$AJ$2)</f>
        <v>A-</v>
      </c>
      <c r="AK70" s="75" t="s">
        <v>14</v>
      </c>
      <c r="AL70" s="75" t="s">
        <v>870</v>
      </c>
      <c r="AM70" s="75" t="s">
        <v>871</v>
      </c>
      <c r="AN70" s="75" t="str">
        <f t="shared" ref="AN70:AN86" si="117">IF(AI70="","",$AN$2)</f>
        <v>C</v>
      </c>
      <c r="AO70" s="75" t="str">
        <f t="shared" ref="AO70:AO86" si="118">IF(N70="","",IF(N70&gt;=$AO$1/100,"O","X"))</f>
        <v>X</v>
      </c>
      <c r="AP70" s="75" t="str">
        <f t="shared" ref="AP70:AP86" si="119">IF(I70="","",IF(I70&lt;=$AP$1,"O","X"))</f>
        <v>O</v>
      </c>
      <c r="AQ70" s="75" t="str">
        <f t="shared" ref="AQ70:AQ86" si="120">IF(O70="","",IF(O70&lt;=$AQ$1,"O","X"))</f>
        <v>X</v>
      </c>
      <c r="AR70" s="75" t="str">
        <f t="shared" ref="AR70:AR86" si="121">IF(M70="","",IF(M70&lt;=$AR$1,"O","X"))</f>
        <v>X</v>
      </c>
      <c r="AS70" s="75" t="s">
        <v>2</v>
      </c>
      <c r="AT70" s="75" t="str">
        <f t="shared" ref="AT70:AT86" si="122">IF(OR(F70="",AI70=""),"",IF(AND((F70&lt;=85),(AI70&gt;=15)),"O","X"))</f>
        <v>O</v>
      </c>
      <c r="AU70" s="75" t="str">
        <f t="shared" ref="AU70:AU86" si="123">IF(C70="","",IF(C70&gt;=$AU$1,"O","X"))</f>
        <v>O</v>
      </c>
      <c r="AV70" s="75" t="str">
        <f t="shared" ref="AV70:AV86" si="124">IF(AO70="","",IF(AND(AO70="O",AP70="O",AR70="O",AT70="O",AU70="O"),"후보","X"))</f>
        <v>X</v>
      </c>
    </row>
    <row r="71" spans="1:48" s="38" customFormat="1" ht="12" x14ac:dyDescent="0.3">
      <c r="A71" s="110" t="s">
        <v>982</v>
      </c>
      <c r="B71" s="111" t="s">
        <v>983</v>
      </c>
      <c r="C71" s="112">
        <v>1192</v>
      </c>
      <c r="D71" s="104">
        <v>112.5</v>
      </c>
      <c r="E71" s="106">
        <v>34</v>
      </c>
      <c r="F71" s="104">
        <v>85</v>
      </c>
      <c r="G71" s="17">
        <v>26</v>
      </c>
      <c r="H71" s="107">
        <v>238</v>
      </c>
      <c r="I71" s="108">
        <v>44000</v>
      </c>
      <c r="J71" s="108" t="s">
        <v>873</v>
      </c>
      <c r="K71" s="108"/>
      <c r="L71" s="108"/>
      <c r="M71" s="109">
        <f t="shared" si="109"/>
        <v>44000</v>
      </c>
      <c r="N71" s="4">
        <f t="shared" si="110"/>
        <v>0</v>
      </c>
      <c r="O71" s="105">
        <f t="shared" si="111"/>
        <v>1294.1176470588234</v>
      </c>
      <c r="P71" s="105">
        <f t="shared" si="112"/>
        <v>0</v>
      </c>
      <c r="Q71" s="75">
        <v>3</v>
      </c>
      <c r="R71" s="75">
        <v>2</v>
      </c>
      <c r="S71" s="75" t="s">
        <v>869</v>
      </c>
      <c r="T71" s="5" t="s">
        <v>122</v>
      </c>
      <c r="U71" s="9"/>
      <c r="W71" s="104">
        <f t="shared" si="104"/>
        <v>112.5</v>
      </c>
      <c r="X71" s="106">
        <f t="shared" si="104"/>
        <v>34</v>
      </c>
      <c r="Y71" s="102">
        <f t="shared" si="105"/>
        <v>238</v>
      </c>
      <c r="Z71" s="109">
        <f t="shared" si="105"/>
        <v>44000</v>
      </c>
      <c r="AA71" s="109">
        <f t="shared" si="113"/>
        <v>0</v>
      </c>
      <c r="AB71" s="109">
        <f t="shared" si="108"/>
        <v>44000</v>
      </c>
      <c r="AC71" s="4">
        <f t="shared" si="108"/>
        <v>0</v>
      </c>
      <c r="AD71" s="105">
        <f t="shared" si="108"/>
        <v>1294.1176470588234</v>
      </c>
      <c r="AE71" s="75" t="str">
        <f t="shared" si="114"/>
        <v>계</v>
      </c>
      <c r="AF71" s="75" t="str">
        <f t="shared" si="115"/>
        <v>3/2</v>
      </c>
      <c r="AH71" s="20" t="str">
        <f t="shared" si="106"/>
        <v>석동 진해석동우림필유</v>
      </c>
      <c r="AI71" s="106">
        <f t="shared" si="107"/>
        <v>34</v>
      </c>
      <c r="AJ71" s="75" t="str">
        <f t="shared" si="116"/>
        <v>A-</v>
      </c>
      <c r="AK71" s="75" t="s">
        <v>14</v>
      </c>
      <c r="AL71" s="75" t="s">
        <v>870</v>
      </c>
      <c r="AM71" s="75" t="s">
        <v>871</v>
      </c>
      <c r="AN71" s="75" t="str">
        <f t="shared" si="117"/>
        <v>C</v>
      </c>
      <c r="AO71" s="75" t="str">
        <f t="shared" si="118"/>
        <v>X</v>
      </c>
      <c r="AP71" s="75" t="str">
        <f t="shared" si="119"/>
        <v>O</v>
      </c>
      <c r="AQ71" s="75" t="str">
        <f t="shared" si="120"/>
        <v>X</v>
      </c>
      <c r="AR71" s="75" t="str">
        <f t="shared" si="121"/>
        <v>X</v>
      </c>
      <c r="AS71" s="75" t="s">
        <v>2</v>
      </c>
      <c r="AT71" s="75" t="str">
        <f t="shared" si="122"/>
        <v>O</v>
      </c>
      <c r="AU71" s="75" t="str">
        <f t="shared" si="123"/>
        <v>O</v>
      </c>
      <c r="AV71" s="75" t="str">
        <f t="shared" si="124"/>
        <v>X</v>
      </c>
    </row>
    <row r="72" spans="1:48" s="38" customFormat="1" ht="12" x14ac:dyDescent="0.3">
      <c r="A72" s="110" t="s">
        <v>982</v>
      </c>
      <c r="B72" s="111" t="s">
        <v>983</v>
      </c>
      <c r="C72" s="112">
        <v>1192</v>
      </c>
      <c r="D72" s="104">
        <v>113.5</v>
      </c>
      <c r="E72" s="106">
        <v>34</v>
      </c>
      <c r="F72" s="104">
        <v>85</v>
      </c>
      <c r="G72" s="17">
        <v>26</v>
      </c>
      <c r="H72" s="107">
        <v>238</v>
      </c>
      <c r="I72" s="108">
        <v>41000</v>
      </c>
      <c r="J72" s="108" t="s">
        <v>868</v>
      </c>
      <c r="K72" s="108">
        <v>31000</v>
      </c>
      <c r="L72" s="108" t="s">
        <v>873</v>
      </c>
      <c r="M72" s="109">
        <f t="shared" si="109"/>
        <v>10000</v>
      </c>
      <c r="N72" s="4">
        <f t="shared" si="110"/>
        <v>0.75609756097560976</v>
      </c>
      <c r="O72" s="105">
        <f t="shared" si="111"/>
        <v>1205.8823529411766</v>
      </c>
      <c r="P72" s="105">
        <f t="shared" si="112"/>
        <v>911.76470588235293</v>
      </c>
      <c r="Q72" s="75">
        <v>3</v>
      </c>
      <c r="R72" s="75">
        <v>2</v>
      </c>
      <c r="S72" s="75" t="s">
        <v>869</v>
      </c>
      <c r="T72" s="5" t="s">
        <v>123</v>
      </c>
      <c r="U72" s="9"/>
      <c r="W72" s="104">
        <f t="shared" si="104"/>
        <v>113.5</v>
      </c>
      <c r="X72" s="106">
        <f t="shared" si="104"/>
        <v>34</v>
      </c>
      <c r="Y72" s="102">
        <f t="shared" si="105"/>
        <v>238</v>
      </c>
      <c r="Z72" s="109">
        <f t="shared" si="105"/>
        <v>41000</v>
      </c>
      <c r="AA72" s="109">
        <f t="shared" si="113"/>
        <v>31000</v>
      </c>
      <c r="AB72" s="109">
        <f t="shared" si="108"/>
        <v>10000</v>
      </c>
      <c r="AC72" s="4">
        <f t="shared" si="108"/>
        <v>0.75609756097560976</v>
      </c>
      <c r="AD72" s="105">
        <f t="shared" si="108"/>
        <v>1205.8823529411766</v>
      </c>
      <c r="AE72" s="75" t="str">
        <f t="shared" si="114"/>
        <v>계</v>
      </c>
      <c r="AF72" s="75" t="str">
        <f t="shared" si="115"/>
        <v>3/2</v>
      </c>
      <c r="AH72" s="20" t="str">
        <f t="shared" si="106"/>
        <v>석동 진해석동우림필유</v>
      </c>
      <c r="AI72" s="106">
        <f t="shared" si="107"/>
        <v>34</v>
      </c>
      <c r="AJ72" s="75" t="str">
        <f t="shared" si="116"/>
        <v>A-</v>
      </c>
      <c r="AK72" s="75" t="s">
        <v>14</v>
      </c>
      <c r="AL72" s="75" t="s">
        <v>870</v>
      </c>
      <c r="AM72" s="75" t="s">
        <v>871</v>
      </c>
      <c r="AN72" s="75" t="str">
        <f t="shared" si="117"/>
        <v>C</v>
      </c>
      <c r="AO72" s="75" t="str">
        <f t="shared" si="118"/>
        <v>X</v>
      </c>
      <c r="AP72" s="75" t="str">
        <f t="shared" si="119"/>
        <v>O</v>
      </c>
      <c r="AQ72" s="75" t="str">
        <f t="shared" si="120"/>
        <v>X</v>
      </c>
      <c r="AR72" s="75" t="str">
        <f t="shared" si="121"/>
        <v>X</v>
      </c>
      <c r="AS72" s="75" t="s">
        <v>2</v>
      </c>
      <c r="AT72" s="75" t="str">
        <f t="shared" si="122"/>
        <v>O</v>
      </c>
      <c r="AU72" s="75" t="str">
        <f t="shared" si="123"/>
        <v>O</v>
      </c>
      <c r="AV72" s="75" t="str">
        <f t="shared" si="124"/>
        <v>X</v>
      </c>
    </row>
    <row r="73" spans="1:48" s="38" customFormat="1" ht="12" x14ac:dyDescent="0.3">
      <c r="A73" s="110" t="s">
        <v>982</v>
      </c>
      <c r="B73" s="111" t="s">
        <v>983</v>
      </c>
      <c r="C73" s="112">
        <v>1192</v>
      </c>
      <c r="D73" s="104">
        <v>163.69999999999999</v>
      </c>
      <c r="E73" s="106">
        <v>50</v>
      </c>
      <c r="F73" s="104">
        <v>133.4</v>
      </c>
      <c r="G73" s="17">
        <v>40</v>
      </c>
      <c r="H73" s="107">
        <v>146</v>
      </c>
      <c r="I73" s="108"/>
      <c r="J73" s="108"/>
      <c r="K73" s="108"/>
      <c r="L73" s="108"/>
      <c r="M73" s="109">
        <f t="shared" si="109"/>
        <v>0</v>
      </c>
      <c r="N73" s="4" t="str">
        <f t="shared" si="110"/>
        <v/>
      </c>
      <c r="O73" s="105">
        <f t="shared" si="111"/>
        <v>0</v>
      </c>
      <c r="P73" s="105">
        <f t="shared" si="112"/>
        <v>0</v>
      </c>
      <c r="Q73" s="75">
        <v>4</v>
      </c>
      <c r="R73" s="75">
        <v>2</v>
      </c>
      <c r="S73" s="75" t="s">
        <v>869</v>
      </c>
      <c r="T73" s="5">
        <v>163</v>
      </c>
      <c r="U73" s="9"/>
      <c r="W73" s="104">
        <f t="shared" ref="W73:X86" si="125">D73</f>
        <v>163.69999999999999</v>
      </c>
      <c r="X73" s="106">
        <f t="shared" si="125"/>
        <v>50</v>
      </c>
      <c r="Y73" s="102">
        <f t="shared" ref="Y73:Z86" si="126">H73</f>
        <v>146</v>
      </c>
      <c r="Z73" s="109">
        <f t="shared" si="126"/>
        <v>0</v>
      </c>
      <c r="AA73" s="109">
        <f t="shared" si="113"/>
        <v>0</v>
      </c>
      <c r="AB73" s="109">
        <f t="shared" si="108"/>
        <v>0</v>
      </c>
      <c r="AC73" s="4" t="str">
        <f t="shared" si="108"/>
        <v/>
      </c>
      <c r="AD73" s="105">
        <f t="shared" si="108"/>
        <v>0</v>
      </c>
      <c r="AE73" s="75" t="str">
        <f t="shared" si="114"/>
        <v>계</v>
      </c>
      <c r="AF73" s="75" t="str">
        <f t="shared" si="115"/>
        <v>4/2</v>
      </c>
      <c r="AH73" s="20" t="str">
        <f t="shared" si="106"/>
        <v>석동 진해석동우림필유</v>
      </c>
      <c r="AI73" s="106">
        <f t="shared" si="107"/>
        <v>50</v>
      </c>
      <c r="AJ73" s="75" t="str">
        <f t="shared" si="116"/>
        <v>A-</v>
      </c>
      <c r="AK73" s="75" t="s">
        <v>14</v>
      </c>
      <c r="AL73" s="75" t="s">
        <v>870</v>
      </c>
      <c r="AM73" s="75" t="s">
        <v>871</v>
      </c>
      <c r="AN73" s="75" t="str">
        <f t="shared" si="117"/>
        <v>C</v>
      </c>
      <c r="AO73" s="75" t="str">
        <f t="shared" si="118"/>
        <v/>
      </c>
      <c r="AP73" s="75" t="str">
        <f t="shared" si="119"/>
        <v/>
      </c>
      <c r="AQ73" s="75" t="str">
        <f t="shared" si="120"/>
        <v>O</v>
      </c>
      <c r="AR73" s="75" t="str">
        <f t="shared" si="121"/>
        <v>O</v>
      </c>
      <c r="AS73" s="75" t="s">
        <v>2</v>
      </c>
      <c r="AT73" s="75" t="str">
        <f t="shared" si="122"/>
        <v>X</v>
      </c>
      <c r="AU73" s="75" t="str">
        <f t="shared" si="123"/>
        <v>O</v>
      </c>
      <c r="AV73" s="75" t="str">
        <f t="shared" si="124"/>
        <v/>
      </c>
    </row>
    <row r="74" spans="1:48" s="38" customFormat="1" ht="12" x14ac:dyDescent="0.3">
      <c r="A74" s="110" t="s">
        <v>982</v>
      </c>
      <c r="B74" s="111" t="s">
        <v>983</v>
      </c>
      <c r="C74" s="112">
        <v>1192</v>
      </c>
      <c r="D74" s="104">
        <v>175.8</v>
      </c>
      <c r="E74" s="106">
        <v>53</v>
      </c>
      <c r="F74" s="104">
        <v>133.80000000000001</v>
      </c>
      <c r="G74" s="17">
        <v>40</v>
      </c>
      <c r="H74" s="107">
        <v>4</v>
      </c>
      <c r="I74" s="108"/>
      <c r="J74" s="108"/>
      <c r="K74" s="108"/>
      <c r="L74" s="108"/>
      <c r="M74" s="109">
        <f t="shared" si="109"/>
        <v>0</v>
      </c>
      <c r="N74" s="4" t="str">
        <f t="shared" si="110"/>
        <v/>
      </c>
      <c r="O74" s="105">
        <f t="shared" si="111"/>
        <v>0</v>
      </c>
      <c r="P74" s="105">
        <f t="shared" si="112"/>
        <v>0</v>
      </c>
      <c r="Q74" s="75">
        <v>4</v>
      </c>
      <c r="R74" s="75">
        <v>3</v>
      </c>
      <c r="S74" s="75" t="s">
        <v>869</v>
      </c>
      <c r="T74" s="5" t="s">
        <v>415</v>
      </c>
      <c r="U74" s="9"/>
      <c r="W74" s="104">
        <f t="shared" si="125"/>
        <v>175.8</v>
      </c>
      <c r="X74" s="106">
        <f t="shared" si="125"/>
        <v>53</v>
      </c>
      <c r="Y74" s="102">
        <f t="shared" si="126"/>
        <v>4</v>
      </c>
      <c r="Z74" s="109">
        <f t="shared" si="126"/>
        <v>0</v>
      </c>
      <c r="AA74" s="109">
        <f t="shared" si="113"/>
        <v>0</v>
      </c>
      <c r="AB74" s="109">
        <f t="shared" si="108"/>
        <v>0</v>
      </c>
      <c r="AC74" s="4" t="str">
        <f t="shared" si="108"/>
        <v/>
      </c>
      <c r="AD74" s="105">
        <f t="shared" si="108"/>
        <v>0</v>
      </c>
      <c r="AE74" s="75" t="str">
        <f t="shared" si="114"/>
        <v>계</v>
      </c>
      <c r="AF74" s="75" t="str">
        <f t="shared" si="115"/>
        <v>4/3</v>
      </c>
      <c r="AH74" s="20" t="str">
        <f t="shared" si="106"/>
        <v>석동 진해석동우림필유</v>
      </c>
      <c r="AI74" s="106">
        <f t="shared" si="107"/>
        <v>53</v>
      </c>
      <c r="AJ74" s="75" t="str">
        <f t="shared" si="116"/>
        <v>A-</v>
      </c>
      <c r="AK74" s="75" t="s">
        <v>14</v>
      </c>
      <c r="AL74" s="75" t="s">
        <v>870</v>
      </c>
      <c r="AM74" s="75" t="s">
        <v>871</v>
      </c>
      <c r="AN74" s="75" t="str">
        <f t="shared" si="117"/>
        <v>C</v>
      </c>
      <c r="AO74" s="75" t="str">
        <f t="shared" si="118"/>
        <v/>
      </c>
      <c r="AP74" s="75" t="str">
        <f t="shared" si="119"/>
        <v/>
      </c>
      <c r="AQ74" s="75" t="str">
        <f t="shared" si="120"/>
        <v>O</v>
      </c>
      <c r="AR74" s="75" t="str">
        <f t="shared" si="121"/>
        <v>O</v>
      </c>
      <c r="AS74" s="75" t="s">
        <v>2</v>
      </c>
      <c r="AT74" s="75" t="str">
        <f t="shared" si="122"/>
        <v>X</v>
      </c>
      <c r="AU74" s="75" t="str">
        <f t="shared" si="123"/>
        <v>O</v>
      </c>
      <c r="AV74" s="75" t="str">
        <f t="shared" si="124"/>
        <v/>
      </c>
    </row>
    <row r="75" spans="1:48" s="38" customFormat="1" ht="12" x14ac:dyDescent="0.3">
      <c r="A75" s="110" t="s">
        <v>982</v>
      </c>
      <c r="B75" s="111" t="s">
        <v>983</v>
      </c>
      <c r="C75" s="112">
        <v>1192</v>
      </c>
      <c r="D75" s="104">
        <v>177.3</v>
      </c>
      <c r="E75" s="106">
        <v>54</v>
      </c>
      <c r="F75" s="104">
        <v>132.1</v>
      </c>
      <c r="G75" s="17">
        <v>40</v>
      </c>
      <c r="H75" s="107">
        <v>4</v>
      </c>
      <c r="I75" s="108"/>
      <c r="J75" s="108"/>
      <c r="K75" s="108"/>
      <c r="L75" s="108"/>
      <c r="M75" s="109">
        <f t="shared" si="109"/>
        <v>0</v>
      </c>
      <c r="N75" s="4" t="str">
        <f t="shared" si="110"/>
        <v/>
      </c>
      <c r="O75" s="105">
        <f t="shared" si="111"/>
        <v>0</v>
      </c>
      <c r="P75" s="105">
        <f t="shared" si="112"/>
        <v>0</v>
      </c>
      <c r="Q75" s="75">
        <v>4</v>
      </c>
      <c r="R75" s="75">
        <v>3</v>
      </c>
      <c r="S75" s="75" t="s">
        <v>869</v>
      </c>
      <c r="T75" s="5" t="s">
        <v>416</v>
      </c>
      <c r="U75" s="9"/>
      <c r="W75" s="104">
        <f t="shared" si="125"/>
        <v>177.3</v>
      </c>
      <c r="X75" s="106">
        <f t="shared" si="125"/>
        <v>54</v>
      </c>
      <c r="Y75" s="102">
        <f t="shared" si="126"/>
        <v>4</v>
      </c>
      <c r="Z75" s="109">
        <f t="shared" si="126"/>
        <v>0</v>
      </c>
      <c r="AA75" s="109">
        <f t="shared" si="113"/>
        <v>0</v>
      </c>
      <c r="AB75" s="109">
        <f t="shared" si="108"/>
        <v>0</v>
      </c>
      <c r="AC75" s="4" t="str">
        <f t="shared" si="108"/>
        <v/>
      </c>
      <c r="AD75" s="105">
        <f t="shared" si="108"/>
        <v>0</v>
      </c>
      <c r="AE75" s="75" t="str">
        <f t="shared" si="114"/>
        <v>계</v>
      </c>
      <c r="AF75" s="75" t="str">
        <f t="shared" si="115"/>
        <v>4/3</v>
      </c>
      <c r="AH75" s="20" t="str">
        <f t="shared" si="106"/>
        <v>석동 진해석동우림필유</v>
      </c>
      <c r="AI75" s="106">
        <f t="shared" si="107"/>
        <v>54</v>
      </c>
      <c r="AJ75" s="75" t="str">
        <f t="shared" si="116"/>
        <v>A-</v>
      </c>
      <c r="AK75" s="75" t="s">
        <v>14</v>
      </c>
      <c r="AL75" s="75" t="s">
        <v>870</v>
      </c>
      <c r="AM75" s="75" t="s">
        <v>871</v>
      </c>
      <c r="AN75" s="75" t="str">
        <f t="shared" si="117"/>
        <v>C</v>
      </c>
      <c r="AO75" s="75" t="str">
        <f t="shared" si="118"/>
        <v/>
      </c>
      <c r="AP75" s="75" t="str">
        <f t="shared" si="119"/>
        <v/>
      </c>
      <c r="AQ75" s="75" t="str">
        <f t="shared" si="120"/>
        <v>O</v>
      </c>
      <c r="AR75" s="75" t="str">
        <f t="shared" si="121"/>
        <v>O</v>
      </c>
      <c r="AS75" s="75" t="s">
        <v>2</v>
      </c>
      <c r="AT75" s="75" t="str">
        <f t="shared" si="122"/>
        <v>X</v>
      </c>
      <c r="AU75" s="75" t="str">
        <f t="shared" si="123"/>
        <v>O</v>
      </c>
      <c r="AV75" s="75" t="str">
        <f t="shared" si="124"/>
        <v/>
      </c>
    </row>
    <row r="76" spans="1:48" s="38" customFormat="1" ht="12" x14ac:dyDescent="0.3">
      <c r="A76" s="110" t="s">
        <v>982</v>
      </c>
      <c r="B76" s="111" t="s">
        <v>983</v>
      </c>
      <c r="C76" s="112">
        <v>1192</v>
      </c>
      <c r="D76" s="104">
        <v>195.5</v>
      </c>
      <c r="E76" s="106">
        <v>59</v>
      </c>
      <c r="F76" s="104">
        <v>161.80000000000001</v>
      </c>
      <c r="G76" s="17">
        <v>49</v>
      </c>
      <c r="H76" s="107">
        <v>52</v>
      </c>
      <c r="I76" s="108">
        <v>59500</v>
      </c>
      <c r="J76" s="108" t="s">
        <v>873</v>
      </c>
      <c r="K76" s="108">
        <v>55000</v>
      </c>
      <c r="L76" s="108" t="s">
        <v>901</v>
      </c>
      <c r="M76" s="109">
        <f t="shared" si="109"/>
        <v>4500</v>
      </c>
      <c r="N76" s="4">
        <f t="shared" si="110"/>
        <v>0.92436974789915971</v>
      </c>
      <c r="O76" s="105">
        <f t="shared" si="111"/>
        <v>1008.4745762711865</v>
      </c>
      <c r="P76" s="105">
        <f t="shared" si="112"/>
        <v>932.20338983050851</v>
      </c>
      <c r="Q76" s="75">
        <v>4</v>
      </c>
      <c r="R76" s="75">
        <v>3</v>
      </c>
      <c r="S76" s="75" t="s">
        <v>869</v>
      </c>
      <c r="T76" s="5" t="s">
        <v>417</v>
      </c>
      <c r="U76" s="9"/>
      <c r="W76" s="104">
        <f t="shared" si="125"/>
        <v>195.5</v>
      </c>
      <c r="X76" s="106">
        <f t="shared" si="125"/>
        <v>59</v>
      </c>
      <c r="Y76" s="102">
        <f t="shared" si="126"/>
        <v>52</v>
      </c>
      <c r="Z76" s="109">
        <f t="shared" si="126"/>
        <v>59500</v>
      </c>
      <c r="AA76" s="109">
        <f t="shared" si="113"/>
        <v>55000</v>
      </c>
      <c r="AB76" s="109">
        <f t="shared" si="108"/>
        <v>4500</v>
      </c>
      <c r="AC76" s="4">
        <f t="shared" si="108"/>
        <v>0.92436974789915971</v>
      </c>
      <c r="AD76" s="105">
        <f t="shared" si="108"/>
        <v>1008.4745762711865</v>
      </c>
      <c r="AE76" s="75" t="str">
        <f t="shared" si="114"/>
        <v>계</v>
      </c>
      <c r="AF76" s="75" t="str">
        <f t="shared" si="115"/>
        <v>4/3</v>
      </c>
      <c r="AH76" s="20" t="str">
        <f t="shared" si="106"/>
        <v>석동 진해석동우림필유</v>
      </c>
      <c r="AI76" s="106">
        <f t="shared" si="107"/>
        <v>59</v>
      </c>
      <c r="AJ76" s="75" t="str">
        <f t="shared" si="116"/>
        <v>A-</v>
      </c>
      <c r="AK76" s="75" t="s">
        <v>14</v>
      </c>
      <c r="AL76" s="75" t="s">
        <v>870</v>
      </c>
      <c r="AM76" s="75" t="s">
        <v>871</v>
      </c>
      <c r="AN76" s="75" t="str">
        <f t="shared" si="117"/>
        <v>C</v>
      </c>
      <c r="AO76" s="75" t="str">
        <f t="shared" si="118"/>
        <v>O</v>
      </c>
      <c r="AP76" s="75" t="str">
        <f t="shared" si="119"/>
        <v>X</v>
      </c>
      <c r="AQ76" s="75" t="str">
        <f t="shared" si="120"/>
        <v>X</v>
      </c>
      <c r="AR76" s="75" t="str">
        <f t="shared" si="121"/>
        <v>O</v>
      </c>
      <c r="AS76" s="75" t="s">
        <v>2</v>
      </c>
      <c r="AT76" s="75" t="str">
        <f t="shared" si="122"/>
        <v>X</v>
      </c>
      <c r="AU76" s="75" t="str">
        <f t="shared" si="123"/>
        <v>O</v>
      </c>
      <c r="AV76" s="75" t="str">
        <f t="shared" si="124"/>
        <v>X</v>
      </c>
    </row>
    <row r="77" spans="1:48" s="38" customFormat="1" ht="12" x14ac:dyDescent="0.3">
      <c r="A77" s="110" t="s">
        <v>982</v>
      </c>
      <c r="B77" s="111" t="s">
        <v>983</v>
      </c>
      <c r="C77" s="112">
        <v>1192</v>
      </c>
      <c r="D77" s="104">
        <v>196.4</v>
      </c>
      <c r="E77" s="106">
        <v>59</v>
      </c>
      <c r="F77" s="104">
        <v>159.69999999999999</v>
      </c>
      <c r="G77" s="17">
        <v>48</v>
      </c>
      <c r="H77" s="107">
        <v>51</v>
      </c>
      <c r="I77" s="108">
        <v>58000</v>
      </c>
      <c r="J77" s="108" t="s">
        <v>868</v>
      </c>
      <c r="K77" s="108"/>
      <c r="L77" s="108"/>
      <c r="M77" s="109">
        <f t="shared" si="109"/>
        <v>58000</v>
      </c>
      <c r="N77" s="4">
        <f t="shared" si="110"/>
        <v>0</v>
      </c>
      <c r="O77" s="105">
        <f t="shared" si="111"/>
        <v>983.05084745762713</v>
      </c>
      <c r="P77" s="105">
        <f t="shared" si="112"/>
        <v>0</v>
      </c>
      <c r="Q77" s="75">
        <v>4</v>
      </c>
      <c r="R77" s="75">
        <v>2</v>
      </c>
      <c r="S77" s="75" t="s">
        <v>869</v>
      </c>
      <c r="T77" s="5" t="s">
        <v>418</v>
      </c>
      <c r="U77" s="9"/>
      <c r="W77" s="104">
        <f t="shared" si="125"/>
        <v>196.4</v>
      </c>
      <c r="X77" s="106">
        <f t="shared" si="125"/>
        <v>59</v>
      </c>
      <c r="Y77" s="102">
        <f t="shared" si="126"/>
        <v>51</v>
      </c>
      <c r="Z77" s="109">
        <f t="shared" si="126"/>
        <v>58000</v>
      </c>
      <c r="AA77" s="109">
        <f t="shared" si="113"/>
        <v>0</v>
      </c>
      <c r="AB77" s="109">
        <f t="shared" si="108"/>
        <v>58000</v>
      </c>
      <c r="AC77" s="4">
        <f t="shared" si="108"/>
        <v>0</v>
      </c>
      <c r="AD77" s="105">
        <f t="shared" si="108"/>
        <v>983.05084745762713</v>
      </c>
      <c r="AE77" s="75" t="str">
        <f t="shared" si="114"/>
        <v>계</v>
      </c>
      <c r="AF77" s="75" t="str">
        <f t="shared" si="115"/>
        <v>4/2</v>
      </c>
      <c r="AH77" s="20" t="str">
        <f t="shared" si="106"/>
        <v>석동 진해석동우림필유</v>
      </c>
      <c r="AI77" s="106">
        <f t="shared" si="107"/>
        <v>59</v>
      </c>
      <c r="AJ77" s="75" t="str">
        <f t="shared" si="116"/>
        <v>A-</v>
      </c>
      <c r="AK77" s="75" t="s">
        <v>14</v>
      </c>
      <c r="AL77" s="75" t="s">
        <v>870</v>
      </c>
      <c r="AM77" s="75" t="s">
        <v>871</v>
      </c>
      <c r="AN77" s="75" t="str">
        <f t="shared" si="117"/>
        <v>C</v>
      </c>
      <c r="AO77" s="75" t="str">
        <f t="shared" si="118"/>
        <v>X</v>
      </c>
      <c r="AP77" s="75" t="str">
        <f t="shared" si="119"/>
        <v>X</v>
      </c>
      <c r="AQ77" s="75" t="str">
        <f t="shared" si="120"/>
        <v>O</v>
      </c>
      <c r="AR77" s="75" t="str">
        <f t="shared" si="121"/>
        <v>X</v>
      </c>
      <c r="AS77" s="75" t="s">
        <v>2</v>
      </c>
      <c r="AT77" s="75" t="str">
        <f t="shared" si="122"/>
        <v>X</v>
      </c>
      <c r="AU77" s="75" t="str">
        <f t="shared" si="123"/>
        <v>O</v>
      </c>
      <c r="AV77" s="75" t="str">
        <f t="shared" si="124"/>
        <v>X</v>
      </c>
    </row>
    <row r="78" spans="1:48" s="38" customFormat="1" ht="12" x14ac:dyDescent="0.3">
      <c r="A78" s="110" t="s">
        <v>982</v>
      </c>
      <c r="B78" s="111" t="s">
        <v>983</v>
      </c>
      <c r="C78" s="112">
        <v>1192</v>
      </c>
      <c r="D78" s="104">
        <v>228.9</v>
      </c>
      <c r="E78" s="106">
        <v>69</v>
      </c>
      <c r="F78" s="104">
        <v>190</v>
      </c>
      <c r="G78" s="17">
        <v>57</v>
      </c>
      <c r="H78" s="107">
        <v>56</v>
      </c>
      <c r="I78" s="108">
        <v>75000</v>
      </c>
      <c r="J78" s="108" t="s">
        <v>868</v>
      </c>
      <c r="K78" s="108">
        <v>50000</v>
      </c>
      <c r="L78" s="108" t="s">
        <v>873</v>
      </c>
      <c r="M78" s="109">
        <f t="shared" si="109"/>
        <v>25000</v>
      </c>
      <c r="N78" s="4">
        <f t="shared" si="110"/>
        <v>0.66666666666666663</v>
      </c>
      <c r="O78" s="105">
        <f t="shared" si="111"/>
        <v>1086.9565217391305</v>
      </c>
      <c r="P78" s="105">
        <f t="shared" si="112"/>
        <v>724.63768115942025</v>
      </c>
      <c r="Q78" s="75">
        <v>4</v>
      </c>
      <c r="R78" s="75">
        <v>3</v>
      </c>
      <c r="S78" s="75" t="s">
        <v>869</v>
      </c>
      <c r="T78" s="5">
        <v>228</v>
      </c>
      <c r="U78" s="9"/>
      <c r="W78" s="104">
        <f t="shared" si="125"/>
        <v>228.9</v>
      </c>
      <c r="X78" s="106">
        <f t="shared" si="125"/>
        <v>69</v>
      </c>
      <c r="Y78" s="102">
        <f t="shared" si="126"/>
        <v>56</v>
      </c>
      <c r="Z78" s="109">
        <f t="shared" si="126"/>
        <v>75000</v>
      </c>
      <c r="AA78" s="109">
        <f t="shared" si="113"/>
        <v>50000</v>
      </c>
      <c r="AB78" s="109">
        <f t="shared" si="108"/>
        <v>25000</v>
      </c>
      <c r="AC78" s="4">
        <f t="shared" si="108"/>
        <v>0.66666666666666663</v>
      </c>
      <c r="AD78" s="105">
        <f t="shared" si="108"/>
        <v>1086.9565217391305</v>
      </c>
      <c r="AE78" s="75" t="str">
        <f t="shared" si="114"/>
        <v>계</v>
      </c>
      <c r="AF78" s="75" t="str">
        <f t="shared" si="115"/>
        <v>4/3</v>
      </c>
      <c r="AH78" s="20" t="str">
        <f t="shared" si="106"/>
        <v>석동 진해석동우림필유</v>
      </c>
      <c r="AI78" s="106">
        <f t="shared" si="107"/>
        <v>69</v>
      </c>
      <c r="AJ78" s="75" t="str">
        <f t="shared" si="116"/>
        <v>A-</v>
      </c>
      <c r="AK78" s="75" t="s">
        <v>14</v>
      </c>
      <c r="AL78" s="75" t="s">
        <v>870</v>
      </c>
      <c r="AM78" s="75" t="s">
        <v>871</v>
      </c>
      <c r="AN78" s="75" t="str">
        <f t="shared" si="117"/>
        <v>C</v>
      </c>
      <c r="AO78" s="75" t="str">
        <f t="shared" si="118"/>
        <v>X</v>
      </c>
      <c r="AP78" s="75" t="str">
        <f t="shared" si="119"/>
        <v>X</v>
      </c>
      <c r="AQ78" s="75" t="str">
        <f t="shared" si="120"/>
        <v>X</v>
      </c>
      <c r="AR78" s="75" t="str">
        <f t="shared" si="121"/>
        <v>X</v>
      </c>
      <c r="AS78" s="75" t="s">
        <v>2</v>
      </c>
      <c r="AT78" s="75" t="str">
        <f t="shared" si="122"/>
        <v>X</v>
      </c>
      <c r="AU78" s="75" t="str">
        <f t="shared" si="123"/>
        <v>O</v>
      </c>
      <c r="AV78" s="75" t="str">
        <f t="shared" si="124"/>
        <v>X</v>
      </c>
    </row>
    <row r="79" spans="1:48" s="38" customFormat="1" ht="12" x14ac:dyDescent="0.3">
      <c r="A79" s="110" t="s">
        <v>982</v>
      </c>
      <c r="B79" s="111" t="s">
        <v>983</v>
      </c>
      <c r="C79" s="112">
        <v>1192</v>
      </c>
      <c r="D79" s="104">
        <v>307.5</v>
      </c>
      <c r="E79" s="106">
        <v>93</v>
      </c>
      <c r="F79" s="104">
        <v>258.7</v>
      </c>
      <c r="G79" s="17">
        <v>78</v>
      </c>
      <c r="H79" s="107">
        <v>3</v>
      </c>
      <c r="I79" s="108">
        <v>80000</v>
      </c>
      <c r="J79" s="108" t="s">
        <v>873</v>
      </c>
      <c r="K79" s="108"/>
      <c r="L79" s="108"/>
      <c r="M79" s="109">
        <f t="shared" si="109"/>
        <v>80000</v>
      </c>
      <c r="N79" s="4">
        <f t="shared" si="110"/>
        <v>0</v>
      </c>
      <c r="O79" s="105">
        <f t="shared" si="111"/>
        <v>860.21505376344089</v>
      </c>
      <c r="P79" s="105">
        <f t="shared" si="112"/>
        <v>0</v>
      </c>
      <c r="Q79" s="75">
        <v>5</v>
      </c>
      <c r="R79" s="75">
        <v>3</v>
      </c>
      <c r="S79" s="75" t="s">
        <v>869</v>
      </c>
      <c r="T79" s="5">
        <v>307</v>
      </c>
      <c r="U79" s="9"/>
      <c r="W79" s="104">
        <f t="shared" si="125"/>
        <v>307.5</v>
      </c>
      <c r="X79" s="106">
        <f t="shared" si="125"/>
        <v>93</v>
      </c>
      <c r="Y79" s="102">
        <f t="shared" si="126"/>
        <v>3</v>
      </c>
      <c r="Z79" s="109">
        <f t="shared" si="126"/>
        <v>80000</v>
      </c>
      <c r="AA79" s="109">
        <f t="shared" si="113"/>
        <v>0</v>
      </c>
      <c r="AB79" s="109">
        <f t="shared" si="108"/>
        <v>80000</v>
      </c>
      <c r="AC79" s="4">
        <f t="shared" si="108"/>
        <v>0</v>
      </c>
      <c r="AD79" s="105">
        <f t="shared" si="108"/>
        <v>860.21505376344089</v>
      </c>
      <c r="AE79" s="75" t="str">
        <f t="shared" si="114"/>
        <v>계</v>
      </c>
      <c r="AF79" s="75" t="str">
        <f t="shared" si="115"/>
        <v>5/3</v>
      </c>
      <c r="AH79" s="20" t="str">
        <f t="shared" si="106"/>
        <v>석동 진해석동우림필유</v>
      </c>
      <c r="AI79" s="106">
        <f t="shared" si="107"/>
        <v>93</v>
      </c>
      <c r="AJ79" s="75" t="str">
        <f t="shared" si="116"/>
        <v>A-</v>
      </c>
      <c r="AK79" s="75" t="s">
        <v>14</v>
      </c>
      <c r="AL79" s="75" t="s">
        <v>870</v>
      </c>
      <c r="AM79" s="75" t="s">
        <v>871</v>
      </c>
      <c r="AN79" s="75" t="str">
        <f t="shared" si="117"/>
        <v>C</v>
      </c>
      <c r="AO79" s="75" t="str">
        <f t="shared" si="118"/>
        <v>X</v>
      </c>
      <c r="AP79" s="75" t="str">
        <f t="shared" si="119"/>
        <v>X</v>
      </c>
      <c r="AQ79" s="75" t="str">
        <f t="shared" si="120"/>
        <v>O</v>
      </c>
      <c r="AR79" s="75" t="str">
        <f t="shared" si="121"/>
        <v>X</v>
      </c>
      <c r="AS79" s="75" t="s">
        <v>2</v>
      </c>
      <c r="AT79" s="75" t="str">
        <f t="shared" si="122"/>
        <v>X</v>
      </c>
      <c r="AU79" s="75" t="str">
        <f t="shared" si="123"/>
        <v>O</v>
      </c>
      <c r="AV79" s="75" t="str">
        <f t="shared" si="124"/>
        <v>X</v>
      </c>
    </row>
    <row r="80" spans="1:48" s="38" customFormat="1" ht="12" x14ac:dyDescent="0.3">
      <c r="A80" s="110" t="s">
        <v>982</v>
      </c>
      <c r="B80" s="111" t="s">
        <v>983</v>
      </c>
      <c r="C80" s="112">
        <v>1192</v>
      </c>
      <c r="D80" s="104">
        <v>313.8</v>
      </c>
      <c r="E80" s="106">
        <v>95</v>
      </c>
      <c r="F80" s="104">
        <v>266.2</v>
      </c>
      <c r="G80" s="17">
        <v>81</v>
      </c>
      <c r="H80" s="107">
        <v>2</v>
      </c>
      <c r="I80" s="108"/>
      <c r="J80" s="108"/>
      <c r="K80" s="108"/>
      <c r="L80" s="108"/>
      <c r="M80" s="109">
        <f t="shared" si="109"/>
        <v>0</v>
      </c>
      <c r="N80" s="4" t="str">
        <f t="shared" si="110"/>
        <v/>
      </c>
      <c r="O80" s="105">
        <f t="shared" si="111"/>
        <v>0</v>
      </c>
      <c r="P80" s="105">
        <f t="shared" si="112"/>
        <v>0</v>
      </c>
      <c r="Q80" s="75">
        <v>5</v>
      </c>
      <c r="R80" s="75">
        <v>3</v>
      </c>
      <c r="S80" s="75" t="s">
        <v>869</v>
      </c>
      <c r="T80" s="5">
        <v>313</v>
      </c>
      <c r="U80" s="9"/>
      <c r="W80" s="104">
        <f t="shared" si="125"/>
        <v>313.8</v>
      </c>
      <c r="X80" s="106">
        <f t="shared" si="125"/>
        <v>95</v>
      </c>
      <c r="Y80" s="102">
        <f t="shared" si="126"/>
        <v>2</v>
      </c>
      <c r="Z80" s="109">
        <f t="shared" si="126"/>
        <v>0</v>
      </c>
      <c r="AA80" s="109">
        <f t="shared" si="113"/>
        <v>0</v>
      </c>
      <c r="AB80" s="109">
        <f t="shared" si="108"/>
        <v>0</v>
      </c>
      <c r="AC80" s="4" t="str">
        <f t="shared" si="108"/>
        <v/>
      </c>
      <c r="AD80" s="105">
        <f t="shared" si="108"/>
        <v>0</v>
      </c>
      <c r="AE80" s="75" t="str">
        <f t="shared" si="114"/>
        <v>계</v>
      </c>
      <c r="AF80" s="75" t="str">
        <f t="shared" si="115"/>
        <v>5/3</v>
      </c>
      <c r="AH80" s="20" t="str">
        <f t="shared" si="106"/>
        <v>석동 진해석동우림필유</v>
      </c>
      <c r="AI80" s="106">
        <f t="shared" si="107"/>
        <v>95</v>
      </c>
      <c r="AJ80" s="75" t="str">
        <f t="shared" si="116"/>
        <v>A-</v>
      </c>
      <c r="AK80" s="75" t="s">
        <v>14</v>
      </c>
      <c r="AL80" s="75" t="s">
        <v>870</v>
      </c>
      <c r="AM80" s="75" t="s">
        <v>871</v>
      </c>
      <c r="AN80" s="75" t="str">
        <f t="shared" si="117"/>
        <v>C</v>
      </c>
      <c r="AO80" s="75" t="str">
        <f t="shared" si="118"/>
        <v/>
      </c>
      <c r="AP80" s="75" t="str">
        <f t="shared" si="119"/>
        <v/>
      </c>
      <c r="AQ80" s="75" t="str">
        <f t="shared" si="120"/>
        <v>O</v>
      </c>
      <c r="AR80" s="75" t="str">
        <f t="shared" si="121"/>
        <v>O</v>
      </c>
      <c r="AS80" s="75" t="s">
        <v>2</v>
      </c>
      <c r="AT80" s="75" t="str">
        <f t="shared" si="122"/>
        <v>X</v>
      </c>
      <c r="AU80" s="75" t="str">
        <f t="shared" si="123"/>
        <v>O</v>
      </c>
      <c r="AV80" s="75" t="str">
        <f t="shared" si="124"/>
        <v/>
      </c>
    </row>
    <row r="81" spans="1:48" s="38" customFormat="1" ht="12" x14ac:dyDescent="0.3">
      <c r="A81" s="110" t="s">
        <v>984</v>
      </c>
      <c r="B81" s="111" t="s">
        <v>985</v>
      </c>
      <c r="C81" s="112">
        <v>397</v>
      </c>
      <c r="D81" s="104">
        <v>70.2</v>
      </c>
      <c r="E81" s="106">
        <v>21</v>
      </c>
      <c r="F81" s="104">
        <v>59.8</v>
      </c>
      <c r="G81" s="17">
        <v>18</v>
      </c>
      <c r="H81" s="107">
        <v>43</v>
      </c>
      <c r="I81" s="108"/>
      <c r="J81" s="108"/>
      <c r="K81" s="108"/>
      <c r="L81" s="108"/>
      <c r="M81" s="109">
        <f t="shared" si="109"/>
        <v>0</v>
      </c>
      <c r="N81" s="4" t="str">
        <f t="shared" si="110"/>
        <v/>
      </c>
      <c r="O81" s="105">
        <f t="shared" si="111"/>
        <v>0</v>
      </c>
      <c r="P81" s="105">
        <f t="shared" si="112"/>
        <v>0</v>
      </c>
      <c r="Q81" s="75">
        <v>3</v>
      </c>
      <c r="R81" s="75">
        <v>1</v>
      </c>
      <c r="S81" s="75" t="s">
        <v>903</v>
      </c>
      <c r="T81" s="5">
        <v>70</v>
      </c>
      <c r="U81" s="9"/>
      <c r="W81" s="104">
        <f t="shared" si="125"/>
        <v>70.2</v>
      </c>
      <c r="X81" s="106">
        <f t="shared" si="125"/>
        <v>21</v>
      </c>
      <c r="Y81" s="102">
        <f t="shared" si="126"/>
        <v>43</v>
      </c>
      <c r="Z81" s="109">
        <f t="shared" si="126"/>
        <v>0</v>
      </c>
      <c r="AA81" s="109">
        <f t="shared" si="113"/>
        <v>0</v>
      </c>
      <c r="AB81" s="109">
        <f t="shared" si="108"/>
        <v>0</v>
      </c>
      <c r="AC81" s="4" t="str">
        <f t="shared" si="108"/>
        <v/>
      </c>
      <c r="AD81" s="105">
        <f t="shared" si="108"/>
        <v>0</v>
      </c>
      <c r="AE81" s="75" t="str">
        <f t="shared" si="114"/>
        <v>복</v>
      </c>
      <c r="AF81" s="75" t="str">
        <f t="shared" si="115"/>
        <v>3/1</v>
      </c>
      <c r="AH81" s="20" t="str">
        <f t="shared" si="106"/>
        <v>석동 벚꽃그린빌주공4단지</v>
      </c>
      <c r="AI81" s="106">
        <f t="shared" si="107"/>
        <v>21</v>
      </c>
      <c r="AJ81" s="75" t="str">
        <f t="shared" si="116"/>
        <v>A-</v>
      </c>
      <c r="AK81" s="75" t="s">
        <v>14</v>
      </c>
      <c r="AL81" s="75" t="s">
        <v>870</v>
      </c>
      <c r="AM81" s="75" t="s">
        <v>871</v>
      </c>
      <c r="AN81" s="75" t="str">
        <f t="shared" si="117"/>
        <v>C</v>
      </c>
      <c r="AO81" s="75" t="str">
        <f t="shared" si="118"/>
        <v/>
      </c>
      <c r="AP81" s="75" t="str">
        <f t="shared" si="119"/>
        <v/>
      </c>
      <c r="AQ81" s="75" t="str">
        <f t="shared" si="120"/>
        <v>O</v>
      </c>
      <c r="AR81" s="75" t="str">
        <f t="shared" si="121"/>
        <v>O</v>
      </c>
      <c r="AS81" s="75" t="s">
        <v>2</v>
      </c>
      <c r="AT81" s="75" t="str">
        <f t="shared" si="122"/>
        <v>O</v>
      </c>
      <c r="AU81" s="75" t="str">
        <f t="shared" si="123"/>
        <v>O</v>
      </c>
      <c r="AV81" s="75" t="str">
        <f t="shared" si="124"/>
        <v/>
      </c>
    </row>
    <row r="82" spans="1:48" s="38" customFormat="1" ht="12" x14ac:dyDescent="0.3">
      <c r="A82" s="110" t="s">
        <v>984</v>
      </c>
      <c r="B82" s="111" t="s">
        <v>985</v>
      </c>
      <c r="C82" s="112">
        <v>397</v>
      </c>
      <c r="D82" s="104">
        <v>75.900000000000006</v>
      </c>
      <c r="E82" s="106">
        <v>23</v>
      </c>
      <c r="F82" s="104">
        <v>59.8</v>
      </c>
      <c r="G82" s="17">
        <v>18</v>
      </c>
      <c r="H82" s="107">
        <v>132</v>
      </c>
      <c r="I82" s="108">
        <v>21700</v>
      </c>
      <c r="J82" s="108" t="s">
        <v>873</v>
      </c>
      <c r="K82" s="108"/>
      <c r="L82" s="108"/>
      <c r="M82" s="109">
        <f t="shared" si="109"/>
        <v>21700</v>
      </c>
      <c r="N82" s="4">
        <f t="shared" si="110"/>
        <v>0</v>
      </c>
      <c r="O82" s="105">
        <f t="shared" si="111"/>
        <v>943.47826086956525</v>
      </c>
      <c r="P82" s="105">
        <f t="shared" si="112"/>
        <v>0</v>
      </c>
      <c r="Q82" s="75">
        <v>3</v>
      </c>
      <c r="R82" s="75">
        <v>1</v>
      </c>
      <c r="S82" s="75" t="s">
        <v>869</v>
      </c>
      <c r="T82" s="5">
        <v>75</v>
      </c>
      <c r="U82" s="9"/>
      <c r="W82" s="104">
        <f t="shared" si="125"/>
        <v>75.900000000000006</v>
      </c>
      <c r="X82" s="106">
        <f t="shared" si="125"/>
        <v>23</v>
      </c>
      <c r="Y82" s="102">
        <f t="shared" si="126"/>
        <v>132</v>
      </c>
      <c r="Z82" s="109">
        <f t="shared" si="126"/>
        <v>21700</v>
      </c>
      <c r="AA82" s="109">
        <f t="shared" si="113"/>
        <v>0</v>
      </c>
      <c r="AB82" s="109">
        <f t="shared" si="108"/>
        <v>21700</v>
      </c>
      <c r="AC82" s="4">
        <f t="shared" si="108"/>
        <v>0</v>
      </c>
      <c r="AD82" s="105">
        <f t="shared" si="108"/>
        <v>943.47826086956525</v>
      </c>
      <c r="AE82" s="75" t="str">
        <f t="shared" si="114"/>
        <v>계</v>
      </c>
      <c r="AF82" s="75" t="str">
        <f t="shared" si="115"/>
        <v>3/1</v>
      </c>
      <c r="AH82" s="20" t="str">
        <f t="shared" si="106"/>
        <v>석동 벚꽃그린빌주공4단지</v>
      </c>
      <c r="AI82" s="106">
        <f t="shared" si="107"/>
        <v>23</v>
      </c>
      <c r="AJ82" s="75" t="str">
        <f t="shared" si="116"/>
        <v>A-</v>
      </c>
      <c r="AK82" s="75" t="s">
        <v>14</v>
      </c>
      <c r="AL82" s="75" t="s">
        <v>870</v>
      </c>
      <c r="AM82" s="75" t="s">
        <v>871</v>
      </c>
      <c r="AN82" s="75" t="str">
        <f t="shared" si="117"/>
        <v>C</v>
      </c>
      <c r="AO82" s="75" t="str">
        <f t="shared" si="118"/>
        <v>X</v>
      </c>
      <c r="AP82" s="75" t="str">
        <f t="shared" si="119"/>
        <v>O</v>
      </c>
      <c r="AQ82" s="75" t="str">
        <f t="shared" si="120"/>
        <v>O</v>
      </c>
      <c r="AR82" s="75" t="str">
        <f t="shared" si="121"/>
        <v>X</v>
      </c>
      <c r="AS82" s="75" t="s">
        <v>2</v>
      </c>
      <c r="AT82" s="75" t="str">
        <f t="shared" si="122"/>
        <v>O</v>
      </c>
      <c r="AU82" s="75" t="str">
        <f t="shared" si="123"/>
        <v>O</v>
      </c>
      <c r="AV82" s="75" t="str">
        <f t="shared" si="124"/>
        <v>X</v>
      </c>
    </row>
    <row r="83" spans="1:48" s="38" customFormat="1" ht="12" x14ac:dyDescent="0.3">
      <c r="A83" s="110" t="s">
        <v>984</v>
      </c>
      <c r="B83" s="111" t="s">
        <v>985</v>
      </c>
      <c r="C83" s="112">
        <v>397</v>
      </c>
      <c r="D83" s="104">
        <v>87.9</v>
      </c>
      <c r="E83" s="106">
        <v>27</v>
      </c>
      <c r="F83" s="104">
        <v>75</v>
      </c>
      <c r="G83" s="17">
        <v>23</v>
      </c>
      <c r="H83" s="107">
        <v>34</v>
      </c>
      <c r="I83" s="108"/>
      <c r="J83" s="108"/>
      <c r="K83" s="108"/>
      <c r="L83" s="108"/>
      <c r="M83" s="109">
        <f t="shared" si="109"/>
        <v>0</v>
      </c>
      <c r="N83" s="4" t="str">
        <f t="shared" si="110"/>
        <v/>
      </c>
      <c r="O83" s="105">
        <f t="shared" si="111"/>
        <v>0</v>
      </c>
      <c r="P83" s="105">
        <f t="shared" si="112"/>
        <v>0</v>
      </c>
      <c r="Q83" s="75">
        <v>3</v>
      </c>
      <c r="R83" s="75">
        <v>2</v>
      </c>
      <c r="S83" s="75" t="s">
        <v>903</v>
      </c>
      <c r="T83" s="5">
        <v>87</v>
      </c>
      <c r="U83" s="9"/>
      <c r="W83" s="104">
        <f t="shared" si="125"/>
        <v>87.9</v>
      </c>
      <c r="X83" s="106">
        <f t="shared" si="125"/>
        <v>27</v>
      </c>
      <c r="Y83" s="102">
        <f t="shared" si="126"/>
        <v>34</v>
      </c>
      <c r="Z83" s="109">
        <f t="shared" si="126"/>
        <v>0</v>
      </c>
      <c r="AA83" s="109">
        <f t="shared" si="113"/>
        <v>0</v>
      </c>
      <c r="AB83" s="109">
        <f t="shared" ref="AB83:AD98" si="127">M83</f>
        <v>0</v>
      </c>
      <c r="AC83" s="4" t="str">
        <f t="shared" si="127"/>
        <v/>
      </c>
      <c r="AD83" s="105">
        <f t="shared" si="127"/>
        <v>0</v>
      </c>
      <c r="AE83" s="75" t="str">
        <f t="shared" si="114"/>
        <v>복</v>
      </c>
      <c r="AF83" s="75" t="str">
        <f t="shared" si="115"/>
        <v>3/2</v>
      </c>
      <c r="AH83" s="20" t="str">
        <f t="shared" si="106"/>
        <v>석동 벚꽃그린빌주공4단지</v>
      </c>
      <c r="AI83" s="106">
        <f t="shared" si="107"/>
        <v>27</v>
      </c>
      <c r="AJ83" s="75" t="str">
        <f t="shared" si="116"/>
        <v>A-</v>
      </c>
      <c r="AK83" s="75" t="s">
        <v>14</v>
      </c>
      <c r="AL83" s="75" t="s">
        <v>870</v>
      </c>
      <c r="AM83" s="75" t="s">
        <v>871</v>
      </c>
      <c r="AN83" s="75" t="str">
        <f t="shared" si="117"/>
        <v>C</v>
      </c>
      <c r="AO83" s="75" t="str">
        <f t="shared" si="118"/>
        <v/>
      </c>
      <c r="AP83" s="75" t="str">
        <f t="shared" si="119"/>
        <v/>
      </c>
      <c r="AQ83" s="75" t="str">
        <f t="shared" si="120"/>
        <v>O</v>
      </c>
      <c r="AR83" s="75" t="str">
        <f t="shared" si="121"/>
        <v>O</v>
      </c>
      <c r="AS83" s="75" t="s">
        <v>2</v>
      </c>
      <c r="AT83" s="75" t="str">
        <f t="shared" si="122"/>
        <v>O</v>
      </c>
      <c r="AU83" s="75" t="str">
        <f t="shared" si="123"/>
        <v>O</v>
      </c>
      <c r="AV83" s="75" t="str">
        <f t="shared" si="124"/>
        <v/>
      </c>
    </row>
    <row r="84" spans="1:48" s="38" customFormat="1" ht="12" x14ac:dyDescent="0.3">
      <c r="A84" s="110" t="s">
        <v>984</v>
      </c>
      <c r="B84" s="111" t="s">
        <v>985</v>
      </c>
      <c r="C84" s="112">
        <v>397</v>
      </c>
      <c r="D84" s="104">
        <v>94.6</v>
      </c>
      <c r="E84" s="106">
        <v>29</v>
      </c>
      <c r="F84" s="104">
        <v>75</v>
      </c>
      <c r="G84" s="17">
        <v>23</v>
      </c>
      <c r="H84" s="107">
        <v>108</v>
      </c>
      <c r="I84" s="108"/>
      <c r="J84" s="108"/>
      <c r="K84" s="108"/>
      <c r="L84" s="108"/>
      <c r="M84" s="109">
        <f t="shared" si="109"/>
        <v>0</v>
      </c>
      <c r="N84" s="4" t="str">
        <f t="shared" si="110"/>
        <v/>
      </c>
      <c r="O84" s="105">
        <f t="shared" si="111"/>
        <v>0</v>
      </c>
      <c r="P84" s="105">
        <f t="shared" si="112"/>
        <v>0</v>
      </c>
      <c r="Q84" s="75">
        <v>3</v>
      </c>
      <c r="R84" s="75">
        <v>2</v>
      </c>
      <c r="S84" s="75" t="s">
        <v>869</v>
      </c>
      <c r="T84" s="5">
        <v>94</v>
      </c>
      <c r="U84" s="9"/>
      <c r="W84" s="104">
        <f t="shared" si="125"/>
        <v>94.6</v>
      </c>
      <c r="X84" s="106">
        <f t="shared" si="125"/>
        <v>29</v>
      </c>
      <c r="Y84" s="102">
        <f t="shared" si="126"/>
        <v>108</v>
      </c>
      <c r="Z84" s="109">
        <f t="shared" si="126"/>
        <v>0</v>
      </c>
      <c r="AA84" s="109">
        <f t="shared" si="113"/>
        <v>0</v>
      </c>
      <c r="AB84" s="109">
        <f t="shared" si="127"/>
        <v>0</v>
      </c>
      <c r="AC84" s="4" t="str">
        <f t="shared" si="127"/>
        <v/>
      </c>
      <c r="AD84" s="105">
        <f t="shared" si="127"/>
        <v>0</v>
      </c>
      <c r="AE84" s="75" t="str">
        <f t="shared" si="114"/>
        <v>계</v>
      </c>
      <c r="AF84" s="75" t="str">
        <f t="shared" si="115"/>
        <v>3/2</v>
      </c>
      <c r="AH84" s="20" t="str">
        <f t="shared" si="106"/>
        <v>석동 벚꽃그린빌주공4단지</v>
      </c>
      <c r="AI84" s="106">
        <f t="shared" si="107"/>
        <v>29</v>
      </c>
      <c r="AJ84" s="75" t="str">
        <f t="shared" si="116"/>
        <v>A-</v>
      </c>
      <c r="AK84" s="75" t="s">
        <v>14</v>
      </c>
      <c r="AL84" s="75" t="s">
        <v>870</v>
      </c>
      <c r="AM84" s="75" t="s">
        <v>871</v>
      </c>
      <c r="AN84" s="75" t="str">
        <f t="shared" si="117"/>
        <v>C</v>
      </c>
      <c r="AO84" s="75" t="str">
        <f t="shared" si="118"/>
        <v/>
      </c>
      <c r="AP84" s="75" t="str">
        <f t="shared" si="119"/>
        <v/>
      </c>
      <c r="AQ84" s="75" t="str">
        <f t="shared" si="120"/>
        <v>O</v>
      </c>
      <c r="AR84" s="75" t="str">
        <f t="shared" si="121"/>
        <v>O</v>
      </c>
      <c r="AS84" s="75" t="s">
        <v>2</v>
      </c>
      <c r="AT84" s="75" t="str">
        <f t="shared" si="122"/>
        <v>O</v>
      </c>
      <c r="AU84" s="75" t="str">
        <f t="shared" si="123"/>
        <v>O</v>
      </c>
      <c r="AV84" s="75" t="str">
        <f t="shared" si="124"/>
        <v/>
      </c>
    </row>
    <row r="85" spans="1:48" s="38" customFormat="1" ht="12" x14ac:dyDescent="0.3">
      <c r="A85" s="110" t="s">
        <v>984</v>
      </c>
      <c r="B85" s="111" t="s">
        <v>985</v>
      </c>
      <c r="C85" s="112">
        <v>397</v>
      </c>
      <c r="D85" s="104">
        <v>99.6</v>
      </c>
      <c r="E85" s="106">
        <v>30</v>
      </c>
      <c r="F85" s="104">
        <v>85</v>
      </c>
      <c r="G85" s="17">
        <v>26</v>
      </c>
      <c r="H85" s="107">
        <v>20</v>
      </c>
      <c r="I85" s="108"/>
      <c r="J85" s="108"/>
      <c r="K85" s="108"/>
      <c r="L85" s="108"/>
      <c r="M85" s="109">
        <f t="shared" si="109"/>
        <v>0</v>
      </c>
      <c r="N85" s="4" t="str">
        <f t="shared" si="110"/>
        <v/>
      </c>
      <c r="O85" s="105">
        <f t="shared" si="111"/>
        <v>0</v>
      </c>
      <c r="P85" s="105">
        <f t="shared" si="112"/>
        <v>0</v>
      </c>
      <c r="Q85" s="75">
        <v>3</v>
      </c>
      <c r="R85" s="75">
        <v>2</v>
      </c>
      <c r="S85" s="75" t="s">
        <v>903</v>
      </c>
      <c r="T85" s="5">
        <v>99</v>
      </c>
      <c r="U85" s="9"/>
      <c r="W85" s="104">
        <f t="shared" si="125"/>
        <v>99.6</v>
      </c>
      <c r="X85" s="106">
        <f t="shared" si="125"/>
        <v>30</v>
      </c>
      <c r="Y85" s="102">
        <f t="shared" si="126"/>
        <v>20</v>
      </c>
      <c r="Z85" s="109">
        <f t="shared" si="126"/>
        <v>0</v>
      </c>
      <c r="AA85" s="109">
        <f t="shared" si="113"/>
        <v>0</v>
      </c>
      <c r="AB85" s="109">
        <f t="shared" si="127"/>
        <v>0</v>
      </c>
      <c r="AC85" s="4" t="str">
        <f t="shared" si="127"/>
        <v/>
      </c>
      <c r="AD85" s="105">
        <f t="shared" si="127"/>
        <v>0</v>
      </c>
      <c r="AE85" s="75" t="str">
        <f t="shared" si="114"/>
        <v>복</v>
      </c>
      <c r="AF85" s="75" t="str">
        <f t="shared" si="115"/>
        <v>3/2</v>
      </c>
      <c r="AH85" s="20" t="str">
        <f t="shared" si="106"/>
        <v>석동 벚꽃그린빌주공4단지</v>
      </c>
      <c r="AI85" s="106">
        <f t="shared" si="107"/>
        <v>30</v>
      </c>
      <c r="AJ85" s="75" t="str">
        <f t="shared" si="116"/>
        <v>A-</v>
      </c>
      <c r="AK85" s="75" t="s">
        <v>14</v>
      </c>
      <c r="AL85" s="75" t="s">
        <v>870</v>
      </c>
      <c r="AM85" s="75" t="s">
        <v>871</v>
      </c>
      <c r="AN85" s="75" t="str">
        <f t="shared" si="117"/>
        <v>C</v>
      </c>
      <c r="AO85" s="75" t="str">
        <f t="shared" si="118"/>
        <v/>
      </c>
      <c r="AP85" s="75" t="str">
        <f t="shared" si="119"/>
        <v/>
      </c>
      <c r="AQ85" s="75" t="str">
        <f t="shared" si="120"/>
        <v>O</v>
      </c>
      <c r="AR85" s="75" t="str">
        <f t="shared" si="121"/>
        <v>O</v>
      </c>
      <c r="AS85" s="75" t="s">
        <v>2</v>
      </c>
      <c r="AT85" s="75" t="str">
        <f t="shared" si="122"/>
        <v>O</v>
      </c>
      <c r="AU85" s="75" t="str">
        <f t="shared" si="123"/>
        <v>O</v>
      </c>
      <c r="AV85" s="75" t="str">
        <f t="shared" si="124"/>
        <v/>
      </c>
    </row>
    <row r="86" spans="1:48" s="38" customFormat="1" ht="12" x14ac:dyDescent="0.3">
      <c r="A86" s="110" t="s">
        <v>984</v>
      </c>
      <c r="B86" s="111" t="s">
        <v>985</v>
      </c>
      <c r="C86" s="112">
        <v>397</v>
      </c>
      <c r="D86" s="104">
        <v>107</v>
      </c>
      <c r="E86" s="106">
        <v>32</v>
      </c>
      <c r="F86" s="104">
        <v>85</v>
      </c>
      <c r="G86" s="17">
        <v>26</v>
      </c>
      <c r="H86" s="107">
        <v>60</v>
      </c>
      <c r="I86" s="108"/>
      <c r="J86" s="108"/>
      <c r="K86" s="108"/>
      <c r="L86" s="108"/>
      <c r="M86" s="109">
        <f t="shared" si="109"/>
        <v>0</v>
      </c>
      <c r="N86" s="4" t="str">
        <f t="shared" si="110"/>
        <v/>
      </c>
      <c r="O86" s="105">
        <f t="shared" si="111"/>
        <v>0</v>
      </c>
      <c r="P86" s="105">
        <f t="shared" si="112"/>
        <v>0</v>
      </c>
      <c r="Q86" s="75">
        <v>3</v>
      </c>
      <c r="R86" s="75">
        <v>2</v>
      </c>
      <c r="S86" s="75" t="s">
        <v>869</v>
      </c>
      <c r="T86" s="5">
        <v>107</v>
      </c>
      <c r="U86" s="9"/>
      <c r="W86" s="104">
        <f t="shared" si="125"/>
        <v>107</v>
      </c>
      <c r="X86" s="106">
        <f t="shared" si="125"/>
        <v>32</v>
      </c>
      <c r="Y86" s="102">
        <f t="shared" si="126"/>
        <v>60</v>
      </c>
      <c r="Z86" s="109">
        <f t="shared" si="126"/>
        <v>0</v>
      </c>
      <c r="AA86" s="109">
        <f t="shared" si="113"/>
        <v>0</v>
      </c>
      <c r="AB86" s="109">
        <f t="shared" si="127"/>
        <v>0</v>
      </c>
      <c r="AC86" s="4" t="str">
        <f t="shared" si="127"/>
        <v/>
      </c>
      <c r="AD86" s="105">
        <f t="shared" si="127"/>
        <v>0</v>
      </c>
      <c r="AE86" s="75" t="str">
        <f t="shared" si="114"/>
        <v>계</v>
      </c>
      <c r="AF86" s="75" t="str">
        <f t="shared" si="115"/>
        <v>3/2</v>
      </c>
      <c r="AH86" s="20" t="str">
        <f t="shared" si="106"/>
        <v>석동 벚꽃그린빌주공4단지</v>
      </c>
      <c r="AI86" s="106">
        <f t="shared" si="107"/>
        <v>32</v>
      </c>
      <c r="AJ86" s="75" t="str">
        <f t="shared" si="116"/>
        <v>A-</v>
      </c>
      <c r="AK86" s="75" t="s">
        <v>14</v>
      </c>
      <c r="AL86" s="75" t="s">
        <v>870</v>
      </c>
      <c r="AM86" s="75" t="s">
        <v>871</v>
      </c>
      <c r="AN86" s="75" t="str">
        <f t="shared" si="117"/>
        <v>C</v>
      </c>
      <c r="AO86" s="75" t="str">
        <f t="shared" si="118"/>
        <v/>
      </c>
      <c r="AP86" s="75" t="str">
        <f t="shared" si="119"/>
        <v/>
      </c>
      <c r="AQ86" s="75" t="str">
        <f t="shared" si="120"/>
        <v>O</v>
      </c>
      <c r="AR86" s="75" t="str">
        <f t="shared" si="121"/>
        <v>O</v>
      </c>
      <c r="AS86" s="75" t="s">
        <v>2</v>
      </c>
      <c r="AT86" s="75" t="str">
        <f t="shared" si="122"/>
        <v>O</v>
      </c>
      <c r="AU86" s="75" t="str">
        <f t="shared" si="123"/>
        <v>O</v>
      </c>
      <c r="AV86" s="75" t="str">
        <f t="shared" si="124"/>
        <v/>
      </c>
    </row>
    <row r="87" spans="1:48" s="38" customFormat="1" ht="12" x14ac:dyDescent="0.3">
      <c r="A87" s="110" t="s">
        <v>986</v>
      </c>
      <c r="B87" s="111" t="s">
        <v>985</v>
      </c>
      <c r="C87" s="112">
        <v>266</v>
      </c>
      <c r="D87" s="104">
        <v>63.3</v>
      </c>
      <c r="E87" s="106">
        <v>19</v>
      </c>
      <c r="F87" s="104">
        <v>51.7</v>
      </c>
      <c r="G87" s="17">
        <v>16</v>
      </c>
      <c r="H87" s="107">
        <v>80</v>
      </c>
      <c r="I87" s="108"/>
      <c r="J87" s="108"/>
      <c r="K87" s="108"/>
      <c r="L87" s="108"/>
      <c r="M87" s="109">
        <f t="shared" ref="M87:M117" si="128">I87-K87</f>
        <v>0</v>
      </c>
      <c r="N87" s="4" t="str">
        <f t="shared" ref="N87:N117" si="129">IF(ISERROR(K87/I87),"",K87/I87)</f>
        <v/>
      </c>
      <c r="O87" s="105">
        <f t="shared" ref="O87:O117" si="130">I87/E87</f>
        <v>0</v>
      </c>
      <c r="P87" s="105">
        <f t="shared" ref="P87:P117" si="131">K87/E87</f>
        <v>0</v>
      </c>
      <c r="Q87" s="75">
        <v>3</v>
      </c>
      <c r="R87" s="75">
        <v>1</v>
      </c>
      <c r="S87" s="75" t="s">
        <v>869</v>
      </c>
      <c r="T87" s="5">
        <v>63</v>
      </c>
      <c r="U87" s="9"/>
      <c r="W87" s="104">
        <f>D87</f>
        <v>63.3</v>
      </c>
      <c r="X87" s="106">
        <f>E87</f>
        <v>19</v>
      </c>
      <c r="Y87" s="102">
        <f>H87</f>
        <v>80</v>
      </c>
      <c r="Z87" s="109">
        <f>I87</f>
        <v>0</v>
      </c>
      <c r="AA87" s="109">
        <f t="shared" ref="AA87:AA117" si="132">K87</f>
        <v>0</v>
      </c>
      <c r="AB87" s="109">
        <f t="shared" si="127"/>
        <v>0</v>
      </c>
      <c r="AC87" s="4" t="str">
        <f t="shared" si="127"/>
        <v/>
      </c>
      <c r="AD87" s="105">
        <f t="shared" si="127"/>
        <v>0</v>
      </c>
      <c r="AE87" s="75" t="str">
        <f t="shared" ref="AE87:AE117" si="133">S87</f>
        <v>계</v>
      </c>
      <c r="AF87" s="75" t="str">
        <f t="shared" ref="AF87:AF117" si="134">Q87&amp;"/"&amp;R87</f>
        <v>3/1</v>
      </c>
      <c r="AH87" s="20" t="str">
        <f t="shared" si="106"/>
        <v>석동 벚꽃그린빌주공2단지</v>
      </c>
      <c r="AI87" s="106">
        <f t="shared" si="107"/>
        <v>19</v>
      </c>
      <c r="AJ87" s="75" t="str">
        <f t="shared" ref="AJ87:AJ117" si="135">IF(AI87="","",$AJ$2)</f>
        <v>A-</v>
      </c>
      <c r="AK87" s="75" t="s">
        <v>14</v>
      </c>
      <c r="AL87" s="75" t="s">
        <v>870</v>
      </c>
      <c r="AM87" s="75" t="s">
        <v>871</v>
      </c>
      <c r="AN87" s="75" t="str">
        <f t="shared" ref="AN87:AN117" si="136">IF(AI87="","",$AN$2)</f>
        <v>C</v>
      </c>
      <c r="AO87" s="75" t="str">
        <f t="shared" ref="AO87:AO117" si="137">IF(N87="","",IF(N87&gt;=$AO$1/100,"O","X"))</f>
        <v/>
      </c>
      <c r="AP87" s="75" t="str">
        <f t="shared" ref="AP87:AP117" si="138">IF(I87="","",IF(I87&lt;=$AP$1,"O","X"))</f>
        <v/>
      </c>
      <c r="AQ87" s="75" t="str">
        <f t="shared" ref="AQ87:AQ117" si="139">IF(O87="","",IF(O87&lt;=$AQ$1,"O","X"))</f>
        <v>O</v>
      </c>
      <c r="AR87" s="75" t="str">
        <f t="shared" ref="AR87:AR117" si="140">IF(M87="","",IF(M87&lt;=$AR$1,"O","X"))</f>
        <v>O</v>
      </c>
      <c r="AS87" s="75" t="s">
        <v>2</v>
      </c>
      <c r="AT87" s="75" t="str">
        <f t="shared" ref="AT87:AT117" si="141">IF(OR(F87="",AI87=""),"",IF(AND((F87&lt;=85),(AI87&gt;=15)),"O","X"))</f>
        <v>O</v>
      </c>
      <c r="AU87" s="75" t="str">
        <f t="shared" ref="AU87:AU117" si="142">IF(C87="","",IF(C87&gt;=$AU$1,"O","X"))</f>
        <v>X</v>
      </c>
      <c r="AV87" s="75" t="str">
        <f t="shared" ref="AV87:AV117" si="143">IF(AO87="","",IF(AND(AO87="O",AP87="O",AR87="O",AT87="O",AU87="O"),"후보","X"))</f>
        <v/>
      </c>
    </row>
    <row r="88" spans="1:48" s="38" customFormat="1" ht="12" x14ac:dyDescent="0.3">
      <c r="A88" s="110" t="s">
        <v>986</v>
      </c>
      <c r="B88" s="111" t="s">
        <v>985</v>
      </c>
      <c r="C88" s="112">
        <v>266</v>
      </c>
      <c r="D88" s="104">
        <v>84.3</v>
      </c>
      <c r="E88" s="106">
        <v>26</v>
      </c>
      <c r="F88" s="104">
        <v>59.8</v>
      </c>
      <c r="G88" s="17">
        <v>18</v>
      </c>
      <c r="H88" s="107">
        <v>186</v>
      </c>
      <c r="I88" s="108"/>
      <c r="J88" s="108"/>
      <c r="K88" s="108"/>
      <c r="L88" s="108"/>
      <c r="M88" s="109">
        <f t="shared" si="128"/>
        <v>0</v>
      </c>
      <c r="N88" s="4" t="str">
        <f t="shared" si="129"/>
        <v/>
      </c>
      <c r="O88" s="105">
        <f t="shared" si="130"/>
        <v>0</v>
      </c>
      <c r="P88" s="105">
        <f t="shared" si="131"/>
        <v>0</v>
      </c>
      <c r="Q88" s="75">
        <v>3</v>
      </c>
      <c r="R88" s="75">
        <v>1</v>
      </c>
      <c r="S88" s="75" t="s">
        <v>869</v>
      </c>
      <c r="T88" s="5">
        <v>84</v>
      </c>
      <c r="U88" s="9"/>
      <c r="W88" s="104">
        <f>D88</f>
        <v>84.3</v>
      </c>
      <c r="X88" s="106">
        <f>E88</f>
        <v>26</v>
      </c>
      <c r="Y88" s="102">
        <f>H88</f>
        <v>186</v>
      </c>
      <c r="Z88" s="109">
        <f>I88</f>
        <v>0</v>
      </c>
      <c r="AA88" s="109">
        <f t="shared" si="132"/>
        <v>0</v>
      </c>
      <c r="AB88" s="109">
        <f t="shared" si="127"/>
        <v>0</v>
      </c>
      <c r="AC88" s="4" t="str">
        <f t="shared" si="127"/>
        <v/>
      </c>
      <c r="AD88" s="105">
        <f t="shared" si="127"/>
        <v>0</v>
      </c>
      <c r="AE88" s="75" t="str">
        <f t="shared" si="133"/>
        <v>계</v>
      </c>
      <c r="AF88" s="75" t="str">
        <f t="shared" si="134"/>
        <v>3/1</v>
      </c>
      <c r="AH88" s="20" t="str">
        <f t="shared" si="106"/>
        <v>석동 벚꽃그린빌주공2단지</v>
      </c>
      <c r="AI88" s="106">
        <f t="shared" si="107"/>
        <v>26</v>
      </c>
      <c r="AJ88" s="75" t="str">
        <f t="shared" si="135"/>
        <v>A-</v>
      </c>
      <c r="AK88" s="75" t="s">
        <v>14</v>
      </c>
      <c r="AL88" s="75" t="s">
        <v>870</v>
      </c>
      <c r="AM88" s="75" t="s">
        <v>871</v>
      </c>
      <c r="AN88" s="75" t="str">
        <f t="shared" si="136"/>
        <v>C</v>
      </c>
      <c r="AO88" s="75" t="str">
        <f t="shared" si="137"/>
        <v/>
      </c>
      <c r="AP88" s="75" t="str">
        <f t="shared" si="138"/>
        <v/>
      </c>
      <c r="AQ88" s="75" t="str">
        <f t="shared" si="139"/>
        <v>O</v>
      </c>
      <c r="AR88" s="75" t="str">
        <f t="shared" si="140"/>
        <v>O</v>
      </c>
      <c r="AS88" s="75" t="s">
        <v>2</v>
      </c>
      <c r="AT88" s="75" t="str">
        <f t="shared" si="141"/>
        <v>O</v>
      </c>
      <c r="AU88" s="75" t="str">
        <f t="shared" si="142"/>
        <v>X</v>
      </c>
      <c r="AV88" s="75" t="str">
        <f t="shared" si="143"/>
        <v/>
      </c>
    </row>
    <row r="89" spans="1:48" s="38" customFormat="1" ht="12" x14ac:dyDescent="0.3">
      <c r="A89" s="110" t="s">
        <v>987</v>
      </c>
      <c r="B89" s="111" t="s">
        <v>988</v>
      </c>
      <c r="C89" s="112">
        <v>750</v>
      </c>
      <c r="D89" s="104">
        <v>42.4</v>
      </c>
      <c r="E89" s="106">
        <v>13</v>
      </c>
      <c r="F89" s="104">
        <v>32.799999999999997</v>
      </c>
      <c r="G89" s="17">
        <v>10</v>
      </c>
      <c r="H89" s="107">
        <v>327</v>
      </c>
      <c r="I89" s="108">
        <v>9500</v>
      </c>
      <c r="J89" s="108" t="s">
        <v>878</v>
      </c>
      <c r="K89" s="108"/>
      <c r="L89" s="108"/>
      <c r="M89" s="109">
        <f t="shared" si="128"/>
        <v>9500</v>
      </c>
      <c r="N89" s="4">
        <f t="shared" si="129"/>
        <v>0</v>
      </c>
      <c r="O89" s="105">
        <f t="shared" si="130"/>
        <v>730.76923076923072</v>
      </c>
      <c r="P89" s="105">
        <f t="shared" si="131"/>
        <v>0</v>
      </c>
      <c r="Q89" s="75">
        <v>2</v>
      </c>
      <c r="R89" s="75">
        <v>1</v>
      </c>
      <c r="S89" s="75" t="s">
        <v>869</v>
      </c>
      <c r="T89" s="5">
        <v>42</v>
      </c>
      <c r="U89" s="9"/>
      <c r="W89" s="104">
        <f t="shared" ref="W89:X98" si="144">D89</f>
        <v>42.4</v>
      </c>
      <c r="X89" s="106">
        <f t="shared" si="144"/>
        <v>13</v>
      </c>
      <c r="Y89" s="102">
        <f t="shared" ref="Y89:Z98" si="145">H89</f>
        <v>327</v>
      </c>
      <c r="Z89" s="109">
        <f t="shared" si="145"/>
        <v>9500</v>
      </c>
      <c r="AA89" s="109">
        <f t="shared" si="132"/>
        <v>0</v>
      </c>
      <c r="AB89" s="109">
        <f t="shared" si="127"/>
        <v>9500</v>
      </c>
      <c r="AC89" s="4">
        <f t="shared" si="127"/>
        <v>0</v>
      </c>
      <c r="AD89" s="105">
        <f t="shared" si="127"/>
        <v>730.76923076923072</v>
      </c>
      <c r="AE89" s="75" t="str">
        <f t="shared" si="133"/>
        <v>계</v>
      </c>
      <c r="AF89" s="75" t="str">
        <f t="shared" si="134"/>
        <v>2/1</v>
      </c>
      <c r="AH89" s="20" t="str">
        <f t="shared" si="106"/>
        <v>석동 주공</v>
      </c>
      <c r="AI89" s="106">
        <f t="shared" si="107"/>
        <v>13</v>
      </c>
      <c r="AJ89" s="75" t="str">
        <f t="shared" si="135"/>
        <v>A-</v>
      </c>
      <c r="AK89" s="75" t="s">
        <v>14</v>
      </c>
      <c r="AL89" s="75" t="s">
        <v>870</v>
      </c>
      <c r="AM89" s="75" t="s">
        <v>871</v>
      </c>
      <c r="AN89" s="75" t="str">
        <f t="shared" si="136"/>
        <v>C</v>
      </c>
      <c r="AO89" s="75" t="str">
        <f t="shared" si="137"/>
        <v>X</v>
      </c>
      <c r="AP89" s="75" t="str">
        <f t="shared" si="138"/>
        <v>O</v>
      </c>
      <c r="AQ89" s="75" t="str">
        <f t="shared" si="139"/>
        <v>O</v>
      </c>
      <c r="AR89" s="75" t="str">
        <f t="shared" si="140"/>
        <v>X</v>
      </c>
      <c r="AS89" s="75" t="s">
        <v>2</v>
      </c>
      <c r="AT89" s="75" t="str">
        <f t="shared" si="141"/>
        <v>X</v>
      </c>
      <c r="AU89" s="75" t="str">
        <f t="shared" si="142"/>
        <v>O</v>
      </c>
      <c r="AV89" s="75" t="str">
        <f t="shared" si="143"/>
        <v>X</v>
      </c>
    </row>
    <row r="90" spans="1:48" s="38" customFormat="1" ht="12" x14ac:dyDescent="0.3">
      <c r="A90" s="110" t="s">
        <v>987</v>
      </c>
      <c r="B90" s="111" t="s">
        <v>988</v>
      </c>
      <c r="C90" s="112">
        <v>750</v>
      </c>
      <c r="D90" s="104">
        <v>54.8</v>
      </c>
      <c r="E90" s="106">
        <v>17</v>
      </c>
      <c r="F90" s="104">
        <v>42.5</v>
      </c>
      <c r="G90" s="17">
        <v>13</v>
      </c>
      <c r="H90" s="107">
        <v>302</v>
      </c>
      <c r="I90" s="108">
        <v>13000</v>
      </c>
      <c r="J90" s="108" t="s">
        <v>873</v>
      </c>
      <c r="K90" s="108">
        <v>8200</v>
      </c>
      <c r="L90" s="108" t="s">
        <v>878</v>
      </c>
      <c r="M90" s="109">
        <f t="shared" si="128"/>
        <v>4800</v>
      </c>
      <c r="N90" s="4">
        <f t="shared" si="129"/>
        <v>0.63076923076923075</v>
      </c>
      <c r="O90" s="105">
        <f t="shared" si="130"/>
        <v>764.70588235294122</v>
      </c>
      <c r="P90" s="105">
        <f t="shared" si="131"/>
        <v>482.35294117647061</v>
      </c>
      <c r="Q90" s="75">
        <v>2</v>
      </c>
      <c r="R90" s="75">
        <v>1</v>
      </c>
      <c r="S90" s="75" t="s">
        <v>869</v>
      </c>
      <c r="T90" s="5" t="s">
        <v>437</v>
      </c>
      <c r="U90" s="9"/>
      <c r="W90" s="104">
        <f t="shared" si="144"/>
        <v>54.8</v>
      </c>
      <c r="X90" s="106">
        <f t="shared" si="144"/>
        <v>17</v>
      </c>
      <c r="Y90" s="102">
        <f t="shared" si="145"/>
        <v>302</v>
      </c>
      <c r="Z90" s="109">
        <f t="shared" si="145"/>
        <v>13000</v>
      </c>
      <c r="AA90" s="109">
        <f t="shared" si="132"/>
        <v>8200</v>
      </c>
      <c r="AB90" s="109">
        <f t="shared" si="127"/>
        <v>4800</v>
      </c>
      <c r="AC90" s="4">
        <f t="shared" si="127"/>
        <v>0.63076923076923075</v>
      </c>
      <c r="AD90" s="105">
        <f t="shared" si="127"/>
        <v>764.70588235294122</v>
      </c>
      <c r="AE90" s="75" t="str">
        <f t="shared" si="133"/>
        <v>계</v>
      </c>
      <c r="AF90" s="75" t="str">
        <f t="shared" si="134"/>
        <v>2/1</v>
      </c>
      <c r="AH90" s="20" t="str">
        <f t="shared" si="106"/>
        <v>석동 주공</v>
      </c>
      <c r="AI90" s="106">
        <f t="shared" si="107"/>
        <v>17</v>
      </c>
      <c r="AJ90" s="75" t="str">
        <f t="shared" si="135"/>
        <v>A-</v>
      </c>
      <c r="AK90" s="75" t="s">
        <v>14</v>
      </c>
      <c r="AL90" s="75" t="s">
        <v>870</v>
      </c>
      <c r="AM90" s="75" t="s">
        <v>871</v>
      </c>
      <c r="AN90" s="75" t="str">
        <f t="shared" si="136"/>
        <v>C</v>
      </c>
      <c r="AO90" s="75" t="str">
        <f t="shared" si="137"/>
        <v>X</v>
      </c>
      <c r="AP90" s="75" t="str">
        <f t="shared" si="138"/>
        <v>O</v>
      </c>
      <c r="AQ90" s="75" t="str">
        <f t="shared" si="139"/>
        <v>O</v>
      </c>
      <c r="AR90" s="75" t="str">
        <f t="shared" si="140"/>
        <v>O</v>
      </c>
      <c r="AS90" s="75" t="s">
        <v>2</v>
      </c>
      <c r="AT90" s="75" t="str">
        <f t="shared" si="141"/>
        <v>O</v>
      </c>
      <c r="AU90" s="75" t="str">
        <f t="shared" si="142"/>
        <v>O</v>
      </c>
      <c r="AV90" s="75" t="str">
        <f t="shared" si="143"/>
        <v>X</v>
      </c>
    </row>
    <row r="91" spans="1:48" s="38" customFormat="1" ht="12" x14ac:dyDescent="0.3">
      <c r="A91" s="110" t="s">
        <v>987</v>
      </c>
      <c r="B91" s="111" t="s">
        <v>988</v>
      </c>
      <c r="C91" s="112">
        <v>750</v>
      </c>
      <c r="D91" s="104">
        <v>55.4</v>
      </c>
      <c r="E91" s="106">
        <v>17</v>
      </c>
      <c r="F91" s="104">
        <v>42.8</v>
      </c>
      <c r="G91" s="17">
        <v>13</v>
      </c>
      <c r="H91" s="107">
        <v>1</v>
      </c>
      <c r="I91" s="108"/>
      <c r="J91" s="108"/>
      <c r="K91" s="108"/>
      <c r="L91" s="108"/>
      <c r="M91" s="109">
        <f t="shared" si="128"/>
        <v>0</v>
      </c>
      <c r="N91" s="4" t="str">
        <f t="shared" si="129"/>
        <v/>
      </c>
      <c r="O91" s="105">
        <f t="shared" si="130"/>
        <v>0</v>
      </c>
      <c r="P91" s="105">
        <f t="shared" si="131"/>
        <v>0</v>
      </c>
      <c r="Q91" s="75">
        <v>2</v>
      </c>
      <c r="R91" s="75">
        <v>1</v>
      </c>
      <c r="S91" s="75" t="s">
        <v>869</v>
      </c>
      <c r="T91" s="5" t="s">
        <v>438</v>
      </c>
      <c r="U91" s="9"/>
      <c r="W91" s="104">
        <f t="shared" si="144"/>
        <v>55.4</v>
      </c>
      <c r="X91" s="106">
        <f t="shared" si="144"/>
        <v>17</v>
      </c>
      <c r="Y91" s="102">
        <f t="shared" si="145"/>
        <v>1</v>
      </c>
      <c r="Z91" s="109">
        <f t="shared" si="145"/>
        <v>0</v>
      </c>
      <c r="AA91" s="109">
        <f t="shared" si="132"/>
        <v>0</v>
      </c>
      <c r="AB91" s="109">
        <f t="shared" si="127"/>
        <v>0</v>
      </c>
      <c r="AC91" s="4" t="str">
        <f t="shared" si="127"/>
        <v/>
      </c>
      <c r="AD91" s="105">
        <f t="shared" si="127"/>
        <v>0</v>
      </c>
      <c r="AE91" s="75" t="str">
        <f t="shared" si="133"/>
        <v>계</v>
      </c>
      <c r="AF91" s="75" t="str">
        <f t="shared" si="134"/>
        <v>2/1</v>
      </c>
      <c r="AH91" s="20" t="str">
        <f t="shared" si="106"/>
        <v>석동 주공</v>
      </c>
      <c r="AI91" s="106">
        <f t="shared" si="107"/>
        <v>17</v>
      </c>
      <c r="AJ91" s="75" t="str">
        <f t="shared" si="135"/>
        <v>A-</v>
      </c>
      <c r="AK91" s="75" t="s">
        <v>14</v>
      </c>
      <c r="AL91" s="75" t="s">
        <v>870</v>
      </c>
      <c r="AM91" s="75" t="s">
        <v>871</v>
      </c>
      <c r="AN91" s="75" t="str">
        <f t="shared" si="136"/>
        <v>C</v>
      </c>
      <c r="AO91" s="75" t="str">
        <f t="shared" si="137"/>
        <v/>
      </c>
      <c r="AP91" s="75" t="str">
        <f t="shared" si="138"/>
        <v/>
      </c>
      <c r="AQ91" s="75" t="str">
        <f t="shared" si="139"/>
        <v>O</v>
      </c>
      <c r="AR91" s="75" t="str">
        <f t="shared" si="140"/>
        <v>O</v>
      </c>
      <c r="AS91" s="75" t="s">
        <v>2</v>
      </c>
      <c r="AT91" s="75" t="str">
        <f t="shared" si="141"/>
        <v>O</v>
      </c>
      <c r="AU91" s="75" t="str">
        <f t="shared" si="142"/>
        <v>O</v>
      </c>
      <c r="AV91" s="75" t="str">
        <f t="shared" si="143"/>
        <v/>
      </c>
    </row>
    <row r="92" spans="1:48" s="38" customFormat="1" ht="12" x14ac:dyDescent="0.3">
      <c r="A92" s="110" t="s">
        <v>989</v>
      </c>
      <c r="B92" s="111" t="s">
        <v>988</v>
      </c>
      <c r="C92" s="112">
        <v>750</v>
      </c>
      <c r="D92" s="104">
        <v>57.9</v>
      </c>
      <c r="E92" s="106">
        <v>18</v>
      </c>
      <c r="F92" s="104">
        <v>47</v>
      </c>
      <c r="G92" s="17">
        <v>14</v>
      </c>
      <c r="H92" s="107">
        <v>60</v>
      </c>
      <c r="I92" s="108"/>
      <c r="J92" s="108"/>
      <c r="K92" s="108"/>
      <c r="L92" s="108"/>
      <c r="M92" s="109">
        <f t="shared" si="128"/>
        <v>0</v>
      </c>
      <c r="N92" s="4" t="str">
        <f t="shared" si="129"/>
        <v/>
      </c>
      <c r="O92" s="105">
        <f t="shared" si="130"/>
        <v>0</v>
      </c>
      <c r="P92" s="105">
        <f t="shared" si="131"/>
        <v>0</v>
      </c>
      <c r="Q92" s="75">
        <v>3</v>
      </c>
      <c r="R92" s="75">
        <v>1</v>
      </c>
      <c r="S92" s="75" t="s">
        <v>869</v>
      </c>
      <c r="T92" s="5" t="s">
        <v>439</v>
      </c>
      <c r="U92" s="9"/>
      <c r="W92" s="104">
        <f t="shared" si="144"/>
        <v>57.9</v>
      </c>
      <c r="X92" s="106">
        <f t="shared" si="144"/>
        <v>18</v>
      </c>
      <c r="Y92" s="102">
        <f t="shared" si="145"/>
        <v>60</v>
      </c>
      <c r="Z92" s="109">
        <f t="shared" si="145"/>
        <v>0</v>
      </c>
      <c r="AA92" s="109">
        <f t="shared" si="132"/>
        <v>0</v>
      </c>
      <c r="AB92" s="109">
        <f t="shared" si="127"/>
        <v>0</v>
      </c>
      <c r="AC92" s="4" t="str">
        <f t="shared" si="127"/>
        <v/>
      </c>
      <c r="AD92" s="105">
        <f t="shared" si="127"/>
        <v>0</v>
      </c>
      <c r="AE92" s="75" t="str">
        <f t="shared" si="133"/>
        <v>계</v>
      </c>
      <c r="AF92" s="75" t="str">
        <f t="shared" si="134"/>
        <v>3/1</v>
      </c>
      <c r="AH92" s="20" t="str">
        <f t="shared" si="106"/>
        <v>석동 주공</v>
      </c>
      <c r="AI92" s="106">
        <f t="shared" si="107"/>
        <v>18</v>
      </c>
      <c r="AJ92" s="75" t="str">
        <f t="shared" si="135"/>
        <v>A-</v>
      </c>
      <c r="AK92" s="75" t="s">
        <v>14</v>
      </c>
      <c r="AL92" s="75" t="s">
        <v>870</v>
      </c>
      <c r="AM92" s="75" t="s">
        <v>871</v>
      </c>
      <c r="AN92" s="75" t="str">
        <f t="shared" si="136"/>
        <v>C</v>
      </c>
      <c r="AO92" s="75" t="str">
        <f t="shared" si="137"/>
        <v/>
      </c>
      <c r="AP92" s="75" t="str">
        <f t="shared" si="138"/>
        <v/>
      </c>
      <c r="AQ92" s="75" t="str">
        <f t="shared" si="139"/>
        <v>O</v>
      </c>
      <c r="AR92" s="75" t="str">
        <f t="shared" si="140"/>
        <v>O</v>
      </c>
      <c r="AS92" s="75" t="s">
        <v>2</v>
      </c>
      <c r="AT92" s="75" t="str">
        <f t="shared" si="141"/>
        <v>O</v>
      </c>
      <c r="AU92" s="75" t="str">
        <f t="shared" si="142"/>
        <v>O</v>
      </c>
      <c r="AV92" s="75" t="str">
        <f t="shared" si="143"/>
        <v/>
      </c>
    </row>
    <row r="93" spans="1:48" s="38" customFormat="1" ht="12" x14ac:dyDescent="0.3">
      <c r="A93" s="110" t="s">
        <v>987</v>
      </c>
      <c r="B93" s="111" t="s">
        <v>988</v>
      </c>
      <c r="C93" s="112">
        <v>750</v>
      </c>
      <c r="D93" s="104">
        <v>58.2</v>
      </c>
      <c r="E93" s="106">
        <v>18</v>
      </c>
      <c r="F93" s="104">
        <v>47.3</v>
      </c>
      <c r="G93" s="17">
        <v>14</v>
      </c>
      <c r="H93" s="107">
        <v>60</v>
      </c>
      <c r="I93" s="108"/>
      <c r="J93" s="108"/>
      <c r="K93" s="108"/>
      <c r="L93" s="108"/>
      <c r="M93" s="109">
        <f t="shared" si="128"/>
        <v>0</v>
      </c>
      <c r="N93" s="4" t="str">
        <f t="shared" si="129"/>
        <v/>
      </c>
      <c r="O93" s="105">
        <f t="shared" si="130"/>
        <v>0</v>
      </c>
      <c r="P93" s="105">
        <f t="shared" si="131"/>
        <v>0</v>
      </c>
      <c r="Q93" s="75">
        <v>3</v>
      </c>
      <c r="R93" s="75">
        <v>1</v>
      </c>
      <c r="S93" s="75" t="s">
        <v>869</v>
      </c>
      <c r="T93" s="5" t="s">
        <v>440</v>
      </c>
      <c r="U93" s="9"/>
      <c r="W93" s="104">
        <f t="shared" si="144"/>
        <v>58.2</v>
      </c>
      <c r="X93" s="106">
        <f t="shared" si="144"/>
        <v>18</v>
      </c>
      <c r="Y93" s="102">
        <f t="shared" si="145"/>
        <v>60</v>
      </c>
      <c r="Z93" s="109">
        <f t="shared" si="145"/>
        <v>0</v>
      </c>
      <c r="AA93" s="109">
        <f t="shared" si="132"/>
        <v>0</v>
      </c>
      <c r="AB93" s="109">
        <f t="shared" si="127"/>
        <v>0</v>
      </c>
      <c r="AC93" s="4" t="str">
        <f t="shared" si="127"/>
        <v/>
      </c>
      <c r="AD93" s="105">
        <f t="shared" si="127"/>
        <v>0</v>
      </c>
      <c r="AE93" s="75" t="str">
        <f t="shared" si="133"/>
        <v>계</v>
      </c>
      <c r="AF93" s="75" t="str">
        <f t="shared" si="134"/>
        <v>3/1</v>
      </c>
      <c r="AH93" s="20" t="str">
        <f t="shared" si="106"/>
        <v>석동 주공</v>
      </c>
      <c r="AI93" s="106">
        <f t="shared" si="107"/>
        <v>18</v>
      </c>
      <c r="AJ93" s="75" t="str">
        <f t="shared" si="135"/>
        <v>A-</v>
      </c>
      <c r="AK93" s="75" t="s">
        <v>14</v>
      </c>
      <c r="AL93" s="75" t="s">
        <v>870</v>
      </c>
      <c r="AM93" s="75" t="s">
        <v>871</v>
      </c>
      <c r="AN93" s="75" t="str">
        <f t="shared" si="136"/>
        <v>C</v>
      </c>
      <c r="AO93" s="75" t="str">
        <f t="shared" si="137"/>
        <v/>
      </c>
      <c r="AP93" s="75" t="str">
        <f t="shared" si="138"/>
        <v/>
      </c>
      <c r="AQ93" s="75" t="str">
        <f t="shared" si="139"/>
        <v>O</v>
      </c>
      <c r="AR93" s="75" t="str">
        <f t="shared" si="140"/>
        <v>O</v>
      </c>
      <c r="AS93" s="75" t="s">
        <v>2</v>
      </c>
      <c r="AT93" s="75" t="str">
        <f t="shared" si="141"/>
        <v>O</v>
      </c>
      <c r="AU93" s="75" t="str">
        <f t="shared" si="142"/>
        <v>O</v>
      </c>
      <c r="AV93" s="75" t="str">
        <f t="shared" si="143"/>
        <v/>
      </c>
    </row>
    <row r="94" spans="1:48" s="38" customFormat="1" ht="12" x14ac:dyDescent="0.3">
      <c r="A94" s="110" t="s">
        <v>990</v>
      </c>
      <c r="B94" s="111" t="s">
        <v>991</v>
      </c>
      <c r="C94" s="112">
        <v>599</v>
      </c>
      <c r="D94" s="104">
        <v>82.8</v>
      </c>
      <c r="E94" s="106">
        <v>25</v>
      </c>
      <c r="F94" s="104">
        <v>59.9</v>
      </c>
      <c r="G94" s="17">
        <v>18</v>
      </c>
      <c r="H94" s="107">
        <v>63</v>
      </c>
      <c r="I94" s="108">
        <v>23000</v>
      </c>
      <c r="J94" s="108" t="s">
        <v>878</v>
      </c>
      <c r="K94" s="108"/>
      <c r="L94" s="108"/>
      <c r="M94" s="109">
        <f t="shared" si="128"/>
        <v>23000</v>
      </c>
      <c r="N94" s="4">
        <f t="shared" si="129"/>
        <v>0</v>
      </c>
      <c r="O94" s="105">
        <f t="shared" si="130"/>
        <v>920</v>
      </c>
      <c r="P94" s="105">
        <f t="shared" si="131"/>
        <v>0</v>
      </c>
      <c r="Q94" s="75">
        <v>3</v>
      </c>
      <c r="R94" s="75">
        <v>2</v>
      </c>
      <c r="S94" s="75" t="s">
        <v>869</v>
      </c>
      <c r="T94" s="5">
        <v>82</v>
      </c>
      <c r="U94" s="9"/>
      <c r="W94" s="104">
        <f t="shared" si="144"/>
        <v>82.8</v>
      </c>
      <c r="X94" s="106">
        <f t="shared" si="144"/>
        <v>25</v>
      </c>
      <c r="Y94" s="102">
        <f t="shared" si="145"/>
        <v>63</v>
      </c>
      <c r="Z94" s="109">
        <f t="shared" si="145"/>
        <v>23000</v>
      </c>
      <c r="AA94" s="109">
        <f t="shared" si="132"/>
        <v>0</v>
      </c>
      <c r="AB94" s="109">
        <f t="shared" si="127"/>
        <v>23000</v>
      </c>
      <c r="AC94" s="4">
        <f t="shared" si="127"/>
        <v>0</v>
      </c>
      <c r="AD94" s="105">
        <f t="shared" si="127"/>
        <v>920</v>
      </c>
      <c r="AE94" s="75" t="str">
        <f t="shared" si="133"/>
        <v>계</v>
      </c>
      <c r="AF94" s="75" t="str">
        <f t="shared" si="134"/>
        <v>3/2</v>
      </c>
      <c r="AH94" s="20" t="str">
        <f t="shared" si="106"/>
        <v>안골동 창원마린푸르지오2차</v>
      </c>
      <c r="AI94" s="106">
        <f t="shared" si="107"/>
        <v>25</v>
      </c>
      <c r="AJ94" s="75" t="str">
        <f t="shared" si="135"/>
        <v>A-</v>
      </c>
      <c r="AK94" s="75" t="s">
        <v>14</v>
      </c>
      <c r="AL94" s="75" t="s">
        <v>870</v>
      </c>
      <c r="AM94" s="75" t="s">
        <v>871</v>
      </c>
      <c r="AN94" s="75" t="str">
        <f t="shared" si="136"/>
        <v>C</v>
      </c>
      <c r="AO94" s="75" t="str">
        <f t="shared" si="137"/>
        <v>X</v>
      </c>
      <c r="AP94" s="75" t="str">
        <f t="shared" si="138"/>
        <v>O</v>
      </c>
      <c r="AQ94" s="75" t="str">
        <f t="shared" si="139"/>
        <v>O</v>
      </c>
      <c r="AR94" s="75" t="str">
        <f t="shared" si="140"/>
        <v>X</v>
      </c>
      <c r="AS94" s="75" t="s">
        <v>2</v>
      </c>
      <c r="AT94" s="75" t="str">
        <f t="shared" si="141"/>
        <v>O</v>
      </c>
      <c r="AU94" s="75" t="str">
        <f t="shared" si="142"/>
        <v>O</v>
      </c>
      <c r="AV94" s="75" t="str">
        <f t="shared" si="143"/>
        <v>X</v>
      </c>
    </row>
    <row r="95" spans="1:48" s="38" customFormat="1" ht="12" x14ac:dyDescent="0.3">
      <c r="A95" s="110" t="s">
        <v>992</v>
      </c>
      <c r="B95" s="111" t="s">
        <v>993</v>
      </c>
      <c r="C95" s="112">
        <v>599</v>
      </c>
      <c r="D95" s="104">
        <v>99.9</v>
      </c>
      <c r="E95" s="106">
        <v>30</v>
      </c>
      <c r="F95" s="104">
        <v>75</v>
      </c>
      <c r="G95" s="17">
        <v>23</v>
      </c>
      <c r="H95" s="107">
        <v>82</v>
      </c>
      <c r="I95" s="108">
        <v>29000</v>
      </c>
      <c r="J95" s="108" t="s">
        <v>872</v>
      </c>
      <c r="K95" s="108"/>
      <c r="L95" s="108"/>
      <c r="M95" s="109">
        <f t="shared" si="128"/>
        <v>29000</v>
      </c>
      <c r="N95" s="4">
        <f t="shared" si="129"/>
        <v>0</v>
      </c>
      <c r="O95" s="105">
        <f t="shared" si="130"/>
        <v>966.66666666666663</v>
      </c>
      <c r="P95" s="105">
        <f t="shared" si="131"/>
        <v>0</v>
      </c>
      <c r="Q95" s="75">
        <v>3</v>
      </c>
      <c r="R95" s="75">
        <v>2</v>
      </c>
      <c r="S95" s="75" t="s">
        <v>869</v>
      </c>
      <c r="T95" s="5" t="s">
        <v>468</v>
      </c>
      <c r="U95" s="9"/>
      <c r="W95" s="104">
        <f t="shared" si="144"/>
        <v>99.9</v>
      </c>
      <c r="X95" s="106">
        <f t="shared" si="144"/>
        <v>30</v>
      </c>
      <c r="Y95" s="102">
        <f t="shared" si="145"/>
        <v>82</v>
      </c>
      <c r="Z95" s="109">
        <f t="shared" si="145"/>
        <v>29000</v>
      </c>
      <c r="AA95" s="109">
        <f t="shared" si="132"/>
        <v>0</v>
      </c>
      <c r="AB95" s="109">
        <f t="shared" si="127"/>
        <v>29000</v>
      </c>
      <c r="AC95" s="4">
        <f t="shared" si="127"/>
        <v>0</v>
      </c>
      <c r="AD95" s="105">
        <f t="shared" si="127"/>
        <v>966.66666666666663</v>
      </c>
      <c r="AE95" s="75" t="str">
        <f t="shared" si="133"/>
        <v>계</v>
      </c>
      <c r="AF95" s="75" t="str">
        <f t="shared" si="134"/>
        <v>3/2</v>
      </c>
      <c r="AH95" s="20" t="str">
        <f t="shared" si="106"/>
        <v>안골동 창원마린푸르지오2차</v>
      </c>
      <c r="AI95" s="106">
        <f t="shared" si="107"/>
        <v>30</v>
      </c>
      <c r="AJ95" s="75" t="str">
        <f t="shared" si="135"/>
        <v>A-</v>
      </c>
      <c r="AK95" s="75" t="s">
        <v>14</v>
      </c>
      <c r="AL95" s="75" t="s">
        <v>870</v>
      </c>
      <c r="AM95" s="75" t="s">
        <v>871</v>
      </c>
      <c r="AN95" s="75" t="str">
        <f t="shared" si="136"/>
        <v>C</v>
      </c>
      <c r="AO95" s="75" t="str">
        <f t="shared" si="137"/>
        <v>X</v>
      </c>
      <c r="AP95" s="75" t="str">
        <f t="shared" si="138"/>
        <v>O</v>
      </c>
      <c r="AQ95" s="75" t="str">
        <f t="shared" si="139"/>
        <v>O</v>
      </c>
      <c r="AR95" s="75" t="str">
        <f t="shared" si="140"/>
        <v>X</v>
      </c>
      <c r="AS95" s="75" t="s">
        <v>2</v>
      </c>
      <c r="AT95" s="75" t="str">
        <f t="shared" si="141"/>
        <v>O</v>
      </c>
      <c r="AU95" s="75" t="str">
        <f t="shared" si="142"/>
        <v>O</v>
      </c>
      <c r="AV95" s="75" t="str">
        <f t="shared" si="143"/>
        <v>X</v>
      </c>
    </row>
    <row r="96" spans="1:48" s="38" customFormat="1" ht="12" x14ac:dyDescent="0.3">
      <c r="A96" s="110" t="s">
        <v>990</v>
      </c>
      <c r="B96" s="111" t="s">
        <v>994</v>
      </c>
      <c r="C96" s="112">
        <v>599</v>
      </c>
      <c r="D96" s="104">
        <v>99.5</v>
      </c>
      <c r="E96" s="106">
        <v>30</v>
      </c>
      <c r="F96" s="104">
        <v>74.900000000000006</v>
      </c>
      <c r="G96" s="17">
        <v>23</v>
      </c>
      <c r="H96" s="107">
        <v>79</v>
      </c>
      <c r="I96" s="108">
        <v>29000</v>
      </c>
      <c r="J96" s="108" t="s">
        <v>878</v>
      </c>
      <c r="K96" s="108"/>
      <c r="L96" s="108"/>
      <c r="M96" s="109">
        <f t="shared" si="128"/>
        <v>29000</v>
      </c>
      <c r="N96" s="4">
        <f t="shared" si="129"/>
        <v>0</v>
      </c>
      <c r="O96" s="105">
        <f t="shared" si="130"/>
        <v>966.66666666666663</v>
      </c>
      <c r="P96" s="105">
        <f t="shared" si="131"/>
        <v>0</v>
      </c>
      <c r="Q96" s="75">
        <v>3</v>
      </c>
      <c r="R96" s="75">
        <v>2</v>
      </c>
      <c r="S96" s="75" t="s">
        <v>869</v>
      </c>
      <c r="T96" s="5" t="s">
        <v>130</v>
      </c>
      <c r="U96" s="9"/>
      <c r="W96" s="104">
        <f t="shared" si="144"/>
        <v>99.5</v>
      </c>
      <c r="X96" s="106">
        <f t="shared" si="144"/>
        <v>30</v>
      </c>
      <c r="Y96" s="102">
        <f t="shared" si="145"/>
        <v>79</v>
      </c>
      <c r="Z96" s="109">
        <f t="shared" si="145"/>
        <v>29000</v>
      </c>
      <c r="AA96" s="109">
        <f t="shared" si="132"/>
        <v>0</v>
      </c>
      <c r="AB96" s="109">
        <f t="shared" si="127"/>
        <v>29000</v>
      </c>
      <c r="AC96" s="4">
        <f t="shared" si="127"/>
        <v>0</v>
      </c>
      <c r="AD96" s="105">
        <f t="shared" si="127"/>
        <v>966.66666666666663</v>
      </c>
      <c r="AE96" s="75" t="str">
        <f t="shared" si="133"/>
        <v>계</v>
      </c>
      <c r="AF96" s="75" t="str">
        <f t="shared" si="134"/>
        <v>3/2</v>
      </c>
      <c r="AH96" s="20" t="str">
        <f t="shared" si="106"/>
        <v>안골동 창원마린푸르지오2차</v>
      </c>
      <c r="AI96" s="106">
        <f t="shared" si="107"/>
        <v>30</v>
      </c>
      <c r="AJ96" s="75" t="str">
        <f t="shared" si="135"/>
        <v>A-</v>
      </c>
      <c r="AK96" s="75" t="s">
        <v>14</v>
      </c>
      <c r="AL96" s="75" t="s">
        <v>870</v>
      </c>
      <c r="AM96" s="75" t="s">
        <v>871</v>
      </c>
      <c r="AN96" s="75" t="str">
        <f t="shared" si="136"/>
        <v>C</v>
      </c>
      <c r="AO96" s="75" t="str">
        <f t="shared" si="137"/>
        <v>X</v>
      </c>
      <c r="AP96" s="75" t="str">
        <f t="shared" si="138"/>
        <v>O</v>
      </c>
      <c r="AQ96" s="75" t="str">
        <f t="shared" si="139"/>
        <v>O</v>
      </c>
      <c r="AR96" s="75" t="str">
        <f t="shared" si="140"/>
        <v>X</v>
      </c>
      <c r="AS96" s="75" t="s">
        <v>2</v>
      </c>
      <c r="AT96" s="75" t="str">
        <f t="shared" si="141"/>
        <v>O</v>
      </c>
      <c r="AU96" s="75" t="str">
        <f t="shared" si="142"/>
        <v>O</v>
      </c>
      <c r="AV96" s="75" t="str">
        <f t="shared" si="143"/>
        <v>X</v>
      </c>
    </row>
    <row r="97" spans="1:48" s="38" customFormat="1" ht="12" x14ac:dyDescent="0.3">
      <c r="A97" s="110" t="s">
        <v>990</v>
      </c>
      <c r="B97" s="111" t="s">
        <v>995</v>
      </c>
      <c r="C97" s="112">
        <v>599</v>
      </c>
      <c r="D97" s="104">
        <v>111.9</v>
      </c>
      <c r="E97" s="106">
        <v>34</v>
      </c>
      <c r="F97" s="104">
        <v>85</v>
      </c>
      <c r="G97" s="17">
        <v>26</v>
      </c>
      <c r="H97" s="107">
        <v>240</v>
      </c>
      <c r="I97" s="108"/>
      <c r="J97" s="108"/>
      <c r="K97" s="108"/>
      <c r="L97" s="108"/>
      <c r="M97" s="109">
        <f t="shared" si="128"/>
        <v>0</v>
      </c>
      <c r="N97" s="4" t="str">
        <f t="shared" si="129"/>
        <v/>
      </c>
      <c r="O97" s="105">
        <f t="shared" si="130"/>
        <v>0</v>
      </c>
      <c r="P97" s="105">
        <f t="shared" si="131"/>
        <v>0</v>
      </c>
      <c r="Q97" s="75">
        <v>4</v>
      </c>
      <c r="R97" s="75">
        <v>2</v>
      </c>
      <c r="S97" s="75" t="s">
        <v>869</v>
      </c>
      <c r="T97" s="5" t="s">
        <v>153</v>
      </c>
      <c r="U97" s="9"/>
      <c r="W97" s="104">
        <f t="shared" si="144"/>
        <v>111.9</v>
      </c>
      <c r="X97" s="106">
        <f t="shared" si="144"/>
        <v>34</v>
      </c>
      <c r="Y97" s="102">
        <f t="shared" si="145"/>
        <v>240</v>
      </c>
      <c r="Z97" s="109">
        <f t="shared" si="145"/>
        <v>0</v>
      </c>
      <c r="AA97" s="109">
        <f t="shared" si="132"/>
        <v>0</v>
      </c>
      <c r="AB97" s="109">
        <f t="shared" si="127"/>
        <v>0</v>
      </c>
      <c r="AC97" s="4" t="str">
        <f t="shared" si="127"/>
        <v/>
      </c>
      <c r="AD97" s="105">
        <f t="shared" si="127"/>
        <v>0</v>
      </c>
      <c r="AE97" s="75" t="str">
        <f t="shared" si="133"/>
        <v>계</v>
      </c>
      <c r="AF97" s="75" t="str">
        <f t="shared" si="134"/>
        <v>4/2</v>
      </c>
      <c r="AH97" s="20" t="str">
        <f t="shared" si="106"/>
        <v>안골동 창원마린푸르지오2차</v>
      </c>
      <c r="AI97" s="106">
        <f t="shared" si="107"/>
        <v>34</v>
      </c>
      <c r="AJ97" s="75" t="str">
        <f t="shared" si="135"/>
        <v>A-</v>
      </c>
      <c r="AK97" s="75" t="s">
        <v>14</v>
      </c>
      <c r="AL97" s="75" t="s">
        <v>870</v>
      </c>
      <c r="AM97" s="75" t="s">
        <v>871</v>
      </c>
      <c r="AN97" s="75" t="str">
        <f t="shared" si="136"/>
        <v>C</v>
      </c>
      <c r="AO97" s="75" t="str">
        <f t="shared" si="137"/>
        <v/>
      </c>
      <c r="AP97" s="75" t="str">
        <f t="shared" si="138"/>
        <v/>
      </c>
      <c r="AQ97" s="75" t="str">
        <f t="shared" si="139"/>
        <v>O</v>
      </c>
      <c r="AR97" s="75" t="str">
        <f t="shared" si="140"/>
        <v>O</v>
      </c>
      <c r="AS97" s="75" t="s">
        <v>2</v>
      </c>
      <c r="AT97" s="75" t="str">
        <f t="shared" si="141"/>
        <v>O</v>
      </c>
      <c r="AU97" s="75" t="str">
        <f t="shared" si="142"/>
        <v>O</v>
      </c>
      <c r="AV97" s="75" t="str">
        <f t="shared" si="143"/>
        <v/>
      </c>
    </row>
    <row r="98" spans="1:48" s="38" customFormat="1" ht="12" x14ac:dyDescent="0.3">
      <c r="A98" s="110" t="s">
        <v>990</v>
      </c>
      <c r="B98" s="111" t="s">
        <v>991</v>
      </c>
      <c r="C98" s="112">
        <v>599</v>
      </c>
      <c r="D98" s="104">
        <v>112.7</v>
      </c>
      <c r="E98" s="106">
        <v>34</v>
      </c>
      <c r="F98" s="104">
        <v>84.9</v>
      </c>
      <c r="G98" s="17">
        <v>26</v>
      </c>
      <c r="H98" s="107">
        <v>135</v>
      </c>
      <c r="I98" s="108">
        <v>33000</v>
      </c>
      <c r="J98" s="108" t="s">
        <v>878</v>
      </c>
      <c r="K98" s="108"/>
      <c r="L98" s="108"/>
      <c r="M98" s="109">
        <f t="shared" si="128"/>
        <v>33000</v>
      </c>
      <c r="N98" s="4">
        <f t="shared" si="129"/>
        <v>0</v>
      </c>
      <c r="O98" s="105">
        <f t="shared" si="130"/>
        <v>970.58823529411768</v>
      </c>
      <c r="P98" s="105">
        <f t="shared" si="131"/>
        <v>0</v>
      </c>
      <c r="Q98" s="75">
        <v>3</v>
      </c>
      <c r="R98" s="75">
        <v>2</v>
      </c>
      <c r="S98" s="75" t="s">
        <v>869</v>
      </c>
      <c r="T98" s="5" t="s">
        <v>122</v>
      </c>
      <c r="U98" s="9"/>
      <c r="W98" s="104">
        <f t="shared" si="144"/>
        <v>112.7</v>
      </c>
      <c r="X98" s="106">
        <f t="shared" si="144"/>
        <v>34</v>
      </c>
      <c r="Y98" s="102">
        <f t="shared" si="145"/>
        <v>135</v>
      </c>
      <c r="Z98" s="109">
        <f t="shared" si="145"/>
        <v>33000</v>
      </c>
      <c r="AA98" s="109">
        <f t="shared" si="132"/>
        <v>0</v>
      </c>
      <c r="AB98" s="109">
        <f t="shared" si="127"/>
        <v>33000</v>
      </c>
      <c r="AC98" s="4">
        <f t="shared" si="127"/>
        <v>0</v>
      </c>
      <c r="AD98" s="105">
        <f t="shared" si="127"/>
        <v>970.58823529411768</v>
      </c>
      <c r="AE98" s="75" t="str">
        <f t="shared" si="133"/>
        <v>계</v>
      </c>
      <c r="AF98" s="75" t="str">
        <f t="shared" si="134"/>
        <v>3/2</v>
      </c>
      <c r="AH98" s="20" t="str">
        <f t="shared" si="106"/>
        <v>안골동 창원마린푸르지오2차</v>
      </c>
      <c r="AI98" s="106">
        <f t="shared" si="107"/>
        <v>34</v>
      </c>
      <c r="AJ98" s="75" t="str">
        <f t="shared" si="135"/>
        <v>A-</v>
      </c>
      <c r="AK98" s="75" t="s">
        <v>14</v>
      </c>
      <c r="AL98" s="75" t="s">
        <v>870</v>
      </c>
      <c r="AM98" s="75" t="s">
        <v>871</v>
      </c>
      <c r="AN98" s="75" t="str">
        <f t="shared" si="136"/>
        <v>C</v>
      </c>
      <c r="AO98" s="75" t="str">
        <f t="shared" si="137"/>
        <v>X</v>
      </c>
      <c r="AP98" s="75" t="str">
        <f t="shared" si="138"/>
        <v>O</v>
      </c>
      <c r="AQ98" s="75" t="str">
        <f t="shared" si="139"/>
        <v>O</v>
      </c>
      <c r="AR98" s="75" t="str">
        <f t="shared" si="140"/>
        <v>X</v>
      </c>
      <c r="AS98" s="75" t="s">
        <v>2</v>
      </c>
      <c r="AT98" s="75" t="str">
        <f t="shared" si="141"/>
        <v>O</v>
      </c>
      <c r="AU98" s="75" t="str">
        <f t="shared" si="142"/>
        <v>O</v>
      </c>
      <c r="AV98" s="75" t="str">
        <f t="shared" si="143"/>
        <v>X</v>
      </c>
    </row>
    <row r="99" spans="1:48" s="38" customFormat="1" ht="24" x14ac:dyDescent="0.3">
      <c r="A99" s="110" t="s">
        <v>996</v>
      </c>
      <c r="B99" s="111" t="s">
        <v>997</v>
      </c>
      <c r="C99" s="112">
        <v>340</v>
      </c>
      <c r="D99" s="104">
        <v>80.400000000000006</v>
      </c>
      <c r="E99" s="106">
        <v>24</v>
      </c>
      <c r="F99" s="104">
        <v>59.9</v>
      </c>
      <c r="G99" s="17">
        <v>18</v>
      </c>
      <c r="H99" s="107">
        <v>56</v>
      </c>
      <c r="I99" s="108">
        <v>20000</v>
      </c>
      <c r="J99" s="108" t="s">
        <v>901</v>
      </c>
      <c r="K99" s="108"/>
      <c r="L99" s="108"/>
      <c r="M99" s="109">
        <f t="shared" si="128"/>
        <v>20000</v>
      </c>
      <c r="N99" s="4">
        <f t="shared" si="129"/>
        <v>0</v>
      </c>
      <c r="O99" s="105">
        <f t="shared" si="130"/>
        <v>833.33333333333337</v>
      </c>
      <c r="P99" s="105">
        <f t="shared" si="131"/>
        <v>0</v>
      </c>
      <c r="Q99" s="75">
        <v>3</v>
      </c>
      <c r="R99" s="75">
        <v>2</v>
      </c>
      <c r="S99" s="75" t="s">
        <v>869</v>
      </c>
      <c r="T99" s="5">
        <v>80</v>
      </c>
      <c r="U99" s="9"/>
      <c r="W99" s="104">
        <f t="shared" ref="W99:X102" si="146">D99</f>
        <v>80.400000000000006</v>
      </c>
      <c r="X99" s="106">
        <f t="shared" si="146"/>
        <v>24</v>
      </c>
      <c r="Y99" s="102">
        <f t="shared" ref="Y99:Z102" si="147">H99</f>
        <v>56</v>
      </c>
      <c r="Z99" s="109">
        <f t="shared" si="147"/>
        <v>20000</v>
      </c>
      <c r="AA99" s="109">
        <f t="shared" si="132"/>
        <v>0</v>
      </c>
      <c r="AB99" s="109">
        <f t="shared" ref="AB99:AD111" si="148">M99</f>
        <v>20000</v>
      </c>
      <c r="AC99" s="4">
        <f t="shared" si="148"/>
        <v>0</v>
      </c>
      <c r="AD99" s="105">
        <f t="shared" si="148"/>
        <v>833.33333333333337</v>
      </c>
      <c r="AE99" s="75" t="str">
        <f t="shared" si="133"/>
        <v>계</v>
      </c>
      <c r="AF99" s="75" t="str">
        <f t="shared" si="134"/>
        <v>3/2</v>
      </c>
      <c r="AH99" s="20" t="str">
        <f t="shared" si="106"/>
        <v>용원동 부산신항만이지더원1단지</v>
      </c>
      <c r="AI99" s="106">
        <f t="shared" si="107"/>
        <v>24</v>
      </c>
      <c r="AJ99" s="75" t="str">
        <f t="shared" si="135"/>
        <v>A-</v>
      </c>
      <c r="AK99" s="75" t="s">
        <v>14</v>
      </c>
      <c r="AL99" s="75" t="s">
        <v>870</v>
      </c>
      <c r="AM99" s="75" t="s">
        <v>871</v>
      </c>
      <c r="AN99" s="75" t="str">
        <f t="shared" si="136"/>
        <v>C</v>
      </c>
      <c r="AO99" s="75" t="str">
        <f t="shared" si="137"/>
        <v>X</v>
      </c>
      <c r="AP99" s="75" t="str">
        <f t="shared" si="138"/>
        <v>O</v>
      </c>
      <c r="AQ99" s="75" t="str">
        <f t="shared" si="139"/>
        <v>O</v>
      </c>
      <c r="AR99" s="75" t="str">
        <f t="shared" si="140"/>
        <v>X</v>
      </c>
      <c r="AS99" s="75" t="s">
        <v>2</v>
      </c>
      <c r="AT99" s="75" t="str">
        <f t="shared" si="141"/>
        <v>O</v>
      </c>
      <c r="AU99" s="75" t="str">
        <f t="shared" si="142"/>
        <v>O</v>
      </c>
      <c r="AV99" s="75" t="str">
        <f t="shared" si="143"/>
        <v>X</v>
      </c>
    </row>
    <row r="100" spans="1:48" s="38" customFormat="1" ht="24" x14ac:dyDescent="0.3">
      <c r="A100" s="110" t="s">
        <v>998</v>
      </c>
      <c r="B100" s="111" t="s">
        <v>999</v>
      </c>
      <c r="C100" s="112">
        <v>340</v>
      </c>
      <c r="D100" s="104">
        <v>112.3</v>
      </c>
      <c r="E100" s="106">
        <v>34</v>
      </c>
      <c r="F100" s="104">
        <v>84.9</v>
      </c>
      <c r="G100" s="17">
        <v>26</v>
      </c>
      <c r="H100" s="107">
        <v>284</v>
      </c>
      <c r="I100" s="108">
        <v>26000</v>
      </c>
      <c r="J100" s="108" t="s">
        <v>878</v>
      </c>
      <c r="K100" s="108"/>
      <c r="L100" s="108"/>
      <c r="M100" s="109">
        <f t="shared" si="128"/>
        <v>26000</v>
      </c>
      <c r="N100" s="4">
        <f t="shared" si="129"/>
        <v>0</v>
      </c>
      <c r="O100" s="105">
        <f t="shared" si="130"/>
        <v>764.70588235294122</v>
      </c>
      <c r="P100" s="105">
        <f t="shared" si="131"/>
        <v>0</v>
      </c>
      <c r="Q100" s="75">
        <v>3</v>
      </c>
      <c r="R100" s="75">
        <v>2</v>
      </c>
      <c r="S100" s="75" t="s">
        <v>869</v>
      </c>
      <c r="T100" s="5">
        <v>112</v>
      </c>
      <c r="U100" s="9"/>
      <c r="W100" s="104">
        <f t="shared" si="146"/>
        <v>112.3</v>
      </c>
      <c r="X100" s="106">
        <f t="shared" si="146"/>
        <v>34</v>
      </c>
      <c r="Y100" s="102">
        <f t="shared" si="147"/>
        <v>284</v>
      </c>
      <c r="Z100" s="109">
        <f t="shared" si="147"/>
        <v>26000</v>
      </c>
      <c r="AA100" s="109">
        <f t="shared" si="132"/>
        <v>0</v>
      </c>
      <c r="AB100" s="109">
        <f t="shared" si="148"/>
        <v>26000</v>
      </c>
      <c r="AC100" s="4">
        <f t="shared" si="148"/>
        <v>0</v>
      </c>
      <c r="AD100" s="105">
        <f t="shared" si="148"/>
        <v>764.70588235294122</v>
      </c>
      <c r="AE100" s="75" t="str">
        <f t="shared" si="133"/>
        <v>계</v>
      </c>
      <c r="AF100" s="75" t="str">
        <f t="shared" si="134"/>
        <v>3/2</v>
      </c>
      <c r="AH100" s="20" t="str">
        <f t="shared" si="106"/>
        <v>용원동 부산신항만이지더원1단지</v>
      </c>
      <c r="AI100" s="106">
        <f t="shared" si="107"/>
        <v>34</v>
      </c>
      <c r="AJ100" s="75" t="str">
        <f t="shared" si="135"/>
        <v>A-</v>
      </c>
      <c r="AK100" s="75" t="s">
        <v>14</v>
      </c>
      <c r="AL100" s="75" t="s">
        <v>870</v>
      </c>
      <c r="AM100" s="75" t="s">
        <v>871</v>
      </c>
      <c r="AN100" s="75" t="str">
        <f t="shared" si="136"/>
        <v>C</v>
      </c>
      <c r="AO100" s="75" t="str">
        <f t="shared" si="137"/>
        <v>X</v>
      </c>
      <c r="AP100" s="75" t="str">
        <f t="shared" si="138"/>
        <v>O</v>
      </c>
      <c r="AQ100" s="75" t="str">
        <f t="shared" si="139"/>
        <v>O</v>
      </c>
      <c r="AR100" s="75" t="str">
        <f t="shared" si="140"/>
        <v>X</v>
      </c>
      <c r="AS100" s="75" t="s">
        <v>2</v>
      </c>
      <c r="AT100" s="75" t="str">
        <f t="shared" si="141"/>
        <v>O</v>
      </c>
      <c r="AU100" s="75" t="str">
        <f t="shared" si="142"/>
        <v>O</v>
      </c>
      <c r="AV100" s="75" t="str">
        <f t="shared" si="143"/>
        <v>X</v>
      </c>
    </row>
    <row r="101" spans="1:48" s="38" customFormat="1" ht="24" x14ac:dyDescent="0.3">
      <c r="A101" s="110" t="s">
        <v>1000</v>
      </c>
      <c r="B101" s="111" t="s">
        <v>999</v>
      </c>
      <c r="C101" s="112">
        <v>452</v>
      </c>
      <c r="D101" s="104">
        <v>80.400000000000006</v>
      </c>
      <c r="E101" s="106">
        <v>24</v>
      </c>
      <c r="F101" s="104">
        <v>59.9</v>
      </c>
      <c r="G101" s="17">
        <v>18</v>
      </c>
      <c r="H101" s="107">
        <v>112</v>
      </c>
      <c r="I101" s="108"/>
      <c r="J101" s="108"/>
      <c r="K101" s="108"/>
      <c r="L101" s="108"/>
      <c r="M101" s="109">
        <f t="shared" si="128"/>
        <v>0</v>
      </c>
      <c r="N101" s="4" t="str">
        <f t="shared" si="129"/>
        <v/>
      </c>
      <c r="O101" s="105">
        <f t="shared" si="130"/>
        <v>0</v>
      </c>
      <c r="P101" s="105">
        <f t="shared" si="131"/>
        <v>0</v>
      </c>
      <c r="Q101" s="75">
        <v>3</v>
      </c>
      <c r="R101" s="75">
        <v>2</v>
      </c>
      <c r="S101" s="75" t="s">
        <v>869</v>
      </c>
      <c r="T101" s="5">
        <v>80</v>
      </c>
      <c r="U101" s="9"/>
      <c r="W101" s="104">
        <f t="shared" si="146"/>
        <v>80.400000000000006</v>
      </c>
      <c r="X101" s="106">
        <f t="shared" si="146"/>
        <v>24</v>
      </c>
      <c r="Y101" s="102">
        <f t="shared" si="147"/>
        <v>112</v>
      </c>
      <c r="Z101" s="109">
        <f t="shared" si="147"/>
        <v>0</v>
      </c>
      <c r="AA101" s="109">
        <f t="shared" si="132"/>
        <v>0</v>
      </c>
      <c r="AB101" s="109">
        <f t="shared" si="148"/>
        <v>0</v>
      </c>
      <c r="AC101" s="4" t="str">
        <f t="shared" si="148"/>
        <v/>
      </c>
      <c r="AD101" s="105">
        <f t="shared" si="148"/>
        <v>0</v>
      </c>
      <c r="AE101" s="75" t="str">
        <f t="shared" si="133"/>
        <v>계</v>
      </c>
      <c r="AF101" s="75" t="str">
        <f t="shared" si="134"/>
        <v>3/2</v>
      </c>
      <c r="AH101" s="20" t="str">
        <f t="shared" si="106"/>
        <v>용원동 부산신항만이지더원2단지</v>
      </c>
      <c r="AI101" s="106">
        <f t="shared" si="107"/>
        <v>24</v>
      </c>
      <c r="AJ101" s="75" t="str">
        <f t="shared" si="135"/>
        <v>A-</v>
      </c>
      <c r="AK101" s="75" t="s">
        <v>14</v>
      </c>
      <c r="AL101" s="75" t="s">
        <v>870</v>
      </c>
      <c r="AM101" s="75" t="s">
        <v>871</v>
      </c>
      <c r="AN101" s="75" t="str">
        <f t="shared" si="136"/>
        <v>C</v>
      </c>
      <c r="AO101" s="75" t="str">
        <f t="shared" si="137"/>
        <v/>
      </c>
      <c r="AP101" s="75" t="str">
        <f t="shared" si="138"/>
        <v/>
      </c>
      <c r="AQ101" s="75" t="str">
        <f t="shared" si="139"/>
        <v>O</v>
      </c>
      <c r="AR101" s="75" t="str">
        <f t="shared" si="140"/>
        <v>O</v>
      </c>
      <c r="AS101" s="75" t="s">
        <v>2</v>
      </c>
      <c r="AT101" s="75" t="str">
        <f t="shared" si="141"/>
        <v>O</v>
      </c>
      <c r="AU101" s="75" t="str">
        <f t="shared" si="142"/>
        <v>O</v>
      </c>
      <c r="AV101" s="75" t="str">
        <f t="shared" si="143"/>
        <v/>
      </c>
    </row>
    <row r="102" spans="1:48" s="38" customFormat="1" ht="24" x14ac:dyDescent="0.3">
      <c r="A102" s="110" t="s">
        <v>1000</v>
      </c>
      <c r="B102" s="111" t="s">
        <v>999</v>
      </c>
      <c r="C102" s="112">
        <v>452</v>
      </c>
      <c r="D102" s="104">
        <v>112.3</v>
      </c>
      <c r="E102" s="106">
        <v>34</v>
      </c>
      <c r="F102" s="104">
        <v>84.9</v>
      </c>
      <c r="G102" s="17">
        <v>26</v>
      </c>
      <c r="H102" s="107">
        <v>340</v>
      </c>
      <c r="I102" s="108">
        <v>26500</v>
      </c>
      <c r="J102" s="108" t="s">
        <v>868</v>
      </c>
      <c r="K102" s="108"/>
      <c r="L102" s="108"/>
      <c r="M102" s="109">
        <f t="shared" si="128"/>
        <v>26500</v>
      </c>
      <c r="N102" s="4">
        <f t="shared" si="129"/>
        <v>0</v>
      </c>
      <c r="O102" s="105">
        <f t="shared" si="130"/>
        <v>779.41176470588232</v>
      </c>
      <c r="P102" s="105">
        <f t="shared" si="131"/>
        <v>0</v>
      </c>
      <c r="Q102" s="75">
        <v>3</v>
      </c>
      <c r="R102" s="75">
        <v>2</v>
      </c>
      <c r="S102" s="75" t="s">
        <v>869</v>
      </c>
      <c r="T102" s="5">
        <v>112</v>
      </c>
      <c r="U102" s="9"/>
      <c r="W102" s="104">
        <f t="shared" si="146"/>
        <v>112.3</v>
      </c>
      <c r="X102" s="106">
        <f t="shared" si="146"/>
        <v>34</v>
      </c>
      <c r="Y102" s="102">
        <f t="shared" si="147"/>
        <v>340</v>
      </c>
      <c r="Z102" s="109">
        <f t="shared" si="147"/>
        <v>26500</v>
      </c>
      <c r="AA102" s="109">
        <f t="shared" si="132"/>
        <v>0</v>
      </c>
      <c r="AB102" s="109">
        <f t="shared" si="148"/>
        <v>26500</v>
      </c>
      <c r="AC102" s="4">
        <f t="shared" si="148"/>
        <v>0</v>
      </c>
      <c r="AD102" s="105">
        <f t="shared" si="148"/>
        <v>779.41176470588232</v>
      </c>
      <c r="AE102" s="75" t="str">
        <f t="shared" si="133"/>
        <v>계</v>
      </c>
      <c r="AF102" s="75" t="str">
        <f t="shared" si="134"/>
        <v>3/2</v>
      </c>
      <c r="AH102" s="20" t="str">
        <f t="shared" si="106"/>
        <v>용원동 부산신항만이지더원2단지</v>
      </c>
      <c r="AI102" s="106">
        <f t="shared" si="107"/>
        <v>34</v>
      </c>
      <c r="AJ102" s="75" t="str">
        <f t="shared" si="135"/>
        <v>A-</v>
      </c>
      <c r="AK102" s="75" t="s">
        <v>14</v>
      </c>
      <c r="AL102" s="75" t="s">
        <v>870</v>
      </c>
      <c r="AM102" s="75" t="s">
        <v>871</v>
      </c>
      <c r="AN102" s="75" t="str">
        <f t="shared" si="136"/>
        <v>C</v>
      </c>
      <c r="AO102" s="75" t="str">
        <f t="shared" si="137"/>
        <v>X</v>
      </c>
      <c r="AP102" s="75" t="str">
        <f t="shared" si="138"/>
        <v>O</v>
      </c>
      <c r="AQ102" s="75" t="str">
        <f t="shared" si="139"/>
        <v>O</v>
      </c>
      <c r="AR102" s="75" t="str">
        <f t="shared" si="140"/>
        <v>X</v>
      </c>
      <c r="AS102" s="75" t="s">
        <v>2</v>
      </c>
      <c r="AT102" s="75" t="str">
        <f t="shared" si="141"/>
        <v>O</v>
      </c>
      <c r="AU102" s="75" t="str">
        <f t="shared" si="142"/>
        <v>O</v>
      </c>
      <c r="AV102" s="75" t="str">
        <f t="shared" si="143"/>
        <v>X</v>
      </c>
    </row>
    <row r="103" spans="1:48" s="38" customFormat="1" ht="12" x14ac:dyDescent="0.3">
      <c r="A103" s="110" t="s">
        <v>1001</v>
      </c>
      <c r="B103" s="111" t="s">
        <v>949</v>
      </c>
      <c r="C103" s="112">
        <v>869</v>
      </c>
      <c r="D103" s="104">
        <v>110.2</v>
      </c>
      <c r="E103" s="106">
        <v>33</v>
      </c>
      <c r="F103" s="104">
        <v>85</v>
      </c>
      <c r="G103" s="17">
        <v>26</v>
      </c>
      <c r="H103" s="107">
        <v>479</v>
      </c>
      <c r="I103" s="108">
        <v>23000</v>
      </c>
      <c r="J103" s="108" t="s">
        <v>878</v>
      </c>
      <c r="K103" s="108">
        <v>22500</v>
      </c>
      <c r="L103" s="108" t="s">
        <v>907</v>
      </c>
      <c r="M103" s="109">
        <f t="shared" si="128"/>
        <v>500</v>
      </c>
      <c r="N103" s="4">
        <f t="shared" si="129"/>
        <v>0.97826086956521741</v>
      </c>
      <c r="O103" s="105">
        <f t="shared" si="130"/>
        <v>696.969696969697</v>
      </c>
      <c r="P103" s="105">
        <f t="shared" si="131"/>
        <v>681.81818181818187</v>
      </c>
      <c r="Q103" s="75">
        <v>3</v>
      </c>
      <c r="R103" s="75">
        <v>2</v>
      </c>
      <c r="S103" s="75" t="s">
        <v>869</v>
      </c>
      <c r="T103" s="5">
        <v>110</v>
      </c>
      <c r="U103" s="9"/>
      <c r="W103" s="104">
        <f t="shared" ref="W103:X111" si="149">D103</f>
        <v>110.2</v>
      </c>
      <c r="X103" s="106">
        <f t="shared" si="149"/>
        <v>33</v>
      </c>
      <c r="Y103" s="102">
        <f t="shared" ref="Y103:Z111" si="150">H103</f>
        <v>479</v>
      </c>
      <c r="Z103" s="109">
        <f t="shared" si="150"/>
        <v>23000</v>
      </c>
      <c r="AA103" s="109">
        <f t="shared" si="132"/>
        <v>22500</v>
      </c>
      <c r="AB103" s="109">
        <f t="shared" si="148"/>
        <v>500</v>
      </c>
      <c r="AC103" s="4">
        <f t="shared" si="148"/>
        <v>0.97826086956521741</v>
      </c>
      <c r="AD103" s="105">
        <f t="shared" si="148"/>
        <v>696.969696969697</v>
      </c>
      <c r="AE103" s="75" t="str">
        <f t="shared" si="133"/>
        <v>계</v>
      </c>
      <c r="AF103" s="75" t="str">
        <f t="shared" si="134"/>
        <v>3/2</v>
      </c>
      <c r="AH103" s="20" t="str">
        <f t="shared" si="106"/>
        <v>용원동 일신님</v>
      </c>
      <c r="AI103" s="106">
        <f t="shared" si="107"/>
        <v>33</v>
      </c>
      <c r="AJ103" s="75" t="str">
        <f t="shared" si="135"/>
        <v>A-</v>
      </c>
      <c r="AK103" s="75" t="s">
        <v>14</v>
      </c>
      <c r="AL103" s="75" t="s">
        <v>870</v>
      </c>
      <c r="AM103" s="75" t="s">
        <v>871</v>
      </c>
      <c r="AN103" s="75" t="str">
        <f t="shared" si="136"/>
        <v>C</v>
      </c>
      <c r="AO103" s="75" t="str">
        <f t="shared" si="137"/>
        <v>O</v>
      </c>
      <c r="AP103" s="75" t="str">
        <f t="shared" si="138"/>
        <v>O</v>
      </c>
      <c r="AQ103" s="75" t="str">
        <f t="shared" si="139"/>
        <v>O</v>
      </c>
      <c r="AR103" s="75" t="str">
        <f t="shared" si="140"/>
        <v>O</v>
      </c>
      <c r="AS103" s="75" t="s">
        <v>2</v>
      </c>
      <c r="AT103" s="75" t="str">
        <f t="shared" si="141"/>
        <v>O</v>
      </c>
      <c r="AU103" s="75" t="str">
        <f t="shared" si="142"/>
        <v>O</v>
      </c>
      <c r="AV103" s="75" t="str">
        <f t="shared" si="143"/>
        <v>후보</v>
      </c>
    </row>
    <row r="104" spans="1:48" s="38" customFormat="1" ht="12" x14ac:dyDescent="0.3">
      <c r="A104" s="110" t="s">
        <v>1002</v>
      </c>
      <c r="B104" s="111" t="s">
        <v>949</v>
      </c>
      <c r="C104" s="112">
        <v>869</v>
      </c>
      <c r="D104" s="104">
        <v>134.1</v>
      </c>
      <c r="E104" s="106">
        <v>41</v>
      </c>
      <c r="F104" s="104">
        <v>101.7</v>
      </c>
      <c r="G104" s="17">
        <v>31</v>
      </c>
      <c r="H104" s="107">
        <v>300</v>
      </c>
      <c r="I104" s="108">
        <v>28000</v>
      </c>
      <c r="J104" s="108" t="s">
        <v>907</v>
      </c>
      <c r="K104" s="108"/>
      <c r="L104" s="108"/>
      <c r="M104" s="109">
        <f t="shared" si="128"/>
        <v>28000</v>
      </c>
      <c r="N104" s="4">
        <f t="shared" si="129"/>
        <v>0</v>
      </c>
      <c r="O104" s="105">
        <f t="shared" si="130"/>
        <v>682.92682926829264</v>
      </c>
      <c r="P104" s="105">
        <f t="shared" si="131"/>
        <v>0</v>
      </c>
      <c r="Q104" s="75">
        <v>3</v>
      </c>
      <c r="R104" s="75">
        <v>2</v>
      </c>
      <c r="S104" s="75" t="s">
        <v>869</v>
      </c>
      <c r="T104" s="5">
        <v>134</v>
      </c>
      <c r="U104" s="9"/>
      <c r="W104" s="104">
        <f t="shared" si="149"/>
        <v>134.1</v>
      </c>
      <c r="X104" s="106">
        <f t="shared" si="149"/>
        <v>41</v>
      </c>
      <c r="Y104" s="102">
        <f t="shared" si="150"/>
        <v>300</v>
      </c>
      <c r="Z104" s="109">
        <f t="shared" si="150"/>
        <v>28000</v>
      </c>
      <c r="AA104" s="109">
        <f t="shared" si="132"/>
        <v>0</v>
      </c>
      <c r="AB104" s="109">
        <f t="shared" si="148"/>
        <v>28000</v>
      </c>
      <c r="AC104" s="4">
        <f t="shared" si="148"/>
        <v>0</v>
      </c>
      <c r="AD104" s="105">
        <f t="shared" si="148"/>
        <v>682.92682926829264</v>
      </c>
      <c r="AE104" s="75" t="str">
        <f t="shared" si="133"/>
        <v>계</v>
      </c>
      <c r="AF104" s="75" t="str">
        <f t="shared" si="134"/>
        <v>3/2</v>
      </c>
      <c r="AH104" s="20" t="str">
        <f t="shared" si="106"/>
        <v>용원동 일신님</v>
      </c>
      <c r="AI104" s="106">
        <f t="shared" si="107"/>
        <v>41</v>
      </c>
      <c r="AJ104" s="75" t="str">
        <f t="shared" si="135"/>
        <v>A-</v>
      </c>
      <c r="AK104" s="75" t="s">
        <v>14</v>
      </c>
      <c r="AL104" s="75" t="s">
        <v>870</v>
      </c>
      <c r="AM104" s="75" t="s">
        <v>871</v>
      </c>
      <c r="AN104" s="75" t="str">
        <f t="shared" si="136"/>
        <v>C</v>
      </c>
      <c r="AO104" s="75" t="str">
        <f t="shared" si="137"/>
        <v>X</v>
      </c>
      <c r="AP104" s="75" t="str">
        <f t="shared" si="138"/>
        <v>O</v>
      </c>
      <c r="AQ104" s="75" t="str">
        <f t="shared" si="139"/>
        <v>O</v>
      </c>
      <c r="AR104" s="75" t="str">
        <f t="shared" si="140"/>
        <v>X</v>
      </c>
      <c r="AS104" s="75" t="s">
        <v>2</v>
      </c>
      <c r="AT104" s="75" t="str">
        <f t="shared" si="141"/>
        <v>X</v>
      </c>
      <c r="AU104" s="75" t="str">
        <f t="shared" si="142"/>
        <v>O</v>
      </c>
      <c r="AV104" s="75" t="str">
        <f t="shared" si="143"/>
        <v>X</v>
      </c>
    </row>
    <row r="105" spans="1:48" s="38" customFormat="1" ht="12" x14ac:dyDescent="0.3">
      <c r="A105" s="110" t="s">
        <v>1002</v>
      </c>
      <c r="B105" s="111" t="s">
        <v>949</v>
      </c>
      <c r="C105" s="112">
        <v>869</v>
      </c>
      <c r="D105" s="104">
        <v>158.4</v>
      </c>
      <c r="E105" s="106">
        <v>48</v>
      </c>
      <c r="F105" s="104">
        <v>121.4</v>
      </c>
      <c r="G105" s="17">
        <v>37</v>
      </c>
      <c r="H105" s="107">
        <v>90</v>
      </c>
      <c r="I105" s="108"/>
      <c r="J105" s="108"/>
      <c r="K105" s="108"/>
      <c r="L105" s="108"/>
      <c r="M105" s="109">
        <f t="shared" si="128"/>
        <v>0</v>
      </c>
      <c r="N105" s="4" t="str">
        <f t="shared" si="129"/>
        <v/>
      </c>
      <c r="O105" s="105">
        <f t="shared" si="130"/>
        <v>0</v>
      </c>
      <c r="P105" s="105">
        <f t="shared" si="131"/>
        <v>0</v>
      </c>
      <c r="Q105" s="75">
        <v>4</v>
      </c>
      <c r="R105" s="75">
        <v>2</v>
      </c>
      <c r="S105" s="75" t="s">
        <v>869</v>
      </c>
      <c r="T105" s="5">
        <v>158</v>
      </c>
      <c r="U105" s="9"/>
      <c r="W105" s="104">
        <f t="shared" si="149"/>
        <v>158.4</v>
      </c>
      <c r="X105" s="106">
        <f t="shared" si="149"/>
        <v>48</v>
      </c>
      <c r="Y105" s="102">
        <f t="shared" si="150"/>
        <v>90</v>
      </c>
      <c r="Z105" s="109">
        <f t="shared" si="150"/>
        <v>0</v>
      </c>
      <c r="AA105" s="109">
        <f t="shared" si="132"/>
        <v>0</v>
      </c>
      <c r="AB105" s="109">
        <f t="shared" si="148"/>
        <v>0</v>
      </c>
      <c r="AC105" s="4" t="str">
        <f t="shared" si="148"/>
        <v/>
      </c>
      <c r="AD105" s="105">
        <f t="shared" si="148"/>
        <v>0</v>
      </c>
      <c r="AE105" s="75" t="str">
        <f t="shared" si="133"/>
        <v>계</v>
      </c>
      <c r="AF105" s="75" t="str">
        <f t="shared" si="134"/>
        <v>4/2</v>
      </c>
      <c r="AH105" s="20" t="str">
        <f t="shared" si="106"/>
        <v>용원동 일신님</v>
      </c>
      <c r="AI105" s="106">
        <f t="shared" si="107"/>
        <v>48</v>
      </c>
      <c r="AJ105" s="75" t="str">
        <f t="shared" si="135"/>
        <v>A-</v>
      </c>
      <c r="AK105" s="75" t="s">
        <v>14</v>
      </c>
      <c r="AL105" s="75" t="s">
        <v>870</v>
      </c>
      <c r="AM105" s="75" t="s">
        <v>871</v>
      </c>
      <c r="AN105" s="75" t="str">
        <f t="shared" si="136"/>
        <v>C</v>
      </c>
      <c r="AO105" s="75" t="str">
        <f t="shared" si="137"/>
        <v/>
      </c>
      <c r="AP105" s="75" t="str">
        <f t="shared" si="138"/>
        <v/>
      </c>
      <c r="AQ105" s="75" t="str">
        <f t="shared" si="139"/>
        <v>O</v>
      </c>
      <c r="AR105" s="75" t="str">
        <f t="shared" si="140"/>
        <v>O</v>
      </c>
      <c r="AS105" s="75" t="s">
        <v>2</v>
      </c>
      <c r="AT105" s="75" t="str">
        <f t="shared" si="141"/>
        <v>X</v>
      </c>
      <c r="AU105" s="75" t="str">
        <f t="shared" si="142"/>
        <v>O</v>
      </c>
      <c r="AV105" s="75" t="str">
        <f t="shared" si="143"/>
        <v/>
      </c>
    </row>
    <row r="106" spans="1:48" s="38" customFormat="1" ht="24" x14ac:dyDescent="0.3">
      <c r="A106" s="110" t="s">
        <v>1003</v>
      </c>
      <c r="B106" s="111" t="s">
        <v>1004</v>
      </c>
      <c r="C106" s="112">
        <v>539</v>
      </c>
      <c r="D106" s="104">
        <v>112.6</v>
      </c>
      <c r="E106" s="106">
        <v>34</v>
      </c>
      <c r="F106" s="104">
        <v>85</v>
      </c>
      <c r="G106" s="17">
        <v>26</v>
      </c>
      <c r="H106" s="107">
        <v>357</v>
      </c>
      <c r="I106" s="108"/>
      <c r="J106" s="108"/>
      <c r="K106" s="108"/>
      <c r="L106" s="108"/>
      <c r="M106" s="109">
        <f t="shared" si="128"/>
        <v>0</v>
      </c>
      <c r="N106" s="4" t="str">
        <f t="shared" si="129"/>
        <v/>
      </c>
      <c r="O106" s="105">
        <f t="shared" si="130"/>
        <v>0</v>
      </c>
      <c r="P106" s="105">
        <f t="shared" si="131"/>
        <v>0</v>
      </c>
      <c r="Q106" s="75">
        <v>3</v>
      </c>
      <c r="R106" s="75">
        <v>2</v>
      </c>
      <c r="S106" s="75" t="s">
        <v>869</v>
      </c>
      <c r="T106" s="5" t="s">
        <v>509</v>
      </c>
      <c r="U106" s="9"/>
      <c r="W106" s="104">
        <f t="shared" si="149"/>
        <v>112.6</v>
      </c>
      <c r="X106" s="106">
        <f t="shared" si="149"/>
        <v>34</v>
      </c>
      <c r="Y106" s="102">
        <f t="shared" si="150"/>
        <v>357</v>
      </c>
      <c r="Z106" s="109">
        <f t="shared" si="150"/>
        <v>0</v>
      </c>
      <c r="AA106" s="109">
        <f t="shared" si="132"/>
        <v>0</v>
      </c>
      <c r="AB106" s="109">
        <f t="shared" si="148"/>
        <v>0</v>
      </c>
      <c r="AC106" s="4" t="str">
        <f t="shared" si="148"/>
        <v/>
      </c>
      <c r="AD106" s="105">
        <f t="shared" si="148"/>
        <v>0</v>
      </c>
      <c r="AE106" s="75" t="str">
        <f t="shared" si="133"/>
        <v>계</v>
      </c>
      <c r="AF106" s="75" t="str">
        <f t="shared" si="134"/>
        <v>3/2</v>
      </c>
      <c r="AH106" s="20" t="str">
        <f t="shared" si="106"/>
        <v>용원동 부산신항사랑으로부영6블럭</v>
      </c>
      <c r="AI106" s="106">
        <f t="shared" si="107"/>
        <v>34</v>
      </c>
      <c r="AJ106" s="75" t="str">
        <f t="shared" si="135"/>
        <v>A-</v>
      </c>
      <c r="AK106" s="75" t="s">
        <v>14</v>
      </c>
      <c r="AL106" s="75" t="s">
        <v>870</v>
      </c>
      <c r="AM106" s="75" t="s">
        <v>871</v>
      </c>
      <c r="AN106" s="75" t="str">
        <f t="shared" si="136"/>
        <v>C</v>
      </c>
      <c r="AO106" s="75" t="str">
        <f t="shared" si="137"/>
        <v/>
      </c>
      <c r="AP106" s="75" t="str">
        <f t="shared" si="138"/>
        <v/>
      </c>
      <c r="AQ106" s="75" t="str">
        <f t="shared" si="139"/>
        <v>O</v>
      </c>
      <c r="AR106" s="75" t="str">
        <f t="shared" si="140"/>
        <v>O</v>
      </c>
      <c r="AS106" s="75" t="s">
        <v>2</v>
      </c>
      <c r="AT106" s="75" t="str">
        <f t="shared" si="141"/>
        <v>O</v>
      </c>
      <c r="AU106" s="75" t="str">
        <f t="shared" si="142"/>
        <v>O</v>
      </c>
      <c r="AV106" s="75" t="str">
        <f t="shared" si="143"/>
        <v/>
      </c>
    </row>
    <row r="107" spans="1:48" s="38" customFormat="1" ht="24" x14ac:dyDescent="0.3">
      <c r="A107" s="110" t="s">
        <v>1003</v>
      </c>
      <c r="B107" s="111" t="s">
        <v>1004</v>
      </c>
      <c r="C107" s="112">
        <v>539</v>
      </c>
      <c r="D107" s="104">
        <v>113.3</v>
      </c>
      <c r="E107" s="106">
        <v>34</v>
      </c>
      <c r="F107" s="104">
        <v>84.9</v>
      </c>
      <c r="G107" s="17">
        <v>26</v>
      </c>
      <c r="H107" s="107">
        <v>95</v>
      </c>
      <c r="I107" s="108"/>
      <c r="J107" s="108"/>
      <c r="K107" s="108"/>
      <c r="L107" s="108"/>
      <c r="M107" s="109">
        <f t="shared" si="128"/>
        <v>0</v>
      </c>
      <c r="N107" s="4" t="str">
        <f t="shared" si="129"/>
        <v/>
      </c>
      <c r="O107" s="105">
        <f t="shared" si="130"/>
        <v>0</v>
      </c>
      <c r="P107" s="105">
        <f t="shared" si="131"/>
        <v>0</v>
      </c>
      <c r="Q107" s="75">
        <v>3</v>
      </c>
      <c r="R107" s="75">
        <v>2</v>
      </c>
      <c r="S107" s="75" t="s">
        <v>869</v>
      </c>
      <c r="T107" s="5" t="s">
        <v>513</v>
      </c>
      <c r="U107" s="9"/>
      <c r="W107" s="104">
        <f t="shared" si="149"/>
        <v>113.3</v>
      </c>
      <c r="X107" s="106">
        <f t="shared" si="149"/>
        <v>34</v>
      </c>
      <c r="Y107" s="102">
        <f t="shared" si="150"/>
        <v>95</v>
      </c>
      <c r="Z107" s="109">
        <f t="shared" si="150"/>
        <v>0</v>
      </c>
      <c r="AA107" s="109">
        <f t="shared" si="132"/>
        <v>0</v>
      </c>
      <c r="AB107" s="109">
        <f t="shared" si="148"/>
        <v>0</v>
      </c>
      <c r="AC107" s="4" t="str">
        <f t="shared" si="148"/>
        <v/>
      </c>
      <c r="AD107" s="105">
        <f t="shared" si="148"/>
        <v>0</v>
      </c>
      <c r="AE107" s="75" t="str">
        <f t="shared" si="133"/>
        <v>계</v>
      </c>
      <c r="AF107" s="75" t="str">
        <f t="shared" si="134"/>
        <v>3/2</v>
      </c>
      <c r="AH107" s="20" t="str">
        <f t="shared" si="106"/>
        <v>용원동 부산신항사랑으로부영6블럭</v>
      </c>
      <c r="AI107" s="106">
        <f t="shared" si="107"/>
        <v>34</v>
      </c>
      <c r="AJ107" s="75" t="str">
        <f t="shared" si="135"/>
        <v>A-</v>
      </c>
      <c r="AK107" s="75" t="s">
        <v>14</v>
      </c>
      <c r="AL107" s="75" t="s">
        <v>870</v>
      </c>
      <c r="AM107" s="75" t="s">
        <v>871</v>
      </c>
      <c r="AN107" s="75" t="str">
        <f t="shared" si="136"/>
        <v>C</v>
      </c>
      <c r="AO107" s="75" t="str">
        <f t="shared" si="137"/>
        <v/>
      </c>
      <c r="AP107" s="75" t="str">
        <f t="shared" si="138"/>
        <v/>
      </c>
      <c r="AQ107" s="75" t="str">
        <f t="shared" si="139"/>
        <v>O</v>
      </c>
      <c r="AR107" s="75" t="str">
        <f t="shared" si="140"/>
        <v>O</v>
      </c>
      <c r="AS107" s="75" t="s">
        <v>2</v>
      </c>
      <c r="AT107" s="75" t="str">
        <f t="shared" si="141"/>
        <v>O</v>
      </c>
      <c r="AU107" s="75" t="str">
        <f t="shared" si="142"/>
        <v>O</v>
      </c>
      <c r="AV107" s="75" t="str">
        <f t="shared" si="143"/>
        <v/>
      </c>
    </row>
    <row r="108" spans="1:48" s="38" customFormat="1" ht="24" x14ac:dyDescent="0.3">
      <c r="A108" s="110" t="s">
        <v>1005</v>
      </c>
      <c r="B108" s="111" t="s">
        <v>1004</v>
      </c>
      <c r="C108" s="112">
        <v>539</v>
      </c>
      <c r="D108" s="104">
        <v>113.2</v>
      </c>
      <c r="E108" s="106">
        <v>34</v>
      </c>
      <c r="F108" s="104">
        <v>84.6</v>
      </c>
      <c r="G108" s="17">
        <v>26</v>
      </c>
      <c r="H108" s="107">
        <v>87</v>
      </c>
      <c r="I108" s="108"/>
      <c r="J108" s="108"/>
      <c r="K108" s="108"/>
      <c r="L108" s="108"/>
      <c r="M108" s="109">
        <f t="shared" si="128"/>
        <v>0</v>
      </c>
      <c r="N108" s="4" t="str">
        <f t="shared" si="129"/>
        <v/>
      </c>
      <c r="O108" s="105">
        <f t="shared" si="130"/>
        <v>0</v>
      </c>
      <c r="P108" s="105">
        <f t="shared" si="131"/>
        <v>0</v>
      </c>
      <c r="Q108" s="75">
        <v>3</v>
      </c>
      <c r="R108" s="75">
        <v>2</v>
      </c>
      <c r="S108" s="75" t="s">
        <v>869</v>
      </c>
      <c r="T108" s="5" t="s">
        <v>514</v>
      </c>
      <c r="U108" s="9"/>
      <c r="W108" s="104">
        <f t="shared" si="149"/>
        <v>113.2</v>
      </c>
      <c r="X108" s="106">
        <f t="shared" si="149"/>
        <v>34</v>
      </c>
      <c r="Y108" s="102">
        <f t="shared" si="150"/>
        <v>87</v>
      </c>
      <c r="Z108" s="109">
        <f t="shared" si="150"/>
        <v>0</v>
      </c>
      <c r="AA108" s="109">
        <f t="shared" si="132"/>
        <v>0</v>
      </c>
      <c r="AB108" s="109">
        <f t="shared" si="148"/>
        <v>0</v>
      </c>
      <c r="AC108" s="4" t="str">
        <f t="shared" si="148"/>
        <v/>
      </c>
      <c r="AD108" s="105">
        <f t="shared" si="148"/>
        <v>0</v>
      </c>
      <c r="AE108" s="75" t="str">
        <f t="shared" si="133"/>
        <v>계</v>
      </c>
      <c r="AF108" s="75" t="str">
        <f t="shared" si="134"/>
        <v>3/2</v>
      </c>
      <c r="AH108" s="20" t="str">
        <f t="shared" si="106"/>
        <v>용원동 부산신항사랑으로부영6블럭</v>
      </c>
      <c r="AI108" s="106">
        <f t="shared" si="107"/>
        <v>34</v>
      </c>
      <c r="AJ108" s="75" t="str">
        <f t="shared" si="135"/>
        <v>A-</v>
      </c>
      <c r="AK108" s="75" t="s">
        <v>14</v>
      </c>
      <c r="AL108" s="75" t="s">
        <v>870</v>
      </c>
      <c r="AM108" s="75" t="s">
        <v>871</v>
      </c>
      <c r="AN108" s="75" t="str">
        <f t="shared" si="136"/>
        <v>C</v>
      </c>
      <c r="AO108" s="75" t="str">
        <f t="shared" si="137"/>
        <v/>
      </c>
      <c r="AP108" s="75" t="str">
        <f t="shared" si="138"/>
        <v/>
      </c>
      <c r="AQ108" s="75" t="str">
        <f t="shared" si="139"/>
        <v>O</v>
      </c>
      <c r="AR108" s="75" t="str">
        <f t="shared" si="140"/>
        <v>O</v>
      </c>
      <c r="AS108" s="75" t="s">
        <v>2</v>
      </c>
      <c r="AT108" s="75" t="str">
        <f t="shared" si="141"/>
        <v>O</v>
      </c>
      <c r="AU108" s="75" t="str">
        <f t="shared" si="142"/>
        <v>O</v>
      </c>
      <c r="AV108" s="75" t="str">
        <f t="shared" si="143"/>
        <v/>
      </c>
    </row>
    <row r="109" spans="1:48" s="38" customFormat="1" ht="12" x14ac:dyDescent="0.3">
      <c r="A109" s="110" t="s">
        <v>1006</v>
      </c>
      <c r="B109" s="111" t="s">
        <v>1007</v>
      </c>
      <c r="C109" s="112">
        <v>897</v>
      </c>
      <c r="D109" s="104">
        <v>112.6</v>
      </c>
      <c r="E109" s="106">
        <v>34</v>
      </c>
      <c r="F109" s="104">
        <v>84.7</v>
      </c>
      <c r="G109" s="17">
        <v>26</v>
      </c>
      <c r="H109" s="107">
        <v>597</v>
      </c>
      <c r="I109" s="108">
        <v>23000</v>
      </c>
      <c r="J109" s="108" t="s">
        <v>901</v>
      </c>
      <c r="K109" s="108"/>
      <c r="L109" s="108"/>
      <c r="M109" s="109">
        <f t="shared" si="128"/>
        <v>23000</v>
      </c>
      <c r="N109" s="4">
        <f t="shared" si="129"/>
        <v>0</v>
      </c>
      <c r="O109" s="105">
        <f t="shared" si="130"/>
        <v>676.47058823529414</v>
      </c>
      <c r="P109" s="105">
        <f t="shared" si="131"/>
        <v>0</v>
      </c>
      <c r="Q109" s="75">
        <v>3</v>
      </c>
      <c r="R109" s="75">
        <v>2</v>
      </c>
      <c r="S109" s="75" t="s">
        <v>869</v>
      </c>
      <c r="T109" s="5" t="s">
        <v>509</v>
      </c>
      <c r="U109" s="9"/>
      <c r="W109" s="104">
        <f t="shared" si="149"/>
        <v>112.6</v>
      </c>
      <c r="X109" s="106">
        <f t="shared" si="149"/>
        <v>34</v>
      </c>
      <c r="Y109" s="102">
        <f t="shared" si="150"/>
        <v>597</v>
      </c>
      <c r="Z109" s="109">
        <f t="shared" si="150"/>
        <v>23000</v>
      </c>
      <c r="AA109" s="109">
        <f t="shared" si="132"/>
        <v>0</v>
      </c>
      <c r="AB109" s="109">
        <f t="shared" si="148"/>
        <v>23000</v>
      </c>
      <c r="AC109" s="4">
        <f t="shared" si="148"/>
        <v>0</v>
      </c>
      <c r="AD109" s="105">
        <f t="shared" si="148"/>
        <v>676.47058823529414</v>
      </c>
      <c r="AE109" s="75" t="str">
        <f t="shared" si="133"/>
        <v>계</v>
      </c>
      <c r="AF109" s="75" t="str">
        <f t="shared" si="134"/>
        <v>3/2</v>
      </c>
      <c r="AH109" s="20" t="str">
        <f t="shared" si="106"/>
        <v>용원동 코아루</v>
      </c>
      <c r="AI109" s="106">
        <f t="shared" si="107"/>
        <v>34</v>
      </c>
      <c r="AJ109" s="75" t="str">
        <f t="shared" si="135"/>
        <v>A-</v>
      </c>
      <c r="AK109" s="75" t="s">
        <v>14</v>
      </c>
      <c r="AL109" s="75" t="s">
        <v>870</v>
      </c>
      <c r="AM109" s="75" t="s">
        <v>871</v>
      </c>
      <c r="AN109" s="75" t="str">
        <f t="shared" si="136"/>
        <v>C</v>
      </c>
      <c r="AO109" s="75" t="str">
        <f t="shared" si="137"/>
        <v>X</v>
      </c>
      <c r="AP109" s="75" t="str">
        <f t="shared" si="138"/>
        <v>O</v>
      </c>
      <c r="AQ109" s="75" t="str">
        <f t="shared" si="139"/>
        <v>O</v>
      </c>
      <c r="AR109" s="75" t="str">
        <f t="shared" si="140"/>
        <v>X</v>
      </c>
      <c r="AS109" s="75" t="s">
        <v>2</v>
      </c>
      <c r="AT109" s="75" t="str">
        <f t="shared" si="141"/>
        <v>O</v>
      </c>
      <c r="AU109" s="75" t="str">
        <f t="shared" si="142"/>
        <v>O</v>
      </c>
      <c r="AV109" s="75" t="str">
        <f t="shared" si="143"/>
        <v>X</v>
      </c>
    </row>
    <row r="110" spans="1:48" s="38" customFormat="1" ht="12" x14ac:dyDescent="0.3">
      <c r="A110" s="110" t="s">
        <v>1006</v>
      </c>
      <c r="B110" s="111" t="s">
        <v>1007</v>
      </c>
      <c r="C110" s="112">
        <v>897</v>
      </c>
      <c r="D110" s="104">
        <v>112.6</v>
      </c>
      <c r="E110" s="106">
        <v>34</v>
      </c>
      <c r="F110" s="104">
        <v>84.7</v>
      </c>
      <c r="G110" s="17">
        <v>26</v>
      </c>
      <c r="H110" s="107">
        <v>180</v>
      </c>
      <c r="I110" s="108">
        <v>23000</v>
      </c>
      <c r="J110" s="108" t="s">
        <v>901</v>
      </c>
      <c r="K110" s="108"/>
      <c r="L110" s="108"/>
      <c r="M110" s="109">
        <f t="shared" si="128"/>
        <v>23000</v>
      </c>
      <c r="N110" s="4">
        <f t="shared" si="129"/>
        <v>0</v>
      </c>
      <c r="O110" s="105">
        <f t="shared" si="130"/>
        <v>676.47058823529414</v>
      </c>
      <c r="P110" s="105">
        <f t="shared" si="131"/>
        <v>0</v>
      </c>
      <c r="Q110" s="75">
        <v>3</v>
      </c>
      <c r="R110" s="75">
        <v>2</v>
      </c>
      <c r="S110" s="75" t="s">
        <v>869</v>
      </c>
      <c r="T110" s="5" t="s">
        <v>122</v>
      </c>
      <c r="U110" s="9"/>
      <c r="W110" s="104">
        <f t="shared" si="149"/>
        <v>112.6</v>
      </c>
      <c r="X110" s="106">
        <f t="shared" si="149"/>
        <v>34</v>
      </c>
      <c r="Y110" s="102">
        <f t="shared" si="150"/>
        <v>180</v>
      </c>
      <c r="Z110" s="109">
        <f t="shared" si="150"/>
        <v>23000</v>
      </c>
      <c r="AA110" s="109">
        <f t="shared" si="132"/>
        <v>0</v>
      </c>
      <c r="AB110" s="109">
        <f t="shared" si="148"/>
        <v>23000</v>
      </c>
      <c r="AC110" s="4">
        <f t="shared" si="148"/>
        <v>0</v>
      </c>
      <c r="AD110" s="105">
        <f t="shared" si="148"/>
        <v>676.47058823529414</v>
      </c>
      <c r="AE110" s="75" t="str">
        <f t="shared" si="133"/>
        <v>계</v>
      </c>
      <c r="AF110" s="75" t="str">
        <f t="shared" si="134"/>
        <v>3/2</v>
      </c>
      <c r="AH110" s="20" t="str">
        <f t="shared" si="106"/>
        <v>용원동 코아루</v>
      </c>
      <c r="AI110" s="106">
        <f t="shared" si="107"/>
        <v>34</v>
      </c>
      <c r="AJ110" s="75" t="str">
        <f t="shared" si="135"/>
        <v>A-</v>
      </c>
      <c r="AK110" s="75" t="s">
        <v>14</v>
      </c>
      <c r="AL110" s="75" t="s">
        <v>870</v>
      </c>
      <c r="AM110" s="75" t="s">
        <v>871</v>
      </c>
      <c r="AN110" s="75" t="str">
        <f t="shared" si="136"/>
        <v>C</v>
      </c>
      <c r="AO110" s="75" t="str">
        <f t="shared" si="137"/>
        <v>X</v>
      </c>
      <c r="AP110" s="75" t="str">
        <f t="shared" si="138"/>
        <v>O</v>
      </c>
      <c r="AQ110" s="75" t="str">
        <f t="shared" si="139"/>
        <v>O</v>
      </c>
      <c r="AR110" s="75" t="str">
        <f t="shared" si="140"/>
        <v>X</v>
      </c>
      <c r="AS110" s="75" t="s">
        <v>2</v>
      </c>
      <c r="AT110" s="75" t="str">
        <f t="shared" si="141"/>
        <v>O</v>
      </c>
      <c r="AU110" s="75" t="str">
        <f t="shared" si="142"/>
        <v>O</v>
      </c>
      <c r="AV110" s="75" t="str">
        <f t="shared" si="143"/>
        <v>X</v>
      </c>
    </row>
    <row r="111" spans="1:48" s="38" customFormat="1" ht="12" x14ac:dyDescent="0.3">
      <c r="A111" s="110" t="s">
        <v>1008</v>
      </c>
      <c r="B111" s="111" t="s">
        <v>1007</v>
      </c>
      <c r="C111" s="112">
        <v>897</v>
      </c>
      <c r="D111" s="104">
        <v>149.6</v>
      </c>
      <c r="E111" s="106">
        <v>45</v>
      </c>
      <c r="F111" s="104">
        <v>120.4</v>
      </c>
      <c r="G111" s="17">
        <v>36</v>
      </c>
      <c r="H111" s="107">
        <v>120</v>
      </c>
      <c r="I111" s="108"/>
      <c r="J111" s="108"/>
      <c r="K111" s="108"/>
      <c r="L111" s="108"/>
      <c r="M111" s="109">
        <f t="shared" si="128"/>
        <v>0</v>
      </c>
      <c r="N111" s="4" t="str">
        <f t="shared" si="129"/>
        <v/>
      </c>
      <c r="O111" s="105">
        <f t="shared" si="130"/>
        <v>0</v>
      </c>
      <c r="P111" s="105">
        <f t="shared" si="131"/>
        <v>0</v>
      </c>
      <c r="Q111" s="75">
        <v>4</v>
      </c>
      <c r="R111" s="75">
        <v>2</v>
      </c>
      <c r="S111" s="75" t="s">
        <v>869</v>
      </c>
      <c r="T111" s="5">
        <v>149</v>
      </c>
      <c r="U111" s="9"/>
      <c r="W111" s="104">
        <f t="shared" si="149"/>
        <v>149.6</v>
      </c>
      <c r="X111" s="106">
        <f t="shared" si="149"/>
        <v>45</v>
      </c>
      <c r="Y111" s="102">
        <f t="shared" si="150"/>
        <v>120</v>
      </c>
      <c r="Z111" s="109">
        <f t="shared" si="150"/>
        <v>0</v>
      </c>
      <c r="AA111" s="109">
        <f t="shared" si="132"/>
        <v>0</v>
      </c>
      <c r="AB111" s="109">
        <f t="shared" si="148"/>
        <v>0</v>
      </c>
      <c r="AC111" s="4" t="str">
        <f t="shared" si="148"/>
        <v/>
      </c>
      <c r="AD111" s="105">
        <f t="shared" si="148"/>
        <v>0</v>
      </c>
      <c r="AE111" s="75" t="str">
        <f t="shared" si="133"/>
        <v>계</v>
      </c>
      <c r="AF111" s="75" t="str">
        <f t="shared" si="134"/>
        <v>4/2</v>
      </c>
      <c r="AH111" s="20" t="str">
        <f t="shared" si="106"/>
        <v>용원동 코아루</v>
      </c>
      <c r="AI111" s="106">
        <f t="shared" si="107"/>
        <v>45</v>
      </c>
      <c r="AJ111" s="75" t="str">
        <f t="shared" si="135"/>
        <v>A-</v>
      </c>
      <c r="AK111" s="75" t="s">
        <v>14</v>
      </c>
      <c r="AL111" s="75" t="s">
        <v>870</v>
      </c>
      <c r="AM111" s="75" t="s">
        <v>871</v>
      </c>
      <c r="AN111" s="75" t="str">
        <f t="shared" si="136"/>
        <v>C</v>
      </c>
      <c r="AO111" s="75" t="str">
        <f t="shared" si="137"/>
        <v/>
      </c>
      <c r="AP111" s="75" t="str">
        <f t="shared" si="138"/>
        <v/>
      </c>
      <c r="AQ111" s="75" t="str">
        <f t="shared" si="139"/>
        <v>O</v>
      </c>
      <c r="AR111" s="75" t="str">
        <f t="shared" si="140"/>
        <v>O</v>
      </c>
      <c r="AS111" s="75" t="s">
        <v>2</v>
      </c>
      <c r="AT111" s="75" t="str">
        <f t="shared" si="141"/>
        <v>X</v>
      </c>
      <c r="AU111" s="75" t="str">
        <f t="shared" si="142"/>
        <v>O</v>
      </c>
      <c r="AV111" s="75" t="str">
        <f t="shared" si="143"/>
        <v/>
      </c>
    </row>
    <row r="112" spans="1:48" s="38" customFormat="1" ht="12" x14ac:dyDescent="0.3">
      <c r="A112" s="110" t="s">
        <v>1009</v>
      </c>
      <c r="B112" s="111" t="s">
        <v>1010</v>
      </c>
      <c r="C112" s="112">
        <v>508</v>
      </c>
      <c r="D112" s="104">
        <v>104.8</v>
      </c>
      <c r="E112" s="106">
        <v>32</v>
      </c>
      <c r="F112" s="104">
        <v>85</v>
      </c>
      <c r="G112" s="17">
        <v>26</v>
      </c>
      <c r="H112" s="107">
        <v>508</v>
      </c>
      <c r="I112" s="108">
        <v>17000</v>
      </c>
      <c r="J112" s="108" t="s">
        <v>873</v>
      </c>
      <c r="K112" s="108"/>
      <c r="L112" s="108"/>
      <c r="M112" s="109">
        <f t="shared" si="128"/>
        <v>17000</v>
      </c>
      <c r="N112" s="4">
        <f t="shared" si="129"/>
        <v>0</v>
      </c>
      <c r="O112" s="105">
        <f t="shared" si="130"/>
        <v>531.25</v>
      </c>
      <c r="P112" s="105">
        <f t="shared" si="131"/>
        <v>0</v>
      </c>
      <c r="Q112" s="75">
        <v>3</v>
      </c>
      <c r="R112" s="75">
        <v>2</v>
      </c>
      <c r="S112" s="75" t="s">
        <v>869</v>
      </c>
      <c r="T112" s="5">
        <v>104</v>
      </c>
      <c r="U112" s="9"/>
      <c r="W112" s="104">
        <f>D112</f>
        <v>104.8</v>
      </c>
      <c r="X112" s="106">
        <f>E112</f>
        <v>32</v>
      </c>
      <c r="Y112" s="102">
        <f>H112</f>
        <v>508</v>
      </c>
      <c r="Z112" s="109">
        <f>I112</f>
        <v>17000</v>
      </c>
      <c r="AA112" s="109">
        <f t="shared" si="132"/>
        <v>0</v>
      </c>
      <c r="AB112" s="109">
        <f>M112</f>
        <v>17000</v>
      </c>
      <c r="AC112" s="4">
        <f>N112</f>
        <v>0</v>
      </c>
      <c r="AD112" s="105">
        <f>O112</f>
        <v>531.25</v>
      </c>
      <c r="AE112" s="75" t="str">
        <f t="shared" si="133"/>
        <v>계</v>
      </c>
      <c r="AF112" s="75" t="str">
        <f t="shared" si="134"/>
        <v>3/2</v>
      </c>
      <c r="AH112" s="20" t="str">
        <f t="shared" si="106"/>
        <v>용원동 현대</v>
      </c>
      <c r="AI112" s="106">
        <f t="shared" si="107"/>
        <v>32</v>
      </c>
      <c r="AJ112" s="75" t="str">
        <f t="shared" si="135"/>
        <v>A-</v>
      </c>
      <c r="AK112" s="75" t="s">
        <v>14</v>
      </c>
      <c r="AL112" s="75" t="s">
        <v>870</v>
      </c>
      <c r="AM112" s="75" t="s">
        <v>871</v>
      </c>
      <c r="AN112" s="75" t="str">
        <f t="shared" si="136"/>
        <v>C</v>
      </c>
      <c r="AO112" s="75" t="str">
        <f t="shared" si="137"/>
        <v>X</v>
      </c>
      <c r="AP112" s="75" t="str">
        <f t="shared" si="138"/>
        <v>O</v>
      </c>
      <c r="AQ112" s="75" t="str">
        <f t="shared" si="139"/>
        <v>O</v>
      </c>
      <c r="AR112" s="75" t="str">
        <f t="shared" si="140"/>
        <v>X</v>
      </c>
      <c r="AS112" s="75" t="s">
        <v>2</v>
      </c>
      <c r="AT112" s="75" t="str">
        <f t="shared" si="141"/>
        <v>O</v>
      </c>
      <c r="AU112" s="75" t="str">
        <f t="shared" si="142"/>
        <v>O</v>
      </c>
      <c r="AV112" s="75" t="str">
        <f t="shared" si="143"/>
        <v>X</v>
      </c>
    </row>
    <row r="113" spans="1:48" s="38" customFormat="1" ht="12" x14ac:dyDescent="0.3">
      <c r="A113" s="110" t="s">
        <v>1011</v>
      </c>
      <c r="B113" s="111" t="s">
        <v>1012</v>
      </c>
      <c r="C113" s="112">
        <v>268</v>
      </c>
      <c r="D113" s="104">
        <v>89.3</v>
      </c>
      <c r="E113" s="106">
        <v>27</v>
      </c>
      <c r="F113" s="104">
        <v>77.2</v>
      </c>
      <c r="G113" s="17">
        <v>23</v>
      </c>
      <c r="H113" s="107">
        <v>108</v>
      </c>
      <c r="I113" s="108"/>
      <c r="J113" s="108"/>
      <c r="K113" s="108"/>
      <c r="L113" s="108"/>
      <c r="M113" s="109">
        <f t="shared" si="128"/>
        <v>0</v>
      </c>
      <c r="N113" s="4" t="str">
        <f t="shared" si="129"/>
        <v/>
      </c>
      <c r="O113" s="105">
        <f t="shared" si="130"/>
        <v>0</v>
      </c>
      <c r="P113" s="105">
        <f t="shared" si="131"/>
        <v>0</v>
      </c>
      <c r="Q113" s="75">
        <v>3</v>
      </c>
      <c r="R113" s="75">
        <v>1</v>
      </c>
      <c r="S113" s="75" t="s">
        <v>869</v>
      </c>
      <c r="T113" s="5">
        <v>89</v>
      </c>
      <c r="U113" s="9"/>
      <c r="W113" s="104">
        <f t="shared" ref="W113:X115" si="151">D113</f>
        <v>89.3</v>
      </c>
      <c r="X113" s="106">
        <f t="shared" si="151"/>
        <v>27</v>
      </c>
      <c r="Y113" s="102">
        <f t="shared" ref="Y113:Z115" si="152">H113</f>
        <v>108</v>
      </c>
      <c r="Z113" s="109">
        <f t="shared" si="152"/>
        <v>0</v>
      </c>
      <c r="AA113" s="109">
        <f t="shared" si="132"/>
        <v>0</v>
      </c>
      <c r="AB113" s="109">
        <f t="shared" ref="AB113:AD126" si="153">M113</f>
        <v>0</v>
      </c>
      <c r="AC113" s="4" t="str">
        <f t="shared" si="153"/>
        <v/>
      </c>
      <c r="AD113" s="105">
        <f t="shared" si="153"/>
        <v>0</v>
      </c>
      <c r="AE113" s="75" t="str">
        <f t="shared" si="133"/>
        <v>계</v>
      </c>
      <c r="AF113" s="75" t="str">
        <f t="shared" si="134"/>
        <v>3/1</v>
      </c>
      <c r="AH113" s="20" t="str">
        <f t="shared" si="106"/>
        <v>이동 남흥</v>
      </c>
      <c r="AI113" s="106">
        <f t="shared" si="107"/>
        <v>27</v>
      </c>
      <c r="AJ113" s="75" t="str">
        <f t="shared" si="135"/>
        <v>A-</v>
      </c>
      <c r="AK113" s="75" t="s">
        <v>14</v>
      </c>
      <c r="AL113" s="75" t="s">
        <v>870</v>
      </c>
      <c r="AM113" s="75" t="s">
        <v>871</v>
      </c>
      <c r="AN113" s="75" t="str">
        <f t="shared" si="136"/>
        <v>C</v>
      </c>
      <c r="AO113" s="75" t="str">
        <f t="shared" si="137"/>
        <v/>
      </c>
      <c r="AP113" s="75" t="str">
        <f t="shared" si="138"/>
        <v/>
      </c>
      <c r="AQ113" s="75" t="str">
        <f t="shared" si="139"/>
        <v>O</v>
      </c>
      <c r="AR113" s="75" t="str">
        <f t="shared" si="140"/>
        <v>O</v>
      </c>
      <c r="AS113" s="75" t="s">
        <v>2</v>
      </c>
      <c r="AT113" s="75" t="str">
        <f t="shared" si="141"/>
        <v>O</v>
      </c>
      <c r="AU113" s="75" t="str">
        <f t="shared" si="142"/>
        <v>X</v>
      </c>
      <c r="AV113" s="75" t="str">
        <f t="shared" si="143"/>
        <v/>
      </c>
    </row>
    <row r="114" spans="1:48" s="38" customFormat="1" ht="12" x14ac:dyDescent="0.3">
      <c r="A114" s="110" t="s">
        <v>1011</v>
      </c>
      <c r="B114" s="111" t="s">
        <v>1012</v>
      </c>
      <c r="C114" s="112">
        <v>268</v>
      </c>
      <c r="D114" s="104">
        <v>99.2</v>
      </c>
      <c r="E114" s="106">
        <v>30</v>
      </c>
      <c r="F114" s="104">
        <v>85</v>
      </c>
      <c r="G114" s="17">
        <v>26</v>
      </c>
      <c r="H114" s="107">
        <v>150</v>
      </c>
      <c r="I114" s="108"/>
      <c r="J114" s="108"/>
      <c r="K114" s="108"/>
      <c r="L114" s="108"/>
      <c r="M114" s="109">
        <f t="shared" si="128"/>
        <v>0</v>
      </c>
      <c r="N114" s="4" t="str">
        <f t="shared" si="129"/>
        <v/>
      </c>
      <c r="O114" s="105">
        <f t="shared" si="130"/>
        <v>0</v>
      </c>
      <c r="P114" s="105">
        <f t="shared" si="131"/>
        <v>0</v>
      </c>
      <c r="Q114" s="75">
        <v>3</v>
      </c>
      <c r="R114" s="75">
        <v>2</v>
      </c>
      <c r="S114" s="75" t="s">
        <v>869</v>
      </c>
      <c r="T114" s="5">
        <v>99</v>
      </c>
      <c r="U114" s="9"/>
      <c r="W114" s="104">
        <f t="shared" si="151"/>
        <v>99.2</v>
      </c>
      <c r="X114" s="106">
        <f t="shared" si="151"/>
        <v>30</v>
      </c>
      <c r="Y114" s="102">
        <f t="shared" si="152"/>
        <v>150</v>
      </c>
      <c r="Z114" s="109">
        <f t="shared" si="152"/>
        <v>0</v>
      </c>
      <c r="AA114" s="109">
        <f t="shared" si="132"/>
        <v>0</v>
      </c>
      <c r="AB114" s="109">
        <f t="shared" si="153"/>
        <v>0</v>
      </c>
      <c r="AC114" s="4" t="str">
        <f t="shared" si="153"/>
        <v/>
      </c>
      <c r="AD114" s="105">
        <f t="shared" si="153"/>
        <v>0</v>
      </c>
      <c r="AE114" s="75" t="str">
        <f t="shared" si="133"/>
        <v>계</v>
      </c>
      <c r="AF114" s="75" t="str">
        <f t="shared" si="134"/>
        <v>3/2</v>
      </c>
      <c r="AH114" s="20" t="str">
        <f t="shared" si="106"/>
        <v>이동 남흥</v>
      </c>
      <c r="AI114" s="106">
        <f t="shared" si="107"/>
        <v>30</v>
      </c>
      <c r="AJ114" s="75" t="str">
        <f t="shared" si="135"/>
        <v>A-</v>
      </c>
      <c r="AK114" s="75" t="s">
        <v>14</v>
      </c>
      <c r="AL114" s="75" t="s">
        <v>870</v>
      </c>
      <c r="AM114" s="75" t="s">
        <v>871</v>
      </c>
      <c r="AN114" s="75" t="str">
        <f t="shared" si="136"/>
        <v>C</v>
      </c>
      <c r="AO114" s="75" t="str">
        <f t="shared" si="137"/>
        <v/>
      </c>
      <c r="AP114" s="75" t="str">
        <f t="shared" si="138"/>
        <v/>
      </c>
      <c r="AQ114" s="75" t="str">
        <f t="shared" si="139"/>
        <v>O</v>
      </c>
      <c r="AR114" s="75" t="str">
        <f t="shared" si="140"/>
        <v>O</v>
      </c>
      <c r="AS114" s="75" t="s">
        <v>2</v>
      </c>
      <c r="AT114" s="75" t="str">
        <f t="shared" si="141"/>
        <v>O</v>
      </c>
      <c r="AU114" s="75" t="str">
        <f t="shared" si="142"/>
        <v>X</v>
      </c>
      <c r="AV114" s="75" t="str">
        <f t="shared" si="143"/>
        <v/>
      </c>
    </row>
    <row r="115" spans="1:48" s="38" customFormat="1" ht="12" x14ac:dyDescent="0.3">
      <c r="A115" s="110" t="s">
        <v>1011</v>
      </c>
      <c r="B115" s="111" t="s">
        <v>1012</v>
      </c>
      <c r="C115" s="112">
        <v>268</v>
      </c>
      <c r="D115" s="104">
        <v>145.69999999999999</v>
      </c>
      <c r="E115" s="106">
        <v>44</v>
      </c>
      <c r="F115" s="104">
        <v>128.6</v>
      </c>
      <c r="G115" s="17">
        <v>39</v>
      </c>
      <c r="H115" s="107">
        <v>10</v>
      </c>
      <c r="I115" s="108"/>
      <c r="J115" s="108"/>
      <c r="K115" s="108"/>
      <c r="L115" s="108"/>
      <c r="M115" s="109">
        <f t="shared" si="128"/>
        <v>0</v>
      </c>
      <c r="N115" s="4" t="str">
        <f t="shared" si="129"/>
        <v/>
      </c>
      <c r="O115" s="105">
        <f t="shared" si="130"/>
        <v>0</v>
      </c>
      <c r="P115" s="105">
        <f t="shared" si="131"/>
        <v>0</v>
      </c>
      <c r="Q115" s="75">
        <v>4</v>
      </c>
      <c r="R115" s="75">
        <v>2</v>
      </c>
      <c r="S115" s="75" t="s">
        <v>869</v>
      </c>
      <c r="T115" s="5">
        <v>145</v>
      </c>
      <c r="U115" s="9"/>
      <c r="W115" s="104">
        <f t="shared" si="151"/>
        <v>145.69999999999999</v>
      </c>
      <c r="X115" s="106">
        <f t="shared" si="151"/>
        <v>44</v>
      </c>
      <c r="Y115" s="102">
        <f t="shared" si="152"/>
        <v>10</v>
      </c>
      <c r="Z115" s="109">
        <f t="shared" si="152"/>
        <v>0</v>
      </c>
      <c r="AA115" s="109">
        <f t="shared" si="132"/>
        <v>0</v>
      </c>
      <c r="AB115" s="109">
        <f t="shared" si="153"/>
        <v>0</v>
      </c>
      <c r="AC115" s="4" t="str">
        <f t="shared" si="153"/>
        <v/>
      </c>
      <c r="AD115" s="105">
        <f t="shared" si="153"/>
        <v>0</v>
      </c>
      <c r="AE115" s="75" t="str">
        <f t="shared" si="133"/>
        <v>계</v>
      </c>
      <c r="AF115" s="75" t="str">
        <f t="shared" si="134"/>
        <v>4/2</v>
      </c>
      <c r="AH115" s="20" t="str">
        <f t="shared" si="106"/>
        <v>이동 남흥</v>
      </c>
      <c r="AI115" s="106">
        <f t="shared" si="107"/>
        <v>44</v>
      </c>
      <c r="AJ115" s="75" t="str">
        <f t="shared" si="135"/>
        <v>A-</v>
      </c>
      <c r="AK115" s="75" t="s">
        <v>14</v>
      </c>
      <c r="AL115" s="75" t="s">
        <v>870</v>
      </c>
      <c r="AM115" s="75" t="s">
        <v>871</v>
      </c>
      <c r="AN115" s="75" t="str">
        <f t="shared" si="136"/>
        <v>C</v>
      </c>
      <c r="AO115" s="75" t="str">
        <f t="shared" si="137"/>
        <v/>
      </c>
      <c r="AP115" s="75" t="str">
        <f t="shared" si="138"/>
        <v/>
      </c>
      <c r="AQ115" s="75" t="str">
        <f t="shared" si="139"/>
        <v>O</v>
      </c>
      <c r="AR115" s="75" t="str">
        <f t="shared" si="140"/>
        <v>O</v>
      </c>
      <c r="AS115" s="75" t="s">
        <v>2</v>
      </c>
      <c r="AT115" s="75" t="str">
        <f t="shared" si="141"/>
        <v>X</v>
      </c>
      <c r="AU115" s="75" t="str">
        <f t="shared" si="142"/>
        <v>X</v>
      </c>
      <c r="AV115" s="75" t="str">
        <f t="shared" si="143"/>
        <v/>
      </c>
    </row>
    <row r="116" spans="1:48" s="38" customFormat="1" ht="12" x14ac:dyDescent="0.3">
      <c r="A116" s="110" t="s">
        <v>1013</v>
      </c>
      <c r="B116" s="111" t="s">
        <v>1014</v>
      </c>
      <c r="C116" s="112">
        <v>328</v>
      </c>
      <c r="D116" s="104">
        <v>121.3</v>
      </c>
      <c r="E116" s="106">
        <v>37</v>
      </c>
      <c r="F116" s="104">
        <v>84.8</v>
      </c>
      <c r="G116" s="17">
        <v>26</v>
      </c>
      <c r="H116" s="107">
        <v>289</v>
      </c>
      <c r="I116" s="108">
        <v>36000</v>
      </c>
      <c r="J116" s="108" t="s">
        <v>873</v>
      </c>
      <c r="K116" s="108"/>
      <c r="L116" s="108"/>
      <c r="M116" s="109">
        <f t="shared" si="128"/>
        <v>36000</v>
      </c>
      <c r="N116" s="4">
        <f t="shared" si="129"/>
        <v>0</v>
      </c>
      <c r="O116" s="105">
        <f t="shared" si="130"/>
        <v>972.97297297297303</v>
      </c>
      <c r="P116" s="105">
        <f t="shared" si="131"/>
        <v>0</v>
      </c>
      <c r="Q116" s="75">
        <v>3</v>
      </c>
      <c r="R116" s="75">
        <v>2</v>
      </c>
      <c r="S116" s="75" t="s">
        <v>869</v>
      </c>
      <c r="T116" s="5" t="s">
        <v>568</v>
      </c>
      <c r="U116" s="9"/>
      <c r="W116" s="104">
        <f>D116</f>
        <v>121.3</v>
      </c>
      <c r="X116" s="106">
        <f>E116</f>
        <v>37</v>
      </c>
      <c r="Y116" s="102">
        <f>H116</f>
        <v>289</v>
      </c>
      <c r="Z116" s="109">
        <f>I116</f>
        <v>36000</v>
      </c>
      <c r="AA116" s="109">
        <f t="shared" si="132"/>
        <v>0</v>
      </c>
      <c r="AB116" s="109">
        <f t="shared" si="153"/>
        <v>36000</v>
      </c>
      <c r="AC116" s="4">
        <f t="shared" si="153"/>
        <v>0</v>
      </c>
      <c r="AD116" s="105">
        <f t="shared" si="153"/>
        <v>972.97297297297303</v>
      </c>
      <c r="AE116" s="75" t="str">
        <f t="shared" si="133"/>
        <v>계</v>
      </c>
      <c r="AF116" s="75" t="str">
        <f t="shared" si="134"/>
        <v>3/2</v>
      </c>
      <c r="AH116" s="20" t="str">
        <f t="shared" si="106"/>
        <v>이동 진해이동디에스아이존빌</v>
      </c>
      <c r="AI116" s="106">
        <f t="shared" si="107"/>
        <v>37</v>
      </c>
      <c r="AJ116" s="75" t="str">
        <f t="shared" si="135"/>
        <v>A-</v>
      </c>
      <c r="AK116" s="75" t="s">
        <v>14</v>
      </c>
      <c r="AL116" s="75" t="s">
        <v>870</v>
      </c>
      <c r="AM116" s="75" t="s">
        <v>871</v>
      </c>
      <c r="AN116" s="75" t="str">
        <f t="shared" si="136"/>
        <v>C</v>
      </c>
      <c r="AO116" s="75" t="str">
        <f t="shared" si="137"/>
        <v>X</v>
      </c>
      <c r="AP116" s="75" t="str">
        <f t="shared" si="138"/>
        <v>O</v>
      </c>
      <c r="AQ116" s="75" t="str">
        <f t="shared" si="139"/>
        <v>O</v>
      </c>
      <c r="AR116" s="75" t="str">
        <f t="shared" si="140"/>
        <v>X</v>
      </c>
      <c r="AS116" s="75" t="s">
        <v>2</v>
      </c>
      <c r="AT116" s="75" t="str">
        <f t="shared" si="141"/>
        <v>O</v>
      </c>
      <c r="AU116" s="75" t="str">
        <f t="shared" si="142"/>
        <v>O</v>
      </c>
      <c r="AV116" s="75" t="str">
        <f t="shared" si="143"/>
        <v>X</v>
      </c>
    </row>
    <row r="117" spans="1:48" s="38" customFormat="1" ht="12" x14ac:dyDescent="0.3">
      <c r="A117" s="110" t="s">
        <v>1015</v>
      </c>
      <c r="B117" s="111" t="s">
        <v>1014</v>
      </c>
      <c r="C117" s="112">
        <v>328</v>
      </c>
      <c r="D117" s="104">
        <v>122.1</v>
      </c>
      <c r="E117" s="106">
        <v>37</v>
      </c>
      <c r="F117" s="104">
        <v>84.7</v>
      </c>
      <c r="G117" s="17">
        <v>26</v>
      </c>
      <c r="H117" s="107">
        <v>39</v>
      </c>
      <c r="I117" s="108">
        <v>36000</v>
      </c>
      <c r="J117" s="108" t="s">
        <v>868</v>
      </c>
      <c r="K117" s="108"/>
      <c r="L117" s="108"/>
      <c r="M117" s="109">
        <f t="shared" si="128"/>
        <v>36000</v>
      </c>
      <c r="N117" s="4">
        <f t="shared" si="129"/>
        <v>0</v>
      </c>
      <c r="O117" s="105">
        <f t="shared" si="130"/>
        <v>972.97297297297303</v>
      </c>
      <c r="P117" s="105">
        <f t="shared" si="131"/>
        <v>0</v>
      </c>
      <c r="Q117" s="75">
        <v>3</v>
      </c>
      <c r="R117" s="75">
        <v>2</v>
      </c>
      <c r="S117" s="75" t="s">
        <v>869</v>
      </c>
      <c r="T117" s="5" t="s">
        <v>572</v>
      </c>
      <c r="U117" s="9"/>
      <c r="W117" s="104">
        <f>D117</f>
        <v>122.1</v>
      </c>
      <c r="X117" s="106">
        <f>E117</f>
        <v>37</v>
      </c>
      <c r="Y117" s="102">
        <f>H117</f>
        <v>39</v>
      </c>
      <c r="Z117" s="109">
        <f>I117</f>
        <v>36000</v>
      </c>
      <c r="AA117" s="109">
        <f t="shared" si="132"/>
        <v>0</v>
      </c>
      <c r="AB117" s="109">
        <f t="shared" si="153"/>
        <v>36000</v>
      </c>
      <c r="AC117" s="4">
        <f t="shared" si="153"/>
        <v>0</v>
      </c>
      <c r="AD117" s="105">
        <f t="shared" si="153"/>
        <v>972.97297297297303</v>
      </c>
      <c r="AE117" s="75" t="str">
        <f t="shared" si="133"/>
        <v>계</v>
      </c>
      <c r="AF117" s="75" t="str">
        <f t="shared" si="134"/>
        <v>3/2</v>
      </c>
      <c r="AH117" s="20" t="str">
        <f t="shared" si="106"/>
        <v>이동 진해이동디에스아이존빌</v>
      </c>
      <c r="AI117" s="106">
        <f t="shared" si="107"/>
        <v>37</v>
      </c>
      <c r="AJ117" s="75" t="str">
        <f t="shared" si="135"/>
        <v>A-</v>
      </c>
      <c r="AK117" s="75" t="s">
        <v>14</v>
      </c>
      <c r="AL117" s="75" t="s">
        <v>870</v>
      </c>
      <c r="AM117" s="75" t="s">
        <v>871</v>
      </c>
      <c r="AN117" s="75" t="str">
        <f t="shared" si="136"/>
        <v>C</v>
      </c>
      <c r="AO117" s="75" t="str">
        <f t="shared" si="137"/>
        <v>X</v>
      </c>
      <c r="AP117" s="75" t="str">
        <f t="shared" si="138"/>
        <v>O</v>
      </c>
      <c r="AQ117" s="75" t="str">
        <f t="shared" si="139"/>
        <v>O</v>
      </c>
      <c r="AR117" s="75" t="str">
        <f t="shared" si="140"/>
        <v>X</v>
      </c>
      <c r="AS117" s="75" t="s">
        <v>2</v>
      </c>
      <c r="AT117" s="75" t="str">
        <f t="shared" si="141"/>
        <v>O</v>
      </c>
      <c r="AU117" s="75" t="str">
        <f t="shared" si="142"/>
        <v>O</v>
      </c>
      <c r="AV117" s="75" t="str">
        <f t="shared" si="143"/>
        <v>X</v>
      </c>
    </row>
    <row r="118" spans="1:48" s="38" customFormat="1" ht="12" x14ac:dyDescent="0.3">
      <c r="A118" s="110" t="s">
        <v>1016</v>
      </c>
      <c r="B118" s="111" t="s">
        <v>1017</v>
      </c>
      <c r="C118" s="112">
        <v>1298</v>
      </c>
      <c r="D118" s="104">
        <v>81.099999999999994</v>
      </c>
      <c r="E118" s="106">
        <v>25</v>
      </c>
      <c r="F118" s="104">
        <v>59.9</v>
      </c>
      <c r="G118" s="17">
        <v>18</v>
      </c>
      <c r="H118" s="107">
        <v>393</v>
      </c>
      <c r="I118" s="108">
        <v>27400</v>
      </c>
      <c r="J118" s="108" t="s">
        <v>868</v>
      </c>
      <c r="K118" s="108"/>
      <c r="L118" s="108"/>
      <c r="M118" s="109">
        <f t="shared" ref="M118:M126" si="154">I118-K118</f>
        <v>27400</v>
      </c>
      <c r="N118" s="4">
        <f t="shared" ref="N118:N126" si="155">IF(ISERROR(K118/I118),"",K118/I118)</f>
        <v>0</v>
      </c>
      <c r="O118" s="105">
        <f t="shared" ref="O118:O126" si="156">I118/E118</f>
        <v>1096</v>
      </c>
      <c r="P118" s="105">
        <f t="shared" ref="P118:P126" si="157">K118/E118</f>
        <v>0</v>
      </c>
      <c r="Q118" s="75">
        <v>3</v>
      </c>
      <c r="R118" s="75">
        <v>2</v>
      </c>
      <c r="S118" s="75" t="s">
        <v>869</v>
      </c>
      <c r="T118" s="5" t="s">
        <v>139</v>
      </c>
      <c r="U118" s="9"/>
      <c r="W118" s="104">
        <f t="shared" ref="W118:X126" si="158">D118</f>
        <v>81.099999999999994</v>
      </c>
      <c r="X118" s="106">
        <f t="shared" si="158"/>
        <v>25</v>
      </c>
      <c r="Y118" s="102">
        <f t="shared" ref="Y118:Z126" si="159">H118</f>
        <v>393</v>
      </c>
      <c r="Z118" s="109">
        <f t="shared" si="159"/>
        <v>27400</v>
      </c>
      <c r="AA118" s="109">
        <f t="shared" ref="AA118:AA126" si="160">K118</f>
        <v>0</v>
      </c>
      <c r="AB118" s="109">
        <f t="shared" si="153"/>
        <v>27400</v>
      </c>
      <c r="AC118" s="4">
        <f t="shared" si="153"/>
        <v>0</v>
      </c>
      <c r="AD118" s="105">
        <f t="shared" si="153"/>
        <v>1096</v>
      </c>
      <c r="AE118" s="75" t="str">
        <f t="shared" ref="AE118:AE126" si="161">S118</f>
        <v>계</v>
      </c>
      <c r="AF118" s="75" t="str">
        <f t="shared" ref="AF118:AF126" si="162">Q118&amp;"/"&amp;R118</f>
        <v>3/2</v>
      </c>
      <c r="AH118" s="20" t="str">
        <f t="shared" si="106"/>
        <v>자은동 자은프라임</v>
      </c>
      <c r="AI118" s="106">
        <f t="shared" si="107"/>
        <v>25</v>
      </c>
      <c r="AJ118" s="75" t="str">
        <f t="shared" ref="AJ118:AJ126" si="163">IF(AI118="","",$AJ$2)</f>
        <v>A-</v>
      </c>
      <c r="AK118" s="75" t="s">
        <v>14</v>
      </c>
      <c r="AL118" s="75" t="s">
        <v>870</v>
      </c>
      <c r="AM118" s="75" t="s">
        <v>871</v>
      </c>
      <c r="AN118" s="75" t="str">
        <f t="shared" ref="AN118:AN126" si="164">IF(AI118="","",$AN$2)</f>
        <v>C</v>
      </c>
      <c r="AO118" s="75" t="str">
        <f t="shared" ref="AO118:AO126" si="165">IF(N118="","",IF(N118&gt;=$AO$1/100,"O","X"))</f>
        <v>X</v>
      </c>
      <c r="AP118" s="75" t="str">
        <f t="shared" ref="AP118:AP126" si="166">IF(I118="","",IF(I118&lt;=$AP$1,"O","X"))</f>
        <v>O</v>
      </c>
      <c r="AQ118" s="75" t="str">
        <f t="shared" ref="AQ118:AQ126" si="167">IF(O118="","",IF(O118&lt;=$AQ$1,"O","X"))</f>
        <v>X</v>
      </c>
      <c r="AR118" s="75" t="str">
        <f t="shared" ref="AR118:AR126" si="168">IF(M118="","",IF(M118&lt;=$AR$1,"O","X"))</f>
        <v>X</v>
      </c>
      <c r="AS118" s="75" t="s">
        <v>2</v>
      </c>
      <c r="AT118" s="75" t="str">
        <f t="shared" ref="AT118:AT126" si="169">IF(OR(F118="",AI118=""),"",IF(AND((F118&lt;=85),(AI118&gt;=15)),"O","X"))</f>
        <v>O</v>
      </c>
      <c r="AU118" s="75" t="str">
        <f t="shared" ref="AU118:AU126" si="170">IF(C118="","",IF(C118&gt;=$AU$1,"O","X"))</f>
        <v>O</v>
      </c>
      <c r="AV118" s="75" t="str">
        <f t="shared" ref="AV118:AV126" si="171">IF(AO118="","",IF(AND(AO118="O",AP118="O",AR118="O",AT118="O",AU118="O"),"후보","X"))</f>
        <v>X</v>
      </c>
    </row>
    <row r="119" spans="1:48" s="38" customFormat="1" ht="12" x14ac:dyDescent="0.3">
      <c r="A119" s="110" t="s">
        <v>1018</v>
      </c>
      <c r="B119" s="111" t="s">
        <v>1017</v>
      </c>
      <c r="C119" s="112">
        <v>1298</v>
      </c>
      <c r="D119" s="104">
        <v>81.2</v>
      </c>
      <c r="E119" s="106">
        <v>25</v>
      </c>
      <c r="F119" s="104">
        <v>60</v>
      </c>
      <c r="G119" s="17">
        <v>18</v>
      </c>
      <c r="H119" s="107">
        <v>146</v>
      </c>
      <c r="I119" s="108">
        <v>27100</v>
      </c>
      <c r="J119" s="108" t="s">
        <v>868</v>
      </c>
      <c r="K119" s="108"/>
      <c r="L119" s="108"/>
      <c r="M119" s="109">
        <f t="shared" si="154"/>
        <v>27100</v>
      </c>
      <c r="N119" s="4">
        <f t="shared" si="155"/>
        <v>0</v>
      </c>
      <c r="O119" s="105">
        <f t="shared" si="156"/>
        <v>1084</v>
      </c>
      <c r="P119" s="105">
        <f t="shared" si="157"/>
        <v>0</v>
      </c>
      <c r="Q119" s="75">
        <v>3</v>
      </c>
      <c r="R119" s="75">
        <v>2</v>
      </c>
      <c r="S119" s="75" t="s">
        <v>869</v>
      </c>
      <c r="T119" s="5" t="s">
        <v>603</v>
      </c>
      <c r="U119" s="9"/>
      <c r="W119" s="104">
        <f t="shared" si="158"/>
        <v>81.2</v>
      </c>
      <c r="X119" s="106">
        <f t="shared" si="158"/>
        <v>25</v>
      </c>
      <c r="Y119" s="102">
        <f t="shared" si="159"/>
        <v>146</v>
      </c>
      <c r="Z119" s="109">
        <f t="shared" si="159"/>
        <v>27100</v>
      </c>
      <c r="AA119" s="109">
        <f t="shared" si="160"/>
        <v>0</v>
      </c>
      <c r="AB119" s="109">
        <f t="shared" si="153"/>
        <v>27100</v>
      </c>
      <c r="AC119" s="4">
        <f t="shared" si="153"/>
        <v>0</v>
      </c>
      <c r="AD119" s="105">
        <f t="shared" si="153"/>
        <v>1084</v>
      </c>
      <c r="AE119" s="75" t="str">
        <f t="shared" si="161"/>
        <v>계</v>
      </c>
      <c r="AF119" s="75" t="str">
        <f t="shared" si="162"/>
        <v>3/2</v>
      </c>
      <c r="AH119" s="20" t="str">
        <f t="shared" si="106"/>
        <v>자은동 자은프라임</v>
      </c>
      <c r="AI119" s="106">
        <f t="shared" si="107"/>
        <v>25</v>
      </c>
      <c r="AJ119" s="75" t="str">
        <f t="shared" si="163"/>
        <v>A-</v>
      </c>
      <c r="AK119" s="75" t="s">
        <v>14</v>
      </c>
      <c r="AL119" s="75" t="s">
        <v>870</v>
      </c>
      <c r="AM119" s="75" t="s">
        <v>871</v>
      </c>
      <c r="AN119" s="75" t="str">
        <f t="shared" si="164"/>
        <v>C</v>
      </c>
      <c r="AO119" s="75" t="str">
        <f t="shared" si="165"/>
        <v>X</v>
      </c>
      <c r="AP119" s="75" t="str">
        <f t="shared" si="166"/>
        <v>O</v>
      </c>
      <c r="AQ119" s="75" t="str">
        <f t="shared" si="167"/>
        <v>X</v>
      </c>
      <c r="AR119" s="75" t="str">
        <f t="shared" si="168"/>
        <v>X</v>
      </c>
      <c r="AS119" s="75" t="s">
        <v>2</v>
      </c>
      <c r="AT119" s="75" t="str">
        <f t="shared" si="169"/>
        <v>O</v>
      </c>
      <c r="AU119" s="75" t="str">
        <f t="shared" si="170"/>
        <v>O</v>
      </c>
      <c r="AV119" s="75" t="str">
        <f t="shared" si="171"/>
        <v>X</v>
      </c>
    </row>
    <row r="120" spans="1:48" s="38" customFormat="1" ht="12" x14ac:dyDescent="0.3">
      <c r="A120" s="110" t="s">
        <v>1018</v>
      </c>
      <c r="B120" s="111" t="s">
        <v>1019</v>
      </c>
      <c r="C120" s="112">
        <v>1298</v>
      </c>
      <c r="D120" s="104">
        <v>81</v>
      </c>
      <c r="E120" s="106">
        <v>25</v>
      </c>
      <c r="F120" s="104">
        <v>59.8</v>
      </c>
      <c r="G120" s="17">
        <v>18</v>
      </c>
      <c r="H120" s="107">
        <v>65</v>
      </c>
      <c r="I120" s="108">
        <v>28500</v>
      </c>
      <c r="J120" s="108" t="s">
        <v>873</v>
      </c>
      <c r="K120" s="108"/>
      <c r="L120" s="108"/>
      <c r="M120" s="109">
        <f t="shared" si="154"/>
        <v>28500</v>
      </c>
      <c r="N120" s="4">
        <f t="shared" si="155"/>
        <v>0</v>
      </c>
      <c r="O120" s="105">
        <f t="shared" si="156"/>
        <v>1140</v>
      </c>
      <c r="P120" s="105">
        <f t="shared" si="157"/>
        <v>0</v>
      </c>
      <c r="Q120" s="75">
        <v>3</v>
      </c>
      <c r="R120" s="75">
        <v>2</v>
      </c>
      <c r="S120" s="75" t="s">
        <v>869</v>
      </c>
      <c r="T120" s="5" t="s">
        <v>140</v>
      </c>
      <c r="U120" s="9"/>
      <c r="W120" s="104">
        <f t="shared" si="158"/>
        <v>81</v>
      </c>
      <c r="X120" s="106">
        <f t="shared" si="158"/>
        <v>25</v>
      </c>
      <c r="Y120" s="102">
        <f t="shared" si="159"/>
        <v>65</v>
      </c>
      <c r="Z120" s="109">
        <f t="shared" si="159"/>
        <v>28500</v>
      </c>
      <c r="AA120" s="109">
        <f t="shared" si="160"/>
        <v>0</v>
      </c>
      <c r="AB120" s="109">
        <f t="shared" si="153"/>
        <v>28500</v>
      </c>
      <c r="AC120" s="4">
        <f t="shared" si="153"/>
        <v>0</v>
      </c>
      <c r="AD120" s="105">
        <f t="shared" si="153"/>
        <v>1140</v>
      </c>
      <c r="AE120" s="75" t="str">
        <f t="shared" si="161"/>
        <v>계</v>
      </c>
      <c r="AF120" s="75" t="str">
        <f t="shared" si="162"/>
        <v>3/2</v>
      </c>
      <c r="AH120" s="20" t="str">
        <f t="shared" si="106"/>
        <v>자은동 자은프라임</v>
      </c>
      <c r="AI120" s="106">
        <f t="shared" si="107"/>
        <v>25</v>
      </c>
      <c r="AJ120" s="75" t="str">
        <f t="shared" si="163"/>
        <v>A-</v>
      </c>
      <c r="AK120" s="75" t="s">
        <v>14</v>
      </c>
      <c r="AL120" s="75" t="s">
        <v>870</v>
      </c>
      <c r="AM120" s="75" t="s">
        <v>871</v>
      </c>
      <c r="AN120" s="75" t="str">
        <f t="shared" si="164"/>
        <v>C</v>
      </c>
      <c r="AO120" s="75" t="str">
        <f t="shared" si="165"/>
        <v>X</v>
      </c>
      <c r="AP120" s="75" t="str">
        <f t="shared" si="166"/>
        <v>O</v>
      </c>
      <c r="AQ120" s="75" t="str">
        <f t="shared" si="167"/>
        <v>X</v>
      </c>
      <c r="AR120" s="75" t="str">
        <f t="shared" si="168"/>
        <v>X</v>
      </c>
      <c r="AS120" s="75" t="s">
        <v>2</v>
      </c>
      <c r="AT120" s="75" t="str">
        <f t="shared" si="169"/>
        <v>O</v>
      </c>
      <c r="AU120" s="75" t="str">
        <f t="shared" si="170"/>
        <v>O</v>
      </c>
      <c r="AV120" s="75" t="str">
        <f t="shared" si="171"/>
        <v>X</v>
      </c>
    </row>
    <row r="121" spans="1:48" s="38" customFormat="1" ht="12" x14ac:dyDescent="0.3">
      <c r="A121" s="110" t="s">
        <v>1018</v>
      </c>
      <c r="B121" s="111" t="s">
        <v>1017</v>
      </c>
      <c r="C121" s="112">
        <v>1298</v>
      </c>
      <c r="D121" s="104">
        <v>81.3</v>
      </c>
      <c r="E121" s="106">
        <v>25</v>
      </c>
      <c r="F121" s="104">
        <v>60</v>
      </c>
      <c r="G121" s="17">
        <v>18</v>
      </c>
      <c r="H121" s="107">
        <v>19</v>
      </c>
      <c r="I121" s="108"/>
      <c r="J121" s="108"/>
      <c r="K121" s="108"/>
      <c r="L121" s="108"/>
      <c r="M121" s="109">
        <f t="shared" si="154"/>
        <v>0</v>
      </c>
      <c r="N121" s="4" t="str">
        <f t="shared" si="155"/>
        <v/>
      </c>
      <c r="O121" s="105">
        <f t="shared" si="156"/>
        <v>0</v>
      </c>
      <c r="P121" s="105">
        <f t="shared" si="157"/>
        <v>0</v>
      </c>
      <c r="Q121" s="75">
        <v>3</v>
      </c>
      <c r="R121" s="75">
        <v>2</v>
      </c>
      <c r="S121" s="75" t="s">
        <v>869</v>
      </c>
      <c r="T121" s="5" t="s">
        <v>604</v>
      </c>
      <c r="U121" s="9"/>
      <c r="W121" s="104">
        <f t="shared" si="158"/>
        <v>81.3</v>
      </c>
      <c r="X121" s="106">
        <f t="shared" si="158"/>
        <v>25</v>
      </c>
      <c r="Y121" s="102">
        <f t="shared" si="159"/>
        <v>19</v>
      </c>
      <c r="Z121" s="109">
        <f t="shared" si="159"/>
        <v>0</v>
      </c>
      <c r="AA121" s="109">
        <f t="shared" si="160"/>
        <v>0</v>
      </c>
      <c r="AB121" s="109">
        <f t="shared" si="153"/>
        <v>0</v>
      </c>
      <c r="AC121" s="4" t="str">
        <f t="shared" si="153"/>
        <v/>
      </c>
      <c r="AD121" s="105">
        <f t="shared" si="153"/>
        <v>0</v>
      </c>
      <c r="AE121" s="75" t="str">
        <f t="shared" si="161"/>
        <v>계</v>
      </c>
      <c r="AF121" s="75" t="str">
        <f t="shared" si="162"/>
        <v>3/2</v>
      </c>
      <c r="AH121" s="20" t="str">
        <f t="shared" ref="AH121:AH184" si="172">IF(A121="","",A121)</f>
        <v>자은동 자은프라임</v>
      </c>
      <c r="AI121" s="106">
        <f t="shared" ref="AI121:AI184" si="173">IF(E121="","",E121)</f>
        <v>25</v>
      </c>
      <c r="AJ121" s="75" t="str">
        <f t="shared" si="163"/>
        <v>A-</v>
      </c>
      <c r="AK121" s="75" t="s">
        <v>14</v>
      </c>
      <c r="AL121" s="75" t="s">
        <v>870</v>
      </c>
      <c r="AM121" s="75" t="s">
        <v>871</v>
      </c>
      <c r="AN121" s="75" t="str">
        <f t="shared" si="164"/>
        <v>C</v>
      </c>
      <c r="AO121" s="75" t="str">
        <f t="shared" si="165"/>
        <v/>
      </c>
      <c r="AP121" s="75" t="str">
        <f t="shared" si="166"/>
        <v/>
      </c>
      <c r="AQ121" s="75" t="str">
        <f t="shared" si="167"/>
        <v>O</v>
      </c>
      <c r="AR121" s="75" t="str">
        <f t="shared" si="168"/>
        <v>O</v>
      </c>
      <c r="AS121" s="75" t="s">
        <v>2</v>
      </c>
      <c r="AT121" s="75" t="str">
        <f t="shared" si="169"/>
        <v>O</v>
      </c>
      <c r="AU121" s="75" t="str">
        <f t="shared" si="170"/>
        <v>O</v>
      </c>
      <c r="AV121" s="75" t="str">
        <f t="shared" si="171"/>
        <v/>
      </c>
    </row>
    <row r="122" spans="1:48" s="38" customFormat="1" ht="12" x14ac:dyDescent="0.3">
      <c r="A122" s="110" t="s">
        <v>1018</v>
      </c>
      <c r="B122" s="111" t="s">
        <v>1020</v>
      </c>
      <c r="C122" s="112">
        <v>1298</v>
      </c>
      <c r="D122" s="104">
        <v>101.6</v>
      </c>
      <c r="E122" s="106">
        <v>31</v>
      </c>
      <c r="F122" s="104">
        <v>75</v>
      </c>
      <c r="G122" s="17">
        <v>23</v>
      </c>
      <c r="H122" s="107">
        <v>159</v>
      </c>
      <c r="I122" s="108">
        <v>34000</v>
      </c>
      <c r="J122" s="108" t="s">
        <v>872</v>
      </c>
      <c r="K122" s="108">
        <v>27000</v>
      </c>
      <c r="L122" s="108" t="s">
        <v>914</v>
      </c>
      <c r="M122" s="109">
        <f t="shared" si="154"/>
        <v>7000</v>
      </c>
      <c r="N122" s="4">
        <f t="shared" si="155"/>
        <v>0.79411764705882348</v>
      </c>
      <c r="O122" s="105">
        <f t="shared" si="156"/>
        <v>1096.7741935483871</v>
      </c>
      <c r="P122" s="105">
        <f t="shared" si="157"/>
        <v>870.9677419354839</v>
      </c>
      <c r="Q122" s="75">
        <v>3</v>
      </c>
      <c r="R122" s="75">
        <v>2</v>
      </c>
      <c r="S122" s="75" t="s">
        <v>869</v>
      </c>
      <c r="T122" s="5" t="s">
        <v>281</v>
      </c>
      <c r="U122" s="9"/>
      <c r="W122" s="104">
        <f t="shared" si="158"/>
        <v>101.6</v>
      </c>
      <c r="X122" s="106">
        <f t="shared" si="158"/>
        <v>31</v>
      </c>
      <c r="Y122" s="102">
        <f t="shared" si="159"/>
        <v>159</v>
      </c>
      <c r="Z122" s="109">
        <f t="shared" si="159"/>
        <v>34000</v>
      </c>
      <c r="AA122" s="109">
        <f t="shared" si="160"/>
        <v>27000</v>
      </c>
      <c r="AB122" s="109">
        <f t="shared" si="153"/>
        <v>7000</v>
      </c>
      <c r="AC122" s="4">
        <f t="shared" si="153"/>
        <v>0.79411764705882348</v>
      </c>
      <c r="AD122" s="105">
        <f t="shared" si="153"/>
        <v>1096.7741935483871</v>
      </c>
      <c r="AE122" s="75" t="str">
        <f t="shared" si="161"/>
        <v>계</v>
      </c>
      <c r="AF122" s="75" t="str">
        <f t="shared" si="162"/>
        <v>3/2</v>
      </c>
      <c r="AH122" s="20" t="str">
        <f t="shared" si="172"/>
        <v>자은동 자은프라임</v>
      </c>
      <c r="AI122" s="106">
        <f t="shared" si="173"/>
        <v>31</v>
      </c>
      <c r="AJ122" s="75" t="str">
        <f t="shared" si="163"/>
        <v>A-</v>
      </c>
      <c r="AK122" s="75" t="s">
        <v>14</v>
      </c>
      <c r="AL122" s="75" t="s">
        <v>870</v>
      </c>
      <c r="AM122" s="75" t="s">
        <v>871</v>
      </c>
      <c r="AN122" s="75" t="str">
        <f t="shared" si="164"/>
        <v>C</v>
      </c>
      <c r="AO122" s="75" t="str">
        <f t="shared" si="165"/>
        <v>X</v>
      </c>
      <c r="AP122" s="75" t="str">
        <f t="shared" si="166"/>
        <v>O</v>
      </c>
      <c r="AQ122" s="75" t="str">
        <f t="shared" si="167"/>
        <v>X</v>
      </c>
      <c r="AR122" s="75" t="str">
        <f t="shared" si="168"/>
        <v>X</v>
      </c>
      <c r="AS122" s="75" t="s">
        <v>2</v>
      </c>
      <c r="AT122" s="75" t="str">
        <f t="shared" si="169"/>
        <v>O</v>
      </c>
      <c r="AU122" s="75" t="str">
        <f t="shared" si="170"/>
        <v>O</v>
      </c>
      <c r="AV122" s="75" t="str">
        <f t="shared" si="171"/>
        <v>X</v>
      </c>
    </row>
    <row r="123" spans="1:48" s="38" customFormat="1" ht="12" x14ac:dyDescent="0.3">
      <c r="A123" s="110" t="s">
        <v>1021</v>
      </c>
      <c r="B123" s="111" t="s">
        <v>1017</v>
      </c>
      <c r="C123" s="112">
        <v>1298</v>
      </c>
      <c r="D123" s="104">
        <v>101</v>
      </c>
      <c r="E123" s="106">
        <v>31</v>
      </c>
      <c r="F123" s="104">
        <v>74.599999999999994</v>
      </c>
      <c r="G123" s="17">
        <v>23</v>
      </c>
      <c r="H123" s="107">
        <v>41</v>
      </c>
      <c r="I123" s="108"/>
      <c r="J123" s="108"/>
      <c r="K123" s="108"/>
      <c r="L123" s="108"/>
      <c r="M123" s="109">
        <f t="shared" si="154"/>
        <v>0</v>
      </c>
      <c r="N123" s="4" t="str">
        <f t="shared" si="155"/>
        <v/>
      </c>
      <c r="O123" s="105">
        <f t="shared" si="156"/>
        <v>0</v>
      </c>
      <c r="P123" s="105">
        <f t="shared" si="157"/>
        <v>0</v>
      </c>
      <c r="Q123" s="75">
        <v>3</v>
      </c>
      <c r="R123" s="75">
        <v>2</v>
      </c>
      <c r="S123" s="75" t="s">
        <v>869</v>
      </c>
      <c r="T123" s="5" t="s">
        <v>244</v>
      </c>
      <c r="U123" s="9"/>
      <c r="W123" s="104">
        <f t="shared" si="158"/>
        <v>101</v>
      </c>
      <c r="X123" s="106">
        <f t="shared" si="158"/>
        <v>31</v>
      </c>
      <c r="Y123" s="102">
        <f t="shared" si="159"/>
        <v>41</v>
      </c>
      <c r="Z123" s="109">
        <f t="shared" si="159"/>
        <v>0</v>
      </c>
      <c r="AA123" s="109">
        <f t="shared" si="160"/>
        <v>0</v>
      </c>
      <c r="AB123" s="109">
        <f t="shared" si="153"/>
        <v>0</v>
      </c>
      <c r="AC123" s="4" t="str">
        <f t="shared" si="153"/>
        <v/>
      </c>
      <c r="AD123" s="105">
        <f t="shared" si="153"/>
        <v>0</v>
      </c>
      <c r="AE123" s="75" t="str">
        <f t="shared" si="161"/>
        <v>계</v>
      </c>
      <c r="AF123" s="75" t="str">
        <f t="shared" si="162"/>
        <v>3/2</v>
      </c>
      <c r="AH123" s="20" t="str">
        <f t="shared" si="172"/>
        <v>자은동 자은프라임</v>
      </c>
      <c r="AI123" s="106">
        <f t="shared" si="173"/>
        <v>31</v>
      </c>
      <c r="AJ123" s="75" t="str">
        <f t="shared" si="163"/>
        <v>A-</v>
      </c>
      <c r="AK123" s="75" t="s">
        <v>14</v>
      </c>
      <c r="AL123" s="75" t="s">
        <v>870</v>
      </c>
      <c r="AM123" s="75" t="s">
        <v>871</v>
      </c>
      <c r="AN123" s="75" t="str">
        <f t="shared" si="164"/>
        <v>C</v>
      </c>
      <c r="AO123" s="75" t="str">
        <f t="shared" si="165"/>
        <v/>
      </c>
      <c r="AP123" s="75" t="str">
        <f t="shared" si="166"/>
        <v/>
      </c>
      <c r="AQ123" s="75" t="str">
        <f t="shared" si="167"/>
        <v>O</v>
      </c>
      <c r="AR123" s="75" t="str">
        <f t="shared" si="168"/>
        <v>O</v>
      </c>
      <c r="AS123" s="75" t="s">
        <v>2</v>
      </c>
      <c r="AT123" s="75" t="str">
        <f t="shared" si="169"/>
        <v>O</v>
      </c>
      <c r="AU123" s="75" t="str">
        <f t="shared" si="170"/>
        <v>O</v>
      </c>
      <c r="AV123" s="75" t="str">
        <f t="shared" si="171"/>
        <v/>
      </c>
    </row>
    <row r="124" spans="1:48" s="38" customFormat="1" ht="12" x14ac:dyDescent="0.3">
      <c r="A124" s="110" t="s">
        <v>1018</v>
      </c>
      <c r="B124" s="111" t="s">
        <v>1017</v>
      </c>
      <c r="C124" s="112">
        <v>1298</v>
      </c>
      <c r="D124" s="104">
        <v>101.4</v>
      </c>
      <c r="E124" s="106">
        <v>31</v>
      </c>
      <c r="F124" s="104">
        <v>74.8</v>
      </c>
      <c r="G124" s="17">
        <v>23</v>
      </c>
      <c r="H124" s="107">
        <v>28</v>
      </c>
      <c r="I124" s="108"/>
      <c r="J124" s="108"/>
      <c r="K124" s="108"/>
      <c r="L124" s="108"/>
      <c r="M124" s="109">
        <f t="shared" si="154"/>
        <v>0</v>
      </c>
      <c r="N124" s="4" t="str">
        <f t="shared" si="155"/>
        <v/>
      </c>
      <c r="O124" s="105">
        <f t="shared" si="156"/>
        <v>0</v>
      </c>
      <c r="P124" s="105">
        <f t="shared" si="157"/>
        <v>0</v>
      </c>
      <c r="Q124" s="75">
        <v>3</v>
      </c>
      <c r="R124" s="75">
        <v>2</v>
      </c>
      <c r="S124" s="75" t="s">
        <v>869</v>
      </c>
      <c r="T124" s="5" t="s">
        <v>605</v>
      </c>
      <c r="U124" s="9"/>
      <c r="W124" s="104">
        <f t="shared" si="158"/>
        <v>101.4</v>
      </c>
      <c r="X124" s="106">
        <f t="shared" si="158"/>
        <v>31</v>
      </c>
      <c r="Y124" s="102">
        <f t="shared" si="159"/>
        <v>28</v>
      </c>
      <c r="Z124" s="109">
        <f t="shared" si="159"/>
        <v>0</v>
      </c>
      <c r="AA124" s="109">
        <f t="shared" si="160"/>
        <v>0</v>
      </c>
      <c r="AB124" s="109">
        <f t="shared" si="153"/>
        <v>0</v>
      </c>
      <c r="AC124" s="4" t="str">
        <f t="shared" si="153"/>
        <v/>
      </c>
      <c r="AD124" s="105">
        <f t="shared" si="153"/>
        <v>0</v>
      </c>
      <c r="AE124" s="75" t="str">
        <f t="shared" si="161"/>
        <v>계</v>
      </c>
      <c r="AF124" s="75" t="str">
        <f t="shared" si="162"/>
        <v>3/2</v>
      </c>
      <c r="AH124" s="20" t="str">
        <f t="shared" si="172"/>
        <v>자은동 자은프라임</v>
      </c>
      <c r="AI124" s="106">
        <f t="shared" si="173"/>
        <v>31</v>
      </c>
      <c r="AJ124" s="75" t="str">
        <f t="shared" si="163"/>
        <v>A-</v>
      </c>
      <c r="AK124" s="75" t="s">
        <v>14</v>
      </c>
      <c r="AL124" s="75" t="s">
        <v>870</v>
      </c>
      <c r="AM124" s="75" t="s">
        <v>871</v>
      </c>
      <c r="AN124" s="75" t="str">
        <f t="shared" si="164"/>
        <v>C</v>
      </c>
      <c r="AO124" s="75" t="str">
        <f t="shared" si="165"/>
        <v/>
      </c>
      <c r="AP124" s="75" t="str">
        <f t="shared" si="166"/>
        <v/>
      </c>
      <c r="AQ124" s="75" t="str">
        <f t="shared" si="167"/>
        <v>O</v>
      </c>
      <c r="AR124" s="75" t="str">
        <f t="shared" si="168"/>
        <v>O</v>
      </c>
      <c r="AS124" s="75" t="s">
        <v>2</v>
      </c>
      <c r="AT124" s="75" t="str">
        <f t="shared" si="169"/>
        <v>O</v>
      </c>
      <c r="AU124" s="75" t="str">
        <f t="shared" si="170"/>
        <v>O</v>
      </c>
      <c r="AV124" s="75" t="str">
        <f t="shared" si="171"/>
        <v/>
      </c>
    </row>
    <row r="125" spans="1:48" s="38" customFormat="1" ht="12" x14ac:dyDescent="0.3">
      <c r="A125" s="110" t="s">
        <v>1018</v>
      </c>
      <c r="B125" s="111" t="s">
        <v>1017</v>
      </c>
      <c r="C125" s="112">
        <v>1298</v>
      </c>
      <c r="D125" s="104">
        <v>115</v>
      </c>
      <c r="E125" s="106">
        <v>35</v>
      </c>
      <c r="F125" s="104">
        <v>84.9</v>
      </c>
      <c r="G125" s="17">
        <v>26</v>
      </c>
      <c r="H125" s="107">
        <v>336</v>
      </c>
      <c r="I125" s="108">
        <v>39000</v>
      </c>
      <c r="J125" s="108" t="s">
        <v>873</v>
      </c>
      <c r="K125" s="108"/>
      <c r="L125" s="108"/>
      <c r="M125" s="109">
        <f t="shared" si="154"/>
        <v>39000</v>
      </c>
      <c r="N125" s="4">
        <f t="shared" si="155"/>
        <v>0</v>
      </c>
      <c r="O125" s="105">
        <f t="shared" si="156"/>
        <v>1114.2857142857142</v>
      </c>
      <c r="P125" s="105">
        <f t="shared" si="157"/>
        <v>0</v>
      </c>
      <c r="Q125" s="75">
        <v>3</v>
      </c>
      <c r="R125" s="75">
        <v>2</v>
      </c>
      <c r="S125" s="75" t="s">
        <v>869</v>
      </c>
      <c r="T125" s="5" t="s">
        <v>606</v>
      </c>
      <c r="U125" s="9"/>
      <c r="W125" s="104">
        <f t="shared" si="158"/>
        <v>115</v>
      </c>
      <c r="X125" s="106">
        <f t="shared" si="158"/>
        <v>35</v>
      </c>
      <c r="Y125" s="102">
        <f t="shared" si="159"/>
        <v>336</v>
      </c>
      <c r="Z125" s="109">
        <f t="shared" si="159"/>
        <v>39000</v>
      </c>
      <c r="AA125" s="109">
        <f t="shared" si="160"/>
        <v>0</v>
      </c>
      <c r="AB125" s="109">
        <f t="shared" si="153"/>
        <v>39000</v>
      </c>
      <c r="AC125" s="4">
        <f t="shared" si="153"/>
        <v>0</v>
      </c>
      <c r="AD125" s="105">
        <f t="shared" si="153"/>
        <v>1114.2857142857142</v>
      </c>
      <c r="AE125" s="75" t="str">
        <f t="shared" si="161"/>
        <v>계</v>
      </c>
      <c r="AF125" s="75" t="str">
        <f t="shared" si="162"/>
        <v>3/2</v>
      </c>
      <c r="AH125" s="20" t="str">
        <f t="shared" si="172"/>
        <v>자은동 자은프라임</v>
      </c>
      <c r="AI125" s="106">
        <f t="shared" si="173"/>
        <v>35</v>
      </c>
      <c r="AJ125" s="75" t="str">
        <f t="shared" si="163"/>
        <v>A-</v>
      </c>
      <c r="AK125" s="75" t="s">
        <v>14</v>
      </c>
      <c r="AL125" s="75" t="s">
        <v>870</v>
      </c>
      <c r="AM125" s="75" t="s">
        <v>871</v>
      </c>
      <c r="AN125" s="75" t="str">
        <f t="shared" si="164"/>
        <v>C</v>
      </c>
      <c r="AO125" s="75" t="str">
        <f t="shared" si="165"/>
        <v>X</v>
      </c>
      <c r="AP125" s="75" t="str">
        <f t="shared" si="166"/>
        <v>O</v>
      </c>
      <c r="AQ125" s="75" t="str">
        <f t="shared" si="167"/>
        <v>X</v>
      </c>
      <c r="AR125" s="75" t="str">
        <f t="shared" si="168"/>
        <v>X</v>
      </c>
      <c r="AS125" s="75" t="s">
        <v>2</v>
      </c>
      <c r="AT125" s="75" t="str">
        <f t="shared" si="169"/>
        <v>O</v>
      </c>
      <c r="AU125" s="75" t="str">
        <f t="shared" si="170"/>
        <v>O</v>
      </c>
      <c r="AV125" s="75" t="str">
        <f t="shared" si="171"/>
        <v>X</v>
      </c>
    </row>
    <row r="126" spans="1:48" s="38" customFormat="1" ht="12" x14ac:dyDescent="0.3">
      <c r="A126" s="110" t="s">
        <v>1018</v>
      </c>
      <c r="B126" s="111" t="s">
        <v>1017</v>
      </c>
      <c r="C126" s="112">
        <v>1298</v>
      </c>
      <c r="D126" s="104">
        <v>115</v>
      </c>
      <c r="E126" s="106">
        <v>35</v>
      </c>
      <c r="F126" s="104">
        <v>84.9</v>
      </c>
      <c r="G126" s="17">
        <v>26</v>
      </c>
      <c r="H126" s="107">
        <v>111</v>
      </c>
      <c r="I126" s="108">
        <v>39000</v>
      </c>
      <c r="J126" s="108" t="s">
        <v>873</v>
      </c>
      <c r="K126" s="108"/>
      <c r="L126" s="108"/>
      <c r="M126" s="109">
        <f t="shared" si="154"/>
        <v>39000</v>
      </c>
      <c r="N126" s="4">
        <f t="shared" si="155"/>
        <v>0</v>
      </c>
      <c r="O126" s="105">
        <f t="shared" si="156"/>
        <v>1114.2857142857142</v>
      </c>
      <c r="P126" s="105">
        <f t="shared" si="157"/>
        <v>0</v>
      </c>
      <c r="Q126" s="75">
        <v>3</v>
      </c>
      <c r="R126" s="75">
        <v>2</v>
      </c>
      <c r="S126" s="75" t="s">
        <v>869</v>
      </c>
      <c r="T126" s="5" t="s">
        <v>607</v>
      </c>
      <c r="U126" s="9"/>
      <c r="W126" s="104">
        <f t="shared" si="158"/>
        <v>115</v>
      </c>
      <c r="X126" s="106">
        <f t="shared" si="158"/>
        <v>35</v>
      </c>
      <c r="Y126" s="102">
        <f t="shared" si="159"/>
        <v>111</v>
      </c>
      <c r="Z126" s="109">
        <f t="shared" si="159"/>
        <v>39000</v>
      </c>
      <c r="AA126" s="109">
        <f t="shared" si="160"/>
        <v>0</v>
      </c>
      <c r="AB126" s="109">
        <f t="shared" si="153"/>
        <v>39000</v>
      </c>
      <c r="AC126" s="4">
        <f t="shared" si="153"/>
        <v>0</v>
      </c>
      <c r="AD126" s="105">
        <f t="shared" si="153"/>
        <v>1114.2857142857142</v>
      </c>
      <c r="AE126" s="75" t="str">
        <f t="shared" si="161"/>
        <v>계</v>
      </c>
      <c r="AF126" s="75" t="str">
        <f t="shared" si="162"/>
        <v>3/2</v>
      </c>
      <c r="AH126" s="20" t="str">
        <f t="shared" si="172"/>
        <v>자은동 자은프라임</v>
      </c>
      <c r="AI126" s="106">
        <f t="shared" si="173"/>
        <v>35</v>
      </c>
      <c r="AJ126" s="75" t="str">
        <f t="shared" si="163"/>
        <v>A-</v>
      </c>
      <c r="AK126" s="75" t="s">
        <v>14</v>
      </c>
      <c r="AL126" s="75" t="s">
        <v>870</v>
      </c>
      <c r="AM126" s="75" t="s">
        <v>871</v>
      </c>
      <c r="AN126" s="75" t="str">
        <f t="shared" si="164"/>
        <v>C</v>
      </c>
      <c r="AO126" s="75" t="str">
        <f t="shared" si="165"/>
        <v>X</v>
      </c>
      <c r="AP126" s="75" t="str">
        <f t="shared" si="166"/>
        <v>O</v>
      </c>
      <c r="AQ126" s="75" t="str">
        <f t="shared" si="167"/>
        <v>X</v>
      </c>
      <c r="AR126" s="75" t="str">
        <f t="shared" si="168"/>
        <v>X</v>
      </c>
      <c r="AS126" s="75" t="s">
        <v>2</v>
      </c>
      <c r="AT126" s="75" t="str">
        <f t="shared" si="169"/>
        <v>O</v>
      </c>
      <c r="AU126" s="75" t="str">
        <f t="shared" si="170"/>
        <v>O</v>
      </c>
      <c r="AV126" s="75" t="str">
        <f t="shared" si="171"/>
        <v>X</v>
      </c>
    </row>
    <row r="127" spans="1:48" s="38" customFormat="1" ht="12" x14ac:dyDescent="0.3">
      <c r="A127" s="110" t="s">
        <v>1022</v>
      </c>
      <c r="B127" s="111" t="s">
        <v>1023</v>
      </c>
      <c r="C127" s="112">
        <v>650</v>
      </c>
      <c r="D127" s="104">
        <v>52.4</v>
      </c>
      <c r="E127" s="106">
        <v>16</v>
      </c>
      <c r="F127" s="104">
        <v>39.799999999999997</v>
      </c>
      <c r="G127" s="17">
        <v>12</v>
      </c>
      <c r="H127" s="107">
        <v>650</v>
      </c>
      <c r="I127" s="108">
        <v>10000</v>
      </c>
      <c r="J127" s="108" t="s">
        <v>878</v>
      </c>
      <c r="K127" s="108">
        <v>8000</v>
      </c>
      <c r="L127" s="108" t="s">
        <v>878</v>
      </c>
      <c r="M127" s="109">
        <f>I127-K127</f>
        <v>2000</v>
      </c>
      <c r="N127" s="4">
        <f>IF(ISERROR(K127/I127),"",K127/I127)</f>
        <v>0.8</v>
      </c>
      <c r="O127" s="105">
        <f>I127/E127</f>
        <v>625</v>
      </c>
      <c r="P127" s="105">
        <f>K127/E127</f>
        <v>500</v>
      </c>
      <c r="Q127" s="75">
        <v>2</v>
      </c>
      <c r="R127" s="75">
        <v>1</v>
      </c>
      <c r="S127" s="75" t="s">
        <v>903</v>
      </c>
      <c r="T127" s="5">
        <v>52</v>
      </c>
      <c r="U127" s="9"/>
      <c r="W127" s="104">
        <f>D127</f>
        <v>52.4</v>
      </c>
      <c r="X127" s="106">
        <f>E127</f>
        <v>16</v>
      </c>
      <c r="Y127" s="102">
        <f>H127</f>
        <v>650</v>
      </c>
      <c r="Z127" s="109">
        <f>I127</f>
        <v>10000</v>
      </c>
      <c r="AA127" s="109">
        <f>K127</f>
        <v>8000</v>
      </c>
      <c r="AB127" s="109">
        <f>M127</f>
        <v>2000</v>
      </c>
      <c r="AC127" s="4">
        <f>N127</f>
        <v>0.8</v>
      </c>
      <c r="AD127" s="105">
        <f>O127</f>
        <v>625</v>
      </c>
      <c r="AE127" s="75" t="str">
        <f>S127</f>
        <v>복</v>
      </c>
      <c r="AF127" s="75" t="str">
        <f>Q127&amp;"/"&amp;R127</f>
        <v>2/1</v>
      </c>
      <c r="AH127" s="20" t="str">
        <f t="shared" si="172"/>
        <v>자은동 성원</v>
      </c>
      <c r="AI127" s="106">
        <f t="shared" si="173"/>
        <v>16</v>
      </c>
      <c r="AJ127" s="75" t="str">
        <f>IF(AI127="","",$AJ$2)</f>
        <v>A-</v>
      </c>
      <c r="AK127" s="75" t="s">
        <v>14</v>
      </c>
      <c r="AL127" s="75" t="s">
        <v>870</v>
      </c>
      <c r="AM127" s="75" t="s">
        <v>871</v>
      </c>
      <c r="AN127" s="75" t="str">
        <f>IF(AI127="","",$AN$2)</f>
        <v>C</v>
      </c>
      <c r="AO127" s="75" t="str">
        <f>IF(N127="","",IF(N127&gt;=$AO$1/100,"O","X"))</f>
        <v>O</v>
      </c>
      <c r="AP127" s="75" t="str">
        <f>IF(I127="","",IF(I127&lt;=$AP$1,"O","X"))</f>
        <v>O</v>
      </c>
      <c r="AQ127" s="75" t="str">
        <f>IF(O127="","",IF(O127&lt;=$AQ$1,"O","X"))</f>
        <v>O</v>
      </c>
      <c r="AR127" s="75" t="str">
        <f>IF(M127="","",IF(M127&lt;=$AR$1,"O","X"))</f>
        <v>O</v>
      </c>
      <c r="AS127" s="75" t="s">
        <v>2</v>
      </c>
      <c r="AT127" s="75" t="str">
        <f>IF(OR(F127="",AI127=""),"",IF(AND((F127&lt;=85),(AI127&gt;=15)),"O","X"))</f>
        <v>O</v>
      </c>
      <c r="AU127" s="75" t="str">
        <f>IF(C127="","",IF(C127&gt;=$AU$1,"O","X"))</f>
        <v>O</v>
      </c>
      <c r="AV127" s="75" t="str">
        <f>IF(AO127="","",IF(AND(AO127="O",AP127="O",AR127="O",AT127="O",AU127="O"),"후보","X"))</f>
        <v>후보</v>
      </c>
    </row>
    <row r="128" spans="1:48" s="38" customFormat="1" ht="12" x14ac:dyDescent="0.3">
      <c r="A128" s="110" t="s">
        <v>1024</v>
      </c>
      <c r="B128" s="111" t="s">
        <v>1025</v>
      </c>
      <c r="C128" s="112">
        <v>520</v>
      </c>
      <c r="D128" s="104">
        <v>110.9</v>
      </c>
      <c r="E128" s="106">
        <v>34</v>
      </c>
      <c r="F128" s="104">
        <v>84.9</v>
      </c>
      <c r="G128" s="17">
        <v>26</v>
      </c>
      <c r="H128" s="107">
        <v>224</v>
      </c>
      <c r="I128" s="108"/>
      <c r="J128" s="108"/>
      <c r="K128" s="108"/>
      <c r="L128" s="108"/>
      <c r="M128" s="109">
        <f t="shared" ref="M128:M133" si="174">I128-K128</f>
        <v>0</v>
      </c>
      <c r="N128" s="4" t="str">
        <f t="shared" ref="N128:N133" si="175">IF(ISERROR(K128/I128),"",K128/I128)</f>
        <v/>
      </c>
      <c r="O128" s="105">
        <f t="shared" ref="O128:O133" si="176">I128/E128</f>
        <v>0</v>
      </c>
      <c r="P128" s="105">
        <f t="shared" ref="P128:P133" si="177">K128/E128</f>
        <v>0</v>
      </c>
      <c r="Q128" s="75">
        <v>3</v>
      </c>
      <c r="R128" s="75">
        <v>2</v>
      </c>
      <c r="S128" s="75" t="s">
        <v>869</v>
      </c>
      <c r="T128" s="5" t="s">
        <v>287</v>
      </c>
      <c r="U128" s="9"/>
      <c r="W128" s="104">
        <f t="shared" ref="W128:X133" si="178">D128</f>
        <v>110.9</v>
      </c>
      <c r="X128" s="106">
        <f t="shared" si="178"/>
        <v>34</v>
      </c>
      <c r="Y128" s="102">
        <f t="shared" ref="Y128:Z133" si="179">H128</f>
        <v>224</v>
      </c>
      <c r="Z128" s="109">
        <f t="shared" si="179"/>
        <v>0</v>
      </c>
      <c r="AA128" s="109">
        <f t="shared" ref="AA128:AA133" si="180">K128</f>
        <v>0</v>
      </c>
      <c r="AB128" s="109">
        <f t="shared" ref="AB128:AD143" si="181">M128</f>
        <v>0</v>
      </c>
      <c r="AC128" s="4" t="str">
        <f t="shared" si="181"/>
        <v/>
      </c>
      <c r="AD128" s="105">
        <f t="shared" si="181"/>
        <v>0</v>
      </c>
      <c r="AE128" s="75" t="str">
        <f t="shared" ref="AE128:AE133" si="182">S128</f>
        <v>계</v>
      </c>
      <c r="AF128" s="75" t="str">
        <f t="shared" ref="AF128:AF133" si="183">Q128&amp;"/"&amp;R128</f>
        <v>3/2</v>
      </c>
      <c r="AH128" s="20" t="str">
        <f t="shared" si="172"/>
        <v>자은동 창원자은에일린의뜰</v>
      </c>
      <c r="AI128" s="106">
        <f t="shared" si="173"/>
        <v>34</v>
      </c>
      <c r="AJ128" s="75" t="str">
        <f t="shared" ref="AJ128:AJ133" si="184">IF(AI128="","",$AJ$2)</f>
        <v>A-</v>
      </c>
      <c r="AK128" s="75" t="s">
        <v>14</v>
      </c>
      <c r="AL128" s="75" t="s">
        <v>870</v>
      </c>
      <c r="AM128" s="75" t="s">
        <v>871</v>
      </c>
      <c r="AN128" s="75" t="str">
        <f t="shared" ref="AN128:AN133" si="185">IF(AI128="","",$AN$2)</f>
        <v>C</v>
      </c>
      <c r="AO128" s="75" t="str">
        <f t="shared" ref="AO128:AO133" si="186">IF(N128="","",IF(N128&gt;=$AO$1/100,"O","X"))</f>
        <v/>
      </c>
      <c r="AP128" s="75" t="str">
        <f t="shared" ref="AP128:AP133" si="187">IF(I128="","",IF(I128&lt;=$AP$1,"O","X"))</f>
        <v/>
      </c>
      <c r="AQ128" s="75" t="str">
        <f t="shared" ref="AQ128:AQ133" si="188">IF(O128="","",IF(O128&lt;=$AQ$1,"O","X"))</f>
        <v>O</v>
      </c>
      <c r="AR128" s="75" t="str">
        <f t="shared" ref="AR128:AR133" si="189">IF(M128="","",IF(M128&lt;=$AR$1,"O","X"))</f>
        <v>O</v>
      </c>
      <c r="AS128" s="75" t="s">
        <v>2</v>
      </c>
      <c r="AT128" s="75" t="str">
        <f t="shared" ref="AT128:AT133" si="190">IF(OR(F128="",AI128=""),"",IF(AND((F128&lt;=85),(AI128&gt;=15)),"O","X"))</f>
        <v>O</v>
      </c>
      <c r="AU128" s="75" t="str">
        <f t="shared" ref="AU128:AU133" si="191">IF(C128="","",IF(C128&gt;=$AU$1,"O","X"))</f>
        <v>O</v>
      </c>
      <c r="AV128" s="75" t="str">
        <f t="shared" ref="AV128:AV133" si="192">IF(AO128="","",IF(AND(AO128="O",AP128="O",AR128="O",AT128="O",AU128="O"),"후보","X"))</f>
        <v/>
      </c>
    </row>
    <row r="129" spans="1:48" s="38" customFormat="1" ht="12" x14ac:dyDescent="0.3">
      <c r="A129" s="110" t="s">
        <v>1024</v>
      </c>
      <c r="B129" s="111" t="s">
        <v>1025</v>
      </c>
      <c r="C129" s="112">
        <v>520</v>
      </c>
      <c r="D129" s="104">
        <v>111</v>
      </c>
      <c r="E129" s="106">
        <v>34</v>
      </c>
      <c r="F129" s="104">
        <v>85</v>
      </c>
      <c r="G129" s="17">
        <v>26</v>
      </c>
      <c r="H129" s="107">
        <v>18</v>
      </c>
      <c r="I129" s="108">
        <v>42500</v>
      </c>
      <c r="J129" s="108" t="s">
        <v>907</v>
      </c>
      <c r="K129" s="108"/>
      <c r="L129" s="108"/>
      <c r="M129" s="109">
        <f t="shared" si="174"/>
        <v>42500</v>
      </c>
      <c r="N129" s="4">
        <f t="shared" si="175"/>
        <v>0</v>
      </c>
      <c r="O129" s="105">
        <f t="shared" si="176"/>
        <v>1250</v>
      </c>
      <c r="P129" s="105">
        <f t="shared" si="177"/>
        <v>0</v>
      </c>
      <c r="Q129" s="75">
        <v>3</v>
      </c>
      <c r="R129" s="75">
        <v>2</v>
      </c>
      <c r="S129" s="75" t="s">
        <v>869</v>
      </c>
      <c r="T129" s="5" t="s">
        <v>152</v>
      </c>
      <c r="U129" s="9"/>
      <c r="W129" s="104">
        <f t="shared" si="178"/>
        <v>111</v>
      </c>
      <c r="X129" s="106">
        <f t="shared" si="178"/>
        <v>34</v>
      </c>
      <c r="Y129" s="102">
        <f t="shared" si="179"/>
        <v>18</v>
      </c>
      <c r="Z129" s="109">
        <f t="shared" si="179"/>
        <v>42500</v>
      </c>
      <c r="AA129" s="109">
        <f t="shared" si="180"/>
        <v>0</v>
      </c>
      <c r="AB129" s="109">
        <f t="shared" si="181"/>
        <v>42500</v>
      </c>
      <c r="AC129" s="4">
        <f t="shared" si="181"/>
        <v>0</v>
      </c>
      <c r="AD129" s="105">
        <f t="shared" si="181"/>
        <v>1250</v>
      </c>
      <c r="AE129" s="75" t="str">
        <f t="shared" si="182"/>
        <v>계</v>
      </c>
      <c r="AF129" s="75" t="str">
        <f t="shared" si="183"/>
        <v>3/2</v>
      </c>
      <c r="AH129" s="20" t="str">
        <f t="shared" si="172"/>
        <v>자은동 창원자은에일린의뜰</v>
      </c>
      <c r="AI129" s="106">
        <f t="shared" si="173"/>
        <v>34</v>
      </c>
      <c r="AJ129" s="75" t="str">
        <f t="shared" si="184"/>
        <v>A-</v>
      </c>
      <c r="AK129" s="75" t="s">
        <v>14</v>
      </c>
      <c r="AL129" s="75" t="s">
        <v>870</v>
      </c>
      <c r="AM129" s="75" t="s">
        <v>871</v>
      </c>
      <c r="AN129" s="75" t="str">
        <f t="shared" si="185"/>
        <v>C</v>
      </c>
      <c r="AO129" s="75" t="str">
        <f t="shared" si="186"/>
        <v>X</v>
      </c>
      <c r="AP129" s="75" t="str">
        <f t="shared" si="187"/>
        <v>O</v>
      </c>
      <c r="AQ129" s="75" t="str">
        <f t="shared" si="188"/>
        <v>X</v>
      </c>
      <c r="AR129" s="75" t="str">
        <f t="shared" si="189"/>
        <v>X</v>
      </c>
      <c r="AS129" s="75" t="s">
        <v>2</v>
      </c>
      <c r="AT129" s="75" t="str">
        <f t="shared" si="190"/>
        <v>O</v>
      </c>
      <c r="AU129" s="75" t="str">
        <f t="shared" si="191"/>
        <v>O</v>
      </c>
      <c r="AV129" s="75" t="str">
        <f t="shared" si="192"/>
        <v>X</v>
      </c>
    </row>
    <row r="130" spans="1:48" s="38" customFormat="1" ht="12" x14ac:dyDescent="0.3">
      <c r="A130" s="110" t="s">
        <v>1024</v>
      </c>
      <c r="B130" s="111" t="s">
        <v>1025</v>
      </c>
      <c r="C130" s="112">
        <v>520</v>
      </c>
      <c r="D130" s="104">
        <v>111.4</v>
      </c>
      <c r="E130" s="106">
        <v>34</v>
      </c>
      <c r="F130" s="104">
        <v>84.8</v>
      </c>
      <c r="G130" s="17">
        <v>26</v>
      </c>
      <c r="H130" s="107">
        <v>48</v>
      </c>
      <c r="I130" s="108">
        <v>47000</v>
      </c>
      <c r="J130" s="108" t="s">
        <v>898</v>
      </c>
      <c r="K130" s="108"/>
      <c r="L130" s="108"/>
      <c r="M130" s="109">
        <f t="shared" si="174"/>
        <v>47000</v>
      </c>
      <c r="N130" s="4">
        <f t="shared" si="175"/>
        <v>0</v>
      </c>
      <c r="O130" s="105">
        <f t="shared" si="176"/>
        <v>1382.3529411764705</v>
      </c>
      <c r="P130" s="105">
        <f t="shared" si="177"/>
        <v>0</v>
      </c>
      <c r="Q130" s="75">
        <v>4</v>
      </c>
      <c r="R130" s="75">
        <v>2</v>
      </c>
      <c r="S130" s="75" t="s">
        <v>869</v>
      </c>
      <c r="T130" s="5" t="s">
        <v>154</v>
      </c>
      <c r="U130" s="9"/>
      <c r="W130" s="104">
        <f t="shared" si="178"/>
        <v>111.4</v>
      </c>
      <c r="X130" s="106">
        <f t="shared" si="178"/>
        <v>34</v>
      </c>
      <c r="Y130" s="102">
        <f t="shared" si="179"/>
        <v>48</v>
      </c>
      <c r="Z130" s="109">
        <f t="shared" si="179"/>
        <v>47000</v>
      </c>
      <c r="AA130" s="109">
        <f t="shared" si="180"/>
        <v>0</v>
      </c>
      <c r="AB130" s="109">
        <f t="shared" si="181"/>
        <v>47000</v>
      </c>
      <c r="AC130" s="4">
        <f t="shared" si="181"/>
        <v>0</v>
      </c>
      <c r="AD130" s="105">
        <f t="shared" si="181"/>
        <v>1382.3529411764705</v>
      </c>
      <c r="AE130" s="75" t="str">
        <f t="shared" si="182"/>
        <v>계</v>
      </c>
      <c r="AF130" s="75" t="str">
        <f t="shared" si="183"/>
        <v>4/2</v>
      </c>
      <c r="AH130" s="20" t="str">
        <f t="shared" si="172"/>
        <v>자은동 창원자은에일린의뜰</v>
      </c>
      <c r="AI130" s="106">
        <f t="shared" si="173"/>
        <v>34</v>
      </c>
      <c r="AJ130" s="75" t="str">
        <f t="shared" si="184"/>
        <v>A-</v>
      </c>
      <c r="AK130" s="75" t="s">
        <v>14</v>
      </c>
      <c r="AL130" s="75" t="s">
        <v>870</v>
      </c>
      <c r="AM130" s="75" t="s">
        <v>871</v>
      </c>
      <c r="AN130" s="75" t="str">
        <f t="shared" si="185"/>
        <v>C</v>
      </c>
      <c r="AO130" s="75" t="str">
        <f t="shared" si="186"/>
        <v>X</v>
      </c>
      <c r="AP130" s="75" t="str">
        <f t="shared" si="187"/>
        <v>X</v>
      </c>
      <c r="AQ130" s="75" t="str">
        <f t="shared" si="188"/>
        <v>X</v>
      </c>
      <c r="AR130" s="75" t="str">
        <f t="shared" si="189"/>
        <v>X</v>
      </c>
      <c r="AS130" s="75" t="s">
        <v>2</v>
      </c>
      <c r="AT130" s="75" t="str">
        <f t="shared" si="190"/>
        <v>O</v>
      </c>
      <c r="AU130" s="75" t="str">
        <f t="shared" si="191"/>
        <v>O</v>
      </c>
      <c r="AV130" s="75" t="str">
        <f t="shared" si="192"/>
        <v>X</v>
      </c>
    </row>
    <row r="131" spans="1:48" s="38" customFormat="1" ht="12" x14ac:dyDescent="0.3">
      <c r="A131" s="110" t="s">
        <v>1024</v>
      </c>
      <c r="B131" s="111" t="s">
        <v>1025</v>
      </c>
      <c r="C131" s="112">
        <v>520</v>
      </c>
      <c r="D131" s="104">
        <v>132</v>
      </c>
      <c r="E131" s="106">
        <v>40</v>
      </c>
      <c r="F131" s="104">
        <v>101.5</v>
      </c>
      <c r="G131" s="17">
        <v>31</v>
      </c>
      <c r="H131" s="107">
        <v>103</v>
      </c>
      <c r="I131" s="108">
        <v>60000</v>
      </c>
      <c r="J131" s="108" t="s">
        <v>873</v>
      </c>
      <c r="K131" s="108"/>
      <c r="L131" s="108"/>
      <c r="M131" s="109">
        <f t="shared" si="174"/>
        <v>60000</v>
      </c>
      <c r="N131" s="4">
        <f t="shared" si="175"/>
        <v>0</v>
      </c>
      <c r="O131" s="105">
        <f t="shared" si="176"/>
        <v>1500</v>
      </c>
      <c r="P131" s="105">
        <f t="shared" si="177"/>
        <v>0</v>
      </c>
      <c r="Q131" s="75">
        <v>4</v>
      </c>
      <c r="R131" s="75">
        <v>2</v>
      </c>
      <c r="S131" s="75" t="s">
        <v>869</v>
      </c>
      <c r="T131" s="5" t="s">
        <v>623</v>
      </c>
      <c r="U131" s="9"/>
      <c r="W131" s="104">
        <f t="shared" si="178"/>
        <v>132</v>
      </c>
      <c r="X131" s="106">
        <f t="shared" si="178"/>
        <v>40</v>
      </c>
      <c r="Y131" s="102">
        <f t="shared" si="179"/>
        <v>103</v>
      </c>
      <c r="Z131" s="109">
        <f t="shared" si="179"/>
        <v>60000</v>
      </c>
      <c r="AA131" s="109">
        <f t="shared" si="180"/>
        <v>0</v>
      </c>
      <c r="AB131" s="109">
        <f t="shared" si="181"/>
        <v>60000</v>
      </c>
      <c r="AC131" s="4">
        <f t="shared" si="181"/>
        <v>0</v>
      </c>
      <c r="AD131" s="105">
        <f t="shared" si="181"/>
        <v>1500</v>
      </c>
      <c r="AE131" s="75" t="str">
        <f t="shared" si="182"/>
        <v>계</v>
      </c>
      <c r="AF131" s="75" t="str">
        <f t="shared" si="183"/>
        <v>4/2</v>
      </c>
      <c r="AH131" s="20" t="str">
        <f t="shared" si="172"/>
        <v>자은동 창원자은에일린의뜰</v>
      </c>
      <c r="AI131" s="106">
        <f t="shared" si="173"/>
        <v>40</v>
      </c>
      <c r="AJ131" s="75" t="str">
        <f t="shared" si="184"/>
        <v>A-</v>
      </c>
      <c r="AK131" s="75" t="s">
        <v>14</v>
      </c>
      <c r="AL131" s="75" t="s">
        <v>870</v>
      </c>
      <c r="AM131" s="75" t="s">
        <v>871</v>
      </c>
      <c r="AN131" s="75" t="str">
        <f t="shared" si="185"/>
        <v>C</v>
      </c>
      <c r="AO131" s="75" t="str">
        <f t="shared" si="186"/>
        <v>X</v>
      </c>
      <c r="AP131" s="75" t="str">
        <f t="shared" si="187"/>
        <v>X</v>
      </c>
      <c r="AQ131" s="75" t="str">
        <f t="shared" si="188"/>
        <v>X</v>
      </c>
      <c r="AR131" s="75" t="str">
        <f t="shared" si="189"/>
        <v>X</v>
      </c>
      <c r="AS131" s="75" t="s">
        <v>2</v>
      </c>
      <c r="AT131" s="75" t="str">
        <f t="shared" si="190"/>
        <v>X</v>
      </c>
      <c r="AU131" s="75" t="str">
        <f t="shared" si="191"/>
        <v>O</v>
      </c>
      <c r="AV131" s="75" t="str">
        <f t="shared" si="192"/>
        <v>X</v>
      </c>
    </row>
    <row r="132" spans="1:48" s="38" customFormat="1" ht="12" x14ac:dyDescent="0.3">
      <c r="A132" s="110" t="s">
        <v>1024</v>
      </c>
      <c r="B132" s="111" t="s">
        <v>1025</v>
      </c>
      <c r="C132" s="112">
        <v>520</v>
      </c>
      <c r="D132" s="104">
        <v>132</v>
      </c>
      <c r="E132" s="106">
        <v>40</v>
      </c>
      <c r="F132" s="104">
        <v>101.3</v>
      </c>
      <c r="G132" s="17">
        <v>31</v>
      </c>
      <c r="H132" s="107">
        <v>41</v>
      </c>
      <c r="I132" s="108">
        <v>53000</v>
      </c>
      <c r="J132" s="108" t="s">
        <v>883</v>
      </c>
      <c r="K132" s="108"/>
      <c r="L132" s="108"/>
      <c r="M132" s="109">
        <f t="shared" si="174"/>
        <v>53000</v>
      </c>
      <c r="N132" s="4">
        <f t="shared" si="175"/>
        <v>0</v>
      </c>
      <c r="O132" s="105">
        <f t="shared" si="176"/>
        <v>1325</v>
      </c>
      <c r="P132" s="105">
        <f t="shared" si="177"/>
        <v>0</v>
      </c>
      <c r="Q132" s="75">
        <v>4</v>
      </c>
      <c r="R132" s="75">
        <v>2</v>
      </c>
      <c r="S132" s="75" t="s">
        <v>869</v>
      </c>
      <c r="T132" s="5" t="s">
        <v>624</v>
      </c>
      <c r="U132" s="9"/>
      <c r="W132" s="104">
        <f t="shared" si="178"/>
        <v>132</v>
      </c>
      <c r="X132" s="106">
        <f t="shared" si="178"/>
        <v>40</v>
      </c>
      <c r="Y132" s="102">
        <f t="shared" si="179"/>
        <v>41</v>
      </c>
      <c r="Z132" s="109">
        <f t="shared" si="179"/>
        <v>53000</v>
      </c>
      <c r="AA132" s="109">
        <f t="shared" si="180"/>
        <v>0</v>
      </c>
      <c r="AB132" s="109">
        <f t="shared" si="181"/>
        <v>53000</v>
      </c>
      <c r="AC132" s="4">
        <f t="shared" si="181"/>
        <v>0</v>
      </c>
      <c r="AD132" s="105">
        <f t="shared" si="181"/>
        <v>1325</v>
      </c>
      <c r="AE132" s="75" t="str">
        <f t="shared" si="182"/>
        <v>계</v>
      </c>
      <c r="AF132" s="75" t="str">
        <f t="shared" si="183"/>
        <v>4/2</v>
      </c>
      <c r="AH132" s="20" t="str">
        <f t="shared" si="172"/>
        <v>자은동 창원자은에일린의뜰</v>
      </c>
      <c r="AI132" s="106">
        <f t="shared" si="173"/>
        <v>40</v>
      </c>
      <c r="AJ132" s="75" t="str">
        <f t="shared" si="184"/>
        <v>A-</v>
      </c>
      <c r="AK132" s="75" t="s">
        <v>14</v>
      </c>
      <c r="AL132" s="75" t="s">
        <v>870</v>
      </c>
      <c r="AM132" s="75" t="s">
        <v>871</v>
      </c>
      <c r="AN132" s="75" t="str">
        <f t="shared" si="185"/>
        <v>C</v>
      </c>
      <c r="AO132" s="75" t="str">
        <f t="shared" si="186"/>
        <v>X</v>
      </c>
      <c r="AP132" s="75" t="str">
        <f t="shared" si="187"/>
        <v>X</v>
      </c>
      <c r="AQ132" s="75" t="str">
        <f t="shared" si="188"/>
        <v>X</v>
      </c>
      <c r="AR132" s="75" t="str">
        <f t="shared" si="189"/>
        <v>X</v>
      </c>
      <c r="AS132" s="75" t="s">
        <v>2</v>
      </c>
      <c r="AT132" s="75" t="str">
        <f t="shared" si="190"/>
        <v>X</v>
      </c>
      <c r="AU132" s="75" t="str">
        <f t="shared" si="191"/>
        <v>O</v>
      </c>
      <c r="AV132" s="75" t="str">
        <f t="shared" si="192"/>
        <v>X</v>
      </c>
    </row>
    <row r="133" spans="1:48" s="38" customFormat="1" ht="12" x14ac:dyDescent="0.3">
      <c r="A133" s="110" t="s">
        <v>1024</v>
      </c>
      <c r="B133" s="111" t="s">
        <v>1025</v>
      </c>
      <c r="C133" s="112">
        <v>520</v>
      </c>
      <c r="D133" s="104">
        <v>148.80000000000001</v>
      </c>
      <c r="E133" s="106">
        <v>45</v>
      </c>
      <c r="F133" s="104">
        <v>114.8</v>
      </c>
      <c r="G133" s="17">
        <v>35</v>
      </c>
      <c r="H133" s="107">
        <v>86</v>
      </c>
      <c r="I133" s="108">
        <v>60000</v>
      </c>
      <c r="J133" s="108" t="s">
        <v>873</v>
      </c>
      <c r="K133" s="108">
        <v>44000</v>
      </c>
      <c r="L133" s="108" t="s">
        <v>873</v>
      </c>
      <c r="M133" s="109">
        <f t="shared" si="174"/>
        <v>16000</v>
      </c>
      <c r="N133" s="4">
        <f t="shared" si="175"/>
        <v>0.73333333333333328</v>
      </c>
      <c r="O133" s="105">
        <f t="shared" si="176"/>
        <v>1333.3333333333333</v>
      </c>
      <c r="P133" s="105">
        <f t="shared" si="177"/>
        <v>977.77777777777783</v>
      </c>
      <c r="Q133" s="75">
        <v>4</v>
      </c>
      <c r="R133" s="75">
        <v>2</v>
      </c>
      <c r="S133" s="75" t="s">
        <v>869</v>
      </c>
      <c r="T133" s="5">
        <v>148</v>
      </c>
      <c r="U133" s="9"/>
      <c r="W133" s="104">
        <f t="shared" si="178"/>
        <v>148.80000000000001</v>
      </c>
      <c r="X133" s="106">
        <f t="shared" si="178"/>
        <v>45</v>
      </c>
      <c r="Y133" s="102">
        <f t="shared" si="179"/>
        <v>86</v>
      </c>
      <c r="Z133" s="109">
        <f t="shared" si="179"/>
        <v>60000</v>
      </c>
      <c r="AA133" s="109">
        <f t="shared" si="180"/>
        <v>44000</v>
      </c>
      <c r="AB133" s="109">
        <f t="shared" si="181"/>
        <v>16000</v>
      </c>
      <c r="AC133" s="4">
        <f t="shared" si="181"/>
        <v>0.73333333333333328</v>
      </c>
      <c r="AD133" s="105">
        <f t="shared" si="181"/>
        <v>1333.3333333333333</v>
      </c>
      <c r="AE133" s="75" t="str">
        <f t="shared" si="182"/>
        <v>계</v>
      </c>
      <c r="AF133" s="75" t="str">
        <f t="shared" si="183"/>
        <v>4/2</v>
      </c>
      <c r="AH133" s="20" t="str">
        <f t="shared" si="172"/>
        <v>자은동 창원자은에일린의뜰</v>
      </c>
      <c r="AI133" s="106">
        <f t="shared" si="173"/>
        <v>45</v>
      </c>
      <c r="AJ133" s="75" t="str">
        <f t="shared" si="184"/>
        <v>A-</v>
      </c>
      <c r="AK133" s="75" t="s">
        <v>14</v>
      </c>
      <c r="AL133" s="75" t="s">
        <v>870</v>
      </c>
      <c r="AM133" s="75" t="s">
        <v>871</v>
      </c>
      <c r="AN133" s="75" t="str">
        <f t="shared" si="185"/>
        <v>C</v>
      </c>
      <c r="AO133" s="75" t="str">
        <f t="shared" si="186"/>
        <v>X</v>
      </c>
      <c r="AP133" s="75" t="str">
        <f t="shared" si="187"/>
        <v>X</v>
      </c>
      <c r="AQ133" s="75" t="str">
        <f t="shared" si="188"/>
        <v>X</v>
      </c>
      <c r="AR133" s="75" t="str">
        <f t="shared" si="189"/>
        <v>X</v>
      </c>
      <c r="AS133" s="75" t="s">
        <v>2</v>
      </c>
      <c r="AT133" s="75" t="str">
        <f t="shared" si="190"/>
        <v>X</v>
      </c>
      <c r="AU133" s="75" t="str">
        <f t="shared" si="191"/>
        <v>O</v>
      </c>
      <c r="AV133" s="75" t="str">
        <f t="shared" si="192"/>
        <v>X</v>
      </c>
    </row>
    <row r="134" spans="1:48" s="38" customFormat="1" ht="12" x14ac:dyDescent="0.3">
      <c r="A134" s="110" t="s">
        <v>1026</v>
      </c>
      <c r="B134" s="111" t="s">
        <v>1027</v>
      </c>
      <c r="C134" s="112">
        <v>299</v>
      </c>
      <c r="D134" s="104">
        <v>104</v>
      </c>
      <c r="E134" s="106">
        <v>31</v>
      </c>
      <c r="F134" s="104">
        <v>84.9</v>
      </c>
      <c r="G134" s="17">
        <v>26</v>
      </c>
      <c r="H134" s="107">
        <v>251</v>
      </c>
      <c r="I134" s="108"/>
      <c r="J134" s="108"/>
      <c r="K134" s="108"/>
      <c r="L134" s="108"/>
      <c r="M134" s="109">
        <f>I134-K134</f>
        <v>0</v>
      </c>
      <c r="N134" s="4" t="str">
        <f>IF(ISERROR(K134/I134),"",K134/I134)</f>
        <v/>
      </c>
      <c r="O134" s="105">
        <f>I134/E134</f>
        <v>0</v>
      </c>
      <c r="P134" s="105">
        <f>K134/E134</f>
        <v>0</v>
      </c>
      <c r="Q134" s="75">
        <v>3</v>
      </c>
      <c r="R134" s="75">
        <v>2</v>
      </c>
      <c r="S134" s="75" t="s">
        <v>869</v>
      </c>
      <c r="T134" s="5">
        <v>103</v>
      </c>
      <c r="U134" s="9"/>
      <c r="W134" s="104">
        <f>D134</f>
        <v>104</v>
      </c>
      <c r="X134" s="106">
        <f>E134</f>
        <v>31</v>
      </c>
      <c r="Y134" s="102">
        <f>H134</f>
        <v>251</v>
      </c>
      <c r="Z134" s="109">
        <f>I134</f>
        <v>0</v>
      </c>
      <c r="AA134" s="109">
        <f>K134</f>
        <v>0</v>
      </c>
      <c r="AB134" s="109">
        <f t="shared" si="181"/>
        <v>0</v>
      </c>
      <c r="AC134" s="4" t="str">
        <f t="shared" si="181"/>
        <v/>
      </c>
      <c r="AD134" s="105">
        <f t="shared" si="181"/>
        <v>0</v>
      </c>
      <c r="AE134" s="75" t="str">
        <f>S134</f>
        <v>계</v>
      </c>
      <c r="AF134" s="75" t="str">
        <f>Q134&amp;"/"&amp;R134</f>
        <v>3/2</v>
      </c>
      <c r="AH134" s="20" t="str">
        <f t="shared" si="172"/>
        <v>자은동 대동빌라트1단지</v>
      </c>
      <c r="AI134" s="106">
        <f t="shared" si="173"/>
        <v>31</v>
      </c>
      <c r="AJ134" s="75" t="str">
        <f>IF(AI134="","",$AJ$2)</f>
        <v>A-</v>
      </c>
      <c r="AK134" s="75" t="s">
        <v>14</v>
      </c>
      <c r="AL134" s="75" t="s">
        <v>870</v>
      </c>
      <c r="AM134" s="75" t="s">
        <v>871</v>
      </c>
      <c r="AN134" s="75" t="str">
        <f>IF(AI134="","",$AN$2)</f>
        <v>C</v>
      </c>
      <c r="AO134" s="75" t="str">
        <f>IF(N134="","",IF(N134&gt;=$AO$1/100,"O","X"))</f>
        <v/>
      </c>
      <c r="AP134" s="75" t="str">
        <f>IF(I134="","",IF(I134&lt;=$AP$1,"O","X"))</f>
        <v/>
      </c>
      <c r="AQ134" s="75" t="str">
        <f>IF(O134="","",IF(O134&lt;=$AQ$1,"O","X"))</f>
        <v>O</v>
      </c>
      <c r="AR134" s="75" t="str">
        <f>IF(M134="","",IF(M134&lt;=$AR$1,"O","X"))</f>
        <v>O</v>
      </c>
      <c r="AS134" s="75" t="s">
        <v>2</v>
      </c>
      <c r="AT134" s="75" t="str">
        <f>IF(OR(F134="",AI134=""),"",IF(AND((F134&lt;=85),(AI134&gt;=15)),"O","X"))</f>
        <v>O</v>
      </c>
      <c r="AU134" s="75" t="str">
        <f>IF(C134="","",IF(C134&gt;=$AU$1,"O","X"))</f>
        <v>X</v>
      </c>
      <c r="AV134" s="75" t="str">
        <f>IF(AO134="","",IF(AND(AO134="O",AP134="O",AR134="O",AT134="O",AU134="O"),"후보","X"))</f>
        <v/>
      </c>
    </row>
    <row r="135" spans="1:48" s="38" customFormat="1" ht="12" x14ac:dyDescent="0.3">
      <c r="A135" s="110" t="s">
        <v>1026</v>
      </c>
      <c r="B135" s="111" t="s">
        <v>1027</v>
      </c>
      <c r="C135" s="112">
        <v>299</v>
      </c>
      <c r="D135" s="104">
        <v>160.6</v>
      </c>
      <c r="E135" s="106">
        <v>49</v>
      </c>
      <c r="F135" s="104">
        <v>130.4</v>
      </c>
      <c r="G135" s="17">
        <v>39</v>
      </c>
      <c r="H135" s="107">
        <v>48</v>
      </c>
      <c r="I135" s="108"/>
      <c r="J135" s="108"/>
      <c r="K135" s="108"/>
      <c r="L135" s="108"/>
      <c r="M135" s="109">
        <f>I135-K135</f>
        <v>0</v>
      </c>
      <c r="N135" s="4" t="str">
        <f>IF(ISERROR(K135/I135),"",K135/I135)</f>
        <v/>
      </c>
      <c r="O135" s="105">
        <f>I135/E135</f>
        <v>0</v>
      </c>
      <c r="P135" s="105">
        <f>K135/E135</f>
        <v>0</v>
      </c>
      <c r="Q135" s="75">
        <v>4</v>
      </c>
      <c r="R135" s="75">
        <v>2</v>
      </c>
      <c r="S135" s="75" t="s">
        <v>869</v>
      </c>
      <c r="T135" s="5">
        <v>160</v>
      </c>
      <c r="U135" s="9"/>
      <c r="W135" s="104">
        <f>D135</f>
        <v>160.6</v>
      </c>
      <c r="X135" s="106">
        <f>E135</f>
        <v>49</v>
      </c>
      <c r="Y135" s="102">
        <f>H135</f>
        <v>48</v>
      </c>
      <c r="Z135" s="109">
        <f>I135</f>
        <v>0</v>
      </c>
      <c r="AA135" s="109">
        <f>K135</f>
        <v>0</v>
      </c>
      <c r="AB135" s="109">
        <f t="shared" si="181"/>
        <v>0</v>
      </c>
      <c r="AC135" s="4" t="str">
        <f t="shared" si="181"/>
        <v/>
      </c>
      <c r="AD135" s="105">
        <f t="shared" si="181"/>
        <v>0</v>
      </c>
      <c r="AE135" s="75" t="str">
        <f>S135</f>
        <v>계</v>
      </c>
      <c r="AF135" s="75" t="str">
        <f>Q135&amp;"/"&amp;R135</f>
        <v>4/2</v>
      </c>
      <c r="AH135" s="20" t="str">
        <f t="shared" si="172"/>
        <v>자은동 대동빌라트1단지</v>
      </c>
      <c r="AI135" s="106">
        <f t="shared" si="173"/>
        <v>49</v>
      </c>
      <c r="AJ135" s="75" t="str">
        <f>IF(AI135="","",$AJ$2)</f>
        <v>A-</v>
      </c>
      <c r="AK135" s="75" t="s">
        <v>14</v>
      </c>
      <c r="AL135" s="75" t="s">
        <v>870</v>
      </c>
      <c r="AM135" s="75" t="s">
        <v>871</v>
      </c>
      <c r="AN135" s="75" t="str">
        <f>IF(AI135="","",$AN$2)</f>
        <v>C</v>
      </c>
      <c r="AO135" s="75" t="str">
        <f>IF(N135="","",IF(N135&gt;=$AO$1/100,"O","X"))</f>
        <v/>
      </c>
      <c r="AP135" s="75" t="str">
        <f>IF(I135="","",IF(I135&lt;=$AP$1,"O","X"))</f>
        <v/>
      </c>
      <c r="AQ135" s="75" t="str">
        <f>IF(O135="","",IF(O135&lt;=$AQ$1,"O","X"))</f>
        <v>O</v>
      </c>
      <c r="AR135" s="75" t="str">
        <f>IF(M135="","",IF(M135&lt;=$AR$1,"O","X"))</f>
        <v>O</v>
      </c>
      <c r="AS135" s="75" t="s">
        <v>2</v>
      </c>
      <c r="AT135" s="75" t="str">
        <f>IF(OR(F135="",AI135=""),"",IF(AND((F135&lt;=85),(AI135&gt;=15)),"O","X"))</f>
        <v>X</v>
      </c>
      <c r="AU135" s="75" t="str">
        <f>IF(C135="","",IF(C135&gt;=$AU$1,"O","X"))</f>
        <v>X</v>
      </c>
      <c r="AV135" s="75" t="str">
        <f>IF(AO135="","",IF(AND(AO135="O",AP135="O",AR135="O",AT135="O",AU135="O"),"후보","X"))</f>
        <v/>
      </c>
    </row>
    <row r="136" spans="1:48" s="38" customFormat="1" ht="12" x14ac:dyDescent="0.3">
      <c r="A136" s="110" t="s">
        <v>1028</v>
      </c>
      <c r="B136" s="111" t="s">
        <v>1029</v>
      </c>
      <c r="C136" s="112">
        <v>600</v>
      </c>
      <c r="D136" s="104">
        <v>80</v>
      </c>
      <c r="E136" s="106">
        <v>24</v>
      </c>
      <c r="F136" s="104">
        <v>59.7</v>
      </c>
      <c r="G136" s="17">
        <v>18</v>
      </c>
      <c r="H136" s="107">
        <v>216</v>
      </c>
      <c r="I136" s="108"/>
      <c r="J136" s="108"/>
      <c r="K136" s="108"/>
      <c r="L136" s="108"/>
      <c r="M136" s="109">
        <f t="shared" ref="M136:M143" si="193">I136-K136</f>
        <v>0</v>
      </c>
      <c r="N136" s="4" t="str">
        <f t="shared" ref="N136:N143" si="194">IF(ISERROR(K136/I136),"",K136/I136)</f>
        <v/>
      </c>
      <c r="O136" s="105">
        <f t="shared" ref="O136:O143" si="195">I136/E136</f>
        <v>0</v>
      </c>
      <c r="P136" s="105">
        <f t="shared" ref="P136:P143" si="196">K136/E136</f>
        <v>0</v>
      </c>
      <c r="Q136" s="75">
        <v>3</v>
      </c>
      <c r="R136" s="75">
        <v>1</v>
      </c>
      <c r="S136" s="75" t="s">
        <v>869</v>
      </c>
      <c r="T136" s="5" t="s">
        <v>632</v>
      </c>
      <c r="U136" s="9"/>
      <c r="W136" s="104">
        <f t="shared" ref="W136:X151" si="197">D136</f>
        <v>80</v>
      </c>
      <c r="X136" s="106">
        <f t="shared" si="197"/>
        <v>24</v>
      </c>
      <c r="Y136" s="102">
        <f t="shared" ref="Y136:Z151" si="198">H136</f>
        <v>216</v>
      </c>
      <c r="Z136" s="109">
        <f t="shared" si="198"/>
        <v>0</v>
      </c>
      <c r="AA136" s="109">
        <f t="shared" ref="AA136:AA143" si="199">K136</f>
        <v>0</v>
      </c>
      <c r="AB136" s="109">
        <f t="shared" si="181"/>
        <v>0</v>
      </c>
      <c r="AC136" s="4" t="str">
        <f t="shared" si="181"/>
        <v/>
      </c>
      <c r="AD136" s="105">
        <f t="shared" si="181"/>
        <v>0</v>
      </c>
      <c r="AE136" s="75" t="str">
        <f t="shared" ref="AE136:AE143" si="200">S136</f>
        <v>계</v>
      </c>
      <c r="AF136" s="75" t="str">
        <f t="shared" ref="AF136:AF143" si="201">Q136&amp;"/"&amp;R136</f>
        <v>3/1</v>
      </c>
      <c r="AH136" s="20" t="str">
        <f t="shared" si="172"/>
        <v>자은동 진해자은벚꽃주공</v>
      </c>
      <c r="AI136" s="106">
        <f t="shared" si="173"/>
        <v>24</v>
      </c>
      <c r="AJ136" s="75" t="str">
        <f t="shared" ref="AJ136:AJ143" si="202">IF(AI136="","",$AJ$2)</f>
        <v>A-</v>
      </c>
      <c r="AK136" s="75" t="s">
        <v>14</v>
      </c>
      <c r="AL136" s="75" t="s">
        <v>870</v>
      </c>
      <c r="AM136" s="75" t="s">
        <v>871</v>
      </c>
      <c r="AN136" s="75" t="str">
        <f t="shared" ref="AN136:AN143" si="203">IF(AI136="","",$AN$2)</f>
        <v>C</v>
      </c>
      <c r="AO136" s="75" t="str">
        <f t="shared" ref="AO136:AO143" si="204">IF(N136="","",IF(N136&gt;=$AO$1/100,"O","X"))</f>
        <v/>
      </c>
      <c r="AP136" s="75" t="str">
        <f t="shared" ref="AP136:AP143" si="205">IF(I136="","",IF(I136&lt;=$AP$1,"O","X"))</f>
        <v/>
      </c>
      <c r="AQ136" s="75" t="str">
        <f t="shared" ref="AQ136:AQ143" si="206">IF(O136="","",IF(O136&lt;=$AQ$1,"O","X"))</f>
        <v>O</v>
      </c>
      <c r="AR136" s="75" t="str">
        <f t="shared" ref="AR136:AR143" si="207">IF(M136="","",IF(M136&lt;=$AR$1,"O","X"))</f>
        <v>O</v>
      </c>
      <c r="AS136" s="75" t="s">
        <v>2</v>
      </c>
      <c r="AT136" s="75" t="str">
        <f t="shared" ref="AT136:AT143" si="208">IF(OR(F136="",AI136=""),"",IF(AND((F136&lt;=85),(AI136&gt;=15)),"O","X"))</f>
        <v>O</v>
      </c>
      <c r="AU136" s="75" t="str">
        <f t="shared" ref="AU136:AU143" si="209">IF(C136="","",IF(C136&gt;=$AU$1,"O","X"))</f>
        <v>O</v>
      </c>
      <c r="AV136" s="75" t="str">
        <f t="shared" ref="AV136:AV143" si="210">IF(AO136="","",IF(AND(AO136="O",AP136="O",AR136="O",AT136="O",AU136="O"),"후보","X"))</f>
        <v/>
      </c>
    </row>
    <row r="137" spans="1:48" s="38" customFormat="1" ht="12" x14ac:dyDescent="0.3">
      <c r="A137" s="110" t="s">
        <v>1028</v>
      </c>
      <c r="B137" s="111" t="s">
        <v>1029</v>
      </c>
      <c r="C137" s="112">
        <v>600</v>
      </c>
      <c r="D137" s="104">
        <v>80.400000000000006</v>
      </c>
      <c r="E137" s="106">
        <v>24</v>
      </c>
      <c r="F137" s="104">
        <v>60</v>
      </c>
      <c r="G137" s="17">
        <v>18</v>
      </c>
      <c r="H137" s="107">
        <v>24</v>
      </c>
      <c r="I137" s="108"/>
      <c r="J137" s="108"/>
      <c r="K137" s="108"/>
      <c r="L137" s="108"/>
      <c r="M137" s="109">
        <f t="shared" si="193"/>
        <v>0</v>
      </c>
      <c r="N137" s="4" t="str">
        <f t="shared" si="194"/>
        <v/>
      </c>
      <c r="O137" s="105">
        <f t="shared" si="195"/>
        <v>0</v>
      </c>
      <c r="P137" s="105">
        <f t="shared" si="196"/>
        <v>0</v>
      </c>
      <c r="Q137" s="75">
        <v>3</v>
      </c>
      <c r="R137" s="75">
        <v>1</v>
      </c>
      <c r="S137" s="75" t="s">
        <v>869</v>
      </c>
      <c r="T137" s="5" t="s">
        <v>636</v>
      </c>
      <c r="U137" s="9"/>
      <c r="W137" s="104">
        <f t="shared" si="197"/>
        <v>80.400000000000006</v>
      </c>
      <c r="X137" s="106">
        <f t="shared" si="197"/>
        <v>24</v>
      </c>
      <c r="Y137" s="102">
        <f t="shared" si="198"/>
        <v>24</v>
      </c>
      <c r="Z137" s="109">
        <f t="shared" si="198"/>
        <v>0</v>
      </c>
      <c r="AA137" s="109">
        <f t="shared" si="199"/>
        <v>0</v>
      </c>
      <c r="AB137" s="109">
        <f t="shared" si="181"/>
        <v>0</v>
      </c>
      <c r="AC137" s="4" t="str">
        <f t="shared" si="181"/>
        <v/>
      </c>
      <c r="AD137" s="105">
        <f t="shared" si="181"/>
        <v>0</v>
      </c>
      <c r="AE137" s="75" t="str">
        <f t="shared" si="200"/>
        <v>계</v>
      </c>
      <c r="AF137" s="75" t="str">
        <f t="shared" si="201"/>
        <v>3/1</v>
      </c>
      <c r="AH137" s="20" t="str">
        <f t="shared" si="172"/>
        <v>자은동 진해자은벚꽃주공</v>
      </c>
      <c r="AI137" s="106">
        <f t="shared" si="173"/>
        <v>24</v>
      </c>
      <c r="AJ137" s="75" t="str">
        <f t="shared" si="202"/>
        <v>A-</v>
      </c>
      <c r="AK137" s="75" t="s">
        <v>14</v>
      </c>
      <c r="AL137" s="75" t="s">
        <v>870</v>
      </c>
      <c r="AM137" s="75" t="s">
        <v>871</v>
      </c>
      <c r="AN137" s="75" t="str">
        <f t="shared" si="203"/>
        <v>C</v>
      </c>
      <c r="AO137" s="75" t="str">
        <f t="shared" si="204"/>
        <v/>
      </c>
      <c r="AP137" s="75" t="str">
        <f t="shared" si="205"/>
        <v/>
      </c>
      <c r="AQ137" s="75" t="str">
        <f t="shared" si="206"/>
        <v>O</v>
      </c>
      <c r="AR137" s="75" t="str">
        <f t="shared" si="207"/>
        <v>O</v>
      </c>
      <c r="AS137" s="75" t="s">
        <v>2</v>
      </c>
      <c r="AT137" s="75" t="str">
        <f t="shared" si="208"/>
        <v>O</v>
      </c>
      <c r="AU137" s="75" t="str">
        <f t="shared" si="209"/>
        <v>O</v>
      </c>
      <c r="AV137" s="75" t="str">
        <f t="shared" si="210"/>
        <v/>
      </c>
    </row>
    <row r="138" spans="1:48" s="38" customFormat="1" ht="12" x14ac:dyDescent="0.3">
      <c r="A138" s="110" t="s">
        <v>1028</v>
      </c>
      <c r="B138" s="111" t="s">
        <v>1029</v>
      </c>
      <c r="C138" s="112">
        <v>600</v>
      </c>
      <c r="D138" s="104">
        <v>101.3</v>
      </c>
      <c r="E138" s="106">
        <v>31</v>
      </c>
      <c r="F138" s="104">
        <v>75.599999999999994</v>
      </c>
      <c r="G138" s="17">
        <v>23</v>
      </c>
      <c r="H138" s="107">
        <v>72</v>
      </c>
      <c r="I138" s="108"/>
      <c r="J138" s="108"/>
      <c r="K138" s="108"/>
      <c r="L138" s="108"/>
      <c r="M138" s="109">
        <f t="shared" si="193"/>
        <v>0</v>
      </c>
      <c r="N138" s="4" t="str">
        <f t="shared" si="194"/>
        <v/>
      </c>
      <c r="O138" s="105">
        <f t="shared" si="195"/>
        <v>0</v>
      </c>
      <c r="P138" s="105">
        <f t="shared" si="196"/>
        <v>0</v>
      </c>
      <c r="Q138" s="75">
        <v>3</v>
      </c>
      <c r="R138" s="75">
        <v>2</v>
      </c>
      <c r="S138" s="75" t="s">
        <v>869</v>
      </c>
      <c r="T138" s="5" t="s">
        <v>281</v>
      </c>
      <c r="U138" s="9"/>
      <c r="W138" s="104">
        <f t="shared" si="197"/>
        <v>101.3</v>
      </c>
      <c r="X138" s="106">
        <f t="shared" si="197"/>
        <v>31</v>
      </c>
      <c r="Y138" s="102">
        <f t="shared" si="198"/>
        <v>72</v>
      </c>
      <c r="Z138" s="109">
        <f t="shared" si="198"/>
        <v>0</v>
      </c>
      <c r="AA138" s="109">
        <f t="shared" si="199"/>
        <v>0</v>
      </c>
      <c r="AB138" s="109">
        <f t="shared" si="181"/>
        <v>0</v>
      </c>
      <c r="AC138" s="4" t="str">
        <f t="shared" si="181"/>
        <v/>
      </c>
      <c r="AD138" s="105">
        <f t="shared" si="181"/>
        <v>0</v>
      </c>
      <c r="AE138" s="75" t="str">
        <f t="shared" si="200"/>
        <v>계</v>
      </c>
      <c r="AF138" s="75" t="str">
        <f t="shared" si="201"/>
        <v>3/2</v>
      </c>
      <c r="AH138" s="20" t="str">
        <f t="shared" si="172"/>
        <v>자은동 진해자은벚꽃주공</v>
      </c>
      <c r="AI138" s="106">
        <f t="shared" si="173"/>
        <v>31</v>
      </c>
      <c r="AJ138" s="75" t="str">
        <f t="shared" si="202"/>
        <v>A-</v>
      </c>
      <c r="AK138" s="75" t="s">
        <v>14</v>
      </c>
      <c r="AL138" s="75" t="s">
        <v>870</v>
      </c>
      <c r="AM138" s="75" t="s">
        <v>871</v>
      </c>
      <c r="AN138" s="75" t="str">
        <f t="shared" si="203"/>
        <v>C</v>
      </c>
      <c r="AO138" s="75" t="str">
        <f t="shared" si="204"/>
        <v/>
      </c>
      <c r="AP138" s="75" t="str">
        <f t="shared" si="205"/>
        <v/>
      </c>
      <c r="AQ138" s="75" t="str">
        <f t="shared" si="206"/>
        <v>O</v>
      </c>
      <c r="AR138" s="75" t="str">
        <f t="shared" si="207"/>
        <v>O</v>
      </c>
      <c r="AS138" s="75" t="s">
        <v>2</v>
      </c>
      <c r="AT138" s="75" t="str">
        <f t="shared" si="208"/>
        <v>O</v>
      </c>
      <c r="AU138" s="75" t="str">
        <f t="shared" si="209"/>
        <v>O</v>
      </c>
      <c r="AV138" s="75" t="str">
        <f t="shared" si="210"/>
        <v/>
      </c>
    </row>
    <row r="139" spans="1:48" s="38" customFormat="1" ht="12" x14ac:dyDescent="0.3">
      <c r="A139" s="110" t="s">
        <v>1028</v>
      </c>
      <c r="B139" s="111" t="s">
        <v>1029</v>
      </c>
      <c r="C139" s="112">
        <v>600</v>
      </c>
      <c r="D139" s="104">
        <v>101.3</v>
      </c>
      <c r="E139" s="106">
        <v>31</v>
      </c>
      <c r="F139" s="104">
        <v>75.599999999999994</v>
      </c>
      <c r="G139" s="17">
        <v>23</v>
      </c>
      <c r="H139" s="107">
        <v>60</v>
      </c>
      <c r="I139" s="108"/>
      <c r="J139" s="108"/>
      <c r="K139" s="108"/>
      <c r="L139" s="108"/>
      <c r="M139" s="109">
        <f t="shared" si="193"/>
        <v>0</v>
      </c>
      <c r="N139" s="4" t="str">
        <f t="shared" si="194"/>
        <v/>
      </c>
      <c r="O139" s="105">
        <f t="shared" si="195"/>
        <v>0</v>
      </c>
      <c r="P139" s="105">
        <f t="shared" si="196"/>
        <v>0</v>
      </c>
      <c r="Q139" s="75">
        <v>3</v>
      </c>
      <c r="R139" s="75">
        <v>2</v>
      </c>
      <c r="S139" s="75" t="s">
        <v>869</v>
      </c>
      <c r="T139" s="5" t="s">
        <v>244</v>
      </c>
      <c r="U139" s="9"/>
      <c r="W139" s="104">
        <f t="shared" si="197"/>
        <v>101.3</v>
      </c>
      <c r="X139" s="106">
        <f t="shared" si="197"/>
        <v>31</v>
      </c>
      <c r="Y139" s="102">
        <f t="shared" si="198"/>
        <v>60</v>
      </c>
      <c r="Z139" s="109">
        <f t="shared" si="198"/>
        <v>0</v>
      </c>
      <c r="AA139" s="109">
        <f t="shared" si="199"/>
        <v>0</v>
      </c>
      <c r="AB139" s="109">
        <f t="shared" si="181"/>
        <v>0</v>
      </c>
      <c r="AC139" s="4" t="str">
        <f t="shared" si="181"/>
        <v/>
      </c>
      <c r="AD139" s="105">
        <f t="shared" si="181"/>
        <v>0</v>
      </c>
      <c r="AE139" s="75" t="str">
        <f t="shared" si="200"/>
        <v>계</v>
      </c>
      <c r="AF139" s="75" t="str">
        <f t="shared" si="201"/>
        <v>3/2</v>
      </c>
      <c r="AH139" s="20" t="str">
        <f t="shared" si="172"/>
        <v>자은동 진해자은벚꽃주공</v>
      </c>
      <c r="AI139" s="106">
        <f t="shared" si="173"/>
        <v>31</v>
      </c>
      <c r="AJ139" s="75" t="str">
        <f t="shared" si="202"/>
        <v>A-</v>
      </c>
      <c r="AK139" s="75" t="s">
        <v>14</v>
      </c>
      <c r="AL139" s="75" t="s">
        <v>870</v>
      </c>
      <c r="AM139" s="75" t="s">
        <v>871</v>
      </c>
      <c r="AN139" s="75" t="str">
        <f t="shared" si="203"/>
        <v>C</v>
      </c>
      <c r="AO139" s="75" t="str">
        <f t="shared" si="204"/>
        <v/>
      </c>
      <c r="AP139" s="75" t="str">
        <f t="shared" si="205"/>
        <v/>
      </c>
      <c r="AQ139" s="75" t="str">
        <f t="shared" si="206"/>
        <v>O</v>
      </c>
      <c r="AR139" s="75" t="str">
        <f t="shared" si="207"/>
        <v>O</v>
      </c>
      <c r="AS139" s="75" t="s">
        <v>2</v>
      </c>
      <c r="AT139" s="75" t="str">
        <f t="shared" si="208"/>
        <v>O</v>
      </c>
      <c r="AU139" s="75" t="str">
        <f t="shared" si="209"/>
        <v>O</v>
      </c>
      <c r="AV139" s="75" t="str">
        <f t="shared" si="210"/>
        <v/>
      </c>
    </row>
    <row r="140" spans="1:48" s="38" customFormat="1" ht="12" x14ac:dyDescent="0.3">
      <c r="A140" s="110" t="s">
        <v>1028</v>
      </c>
      <c r="B140" s="111" t="s">
        <v>1029</v>
      </c>
      <c r="C140" s="112">
        <v>600</v>
      </c>
      <c r="D140" s="104">
        <v>101.6</v>
      </c>
      <c r="E140" s="106">
        <v>31</v>
      </c>
      <c r="F140" s="104">
        <v>75.8</v>
      </c>
      <c r="G140" s="17">
        <v>23</v>
      </c>
      <c r="H140" s="107">
        <v>48</v>
      </c>
      <c r="I140" s="108">
        <v>22000</v>
      </c>
      <c r="J140" s="108" t="s">
        <v>873</v>
      </c>
      <c r="K140" s="108"/>
      <c r="L140" s="108"/>
      <c r="M140" s="109">
        <f t="shared" si="193"/>
        <v>22000</v>
      </c>
      <c r="N140" s="4">
        <f t="shared" si="194"/>
        <v>0</v>
      </c>
      <c r="O140" s="105">
        <f t="shared" si="195"/>
        <v>709.67741935483866</v>
      </c>
      <c r="P140" s="105">
        <f t="shared" si="196"/>
        <v>0</v>
      </c>
      <c r="Q140" s="75">
        <v>3</v>
      </c>
      <c r="R140" s="75">
        <v>2</v>
      </c>
      <c r="S140" s="75" t="s">
        <v>869</v>
      </c>
      <c r="T140" s="5" t="s">
        <v>605</v>
      </c>
      <c r="U140" s="9"/>
      <c r="W140" s="104">
        <f t="shared" si="197"/>
        <v>101.6</v>
      </c>
      <c r="X140" s="106">
        <f t="shared" si="197"/>
        <v>31</v>
      </c>
      <c r="Y140" s="102">
        <f t="shared" si="198"/>
        <v>48</v>
      </c>
      <c r="Z140" s="109">
        <f t="shared" si="198"/>
        <v>22000</v>
      </c>
      <c r="AA140" s="109">
        <f t="shared" si="199"/>
        <v>0</v>
      </c>
      <c r="AB140" s="109">
        <f t="shared" si="181"/>
        <v>22000</v>
      </c>
      <c r="AC140" s="4">
        <f t="shared" si="181"/>
        <v>0</v>
      </c>
      <c r="AD140" s="105">
        <f t="shared" si="181"/>
        <v>709.67741935483866</v>
      </c>
      <c r="AE140" s="75" t="str">
        <f t="shared" si="200"/>
        <v>계</v>
      </c>
      <c r="AF140" s="75" t="str">
        <f t="shared" si="201"/>
        <v>3/2</v>
      </c>
      <c r="AH140" s="20" t="str">
        <f t="shared" si="172"/>
        <v>자은동 진해자은벚꽃주공</v>
      </c>
      <c r="AI140" s="106">
        <f t="shared" si="173"/>
        <v>31</v>
      </c>
      <c r="AJ140" s="75" t="str">
        <f t="shared" si="202"/>
        <v>A-</v>
      </c>
      <c r="AK140" s="75" t="s">
        <v>14</v>
      </c>
      <c r="AL140" s="75" t="s">
        <v>870</v>
      </c>
      <c r="AM140" s="75" t="s">
        <v>871</v>
      </c>
      <c r="AN140" s="75" t="str">
        <f t="shared" si="203"/>
        <v>C</v>
      </c>
      <c r="AO140" s="75" t="str">
        <f t="shared" si="204"/>
        <v>X</v>
      </c>
      <c r="AP140" s="75" t="str">
        <f t="shared" si="205"/>
        <v>O</v>
      </c>
      <c r="AQ140" s="75" t="str">
        <f t="shared" si="206"/>
        <v>O</v>
      </c>
      <c r="AR140" s="75" t="str">
        <f t="shared" si="207"/>
        <v>X</v>
      </c>
      <c r="AS140" s="75" t="s">
        <v>2</v>
      </c>
      <c r="AT140" s="75" t="str">
        <f t="shared" si="208"/>
        <v>O</v>
      </c>
      <c r="AU140" s="75" t="str">
        <f t="shared" si="209"/>
        <v>O</v>
      </c>
      <c r="AV140" s="75" t="str">
        <f t="shared" si="210"/>
        <v>X</v>
      </c>
    </row>
    <row r="141" spans="1:48" s="38" customFormat="1" ht="12" x14ac:dyDescent="0.3">
      <c r="A141" s="110" t="s">
        <v>1028</v>
      </c>
      <c r="B141" s="111" t="s">
        <v>1029</v>
      </c>
      <c r="C141" s="112">
        <v>600</v>
      </c>
      <c r="D141" s="104">
        <v>113.4</v>
      </c>
      <c r="E141" s="106">
        <v>34</v>
      </c>
      <c r="F141" s="104">
        <v>84.6</v>
      </c>
      <c r="G141" s="17">
        <v>26</v>
      </c>
      <c r="H141" s="107">
        <v>70</v>
      </c>
      <c r="I141" s="108"/>
      <c r="J141" s="108"/>
      <c r="K141" s="108"/>
      <c r="L141" s="108"/>
      <c r="M141" s="109">
        <f t="shared" si="193"/>
        <v>0</v>
      </c>
      <c r="N141" s="4" t="str">
        <f t="shared" si="194"/>
        <v/>
      </c>
      <c r="O141" s="105">
        <f t="shared" si="195"/>
        <v>0</v>
      </c>
      <c r="P141" s="105">
        <f t="shared" si="196"/>
        <v>0</v>
      </c>
      <c r="Q141" s="75">
        <v>3</v>
      </c>
      <c r="R141" s="75">
        <v>2</v>
      </c>
      <c r="S141" s="75" t="s">
        <v>869</v>
      </c>
      <c r="T141" s="5" t="s">
        <v>123</v>
      </c>
      <c r="U141" s="9"/>
      <c r="W141" s="104">
        <f t="shared" si="197"/>
        <v>113.4</v>
      </c>
      <c r="X141" s="106">
        <f t="shared" si="197"/>
        <v>34</v>
      </c>
      <c r="Y141" s="102">
        <f t="shared" si="198"/>
        <v>70</v>
      </c>
      <c r="Z141" s="109">
        <f t="shared" si="198"/>
        <v>0</v>
      </c>
      <c r="AA141" s="109">
        <f t="shared" si="199"/>
        <v>0</v>
      </c>
      <c r="AB141" s="109">
        <f t="shared" si="181"/>
        <v>0</v>
      </c>
      <c r="AC141" s="4" t="str">
        <f t="shared" si="181"/>
        <v/>
      </c>
      <c r="AD141" s="105">
        <f t="shared" si="181"/>
        <v>0</v>
      </c>
      <c r="AE141" s="75" t="str">
        <f t="shared" si="200"/>
        <v>계</v>
      </c>
      <c r="AF141" s="75" t="str">
        <f t="shared" si="201"/>
        <v>3/2</v>
      </c>
      <c r="AH141" s="20" t="str">
        <f t="shared" si="172"/>
        <v>자은동 진해자은벚꽃주공</v>
      </c>
      <c r="AI141" s="106">
        <f t="shared" si="173"/>
        <v>34</v>
      </c>
      <c r="AJ141" s="75" t="str">
        <f t="shared" si="202"/>
        <v>A-</v>
      </c>
      <c r="AK141" s="75" t="s">
        <v>14</v>
      </c>
      <c r="AL141" s="75" t="s">
        <v>870</v>
      </c>
      <c r="AM141" s="75" t="s">
        <v>871</v>
      </c>
      <c r="AN141" s="75" t="str">
        <f t="shared" si="203"/>
        <v>C</v>
      </c>
      <c r="AO141" s="75" t="str">
        <f t="shared" si="204"/>
        <v/>
      </c>
      <c r="AP141" s="75" t="str">
        <f t="shared" si="205"/>
        <v/>
      </c>
      <c r="AQ141" s="75" t="str">
        <f t="shared" si="206"/>
        <v>O</v>
      </c>
      <c r="AR141" s="75" t="str">
        <f t="shared" si="207"/>
        <v>O</v>
      </c>
      <c r="AS141" s="75" t="s">
        <v>2</v>
      </c>
      <c r="AT141" s="75" t="str">
        <f t="shared" si="208"/>
        <v>O</v>
      </c>
      <c r="AU141" s="75" t="str">
        <f t="shared" si="209"/>
        <v>O</v>
      </c>
      <c r="AV141" s="75" t="str">
        <f t="shared" si="210"/>
        <v/>
      </c>
    </row>
    <row r="142" spans="1:48" s="38" customFormat="1" ht="12" x14ac:dyDescent="0.3">
      <c r="A142" s="110" t="s">
        <v>1028</v>
      </c>
      <c r="B142" s="111" t="s">
        <v>1030</v>
      </c>
      <c r="C142" s="112">
        <v>600</v>
      </c>
      <c r="D142" s="104">
        <v>113.8</v>
      </c>
      <c r="E142" s="106">
        <v>34</v>
      </c>
      <c r="F142" s="104">
        <v>84.9</v>
      </c>
      <c r="G142" s="17">
        <v>26</v>
      </c>
      <c r="H142" s="107">
        <v>62</v>
      </c>
      <c r="I142" s="108"/>
      <c r="J142" s="108"/>
      <c r="K142" s="108"/>
      <c r="L142" s="108"/>
      <c r="M142" s="109">
        <f t="shared" si="193"/>
        <v>0</v>
      </c>
      <c r="N142" s="4" t="str">
        <f t="shared" si="194"/>
        <v/>
      </c>
      <c r="O142" s="105">
        <f t="shared" si="195"/>
        <v>0</v>
      </c>
      <c r="P142" s="105">
        <f t="shared" si="196"/>
        <v>0</v>
      </c>
      <c r="Q142" s="75">
        <v>3</v>
      </c>
      <c r="R142" s="75">
        <v>2</v>
      </c>
      <c r="S142" s="75" t="s">
        <v>869</v>
      </c>
      <c r="T142" s="5" t="s">
        <v>513</v>
      </c>
      <c r="U142" s="9"/>
      <c r="W142" s="104">
        <f t="shared" si="197"/>
        <v>113.8</v>
      </c>
      <c r="X142" s="106">
        <f t="shared" si="197"/>
        <v>34</v>
      </c>
      <c r="Y142" s="102">
        <f t="shared" si="198"/>
        <v>62</v>
      </c>
      <c r="Z142" s="109">
        <f t="shared" si="198"/>
        <v>0</v>
      </c>
      <c r="AA142" s="109">
        <f t="shared" si="199"/>
        <v>0</v>
      </c>
      <c r="AB142" s="109">
        <f t="shared" si="181"/>
        <v>0</v>
      </c>
      <c r="AC142" s="4" t="str">
        <f t="shared" si="181"/>
        <v/>
      </c>
      <c r="AD142" s="105">
        <f t="shared" si="181"/>
        <v>0</v>
      </c>
      <c r="AE142" s="75" t="str">
        <f t="shared" si="200"/>
        <v>계</v>
      </c>
      <c r="AF142" s="75" t="str">
        <f t="shared" si="201"/>
        <v>3/2</v>
      </c>
      <c r="AH142" s="20" t="str">
        <f t="shared" si="172"/>
        <v>자은동 진해자은벚꽃주공</v>
      </c>
      <c r="AI142" s="106">
        <f t="shared" si="173"/>
        <v>34</v>
      </c>
      <c r="AJ142" s="75" t="str">
        <f t="shared" si="202"/>
        <v>A-</v>
      </c>
      <c r="AK142" s="75" t="s">
        <v>14</v>
      </c>
      <c r="AL142" s="75" t="s">
        <v>870</v>
      </c>
      <c r="AM142" s="75" t="s">
        <v>871</v>
      </c>
      <c r="AN142" s="75" t="str">
        <f t="shared" si="203"/>
        <v>C</v>
      </c>
      <c r="AO142" s="75" t="str">
        <f t="shared" si="204"/>
        <v/>
      </c>
      <c r="AP142" s="75" t="str">
        <f t="shared" si="205"/>
        <v/>
      </c>
      <c r="AQ142" s="75" t="str">
        <f t="shared" si="206"/>
        <v>O</v>
      </c>
      <c r="AR142" s="75" t="str">
        <f t="shared" si="207"/>
        <v>O</v>
      </c>
      <c r="AS142" s="75" t="s">
        <v>2</v>
      </c>
      <c r="AT142" s="75" t="str">
        <f t="shared" si="208"/>
        <v>O</v>
      </c>
      <c r="AU142" s="75" t="str">
        <f t="shared" si="209"/>
        <v>O</v>
      </c>
      <c r="AV142" s="75" t="str">
        <f t="shared" si="210"/>
        <v/>
      </c>
    </row>
    <row r="143" spans="1:48" s="38" customFormat="1" ht="12" x14ac:dyDescent="0.3">
      <c r="A143" s="110" t="s">
        <v>1028</v>
      </c>
      <c r="B143" s="111" t="s">
        <v>1029</v>
      </c>
      <c r="C143" s="112">
        <v>600</v>
      </c>
      <c r="D143" s="104">
        <v>113.8</v>
      </c>
      <c r="E143" s="106">
        <v>34</v>
      </c>
      <c r="F143" s="104">
        <v>84.9</v>
      </c>
      <c r="G143" s="17">
        <v>26</v>
      </c>
      <c r="H143" s="107">
        <v>48</v>
      </c>
      <c r="I143" s="108"/>
      <c r="J143" s="108"/>
      <c r="K143" s="108"/>
      <c r="L143" s="108"/>
      <c r="M143" s="109">
        <f t="shared" si="193"/>
        <v>0</v>
      </c>
      <c r="N143" s="4" t="str">
        <f t="shared" si="194"/>
        <v/>
      </c>
      <c r="O143" s="105">
        <f t="shared" si="195"/>
        <v>0</v>
      </c>
      <c r="P143" s="105">
        <f t="shared" si="196"/>
        <v>0</v>
      </c>
      <c r="Q143" s="75">
        <v>3</v>
      </c>
      <c r="R143" s="75">
        <v>2</v>
      </c>
      <c r="S143" s="75" t="s">
        <v>869</v>
      </c>
      <c r="T143" s="5" t="s">
        <v>514</v>
      </c>
      <c r="U143" s="9"/>
      <c r="W143" s="104">
        <f t="shared" si="197"/>
        <v>113.8</v>
      </c>
      <c r="X143" s="106">
        <f t="shared" si="197"/>
        <v>34</v>
      </c>
      <c r="Y143" s="102">
        <f t="shared" si="198"/>
        <v>48</v>
      </c>
      <c r="Z143" s="109">
        <f t="shared" si="198"/>
        <v>0</v>
      </c>
      <c r="AA143" s="109">
        <f t="shared" si="199"/>
        <v>0</v>
      </c>
      <c r="AB143" s="109">
        <f t="shared" si="181"/>
        <v>0</v>
      </c>
      <c r="AC143" s="4" t="str">
        <f t="shared" si="181"/>
        <v/>
      </c>
      <c r="AD143" s="105">
        <f t="shared" si="181"/>
        <v>0</v>
      </c>
      <c r="AE143" s="75" t="str">
        <f t="shared" si="200"/>
        <v>계</v>
      </c>
      <c r="AF143" s="75" t="str">
        <f t="shared" si="201"/>
        <v>3/2</v>
      </c>
      <c r="AH143" s="20" t="str">
        <f t="shared" si="172"/>
        <v>자은동 진해자은벚꽃주공</v>
      </c>
      <c r="AI143" s="106">
        <f t="shared" si="173"/>
        <v>34</v>
      </c>
      <c r="AJ143" s="75" t="str">
        <f t="shared" si="202"/>
        <v>A-</v>
      </c>
      <c r="AK143" s="75" t="s">
        <v>14</v>
      </c>
      <c r="AL143" s="75" t="s">
        <v>870</v>
      </c>
      <c r="AM143" s="75" t="s">
        <v>871</v>
      </c>
      <c r="AN143" s="75" t="str">
        <f t="shared" si="203"/>
        <v>C</v>
      </c>
      <c r="AO143" s="75" t="str">
        <f t="shared" si="204"/>
        <v/>
      </c>
      <c r="AP143" s="75" t="str">
        <f t="shared" si="205"/>
        <v/>
      </c>
      <c r="AQ143" s="75" t="str">
        <f t="shared" si="206"/>
        <v>O</v>
      </c>
      <c r="AR143" s="75" t="str">
        <f t="shared" si="207"/>
        <v>O</v>
      </c>
      <c r="AS143" s="75" t="s">
        <v>2</v>
      </c>
      <c r="AT143" s="75" t="str">
        <f t="shared" si="208"/>
        <v>O</v>
      </c>
      <c r="AU143" s="75" t="str">
        <f t="shared" si="209"/>
        <v>O</v>
      </c>
      <c r="AV143" s="75" t="str">
        <f t="shared" si="210"/>
        <v/>
      </c>
    </row>
    <row r="144" spans="1:48" s="38" customFormat="1" ht="12" x14ac:dyDescent="0.3">
      <c r="A144" s="110" t="s">
        <v>1031</v>
      </c>
      <c r="B144" s="111" t="s">
        <v>1032</v>
      </c>
      <c r="C144" s="112">
        <v>358</v>
      </c>
      <c r="D144" s="104">
        <v>112.9</v>
      </c>
      <c r="E144" s="106">
        <v>34</v>
      </c>
      <c r="F144" s="104">
        <v>84.9</v>
      </c>
      <c r="G144" s="17">
        <v>26</v>
      </c>
      <c r="H144" s="107">
        <v>55</v>
      </c>
      <c r="I144" s="108">
        <v>30000</v>
      </c>
      <c r="J144" s="108" t="s">
        <v>868</v>
      </c>
      <c r="K144" s="108"/>
      <c r="L144" s="108"/>
      <c r="M144" s="109">
        <f t="shared" ref="M144:M158" si="211">I144-K144</f>
        <v>30000</v>
      </c>
      <c r="N144" s="4">
        <f t="shared" ref="N144:N158" si="212">IF(ISERROR(K144/I144),"",K144/I144)</f>
        <v>0</v>
      </c>
      <c r="O144" s="105">
        <f t="shared" ref="O144:O158" si="213">I144/E144</f>
        <v>882.35294117647061</v>
      </c>
      <c r="P144" s="105">
        <f t="shared" ref="P144:P158" si="214">K144/E144</f>
        <v>0</v>
      </c>
      <c r="Q144" s="75">
        <v>3</v>
      </c>
      <c r="R144" s="75">
        <v>2</v>
      </c>
      <c r="S144" s="75" t="s">
        <v>903</v>
      </c>
      <c r="T144" s="5" t="s">
        <v>122</v>
      </c>
      <c r="U144" s="9"/>
      <c r="W144" s="104">
        <f t="shared" si="197"/>
        <v>112.9</v>
      </c>
      <c r="X144" s="106">
        <f t="shared" si="197"/>
        <v>34</v>
      </c>
      <c r="Y144" s="102">
        <f t="shared" si="198"/>
        <v>55</v>
      </c>
      <c r="Z144" s="109">
        <f t="shared" si="198"/>
        <v>30000</v>
      </c>
      <c r="AA144" s="109">
        <f t="shared" ref="AA144:AA158" si="215">K144</f>
        <v>0</v>
      </c>
      <c r="AB144" s="109">
        <f t="shared" ref="AB144:AD159" si="216">M144</f>
        <v>30000</v>
      </c>
      <c r="AC144" s="4">
        <f t="shared" si="216"/>
        <v>0</v>
      </c>
      <c r="AD144" s="105">
        <f t="shared" si="216"/>
        <v>882.35294117647061</v>
      </c>
      <c r="AE144" s="75" t="str">
        <f t="shared" ref="AE144:AE158" si="217">S144</f>
        <v>복</v>
      </c>
      <c r="AF144" s="75" t="str">
        <f t="shared" ref="AF144:AF158" si="218">Q144&amp;"/"&amp;R144</f>
        <v>3/2</v>
      </c>
      <c r="AH144" s="20" t="str">
        <f t="shared" si="172"/>
        <v>자은동 자은월드메르디앙</v>
      </c>
      <c r="AI144" s="106">
        <f t="shared" si="173"/>
        <v>34</v>
      </c>
      <c r="AJ144" s="75" t="str">
        <f t="shared" ref="AJ144:AJ158" si="219">IF(AI144="","",$AJ$2)</f>
        <v>A-</v>
      </c>
      <c r="AK144" s="75" t="s">
        <v>14</v>
      </c>
      <c r="AL144" s="75" t="s">
        <v>870</v>
      </c>
      <c r="AM144" s="75" t="s">
        <v>871</v>
      </c>
      <c r="AN144" s="75" t="str">
        <f t="shared" ref="AN144:AN158" si="220">IF(AI144="","",$AN$2)</f>
        <v>C</v>
      </c>
      <c r="AO144" s="75" t="str">
        <f t="shared" ref="AO144:AO158" si="221">IF(N144="","",IF(N144&gt;=$AO$1/100,"O","X"))</f>
        <v>X</v>
      </c>
      <c r="AP144" s="75" t="str">
        <f t="shared" ref="AP144:AP158" si="222">IF(I144="","",IF(I144&lt;=$AP$1,"O","X"))</f>
        <v>O</v>
      </c>
      <c r="AQ144" s="75" t="str">
        <f t="shared" ref="AQ144:AQ158" si="223">IF(O144="","",IF(O144&lt;=$AQ$1,"O","X"))</f>
        <v>O</v>
      </c>
      <c r="AR144" s="75" t="str">
        <f t="shared" ref="AR144:AR158" si="224">IF(M144="","",IF(M144&lt;=$AR$1,"O","X"))</f>
        <v>X</v>
      </c>
      <c r="AS144" s="75" t="s">
        <v>2</v>
      </c>
      <c r="AT144" s="75" t="str">
        <f t="shared" ref="AT144:AT158" si="225">IF(OR(F144="",AI144=""),"",IF(AND((F144&lt;=85),(AI144&gt;=15)),"O","X"))</f>
        <v>O</v>
      </c>
      <c r="AU144" s="75" t="str">
        <f t="shared" ref="AU144:AU158" si="226">IF(C144="","",IF(C144&gt;=$AU$1,"O","X"))</f>
        <v>O</v>
      </c>
      <c r="AV144" s="75" t="str">
        <f t="shared" ref="AV144:AV158" si="227">IF(AO144="","",IF(AND(AO144="O",AP144="O",AR144="O",AT144="O",AU144="O"),"후보","X"))</f>
        <v>X</v>
      </c>
    </row>
    <row r="145" spans="1:48" s="38" customFormat="1" ht="12" x14ac:dyDescent="0.3">
      <c r="A145" s="110" t="s">
        <v>1031</v>
      </c>
      <c r="B145" s="111" t="s">
        <v>1032</v>
      </c>
      <c r="C145" s="112">
        <v>358</v>
      </c>
      <c r="D145" s="104">
        <v>113.4</v>
      </c>
      <c r="E145" s="106">
        <v>34</v>
      </c>
      <c r="F145" s="104">
        <v>84.9</v>
      </c>
      <c r="G145" s="17">
        <v>26</v>
      </c>
      <c r="H145" s="107">
        <v>230</v>
      </c>
      <c r="I145" s="108">
        <v>30000</v>
      </c>
      <c r="J145" s="108" t="s">
        <v>868</v>
      </c>
      <c r="K145" s="108"/>
      <c r="L145" s="108"/>
      <c r="M145" s="109">
        <f t="shared" si="211"/>
        <v>30000</v>
      </c>
      <c r="N145" s="4">
        <f t="shared" si="212"/>
        <v>0</v>
      </c>
      <c r="O145" s="105">
        <f t="shared" si="213"/>
        <v>882.35294117647061</v>
      </c>
      <c r="P145" s="105">
        <f t="shared" si="214"/>
        <v>0</v>
      </c>
      <c r="Q145" s="75">
        <v>3</v>
      </c>
      <c r="R145" s="75">
        <v>2</v>
      </c>
      <c r="S145" s="75" t="s">
        <v>869</v>
      </c>
      <c r="T145" s="5" t="s">
        <v>123</v>
      </c>
      <c r="U145" s="9"/>
      <c r="W145" s="104">
        <f t="shared" si="197"/>
        <v>113.4</v>
      </c>
      <c r="X145" s="106">
        <f t="shared" si="197"/>
        <v>34</v>
      </c>
      <c r="Y145" s="102">
        <f t="shared" si="198"/>
        <v>230</v>
      </c>
      <c r="Z145" s="109">
        <f t="shared" si="198"/>
        <v>30000</v>
      </c>
      <c r="AA145" s="109">
        <f t="shared" si="215"/>
        <v>0</v>
      </c>
      <c r="AB145" s="109">
        <f t="shared" si="216"/>
        <v>30000</v>
      </c>
      <c r="AC145" s="4">
        <f t="shared" si="216"/>
        <v>0</v>
      </c>
      <c r="AD145" s="105">
        <f t="shared" si="216"/>
        <v>882.35294117647061</v>
      </c>
      <c r="AE145" s="75" t="str">
        <f t="shared" si="217"/>
        <v>계</v>
      </c>
      <c r="AF145" s="75" t="str">
        <f t="shared" si="218"/>
        <v>3/2</v>
      </c>
      <c r="AH145" s="20" t="str">
        <f t="shared" si="172"/>
        <v>자은동 자은월드메르디앙</v>
      </c>
      <c r="AI145" s="106">
        <f t="shared" si="173"/>
        <v>34</v>
      </c>
      <c r="AJ145" s="75" t="str">
        <f t="shared" si="219"/>
        <v>A-</v>
      </c>
      <c r="AK145" s="75" t="s">
        <v>14</v>
      </c>
      <c r="AL145" s="75" t="s">
        <v>870</v>
      </c>
      <c r="AM145" s="75" t="s">
        <v>871</v>
      </c>
      <c r="AN145" s="75" t="str">
        <f t="shared" si="220"/>
        <v>C</v>
      </c>
      <c r="AO145" s="75" t="str">
        <f t="shared" si="221"/>
        <v>X</v>
      </c>
      <c r="AP145" s="75" t="str">
        <f t="shared" si="222"/>
        <v>O</v>
      </c>
      <c r="AQ145" s="75" t="str">
        <f t="shared" si="223"/>
        <v>O</v>
      </c>
      <c r="AR145" s="75" t="str">
        <f t="shared" si="224"/>
        <v>X</v>
      </c>
      <c r="AS145" s="75" t="s">
        <v>2</v>
      </c>
      <c r="AT145" s="75" t="str">
        <f t="shared" si="225"/>
        <v>O</v>
      </c>
      <c r="AU145" s="75" t="str">
        <f t="shared" si="226"/>
        <v>O</v>
      </c>
      <c r="AV145" s="75" t="str">
        <f t="shared" si="227"/>
        <v>X</v>
      </c>
    </row>
    <row r="146" spans="1:48" s="38" customFormat="1" ht="12" x14ac:dyDescent="0.3">
      <c r="A146" s="110" t="s">
        <v>1031</v>
      </c>
      <c r="B146" s="111" t="s">
        <v>1032</v>
      </c>
      <c r="C146" s="112">
        <v>358</v>
      </c>
      <c r="D146" s="104">
        <v>114.2</v>
      </c>
      <c r="E146" s="106">
        <v>35</v>
      </c>
      <c r="F146" s="104">
        <v>85</v>
      </c>
      <c r="G146" s="17">
        <v>26</v>
      </c>
      <c r="H146" s="107">
        <v>13</v>
      </c>
      <c r="I146" s="108"/>
      <c r="J146" s="108"/>
      <c r="K146" s="108"/>
      <c r="L146" s="108"/>
      <c r="M146" s="109">
        <f t="shared" si="211"/>
        <v>0</v>
      </c>
      <c r="N146" s="4" t="str">
        <f t="shared" si="212"/>
        <v/>
      </c>
      <c r="O146" s="105">
        <f t="shared" si="213"/>
        <v>0</v>
      </c>
      <c r="P146" s="105">
        <f t="shared" si="214"/>
        <v>0</v>
      </c>
      <c r="Q146" s="75">
        <v>3</v>
      </c>
      <c r="R146" s="75">
        <v>2</v>
      </c>
      <c r="S146" s="75" t="s">
        <v>903</v>
      </c>
      <c r="T146" s="5" t="s">
        <v>642</v>
      </c>
      <c r="U146" s="9"/>
      <c r="W146" s="104">
        <f t="shared" si="197"/>
        <v>114.2</v>
      </c>
      <c r="X146" s="106">
        <f t="shared" si="197"/>
        <v>35</v>
      </c>
      <c r="Y146" s="102">
        <f t="shared" si="198"/>
        <v>13</v>
      </c>
      <c r="Z146" s="109">
        <f t="shared" si="198"/>
        <v>0</v>
      </c>
      <c r="AA146" s="109">
        <f t="shared" si="215"/>
        <v>0</v>
      </c>
      <c r="AB146" s="109">
        <f t="shared" si="216"/>
        <v>0</v>
      </c>
      <c r="AC146" s="4" t="str">
        <f t="shared" si="216"/>
        <v/>
      </c>
      <c r="AD146" s="105">
        <f t="shared" si="216"/>
        <v>0</v>
      </c>
      <c r="AE146" s="75" t="str">
        <f t="shared" si="217"/>
        <v>복</v>
      </c>
      <c r="AF146" s="75" t="str">
        <f t="shared" si="218"/>
        <v>3/2</v>
      </c>
      <c r="AH146" s="20" t="str">
        <f t="shared" si="172"/>
        <v>자은동 자은월드메르디앙</v>
      </c>
      <c r="AI146" s="106">
        <f t="shared" si="173"/>
        <v>35</v>
      </c>
      <c r="AJ146" s="75" t="str">
        <f t="shared" si="219"/>
        <v>A-</v>
      </c>
      <c r="AK146" s="75" t="s">
        <v>14</v>
      </c>
      <c r="AL146" s="75" t="s">
        <v>870</v>
      </c>
      <c r="AM146" s="75" t="s">
        <v>871</v>
      </c>
      <c r="AN146" s="75" t="str">
        <f t="shared" si="220"/>
        <v>C</v>
      </c>
      <c r="AO146" s="75" t="str">
        <f t="shared" si="221"/>
        <v/>
      </c>
      <c r="AP146" s="75" t="str">
        <f t="shared" si="222"/>
        <v/>
      </c>
      <c r="AQ146" s="75" t="str">
        <f t="shared" si="223"/>
        <v>O</v>
      </c>
      <c r="AR146" s="75" t="str">
        <f t="shared" si="224"/>
        <v>O</v>
      </c>
      <c r="AS146" s="75" t="s">
        <v>2</v>
      </c>
      <c r="AT146" s="75" t="str">
        <f t="shared" si="225"/>
        <v>O</v>
      </c>
      <c r="AU146" s="75" t="str">
        <f t="shared" si="226"/>
        <v>O</v>
      </c>
      <c r="AV146" s="75" t="str">
        <f t="shared" si="227"/>
        <v/>
      </c>
    </row>
    <row r="147" spans="1:48" s="38" customFormat="1" ht="12" x14ac:dyDescent="0.3">
      <c r="A147" s="110" t="s">
        <v>1033</v>
      </c>
      <c r="B147" s="111" t="s">
        <v>1032</v>
      </c>
      <c r="C147" s="112">
        <v>358</v>
      </c>
      <c r="D147" s="104">
        <v>158.69999999999999</v>
      </c>
      <c r="E147" s="106">
        <v>48</v>
      </c>
      <c r="F147" s="104">
        <v>126.2</v>
      </c>
      <c r="G147" s="17">
        <v>38</v>
      </c>
      <c r="H147" s="107">
        <v>60</v>
      </c>
      <c r="I147" s="108">
        <v>36000</v>
      </c>
      <c r="J147" s="108" t="s">
        <v>868</v>
      </c>
      <c r="K147" s="108"/>
      <c r="L147" s="108"/>
      <c r="M147" s="109">
        <f t="shared" si="211"/>
        <v>36000</v>
      </c>
      <c r="N147" s="4">
        <f t="shared" si="212"/>
        <v>0</v>
      </c>
      <c r="O147" s="105">
        <f t="shared" si="213"/>
        <v>750</v>
      </c>
      <c r="P147" s="105">
        <f t="shared" si="214"/>
        <v>0</v>
      </c>
      <c r="Q147" s="75">
        <v>4</v>
      </c>
      <c r="R147" s="75">
        <v>2</v>
      </c>
      <c r="S147" s="75" t="s">
        <v>869</v>
      </c>
      <c r="T147" s="5">
        <v>158</v>
      </c>
      <c r="U147" s="9"/>
      <c r="W147" s="104">
        <f t="shared" si="197"/>
        <v>158.69999999999999</v>
      </c>
      <c r="X147" s="106">
        <f t="shared" si="197"/>
        <v>48</v>
      </c>
      <c r="Y147" s="102">
        <f t="shared" si="198"/>
        <v>60</v>
      </c>
      <c r="Z147" s="109">
        <f t="shared" si="198"/>
        <v>36000</v>
      </c>
      <c r="AA147" s="109">
        <f t="shared" si="215"/>
        <v>0</v>
      </c>
      <c r="AB147" s="109">
        <f t="shared" si="216"/>
        <v>36000</v>
      </c>
      <c r="AC147" s="4">
        <f t="shared" si="216"/>
        <v>0</v>
      </c>
      <c r="AD147" s="105">
        <f t="shared" si="216"/>
        <v>750</v>
      </c>
      <c r="AE147" s="75" t="str">
        <f t="shared" si="217"/>
        <v>계</v>
      </c>
      <c r="AF147" s="75" t="str">
        <f t="shared" si="218"/>
        <v>4/2</v>
      </c>
      <c r="AH147" s="20" t="str">
        <f t="shared" si="172"/>
        <v>자은동 자은월드메르디앙</v>
      </c>
      <c r="AI147" s="106">
        <f t="shared" si="173"/>
        <v>48</v>
      </c>
      <c r="AJ147" s="75" t="str">
        <f t="shared" si="219"/>
        <v>A-</v>
      </c>
      <c r="AK147" s="75" t="s">
        <v>14</v>
      </c>
      <c r="AL147" s="75" t="s">
        <v>870</v>
      </c>
      <c r="AM147" s="75" t="s">
        <v>871</v>
      </c>
      <c r="AN147" s="75" t="str">
        <f t="shared" si="220"/>
        <v>C</v>
      </c>
      <c r="AO147" s="75" t="str">
        <f t="shared" si="221"/>
        <v>X</v>
      </c>
      <c r="AP147" s="75" t="str">
        <f t="shared" si="222"/>
        <v>O</v>
      </c>
      <c r="AQ147" s="75" t="str">
        <f t="shared" si="223"/>
        <v>O</v>
      </c>
      <c r="AR147" s="75" t="str">
        <f t="shared" si="224"/>
        <v>X</v>
      </c>
      <c r="AS147" s="75" t="s">
        <v>2</v>
      </c>
      <c r="AT147" s="75" t="str">
        <f t="shared" si="225"/>
        <v>X</v>
      </c>
      <c r="AU147" s="75" t="str">
        <f t="shared" si="226"/>
        <v>O</v>
      </c>
      <c r="AV147" s="75" t="str">
        <f t="shared" si="227"/>
        <v>X</v>
      </c>
    </row>
    <row r="148" spans="1:48" s="38" customFormat="1" ht="12" x14ac:dyDescent="0.3">
      <c r="A148" s="110" t="s">
        <v>1034</v>
      </c>
      <c r="B148" s="111" t="s">
        <v>1035</v>
      </c>
      <c r="C148" s="112">
        <v>433</v>
      </c>
      <c r="D148" s="104">
        <v>79.7</v>
      </c>
      <c r="E148" s="106">
        <v>24</v>
      </c>
      <c r="F148" s="104">
        <v>59.9</v>
      </c>
      <c r="G148" s="17">
        <v>18</v>
      </c>
      <c r="H148" s="107">
        <v>113</v>
      </c>
      <c r="I148" s="108">
        <v>26500</v>
      </c>
      <c r="J148" s="108" t="s">
        <v>868</v>
      </c>
      <c r="K148" s="108"/>
      <c r="L148" s="108"/>
      <c r="M148" s="109">
        <f t="shared" si="211"/>
        <v>26500</v>
      </c>
      <c r="N148" s="4">
        <f t="shared" si="212"/>
        <v>0</v>
      </c>
      <c r="O148" s="105">
        <f t="shared" si="213"/>
        <v>1104.1666666666667</v>
      </c>
      <c r="P148" s="105">
        <f t="shared" si="214"/>
        <v>0</v>
      </c>
      <c r="Q148" s="75">
        <v>3</v>
      </c>
      <c r="R148" s="75">
        <v>2</v>
      </c>
      <c r="S148" s="75" t="s">
        <v>869</v>
      </c>
      <c r="T148" s="5" t="s">
        <v>138</v>
      </c>
      <c r="U148" s="9"/>
      <c r="W148" s="104">
        <f t="shared" si="197"/>
        <v>79.7</v>
      </c>
      <c r="X148" s="106">
        <f t="shared" si="197"/>
        <v>24</v>
      </c>
      <c r="Y148" s="102">
        <f t="shared" si="198"/>
        <v>113</v>
      </c>
      <c r="Z148" s="109">
        <f t="shared" si="198"/>
        <v>26500</v>
      </c>
      <c r="AA148" s="109">
        <f t="shared" si="215"/>
        <v>0</v>
      </c>
      <c r="AB148" s="109">
        <f t="shared" si="216"/>
        <v>26500</v>
      </c>
      <c r="AC148" s="4">
        <f t="shared" si="216"/>
        <v>0</v>
      </c>
      <c r="AD148" s="105">
        <f t="shared" si="216"/>
        <v>1104.1666666666667</v>
      </c>
      <c r="AE148" s="75" t="str">
        <f t="shared" si="217"/>
        <v>계</v>
      </c>
      <c r="AF148" s="75" t="str">
        <f t="shared" si="218"/>
        <v>3/2</v>
      </c>
      <c r="AH148" s="20" t="str">
        <f t="shared" si="172"/>
        <v>자은동 협성DS이아이존빌</v>
      </c>
      <c r="AI148" s="106">
        <f t="shared" si="173"/>
        <v>24</v>
      </c>
      <c r="AJ148" s="75" t="str">
        <f t="shared" si="219"/>
        <v>A-</v>
      </c>
      <c r="AK148" s="75" t="s">
        <v>14</v>
      </c>
      <c r="AL148" s="75" t="s">
        <v>870</v>
      </c>
      <c r="AM148" s="75" t="s">
        <v>871</v>
      </c>
      <c r="AN148" s="75" t="str">
        <f t="shared" si="220"/>
        <v>C</v>
      </c>
      <c r="AO148" s="75" t="str">
        <f t="shared" si="221"/>
        <v>X</v>
      </c>
      <c r="AP148" s="75" t="str">
        <f t="shared" si="222"/>
        <v>O</v>
      </c>
      <c r="AQ148" s="75" t="str">
        <f t="shared" si="223"/>
        <v>X</v>
      </c>
      <c r="AR148" s="75" t="str">
        <f t="shared" si="224"/>
        <v>X</v>
      </c>
      <c r="AS148" s="75" t="s">
        <v>2</v>
      </c>
      <c r="AT148" s="75" t="str">
        <f t="shared" si="225"/>
        <v>O</v>
      </c>
      <c r="AU148" s="75" t="str">
        <f t="shared" si="226"/>
        <v>O</v>
      </c>
      <c r="AV148" s="75" t="str">
        <f t="shared" si="227"/>
        <v>X</v>
      </c>
    </row>
    <row r="149" spans="1:48" s="38" customFormat="1" ht="12" x14ac:dyDescent="0.3">
      <c r="A149" s="110" t="s">
        <v>1034</v>
      </c>
      <c r="B149" s="111" t="s">
        <v>1035</v>
      </c>
      <c r="C149" s="112">
        <v>433</v>
      </c>
      <c r="D149" s="104">
        <v>81</v>
      </c>
      <c r="E149" s="106">
        <v>24</v>
      </c>
      <c r="F149" s="104">
        <v>60</v>
      </c>
      <c r="G149" s="17">
        <v>18</v>
      </c>
      <c r="H149" s="107">
        <v>52</v>
      </c>
      <c r="I149" s="108">
        <v>27000</v>
      </c>
      <c r="J149" s="108" t="s">
        <v>873</v>
      </c>
      <c r="K149" s="108"/>
      <c r="L149" s="108"/>
      <c r="M149" s="109">
        <f t="shared" si="211"/>
        <v>27000</v>
      </c>
      <c r="N149" s="4">
        <f t="shared" si="212"/>
        <v>0</v>
      </c>
      <c r="O149" s="105">
        <f t="shared" si="213"/>
        <v>1125</v>
      </c>
      <c r="P149" s="105">
        <f t="shared" si="214"/>
        <v>0</v>
      </c>
      <c r="Q149" s="75">
        <v>3</v>
      </c>
      <c r="R149" s="75">
        <v>2</v>
      </c>
      <c r="S149" s="75" t="s">
        <v>869</v>
      </c>
      <c r="T149" s="5" t="s">
        <v>636</v>
      </c>
      <c r="U149" s="9"/>
      <c r="W149" s="104">
        <f t="shared" si="197"/>
        <v>81</v>
      </c>
      <c r="X149" s="106">
        <f t="shared" si="197"/>
        <v>24</v>
      </c>
      <c r="Y149" s="102">
        <f t="shared" si="198"/>
        <v>52</v>
      </c>
      <c r="Z149" s="109">
        <f t="shared" si="198"/>
        <v>27000</v>
      </c>
      <c r="AA149" s="109">
        <f t="shared" si="215"/>
        <v>0</v>
      </c>
      <c r="AB149" s="109">
        <f t="shared" si="216"/>
        <v>27000</v>
      </c>
      <c r="AC149" s="4">
        <f t="shared" si="216"/>
        <v>0</v>
      </c>
      <c r="AD149" s="105">
        <f t="shared" si="216"/>
        <v>1125</v>
      </c>
      <c r="AE149" s="75" t="str">
        <f t="shared" si="217"/>
        <v>계</v>
      </c>
      <c r="AF149" s="75" t="str">
        <f t="shared" si="218"/>
        <v>3/2</v>
      </c>
      <c r="AH149" s="20" t="str">
        <f t="shared" si="172"/>
        <v>자은동 협성DS이아이존빌</v>
      </c>
      <c r="AI149" s="106">
        <f t="shared" si="173"/>
        <v>24</v>
      </c>
      <c r="AJ149" s="75" t="str">
        <f t="shared" si="219"/>
        <v>A-</v>
      </c>
      <c r="AK149" s="75" t="s">
        <v>14</v>
      </c>
      <c r="AL149" s="75" t="s">
        <v>870</v>
      </c>
      <c r="AM149" s="75" t="s">
        <v>871</v>
      </c>
      <c r="AN149" s="75" t="str">
        <f t="shared" si="220"/>
        <v>C</v>
      </c>
      <c r="AO149" s="75" t="str">
        <f t="shared" si="221"/>
        <v>X</v>
      </c>
      <c r="AP149" s="75" t="str">
        <f t="shared" si="222"/>
        <v>O</v>
      </c>
      <c r="AQ149" s="75" t="str">
        <f t="shared" si="223"/>
        <v>X</v>
      </c>
      <c r="AR149" s="75" t="str">
        <f t="shared" si="224"/>
        <v>X</v>
      </c>
      <c r="AS149" s="75" t="s">
        <v>2</v>
      </c>
      <c r="AT149" s="75" t="str">
        <f t="shared" si="225"/>
        <v>O</v>
      </c>
      <c r="AU149" s="75" t="str">
        <f t="shared" si="226"/>
        <v>O</v>
      </c>
      <c r="AV149" s="75" t="str">
        <f t="shared" si="227"/>
        <v>X</v>
      </c>
    </row>
    <row r="150" spans="1:48" s="38" customFormat="1" ht="12" x14ac:dyDescent="0.3">
      <c r="A150" s="110" t="s">
        <v>1034</v>
      </c>
      <c r="B150" s="111" t="s">
        <v>1035</v>
      </c>
      <c r="C150" s="112">
        <v>433</v>
      </c>
      <c r="D150" s="104">
        <v>112.3</v>
      </c>
      <c r="E150" s="106">
        <v>34</v>
      </c>
      <c r="F150" s="104">
        <v>85</v>
      </c>
      <c r="G150" s="17">
        <v>26</v>
      </c>
      <c r="H150" s="107">
        <v>106</v>
      </c>
      <c r="I150" s="108">
        <v>37000</v>
      </c>
      <c r="J150" s="108" t="s">
        <v>868</v>
      </c>
      <c r="K150" s="108"/>
      <c r="L150" s="108"/>
      <c r="M150" s="109">
        <f t="shared" si="211"/>
        <v>37000</v>
      </c>
      <c r="N150" s="4">
        <f t="shared" si="212"/>
        <v>0</v>
      </c>
      <c r="O150" s="105">
        <f t="shared" si="213"/>
        <v>1088.2352941176471</v>
      </c>
      <c r="P150" s="105">
        <f t="shared" si="214"/>
        <v>0</v>
      </c>
      <c r="Q150" s="75">
        <v>3</v>
      </c>
      <c r="R150" s="75">
        <v>2</v>
      </c>
      <c r="S150" s="75" t="s">
        <v>869</v>
      </c>
      <c r="T150" s="5" t="s">
        <v>509</v>
      </c>
      <c r="U150" s="9"/>
      <c r="W150" s="104">
        <f t="shared" si="197"/>
        <v>112.3</v>
      </c>
      <c r="X150" s="106">
        <f t="shared" si="197"/>
        <v>34</v>
      </c>
      <c r="Y150" s="102">
        <f t="shared" si="198"/>
        <v>106</v>
      </c>
      <c r="Z150" s="109">
        <f t="shared" si="198"/>
        <v>37000</v>
      </c>
      <c r="AA150" s="109">
        <f t="shared" si="215"/>
        <v>0</v>
      </c>
      <c r="AB150" s="109">
        <f t="shared" si="216"/>
        <v>37000</v>
      </c>
      <c r="AC150" s="4">
        <f t="shared" si="216"/>
        <v>0</v>
      </c>
      <c r="AD150" s="105">
        <f t="shared" si="216"/>
        <v>1088.2352941176471</v>
      </c>
      <c r="AE150" s="75" t="str">
        <f t="shared" si="217"/>
        <v>계</v>
      </c>
      <c r="AF150" s="75" t="str">
        <f t="shared" si="218"/>
        <v>3/2</v>
      </c>
      <c r="AH150" s="20" t="str">
        <f t="shared" si="172"/>
        <v>자은동 협성DS이아이존빌</v>
      </c>
      <c r="AI150" s="106">
        <f t="shared" si="173"/>
        <v>34</v>
      </c>
      <c r="AJ150" s="75" t="str">
        <f t="shared" si="219"/>
        <v>A-</v>
      </c>
      <c r="AK150" s="75" t="s">
        <v>14</v>
      </c>
      <c r="AL150" s="75" t="s">
        <v>870</v>
      </c>
      <c r="AM150" s="75" t="s">
        <v>871</v>
      </c>
      <c r="AN150" s="75" t="str">
        <f t="shared" si="220"/>
        <v>C</v>
      </c>
      <c r="AO150" s="75" t="str">
        <f t="shared" si="221"/>
        <v>X</v>
      </c>
      <c r="AP150" s="75" t="str">
        <f t="shared" si="222"/>
        <v>O</v>
      </c>
      <c r="AQ150" s="75" t="str">
        <f t="shared" si="223"/>
        <v>X</v>
      </c>
      <c r="AR150" s="75" t="str">
        <f t="shared" si="224"/>
        <v>X</v>
      </c>
      <c r="AS150" s="75" t="s">
        <v>2</v>
      </c>
      <c r="AT150" s="75" t="str">
        <f t="shared" si="225"/>
        <v>O</v>
      </c>
      <c r="AU150" s="75" t="str">
        <f t="shared" si="226"/>
        <v>O</v>
      </c>
      <c r="AV150" s="75" t="str">
        <f t="shared" si="227"/>
        <v>X</v>
      </c>
    </row>
    <row r="151" spans="1:48" s="38" customFormat="1" ht="12" x14ac:dyDescent="0.3">
      <c r="A151" s="110" t="s">
        <v>1034</v>
      </c>
      <c r="B151" s="111" t="s">
        <v>1035</v>
      </c>
      <c r="C151" s="112">
        <v>433</v>
      </c>
      <c r="D151" s="104">
        <v>113.9</v>
      </c>
      <c r="E151" s="106">
        <v>34</v>
      </c>
      <c r="F151" s="104">
        <v>85</v>
      </c>
      <c r="G151" s="17">
        <v>26</v>
      </c>
      <c r="H151" s="107">
        <v>162</v>
      </c>
      <c r="I151" s="108">
        <v>37000</v>
      </c>
      <c r="J151" s="108" t="s">
        <v>868</v>
      </c>
      <c r="K151" s="108"/>
      <c r="L151" s="108"/>
      <c r="M151" s="109">
        <f t="shared" si="211"/>
        <v>37000</v>
      </c>
      <c r="N151" s="4">
        <f t="shared" si="212"/>
        <v>0</v>
      </c>
      <c r="O151" s="105">
        <f t="shared" si="213"/>
        <v>1088.2352941176471</v>
      </c>
      <c r="P151" s="105">
        <f t="shared" si="214"/>
        <v>0</v>
      </c>
      <c r="Q151" s="75">
        <v>3</v>
      </c>
      <c r="R151" s="75">
        <v>2</v>
      </c>
      <c r="S151" s="75" t="s">
        <v>869</v>
      </c>
      <c r="T151" s="5" t="s">
        <v>513</v>
      </c>
      <c r="U151" s="9"/>
      <c r="W151" s="104">
        <f t="shared" si="197"/>
        <v>113.9</v>
      </c>
      <c r="X151" s="106">
        <f t="shared" si="197"/>
        <v>34</v>
      </c>
      <c r="Y151" s="102">
        <f t="shared" si="198"/>
        <v>162</v>
      </c>
      <c r="Z151" s="109">
        <f t="shared" si="198"/>
        <v>37000</v>
      </c>
      <c r="AA151" s="109">
        <f t="shared" si="215"/>
        <v>0</v>
      </c>
      <c r="AB151" s="109">
        <f t="shared" si="216"/>
        <v>37000</v>
      </c>
      <c r="AC151" s="4">
        <f t="shared" si="216"/>
        <v>0</v>
      </c>
      <c r="AD151" s="105">
        <f t="shared" si="216"/>
        <v>1088.2352941176471</v>
      </c>
      <c r="AE151" s="75" t="str">
        <f t="shared" si="217"/>
        <v>계</v>
      </c>
      <c r="AF151" s="75" t="str">
        <f t="shared" si="218"/>
        <v>3/2</v>
      </c>
      <c r="AH151" s="20" t="str">
        <f t="shared" si="172"/>
        <v>자은동 협성DS이아이존빌</v>
      </c>
      <c r="AI151" s="106">
        <f t="shared" si="173"/>
        <v>34</v>
      </c>
      <c r="AJ151" s="75" t="str">
        <f t="shared" si="219"/>
        <v>A-</v>
      </c>
      <c r="AK151" s="75" t="s">
        <v>14</v>
      </c>
      <c r="AL151" s="75" t="s">
        <v>870</v>
      </c>
      <c r="AM151" s="75" t="s">
        <v>871</v>
      </c>
      <c r="AN151" s="75" t="str">
        <f t="shared" si="220"/>
        <v>C</v>
      </c>
      <c r="AO151" s="75" t="str">
        <f t="shared" si="221"/>
        <v>X</v>
      </c>
      <c r="AP151" s="75" t="str">
        <f t="shared" si="222"/>
        <v>O</v>
      </c>
      <c r="AQ151" s="75" t="str">
        <f t="shared" si="223"/>
        <v>X</v>
      </c>
      <c r="AR151" s="75" t="str">
        <f t="shared" si="224"/>
        <v>X</v>
      </c>
      <c r="AS151" s="75" t="s">
        <v>2</v>
      </c>
      <c r="AT151" s="75" t="str">
        <f t="shared" si="225"/>
        <v>O</v>
      </c>
      <c r="AU151" s="75" t="str">
        <f t="shared" si="226"/>
        <v>O</v>
      </c>
      <c r="AV151" s="75" t="str">
        <f t="shared" si="227"/>
        <v>X</v>
      </c>
    </row>
    <row r="152" spans="1:48" s="38" customFormat="1" ht="12" x14ac:dyDescent="0.3">
      <c r="A152" s="110" t="s">
        <v>1036</v>
      </c>
      <c r="B152" s="111" t="s">
        <v>953</v>
      </c>
      <c r="C152" s="112">
        <v>442</v>
      </c>
      <c r="D152" s="104">
        <v>99.7</v>
      </c>
      <c r="E152" s="106">
        <v>30</v>
      </c>
      <c r="F152" s="104">
        <v>74.2</v>
      </c>
      <c r="G152" s="17">
        <v>22</v>
      </c>
      <c r="H152" s="107">
        <v>58</v>
      </c>
      <c r="I152" s="108"/>
      <c r="J152" s="108"/>
      <c r="K152" s="108"/>
      <c r="L152" s="108"/>
      <c r="M152" s="109">
        <f t="shared" si="211"/>
        <v>0</v>
      </c>
      <c r="N152" s="4" t="str">
        <f t="shared" si="212"/>
        <v/>
      </c>
      <c r="O152" s="105">
        <f t="shared" si="213"/>
        <v>0</v>
      </c>
      <c r="P152" s="105">
        <f t="shared" si="214"/>
        <v>0</v>
      </c>
      <c r="Q152" s="75">
        <v>3</v>
      </c>
      <c r="R152" s="75">
        <v>2</v>
      </c>
      <c r="S152" s="75" t="s">
        <v>869</v>
      </c>
      <c r="T152" s="5">
        <v>99</v>
      </c>
      <c r="U152" s="9"/>
      <c r="W152" s="104">
        <f t="shared" ref="W152:X154" si="228">D152</f>
        <v>99.7</v>
      </c>
      <c r="X152" s="106">
        <f t="shared" si="228"/>
        <v>30</v>
      </c>
      <c r="Y152" s="102">
        <f t="shared" ref="Y152:Z154" si="229">H152</f>
        <v>58</v>
      </c>
      <c r="Z152" s="109">
        <f t="shared" si="229"/>
        <v>0</v>
      </c>
      <c r="AA152" s="109">
        <f t="shared" si="215"/>
        <v>0</v>
      </c>
      <c r="AB152" s="109">
        <f t="shared" si="216"/>
        <v>0</v>
      </c>
      <c r="AC152" s="4" t="str">
        <f t="shared" si="216"/>
        <v/>
      </c>
      <c r="AD152" s="105">
        <f t="shared" si="216"/>
        <v>0</v>
      </c>
      <c r="AE152" s="75" t="str">
        <f t="shared" si="217"/>
        <v>계</v>
      </c>
      <c r="AF152" s="75" t="str">
        <f t="shared" si="218"/>
        <v>3/2</v>
      </c>
      <c r="AH152" s="20" t="str">
        <f t="shared" si="172"/>
        <v>자은동 자은더샵</v>
      </c>
      <c r="AI152" s="106">
        <f t="shared" si="173"/>
        <v>30</v>
      </c>
      <c r="AJ152" s="75" t="str">
        <f t="shared" si="219"/>
        <v>A-</v>
      </c>
      <c r="AK152" s="75" t="s">
        <v>14</v>
      </c>
      <c r="AL152" s="75" t="s">
        <v>870</v>
      </c>
      <c r="AM152" s="75" t="s">
        <v>871</v>
      </c>
      <c r="AN152" s="75" t="str">
        <f t="shared" si="220"/>
        <v>C</v>
      </c>
      <c r="AO152" s="75" t="str">
        <f t="shared" si="221"/>
        <v/>
      </c>
      <c r="AP152" s="75" t="str">
        <f t="shared" si="222"/>
        <v/>
      </c>
      <c r="AQ152" s="75" t="str">
        <f t="shared" si="223"/>
        <v>O</v>
      </c>
      <c r="AR152" s="75" t="str">
        <f t="shared" si="224"/>
        <v>O</v>
      </c>
      <c r="AS152" s="75" t="s">
        <v>2</v>
      </c>
      <c r="AT152" s="75" t="str">
        <f t="shared" si="225"/>
        <v>O</v>
      </c>
      <c r="AU152" s="75" t="str">
        <f t="shared" si="226"/>
        <v>O</v>
      </c>
      <c r="AV152" s="75" t="str">
        <f t="shared" si="227"/>
        <v/>
      </c>
    </row>
    <row r="153" spans="1:48" s="38" customFormat="1" ht="12" x14ac:dyDescent="0.3">
      <c r="A153" s="110" t="s">
        <v>1036</v>
      </c>
      <c r="B153" s="111" t="s">
        <v>953</v>
      </c>
      <c r="C153" s="112">
        <v>442</v>
      </c>
      <c r="D153" s="104">
        <v>110.1</v>
      </c>
      <c r="E153" s="106">
        <v>33</v>
      </c>
      <c r="F153" s="104">
        <v>84.4</v>
      </c>
      <c r="G153" s="17">
        <v>26</v>
      </c>
      <c r="H153" s="107">
        <v>326</v>
      </c>
      <c r="I153" s="108">
        <v>25000</v>
      </c>
      <c r="J153" s="108" t="s">
        <v>868</v>
      </c>
      <c r="K153" s="108"/>
      <c r="L153" s="108"/>
      <c r="M153" s="109">
        <f t="shared" si="211"/>
        <v>25000</v>
      </c>
      <c r="N153" s="4">
        <f t="shared" si="212"/>
        <v>0</v>
      </c>
      <c r="O153" s="105">
        <f t="shared" si="213"/>
        <v>757.57575757575762</v>
      </c>
      <c r="P153" s="105">
        <f t="shared" si="214"/>
        <v>0</v>
      </c>
      <c r="Q153" s="75">
        <v>3</v>
      </c>
      <c r="R153" s="75">
        <v>2</v>
      </c>
      <c r="S153" s="75" t="s">
        <v>869</v>
      </c>
      <c r="T153" s="5">
        <v>110</v>
      </c>
      <c r="U153" s="9"/>
      <c r="W153" s="104">
        <f t="shared" si="228"/>
        <v>110.1</v>
      </c>
      <c r="X153" s="106">
        <f t="shared" si="228"/>
        <v>33</v>
      </c>
      <c r="Y153" s="102">
        <f t="shared" si="229"/>
        <v>326</v>
      </c>
      <c r="Z153" s="109">
        <f t="shared" si="229"/>
        <v>25000</v>
      </c>
      <c r="AA153" s="109">
        <f t="shared" si="215"/>
        <v>0</v>
      </c>
      <c r="AB153" s="109">
        <f t="shared" si="216"/>
        <v>25000</v>
      </c>
      <c r="AC153" s="4">
        <f t="shared" si="216"/>
        <v>0</v>
      </c>
      <c r="AD153" s="105">
        <f t="shared" si="216"/>
        <v>757.57575757575762</v>
      </c>
      <c r="AE153" s="75" t="str">
        <f t="shared" si="217"/>
        <v>계</v>
      </c>
      <c r="AF153" s="75" t="str">
        <f t="shared" si="218"/>
        <v>3/2</v>
      </c>
      <c r="AH153" s="20" t="str">
        <f t="shared" si="172"/>
        <v>자은동 자은더샵</v>
      </c>
      <c r="AI153" s="106">
        <f t="shared" si="173"/>
        <v>33</v>
      </c>
      <c r="AJ153" s="75" t="str">
        <f t="shared" si="219"/>
        <v>A-</v>
      </c>
      <c r="AK153" s="75" t="s">
        <v>14</v>
      </c>
      <c r="AL153" s="75" t="s">
        <v>870</v>
      </c>
      <c r="AM153" s="75" t="s">
        <v>871</v>
      </c>
      <c r="AN153" s="75" t="str">
        <f t="shared" si="220"/>
        <v>C</v>
      </c>
      <c r="AO153" s="75" t="str">
        <f t="shared" si="221"/>
        <v>X</v>
      </c>
      <c r="AP153" s="75" t="str">
        <f t="shared" si="222"/>
        <v>O</v>
      </c>
      <c r="AQ153" s="75" t="str">
        <f t="shared" si="223"/>
        <v>O</v>
      </c>
      <c r="AR153" s="75" t="str">
        <f t="shared" si="224"/>
        <v>X</v>
      </c>
      <c r="AS153" s="75" t="s">
        <v>2</v>
      </c>
      <c r="AT153" s="75" t="str">
        <f t="shared" si="225"/>
        <v>O</v>
      </c>
      <c r="AU153" s="75" t="str">
        <f t="shared" si="226"/>
        <v>O</v>
      </c>
      <c r="AV153" s="75" t="str">
        <f t="shared" si="227"/>
        <v>X</v>
      </c>
    </row>
    <row r="154" spans="1:48" s="38" customFormat="1" ht="12" x14ac:dyDescent="0.3">
      <c r="A154" s="110" t="s">
        <v>1036</v>
      </c>
      <c r="B154" s="111" t="s">
        <v>953</v>
      </c>
      <c r="C154" s="112">
        <v>442</v>
      </c>
      <c r="D154" s="104">
        <v>147.80000000000001</v>
      </c>
      <c r="E154" s="106">
        <v>45</v>
      </c>
      <c r="F154" s="104">
        <v>123.2</v>
      </c>
      <c r="G154" s="17">
        <v>37</v>
      </c>
      <c r="H154" s="107">
        <v>58</v>
      </c>
      <c r="I154" s="108">
        <v>35500</v>
      </c>
      <c r="J154" s="108" t="s">
        <v>883</v>
      </c>
      <c r="K154" s="108"/>
      <c r="L154" s="108"/>
      <c r="M154" s="109">
        <f t="shared" si="211"/>
        <v>35500</v>
      </c>
      <c r="N154" s="4">
        <f t="shared" si="212"/>
        <v>0</v>
      </c>
      <c r="O154" s="105">
        <f t="shared" si="213"/>
        <v>788.88888888888891</v>
      </c>
      <c r="P154" s="105">
        <f t="shared" si="214"/>
        <v>0</v>
      </c>
      <c r="Q154" s="75">
        <v>4</v>
      </c>
      <c r="R154" s="75">
        <v>2</v>
      </c>
      <c r="S154" s="75" t="s">
        <v>869</v>
      </c>
      <c r="T154" s="5">
        <v>147</v>
      </c>
      <c r="U154" s="9"/>
      <c r="W154" s="104">
        <f t="shared" si="228"/>
        <v>147.80000000000001</v>
      </c>
      <c r="X154" s="106">
        <f t="shared" si="228"/>
        <v>45</v>
      </c>
      <c r="Y154" s="102">
        <f t="shared" si="229"/>
        <v>58</v>
      </c>
      <c r="Z154" s="109">
        <f t="shared" si="229"/>
        <v>35500</v>
      </c>
      <c r="AA154" s="109">
        <f t="shared" si="215"/>
        <v>0</v>
      </c>
      <c r="AB154" s="109">
        <f t="shared" si="216"/>
        <v>35500</v>
      </c>
      <c r="AC154" s="4">
        <f t="shared" si="216"/>
        <v>0</v>
      </c>
      <c r="AD154" s="105">
        <f t="shared" si="216"/>
        <v>788.88888888888891</v>
      </c>
      <c r="AE154" s="75" t="str">
        <f t="shared" si="217"/>
        <v>계</v>
      </c>
      <c r="AF154" s="75" t="str">
        <f t="shared" si="218"/>
        <v>4/2</v>
      </c>
      <c r="AH154" s="20" t="str">
        <f t="shared" si="172"/>
        <v>자은동 자은더샵</v>
      </c>
      <c r="AI154" s="106">
        <f t="shared" si="173"/>
        <v>45</v>
      </c>
      <c r="AJ154" s="75" t="str">
        <f t="shared" si="219"/>
        <v>A-</v>
      </c>
      <c r="AK154" s="75" t="s">
        <v>14</v>
      </c>
      <c r="AL154" s="75" t="s">
        <v>870</v>
      </c>
      <c r="AM154" s="75" t="s">
        <v>871</v>
      </c>
      <c r="AN154" s="75" t="str">
        <f t="shared" si="220"/>
        <v>C</v>
      </c>
      <c r="AO154" s="75" t="str">
        <f t="shared" si="221"/>
        <v>X</v>
      </c>
      <c r="AP154" s="75" t="str">
        <f t="shared" si="222"/>
        <v>O</v>
      </c>
      <c r="AQ154" s="75" t="str">
        <f t="shared" si="223"/>
        <v>O</v>
      </c>
      <c r="AR154" s="75" t="str">
        <f t="shared" si="224"/>
        <v>X</v>
      </c>
      <c r="AS154" s="75" t="s">
        <v>2</v>
      </c>
      <c r="AT154" s="75" t="str">
        <f t="shared" si="225"/>
        <v>X</v>
      </c>
      <c r="AU154" s="75" t="str">
        <f t="shared" si="226"/>
        <v>O</v>
      </c>
      <c r="AV154" s="75" t="str">
        <f t="shared" si="227"/>
        <v>X</v>
      </c>
    </row>
    <row r="155" spans="1:48" s="38" customFormat="1" ht="12" x14ac:dyDescent="0.3">
      <c r="A155" s="110" t="s">
        <v>1037</v>
      </c>
      <c r="B155" s="111" t="s">
        <v>942</v>
      </c>
      <c r="C155" s="112">
        <v>767</v>
      </c>
      <c r="D155" s="104">
        <v>100.9</v>
      </c>
      <c r="E155" s="106">
        <v>31</v>
      </c>
      <c r="F155" s="104">
        <v>76.2</v>
      </c>
      <c r="G155" s="17">
        <v>23</v>
      </c>
      <c r="H155" s="107">
        <v>212</v>
      </c>
      <c r="I155" s="108">
        <v>40500</v>
      </c>
      <c r="J155" s="108" t="s">
        <v>873</v>
      </c>
      <c r="K155" s="108">
        <v>32000</v>
      </c>
      <c r="L155" s="108" t="s">
        <v>921</v>
      </c>
      <c r="M155" s="109">
        <f t="shared" si="211"/>
        <v>8500</v>
      </c>
      <c r="N155" s="4">
        <f t="shared" si="212"/>
        <v>0.79012345679012341</v>
      </c>
      <c r="O155" s="105">
        <f t="shared" si="213"/>
        <v>1306.4516129032259</v>
      </c>
      <c r="P155" s="105">
        <f t="shared" si="214"/>
        <v>1032.258064516129</v>
      </c>
      <c r="Q155" s="75">
        <v>3</v>
      </c>
      <c r="R155" s="75">
        <v>2</v>
      </c>
      <c r="S155" s="75" t="s">
        <v>869</v>
      </c>
      <c r="T155" s="5">
        <v>100</v>
      </c>
      <c r="U155" s="9"/>
      <c r="W155" s="104">
        <f t="shared" ref="W155:X158" si="230">D155</f>
        <v>100.9</v>
      </c>
      <c r="X155" s="106">
        <f t="shared" si="230"/>
        <v>31</v>
      </c>
      <c r="Y155" s="102">
        <f t="shared" ref="Y155:Z158" si="231">H155</f>
        <v>212</v>
      </c>
      <c r="Z155" s="109">
        <f t="shared" si="231"/>
        <v>40500</v>
      </c>
      <c r="AA155" s="109">
        <f t="shared" si="215"/>
        <v>32000</v>
      </c>
      <c r="AB155" s="109">
        <f t="shared" si="216"/>
        <v>8500</v>
      </c>
      <c r="AC155" s="4">
        <f t="shared" si="216"/>
        <v>0.79012345679012341</v>
      </c>
      <c r="AD155" s="105">
        <f t="shared" si="216"/>
        <v>1306.4516129032259</v>
      </c>
      <c r="AE155" s="75" t="str">
        <f t="shared" si="217"/>
        <v>계</v>
      </c>
      <c r="AF155" s="75" t="str">
        <f t="shared" si="218"/>
        <v>3/2</v>
      </c>
      <c r="AH155" s="20" t="str">
        <f t="shared" si="172"/>
        <v>자은동 자은중흥S-클래스</v>
      </c>
      <c r="AI155" s="106">
        <f t="shared" si="173"/>
        <v>31</v>
      </c>
      <c r="AJ155" s="75" t="str">
        <f t="shared" si="219"/>
        <v>A-</v>
      </c>
      <c r="AK155" s="75" t="s">
        <v>14</v>
      </c>
      <c r="AL155" s="75" t="s">
        <v>870</v>
      </c>
      <c r="AM155" s="75" t="s">
        <v>871</v>
      </c>
      <c r="AN155" s="75" t="str">
        <f t="shared" si="220"/>
        <v>C</v>
      </c>
      <c r="AO155" s="75" t="str">
        <f t="shared" si="221"/>
        <v>X</v>
      </c>
      <c r="AP155" s="75" t="str">
        <f t="shared" si="222"/>
        <v>O</v>
      </c>
      <c r="AQ155" s="75" t="str">
        <f t="shared" si="223"/>
        <v>X</v>
      </c>
      <c r="AR155" s="75" t="str">
        <f t="shared" si="224"/>
        <v>X</v>
      </c>
      <c r="AS155" s="75" t="s">
        <v>2</v>
      </c>
      <c r="AT155" s="75" t="str">
        <f t="shared" si="225"/>
        <v>O</v>
      </c>
      <c r="AU155" s="75" t="str">
        <f t="shared" si="226"/>
        <v>O</v>
      </c>
      <c r="AV155" s="75" t="str">
        <f t="shared" si="227"/>
        <v>X</v>
      </c>
    </row>
    <row r="156" spans="1:48" s="38" customFormat="1" ht="12" x14ac:dyDescent="0.3">
      <c r="A156" s="110" t="s">
        <v>1037</v>
      </c>
      <c r="B156" s="111" t="s">
        <v>942</v>
      </c>
      <c r="C156" s="112">
        <v>767</v>
      </c>
      <c r="D156" s="104">
        <v>112.4</v>
      </c>
      <c r="E156" s="106">
        <v>34</v>
      </c>
      <c r="F156" s="104">
        <v>84.9</v>
      </c>
      <c r="G156" s="17">
        <v>26</v>
      </c>
      <c r="H156" s="107">
        <v>555</v>
      </c>
      <c r="I156" s="108">
        <v>42000</v>
      </c>
      <c r="J156" s="108" t="s">
        <v>868</v>
      </c>
      <c r="K156" s="108">
        <v>35000</v>
      </c>
      <c r="L156" s="108" t="s">
        <v>907</v>
      </c>
      <c r="M156" s="109">
        <f t="shared" si="211"/>
        <v>7000</v>
      </c>
      <c r="N156" s="4">
        <f t="shared" si="212"/>
        <v>0.83333333333333337</v>
      </c>
      <c r="O156" s="105">
        <f t="shared" si="213"/>
        <v>1235.2941176470588</v>
      </c>
      <c r="P156" s="105">
        <f t="shared" si="214"/>
        <v>1029.4117647058824</v>
      </c>
      <c r="Q156" s="75">
        <v>3</v>
      </c>
      <c r="R156" s="75">
        <v>2</v>
      </c>
      <c r="S156" s="75" t="s">
        <v>869</v>
      </c>
      <c r="T156" s="5">
        <v>112</v>
      </c>
      <c r="U156" s="9"/>
      <c r="W156" s="104">
        <f t="shared" si="230"/>
        <v>112.4</v>
      </c>
      <c r="X156" s="106">
        <f t="shared" si="230"/>
        <v>34</v>
      </c>
      <c r="Y156" s="102">
        <f t="shared" si="231"/>
        <v>555</v>
      </c>
      <c r="Z156" s="109">
        <f t="shared" si="231"/>
        <v>42000</v>
      </c>
      <c r="AA156" s="109">
        <f t="shared" si="215"/>
        <v>35000</v>
      </c>
      <c r="AB156" s="109">
        <f t="shared" si="216"/>
        <v>7000</v>
      </c>
      <c r="AC156" s="4">
        <f t="shared" si="216"/>
        <v>0.83333333333333337</v>
      </c>
      <c r="AD156" s="105">
        <f t="shared" si="216"/>
        <v>1235.2941176470588</v>
      </c>
      <c r="AE156" s="75" t="str">
        <f t="shared" si="217"/>
        <v>계</v>
      </c>
      <c r="AF156" s="75" t="str">
        <f t="shared" si="218"/>
        <v>3/2</v>
      </c>
      <c r="AH156" s="20" t="str">
        <f t="shared" si="172"/>
        <v>자은동 자은중흥S-클래스</v>
      </c>
      <c r="AI156" s="106">
        <f t="shared" si="173"/>
        <v>34</v>
      </c>
      <c r="AJ156" s="75" t="str">
        <f t="shared" si="219"/>
        <v>A-</v>
      </c>
      <c r="AK156" s="75" t="s">
        <v>14</v>
      </c>
      <c r="AL156" s="75" t="s">
        <v>870</v>
      </c>
      <c r="AM156" s="75" t="s">
        <v>871</v>
      </c>
      <c r="AN156" s="75" t="str">
        <f t="shared" si="220"/>
        <v>C</v>
      </c>
      <c r="AO156" s="75" t="str">
        <f t="shared" si="221"/>
        <v>O</v>
      </c>
      <c r="AP156" s="75" t="str">
        <f t="shared" si="222"/>
        <v>O</v>
      </c>
      <c r="AQ156" s="75" t="str">
        <f t="shared" si="223"/>
        <v>X</v>
      </c>
      <c r="AR156" s="75" t="str">
        <f t="shared" si="224"/>
        <v>X</v>
      </c>
      <c r="AS156" s="75" t="s">
        <v>2</v>
      </c>
      <c r="AT156" s="75" t="str">
        <f t="shared" si="225"/>
        <v>O</v>
      </c>
      <c r="AU156" s="75" t="str">
        <f t="shared" si="226"/>
        <v>O</v>
      </c>
      <c r="AV156" s="75" t="str">
        <f t="shared" si="227"/>
        <v>X</v>
      </c>
    </row>
    <row r="157" spans="1:48" s="38" customFormat="1" ht="12" x14ac:dyDescent="0.3">
      <c r="A157" s="110" t="s">
        <v>1038</v>
      </c>
      <c r="B157" s="111" t="s">
        <v>1039</v>
      </c>
      <c r="C157" s="112">
        <v>370</v>
      </c>
      <c r="D157" s="104">
        <v>68.5</v>
      </c>
      <c r="E157" s="106">
        <v>21</v>
      </c>
      <c r="F157" s="104">
        <v>49.1</v>
      </c>
      <c r="G157" s="17">
        <v>15</v>
      </c>
      <c r="H157" s="107">
        <v>100</v>
      </c>
      <c r="I157" s="108">
        <v>11000</v>
      </c>
      <c r="J157" s="108" t="s">
        <v>914</v>
      </c>
      <c r="K157" s="108"/>
      <c r="L157" s="108"/>
      <c r="M157" s="109">
        <f t="shared" si="211"/>
        <v>11000</v>
      </c>
      <c r="N157" s="4">
        <f t="shared" si="212"/>
        <v>0</v>
      </c>
      <c r="O157" s="105">
        <f t="shared" si="213"/>
        <v>523.80952380952385</v>
      </c>
      <c r="P157" s="105">
        <f t="shared" si="214"/>
        <v>0</v>
      </c>
      <c r="Q157" s="75">
        <v>2</v>
      </c>
      <c r="R157" s="75">
        <v>1</v>
      </c>
      <c r="S157" s="75" t="s">
        <v>869</v>
      </c>
      <c r="T157" s="5">
        <v>68</v>
      </c>
      <c r="U157" s="9"/>
      <c r="W157" s="104">
        <f t="shared" si="230"/>
        <v>68.5</v>
      </c>
      <c r="X157" s="106">
        <f t="shared" si="230"/>
        <v>21</v>
      </c>
      <c r="Y157" s="102">
        <f t="shared" si="231"/>
        <v>100</v>
      </c>
      <c r="Z157" s="109">
        <f t="shared" si="231"/>
        <v>11000</v>
      </c>
      <c r="AA157" s="109">
        <f t="shared" si="215"/>
        <v>0</v>
      </c>
      <c r="AB157" s="109">
        <f t="shared" si="216"/>
        <v>11000</v>
      </c>
      <c r="AC157" s="4">
        <f t="shared" si="216"/>
        <v>0</v>
      </c>
      <c r="AD157" s="105">
        <f t="shared" si="216"/>
        <v>523.80952380952385</v>
      </c>
      <c r="AE157" s="75" t="str">
        <f t="shared" si="217"/>
        <v>계</v>
      </c>
      <c r="AF157" s="75" t="str">
        <f t="shared" si="218"/>
        <v>2/1</v>
      </c>
      <c r="AH157" s="20" t="str">
        <f t="shared" si="172"/>
        <v>자은동 삼성</v>
      </c>
      <c r="AI157" s="106">
        <f t="shared" si="173"/>
        <v>21</v>
      </c>
      <c r="AJ157" s="75" t="str">
        <f t="shared" si="219"/>
        <v>A-</v>
      </c>
      <c r="AK157" s="75" t="s">
        <v>14</v>
      </c>
      <c r="AL157" s="75" t="s">
        <v>870</v>
      </c>
      <c r="AM157" s="75" t="s">
        <v>871</v>
      </c>
      <c r="AN157" s="75" t="str">
        <f t="shared" si="220"/>
        <v>C</v>
      </c>
      <c r="AO157" s="75" t="str">
        <f t="shared" si="221"/>
        <v>X</v>
      </c>
      <c r="AP157" s="75" t="str">
        <f t="shared" si="222"/>
        <v>O</v>
      </c>
      <c r="AQ157" s="75" t="str">
        <f t="shared" si="223"/>
        <v>O</v>
      </c>
      <c r="AR157" s="75" t="str">
        <f t="shared" si="224"/>
        <v>X</v>
      </c>
      <c r="AS157" s="75" t="s">
        <v>2</v>
      </c>
      <c r="AT157" s="75" t="str">
        <f t="shared" si="225"/>
        <v>O</v>
      </c>
      <c r="AU157" s="75" t="str">
        <f t="shared" si="226"/>
        <v>O</v>
      </c>
      <c r="AV157" s="75" t="str">
        <f t="shared" si="227"/>
        <v>X</v>
      </c>
    </row>
    <row r="158" spans="1:48" s="38" customFormat="1" ht="12" x14ac:dyDescent="0.3">
      <c r="A158" s="110" t="s">
        <v>1038</v>
      </c>
      <c r="B158" s="111" t="s">
        <v>1039</v>
      </c>
      <c r="C158" s="112">
        <v>370</v>
      </c>
      <c r="D158" s="104">
        <v>81.5</v>
      </c>
      <c r="E158" s="106">
        <v>25</v>
      </c>
      <c r="F158" s="104">
        <v>59.9</v>
      </c>
      <c r="G158" s="17">
        <v>18</v>
      </c>
      <c r="H158" s="107">
        <v>270</v>
      </c>
      <c r="I158" s="108">
        <v>13600</v>
      </c>
      <c r="J158" s="108" t="s">
        <v>883</v>
      </c>
      <c r="K158" s="108"/>
      <c r="L158" s="108"/>
      <c r="M158" s="109">
        <f t="shared" si="211"/>
        <v>13600</v>
      </c>
      <c r="N158" s="4">
        <f t="shared" si="212"/>
        <v>0</v>
      </c>
      <c r="O158" s="105">
        <f t="shared" si="213"/>
        <v>544</v>
      </c>
      <c r="P158" s="105">
        <f t="shared" si="214"/>
        <v>0</v>
      </c>
      <c r="Q158" s="75">
        <v>3</v>
      </c>
      <c r="R158" s="75">
        <v>1</v>
      </c>
      <c r="S158" s="75" t="s">
        <v>869</v>
      </c>
      <c r="T158" s="5">
        <v>81</v>
      </c>
      <c r="U158" s="9"/>
      <c r="W158" s="104">
        <f t="shared" si="230"/>
        <v>81.5</v>
      </c>
      <c r="X158" s="106">
        <f t="shared" si="230"/>
        <v>25</v>
      </c>
      <c r="Y158" s="102">
        <f t="shared" si="231"/>
        <v>270</v>
      </c>
      <c r="Z158" s="109">
        <f t="shared" si="231"/>
        <v>13600</v>
      </c>
      <c r="AA158" s="109">
        <f t="shared" si="215"/>
        <v>0</v>
      </c>
      <c r="AB158" s="109">
        <f t="shared" si="216"/>
        <v>13600</v>
      </c>
      <c r="AC158" s="4">
        <f t="shared" si="216"/>
        <v>0</v>
      </c>
      <c r="AD158" s="105">
        <f t="shared" si="216"/>
        <v>544</v>
      </c>
      <c r="AE158" s="75" t="str">
        <f t="shared" si="217"/>
        <v>계</v>
      </c>
      <c r="AF158" s="75" t="str">
        <f t="shared" si="218"/>
        <v>3/1</v>
      </c>
      <c r="AH158" s="20" t="str">
        <f t="shared" si="172"/>
        <v>자은동 삼성</v>
      </c>
      <c r="AI158" s="106">
        <f t="shared" si="173"/>
        <v>25</v>
      </c>
      <c r="AJ158" s="75" t="str">
        <f t="shared" si="219"/>
        <v>A-</v>
      </c>
      <c r="AK158" s="75" t="s">
        <v>14</v>
      </c>
      <c r="AL158" s="75" t="s">
        <v>870</v>
      </c>
      <c r="AM158" s="75" t="s">
        <v>871</v>
      </c>
      <c r="AN158" s="75" t="str">
        <f t="shared" si="220"/>
        <v>C</v>
      </c>
      <c r="AO158" s="75" t="str">
        <f t="shared" si="221"/>
        <v>X</v>
      </c>
      <c r="AP158" s="75" t="str">
        <f t="shared" si="222"/>
        <v>O</v>
      </c>
      <c r="AQ158" s="75" t="str">
        <f t="shared" si="223"/>
        <v>O</v>
      </c>
      <c r="AR158" s="75" t="str">
        <f t="shared" si="224"/>
        <v>X</v>
      </c>
      <c r="AS158" s="75" t="s">
        <v>2</v>
      </c>
      <c r="AT158" s="75" t="str">
        <f t="shared" si="225"/>
        <v>O</v>
      </c>
      <c r="AU158" s="75" t="str">
        <f t="shared" si="226"/>
        <v>O</v>
      </c>
      <c r="AV158" s="75" t="str">
        <f t="shared" si="227"/>
        <v>X</v>
      </c>
    </row>
    <row r="159" spans="1:48" s="38" customFormat="1" ht="24" x14ac:dyDescent="0.3">
      <c r="A159" s="110" t="s">
        <v>1040</v>
      </c>
      <c r="B159" s="111" t="s">
        <v>1041</v>
      </c>
      <c r="C159" s="112">
        <v>684</v>
      </c>
      <c r="D159" s="104">
        <v>89.7</v>
      </c>
      <c r="E159" s="106">
        <v>27</v>
      </c>
      <c r="F159" s="104">
        <v>69.8</v>
      </c>
      <c r="G159" s="17">
        <v>21</v>
      </c>
      <c r="H159" s="107">
        <v>101</v>
      </c>
      <c r="I159" s="108">
        <v>31500</v>
      </c>
      <c r="J159" s="108" t="s">
        <v>868</v>
      </c>
      <c r="K159" s="108"/>
      <c r="L159" s="108"/>
      <c r="M159" s="109">
        <f t="shared" ref="M159:M174" si="232">I159-K159</f>
        <v>31500</v>
      </c>
      <c r="N159" s="4">
        <f t="shared" ref="N159:N174" si="233">IF(ISERROR(K159/I159),"",K159/I159)</f>
        <v>0</v>
      </c>
      <c r="O159" s="105">
        <f t="shared" ref="O159:O174" si="234">I159/E159</f>
        <v>1166.6666666666667</v>
      </c>
      <c r="P159" s="105">
        <f t="shared" ref="P159:P174" si="235">K159/E159</f>
        <v>0</v>
      </c>
      <c r="Q159" s="75">
        <v>3</v>
      </c>
      <c r="R159" s="75">
        <v>2</v>
      </c>
      <c r="S159" s="75" t="s">
        <v>869</v>
      </c>
      <c r="T159" s="5" t="s">
        <v>673</v>
      </c>
      <c r="U159" s="9"/>
      <c r="W159" s="104">
        <f t="shared" ref="W159:X174" si="236">D159</f>
        <v>89.7</v>
      </c>
      <c r="X159" s="106">
        <f t="shared" si="236"/>
        <v>27</v>
      </c>
      <c r="Y159" s="102">
        <f t="shared" ref="Y159:Z174" si="237">H159</f>
        <v>101</v>
      </c>
      <c r="Z159" s="109">
        <f t="shared" si="237"/>
        <v>31500</v>
      </c>
      <c r="AA159" s="109">
        <f t="shared" ref="AA159:AA174" si="238">K159</f>
        <v>0</v>
      </c>
      <c r="AB159" s="109">
        <f t="shared" si="216"/>
        <v>31500</v>
      </c>
      <c r="AC159" s="4">
        <f t="shared" si="216"/>
        <v>0</v>
      </c>
      <c r="AD159" s="105">
        <f t="shared" si="216"/>
        <v>1166.6666666666667</v>
      </c>
      <c r="AE159" s="75" t="str">
        <f t="shared" ref="AE159:AE174" si="239">S159</f>
        <v>계</v>
      </c>
      <c r="AF159" s="75" t="str">
        <f t="shared" ref="AF159:AF174" si="240">Q159&amp;"/"&amp;R159</f>
        <v>3/2</v>
      </c>
      <c r="AH159" s="20" t="str">
        <f t="shared" si="172"/>
        <v>장천동 창원한신휴플러스오션파크</v>
      </c>
      <c r="AI159" s="106">
        <f t="shared" si="173"/>
        <v>27</v>
      </c>
      <c r="AJ159" s="75" t="str">
        <f t="shared" ref="AJ159:AJ174" si="241">IF(AI159="","",$AJ$2)</f>
        <v>A-</v>
      </c>
      <c r="AK159" s="75" t="s">
        <v>14</v>
      </c>
      <c r="AL159" s="75" t="s">
        <v>870</v>
      </c>
      <c r="AM159" s="75" t="s">
        <v>871</v>
      </c>
      <c r="AN159" s="75" t="str">
        <f t="shared" ref="AN159:AN174" si="242">IF(AI159="","",$AN$2)</f>
        <v>C</v>
      </c>
      <c r="AO159" s="75" t="str">
        <f t="shared" ref="AO159:AO174" si="243">IF(N159="","",IF(N159&gt;=$AO$1/100,"O","X"))</f>
        <v>X</v>
      </c>
      <c r="AP159" s="75" t="str">
        <f t="shared" ref="AP159:AP174" si="244">IF(I159="","",IF(I159&lt;=$AP$1,"O","X"))</f>
        <v>O</v>
      </c>
      <c r="AQ159" s="75" t="str">
        <f t="shared" ref="AQ159:AQ174" si="245">IF(O159="","",IF(O159&lt;=$AQ$1,"O","X"))</f>
        <v>X</v>
      </c>
      <c r="AR159" s="75" t="str">
        <f t="shared" ref="AR159:AR174" si="246">IF(M159="","",IF(M159&lt;=$AR$1,"O","X"))</f>
        <v>X</v>
      </c>
      <c r="AS159" s="75" t="s">
        <v>2</v>
      </c>
      <c r="AT159" s="75" t="str">
        <f t="shared" ref="AT159:AT174" si="247">IF(OR(F159="",AI159=""),"",IF(AND((F159&lt;=85),(AI159&gt;=15)),"O","X"))</f>
        <v>O</v>
      </c>
      <c r="AU159" s="75" t="str">
        <f t="shared" ref="AU159:AU174" si="248">IF(C159="","",IF(C159&gt;=$AU$1,"O","X"))</f>
        <v>O</v>
      </c>
      <c r="AV159" s="75" t="str">
        <f t="shared" ref="AV159:AV174" si="249">IF(AO159="","",IF(AND(AO159="O",AP159="O",AR159="O",AT159="O",AU159="O"),"후보","X"))</f>
        <v>X</v>
      </c>
    </row>
    <row r="160" spans="1:48" s="38" customFormat="1" ht="24" x14ac:dyDescent="0.3">
      <c r="A160" s="110" t="s">
        <v>1040</v>
      </c>
      <c r="B160" s="111" t="s">
        <v>1041</v>
      </c>
      <c r="C160" s="112">
        <v>684</v>
      </c>
      <c r="D160" s="104">
        <v>90.6</v>
      </c>
      <c r="E160" s="106">
        <v>27</v>
      </c>
      <c r="F160" s="104">
        <v>69.900000000000006</v>
      </c>
      <c r="G160" s="17">
        <v>21</v>
      </c>
      <c r="H160" s="107">
        <v>160</v>
      </c>
      <c r="I160" s="108">
        <v>33000</v>
      </c>
      <c r="J160" s="108" t="s">
        <v>868</v>
      </c>
      <c r="K160" s="108"/>
      <c r="L160" s="108"/>
      <c r="M160" s="109">
        <f t="shared" si="232"/>
        <v>33000</v>
      </c>
      <c r="N160" s="4">
        <f t="shared" si="233"/>
        <v>0</v>
      </c>
      <c r="O160" s="105">
        <f t="shared" si="234"/>
        <v>1222.2222222222222</v>
      </c>
      <c r="P160" s="105">
        <f t="shared" si="235"/>
        <v>0</v>
      </c>
      <c r="Q160" s="75">
        <v>3</v>
      </c>
      <c r="R160" s="75">
        <v>2</v>
      </c>
      <c r="S160" s="75" t="s">
        <v>869</v>
      </c>
      <c r="T160" s="5" t="s">
        <v>678</v>
      </c>
      <c r="U160" s="9"/>
      <c r="W160" s="104">
        <f t="shared" si="236"/>
        <v>90.6</v>
      </c>
      <c r="X160" s="106">
        <f t="shared" si="236"/>
        <v>27</v>
      </c>
      <c r="Y160" s="102">
        <f t="shared" si="237"/>
        <v>160</v>
      </c>
      <c r="Z160" s="109">
        <f t="shared" si="237"/>
        <v>33000</v>
      </c>
      <c r="AA160" s="109">
        <f t="shared" si="238"/>
        <v>0</v>
      </c>
      <c r="AB160" s="109">
        <f t="shared" ref="AB160:AD175" si="250">M160</f>
        <v>33000</v>
      </c>
      <c r="AC160" s="4">
        <f t="shared" si="250"/>
        <v>0</v>
      </c>
      <c r="AD160" s="105">
        <f t="shared" si="250"/>
        <v>1222.2222222222222</v>
      </c>
      <c r="AE160" s="75" t="str">
        <f t="shared" si="239"/>
        <v>계</v>
      </c>
      <c r="AF160" s="75" t="str">
        <f t="shared" si="240"/>
        <v>3/2</v>
      </c>
      <c r="AH160" s="20" t="str">
        <f t="shared" si="172"/>
        <v>장천동 창원한신휴플러스오션파크</v>
      </c>
      <c r="AI160" s="106">
        <f t="shared" si="173"/>
        <v>27</v>
      </c>
      <c r="AJ160" s="75" t="str">
        <f t="shared" si="241"/>
        <v>A-</v>
      </c>
      <c r="AK160" s="75" t="s">
        <v>14</v>
      </c>
      <c r="AL160" s="75" t="s">
        <v>870</v>
      </c>
      <c r="AM160" s="75" t="s">
        <v>871</v>
      </c>
      <c r="AN160" s="75" t="str">
        <f t="shared" si="242"/>
        <v>C</v>
      </c>
      <c r="AO160" s="75" t="str">
        <f t="shared" si="243"/>
        <v>X</v>
      </c>
      <c r="AP160" s="75" t="str">
        <f t="shared" si="244"/>
        <v>O</v>
      </c>
      <c r="AQ160" s="75" t="str">
        <f t="shared" si="245"/>
        <v>X</v>
      </c>
      <c r="AR160" s="75" t="str">
        <f t="shared" si="246"/>
        <v>X</v>
      </c>
      <c r="AS160" s="75" t="s">
        <v>2</v>
      </c>
      <c r="AT160" s="75" t="str">
        <f t="shared" si="247"/>
        <v>O</v>
      </c>
      <c r="AU160" s="75" t="str">
        <f t="shared" si="248"/>
        <v>O</v>
      </c>
      <c r="AV160" s="75" t="str">
        <f t="shared" si="249"/>
        <v>X</v>
      </c>
    </row>
    <row r="161" spans="1:48" s="38" customFormat="1" ht="24" x14ac:dyDescent="0.3">
      <c r="A161" s="110" t="s">
        <v>1040</v>
      </c>
      <c r="B161" s="111" t="s">
        <v>1041</v>
      </c>
      <c r="C161" s="112">
        <v>684</v>
      </c>
      <c r="D161" s="104">
        <v>109.7</v>
      </c>
      <c r="E161" s="106">
        <v>33</v>
      </c>
      <c r="F161" s="104">
        <v>84.5</v>
      </c>
      <c r="G161" s="17">
        <v>26</v>
      </c>
      <c r="H161" s="107">
        <v>217</v>
      </c>
      <c r="I161" s="108">
        <v>39500</v>
      </c>
      <c r="J161" s="108" t="s">
        <v>868</v>
      </c>
      <c r="K161" s="108"/>
      <c r="L161" s="108"/>
      <c r="M161" s="109">
        <f t="shared" si="232"/>
        <v>39500</v>
      </c>
      <c r="N161" s="4">
        <f t="shared" si="233"/>
        <v>0</v>
      </c>
      <c r="O161" s="105">
        <f t="shared" si="234"/>
        <v>1196.969696969697</v>
      </c>
      <c r="P161" s="105">
        <f t="shared" si="235"/>
        <v>0</v>
      </c>
      <c r="Q161" s="75">
        <v>3</v>
      </c>
      <c r="R161" s="75">
        <v>2</v>
      </c>
      <c r="S161" s="75" t="s">
        <v>869</v>
      </c>
      <c r="T161" s="5" t="s">
        <v>219</v>
      </c>
      <c r="U161" s="9"/>
      <c r="W161" s="104">
        <f t="shared" si="236"/>
        <v>109.7</v>
      </c>
      <c r="X161" s="106">
        <f t="shared" si="236"/>
        <v>33</v>
      </c>
      <c r="Y161" s="102">
        <f t="shared" si="237"/>
        <v>217</v>
      </c>
      <c r="Z161" s="109">
        <f t="shared" si="237"/>
        <v>39500</v>
      </c>
      <c r="AA161" s="109">
        <f t="shared" si="238"/>
        <v>0</v>
      </c>
      <c r="AB161" s="109">
        <f t="shared" si="250"/>
        <v>39500</v>
      </c>
      <c r="AC161" s="4">
        <f t="shared" si="250"/>
        <v>0</v>
      </c>
      <c r="AD161" s="105">
        <f t="shared" si="250"/>
        <v>1196.969696969697</v>
      </c>
      <c r="AE161" s="75" t="str">
        <f t="shared" si="239"/>
        <v>계</v>
      </c>
      <c r="AF161" s="75" t="str">
        <f t="shared" si="240"/>
        <v>3/2</v>
      </c>
      <c r="AH161" s="20" t="str">
        <f t="shared" si="172"/>
        <v>장천동 창원한신휴플러스오션파크</v>
      </c>
      <c r="AI161" s="106">
        <f t="shared" si="173"/>
        <v>33</v>
      </c>
      <c r="AJ161" s="75" t="str">
        <f t="shared" si="241"/>
        <v>A-</v>
      </c>
      <c r="AK161" s="75" t="s">
        <v>14</v>
      </c>
      <c r="AL161" s="75" t="s">
        <v>870</v>
      </c>
      <c r="AM161" s="75" t="s">
        <v>871</v>
      </c>
      <c r="AN161" s="75" t="str">
        <f t="shared" si="242"/>
        <v>C</v>
      </c>
      <c r="AO161" s="75" t="str">
        <f t="shared" si="243"/>
        <v>X</v>
      </c>
      <c r="AP161" s="75" t="str">
        <f t="shared" si="244"/>
        <v>O</v>
      </c>
      <c r="AQ161" s="75" t="str">
        <f t="shared" si="245"/>
        <v>X</v>
      </c>
      <c r="AR161" s="75" t="str">
        <f t="shared" si="246"/>
        <v>X</v>
      </c>
      <c r="AS161" s="75" t="s">
        <v>2</v>
      </c>
      <c r="AT161" s="75" t="str">
        <f t="shared" si="247"/>
        <v>O</v>
      </c>
      <c r="AU161" s="75" t="str">
        <f t="shared" si="248"/>
        <v>O</v>
      </c>
      <c r="AV161" s="75" t="str">
        <f t="shared" si="249"/>
        <v>X</v>
      </c>
    </row>
    <row r="162" spans="1:48" s="38" customFormat="1" ht="24" x14ac:dyDescent="0.3">
      <c r="A162" s="110" t="s">
        <v>1040</v>
      </c>
      <c r="B162" s="111" t="s">
        <v>1041</v>
      </c>
      <c r="C162" s="112">
        <v>684</v>
      </c>
      <c r="D162" s="104">
        <v>109.2</v>
      </c>
      <c r="E162" s="106">
        <v>33</v>
      </c>
      <c r="F162" s="104">
        <v>84.4</v>
      </c>
      <c r="G162" s="17">
        <v>26</v>
      </c>
      <c r="H162" s="107">
        <v>66</v>
      </c>
      <c r="I162" s="108">
        <v>39500</v>
      </c>
      <c r="J162" s="108" t="s">
        <v>873</v>
      </c>
      <c r="K162" s="108">
        <v>33000</v>
      </c>
      <c r="L162" s="108" t="s">
        <v>924</v>
      </c>
      <c r="M162" s="109">
        <f t="shared" si="232"/>
        <v>6500</v>
      </c>
      <c r="N162" s="4">
        <f t="shared" si="233"/>
        <v>0.83544303797468356</v>
      </c>
      <c r="O162" s="105">
        <f t="shared" si="234"/>
        <v>1196.969696969697</v>
      </c>
      <c r="P162" s="105">
        <f t="shared" si="235"/>
        <v>1000</v>
      </c>
      <c r="Q162" s="75">
        <v>3</v>
      </c>
      <c r="R162" s="75">
        <v>2</v>
      </c>
      <c r="S162" s="75" t="s">
        <v>869</v>
      </c>
      <c r="T162" s="5" t="s">
        <v>679</v>
      </c>
      <c r="U162" s="9"/>
      <c r="W162" s="104">
        <f t="shared" si="236"/>
        <v>109.2</v>
      </c>
      <c r="X162" s="106">
        <f t="shared" si="236"/>
        <v>33</v>
      </c>
      <c r="Y162" s="102">
        <f t="shared" si="237"/>
        <v>66</v>
      </c>
      <c r="Z162" s="109">
        <f t="shared" si="237"/>
        <v>39500</v>
      </c>
      <c r="AA162" s="109">
        <f t="shared" si="238"/>
        <v>33000</v>
      </c>
      <c r="AB162" s="109">
        <f t="shared" si="250"/>
        <v>6500</v>
      </c>
      <c r="AC162" s="4">
        <f t="shared" si="250"/>
        <v>0.83544303797468356</v>
      </c>
      <c r="AD162" s="105">
        <f t="shared" si="250"/>
        <v>1196.969696969697</v>
      </c>
      <c r="AE162" s="75" t="str">
        <f t="shared" si="239"/>
        <v>계</v>
      </c>
      <c r="AF162" s="75" t="str">
        <f t="shared" si="240"/>
        <v>3/2</v>
      </c>
      <c r="AH162" s="20" t="str">
        <f t="shared" si="172"/>
        <v>장천동 창원한신휴플러스오션파크</v>
      </c>
      <c r="AI162" s="106">
        <f t="shared" si="173"/>
        <v>33</v>
      </c>
      <c r="AJ162" s="75" t="str">
        <f t="shared" si="241"/>
        <v>A-</v>
      </c>
      <c r="AK162" s="75" t="s">
        <v>14</v>
      </c>
      <c r="AL162" s="75" t="s">
        <v>870</v>
      </c>
      <c r="AM162" s="75" t="s">
        <v>871</v>
      </c>
      <c r="AN162" s="75" t="str">
        <f t="shared" si="242"/>
        <v>C</v>
      </c>
      <c r="AO162" s="75" t="str">
        <f t="shared" si="243"/>
        <v>O</v>
      </c>
      <c r="AP162" s="75" t="str">
        <f t="shared" si="244"/>
        <v>O</v>
      </c>
      <c r="AQ162" s="75" t="str">
        <f t="shared" si="245"/>
        <v>X</v>
      </c>
      <c r="AR162" s="75" t="str">
        <f t="shared" si="246"/>
        <v>X</v>
      </c>
      <c r="AS162" s="75" t="s">
        <v>2</v>
      </c>
      <c r="AT162" s="75" t="str">
        <f t="shared" si="247"/>
        <v>O</v>
      </c>
      <c r="AU162" s="75" t="str">
        <f t="shared" si="248"/>
        <v>O</v>
      </c>
      <c r="AV162" s="75" t="str">
        <f t="shared" si="249"/>
        <v>X</v>
      </c>
    </row>
    <row r="163" spans="1:48" s="38" customFormat="1" ht="24" x14ac:dyDescent="0.3">
      <c r="A163" s="110" t="s">
        <v>1040</v>
      </c>
      <c r="B163" s="111" t="s">
        <v>1041</v>
      </c>
      <c r="C163" s="112">
        <v>684</v>
      </c>
      <c r="D163" s="104">
        <v>109.7</v>
      </c>
      <c r="E163" s="106">
        <v>33</v>
      </c>
      <c r="F163" s="104">
        <v>84.7</v>
      </c>
      <c r="G163" s="17">
        <v>26</v>
      </c>
      <c r="H163" s="107">
        <v>64</v>
      </c>
      <c r="I163" s="108">
        <v>40000</v>
      </c>
      <c r="J163" s="108" t="s">
        <v>868</v>
      </c>
      <c r="K163" s="108"/>
      <c r="L163" s="108"/>
      <c r="M163" s="109">
        <f t="shared" si="232"/>
        <v>40000</v>
      </c>
      <c r="N163" s="4">
        <f t="shared" si="233"/>
        <v>0</v>
      </c>
      <c r="O163" s="105">
        <f t="shared" si="234"/>
        <v>1212.121212121212</v>
      </c>
      <c r="P163" s="105">
        <f t="shared" si="235"/>
        <v>0</v>
      </c>
      <c r="Q163" s="75">
        <v>3</v>
      </c>
      <c r="R163" s="75">
        <v>2</v>
      </c>
      <c r="S163" s="75" t="s">
        <v>869</v>
      </c>
      <c r="T163" s="5" t="s">
        <v>680</v>
      </c>
      <c r="U163" s="9"/>
      <c r="W163" s="104">
        <f t="shared" si="236"/>
        <v>109.7</v>
      </c>
      <c r="X163" s="106">
        <f t="shared" si="236"/>
        <v>33</v>
      </c>
      <c r="Y163" s="102">
        <f t="shared" si="237"/>
        <v>64</v>
      </c>
      <c r="Z163" s="109">
        <f t="shared" si="237"/>
        <v>40000</v>
      </c>
      <c r="AA163" s="109">
        <f t="shared" si="238"/>
        <v>0</v>
      </c>
      <c r="AB163" s="109">
        <f t="shared" si="250"/>
        <v>40000</v>
      </c>
      <c r="AC163" s="4">
        <f t="shared" si="250"/>
        <v>0</v>
      </c>
      <c r="AD163" s="105">
        <f t="shared" si="250"/>
        <v>1212.121212121212</v>
      </c>
      <c r="AE163" s="75" t="str">
        <f t="shared" si="239"/>
        <v>계</v>
      </c>
      <c r="AF163" s="75" t="str">
        <f t="shared" si="240"/>
        <v>3/2</v>
      </c>
      <c r="AH163" s="20" t="str">
        <f t="shared" si="172"/>
        <v>장천동 창원한신휴플러스오션파크</v>
      </c>
      <c r="AI163" s="106">
        <f t="shared" si="173"/>
        <v>33</v>
      </c>
      <c r="AJ163" s="75" t="str">
        <f t="shared" si="241"/>
        <v>A-</v>
      </c>
      <c r="AK163" s="75" t="s">
        <v>14</v>
      </c>
      <c r="AL163" s="75" t="s">
        <v>870</v>
      </c>
      <c r="AM163" s="75" t="s">
        <v>871</v>
      </c>
      <c r="AN163" s="75" t="str">
        <f t="shared" si="242"/>
        <v>C</v>
      </c>
      <c r="AO163" s="75" t="str">
        <f t="shared" si="243"/>
        <v>X</v>
      </c>
      <c r="AP163" s="75" t="str">
        <f t="shared" si="244"/>
        <v>O</v>
      </c>
      <c r="AQ163" s="75" t="str">
        <f t="shared" si="245"/>
        <v>X</v>
      </c>
      <c r="AR163" s="75" t="str">
        <f t="shared" si="246"/>
        <v>X</v>
      </c>
      <c r="AS163" s="75" t="s">
        <v>2</v>
      </c>
      <c r="AT163" s="75" t="str">
        <f t="shared" si="247"/>
        <v>O</v>
      </c>
      <c r="AU163" s="75" t="str">
        <f t="shared" si="248"/>
        <v>O</v>
      </c>
      <c r="AV163" s="75" t="str">
        <f t="shared" si="249"/>
        <v>X</v>
      </c>
    </row>
    <row r="164" spans="1:48" s="38" customFormat="1" ht="24" x14ac:dyDescent="0.3">
      <c r="A164" s="110" t="s">
        <v>1040</v>
      </c>
      <c r="B164" s="111" t="s">
        <v>1041</v>
      </c>
      <c r="C164" s="112">
        <v>684</v>
      </c>
      <c r="D164" s="104">
        <v>109.5</v>
      </c>
      <c r="E164" s="106">
        <v>33</v>
      </c>
      <c r="F164" s="104">
        <v>85</v>
      </c>
      <c r="G164" s="17">
        <v>26</v>
      </c>
      <c r="H164" s="107">
        <v>44</v>
      </c>
      <c r="I164" s="108">
        <v>38500</v>
      </c>
      <c r="J164" s="108" t="s">
        <v>868</v>
      </c>
      <c r="K164" s="108">
        <v>32000</v>
      </c>
      <c r="L164" s="108" t="s">
        <v>868</v>
      </c>
      <c r="M164" s="109">
        <f t="shared" si="232"/>
        <v>6500</v>
      </c>
      <c r="N164" s="4">
        <f t="shared" si="233"/>
        <v>0.83116883116883122</v>
      </c>
      <c r="O164" s="105">
        <f t="shared" si="234"/>
        <v>1166.6666666666667</v>
      </c>
      <c r="P164" s="105">
        <f t="shared" si="235"/>
        <v>969.69696969696975</v>
      </c>
      <c r="Q164" s="75">
        <v>3</v>
      </c>
      <c r="R164" s="75">
        <v>2</v>
      </c>
      <c r="S164" s="75" t="s">
        <v>869</v>
      </c>
      <c r="T164" s="5" t="s">
        <v>681</v>
      </c>
      <c r="U164" s="9"/>
      <c r="W164" s="104">
        <f t="shared" si="236"/>
        <v>109.5</v>
      </c>
      <c r="X164" s="106">
        <f t="shared" si="236"/>
        <v>33</v>
      </c>
      <c r="Y164" s="102">
        <f t="shared" si="237"/>
        <v>44</v>
      </c>
      <c r="Z164" s="109">
        <f t="shared" si="237"/>
        <v>38500</v>
      </c>
      <c r="AA164" s="109">
        <f t="shared" si="238"/>
        <v>32000</v>
      </c>
      <c r="AB164" s="109">
        <f t="shared" si="250"/>
        <v>6500</v>
      </c>
      <c r="AC164" s="4">
        <f t="shared" si="250"/>
        <v>0.83116883116883122</v>
      </c>
      <c r="AD164" s="105">
        <f t="shared" si="250"/>
        <v>1166.6666666666667</v>
      </c>
      <c r="AE164" s="75" t="str">
        <f t="shared" si="239"/>
        <v>계</v>
      </c>
      <c r="AF164" s="75" t="str">
        <f t="shared" si="240"/>
        <v>3/2</v>
      </c>
      <c r="AH164" s="20" t="str">
        <f t="shared" si="172"/>
        <v>장천동 창원한신휴플러스오션파크</v>
      </c>
      <c r="AI164" s="106">
        <f t="shared" si="173"/>
        <v>33</v>
      </c>
      <c r="AJ164" s="75" t="str">
        <f t="shared" si="241"/>
        <v>A-</v>
      </c>
      <c r="AK164" s="75" t="s">
        <v>14</v>
      </c>
      <c r="AL164" s="75" t="s">
        <v>870</v>
      </c>
      <c r="AM164" s="75" t="s">
        <v>871</v>
      </c>
      <c r="AN164" s="75" t="str">
        <f t="shared" si="242"/>
        <v>C</v>
      </c>
      <c r="AO164" s="75" t="str">
        <f t="shared" si="243"/>
        <v>O</v>
      </c>
      <c r="AP164" s="75" t="str">
        <f t="shared" si="244"/>
        <v>O</v>
      </c>
      <c r="AQ164" s="75" t="str">
        <f t="shared" si="245"/>
        <v>X</v>
      </c>
      <c r="AR164" s="75" t="str">
        <f t="shared" si="246"/>
        <v>X</v>
      </c>
      <c r="AS164" s="75" t="s">
        <v>2</v>
      </c>
      <c r="AT164" s="75" t="str">
        <f t="shared" si="247"/>
        <v>O</v>
      </c>
      <c r="AU164" s="75" t="str">
        <f t="shared" si="248"/>
        <v>O</v>
      </c>
      <c r="AV164" s="75" t="str">
        <f t="shared" si="249"/>
        <v>X</v>
      </c>
    </row>
    <row r="165" spans="1:48" s="38" customFormat="1" ht="24" x14ac:dyDescent="0.3">
      <c r="A165" s="110" t="s">
        <v>1040</v>
      </c>
      <c r="B165" s="111" t="s">
        <v>1041</v>
      </c>
      <c r="C165" s="112">
        <v>684</v>
      </c>
      <c r="D165" s="104">
        <v>109.4</v>
      </c>
      <c r="E165" s="106">
        <v>33</v>
      </c>
      <c r="F165" s="104">
        <v>84.7</v>
      </c>
      <c r="G165" s="17">
        <v>26</v>
      </c>
      <c r="H165" s="107">
        <v>22</v>
      </c>
      <c r="I165" s="108"/>
      <c r="J165" s="108"/>
      <c r="K165" s="108"/>
      <c r="L165" s="108"/>
      <c r="M165" s="109">
        <f t="shared" si="232"/>
        <v>0</v>
      </c>
      <c r="N165" s="4" t="str">
        <f t="shared" si="233"/>
        <v/>
      </c>
      <c r="O165" s="105">
        <f t="shared" si="234"/>
        <v>0</v>
      </c>
      <c r="P165" s="105">
        <f t="shared" si="235"/>
        <v>0</v>
      </c>
      <c r="Q165" s="75">
        <v>3</v>
      </c>
      <c r="R165" s="75">
        <v>2</v>
      </c>
      <c r="S165" s="75" t="s">
        <v>869</v>
      </c>
      <c r="T165" s="5" t="s">
        <v>682</v>
      </c>
      <c r="U165" s="9"/>
      <c r="W165" s="104">
        <f t="shared" si="236"/>
        <v>109.4</v>
      </c>
      <c r="X165" s="106">
        <f t="shared" si="236"/>
        <v>33</v>
      </c>
      <c r="Y165" s="102">
        <f t="shared" si="237"/>
        <v>22</v>
      </c>
      <c r="Z165" s="109">
        <f t="shared" si="237"/>
        <v>0</v>
      </c>
      <c r="AA165" s="109">
        <f t="shared" si="238"/>
        <v>0</v>
      </c>
      <c r="AB165" s="109">
        <f t="shared" si="250"/>
        <v>0</v>
      </c>
      <c r="AC165" s="4" t="str">
        <f t="shared" si="250"/>
        <v/>
      </c>
      <c r="AD165" s="105">
        <f t="shared" si="250"/>
        <v>0</v>
      </c>
      <c r="AE165" s="75" t="str">
        <f t="shared" si="239"/>
        <v>계</v>
      </c>
      <c r="AF165" s="75" t="str">
        <f t="shared" si="240"/>
        <v>3/2</v>
      </c>
      <c r="AH165" s="20" t="str">
        <f t="shared" si="172"/>
        <v>장천동 창원한신휴플러스오션파크</v>
      </c>
      <c r="AI165" s="106">
        <f t="shared" si="173"/>
        <v>33</v>
      </c>
      <c r="AJ165" s="75" t="str">
        <f t="shared" si="241"/>
        <v>A-</v>
      </c>
      <c r="AK165" s="75" t="s">
        <v>14</v>
      </c>
      <c r="AL165" s="75" t="s">
        <v>870</v>
      </c>
      <c r="AM165" s="75" t="s">
        <v>871</v>
      </c>
      <c r="AN165" s="75" t="str">
        <f t="shared" si="242"/>
        <v>C</v>
      </c>
      <c r="AO165" s="75" t="str">
        <f t="shared" si="243"/>
        <v/>
      </c>
      <c r="AP165" s="75" t="str">
        <f t="shared" si="244"/>
        <v/>
      </c>
      <c r="AQ165" s="75" t="str">
        <f t="shared" si="245"/>
        <v>O</v>
      </c>
      <c r="AR165" s="75" t="str">
        <f t="shared" si="246"/>
        <v>O</v>
      </c>
      <c r="AS165" s="75" t="s">
        <v>2</v>
      </c>
      <c r="AT165" s="75" t="str">
        <f t="shared" si="247"/>
        <v>O</v>
      </c>
      <c r="AU165" s="75" t="str">
        <f t="shared" si="248"/>
        <v>O</v>
      </c>
      <c r="AV165" s="75" t="str">
        <f t="shared" si="249"/>
        <v/>
      </c>
    </row>
    <row r="166" spans="1:48" s="38" customFormat="1" ht="24" x14ac:dyDescent="0.3">
      <c r="A166" s="110" t="s">
        <v>1040</v>
      </c>
      <c r="B166" s="111" t="s">
        <v>1041</v>
      </c>
      <c r="C166" s="112">
        <v>684</v>
      </c>
      <c r="D166" s="104">
        <v>113.8</v>
      </c>
      <c r="E166" s="106">
        <v>34</v>
      </c>
      <c r="F166" s="104">
        <v>84.5</v>
      </c>
      <c r="G166" s="17">
        <v>26</v>
      </c>
      <c r="H166" s="107">
        <v>10</v>
      </c>
      <c r="I166" s="108"/>
      <c r="J166" s="108"/>
      <c r="K166" s="108"/>
      <c r="L166" s="108"/>
      <c r="M166" s="109">
        <f t="shared" si="232"/>
        <v>0</v>
      </c>
      <c r="N166" s="4" t="str">
        <f t="shared" si="233"/>
        <v/>
      </c>
      <c r="O166" s="105">
        <f t="shared" si="234"/>
        <v>0</v>
      </c>
      <c r="P166" s="105">
        <f t="shared" si="235"/>
        <v>0</v>
      </c>
      <c r="Q166" s="75">
        <v>3</v>
      </c>
      <c r="R166" s="75">
        <v>2</v>
      </c>
      <c r="S166" s="75" t="s">
        <v>869</v>
      </c>
      <c r="T166" s="5" t="s">
        <v>513</v>
      </c>
      <c r="U166" s="9"/>
      <c r="W166" s="104">
        <f t="shared" si="236"/>
        <v>113.8</v>
      </c>
      <c r="X166" s="106">
        <f t="shared" si="236"/>
        <v>34</v>
      </c>
      <c r="Y166" s="102">
        <f t="shared" si="237"/>
        <v>10</v>
      </c>
      <c r="Z166" s="109">
        <f t="shared" si="237"/>
        <v>0</v>
      </c>
      <c r="AA166" s="109">
        <f t="shared" si="238"/>
        <v>0</v>
      </c>
      <c r="AB166" s="109">
        <f t="shared" si="250"/>
        <v>0</v>
      </c>
      <c r="AC166" s="4" t="str">
        <f t="shared" si="250"/>
        <v/>
      </c>
      <c r="AD166" s="105">
        <f t="shared" si="250"/>
        <v>0</v>
      </c>
      <c r="AE166" s="75" t="str">
        <f t="shared" si="239"/>
        <v>계</v>
      </c>
      <c r="AF166" s="75" t="str">
        <f t="shared" si="240"/>
        <v>3/2</v>
      </c>
      <c r="AH166" s="20" t="str">
        <f t="shared" si="172"/>
        <v>장천동 창원한신휴플러스오션파크</v>
      </c>
      <c r="AI166" s="106">
        <f t="shared" si="173"/>
        <v>34</v>
      </c>
      <c r="AJ166" s="75" t="str">
        <f t="shared" si="241"/>
        <v>A-</v>
      </c>
      <c r="AK166" s="75" t="s">
        <v>14</v>
      </c>
      <c r="AL166" s="75" t="s">
        <v>870</v>
      </c>
      <c r="AM166" s="75" t="s">
        <v>871</v>
      </c>
      <c r="AN166" s="75" t="str">
        <f t="shared" si="242"/>
        <v>C</v>
      </c>
      <c r="AO166" s="75" t="str">
        <f t="shared" si="243"/>
        <v/>
      </c>
      <c r="AP166" s="75" t="str">
        <f t="shared" si="244"/>
        <v/>
      </c>
      <c r="AQ166" s="75" t="str">
        <f t="shared" si="245"/>
        <v>O</v>
      </c>
      <c r="AR166" s="75" t="str">
        <f t="shared" si="246"/>
        <v>O</v>
      </c>
      <c r="AS166" s="75" t="s">
        <v>2</v>
      </c>
      <c r="AT166" s="75" t="str">
        <f t="shared" si="247"/>
        <v>O</v>
      </c>
      <c r="AU166" s="75" t="str">
        <f t="shared" si="248"/>
        <v>O</v>
      </c>
      <c r="AV166" s="75" t="str">
        <f t="shared" si="249"/>
        <v/>
      </c>
    </row>
    <row r="167" spans="1:48" s="38" customFormat="1" ht="12" x14ac:dyDescent="0.3">
      <c r="A167" s="110" t="s">
        <v>1042</v>
      </c>
      <c r="B167" s="111" t="s">
        <v>1043</v>
      </c>
      <c r="C167" s="112">
        <v>1264</v>
      </c>
      <c r="D167" s="104">
        <v>85.8</v>
      </c>
      <c r="E167" s="106">
        <v>26</v>
      </c>
      <c r="F167" s="104">
        <v>60</v>
      </c>
      <c r="G167" s="17">
        <v>18</v>
      </c>
      <c r="H167" s="107">
        <v>120</v>
      </c>
      <c r="I167" s="108">
        <v>25500</v>
      </c>
      <c r="J167" s="108" t="s">
        <v>888</v>
      </c>
      <c r="K167" s="108">
        <v>22500</v>
      </c>
      <c r="L167" s="108" t="s">
        <v>873</v>
      </c>
      <c r="M167" s="109">
        <f t="shared" si="232"/>
        <v>3000</v>
      </c>
      <c r="N167" s="4">
        <f t="shared" si="233"/>
        <v>0.88235294117647056</v>
      </c>
      <c r="O167" s="105">
        <f t="shared" si="234"/>
        <v>980.76923076923072</v>
      </c>
      <c r="P167" s="105">
        <f t="shared" si="235"/>
        <v>865.38461538461536</v>
      </c>
      <c r="Q167" s="75">
        <v>3</v>
      </c>
      <c r="R167" s="75">
        <v>2</v>
      </c>
      <c r="S167" s="75" t="s">
        <v>869</v>
      </c>
      <c r="T167" s="5">
        <v>85</v>
      </c>
      <c r="U167" s="9"/>
      <c r="W167" s="104">
        <f t="shared" si="236"/>
        <v>85.8</v>
      </c>
      <c r="X167" s="106">
        <f t="shared" si="236"/>
        <v>26</v>
      </c>
      <c r="Y167" s="102">
        <f t="shared" si="237"/>
        <v>120</v>
      </c>
      <c r="Z167" s="109">
        <f t="shared" si="237"/>
        <v>25500</v>
      </c>
      <c r="AA167" s="109">
        <f t="shared" si="238"/>
        <v>22500</v>
      </c>
      <c r="AB167" s="109">
        <f t="shared" si="250"/>
        <v>3000</v>
      </c>
      <c r="AC167" s="4">
        <f t="shared" si="250"/>
        <v>0.88235294117647056</v>
      </c>
      <c r="AD167" s="105">
        <f t="shared" si="250"/>
        <v>980.76923076923072</v>
      </c>
      <c r="AE167" s="75" t="str">
        <f t="shared" si="239"/>
        <v>계</v>
      </c>
      <c r="AF167" s="75" t="str">
        <f t="shared" si="240"/>
        <v>3/2</v>
      </c>
      <c r="AH167" s="20" t="str">
        <f t="shared" si="172"/>
        <v>장천동 진해장천대동다숲</v>
      </c>
      <c r="AI167" s="106">
        <f t="shared" si="173"/>
        <v>26</v>
      </c>
      <c r="AJ167" s="75" t="str">
        <f t="shared" si="241"/>
        <v>A-</v>
      </c>
      <c r="AK167" s="75" t="s">
        <v>14</v>
      </c>
      <c r="AL167" s="75" t="s">
        <v>870</v>
      </c>
      <c r="AM167" s="75" t="s">
        <v>871</v>
      </c>
      <c r="AN167" s="75" t="str">
        <f t="shared" si="242"/>
        <v>C</v>
      </c>
      <c r="AO167" s="75" t="str">
        <f t="shared" si="243"/>
        <v>O</v>
      </c>
      <c r="AP167" s="75" t="str">
        <f t="shared" si="244"/>
        <v>O</v>
      </c>
      <c r="AQ167" s="75" t="str">
        <f t="shared" si="245"/>
        <v>O</v>
      </c>
      <c r="AR167" s="75" t="str">
        <f t="shared" si="246"/>
        <v>O</v>
      </c>
      <c r="AS167" s="75" t="s">
        <v>2</v>
      </c>
      <c r="AT167" s="75" t="str">
        <f t="shared" si="247"/>
        <v>O</v>
      </c>
      <c r="AU167" s="75" t="str">
        <f t="shared" si="248"/>
        <v>O</v>
      </c>
      <c r="AV167" s="75" t="str">
        <f t="shared" si="249"/>
        <v>후보</v>
      </c>
    </row>
    <row r="168" spans="1:48" s="38" customFormat="1" ht="12" x14ac:dyDescent="0.3">
      <c r="A168" s="110" t="s">
        <v>1042</v>
      </c>
      <c r="B168" s="111" t="s">
        <v>1043</v>
      </c>
      <c r="C168" s="112">
        <v>1264</v>
      </c>
      <c r="D168" s="104">
        <v>110.5</v>
      </c>
      <c r="E168" s="106">
        <v>33</v>
      </c>
      <c r="F168" s="104">
        <v>84.9</v>
      </c>
      <c r="G168" s="17">
        <v>26</v>
      </c>
      <c r="H168" s="107">
        <v>402</v>
      </c>
      <c r="I168" s="108">
        <v>32000</v>
      </c>
      <c r="J168" s="108" t="s">
        <v>868</v>
      </c>
      <c r="K168" s="108">
        <v>27500</v>
      </c>
      <c r="L168" s="108" t="s">
        <v>873</v>
      </c>
      <c r="M168" s="109">
        <f t="shared" si="232"/>
        <v>4500</v>
      </c>
      <c r="N168" s="4">
        <f t="shared" si="233"/>
        <v>0.859375</v>
      </c>
      <c r="O168" s="105">
        <f t="shared" si="234"/>
        <v>969.69696969696975</v>
      </c>
      <c r="P168" s="105">
        <f t="shared" si="235"/>
        <v>833.33333333333337</v>
      </c>
      <c r="Q168" s="75">
        <v>3</v>
      </c>
      <c r="R168" s="75">
        <v>2</v>
      </c>
      <c r="S168" s="75" t="s">
        <v>869</v>
      </c>
      <c r="T168" s="5">
        <v>110</v>
      </c>
      <c r="U168" s="9"/>
      <c r="W168" s="104">
        <f t="shared" si="236"/>
        <v>110.5</v>
      </c>
      <c r="X168" s="106">
        <f t="shared" si="236"/>
        <v>33</v>
      </c>
      <c r="Y168" s="102">
        <f t="shared" si="237"/>
        <v>402</v>
      </c>
      <c r="Z168" s="109">
        <f t="shared" si="237"/>
        <v>32000</v>
      </c>
      <c r="AA168" s="109">
        <f t="shared" si="238"/>
        <v>27500</v>
      </c>
      <c r="AB168" s="109">
        <f t="shared" si="250"/>
        <v>4500</v>
      </c>
      <c r="AC168" s="4">
        <f t="shared" si="250"/>
        <v>0.859375</v>
      </c>
      <c r="AD168" s="105">
        <f t="shared" si="250"/>
        <v>969.69696969696975</v>
      </c>
      <c r="AE168" s="75" t="str">
        <f t="shared" si="239"/>
        <v>계</v>
      </c>
      <c r="AF168" s="75" t="str">
        <f t="shared" si="240"/>
        <v>3/2</v>
      </c>
      <c r="AH168" s="20" t="str">
        <f t="shared" si="172"/>
        <v>장천동 진해장천대동다숲</v>
      </c>
      <c r="AI168" s="106">
        <f t="shared" si="173"/>
        <v>33</v>
      </c>
      <c r="AJ168" s="75" t="str">
        <f t="shared" si="241"/>
        <v>A-</v>
      </c>
      <c r="AK168" s="75" t="s">
        <v>14</v>
      </c>
      <c r="AL168" s="75" t="s">
        <v>870</v>
      </c>
      <c r="AM168" s="75" t="s">
        <v>871</v>
      </c>
      <c r="AN168" s="75" t="str">
        <f t="shared" si="242"/>
        <v>C</v>
      </c>
      <c r="AO168" s="75" t="str">
        <f t="shared" si="243"/>
        <v>O</v>
      </c>
      <c r="AP168" s="75" t="str">
        <f t="shared" si="244"/>
        <v>O</v>
      </c>
      <c r="AQ168" s="75" t="str">
        <f t="shared" si="245"/>
        <v>O</v>
      </c>
      <c r="AR168" s="75" t="str">
        <f t="shared" si="246"/>
        <v>O</v>
      </c>
      <c r="AS168" s="75" t="s">
        <v>2</v>
      </c>
      <c r="AT168" s="75" t="str">
        <f t="shared" si="247"/>
        <v>O</v>
      </c>
      <c r="AU168" s="75" t="str">
        <f t="shared" si="248"/>
        <v>O</v>
      </c>
      <c r="AV168" s="75" t="str">
        <f t="shared" si="249"/>
        <v>후보</v>
      </c>
    </row>
    <row r="169" spans="1:48" s="38" customFormat="1" ht="12" x14ac:dyDescent="0.3">
      <c r="A169" s="110" t="s">
        <v>1042</v>
      </c>
      <c r="B169" s="111" t="s">
        <v>1043</v>
      </c>
      <c r="C169" s="112">
        <v>1264</v>
      </c>
      <c r="D169" s="104">
        <v>111.3</v>
      </c>
      <c r="E169" s="106">
        <v>34</v>
      </c>
      <c r="F169" s="104">
        <v>84.8</v>
      </c>
      <c r="G169" s="17">
        <v>26</v>
      </c>
      <c r="H169" s="107">
        <v>251</v>
      </c>
      <c r="I169" s="108">
        <v>32500</v>
      </c>
      <c r="J169" s="108" t="s">
        <v>868</v>
      </c>
      <c r="K169" s="108"/>
      <c r="L169" s="108"/>
      <c r="M169" s="109">
        <f t="shared" si="232"/>
        <v>32500</v>
      </c>
      <c r="N169" s="4">
        <f t="shared" si="233"/>
        <v>0</v>
      </c>
      <c r="O169" s="105">
        <f t="shared" si="234"/>
        <v>955.88235294117646</v>
      </c>
      <c r="P169" s="105">
        <f t="shared" si="235"/>
        <v>0</v>
      </c>
      <c r="Q169" s="75">
        <v>3</v>
      </c>
      <c r="R169" s="75">
        <v>2</v>
      </c>
      <c r="S169" s="75" t="s">
        <v>869</v>
      </c>
      <c r="T169" s="5">
        <v>111</v>
      </c>
      <c r="U169" s="9"/>
      <c r="W169" s="104">
        <f t="shared" si="236"/>
        <v>111.3</v>
      </c>
      <c r="X169" s="106">
        <f t="shared" si="236"/>
        <v>34</v>
      </c>
      <c r="Y169" s="102">
        <f t="shared" si="237"/>
        <v>251</v>
      </c>
      <c r="Z169" s="109">
        <f t="shared" si="237"/>
        <v>32500</v>
      </c>
      <c r="AA169" s="109">
        <f t="shared" si="238"/>
        <v>0</v>
      </c>
      <c r="AB169" s="109">
        <f t="shared" si="250"/>
        <v>32500</v>
      </c>
      <c r="AC169" s="4">
        <f t="shared" si="250"/>
        <v>0</v>
      </c>
      <c r="AD169" s="105">
        <f t="shared" si="250"/>
        <v>955.88235294117646</v>
      </c>
      <c r="AE169" s="75" t="str">
        <f t="shared" si="239"/>
        <v>계</v>
      </c>
      <c r="AF169" s="75" t="str">
        <f t="shared" si="240"/>
        <v>3/2</v>
      </c>
      <c r="AH169" s="20" t="str">
        <f t="shared" si="172"/>
        <v>장천동 진해장천대동다숲</v>
      </c>
      <c r="AI169" s="106">
        <f t="shared" si="173"/>
        <v>34</v>
      </c>
      <c r="AJ169" s="75" t="str">
        <f t="shared" si="241"/>
        <v>A-</v>
      </c>
      <c r="AK169" s="75" t="s">
        <v>14</v>
      </c>
      <c r="AL169" s="75" t="s">
        <v>870</v>
      </c>
      <c r="AM169" s="75" t="s">
        <v>871</v>
      </c>
      <c r="AN169" s="75" t="str">
        <f t="shared" si="242"/>
        <v>C</v>
      </c>
      <c r="AO169" s="75" t="str">
        <f t="shared" si="243"/>
        <v>X</v>
      </c>
      <c r="AP169" s="75" t="str">
        <f t="shared" si="244"/>
        <v>O</v>
      </c>
      <c r="AQ169" s="75" t="str">
        <f t="shared" si="245"/>
        <v>O</v>
      </c>
      <c r="AR169" s="75" t="str">
        <f t="shared" si="246"/>
        <v>X</v>
      </c>
      <c r="AS169" s="75" t="s">
        <v>2</v>
      </c>
      <c r="AT169" s="75" t="str">
        <f t="shared" si="247"/>
        <v>O</v>
      </c>
      <c r="AU169" s="75" t="str">
        <f t="shared" si="248"/>
        <v>O</v>
      </c>
      <c r="AV169" s="75" t="str">
        <f t="shared" si="249"/>
        <v>X</v>
      </c>
    </row>
    <row r="170" spans="1:48" s="38" customFormat="1" ht="12" x14ac:dyDescent="0.3">
      <c r="A170" s="110" t="s">
        <v>1042</v>
      </c>
      <c r="B170" s="111" t="s">
        <v>1043</v>
      </c>
      <c r="C170" s="112">
        <v>1264</v>
      </c>
      <c r="D170" s="104">
        <v>117.9</v>
      </c>
      <c r="E170" s="106">
        <v>36</v>
      </c>
      <c r="F170" s="104">
        <v>85</v>
      </c>
      <c r="G170" s="17">
        <v>26</v>
      </c>
      <c r="H170" s="107">
        <v>253</v>
      </c>
      <c r="I170" s="108">
        <v>32000</v>
      </c>
      <c r="J170" s="108" t="s">
        <v>868</v>
      </c>
      <c r="K170" s="108"/>
      <c r="L170" s="108"/>
      <c r="M170" s="109">
        <f t="shared" si="232"/>
        <v>32000</v>
      </c>
      <c r="N170" s="4">
        <f t="shared" si="233"/>
        <v>0</v>
      </c>
      <c r="O170" s="105">
        <f t="shared" si="234"/>
        <v>888.88888888888891</v>
      </c>
      <c r="P170" s="105">
        <f t="shared" si="235"/>
        <v>0</v>
      </c>
      <c r="Q170" s="75">
        <v>3</v>
      </c>
      <c r="R170" s="75">
        <v>2</v>
      </c>
      <c r="S170" s="75" t="s">
        <v>869</v>
      </c>
      <c r="T170" s="5">
        <v>117</v>
      </c>
      <c r="U170" s="9"/>
      <c r="W170" s="104">
        <f t="shared" si="236"/>
        <v>117.9</v>
      </c>
      <c r="X170" s="106">
        <f t="shared" si="236"/>
        <v>36</v>
      </c>
      <c r="Y170" s="102">
        <f t="shared" si="237"/>
        <v>253</v>
      </c>
      <c r="Z170" s="109">
        <f t="shared" si="237"/>
        <v>32000</v>
      </c>
      <c r="AA170" s="109">
        <f t="shared" si="238"/>
        <v>0</v>
      </c>
      <c r="AB170" s="109">
        <f t="shared" si="250"/>
        <v>32000</v>
      </c>
      <c r="AC170" s="4">
        <f t="shared" si="250"/>
        <v>0</v>
      </c>
      <c r="AD170" s="105">
        <f t="shared" si="250"/>
        <v>888.88888888888891</v>
      </c>
      <c r="AE170" s="75" t="str">
        <f t="shared" si="239"/>
        <v>계</v>
      </c>
      <c r="AF170" s="75" t="str">
        <f t="shared" si="240"/>
        <v>3/2</v>
      </c>
      <c r="AH170" s="20" t="str">
        <f t="shared" si="172"/>
        <v>장천동 진해장천대동다숲</v>
      </c>
      <c r="AI170" s="106">
        <f t="shared" si="173"/>
        <v>36</v>
      </c>
      <c r="AJ170" s="75" t="str">
        <f t="shared" si="241"/>
        <v>A-</v>
      </c>
      <c r="AK170" s="75" t="s">
        <v>14</v>
      </c>
      <c r="AL170" s="75" t="s">
        <v>870</v>
      </c>
      <c r="AM170" s="75" t="s">
        <v>871</v>
      </c>
      <c r="AN170" s="75" t="str">
        <f t="shared" si="242"/>
        <v>C</v>
      </c>
      <c r="AO170" s="75" t="str">
        <f t="shared" si="243"/>
        <v>X</v>
      </c>
      <c r="AP170" s="75" t="str">
        <f t="shared" si="244"/>
        <v>O</v>
      </c>
      <c r="AQ170" s="75" t="str">
        <f t="shared" si="245"/>
        <v>O</v>
      </c>
      <c r="AR170" s="75" t="str">
        <f t="shared" si="246"/>
        <v>X</v>
      </c>
      <c r="AS170" s="75" t="s">
        <v>2</v>
      </c>
      <c r="AT170" s="75" t="str">
        <f t="shared" si="247"/>
        <v>O</v>
      </c>
      <c r="AU170" s="75" t="str">
        <f t="shared" si="248"/>
        <v>O</v>
      </c>
      <c r="AV170" s="75" t="str">
        <f t="shared" si="249"/>
        <v>X</v>
      </c>
    </row>
    <row r="171" spans="1:48" s="38" customFormat="1" ht="12" x14ac:dyDescent="0.3">
      <c r="A171" s="110" t="s">
        <v>1042</v>
      </c>
      <c r="B171" s="111" t="s">
        <v>1043</v>
      </c>
      <c r="C171" s="112">
        <v>1264</v>
      </c>
      <c r="D171" s="104">
        <v>156.19999999999999</v>
      </c>
      <c r="E171" s="106">
        <v>47</v>
      </c>
      <c r="F171" s="104">
        <v>122.1</v>
      </c>
      <c r="G171" s="17">
        <v>37</v>
      </c>
      <c r="H171" s="107">
        <v>90</v>
      </c>
      <c r="I171" s="108">
        <v>44000</v>
      </c>
      <c r="J171" s="108" t="s">
        <v>868</v>
      </c>
      <c r="K171" s="108"/>
      <c r="L171" s="108"/>
      <c r="M171" s="109">
        <f t="shared" si="232"/>
        <v>44000</v>
      </c>
      <c r="N171" s="4">
        <f t="shared" si="233"/>
        <v>0</v>
      </c>
      <c r="O171" s="105">
        <f t="shared" si="234"/>
        <v>936.17021276595744</v>
      </c>
      <c r="P171" s="105">
        <f t="shared" si="235"/>
        <v>0</v>
      </c>
      <c r="Q171" s="75">
        <v>4</v>
      </c>
      <c r="R171" s="75">
        <v>2</v>
      </c>
      <c r="S171" s="75" t="s">
        <v>869</v>
      </c>
      <c r="T171" s="5">
        <v>156</v>
      </c>
      <c r="U171" s="9"/>
      <c r="W171" s="104">
        <f t="shared" si="236"/>
        <v>156.19999999999999</v>
      </c>
      <c r="X171" s="106">
        <f t="shared" si="236"/>
        <v>47</v>
      </c>
      <c r="Y171" s="102">
        <f t="shared" si="237"/>
        <v>90</v>
      </c>
      <c r="Z171" s="109">
        <f t="shared" si="237"/>
        <v>44000</v>
      </c>
      <c r="AA171" s="109">
        <f t="shared" si="238"/>
        <v>0</v>
      </c>
      <c r="AB171" s="109">
        <f t="shared" si="250"/>
        <v>44000</v>
      </c>
      <c r="AC171" s="4">
        <f t="shared" si="250"/>
        <v>0</v>
      </c>
      <c r="AD171" s="105">
        <f t="shared" si="250"/>
        <v>936.17021276595744</v>
      </c>
      <c r="AE171" s="75" t="str">
        <f t="shared" si="239"/>
        <v>계</v>
      </c>
      <c r="AF171" s="75" t="str">
        <f t="shared" si="240"/>
        <v>4/2</v>
      </c>
      <c r="AH171" s="20" t="str">
        <f t="shared" si="172"/>
        <v>장천동 진해장천대동다숲</v>
      </c>
      <c r="AI171" s="106">
        <f t="shared" si="173"/>
        <v>47</v>
      </c>
      <c r="AJ171" s="75" t="str">
        <f t="shared" si="241"/>
        <v>A-</v>
      </c>
      <c r="AK171" s="75" t="s">
        <v>14</v>
      </c>
      <c r="AL171" s="75" t="s">
        <v>870</v>
      </c>
      <c r="AM171" s="75" t="s">
        <v>871</v>
      </c>
      <c r="AN171" s="75" t="str">
        <f t="shared" si="242"/>
        <v>C</v>
      </c>
      <c r="AO171" s="75" t="str">
        <f t="shared" si="243"/>
        <v>X</v>
      </c>
      <c r="AP171" s="75" t="str">
        <f t="shared" si="244"/>
        <v>O</v>
      </c>
      <c r="AQ171" s="75" t="str">
        <f t="shared" si="245"/>
        <v>O</v>
      </c>
      <c r="AR171" s="75" t="str">
        <f t="shared" si="246"/>
        <v>X</v>
      </c>
      <c r="AS171" s="75" t="s">
        <v>2</v>
      </c>
      <c r="AT171" s="75" t="str">
        <f t="shared" si="247"/>
        <v>X</v>
      </c>
      <c r="AU171" s="75" t="str">
        <f t="shared" si="248"/>
        <v>O</v>
      </c>
      <c r="AV171" s="75" t="str">
        <f t="shared" si="249"/>
        <v>X</v>
      </c>
    </row>
    <row r="172" spans="1:48" s="38" customFormat="1" ht="12" x14ac:dyDescent="0.3">
      <c r="A172" s="110" t="s">
        <v>1042</v>
      </c>
      <c r="B172" s="111" t="s">
        <v>1043</v>
      </c>
      <c r="C172" s="112">
        <v>1264</v>
      </c>
      <c r="D172" s="104">
        <v>184.1</v>
      </c>
      <c r="E172" s="106">
        <v>56</v>
      </c>
      <c r="F172" s="104">
        <v>141.4</v>
      </c>
      <c r="G172" s="17">
        <v>43</v>
      </c>
      <c r="H172" s="107">
        <v>90</v>
      </c>
      <c r="I172" s="108">
        <v>51000</v>
      </c>
      <c r="J172" s="108" t="s">
        <v>868</v>
      </c>
      <c r="K172" s="108"/>
      <c r="L172" s="108"/>
      <c r="M172" s="109">
        <f t="shared" si="232"/>
        <v>51000</v>
      </c>
      <c r="N172" s="4">
        <f t="shared" si="233"/>
        <v>0</v>
      </c>
      <c r="O172" s="105">
        <f t="shared" si="234"/>
        <v>910.71428571428567</v>
      </c>
      <c r="P172" s="105">
        <f t="shared" si="235"/>
        <v>0</v>
      </c>
      <c r="Q172" s="75">
        <v>4</v>
      </c>
      <c r="R172" s="75">
        <v>2</v>
      </c>
      <c r="S172" s="75" t="s">
        <v>869</v>
      </c>
      <c r="T172" s="5">
        <v>184</v>
      </c>
      <c r="U172" s="9"/>
      <c r="W172" s="104">
        <f t="shared" si="236"/>
        <v>184.1</v>
      </c>
      <c r="X172" s="106">
        <f t="shared" si="236"/>
        <v>56</v>
      </c>
      <c r="Y172" s="102">
        <f t="shared" si="237"/>
        <v>90</v>
      </c>
      <c r="Z172" s="109">
        <f t="shared" si="237"/>
        <v>51000</v>
      </c>
      <c r="AA172" s="109">
        <f t="shared" si="238"/>
        <v>0</v>
      </c>
      <c r="AB172" s="109">
        <f t="shared" si="250"/>
        <v>51000</v>
      </c>
      <c r="AC172" s="4">
        <f t="shared" si="250"/>
        <v>0</v>
      </c>
      <c r="AD172" s="105">
        <f t="shared" si="250"/>
        <v>910.71428571428567</v>
      </c>
      <c r="AE172" s="75" t="str">
        <f t="shared" si="239"/>
        <v>계</v>
      </c>
      <c r="AF172" s="75" t="str">
        <f t="shared" si="240"/>
        <v>4/2</v>
      </c>
      <c r="AH172" s="20" t="str">
        <f t="shared" si="172"/>
        <v>장천동 진해장천대동다숲</v>
      </c>
      <c r="AI172" s="106">
        <f t="shared" si="173"/>
        <v>56</v>
      </c>
      <c r="AJ172" s="75" t="str">
        <f t="shared" si="241"/>
        <v>A-</v>
      </c>
      <c r="AK172" s="75" t="s">
        <v>14</v>
      </c>
      <c r="AL172" s="75" t="s">
        <v>870</v>
      </c>
      <c r="AM172" s="75" t="s">
        <v>871</v>
      </c>
      <c r="AN172" s="75" t="str">
        <f t="shared" si="242"/>
        <v>C</v>
      </c>
      <c r="AO172" s="75" t="str">
        <f t="shared" si="243"/>
        <v>X</v>
      </c>
      <c r="AP172" s="75" t="str">
        <f t="shared" si="244"/>
        <v>X</v>
      </c>
      <c r="AQ172" s="75" t="str">
        <f t="shared" si="245"/>
        <v>O</v>
      </c>
      <c r="AR172" s="75" t="str">
        <f t="shared" si="246"/>
        <v>X</v>
      </c>
      <c r="AS172" s="75" t="s">
        <v>2</v>
      </c>
      <c r="AT172" s="75" t="str">
        <f t="shared" si="247"/>
        <v>X</v>
      </c>
      <c r="AU172" s="75" t="str">
        <f t="shared" si="248"/>
        <v>O</v>
      </c>
      <c r="AV172" s="75" t="str">
        <f t="shared" si="249"/>
        <v>X</v>
      </c>
    </row>
    <row r="173" spans="1:48" s="38" customFormat="1" ht="12" x14ac:dyDescent="0.3">
      <c r="A173" s="110" t="s">
        <v>1042</v>
      </c>
      <c r="B173" s="111" t="s">
        <v>1043</v>
      </c>
      <c r="C173" s="112">
        <v>1264</v>
      </c>
      <c r="D173" s="104">
        <v>213.6</v>
      </c>
      <c r="E173" s="106">
        <v>65</v>
      </c>
      <c r="F173" s="104">
        <v>177.8</v>
      </c>
      <c r="G173" s="17">
        <v>54</v>
      </c>
      <c r="H173" s="107">
        <v>28</v>
      </c>
      <c r="I173" s="108">
        <v>57000</v>
      </c>
      <c r="J173" s="108" t="s">
        <v>868</v>
      </c>
      <c r="K173" s="108"/>
      <c r="L173" s="108"/>
      <c r="M173" s="109">
        <f t="shared" si="232"/>
        <v>57000</v>
      </c>
      <c r="N173" s="4">
        <f t="shared" si="233"/>
        <v>0</v>
      </c>
      <c r="O173" s="105">
        <f t="shared" si="234"/>
        <v>876.92307692307691</v>
      </c>
      <c r="P173" s="105">
        <f t="shared" si="235"/>
        <v>0</v>
      </c>
      <c r="Q173" s="75">
        <v>5</v>
      </c>
      <c r="R173" s="75">
        <v>2</v>
      </c>
      <c r="S173" s="75" t="s">
        <v>869</v>
      </c>
      <c r="T173" s="5">
        <v>213</v>
      </c>
      <c r="U173" s="9"/>
      <c r="W173" s="104">
        <f t="shared" si="236"/>
        <v>213.6</v>
      </c>
      <c r="X173" s="106">
        <f t="shared" si="236"/>
        <v>65</v>
      </c>
      <c r="Y173" s="102">
        <f t="shared" si="237"/>
        <v>28</v>
      </c>
      <c r="Z173" s="109">
        <f t="shared" si="237"/>
        <v>57000</v>
      </c>
      <c r="AA173" s="109">
        <f t="shared" si="238"/>
        <v>0</v>
      </c>
      <c r="AB173" s="109">
        <f t="shared" si="250"/>
        <v>57000</v>
      </c>
      <c r="AC173" s="4">
        <f t="shared" si="250"/>
        <v>0</v>
      </c>
      <c r="AD173" s="105">
        <f t="shared" si="250"/>
        <v>876.92307692307691</v>
      </c>
      <c r="AE173" s="75" t="str">
        <f t="shared" si="239"/>
        <v>계</v>
      </c>
      <c r="AF173" s="75" t="str">
        <f t="shared" si="240"/>
        <v>5/2</v>
      </c>
      <c r="AH173" s="20" t="str">
        <f t="shared" si="172"/>
        <v>장천동 진해장천대동다숲</v>
      </c>
      <c r="AI173" s="106">
        <f t="shared" si="173"/>
        <v>65</v>
      </c>
      <c r="AJ173" s="75" t="str">
        <f t="shared" si="241"/>
        <v>A-</v>
      </c>
      <c r="AK173" s="75" t="s">
        <v>14</v>
      </c>
      <c r="AL173" s="75" t="s">
        <v>870</v>
      </c>
      <c r="AM173" s="75" t="s">
        <v>871</v>
      </c>
      <c r="AN173" s="75" t="str">
        <f t="shared" si="242"/>
        <v>C</v>
      </c>
      <c r="AO173" s="75" t="str">
        <f t="shared" si="243"/>
        <v>X</v>
      </c>
      <c r="AP173" s="75" t="str">
        <f t="shared" si="244"/>
        <v>X</v>
      </c>
      <c r="AQ173" s="75" t="str">
        <f t="shared" si="245"/>
        <v>O</v>
      </c>
      <c r="AR173" s="75" t="str">
        <f t="shared" si="246"/>
        <v>X</v>
      </c>
      <c r="AS173" s="75" t="s">
        <v>2</v>
      </c>
      <c r="AT173" s="75" t="str">
        <f t="shared" si="247"/>
        <v>X</v>
      </c>
      <c r="AU173" s="75" t="str">
        <f t="shared" si="248"/>
        <v>O</v>
      </c>
      <c r="AV173" s="75" t="str">
        <f t="shared" si="249"/>
        <v>X</v>
      </c>
    </row>
    <row r="174" spans="1:48" s="38" customFormat="1" ht="12" x14ac:dyDescent="0.3">
      <c r="A174" s="110" t="s">
        <v>1042</v>
      </c>
      <c r="B174" s="111" t="s">
        <v>1043</v>
      </c>
      <c r="C174" s="112">
        <v>1264</v>
      </c>
      <c r="D174" s="104">
        <v>263.39999999999998</v>
      </c>
      <c r="E174" s="106">
        <v>80</v>
      </c>
      <c r="F174" s="104">
        <v>225.5</v>
      </c>
      <c r="G174" s="17">
        <v>68</v>
      </c>
      <c r="H174" s="107">
        <v>30</v>
      </c>
      <c r="I174" s="108">
        <v>65000</v>
      </c>
      <c r="J174" s="108" t="s">
        <v>901</v>
      </c>
      <c r="K174" s="108"/>
      <c r="L174" s="108"/>
      <c r="M174" s="109">
        <f t="shared" si="232"/>
        <v>65000</v>
      </c>
      <c r="N174" s="4">
        <f t="shared" si="233"/>
        <v>0</v>
      </c>
      <c r="O174" s="105">
        <f t="shared" si="234"/>
        <v>812.5</v>
      </c>
      <c r="P174" s="105">
        <f t="shared" si="235"/>
        <v>0</v>
      </c>
      <c r="Q174" s="75">
        <v>5</v>
      </c>
      <c r="R174" s="75">
        <v>3</v>
      </c>
      <c r="S174" s="75" t="s">
        <v>869</v>
      </c>
      <c r="T174" s="5">
        <v>263</v>
      </c>
      <c r="U174" s="9"/>
      <c r="W174" s="104">
        <f t="shared" si="236"/>
        <v>263.39999999999998</v>
      </c>
      <c r="X174" s="106">
        <f t="shared" si="236"/>
        <v>80</v>
      </c>
      <c r="Y174" s="102">
        <f t="shared" si="237"/>
        <v>30</v>
      </c>
      <c r="Z174" s="109">
        <f t="shared" si="237"/>
        <v>65000</v>
      </c>
      <c r="AA174" s="109">
        <f t="shared" si="238"/>
        <v>0</v>
      </c>
      <c r="AB174" s="109">
        <f t="shared" si="250"/>
        <v>65000</v>
      </c>
      <c r="AC174" s="4">
        <f t="shared" si="250"/>
        <v>0</v>
      </c>
      <c r="AD174" s="105">
        <f t="shared" si="250"/>
        <v>812.5</v>
      </c>
      <c r="AE174" s="75" t="str">
        <f t="shared" si="239"/>
        <v>계</v>
      </c>
      <c r="AF174" s="75" t="str">
        <f t="shared" si="240"/>
        <v>5/3</v>
      </c>
      <c r="AH174" s="20" t="str">
        <f t="shared" si="172"/>
        <v>장천동 진해장천대동다숲</v>
      </c>
      <c r="AI174" s="106">
        <f t="shared" si="173"/>
        <v>80</v>
      </c>
      <c r="AJ174" s="75" t="str">
        <f t="shared" si="241"/>
        <v>A-</v>
      </c>
      <c r="AK174" s="75" t="s">
        <v>14</v>
      </c>
      <c r="AL174" s="75" t="s">
        <v>870</v>
      </c>
      <c r="AM174" s="75" t="s">
        <v>871</v>
      </c>
      <c r="AN174" s="75" t="str">
        <f t="shared" si="242"/>
        <v>C</v>
      </c>
      <c r="AO174" s="75" t="str">
        <f t="shared" si="243"/>
        <v>X</v>
      </c>
      <c r="AP174" s="75" t="str">
        <f t="shared" si="244"/>
        <v>X</v>
      </c>
      <c r="AQ174" s="75" t="str">
        <f t="shared" si="245"/>
        <v>O</v>
      </c>
      <c r="AR174" s="75" t="str">
        <f t="shared" si="246"/>
        <v>X</v>
      </c>
      <c r="AS174" s="75" t="s">
        <v>2</v>
      </c>
      <c r="AT174" s="75" t="str">
        <f t="shared" si="247"/>
        <v>X</v>
      </c>
      <c r="AU174" s="75" t="str">
        <f t="shared" si="248"/>
        <v>O</v>
      </c>
      <c r="AV174" s="75" t="str">
        <f t="shared" si="249"/>
        <v>X</v>
      </c>
    </row>
    <row r="175" spans="1:48" s="38" customFormat="1" ht="12" x14ac:dyDescent="0.3">
      <c r="A175" s="110" t="s">
        <v>1044</v>
      </c>
      <c r="B175" s="111" t="s">
        <v>1045</v>
      </c>
      <c r="C175" s="112">
        <v>282</v>
      </c>
      <c r="D175" s="104">
        <v>109.7</v>
      </c>
      <c r="E175" s="106">
        <v>33</v>
      </c>
      <c r="F175" s="104">
        <v>84.9</v>
      </c>
      <c r="G175" s="17">
        <v>26</v>
      </c>
      <c r="H175" s="107">
        <v>147</v>
      </c>
      <c r="I175" s="108"/>
      <c r="J175" s="108"/>
      <c r="K175" s="108"/>
      <c r="L175" s="108"/>
      <c r="M175" s="109">
        <f t="shared" ref="M175:M187" si="251">I175-K175</f>
        <v>0</v>
      </c>
      <c r="N175" s="4" t="str">
        <f t="shared" ref="N175:N187" si="252">IF(ISERROR(K175/I175),"",K175/I175)</f>
        <v/>
      </c>
      <c r="O175" s="105">
        <f t="shared" ref="O175:O187" si="253">I175/E175</f>
        <v>0</v>
      </c>
      <c r="P175" s="105">
        <f t="shared" ref="P175:P187" si="254">K175/E175</f>
        <v>0</v>
      </c>
      <c r="Q175" s="75">
        <v>3</v>
      </c>
      <c r="R175" s="75">
        <v>2</v>
      </c>
      <c r="S175" s="75" t="s">
        <v>869</v>
      </c>
      <c r="T175" s="5">
        <v>109</v>
      </c>
      <c r="U175" s="9"/>
      <c r="W175" s="104">
        <f t="shared" ref="W175:X177" si="255">D175</f>
        <v>109.7</v>
      </c>
      <c r="X175" s="106">
        <f t="shared" si="255"/>
        <v>33</v>
      </c>
      <c r="Y175" s="102">
        <f t="shared" ref="Y175:Z177" si="256">H175</f>
        <v>147</v>
      </c>
      <c r="Z175" s="109">
        <f t="shared" si="256"/>
        <v>0</v>
      </c>
      <c r="AA175" s="109">
        <f t="shared" ref="AA175:AA187" si="257">K175</f>
        <v>0</v>
      </c>
      <c r="AB175" s="109">
        <f t="shared" si="250"/>
        <v>0</v>
      </c>
      <c r="AC175" s="4" t="str">
        <f t="shared" si="250"/>
        <v/>
      </c>
      <c r="AD175" s="105">
        <f t="shared" si="250"/>
        <v>0</v>
      </c>
      <c r="AE175" s="75" t="str">
        <f t="shared" ref="AE175:AE187" si="258">S175</f>
        <v>계</v>
      </c>
      <c r="AF175" s="75" t="str">
        <f t="shared" ref="AF175:AF187" si="259">Q175&amp;"/"&amp;R175</f>
        <v>3/2</v>
      </c>
      <c r="AH175" s="20" t="str">
        <f t="shared" si="172"/>
        <v>장천동 벽산e솔렌스힐</v>
      </c>
      <c r="AI175" s="106">
        <f t="shared" si="173"/>
        <v>33</v>
      </c>
      <c r="AJ175" s="75" t="str">
        <f t="shared" ref="AJ175:AJ187" si="260">IF(AI175="","",$AJ$2)</f>
        <v>A-</v>
      </c>
      <c r="AK175" s="75" t="s">
        <v>14</v>
      </c>
      <c r="AL175" s="75" t="s">
        <v>870</v>
      </c>
      <c r="AM175" s="75" t="s">
        <v>871</v>
      </c>
      <c r="AN175" s="75" t="str">
        <f t="shared" ref="AN175:AN187" si="261">IF(AI175="","",$AN$2)</f>
        <v>C</v>
      </c>
      <c r="AO175" s="75" t="str">
        <f t="shared" ref="AO175:AO187" si="262">IF(N175="","",IF(N175&gt;=$AO$1/100,"O","X"))</f>
        <v/>
      </c>
      <c r="AP175" s="75" t="str">
        <f t="shared" ref="AP175:AP187" si="263">IF(I175="","",IF(I175&lt;=$AP$1,"O","X"))</f>
        <v/>
      </c>
      <c r="AQ175" s="75" t="str">
        <f t="shared" ref="AQ175:AQ187" si="264">IF(O175="","",IF(O175&lt;=$AQ$1,"O","X"))</f>
        <v>O</v>
      </c>
      <c r="AR175" s="75" t="str">
        <f t="shared" ref="AR175:AR187" si="265">IF(M175="","",IF(M175&lt;=$AR$1,"O","X"))</f>
        <v>O</v>
      </c>
      <c r="AS175" s="75" t="s">
        <v>2</v>
      </c>
      <c r="AT175" s="75" t="str">
        <f t="shared" ref="AT175:AT187" si="266">IF(OR(F175="",AI175=""),"",IF(AND((F175&lt;=85),(AI175&gt;=15)),"O","X"))</f>
        <v>O</v>
      </c>
      <c r="AU175" s="75" t="str">
        <f t="shared" ref="AU175:AU187" si="267">IF(C175="","",IF(C175&gt;=$AU$1,"O","X"))</f>
        <v>X</v>
      </c>
      <c r="AV175" s="75" t="str">
        <f t="shared" ref="AV175:AV187" si="268">IF(AO175="","",IF(AND(AO175="O",AP175="O",AR175="O",AT175="O",AU175="O"),"후보","X"))</f>
        <v/>
      </c>
    </row>
    <row r="176" spans="1:48" s="38" customFormat="1" ht="12" x14ac:dyDescent="0.3">
      <c r="A176" s="110" t="s">
        <v>1044</v>
      </c>
      <c r="B176" s="111" t="s">
        <v>1045</v>
      </c>
      <c r="C176" s="112">
        <v>282</v>
      </c>
      <c r="D176" s="104">
        <v>151.19999999999999</v>
      </c>
      <c r="E176" s="106">
        <v>46</v>
      </c>
      <c r="F176" s="104">
        <v>120.7</v>
      </c>
      <c r="G176" s="17">
        <v>37</v>
      </c>
      <c r="H176" s="107">
        <v>45</v>
      </c>
      <c r="I176" s="108"/>
      <c r="J176" s="108"/>
      <c r="K176" s="108"/>
      <c r="L176" s="108"/>
      <c r="M176" s="109">
        <f t="shared" si="251"/>
        <v>0</v>
      </c>
      <c r="N176" s="4" t="str">
        <f t="shared" si="252"/>
        <v/>
      </c>
      <c r="O176" s="105">
        <f t="shared" si="253"/>
        <v>0</v>
      </c>
      <c r="P176" s="105">
        <f t="shared" si="254"/>
        <v>0</v>
      </c>
      <c r="Q176" s="75">
        <v>4</v>
      </c>
      <c r="R176" s="75">
        <v>2</v>
      </c>
      <c r="S176" s="75" t="s">
        <v>869</v>
      </c>
      <c r="T176" s="5">
        <v>151</v>
      </c>
      <c r="U176" s="9"/>
      <c r="W176" s="104">
        <f t="shared" si="255"/>
        <v>151.19999999999999</v>
      </c>
      <c r="X176" s="106">
        <f t="shared" si="255"/>
        <v>46</v>
      </c>
      <c r="Y176" s="102">
        <f t="shared" si="256"/>
        <v>45</v>
      </c>
      <c r="Z176" s="109">
        <f t="shared" si="256"/>
        <v>0</v>
      </c>
      <c r="AA176" s="109">
        <f t="shared" si="257"/>
        <v>0</v>
      </c>
      <c r="AB176" s="109">
        <f t="shared" ref="AB176:AD177" si="269">M176</f>
        <v>0</v>
      </c>
      <c r="AC176" s="4" t="str">
        <f t="shared" si="269"/>
        <v/>
      </c>
      <c r="AD176" s="105">
        <f t="shared" si="269"/>
        <v>0</v>
      </c>
      <c r="AE176" s="75" t="str">
        <f t="shared" si="258"/>
        <v>계</v>
      </c>
      <c r="AF176" s="75" t="str">
        <f t="shared" si="259"/>
        <v>4/2</v>
      </c>
      <c r="AH176" s="20" t="str">
        <f t="shared" si="172"/>
        <v>장천동 벽산e솔렌스힐</v>
      </c>
      <c r="AI176" s="106">
        <f t="shared" si="173"/>
        <v>46</v>
      </c>
      <c r="AJ176" s="75" t="str">
        <f t="shared" si="260"/>
        <v>A-</v>
      </c>
      <c r="AK176" s="75" t="s">
        <v>14</v>
      </c>
      <c r="AL176" s="75" t="s">
        <v>870</v>
      </c>
      <c r="AM176" s="75" t="s">
        <v>871</v>
      </c>
      <c r="AN176" s="75" t="str">
        <f t="shared" si="261"/>
        <v>C</v>
      </c>
      <c r="AO176" s="75" t="str">
        <f t="shared" si="262"/>
        <v/>
      </c>
      <c r="AP176" s="75" t="str">
        <f t="shared" si="263"/>
        <v/>
      </c>
      <c r="AQ176" s="75" t="str">
        <f t="shared" si="264"/>
        <v>O</v>
      </c>
      <c r="AR176" s="75" t="str">
        <f t="shared" si="265"/>
        <v>O</v>
      </c>
      <c r="AS176" s="75" t="s">
        <v>2</v>
      </c>
      <c r="AT176" s="75" t="str">
        <f t="shared" si="266"/>
        <v>X</v>
      </c>
      <c r="AU176" s="75" t="str">
        <f t="shared" si="267"/>
        <v>X</v>
      </c>
      <c r="AV176" s="75" t="str">
        <f t="shared" si="268"/>
        <v/>
      </c>
    </row>
    <row r="177" spans="1:48" s="38" customFormat="1" ht="12" x14ac:dyDescent="0.3">
      <c r="A177" s="110" t="s">
        <v>1044</v>
      </c>
      <c r="B177" s="111" t="s">
        <v>1045</v>
      </c>
      <c r="C177" s="112">
        <v>282</v>
      </c>
      <c r="D177" s="104">
        <v>174.5</v>
      </c>
      <c r="E177" s="106">
        <v>53</v>
      </c>
      <c r="F177" s="104">
        <v>140.5</v>
      </c>
      <c r="G177" s="17">
        <v>42</v>
      </c>
      <c r="H177" s="107">
        <v>90</v>
      </c>
      <c r="I177" s="108"/>
      <c r="J177" s="108"/>
      <c r="K177" s="108"/>
      <c r="L177" s="108"/>
      <c r="M177" s="109">
        <f t="shared" si="251"/>
        <v>0</v>
      </c>
      <c r="N177" s="4" t="str">
        <f t="shared" si="252"/>
        <v/>
      </c>
      <c r="O177" s="105">
        <f t="shared" si="253"/>
        <v>0</v>
      </c>
      <c r="P177" s="105">
        <f t="shared" si="254"/>
        <v>0</v>
      </c>
      <c r="Q177" s="75">
        <v>4</v>
      </c>
      <c r="R177" s="75">
        <v>2</v>
      </c>
      <c r="S177" s="75" t="s">
        <v>869</v>
      </c>
      <c r="T177" s="5">
        <v>174</v>
      </c>
      <c r="U177" s="9"/>
      <c r="W177" s="104">
        <f t="shared" si="255"/>
        <v>174.5</v>
      </c>
      <c r="X177" s="106">
        <f t="shared" si="255"/>
        <v>53</v>
      </c>
      <c r="Y177" s="102">
        <f t="shared" si="256"/>
        <v>90</v>
      </c>
      <c r="Z177" s="109">
        <f t="shared" si="256"/>
        <v>0</v>
      </c>
      <c r="AA177" s="109">
        <f t="shared" si="257"/>
        <v>0</v>
      </c>
      <c r="AB177" s="109">
        <f t="shared" si="269"/>
        <v>0</v>
      </c>
      <c r="AC177" s="4" t="str">
        <f t="shared" si="269"/>
        <v/>
      </c>
      <c r="AD177" s="105">
        <f t="shared" si="269"/>
        <v>0</v>
      </c>
      <c r="AE177" s="75" t="str">
        <f t="shared" si="258"/>
        <v>계</v>
      </c>
      <c r="AF177" s="75" t="str">
        <f t="shared" si="259"/>
        <v>4/2</v>
      </c>
      <c r="AH177" s="20" t="str">
        <f t="shared" si="172"/>
        <v>장천동 벽산e솔렌스힐</v>
      </c>
      <c r="AI177" s="106">
        <f t="shared" si="173"/>
        <v>53</v>
      </c>
      <c r="AJ177" s="75" t="str">
        <f t="shared" si="260"/>
        <v>A-</v>
      </c>
      <c r="AK177" s="75" t="s">
        <v>14</v>
      </c>
      <c r="AL177" s="75" t="s">
        <v>870</v>
      </c>
      <c r="AM177" s="75" t="s">
        <v>871</v>
      </c>
      <c r="AN177" s="75" t="str">
        <f t="shared" si="261"/>
        <v>C</v>
      </c>
      <c r="AO177" s="75" t="str">
        <f t="shared" si="262"/>
        <v/>
      </c>
      <c r="AP177" s="75" t="str">
        <f t="shared" si="263"/>
        <v/>
      </c>
      <c r="AQ177" s="75" t="str">
        <f t="shared" si="264"/>
        <v>O</v>
      </c>
      <c r="AR177" s="75" t="str">
        <f t="shared" si="265"/>
        <v>O</v>
      </c>
      <c r="AS177" s="75" t="s">
        <v>2</v>
      </c>
      <c r="AT177" s="75" t="str">
        <f t="shared" si="266"/>
        <v>X</v>
      </c>
      <c r="AU177" s="75" t="str">
        <f t="shared" si="267"/>
        <v>X</v>
      </c>
      <c r="AV177" s="75" t="str">
        <f t="shared" si="268"/>
        <v/>
      </c>
    </row>
    <row r="178" spans="1:48" s="38" customFormat="1" ht="12" x14ac:dyDescent="0.3">
      <c r="A178" s="110" t="s">
        <v>1046</v>
      </c>
      <c r="B178" s="111" t="s">
        <v>1047</v>
      </c>
      <c r="C178" s="112">
        <v>440</v>
      </c>
      <c r="D178" s="104">
        <v>77.8</v>
      </c>
      <c r="E178" s="106">
        <v>24</v>
      </c>
      <c r="F178" s="104">
        <v>59.8</v>
      </c>
      <c r="G178" s="17">
        <v>18</v>
      </c>
      <c r="H178" s="107">
        <v>440</v>
      </c>
      <c r="I178" s="108">
        <v>12000</v>
      </c>
      <c r="J178" s="108" t="s">
        <v>897</v>
      </c>
      <c r="K178" s="108"/>
      <c r="L178" s="108"/>
      <c r="M178" s="109">
        <f t="shared" si="251"/>
        <v>12000</v>
      </c>
      <c r="N178" s="4">
        <f t="shared" si="252"/>
        <v>0</v>
      </c>
      <c r="O178" s="105">
        <f t="shared" si="253"/>
        <v>500</v>
      </c>
      <c r="P178" s="105">
        <f t="shared" si="254"/>
        <v>0</v>
      </c>
      <c r="Q178" s="75">
        <v>3</v>
      </c>
      <c r="R178" s="75">
        <v>2</v>
      </c>
      <c r="S178" s="75" t="s">
        <v>869</v>
      </c>
      <c r="T178" s="5">
        <v>77</v>
      </c>
      <c r="U178" s="9"/>
      <c r="W178" s="104">
        <f t="shared" ref="W178:X182" si="270">D178</f>
        <v>77.8</v>
      </c>
      <c r="X178" s="106">
        <f t="shared" si="270"/>
        <v>24</v>
      </c>
      <c r="Y178" s="102">
        <f t="shared" ref="Y178:Z182" si="271">H178</f>
        <v>440</v>
      </c>
      <c r="Z178" s="109">
        <f t="shared" si="271"/>
        <v>12000</v>
      </c>
      <c r="AA178" s="109">
        <f t="shared" si="257"/>
        <v>0</v>
      </c>
      <c r="AB178" s="109">
        <f>M178</f>
        <v>12000</v>
      </c>
      <c r="AC178" s="4">
        <f>N178</f>
        <v>0</v>
      </c>
      <c r="AD178" s="105">
        <f>O178</f>
        <v>500</v>
      </c>
      <c r="AE178" s="75" t="str">
        <f t="shared" si="258"/>
        <v>계</v>
      </c>
      <c r="AF178" s="75" t="str">
        <f t="shared" si="259"/>
        <v>3/2</v>
      </c>
      <c r="AH178" s="20" t="str">
        <f t="shared" si="172"/>
        <v>청안동 부영2차</v>
      </c>
      <c r="AI178" s="106">
        <f t="shared" si="173"/>
        <v>24</v>
      </c>
      <c r="AJ178" s="75" t="str">
        <f t="shared" si="260"/>
        <v>A-</v>
      </c>
      <c r="AK178" s="75" t="s">
        <v>14</v>
      </c>
      <c r="AL178" s="75" t="s">
        <v>870</v>
      </c>
      <c r="AM178" s="75" t="s">
        <v>871</v>
      </c>
      <c r="AN178" s="75" t="str">
        <f t="shared" si="261"/>
        <v>C</v>
      </c>
      <c r="AO178" s="75" t="str">
        <f t="shared" si="262"/>
        <v>X</v>
      </c>
      <c r="AP178" s="75" t="str">
        <f t="shared" si="263"/>
        <v>O</v>
      </c>
      <c r="AQ178" s="75" t="str">
        <f t="shared" si="264"/>
        <v>O</v>
      </c>
      <c r="AR178" s="75" t="str">
        <f t="shared" si="265"/>
        <v>X</v>
      </c>
      <c r="AS178" s="75" t="s">
        <v>2</v>
      </c>
      <c r="AT178" s="75" t="str">
        <f t="shared" si="266"/>
        <v>O</v>
      </c>
      <c r="AU178" s="75" t="str">
        <f t="shared" si="267"/>
        <v>O</v>
      </c>
      <c r="AV178" s="75" t="str">
        <f t="shared" si="268"/>
        <v>X</v>
      </c>
    </row>
    <row r="179" spans="1:48" s="38" customFormat="1" ht="12" x14ac:dyDescent="0.3">
      <c r="A179" s="110" t="s">
        <v>1048</v>
      </c>
      <c r="B179" s="111" t="s">
        <v>1049</v>
      </c>
      <c r="C179" s="112">
        <v>1275</v>
      </c>
      <c r="D179" s="104">
        <v>68</v>
      </c>
      <c r="E179" s="106">
        <v>21</v>
      </c>
      <c r="F179" s="104">
        <v>49.8</v>
      </c>
      <c r="G179" s="17">
        <v>15</v>
      </c>
      <c r="H179" s="107">
        <v>705</v>
      </c>
      <c r="I179" s="108">
        <v>8000</v>
      </c>
      <c r="J179" s="108" t="s">
        <v>885</v>
      </c>
      <c r="K179" s="108">
        <v>8000</v>
      </c>
      <c r="L179" s="108" t="s">
        <v>888</v>
      </c>
      <c r="M179" s="109">
        <f t="shared" si="251"/>
        <v>0</v>
      </c>
      <c r="N179" s="4">
        <f t="shared" si="252"/>
        <v>1</v>
      </c>
      <c r="O179" s="105">
        <f t="shared" si="253"/>
        <v>380.95238095238096</v>
      </c>
      <c r="P179" s="105">
        <f t="shared" si="254"/>
        <v>380.95238095238096</v>
      </c>
      <c r="Q179" s="75">
        <v>2</v>
      </c>
      <c r="R179" s="75">
        <v>1</v>
      </c>
      <c r="S179" s="75" t="s">
        <v>903</v>
      </c>
      <c r="T179" s="5">
        <v>67</v>
      </c>
      <c r="U179" s="9"/>
      <c r="W179" s="104">
        <f t="shared" si="270"/>
        <v>68</v>
      </c>
      <c r="X179" s="106">
        <f t="shared" si="270"/>
        <v>21</v>
      </c>
      <c r="Y179" s="102">
        <f t="shared" si="271"/>
        <v>705</v>
      </c>
      <c r="Z179" s="109">
        <f t="shared" si="271"/>
        <v>8000</v>
      </c>
      <c r="AA179" s="109">
        <f t="shared" si="257"/>
        <v>8000</v>
      </c>
      <c r="AB179" s="109">
        <f t="shared" ref="AB179:AD180" si="272">M179</f>
        <v>0</v>
      </c>
      <c r="AC179" s="4">
        <f t="shared" si="272"/>
        <v>1</v>
      </c>
      <c r="AD179" s="105">
        <f t="shared" si="272"/>
        <v>380.95238095238096</v>
      </c>
      <c r="AE179" s="75" t="str">
        <f t="shared" si="258"/>
        <v>복</v>
      </c>
      <c r="AF179" s="75" t="str">
        <f t="shared" si="259"/>
        <v>2/1</v>
      </c>
      <c r="AH179" s="20" t="str">
        <f t="shared" si="172"/>
        <v>청안동 부영3차</v>
      </c>
      <c r="AI179" s="106">
        <f t="shared" si="173"/>
        <v>21</v>
      </c>
      <c r="AJ179" s="75" t="str">
        <f t="shared" si="260"/>
        <v>A-</v>
      </c>
      <c r="AK179" s="75" t="s">
        <v>14</v>
      </c>
      <c r="AL179" s="75" t="s">
        <v>870</v>
      </c>
      <c r="AM179" s="75" t="s">
        <v>871</v>
      </c>
      <c r="AN179" s="75" t="str">
        <f t="shared" si="261"/>
        <v>C</v>
      </c>
      <c r="AO179" s="75" t="str">
        <f t="shared" si="262"/>
        <v>O</v>
      </c>
      <c r="AP179" s="75" t="str">
        <f t="shared" si="263"/>
        <v>O</v>
      </c>
      <c r="AQ179" s="75" t="str">
        <f t="shared" si="264"/>
        <v>O</v>
      </c>
      <c r="AR179" s="75" t="str">
        <f t="shared" si="265"/>
        <v>O</v>
      </c>
      <c r="AS179" s="75" t="s">
        <v>2</v>
      </c>
      <c r="AT179" s="75" t="str">
        <f t="shared" si="266"/>
        <v>O</v>
      </c>
      <c r="AU179" s="75" t="str">
        <f t="shared" si="267"/>
        <v>O</v>
      </c>
      <c r="AV179" s="75" t="str">
        <f t="shared" si="268"/>
        <v>후보</v>
      </c>
    </row>
    <row r="180" spans="1:48" s="38" customFormat="1" ht="12" x14ac:dyDescent="0.3">
      <c r="A180" s="110" t="s">
        <v>1048</v>
      </c>
      <c r="B180" s="111" t="s">
        <v>1049</v>
      </c>
      <c r="C180" s="112">
        <v>1275</v>
      </c>
      <c r="D180" s="104">
        <v>78.2</v>
      </c>
      <c r="E180" s="106">
        <v>24</v>
      </c>
      <c r="F180" s="104">
        <v>59.8</v>
      </c>
      <c r="G180" s="17">
        <v>18</v>
      </c>
      <c r="H180" s="107">
        <v>570</v>
      </c>
      <c r="I180" s="108">
        <v>13000</v>
      </c>
      <c r="J180" s="108" t="s">
        <v>898</v>
      </c>
      <c r="K180" s="108"/>
      <c r="L180" s="108"/>
      <c r="M180" s="109">
        <f t="shared" si="251"/>
        <v>13000</v>
      </c>
      <c r="N180" s="4">
        <f t="shared" si="252"/>
        <v>0</v>
      </c>
      <c r="O180" s="105">
        <f t="shared" si="253"/>
        <v>541.66666666666663</v>
      </c>
      <c r="P180" s="105">
        <f t="shared" si="254"/>
        <v>0</v>
      </c>
      <c r="Q180" s="75">
        <v>3</v>
      </c>
      <c r="R180" s="75">
        <v>2</v>
      </c>
      <c r="S180" s="75" t="s">
        <v>869</v>
      </c>
      <c r="T180" s="5">
        <v>78</v>
      </c>
      <c r="U180" s="9"/>
      <c r="W180" s="104">
        <f t="shared" si="270"/>
        <v>78.2</v>
      </c>
      <c r="X180" s="106">
        <f t="shared" si="270"/>
        <v>24</v>
      </c>
      <c r="Y180" s="102">
        <f t="shared" si="271"/>
        <v>570</v>
      </c>
      <c r="Z180" s="109">
        <f t="shared" si="271"/>
        <v>13000</v>
      </c>
      <c r="AA180" s="109">
        <f t="shared" si="257"/>
        <v>0</v>
      </c>
      <c r="AB180" s="109">
        <f t="shared" si="272"/>
        <v>13000</v>
      </c>
      <c r="AC180" s="4">
        <f t="shared" si="272"/>
        <v>0</v>
      </c>
      <c r="AD180" s="105">
        <f t="shared" si="272"/>
        <v>541.66666666666663</v>
      </c>
      <c r="AE180" s="75" t="str">
        <f t="shared" si="258"/>
        <v>계</v>
      </c>
      <c r="AF180" s="75" t="str">
        <f t="shared" si="259"/>
        <v>3/2</v>
      </c>
      <c r="AH180" s="20" t="str">
        <f t="shared" si="172"/>
        <v>청안동 부영3차</v>
      </c>
      <c r="AI180" s="106">
        <f t="shared" si="173"/>
        <v>24</v>
      </c>
      <c r="AJ180" s="75" t="str">
        <f t="shared" si="260"/>
        <v>A-</v>
      </c>
      <c r="AK180" s="75" t="s">
        <v>14</v>
      </c>
      <c r="AL180" s="75" t="s">
        <v>870</v>
      </c>
      <c r="AM180" s="75" t="s">
        <v>871</v>
      </c>
      <c r="AN180" s="75" t="str">
        <f t="shared" si="261"/>
        <v>C</v>
      </c>
      <c r="AO180" s="75" t="str">
        <f t="shared" si="262"/>
        <v>X</v>
      </c>
      <c r="AP180" s="75" t="str">
        <f t="shared" si="263"/>
        <v>O</v>
      </c>
      <c r="AQ180" s="75" t="str">
        <f t="shared" si="264"/>
        <v>O</v>
      </c>
      <c r="AR180" s="75" t="str">
        <f t="shared" si="265"/>
        <v>X</v>
      </c>
      <c r="AS180" s="75" t="s">
        <v>2</v>
      </c>
      <c r="AT180" s="75" t="str">
        <f t="shared" si="266"/>
        <v>O</v>
      </c>
      <c r="AU180" s="75" t="str">
        <f t="shared" si="267"/>
        <v>O</v>
      </c>
      <c r="AV180" s="75" t="str">
        <f t="shared" si="268"/>
        <v>X</v>
      </c>
    </row>
    <row r="181" spans="1:48" s="38" customFormat="1" ht="12" x14ac:dyDescent="0.3">
      <c r="A181" s="110" t="s">
        <v>1050</v>
      </c>
      <c r="B181" s="111" t="s">
        <v>1051</v>
      </c>
      <c r="C181" s="112">
        <v>906</v>
      </c>
      <c r="D181" s="104">
        <v>113.3</v>
      </c>
      <c r="E181" s="106">
        <v>34</v>
      </c>
      <c r="F181" s="104">
        <v>85</v>
      </c>
      <c r="G181" s="17">
        <v>26</v>
      </c>
      <c r="H181" s="107">
        <v>906</v>
      </c>
      <c r="I181" s="108"/>
      <c r="J181" s="108"/>
      <c r="K181" s="108"/>
      <c r="L181" s="108"/>
      <c r="M181" s="109">
        <f t="shared" si="251"/>
        <v>0</v>
      </c>
      <c r="N181" s="4" t="str">
        <f t="shared" si="252"/>
        <v/>
      </c>
      <c r="O181" s="105">
        <f t="shared" si="253"/>
        <v>0</v>
      </c>
      <c r="P181" s="105">
        <f t="shared" si="254"/>
        <v>0</v>
      </c>
      <c r="Q181" s="75">
        <v>3</v>
      </c>
      <c r="R181" s="75">
        <v>2</v>
      </c>
      <c r="S181" s="75" t="s">
        <v>869</v>
      </c>
      <c r="T181" s="5">
        <v>113</v>
      </c>
      <c r="U181" s="9"/>
      <c r="W181" s="104">
        <f t="shared" si="270"/>
        <v>113.3</v>
      </c>
      <c r="X181" s="106">
        <f t="shared" si="270"/>
        <v>34</v>
      </c>
      <c r="Y181" s="102">
        <f t="shared" si="271"/>
        <v>906</v>
      </c>
      <c r="Z181" s="109">
        <f t="shared" si="271"/>
        <v>0</v>
      </c>
      <c r="AA181" s="109">
        <f t="shared" si="257"/>
        <v>0</v>
      </c>
      <c r="AB181" s="109">
        <f t="shared" ref="AB181:AD182" si="273">M181</f>
        <v>0</v>
      </c>
      <c r="AC181" s="4" t="str">
        <f t="shared" si="273"/>
        <v/>
      </c>
      <c r="AD181" s="105">
        <f t="shared" si="273"/>
        <v>0</v>
      </c>
      <c r="AE181" s="75" t="str">
        <f t="shared" si="258"/>
        <v>계</v>
      </c>
      <c r="AF181" s="75" t="str">
        <f t="shared" si="259"/>
        <v>3/2</v>
      </c>
      <c r="AH181" s="20" t="str">
        <f t="shared" si="172"/>
        <v>청안동 부영1차</v>
      </c>
      <c r="AI181" s="106">
        <f t="shared" si="173"/>
        <v>34</v>
      </c>
      <c r="AJ181" s="75" t="str">
        <f t="shared" si="260"/>
        <v>A-</v>
      </c>
      <c r="AK181" s="75" t="s">
        <v>14</v>
      </c>
      <c r="AL181" s="75" t="s">
        <v>870</v>
      </c>
      <c r="AM181" s="75" t="s">
        <v>871</v>
      </c>
      <c r="AN181" s="75" t="str">
        <f t="shared" si="261"/>
        <v>C</v>
      </c>
      <c r="AO181" s="75" t="str">
        <f t="shared" si="262"/>
        <v/>
      </c>
      <c r="AP181" s="75" t="str">
        <f t="shared" si="263"/>
        <v/>
      </c>
      <c r="AQ181" s="75" t="str">
        <f t="shared" si="264"/>
        <v>O</v>
      </c>
      <c r="AR181" s="75" t="str">
        <f t="shared" si="265"/>
        <v>O</v>
      </c>
      <c r="AS181" s="75" t="s">
        <v>2</v>
      </c>
      <c r="AT181" s="75" t="str">
        <f t="shared" si="266"/>
        <v>O</v>
      </c>
      <c r="AU181" s="75" t="str">
        <f t="shared" si="267"/>
        <v>O</v>
      </c>
      <c r="AV181" s="75" t="str">
        <f t="shared" si="268"/>
        <v/>
      </c>
    </row>
    <row r="182" spans="1:48" s="38" customFormat="1" ht="12" x14ac:dyDescent="0.3">
      <c r="A182" s="110" t="s">
        <v>1052</v>
      </c>
      <c r="B182" s="111" t="s">
        <v>1053</v>
      </c>
      <c r="C182" s="112">
        <v>1170</v>
      </c>
      <c r="D182" s="104">
        <v>76.900000000000006</v>
      </c>
      <c r="E182" s="106">
        <v>23</v>
      </c>
      <c r="F182" s="104">
        <v>60</v>
      </c>
      <c r="G182" s="17">
        <v>18</v>
      </c>
      <c r="H182" s="107">
        <v>1170</v>
      </c>
      <c r="I182" s="108">
        <v>12000</v>
      </c>
      <c r="J182" s="108" t="s">
        <v>873</v>
      </c>
      <c r="K182" s="108">
        <v>12000</v>
      </c>
      <c r="L182" s="108" t="s">
        <v>872</v>
      </c>
      <c r="M182" s="109">
        <f t="shared" si="251"/>
        <v>0</v>
      </c>
      <c r="N182" s="4">
        <f t="shared" si="252"/>
        <v>1</v>
      </c>
      <c r="O182" s="105">
        <f t="shared" si="253"/>
        <v>521.73913043478262</v>
      </c>
      <c r="P182" s="105">
        <f t="shared" si="254"/>
        <v>521.73913043478262</v>
      </c>
      <c r="Q182" s="75">
        <v>3</v>
      </c>
      <c r="R182" s="75">
        <v>2</v>
      </c>
      <c r="S182" s="75" t="s">
        <v>869</v>
      </c>
      <c r="T182" s="5">
        <v>76</v>
      </c>
      <c r="U182" s="9"/>
      <c r="W182" s="104">
        <f t="shared" si="270"/>
        <v>76.900000000000006</v>
      </c>
      <c r="X182" s="106">
        <f t="shared" si="270"/>
        <v>23</v>
      </c>
      <c r="Y182" s="102">
        <f t="shared" si="271"/>
        <v>1170</v>
      </c>
      <c r="Z182" s="109">
        <f t="shared" si="271"/>
        <v>12000</v>
      </c>
      <c r="AA182" s="109">
        <f t="shared" si="257"/>
        <v>12000</v>
      </c>
      <c r="AB182" s="109">
        <f t="shared" si="273"/>
        <v>0</v>
      </c>
      <c r="AC182" s="4">
        <f t="shared" si="273"/>
        <v>1</v>
      </c>
      <c r="AD182" s="105">
        <f t="shared" si="273"/>
        <v>521.73913043478262</v>
      </c>
      <c r="AE182" s="75" t="str">
        <f t="shared" si="258"/>
        <v>계</v>
      </c>
      <c r="AF182" s="75" t="str">
        <f t="shared" si="259"/>
        <v>3/2</v>
      </c>
      <c r="AH182" s="20" t="str">
        <f t="shared" si="172"/>
        <v>청안동 풍림</v>
      </c>
      <c r="AI182" s="106">
        <f t="shared" si="173"/>
        <v>23</v>
      </c>
      <c r="AJ182" s="75" t="str">
        <f t="shared" si="260"/>
        <v>A-</v>
      </c>
      <c r="AK182" s="75" t="s">
        <v>14</v>
      </c>
      <c r="AL182" s="75" t="s">
        <v>870</v>
      </c>
      <c r="AM182" s="75" t="s">
        <v>871</v>
      </c>
      <c r="AN182" s="75" t="str">
        <f t="shared" si="261"/>
        <v>C</v>
      </c>
      <c r="AO182" s="75" t="str">
        <f t="shared" si="262"/>
        <v>O</v>
      </c>
      <c r="AP182" s="75" t="str">
        <f t="shared" si="263"/>
        <v>O</v>
      </c>
      <c r="AQ182" s="75" t="str">
        <f t="shared" si="264"/>
        <v>O</v>
      </c>
      <c r="AR182" s="75" t="str">
        <f t="shared" si="265"/>
        <v>O</v>
      </c>
      <c r="AS182" s="75" t="s">
        <v>2</v>
      </c>
      <c r="AT182" s="75" t="str">
        <f t="shared" si="266"/>
        <v>O</v>
      </c>
      <c r="AU182" s="75" t="str">
        <f t="shared" si="267"/>
        <v>O</v>
      </c>
      <c r="AV182" s="75" t="str">
        <f t="shared" si="268"/>
        <v>후보</v>
      </c>
    </row>
    <row r="183" spans="1:48" s="38" customFormat="1" ht="12" x14ac:dyDescent="0.3">
      <c r="A183" s="110" t="s">
        <v>1054</v>
      </c>
      <c r="B183" s="111" t="s">
        <v>1055</v>
      </c>
      <c r="C183" s="112">
        <v>1140</v>
      </c>
      <c r="D183" s="104">
        <v>77</v>
      </c>
      <c r="E183" s="106">
        <v>23</v>
      </c>
      <c r="F183" s="104">
        <v>59.8</v>
      </c>
      <c r="G183" s="17">
        <v>18</v>
      </c>
      <c r="H183" s="107">
        <v>210</v>
      </c>
      <c r="I183" s="108">
        <v>11000</v>
      </c>
      <c r="J183" s="108" t="s">
        <v>872</v>
      </c>
      <c r="K183" s="108">
        <v>13000</v>
      </c>
      <c r="L183" s="108" t="s">
        <v>868</v>
      </c>
      <c r="M183" s="109">
        <f t="shared" si="251"/>
        <v>-2000</v>
      </c>
      <c r="N183" s="4">
        <f t="shared" si="252"/>
        <v>1.1818181818181819</v>
      </c>
      <c r="O183" s="105">
        <f t="shared" si="253"/>
        <v>478.26086956521738</v>
      </c>
      <c r="P183" s="105">
        <f t="shared" si="254"/>
        <v>565.21739130434787</v>
      </c>
      <c r="Q183" s="75">
        <v>2</v>
      </c>
      <c r="R183" s="75">
        <v>1</v>
      </c>
      <c r="S183" s="75" t="s">
        <v>869</v>
      </c>
      <c r="T183" s="5" t="s">
        <v>728</v>
      </c>
      <c r="U183" s="9"/>
      <c r="W183" s="104">
        <f t="shared" ref="W183:X185" si="274">D183</f>
        <v>77</v>
      </c>
      <c r="X183" s="106">
        <f t="shared" si="274"/>
        <v>23</v>
      </c>
      <c r="Y183" s="102">
        <f t="shared" ref="Y183:Z185" si="275">H183</f>
        <v>210</v>
      </c>
      <c r="Z183" s="109">
        <f t="shared" si="275"/>
        <v>11000</v>
      </c>
      <c r="AA183" s="109">
        <f t="shared" si="257"/>
        <v>13000</v>
      </c>
      <c r="AB183" s="109">
        <f t="shared" ref="AB183:AD198" si="276">M183</f>
        <v>-2000</v>
      </c>
      <c r="AC183" s="4">
        <f t="shared" si="276"/>
        <v>1.1818181818181819</v>
      </c>
      <c r="AD183" s="105">
        <f t="shared" si="276"/>
        <v>478.26086956521738</v>
      </c>
      <c r="AE183" s="75" t="str">
        <f t="shared" si="258"/>
        <v>계</v>
      </c>
      <c r="AF183" s="75" t="str">
        <f t="shared" si="259"/>
        <v>2/1</v>
      </c>
      <c r="AH183" s="20" t="str">
        <f t="shared" si="172"/>
        <v>청안동 해인로즈빌</v>
      </c>
      <c r="AI183" s="106">
        <f t="shared" si="173"/>
        <v>23</v>
      </c>
      <c r="AJ183" s="75" t="str">
        <f t="shared" si="260"/>
        <v>A-</v>
      </c>
      <c r="AK183" s="75" t="s">
        <v>14</v>
      </c>
      <c r="AL183" s="75" t="s">
        <v>870</v>
      </c>
      <c r="AM183" s="75" t="s">
        <v>871</v>
      </c>
      <c r="AN183" s="75" t="str">
        <f t="shared" si="261"/>
        <v>C</v>
      </c>
      <c r="AO183" s="75" t="str">
        <f t="shared" si="262"/>
        <v>O</v>
      </c>
      <c r="AP183" s="75" t="str">
        <f t="shared" si="263"/>
        <v>O</v>
      </c>
      <c r="AQ183" s="75" t="str">
        <f t="shared" si="264"/>
        <v>O</v>
      </c>
      <c r="AR183" s="75" t="str">
        <f t="shared" si="265"/>
        <v>O</v>
      </c>
      <c r="AS183" s="75" t="s">
        <v>2</v>
      </c>
      <c r="AT183" s="75" t="str">
        <f t="shared" si="266"/>
        <v>O</v>
      </c>
      <c r="AU183" s="75" t="str">
        <f t="shared" si="267"/>
        <v>O</v>
      </c>
      <c r="AV183" s="75" t="str">
        <f t="shared" si="268"/>
        <v>후보</v>
      </c>
    </row>
    <row r="184" spans="1:48" s="38" customFormat="1" ht="12" x14ac:dyDescent="0.3">
      <c r="A184" s="110" t="s">
        <v>1054</v>
      </c>
      <c r="B184" s="111" t="s">
        <v>1055</v>
      </c>
      <c r="C184" s="112">
        <v>1140</v>
      </c>
      <c r="D184" s="104">
        <v>79</v>
      </c>
      <c r="E184" s="106">
        <v>24</v>
      </c>
      <c r="F184" s="104">
        <v>60</v>
      </c>
      <c r="G184" s="17">
        <v>18</v>
      </c>
      <c r="H184" s="107">
        <v>690</v>
      </c>
      <c r="I184" s="108">
        <v>12000</v>
      </c>
      <c r="J184" s="108" t="s">
        <v>897</v>
      </c>
      <c r="K184" s="108">
        <v>11000</v>
      </c>
      <c r="L184" s="108" t="s">
        <v>901</v>
      </c>
      <c r="M184" s="109">
        <f t="shared" si="251"/>
        <v>1000</v>
      </c>
      <c r="N184" s="4">
        <f t="shared" si="252"/>
        <v>0.91666666666666663</v>
      </c>
      <c r="O184" s="105">
        <f t="shared" si="253"/>
        <v>500</v>
      </c>
      <c r="P184" s="105">
        <f t="shared" si="254"/>
        <v>458.33333333333331</v>
      </c>
      <c r="Q184" s="75">
        <v>3</v>
      </c>
      <c r="R184" s="75">
        <v>2</v>
      </c>
      <c r="S184" s="75" t="s">
        <v>869</v>
      </c>
      <c r="T184" s="5" t="s">
        <v>732</v>
      </c>
      <c r="U184" s="9"/>
      <c r="W184" s="104">
        <f t="shared" si="274"/>
        <v>79</v>
      </c>
      <c r="X184" s="106">
        <f t="shared" si="274"/>
        <v>24</v>
      </c>
      <c r="Y184" s="102">
        <f t="shared" si="275"/>
        <v>690</v>
      </c>
      <c r="Z184" s="109">
        <f t="shared" si="275"/>
        <v>12000</v>
      </c>
      <c r="AA184" s="109">
        <f t="shared" si="257"/>
        <v>11000</v>
      </c>
      <c r="AB184" s="109">
        <f t="shared" si="276"/>
        <v>1000</v>
      </c>
      <c r="AC184" s="4">
        <f t="shared" si="276"/>
        <v>0.91666666666666663</v>
      </c>
      <c r="AD184" s="105">
        <f t="shared" si="276"/>
        <v>500</v>
      </c>
      <c r="AE184" s="75" t="str">
        <f t="shared" si="258"/>
        <v>계</v>
      </c>
      <c r="AF184" s="75" t="str">
        <f t="shared" si="259"/>
        <v>3/2</v>
      </c>
      <c r="AH184" s="20" t="str">
        <f t="shared" si="172"/>
        <v>청안동 해인로즈빌</v>
      </c>
      <c r="AI184" s="106">
        <f t="shared" si="173"/>
        <v>24</v>
      </c>
      <c r="AJ184" s="75" t="str">
        <f t="shared" si="260"/>
        <v>A-</v>
      </c>
      <c r="AK184" s="75" t="s">
        <v>14</v>
      </c>
      <c r="AL184" s="75" t="s">
        <v>870</v>
      </c>
      <c r="AM184" s="75" t="s">
        <v>871</v>
      </c>
      <c r="AN184" s="75" t="str">
        <f t="shared" si="261"/>
        <v>C</v>
      </c>
      <c r="AO184" s="75" t="str">
        <f t="shared" si="262"/>
        <v>O</v>
      </c>
      <c r="AP184" s="75" t="str">
        <f t="shared" si="263"/>
        <v>O</v>
      </c>
      <c r="AQ184" s="75" t="str">
        <f t="shared" si="264"/>
        <v>O</v>
      </c>
      <c r="AR184" s="75" t="str">
        <f t="shared" si="265"/>
        <v>O</v>
      </c>
      <c r="AS184" s="75" t="s">
        <v>2</v>
      </c>
      <c r="AT184" s="75" t="str">
        <f t="shared" si="266"/>
        <v>O</v>
      </c>
      <c r="AU184" s="75" t="str">
        <f t="shared" si="267"/>
        <v>O</v>
      </c>
      <c r="AV184" s="75" t="str">
        <f t="shared" si="268"/>
        <v>후보</v>
      </c>
    </row>
    <row r="185" spans="1:48" s="38" customFormat="1" ht="12" x14ac:dyDescent="0.3">
      <c r="A185" s="110" t="s">
        <v>1054</v>
      </c>
      <c r="B185" s="111" t="s">
        <v>1055</v>
      </c>
      <c r="C185" s="112">
        <v>1140</v>
      </c>
      <c r="D185" s="104">
        <v>78.900000000000006</v>
      </c>
      <c r="E185" s="106">
        <v>24</v>
      </c>
      <c r="F185" s="104">
        <v>59.9</v>
      </c>
      <c r="G185" s="17">
        <v>18</v>
      </c>
      <c r="H185" s="107">
        <v>240</v>
      </c>
      <c r="I185" s="108"/>
      <c r="J185" s="108"/>
      <c r="K185" s="108"/>
      <c r="L185" s="108"/>
      <c r="M185" s="109">
        <f t="shared" si="251"/>
        <v>0</v>
      </c>
      <c r="N185" s="4" t="str">
        <f t="shared" si="252"/>
        <v/>
      </c>
      <c r="O185" s="105">
        <f t="shared" si="253"/>
        <v>0</v>
      </c>
      <c r="P185" s="105">
        <f t="shared" si="254"/>
        <v>0</v>
      </c>
      <c r="Q185" s="75">
        <v>2</v>
      </c>
      <c r="R185" s="75">
        <v>1</v>
      </c>
      <c r="S185" s="75" t="s">
        <v>869</v>
      </c>
      <c r="T185" s="5" t="s">
        <v>214</v>
      </c>
      <c r="U185" s="9"/>
      <c r="W185" s="104">
        <f t="shared" si="274"/>
        <v>78.900000000000006</v>
      </c>
      <c r="X185" s="106">
        <f t="shared" si="274"/>
        <v>24</v>
      </c>
      <c r="Y185" s="102">
        <f t="shared" si="275"/>
        <v>240</v>
      </c>
      <c r="Z185" s="109">
        <f t="shared" si="275"/>
        <v>0</v>
      </c>
      <c r="AA185" s="109">
        <f t="shared" si="257"/>
        <v>0</v>
      </c>
      <c r="AB185" s="109">
        <f t="shared" si="276"/>
        <v>0</v>
      </c>
      <c r="AC185" s="4" t="str">
        <f t="shared" si="276"/>
        <v/>
      </c>
      <c r="AD185" s="105">
        <f t="shared" si="276"/>
        <v>0</v>
      </c>
      <c r="AE185" s="75" t="str">
        <f t="shared" si="258"/>
        <v>계</v>
      </c>
      <c r="AF185" s="75" t="str">
        <f t="shared" si="259"/>
        <v>2/1</v>
      </c>
      <c r="AH185" s="20" t="str">
        <f t="shared" ref="AH185:AH221" si="277">IF(A185="","",A185)</f>
        <v>청안동 해인로즈빌</v>
      </c>
      <c r="AI185" s="106">
        <f t="shared" ref="AI185:AI221" si="278">IF(E185="","",E185)</f>
        <v>24</v>
      </c>
      <c r="AJ185" s="75" t="str">
        <f t="shared" si="260"/>
        <v>A-</v>
      </c>
      <c r="AK185" s="75" t="s">
        <v>14</v>
      </c>
      <c r="AL185" s="75" t="s">
        <v>870</v>
      </c>
      <c r="AM185" s="75" t="s">
        <v>871</v>
      </c>
      <c r="AN185" s="75" t="str">
        <f t="shared" si="261"/>
        <v>C</v>
      </c>
      <c r="AO185" s="75" t="str">
        <f t="shared" si="262"/>
        <v/>
      </c>
      <c r="AP185" s="75" t="str">
        <f t="shared" si="263"/>
        <v/>
      </c>
      <c r="AQ185" s="75" t="str">
        <f t="shared" si="264"/>
        <v>O</v>
      </c>
      <c r="AR185" s="75" t="str">
        <f t="shared" si="265"/>
        <v>O</v>
      </c>
      <c r="AS185" s="75" t="s">
        <v>2</v>
      </c>
      <c r="AT185" s="75" t="str">
        <f t="shared" si="266"/>
        <v>O</v>
      </c>
      <c r="AU185" s="75" t="str">
        <f t="shared" si="267"/>
        <v>O</v>
      </c>
      <c r="AV185" s="75" t="str">
        <f t="shared" si="268"/>
        <v/>
      </c>
    </row>
    <row r="186" spans="1:48" s="38" customFormat="1" ht="12" x14ac:dyDescent="0.3">
      <c r="A186" s="110" t="s">
        <v>1056</v>
      </c>
      <c r="B186" s="111" t="s">
        <v>1057</v>
      </c>
      <c r="C186" s="112">
        <v>248</v>
      </c>
      <c r="D186" s="104">
        <v>109</v>
      </c>
      <c r="E186" s="106">
        <v>33</v>
      </c>
      <c r="F186" s="104">
        <v>84.4</v>
      </c>
      <c r="G186" s="17">
        <v>26</v>
      </c>
      <c r="H186" s="107">
        <v>160</v>
      </c>
      <c r="I186" s="108"/>
      <c r="J186" s="108"/>
      <c r="K186" s="108"/>
      <c r="L186" s="108"/>
      <c r="M186" s="109">
        <f t="shared" si="251"/>
        <v>0</v>
      </c>
      <c r="N186" s="4" t="str">
        <f t="shared" si="252"/>
        <v/>
      </c>
      <c r="O186" s="105">
        <f t="shared" si="253"/>
        <v>0</v>
      </c>
      <c r="P186" s="105">
        <f t="shared" si="254"/>
        <v>0</v>
      </c>
      <c r="Q186" s="75">
        <v>3</v>
      </c>
      <c r="R186" s="75">
        <v>2</v>
      </c>
      <c r="S186" s="75" t="s">
        <v>869</v>
      </c>
      <c r="T186" s="5">
        <v>109</v>
      </c>
      <c r="U186" s="9"/>
      <c r="W186" s="104">
        <f>D186</f>
        <v>109</v>
      </c>
      <c r="X186" s="106">
        <f>E186</f>
        <v>33</v>
      </c>
      <c r="Y186" s="102">
        <f>H186</f>
        <v>160</v>
      </c>
      <c r="Z186" s="109">
        <f>I186</f>
        <v>0</v>
      </c>
      <c r="AA186" s="109">
        <f t="shared" si="257"/>
        <v>0</v>
      </c>
      <c r="AB186" s="109">
        <f t="shared" si="276"/>
        <v>0</v>
      </c>
      <c r="AC186" s="4" t="str">
        <f t="shared" si="276"/>
        <v/>
      </c>
      <c r="AD186" s="105">
        <f t="shared" si="276"/>
        <v>0</v>
      </c>
      <c r="AE186" s="75" t="str">
        <f t="shared" si="258"/>
        <v>계</v>
      </c>
      <c r="AF186" s="75" t="str">
        <f t="shared" si="259"/>
        <v>3/2</v>
      </c>
      <c r="AH186" s="20" t="str">
        <f t="shared" si="277"/>
        <v>풍호동 경동윈츠빌</v>
      </c>
      <c r="AI186" s="106">
        <f t="shared" si="278"/>
        <v>33</v>
      </c>
      <c r="AJ186" s="75" t="str">
        <f t="shared" si="260"/>
        <v>A-</v>
      </c>
      <c r="AK186" s="75" t="s">
        <v>14</v>
      </c>
      <c r="AL186" s="75" t="s">
        <v>870</v>
      </c>
      <c r="AM186" s="75" t="s">
        <v>871</v>
      </c>
      <c r="AN186" s="75" t="str">
        <f t="shared" si="261"/>
        <v>C</v>
      </c>
      <c r="AO186" s="75" t="str">
        <f t="shared" si="262"/>
        <v/>
      </c>
      <c r="AP186" s="75" t="str">
        <f t="shared" si="263"/>
        <v/>
      </c>
      <c r="AQ186" s="75" t="str">
        <f t="shared" si="264"/>
        <v>O</v>
      </c>
      <c r="AR186" s="75" t="str">
        <f t="shared" si="265"/>
        <v>O</v>
      </c>
      <c r="AS186" s="75" t="s">
        <v>2</v>
      </c>
      <c r="AT186" s="75" t="str">
        <f t="shared" si="266"/>
        <v>O</v>
      </c>
      <c r="AU186" s="75" t="str">
        <f t="shared" si="267"/>
        <v>X</v>
      </c>
      <c r="AV186" s="75" t="str">
        <f t="shared" si="268"/>
        <v/>
      </c>
    </row>
    <row r="187" spans="1:48" s="38" customFormat="1" ht="12" x14ac:dyDescent="0.3">
      <c r="A187" s="110" t="s">
        <v>1056</v>
      </c>
      <c r="B187" s="111" t="s">
        <v>1057</v>
      </c>
      <c r="C187" s="112">
        <v>248</v>
      </c>
      <c r="D187" s="104">
        <v>139.5</v>
      </c>
      <c r="E187" s="106">
        <v>42</v>
      </c>
      <c r="F187" s="104">
        <v>115.9</v>
      </c>
      <c r="G187" s="17">
        <v>35</v>
      </c>
      <c r="H187" s="107">
        <v>88</v>
      </c>
      <c r="I187" s="108"/>
      <c r="J187" s="108"/>
      <c r="K187" s="108"/>
      <c r="L187" s="108"/>
      <c r="M187" s="109">
        <f t="shared" si="251"/>
        <v>0</v>
      </c>
      <c r="N187" s="4" t="str">
        <f t="shared" si="252"/>
        <v/>
      </c>
      <c r="O187" s="105">
        <f t="shared" si="253"/>
        <v>0</v>
      </c>
      <c r="P187" s="105">
        <f t="shared" si="254"/>
        <v>0</v>
      </c>
      <c r="Q187" s="75">
        <v>3</v>
      </c>
      <c r="R187" s="75">
        <v>2</v>
      </c>
      <c r="S187" s="75" t="s">
        <v>869</v>
      </c>
      <c r="T187" s="5">
        <v>139</v>
      </c>
      <c r="U187" s="9"/>
      <c r="W187" s="104">
        <f>D187</f>
        <v>139.5</v>
      </c>
      <c r="X187" s="106">
        <f>E187</f>
        <v>42</v>
      </c>
      <c r="Y187" s="102">
        <f>H187</f>
        <v>88</v>
      </c>
      <c r="Z187" s="109">
        <f>I187</f>
        <v>0</v>
      </c>
      <c r="AA187" s="109">
        <f t="shared" si="257"/>
        <v>0</v>
      </c>
      <c r="AB187" s="109">
        <f t="shared" si="276"/>
        <v>0</v>
      </c>
      <c r="AC187" s="4" t="str">
        <f t="shared" si="276"/>
        <v/>
      </c>
      <c r="AD187" s="105">
        <f t="shared" si="276"/>
        <v>0</v>
      </c>
      <c r="AE187" s="75" t="str">
        <f t="shared" si="258"/>
        <v>계</v>
      </c>
      <c r="AF187" s="75" t="str">
        <f t="shared" si="259"/>
        <v>3/2</v>
      </c>
      <c r="AH187" s="20" t="str">
        <f t="shared" si="277"/>
        <v>풍호동 경동윈츠빌</v>
      </c>
      <c r="AI187" s="106">
        <f t="shared" si="278"/>
        <v>42</v>
      </c>
      <c r="AJ187" s="75" t="str">
        <f t="shared" si="260"/>
        <v>A-</v>
      </c>
      <c r="AK187" s="75" t="s">
        <v>14</v>
      </c>
      <c r="AL187" s="75" t="s">
        <v>870</v>
      </c>
      <c r="AM187" s="75" t="s">
        <v>871</v>
      </c>
      <c r="AN187" s="75" t="str">
        <f t="shared" si="261"/>
        <v>C</v>
      </c>
      <c r="AO187" s="75" t="str">
        <f t="shared" si="262"/>
        <v/>
      </c>
      <c r="AP187" s="75" t="str">
        <f t="shared" si="263"/>
        <v/>
      </c>
      <c r="AQ187" s="75" t="str">
        <f t="shared" si="264"/>
        <v>O</v>
      </c>
      <c r="AR187" s="75" t="str">
        <f t="shared" si="265"/>
        <v>O</v>
      </c>
      <c r="AS187" s="75" t="s">
        <v>2</v>
      </c>
      <c r="AT187" s="75" t="str">
        <f t="shared" si="266"/>
        <v>X</v>
      </c>
      <c r="AU187" s="75" t="str">
        <f t="shared" si="267"/>
        <v>X</v>
      </c>
      <c r="AV187" s="75" t="str">
        <f t="shared" si="268"/>
        <v/>
      </c>
    </row>
    <row r="188" spans="1:48" s="38" customFormat="1" ht="12" x14ac:dyDescent="0.3">
      <c r="A188" s="110" t="s">
        <v>1058</v>
      </c>
      <c r="B188" s="111" t="s">
        <v>1059</v>
      </c>
      <c r="C188" s="112">
        <v>1822</v>
      </c>
      <c r="D188" s="104">
        <v>81.400000000000006</v>
      </c>
      <c r="E188" s="106">
        <v>25</v>
      </c>
      <c r="F188" s="104">
        <v>60</v>
      </c>
      <c r="G188" s="17">
        <v>18</v>
      </c>
      <c r="H188" s="107">
        <v>124</v>
      </c>
      <c r="I188" s="108">
        <v>33000</v>
      </c>
      <c r="J188" s="108" t="s">
        <v>934</v>
      </c>
      <c r="K188" s="108"/>
      <c r="L188" s="108"/>
      <c r="M188" s="109">
        <f t="shared" ref="M188:M200" si="279">I188-K188</f>
        <v>33000</v>
      </c>
      <c r="N188" s="4">
        <f t="shared" ref="N188:N200" si="280">IF(ISERROR(K188/I188),"",K188/I188)</f>
        <v>0</v>
      </c>
      <c r="O188" s="105">
        <f t="shared" ref="O188:O200" si="281">I188/E188</f>
        <v>1320</v>
      </c>
      <c r="P188" s="105">
        <f t="shared" ref="P188:P200" si="282">K188/E188</f>
        <v>0</v>
      </c>
      <c r="Q188" s="75">
        <v>3</v>
      </c>
      <c r="R188" s="75">
        <v>2</v>
      </c>
      <c r="S188" s="75" t="s">
        <v>869</v>
      </c>
      <c r="T188" s="5">
        <v>81</v>
      </c>
      <c r="U188" s="9"/>
      <c r="W188" s="104">
        <f t="shared" ref="W188:X203" si="283">D188</f>
        <v>81.400000000000006</v>
      </c>
      <c r="X188" s="106">
        <f t="shared" si="283"/>
        <v>25</v>
      </c>
      <c r="Y188" s="102">
        <f t="shared" ref="Y188:Z203" si="284">H188</f>
        <v>124</v>
      </c>
      <c r="Z188" s="109">
        <f t="shared" si="284"/>
        <v>33000</v>
      </c>
      <c r="AA188" s="109">
        <f t="shared" ref="AA188:AA200" si="285">K188</f>
        <v>0</v>
      </c>
      <c r="AB188" s="109">
        <f t="shared" si="276"/>
        <v>33000</v>
      </c>
      <c r="AC188" s="4">
        <f t="shared" si="276"/>
        <v>0</v>
      </c>
      <c r="AD188" s="105">
        <f t="shared" si="276"/>
        <v>1320</v>
      </c>
      <c r="AE188" s="75" t="str">
        <f t="shared" ref="AE188:AE200" si="286">S188</f>
        <v>계</v>
      </c>
      <c r="AF188" s="75" t="str">
        <f t="shared" ref="AF188:AF200" si="287">Q188&amp;"/"&amp;R188</f>
        <v>3/2</v>
      </c>
      <c r="AH188" s="20" t="str">
        <f t="shared" si="277"/>
        <v>풍호동 창원마린푸르지오1단지</v>
      </c>
      <c r="AI188" s="106">
        <f t="shared" si="278"/>
        <v>25</v>
      </c>
      <c r="AJ188" s="75" t="str">
        <f t="shared" ref="AJ188:AJ200" si="288">IF(AI188="","",$AJ$2)</f>
        <v>A-</v>
      </c>
      <c r="AK188" s="75" t="s">
        <v>14</v>
      </c>
      <c r="AL188" s="75" t="s">
        <v>870</v>
      </c>
      <c r="AM188" s="75" t="s">
        <v>871</v>
      </c>
      <c r="AN188" s="75" t="str">
        <f t="shared" ref="AN188:AN200" si="289">IF(AI188="","",$AN$2)</f>
        <v>C</v>
      </c>
      <c r="AO188" s="75" t="str">
        <f t="shared" ref="AO188:AO200" si="290">IF(N188="","",IF(N188&gt;=$AO$1/100,"O","X"))</f>
        <v>X</v>
      </c>
      <c r="AP188" s="75" t="str">
        <f t="shared" ref="AP188:AP200" si="291">IF(I188="","",IF(I188&lt;=$AP$1,"O","X"))</f>
        <v>O</v>
      </c>
      <c r="AQ188" s="75" t="str">
        <f t="shared" ref="AQ188:AQ200" si="292">IF(O188="","",IF(O188&lt;=$AQ$1,"O","X"))</f>
        <v>X</v>
      </c>
      <c r="AR188" s="75" t="str">
        <f t="shared" ref="AR188:AR200" si="293">IF(M188="","",IF(M188&lt;=$AR$1,"O","X"))</f>
        <v>X</v>
      </c>
      <c r="AS188" s="75" t="s">
        <v>2</v>
      </c>
      <c r="AT188" s="75" t="str">
        <f t="shared" ref="AT188:AT200" si="294">IF(OR(F188="",AI188=""),"",IF(AND((F188&lt;=85),(AI188&gt;=15)),"O","X"))</f>
        <v>O</v>
      </c>
      <c r="AU188" s="75" t="str">
        <f t="shared" ref="AU188:AU200" si="295">IF(C188="","",IF(C188&gt;=$AU$1,"O","X"))</f>
        <v>O</v>
      </c>
      <c r="AV188" s="75" t="str">
        <f t="shared" ref="AV188:AV200" si="296">IF(AO188="","",IF(AND(AO188="O",AP188="O",AR188="O",AT188="O",AU188="O"),"후보","X"))</f>
        <v>X</v>
      </c>
    </row>
    <row r="189" spans="1:48" s="38" customFormat="1" ht="12" x14ac:dyDescent="0.3">
      <c r="A189" s="110" t="s">
        <v>1058</v>
      </c>
      <c r="B189" s="111" t="s">
        <v>1059</v>
      </c>
      <c r="C189" s="112">
        <v>1822</v>
      </c>
      <c r="D189" s="104">
        <v>89.1</v>
      </c>
      <c r="E189" s="106">
        <v>27</v>
      </c>
      <c r="F189" s="104">
        <v>66</v>
      </c>
      <c r="G189" s="17">
        <v>20</v>
      </c>
      <c r="H189" s="107">
        <v>15</v>
      </c>
      <c r="I189" s="108"/>
      <c r="J189" s="108"/>
      <c r="K189" s="108"/>
      <c r="L189" s="108"/>
      <c r="M189" s="109">
        <f t="shared" si="279"/>
        <v>0</v>
      </c>
      <c r="N189" s="4" t="str">
        <f t="shared" si="280"/>
        <v/>
      </c>
      <c r="O189" s="105">
        <f t="shared" si="281"/>
        <v>0</v>
      </c>
      <c r="P189" s="105">
        <f t="shared" si="282"/>
        <v>0</v>
      </c>
      <c r="Q189" s="75">
        <v>3</v>
      </c>
      <c r="R189" s="75">
        <v>2</v>
      </c>
      <c r="S189" s="75" t="s">
        <v>869</v>
      </c>
      <c r="T189" s="5">
        <v>89</v>
      </c>
      <c r="U189" s="9"/>
      <c r="W189" s="104">
        <f t="shared" si="283"/>
        <v>89.1</v>
      </c>
      <c r="X189" s="106">
        <f t="shared" si="283"/>
        <v>27</v>
      </c>
      <c r="Y189" s="102">
        <f t="shared" si="284"/>
        <v>15</v>
      </c>
      <c r="Z189" s="109">
        <f t="shared" si="284"/>
        <v>0</v>
      </c>
      <c r="AA189" s="109">
        <f t="shared" si="285"/>
        <v>0</v>
      </c>
      <c r="AB189" s="109">
        <f t="shared" si="276"/>
        <v>0</v>
      </c>
      <c r="AC189" s="4" t="str">
        <f t="shared" si="276"/>
        <v/>
      </c>
      <c r="AD189" s="105">
        <f t="shared" si="276"/>
        <v>0</v>
      </c>
      <c r="AE189" s="75" t="str">
        <f t="shared" si="286"/>
        <v>계</v>
      </c>
      <c r="AF189" s="75" t="str">
        <f t="shared" si="287"/>
        <v>3/2</v>
      </c>
      <c r="AH189" s="20" t="str">
        <f t="shared" si="277"/>
        <v>풍호동 창원마린푸르지오1단지</v>
      </c>
      <c r="AI189" s="106">
        <f t="shared" si="278"/>
        <v>27</v>
      </c>
      <c r="AJ189" s="75" t="str">
        <f t="shared" si="288"/>
        <v>A-</v>
      </c>
      <c r="AK189" s="75" t="s">
        <v>14</v>
      </c>
      <c r="AL189" s="75" t="s">
        <v>870</v>
      </c>
      <c r="AM189" s="75" t="s">
        <v>871</v>
      </c>
      <c r="AN189" s="75" t="str">
        <f t="shared" si="289"/>
        <v>C</v>
      </c>
      <c r="AO189" s="75" t="str">
        <f t="shared" si="290"/>
        <v/>
      </c>
      <c r="AP189" s="75" t="str">
        <f t="shared" si="291"/>
        <v/>
      </c>
      <c r="AQ189" s="75" t="str">
        <f t="shared" si="292"/>
        <v>O</v>
      </c>
      <c r="AR189" s="75" t="str">
        <f t="shared" si="293"/>
        <v>O</v>
      </c>
      <c r="AS189" s="75" t="s">
        <v>2</v>
      </c>
      <c r="AT189" s="75" t="str">
        <f t="shared" si="294"/>
        <v>O</v>
      </c>
      <c r="AU189" s="75" t="str">
        <f t="shared" si="295"/>
        <v>O</v>
      </c>
      <c r="AV189" s="75" t="str">
        <f t="shared" si="296"/>
        <v/>
      </c>
    </row>
    <row r="190" spans="1:48" s="38" customFormat="1" ht="12" x14ac:dyDescent="0.3">
      <c r="A190" s="110" t="s">
        <v>1058</v>
      </c>
      <c r="B190" s="111" t="s">
        <v>1059</v>
      </c>
      <c r="C190" s="112">
        <v>1822</v>
      </c>
      <c r="D190" s="104">
        <v>98</v>
      </c>
      <c r="E190" s="106">
        <v>30</v>
      </c>
      <c r="F190" s="104">
        <v>73</v>
      </c>
      <c r="G190" s="17">
        <v>22</v>
      </c>
      <c r="H190" s="107">
        <v>42</v>
      </c>
      <c r="I190" s="108">
        <v>36500</v>
      </c>
      <c r="J190" s="108" t="s">
        <v>878</v>
      </c>
      <c r="K190" s="108">
        <v>27000</v>
      </c>
      <c r="L190" s="108" t="s">
        <v>868</v>
      </c>
      <c r="M190" s="109">
        <f t="shared" si="279"/>
        <v>9500</v>
      </c>
      <c r="N190" s="4">
        <f t="shared" si="280"/>
        <v>0.73972602739726023</v>
      </c>
      <c r="O190" s="105">
        <f t="shared" si="281"/>
        <v>1216.6666666666667</v>
      </c>
      <c r="P190" s="105">
        <f t="shared" si="282"/>
        <v>900</v>
      </c>
      <c r="Q190" s="75">
        <v>3</v>
      </c>
      <c r="R190" s="75">
        <v>2</v>
      </c>
      <c r="S190" s="75" t="s">
        <v>869</v>
      </c>
      <c r="T190" s="5" t="s">
        <v>780</v>
      </c>
      <c r="U190" s="9"/>
      <c r="W190" s="104">
        <f t="shared" si="283"/>
        <v>98</v>
      </c>
      <c r="X190" s="106">
        <f t="shared" si="283"/>
        <v>30</v>
      </c>
      <c r="Y190" s="102">
        <f t="shared" si="284"/>
        <v>42</v>
      </c>
      <c r="Z190" s="109">
        <f t="shared" si="284"/>
        <v>36500</v>
      </c>
      <c r="AA190" s="109">
        <f t="shared" si="285"/>
        <v>27000</v>
      </c>
      <c r="AB190" s="109">
        <f t="shared" si="276"/>
        <v>9500</v>
      </c>
      <c r="AC190" s="4">
        <f t="shared" si="276"/>
        <v>0.73972602739726023</v>
      </c>
      <c r="AD190" s="105">
        <f t="shared" si="276"/>
        <v>1216.6666666666667</v>
      </c>
      <c r="AE190" s="75" t="str">
        <f t="shared" si="286"/>
        <v>계</v>
      </c>
      <c r="AF190" s="75" t="str">
        <f t="shared" si="287"/>
        <v>3/2</v>
      </c>
      <c r="AH190" s="20" t="str">
        <f t="shared" si="277"/>
        <v>풍호동 창원마린푸르지오1단지</v>
      </c>
      <c r="AI190" s="106">
        <f t="shared" si="278"/>
        <v>30</v>
      </c>
      <c r="AJ190" s="75" t="str">
        <f t="shared" si="288"/>
        <v>A-</v>
      </c>
      <c r="AK190" s="75" t="s">
        <v>14</v>
      </c>
      <c r="AL190" s="75" t="s">
        <v>870</v>
      </c>
      <c r="AM190" s="75" t="s">
        <v>871</v>
      </c>
      <c r="AN190" s="75" t="str">
        <f t="shared" si="289"/>
        <v>C</v>
      </c>
      <c r="AO190" s="75" t="str">
        <f t="shared" si="290"/>
        <v>X</v>
      </c>
      <c r="AP190" s="75" t="str">
        <f t="shared" si="291"/>
        <v>O</v>
      </c>
      <c r="AQ190" s="75" t="str">
        <f t="shared" si="292"/>
        <v>X</v>
      </c>
      <c r="AR190" s="75" t="str">
        <f t="shared" si="293"/>
        <v>X</v>
      </c>
      <c r="AS190" s="75" t="s">
        <v>2</v>
      </c>
      <c r="AT190" s="75" t="str">
        <f t="shared" si="294"/>
        <v>O</v>
      </c>
      <c r="AU190" s="75" t="str">
        <f t="shared" si="295"/>
        <v>O</v>
      </c>
      <c r="AV190" s="75" t="str">
        <f t="shared" si="296"/>
        <v>X</v>
      </c>
    </row>
    <row r="191" spans="1:48" s="38" customFormat="1" ht="12" x14ac:dyDescent="0.3">
      <c r="A191" s="110" t="s">
        <v>1058</v>
      </c>
      <c r="B191" s="111" t="s">
        <v>1059</v>
      </c>
      <c r="C191" s="112">
        <v>1822</v>
      </c>
      <c r="D191" s="104">
        <v>98.3</v>
      </c>
      <c r="E191" s="106">
        <v>30</v>
      </c>
      <c r="F191" s="104">
        <v>73</v>
      </c>
      <c r="G191" s="17">
        <v>22</v>
      </c>
      <c r="H191" s="107">
        <v>201</v>
      </c>
      <c r="I191" s="108"/>
      <c r="J191" s="108"/>
      <c r="K191" s="108"/>
      <c r="L191" s="108"/>
      <c r="M191" s="109">
        <f t="shared" si="279"/>
        <v>0</v>
      </c>
      <c r="N191" s="4" t="str">
        <f t="shared" si="280"/>
        <v/>
      </c>
      <c r="O191" s="105">
        <f t="shared" si="281"/>
        <v>0</v>
      </c>
      <c r="P191" s="105">
        <f t="shared" si="282"/>
        <v>0</v>
      </c>
      <c r="Q191" s="75">
        <v>3</v>
      </c>
      <c r="R191" s="75">
        <v>2</v>
      </c>
      <c r="S191" s="75" t="s">
        <v>869</v>
      </c>
      <c r="T191" s="5" t="s">
        <v>119</v>
      </c>
      <c r="U191" s="9"/>
      <c r="W191" s="104">
        <f t="shared" si="283"/>
        <v>98.3</v>
      </c>
      <c r="X191" s="106">
        <f t="shared" si="283"/>
        <v>30</v>
      </c>
      <c r="Y191" s="102">
        <f t="shared" si="284"/>
        <v>201</v>
      </c>
      <c r="Z191" s="109">
        <f t="shared" si="284"/>
        <v>0</v>
      </c>
      <c r="AA191" s="109">
        <f t="shared" si="285"/>
        <v>0</v>
      </c>
      <c r="AB191" s="109">
        <f t="shared" si="276"/>
        <v>0</v>
      </c>
      <c r="AC191" s="4" t="str">
        <f t="shared" si="276"/>
        <v/>
      </c>
      <c r="AD191" s="105">
        <f t="shared" si="276"/>
        <v>0</v>
      </c>
      <c r="AE191" s="75" t="str">
        <f t="shared" si="286"/>
        <v>계</v>
      </c>
      <c r="AF191" s="75" t="str">
        <f t="shared" si="287"/>
        <v>3/2</v>
      </c>
      <c r="AH191" s="20" t="str">
        <f t="shared" si="277"/>
        <v>풍호동 창원마린푸르지오1단지</v>
      </c>
      <c r="AI191" s="106">
        <f t="shared" si="278"/>
        <v>30</v>
      </c>
      <c r="AJ191" s="75" t="str">
        <f t="shared" si="288"/>
        <v>A-</v>
      </c>
      <c r="AK191" s="75" t="s">
        <v>14</v>
      </c>
      <c r="AL191" s="75" t="s">
        <v>870</v>
      </c>
      <c r="AM191" s="75" t="s">
        <v>871</v>
      </c>
      <c r="AN191" s="75" t="str">
        <f t="shared" si="289"/>
        <v>C</v>
      </c>
      <c r="AO191" s="75" t="str">
        <f t="shared" si="290"/>
        <v/>
      </c>
      <c r="AP191" s="75" t="str">
        <f t="shared" si="291"/>
        <v/>
      </c>
      <c r="AQ191" s="75" t="str">
        <f t="shared" si="292"/>
        <v>O</v>
      </c>
      <c r="AR191" s="75" t="str">
        <f t="shared" si="293"/>
        <v>O</v>
      </c>
      <c r="AS191" s="75" t="s">
        <v>2</v>
      </c>
      <c r="AT191" s="75" t="str">
        <f t="shared" si="294"/>
        <v>O</v>
      </c>
      <c r="AU191" s="75" t="str">
        <f t="shared" si="295"/>
        <v>O</v>
      </c>
      <c r="AV191" s="75" t="str">
        <f t="shared" si="296"/>
        <v/>
      </c>
    </row>
    <row r="192" spans="1:48" s="38" customFormat="1" ht="12" x14ac:dyDescent="0.3">
      <c r="A192" s="110" t="s">
        <v>1058</v>
      </c>
      <c r="B192" s="111" t="s">
        <v>1059</v>
      </c>
      <c r="C192" s="112">
        <v>1822</v>
      </c>
      <c r="D192" s="104">
        <v>98.7</v>
      </c>
      <c r="E192" s="106">
        <v>30</v>
      </c>
      <c r="F192" s="104">
        <v>73</v>
      </c>
      <c r="G192" s="17">
        <v>22</v>
      </c>
      <c r="H192" s="107">
        <v>92</v>
      </c>
      <c r="I192" s="108"/>
      <c r="J192" s="108"/>
      <c r="K192" s="108"/>
      <c r="L192" s="108"/>
      <c r="M192" s="109">
        <f t="shared" si="279"/>
        <v>0</v>
      </c>
      <c r="N192" s="4" t="str">
        <f t="shared" si="280"/>
        <v/>
      </c>
      <c r="O192" s="105">
        <f t="shared" si="281"/>
        <v>0</v>
      </c>
      <c r="P192" s="105">
        <f t="shared" si="282"/>
        <v>0</v>
      </c>
      <c r="Q192" s="75">
        <v>3</v>
      </c>
      <c r="R192" s="75">
        <v>2</v>
      </c>
      <c r="S192" s="75" t="s">
        <v>869</v>
      </c>
      <c r="T192" s="5" t="s">
        <v>118</v>
      </c>
      <c r="U192" s="9"/>
      <c r="W192" s="104">
        <f t="shared" si="283"/>
        <v>98.7</v>
      </c>
      <c r="X192" s="106">
        <f t="shared" si="283"/>
        <v>30</v>
      </c>
      <c r="Y192" s="102">
        <f t="shared" si="284"/>
        <v>92</v>
      </c>
      <c r="Z192" s="109">
        <f t="shared" si="284"/>
        <v>0</v>
      </c>
      <c r="AA192" s="109">
        <f t="shared" si="285"/>
        <v>0</v>
      </c>
      <c r="AB192" s="109">
        <f t="shared" si="276"/>
        <v>0</v>
      </c>
      <c r="AC192" s="4" t="str">
        <f t="shared" si="276"/>
        <v/>
      </c>
      <c r="AD192" s="105">
        <f t="shared" si="276"/>
        <v>0</v>
      </c>
      <c r="AE192" s="75" t="str">
        <f t="shared" si="286"/>
        <v>계</v>
      </c>
      <c r="AF192" s="75" t="str">
        <f t="shared" si="287"/>
        <v>3/2</v>
      </c>
      <c r="AH192" s="20" t="str">
        <f t="shared" si="277"/>
        <v>풍호동 창원마린푸르지오1단지</v>
      </c>
      <c r="AI192" s="106">
        <f t="shared" si="278"/>
        <v>30</v>
      </c>
      <c r="AJ192" s="75" t="str">
        <f t="shared" si="288"/>
        <v>A-</v>
      </c>
      <c r="AK192" s="75" t="s">
        <v>14</v>
      </c>
      <c r="AL192" s="75" t="s">
        <v>870</v>
      </c>
      <c r="AM192" s="75" t="s">
        <v>871</v>
      </c>
      <c r="AN192" s="75" t="str">
        <f t="shared" si="289"/>
        <v>C</v>
      </c>
      <c r="AO192" s="75" t="str">
        <f t="shared" si="290"/>
        <v/>
      </c>
      <c r="AP192" s="75" t="str">
        <f t="shared" si="291"/>
        <v/>
      </c>
      <c r="AQ192" s="75" t="str">
        <f t="shared" si="292"/>
        <v>O</v>
      </c>
      <c r="AR192" s="75" t="str">
        <f t="shared" si="293"/>
        <v>O</v>
      </c>
      <c r="AS192" s="75" t="s">
        <v>2</v>
      </c>
      <c r="AT192" s="75" t="str">
        <f t="shared" si="294"/>
        <v>O</v>
      </c>
      <c r="AU192" s="75" t="str">
        <f t="shared" si="295"/>
        <v>O</v>
      </c>
      <c r="AV192" s="75" t="str">
        <f t="shared" si="296"/>
        <v/>
      </c>
    </row>
    <row r="193" spans="1:48" s="38" customFormat="1" ht="12" x14ac:dyDescent="0.3">
      <c r="A193" s="110" t="s">
        <v>1058</v>
      </c>
      <c r="B193" s="111" t="s">
        <v>1059</v>
      </c>
      <c r="C193" s="112">
        <v>1822</v>
      </c>
      <c r="D193" s="104">
        <v>98.1</v>
      </c>
      <c r="E193" s="106">
        <v>30</v>
      </c>
      <c r="F193" s="104">
        <v>73</v>
      </c>
      <c r="G193" s="17">
        <v>22</v>
      </c>
      <c r="H193" s="107">
        <v>48</v>
      </c>
      <c r="I193" s="108">
        <v>39500</v>
      </c>
      <c r="J193" s="108" t="s">
        <v>907</v>
      </c>
      <c r="K193" s="108"/>
      <c r="L193" s="108"/>
      <c r="M193" s="109">
        <f t="shared" si="279"/>
        <v>39500</v>
      </c>
      <c r="N193" s="4">
        <f t="shared" si="280"/>
        <v>0</v>
      </c>
      <c r="O193" s="105">
        <f t="shared" si="281"/>
        <v>1316.6666666666667</v>
      </c>
      <c r="P193" s="105">
        <f t="shared" si="282"/>
        <v>0</v>
      </c>
      <c r="Q193" s="75">
        <v>3</v>
      </c>
      <c r="R193" s="75">
        <v>2</v>
      </c>
      <c r="S193" s="75" t="s">
        <v>869</v>
      </c>
      <c r="T193" s="5" t="s">
        <v>781</v>
      </c>
      <c r="U193" s="9"/>
      <c r="W193" s="104">
        <f t="shared" si="283"/>
        <v>98.1</v>
      </c>
      <c r="X193" s="106">
        <f t="shared" si="283"/>
        <v>30</v>
      </c>
      <c r="Y193" s="102">
        <f t="shared" si="284"/>
        <v>48</v>
      </c>
      <c r="Z193" s="109">
        <f t="shared" si="284"/>
        <v>39500</v>
      </c>
      <c r="AA193" s="109">
        <f t="shared" si="285"/>
        <v>0</v>
      </c>
      <c r="AB193" s="109">
        <f t="shared" si="276"/>
        <v>39500</v>
      </c>
      <c r="AC193" s="4">
        <f t="shared" si="276"/>
        <v>0</v>
      </c>
      <c r="AD193" s="105">
        <f t="shared" si="276"/>
        <v>1316.6666666666667</v>
      </c>
      <c r="AE193" s="75" t="str">
        <f t="shared" si="286"/>
        <v>계</v>
      </c>
      <c r="AF193" s="75" t="str">
        <f t="shared" si="287"/>
        <v>3/2</v>
      </c>
      <c r="AH193" s="20" t="str">
        <f t="shared" si="277"/>
        <v>풍호동 창원마린푸르지오1단지</v>
      </c>
      <c r="AI193" s="106">
        <f t="shared" si="278"/>
        <v>30</v>
      </c>
      <c r="AJ193" s="75" t="str">
        <f t="shared" si="288"/>
        <v>A-</v>
      </c>
      <c r="AK193" s="75" t="s">
        <v>14</v>
      </c>
      <c r="AL193" s="75" t="s">
        <v>870</v>
      </c>
      <c r="AM193" s="75" t="s">
        <v>871</v>
      </c>
      <c r="AN193" s="75" t="str">
        <f t="shared" si="289"/>
        <v>C</v>
      </c>
      <c r="AO193" s="75" t="str">
        <f t="shared" si="290"/>
        <v>X</v>
      </c>
      <c r="AP193" s="75" t="str">
        <f t="shared" si="291"/>
        <v>O</v>
      </c>
      <c r="AQ193" s="75" t="str">
        <f t="shared" si="292"/>
        <v>X</v>
      </c>
      <c r="AR193" s="75" t="str">
        <f t="shared" si="293"/>
        <v>X</v>
      </c>
      <c r="AS193" s="75" t="s">
        <v>2</v>
      </c>
      <c r="AT193" s="75" t="str">
        <f t="shared" si="294"/>
        <v>O</v>
      </c>
      <c r="AU193" s="75" t="str">
        <f t="shared" si="295"/>
        <v>O</v>
      </c>
      <c r="AV193" s="75" t="str">
        <f t="shared" si="296"/>
        <v>X</v>
      </c>
    </row>
    <row r="194" spans="1:48" s="38" customFormat="1" ht="12" x14ac:dyDescent="0.3">
      <c r="A194" s="110" t="s">
        <v>1058</v>
      </c>
      <c r="B194" s="111" t="s">
        <v>1059</v>
      </c>
      <c r="C194" s="112">
        <v>1822</v>
      </c>
      <c r="D194" s="104">
        <v>104.3</v>
      </c>
      <c r="E194" s="106">
        <v>32</v>
      </c>
      <c r="F194" s="104">
        <v>77.8</v>
      </c>
      <c r="G194" s="17">
        <v>24</v>
      </c>
      <c r="H194" s="107">
        <v>12</v>
      </c>
      <c r="I194" s="108"/>
      <c r="J194" s="108"/>
      <c r="K194" s="108"/>
      <c r="L194" s="108"/>
      <c r="M194" s="109">
        <f t="shared" si="279"/>
        <v>0</v>
      </c>
      <c r="N194" s="4" t="str">
        <f t="shared" si="280"/>
        <v/>
      </c>
      <c r="O194" s="105">
        <f t="shared" si="281"/>
        <v>0</v>
      </c>
      <c r="P194" s="105">
        <f t="shared" si="282"/>
        <v>0</v>
      </c>
      <c r="Q194" s="75">
        <v>3</v>
      </c>
      <c r="R194" s="75">
        <v>2</v>
      </c>
      <c r="S194" s="75" t="s">
        <v>869</v>
      </c>
      <c r="T194" s="5" t="s">
        <v>483</v>
      </c>
      <c r="U194" s="9"/>
      <c r="W194" s="104">
        <f t="shared" si="283"/>
        <v>104.3</v>
      </c>
      <c r="X194" s="106">
        <f t="shared" si="283"/>
        <v>32</v>
      </c>
      <c r="Y194" s="102">
        <f t="shared" si="284"/>
        <v>12</v>
      </c>
      <c r="Z194" s="109">
        <f t="shared" si="284"/>
        <v>0</v>
      </c>
      <c r="AA194" s="109">
        <f t="shared" si="285"/>
        <v>0</v>
      </c>
      <c r="AB194" s="109">
        <f t="shared" si="276"/>
        <v>0</v>
      </c>
      <c r="AC194" s="4" t="str">
        <f t="shared" si="276"/>
        <v/>
      </c>
      <c r="AD194" s="105">
        <f t="shared" si="276"/>
        <v>0</v>
      </c>
      <c r="AE194" s="75" t="str">
        <f t="shared" si="286"/>
        <v>계</v>
      </c>
      <c r="AF194" s="75" t="str">
        <f t="shared" si="287"/>
        <v>3/2</v>
      </c>
      <c r="AH194" s="20" t="str">
        <f t="shared" si="277"/>
        <v>풍호동 창원마린푸르지오1단지</v>
      </c>
      <c r="AI194" s="106">
        <f t="shared" si="278"/>
        <v>32</v>
      </c>
      <c r="AJ194" s="75" t="str">
        <f t="shared" si="288"/>
        <v>A-</v>
      </c>
      <c r="AK194" s="75" t="s">
        <v>14</v>
      </c>
      <c r="AL194" s="75" t="s">
        <v>870</v>
      </c>
      <c r="AM194" s="75" t="s">
        <v>871</v>
      </c>
      <c r="AN194" s="75" t="str">
        <f t="shared" si="289"/>
        <v>C</v>
      </c>
      <c r="AO194" s="75" t="str">
        <f t="shared" si="290"/>
        <v/>
      </c>
      <c r="AP194" s="75" t="str">
        <f t="shared" si="291"/>
        <v/>
      </c>
      <c r="AQ194" s="75" t="str">
        <f t="shared" si="292"/>
        <v>O</v>
      </c>
      <c r="AR194" s="75" t="str">
        <f t="shared" si="293"/>
        <v>O</v>
      </c>
      <c r="AS194" s="75" t="s">
        <v>2</v>
      </c>
      <c r="AT194" s="75" t="str">
        <f t="shared" si="294"/>
        <v>O</v>
      </c>
      <c r="AU194" s="75" t="str">
        <f t="shared" si="295"/>
        <v>O</v>
      </c>
      <c r="AV194" s="75" t="str">
        <f t="shared" si="296"/>
        <v/>
      </c>
    </row>
    <row r="195" spans="1:48" s="38" customFormat="1" ht="12" x14ac:dyDescent="0.3">
      <c r="A195" s="110" t="s">
        <v>1058</v>
      </c>
      <c r="B195" s="111" t="s">
        <v>1059</v>
      </c>
      <c r="C195" s="112">
        <v>1822</v>
      </c>
      <c r="D195" s="104">
        <v>104.7</v>
      </c>
      <c r="E195" s="106">
        <v>32</v>
      </c>
      <c r="F195" s="104">
        <v>77.7</v>
      </c>
      <c r="G195" s="17">
        <v>24</v>
      </c>
      <c r="H195" s="107">
        <v>12</v>
      </c>
      <c r="I195" s="108"/>
      <c r="J195" s="108"/>
      <c r="K195" s="108"/>
      <c r="L195" s="108"/>
      <c r="M195" s="109">
        <f t="shared" si="279"/>
        <v>0</v>
      </c>
      <c r="N195" s="4" t="str">
        <f t="shared" si="280"/>
        <v/>
      </c>
      <c r="O195" s="105">
        <f t="shared" si="281"/>
        <v>0</v>
      </c>
      <c r="P195" s="105">
        <f t="shared" si="282"/>
        <v>0</v>
      </c>
      <c r="Q195" s="75">
        <v>3</v>
      </c>
      <c r="R195" s="75">
        <v>2</v>
      </c>
      <c r="S195" s="75" t="s">
        <v>869</v>
      </c>
      <c r="T195" s="5" t="s">
        <v>782</v>
      </c>
      <c r="U195" s="9"/>
      <c r="W195" s="104">
        <f t="shared" si="283"/>
        <v>104.7</v>
      </c>
      <c r="X195" s="106">
        <f t="shared" si="283"/>
        <v>32</v>
      </c>
      <c r="Y195" s="102">
        <f t="shared" si="284"/>
        <v>12</v>
      </c>
      <c r="Z195" s="109">
        <f t="shared" si="284"/>
        <v>0</v>
      </c>
      <c r="AA195" s="109">
        <f t="shared" si="285"/>
        <v>0</v>
      </c>
      <c r="AB195" s="109">
        <f t="shared" si="276"/>
        <v>0</v>
      </c>
      <c r="AC195" s="4" t="str">
        <f t="shared" si="276"/>
        <v/>
      </c>
      <c r="AD195" s="105">
        <f t="shared" si="276"/>
        <v>0</v>
      </c>
      <c r="AE195" s="75" t="str">
        <f t="shared" si="286"/>
        <v>계</v>
      </c>
      <c r="AF195" s="75" t="str">
        <f t="shared" si="287"/>
        <v>3/2</v>
      </c>
      <c r="AH195" s="20" t="str">
        <f t="shared" si="277"/>
        <v>풍호동 창원마린푸르지오1단지</v>
      </c>
      <c r="AI195" s="106">
        <f t="shared" si="278"/>
        <v>32</v>
      </c>
      <c r="AJ195" s="75" t="str">
        <f t="shared" si="288"/>
        <v>A-</v>
      </c>
      <c r="AK195" s="75" t="s">
        <v>14</v>
      </c>
      <c r="AL195" s="75" t="s">
        <v>870</v>
      </c>
      <c r="AM195" s="75" t="s">
        <v>871</v>
      </c>
      <c r="AN195" s="75" t="str">
        <f t="shared" si="289"/>
        <v>C</v>
      </c>
      <c r="AO195" s="75" t="str">
        <f t="shared" si="290"/>
        <v/>
      </c>
      <c r="AP195" s="75" t="str">
        <f t="shared" si="291"/>
        <v/>
      </c>
      <c r="AQ195" s="75" t="str">
        <f t="shared" si="292"/>
        <v>O</v>
      </c>
      <c r="AR195" s="75" t="str">
        <f t="shared" si="293"/>
        <v>O</v>
      </c>
      <c r="AS195" s="75" t="s">
        <v>2</v>
      </c>
      <c r="AT195" s="75" t="str">
        <f t="shared" si="294"/>
        <v>O</v>
      </c>
      <c r="AU195" s="75" t="str">
        <f t="shared" si="295"/>
        <v>O</v>
      </c>
      <c r="AV195" s="75" t="str">
        <f t="shared" si="296"/>
        <v/>
      </c>
    </row>
    <row r="196" spans="1:48" s="38" customFormat="1" ht="12" x14ac:dyDescent="0.3">
      <c r="A196" s="110" t="s">
        <v>1058</v>
      </c>
      <c r="B196" s="111" t="s">
        <v>1059</v>
      </c>
      <c r="C196" s="112">
        <v>1822</v>
      </c>
      <c r="D196" s="104">
        <v>113.8</v>
      </c>
      <c r="E196" s="106">
        <v>34</v>
      </c>
      <c r="F196" s="104">
        <v>85</v>
      </c>
      <c r="G196" s="17">
        <v>26</v>
      </c>
      <c r="H196" s="107">
        <v>693</v>
      </c>
      <c r="I196" s="108">
        <v>46500</v>
      </c>
      <c r="J196" s="108" t="s">
        <v>878</v>
      </c>
      <c r="K196" s="108">
        <v>34000</v>
      </c>
      <c r="L196" s="108" t="s">
        <v>868</v>
      </c>
      <c r="M196" s="109">
        <f t="shared" si="279"/>
        <v>12500</v>
      </c>
      <c r="N196" s="4">
        <f t="shared" si="280"/>
        <v>0.73118279569892475</v>
      </c>
      <c r="O196" s="105">
        <f t="shared" si="281"/>
        <v>1367.6470588235295</v>
      </c>
      <c r="P196" s="105">
        <f t="shared" si="282"/>
        <v>1000</v>
      </c>
      <c r="Q196" s="75">
        <v>3</v>
      </c>
      <c r="R196" s="75">
        <v>2</v>
      </c>
      <c r="S196" s="75" t="s">
        <v>869</v>
      </c>
      <c r="T196" s="5" t="s">
        <v>123</v>
      </c>
      <c r="U196" s="9"/>
      <c r="W196" s="104">
        <f t="shared" si="283"/>
        <v>113.8</v>
      </c>
      <c r="X196" s="106">
        <f t="shared" si="283"/>
        <v>34</v>
      </c>
      <c r="Y196" s="102">
        <f t="shared" si="284"/>
        <v>693</v>
      </c>
      <c r="Z196" s="109">
        <f t="shared" si="284"/>
        <v>46500</v>
      </c>
      <c r="AA196" s="109">
        <f t="shared" si="285"/>
        <v>34000</v>
      </c>
      <c r="AB196" s="109">
        <f t="shared" si="276"/>
        <v>12500</v>
      </c>
      <c r="AC196" s="4">
        <f t="shared" si="276"/>
        <v>0.73118279569892475</v>
      </c>
      <c r="AD196" s="105">
        <f t="shared" si="276"/>
        <v>1367.6470588235295</v>
      </c>
      <c r="AE196" s="75" t="str">
        <f t="shared" si="286"/>
        <v>계</v>
      </c>
      <c r="AF196" s="75" t="str">
        <f t="shared" si="287"/>
        <v>3/2</v>
      </c>
      <c r="AH196" s="20" t="str">
        <f t="shared" si="277"/>
        <v>풍호동 창원마린푸르지오1단지</v>
      </c>
      <c r="AI196" s="106">
        <f t="shared" si="278"/>
        <v>34</v>
      </c>
      <c r="AJ196" s="75" t="str">
        <f t="shared" si="288"/>
        <v>A-</v>
      </c>
      <c r="AK196" s="75" t="s">
        <v>14</v>
      </c>
      <c r="AL196" s="75" t="s">
        <v>870</v>
      </c>
      <c r="AM196" s="75" t="s">
        <v>871</v>
      </c>
      <c r="AN196" s="75" t="str">
        <f t="shared" si="289"/>
        <v>C</v>
      </c>
      <c r="AO196" s="75" t="str">
        <f t="shared" si="290"/>
        <v>X</v>
      </c>
      <c r="AP196" s="75" t="str">
        <f t="shared" si="291"/>
        <v>X</v>
      </c>
      <c r="AQ196" s="75" t="str">
        <f t="shared" si="292"/>
        <v>X</v>
      </c>
      <c r="AR196" s="75" t="str">
        <f t="shared" si="293"/>
        <v>X</v>
      </c>
      <c r="AS196" s="75" t="s">
        <v>2</v>
      </c>
      <c r="AT196" s="75" t="str">
        <f t="shared" si="294"/>
        <v>O</v>
      </c>
      <c r="AU196" s="75" t="str">
        <f t="shared" si="295"/>
        <v>O</v>
      </c>
      <c r="AV196" s="75" t="str">
        <f t="shared" si="296"/>
        <v>X</v>
      </c>
    </row>
    <row r="197" spans="1:48" s="38" customFormat="1" ht="12" x14ac:dyDescent="0.3">
      <c r="A197" s="110" t="s">
        <v>1058</v>
      </c>
      <c r="B197" s="111" t="s">
        <v>1059</v>
      </c>
      <c r="C197" s="112">
        <v>1822</v>
      </c>
      <c r="D197" s="104">
        <v>113.3</v>
      </c>
      <c r="E197" s="106">
        <v>34</v>
      </c>
      <c r="F197" s="104">
        <v>85</v>
      </c>
      <c r="G197" s="17">
        <v>26</v>
      </c>
      <c r="H197" s="107">
        <v>204</v>
      </c>
      <c r="I197" s="108">
        <v>47500</v>
      </c>
      <c r="J197" s="108" t="s">
        <v>868</v>
      </c>
      <c r="K197" s="108"/>
      <c r="L197" s="108"/>
      <c r="M197" s="109">
        <f t="shared" si="279"/>
        <v>47500</v>
      </c>
      <c r="N197" s="4">
        <f t="shared" si="280"/>
        <v>0</v>
      </c>
      <c r="O197" s="105">
        <f t="shared" si="281"/>
        <v>1397.0588235294117</v>
      </c>
      <c r="P197" s="105">
        <f t="shared" si="282"/>
        <v>0</v>
      </c>
      <c r="Q197" s="75">
        <v>3</v>
      </c>
      <c r="R197" s="75">
        <v>2</v>
      </c>
      <c r="S197" s="75" t="s">
        <v>869</v>
      </c>
      <c r="T197" s="5" t="s">
        <v>514</v>
      </c>
      <c r="U197" s="9"/>
      <c r="W197" s="104">
        <f t="shared" si="283"/>
        <v>113.3</v>
      </c>
      <c r="X197" s="106">
        <f t="shared" si="283"/>
        <v>34</v>
      </c>
      <c r="Y197" s="102">
        <f t="shared" si="284"/>
        <v>204</v>
      </c>
      <c r="Z197" s="109">
        <f t="shared" si="284"/>
        <v>47500</v>
      </c>
      <c r="AA197" s="109">
        <f t="shared" si="285"/>
        <v>0</v>
      </c>
      <c r="AB197" s="109">
        <f t="shared" si="276"/>
        <v>47500</v>
      </c>
      <c r="AC197" s="4">
        <f t="shared" si="276"/>
        <v>0</v>
      </c>
      <c r="AD197" s="105">
        <f t="shared" si="276"/>
        <v>1397.0588235294117</v>
      </c>
      <c r="AE197" s="75" t="str">
        <f t="shared" si="286"/>
        <v>계</v>
      </c>
      <c r="AF197" s="75" t="str">
        <f t="shared" si="287"/>
        <v>3/2</v>
      </c>
      <c r="AH197" s="20" t="str">
        <f t="shared" si="277"/>
        <v>풍호동 창원마린푸르지오1단지</v>
      </c>
      <c r="AI197" s="106">
        <f t="shared" si="278"/>
        <v>34</v>
      </c>
      <c r="AJ197" s="75" t="str">
        <f t="shared" si="288"/>
        <v>A-</v>
      </c>
      <c r="AK197" s="75" t="s">
        <v>14</v>
      </c>
      <c r="AL197" s="75" t="s">
        <v>870</v>
      </c>
      <c r="AM197" s="75" t="s">
        <v>871</v>
      </c>
      <c r="AN197" s="75" t="str">
        <f t="shared" si="289"/>
        <v>C</v>
      </c>
      <c r="AO197" s="75" t="str">
        <f t="shared" si="290"/>
        <v>X</v>
      </c>
      <c r="AP197" s="75" t="str">
        <f t="shared" si="291"/>
        <v>X</v>
      </c>
      <c r="AQ197" s="75" t="str">
        <f t="shared" si="292"/>
        <v>X</v>
      </c>
      <c r="AR197" s="75" t="str">
        <f t="shared" si="293"/>
        <v>X</v>
      </c>
      <c r="AS197" s="75" t="s">
        <v>2</v>
      </c>
      <c r="AT197" s="75" t="str">
        <f t="shared" si="294"/>
        <v>O</v>
      </c>
      <c r="AU197" s="75" t="str">
        <f t="shared" si="295"/>
        <v>O</v>
      </c>
      <c r="AV197" s="75" t="str">
        <f t="shared" si="296"/>
        <v>X</v>
      </c>
    </row>
    <row r="198" spans="1:48" s="38" customFormat="1" ht="12" x14ac:dyDescent="0.3">
      <c r="A198" s="110" t="s">
        <v>1058</v>
      </c>
      <c r="B198" s="111" t="s">
        <v>1059</v>
      </c>
      <c r="C198" s="112">
        <v>1822</v>
      </c>
      <c r="D198" s="104">
        <v>114</v>
      </c>
      <c r="E198" s="106">
        <v>34</v>
      </c>
      <c r="F198" s="104">
        <v>85</v>
      </c>
      <c r="G198" s="17">
        <v>26</v>
      </c>
      <c r="H198" s="107">
        <v>201</v>
      </c>
      <c r="I198" s="108">
        <v>47800</v>
      </c>
      <c r="J198" s="108" t="s">
        <v>873</v>
      </c>
      <c r="K198" s="108"/>
      <c r="L198" s="108"/>
      <c r="M198" s="109">
        <f t="shared" si="279"/>
        <v>47800</v>
      </c>
      <c r="N198" s="4">
        <f t="shared" si="280"/>
        <v>0</v>
      </c>
      <c r="O198" s="105">
        <f t="shared" si="281"/>
        <v>1405.8823529411766</v>
      </c>
      <c r="P198" s="105">
        <f t="shared" si="282"/>
        <v>0</v>
      </c>
      <c r="Q198" s="75">
        <v>3</v>
      </c>
      <c r="R198" s="75">
        <v>2</v>
      </c>
      <c r="S198" s="75" t="s">
        <v>869</v>
      </c>
      <c r="T198" s="5" t="s">
        <v>783</v>
      </c>
      <c r="U198" s="9"/>
      <c r="W198" s="104">
        <f t="shared" si="283"/>
        <v>114</v>
      </c>
      <c r="X198" s="106">
        <f t="shared" si="283"/>
        <v>34</v>
      </c>
      <c r="Y198" s="102">
        <f t="shared" si="284"/>
        <v>201</v>
      </c>
      <c r="Z198" s="109">
        <f t="shared" si="284"/>
        <v>47800</v>
      </c>
      <c r="AA198" s="109">
        <f t="shared" si="285"/>
        <v>0</v>
      </c>
      <c r="AB198" s="109">
        <f t="shared" si="276"/>
        <v>47800</v>
      </c>
      <c r="AC198" s="4">
        <f t="shared" si="276"/>
        <v>0</v>
      </c>
      <c r="AD198" s="105">
        <f t="shared" si="276"/>
        <v>1405.8823529411766</v>
      </c>
      <c r="AE198" s="75" t="str">
        <f t="shared" si="286"/>
        <v>계</v>
      </c>
      <c r="AF198" s="75" t="str">
        <f t="shared" si="287"/>
        <v>3/2</v>
      </c>
      <c r="AH198" s="20" t="str">
        <f t="shared" si="277"/>
        <v>풍호동 창원마린푸르지오1단지</v>
      </c>
      <c r="AI198" s="106">
        <f t="shared" si="278"/>
        <v>34</v>
      </c>
      <c r="AJ198" s="75" t="str">
        <f t="shared" si="288"/>
        <v>A-</v>
      </c>
      <c r="AK198" s="75" t="s">
        <v>14</v>
      </c>
      <c r="AL198" s="75" t="s">
        <v>870</v>
      </c>
      <c r="AM198" s="75" t="s">
        <v>871</v>
      </c>
      <c r="AN198" s="75" t="str">
        <f t="shared" si="289"/>
        <v>C</v>
      </c>
      <c r="AO198" s="75" t="str">
        <f t="shared" si="290"/>
        <v>X</v>
      </c>
      <c r="AP198" s="75" t="str">
        <f t="shared" si="291"/>
        <v>X</v>
      </c>
      <c r="AQ198" s="75" t="str">
        <f t="shared" si="292"/>
        <v>X</v>
      </c>
      <c r="AR198" s="75" t="str">
        <f t="shared" si="293"/>
        <v>X</v>
      </c>
      <c r="AS198" s="75" t="s">
        <v>2</v>
      </c>
      <c r="AT198" s="75" t="str">
        <f t="shared" si="294"/>
        <v>O</v>
      </c>
      <c r="AU198" s="75" t="str">
        <f t="shared" si="295"/>
        <v>O</v>
      </c>
      <c r="AV198" s="75" t="str">
        <f t="shared" si="296"/>
        <v>X</v>
      </c>
    </row>
    <row r="199" spans="1:48" s="38" customFormat="1" ht="12" x14ac:dyDescent="0.3">
      <c r="A199" s="110" t="s">
        <v>1058</v>
      </c>
      <c r="B199" s="111" t="s">
        <v>1059</v>
      </c>
      <c r="C199" s="112">
        <v>1822</v>
      </c>
      <c r="D199" s="104">
        <v>129.30000000000001</v>
      </c>
      <c r="E199" s="106">
        <v>39</v>
      </c>
      <c r="F199" s="104">
        <v>104</v>
      </c>
      <c r="G199" s="17">
        <v>31</v>
      </c>
      <c r="H199" s="107">
        <v>177</v>
      </c>
      <c r="I199" s="108"/>
      <c r="J199" s="108"/>
      <c r="K199" s="108"/>
      <c r="L199" s="108"/>
      <c r="M199" s="109">
        <f t="shared" si="279"/>
        <v>0</v>
      </c>
      <c r="N199" s="4" t="str">
        <f t="shared" si="280"/>
        <v/>
      </c>
      <c r="O199" s="105">
        <f t="shared" si="281"/>
        <v>0</v>
      </c>
      <c r="P199" s="105">
        <f t="shared" si="282"/>
        <v>0</v>
      </c>
      <c r="Q199" s="75">
        <v>4</v>
      </c>
      <c r="R199" s="75">
        <v>2</v>
      </c>
      <c r="S199" s="75" t="s">
        <v>869</v>
      </c>
      <c r="T199" s="5">
        <v>129</v>
      </c>
      <c r="U199" s="9"/>
      <c r="W199" s="104">
        <f t="shared" si="283"/>
        <v>129.30000000000001</v>
      </c>
      <c r="X199" s="106">
        <f t="shared" si="283"/>
        <v>39</v>
      </c>
      <c r="Y199" s="102">
        <f t="shared" si="284"/>
        <v>177</v>
      </c>
      <c r="Z199" s="109">
        <f t="shared" si="284"/>
        <v>0</v>
      </c>
      <c r="AA199" s="109">
        <f t="shared" si="285"/>
        <v>0</v>
      </c>
      <c r="AB199" s="109">
        <f t="shared" ref="AB199:AD210" si="297">M199</f>
        <v>0</v>
      </c>
      <c r="AC199" s="4" t="str">
        <f t="shared" si="297"/>
        <v/>
      </c>
      <c r="AD199" s="105">
        <f t="shared" si="297"/>
        <v>0</v>
      </c>
      <c r="AE199" s="75" t="str">
        <f t="shared" si="286"/>
        <v>계</v>
      </c>
      <c r="AF199" s="75" t="str">
        <f t="shared" si="287"/>
        <v>4/2</v>
      </c>
      <c r="AH199" s="20" t="str">
        <f t="shared" si="277"/>
        <v>풍호동 창원마린푸르지오1단지</v>
      </c>
      <c r="AI199" s="106">
        <f t="shared" si="278"/>
        <v>39</v>
      </c>
      <c r="AJ199" s="75" t="str">
        <f t="shared" si="288"/>
        <v>A-</v>
      </c>
      <c r="AK199" s="75" t="s">
        <v>14</v>
      </c>
      <c r="AL199" s="75" t="s">
        <v>870</v>
      </c>
      <c r="AM199" s="75" t="s">
        <v>871</v>
      </c>
      <c r="AN199" s="75" t="str">
        <f t="shared" si="289"/>
        <v>C</v>
      </c>
      <c r="AO199" s="75" t="str">
        <f t="shared" si="290"/>
        <v/>
      </c>
      <c r="AP199" s="75" t="str">
        <f t="shared" si="291"/>
        <v/>
      </c>
      <c r="AQ199" s="75" t="str">
        <f t="shared" si="292"/>
        <v>O</v>
      </c>
      <c r="AR199" s="75" t="str">
        <f t="shared" si="293"/>
        <v>O</v>
      </c>
      <c r="AS199" s="75" t="s">
        <v>2</v>
      </c>
      <c r="AT199" s="75" t="str">
        <f t="shared" si="294"/>
        <v>X</v>
      </c>
      <c r="AU199" s="75" t="str">
        <f t="shared" si="295"/>
        <v>O</v>
      </c>
      <c r="AV199" s="75" t="str">
        <f t="shared" si="296"/>
        <v/>
      </c>
    </row>
    <row r="200" spans="1:48" s="38" customFormat="1" ht="12" x14ac:dyDescent="0.3">
      <c r="A200" s="110" t="s">
        <v>1058</v>
      </c>
      <c r="B200" s="111" t="s">
        <v>1059</v>
      </c>
      <c r="C200" s="112">
        <v>1822</v>
      </c>
      <c r="D200" s="104">
        <v>142.1</v>
      </c>
      <c r="E200" s="106">
        <v>43</v>
      </c>
      <c r="F200" s="104">
        <v>114.9</v>
      </c>
      <c r="G200" s="17">
        <v>35</v>
      </c>
      <c r="H200" s="107">
        <v>1</v>
      </c>
      <c r="I200" s="108"/>
      <c r="J200" s="108"/>
      <c r="K200" s="108"/>
      <c r="L200" s="108"/>
      <c r="M200" s="109">
        <f t="shared" si="279"/>
        <v>0</v>
      </c>
      <c r="N200" s="4" t="str">
        <f t="shared" si="280"/>
        <v/>
      </c>
      <c r="O200" s="105">
        <f t="shared" si="281"/>
        <v>0</v>
      </c>
      <c r="P200" s="105">
        <f t="shared" si="282"/>
        <v>0</v>
      </c>
      <c r="Q200" s="75">
        <v>4</v>
      </c>
      <c r="R200" s="75">
        <v>2</v>
      </c>
      <c r="S200" s="75" t="s">
        <v>869</v>
      </c>
      <c r="T200" s="5">
        <v>142</v>
      </c>
      <c r="U200" s="9"/>
      <c r="W200" s="104">
        <f t="shared" si="283"/>
        <v>142.1</v>
      </c>
      <c r="X200" s="106">
        <f t="shared" si="283"/>
        <v>43</v>
      </c>
      <c r="Y200" s="102">
        <f t="shared" si="284"/>
        <v>1</v>
      </c>
      <c r="Z200" s="109">
        <f t="shared" si="284"/>
        <v>0</v>
      </c>
      <c r="AA200" s="109">
        <f t="shared" si="285"/>
        <v>0</v>
      </c>
      <c r="AB200" s="109">
        <f t="shared" si="297"/>
        <v>0</v>
      </c>
      <c r="AC200" s="4" t="str">
        <f t="shared" si="297"/>
        <v/>
      </c>
      <c r="AD200" s="105">
        <f t="shared" si="297"/>
        <v>0</v>
      </c>
      <c r="AE200" s="75" t="str">
        <f t="shared" si="286"/>
        <v>계</v>
      </c>
      <c r="AF200" s="75" t="str">
        <f t="shared" si="287"/>
        <v>4/2</v>
      </c>
      <c r="AH200" s="20" t="str">
        <f t="shared" si="277"/>
        <v>풍호동 창원마린푸르지오1단지</v>
      </c>
      <c r="AI200" s="106">
        <f t="shared" si="278"/>
        <v>43</v>
      </c>
      <c r="AJ200" s="75" t="str">
        <f t="shared" si="288"/>
        <v>A-</v>
      </c>
      <c r="AK200" s="75" t="s">
        <v>14</v>
      </c>
      <c r="AL200" s="75" t="s">
        <v>870</v>
      </c>
      <c r="AM200" s="75" t="s">
        <v>871</v>
      </c>
      <c r="AN200" s="75" t="str">
        <f t="shared" si="289"/>
        <v>C</v>
      </c>
      <c r="AO200" s="75" t="str">
        <f t="shared" si="290"/>
        <v/>
      </c>
      <c r="AP200" s="75" t="str">
        <f t="shared" si="291"/>
        <v/>
      </c>
      <c r="AQ200" s="75" t="str">
        <f t="shared" si="292"/>
        <v>O</v>
      </c>
      <c r="AR200" s="75" t="str">
        <f t="shared" si="293"/>
        <v>O</v>
      </c>
      <c r="AS200" s="75" t="s">
        <v>2</v>
      </c>
      <c r="AT200" s="75" t="str">
        <f t="shared" si="294"/>
        <v>X</v>
      </c>
      <c r="AU200" s="75" t="str">
        <f t="shared" si="295"/>
        <v>O</v>
      </c>
      <c r="AV200" s="75" t="str">
        <f t="shared" si="296"/>
        <v/>
      </c>
    </row>
    <row r="201" spans="1:48" s="38" customFormat="1" ht="12" x14ac:dyDescent="0.3">
      <c r="A201" s="110" t="s">
        <v>1060</v>
      </c>
      <c r="B201" s="111" t="s">
        <v>1051</v>
      </c>
      <c r="C201" s="112">
        <v>372</v>
      </c>
      <c r="D201" s="104">
        <v>78.599999999999994</v>
      </c>
      <c r="E201" s="106">
        <v>24</v>
      </c>
      <c r="F201" s="104">
        <v>60</v>
      </c>
      <c r="G201" s="17">
        <v>18</v>
      </c>
      <c r="H201" s="107">
        <v>132</v>
      </c>
      <c r="I201" s="108">
        <v>17000</v>
      </c>
      <c r="J201" s="108" t="s">
        <v>878</v>
      </c>
      <c r="K201" s="108"/>
      <c r="L201" s="108"/>
      <c r="M201" s="109">
        <f>I201-K201</f>
        <v>17000</v>
      </c>
      <c r="N201" s="4">
        <f>IF(ISERROR(K201/I201),"",K201/I201)</f>
        <v>0</v>
      </c>
      <c r="O201" s="105">
        <f>I201/E201</f>
        <v>708.33333333333337</v>
      </c>
      <c r="P201" s="105">
        <f>K201/E201</f>
        <v>0</v>
      </c>
      <c r="Q201" s="75">
        <v>3</v>
      </c>
      <c r="R201" s="75">
        <v>2</v>
      </c>
      <c r="S201" s="75" t="s">
        <v>869</v>
      </c>
      <c r="T201" s="5">
        <v>78</v>
      </c>
      <c r="U201" s="9"/>
      <c r="W201" s="104">
        <f t="shared" si="283"/>
        <v>78.599999999999994</v>
      </c>
      <c r="X201" s="106">
        <f t="shared" si="283"/>
        <v>24</v>
      </c>
      <c r="Y201" s="102">
        <f t="shared" si="284"/>
        <v>132</v>
      </c>
      <c r="Z201" s="109">
        <f t="shared" si="284"/>
        <v>17000</v>
      </c>
      <c r="AA201" s="109">
        <f>K201</f>
        <v>0</v>
      </c>
      <c r="AB201" s="109">
        <f t="shared" si="297"/>
        <v>17000</v>
      </c>
      <c r="AC201" s="4">
        <f t="shared" si="297"/>
        <v>0</v>
      </c>
      <c r="AD201" s="105">
        <f t="shared" si="297"/>
        <v>708.33333333333337</v>
      </c>
      <c r="AE201" s="75" t="str">
        <f>S201</f>
        <v>계</v>
      </c>
      <c r="AF201" s="75" t="str">
        <f>Q201&amp;"/"&amp;R201</f>
        <v>3/2</v>
      </c>
      <c r="AH201" s="20" t="str">
        <f t="shared" si="277"/>
        <v>풍호동 디에스아이존빌</v>
      </c>
      <c r="AI201" s="106">
        <f t="shared" si="278"/>
        <v>24</v>
      </c>
      <c r="AJ201" s="75" t="str">
        <f>IF(AI201="","",$AJ$2)</f>
        <v>A-</v>
      </c>
      <c r="AK201" s="75" t="s">
        <v>14</v>
      </c>
      <c r="AL201" s="75" t="s">
        <v>870</v>
      </c>
      <c r="AM201" s="75" t="s">
        <v>871</v>
      </c>
      <c r="AN201" s="75" t="str">
        <f>IF(AI201="","",$AN$2)</f>
        <v>C</v>
      </c>
      <c r="AO201" s="75" t="str">
        <f>IF(N201="","",IF(N201&gt;=$AO$1/100,"O","X"))</f>
        <v>X</v>
      </c>
      <c r="AP201" s="75" t="str">
        <f>IF(I201="","",IF(I201&lt;=$AP$1,"O","X"))</f>
        <v>O</v>
      </c>
      <c r="AQ201" s="75" t="str">
        <f>IF(O201="","",IF(O201&lt;=$AQ$1,"O","X"))</f>
        <v>O</v>
      </c>
      <c r="AR201" s="75" t="str">
        <f>IF(M201="","",IF(M201&lt;=$AR$1,"O","X"))</f>
        <v>X</v>
      </c>
      <c r="AS201" s="75" t="s">
        <v>2</v>
      </c>
      <c r="AT201" s="75" t="str">
        <f>IF(OR(F201="",AI201=""),"",IF(AND((F201&lt;=85),(AI201&gt;=15)),"O","X"))</f>
        <v>O</v>
      </c>
      <c r="AU201" s="75" t="str">
        <f>IF(C201="","",IF(C201&gt;=$AU$1,"O","X"))</f>
        <v>O</v>
      </c>
      <c r="AV201" s="75" t="str">
        <f>IF(AO201="","",IF(AND(AO201="O",AP201="O",AR201="O",AT201="O",AU201="O"),"후보","X"))</f>
        <v>X</v>
      </c>
    </row>
    <row r="202" spans="1:48" s="38" customFormat="1" ht="12" x14ac:dyDescent="0.3">
      <c r="A202" s="110" t="s">
        <v>1060</v>
      </c>
      <c r="B202" s="111" t="s">
        <v>1051</v>
      </c>
      <c r="C202" s="112">
        <v>372</v>
      </c>
      <c r="D202" s="104">
        <v>95.2</v>
      </c>
      <c r="E202" s="106">
        <v>29</v>
      </c>
      <c r="F202" s="104">
        <v>76.2</v>
      </c>
      <c r="G202" s="17">
        <v>23</v>
      </c>
      <c r="H202" s="107">
        <v>72</v>
      </c>
      <c r="I202" s="108">
        <v>23000</v>
      </c>
      <c r="J202" s="108" t="s">
        <v>878</v>
      </c>
      <c r="K202" s="108"/>
      <c r="L202" s="108"/>
      <c r="M202" s="109">
        <f>I202-K202</f>
        <v>23000</v>
      </c>
      <c r="N202" s="4">
        <f>IF(ISERROR(K202/I202),"",K202/I202)</f>
        <v>0</v>
      </c>
      <c r="O202" s="105">
        <f>I202/E202</f>
        <v>793.10344827586209</v>
      </c>
      <c r="P202" s="105">
        <f>K202/E202</f>
        <v>0</v>
      </c>
      <c r="Q202" s="75">
        <v>3</v>
      </c>
      <c r="R202" s="75">
        <v>2</v>
      </c>
      <c r="S202" s="75" t="s">
        <v>869</v>
      </c>
      <c r="T202" s="5">
        <v>95</v>
      </c>
      <c r="U202" s="9"/>
      <c r="W202" s="104">
        <f t="shared" si="283"/>
        <v>95.2</v>
      </c>
      <c r="X202" s="106">
        <f t="shared" si="283"/>
        <v>29</v>
      </c>
      <c r="Y202" s="102">
        <f t="shared" si="284"/>
        <v>72</v>
      </c>
      <c r="Z202" s="109">
        <f t="shared" si="284"/>
        <v>23000</v>
      </c>
      <c r="AA202" s="109">
        <f>K202</f>
        <v>0</v>
      </c>
      <c r="AB202" s="109">
        <f t="shared" si="297"/>
        <v>23000</v>
      </c>
      <c r="AC202" s="4">
        <f t="shared" si="297"/>
        <v>0</v>
      </c>
      <c r="AD202" s="105">
        <f t="shared" si="297"/>
        <v>793.10344827586209</v>
      </c>
      <c r="AE202" s="75" t="str">
        <f>S202</f>
        <v>계</v>
      </c>
      <c r="AF202" s="75" t="str">
        <f>Q202&amp;"/"&amp;R202</f>
        <v>3/2</v>
      </c>
      <c r="AH202" s="20" t="str">
        <f t="shared" si="277"/>
        <v>풍호동 디에스아이존빌</v>
      </c>
      <c r="AI202" s="106">
        <f t="shared" si="278"/>
        <v>29</v>
      </c>
      <c r="AJ202" s="75" t="str">
        <f>IF(AI202="","",$AJ$2)</f>
        <v>A-</v>
      </c>
      <c r="AK202" s="75" t="s">
        <v>14</v>
      </c>
      <c r="AL202" s="75" t="s">
        <v>870</v>
      </c>
      <c r="AM202" s="75" t="s">
        <v>871</v>
      </c>
      <c r="AN202" s="75" t="str">
        <f>IF(AI202="","",$AN$2)</f>
        <v>C</v>
      </c>
      <c r="AO202" s="75" t="str">
        <f>IF(N202="","",IF(N202&gt;=$AO$1/100,"O","X"))</f>
        <v>X</v>
      </c>
      <c r="AP202" s="75" t="str">
        <f>IF(I202="","",IF(I202&lt;=$AP$1,"O","X"))</f>
        <v>O</v>
      </c>
      <c r="AQ202" s="75" t="str">
        <f>IF(O202="","",IF(O202&lt;=$AQ$1,"O","X"))</f>
        <v>O</v>
      </c>
      <c r="AR202" s="75" t="str">
        <f>IF(M202="","",IF(M202&lt;=$AR$1,"O","X"))</f>
        <v>X</v>
      </c>
      <c r="AS202" s="75" t="s">
        <v>2</v>
      </c>
      <c r="AT202" s="75" t="str">
        <f>IF(OR(F202="",AI202=""),"",IF(AND((F202&lt;=85),(AI202&gt;=15)),"O","X"))</f>
        <v>O</v>
      </c>
      <c r="AU202" s="75" t="str">
        <f>IF(C202="","",IF(C202&gt;=$AU$1,"O","X"))</f>
        <v>O</v>
      </c>
      <c r="AV202" s="75" t="str">
        <f>IF(AO202="","",IF(AND(AO202="O",AP202="O",AR202="O",AT202="O",AU202="O"),"후보","X"))</f>
        <v>X</v>
      </c>
    </row>
    <row r="203" spans="1:48" s="38" customFormat="1" ht="12" x14ac:dyDescent="0.3">
      <c r="A203" s="110" t="s">
        <v>1060</v>
      </c>
      <c r="B203" s="111" t="s">
        <v>1051</v>
      </c>
      <c r="C203" s="112">
        <v>372</v>
      </c>
      <c r="D203" s="104">
        <v>103.1</v>
      </c>
      <c r="E203" s="106">
        <v>31</v>
      </c>
      <c r="F203" s="104">
        <v>84.6</v>
      </c>
      <c r="G203" s="17">
        <v>26</v>
      </c>
      <c r="H203" s="107">
        <v>120</v>
      </c>
      <c r="I203" s="108">
        <v>21000</v>
      </c>
      <c r="J203" s="108" t="s">
        <v>868</v>
      </c>
      <c r="K203" s="108"/>
      <c r="L203" s="108"/>
      <c r="M203" s="109">
        <f>I203-K203</f>
        <v>21000</v>
      </c>
      <c r="N203" s="4">
        <f>IF(ISERROR(K203/I203),"",K203/I203)</f>
        <v>0</v>
      </c>
      <c r="O203" s="105">
        <f>I203/E203</f>
        <v>677.41935483870964</v>
      </c>
      <c r="P203" s="105">
        <f>K203/E203</f>
        <v>0</v>
      </c>
      <c r="Q203" s="75">
        <v>3</v>
      </c>
      <c r="R203" s="75">
        <v>2</v>
      </c>
      <c r="S203" s="75" t="s">
        <v>869</v>
      </c>
      <c r="T203" s="5">
        <v>103</v>
      </c>
      <c r="U203" s="9"/>
      <c r="W203" s="104">
        <f t="shared" si="283"/>
        <v>103.1</v>
      </c>
      <c r="X203" s="106">
        <f t="shared" si="283"/>
        <v>31</v>
      </c>
      <c r="Y203" s="102">
        <f t="shared" si="284"/>
        <v>120</v>
      </c>
      <c r="Z203" s="109">
        <f t="shared" si="284"/>
        <v>21000</v>
      </c>
      <c r="AA203" s="109">
        <f>K203</f>
        <v>0</v>
      </c>
      <c r="AB203" s="109">
        <f t="shared" si="297"/>
        <v>21000</v>
      </c>
      <c r="AC203" s="4">
        <f t="shared" si="297"/>
        <v>0</v>
      </c>
      <c r="AD203" s="105">
        <f t="shared" si="297"/>
        <v>677.41935483870964</v>
      </c>
      <c r="AE203" s="75" t="str">
        <f>S203</f>
        <v>계</v>
      </c>
      <c r="AF203" s="75" t="str">
        <f>Q203&amp;"/"&amp;R203</f>
        <v>3/2</v>
      </c>
      <c r="AH203" s="20" t="str">
        <f t="shared" si="277"/>
        <v>풍호동 디에스아이존빌</v>
      </c>
      <c r="AI203" s="106">
        <f t="shared" si="278"/>
        <v>31</v>
      </c>
      <c r="AJ203" s="75" t="str">
        <f>IF(AI203="","",$AJ$2)</f>
        <v>A-</v>
      </c>
      <c r="AK203" s="75" t="s">
        <v>14</v>
      </c>
      <c r="AL203" s="75" t="s">
        <v>870</v>
      </c>
      <c r="AM203" s="75" t="s">
        <v>871</v>
      </c>
      <c r="AN203" s="75" t="str">
        <f>IF(AI203="","",$AN$2)</f>
        <v>C</v>
      </c>
      <c r="AO203" s="75" t="str">
        <f>IF(N203="","",IF(N203&gt;=$AO$1/100,"O","X"))</f>
        <v>X</v>
      </c>
      <c r="AP203" s="75" t="str">
        <f>IF(I203="","",IF(I203&lt;=$AP$1,"O","X"))</f>
        <v>O</v>
      </c>
      <c r="AQ203" s="75" t="str">
        <f>IF(O203="","",IF(O203&lt;=$AQ$1,"O","X"))</f>
        <v>O</v>
      </c>
      <c r="AR203" s="75" t="str">
        <f>IF(M203="","",IF(M203&lt;=$AR$1,"O","X"))</f>
        <v>X</v>
      </c>
      <c r="AS203" s="75" t="s">
        <v>2</v>
      </c>
      <c r="AT203" s="75" t="str">
        <f>IF(OR(F203="",AI203=""),"",IF(AND((F203&lt;=85),(AI203&gt;=15)),"O","X"))</f>
        <v>O</v>
      </c>
      <c r="AU203" s="75" t="str">
        <f>IF(C203="","",IF(C203&gt;=$AU$1,"O","X"))</f>
        <v>O</v>
      </c>
      <c r="AV203" s="75" t="str">
        <f>IF(AO203="","",IF(AND(AO203="O",AP203="O",AR203="O",AT203="O",AU203="O"),"후보","X"))</f>
        <v>X</v>
      </c>
    </row>
    <row r="204" spans="1:48" s="38" customFormat="1" ht="12" x14ac:dyDescent="0.3">
      <c r="A204" s="110" t="s">
        <v>1060</v>
      </c>
      <c r="B204" s="111" t="s">
        <v>1051</v>
      </c>
      <c r="C204" s="112">
        <v>372</v>
      </c>
      <c r="D204" s="104">
        <v>126.6</v>
      </c>
      <c r="E204" s="106">
        <v>38</v>
      </c>
      <c r="F204" s="104">
        <v>107.7</v>
      </c>
      <c r="G204" s="17">
        <v>33</v>
      </c>
      <c r="H204" s="107">
        <v>48</v>
      </c>
      <c r="I204" s="108"/>
      <c r="J204" s="108"/>
      <c r="K204" s="108"/>
      <c r="L204" s="108"/>
      <c r="M204" s="109">
        <f>I204-K204</f>
        <v>0</v>
      </c>
      <c r="N204" s="4" t="str">
        <f>IF(ISERROR(K204/I204),"",K204/I204)</f>
        <v/>
      </c>
      <c r="O204" s="105">
        <f>I204/E204</f>
        <v>0</v>
      </c>
      <c r="P204" s="105">
        <f>K204/E204</f>
        <v>0</v>
      </c>
      <c r="Q204" s="75">
        <v>4</v>
      </c>
      <c r="R204" s="75">
        <v>2</v>
      </c>
      <c r="S204" s="75" t="s">
        <v>869</v>
      </c>
      <c r="T204" s="5">
        <v>126</v>
      </c>
      <c r="U204" s="9"/>
      <c r="W204" s="104">
        <f t="shared" ref="W204:X210" si="298">D204</f>
        <v>126.6</v>
      </c>
      <c r="X204" s="106">
        <f t="shared" si="298"/>
        <v>38</v>
      </c>
      <c r="Y204" s="102">
        <f t="shared" ref="Y204:Z210" si="299">H204</f>
        <v>48</v>
      </c>
      <c r="Z204" s="109">
        <f t="shared" si="299"/>
        <v>0</v>
      </c>
      <c r="AA204" s="109">
        <f>K204</f>
        <v>0</v>
      </c>
      <c r="AB204" s="109">
        <f t="shared" si="297"/>
        <v>0</v>
      </c>
      <c r="AC204" s="4" t="str">
        <f t="shared" si="297"/>
        <v/>
      </c>
      <c r="AD204" s="105">
        <f t="shared" si="297"/>
        <v>0</v>
      </c>
      <c r="AE204" s="75" t="str">
        <f>S204</f>
        <v>계</v>
      </c>
      <c r="AF204" s="75" t="str">
        <f>Q204&amp;"/"&amp;R204</f>
        <v>4/2</v>
      </c>
      <c r="AH204" s="20" t="str">
        <f t="shared" si="277"/>
        <v>풍호동 디에스아이존빌</v>
      </c>
      <c r="AI204" s="106">
        <f t="shared" si="278"/>
        <v>38</v>
      </c>
      <c r="AJ204" s="75" t="str">
        <f>IF(AI204="","",$AJ$2)</f>
        <v>A-</v>
      </c>
      <c r="AK204" s="75" t="s">
        <v>14</v>
      </c>
      <c r="AL204" s="75" t="s">
        <v>870</v>
      </c>
      <c r="AM204" s="75" t="s">
        <v>871</v>
      </c>
      <c r="AN204" s="75" t="str">
        <f>IF(AI204="","",$AN$2)</f>
        <v>C</v>
      </c>
      <c r="AO204" s="75" t="str">
        <f>IF(N204="","",IF(N204&gt;=$AO$1/100,"O","X"))</f>
        <v/>
      </c>
      <c r="AP204" s="75" t="str">
        <f>IF(I204="","",IF(I204&lt;=$AP$1,"O","X"))</f>
        <v/>
      </c>
      <c r="AQ204" s="75" t="str">
        <f>IF(O204="","",IF(O204&lt;=$AQ$1,"O","X"))</f>
        <v>O</v>
      </c>
      <c r="AR204" s="75" t="str">
        <f>IF(M204="","",IF(M204&lt;=$AR$1,"O","X"))</f>
        <v>O</v>
      </c>
      <c r="AS204" s="75" t="s">
        <v>2</v>
      </c>
      <c r="AT204" s="75" t="str">
        <f>IF(OR(F204="",AI204=""),"",IF(AND((F204&lt;=85),(AI204&gt;=15)),"O","X"))</f>
        <v>X</v>
      </c>
      <c r="AU204" s="75" t="str">
        <f>IF(C204="","",IF(C204&gt;=$AU$1,"O","X"))</f>
        <v>O</v>
      </c>
      <c r="AV204" s="75" t="str">
        <f>IF(AO204="","",IF(AND(AO204="O",AP204="O",AR204="O",AT204="O",AU204="O"),"후보","X"))</f>
        <v/>
      </c>
    </row>
    <row r="205" spans="1:48" s="38" customFormat="1" ht="12" x14ac:dyDescent="0.3">
      <c r="A205" s="110" t="s">
        <v>1061</v>
      </c>
      <c r="B205" s="111" t="s">
        <v>1062</v>
      </c>
      <c r="C205" s="112">
        <v>1763</v>
      </c>
      <c r="D205" s="104">
        <v>79.900000000000006</v>
      </c>
      <c r="E205" s="106">
        <v>24</v>
      </c>
      <c r="F205" s="104">
        <v>59.9</v>
      </c>
      <c r="G205" s="17">
        <v>18</v>
      </c>
      <c r="H205" s="107">
        <v>548</v>
      </c>
      <c r="I205" s="108">
        <v>13800</v>
      </c>
      <c r="J205" s="108" t="s">
        <v>878</v>
      </c>
      <c r="K205" s="108"/>
      <c r="L205" s="108"/>
      <c r="M205" s="109">
        <f t="shared" ref="M205:M210" si="300">I205-K205</f>
        <v>13800</v>
      </c>
      <c r="N205" s="4">
        <f t="shared" ref="N205:N210" si="301">IF(ISERROR(K205/I205),"",K205/I205)</f>
        <v>0</v>
      </c>
      <c r="O205" s="105">
        <f t="shared" ref="O205:O210" si="302">I205/E205</f>
        <v>575</v>
      </c>
      <c r="P205" s="105">
        <f t="shared" ref="P205:P210" si="303">K205/E205</f>
        <v>0</v>
      </c>
      <c r="Q205" s="75">
        <v>2</v>
      </c>
      <c r="R205" s="75">
        <v>1</v>
      </c>
      <c r="S205" s="75" t="s">
        <v>869</v>
      </c>
      <c r="T205" s="5">
        <v>79</v>
      </c>
      <c r="U205" s="9"/>
      <c r="W205" s="104">
        <f t="shared" si="298"/>
        <v>79.900000000000006</v>
      </c>
      <c r="X205" s="106">
        <f t="shared" si="298"/>
        <v>24</v>
      </c>
      <c r="Y205" s="102">
        <f t="shared" si="299"/>
        <v>548</v>
      </c>
      <c r="Z205" s="109">
        <f t="shared" si="299"/>
        <v>13800</v>
      </c>
      <c r="AA205" s="109">
        <f t="shared" ref="AA205:AA210" si="304">K205</f>
        <v>0</v>
      </c>
      <c r="AB205" s="109">
        <f t="shared" si="297"/>
        <v>13800</v>
      </c>
      <c r="AC205" s="4">
        <f t="shared" si="297"/>
        <v>0</v>
      </c>
      <c r="AD205" s="105">
        <f t="shared" si="297"/>
        <v>575</v>
      </c>
      <c r="AE205" s="75" t="str">
        <f t="shared" ref="AE205:AE210" si="305">S205</f>
        <v>계</v>
      </c>
      <c r="AF205" s="75" t="str">
        <f t="shared" ref="AF205:AF210" si="306">Q205&amp;"/"&amp;R205</f>
        <v>2/1</v>
      </c>
      <c r="AH205" s="20" t="str">
        <f t="shared" si="277"/>
        <v>풍호동 우성</v>
      </c>
      <c r="AI205" s="106">
        <f t="shared" si="278"/>
        <v>24</v>
      </c>
      <c r="AJ205" s="75" t="str">
        <f t="shared" ref="AJ205:AJ210" si="307">IF(AI205="","",$AJ$2)</f>
        <v>A-</v>
      </c>
      <c r="AK205" s="75" t="s">
        <v>14</v>
      </c>
      <c r="AL205" s="75" t="s">
        <v>870</v>
      </c>
      <c r="AM205" s="75" t="s">
        <v>871</v>
      </c>
      <c r="AN205" s="75" t="str">
        <f t="shared" ref="AN205:AN210" si="308">IF(AI205="","",$AN$2)</f>
        <v>C</v>
      </c>
      <c r="AO205" s="75" t="str">
        <f t="shared" ref="AO205:AO210" si="309">IF(N205="","",IF(N205&gt;=$AO$1/100,"O","X"))</f>
        <v>X</v>
      </c>
      <c r="AP205" s="75" t="str">
        <f t="shared" ref="AP205:AP210" si="310">IF(I205="","",IF(I205&lt;=$AP$1,"O","X"))</f>
        <v>O</v>
      </c>
      <c r="AQ205" s="75" t="str">
        <f t="shared" ref="AQ205:AQ210" si="311">IF(O205="","",IF(O205&lt;=$AQ$1,"O","X"))</f>
        <v>O</v>
      </c>
      <c r="AR205" s="75" t="str">
        <f t="shared" ref="AR205:AR210" si="312">IF(M205="","",IF(M205&lt;=$AR$1,"O","X"))</f>
        <v>X</v>
      </c>
      <c r="AS205" s="75" t="s">
        <v>2</v>
      </c>
      <c r="AT205" s="75" t="str">
        <f t="shared" ref="AT205:AT210" si="313">IF(OR(F205="",AI205=""),"",IF(AND((F205&lt;=85),(AI205&gt;=15)),"O","X"))</f>
        <v>O</v>
      </c>
      <c r="AU205" s="75" t="str">
        <f t="shared" ref="AU205:AU210" si="314">IF(C205="","",IF(C205&gt;=$AU$1,"O","X"))</f>
        <v>O</v>
      </c>
      <c r="AV205" s="75" t="str">
        <f t="shared" ref="AV205:AV210" si="315">IF(AO205="","",IF(AND(AO205="O",AP205="O",AR205="O",AT205="O",AU205="O"),"후보","X"))</f>
        <v>X</v>
      </c>
    </row>
    <row r="206" spans="1:48" s="38" customFormat="1" ht="12" x14ac:dyDescent="0.3">
      <c r="A206" s="110" t="s">
        <v>1061</v>
      </c>
      <c r="B206" s="111" t="s">
        <v>1062</v>
      </c>
      <c r="C206" s="112">
        <v>1763</v>
      </c>
      <c r="D206" s="104">
        <v>86.7</v>
      </c>
      <c r="E206" s="106">
        <v>26</v>
      </c>
      <c r="F206" s="104">
        <v>69.599999999999994</v>
      </c>
      <c r="G206" s="17">
        <v>21</v>
      </c>
      <c r="H206" s="107">
        <v>114</v>
      </c>
      <c r="I206" s="108">
        <v>18500</v>
      </c>
      <c r="J206" s="108" t="s">
        <v>868</v>
      </c>
      <c r="K206" s="108"/>
      <c r="L206" s="108"/>
      <c r="M206" s="109">
        <f t="shared" si="300"/>
        <v>18500</v>
      </c>
      <c r="N206" s="4">
        <f t="shared" si="301"/>
        <v>0</v>
      </c>
      <c r="O206" s="105">
        <f t="shared" si="302"/>
        <v>711.53846153846155</v>
      </c>
      <c r="P206" s="105">
        <f t="shared" si="303"/>
        <v>0</v>
      </c>
      <c r="Q206" s="75">
        <v>3</v>
      </c>
      <c r="R206" s="75">
        <v>1</v>
      </c>
      <c r="S206" s="75" t="s">
        <v>869</v>
      </c>
      <c r="T206" s="5">
        <v>86</v>
      </c>
      <c r="U206" s="9"/>
      <c r="W206" s="104">
        <f t="shared" si="298"/>
        <v>86.7</v>
      </c>
      <c r="X206" s="106">
        <f t="shared" si="298"/>
        <v>26</v>
      </c>
      <c r="Y206" s="102">
        <f t="shared" si="299"/>
        <v>114</v>
      </c>
      <c r="Z206" s="109">
        <f t="shared" si="299"/>
        <v>18500</v>
      </c>
      <c r="AA206" s="109">
        <f t="shared" si="304"/>
        <v>0</v>
      </c>
      <c r="AB206" s="109">
        <f t="shared" si="297"/>
        <v>18500</v>
      </c>
      <c r="AC206" s="4">
        <f t="shared" si="297"/>
        <v>0</v>
      </c>
      <c r="AD206" s="105">
        <f t="shared" si="297"/>
        <v>711.53846153846155</v>
      </c>
      <c r="AE206" s="75" t="str">
        <f t="shared" si="305"/>
        <v>계</v>
      </c>
      <c r="AF206" s="75" t="str">
        <f t="shared" si="306"/>
        <v>3/1</v>
      </c>
      <c r="AH206" s="20" t="str">
        <f t="shared" si="277"/>
        <v>풍호동 우성</v>
      </c>
      <c r="AI206" s="106">
        <f t="shared" si="278"/>
        <v>26</v>
      </c>
      <c r="AJ206" s="75" t="str">
        <f t="shared" si="307"/>
        <v>A-</v>
      </c>
      <c r="AK206" s="75" t="s">
        <v>14</v>
      </c>
      <c r="AL206" s="75" t="s">
        <v>870</v>
      </c>
      <c r="AM206" s="75" t="s">
        <v>871</v>
      </c>
      <c r="AN206" s="75" t="str">
        <f t="shared" si="308"/>
        <v>C</v>
      </c>
      <c r="AO206" s="75" t="str">
        <f t="shared" si="309"/>
        <v>X</v>
      </c>
      <c r="AP206" s="75" t="str">
        <f t="shared" si="310"/>
        <v>O</v>
      </c>
      <c r="AQ206" s="75" t="str">
        <f t="shared" si="311"/>
        <v>O</v>
      </c>
      <c r="AR206" s="75" t="str">
        <f t="shared" si="312"/>
        <v>X</v>
      </c>
      <c r="AS206" s="75" t="s">
        <v>2</v>
      </c>
      <c r="AT206" s="75" t="str">
        <f t="shared" si="313"/>
        <v>O</v>
      </c>
      <c r="AU206" s="75" t="str">
        <f t="shared" si="314"/>
        <v>O</v>
      </c>
      <c r="AV206" s="75" t="str">
        <f t="shared" si="315"/>
        <v>X</v>
      </c>
    </row>
    <row r="207" spans="1:48" s="38" customFormat="1" ht="12" x14ac:dyDescent="0.3">
      <c r="A207" s="110" t="s">
        <v>1061</v>
      </c>
      <c r="B207" s="111" t="s">
        <v>1062</v>
      </c>
      <c r="C207" s="112">
        <v>1763</v>
      </c>
      <c r="D207" s="104">
        <v>94.9</v>
      </c>
      <c r="E207" s="106">
        <v>29</v>
      </c>
      <c r="F207" s="104">
        <v>77.099999999999994</v>
      </c>
      <c r="G207" s="17">
        <v>23</v>
      </c>
      <c r="H207" s="107">
        <v>110</v>
      </c>
      <c r="I207" s="108"/>
      <c r="J207" s="108"/>
      <c r="K207" s="108"/>
      <c r="L207" s="108"/>
      <c r="M207" s="109">
        <f t="shared" si="300"/>
        <v>0</v>
      </c>
      <c r="N207" s="4" t="str">
        <f t="shared" si="301"/>
        <v/>
      </c>
      <c r="O207" s="105">
        <f t="shared" si="302"/>
        <v>0</v>
      </c>
      <c r="P207" s="105">
        <f t="shared" si="303"/>
        <v>0</v>
      </c>
      <c r="Q207" s="75">
        <v>3</v>
      </c>
      <c r="R207" s="75">
        <v>1</v>
      </c>
      <c r="S207" s="75" t="s">
        <v>869</v>
      </c>
      <c r="T207" s="5">
        <v>94</v>
      </c>
      <c r="U207" s="9"/>
      <c r="W207" s="104">
        <f t="shared" si="298"/>
        <v>94.9</v>
      </c>
      <c r="X207" s="106">
        <f t="shared" si="298"/>
        <v>29</v>
      </c>
      <c r="Y207" s="102">
        <f t="shared" si="299"/>
        <v>110</v>
      </c>
      <c r="Z207" s="109">
        <f t="shared" si="299"/>
        <v>0</v>
      </c>
      <c r="AA207" s="109">
        <f t="shared" si="304"/>
        <v>0</v>
      </c>
      <c r="AB207" s="109">
        <f t="shared" si="297"/>
        <v>0</v>
      </c>
      <c r="AC207" s="4" t="str">
        <f t="shared" si="297"/>
        <v/>
      </c>
      <c r="AD207" s="105">
        <f t="shared" si="297"/>
        <v>0</v>
      </c>
      <c r="AE207" s="75" t="str">
        <f t="shared" si="305"/>
        <v>계</v>
      </c>
      <c r="AF207" s="75" t="str">
        <f t="shared" si="306"/>
        <v>3/1</v>
      </c>
      <c r="AH207" s="20" t="str">
        <f t="shared" si="277"/>
        <v>풍호동 우성</v>
      </c>
      <c r="AI207" s="106">
        <f t="shared" si="278"/>
        <v>29</v>
      </c>
      <c r="AJ207" s="75" t="str">
        <f t="shared" si="307"/>
        <v>A-</v>
      </c>
      <c r="AK207" s="75" t="s">
        <v>14</v>
      </c>
      <c r="AL207" s="75" t="s">
        <v>870</v>
      </c>
      <c r="AM207" s="75" t="s">
        <v>871</v>
      </c>
      <c r="AN207" s="75" t="str">
        <f t="shared" si="308"/>
        <v>C</v>
      </c>
      <c r="AO207" s="75" t="str">
        <f t="shared" si="309"/>
        <v/>
      </c>
      <c r="AP207" s="75" t="str">
        <f t="shared" si="310"/>
        <v/>
      </c>
      <c r="AQ207" s="75" t="str">
        <f t="shared" si="311"/>
        <v>O</v>
      </c>
      <c r="AR207" s="75" t="str">
        <f t="shared" si="312"/>
        <v>O</v>
      </c>
      <c r="AS207" s="75" t="s">
        <v>2</v>
      </c>
      <c r="AT207" s="75" t="str">
        <f t="shared" si="313"/>
        <v>O</v>
      </c>
      <c r="AU207" s="75" t="str">
        <f t="shared" si="314"/>
        <v>O</v>
      </c>
      <c r="AV207" s="75" t="str">
        <f t="shared" si="315"/>
        <v/>
      </c>
    </row>
    <row r="208" spans="1:48" s="38" customFormat="1" ht="12" x14ac:dyDescent="0.3">
      <c r="A208" s="110" t="s">
        <v>1061</v>
      </c>
      <c r="B208" s="111" t="s">
        <v>1062</v>
      </c>
      <c r="C208" s="112">
        <v>1763</v>
      </c>
      <c r="D208" s="104">
        <v>103.5</v>
      </c>
      <c r="E208" s="106">
        <v>31</v>
      </c>
      <c r="F208" s="104">
        <v>84.8</v>
      </c>
      <c r="G208" s="17">
        <v>26</v>
      </c>
      <c r="H208" s="107">
        <v>785</v>
      </c>
      <c r="I208" s="108">
        <v>21000</v>
      </c>
      <c r="J208" s="108" t="s">
        <v>914</v>
      </c>
      <c r="K208" s="108">
        <v>18000</v>
      </c>
      <c r="L208" s="108" t="s">
        <v>883</v>
      </c>
      <c r="M208" s="109">
        <f t="shared" si="300"/>
        <v>3000</v>
      </c>
      <c r="N208" s="4">
        <f t="shared" si="301"/>
        <v>0.8571428571428571</v>
      </c>
      <c r="O208" s="105">
        <f t="shared" si="302"/>
        <v>677.41935483870964</v>
      </c>
      <c r="P208" s="105">
        <f t="shared" si="303"/>
        <v>580.64516129032256</v>
      </c>
      <c r="Q208" s="75">
        <v>3</v>
      </c>
      <c r="R208" s="75">
        <v>2</v>
      </c>
      <c r="S208" s="75" t="s">
        <v>869</v>
      </c>
      <c r="T208" s="5">
        <v>103</v>
      </c>
      <c r="U208" s="9"/>
      <c r="W208" s="104">
        <f t="shared" si="298"/>
        <v>103.5</v>
      </c>
      <c r="X208" s="106">
        <f t="shared" si="298"/>
        <v>31</v>
      </c>
      <c r="Y208" s="102">
        <f t="shared" si="299"/>
        <v>785</v>
      </c>
      <c r="Z208" s="109">
        <f t="shared" si="299"/>
        <v>21000</v>
      </c>
      <c r="AA208" s="109">
        <f t="shared" si="304"/>
        <v>18000</v>
      </c>
      <c r="AB208" s="109">
        <f t="shared" si="297"/>
        <v>3000</v>
      </c>
      <c r="AC208" s="4">
        <f t="shared" si="297"/>
        <v>0.8571428571428571</v>
      </c>
      <c r="AD208" s="105">
        <f t="shared" si="297"/>
        <v>677.41935483870964</v>
      </c>
      <c r="AE208" s="75" t="str">
        <f t="shared" si="305"/>
        <v>계</v>
      </c>
      <c r="AF208" s="75" t="str">
        <f t="shared" si="306"/>
        <v>3/2</v>
      </c>
      <c r="AH208" s="20" t="str">
        <f t="shared" si="277"/>
        <v>풍호동 우성</v>
      </c>
      <c r="AI208" s="106">
        <f t="shared" si="278"/>
        <v>31</v>
      </c>
      <c r="AJ208" s="75" t="str">
        <f t="shared" si="307"/>
        <v>A-</v>
      </c>
      <c r="AK208" s="75" t="s">
        <v>14</v>
      </c>
      <c r="AL208" s="75" t="s">
        <v>870</v>
      </c>
      <c r="AM208" s="75" t="s">
        <v>871</v>
      </c>
      <c r="AN208" s="75" t="str">
        <f t="shared" si="308"/>
        <v>C</v>
      </c>
      <c r="AO208" s="75" t="str">
        <f t="shared" si="309"/>
        <v>O</v>
      </c>
      <c r="AP208" s="75" t="str">
        <f t="shared" si="310"/>
        <v>O</v>
      </c>
      <c r="AQ208" s="75" t="str">
        <f t="shared" si="311"/>
        <v>O</v>
      </c>
      <c r="AR208" s="75" t="str">
        <f t="shared" si="312"/>
        <v>O</v>
      </c>
      <c r="AS208" s="75" t="s">
        <v>2</v>
      </c>
      <c r="AT208" s="75" t="str">
        <f t="shared" si="313"/>
        <v>O</v>
      </c>
      <c r="AU208" s="75" t="str">
        <f t="shared" si="314"/>
        <v>O</v>
      </c>
      <c r="AV208" s="75" t="str">
        <f t="shared" si="315"/>
        <v>후보</v>
      </c>
    </row>
    <row r="209" spans="1:58" s="38" customFormat="1" ht="12" x14ac:dyDescent="0.3">
      <c r="A209" s="110" t="s">
        <v>1061</v>
      </c>
      <c r="B209" s="111" t="s">
        <v>1062</v>
      </c>
      <c r="C209" s="112">
        <v>1763</v>
      </c>
      <c r="D209" s="104">
        <v>123</v>
      </c>
      <c r="E209" s="106">
        <v>37</v>
      </c>
      <c r="F209" s="104">
        <v>101.7</v>
      </c>
      <c r="G209" s="17">
        <v>31</v>
      </c>
      <c r="H209" s="107">
        <v>50</v>
      </c>
      <c r="I209" s="108"/>
      <c r="J209" s="108"/>
      <c r="K209" s="108"/>
      <c r="L209" s="108"/>
      <c r="M209" s="109">
        <f t="shared" si="300"/>
        <v>0</v>
      </c>
      <c r="N209" s="4" t="str">
        <f t="shared" si="301"/>
        <v/>
      </c>
      <c r="O209" s="105">
        <f t="shared" si="302"/>
        <v>0</v>
      </c>
      <c r="P209" s="105">
        <f t="shared" si="303"/>
        <v>0</v>
      </c>
      <c r="Q209" s="75">
        <v>4</v>
      </c>
      <c r="R209" s="75">
        <v>2</v>
      </c>
      <c r="S209" s="75" t="s">
        <v>869</v>
      </c>
      <c r="T209" s="5">
        <v>123</v>
      </c>
      <c r="U209" s="9"/>
      <c r="W209" s="104">
        <f t="shared" si="298"/>
        <v>123</v>
      </c>
      <c r="X209" s="106">
        <f t="shared" si="298"/>
        <v>37</v>
      </c>
      <c r="Y209" s="102">
        <f t="shared" si="299"/>
        <v>50</v>
      </c>
      <c r="Z209" s="109">
        <f t="shared" si="299"/>
        <v>0</v>
      </c>
      <c r="AA209" s="109">
        <f t="shared" si="304"/>
        <v>0</v>
      </c>
      <c r="AB209" s="109">
        <f t="shared" si="297"/>
        <v>0</v>
      </c>
      <c r="AC209" s="4" t="str">
        <f t="shared" si="297"/>
        <v/>
      </c>
      <c r="AD209" s="105">
        <f t="shared" si="297"/>
        <v>0</v>
      </c>
      <c r="AE209" s="75" t="str">
        <f t="shared" si="305"/>
        <v>계</v>
      </c>
      <c r="AF209" s="75" t="str">
        <f t="shared" si="306"/>
        <v>4/2</v>
      </c>
      <c r="AH209" s="20" t="str">
        <f t="shared" si="277"/>
        <v>풍호동 우성</v>
      </c>
      <c r="AI209" s="106">
        <f t="shared" si="278"/>
        <v>37</v>
      </c>
      <c r="AJ209" s="75" t="str">
        <f t="shared" si="307"/>
        <v>A-</v>
      </c>
      <c r="AK209" s="75" t="s">
        <v>14</v>
      </c>
      <c r="AL209" s="75" t="s">
        <v>870</v>
      </c>
      <c r="AM209" s="75" t="s">
        <v>871</v>
      </c>
      <c r="AN209" s="75" t="str">
        <f t="shared" si="308"/>
        <v>C</v>
      </c>
      <c r="AO209" s="75" t="str">
        <f t="shared" si="309"/>
        <v/>
      </c>
      <c r="AP209" s="75" t="str">
        <f t="shared" si="310"/>
        <v/>
      </c>
      <c r="AQ209" s="75" t="str">
        <f t="shared" si="311"/>
        <v>O</v>
      </c>
      <c r="AR209" s="75" t="str">
        <f t="shared" si="312"/>
        <v>O</v>
      </c>
      <c r="AS209" s="75" t="s">
        <v>2</v>
      </c>
      <c r="AT209" s="75" t="str">
        <f t="shared" si="313"/>
        <v>X</v>
      </c>
      <c r="AU209" s="75" t="str">
        <f t="shared" si="314"/>
        <v>O</v>
      </c>
      <c r="AV209" s="75" t="str">
        <f t="shared" si="315"/>
        <v/>
      </c>
    </row>
    <row r="210" spans="1:58" s="38" customFormat="1" ht="12" x14ac:dyDescent="0.3">
      <c r="A210" s="110" t="s">
        <v>1061</v>
      </c>
      <c r="B210" s="111" t="s">
        <v>1062</v>
      </c>
      <c r="C210" s="112">
        <v>1763</v>
      </c>
      <c r="D210" s="104">
        <v>153.4</v>
      </c>
      <c r="E210" s="106">
        <v>46</v>
      </c>
      <c r="F210" s="104">
        <v>129.6</v>
      </c>
      <c r="G210" s="17">
        <v>39</v>
      </c>
      <c r="H210" s="107">
        <v>156</v>
      </c>
      <c r="I210" s="108"/>
      <c r="J210" s="108"/>
      <c r="K210" s="108"/>
      <c r="L210" s="108"/>
      <c r="M210" s="109">
        <f t="shared" si="300"/>
        <v>0</v>
      </c>
      <c r="N210" s="4" t="str">
        <f t="shared" si="301"/>
        <v/>
      </c>
      <c r="O210" s="105">
        <f t="shared" si="302"/>
        <v>0</v>
      </c>
      <c r="P210" s="105">
        <f t="shared" si="303"/>
        <v>0</v>
      </c>
      <c r="Q210" s="75">
        <v>4</v>
      </c>
      <c r="R210" s="75">
        <v>2</v>
      </c>
      <c r="S210" s="75" t="s">
        <v>869</v>
      </c>
      <c r="T210" s="5">
        <v>153</v>
      </c>
      <c r="U210" s="9"/>
      <c r="W210" s="104">
        <f t="shared" si="298"/>
        <v>153.4</v>
      </c>
      <c r="X210" s="106">
        <f t="shared" si="298"/>
        <v>46</v>
      </c>
      <c r="Y210" s="102">
        <f t="shared" si="299"/>
        <v>156</v>
      </c>
      <c r="Z210" s="109">
        <f t="shared" si="299"/>
        <v>0</v>
      </c>
      <c r="AA210" s="109">
        <f t="shared" si="304"/>
        <v>0</v>
      </c>
      <c r="AB210" s="109">
        <f t="shared" si="297"/>
        <v>0</v>
      </c>
      <c r="AC210" s="4" t="str">
        <f t="shared" si="297"/>
        <v/>
      </c>
      <c r="AD210" s="105">
        <f t="shared" si="297"/>
        <v>0</v>
      </c>
      <c r="AE210" s="75" t="str">
        <f t="shared" si="305"/>
        <v>계</v>
      </c>
      <c r="AF210" s="75" t="str">
        <f t="shared" si="306"/>
        <v>4/2</v>
      </c>
      <c r="AH210" s="20" t="str">
        <f t="shared" si="277"/>
        <v>풍호동 우성</v>
      </c>
      <c r="AI210" s="106">
        <f t="shared" si="278"/>
        <v>46</v>
      </c>
      <c r="AJ210" s="75" t="str">
        <f t="shared" si="307"/>
        <v>A-</v>
      </c>
      <c r="AK210" s="75" t="s">
        <v>14</v>
      </c>
      <c r="AL210" s="75" t="s">
        <v>870</v>
      </c>
      <c r="AM210" s="75" t="s">
        <v>871</v>
      </c>
      <c r="AN210" s="75" t="str">
        <f t="shared" si="308"/>
        <v>C</v>
      </c>
      <c r="AO210" s="75" t="str">
        <f t="shared" si="309"/>
        <v/>
      </c>
      <c r="AP210" s="75" t="str">
        <f t="shared" si="310"/>
        <v/>
      </c>
      <c r="AQ210" s="75" t="str">
        <f t="shared" si="311"/>
        <v>O</v>
      </c>
      <c r="AR210" s="75" t="str">
        <f t="shared" si="312"/>
        <v>O</v>
      </c>
      <c r="AS210" s="75" t="s">
        <v>2</v>
      </c>
      <c r="AT210" s="75" t="str">
        <f t="shared" si="313"/>
        <v>X</v>
      </c>
      <c r="AU210" s="75" t="str">
        <f t="shared" si="314"/>
        <v>O</v>
      </c>
      <c r="AV210" s="75" t="str">
        <f t="shared" si="315"/>
        <v/>
      </c>
    </row>
    <row r="211" spans="1:58" s="38" customFormat="1" ht="12" x14ac:dyDescent="0.3">
      <c r="A211" s="110" t="s">
        <v>1063</v>
      </c>
      <c r="B211" s="111" t="s">
        <v>1064</v>
      </c>
      <c r="C211" s="112">
        <v>460</v>
      </c>
      <c r="D211" s="104">
        <v>58.8</v>
      </c>
      <c r="E211" s="106">
        <v>18</v>
      </c>
      <c r="F211" s="104">
        <v>49.8</v>
      </c>
      <c r="G211" s="17">
        <v>15</v>
      </c>
      <c r="H211" s="107">
        <v>460</v>
      </c>
      <c r="I211" s="108">
        <v>14000</v>
      </c>
      <c r="J211" s="108" t="s">
        <v>873</v>
      </c>
      <c r="K211" s="108">
        <v>9000</v>
      </c>
      <c r="L211" s="108" t="s">
        <v>878</v>
      </c>
      <c r="M211" s="109">
        <f t="shared" ref="M211:M221" si="316">I211-K211</f>
        <v>5000</v>
      </c>
      <c r="N211" s="4">
        <f t="shared" ref="N211:N221" si="317">IF(ISERROR(K211/I211),"",K211/I211)</f>
        <v>0.6428571428571429</v>
      </c>
      <c r="O211" s="105">
        <f t="shared" ref="O211:O221" si="318">I211/E211</f>
        <v>777.77777777777783</v>
      </c>
      <c r="P211" s="105">
        <f t="shared" ref="P211:P221" si="319">K211/E211</f>
        <v>500</v>
      </c>
      <c r="Q211" s="75">
        <v>2</v>
      </c>
      <c r="R211" s="75">
        <v>1</v>
      </c>
      <c r="S211" s="75" t="s">
        <v>869</v>
      </c>
      <c r="T211" s="5">
        <v>58</v>
      </c>
      <c r="U211" s="9"/>
      <c r="W211" s="104">
        <f>D211</f>
        <v>58.8</v>
      </c>
      <c r="X211" s="106">
        <f>E211</f>
        <v>18</v>
      </c>
      <c r="Y211" s="102">
        <f>H211</f>
        <v>460</v>
      </c>
      <c r="Z211" s="109">
        <f>I211</f>
        <v>14000</v>
      </c>
      <c r="AA211" s="109">
        <f t="shared" ref="AA211:AA221" si="320">K211</f>
        <v>9000</v>
      </c>
      <c r="AB211" s="109">
        <f>M211</f>
        <v>5000</v>
      </c>
      <c r="AC211" s="4">
        <f>N211</f>
        <v>0.6428571428571429</v>
      </c>
      <c r="AD211" s="105">
        <f>O211</f>
        <v>777.77777777777783</v>
      </c>
      <c r="AE211" s="75" t="str">
        <f t="shared" ref="AE211:AE221" si="321">S211</f>
        <v>계</v>
      </c>
      <c r="AF211" s="75" t="str">
        <f t="shared" ref="AF211:AF221" si="322">Q211&amp;"/"&amp;R211</f>
        <v>2/1</v>
      </c>
      <c r="AH211" s="20" t="str">
        <f t="shared" si="277"/>
        <v>풍호동 풍호시영</v>
      </c>
      <c r="AI211" s="106">
        <f t="shared" si="278"/>
        <v>18</v>
      </c>
      <c r="AJ211" s="75" t="str">
        <f t="shared" ref="AJ211:AJ221" si="323">IF(AI211="","",$AJ$2)</f>
        <v>A-</v>
      </c>
      <c r="AK211" s="75" t="s">
        <v>14</v>
      </c>
      <c r="AL211" s="75" t="s">
        <v>870</v>
      </c>
      <c r="AM211" s="75" t="s">
        <v>871</v>
      </c>
      <c r="AN211" s="75" t="str">
        <f t="shared" ref="AN211:AN221" si="324">IF(AI211="","",$AN$2)</f>
        <v>C</v>
      </c>
      <c r="AO211" s="75" t="str">
        <f t="shared" ref="AO211:AO221" si="325">IF(N211="","",IF(N211&gt;=$AO$1/100,"O","X"))</f>
        <v>X</v>
      </c>
      <c r="AP211" s="75" t="str">
        <f t="shared" ref="AP211:AP221" si="326">IF(I211="","",IF(I211&lt;=$AP$1,"O","X"))</f>
        <v>O</v>
      </c>
      <c r="AQ211" s="75" t="str">
        <f t="shared" ref="AQ211:AQ221" si="327">IF(O211="","",IF(O211&lt;=$AQ$1,"O","X"))</f>
        <v>O</v>
      </c>
      <c r="AR211" s="75" t="str">
        <f t="shared" ref="AR211:AR221" si="328">IF(M211="","",IF(M211&lt;=$AR$1,"O","X"))</f>
        <v>O</v>
      </c>
      <c r="AS211" s="75" t="s">
        <v>2</v>
      </c>
      <c r="AT211" s="75" t="str">
        <f t="shared" ref="AT211:AT221" si="329">IF(OR(F211="",AI211=""),"",IF(AND((F211&lt;=85),(AI211&gt;=15)),"O","X"))</f>
        <v>O</v>
      </c>
      <c r="AU211" s="75" t="str">
        <f t="shared" ref="AU211:AU221" si="330">IF(C211="","",IF(C211&gt;=$AU$1,"O","X"))</f>
        <v>O</v>
      </c>
      <c r="AV211" s="75" t="str">
        <f t="shared" ref="AV211:AV221" si="331">IF(AO211="","",IF(AND(AO211="O",AP211="O",AR211="O",AT211="O",AU211="O"),"후보","X"))</f>
        <v>X</v>
      </c>
    </row>
    <row r="212" spans="1:58" s="38" customFormat="1" ht="12" x14ac:dyDescent="0.3">
      <c r="A212" s="110" t="s">
        <v>1065</v>
      </c>
      <c r="B212" s="111" t="s">
        <v>1059</v>
      </c>
      <c r="C212" s="112">
        <v>310</v>
      </c>
      <c r="D212" s="104">
        <v>112.9</v>
      </c>
      <c r="E212" s="106">
        <v>34</v>
      </c>
      <c r="F212" s="104">
        <v>85</v>
      </c>
      <c r="G212" s="17">
        <v>26</v>
      </c>
      <c r="H212" s="107">
        <v>79</v>
      </c>
      <c r="I212" s="108">
        <v>45000</v>
      </c>
      <c r="J212" s="108" t="s">
        <v>896</v>
      </c>
      <c r="K212" s="108">
        <v>36000</v>
      </c>
      <c r="L212" s="108" t="s">
        <v>914</v>
      </c>
      <c r="M212" s="109">
        <f t="shared" si="316"/>
        <v>9000</v>
      </c>
      <c r="N212" s="4">
        <f t="shared" si="317"/>
        <v>0.8</v>
      </c>
      <c r="O212" s="105">
        <f t="shared" si="318"/>
        <v>1323.5294117647059</v>
      </c>
      <c r="P212" s="105">
        <f t="shared" si="319"/>
        <v>1058.8235294117646</v>
      </c>
      <c r="Q212" s="75">
        <v>3</v>
      </c>
      <c r="R212" s="75">
        <v>2</v>
      </c>
      <c r="S212" s="75" t="s">
        <v>869</v>
      </c>
      <c r="T212" s="5" t="s">
        <v>121</v>
      </c>
      <c r="U212" s="9"/>
      <c r="W212" s="104">
        <f t="shared" ref="W212:X221" si="332">D212</f>
        <v>112.9</v>
      </c>
      <c r="X212" s="106">
        <f t="shared" si="332"/>
        <v>34</v>
      </c>
      <c r="Y212" s="102">
        <f t="shared" ref="Y212:Z221" si="333">H212</f>
        <v>79</v>
      </c>
      <c r="Z212" s="109">
        <f t="shared" si="333"/>
        <v>45000</v>
      </c>
      <c r="AA212" s="109">
        <f t="shared" si="320"/>
        <v>36000</v>
      </c>
      <c r="AB212" s="109">
        <f t="shared" ref="AB212:AD221" si="334">M212</f>
        <v>9000</v>
      </c>
      <c r="AC212" s="4">
        <f t="shared" si="334"/>
        <v>0.8</v>
      </c>
      <c r="AD212" s="105">
        <f t="shared" si="334"/>
        <v>1323.5294117647059</v>
      </c>
      <c r="AE212" s="75" t="str">
        <f t="shared" si="321"/>
        <v>계</v>
      </c>
      <c r="AF212" s="75" t="str">
        <f t="shared" si="322"/>
        <v>3/2</v>
      </c>
      <c r="AH212" s="20" t="str">
        <f t="shared" si="277"/>
        <v>풍호동 창원마린푸르지오2단지</v>
      </c>
      <c r="AI212" s="106">
        <f t="shared" si="278"/>
        <v>34</v>
      </c>
      <c r="AJ212" s="75" t="str">
        <f t="shared" si="323"/>
        <v>A-</v>
      </c>
      <c r="AK212" s="75" t="s">
        <v>14</v>
      </c>
      <c r="AL212" s="75" t="s">
        <v>870</v>
      </c>
      <c r="AM212" s="75" t="s">
        <v>871</v>
      </c>
      <c r="AN212" s="75" t="str">
        <f t="shared" si="324"/>
        <v>C</v>
      </c>
      <c r="AO212" s="75" t="str">
        <f t="shared" si="325"/>
        <v>O</v>
      </c>
      <c r="AP212" s="75" t="str">
        <f t="shared" si="326"/>
        <v>O</v>
      </c>
      <c r="AQ212" s="75" t="str">
        <f t="shared" si="327"/>
        <v>X</v>
      </c>
      <c r="AR212" s="75" t="str">
        <f t="shared" si="328"/>
        <v>X</v>
      </c>
      <c r="AS212" s="75" t="s">
        <v>2</v>
      </c>
      <c r="AT212" s="75" t="str">
        <f t="shared" si="329"/>
        <v>O</v>
      </c>
      <c r="AU212" s="75" t="str">
        <f t="shared" si="330"/>
        <v>O</v>
      </c>
      <c r="AV212" s="75" t="str">
        <f t="shared" si="331"/>
        <v>X</v>
      </c>
    </row>
    <row r="213" spans="1:58" s="38" customFormat="1" ht="12" x14ac:dyDescent="0.3">
      <c r="A213" s="110" t="s">
        <v>1065</v>
      </c>
      <c r="B213" s="111" t="s">
        <v>1059</v>
      </c>
      <c r="C213" s="112">
        <v>310</v>
      </c>
      <c r="D213" s="104">
        <v>112.9</v>
      </c>
      <c r="E213" s="106">
        <v>34</v>
      </c>
      <c r="F213" s="104">
        <v>85</v>
      </c>
      <c r="G213" s="17">
        <v>26</v>
      </c>
      <c r="H213" s="107">
        <v>78</v>
      </c>
      <c r="I213" s="108">
        <v>45000</v>
      </c>
      <c r="J213" s="108" t="s">
        <v>896</v>
      </c>
      <c r="K213" s="108">
        <v>36000</v>
      </c>
      <c r="L213" s="108" t="s">
        <v>914</v>
      </c>
      <c r="M213" s="109">
        <f t="shared" si="316"/>
        <v>9000</v>
      </c>
      <c r="N213" s="4">
        <f t="shared" si="317"/>
        <v>0.8</v>
      </c>
      <c r="O213" s="105">
        <f t="shared" si="318"/>
        <v>1323.5294117647059</v>
      </c>
      <c r="P213" s="105">
        <f t="shared" si="319"/>
        <v>1058.8235294117646</v>
      </c>
      <c r="Q213" s="75">
        <v>3</v>
      </c>
      <c r="R213" s="75">
        <v>2</v>
      </c>
      <c r="S213" s="75" t="s">
        <v>869</v>
      </c>
      <c r="T213" s="5" t="s">
        <v>509</v>
      </c>
      <c r="U213" s="9"/>
      <c r="W213" s="104">
        <f t="shared" si="332"/>
        <v>112.9</v>
      </c>
      <c r="X213" s="106">
        <f t="shared" si="332"/>
        <v>34</v>
      </c>
      <c r="Y213" s="102">
        <f t="shared" si="333"/>
        <v>78</v>
      </c>
      <c r="Z213" s="109">
        <f t="shared" si="333"/>
        <v>45000</v>
      </c>
      <c r="AA213" s="109">
        <f t="shared" si="320"/>
        <v>36000</v>
      </c>
      <c r="AB213" s="109">
        <f t="shared" si="334"/>
        <v>9000</v>
      </c>
      <c r="AC213" s="4">
        <f t="shared" si="334"/>
        <v>0.8</v>
      </c>
      <c r="AD213" s="105">
        <f t="shared" si="334"/>
        <v>1323.5294117647059</v>
      </c>
      <c r="AE213" s="75" t="str">
        <f t="shared" si="321"/>
        <v>계</v>
      </c>
      <c r="AF213" s="75" t="str">
        <f t="shared" si="322"/>
        <v>3/2</v>
      </c>
      <c r="AH213" s="20" t="str">
        <f t="shared" si="277"/>
        <v>풍호동 창원마린푸르지오2단지</v>
      </c>
      <c r="AI213" s="106">
        <f t="shared" si="278"/>
        <v>34</v>
      </c>
      <c r="AJ213" s="75" t="str">
        <f t="shared" si="323"/>
        <v>A-</v>
      </c>
      <c r="AK213" s="75" t="s">
        <v>14</v>
      </c>
      <c r="AL213" s="75" t="s">
        <v>870</v>
      </c>
      <c r="AM213" s="75" t="s">
        <v>871</v>
      </c>
      <c r="AN213" s="75" t="str">
        <f t="shared" si="324"/>
        <v>C</v>
      </c>
      <c r="AO213" s="75" t="str">
        <f t="shared" si="325"/>
        <v>O</v>
      </c>
      <c r="AP213" s="75" t="str">
        <f t="shared" si="326"/>
        <v>O</v>
      </c>
      <c r="AQ213" s="75" t="str">
        <f t="shared" si="327"/>
        <v>X</v>
      </c>
      <c r="AR213" s="75" t="str">
        <f t="shared" si="328"/>
        <v>X</v>
      </c>
      <c r="AS213" s="75" t="s">
        <v>2</v>
      </c>
      <c r="AT213" s="75" t="str">
        <f t="shared" si="329"/>
        <v>O</v>
      </c>
      <c r="AU213" s="75" t="str">
        <f t="shared" si="330"/>
        <v>O</v>
      </c>
      <c r="AV213" s="75" t="str">
        <f t="shared" si="331"/>
        <v>X</v>
      </c>
    </row>
    <row r="214" spans="1:58" s="38" customFormat="1" ht="12" x14ac:dyDescent="0.3">
      <c r="A214" s="110" t="s">
        <v>1065</v>
      </c>
      <c r="B214" s="111" t="s">
        <v>1059</v>
      </c>
      <c r="C214" s="112">
        <v>310</v>
      </c>
      <c r="D214" s="104">
        <v>113.7</v>
      </c>
      <c r="E214" s="106">
        <v>34</v>
      </c>
      <c r="F214" s="104">
        <v>85</v>
      </c>
      <c r="G214" s="17">
        <v>26</v>
      </c>
      <c r="H214" s="107">
        <v>153</v>
      </c>
      <c r="I214" s="108">
        <v>45000</v>
      </c>
      <c r="J214" s="108" t="s">
        <v>868</v>
      </c>
      <c r="K214" s="108">
        <v>35000</v>
      </c>
      <c r="L214" s="108" t="s">
        <v>868</v>
      </c>
      <c r="M214" s="109">
        <f t="shared" si="316"/>
        <v>10000</v>
      </c>
      <c r="N214" s="4">
        <f t="shared" si="317"/>
        <v>0.77777777777777779</v>
      </c>
      <c r="O214" s="105">
        <f t="shared" si="318"/>
        <v>1323.5294117647059</v>
      </c>
      <c r="P214" s="105">
        <f t="shared" si="319"/>
        <v>1029.4117647058824</v>
      </c>
      <c r="Q214" s="75">
        <v>3</v>
      </c>
      <c r="R214" s="75">
        <v>2</v>
      </c>
      <c r="S214" s="75" t="s">
        <v>869</v>
      </c>
      <c r="T214" s="5" t="s">
        <v>513</v>
      </c>
      <c r="U214" s="9"/>
      <c r="W214" s="104">
        <f t="shared" si="332"/>
        <v>113.7</v>
      </c>
      <c r="X214" s="106">
        <f t="shared" si="332"/>
        <v>34</v>
      </c>
      <c r="Y214" s="102">
        <f t="shared" si="333"/>
        <v>153</v>
      </c>
      <c r="Z214" s="109">
        <f t="shared" si="333"/>
        <v>45000</v>
      </c>
      <c r="AA214" s="109">
        <f t="shared" si="320"/>
        <v>35000</v>
      </c>
      <c r="AB214" s="109">
        <f t="shared" si="334"/>
        <v>10000</v>
      </c>
      <c r="AC214" s="4">
        <f t="shared" si="334"/>
        <v>0.77777777777777779</v>
      </c>
      <c r="AD214" s="105">
        <f t="shared" si="334"/>
        <v>1323.5294117647059</v>
      </c>
      <c r="AE214" s="75" t="str">
        <f t="shared" si="321"/>
        <v>계</v>
      </c>
      <c r="AF214" s="75" t="str">
        <f t="shared" si="322"/>
        <v>3/2</v>
      </c>
      <c r="AH214" s="20" t="str">
        <f t="shared" si="277"/>
        <v>풍호동 창원마린푸르지오2단지</v>
      </c>
      <c r="AI214" s="106">
        <f t="shared" si="278"/>
        <v>34</v>
      </c>
      <c r="AJ214" s="75" t="str">
        <f t="shared" si="323"/>
        <v>A-</v>
      </c>
      <c r="AK214" s="75" t="s">
        <v>14</v>
      </c>
      <c r="AL214" s="75" t="s">
        <v>870</v>
      </c>
      <c r="AM214" s="75" t="s">
        <v>871</v>
      </c>
      <c r="AN214" s="75" t="str">
        <f t="shared" si="324"/>
        <v>C</v>
      </c>
      <c r="AO214" s="75" t="str">
        <f t="shared" si="325"/>
        <v>X</v>
      </c>
      <c r="AP214" s="75" t="str">
        <f t="shared" si="326"/>
        <v>O</v>
      </c>
      <c r="AQ214" s="75" t="str">
        <f t="shared" si="327"/>
        <v>X</v>
      </c>
      <c r="AR214" s="75" t="str">
        <f t="shared" si="328"/>
        <v>X</v>
      </c>
      <c r="AS214" s="75" t="s">
        <v>2</v>
      </c>
      <c r="AT214" s="75" t="str">
        <f t="shared" si="329"/>
        <v>O</v>
      </c>
      <c r="AU214" s="75" t="str">
        <f t="shared" si="330"/>
        <v>O</v>
      </c>
      <c r="AV214" s="75" t="str">
        <f t="shared" si="331"/>
        <v>X</v>
      </c>
    </row>
    <row r="215" spans="1:58" s="38" customFormat="1" ht="12" x14ac:dyDescent="0.3">
      <c r="A215" s="110" t="s">
        <v>1066</v>
      </c>
      <c r="B215" s="111" t="s">
        <v>1067</v>
      </c>
      <c r="C215" s="112">
        <v>390</v>
      </c>
      <c r="D215" s="104">
        <v>49.5</v>
      </c>
      <c r="E215" s="106">
        <v>15</v>
      </c>
      <c r="F215" s="104">
        <v>39.299999999999997</v>
      </c>
      <c r="G215" s="17">
        <v>12</v>
      </c>
      <c r="H215" s="107">
        <v>150</v>
      </c>
      <c r="I215" s="108">
        <v>9000</v>
      </c>
      <c r="J215" s="108" t="s">
        <v>873</v>
      </c>
      <c r="K215" s="108">
        <v>6800</v>
      </c>
      <c r="L215" s="108" t="s">
        <v>878</v>
      </c>
      <c r="M215" s="109">
        <f t="shared" si="316"/>
        <v>2200</v>
      </c>
      <c r="N215" s="4">
        <f t="shared" si="317"/>
        <v>0.75555555555555554</v>
      </c>
      <c r="O215" s="105">
        <f t="shared" si="318"/>
        <v>600</v>
      </c>
      <c r="P215" s="105">
        <f t="shared" si="319"/>
        <v>453.33333333333331</v>
      </c>
      <c r="Q215" s="75">
        <v>2</v>
      </c>
      <c r="R215" s="75">
        <v>1</v>
      </c>
      <c r="S215" s="75" t="s">
        <v>869</v>
      </c>
      <c r="T215" s="5">
        <v>49</v>
      </c>
      <c r="U215" s="9"/>
      <c r="W215" s="104">
        <f t="shared" si="332"/>
        <v>49.5</v>
      </c>
      <c r="X215" s="106">
        <f t="shared" si="332"/>
        <v>15</v>
      </c>
      <c r="Y215" s="102">
        <f t="shared" si="333"/>
        <v>150</v>
      </c>
      <c r="Z215" s="109">
        <f t="shared" si="333"/>
        <v>9000</v>
      </c>
      <c r="AA215" s="109">
        <f t="shared" si="320"/>
        <v>6800</v>
      </c>
      <c r="AB215" s="109">
        <f t="shared" si="334"/>
        <v>2200</v>
      </c>
      <c r="AC215" s="4">
        <f t="shared" si="334"/>
        <v>0.75555555555555554</v>
      </c>
      <c r="AD215" s="105">
        <f t="shared" si="334"/>
        <v>600</v>
      </c>
      <c r="AE215" s="75" t="str">
        <f t="shared" si="321"/>
        <v>계</v>
      </c>
      <c r="AF215" s="75" t="str">
        <f t="shared" si="322"/>
        <v>2/1</v>
      </c>
      <c r="AH215" s="20" t="str">
        <f t="shared" si="277"/>
        <v>풍호동 주공</v>
      </c>
      <c r="AI215" s="106">
        <f t="shared" si="278"/>
        <v>15</v>
      </c>
      <c r="AJ215" s="75" t="str">
        <f t="shared" si="323"/>
        <v>A-</v>
      </c>
      <c r="AK215" s="75" t="s">
        <v>14</v>
      </c>
      <c r="AL215" s="75" t="s">
        <v>870</v>
      </c>
      <c r="AM215" s="75" t="s">
        <v>871</v>
      </c>
      <c r="AN215" s="75" t="str">
        <f t="shared" si="324"/>
        <v>C</v>
      </c>
      <c r="AO215" s="75" t="str">
        <f t="shared" si="325"/>
        <v>X</v>
      </c>
      <c r="AP215" s="75" t="str">
        <f t="shared" si="326"/>
        <v>O</v>
      </c>
      <c r="AQ215" s="75" t="str">
        <f t="shared" si="327"/>
        <v>O</v>
      </c>
      <c r="AR215" s="75" t="str">
        <f t="shared" si="328"/>
        <v>O</v>
      </c>
      <c r="AS215" s="75" t="s">
        <v>2</v>
      </c>
      <c r="AT215" s="75" t="str">
        <f t="shared" si="329"/>
        <v>O</v>
      </c>
      <c r="AU215" s="75" t="str">
        <f t="shared" si="330"/>
        <v>O</v>
      </c>
      <c r="AV215" s="75" t="str">
        <f t="shared" si="331"/>
        <v>X</v>
      </c>
    </row>
    <row r="216" spans="1:58" s="38" customFormat="1" ht="12" x14ac:dyDescent="0.3">
      <c r="A216" s="110" t="s">
        <v>1066</v>
      </c>
      <c r="B216" s="111" t="s">
        <v>1067</v>
      </c>
      <c r="C216" s="112">
        <v>390</v>
      </c>
      <c r="D216" s="104">
        <v>49.9</v>
      </c>
      <c r="E216" s="106">
        <v>15</v>
      </c>
      <c r="F216" s="104">
        <v>39.700000000000003</v>
      </c>
      <c r="G216" s="17">
        <v>12</v>
      </c>
      <c r="H216" s="107">
        <v>120</v>
      </c>
      <c r="I216" s="108">
        <v>9500</v>
      </c>
      <c r="J216" s="108" t="s">
        <v>873</v>
      </c>
      <c r="K216" s="108">
        <v>7000</v>
      </c>
      <c r="L216" s="108" t="s">
        <v>873</v>
      </c>
      <c r="M216" s="109">
        <f t="shared" si="316"/>
        <v>2500</v>
      </c>
      <c r="N216" s="4">
        <f t="shared" si="317"/>
        <v>0.73684210526315785</v>
      </c>
      <c r="O216" s="105">
        <f t="shared" si="318"/>
        <v>633.33333333333337</v>
      </c>
      <c r="P216" s="105">
        <f t="shared" si="319"/>
        <v>466.66666666666669</v>
      </c>
      <c r="Q216" s="75">
        <v>2</v>
      </c>
      <c r="R216" s="75">
        <v>1</v>
      </c>
      <c r="S216" s="75" t="s">
        <v>869</v>
      </c>
      <c r="T216" s="5" t="s">
        <v>840</v>
      </c>
      <c r="U216" s="9"/>
      <c r="W216" s="104">
        <f t="shared" si="332"/>
        <v>49.9</v>
      </c>
      <c r="X216" s="106">
        <f t="shared" si="332"/>
        <v>15</v>
      </c>
      <c r="Y216" s="102">
        <f t="shared" si="333"/>
        <v>120</v>
      </c>
      <c r="Z216" s="109">
        <f t="shared" si="333"/>
        <v>9500</v>
      </c>
      <c r="AA216" s="109">
        <f t="shared" si="320"/>
        <v>7000</v>
      </c>
      <c r="AB216" s="109">
        <f t="shared" si="334"/>
        <v>2500</v>
      </c>
      <c r="AC216" s="4">
        <f t="shared" si="334"/>
        <v>0.73684210526315785</v>
      </c>
      <c r="AD216" s="105">
        <f t="shared" si="334"/>
        <v>633.33333333333337</v>
      </c>
      <c r="AE216" s="75" t="str">
        <f t="shared" si="321"/>
        <v>계</v>
      </c>
      <c r="AF216" s="75" t="str">
        <f t="shared" si="322"/>
        <v>2/1</v>
      </c>
      <c r="AH216" s="20" t="str">
        <f t="shared" si="277"/>
        <v>풍호동 주공</v>
      </c>
      <c r="AI216" s="106">
        <f t="shared" si="278"/>
        <v>15</v>
      </c>
      <c r="AJ216" s="75" t="str">
        <f t="shared" si="323"/>
        <v>A-</v>
      </c>
      <c r="AK216" s="75" t="s">
        <v>14</v>
      </c>
      <c r="AL216" s="75" t="s">
        <v>870</v>
      </c>
      <c r="AM216" s="75" t="s">
        <v>871</v>
      </c>
      <c r="AN216" s="75" t="str">
        <f t="shared" si="324"/>
        <v>C</v>
      </c>
      <c r="AO216" s="75" t="str">
        <f t="shared" si="325"/>
        <v>X</v>
      </c>
      <c r="AP216" s="75" t="str">
        <f t="shared" si="326"/>
        <v>O</v>
      </c>
      <c r="AQ216" s="75" t="str">
        <f t="shared" si="327"/>
        <v>O</v>
      </c>
      <c r="AR216" s="75" t="str">
        <f t="shared" si="328"/>
        <v>O</v>
      </c>
      <c r="AS216" s="75" t="s">
        <v>2</v>
      </c>
      <c r="AT216" s="75" t="str">
        <f t="shared" si="329"/>
        <v>O</v>
      </c>
      <c r="AU216" s="75" t="str">
        <f t="shared" si="330"/>
        <v>O</v>
      </c>
      <c r="AV216" s="75" t="str">
        <f t="shared" si="331"/>
        <v>X</v>
      </c>
    </row>
    <row r="217" spans="1:58" s="38" customFormat="1" ht="12" x14ac:dyDescent="0.3">
      <c r="A217" s="110" t="s">
        <v>1066</v>
      </c>
      <c r="B217" s="111" t="s">
        <v>1067</v>
      </c>
      <c r="C217" s="112">
        <v>390</v>
      </c>
      <c r="D217" s="104">
        <v>57.6</v>
      </c>
      <c r="E217" s="106">
        <v>17</v>
      </c>
      <c r="F217" s="104">
        <v>46.7</v>
      </c>
      <c r="G217" s="17">
        <v>14</v>
      </c>
      <c r="H217" s="107">
        <v>60</v>
      </c>
      <c r="I217" s="108"/>
      <c r="J217" s="108"/>
      <c r="K217" s="108"/>
      <c r="L217" s="108"/>
      <c r="M217" s="109">
        <f t="shared" si="316"/>
        <v>0</v>
      </c>
      <c r="N217" s="4" t="str">
        <f t="shared" si="317"/>
        <v/>
      </c>
      <c r="O217" s="105">
        <f t="shared" si="318"/>
        <v>0</v>
      </c>
      <c r="P217" s="105">
        <f t="shared" si="319"/>
        <v>0</v>
      </c>
      <c r="Q217" s="75">
        <v>2</v>
      </c>
      <c r="R217" s="75">
        <v>1</v>
      </c>
      <c r="S217" s="75" t="s">
        <v>869</v>
      </c>
      <c r="T217" s="5">
        <v>57</v>
      </c>
      <c r="U217" s="9"/>
      <c r="W217" s="104">
        <f t="shared" si="332"/>
        <v>57.6</v>
      </c>
      <c r="X217" s="106">
        <f t="shared" si="332"/>
        <v>17</v>
      </c>
      <c r="Y217" s="102">
        <f t="shared" si="333"/>
        <v>60</v>
      </c>
      <c r="Z217" s="109">
        <f t="shared" si="333"/>
        <v>0</v>
      </c>
      <c r="AA217" s="109">
        <f t="shared" si="320"/>
        <v>0</v>
      </c>
      <c r="AB217" s="109">
        <f t="shared" si="334"/>
        <v>0</v>
      </c>
      <c r="AC217" s="4" t="str">
        <f t="shared" si="334"/>
        <v/>
      </c>
      <c r="AD217" s="105">
        <f t="shared" si="334"/>
        <v>0</v>
      </c>
      <c r="AE217" s="75" t="str">
        <f t="shared" si="321"/>
        <v>계</v>
      </c>
      <c r="AF217" s="75" t="str">
        <f t="shared" si="322"/>
        <v>2/1</v>
      </c>
      <c r="AH217" s="20" t="str">
        <f t="shared" si="277"/>
        <v>풍호동 주공</v>
      </c>
      <c r="AI217" s="106">
        <f t="shared" si="278"/>
        <v>17</v>
      </c>
      <c r="AJ217" s="75" t="str">
        <f t="shared" si="323"/>
        <v>A-</v>
      </c>
      <c r="AK217" s="75" t="s">
        <v>14</v>
      </c>
      <c r="AL217" s="75" t="s">
        <v>870</v>
      </c>
      <c r="AM217" s="75" t="s">
        <v>871</v>
      </c>
      <c r="AN217" s="75" t="str">
        <f t="shared" si="324"/>
        <v>C</v>
      </c>
      <c r="AO217" s="75" t="str">
        <f t="shared" si="325"/>
        <v/>
      </c>
      <c r="AP217" s="75" t="str">
        <f t="shared" si="326"/>
        <v/>
      </c>
      <c r="AQ217" s="75" t="str">
        <f t="shared" si="327"/>
        <v>O</v>
      </c>
      <c r="AR217" s="75" t="str">
        <f t="shared" si="328"/>
        <v>O</v>
      </c>
      <c r="AS217" s="75" t="s">
        <v>2</v>
      </c>
      <c r="AT217" s="75" t="str">
        <f t="shared" si="329"/>
        <v>O</v>
      </c>
      <c r="AU217" s="75" t="str">
        <f t="shared" si="330"/>
        <v>O</v>
      </c>
      <c r="AV217" s="75" t="str">
        <f t="shared" si="331"/>
        <v/>
      </c>
    </row>
    <row r="218" spans="1:58" s="38" customFormat="1" ht="12" x14ac:dyDescent="0.3">
      <c r="A218" s="110" t="s">
        <v>1066</v>
      </c>
      <c r="B218" s="111" t="s">
        <v>1067</v>
      </c>
      <c r="C218" s="112">
        <v>390</v>
      </c>
      <c r="D218" s="104">
        <v>57.9</v>
      </c>
      <c r="E218" s="106">
        <v>18</v>
      </c>
      <c r="F218" s="104">
        <v>47</v>
      </c>
      <c r="G218" s="17">
        <v>14</v>
      </c>
      <c r="H218" s="107">
        <v>60</v>
      </c>
      <c r="I218" s="108">
        <v>12500</v>
      </c>
      <c r="J218" s="108" t="s">
        <v>868</v>
      </c>
      <c r="K218" s="108">
        <v>7400</v>
      </c>
      <c r="L218" s="108" t="s">
        <v>873</v>
      </c>
      <c r="M218" s="109">
        <f t="shared" si="316"/>
        <v>5100</v>
      </c>
      <c r="N218" s="4">
        <f t="shared" si="317"/>
        <v>0.59199999999999997</v>
      </c>
      <c r="O218" s="105">
        <f t="shared" si="318"/>
        <v>694.44444444444446</v>
      </c>
      <c r="P218" s="105">
        <f t="shared" si="319"/>
        <v>411.11111111111109</v>
      </c>
      <c r="Q218" s="75">
        <v>2</v>
      </c>
      <c r="R218" s="75">
        <v>1</v>
      </c>
      <c r="S218" s="75" t="s">
        <v>869</v>
      </c>
      <c r="T218" s="5" t="s">
        <v>841</v>
      </c>
      <c r="U218" s="9"/>
      <c r="W218" s="104">
        <f t="shared" si="332"/>
        <v>57.9</v>
      </c>
      <c r="X218" s="106">
        <f t="shared" si="332"/>
        <v>18</v>
      </c>
      <c r="Y218" s="102">
        <f t="shared" si="333"/>
        <v>60</v>
      </c>
      <c r="Z218" s="109">
        <f t="shared" si="333"/>
        <v>12500</v>
      </c>
      <c r="AA218" s="109">
        <f t="shared" si="320"/>
        <v>7400</v>
      </c>
      <c r="AB218" s="109">
        <f t="shared" si="334"/>
        <v>5100</v>
      </c>
      <c r="AC218" s="4">
        <f t="shared" si="334"/>
        <v>0.59199999999999997</v>
      </c>
      <c r="AD218" s="105">
        <f t="shared" si="334"/>
        <v>694.44444444444446</v>
      </c>
      <c r="AE218" s="75" t="str">
        <f t="shared" si="321"/>
        <v>계</v>
      </c>
      <c r="AF218" s="75" t="str">
        <f t="shared" si="322"/>
        <v>2/1</v>
      </c>
      <c r="AH218" s="20" t="str">
        <f t="shared" si="277"/>
        <v>풍호동 주공</v>
      </c>
      <c r="AI218" s="106">
        <f t="shared" si="278"/>
        <v>18</v>
      </c>
      <c r="AJ218" s="75" t="str">
        <f t="shared" si="323"/>
        <v>A-</v>
      </c>
      <c r="AK218" s="75" t="s">
        <v>14</v>
      </c>
      <c r="AL218" s="75" t="s">
        <v>870</v>
      </c>
      <c r="AM218" s="75" t="s">
        <v>871</v>
      </c>
      <c r="AN218" s="75" t="str">
        <f t="shared" si="324"/>
        <v>C</v>
      </c>
      <c r="AO218" s="75" t="str">
        <f t="shared" si="325"/>
        <v>X</v>
      </c>
      <c r="AP218" s="75" t="str">
        <f t="shared" si="326"/>
        <v>O</v>
      </c>
      <c r="AQ218" s="75" t="str">
        <f t="shared" si="327"/>
        <v>O</v>
      </c>
      <c r="AR218" s="75" t="str">
        <f t="shared" si="328"/>
        <v>O</v>
      </c>
      <c r="AS218" s="75" t="s">
        <v>2</v>
      </c>
      <c r="AT218" s="75" t="str">
        <f t="shared" si="329"/>
        <v>O</v>
      </c>
      <c r="AU218" s="75" t="str">
        <f t="shared" si="330"/>
        <v>O</v>
      </c>
      <c r="AV218" s="75" t="str">
        <f t="shared" si="331"/>
        <v>X</v>
      </c>
    </row>
    <row r="219" spans="1:58" s="38" customFormat="1" ht="12" x14ac:dyDescent="0.3">
      <c r="A219" s="110" t="s">
        <v>1068</v>
      </c>
      <c r="B219" s="111" t="s">
        <v>1069</v>
      </c>
      <c r="C219" s="112">
        <v>620</v>
      </c>
      <c r="D219" s="104">
        <v>114.8</v>
      </c>
      <c r="E219" s="106">
        <v>35</v>
      </c>
      <c r="F219" s="104">
        <v>85</v>
      </c>
      <c r="G219" s="17">
        <v>26</v>
      </c>
      <c r="H219" s="107">
        <v>384</v>
      </c>
      <c r="I219" s="108">
        <v>30000</v>
      </c>
      <c r="J219" s="108" t="s">
        <v>868</v>
      </c>
      <c r="K219" s="108">
        <v>27000</v>
      </c>
      <c r="L219" s="108" t="s">
        <v>868</v>
      </c>
      <c r="M219" s="109">
        <f t="shared" si="316"/>
        <v>3000</v>
      </c>
      <c r="N219" s="4">
        <f t="shared" si="317"/>
        <v>0.9</v>
      </c>
      <c r="O219" s="105">
        <f t="shared" si="318"/>
        <v>857.14285714285711</v>
      </c>
      <c r="P219" s="105">
        <f t="shared" si="319"/>
        <v>771.42857142857144</v>
      </c>
      <c r="Q219" s="75">
        <v>3</v>
      </c>
      <c r="R219" s="75">
        <v>2</v>
      </c>
      <c r="S219" s="75" t="s">
        <v>869</v>
      </c>
      <c r="T219" s="5">
        <v>114</v>
      </c>
      <c r="U219" s="9"/>
      <c r="W219" s="104">
        <f t="shared" si="332"/>
        <v>114.8</v>
      </c>
      <c r="X219" s="106">
        <f t="shared" si="332"/>
        <v>35</v>
      </c>
      <c r="Y219" s="102">
        <f t="shared" si="333"/>
        <v>384</v>
      </c>
      <c r="Z219" s="109">
        <f t="shared" si="333"/>
        <v>30000</v>
      </c>
      <c r="AA219" s="109">
        <f t="shared" si="320"/>
        <v>27000</v>
      </c>
      <c r="AB219" s="109">
        <f t="shared" si="334"/>
        <v>3000</v>
      </c>
      <c r="AC219" s="4">
        <f t="shared" si="334"/>
        <v>0.9</v>
      </c>
      <c r="AD219" s="105">
        <f t="shared" si="334"/>
        <v>857.14285714285711</v>
      </c>
      <c r="AE219" s="75" t="str">
        <f t="shared" si="321"/>
        <v>계</v>
      </c>
      <c r="AF219" s="75" t="str">
        <f t="shared" si="322"/>
        <v>3/2</v>
      </c>
      <c r="AH219" s="20" t="str">
        <f t="shared" si="277"/>
        <v>풍호동 풍호한림리츠빌</v>
      </c>
      <c r="AI219" s="106">
        <f t="shared" si="278"/>
        <v>35</v>
      </c>
      <c r="AJ219" s="75" t="str">
        <f t="shared" si="323"/>
        <v>A-</v>
      </c>
      <c r="AK219" s="75" t="s">
        <v>14</v>
      </c>
      <c r="AL219" s="75" t="s">
        <v>870</v>
      </c>
      <c r="AM219" s="75" t="s">
        <v>871</v>
      </c>
      <c r="AN219" s="75" t="str">
        <f t="shared" si="324"/>
        <v>C</v>
      </c>
      <c r="AO219" s="75" t="str">
        <f t="shared" si="325"/>
        <v>O</v>
      </c>
      <c r="AP219" s="75" t="str">
        <f t="shared" si="326"/>
        <v>O</v>
      </c>
      <c r="AQ219" s="75" t="str">
        <f t="shared" si="327"/>
        <v>O</v>
      </c>
      <c r="AR219" s="75" t="str">
        <f t="shared" si="328"/>
        <v>O</v>
      </c>
      <c r="AS219" s="75" t="s">
        <v>2</v>
      </c>
      <c r="AT219" s="75" t="str">
        <f t="shared" si="329"/>
        <v>O</v>
      </c>
      <c r="AU219" s="75" t="str">
        <f t="shared" si="330"/>
        <v>O</v>
      </c>
      <c r="AV219" s="75" t="str">
        <f t="shared" si="331"/>
        <v>후보</v>
      </c>
    </row>
    <row r="220" spans="1:58" s="38" customFormat="1" ht="12" x14ac:dyDescent="0.3">
      <c r="A220" s="110" t="s">
        <v>1068</v>
      </c>
      <c r="B220" s="111" t="s">
        <v>1069</v>
      </c>
      <c r="C220" s="112">
        <v>620</v>
      </c>
      <c r="D220" s="104">
        <v>159.80000000000001</v>
      </c>
      <c r="E220" s="106">
        <v>48</v>
      </c>
      <c r="F220" s="104">
        <v>131.6</v>
      </c>
      <c r="G220" s="17">
        <v>40</v>
      </c>
      <c r="H220" s="107">
        <v>180</v>
      </c>
      <c r="I220" s="108">
        <v>39500</v>
      </c>
      <c r="J220" s="108" t="s">
        <v>873</v>
      </c>
      <c r="K220" s="108"/>
      <c r="L220" s="108"/>
      <c r="M220" s="109">
        <f t="shared" si="316"/>
        <v>39500</v>
      </c>
      <c r="N220" s="4">
        <f t="shared" si="317"/>
        <v>0</v>
      </c>
      <c r="O220" s="105">
        <f t="shared" si="318"/>
        <v>822.91666666666663</v>
      </c>
      <c r="P220" s="105">
        <f t="shared" si="319"/>
        <v>0</v>
      </c>
      <c r="Q220" s="75">
        <v>4</v>
      </c>
      <c r="R220" s="75">
        <v>2</v>
      </c>
      <c r="S220" s="75" t="s">
        <v>869</v>
      </c>
      <c r="T220" s="5">
        <v>159</v>
      </c>
      <c r="U220" s="9"/>
      <c r="W220" s="104">
        <f t="shared" si="332"/>
        <v>159.80000000000001</v>
      </c>
      <c r="X220" s="106">
        <f t="shared" si="332"/>
        <v>48</v>
      </c>
      <c r="Y220" s="102">
        <f t="shared" si="333"/>
        <v>180</v>
      </c>
      <c r="Z220" s="109">
        <f t="shared" si="333"/>
        <v>39500</v>
      </c>
      <c r="AA220" s="109">
        <f t="shared" si="320"/>
        <v>0</v>
      </c>
      <c r="AB220" s="109">
        <f t="shared" si="334"/>
        <v>39500</v>
      </c>
      <c r="AC220" s="4">
        <f t="shared" si="334"/>
        <v>0</v>
      </c>
      <c r="AD220" s="105">
        <f t="shared" si="334"/>
        <v>822.91666666666663</v>
      </c>
      <c r="AE220" s="75" t="str">
        <f t="shared" si="321"/>
        <v>계</v>
      </c>
      <c r="AF220" s="75" t="str">
        <f t="shared" si="322"/>
        <v>4/2</v>
      </c>
      <c r="AH220" s="20" t="str">
        <f t="shared" si="277"/>
        <v>풍호동 풍호한림리츠빌</v>
      </c>
      <c r="AI220" s="106">
        <f t="shared" si="278"/>
        <v>48</v>
      </c>
      <c r="AJ220" s="75" t="str">
        <f t="shared" si="323"/>
        <v>A-</v>
      </c>
      <c r="AK220" s="75" t="s">
        <v>14</v>
      </c>
      <c r="AL220" s="75" t="s">
        <v>870</v>
      </c>
      <c r="AM220" s="75" t="s">
        <v>871</v>
      </c>
      <c r="AN220" s="75" t="str">
        <f t="shared" si="324"/>
        <v>C</v>
      </c>
      <c r="AO220" s="75" t="str">
        <f t="shared" si="325"/>
        <v>X</v>
      </c>
      <c r="AP220" s="75" t="str">
        <f t="shared" si="326"/>
        <v>O</v>
      </c>
      <c r="AQ220" s="75" t="str">
        <f t="shared" si="327"/>
        <v>O</v>
      </c>
      <c r="AR220" s="75" t="str">
        <f t="shared" si="328"/>
        <v>X</v>
      </c>
      <c r="AS220" s="75" t="s">
        <v>2</v>
      </c>
      <c r="AT220" s="75" t="str">
        <f t="shared" si="329"/>
        <v>X</v>
      </c>
      <c r="AU220" s="75" t="str">
        <f t="shared" si="330"/>
        <v>O</v>
      </c>
      <c r="AV220" s="75" t="str">
        <f t="shared" si="331"/>
        <v>X</v>
      </c>
    </row>
    <row r="221" spans="1:58" s="38" customFormat="1" ht="12" x14ac:dyDescent="0.3">
      <c r="A221" s="110" t="s">
        <v>1068</v>
      </c>
      <c r="B221" s="111" t="s">
        <v>1069</v>
      </c>
      <c r="C221" s="112">
        <v>620</v>
      </c>
      <c r="D221" s="104">
        <v>219.5</v>
      </c>
      <c r="E221" s="106">
        <v>66</v>
      </c>
      <c r="F221" s="104">
        <v>189.6</v>
      </c>
      <c r="G221" s="17">
        <v>57</v>
      </c>
      <c r="H221" s="107">
        <v>56</v>
      </c>
      <c r="I221" s="108">
        <v>47000</v>
      </c>
      <c r="J221" s="108" t="s">
        <v>868</v>
      </c>
      <c r="K221" s="108"/>
      <c r="L221" s="108"/>
      <c r="M221" s="109">
        <f t="shared" si="316"/>
        <v>47000</v>
      </c>
      <c r="N221" s="4">
        <f t="shared" si="317"/>
        <v>0</v>
      </c>
      <c r="O221" s="105">
        <f t="shared" si="318"/>
        <v>712.12121212121212</v>
      </c>
      <c r="P221" s="105">
        <f t="shared" si="319"/>
        <v>0</v>
      </c>
      <c r="Q221" s="75">
        <v>5</v>
      </c>
      <c r="R221" s="75">
        <v>2</v>
      </c>
      <c r="S221" s="75" t="s">
        <v>869</v>
      </c>
      <c r="T221" s="5">
        <v>219</v>
      </c>
      <c r="U221" s="9"/>
      <c r="W221" s="104">
        <f t="shared" si="332"/>
        <v>219.5</v>
      </c>
      <c r="X221" s="106">
        <f t="shared" si="332"/>
        <v>66</v>
      </c>
      <c r="Y221" s="102">
        <f t="shared" si="333"/>
        <v>56</v>
      </c>
      <c r="Z221" s="109">
        <f t="shared" si="333"/>
        <v>47000</v>
      </c>
      <c r="AA221" s="109">
        <f t="shared" si="320"/>
        <v>0</v>
      </c>
      <c r="AB221" s="109">
        <f t="shared" si="334"/>
        <v>47000</v>
      </c>
      <c r="AC221" s="4">
        <f t="shared" si="334"/>
        <v>0</v>
      </c>
      <c r="AD221" s="105">
        <f t="shared" si="334"/>
        <v>712.12121212121212</v>
      </c>
      <c r="AE221" s="75" t="str">
        <f t="shared" si="321"/>
        <v>계</v>
      </c>
      <c r="AF221" s="75" t="str">
        <f t="shared" si="322"/>
        <v>5/2</v>
      </c>
      <c r="AH221" s="20" t="str">
        <f t="shared" si="277"/>
        <v>풍호동 풍호한림리츠빌</v>
      </c>
      <c r="AI221" s="106">
        <f t="shared" si="278"/>
        <v>66</v>
      </c>
      <c r="AJ221" s="75" t="str">
        <f t="shared" si="323"/>
        <v>A-</v>
      </c>
      <c r="AK221" s="75" t="s">
        <v>14</v>
      </c>
      <c r="AL221" s="75" t="s">
        <v>870</v>
      </c>
      <c r="AM221" s="75" t="s">
        <v>871</v>
      </c>
      <c r="AN221" s="75" t="str">
        <f t="shared" si="324"/>
        <v>C</v>
      </c>
      <c r="AO221" s="75" t="str">
        <f t="shared" si="325"/>
        <v>X</v>
      </c>
      <c r="AP221" s="75" t="str">
        <f t="shared" si="326"/>
        <v>X</v>
      </c>
      <c r="AQ221" s="75" t="str">
        <f t="shared" si="327"/>
        <v>O</v>
      </c>
      <c r="AR221" s="75" t="str">
        <f t="shared" si="328"/>
        <v>X</v>
      </c>
      <c r="AS221" s="75" t="s">
        <v>2</v>
      </c>
      <c r="AT221" s="75" t="str">
        <f t="shared" si="329"/>
        <v>X</v>
      </c>
      <c r="AU221" s="75" t="str">
        <f t="shared" si="330"/>
        <v>O</v>
      </c>
      <c r="AV221" s="75" t="str">
        <f t="shared" si="331"/>
        <v>X</v>
      </c>
    </row>
    <row r="222" spans="1:58" s="38" customFormat="1" ht="16.5" customHeight="1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  <c r="W222" s="77"/>
      <c r="X222" s="77"/>
      <c r="Y222" s="77"/>
      <c r="Z222" s="77"/>
      <c r="AA222" s="77"/>
      <c r="AB222" s="77"/>
      <c r="AC222" s="77"/>
      <c r="AD222" s="77"/>
      <c r="AE222" s="77"/>
      <c r="AF222" s="77"/>
      <c r="AG222" s="77"/>
      <c r="AH222" s="77"/>
      <c r="AI222" s="77"/>
      <c r="AJ222" s="77"/>
      <c r="AK222" s="77"/>
      <c r="AL222" s="77"/>
      <c r="AM222" s="77"/>
      <c r="AN222" s="77"/>
      <c r="AO222" s="77"/>
      <c r="AP222" s="77"/>
      <c r="AQ222" s="77"/>
      <c r="AR222" s="77"/>
      <c r="AS222" s="77"/>
      <c r="AT222" s="77"/>
      <c r="AU222" s="77"/>
      <c r="AV222" s="77"/>
      <c r="AX222" s="84">
        <v>1990</v>
      </c>
      <c r="AY222" s="84">
        <v>6</v>
      </c>
    </row>
    <row r="223" spans="1:58" s="38" customFormat="1" ht="16.5" customHeight="1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  <c r="W223" s="77"/>
      <c r="X223" s="77"/>
      <c r="Y223" s="77"/>
      <c r="Z223" s="77"/>
      <c r="AA223" s="77"/>
      <c r="AB223" s="77"/>
      <c r="AC223" s="77"/>
      <c r="AD223" s="77"/>
      <c r="AE223" s="77"/>
      <c r="AF223" s="77"/>
      <c r="AG223" s="77"/>
      <c r="AH223" s="77"/>
      <c r="AI223" s="77"/>
      <c r="AJ223" s="77"/>
      <c r="AK223" s="77"/>
      <c r="AL223" s="77"/>
      <c r="AM223" s="77"/>
      <c r="AN223" s="77"/>
      <c r="AO223" s="77"/>
      <c r="AP223" s="77"/>
      <c r="AQ223" s="77"/>
      <c r="AR223" s="77"/>
      <c r="AS223" s="77"/>
      <c r="AT223" s="77"/>
      <c r="AU223" s="77"/>
      <c r="AV223" s="77"/>
      <c r="AX223" s="84">
        <v>1994</v>
      </c>
      <c r="AY223" s="84">
        <v>1</v>
      </c>
      <c r="AZ223" s="84"/>
      <c r="BA223" s="75" t="s">
        <v>60</v>
      </c>
      <c r="BB223" s="85">
        <v>0</v>
      </c>
      <c r="BC223" s="85">
        <v>0</v>
      </c>
      <c r="BD223" s="85">
        <v>0</v>
      </c>
      <c r="BE223" s="85">
        <v>0</v>
      </c>
      <c r="BF223" s="85">
        <v>0</v>
      </c>
    </row>
    <row r="224" spans="1:58" s="38" customFormat="1" ht="16.5" customHeight="1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  <c r="W224" s="77"/>
      <c r="X224" s="77"/>
      <c r="Y224" s="77"/>
      <c r="Z224" s="77"/>
      <c r="AA224" s="77"/>
      <c r="AB224" s="77"/>
      <c r="AC224" s="77"/>
      <c r="AD224" s="77"/>
      <c r="AE224" s="77"/>
      <c r="AF224" s="77"/>
      <c r="AG224" s="77"/>
      <c r="AH224" s="77"/>
      <c r="AI224" s="77"/>
      <c r="AJ224" s="77"/>
      <c r="AK224" s="77"/>
      <c r="AL224" s="77"/>
      <c r="AM224" s="77"/>
      <c r="AN224" s="77"/>
      <c r="AO224" s="77"/>
      <c r="AP224" s="77"/>
      <c r="AQ224" s="77"/>
      <c r="AR224" s="77"/>
      <c r="AS224" s="77"/>
      <c r="AT224" s="77"/>
      <c r="AU224" s="77"/>
      <c r="AV224" s="77"/>
      <c r="AX224" s="84">
        <v>1994</v>
      </c>
      <c r="AY224" s="84">
        <v>1</v>
      </c>
      <c r="AZ224" s="84"/>
      <c r="BA224" s="75" t="s">
        <v>61</v>
      </c>
      <c r="BB224" s="85">
        <v>0</v>
      </c>
      <c r="BC224" s="85">
        <v>0</v>
      </c>
      <c r="BD224" s="85">
        <v>0</v>
      </c>
      <c r="BE224" s="85">
        <v>0</v>
      </c>
      <c r="BF224" s="85">
        <v>0</v>
      </c>
    </row>
    <row r="225" spans="1:58" s="38" customFormat="1" ht="16.5" customHeight="1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  <c r="W225" s="77"/>
      <c r="X225" s="77"/>
      <c r="Y225" s="77"/>
      <c r="Z225" s="77"/>
      <c r="AA225" s="77"/>
      <c r="AB225" s="77"/>
      <c r="AC225" s="77"/>
      <c r="AD225" s="77"/>
      <c r="AE225" s="77"/>
      <c r="AF225" s="77"/>
      <c r="AG225" s="77"/>
      <c r="AH225" s="77"/>
      <c r="AI225" s="77"/>
      <c r="AJ225" s="77"/>
      <c r="AK225" s="77"/>
      <c r="AL225" s="77"/>
      <c r="AM225" s="77"/>
      <c r="AN225" s="77"/>
      <c r="AO225" s="77"/>
      <c r="AP225" s="77"/>
      <c r="AQ225" s="77"/>
      <c r="AR225" s="77"/>
      <c r="AS225" s="77"/>
      <c r="AT225" s="77"/>
      <c r="AU225" s="77"/>
      <c r="AV225" s="77"/>
      <c r="AX225" s="84">
        <v>1995</v>
      </c>
      <c r="AY225" s="84">
        <v>3</v>
      </c>
      <c r="AZ225" s="84"/>
      <c r="BA225" s="75" t="s">
        <v>67</v>
      </c>
      <c r="BB225" s="85">
        <v>0</v>
      </c>
      <c r="BC225" s="85">
        <v>0</v>
      </c>
      <c r="BD225" s="85">
        <v>0</v>
      </c>
      <c r="BE225" s="85">
        <v>0</v>
      </c>
      <c r="BF225" s="85">
        <v>0</v>
      </c>
    </row>
    <row r="226" spans="1:58" s="38" customFormat="1" ht="16.5" customHeight="1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  <c r="W226" s="77"/>
      <c r="X226" s="77"/>
      <c r="Y226" s="77"/>
      <c r="Z226" s="77"/>
      <c r="AA226" s="77"/>
      <c r="AB226" s="77"/>
      <c r="AC226" s="77"/>
      <c r="AD226" s="77"/>
      <c r="AE226" s="77"/>
      <c r="AF226" s="77"/>
      <c r="AG226" s="77"/>
      <c r="AH226" s="77"/>
      <c r="AI226" s="77"/>
      <c r="AJ226" s="77"/>
      <c r="AK226" s="77"/>
      <c r="AL226" s="77"/>
      <c r="AM226" s="77"/>
      <c r="AN226" s="77"/>
      <c r="AO226" s="77"/>
      <c r="AP226" s="77"/>
      <c r="AQ226" s="77"/>
      <c r="AR226" s="77"/>
      <c r="AS226" s="77"/>
      <c r="AT226" s="77"/>
      <c r="AU226" s="77"/>
      <c r="AV226" s="77"/>
      <c r="AX226" s="84">
        <v>1995</v>
      </c>
      <c r="AY226" s="84">
        <v>3</v>
      </c>
      <c r="AZ226" s="84"/>
      <c r="BA226" s="2"/>
    </row>
    <row r="227" spans="1:58" s="38" customFormat="1" ht="16.5" customHeight="1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  <c r="W227" s="77"/>
      <c r="X227" s="77"/>
      <c r="Y227" s="77"/>
      <c r="Z227" s="77"/>
      <c r="AA227" s="77"/>
      <c r="AB227" s="77"/>
      <c r="AC227" s="77"/>
      <c r="AD227" s="77"/>
      <c r="AE227" s="77"/>
      <c r="AF227" s="77"/>
      <c r="AG227" s="77"/>
      <c r="AH227" s="77"/>
      <c r="AI227" s="77"/>
      <c r="AJ227" s="77"/>
      <c r="AK227" s="77"/>
      <c r="AL227" s="77"/>
      <c r="AM227" s="77"/>
      <c r="AN227" s="77"/>
      <c r="AO227" s="77"/>
      <c r="AP227" s="77"/>
      <c r="AQ227" s="77"/>
      <c r="AR227" s="77"/>
      <c r="AS227" s="77"/>
      <c r="AT227" s="77"/>
      <c r="AU227" s="77"/>
      <c r="AV227" s="77"/>
      <c r="AX227" s="84">
        <v>1995</v>
      </c>
      <c r="AY227" s="84">
        <v>3</v>
      </c>
      <c r="AZ227" s="84"/>
      <c r="BA227" s="75"/>
      <c r="BB227" s="75" t="s">
        <v>63</v>
      </c>
      <c r="BC227" s="75" t="s">
        <v>64</v>
      </c>
      <c r="BD227" s="75" t="s">
        <v>65</v>
      </c>
      <c r="BE227" s="75" t="s">
        <v>66</v>
      </c>
      <c r="BF227" s="75" t="s">
        <v>67</v>
      </c>
    </row>
    <row r="228" spans="1:58" s="38" customFormat="1" ht="16.5" customHeight="1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  <c r="W228" s="77"/>
      <c r="X228" s="77"/>
      <c r="Y228" s="77"/>
      <c r="Z228" s="77"/>
      <c r="AA228" s="77"/>
      <c r="AB228" s="77"/>
      <c r="AC228" s="77"/>
      <c r="AD228" s="77"/>
      <c r="AE228" s="77"/>
      <c r="AF228" s="77"/>
      <c r="AG228" s="77"/>
      <c r="AH228" s="77"/>
      <c r="AI228" s="77"/>
      <c r="AJ228" s="77"/>
      <c r="AK228" s="77"/>
      <c r="AL228" s="77"/>
      <c r="AM228" s="77"/>
      <c r="AN228" s="77"/>
      <c r="AO228" s="77"/>
      <c r="AP228" s="77"/>
      <c r="AQ228" s="77"/>
      <c r="AR228" s="77"/>
      <c r="AS228" s="77"/>
      <c r="AT228" s="77"/>
      <c r="AU228" s="77"/>
      <c r="AV228" s="77"/>
      <c r="AX228" s="84">
        <v>1994</v>
      </c>
      <c r="AY228" s="84">
        <v>9</v>
      </c>
      <c r="BA228" s="75" t="s">
        <v>61</v>
      </c>
      <c r="BB228" s="87" t="e">
        <v>#DIV/0!</v>
      </c>
      <c r="BC228" s="87" t="e">
        <v>#DIV/0!</v>
      </c>
      <c r="BD228" s="87" t="e">
        <v>#DIV/0!</v>
      </c>
      <c r="BE228" s="87" t="e">
        <v>#DIV/0!</v>
      </c>
      <c r="BF228" s="87" t="e">
        <v>#DIV/0!</v>
      </c>
    </row>
    <row r="229" spans="1:58" s="38" customFormat="1" ht="16.5" customHeight="1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  <c r="W229" s="77"/>
      <c r="X229" s="77"/>
      <c r="Y229" s="77"/>
      <c r="Z229" s="77"/>
      <c r="AA229" s="77"/>
      <c r="AB229" s="77"/>
      <c r="AC229" s="77"/>
      <c r="AD229" s="77"/>
      <c r="AE229" s="77"/>
      <c r="AF229" s="77"/>
      <c r="AG229" s="77"/>
      <c r="AH229" s="77"/>
      <c r="AI229" s="77"/>
      <c r="AJ229" s="77"/>
      <c r="AK229" s="77"/>
      <c r="AL229" s="77"/>
      <c r="AM229" s="77"/>
      <c r="AN229" s="77"/>
      <c r="AO229" s="77"/>
      <c r="AP229" s="77"/>
      <c r="AQ229" s="77"/>
      <c r="AR229" s="77"/>
      <c r="AS229" s="77"/>
      <c r="AT229" s="77"/>
      <c r="AU229" s="77"/>
      <c r="AV229" s="77"/>
      <c r="AX229" s="84">
        <v>1993</v>
      </c>
      <c r="AY229" s="84">
        <v>11</v>
      </c>
      <c r="BA229" s="75" t="s">
        <v>67</v>
      </c>
      <c r="BB229" s="87" t="e">
        <v>#DIV/0!</v>
      </c>
      <c r="BC229" s="87" t="e">
        <v>#DIV/0!</v>
      </c>
      <c r="BD229" s="87" t="e">
        <v>#DIV/0!</v>
      </c>
      <c r="BE229" s="87" t="e">
        <v>#DIV/0!</v>
      </c>
      <c r="BF229" s="87" t="e">
        <v>#DIV/0!</v>
      </c>
    </row>
    <row r="230" spans="1:58" s="38" customFormat="1" ht="16.5" customHeight="1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  <c r="W230" s="77"/>
      <c r="X230" s="77"/>
      <c r="Y230" s="77"/>
      <c r="Z230" s="77"/>
      <c r="AA230" s="77"/>
      <c r="AB230" s="77"/>
      <c r="AC230" s="77"/>
      <c r="AD230" s="77"/>
      <c r="AE230" s="77"/>
      <c r="AF230" s="77"/>
      <c r="AG230" s="77"/>
      <c r="AH230" s="77"/>
      <c r="AI230" s="77"/>
      <c r="AJ230" s="77"/>
      <c r="AK230" s="77"/>
      <c r="AL230" s="77"/>
      <c r="AM230" s="77"/>
      <c r="AN230" s="77"/>
      <c r="AO230" s="77"/>
      <c r="AP230" s="77"/>
      <c r="AQ230" s="77"/>
      <c r="AR230" s="77"/>
      <c r="AS230" s="77"/>
      <c r="AT230" s="77"/>
      <c r="AU230" s="77"/>
      <c r="AV230" s="77"/>
      <c r="AX230" s="84">
        <v>2000</v>
      </c>
      <c r="AY230" s="84">
        <v>6</v>
      </c>
    </row>
    <row r="231" spans="1:58" s="38" customFormat="1" ht="16.5" customHeight="1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  <c r="W231" s="77"/>
      <c r="X231" s="77"/>
      <c r="Y231" s="77"/>
      <c r="Z231" s="77"/>
      <c r="AA231" s="77"/>
      <c r="AB231" s="77"/>
      <c r="AC231" s="77"/>
      <c r="AD231" s="77"/>
      <c r="AE231" s="77"/>
      <c r="AF231" s="77"/>
      <c r="AG231" s="77"/>
      <c r="AH231" s="77"/>
      <c r="AI231" s="77"/>
      <c r="AJ231" s="77"/>
      <c r="AK231" s="77"/>
      <c r="AL231" s="77"/>
      <c r="AM231" s="77"/>
      <c r="AN231" s="77"/>
      <c r="AO231" s="77"/>
      <c r="AP231" s="77"/>
      <c r="AQ231" s="77"/>
      <c r="AR231" s="77"/>
      <c r="AS231" s="77"/>
      <c r="AT231" s="77"/>
      <c r="AU231" s="77"/>
      <c r="AV231" s="77"/>
      <c r="AX231" s="84">
        <v>2000</v>
      </c>
      <c r="AY231" s="84">
        <v>6</v>
      </c>
    </row>
    <row r="232" spans="1:58" s="38" customFormat="1" ht="16.5" customHeight="1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  <c r="W232" s="77"/>
      <c r="X232" s="77"/>
      <c r="Y232" s="77"/>
      <c r="Z232" s="77"/>
      <c r="AA232" s="77"/>
      <c r="AB232" s="77"/>
      <c r="AC232" s="77"/>
      <c r="AD232" s="77"/>
      <c r="AE232" s="77"/>
      <c r="AF232" s="77"/>
      <c r="AG232" s="77"/>
      <c r="AH232" s="77"/>
      <c r="AI232" s="77"/>
      <c r="AJ232" s="77"/>
      <c r="AK232" s="77"/>
      <c r="AL232" s="77"/>
      <c r="AM232" s="77"/>
      <c r="AN232" s="77"/>
      <c r="AO232" s="77"/>
      <c r="AP232" s="77"/>
      <c r="AQ232" s="77"/>
      <c r="AR232" s="77"/>
      <c r="AS232" s="77"/>
      <c r="AT232" s="77"/>
      <c r="AU232" s="77"/>
      <c r="AV232" s="77"/>
      <c r="AX232" s="84">
        <v>1994</v>
      </c>
      <c r="AY232" s="84">
        <v>3</v>
      </c>
    </row>
    <row r="233" spans="1:58" s="38" customFormat="1" ht="16.5" customHeight="1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  <c r="W233" s="77"/>
      <c r="X233" s="77"/>
      <c r="Y233" s="77"/>
      <c r="Z233" s="77"/>
      <c r="AA233" s="77"/>
      <c r="AB233" s="77"/>
      <c r="AC233" s="77"/>
      <c r="AD233" s="77"/>
      <c r="AE233" s="77"/>
      <c r="AF233" s="77"/>
      <c r="AG233" s="77"/>
      <c r="AH233" s="77"/>
      <c r="AI233" s="77"/>
      <c r="AJ233" s="77"/>
      <c r="AK233" s="77"/>
      <c r="AL233" s="77"/>
      <c r="AM233" s="77"/>
      <c r="AN233" s="77"/>
      <c r="AO233" s="77"/>
      <c r="AP233" s="77"/>
      <c r="AQ233" s="77"/>
      <c r="AR233" s="77"/>
      <c r="AS233" s="77"/>
      <c r="AT233" s="77"/>
      <c r="AU233" s="77"/>
      <c r="AV233" s="77"/>
      <c r="AX233" s="84">
        <v>1993</v>
      </c>
      <c r="AY233" s="84">
        <v>6</v>
      </c>
    </row>
    <row r="234" spans="1:58" s="38" customFormat="1" ht="16.5" customHeight="1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  <c r="W234" s="77"/>
      <c r="X234" s="77"/>
      <c r="Y234" s="77"/>
      <c r="Z234" s="77"/>
      <c r="AA234" s="77"/>
      <c r="AB234" s="77"/>
      <c r="AC234" s="77"/>
      <c r="AD234" s="77"/>
      <c r="AE234" s="77"/>
      <c r="AF234" s="77"/>
      <c r="AG234" s="77"/>
      <c r="AH234" s="77"/>
      <c r="AI234" s="77"/>
      <c r="AJ234" s="77"/>
      <c r="AK234" s="77"/>
      <c r="AL234" s="77"/>
      <c r="AM234" s="77"/>
      <c r="AN234" s="77"/>
      <c r="AO234" s="77"/>
      <c r="AP234" s="77"/>
      <c r="AQ234" s="77"/>
      <c r="AR234" s="77"/>
      <c r="AS234" s="77"/>
      <c r="AT234" s="77"/>
      <c r="AU234" s="77"/>
      <c r="AV234" s="77"/>
      <c r="AX234" s="84"/>
      <c r="AY234" s="84"/>
      <c r="AZ234" s="66"/>
    </row>
    <row r="235" spans="1:58" s="38" customFormat="1" ht="16.5" customHeight="1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  <c r="W235" s="77"/>
      <c r="X235" s="77"/>
      <c r="Y235" s="77"/>
      <c r="Z235" s="77"/>
      <c r="AA235" s="77"/>
      <c r="AB235" s="77"/>
      <c r="AC235" s="77"/>
      <c r="AD235" s="77"/>
      <c r="AE235" s="77"/>
      <c r="AF235" s="77"/>
      <c r="AG235" s="77"/>
      <c r="AH235" s="77"/>
      <c r="AI235" s="77"/>
      <c r="AJ235" s="77"/>
      <c r="AK235" s="77"/>
      <c r="AL235" s="77"/>
      <c r="AM235" s="77"/>
      <c r="AN235" s="77"/>
      <c r="AO235" s="77"/>
      <c r="AP235" s="77"/>
      <c r="AQ235" s="77"/>
      <c r="AR235" s="77"/>
      <c r="AS235" s="77"/>
      <c r="AT235" s="77"/>
      <c r="AU235" s="77"/>
      <c r="AV235" s="77"/>
      <c r="AX235" s="84"/>
      <c r="AY235" s="84"/>
      <c r="AZ235" s="66"/>
    </row>
    <row r="236" spans="1:58" s="38" customFormat="1" ht="16.5" customHeight="1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  <c r="W236" s="77"/>
      <c r="X236" s="77"/>
      <c r="Y236" s="77"/>
      <c r="Z236" s="77"/>
      <c r="AA236" s="77"/>
      <c r="AB236" s="77"/>
      <c r="AC236" s="77"/>
      <c r="AD236" s="77"/>
      <c r="AE236" s="77"/>
      <c r="AF236" s="77"/>
      <c r="AG236" s="77"/>
      <c r="AH236" s="77"/>
      <c r="AI236" s="77"/>
      <c r="AJ236" s="77"/>
      <c r="AK236" s="77"/>
      <c r="AL236" s="77"/>
      <c r="AM236" s="77"/>
      <c r="AN236" s="77"/>
      <c r="AO236" s="77"/>
      <c r="AP236" s="77"/>
      <c r="AQ236" s="77"/>
      <c r="AR236" s="77"/>
      <c r="AS236" s="77"/>
      <c r="AT236" s="77"/>
      <c r="AU236" s="77"/>
      <c r="AV236" s="77"/>
      <c r="AX236" s="84"/>
      <c r="AY236" s="84"/>
      <c r="AZ236" s="66"/>
    </row>
    <row r="237" spans="1:58" s="38" customFormat="1" ht="16.5" customHeight="1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  <c r="W237" s="77"/>
      <c r="X237" s="77"/>
      <c r="Y237" s="77"/>
      <c r="Z237" s="77"/>
      <c r="AA237" s="77"/>
      <c r="AB237" s="77"/>
      <c r="AC237" s="77"/>
      <c r="AD237" s="77"/>
      <c r="AE237" s="77"/>
      <c r="AF237" s="77"/>
      <c r="AG237" s="77"/>
      <c r="AH237" s="77"/>
      <c r="AI237" s="77"/>
      <c r="AJ237" s="77"/>
      <c r="AK237" s="77"/>
      <c r="AL237" s="77"/>
      <c r="AM237" s="77"/>
      <c r="AN237" s="77"/>
      <c r="AO237" s="77"/>
      <c r="AP237" s="77"/>
      <c r="AQ237" s="77"/>
      <c r="AR237" s="77"/>
      <c r="AS237" s="77"/>
      <c r="AT237" s="77"/>
      <c r="AU237" s="77"/>
      <c r="AV237" s="77"/>
      <c r="AX237" s="84"/>
      <c r="AY237" s="84"/>
      <c r="AZ237" s="66"/>
    </row>
    <row r="238" spans="1:58" s="38" customFormat="1" ht="16.5" customHeight="1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  <c r="W238" s="77"/>
      <c r="X238" s="77"/>
      <c r="Y238" s="77"/>
      <c r="Z238" s="77"/>
      <c r="AA238" s="77"/>
      <c r="AB238" s="77"/>
      <c r="AC238" s="77"/>
      <c r="AD238" s="77"/>
      <c r="AE238" s="77"/>
      <c r="AF238" s="77"/>
      <c r="AG238" s="77"/>
      <c r="AH238" s="77"/>
      <c r="AI238" s="77"/>
      <c r="AJ238" s="77"/>
      <c r="AK238" s="77"/>
      <c r="AL238" s="77"/>
      <c r="AM238" s="77"/>
      <c r="AN238" s="77"/>
      <c r="AO238" s="77"/>
      <c r="AP238" s="77"/>
      <c r="AQ238" s="77"/>
      <c r="AR238" s="77"/>
      <c r="AS238" s="77"/>
      <c r="AT238" s="77"/>
      <c r="AU238" s="77"/>
      <c r="AV238" s="77"/>
      <c r="AX238" s="84"/>
      <c r="AY238" s="84"/>
      <c r="AZ238" s="66"/>
    </row>
    <row r="239" spans="1:58" s="38" customFormat="1" ht="16.5" customHeight="1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  <c r="W239" s="77"/>
      <c r="X239" s="77"/>
      <c r="Y239" s="77"/>
      <c r="Z239" s="77"/>
      <c r="AA239" s="77"/>
      <c r="AB239" s="77"/>
      <c r="AC239" s="77"/>
      <c r="AD239" s="77"/>
      <c r="AE239" s="77"/>
      <c r="AF239" s="77"/>
      <c r="AG239" s="77"/>
      <c r="AH239" s="77"/>
      <c r="AI239" s="77"/>
      <c r="AJ239" s="77"/>
      <c r="AK239" s="77"/>
      <c r="AL239" s="77"/>
      <c r="AM239" s="77"/>
      <c r="AN239" s="77"/>
      <c r="AO239" s="77"/>
      <c r="AP239" s="77"/>
      <c r="AQ239" s="77"/>
      <c r="AR239" s="77"/>
      <c r="AS239" s="77"/>
      <c r="AT239" s="77"/>
      <c r="AU239" s="77"/>
      <c r="AV239" s="77"/>
      <c r="AX239" s="84"/>
      <c r="AY239" s="84"/>
      <c r="AZ239" s="66"/>
    </row>
    <row r="240" spans="1:58" s="38" customFormat="1" ht="16.5" customHeight="1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  <c r="W240" s="77"/>
      <c r="X240" s="77"/>
      <c r="Y240" s="77"/>
      <c r="Z240" s="77"/>
      <c r="AA240" s="77"/>
      <c r="AB240" s="77"/>
      <c r="AC240" s="77"/>
      <c r="AD240" s="77"/>
      <c r="AE240" s="77"/>
      <c r="AF240" s="77"/>
      <c r="AG240" s="77"/>
      <c r="AH240" s="77"/>
      <c r="AI240" s="77"/>
      <c r="AJ240" s="77"/>
      <c r="AK240" s="77"/>
      <c r="AL240" s="77"/>
      <c r="AM240" s="77"/>
      <c r="AN240" s="77"/>
      <c r="AO240" s="77"/>
      <c r="AP240" s="77"/>
      <c r="AQ240" s="77"/>
      <c r="AR240" s="77"/>
      <c r="AS240" s="77"/>
      <c r="AT240" s="77"/>
      <c r="AU240" s="77"/>
      <c r="AV240" s="77"/>
      <c r="AX240" s="84"/>
      <c r="AY240" s="84"/>
      <c r="AZ240" s="66"/>
    </row>
    <row r="241" spans="1:52" s="38" customFormat="1" ht="16.5" customHeight="1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  <c r="W241" s="77"/>
      <c r="X241" s="77"/>
      <c r="Y241" s="77"/>
      <c r="Z241" s="77"/>
      <c r="AA241" s="77"/>
      <c r="AB241" s="77"/>
      <c r="AC241" s="77"/>
      <c r="AD241" s="77"/>
      <c r="AE241" s="77"/>
      <c r="AF241" s="77"/>
      <c r="AG241" s="77"/>
      <c r="AH241" s="77"/>
      <c r="AI241" s="77"/>
      <c r="AJ241" s="77"/>
      <c r="AK241" s="77"/>
      <c r="AL241" s="77"/>
      <c r="AM241" s="77"/>
      <c r="AN241" s="77"/>
      <c r="AO241" s="77"/>
      <c r="AP241" s="77"/>
      <c r="AQ241" s="77"/>
      <c r="AR241" s="77"/>
      <c r="AS241" s="77"/>
      <c r="AT241" s="77"/>
      <c r="AU241" s="77"/>
      <c r="AV241" s="77"/>
      <c r="AX241" s="84"/>
      <c r="AY241" s="84"/>
      <c r="AZ241" s="66"/>
    </row>
    <row r="242" spans="1:52" s="38" customFormat="1" ht="16.5" customHeight="1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  <c r="W242" s="77"/>
      <c r="X242" s="77"/>
      <c r="Y242" s="77"/>
      <c r="Z242" s="77"/>
      <c r="AA242" s="77"/>
      <c r="AB242" s="77"/>
      <c r="AC242" s="77"/>
      <c r="AD242" s="77"/>
      <c r="AE242" s="77"/>
      <c r="AF242" s="77"/>
      <c r="AG242" s="77"/>
      <c r="AH242" s="77"/>
      <c r="AI242" s="77"/>
      <c r="AJ242" s="77"/>
      <c r="AK242" s="77"/>
      <c r="AL242" s="77"/>
      <c r="AM242" s="77"/>
      <c r="AN242" s="77"/>
      <c r="AO242" s="77"/>
      <c r="AP242" s="77"/>
      <c r="AQ242" s="77"/>
      <c r="AR242" s="77"/>
      <c r="AS242" s="77"/>
      <c r="AT242" s="77"/>
      <c r="AU242" s="77"/>
      <c r="AV242" s="77"/>
      <c r="AX242" s="84"/>
      <c r="AY242" s="84"/>
      <c r="AZ242" s="66"/>
    </row>
    <row r="243" spans="1:52" s="38" customFormat="1" ht="16.5" customHeight="1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  <c r="W243" s="77"/>
      <c r="X243" s="77"/>
      <c r="Y243" s="77"/>
      <c r="Z243" s="77"/>
      <c r="AA243" s="77"/>
      <c r="AB243" s="77"/>
      <c r="AC243" s="77"/>
      <c r="AD243" s="77"/>
      <c r="AE243" s="77"/>
      <c r="AF243" s="77"/>
      <c r="AG243" s="77"/>
      <c r="AH243" s="77"/>
      <c r="AI243" s="77"/>
      <c r="AJ243" s="77"/>
      <c r="AK243" s="77"/>
      <c r="AL243" s="77"/>
      <c r="AM243" s="77"/>
      <c r="AN243" s="77"/>
      <c r="AO243" s="77"/>
      <c r="AP243" s="77"/>
      <c r="AQ243" s="77"/>
      <c r="AR243" s="77"/>
      <c r="AS243" s="77"/>
      <c r="AT243" s="77"/>
      <c r="AU243" s="77"/>
      <c r="AV243" s="77"/>
      <c r="AX243" s="84"/>
      <c r="AY243" s="84"/>
      <c r="AZ243" s="66"/>
    </row>
    <row r="244" spans="1:52" s="38" customFormat="1" ht="16.5" customHeight="1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  <c r="W244" s="77"/>
      <c r="X244" s="77"/>
      <c r="Y244" s="77"/>
      <c r="Z244" s="77"/>
      <c r="AA244" s="77"/>
      <c r="AB244" s="77"/>
      <c r="AC244" s="77"/>
      <c r="AD244" s="77"/>
      <c r="AE244" s="77"/>
      <c r="AF244" s="77"/>
      <c r="AG244" s="77"/>
      <c r="AH244" s="77"/>
      <c r="AI244" s="77"/>
      <c r="AJ244" s="77"/>
      <c r="AK244" s="77"/>
      <c r="AL244" s="77"/>
      <c r="AM244" s="77"/>
      <c r="AN244" s="77"/>
      <c r="AO244" s="77"/>
      <c r="AP244" s="77"/>
      <c r="AQ244" s="77"/>
      <c r="AR244" s="77"/>
      <c r="AS244" s="77"/>
      <c r="AT244" s="77"/>
      <c r="AU244" s="77"/>
      <c r="AV244" s="77"/>
      <c r="AX244" s="84"/>
      <c r="AY244" s="84"/>
      <c r="AZ244" s="66"/>
    </row>
    <row r="245" spans="1:52" s="38" customFormat="1" ht="16.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  <c r="W245" s="77"/>
      <c r="X245" s="77"/>
      <c r="Y245" s="77"/>
      <c r="Z245" s="77"/>
      <c r="AA245" s="77"/>
      <c r="AB245" s="77"/>
      <c r="AC245" s="77"/>
      <c r="AD245" s="77"/>
      <c r="AE245" s="77"/>
      <c r="AF245" s="77"/>
      <c r="AG245" s="77"/>
      <c r="AH245" s="77"/>
      <c r="AI245" s="77"/>
      <c r="AJ245" s="77"/>
      <c r="AK245" s="77"/>
      <c r="AL245" s="77"/>
      <c r="AM245" s="77"/>
      <c r="AN245" s="77"/>
      <c r="AO245" s="77"/>
      <c r="AP245" s="77"/>
      <c r="AQ245" s="77"/>
      <c r="AR245" s="77"/>
      <c r="AS245" s="77"/>
      <c r="AT245" s="77"/>
      <c r="AU245" s="77"/>
      <c r="AV245" s="77"/>
      <c r="AX245" s="84"/>
      <c r="AY245" s="84"/>
      <c r="AZ245" s="66"/>
    </row>
    <row r="246" spans="1:52" s="38" customFormat="1" ht="16.5" customHeight="1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  <c r="W246" s="77"/>
      <c r="X246" s="77"/>
      <c r="Y246" s="77"/>
      <c r="Z246" s="77"/>
      <c r="AA246" s="77"/>
      <c r="AB246" s="77"/>
      <c r="AC246" s="77"/>
      <c r="AD246" s="77"/>
      <c r="AE246" s="77"/>
      <c r="AF246" s="77"/>
      <c r="AG246" s="77"/>
      <c r="AH246" s="77"/>
      <c r="AI246" s="77"/>
      <c r="AJ246" s="77"/>
      <c r="AK246" s="77"/>
      <c r="AL246" s="77"/>
      <c r="AM246" s="77"/>
      <c r="AN246" s="77"/>
      <c r="AO246" s="77"/>
      <c r="AP246" s="77"/>
      <c r="AQ246" s="77"/>
      <c r="AR246" s="77"/>
      <c r="AS246" s="77"/>
      <c r="AT246" s="77"/>
      <c r="AU246" s="77"/>
      <c r="AV246" s="77"/>
      <c r="AX246" s="84"/>
      <c r="AY246" s="84"/>
      <c r="AZ246" s="66"/>
    </row>
    <row r="247" spans="1:52" s="38" customFormat="1" ht="16.5" customHeight="1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  <c r="W247" s="77"/>
      <c r="X247" s="77"/>
      <c r="Y247" s="77"/>
      <c r="Z247" s="77"/>
      <c r="AA247" s="77"/>
      <c r="AB247" s="77"/>
      <c r="AC247" s="77"/>
      <c r="AD247" s="77"/>
      <c r="AE247" s="77"/>
      <c r="AF247" s="77"/>
      <c r="AG247" s="77"/>
      <c r="AH247" s="77"/>
      <c r="AI247" s="77"/>
      <c r="AJ247" s="77"/>
      <c r="AK247" s="77"/>
      <c r="AL247" s="77"/>
      <c r="AM247" s="77"/>
      <c r="AN247" s="77"/>
      <c r="AO247" s="77"/>
      <c r="AP247" s="77"/>
      <c r="AQ247" s="77"/>
      <c r="AR247" s="77"/>
      <c r="AS247" s="77"/>
      <c r="AT247" s="77"/>
      <c r="AU247" s="77"/>
      <c r="AV247" s="77"/>
      <c r="AX247" s="84"/>
      <c r="AY247" s="84"/>
      <c r="AZ247" s="66"/>
    </row>
    <row r="248" spans="1:52" s="38" customFormat="1" ht="16.5" customHeight="1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  <c r="W248" s="77"/>
      <c r="X248" s="77"/>
      <c r="Y248" s="77"/>
      <c r="Z248" s="77"/>
      <c r="AA248" s="77"/>
      <c r="AB248" s="77"/>
      <c r="AC248" s="77"/>
      <c r="AD248" s="77"/>
      <c r="AE248" s="77"/>
      <c r="AF248" s="77"/>
      <c r="AG248" s="77"/>
      <c r="AH248" s="77"/>
      <c r="AI248" s="77"/>
      <c r="AJ248" s="77"/>
      <c r="AK248" s="77"/>
      <c r="AL248" s="77"/>
      <c r="AM248" s="77"/>
      <c r="AN248" s="77"/>
      <c r="AO248" s="77"/>
      <c r="AP248" s="77"/>
      <c r="AQ248" s="77"/>
      <c r="AR248" s="77"/>
      <c r="AS248" s="77"/>
      <c r="AT248" s="77"/>
      <c r="AU248" s="77"/>
      <c r="AV248" s="77"/>
      <c r="AX248" s="84"/>
      <c r="AY248" s="84"/>
      <c r="AZ248" s="66"/>
    </row>
    <row r="249" spans="1:52" s="38" customFormat="1" ht="16.5" customHeight="1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  <c r="W249" s="77"/>
      <c r="X249" s="77"/>
      <c r="Y249" s="77"/>
      <c r="Z249" s="77"/>
      <c r="AA249" s="77"/>
      <c r="AB249" s="77"/>
      <c r="AC249" s="77"/>
      <c r="AD249" s="77"/>
      <c r="AE249" s="77"/>
      <c r="AF249" s="77"/>
      <c r="AG249" s="77"/>
      <c r="AH249" s="77"/>
      <c r="AI249" s="77"/>
      <c r="AJ249" s="77"/>
      <c r="AK249" s="77"/>
      <c r="AL249" s="77"/>
      <c r="AM249" s="77"/>
      <c r="AN249" s="77"/>
      <c r="AO249" s="77"/>
      <c r="AP249" s="77"/>
      <c r="AQ249" s="77"/>
      <c r="AR249" s="77"/>
      <c r="AS249" s="77"/>
      <c r="AT249" s="77"/>
      <c r="AU249" s="77"/>
      <c r="AV249" s="77"/>
      <c r="AX249" s="84"/>
      <c r="AY249" s="84"/>
      <c r="AZ249" s="66"/>
    </row>
    <row r="250" spans="1:52" s="38" customFormat="1" ht="16.5" customHeight="1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  <c r="W250" s="77"/>
      <c r="X250" s="77"/>
      <c r="Y250" s="77"/>
      <c r="Z250" s="77"/>
      <c r="AA250" s="77"/>
      <c r="AB250" s="77"/>
      <c r="AC250" s="77"/>
      <c r="AD250" s="77"/>
      <c r="AE250" s="77"/>
      <c r="AF250" s="77"/>
      <c r="AG250" s="77"/>
      <c r="AH250" s="77"/>
      <c r="AI250" s="77"/>
      <c r="AJ250" s="77"/>
      <c r="AK250" s="77"/>
      <c r="AL250" s="77"/>
      <c r="AM250" s="77"/>
      <c r="AN250" s="77"/>
      <c r="AO250" s="77"/>
      <c r="AP250" s="77"/>
      <c r="AQ250" s="77"/>
      <c r="AR250" s="77"/>
      <c r="AS250" s="77"/>
      <c r="AT250" s="77"/>
      <c r="AU250" s="77"/>
      <c r="AV250" s="77"/>
      <c r="AX250" s="84"/>
      <c r="AY250" s="84"/>
      <c r="AZ250" s="66"/>
    </row>
    <row r="251" spans="1:52" s="38" customFormat="1" ht="16.5" customHeight="1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  <c r="W251" s="77"/>
      <c r="X251" s="77"/>
      <c r="Y251" s="77"/>
      <c r="Z251" s="77"/>
      <c r="AA251" s="77"/>
      <c r="AB251" s="77"/>
      <c r="AC251" s="77"/>
      <c r="AD251" s="77"/>
      <c r="AE251" s="77"/>
      <c r="AF251" s="77"/>
      <c r="AG251" s="77"/>
      <c r="AH251" s="77"/>
      <c r="AI251" s="77"/>
      <c r="AJ251" s="77"/>
      <c r="AK251" s="77"/>
      <c r="AL251" s="77"/>
      <c r="AM251" s="77"/>
      <c r="AN251" s="77"/>
      <c r="AO251" s="77"/>
      <c r="AP251" s="77"/>
      <c r="AQ251" s="77"/>
      <c r="AR251" s="77"/>
      <c r="AS251" s="77"/>
      <c r="AT251" s="77"/>
      <c r="AU251" s="77"/>
      <c r="AV251" s="77"/>
      <c r="AX251" s="84"/>
      <c r="AY251" s="84"/>
      <c r="AZ251" s="66"/>
    </row>
    <row r="252" spans="1:52" s="38" customFormat="1" ht="16.5" customHeight="1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  <c r="W252" s="77"/>
      <c r="X252" s="77"/>
      <c r="Y252" s="77"/>
      <c r="Z252" s="77"/>
      <c r="AA252" s="77"/>
      <c r="AB252" s="77"/>
      <c r="AC252" s="77"/>
      <c r="AD252" s="77"/>
      <c r="AE252" s="77"/>
      <c r="AF252" s="77"/>
      <c r="AG252" s="77"/>
      <c r="AH252" s="77"/>
      <c r="AI252" s="77"/>
      <c r="AJ252" s="77"/>
      <c r="AK252" s="77"/>
      <c r="AL252" s="77"/>
      <c r="AM252" s="77"/>
      <c r="AN252" s="77"/>
      <c r="AO252" s="77"/>
      <c r="AP252" s="77"/>
      <c r="AQ252" s="77"/>
      <c r="AR252" s="77"/>
      <c r="AS252" s="77"/>
      <c r="AT252" s="77"/>
      <c r="AU252" s="77"/>
      <c r="AV252" s="77"/>
      <c r="AX252" s="84"/>
      <c r="AY252" s="84"/>
      <c r="AZ252" s="66"/>
    </row>
    <row r="253" spans="1:52" s="38" customFormat="1" ht="16.5" customHeight="1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  <c r="W253" s="77"/>
      <c r="X253" s="77"/>
      <c r="Y253" s="77"/>
      <c r="Z253" s="77"/>
      <c r="AA253" s="77"/>
      <c r="AB253" s="77"/>
      <c r="AC253" s="77"/>
      <c r="AD253" s="77"/>
      <c r="AE253" s="77"/>
      <c r="AF253" s="77"/>
      <c r="AG253" s="77"/>
      <c r="AH253" s="77"/>
      <c r="AI253" s="77"/>
      <c r="AJ253" s="77"/>
      <c r="AK253" s="77"/>
      <c r="AL253" s="77"/>
      <c r="AM253" s="77"/>
      <c r="AN253" s="77"/>
      <c r="AO253" s="77"/>
      <c r="AP253" s="77"/>
      <c r="AQ253" s="77"/>
      <c r="AR253" s="77"/>
      <c r="AS253" s="77"/>
      <c r="AT253" s="77"/>
      <c r="AU253" s="77"/>
      <c r="AV253" s="77"/>
      <c r="AX253" s="84"/>
      <c r="AY253" s="84"/>
      <c r="AZ253" s="66"/>
    </row>
    <row r="254" spans="1:52" s="38" customFormat="1" ht="16.5" customHeight="1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  <c r="W254" s="77"/>
      <c r="X254" s="77"/>
      <c r="Y254" s="77"/>
      <c r="Z254" s="77"/>
      <c r="AA254" s="77"/>
      <c r="AB254" s="77"/>
      <c r="AC254" s="77"/>
      <c r="AD254" s="77"/>
      <c r="AE254" s="77"/>
      <c r="AF254" s="77"/>
      <c r="AG254" s="77"/>
      <c r="AH254" s="77"/>
      <c r="AI254" s="77"/>
      <c r="AJ254" s="77"/>
      <c r="AK254" s="77"/>
      <c r="AL254" s="77"/>
      <c r="AM254" s="77"/>
      <c r="AN254" s="77"/>
      <c r="AO254" s="77"/>
      <c r="AP254" s="77"/>
      <c r="AQ254" s="77"/>
      <c r="AR254" s="77"/>
      <c r="AS254" s="77"/>
      <c r="AT254" s="77"/>
      <c r="AU254" s="77"/>
      <c r="AV254" s="77"/>
      <c r="AX254" s="84"/>
      <c r="AY254" s="84"/>
      <c r="AZ254" s="66"/>
    </row>
    <row r="255" spans="1:52" s="38" customFormat="1" ht="16.5" customHeight="1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  <c r="W255" s="77"/>
      <c r="X255" s="77"/>
      <c r="Y255" s="77"/>
      <c r="Z255" s="77"/>
      <c r="AA255" s="77"/>
      <c r="AB255" s="77"/>
      <c r="AC255" s="77"/>
      <c r="AD255" s="77"/>
      <c r="AE255" s="77"/>
      <c r="AF255" s="77"/>
      <c r="AG255" s="77"/>
      <c r="AH255" s="77"/>
      <c r="AI255" s="77"/>
      <c r="AJ255" s="77"/>
      <c r="AK255" s="77"/>
      <c r="AL255" s="77"/>
      <c r="AM255" s="77"/>
      <c r="AN255" s="77"/>
      <c r="AO255" s="77"/>
      <c r="AP255" s="77"/>
      <c r="AQ255" s="77"/>
      <c r="AR255" s="77"/>
      <c r="AS255" s="77"/>
      <c r="AT255" s="77"/>
      <c r="AU255" s="77"/>
      <c r="AV255" s="77"/>
      <c r="AX255" s="84"/>
      <c r="AY255" s="84"/>
      <c r="AZ255" s="66"/>
    </row>
    <row r="256" spans="1:52" s="38" customFormat="1" ht="16.5" customHeight="1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  <c r="W256" s="77"/>
      <c r="X256" s="77"/>
      <c r="Y256" s="77"/>
      <c r="Z256" s="77"/>
      <c r="AA256" s="77"/>
      <c r="AB256" s="77"/>
      <c r="AC256" s="77"/>
      <c r="AD256" s="77"/>
      <c r="AE256" s="77"/>
      <c r="AF256" s="77"/>
      <c r="AG256" s="77"/>
      <c r="AH256" s="77"/>
      <c r="AI256" s="77"/>
      <c r="AJ256" s="77"/>
      <c r="AK256" s="77"/>
      <c r="AL256" s="77"/>
      <c r="AM256" s="77"/>
      <c r="AN256" s="77"/>
      <c r="AO256" s="77"/>
      <c r="AP256" s="77"/>
      <c r="AQ256" s="77"/>
      <c r="AR256" s="77"/>
      <c r="AS256" s="77"/>
      <c r="AT256" s="77"/>
      <c r="AU256" s="77"/>
      <c r="AV256" s="77"/>
      <c r="AX256" s="84"/>
      <c r="AY256" s="84"/>
      <c r="AZ256" s="66"/>
    </row>
    <row r="257" spans="1:52" s="38" customFormat="1" ht="16.5" customHeight="1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  <c r="W257" s="77"/>
      <c r="X257" s="77"/>
      <c r="Y257" s="77"/>
      <c r="Z257" s="77"/>
      <c r="AA257" s="77"/>
      <c r="AB257" s="77"/>
      <c r="AC257" s="77"/>
      <c r="AD257" s="77"/>
      <c r="AE257" s="77"/>
      <c r="AF257" s="77"/>
      <c r="AG257" s="77"/>
      <c r="AH257" s="77"/>
      <c r="AI257" s="77"/>
      <c r="AJ257" s="77"/>
      <c r="AK257" s="77"/>
      <c r="AL257" s="77"/>
      <c r="AM257" s="77"/>
      <c r="AN257" s="77"/>
      <c r="AO257" s="77"/>
      <c r="AP257" s="77"/>
      <c r="AQ257" s="77"/>
      <c r="AR257" s="77"/>
      <c r="AS257" s="77"/>
      <c r="AT257" s="77"/>
      <c r="AU257" s="77"/>
      <c r="AV257" s="77"/>
      <c r="AX257" s="84"/>
      <c r="AY257" s="84"/>
      <c r="AZ257" s="66"/>
    </row>
    <row r="258" spans="1:52" s="38" customFormat="1" ht="16.5" customHeight="1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  <c r="W258" s="77"/>
      <c r="X258" s="77"/>
      <c r="Y258" s="77"/>
      <c r="Z258" s="77"/>
      <c r="AA258" s="77"/>
      <c r="AB258" s="77"/>
      <c r="AC258" s="77"/>
      <c r="AD258" s="77"/>
      <c r="AE258" s="77"/>
      <c r="AF258" s="77"/>
      <c r="AG258" s="77"/>
      <c r="AH258" s="77"/>
      <c r="AI258" s="77"/>
      <c r="AJ258" s="77"/>
      <c r="AK258" s="77"/>
      <c r="AL258" s="77"/>
      <c r="AM258" s="77"/>
      <c r="AN258" s="77"/>
      <c r="AO258" s="77"/>
      <c r="AP258" s="77"/>
      <c r="AQ258" s="77"/>
      <c r="AR258" s="77"/>
      <c r="AS258" s="77"/>
      <c r="AT258" s="77"/>
      <c r="AU258" s="77"/>
      <c r="AV258" s="77"/>
      <c r="AX258" s="84"/>
      <c r="AY258" s="84"/>
      <c r="AZ258" s="66"/>
    </row>
    <row r="259" spans="1:52" s="38" customFormat="1" ht="16.5" customHeight="1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  <c r="W259" s="77"/>
      <c r="X259" s="77"/>
      <c r="Y259" s="77"/>
      <c r="Z259" s="77"/>
      <c r="AA259" s="77"/>
      <c r="AB259" s="77"/>
      <c r="AC259" s="77"/>
      <c r="AD259" s="77"/>
      <c r="AE259" s="77"/>
      <c r="AF259" s="77"/>
      <c r="AG259" s="77"/>
      <c r="AH259" s="77"/>
      <c r="AI259" s="77"/>
      <c r="AJ259" s="77"/>
      <c r="AK259" s="77"/>
      <c r="AL259" s="77"/>
      <c r="AM259" s="77"/>
      <c r="AN259" s="77"/>
      <c r="AO259" s="77"/>
      <c r="AP259" s="77"/>
      <c r="AQ259" s="77"/>
      <c r="AR259" s="77"/>
      <c r="AS259" s="77"/>
      <c r="AT259" s="77"/>
      <c r="AU259" s="77"/>
      <c r="AV259" s="77"/>
      <c r="AX259" s="84"/>
      <c r="AY259" s="84"/>
      <c r="AZ259" s="66"/>
    </row>
    <row r="260" spans="1:52" s="38" customFormat="1" ht="16.5" customHeight="1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  <c r="W260" s="77"/>
      <c r="X260" s="77"/>
      <c r="Y260" s="77"/>
      <c r="Z260" s="77"/>
      <c r="AA260" s="77"/>
      <c r="AB260" s="77"/>
      <c r="AC260" s="77"/>
      <c r="AD260" s="77"/>
      <c r="AE260" s="77"/>
      <c r="AF260" s="77"/>
      <c r="AG260" s="77"/>
      <c r="AH260" s="77"/>
      <c r="AI260" s="77"/>
      <c r="AJ260" s="77"/>
      <c r="AK260" s="77"/>
      <c r="AL260" s="77"/>
      <c r="AM260" s="77"/>
      <c r="AN260" s="77"/>
      <c r="AO260" s="77"/>
      <c r="AP260" s="77"/>
      <c r="AQ260" s="77"/>
      <c r="AR260" s="77"/>
      <c r="AS260" s="77"/>
      <c r="AT260" s="77"/>
      <c r="AU260" s="77"/>
      <c r="AV260" s="77"/>
      <c r="AX260" s="84"/>
      <c r="AY260" s="84"/>
      <c r="AZ260" s="66"/>
    </row>
    <row r="261" spans="1:52" s="38" customFormat="1" ht="16.5" customHeight="1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  <c r="W261" s="77"/>
      <c r="X261" s="77"/>
      <c r="Y261" s="77"/>
      <c r="Z261" s="77"/>
      <c r="AA261" s="77"/>
      <c r="AB261" s="77"/>
      <c r="AC261" s="77"/>
      <c r="AD261" s="77"/>
      <c r="AE261" s="77"/>
      <c r="AF261" s="77"/>
      <c r="AG261" s="77"/>
      <c r="AH261" s="77"/>
      <c r="AI261" s="77"/>
      <c r="AJ261" s="77"/>
      <c r="AK261" s="77"/>
      <c r="AL261" s="77"/>
      <c r="AM261" s="77"/>
      <c r="AN261" s="77"/>
      <c r="AO261" s="77"/>
      <c r="AP261" s="77"/>
      <c r="AQ261" s="77"/>
      <c r="AR261" s="77"/>
      <c r="AS261" s="77"/>
      <c r="AT261" s="77"/>
      <c r="AU261" s="77"/>
      <c r="AV261" s="77"/>
      <c r="AX261" s="84"/>
      <c r="AY261" s="84"/>
      <c r="AZ261" s="66"/>
    </row>
    <row r="262" spans="1:52" s="38" customFormat="1" ht="16.5" customHeight="1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  <c r="W262" s="77"/>
      <c r="X262" s="77"/>
      <c r="Y262" s="77"/>
      <c r="Z262" s="77"/>
      <c r="AA262" s="77"/>
      <c r="AB262" s="77"/>
      <c r="AC262" s="77"/>
      <c r="AD262" s="77"/>
      <c r="AE262" s="77"/>
      <c r="AF262" s="77"/>
      <c r="AG262" s="77"/>
      <c r="AH262" s="77"/>
      <c r="AI262" s="77"/>
      <c r="AJ262" s="77"/>
      <c r="AK262" s="77"/>
      <c r="AL262" s="77"/>
      <c r="AM262" s="77"/>
      <c r="AN262" s="77"/>
      <c r="AO262" s="77"/>
      <c r="AP262" s="77"/>
      <c r="AQ262" s="77"/>
      <c r="AR262" s="77"/>
      <c r="AS262" s="77"/>
      <c r="AT262" s="77"/>
      <c r="AU262" s="77"/>
      <c r="AV262" s="77"/>
      <c r="AX262" s="84"/>
      <c r="AY262" s="84"/>
      <c r="AZ262" s="66"/>
    </row>
    <row r="263" spans="1:52" s="38" customFormat="1" ht="16.5" customHeight="1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  <c r="W263" s="77"/>
      <c r="X263" s="77"/>
      <c r="Y263" s="77"/>
      <c r="Z263" s="77"/>
      <c r="AA263" s="77"/>
      <c r="AB263" s="77"/>
      <c r="AC263" s="77"/>
      <c r="AD263" s="77"/>
      <c r="AE263" s="77"/>
      <c r="AF263" s="77"/>
      <c r="AG263" s="77"/>
      <c r="AH263" s="77"/>
      <c r="AI263" s="77"/>
      <c r="AJ263" s="77"/>
      <c r="AK263" s="77"/>
      <c r="AL263" s="77"/>
      <c r="AM263" s="77"/>
      <c r="AN263" s="77"/>
      <c r="AO263" s="77"/>
      <c r="AP263" s="77"/>
      <c r="AQ263" s="77"/>
      <c r="AR263" s="77"/>
      <c r="AS263" s="77"/>
      <c r="AT263" s="77"/>
      <c r="AU263" s="77"/>
      <c r="AV263" s="77"/>
      <c r="AX263" s="84"/>
      <c r="AY263" s="84"/>
      <c r="AZ263" s="66"/>
    </row>
    <row r="264" spans="1:52" s="38" customFormat="1" ht="16.5" customHeight="1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  <c r="W264" s="77"/>
      <c r="X264" s="77"/>
      <c r="Y264" s="77"/>
      <c r="Z264" s="77"/>
      <c r="AA264" s="77"/>
      <c r="AB264" s="77"/>
      <c r="AC264" s="77"/>
      <c r="AD264" s="77"/>
      <c r="AE264" s="77"/>
      <c r="AF264" s="77"/>
      <c r="AG264" s="77"/>
      <c r="AH264" s="77"/>
      <c r="AI264" s="77"/>
      <c r="AJ264" s="77"/>
      <c r="AK264" s="77"/>
      <c r="AL264" s="77"/>
      <c r="AM264" s="77"/>
      <c r="AN264" s="77"/>
      <c r="AO264" s="77"/>
      <c r="AP264" s="77"/>
      <c r="AQ264" s="77"/>
      <c r="AR264" s="77"/>
      <c r="AS264" s="77"/>
      <c r="AT264" s="77"/>
      <c r="AU264" s="77"/>
      <c r="AV264" s="77"/>
      <c r="AX264" s="84"/>
      <c r="AY264" s="84"/>
      <c r="AZ264" s="66"/>
    </row>
    <row r="265" spans="1:52" s="38" customFormat="1" ht="16.5" customHeight="1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  <c r="W265" s="77"/>
      <c r="X265" s="77"/>
      <c r="Y265" s="77"/>
      <c r="Z265" s="77"/>
      <c r="AA265" s="77"/>
      <c r="AB265" s="77"/>
      <c r="AC265" s="77"/>
      <c r="AD265" s="77"/>
      <c r="AE265" s="77"/>
      <c r="AF265" s="77"/>
      <c r="AG265" s="77"/>
      <c r="AH265" s="77"/>
      <c r="AI265" s="77"/>
      <c r="AJ265" s="77"/>
      <c r="AK265" s="77"/>
      <c r="AL265" s="77"/>
      <c r="AM265" s="77"/>
      <c r="AN265" s="77"/>
      <c r="AO265" s="77"/>
      <c r="AP265" s="77"/>
      <c r="AQ265" s="77"/>
      <c r="AR265" s="77"/>
      <c r="AS265" s="77"/>
      <c r="AT265" s="77"/>
      <c r="AU265" s="77"/>
      <c r="AV265" s="77"/>
      <c r="AX265" s="84"/>
      <c r="AY265" s="84"/>
      <c r="AZ265" s="66"/>
    </row>
    <row r="266" spans="1:52" s="38" customFormat="1" ht="16.5" customHeight="1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  <c r="W266" s="77"/>
      <c r="X266" s="77"/>
      <c r="Y266" s="77"/>
      <c r="Z266" s="77"/>
      <c r="AA266" s="77"/>
      <c r="AB266" s="77"/>
      <c r="AC266" s="77"/>
      <c r="AD266" s="77"/>
      <c r="AE266" s="77"/>
      <c r="AF266" s="77"/>
      <c r="AG266" s="77"/>
      <c r="AH266" s="77"/>
      <c r="AI266" s="77"/>
      <c r="AJ266" s="77"/>
      <c r="AK266" s="77"/>
      <c r="AL266" s="77"/>
      <c r="AM266" s="77"/>
      <c r="AN266" s="77"/>
      <c r="AO266" s="77"/>
      <c r="AP266" s="77"/>
      <c r="AQ266" s="77"/>
      <c r="AR266" s="77"/>
      <c r="AS266" s="77"/>
      <c r="AT266" s="77"/>
      <c r="AU266" s="77"/>
      <c r="AV266" s="77"/>
      <c r="AX266" s="84"/>
      <c r="AY266" s="84"/>
      <c r="AZ266" s="66"/>
    </row>
    <row r="267" spans="1:52" s="38" customFormat="1" ht="16.5" customHeight="1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  <c r="W267" s="77"/>
      <c r="X267" s="77"/>
      <c r="Y267" s="77"/>
      <c r="Z267" s="77"/>
      <c r="AA267" s="77"/>
      <c r="AB267" s="77"/>
      <c r="AC267" s="77"/>
      <c r="AD267" s="77"/>
      <c r="AE267" s="77"/>
      <c r="AF267" s="77"/>
      <c r="AG267" s="77"/>
      <c r="AH267" s="77"/>
      <c r="AI267" s="77"/>
      <c r="AJ267" s="77"/>
      <c r="AK267" s="77"/>
      <c r="AL267" s="77"/>
      <c r="AM267" s="77"/>
      <c r="AN267" s="77"/>
      <c r="AO267" s="77"/>
      <c r="AP267" s="77"/>
      <c r="AQ267" s="77"/>
      <c r="AR267" s="77"/>
      <c r="AS267" s="77"/>
      <c r="AT267" s="77"/>
      <c r="AU267" s="77"/>
      <c r="AV267" s="77"/>
      <c r="AX267" s="84"/>
      <c r="AY267" s="84"/>
      <c r="AZ267" s="66"/>
    </row>
    <row r="268" spans="1:52" s="38" customFormat="1" ht="16.5" customHeight="1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  <c r="W268" s="77"/>
      <c r="X268" s="77"/>
      <c r="Y268" s="77"/>
      <c r="Z268" s="77"/>
      <c r="AA268" s="77"/>
      <c r="AB268" s="77"/>
      <c r="AC268" s="77"/>
      <c r="AD268" s="77"/>
      <c r="AE268" s="77"/>
      <c r="AF268" s="77"/>
      <c r="AG268" s="77"/>
      <c r="AH268" s="77"/>
      <c r="AI268" s="77"/>
      <c r="AJ268" s="77"/>
      <c r="AK268" s="77"/>
      <c r="AL268" s="77"/>
      <c r="AM268" s="77"/>
      <c r="AN268" s="77"/>
      <c r="AO268" s="77"/>
      <c r="AP268" s="77"/>
      <c r="AQ268" s="77"/>
      <c r="AR268" s="77"/>
      <c r="AS268" s="77"/>
      <c r="AT268" s="77"/>
      <c r="AU268" s="77"/>
      <c r="AV268" s="77"/>
      <c r="AX268" s="84"/>
      <c r="AY268" s="84"/>
      <c r="AZ268" s="66"/>
    </row>
    <row r="269" spans="1:52" s="38" customFormat="1" ht="16.5" customHeight="1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  <c r="W269" s="77"/>
      <c r="X269" s="77"/>
      <c r="Y269" s="77"/>
      <c r="Z269" s="77"/>
      <c r="AA269" s="77"/>
      <c r="AB269" s="77"/>
      <c r="AC269" s="77"/>
      <c r="AD269" s="77"/>
      <c r="AE269" s="77"/>
      <c r="AF269" s="77"/>
      <c r="AG269" s="77"/>
      <c r="AH269" s="77"/>
      <c r="AI269" s="77"/>
      <c r="AJ269" s="77"/>
      <c r="AK269" s="77"/>
      <c r="AL269" s="77"/>
      <c r="AM269" s="77"/>
      <c r="AN269" s="77"/>
      <c r="AO269" s="77"/>
      <c r="AP269" s="77"/>
      <c r="AQ269" s="77"/>
      <c r="AR269" s="77"/>
      <c r="AS269" s="77"/>
      <c r="AT269" s="77"/>
      <c r="AU269" s="77"/>
      <c r="AV269" s="77"/>
      <c r="AX269" s="84"/>
      <c r="AY269" s="84"/>
      <c r="AZ269" s="66"/>
    </row>
    <row r="270" spans="1:52" s="38" customFormat="1" ht="16.5" customHeight="1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  <c r="W270" s="77"/>
      <c r="X270" s="77"/>
      <c r="Y270" s="77"/>
      <c r="Z270" s="77"/>
      <c r="AA270" s="77"/>
      <c r="AB270" s="77"/>
      <c r="AC270" s="77"/>
      <c r="AD270" s="77"/>
      <c r="AE270" s="77"/>
      <c r="AF270" s="77"/>
      <c r="AG270" s="77"/>
      <c r="AH270" s="77"/>
      <c r="AI270" s="77"/>
      <c r="AJ270" s="77"/>
      <c r="AK270" s="77"/>
      <c r="AL270" s="77"/>
      <c r="AM270" s="77"/>
      <c r="AN270" s="77"/>
      <c r="AO270" s="77"/>
      <c r="AP270" s="77"/>
      <c r="AQ270" s="77"/>
      <c r="AR270" s="77"/>
      <c r="AS270" s="77"/>
      <c r="AT270" s="77"/>
      <c r="AU270" s="77"/>
      <c r="AV270" s="77"/>
      <c r="AX270" s="84"/>
      <c r="AY270" s="84"/>
      <c r="AZ270" s="66"/>
    </row>
    <row r="271" spans="1:52" s="38" customFormat="1" ht="16.5" customHeight="1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  <c r="W271" s="77"/>
      <c r="X271" s="77"/>
      <c r="Y271" s="77"/>
      <c r="Z271" s="77"/>
      <c r="AA271" s="77"/>
      <c r="AB271" s="77"/>
      <c r="AC271" s="77"/>
      <c r="AD271" s="77"/>
      <c r="AE271" s="77"/>
      <c r="AF271" s="77"/>
      <c r="AG271" s="77"/>
      <c r="AH271" s="77"/>
      <c r="AI271" s="77"/>
      <c r="AJ271" s="77"/>
      <c r="AK271" s="77"/>
      <c r="AL271" s="77"/>
      <c r="AM271" s="77"/>
      <c r="AN271" s="77"/>
      <c r="AO271" s="77"/>
      <c r="AP271" s="77"/>
      <c r="AQ271" s="77"/>
      <c r="AR271" s="77"/>
      <c r="AS271" s="77"/>
      <c r="AT271" s="77"/>
      <c r="AU271" s="77"/>
      <c r="AV271" s="77"/>
      <c r="AX271" s="84"/>
      <c r="AY271" s="84"/>
      <c r="AZ271" s="66"/>
    </row>
    <row r="272" spans="1:52" s="38" customFormat="1" ht="16.5" customHeight="1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  <c r="W272" s="77"/>
      <c r="X272" s="77"/>
      <c r="Y272" s="77"/>
      <c r="Z272" s="77"/>
      <c r="AA272" s="77"/>
      <c r="AB272" s="77"/>
      <c r="AC272" s="77"/>
      <c r="AD272" s="77"/>
      <c r="AE272" s="77"/>
      <c r="AF272" s="77"/>
      <c r="AG272" s="77"/>
      <c r="AH272" s="77"/>
      <c r="AI272" s="77"/>
      <c r="AJ272" s="77"/>
      <c r="AK272" s="77"/>
      <c r="AL272" s="77"/>
      <c r="AM272" s="77"/>
      <c r="AN272" s="77"/>
      <c r="AO272" s="77"/>
      <c r="AP272" s="77"/>
      <c r="AQ272" s="77"/>
      <c r="AR272" s="77"/>
      <c r="AS272" s="77"/>
      <c r="AT272" s="77"/>
      <c r="AU272" s="77"/>
      <c r="AV272" s="77"/>
      <c r="AX272" s="84"/>
      <c r="AY272" s="84"/>
      <c r="AZ272" s="66"/>
    </row>
    <row r="273" spans="1:52" s="38" customFormat="1" ht="16.5" customHeight="1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  <c r="W273" s="77"/>
      <c r="X273" s="77"/>
      <c r="Y273" s="77"/>
      <c r="Z273" s="77"/>
      <c r="AA273" s="77"/>
      <c r="AB273" s="77"/>
      <c r="AC273" s="77"/>
      <c r="AD273" s="77"/>
      <c r="AE273" s="77"/>
      <c r="AF273" s="77"/>
      <c r="AG273" s="77"/>
      <c r="AH273" s="77"/>
      <c r="AI273" s="77"/>
      <c r="AJ273" s="77"/>
      <c r="AK273" s="77"/>
      <c r="AL273" s="77"/>
      <c r="AM273" s="77"/>
      <c r="AN273" s="77"/>
      <c r="AO273" s="77"/>
      <c r="AP273" s="77"/>
      <c r="AQ273" s="77"/>
      <c r="AR273" s="77"/>
      <c r="AS273" s="77"/>
      <c r="AT273" s="77"/>
      <c r="AU273" s="77"/>
      <c r="AV273" s="77"/>
      <c r="AX273" s="84"/>
      <c r="AY273" s="84"/>
      <c r="AZ273" s="66"/>
    </row>
    <row r="274" spans="1:52" s="38" customFormat="1" ht="16.5" customHeight="1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  <c r="W274" s="77"/>
      <c r="X274" s="77"/>
      <c r="Y274" s="77"/>
      <c r="Z274" s="77"/>
      <c r="AA274" s="77"/>
      <c r="AB274" s="77"/>
      <c r="AC274" s="77"/>
      <c r="AD274" s="77"/>
      <c r="AE274" s="77"/>
      <c r="AF274" s="77"/>
      <c r="AG274" s="77"/>
      <c r="AH274" s="77"/>
      <c r="AI274" s="77"/>
      <c r="AJ274" s="77"/>
      <c r="AK274" s="77"/>
      <c r="AL274" s="77"/>
      <c r="AM274" s="77"/>
      <c r="AN274" s="77"/>
      <c r="AO274" s="77"/>
      <c r="AP274" s="77"/>
      <c r="AQ274" s="77"/>
      <c r="AR274" s="77"/>
      <c r="AS274" s="77"/>
      <c r="AT274" s="77"/>
      <c r="AU274" s="77"/>
      <c r="AV274" s="77"/>
      <c r="AX274" s="84"/>
      <c r="AY274" s="84"/>
      <c r="AZ274" s="66"/>
    </row>
    <row r="275" spans="1:52" s="38" customFormat="1" ht="16.5" customHeight="1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  <c r="W275" s="77"/>
      <c r="X275" s="77"/>
      <c r="Y275" s="77"/>
      <c r="Z275" s="77"/>
      <c r="AA275" s="77"/>
      <c r="AB275" s="77"/>
      <c r="AC275" s="77"/>
      <c r="AD275" s="77"/>
      <c r="AE275" s="77"/>
      <c r="AF275" s="77"/>
      <c r="AG275" s="77"/>
      <c r="AH275" s="77"/>
      <c r="AI275" s="77"/>
      <c r="AJ275" s="77"/>
      <c r="AK275" s="77"/>
      <c r="AL275" s="77"/>
      <c r="AM275" s="77"/>
      <c r="AN275" s="77"/>
      <c r="AO275" s="77"/>
      <c r="AP275" s="77"/>
      <c r="AQ275" s="77"/>
      <c r="AR275" s="77"/>
      <c r="AS275" s="77"/>
      <c r="AT275" s="77"/>
      <c r="AU275" s="77"/>
      <c r="AV275" s="77"/>
      <c r="AX275" s="84"/>
      <c r="AY275" s="84"/>
      <c r="AZ275" s="66"/>
    </row>
    <row r="276" spans="1:52" s="38" customFormat="1" ht="16.5" customHeight="1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  <c r="W276" s="77"/>
      <c r="X276" s="77"/>
      <c r="Y276" s="77"/>
      <c r="Z276" s="77"/>
      <c r="AA276" s="77"/>
      <c r="AB276" s="77"/>
      <c r="AC276" s="77"/>
      <c r="AD276" s="77"/>
      <c r="AE276" s="77"/>
      <c r="AF276" s="77"/>
      <c r="AG276" s="77"/>
      <c r="AH276" s="77"/>
      <c r="AI276" s="77"/>
      <c r="AJ276" s="77"/>
      <c r="AK276" s="77"/>
      <c r="AL276" s="77"/>
      <c r="AM276" s="77"/>
      <c r="AN276" s="77"/>
      <c r="AO276" s="77"/>
      <c r="AP276" s="77"/>
      <c r="AQ276" s="77"/>
      <c r="AR276" s="77"/>
      <c r="AS276" s="77"/>
      <c r="AT276" s="77"/>
      <c r="AU276" s="77"/>
      <c r="AV276" s="77"/>
      <c r="AX276" s="84"/>
      <c r="AY276" s="84"/>
      <c r="AZ276" s="66"/>
    </row>
    <row r="277" spans="1:52" s="38" customFormat="1" ht="16.5" customHeight="1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  <c r="W277" s="77"/>
      <c r="X277" s="77"/>
      <c r="Y277" s="77"/>
      <c r="Z277" s="77"/>
      <c r="AA277" s="77"/>
      <c r="AB277" s="77"/>
      <c r="AC277" s="77"/>
      <c r="AD277" s="77"/>
      <c r="AE277" s="77"/>
      <c r="AF277" s="77"/>
      <c r="AG277" s="77"/>
      <c r="AH277" s="77"/>
      <c r="AI277" s="77"/>
      <c r="AJ277" s="77"/>
      <c r="AK277" s="77"/>
      <c r="AL277" s="77"/>
      <c r="AM277" s="77"/>
      <c r="AN277" s="77"/>
      <c r="AO277" s="77"/>
      <c r="AP277" s="77"/>
      <c r="AQ277" s="77"/>
      <c r="AR277" s="77"/>
      <c r="AS277" s="77"/>
      <c r="AT277" s="77"/>
      <c r="AU277" s="77"/>
      <c r="AV277" s="77"/>
      <c r="AX277" s="84"/>
      <c r="AY277" s="84"/>
      <c r="AZ277" s="66"/>
    </row>
    <row r="278" spans="1:52" s="38" customFormat="1" ht="16.5" customHeight="1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  <c r="W278" s="77"/>
      <c r="X278" s="77"/>
      <c r="Y278" s="77"/>
      <c r="Z278" s="77"/>
      <c r="AA278" s="77"/>
      <c r="AB278" s="77"/>
      <c r="AC278" s="77"/>
      <c r="AD278" s="77"/>
      <c r="AE278" s="77"/>
      <c r="AF278" s="77"/>
      <c r="AG278" s="77"/>
      <c r="AH278" s="77"/>
      <c r="AI278" s="77"/>
      <c r="AJ278" s="77"/>
      <c r="AK278" s="77"/>
      <c r="AL278" s="77"/>
      <c r="AM278" s="77"/>
      <c r="AN278" s="77"/>
      <c r="AO278" s="77"/>
      <c r="AP278" s="77"/>
      <c r="AQ278" s="77"/>
      <c r="AR278" s="77"/>
      <c r="AS278" s="77"/>
      <c r="AT278" s="77"/>
      <c r="AU278" s="77"/>
      <c r="AV278" s="77"/>
      <c r="AX278" s="84"/>
      <c r="AY278" s="84"/>
      <c r="AZ278" s="66"/>
    </row>
    <row r="279" spans="1:52" s="38" customFormat="1" ht="16.5" customHeight="1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  <c r="W279" s="77"/>
      <c r="X279" s="77"/>
      <c r="Y279" s="77"/>
      <c r="Z279" s="77"/>
      <c r="AA279" s="77"/>
      <c r="AB279" s="77"/>
      <c r="AC279" s="77"/>
      <c r="AD279" s="77"/>
      <c r="AE279" s="77"/>
      <c r="AF279" s="77"/>
      <c r="AG279" s="77"/>
      <c r="AH279" s="77"/>
      <c r="AI279" s="77"/>
      <c r="AJ279" s="77"/>
      <c r="AK279" s="77"/>
      <c r="AL279" s="77"/>
      <c r="AM279" s="77"/>
      <c r="AN279" s="77"/>
      <c r="AO279" s="77"/>
      <c r="AP279" s="77"/>
      <c r="AQ279" s="77"/>
      <c r="AR279" s="77"/>
      <c r="AS279" s="77"/>
      <c r="AT279" s="77"/>
      <c r="AU279" s="77"/>
      <c r="AV279" s="77"/>
      <c r="AX279" s="84"/>
      <c r="AY279" s="84"/>
      <c r="AZ279" s="66"/>
    </row>
    <row r="280" spans="1:52" s="38" customFormat="1" ht="16.5" customHeight="1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  <c r="W280" s="77"/>
      <c r="X280" s="77"/>
      <c r="Y280" s="77"/>
      <c r="Z280" s="77"/>
      <c r="AA280" s="77"/>
      <c r="AB280" s="77"/>
      <c r="AC280" s="77"/>
      <c r="AD280" s="77"/>
      <c r="AE280" s="77"/>
      <c r="AF280" s="77"/>
      <c r="AG280" s="77"/>
      <c r="AH280" s="77"/>
      <c r="AI280" s="77"/>
      <c r="AJ280" s="77"/>
      <c r="AK280" s="77"/>
      <c r="AL280" s="77"/>
      <c r="AM280" s="77"/>
      <c r="AN280" s="77"/>
      <c r="AO280" s="77"/>
      <c r="AP280" s="77"/>
      <c r="AQ280" s="77"/>
      <c r="AR280" s="77"/>
      <c r="AS280" s="77"/>
      <c r="AT280" s="77"/>
      <c r="AU280" s="77"/>
      <c r="AV280" s="77"/>
      <c r="AX280" s="84"/>
      <c r="AY280" s="84"/>
      <c r="AZ280" s="66"/>
    </row>
    <row r="281" spans="1:52" s="38" customFormat="1" ht="16.5" customHeight="1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  <c r="W281" s="77"/>
      <c r="X281" s="77"/>
      <c r="Y281" s="77"/>
      <c r="Z281" s="77"/>
      <c r="AA281" s="77"/>
      <c r="AB281" s="77"/>
      <c r="AC281" s="77"/>
      <c r="AD281" s="77"/>
      <c r="AE281" s="77"/>
      <c r="AF281" s="77"/>
      <c r="AG281" s="77"/>
      <c r="AH281" s="77"/>
      <c r="AI281" s="77"/>
      <c r="AJ281" s="77"/>
      <c r="AK281" s="77"/>
      <c r="AL281" s="77"/>
      <c r="AM281" s="77"/>
      <c r="AN281" s="77"/>
      <c r="AO281" s="77"/>
      <c r="AP281" s="77"/>
      <c r="AQ281" s="77"/>
      <c r="AR281" s="77"/>
      <c r="AS281" s="77"/>
      <c r="AT281" s="77"/>
      <c r="AU281" s="77"/>
      <c r="AV281" s="77"/>
      <c r="AX281" s="84"/>
      <c r="AY281" s="84"/>
      <c r="AZ281" s="66"/>
    </row>
    <row r="282" spans="1:52" s="38" customFormat="1" ht="16.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  <c r="W282" s="77"/>
      <c r="X282" s="77"/>
      <c r="Y282" s="77"/>
      <c r="Z282" s="77"/>
      <c r="AA282" s="77"/>
      <c r="AB282" s="77"/>
      <c r="AC282" s="77"/>
      <c r="AD282" s="77"/>
      <c r="AE282" s="77"/>
      <c r="AF282" s="77"/>
      <c r="AG282" s="77"/>
      <c r="AH282" s="77"/>
      <c r="AI282" s="77"/>
      <c r="AJ282" s="77"/>
      <c r="AK282" s="77"/>
      <c r="AL282" s="77"/>
      <c r="AM282" s="77"/>
      <c r="AN282" s="77"/>
      <c r="AO282" s="77"/>
      <c r="AP282" s="77"/>
      <c r="AQ282" s="77"/>
      <c r="AR282" s="77"/>
      <c r="AS282" s="77"/>
      <c r="AT282" s="77"/>
      <c r="AU282" s="77"/>
      <c r="AV282" s="77"/>
      <c r="AX282" s="84"/>
      <c r="AY282" s="84"/>
      <c r="AZ282" s="66"/>
    </row>
    <row r="283" spans="1:52" s="38" customFormat="1" ht="16.5" customHeight="1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  <c r="W283" s="77"/>
      <c r="X283" s="77"/>
      <c r="Y283" s="77"/>
      <c r="Z283" s="77"/>
      <c r="AA283" s="77"/>
      <c r="AB283" s="77"/>
      <c r="AC283" s="77"/>
      <c r="AD283" s="77"/>
      <c r="AE283" s="77"/>
      <c r="AF283" s="77"/>
      <c r="AG283" s="77"/>
      <c r="AH283" s="77"/>
      <c r="AI283" s="77"/>
      <c r="AJ283" s="77"/>
      <c r="AK283" s="77"/>
      <c r="AL283" s="77"/>
      <c r="AM283" s="77"/>
      <c r="AN283" s="77"/>
      <c r="AO283" s="77"/>
      <c r="AP283" s="77"/>
      <c r="AQ283" s="77"/>
      <c r="AR283" s="77"/>
      <c r="AS283" s="77"/>
      <c r="AT283" s="77"/>
      <c r="AU283" s="77"/>
      <c r="AV283" s="77"/>
      <c r="AX283" s="84"/>
      <c r="AY283" s="84"/>
      <c r="AZ283" s="66"/>
    </row>
    <row r="284" spans="1:52" s="38" customFormat="1" ht="16.5" customHeight="1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  <c r="W284" s="77"/>
      <c r="X284" s="77"/>
      <c r="Y284" s="77"/>
      <c r="Z284" s="77"/>
      <c r="AA284" s="77"/>
      <c r="AB284" s="77"/>
      <c r="AC284" s="77"/>
      <c r="AD284" s="77"/>
      <c r="AE284" s="77"/>
      <c r="AF284" s="77"/>
      <c r="AG284" s="77"/>
      <c r="AH284" s="77"/>
      <c r="AI284" s="77"/>
      <c r="AJ284" s="77"/>
      <c r="AK284" s="77"/>
      <c r="AL284" s="77"/>
      <c r="AM284" s="77"/>
      <c r="AN284" s="77"/>
      <c r="AO284" s="77"/>
      <c r="AP284" s="77"/>
      <c r="AQ284" s="77"/>
      <c r="AR284" s="77"/>
      <c r="AS284" s="77"/>
      <c r="AT284" s="77"/>
      <c r="AU284" s="77"/>
      <c r="AV284" s="77"/>
      <c r="AX284" s="84"/>
      <c r="AY284" s="84"/>
      <c r="AZ284" s="66"/>
    </row>
    <row r="285" spans="1:52" s="38" customFormat="1" ht="16.5" customHeight="1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  <c r="W285" s="77"/>
      <c r="X285" s="77"/>
      <c r="Y285" s="77"/>
      <c r="Z285" s="77"/>
      <c r="AA285" s="77"/>
      <c r="AB285" s="77"/>
      <c r="AC285" s="77"/>
      <c r="AD285" s="77"/>
      <c r="AE285" s="77"/>
      <c r="AF285" s="77"/>
      <c r="AG285" s="77"/>
      <c r="AH285" s="77"/>
      <c r="AI285" s="77"/>
      <c r="AJ285" s="77"/>
      <c r="AK285" s="77"/>
      <c r="AL285" s="77"/>
      <c r="AM285" s="77"/>
      <c r="AN285" s="77"/>
      <c r="AO285" s="77"/>
      <c r="AP285" s="77"/>
      <c r="AQ285" s="77"/>
      <c r="AR285" s="77"/>
      <c r="AS285" s="77"/>
      <c r="AT285" s="77"/>
      <c r="AU285" s="77"/>
      <c r="AV285" s="77"/>
      <c r="AX285" s="84"/>
      <c r="AY285" s="84"/>
      <c r="AZ285" s="66"/>
    </row>
    <row r="286" spans="1:52" s="38" customFormat="1" ht="16.5" customHeight="1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  <c r="W286" s="77"/>
      <c r="X286" s="77"/>
      <c r="Y286" s="77"/>
      <c r="Z286" s="77"/>
      <c r="AA286" s="77"/>
      <c r="AB286" s="77"/>
      <c r="AC286" s="77"/>
      <c r="AD286" s="77"/>
      <c r="AE286" s="77"/>
      <c r="AF286" s="77"/>
      <c r="AG286" s="77"/>
      <c r="AH286" s="77"/>
      <c r="AI286" s="77"/>
      <c r="AJ286" s="77"/>
      <c r="AK286" s="77"/>
      <c r="AL286" s="77"/>
      <c r="AM286" s="77"/>
      <c r="AN286" s="77"/>
      <c r="AO286" s="77"/>
      <c r="AP286" s="77"/>
      <c r="AQ286" s="77"/>
      <c r="AR286" s="77"/>
      <c r="AS286" s="77"/>
      <c r="AT286" s="77"/>
      <c r="AU286" s="77"/>
      <c r="AV286" s="77"/>
      <c r="AX286" s="84"/>
      <c r="AY286" s="84"/>
      <c r="AZ286" s="66"/>
    </row>
    <row r="287" spans="1:52" s="38" customFormat="1" ht="16.5" customHeight="1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  <c r="W287" s="77"/>
      <c r="X287" s="77"/>
      <c r="Y287" s="77"/>
      <c r="Z287" s="77"/>
      <c r="AA287" s="77"/>
      <c r="AB287" s="77"/>
      <c r="AC287" s="77"/>
      <c r="AD287" s="77"/>
      <c r="AE287" s="77"/>
      <c r="AF287" s="77"/>
      <c r="AG287" s="77"/>
      <c r="AH287" s="77"/>
      <c r="AI287" s="77"/>
      <c r="AJ287" s="77"/>
      <c r="AK287" s="77"/>
      <c r="AL287" s="77"/>
      <c r="AM287" s="77"/>
      <c r="AN287" s="77"/>
      <c r="AO287" s="77"/>
      <c r="AP287" s="77"/>
      <c r="AQ287" s="77"/>
      <c r="AR287" s="77"/>
      <c r="AS287" s="77"/>
      <c r="AT287" s="77"/>
      <c r="AU287" s="77"/>
      <c r="AV287" s="77"/>
      <c r="AX287" s="84"/>
      <c r="AY287" s="84"/>
      <c r="AZ287" s="66"/>
    </row>
    <row r="288" spans="1:52" s="38" customFormat="1" ht="16.5" customHeight="1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  <c r="W288" s="77"/>
      <c r="X288" s="77"/>
      <c r="Y288" s="77"/>
      <c r="Z288" s="77"/>
      <c r="AA288" s="77"/>
      <c r="AB288" s="77"/>
      <c r="AC288" s="77"/>
      <c r="AD288" s="77"/>
      <c r="AE288" s="77"/>
      <c r="AF288" s="77"/>
      <c r="AG288" s="77"/>
      <c r="AH288" s="77"/>
      <c r="AI288" s="77"/>
      <c r="AJ288" s="77"/>
      <c r="AK288" s="77"/>
      <c r="AL288" s="77"/>
      <c r="AM288" s="77"/>
      <c r="AN288" s="77"/>
      <c r="AO288" s="77"/>
      <c r="AP288" s="77"/>
      <c r="AQ288" s="77"/>
      <c r="AR288" s="77"/>
      <c r="AS288" s="77"/>
      <c r="AT288" s="77"/>
      <c r="AU288" s="77"/>
      <c r="AV288" s="77"/>
      <c r="AX288" s="84"/>
      <c r="AY288" s="84"/>
      <c r="AZ288" s="66"/>
    </row>
    <row r="289" spans="1:52" s="38" customFormat="1" ht="16.5" customHeight="1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  <c r="W289" s="77"/>
      <c r="X289" s="77"/>
      <c r="Y289" s="77"/>
      <c r="Z289" s="77"/>
      <c r="AA289" s="77"/>
      <c r="AB289" s="77"/>
      <c r="AC289" s="77"/>
      <c r="AD289" s="77"/>
      <c r="AE289" s="77"/>
      <c r="AF289" s="77"/>
      <c r="AG289" s="77"/>
      <c r="AH289" s="77"/>
      <c r="AI289" s="77"/>
      <c r="AJ289" s="77"/>
      <c r="AK289" s="77"/>
      <c r="AL289" s="77"/>
      <c r="AM289" s="77"/>
      <c r="AN289" s="77"/>
      <c r="AO289" s="77"/>
      <c r="AP289" s="77"/>
      <c r="AQ289" s="77"/>
      <c r="AR289" s="77"/>
      <c r="AS289" s="77"/>
      <c r="AT289" s="77"/>
      <c r="AU289" s="77"/>
      <c r="AV289" s="77"/>
      <c r="AX289" s="84"/>
      <c r="AY289" s="84"/>
      <c r="AZ289" s="66"/>
    </row>
    <row r="290" spans="1:52" s="38" customFormat="1" ht="16.5" customHeight="1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  <c r="W290" s="77"/>
      <c r="X290" s="77"/>
      <c r="Y290" s="77"/>
      <c r="Z290" s="77"/>
      <c r="AA290" s="77"/>
      <c r="AB290" s="77"/>
      <c r="AC290" s="77"/>
      <c r="AD290" s="77"/>
      <c r="AE290" s="77"/>
      <c r="AF290" s="77"/>
      <c r="AG290" s="77"/>
      <c r="AH290" s="77"/>
      <c r="AI290" s="77"/>
      <c r="AJ290" s="77"/>
      <c r="AK290" s="77"/>
      <c r="AL290" s="77"/>
      <c r="AM290" s="77"/>
      <c r="AN290" s="77"/>
      <c r="AO290" s="77"/>
      <c r="AP290" s="77"/>
      <c r="AQ290" s="77"/>
      <c r="AR290" s="77"/>
      <c r="AS290" s="77"/>
      <c r="AT290" s="77"/>
      <c r="AU290" s="77"/>
      <c r="AV290" s="77"/>
      <c r="AX290" s="84"/>
      <c r="AY290" s="84"/>
      <c r="AZ290" s="66"/>
    </row>
    <row r="291" spans="1:52" s="38" customFormat="1" ht="16.5" customHeight="1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  <c r="W291" s="77"/>
      <c r="X291" s="77"/>
      <c r="Y291" s="77"/>
      <c r="Z291" s="77"/>
      <c r="AA291" s="77"/>
      <c r="AB291" s="77"/>
      <c r="AC291" s="77"/>
      <c r="AD291" s="77"/>
      <c r="AE291" s="77"/>
      <c r="AF291" s="77"/>
      <c r="AG291" s="77"/>
      <c r="AH291" s="77"/>
      <c r="AI291" s="77"/>
      <c r="AJ291" s="77"/>
      <c r="AK291" s="77"/>
      <c r="AL291" s="77"/>
      <c r="AM291" s="77"/>
      <c r="AN291" s="77"/>
      <c r="AO291" s="77"/>
      <c r="AP291" s="77"/>
      <c r="AQ291" s="77"/>
      <c r="AR291" s="77"/>
      <c r="AS291" s="77"/>
      <c r="AT291" s="77"/>
      <c r="AU291" s="77"/>
      <c r="AV291" s="77"/>
      <c r="AX291" s="84"/>
      <c r="AY291" s="84"/>
      <c r="AZ291" s="66"/>
    </row>
    <row r="292" spans="1:52" s="38" customFormat="1" ht="16.5" customHeight="1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  <c r="W292" s="77"/>
      <c r="X292" s="77"/>
      <c r="Y292" s="77"/>
      <c r="Z292" s="77"/>
      <c r="AA292" s="77"/>
      <c r="AB292" s="77"/>
      <c r="AC292" s="77"/>
      <c r="AD292" s="77"/>
      <c r="AE292" s="77"/>
      <c r="AF292" s="77"/>
      <c r="AG292" s="77"/>
      <c r="AH292" s="77"/>
      <c r="AI292" s="77"/>
      <c r="AJ292" s="77"/>
      <c r="AK292" s="77"/>
      <c r="AL292" s="77"/>
      <c r="AM292" s="77"/>
      <c r="AN292" s="77"/>
      <c r="AO292" s="77"/>
      <c r="AP292" s="77"/>
      <c r="AQ292" s="77"/>
      <c r="AR292" s="77"/>
      <c r="AS292" s="77"/>
      <c r="AT292" s="77"/>
      <c r="AU292" s="77"/>
      <c r="AV292" s="77"/>
      <c r="AX292" s="84"/>
      <c r="AY292" s="84"/>
      <c r="AZ292" s="66"/>
    </row>
    <row r="293" spans="1:52" s="38" customFormat="1" ht="16.5" customHeight="1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  <c r="W293" s="77"/>
      <c r="X293" s="77"/>
      <c r="Y293" s="77"/>
      <c r="Z293" s="77"/>
      <c r="AA293" s="77"/>
      <c r="AB293" s="77"/>
      <c r="AC293" s="77"/>
      <c r="AD293" s="77"/>
      <c r="AE293" s="77"/>
      <c r="AF293" s="77"/>
      <c r="AG293" s="77"/>
      <c r="AH293" s="77"/>
      <c r="AI293" s="77"/>
      <c r="AJ293" s="77"/>
      <c r="AK293" s="77"/>
      <c r="AL293" s="77"/>
      <c r="AM293" s="77"/>
      <c r="AN293" s="77"/>
      <c r="AO293" s="77"/>
      <c r="AP293" s="77"/>
      <c r="AQ293" s="77"/>
      <c r="AR293" s="77"/>
      <c r="AS293" s="77"/>
      <c r="AT293" s="77"/>
      <c r="AU293" s="77"/>
      <c r="AV293" s="77"/>
      <c r="AX293" s="84"/>
      <c r="AY293" s="84"/>
      <c r="AZ293" s="66"/>
    </row>
    <row r="294" spans="1:52" s="38" customFormat="1" ht="16.5" customHeight="1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  <c r="W294" s="77"/>
      <c r="X294" s="77"/>
      <c r="Y294" s="77"/>
      <c r="Z294" s="77"/>
      <c r="AA294" s="77"/>
      <c r="AB294" s="77"/>
      <c r="AC294" s="77"/>
      <c r="AD294" s="77"/>
      <c r="AE294" s="77"/>
      <c r="AF294" s="77"/>
      <c r="AG294" s="77"/>
      <c r="AH294" s="77"/>
      <c r="AI294" s="77"/>
      <c r="AJ294" s="77"/>
      <c r="AK294" s="77"/>
      <c r="AL294" s="77"/>
      <c r="AM294" s="77"/>
      <c r="AN294" s="77"/>
      <c r="AO294" s="77"/>
      <c r="AP294" s="77"/>
      <c r="AQ294" s="77"/>
      <c r="AR294" s="77"/>
      <c r="AS294" s="77"/>
      <c r="AT294" s="77"/>
      <c r="AU294" s="77"/>
      <c r="AV294" s="77"/>
      <c r="AX294" s="84"/>
      <c r="AY294" s="84"/>
      <c r="AZ294" s="66"/>
    </row>
    <row r="295" spans="1:52" s="38" customFormat="1" ht="16.5" customHeight="1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  <c r="W295" s="77"/>
      <c r="X295" s="77"/>
      <c r="Y295" s="77"/>
      <c r="Z295" s="77"/>
      <c r="AA295" s="77"/>
      <c r="AB295" s="77"/>
      <c r="AC295" s="77"/>
      <c r="AD295" s="77"/>
      <c r="AE295" s="77"/>
      <c r="AF295" s="77"/>
      <c r="AG295" s="77"/>
      <c r="AH295" s="77"/>
      <c r="AI295" s="77"/>
      <c r="AJ295" s="77"/>
      <c r="AK295" s="77"/>
      <c r="AL295" s="77"/>
      <c r="AM295" s="77"/>
      <c r="AN295" s="77"/>
      <c r="AO295" s="77"/>
      <c r="AP295" s="77"/>
      <c r="AQ295" s="77"/>
      <c r="AR295" s="77"/>
      <c r="AS295" s="77"/>
      <c r="AT295" s="77"/>
      <c r="AU295" s="77"/>
      <c r="AV295" s="77"/>
      <c r="AX295" s="84"/>
      <c r="AY295" s="84"/>
      <c r="AZ295" s="66"/>
    </row>
    <row r="296" spans="1:52" s="38" customFormat="1" ht="16.5" customHeight="1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  <c r="W296" s="77"/>
      <c r="X296" s="77"/>
      <c r="Y296" s="77"/>
      <c r="Z296" s="77"/>
      <c r="AA296" s="77"/>
      <c r="AB296" s="77"/>
      <c r="AC296" s="77"/>
      <c r="AD296" s="77"/>
      <c r="AE296" s="77"/>
      <c r="AF296" s="77"/>
      <c r="AG296" s="77"/>
      <c r="AH296" s="77"/>
      <c r="AI296" s="77"/>
      <c r="AJ296" s="77"/>
      <c r="AK296" s="77"/>
      <c r="AL296" s="77"/>
      <c r="AM296" s="77"/>
      <c r="AN296" s="77"/>
      <c r="AO296" s="77"/>
      <c r="AP296" s="77"/>
      <c r="AQ296" s="77"/>
      <c r="AR296" s="77"/>
      <c r="AS296" s="77"/>
      <c r="AT296" s="77"/>
      <c r="AU296" s="77"/>
      <c r="AV296" s="77"/>
      <c r="AX296" s="84"/>
      <c r="AY296" s="84"/>
      <c r="AZ296" s="66"/>
    </row>
    <row r="297" spans="1:52" s="38" customFormat="1" ht="16.5" customHeight="1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  <c r="W297" s="77"/>
      <c r="X297" s="77"/>
      <c r="Y297" s="77"/>
      <c r="Z297" s="77"/>
      <c r="AA297" s="77"/>
      <c r="AB297" s="77"/>
      <c r="AC297" s="77"/>
      <c r="AD297" s="77"/>
      <c r="AE297" s="77"/>
      <c r="AF297" s="77"/>
      <c r="AG297" s="77"/>
      <c r="AH297" s="77"/>
      <c r="AI297" s="77"/>
      <c r="AJ297" s="77"/>
      <c r="AK297" s="77"/>
      <c r="AL297" s="77"/>
      <c r="AM297" s="77"/>
      <c r="AN297" s="77"/>
      <c r="AO297" s="77"/>
      <c r="AP297" s="77"/>
      <c r="AQ297" s="77"/>
      <c r="AR297" s="77"/>
      <c r="AS297" s="77"/>
      <c r="AT297" s="77"/>
      <c r="AU297" s="77"/>
      <c r="AV297" s="77"/>
      <c r="AX297" s="84"/>
      <c r="AY297" s="84"/>
      <c r="AZ297" s="66"/>
    </row>
    <row r="298" spans="1:52" s="38" customFormat="1" ht="16.5" customHeight="1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  <c r="W298" s="77"/>
      <c r="X298" s="77"/>
      <c r="Y298" s="77"/>
      <c r="Z298" s="77"/>
      <c r="AA298" s="77"/>
      <c r="AB298" s="77"/>
      <c r="AC298" s="77"/>
      <c r="AD298" s="77"/>
      <c r="AE298" s="77"/>
      <c r="AF298" s="77"/>
      <c r="AG298" s="77"/>
      <c r="AH298" s="77"/>
      <c r="AI298" s="77"/>
      <c r="AJ298" s="77"/>
      <c r="AK298" s="77"/>
      <c r="AL298" s="77"/>
      <c r="AM298" s="77"/>
      <c r="AN298" s="77"/>
      <c r="AO298" s="77"/>
      <c r="AP298" s="77"/>
      <c r="AQ298" s="77"/>
      <c r="AR298" s="77"/>
      <c r="AS298" s="77"/>
      <c r="AT298" s="77"/>
      <c r="AU298" s="77"/>
      <c r="AV298" s="77"/>
      <c r="AX298" s="84"/>
      <c r="AY298" s="84"/>
      <c r="AZ298" s="66"/>
    </row>
    <row r="299" spans="1:52" s="38" customFormat="1" ht="16.5" customHeight="1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  <c r="W299" s="77"/>
      <c r="X299" s="77"/>
      <c r="Y299" s="77"/>
      <c r="Z299" s="77"/>
      <c r="AA299" s="77"/>
      <c r="AB299" s="77"/>
      <c r="AC299" s="77"/>
      <c r="AD299" s="77"/>
      <c r="AE299" s="77"/>
      <c r="AF299" s="77"/>
      <c r="AG299" s="77"/>
      <c r="AH299" s="77"/>
      <c r="AI299" s="77"/>
      <c r="AJ299" s="77"/>
      <c r="AK299" s="77"/>
      <c r="AL299" s="77"/>
      <c r="AM299" s="77"/>
      <c r="AN299" s="77"/>
      <c r="AO299" s="77"/>
      <c r="AP299" s="77"/>
      <c r="AQ299" s="77"/>
      <c r="AR299" s="77"/>
      <c r="AS299" s="77"/>
      <c r="AT299" s="77"/>
      <c r="AU299" s="77"/>
      <c r="AV299" s="77"/>
      <c r="AX299" s="84"/>
      <c r="AY299" s="84"/>
      <c r="AZ299" s="66"/>
    </row>
    <row r="300" spans="1:52" s="38" customFormat="1" ht="16.5" customHeight="1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  <c r="W300" s="77"/>
      <c r="X300" s="77"/>
      <c r="Y300" s="77"/>
      <c r="Z300" s="77"/>
      <c r="AA300" s="77"/>
      <c r="AB300" s="77"/>
      <c r="AC300" s="77"/>
      <c r="AD300" s="77"/>
      <c r="AE300" s="77"/>
      <c r="AF300" s="77"/>
      <c r="AG300" s="77"/>
      <c r="AH300" s="77"/>
      <c r="AI300" s="77"/>
      <c r="AJ300" s="77"/>
      <c r="AK300" s="77"/>
      <c r="AL300" s="77"/>
      <c r="AM300" s="77"/>
      <c r="AN300" s="77"/>
      <c r="AO300" s="77"/>
      <c r="AP300" s="77"/>
      <c r="AQ300" s="77"/>
      <c r="AR300" s="77"/>
      <c r="AS300" s="77"/>
      <c r="AT300" s="77"/>
      <c r="AU300" s="77"/>
      <c r="AV300" s="77"/>
      <c r="AX300" s="84"/>
      <c r="AY300" s="84"/>
      <c r="AZ300" s="66"/>
    </row>
    <row r="301" spans="1:52" s="38" customFormat="1" ht="16.5" customHeight="1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  <c r="W301" s="77"/>
      <c r="X301" s="77"/>
      <c r="Y301" s="77"/>
      <c r="Z301" s="77"/>
      <c r="AA301" s="77"/>
      <c r="AB301" s="77"/>
      <c r="AC301" s="77"/>
      <c r="AD301" s="77"/>
      <c r="AE301" s="77"/>
      <c r="AF301" s="77"/>
      <c r="AG301" s="77"/>
      <c r="AH301" s="77"/>
      <c r="AI301" s="77"/>
      <c r="AJ301" s="77"/>
      <c r="AK301" s="77"/>
      <c r="AL301" s="77"/>
      <c r="AM301" s="77"/>
      <c r="AN301" s="77"/>
      <c r="AO301" s="77"/>
      <c r="AP301" s="77"/>
      <c r="AQ301" s="77"/>
      <c r="AR301" s="77"/>
      <c r="AS301" s="77"/>
      <c r="AT301" s="77"/>
      <c r="AU301" s="77"/>
      <c r="AV301" s="77"/>
      <c r="AX301" s="84"/>
      <c r="AY301" s="84"/>
      <c r="AZ301" s="66"/>
    </row>
    <row r="302" spans="1:52" s="38" customFormat="1" ht="16.5" customHeight="1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  <c r="W302" s="77"/>
      <c r="X302" s="77"/>
      <c r="Y302" s="77"/>
      <c r="Z302" s="77"/>
      <c r="AA302" s="77"/>
      <c r="AB302" s="77"/>
      <c r="AC302" s="77"/>
      <c r="AD302" s="77"/>
      <c r="AE302" s="77"/>
      <c r="AF302" s="77"/>
      <c r="AG302" s="77"/>
      <c r="AH302" s="77"/>
      <c r="AI302" s="77"/>
      <c r="AJ302" s="77"/>
      <c r="AK302" s="77"/>
      <c r="AL302" s="77"/>
      <c r="AM302" s="77"/>
      <c r="AN302" s="77"/>
      <c r="AO302" s="77"/>
      <c r="AP302" s="77"/>
      <c r="AQ302" s="77"/>
      <c r="AR302" s="77"/>
      <c r="AS302" s="77"/>
      <c r="AT302" s="77"/>
      <c r="AU302" s="77"/>
      <c r="AV302" s="77"/>
      <c r="AX302" s="84"/>
      <c r="AY302" s="84"/>
      <c r="AZ302" s="66"/>
    </row>
    <row r="303" spans="1:52" s="38" customFormat="1" ht="16.5" customHeight="1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  <c r="W303" s="77"/>
      <c r="X303" s="77"/>
      <c r="Y303" s="77"/>
      <c r="Z303" s="77"/>
      <c r="AA303" s="77"/>
      <c r="AB303" s="77"/>
      <c r="AC303" s="77"/>
      <c r="AD303" s="77"/>
      <c r="AE303" s="77"/>
      <c r="AF303" s="77"/>
      <c r="AG303" s="77"/>
      <c r="AH303" s="77"/>
      <c r="AI303" s="77"/>
      <c r="AJ303" s="77"/>
      <c r="AK303" s="77"/>
      <c r="AL303" s="77"/>
      <c r="AM303" s="77"/>
      <c r="AN303" s="77"/>
      <c r="AO303" s="77"/>
      <c r="AP303" s="77"/>
      <c r="AQ303" s="77"/>
      <c r="AR303" s="77"/>
      <c r="AS303" s="77"/>
      <c r="AT303" s="77"/>
      <c r="AU303" s="77"/>
      <c r="AV303" s="77"/>
      <c r="AX303" s="84"/>
      <c r="AY303" s="84"/>
      <c r="AZ303" s="66"/>
    </row>
    <row r="304" spans="1:52" s="38" customFormat="1" ht="16.5" customHeight="1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  <c r="W304" s="77"/>
      <c r="X304" s="77"/>
      <c r="Y304" s="77"/>
      <c r="Z304" s="77"/>
      <c r="AA304" s="77"/>
      <c r="AB304" s="77"/>
      <c r="AC304" s="77"/>
      <c r="AD304" s="77"/>
      <c r="AE304" s="77"/>
      <c r="AF304" s="77"/>
      <c r="AG304" s="77"/>
      <c r="AH304" s="77"/>
      <c r="AI304" s="77"/>
      <c r="AJ304" s="77"/>
      <c r="AK304" s="77"/>
      <c r="AL304" s="77"/>
      <c r="AM304" s="77"/>
      <c r="AN304" s="77"/>
      <c r="AO304" s="77"/>
      <c r="AP304" s="77"/>
      <c r="AQ304" s="77"/>
      <c r="AR304" s="77"/>
      <c r="AS304" s="77"/>
      <c r="AT304" s="77"/>
      <c r="AU304" s="77"/>
      <c r="AV304" s="77"/>
      <c r="AX304" s="84"/>
      <c r="AY304" s="84"/>
      <c r="AZ304" s="66"/>
    </row>
    <row r="305" spans="1:52" s="38" customFormat="1" ht="16.5" customHeight="1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  <c r="W305" s="77"/>
      <c r="X305" s="77"/>
      <c r="Y305" s="77"/>
      <c r="Z305" s="77"/>
      <c r="AA305" s="77"/>
      <c r="AB305" s="77"/>
      <c r="AC305" s="77"/>
      <c r="AD305" s="77"/>
      <c r="AE305" s="77"/>
      <c r="AF305" s="77"/>
      <c r="AG305" s="77"/>
      <c r="AH305" s="77"/>
      <c r="AI305" s="77"/>
      <c r="AJ305" s="77"/>
      <c r="AK305" s="77"/>
      <c r="AL305" s="77"/>
      <c r="AM305" s="77"/>
      <c r="AN305" s="77"/>
      <c r="AO305" s="77"/>
      <c r="AP305" s="77"/>
      <c r="AQ305" s="77"/>
      <c r="AR305" s="77"/>
      <c r="AS305" s="77"/>
      <c r="AT305" s="77"/>
      <c r="AU305" s="77"/>
      <c r="AV305" s="77"/>
      <c r="AX305" s="84"/>
      <c r="AY305" s="84"/>
      <c r="AZ305" s="66"/>
    </row>
    <row r="306" spans="1:52" s="38" customFormat="1" ht="16.5" customHeight="1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  <c r="W306" s="77"/>
      <c r="X306" s="77"/>
      <c r="Y306" s="77"/>
      <c r="Z306" s="77"/>
      <c r="AA306" s="77"/>
      <c r="AB306" s="77"/>
      <c r="AC306" s="77"/>
      <c r="AD306" s="77"/>
      <c r="AE306" s="77"/>
      <c r="AF306" s="77"/>
      <c r="AG306" s="77"/>
      <c r="AH306" s="77"/>
      <c r="AI306" s="77"/>
      <c r="AJ306" s="77"/>
      <c r="AK306" s="77"/>
      <c r="AL306" s="77"/>
      <c r="AM306" s="77"/>
      <c r="AN306" s="77"/>
      <c r="AO306" s="77"/>
      <c r="AP306" s="77"/>
      <c r="AQ306" s="77"/>
      <c r="AR306" s="77"/>
      <c r="AS306" s="77"/>
      <c r="AT306" s="77"/>
      <c r="AU306" s="77"/>
      <c r="AV306" s="77"/>
      <c r="AX306" s="84"/>
      <c r="AY306" s="84"/>
      <c r="AZ306" s="66"/>
    </row>
    <row r="307" spans="1:52" s="38" customFormat="1" ht="16.5" customHeight="1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  <c r="W307" s="77"/>
      <c r="X307" s="77"/>
      <c r="Y307" s="77"/>
      <c r="Z307" s="77"/>
      <c r="AA307" s="77"/>
      <c r="AB307" s="77"/>
      <c r="AC307" s="77"/>
      <c r="AD307" s="77"/>
      <c r="AE307" s="77"/>
      <c r="AF307" s="77"/>
      <c r="AG307" s="77"/>
      <c r="AH307" s="77"/>
      <c r="AI307" s="77"/>
      <c r="AJ307" s="77"/>
      <c r="AK307" s="77"/>
      <c r="AL307" s="77"/>
      <c r="AM307" s="77"/>
      <c r="AN307" s="77"/>
      <c r="AO307" s="77"/>
      <c r="AP307" s="77"/>
      <c r="AQ307" s="77"/>
      <c r="AR307" s="77"/>
      <c r="AS307" s="77"/>
      <c r="AT307" s="77"/>
      <c r="AU307" s="77"/>
      <c r="AV307" s="77"/>
      <c r="AX307" s="84"/>
      <c r="AY307" s="84"/>
      <c r="AZ307" s="66"/>
    </row>
    <row r="308" spans="1:52" s="38" customFormat="1" ht="16.5" customHeight="1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  <c r="W308" s="77"/>
      <c r="X308" s="77"/>
      <c r="Y308" s="77"/>
      <c r="Z308" s="77"/>
      <c r="AA308" s="77"/>
      <c r="AB308" s="77"/>
      <c r="AC308" s="77"/>
      <c r="AD308" s="77"/>
      <c r="AE308" s="77"/>
      <c r="AF308" s="77"/>
      <c r="AG308" s="77"/>
      <c r="AH308" s="77"/>
      <c r="AI308" s="77"/>
      <c r="AJ308" s="77"/>
      <c r="AK308" s="77"/>
      <c r="AL308" s="77"/>
      <c r="AM308" s="77"/>
      <c r="AN308" s="77"/>
      <c r="AO308" s="77"/>
      <c r="AP308" s="77"/>
      <c r="AQ308" s="77"/>
      <c r="AR308" s="77"/>
      <c r="AS308" s="77"/>
      <c r="AT308" s="77"/>
      <c r="AU308" s="77"/>
      <c r="AV308" s="77"/>
      <c r="AX308" s="84"/>
      <c r="AY308" s="84"/>
      <c r="AZ308" s="66"/>
    </row>
    <row r="309" spans="1:52" s="38" customFormat="1" ht="16.5" customHeight="1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  <c r="W309" s="77"/>
      <c r="X309" s="77"/>
      <c r="Y309" s="77"/>
      <c r="Z309" s="77"/>
      <c r="AA309" s="77"/>
      <c r="AB309" s="77"/>
      <c r="AC309" s="77"/>
      <c r="AD309" s="77"/>
      <c r="AE309" s="77"/>
      <c r="AF309" s="77"/>
      <c r="AG309" s="77"/>
      <c r="AH309" s="77"/>
      <c r="AI309" s="77"/>
      <c r="AJ309" s="77"/>
      <c r="AK309" s="77"/>
      <c r="AL309" s="77"/>
      <c r="AM309" s="77"/>
      <c r="AN309" s="77"/>
      <c r="AO309" s="77"/>
      <c r="AP309" s="77"/>
      <c r="AQ309" s="77"/>
      <c r="AR309" s="77"/>
      <c r="AS309" s="77"/>
      <c r="AT309" s="77"/>
      <c r="AU309" s="77"/>
      <c r="AV309" s="77"/>
      <c r="AX309" s="84"/>
      <c r="AY309" s="84"/>
      <c r="AZ309" s="66"/>
    </row>
    <row r="310" spans="1:52" s="38" customFormat="1" ht="16.5" customHeight="1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  <c r="W310" s="77"/>
      <c r="X310" s="77"/>
      <c r="Y310" s="77"/>
      <c r="Z310" s="77"/>
      <c r="AA310" s="77"/>
      <c r="AB310" s="77"/>
      <c r="AC310" s="77"/>
      <c r="AD310" s="77"/>
      <c r="AE310" s="77"/>
      <c r="AF310" s="77"/>
      <c r="AG310" s="77"/>
      <c r="AH310" s="77"/>
      <c r="AI310" s="77"/>
      <c r="AJ310" s="77"/>
      <c r="AK310" s="77"/>
      <c r="AL310" s="77"/>
      <c r="AM310" s="77"/>
      <c r="AN310" s="77"/>
      <c r="AO310" s="77"/>
      <c r="AP310" s="77"/>
      <c r="AQ310" s="77"/>
      <c r="AR310" s="77"/>
      <c r="AS310" s="77"/>
      <c r="AT310" s="77"/>
      <c r="AU310" s="77"/>
      <c r="AV310" s="77"/>
      <c r="AX310" s="84"/>
      <c r="AY310" s="84"/>
      <c r="AZ310" s="66"/>
    </row>
    <row r="311" spans="1:52" s="38" customFormat="1" ht="16.5" customHeight="1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  <c r="W311" s="77"/>
      <c r="X311" s="77"/>
      <c r="Y311" s="77"/>
      <c r="Z311" s="77"/>
      <c r="AA311" s="77"/>
      <c r="AB311" s="77"/>
      <c r="AC311" s="77"/>
      <c r="AD311" s="77"/>
      <c r="AE311" s="77"/>
      <c r="AF311" s="77"/>
      <c r="AG311" s="77"/>
      <c r="AH311" s="77"/>
      <c r="AI311" s="77"/>
      <c r="AJ311" s="77"/>
      <c r="AK311" s="77"/>
      <c r="AL311" s="77"/>
      <c r="AM311" s="77"/>
      <c r="AN311" s="77"/>
      <c r="AO311" s="77"/>
      <c r="AP311" s="77"/>
      <c r="AQ311" s="77"/>
      <c r="AR311" s="77"/>
      <c r="AS311" s="77"/>
      <c r="AT311" s="77"/>
      <c r="AU311" s="77"/>
      <c r="AV311" s="77"/>
      <c r="AX311" s="84"/>
      <c r="AY311" s="84"/>
      <c r="AZ311" s="66"/>
    </row>
    <row r="312" spans="1:52" s="38" customFormat="1" ht="16.5" customHeight="1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  <c r="W312" s="77"/>
      <c r="X312" s="77"/>
      <c r="Y312" s="77"/>
      <c r="Z312" s="77"/>
      <c r="AA312" s="77"/>
      <c r="AB312" s="77"/>
      <c r="AC312" s="77"/>
      <c r="AD312" s="77"/>
      <c r="AE312" s="77"/>
      <c r="AF312" s="77"/>
      <c r="AG312" s="77"/>
      <c r="AH312" s="77"/>
      <c r="AI312" s="77"/>
      <c r="AJ312" s="77"/>
      <c r="AK312" s="77"/>
      <c r="AL312" s="77"/>
      <c r="AM312" s="77"/>
      <c r="AN312" s="77"/>
      <c r="AO312" s="77"/>
      <c r="AP312" s="77"/>
      <c r="AQ312" s="77"/>
      <c r="AR312" s="77"/>
      <c r="AS312" s="77"/>
      <c r="AT312" s="77"/>
      <c r="AU312" s="77"/>
      <c r="AV312" s="77"/>
      <c r="AX312" s="84"/>
      <c r="AY312" s="84"/>
      <c r="AZ312" s="66"/>
    </row>
    <row r="313" spans="1:52" s="38" customFormat="1" ht="16.5" customHeight="1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  <c r="W313" s="77"/>
      <c r="X313" s="77"/>
      <c r="Y313" s="77"/>
      <c r="Z313" s="77"/>
      <c r="AA313" s="77"/>
      <c r="AB313" s="77"/>
      <c r="AC313" s="77"/>
      <c r="AD313" s="77"/>
      <c r="AE313" s="77"/>
      <c r="AF313" s="77"/>
      <c r="AG313" s="77"/>
      <c r="AH313" s="77"/>
      <c r="AI313" s="77"/>
      <c r="AJ313" s="77"/>
      <c r="AK313" s="77"/>
      <c r="AL313" s="77"/>
      <c r="AM313" s="77"/>
      <c r="AN313" s="77"/>
      <c r="AO313" s="77"/>
      <c r="AP313" s="77"/>
      <c r="AQ313" s="77"/>
      <c r="AR313" s="77"/>
      <c r="AS313" s="77"/>
      <c r="AT313" s="77"/>
      <c r="AU313" s="77"/>
      <c r="AV313" s="77"/>
      <c r="AX313" s="84"/>
      <c r="AY313" s="84"/>
      <c r="AZ313" s="66"/>
    </row>
    <row r="314" spans="1:52" s="38" customFormat="1" ht="16.5" customHeight="1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  <c r="W314" s="77"/>
      <c r="X314" s="77"/>
      <c r="Y314" s="77"/>
      <c r="Z314" s="77"/>
      <c r="AA314" s="77"/>
      <c r="AB314" s="77"/>
      <c r="AC314" s="77"/>
      <c r="AD314" s="77"/>
      <c r="AE314" s="77"/>
      <c r="AF314" s="77"/>
      <c r="AG314" s="77"/>
      <c r="AH314" s="77"/>
      <c r="AI314" s="77"/>
      <c r="AJ314" s="77"/>
      <c r="AK314" s="77"/>
      <c r="AL314" s="77"/>
      <c r="AM314" s="77"/>
      <c r="AN314" s="77"/>
      <c r="AO314" s="77"/>
      <c r="AP314" s="77"/>
      <c r="AQ314" s="77"/>
      <c r="AR314" s="77"/>
      <c r="AS314" s="77"/>
      <c r="AT314" s="77"/>
      <c r="AU314" s="77"/>
      <c r="AV314" s="77"/>
      <c r="AX314" s="84"/>
      <c r="AY314" s="84"/>
      <c r="AZ314" s="66"/>
    </row>
    <row r="315" spans="1:52" s="38" customFormat="1" ht="16.5" customHeight="1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  <c r="W315" s="77"/>
      <c r="X315" s="77"/>
      <c r="Y315" s="77"/>
      <c r="Z315" s="77"/>
      <c r="AA315" s="77"/>
      <c r="AB315" s="77"/>
      <c r="AC315" s="77"/>
      <c r="AD315" s="77"/>
      <c r="AE315" s="77"/>
      <c r="AF315" s="77"/>
      <c r="AG315" s="77"/>
      <c r="AH315" s="77"/>
      <c r="AI315" s="77"/>
      <c r="AJ315" s="77"/>
      <c r="AK315" s="77"/>
      <c r="AL315" s="77"/>
      <c r="AM315" s="77"/>
      <c r="AN315" s="77"/>
      <c r="AO315" s="77"/>
      <c r="AP315" s="77"/>
      <c r="AQ315" s="77"/>
      <c r="AR315" s="77"/>
      <c r="AS315" s="77"/>
      <c r="AT315" s="77"/>
      <c r="AU315" s="77"/>
      <c r="AV315" s="77"/>
      <c r="AX315" s="84"/>
      <c r="AY315" s="84"/>
      <c r="AZ315" s="66"/>
    </row>
    <row r="316" spans="1:52" s="38" customFormat="1" ht="16.5" customHeight="1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  <c r="W316" s="77"/>
      <c r="X316" s="77"/>
      <c r="Y316" s="77"/>
      <c r="Z316" s="77"/>
      <c r="AA316" s="77"/>
      <c r="AB316" s="77"/>
      <c r="AC316" s="77"/>
      <c r="AD316" s="77"/>
      <c r="AE316" s="77"/>
      <c r="AF316" s="77"/>
      <c r="AG316" s="77"/>
      <c r="AH316" s="77"/>
      <c r="AI316" s="77"/>
      <c r="AJ316" s="77"/>
      <c r="AK316" s="77"/>
      <c r="AL316" s="77"/>
      <c r="AM316" s="77"/>
      <c r="AN316" s="77"/>
      <c r="AO316" s="77"/>
      <c r="AP316" s="77"/>
      <c r="AQ316" s="77"/>
      <c r="AR316" s="77"/>
      <c r="AS316" s="77"/>
      <c r="AT316" s="77"/>
      <c r="AU316" s="77"/>
      <c r="AV316" s="77"/>
      <c r="AX316" s="84"/>
      <c r="AY316" s="84"/>
      <c r="AZ316" s="66"/>
    </row>
    <row r="317" spans="1:52" s="38" customFormat="1" ht="16.5" customHeight="1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  <c r="W317" s="77"/>
      <c r="X317" s="77"/>
      <c r="Y317" s="77"/>
      <c r="Z317" s="77"/>
      <c r="AA317" s="77"/>
      <c r="AB317" s="77"/>
      <c r="AC317" s="77"/>
      <c r="AD317" s="77"/>
      <c r="AE317" s="77"/>
      <c r="AF317" s="77"/>
      <c r="AG317" s="77"/>
      <c r="AH317" s="77"/>
      <c r="AI317" s="77"/>
      <c r="AJ317" s="77"/>
      <c r="AK317" s="77"/>
      <c r="AL317" s="77"/>
      <c r="AM317" s="77"/>
      <c r="AN317" s="77"/>
      <c r="AO317" s="77"/>
      <c r="AP317" s="77"/>
      <c r="AQ317" s="77"/>
      <c r="AR317" s="77"/>
      <c r="AS317" s="77"/>
      <c r="AT317" s="77"/>
      <c r="AU317" s="77"/>
      <c r="AV317" s="77"/>
      <c r="AX317" s="84"/>
      <c r="AY317" s="84"/>
      <c r="AZ317" s="66"/>
    </row>
    <row r="318" spans="1:52" s="38" customFormat="1" ht="16.5" customHeight="1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  <c r="W318" s="77"/>
      <c r="X318" s="77"/>
      <c r="Y318" s="77"/>
      <c r="Z318" s="77"/>
      <c r="AA318" s="77"/>
      <c r="AB318" s="77"/>
      <c r="AC318" s="77"/>
      <c r="AD318" s="77"/>
      <c r="AE318" s="77"/>
      <c r="AF318" s="77"/>
      <c r="AG318" s="77"/>
      <c r="AH318" s="77"/>
      <c r="AI318" s="77"/>
      <c r="AJ318" s="77"/>
      <c r="AK318" s="77"/>
      <c r="AL318" s="77"/>
      <c r="AM318" s="77"/>
      <c r="AN318" s="77"/>
      <c r="AO318" s="77"/>
      <c r="AP318" s="77"/>
      <c r="AQ318" s="77"/>
      <c r="AR318" s="77"/>
      <c r="AS318" s="77"/>
      <c r="AT318" s="77"/>
      <c r="AU318" s="77"/>
      <c r="AV318" s="77"/>
      <c r="AX318" s="84"/>
      <c r="AY318" s="84"/>
      <c r="AZ318" s="66"/>
    </row>
    <row r="319" spans="1:52" s="38" customFormat="1" ht="16.5" customHeight="1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  <c r="W319" s="77"/>
      <c r="X319" s="77"/>
      <c r="Y319" s="77"/>
      <c r="Z319" s="77"/>
      <c r="AA319" s="77"/>
      <c r="AB319" s="77"/>
      <c r="AC319" s="77"/>
      <c r="AD319" s="77"/>
      <c r="AE319" s="77"/>
      <c r="AF319" s="77"/>
      <c r="AG319" s="77"/>
      <c r="AH319" s="77"/>
      <c r="AI319" s="77"/>
      <c r="AJ319" s="77"/>
      <c r="AK319" s="77"/>
      <c r="AL319" s="77"/>
      <c r="AM319" s="77"/>
      <c r="AN319" s="77"/>
      <c r="AO319" s="77"/>
      <c r="AP319" s="77"/>
      <c r="AQ319" s="77"/>
      <c r="AR319" s="77"/>
      <c r="AS319" s="77"/>
      <c r="AT319" s="77"/>
      <c r="AU319" s="77"/>
      <c r="AV319" s="77"/>
      <c r="AX319" s="84"/>
      <c r="AY319" s="84"/>
      <c r="AZ319" s="66"/>
    </row>
    <row r="320" spans="1:52" s="38" customFormat="1" ht="16.5" customHeight="1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  <c r="W320" s="77"/>
      <c r="X320" s="77"/>
      <c r="Y320" s="77"/>
      <c r="Z320" s="77"/>
      <c r="AA320" s="77"/>
      <c r="AB320" s="77"/>
      <c r="AC320" s="77"/>
      <c r="AD320" s="77"/>
      <c r="AE320" s="77"/>
      <c r="AF320" s="77"/>
      <c r="AG320" s="77"/>
      <c r="AH320" s="77"/>
      <c r="AI320" s="77"/>
      <c r="AJ320" s="77"/>
      <c r="AK320" s="77"/>
      <c r="AL320" s="77"/>
      <c r="AM320" s="77"/>
      <c r="AN320" s="77"/>
      <c r="AO320" s="77"/>
      <c r="AP320" s="77"/>
      <c r="AQ320" s="77"/>
      <c r="AR320" s="77"/>
      <c r="AS320" s="77"/>
      <c r="AT320" s="77"/>
      <c r="AU320" s="77"/>
      <c r="AV320" s="77"/>
      <c r="AX320" s="84"/>
      <c r="AY320" s="84"/>
      <c r="AZ320" s="66"/>
    </row>
    <row r="321" spans="1:58" s="38" customFormat="1" ht="16.5" customHeight="1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  <c r="W321" s="77"/>
      <c r="X321" s="77"/>
      <c r="Y321" s="77"/>
      <c r="Z321" s="77"/>
      <c r="AA321" s="77"/>
      <c r="AB321" s="77"/>
      <c r="AC321" s="77"/>
      <c r="AD321" s="77"/>
      <c r="AE321" s="77"/>
      <c r="AF321" s="77"/>
      <c r="AG321" s="77"/>
      <c r="AH321" s="77"/>
      <c r="AI321" s="77"/>
      <c r="AJ321" s="77"/>
      <c r="AK321" s="77"/>
      <c r="AL321" s="77"/>
      <c r="AM321" s="77"/>
      <c r="AN321" s="77"/>
      <c r="AO321" s="77"/>
      <c r="AP321" s="77"/>
      <c r="AQ321" s="77"/>
      <c r="AR321" s="77"/>
      <c r="AS321" s="77"/>
      <c r="AT321" s="77"/>
      <c r="AU321" s="77"/>
      <c r="AV321" s="77"/>
      <c r="AX321" s="84"/>
      <c r="AY321" s="84"/>
      <c r="AZ321" s="66"/>
    </row>
    <row r="322" spans="1:58" s="38" customFormat="1" ht="16.5" customHeight="1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  <c r="W322" s="77"/>
      <c r="X322" s="77"/>
      <c r="Y322" s="77"/>
      <c r="Z322" s="77"/>
      <c r="AA322" s="77"/>
      <c r="AB322" s="77"/>
      <c r="AC322" s="77"/>
      <c r="AD322" s="77"/>
      <c r="AE322" s="77"/>
      <c r="AF322" s="77"/>
      <c r="AG322" s="77"/>
      <c r="AH322" s="77"/>
      <c r="AI322" s="77"/>
      <c r="AJ322" s="77"/>
      <c r="AK322" s="77"/>
      <c r="AL322" s="77"/>
      <c r="AM322" s="77"/>
      <c r="AN322" s="77"/>
      <c r="AO322" s="77"/>
      <c r="AP322" s="77"/>
      <c r="AQ322" s="77"/>
      <c r="AR322" s="77"/>
      <c r="AS322" s="77"/>
      <c r="AT322" s="77"/>
      <c r="AU322" s="77"/>
      <c r="AV322" s="77"/>
      <c r="AX322" s="84"/>
      <c r="AY322" s="84"/>
      <c r="AZ322" s="66"/>
    </row>
    <row r="323" spans="1:58" s="38" customFormat="1" ht="16.5" customHeight="1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  <c r="W323" s="77"/>
      <c r="X323" s="77"/>
      <c r="Y323" s="77"/>
      <c r="Z323" s="77"/>
      <c r="AA323" s="77"/>
      <c r="AB323" s="77"/>
      <c r="AC323" s="77"/>
      <c r="AD323" s="77"/>
      <c r="AE323" s="77"/>
      <c r="AF323" s="77"/>
      <c r="AG323" s="77"/>
      <c r="AH323" s="77"/>
      <c r="AI323" s="77"/>
      <c r="AJ323" s="77"/>
      <c r="AK323" s="77"/>
      <c r="AL323" s="77"/>
      <c r="AM323" s="77"/>
      <c r="AN323" s="77"/>
      <c r="AO323" s="77"/>
      <c r="AP323" s="77"/>
      <c r="AQ323" s="77"/>
      <c r="AR323" s="77"/>
      <c r="AS323" s="77"/>
      <c r="AT323" s="77"/>
      <c r="AU323" s="77"/>
      <c r="AV323" s="77"/>
      <c r="AX323" s="84"/>
      <c r="AY323" s="84"/>
      <c r="AZ323" s="66"/>
    </row>
    <row r="324" spans="1:58" s="38" customFormat="1" ht="16.5" customHeight="1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  <c r="W324" s="77"/>
      <c r="X324" s="77"/>
      <c r="Y324" s="77"/>
      <c r="Z324" s="77"/>
      <c r="AA324" s="77"/>
      <c r="AB324" s="77"/>
      <c r="AC324" s="77"/>
      <c r="AD324" s="77"/>
      <c r="AE324" s="77"/>
      <c r="AF324" s="77"/>
      <c r="AG324" s="77"/>
      <c r="AH324" s="77"/>
      <c r="AI324" s="77"/>
      <c r="AJ324" s="77"/>
      <c r="AK324" s="77"/>
      <c r="AL324" s="77"/>
      <c r="AM324" s="77"/>
      <c r="AN324" s="77"/>
      <c r="AO324" s="77"/>
      <c r="AP324" s="77"/>
      <c r="AQ324" s="77"/>
      <c r="AR324" s="77"/>
      <c r="AS324" s="77"/>
      <c r="AT324" s="77"/>
      <c r="AU324" s="77"/>
      <c r="AV324" s="77"/>
      <c r="AX324" s="84"/>
      <c r="AY324" s="84"/>
      <c r="AZ324" s="66"/>
    </row>
    <row r="325" spans="1:58" s="38" customFormat="1" ht="16.5" customHeight="1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  <c r="W325" s="77"/>
      <c r="X325" s="77"/>
      <c r="Y325" s="77"/>
      <c r="Z325" s="77"/>
      <c r="AA325" s="77"/>
      <c r="AB325" s="77"/>
      <c r="AC325" s="77"/>
      <c r="AD325" s="77"/>
      <c r="AE325" s="77"/>
      <c r="AF325" s="77"/>
      <c r="AG325" s="77"/>
      <c r="AH325" s="77"/>
      <c r="AI325" s="77"/>
      <c r="AJ325" s="77"/>
      <c r="AK325" s="77"/>
      <c r="AL325" s="77"/>
      <c r="AM325" s="77"/>
      <c r="AN325" s="77"/>
      <c r="AO325" s="77"/>
      <c r="AP325" s="77"/>
      <c r="AQ325" s="77"/>
      <c r="AR325" s="77"/>
      <c r="AS325" s="77"/>
      <c r="AT325" s="77"/>
      <c r="AU325" s="77"/>
      <c r="AV325" s="77"/>
      <c r="AX325" s="84"/>
      <c r="AY325" s="84"/>
      <c r="AZ325" s="66"/>
    </row>
    <row r="326" spans="1:58" s="38" customFormat="1" ht="16.5" customHeight="1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  <c r="W326" s="77"/>
      <c r="X326" s="77"/>
      <c r="Y326" s="77"/>
      <c r="Z326" s="77"/>
      <c r="AA326" s="77"/>
      <c r="AB326" s="77"/>
      <c r="AC326" s="77"/>
      <c r="AD326" s="77"/>
      <c r="AE326" s="77"/>
      <c r="AF326" s="77"/>
      <c r="AG326" s="77"/>
      <c r="AH326" s="77"/>
      <c r="AI326" s="77"/>
      <c r="AJ326" s="77"/>
      <c r="AK326" s="77"/>
      <c r="AL326" s="77"/>
      <c r="AM326" s="77"/>
      <c r="AN326" s="77"/>
      <c r="AO326" s="77"/>
      <c r="AP326" s="77"/>
      <c r="AQ326" s="77"/>
      <c r="AR326" s="77"/>
      <c r="AS326" s="77"/>
      <c r="AT326" s="77"/>
      <c r="AU326" s="77"/>
      <c r="AV326" s="77"/>
      <c r="AX326" s="84"/>
      <c r="AY326" s="84"/>
      <c r="AZ326" s="66"/>
    </row>
    <row r="327" spans="1:58" s="38" customFormat="1" ht="16.5" customHeight="1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  <c r="W327" s="77"/>
      <c r="X327" s="77"/>
      <c r="Y327" s="77"/>
      <c r="Z327" s="77"/>
      <c r="AA327" s="77"/>
      <c r="AB327" s="77"/>
      <c r="AC327" s="77"/>
      <c r="AD327" s="77"/>
      <c r="AE327" s="77"/>
      <c r="AF327" s="77"/>
      <c r="AG327" s="77"/>
      <c r="AH327" s="77"/>
      <c r="AI327" s="77"/>
      <c r="AJ327" s="77"/>
      <c r="AK327" s="77"/>
      <c r="AL327" s="77"/>
      <c r="AM327" s="77"/>
      <c r="AN327" s="77"/>
      <c r="AO327" s="77"/>
      <c r="AP327" s="77"/>
      <c r="AQ327" s="77"/>
      <c r="AR327" s="77"/>
      <c r="AS327" s="77"/>
      <c r="AT327" s="77"/>
      <c r="AU327" s="77"/>
      <c r="AV327" s="77"/>
      <c r="AX327" s="84"/>
      <c r="AY327" s="84"/>
      <c r="AZ327" s="66"/>
    </row>
    <row r="328" spans="1:58" s="38" customFormat="1" ht="16.5" customHeight="1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  <c r="W328" s="77"/>
      <c r="X328" s="77"/>
      <c r="Y328" s="77"/>
      <c r="Z328" s="77"/>
      <c r="AA328" s="77"/>
      <c r="AB328" s="77"/>
      <c r="AC328" s="77"/>
      <c r="AD328" s="77"/>
      <c r="AE328" s="77"/>
      <c r="AF328" s="77"/>
      <c r="AG328" s="77"/>
      <c r="AH328" s="77"/>
      <c r="AI328" s="77"/>
      <c r="AJ328" s="77"/>
      <c r="AK328" s="77"/>
      <c r="AL328" s="77"/>
      <c r="AM328" s="77"/>
      <c r="AN328" s="77"/>
      <c r="AO328" s="77"/>
      <c r="AP328" s="77"/>
      <c r="AQ328" s="77"/>
      <c r="AR328" s="77"/>
      <c r="AS328" s="77"/>
      <c r="AT328" s="77"/>
      <c r="AU328" s="77"/>
      <c r="AV328" s="77"/>
      <c r="AX328" s="84"/>
      <c r="AY328" s="84"/>
      <c r="AZ328" s="66"/>
    </row>
    <row r="329" spans="1:58" s="38" customFormat="1" ht="16.5" customHeight="1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  <c r="W329" s="77"/>
      <c r="X329" s="77"/>
      <c r="Y329" s="77"/>
      <c r="Z329" s="77"/>
      <c r="AA329" s="77"/>
      <c r="AB329" s="77"/>
      <c r="AC329" s="77"/>
      <c r="AD329" s="77"/>
      <c r="AE329" s="77"/>
      <c r="AF329" s="77"/>
      <c r="AG329" s="77"/>
      <c r="AH329" s="77"/>
      <c r="AI329" s="77"/>
      <c r="AJ329" s="77"/>
      <c r="AK329" s="77"/>
      <c r="AL329" s="77"/>
      <c r="AM329" s="77"/>
      <c r="AN329" s="77"/>
      <c r="AO329" s="77"/>
      <c r="AP329" s="77"/>
      <c r="AQ329" s="77"/>
      <c r="AR329" s="77"/>
      <c r="AS329" s="77"/>
      <c r="AT329" s="77"/>
      <c r="AU329" s="77"/>
      <c r="AV329" s="77"/>
      <c r="AX329" s="84"/>
      <c r="AY329" s="84"/>
      <c r="AZ329" s="66"/>
    </row>
    <row r="330" spans="1:58" s="38" customFormat="1" ht="16.5" customHeight="1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  <c r="W330" s="77"/>
      <c r="X330" s="77"/>
      <c r="Y330" s="77"/>
      <c r="Z330" s="77"/>
      <c r="AA330" s="77"/>
      <c r="AB330" s="77"/>
      <c r="AC330" s="77"/>
      <c r="AD330" s="77"/>
      <c r="AE330" s="77"/>
      <c r="AF330" s="77"/>
      <c r="AG330" s="77"/>
      <c r="AH330" s="77"/>
      <c r="AI330" s="77"/>
      <c r="AJ330" s="77"/>
      <c r="AK330" s="77"/>
      <c r="AL330" s="77"/>
      <c r="AM330" s="77"/>
      <c r="AN330" s="77"/>
      <c r="AO330" s="77"/>
      <c r="AP330" s="77"/>
      <c r="AQ330" s="77"/>
      <c r="AR330" s="77"/>
      <c r="AS330" s="77"/>
      <c r="AT330" s="77"/>
      <c r="AU330" s="77"/>
      <c r="AV330" s="77"/>
      <c r="AX330" s="84"/>
      <c r="AY330" s="84"/>
      <c r="AZ330" s="66"/>
    </row>
    <row r="331" spans="1:58" s="38" customFormat="1" ht="16.5" customHeight="1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  <c r="W331" s="77"/>
      <c r="X331" s="77"/>
      <c r="Y331" s="77"/>
      <c r="Z331" s="77"/>
      <c r="AA331" s="77"/>
      <c r="AB331" s="77"/>
      <c r="AC331" s="77"/>
      <c r="AD331" s="77"/>
      <c r="AE331" s="77"/>
      <c r="AF331" s="77"/>
      <c r="AG331" s="77"/>
      <c r="AH331" s="77"/>
      <c r="AI331" s="77"/>
      <c r="AJ331" s="77"/>
      <c r="AK331" s="77"/>
      <c r="AL331" s="77"/>
      <c r="AM331" s="77"/>
      <c r="AN331" s="77"/>
      <c r="AO331" s="77"/>
      <c r="AP331" s="77"/>
      <c r="AQ331" s="77"/>
      <c r="AR331" s="77"/>
      <c r="AS331" s="77"/>
      <c r="AT331" s="77"/>
      <c r="AU331" s="77"/>
      <c r="AV331" s="77"/>
      <c r="AX331" s="84"/>
      <c r="AY331" s="84"/>
      <c r="AZ331" s="66"/>
    </row>
    <row r="332" spans="1:58" s="38" customFormat="1" ht="16.5" customHeight="1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  <c r="W332" s="77"/>
      <c r="X332" s="77"/>
      <c r="Y332" s="77"/>
      <c r="Z332" s="77"/>
      <c r="AA332" s="77"/>
      <c r="AB332" s="77"/>
      <c r="AC332" s="77"/>
      <c r="AD332" s="77"/>
      <c r="AE332" s="77"/>
      <c r="AF332" s="77"/>
      <c r="AG332" s="77"/>
      <c r="AH332" s="77"/>
      <c r="AI332" s="77"/>
      <c r="AJ332" s="77"/>
      <c r="AK332" s="77"/>
      <c r="AL332" s="77"/>
      <c r="AM332" s="77"/>
      <c r="AN332" s="77"/>
      <c r="AO332" s="77"/>
      <c r="AP332" s="77"/>
      <c r="AQ332" s="77"/>
      <c r="AR332" s="77"/>
      <c r="AS332" s="77"/>
      <c r="AT332" s="77"/>
      <c r="AU332" s="77"/>
      <c r="AV332" s="77"/>
      <c r="AX332" s="84"/>
      <c r="AY332" s="84"/>
      <c r="AZ332" s="66"/>
    </row>
    <row r="333" spans="1:58" s="38" customFormat="1" ht="16.5" customHeight="1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  <c r="W333" s="77"/>
      <c r="X333" s="77"/>
      <c r="Y333" s="77"/>
      <c r="Z333" s="77"/>
      <c r="AA333" s="77"/>
      <c r="AB333" s="77"/>
      <c r="AC333" s="77"/>
      <c r="AD333" s="77"/>
      <c r="AE333" s="77"/>
      <c r="AF333" s="77"/>
      <c r="AG333" s="77"/>
      <c r="AH333" s="77"/>
      <c r="AI333" s="77"/>
      <c r="AJ333" s="77"/>
      <c r="AK333" s="77"/>
      <c r="AL333" s="77"/>
      <c r="AM333" s="77"/>
      <c r="AN333" s="77"/>
      <c r="AO333" s="77"/>
      <c r="AP333" s="77"/>
      <c r="AQ333" s="77"/>
      <c r="AR333" s="77"/>
      <c r="AS333" s="77"/>
      <c r="AT333" s="77"/>
      <c r="AU333" s="77"/>
      <c r="AV333" s="77"/>
      <c r="AX333" s="84"/>
      <c r="AY333" s="84"/>
      <c r="AZ333" s="66"/>
    </row>
    <row r="334" spans="1:58" s="38" customFormat="1" ht="16.5" customHeight="1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  <c r="W334" s="77"/>
      <c r="X334" s="77"/>
      <c r="Y334" s="77"/>
      <c r="Z334" s="77"/>
      <c r="AA334" s="77"/>
      <c r="AB334" s="77"/>
      <c r="AC334" s="77"/>
      <c r="AD334" s="77"/>
      <c r="AE334" s="77"/>
      <c r="AF334" s="77"/>
      <c r="AG334" s="77"/>
      <c r="AH334" s="77"/>
      <c r="AI334" s="77"/>
      <c r="AJ334" s="77"/>
      <c r="AK334" s="77"/>
      <c r="AL334" s="77"/>
      <c r="AM334" s="77"/>
      <c r="AN334" s="77"/>
      <c r="AO334" s="77"/>
      <c r="AP334" s="77"/>
      <c r="AQ334" s="77"/>
      <c r="AR334" s="77"/>
      <c r="AS334" s="77"/>
      <c r="AT334" s="77"/>
      <c r="AU334" s="77"/>
      <c r="AV334" s="77"/>
      <c r="AX334" s="84"/>
      <c r="AY334" s="84"/>
      <c r="AZ334" s="66"/>
    </row>
    <row r="335" spans="1:58" s="38" customFormat="1" ht="16.5" customHeight="1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  <c r="W335" s="77"/>
      <c r="X335" s="77"/>
      <c r="Y335" s="77"/>
      <c r="Z335" s="77"/>
      <c r="AA335" s="77"/>
      <c r="AB335" s="77"/>
      <c r="AC335" s="77"/>
      <c r="AD335" s="77"/>
      <c r="AE335" s="77"/>
      <c r="AF335" s="77"/>
      <c r="AG335" s="77"/>
      <c r="AH335" s="77"/>
      <c r="AI335" s="77"/>
      <c r="AJ335" s="77"/>
      <c r="AK335" s="77"/>
      <c r="AL335" s="77"/>
      <c r="AM335" s="77"/>
      <c r="AN335" s="77"/>
      <c r="AO335" s="77"/>
      <c r="AP335" s="77"/>
      <c r="AQ335" s="77"/>
      <c r="AR335" s="77"/>
      <c r="AS335" s="77"/>
      <c r="AT335" s="77"/>
      <c r="AU335" s="77"/>
      <c r="AV335" s="77"/>
      <c r="AX335" s="84"/>
      <c r="AY335" s="84"/>
      <c r="AZ335" s="66"/>
    </row>
    <row r="336" spans="1:58" s="38" customFormat="1" ht="16.5" customHeight="1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  <c r="W336" s="77"/>
      <c r="X336" s="77"/>
      <c r="Y336" s="77"/>
      <c r="Z336" s="77"/>
      <c r="AA336" s="77"/>
      <c r="AB336" s="77"/>
      <c r="AC336" s="77"/>
      <c r="AD336" s="77"/>
      <c r="AE336" s="77"/>
      <c r="AF336" s="77"/>
      <c r="AG336" s="77"/>
      <c r="AH336" s="77"/>
      <c r="AI336" s="77"/>
      <c r="AJ336" s="77"/>
      <c r="AK336" s="77"/>
      <c r="AL336" s="77"/>
      <c r="AM336" s="77"/>
      <c r="AN336" s="77"/>
      <c r="AO336" s="77"/>
      <c r="AP336" s="77"/>
      <c r="AQ336" s="77"/>
      <c r="AR336" s="77"/>
      <c r="AS336" s="77"/>
      <c r="AT336" s="77"/>
      <c r="AU336" s="77"/>
      <c r="AV336" s="77"/>
      <c r="AX336" s="84"/>
      <c r="AY336" s="84"/>
      <c r="AZ336" s="84"/>
      <c r="BA336" s="75" t="s">
        <v>60</v>
      </c>
      <c r="BB336" s="85">
        <v>0</v>
      </c>
      <c r="BC336" s="85">
        <v>0</v>
      </c>
      <c r="BD336" s="85">
        <v>0</v>
      </c>
      <c r="BE336" s="85">
        <v>0</v>
      </c>
      <c r="BF336" s="85">
        <v>0</v>
      </c>
    </row>
    <row r="337" spans="1:58" s="38" customFormat="1" ht="16.5" customHeight="1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  <c r="W337" s="77"/>
      <c r="X337" s="77"/>
      <c r="Y337" s="77"/>
      <c r="Z337" s="77"/>
      <c r="AA337" s="77"/>
      <c r="AB337" s="77"/>
      <c r="AC337" s="77"/>
      <c r="AD337" s="77"/>
      <c r="AE337" s="77"/>
      <c r="AF337" s="77"/>
      <c r="AG337" s="77"/>
      <c r="AH337" s="77"/>
      <c r="AI337" s="77"/>
      <c r="AJ337" s="77"/>
      <c r="AK337" s="77"/>
      <c r="AL337" s="77"/>
      <c r="AM337" s="77"/>
      <c r="AN337" s="77"/>
      <c r="AO337" s="77"/>
      <c r="AP337" s="77"/>
      <c r="AQ337" s="77"/>
      <c r="AR337" s="77"/>
      <c r="AS337" s="77"/>
      <c r="AT337" s="77"/>
      <c r="AU337" s="77"/>
      <c r="AV337" s="77"/>
      <c r="AX337" s="84"/>
      <c r="AY337" s="84"/>
      <c r="AZ337" s="84"/>
      <c r="BA337" s="75" t="s">
        <v>61</v>
      </c>
      <c r="BB337" s="85">
        <v>0</v>
      </c>
      <c r="BC337" s="85">
        <v>0</v>
      </c>
      <c r="BD337" s="85">
        <v>0</v>
      </c>
      <c r="BE337" s="85">
        <v>0</v>
      </c>
      <c r="BF337" s="85">
        <v>0</v>
      </c>
    </row>
    <row r="338" spans="1:58" s="38" customFormat="1" ht="16.5" customHeight="1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  <c r="W338" s="77"/>
      <c r="X338" s="77"/>
      <c r="Y338" s="77"/>
      <c r="Z338" s="77"/>
      <c r="AA338" s="77"/>
      <c r="AB338" s="77"/>
      <c r="AC338" s="77"/>
      <c r="AD338" s="77"/>
      <c r="AE338" s="77"/>
      <c r="AF338" s="77"/>
      <c r="AG338" s="77"/>
      <c r="AH338" s="77"/>
      <c r="AI338" s="77"/>
      <c r="AJ338" s="77"/>
      <c r="AK338" s="77"/>
      <c r="AL338" s="77"/>
      <c r="AM338" s="77"/>
      <c r="AN338" s="77"/>
      <c r="AO338" s="77"/>
      <c r="AP338" s="77"/>
      <c r="AQ338" s="77"/>
      <c r="AR338" s="77"/>
      <c r="AS338" s="77"/>
      <c r="AT338" s="77"/>
      <c r="AU338" s="77"/>
      <c r="AV338" s="77"/>
      <c r="AX338" s="84"/>
      <c r="AY338" s="84"/>
      <c r="AZ338" s="84"/>
      <c r="BA338" s="76" t="s">
        <v>62</v>
      </c>
      <c r="BB338" s="86">
        <v>0</v>
      </c>
      <c r="BC338" s="86">
        <v>0</v>
      </c>
      <c r="BD338" s="86">
        <v>0</v>
      </c>
      <c r="BE338" s="86">
        <v>0</v>
      </c>
      <c r="BF338" s="86">
        <v>0</v>
      </c>
    </row>
    <row r="339" spans="1:58" s="38" customFormat="1" ht="16.5" customHeight="1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  <c r="W339" s="77"/>
      <c r="X339" s="77"/>
      <c r="Y339" s="77"/>
      <c r="Z339" s="77"/>
      <c r="AA339" s="77"/>
      <c r="AB339" s="77"/>
      <c r="AC339" s="77"/>
      <c r="AD339" s="77"/>
      <c r="AE339" s="77"/>
      <c r="AF339" s="77"/>
      <c r="AG339" s="77"/>
      <c r="AH339" s="77"/>
      <c r="AI339" s="77"/>
      <c r="AJ339" s="77"/>
      <c r="AK339" s="77"/>
      <c r="AL339" s="77"/>
      <c r="AM339" s="77"/>
      <c r="AN339" s="77"/>
      <c r="AO339" s="77"/>
      <c r="AP339" s="77"/>
      <c r="AQ339" s="77"/>
      <c r="AR339" s="77"/>
      <c r="AS339" s="77"/>
      <c r="AT339" s="77"/>
      <c r="AU339" s="77"/>
      <c r="AV339" s="77"/>
      <c r="AX339" s="84"/>
      <c r="AY339" s="84"/>
      <c r="AZ339" s="84"/>
      <c r="BA339" s="2"/>
    </row>
    <row r="340" spans="1:58" s="38" customFormat="1" ht="16.5" customHeight="1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  <c r="W340" s="77"/>
      <c r="X340" s="77"/>
      <c r="Y340" s="77"/>
      <c r="Z340" s="77"/>
      <c r="AA340" s="77"/>
      <c r="AB340" s="77"/>
      <c r="AC340" s="77"/>
      <c r="AD340" s="77"/>
      <c r="AE340" s="77"/>
      <c r="AF340" s="77"/>
      <c r="AG340" s="77"/>
      <c r="AH340" s="77"/>
      <c r="AI340" s="77"/>
      <c r="AJ340" s="77"/>
      <c r="AK340" s="77"/>
      <c r="AL340" s="77"/>
      <c r="AM340" s="77"/>
      <c r="AN340" s="77"/>
      <c r="AO340" s="77"/>
      <c r="AP340" s="77"/>
      <c r="AQ340" s="77"/>
      <c r="AR340" s="77"/>
      <c r="AS340" s="77"/>
      <c r="AT340" s="77"/>
      <c r="AU340" s="77"/>
      <c r="AV340" s="77"/>
      <c r="AX340" s="84"/>
      <c r="AY340" s="84"/>
      <c r="AZ340" s="84"/>
      <c r="BA340" s="75"/>
      <c r="BB340" s="75" t="s">
        <v>63</v>
      </c>
      <c r="BC340" s="75" t="s">
        <v>64</v>
      </c>
      <c r="BD340" s="75" t="s">
        <v>65</v>
      </c>
      <c r="BE340" s="75" t="s">
        <v>66</v>
      </c>
      <c r="BF340" s="75" t="s">
        <v>67</v>
      </c>
    </row>
    <row r="341" spans="1:58" s="38" customFormat="1" ht="16.5" customHeight="1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  <c r="W341" s="77"/>
      <c r="X341" s="77"/>
      <c r="Y341" s="77"/>
      <c r="Z341" s="77"/>
      <c r="AA341" s="77"/>
      <c r="AB341" s="77"/>
      <c r="AC341" s="77"/>
      <c r="AD341" s="77"/>
      <c r="AE341" s="77"/>
      <c r="AF341" s="77"/>
      <c r="AG341" s="77"/>
      <c r="AH341" s="77"/>
      <c r="AI341" s="77"/>
      <c r="AJ341" s="77"/>
      <c r="AK341" s="77"/>
      <c r="AL341" s="77"/>
      <c r="AM341" s="77"/>
      <c r="AN341" s="77"/>
      <c r="AO341" s="77"/>
      <c r="AP341" s="77"/>
      <c r="AQ341" s="77"/>
      <c r="AR341" s="77"/>
      <c r="AS341" s="77"/>
      <c r="AT341" s="77"/>
      <c r="AU341" s="77"/>
      <c r="AV341" s="77"/>
      <c r="AX341" s="84"/>
      <c r="AY341" s="84"/>
      <c r="BA341" s="75" t="s">
        <v>60</v>
      </c>
      <c r="BB341" s="87" t="e">
        <v>#DIV/0!</v>
      </c>
      <c r="BC341" s="87" t="e">
        <v>#DIV/0!</v>
      </c>
      <c r="BD341" s="87" t="e">
        <v>#DIV/0!</v>
      </c>
      <c r="BE341" s="87" t="e">
        <v>#DIV/0!</v>
      </c>
      <c r="BF341" s="87" t="e">
        <v>#DIV/0!</v>
      </c>
    </row>
    <row r="342" spans="1:58" s="38" customFormat="1" ht="16.5" customHeight="1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  <c r="W342" s="77"/>
      <c r="X342" s="77"/>
      <c r="Y342" s="77"/>
      <c r="Z342" s="77"/>
      <c r="AA342" s="77"/>
      <c r="AB342" s="77"/>
      <c r="AC342" s="77"/>
      <c r="AD342" s="77"/>
      <c r="AE342" s="77"/>
      <c r="AF342" s="77"/>
      <c r="AG342" s="77"/>
      <c r="AH342" s="77"/>
      <c r="AI342" s="77"/>
      <c r="AJ342" s="77"/>
      <c r="AK342" s="77"/>
      <c r="AL342" s="77"/>
      <c r="AM342" s="77"/>
      <c r="AN342" s="77"/>
      <c r="AO342" s="77"/>
      <c r="AP342" s="77"/>
      <c r="AQ342" s="77"/>
      <c r="AR342" s="77"/>
      <c r="AS342" s="77"/>
      <c r="AT342" s="77"/>
      <c r="AU342" s="77"/>
      <c r="AV342" s="77"/>
      <c r="AX342" s="84"/>
      <c r="AY342" s="84"/>
      <c r="BA342" s="76" t="s">
        <v>62</v>
      </c>
      <c r="BB342" s="88" t="e">
        <v>#DIV/0!</v>
      </c>
      <c r="BC342" s="88" t="e">
        <v>#DIV/0!</v>
      </c>
      <c r="BD342" s="88" t="e">
        <v>#DIV/0!</v>
      </c>
      <c r="BE342" s="88" t="e">
        <v>#DIV/0!</v>
      </c>
      <c r="BF342" s="88" t="e">
        <v>#DIV/0!</v>
      </c>
    </row>
    <row r="343" spans="1:58" s="38" customFormat="1" ht="16.5" customHeight="1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  <c r="W343" s="77"/>
      <c r="X343" s="77"/>
      <c r="Y343" s="77"/>
      <c r="Z343" s="77"/>
      <c r="AA343" s="77"/>
      <c r="AB343" s="77"/>
      <c r="AC343" s="77"/>
      <c r="AD343" s="77"/>
      <c r="AE343" s="77"/>
      <c r="AF343" s="77"/>
      <c r="AG343" s="77"/>
      <c r="AH343" s="77"/>
      <c r="AI343" s="77"/>
      <c r="AJ343" s="77"/>
      <c r="AK343" s="77"/>
      <c r="AL343" s="77"/>
      <c r="AM343" s="77"/>
      <c r="AN343" s="77"/>
      <c r="AO343" s="77"/>
      <c r="AP343" s="77"/>
      <c r="AQ343" s="77"/>
      <c r="AR343" s="77"/>
      <c r="AS343" s="77"/>
      <c r="AT343" s="77"/>
      <c r="AU343" s="77"/>
      <c r="AV343" s="77"/>
      <c r="AX343" s="84"/>
      <c r="AY343" s="84"/>
      <c r="BA343" s="75" t="s">
        <v>67</v>
      </c>
      <c r="BB343" s="87" t="e">
        <v>#DIV/0!</v>
      </c>
      <c r="BC343" s="87" t="e">
        <v>#DIV/0!</v>
      </c>
      <c r="BD343" s="87" t="e">
        <v>#DIV/0!</v>
      </c>
      <c r="BE343" s="87" t="e">
        <v>#DIV/0!</v>
      </c>
      <c r="BF343" s="87" t="e">
        <v>#DIV/0!</v>
      </c>
    </row>
    <row r="344" spans="1:58" s="38" customFormat="1" ht="16.5" customHeight="1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  <c r="W344" s="77"/>
      <c r="X344" s="77"/>
      <c r="Y344" s="77"/>
      <c r="Z344" s="77"/>
      <c r="AA344" s="77"/>
      <c r="AB344" s="77"/>
      <c r="AC344" s="77"/>
      <c r="AD344" s="77"/>
      <c r="AE344" s="77"/>
      <c r="AF344" s="77"/>
      <c r="AG344" s="77"/>
      <c r="AH344" s="77"/>
      <c r="AI344" s="77"/>
      <c r="AJ344" s="77"/>
      <c r="AK344" s="77"/>
      <c r="AL344" s="77"/>
      <c r="AM344" s="77"/>
      <c r="AN344" s="77"/>
      <c r="AO344" s="77"/>
      <c r="AP344" s="77"/>
      <c r="AQ344" s="77"/>
      <c r="AR344" s="77"/>
      <c r="AS344" s="77"/>
      <c r="AT344" s="77"/>
      <c r="AU344" s="77"/>
      <c r="AV344" s="77"/>
      <c r="AX344" s="84"/>
      <c r="AY344" s="84"/>
    </row>
    <row r="345" spans="1:58" s="38" customFormat="1" ht="16.5" customHeight="1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  <c r="W345" s="77"/>
      <c r="X345" s="77"/>
      <c r="Y345" s="77"/>
      <c r="Z345" s="77"/>
      <c r="AA345" s="77"/>
      <c r="AB345" s="77"/>
      <c r="AC345" s="77"/>
      <c r="AD345" s="77"/>
      <c r="AE345" s="77"/>
      <c r="AF345" s="77"/>
      <c r="AG345" s="77"/>
      <c r="AH345" s="77"/>
      <c r="AI345" s="77"/>
      <c r="AJ345" s="77"/>
      <c r="AK345" s="77"/>
      <c r="AL345" s="77"/>
      <c r="AM345" s="77"/>
      <c r="AN345" s="77"/>
      <c r="AO345" s="77"/>
      <c r="AP345" s="77"/>
      <c r="AQ345" s="77"/>
      <c r="AR345" s="77"/>
      <c r="AS345" s="77"/>
      <c r="AT345" s="77"/>
      <c r="AU345" s="77"/>
      <c r="AV345" s="77"/>
      <c r="AX345" s="84"/>
      <c r="AY345" s="84"/>
    </row>
    <row r="346" spans="1:58" s="38" customFormat="1" ht="16.5" customHeight="1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  <c r="W346" s="77"/>
      <c r="X346" s="77"/>
      <c r="Y346" s="77"/>
      <c r="Z346" s="77"/>
      <c r="AA346" s="77"/>
      <c r="AB346" s="77"/>
      <c r="AC346" s="77"/>
      <c r="AD346" s="77"/>
      <c r="AE346" s="77"/>
      <c r="AF346" s="77"/>
      <c r="AG346" s="77"/>
      <c r="AH346" s="77"/>
      <c r="AI346" s="77"/>
      <c r="AJ346" s="77"/>
      <c r="AK346" s="77"/>
      <c r="AL346" s="77"/>
      <c r="AM346" s="77"/>
      <c r="AN346" s="77"/>
      <c r="AO346" s="77"/>
      <c r="AP346" s="77"/>
      <c r="AQ346" s="77"/>
      <c r="AR346" s="77"/>
      <c r="AS346" s="77"/>
      <c r="AT346" s="77"/>
      <c r="AU346" s="77"/>
      <c r="AV346" s="77"/>
      <c r="AX346" s="84"/>
      <c r="AY346" s="84"/>
    </row>
    <row r="347" spans="1:58" s="38" customFormat="1" ht="16.5" customHeight="1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  <c r="W347" s="77"/>
      <c r="X347" s="77"/>
      <c r="Y347" s="77"/>
      <c r="Z347" s="77"/>
      <c r="AA347" s="77"/>
      <c r="AB347" s="77"/>
      <c r="AC347" s="77"/>
      <c r="AD347" s="77"/>
      <c r="AE347" s="77"/>
      <c r="AF347" s="77"/>
      <c r="AG347" s="77"/>
      <c r="AH347" s="77"/>
      <c r="AI347" s="77"/>
      <c r="AJ347" s="77"/>
      <c r="AK347" s="77"/>
      <c r="AL347" s="77"/>
      <c r="AM347" s="77"/>
      <c r="AN347" s="77"/>
      <c r="AO347" s="77"/>
      <c r="AP347" s="77"/>
      <c r="AQ347" s="77"/>
      <c r="AR347" s="77"/>
      <c r="AS347" s="77"/>
      <c r="AT347" s="77"/>
      <c r="AU347" s="77"/>
      <c r="AV347" s="77"/>
      <c r="AX347" s="84"/>
      <c r="AY347" s="84"/>
    </row>
    <row r="348" spans="1:58" s="38" customFormat="1" ht="16.5" customHeight="1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  <c r="W348" s="77"/>
      <c r="X348" s="77"/>
      <c r="Y348" s="77"/>
      <c r="Z348" s="77"/>
      <c r="AA348" s="77"/>
      <c r="AB348" s="77"/>
      <c r="AC348" s="77"/>
      <c r="AD348" s="77"/>
      <c r="AE348" s="77"/>
      <c r="AF348" s="77"/>
      <c r="AG348" s="77"/>
      <c r="AH348" s="77"/>
      <c r="AI348" s="77"/>
      <c r="AJ348" s="77"/>
      <c r="AK348" s="77"/>
      <c r="AL348" s="77"/>
      <c r="AM348" s="77"/>
      <c r="AN348" s="77"/>
      <c r="AO348" s="77"/>
      <c r="AP348" s="77"/>
      <c r="AQ348" s="77"/>
      <c r="AR348" s="77"/>
      <c r="AS348" s="77"/>
      <c r="AT348" s="77"/>
      <c r="AU348" s="77"/>
      <c r="AV348" s="77"/>
      <c r="AX348" s="84"/>
      <c r="AY348" s="84"/>
    </row>
    <row r="349" spans="1:58" s="38" customFormat="1" ht="16.5" customHeight="1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  <c r="W349" s="77"/>
      <c r="X349" s="77"/>
      <c r="Y349" s="77"/>
      <c r="Z349" s="77"/>
      <c r="AA349" s="77"/>
      <c r="AB349" s="77"/>
      <c r="AC349" s="77"/>
      <c r="AD349" s="77"/>
      <c r="AE349" s="77"/>
      <c r="AF349" s="77"/>
      <c r="AG349" s="77"/>
      <c r="AH349" s="77"/>
      <c r="AI349" s="77"/>
      <c r="AJ349" s="77"/>
      <c r="AK349" s="77"/>
      <c r="AL349" s="77"/>
      <c r="AM349" s="77"/>
      <c r="AN349" s="77"/>
      <c r="AO349" s="77"/>
      <c r="AP349" s="77"/>
      <c r="AQ349" s="77"/>
      <c r="AR349" s="77"/>
      <c r="AS349" s="77"/>
      <c r="AT349" s="77"/>
      <c r="AU349" s="77"/>
      <c r="AV349" s="77"/>
      <c r="AX349" s="84"/>
      <c r="AY349" s="84"/>
    </row>
    <row r="350" spans="1:58" s="38" customFormat="1" ht="16.5" customHeight="1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  <c r="W350" s="77"/>
      <c r="X350" s="77"/>
      <c r="Y350" s="77"/>
      <c r="Z350" s="77"/>
      <c r="AA350" s="77"/>
      <c r="AB350" s="77"/>
      <c r="AC350" s="77"/>
      <c r="AD350" s="77"/>
      <c r="AE350" s="77"/>
      <c r="AF350" s="77"/>
      <c r="AG350" s="77"/>
      <c r="AH350" s="77"/>
      <c r="AI350" s="77"/>
      <c r="AJ350" s="77"/>
      <c r="AK350" s="77"/>
      <c r="AL350" s="77"/>
      <c r="AM350" s="77"/>
      <c r="AN350" s="77"/>
      <c r="AO350" s="77"/>
      <c r="AP350" s="77"/>
      <c r="AQ350" s="77"/>
      <c r="AR350" s="77"/>
      <c r="AS350" s="77"/>
      <c r="AT350" s="77"/>
      <c r="AU350" s="77"/>
      <c r="AV350" s="77"/>
      <c r="AX350" s="84"/>
      <c r="AY350" s="84"/>
    </row>
    <row r="351" spans="1:58" s="38" customFormat="1" ht="16.5" customHeight="1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  <c r="W351" s="77"/>
      <c r="X351" s="77"/>
      <c r="Y351" s="77"/>
      <c r="Z351" s="77"/>
      <c r="AA351" s="77"/>
      <c r="AB351" s="77"/>
      <c r="AC351" s="77"/>
      <c r="AD351" s="77"/>
      <c r="AE351" s="77"/>
      <c r="AF351" s="77"/>
      <c r="AG351" s="77"/>
      <c r="AH351" s="77"/>
      <c r="AI351" s="77"/>
      <c r="AJ351" s="77"/>
      <c r="AK351" s="77"/>
      <c r="AL351" s="77"/>
      <c r="AM351" s="77"/>
      <c r="AN351" s="77"/>
      <c r="AO351" s="77"/>
      <c r="AP351" s="77"/>
      <c r="AQ351" s="77"/>
      <c r="AR351" s="77"/>
      <c r="AS351" s="77"/>
      <c r="AT351" s="77"/>
      <c r="AU351" s="77"/>
      <c r="AV351" s="77"/>
      <c r="AX351" s="84"/>
      <c r="AY351" s="84"/>
    </row>
    <row r="352" spans="1:58" s="38" customFormat="1" ht="16.5" customHeight="1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  <c r="W352" s="77"/>
      <c r="X352" s="77"/>
      <c r="Y352" s="77"/>
      <c r="Z352" s="77"/>
      <c r="AA352" s="77"/>
      <c r="AB352" s="77"/>
      <c r="AC352" s="77"/>
      <c r="AD352" s="77"/>
      <c r="AE352" s="77"/>
      <c r="AF352" s="77"/>
      <c r="AG352" s="77"/>
      <c r="AH352" s="77"/>
      <c r="AI352" s="77"/>
      <c r="AJ352" s="77"/>
      <c r="AK352" s="77"/>
      <c r="AL352" s="77"/>
      <c r="AM352" s="77"/>
      <c r="AN352" s="77"/>
      <c r="AO352" s="77"/>
      <c r="AP352" s="77"/>
      <c r="AQ352" s="77"/>
      <c r="AR352" s="77"/>
      <c r="AS352" s="77"/>
      <c r="AT352" s="77"/>
      <c r="AU352" s="77"/>
      <c r="AV352" s="77"/>
      <c r="AX352" s="84"/>
      <c r="AY352" s="84"/>
    </row>
    <row r="353" spans="1:51" s="38" customFormat="1" ht="16.5" customHeight="1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  <c r="W353" s="77"/>
      <c r="X353" s="77"/>
      <c r="Y353" s="77"/>
      <c r="Z353" s="77"/>
      <c r="AA353" s="77"/>
      <c r="AB353" s="77"/>
      <c r="AC353" s="77"/>
      <c r="AD353" s="77"/>
      <c r="AE353" s="77"/>
      <c r="AF353" s="77"/>
      <c r="AG353" s="77"/>
      <c r="AH353" s="77"/>
      <c r="AI353" s="77"/>
      <c r="AJ353" s="77"/>
      <c r="AK353" s="77"/>
      <c r="AL353" s="77"/>
      <c r="AM353" s="77"/>
      <c r="AN353" s="77"/>
      <c r="AO353" s="77"/>
      <c r="AP353" s="77"/>
      <c r="AQ353" s="77"/>
      <c r="AR353" s="77"/>
      <c r="AS353" s="77"/>
      <c r="AT353" s="77"/>
      <c r="AU353" s="77"/>
      <c r="AV353" s="77"/>
      <c r="AX353" s="84"/>
      <c r="AY353" s="84"/>
    </row>
    <row r="354" spans="1:51" s="38" customFormat="1" ht="16.5" customHeight="1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  <c r="W354" s="77"/>
      <c r="X354" s="77"/>
      <c r="Y354" s="77"/>
      <c r="Z354" s="77"/>
      <c r="AA354" s="77"/>
      <c r="AB354" s="77"/>
      <c r="AC354" s="77"/>
      <c r="AD354" s="77"/>
      <c r="AE354" s="77"/>
      <c r="AF354" s="77"/>
      <c r="AG354" s="77"/>
      <c r="AH354" s="77"/>
      <c r="AI354" s="77"/>
      <c r="AJ354" s="77"/>
      <c r="AK354" s="77"/>
      <c r="AL354" s="77"/>
      <c r="AM354" s="77"/>
      <c r="AN354" s="77"/>
      <c r="AO354" s="77"/>
      <c r="AP354" s="77"/>
      <c r="AQ354" s="77"/>
      <c r="AR354" s="77"/>
      <c r="AS354" s="77"/>
      <c r="AT354" s="77"/>
      <c r="AU354" s="77"/>
      <c r="AV354" s="77"/>
      <c r="AX354" s="84"/>
      <c r="AY354" s="84"/>
    </row>
    <row r="355" spans="1:51" s="38" customFormat="1" ht="16.5" customHeight="1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  <c r="W355" s="77"/>
      <c r="X355" s="77"/>
      <c r="Y355" s="77"/>
      <c r="Z355" s="77"/>
      <c r="AA355" s="77"/>
      <c r="AB355" s="77"/>
      <c r="AC355" s="77"/>
      <c r="AD355" s="77"/>
      <c r="AE355" s="77"/>
      <c r="AF355" s="77"/>
      <c r="AG355" s="77"/>
      <c r="AH355" s="77"/>
      <c r="AI355" s="77"/>
      <c r="AJ355" s="77"/>
      <c r="AK355" s="77"/>
      <c r="AL355" s="77"/>
      <c r="AM355" s="77"/>
      <c r="AN355" s="77"/>
      <c r="AO355" s="77"/>
      <c r="AP355" s="77"/>
      <c r="AQ355" s="77"/>
      <c r="AR355" s="77"/>
      <c r="AS355" s="77"/>
      <c r="AT355" s="77"/>
      <c r="AU355" s="77"/>
      <c r="AV355" s="77"/>
      <c r="AX355" s="84"/>
      <c r="AY355" s="84"/>
    </row>
    <row r="356" spans="1:51" s="38" customFormat="1" ht="16.5" customHeight="1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  <c r="W356" s="77"/>
      <c r="X356" s="77"/>
      <c r="Y356" s="77"/>
      <c r="Z356" s="77"/>
      <c r="AA356" s="77"/>
      <c r="AB356" s="77"/>
      <c r="AC356" s="77"/>
      <c r="AD356" s="77"/>
      <c r="AE356" s="77"/>
      <c r="AF356" s="77"/>
      <c r="AG356" s="77"/>
      <c r="AH356" s="77"/>
      <c r="AI356" s="77"/>
      <c r="AJ356" s="77"/>
      <c r="AK356" s="77"/>
      <c r="AL356" s="77"/>
      <c r="AM356" s="77"/>
      <c r="AN356" s="77"/>
      <c r="AO356" s="77"/>
      <c r="AP356" s="77"/>
      <c r="AQ356" s="77"/>
      <c r="AR356" s="77"/>
      <c r="AS356" s="77"/>
      <c r="AT356" s="77"/>
      <c r="AU356" s="77"/>
      <c r="AV356" s="77"/>
      <c r="AX356" s="84"/>
      <c r="AY356" s="84"/>
    </row>
    <row r="357" spans="1:51" s="38" customFormat="1" ht="16.5" customHeight="1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  <c r="W357" s="77"/>
      <c r="X357" s="77"/>
      <c r="Y357" s="77"/>
      <c r="Z357" s="77"/>
      <c r="AA357" s="77"/>
      <c r="AB357" s="77"/>
      <c r="AC357" s="77"/>
      <c r="AD357" s="77"/>
      <c r="AE357" s="77"/>
      <c r="AF357" s="77"/>
      <c r="AG357" s="77"/>
      <c r="AH357" s="77"/>
      <c r="AI357" s="77"/>
      <c r="AJ357" s="77"/>
      <c r="AK357" s="77"/>
      <c r="AL357" s="77"/>
      <c r="AM357" s="77"/>
      <c r="AN357" s="77"/>
      <c r="AO357" s="77"/>
      <c r="AP357" s="77"/>
      <c r="AQ357" s="77"/>
      <c r="AR357" s="77"/>
      <c r="AS357" s="77"/>
      <c r="AT357" s="77"/>
      <c r="AU357" s="77"/>
      <c r="AV357" s="77"/>
      <c r="AX357" s="84"/>
      <c r="AY357" s="84"/>
    </row>
    <row r="358" spans="1:51" s="38" customFormat="1" ht="16.5" customHeight="1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  <c r="W358" s="77"/>
      <c r="X358" s="77"/>
      <c r="Y358" s="77"/>
      <c r="Z358" s="77"/>
      <c r="AA358" s="77"/>
      <c r="AB358" s="77"/>
      <c r="AC358" s="77"/>
      <c r="AD358" s="77"/>
      <c r="AE358" s="77"/>
      <c r="AF358" s="77"/>
      <c r="AG358" s="77"/>
      <c r="AH358" s="77"/>
      <c r="AI358" s="77"/>
      <c r="AJ358" s="77"/>
      <c r="AK358" s="77"/>
      <c r="AL358" s="77"/>
      <c r="AM358" s="77"/>
      <c r="AN358" s="77"/>
      <c r="AO358" s="77"/>
      <c r="AP358" s="77"/>
      <c r="AQ358" s="77"/>
      <c r="AR358" s="77"/>
      <c r="AS358" s="77"/>
      <c r="AT358" s="77"/>
      <c r="AU358" s="77"/>
      <c r="AV358" s="77"/>
      <c r="AX358" s="84"/>
      <c r="AY358" s="84"/>
    </row>
    <row r="359" spans="1:51" s="38" customFormat="1" ht="16.5" customHeight="1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  <c r="W359" s="77"/>
      <c r="X359" s="77"/>
      <c r="Y359" s="77"/>
      <c r="Z359" s="77"/>
      <c r="AA359" s="77"/>
      <c r="AB359" s="77"/>
      <c r="AC359" s="77"/>
      <c r="AD359" s="77"/>
      <c r="AE359" s="77"/>
      <c r="AF359" s="77"/>
      <c r="AG359" s="77"/>
      <c r="AH359" s="77"/>
      <c r="AI359" s="77"/>
      <c r="AJ359" s="77"/>
      <c r="AK359" s="77"/>
      <c r="AL359" s="77"/>
      <c r="AM359" s="77"/>
      <c r="AN359" s="77"/>
      <c r="AO359" s="77"/>
      <c r="AP359" s="77"/>
      <c r="AQ359" s="77"/>
      <c r="AR359" s="77"/>
      <c r="AS359" s="77"/>
      <c r="AT359" s="77"/>
      <c r="AU359" s="77"/>
      <c r="AV359" s="77"/>
      <c r="AX359" s="84"/>
      <c r="AY359" s="84"/>
    </row>
    <row r="360" spans="1:51" s="38" customFormat="1" ht="16.5" customHeight="1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  <c r="W360" s="77"/>
      <c r="X360" s="77"/>
      <c r="Y360" s="77"/>
      <c r="Z360" s="77"/>
      <c r="AA360" s="77"/>
      <c r="AB360" s="77"/>
      <c r="AC360" s="77"/>
      <c r="AD360" s="77"/>
      <c r="AE360" s="77"/>
      <c r="AF360" s="77"/>
      <c r="AG360" s="77"/>
      <c r="AH360" s="77"/>
      <c r="AI360" s="77"/>
      <c r="AJ360" s="77"/>
      <c r="AK360" s="77"/>
      <c r="AL360" s="77"/>
      <c r="AM360" s="77"/>
      <c r="AN360" s="77"/>
      <c r="AO360" s="77"/>
      <c r="AP360" s="77"/>
      <c r="AQ360" s="77"/>
      <c r="AR360" s="77"/>
      <c r="AS360" s="77"/>
      <c r="AT360" s="77"/>
      <c r="AU360" s="77"/>
      <c r="AV360" s="77"/>
      <c r="AX360" s="84"/>
      <c r="AY360" s="84"/>
    </row>
    <row r="361" spans="1:51" s="38" customFormat="1" ht="16.5" customHeight="1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  <c r="W361" s="77"/>
      <c r="X361" s="77"/>
      <c r="Y361" s="77"/>
      <c r="Z361" s="77"/>
      <c r="AA361" s="77"/>
      <c r="AB361" s="77"/>
      <c r="AC361" s="77"/>
      <c r="AD361" s="77"/>
      <c r="AE361" s="77"/>
      <c r="AF361" s="77"/>
      <c r="AG361" s="77"/>
      <c r="AH361" s="77"/>
      <c r="AI361" s="77"/>
      <c r="AJ361" s="77"/>
      <c r="AK361" s="77"/>
      <c r="AL361" s="77"/>
      <c r="AM361" s="77"/>
      <c r="AN361" s="77"/>
      <c r="AO361" s="77"/>
      <c r="AP361" s="77"/>
      <c r="AQ361" s="77"/>
      <c r="AR361" s="77"/>
      <c r="AS361" s="77"/>
      <c r="AT361" s="77"/>
      <c r="AU361" s="77"/>
      <c r="AV361" s="77"/>
      <c r="AX361" s="84"/>
      <c r="AY361" s="84"/>
    </row>
    <row r="362" spans="1:51" s="38" customFormat="1" ht="16.5" customHeight="1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  <c r="W362" s="77"/>
      <c r="X362" s="77"/>
      <c r="Y362" s="77"/>
      <c r="Z362" s="77"/>
      <c r="AA362" s="77"/>
      <c r="AB362" s="77"/>
      <c r="AC362" s="77"/>
      <c r="AD362" s="77"/>
      <c r="AE362" s="77"/>
      <c r="AF362" s="77"/>
      <c r="AG362" s="77"/>
      <c r="AH362" s="77"/>
      <c r="AI362" s="77"/>
      <c r="AJ362" s="77"/>
      <c r="AK362" s="77"/>
      <c r="AL362" s="77"/>
      <c r="AM362" s="77"/>
      <c r="AN362" s="77"/>
      <c r="AO362" s="77"/>
      <c r="AP362" s="77"/>
      <c r="AQ362" s="77"/>
      <c r="AR362" s="77"/>
      <c r="AS362" s="77"/>
      <c r="AT362" s="77"/>
      <c r="AU362" s="77"/>
      <c r="AV362" s="77"/>
      <c r="AX362" s="84"/>
      <c r="AY362" s="84"/>
    </row>
    <row r="363" spans="1:51" s="38" customFormat="1" ht="16.5" customHeight="1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  <c r="W363" s="77"/>
      <c r="X363" s="77"/>
      <c r="Y363" s="77"/>
      <c r="Z363" s="77"/>
      <c r="AA363" s="77"/>
      <c r="AB363" s="77"/>
      <c r="AC363" s="77"/>
      <c r="AD363" s="77"/>
      <c r="AE363" s="77"/>
      <c r="AF363" s="77"/>
      <c r="AG363" s="77"/>
      <c r="AH363" s="77"/>
      <c r="AI363" s="77"/>
      <c r="AJ363" s="77"/>
      <c r="AK363" s="77"/>
      <c r="AL363" s="77"/>
      <c r="AM363" s="77"/>
      <c r="AN363" s="77"/>
      <c r="AO363" s="77"/>
      <c r="AP363" s="77"/>
      <c r="AQ363" s="77"/>
      <c r="AR363" s="77"/>
      <c r="AS363" s="77"/>
      <c r="AT363" s="77"/>
      <c r="AU363" s="77"/>
      <c r="AV363" s="77"/>
      <c r="AX363" s="84"/>
      <c r="AY363" s="84"/>
    </row>
    <row r="364" spans="1:51" s="38" customFormat="1" ht="16.5" customHeight="1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  <c r="W364" s="77"/>
      <c r="X364" s="77"/>
      <c r="Y364" s="77"/>
      <c r="Z364" s="77"/>
      <c r="AA364" s="77"/>
      <c r="AB364" s="77"/>
      <c r="AC364" s="77"/>
      <c r="AD364" s="77"/>
      <c r="AE364" s="77"/>
      <c r="AF364" s="77"/>
      <c r="AG364" s="77"/>
      <c r="AH364" s="77"/>
      <c r="AI364" s="77"/>
      <c r="AJ364" s="77"/>
      <c r="AK364" s="77"/>
      <c r="AL364" s="77"/>
      <c r="AM364" s="77"/>
      <c r="AN364" s="77"/>
      <c r="AO364" s="77"/>
      <c r="AP364" s="77"/>
      <c r="AQ364" s="77"/>
      <c r="AR364" s="77"/>
      <c r="AS364" s="77"/>
      <c r="AT364" s="77"/>
      <c r="AU364" s="77"/>
      <c r="AV364" s="77"/>
      <c r="AX364" s="84"/>
      <c r="AY364" s="84"/>
    </row>
    <row r="365" spans="1:51" s="38" customFormat="1" ht="16.5" customHeight="1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  <c r="W365" s="77"/>
      <c r="X365" s="77"/>
      <c r="Y365" s="77"/>
      <c r="Z365" s="77"/>
      <c r="AA365" s="77"/>
      <c r="AB365" s="77"/>
      <c r="AC365" s="77"/>
      <c r="AD365" s="77"/>
      <c r="AE365" s="77"/>
      <c r="AF365" s="77"/>
      <c r="AG365" s="77"/>
      <c r="AH365" s="77"/>
      <c r="AI365" s="77"/>
      <c r="AJ365" s="77"/>
      <c r="AK365" s="77"/>
      <c r="AL365" s="77"/>
      <c r="AM365" s="77"/>
      <c r="AN365" s="77"/>
      <c r="AO365" s="77"/>
      <c r="AP365" s="77"/>
      <c r="AQ365" s="77"/>
      <c r="AR365" s="77"/>
      <c r="AS365" s="77"/>
      <c r="AT365" s="77"/>
      <c r="AU365" s="77"/>
      <c r="AV365" s="77"/>
      <c r="AX365" s="84"/>
      <c r="AY365" s="84"/>
    </row>
    <row r="366" spans="1:51" s="38" customFormat="1" ht="16.5" customHeight="1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  <c r="W366" s="77"/>
      <c r="X366" s="77"/>
      <c r="Y366" s="77"/>
      <c r="Z366" s="77"/>
      <c r="AA366" s="77"/>
      <c r="AB366" s="77"/>
      <c r="AC366" s="77"/>
      <c r="AD366" s="77"/>
      <c r="AE366" s="77"/>
      <c r="AF366" s="77"/>
      <c r="AG366" s="77"/>
      <c r="AH366" s="77"/>
      <c r="AI366" s="77"/>
      <c r="AJ366" s="77"/>
      <c r="AK366" s="77"/>
      <c r="AL366" s="77"/>
      <c r="AM366" s="77"/>
      <c r="AN366" s="77"/>
      <c r="AO366" s="77"/>
      <c r="AP366" s="77"/>
      <c r="AQ366" s="77"/>
      <c r="AR366" s="77"/>
      <c r="AS366" s="77"/>
      <c r="AT366" s="77"/>
      <c r="AU366" s="77"/>
      <c r="AV366" s="77"/>
      <c r="AX366" s="84"/>
      <c r="AY366" s="84"/>
    </row>
    <row r="367" spans="1:51" s="38" customFormat="1" ht="16.5" customHeight="1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  <c r="W367" s="77"/>
      <c r="X367" s="77"/>
      <c r="Y367" s="77"/>
      <c r="Z367" s="77"/>
      <c r="AA367" s="77"/>
      <c r="AB367" s="77"/>
      <c r="AC367" s="77"/>
      <c r="AD367" s="77"/>
      <c r="AE367" s="77"/>
      <c r="AF367" s="77"/>
      <c r="AG367" s="77"/>
      <c r="AH367" s="77"/>
      <c r="AI367" s="77"/>
      <c r="AJ367" s="77"/>
      <c r="AK367" s="77"/>
      <c r="AL367" s="77"/>
      <c r="AM367" s="77"/>
      <c r="AN367" s="77"/>
      <c r="AO367" s="77"/>
      <c r="AP367" s="77"/>
      <c r="AQ367" s="77"/>
      <c r="AR367" s="77"/>
      <c r="AS367" s="77"/>
      <c r="AT367" s="77"/>
      <c r="AU367" s="77"/>
      <c r="AV367" s="77"/>
      <c r="AX367" s="84"/>
      <c r="AY367" s="84"/>
    </row>
    <row r="368" spans="1:51" s="38" customFormat="1" ht="16.5" customHeight="1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  <c r="W368" s="77"/>
      <c r="X368" s="77"/>
      <c r="Y368" s="77"/>
      <c r="Z368" s="77"/>
      <c r="AA368" s="77"/>
      <c r="AB368" s="77"/>
      <c r="AC368" s="77"/>
      <c r="AD368" s="77"/>
      <c r="AE368" s="77"/>
      <c r="AF368" s="77"/>
      <c r="AG368" s="77"/>
      <c r="AH368" s="77"/>
      <c r="AI368" s="77"/>
      <c r="AJ368" s="77"/>
      <c r="AK368" s="77"/>
      <c r="AL368" s="77"/>
      <c r="AM368" s="77"/>
      <c r="AN368" s="77"/>
      <c r="AO368" s="77"/>
      <c r="AP368" s="77"/>
      <c r="AQ368" s="77"/>
      <c r="AR368" s="77"/>
      <c r="AS368" s="77"/>
      <c r="AT368" s="77"/>
      <c r="AU368" s="77"/>
      <c r="AV368" s="77"/>
      <c r="AX368" s="84"/>
      <c r="AY368" s="84"/>
    </row>
    <row r="369" spans="1:51" s="38" customFormat="1" ht="16.5" customHeight="1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  <c r="W369" s="77"/>
      <c r="X369" s="77"/>
      <c r="Y369" s="77"/>
      <c r="Z369" s="77"/>
      <c r="AA369" s="77"/>
      <c r="AB369" s="77"/>
      <c r="AC369" s="77"/>
      <c r="AD369" s="77"/>
      <c r="AE369" s="77"/>
      <c r="AF369" s="77"/>
      <c r="AG369" s="77"/>
      <c r="AH369" s="77"/>
      <c r="AI369" s="77"/>
      <c r="AJ369" s="77"/>
      <c r="AK369" s="77"/>
      <c r="AL369" s="77"/>
      <c r="AM369" s="77"/>
      <c r="AN369" s="77"/>
      <c r="AO369" s="77"/>
      <c r="AP369" s="77"/>
      <c r="AQ369" s="77"/>
      <c r="AR369" s="77"/>
      <c r="AS369" s="77"/>
      <c r="AT369" s="77"/>
      <c r="AU369" s="77"/>
      <c r="AV369" s="77"/>
      <c r="AX369" s="84"/>
      <c r="AY369" s="84"/>
    </row>
    <row r="370" spans="1:51" s="38" customFormat="1" ht="16.5" customHeight="1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  <c r="W370" s="77"/>
      <c r="X370" s="77"/>
      <c r="Y370" s="77"/>
      <c r="Z370" s="77"/>
      <c r="AA370" s="77"/>
      <c r="AB370" s="77"/>
      <c r="AC370" s="77"/>
      <c r="AD370" s="77"/>
      <c r="AE370" s="77"/>
      <c r="AF370" s="77"/>
      <c r="AG370" s="77"/>
      <c r="AH370" s="77"/>
      <c r="AI370" s="77"/>
      <c r="AJ370" s="77"/>
      <c r="AK370" s="77"/>
      <c r="AL370" s="77"/>
      <c r="AM370" s="77"/>
      <c r="AN370" s="77"/>
      <c r="AO370" s="77"/>
      <c r="AP370" s="77"/>
      <c r="AQ370" s="77"/>
      <c r="AR370" s="77"/>
      <c r="AS370" s="77"/>
      <c r="AT370" s="77"/>
      <c r="AU370" s="77"/>
      <c r="AV370" s="77"/>
      <c r="AX370" s="84"/>
      <c r="AY370" s="84"/>
    </row>
    <row r="371" spans="1:51" s="38" customFormat="1" ht="16.5" customHeight="1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  <c r="W371" s="77"/>
      <c r="X371" s="77"/>
      <c r="Y371" s="77"/>
      <c r="Z371" s="77"/>
      <c r="AA371" s="77"/>
      <c r="AB371" s="77"/>
      <c r="AC371" s="77"/>
      <c r="AD371" s="77"/>
      <c r="AE371" s="77"/>
      <c r="AF371" s="77"/>
      <c r="AG371" s="77"/>
      <c r="AH371" s="77"/>
      <c r="AI371" s="77"/>
      <c r="AJ371" s="77"/>
      <c r="AK371" s="77"/>
      <c r="AL371" s="77"/>
      <c r="AM371" s="77"/>
      <c r="AN371" s="77"/>
      <c r="AO371" s="77"/>
      <c r="AP371" s="77"/>
      <c r="AQ371" s="77"/>
      <c r="AR371" s="77"/>
      <c r="AS371" s="77"/>
      <c r="AT371" s="77"/>
      <c r="AU371" s="77"/>
      <c r="AV371" s="77"/>
      <c r="AX371" s="84"/>
      <c r="AY371" s="84"/>
    </row>
    <row r="372" spans="1:51" s="38" customFormat="1" ht="16.5" customHeight="1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  <c r="W372" s="77"/>
      <c r="X372" s="77"/>
      <c r="Y372" s="77"/>
      <c r="Z372" s="77"/>
      <c r="AA372" s="77"/>
      <c r="AB372" s="77"/>
      <c r="AC372" s="77"/>
      <c r="AD372" s="77"/>
      <c r="AE372" s="77"/>
      <c r="AF372" s="77"/>
      <c r="AG372" s="77"/>
      <c r="AH372" s="77"/>
      <c r="AI372" s="77"/>
      <c r="AJ372" s="77"/>
      <c r="AK372" s="77"/>
      <c r="AL372" s="77"/>
      <c r="AM372" s="77"/>
      <c r="AN372" s="77"/>
      <c r="AO372" s="77"/>
      <c r="AP372" s="77"/>
      <c r="AQ372" s="77"/>
      <c r="AR372" s="77"/>
      <c r="AS372" s="77"/>
      <c r="AT372" s="77"/>
      <c r="AU372" s="77"/>
      <c r="AV372" s="77"/>
      <c r="AX372" s="84"/>
      <c r="AY372" s="84"/>
    </row>
    <row r="373" spans="1:51" s="38" customFormat="1" ht="16.5" customHeight="1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  <c r="W373" s="77"/>
      <c r="X373" s="77"/>
      <c r="Y373" s="77"/>
      <c r="Z373" s="77"/>
      <c r="AA373" s="77"/>
      <c r="AB373" s="77"/>
      <c r="AC373" s="77"/>
      <c r="AD373" s="77"/>
      <c r="AE373" s="77"/>
      <c r="AF373" s="77"/>
      <c r="AG373" s="77"/>
      <c r="AH373" s="77"/>
      <c r="AI373" s="77"/>
      <c r="AJ373" s="77"/>
      <c r="AK373" s="77"/>
      <c r="AL373" s="77"/>
      <c r="AM373" s="77"/>
      <c r="AN373" s="77"/>
      <c r="AO373" s="77"/>
      <c r="AP373" s="77"/>
      <c r="AQ373" s="77"/>
      <c r="AR373" s="77"/>
      <c r="AS373" s="77"/>
      <c r="AT373" s="77"/>
      <c r="AU373" s="77"/>
      <c r="AV373" s="77"/>
      <c r="AX373" s="84"/>
      <c r="AY373" s="84"/>
    </row>
    <row r="374" spans="1:51" s="38" customFormat="1" ht="16.5" customHeight="1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  <c r="W374" s="77"/>
      <c r="X374" s="77"/>
      <c r="Y374" s="77"/>
      <c r="Z374" s="77"/>
      <c r="AA374" s="77"/>
      <c r="AB374" s="77"/>
      <c r="AC374" s="77"/>
      <c r="AD374" s="77"/>
      <c r="AE374" s="77"/>
      <c r="AF374" s="77"/>
      <c r="AG374" s="77"/>
      <c r="AH374" s="77"/>
      <c r="AI374" s="77"/>
      <c r="AJ374" s="77"/>
      <c r="AK374" s="77"/>
      <c r="AL374" s="77"/>
      <c r="AM374" s="77"/>
      <c r="AN374" s="77"/>
      <c r="AO374" s="77"/>
      <c r="AP374" s="77"/>
      <c r="AQ374" s="77"/>
      <c r="AR374" s="77"/>
      <c r="AS374" s="77"/>
      <c r="AT374" s="77"/>
      <c r="AU374" s="77"/>
      <c r="AV374" s="77"/>
      <c r="AX374" s="84"/>
      <c r="AY374" s="84"/>
    </row>
    <row r="375" spans="1:51" s="38" customFormat="1" ht="16.5" customHeight="1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  <c r="W375" s="77"/>
      <c r="X375" s="77"/>
      <c r="Y375" s="77"/>
      <c r="Z375" s="77"/>
      <c r="AA375" s="77"/>
      <c r="AB375" s="77"/>
      <c r="AC375" s="77"/>
      <c r="AD375" s="77"/>
      <c r="AE375" s="77"/>
      <c r="AF375" s="77"/>
      <c r="AG375" s="77"/>
      <c r="AH375" s="77"/>
      <c r="AI375" s="77"/>
      <c r="AJ375" s="77"/>
      <c r="AK375" s="77"/>
      <c r="AL375" s="77"/>
      <c r="AM375" s="77"/>
      <c r="AN375" s="77"/>
      <c r="AO375" s="77"/>
      <c r="AP375" s="77"/>
      <c r="AQ375" s="77"/>
      <c r="AR375" s="77"/>
      <c r="AS375" s="77"/>
      <c r="AT375" s="77"/>
      <c r="AU375" s="77"/>
      <c r="AV375" s="77"/>
      <c r="AX375" s="84"/>
      <c r="AY375" s="84"/>
    </row>
    <row r="376" spans="1:51" s="38" customFormat="1" ht="16.5" customHeight="1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  <c r="W376" s="77"/>
      <c r="X376" s="77"/>
      <c r="Y376" s="77"/>
      <c r="Z376" s="77"/>
      <c r="AA376" s="77"/>
      <c r="AB376" s="77"/>
      <c r="AC376" s="77"/>
      <c r="AD376" s="77"/>
      <c r="AE376" s="77"/>
      <c r="AF376" s="77"/>
      <c r="AG376" s="77"/>
      <c r="AH376" s="77"/>
      <c r="AI376" s="77"/>
      <c r="AJ376" s="77"/>
      <c r="AK376" s="77"/>
      <c r="AL376" s="77"/>
      <c r="AM376" s="77"/>
      <c r="AN376" s="77"/>
      <c r="AO376" s="77"/>
      <c r="AP376" s="77"/>
      <c r="AQ376" s="77"/>
      <c r="AR376" s="77"/>
      <c r="AS376" s="77"/>
      <c r="AT376" s="77"/>
      <c r="AU376" s="77"/>
      <c r="AV376" s="77"/>
      <c r="AX376" s="84"/>
      <c r="AY376" s="84"/>
    </row>
    <row r="377" spans="1:51" s="38" customFormat="1" ht="16.5" customHeight="1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  <c r="W377" s="77"/>
      <c r="X377" s="77"/>
      <c r="Y377" s="77"/>
      <c r="Z377" s="77"/>
      <c r="AA377" s="77"/>
      <c r="AB377" s="77"/>
      <c r="AC377" s="77"/>
      <c r="AD377" s="77"/>
      <c r="AE377" s="77"/>
      <c r="AF377" s="77"/>
      <c r="AG377" s="77"/>
      <c r="AH377" s="77"/>
      <c r="AI377" s="77"/>
      <c r="AJ377" s="77"/>
      <c r="AK377" s="77"/>
      <c r="AL377" s="77"/>
      <c r="AM377" s="77"/>
      <c r="AN377" s="77"/>
      <c r="AO377" s="77"/>
      <c r="AP377" s="77"/>
      <c r="AQ377" s="77"/>
      <c r="AR377" s="77"/>
      <c r="AS377" s="77"/>
      <c r="AT377" s="77"/>
      <c r="AU377" s="77"/>
      <c r="AV377" s="77"/>
      <c r="AX377" s="84"/>
      <c r="AY377" s="84"/>
    </row>
    <row r="378" spans="1:51" s="38" customFormat="1" ht="16.5" customHeight="1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  <c r="W378" s="77"/>
      <c r="X378" s="77"/>
      <c r="Y378" s="77"/>
      <c r="Z378" s="77"/>
      <c r="AA378" s="77"/>
      <c r="AB378" s="77"/>
      <c r="AC378" s="77"/>
      <c r="AD378" s="77"/>
      <c r="AE378" s="77"/>
      <c r="AF378" s="77"/>
      <c r="AG378" s="77"/>
      <c r="AH378" s="77"/>
      <c r="AI378" s="77"/>
      <c r="AJ378" s="77"/>
      <c r="AK378" s="77"/>
      <c r="AL378" s="77"/>
      <c r="AM378" s="77"/>
      <c r="AN378" s="77"/>
      <c r="AO378" s="77"/>
      <c r="AP378" s="77"/>
      <c r="AQ378" s="77"/>
      <c r="AR378" s="77"/>
      <c r="AS378" s="77"/>
      <c r="AT378" s="77"/>
      <c r="AU378" s="77"/>
      <c r="AV378" s="77"/>
      <c r="AX378" s="84"/>
      <c r="AY378" s="84"/>
    </row>
    <row r="379" spans="1:51" s="38" customFormat="1" ht="16.5" customHeight="1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  <c r="W379" s="77"/>
      <c r="X379" s="77"/>
      <c r="Y379" s="77"/>
      <c r="Z379" s="77"/>
      <c r="AA379" s="77"/>
      <c r="AB379" s="77"/>
      <c r="AC379" s="77"/>
      <c r="AD379" s="77"/>
      <c r="AE379" s="77"/>
      <c r="AF379" s="77"/>
      <c r="AG379" s="77"/>
      <c r="AH379" s="77"/>
      <c r="AI379" s="77"/>
      <c r="AJ379" s="77"/>
      <c r="AK379" s="77"/>
      <c r="AL379" s="77"/>
      <c r="AM379" s="77"/>
      <c r="AN379" s="77"/>
      <c r="AO379" s="77"/>
      <c r="AP379" s="77"/>
      <c r="AQ379" s="77"/>
      <c r="AR379" s="77"/>
      <c r="AS379" s="77"/>
      <c r="AT379" s="77"/>
      <c r="AU379" s="77"/>
      <c r="AV379" s="77"/>
      <c r="AX379" s="84"/>
      <c r="AY379" s="84"/>
    </row>
    <row r="380" spans="1:51" s="38" customFormat="1" ht="16.5" customHeight="1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  <c r="W380" s="77"/>
      <c r="X380" s="77"/>
      <c r="Y380" s="77"/>
      <c r="Z380" s="77"/>
      <c r="AA380" s="77"/>
      <c r="AB380" s="77"/>
      <c r="AC380" s="77"/>
      <c r="AD380" s="77"/>
      <c r="AE380" s="77"/>
      <c r="AF380" s="77"/>
      <c r="AG380" s="77"/>
      <c r="AH380" s="77"/>
      <c r="AI380" s="77"/>
      <c r="AJ380" s="77"/>
      <c r="AK380" s="77"/>
      <c r="AL380" s="77"/>
      <c r="AM380" s="77"/>
      <c r="AN380" s="77"/>
      <c r="AO380" s="77"/>
      <c r="AP380" s="77"/>
      <c r="AQ380" s="77"/>
      <c r="AR380" s="77"/>
      <c r="AS380" s="77"/>
      <c r="AT380" s="77"/>
      <c r="AU380" s="77"/>
      <c r="AV380" s="77"/>
      <c r="AX380" s="84"/>
      <c r="AY380" s="84"/>
    </row>
    <row r="381" spans="1:51" s="38" customFormat="1" ht="16.5" customHeight="1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  <c r="W381" s="77"/>
      <c r="X381" s="77"/>
      <c r="Y381" s="77"/>
      <c r="Z381" s="77"/>
      <c r="AA381" s="77"/>
      <c r="AB381" s="77"/>
      <c r="AC381" s="77"/>
      <c r="AD381" s="77"/>
      <c r="AE381" s="77"/>
      <c r="AF381" s="77"/>
      <c r="AG381" s="77"/>
      <c r="AH381" s="77"/>
      <c r="AI381" s="77"/>
      <c r="AJ381" s="77"/>
      <c r="AK381" s="77"/>
      <c r="AL381" s="77"/>
      <c r="AM381" s="77"/>
      <c r="AN381" s="77"/>
      <c r="AO381" s="77"/>
      <c r="AP381" s="77"/>
      <c r="AQ381" s="77"/>
      <c r="AR381" s="77"/>
      <c r="AS381" s="77"/>
      <c r="AT381" s="77"/>
      <c r="AU381" s="77"/>
      <c r="AV381" s="77"/>
      <c r="AX381" s="84"/>
      <c r="AY381" s="84"/>
    </row>
    <row r="382" spans="1:51" s="38" customFormat="1" ht="16.5" customHeight="1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  <c r="W382" s="77"/>
      <c r="X382" s="77"/>
      <c r="Y382" s="77"/>
      <c r="Z382" s="77"/>
      <c r="AA382" s="77"/>
      <c r="AB382" s="77"/>
      <c r="AC382" s="77"/>
      <c r="AD382" s="77"/>
      <c r="AE382" s="77"/>
      <c r="AF382" s="77"/>
      <c r="AG382" s="77"/>
      <c r="AH382" s="77"/>
      <c r="AI382" s="77"/>
      <c r="AJ382" s="77"/>
      <c r="AK382" s="77"/>
      <c r="AL382" s="77"/>
      <c r="AM382" s="77"/>
      <c r="AN382" s="77"/>
      <c r="AO382" s="77"/>
      <c r="AP382" s="77"/>
      <c r="AQ382" s="77"/>
      <c r="AR382" s="77"/>
      <c r="AS382" s="77"/>
      <c r="AT382" s="77"/>
      <c r="AU382" s="77"/>
      <c r="AV382" s="77"/>
      <c r="AX382" s="84"/>
      <c r="AY382" s="84"/>
    </row>
    <row r="383" spans="1:51" s="38" customFormat="1" ht="16.5" customHeight="1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  <c r="W383" s="77"/>
      <c r="X383" s="77"/>
      <c r="Y383" s="77"/>
      <c r="Z383" s="77"/>
      <c r="AA383" s="77"/>
      <c r="AB383" s="77"/>
      <c r="AC383" s="77"/>
      <c r="AD383" s="77"/>
      <c r="AE383" s="77"/>
      <c r="AF383" s="77"/>
      <c r="AG383" s="77"/>
      <c r="AH383" s="77"/>
      <c r="AI383" s="77"/>
      <c r="AJ383" s="77"/>
      <c r="AK383" s="77"/>
      <c r="AL383" s="77"/>
      <c r="AM383" s="77"/>
      <c r="AN383" s="77"/>
      <c r="AO383" s="77"/>
      <c r="AP383" s="77"/>
      <c r="AQ383" s="77"/>
      <c r="AR383" s="77"/>
      <c r="AS383" s="77"/>
      <c r="AT383" s="77"/>
      <c r="AU383" s="77"/>
      <c r="AV383" s="77"/>
      <c r="AX383" s="84"/>
      <c r="AY383" s="84"/>
    </row>
    <row r="384" spans="1:51" s="38" customFormat="1" ht="16.5" customHeight="1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  <c r="W384" s="77"/>
      <c r="X384" s="77"/>
      <c r="Y384" s="77"/>
      <c r="Z384" s="77"/>
      <c r="AA384" s="77"/>
      <c r="AB384" s="77"/>
      <c r="AC384" s="77"/>
      <c r="AD384" s="77"/>
      <c r="AE384" s="77"/>
      <c r="AF384" s="77"/>
      <c r="AG384" s="77"/>
      <c r="AH384" s="77"/>
      <c r="AI384" s="77"/>
      <c r="AJ384" s="77"/>
      <c r="AK384" s="77"/>
      <c r="AL384" s="77"/>
      <c r="AM384" s="77"/>
      <c r="AN384" s="77"/>
      <c r="AO384" s="77"/>
      <c r="AP384" s="77"/>
      <c r="AQ384" s="77"/>
      <c r="AR384" s="77"/>
      <c r="AS384" s="77"/>
      <c r="AT384" s="77"/>
      <c r="AU384" s="77"/>
      <c r="AV384" s="77"/>
      <c r="AX384" s="84"/>
      <c r="AY384" s="84"/>
    </row>
    <row r="385" spans="1:51" s="38" customFormat="1" ht="16.5" customHeight="1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  <c r="W385" s="77"/>
      <c r="X385" s="77"/>
      <c r="Y385" s="77"/>
      <c r="Z385" s="77"/>
      <c r="AA385" s="77"/>
      <c r="AB385" s="77"/>
      <c r="AC385" s="77"/>
      <c r="AD385" s="77"/>
      <c r="AE385" s="77"/>
      <c r="AF385" s="77"/>
      <c r="AG385" s="77"/>
      <c r="AH385" s="77"/>
      <c r="AI385" s="77"/>
      <c r="AJ385" s="77"/>
      <c r="AK385" s="77"/>
      <c r="AL385" s="77"/>
      <c r="AM385" s="77"/>
      <c r="AN385" s="77"/>
      <c r="AO385" s="77"/>
      <c r="AP385" s="77"/>
      <c r="AQ385" s="77"/>
      <c r="AR385" s="77"/>
      <c r="AS385" s="77"/>
      <c r="AT385" s="77"/>
      <c r="AU385" s="77"/>
      <c r="AV385" s="77"/>
      <c r="AX385" s="84"/>
      <c r="AY385" s="84"/>
    </row>
    <row r="386" spans="1:51" s="38" customFormat="1" ht="16.5" customHeight="1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  <c r="W386" s="77"/>
      <c r="X386" s="77"/>
      <c r="Y386" s="77"/>
      <c r="Z386" s="77"/>
      <c r="AA386" s="77"/>
      <c r="AB386" s="77"/>
      <c r="AC386" s="77"/>
      <c r="AD386" s="77"/>
      <c r="AE386" s="77"/>
      <c r="AF386" s="77"/>
      <c r="AG386" s="77"/>
      <c r="AH386" s="77"/>
      <c r="AI386" s="77"/>
      <c r="AJ386" s="77"/>
      <c r="AK386" s="77"/>
      <c r="AL386" s="77"/>
      <c r="AM386" s="77"/>
      <c r="AN386" s="77"/>
      <c r="AO386" s="77"/>
      <c r="AP386" s="77"/>
      <c r="AQ386" s="77"/>
      <c r="AR386" s="77"/>
      <c r="AS386" s="77"/>
      <c r="AT386" s="77"/>
      <c r="AU386" s="77"/>
      <c r="AV386" s="77"/>
      <c r="AX386" s="84"/>
      <c r="AY386" s="84"/>
    </row>
    <row r="387" spans="1:51" s="38" customFormat="1" ht="16.5" customHeight="1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  <c r="W387" s="77"/>
      <c r="X387" s="77"/>
      <c r="Y387" s="77"/>
      <c r="Z387" s="77"/>
      <c r="AA387" s="77"/>
      <c r="AB387" s="77"/>
      <c r="AC387" s="77"/>
      <c r="AD387" s="77"/>
      <c r="AE387" s="77"/>
      <c r="AF387" s="77"/>
      <c r="AG387" s="77"/>
      <c r="AH387" s="77"/>
      <c r="AI387" s="77"/>
      <c r="AJ387" s="77"/>
      <c r="AK387" s="77"/>
      <c r="AL387" s="77"/>
      <c r="AM387" s="77"/>
      <c r="AN387" s="77"/>
      <c r="AO387" s="77"/>
      <c r="AP387" s="77"/>
      <c r="AQ387" s="77"/>
      <c r="AR387" s="77"/>
      <c r="AS387" s="77"/>
      <c r="AT387" s="77"/>
      <c r="AU387" s="77"/>
      <c r="AV387" s="77"/>
      <c r="AX387" s="84"/>
      <c r="AY387" s="84"/>
    </row>
    <row r="388" spans="1:51" s="38" customFormat="1" ht="16.5" customHeight="1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  <c r="W388" s="77"/>
      <c r="X388" s="77"/>
      <c r="Y388" s="77"/>
      <c r="Z388" s="77"/>
      <c r="AA388" s="77"/>
      <c r="AB388" s="77"/>
      <c r="AC388" s="77"/>
      <c r="AD388" s="77"/>
      <c r="AE388" s="77"/>
      <c r="AF388" s="77"/>
      <c r="AG388" s="77"/>
      <c r="AH388" s="77"/>
      <c r="AI388" s="77"/>
      <c r="AJ388" s="77"/>
      <c r="AK388" s="77"/>
      <c r="AL388" s="77"/>
      <c r="AM388" s="77"/>
      <c r="AN388" s="77"/>
      <c r="AO388" s="77"/>
      <c r="AP388" s="77"/>
      <c r="AQ388" s="77"/>
      <c r="AR388" s="77"/>
      <c r="AS388" s="77"/>
      <c r="AT388" s="77"/>
      <c r="AU388" s="77"/>
      <c r="AV388" s="77"/>
      <c r="AX388" s="84"/>
      <c r="AY388" s="84"/>
    </row>
    <row r="389" spans="1:51" s="38" customFormat="1" ht="16.5" customHeight="1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  <c r="W389" s="77"/>
      <c r="X389" s="77"/>
      <c r="Y389" s="77"/>
      <c r="Z389" s="77"/>
      <c r="AA389" s="77"/>
      <c r="AB389" s="77"/>
      <c r="AC389" s="77"/>
      <c r="AD389" s="77"/>
      <c r="AE389" s="77"/>
      <c r="AF389" s="77"/>
      <c r="AG389" s="77"/>
      <c r="AH389" s="77"/>
      <c r="AI389" s="77"/>
      <c r="AJ389" s="77"/>
      <c r="AK389" s="77"/>
      <c r="AL389" s="77"/>
      <c r="AM389" s="77"/>
      <c r="AN389" s="77"/>
      <c r="AO389" s="77"/>
      <c r="AP389" s="77"/>
      <c r="AQ389" s="77"/>
      <c r="AR389" s="77"/>
      <c r="AS389" s="77"/>
      <c r="AT389" s="77"/>
      <c r="AU389" s="77"/>
      <c r="AV389" s="77"/>
      <c r="AX389" s="84"/>
      <c r="AY389" s="84"/>
    </row>
    <row r="390" spans="1:51" s="38" customFormat="1" ht="16.5" customHeight="1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  <c r="W390" s="77"/>
      <c r="X390" s="77"/>
      <c r="Y390" s="77"/>
      <c r="Z390" s="77"/>
      <c r="AA390" s="77"/>
      <c r="AB390" s="77"/>
      <c r="AC390" s="77"/>
      <c r="AD390" s="77"/>
      <c r="AE390" s="77"/>
      <c r="AF390" s="77"/>
      <c r="AG390" s="77"/>
      <c r="AH390" s="77"/>
      <c r="AI390" s="77"/>
      <c r="AJ390" s="77"/>
      <c r="AK390" s="77"/>
      <c r="AL390" s="77"/>
      <c r="AM390" s="77"/>
      <c r="AN390" s="77"/>
      <c r="AO390" s="77"/>
      <c r="AP390" s="77"/>
      <c r="AQ390" s="77"/>
      <c r="AR390" s="77"/>
      <c r="AS390" s="77"/>
      <c r="AT390" s="77"/>
      <c r="AU390" s="77"/>
      <c r="AV390" s="77"/>
      <c r="AX390" s="84"/>
      <c r="AY390" s="84"/>
    </row>
    <row r="391" spans="1:51" s="38" customFormat="1" ht="16.5" customHeight="1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  <c r="W391" s="77"/>
      <c r="X391" s="77"/>
      <c r="Y391" s="77"/>
      <c r="Z391" s="77"/>
      <c r="AA391" s="77"/>
      <c r="AB391" s="77"/>
      <c r="AC391" s="77"/>
      <c r="AD391" s="77"/>
      <c r="AE391" s="77"/>
      <c r="AF391" s="77"/>
      <c r="AG391" s="77"/>
      <c r="AH391" s="77"/>
      <c r="AI391" s="77"/>
      <c r="AJ391" s="77"/>
      <c r="AK391" s="77"/>
      <c r="AL391" s="77"/>
      <c r="AM391" s="77"/>
      <c r="AN391" s="77"/>
      <c r="AO391" s="77"/>
      <c r="AP391" s="77"/>
      <c r="AQ391" s="77"/>
      <c r="AR391" s="77"/>
      <c r="AS391" s="77"/>
      <c r="AT391" s="77"/>
      <c r="AU391" s="77"/>
      <c r="AV391" s="77"/>
      <c r="AX391" s="84"/>
      <c r="AY391" s="84"/>
    </row>
    <row r="392" spans="1:51" s="38" customFormat="1" ht="16.5" customHeight="1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  <c r="W392" s="77"/>
      <c r="X392" s="77"/>
      <c r="Y392" s="77"/>
      <c r="Z392" s="77"/>
      <c r="AA392" s="77"/>
      <c r="AB392" s="77"/>
      <c r="AC392" s="77"/>
      <c r="AD392" s="77"/>
      <c r="AE392" s="77"/>
      <c r="AF392" s="77"/>
      <c r="AG392" s="77"/>
      <c r="AH392" s="77"/>
      <c r="AI392" s="77"/>
      <c r="AJ392" s="77"/>
      <c r="AK392" s="77"/>
      <c r="AL392" s="77"/>
      <c r="AM392" s="77"/>
      <c r="AN392" s="77"/>
      <c r="AO392" s="77"/>
      <c r="AP392" s="77"/>
      <c r="AQ392" s="77"/>
      <c r="AR392" s="77"/>
      <c r="AS392" s="77"/>
      <c r="AT392" s="77"/>
      <c r="AU392" s="77"/>
      <c r="AV392" s="77"/>
      <c r="AX392" s="84"/>
      <c r="AY392" s="84"/>
    </row>
    <row r="393" spans="1:51" s="38" customFormat="1" ht="16.5" customHeight="1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  <c r="W393" s="77"/>
      <c r="X393" s="77"/>
      <c r="Y393" s="77"/>
      <c r="Z393" s="77"/>
      <c r="AA393" s="77"/>
      <c r="AB393" s="77"/>
      <c r="AC393" s="77"/>
      <c r="AD393" s="77"/>
      <c r="AE393" s="77"/>
      <c r="AF393" s="77"/>
      <c r="AG393" s="77"/>
      <c r="AH393" s="77"/>
      <c r="AI393" s="77"/>
      <c r="AJ393" s="77"/>
      <c r="AK393" s="77"/>
      <c r="AL393" s="77"/>
      <c r="AM393" s="77"/>
      <c r="AN393" s="77"/>
      <c r="AO393" s="77"/>
      <c r="AP393" s="77"/>
      <c r="AQ393" s="77"/>
      <c r="AR393" s="77"/>
      <c r="AS393" s="77"/>
      <c r="AT393" s="77"/>
      <c r="AU393" s="77"/>
      <c r="AV393" s="77"/>
      <c r="AX393" s="84"/>
      <c r="AY393" s="84"/>
    </row>
    <row r="394" spans="1:51" s="38" customFormat="1" ht="16.5" customHeight="1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  <c r="W394" s="77"/>
      <c r="X394" s="77"/>
      <c r="Y394" s="77"/>
      <c r="Z394" s="77"/>
      <c r="AA394" s="77"/>
      <c r="AB394" s="77"/>
      <c r="AC394" s="77"/>
      <c r="AD394" s="77"/>
      <c r="AE394" s="77"/>
      <c r="AF394" s="77"/>
      <c r="AG394" s="77"/>
      <c r="AH394" s="77"/>
      <c r="AI394" s="77"/>
      <c r="AJ394" s="77"/>
      <c r="AK394" s="77"/>
      <c r="AL394" s="77"/>
      <c r="AM394" s="77"/>
      <c r="AN394" s="77"/>
      <c r="AO394" s="77"/>
      <c r="AP394" s="77"/>
      <c r="AQ394" s="77"/>
      <c r="AR394" s="77"/>
      <c r="AS394" s="77"/>
      <c r="AT394" s="77"/>
      <c r="AU394" s="77"/>
      <c r="AV394" s="77"/>
      <c r="AX394" s="84"/>
      <c r="AY394" s="84"/>
    </row>
    <row r="395" spans="1:51" s="38" customFormat="1" ht="16.5" customHeight="1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  <c r="W395" s="77"/>
      <c r="X395" s="77"/>
      <c r="Y395" s="77"/>
      <c r="Z395" s="77"/>
      <c r="AA395" s="77"/>
      <c r="AB395" s="77"/>
      <c r="AC395" s="77"/>
      <c r="AD395" s="77"/>
      <c r="AE395" s="77"/>
      <c r="AF395" s="77"/>
      <c r="AG395" s="77"/>
      <c r="AH395" s="77"/>
      <c r="AI395" s="77"/>
      <c r="AJ395" s="77"/>
      <c r="AK395" s="77"/>
      <c r="AL395" s="77"/>
      <c r="AM395" s="77"/>
      <c r="AN395" s="77"/>
      <c r="AO395" s="77"/>
      <c r="AP395" s="77"/>
      <c r="AQ395" s="77"/>
      <c r="AR395" s="77"/>
      <c r="AS395" s="77"/>
      <c r="AT395" s="77"/>
      <c r="AU395" s="77"/>
      <c r="AV395" s="77"/>
      <c r="AX395" s="84"/>
      <c r="AY395" s="84"/>
    </row>
    <row r="396" spans="1:51" s="38" customFormat="1" ht="16.5" customHeight="1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  <c r="W396" s="77"/>
      <c r="X396" s="77"/>
      <c r="Y396" s="77"/>
      <c r="Z396" s="77"/>
      <c r="AA396" s="77"/>
      <c r="AB396" s="77"/>
      <c r="AC396" s="77"/>
      <c r="AD396" s="77"/>
      <c r="AE396" s="77"/>
      <c r="AF396" s="77"/>
      <c r="AG396" s="77"/>
      <c r="AH396" s="77"/>
      <c r="AI396" s="77"/>
      <c r="AJ396" s="77"/>
      <c r="AK396" s="77"/>
      <c r="AL396" s="77"/>
      <c r="AM396" s="77"/>
      <c r="AN396" s="77"/>
      <c r="AO396" s="77"/>
      <c r="AP396" s="77"/>
      <c r="AQ396" s="77"/>
      <c r="AR396" s="77"/>
      <c r="AS396" s="77"/>
      <c r="AT396" s="77"/>
      <c r="AU396" s="77"/>
      <c r="AV396" s="77"/>
      <c r="AX396" s="84"/>
      <c r="AY396" s="84"/>
    </row>
    <row r="397" spans="1:51" s="38" customFormat="1" ht="16.5" customHeight="1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  <c r="W397" s="77"/>
      <c r="X397" s="77"/>
      <c r="Y397" s="77"/>
      <c r="Z397" s="77"/>
      <c r="AA397" s="77"/>
      <c r="AB397" s="77"/>
      <c r="AC397" s="77"/>
      <c r="AD397" s="77"/>
      <c r="AE397" s="77"/>
      <c r="AF397" s="77"/>
      <c r="AG397" s="77"/>
      <c r="AH397" s="77"/>
      <c r="AI397" s="77"/>
      <c r="AJ397" s="77"/>
      <c r="AK397" s="77"/>
      <c r="AL397" s="77"/>
      <c r="AM397" s="77"/>
      <c r="AN397" s="77"/>
      <c r="AO397" s="77"/>
      <c r="AP397" s="77"/>
      <c r="AQ397" s="77"/>
      <c r="AR397" s="77"/>
      <c r="AS397" s="77"/>
      <c r="AT397" s="77"/>
      <c r="AU397" s="77"/>
      <c r="AV397" s="77"/>
      <c r="AX397" s="84"/>
      <c r="AY397" s="84"/>
    </row>
    <row r="398" spans="1:51" s="38" customFormat="1" ht="16.5" customHeight="1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  <c r="W398" s="77"/>
      <c r="X398" s="77"/>
      <c r="Y398" s="77"/>
      <c r="Z398" s="77"/>
      <c r="AA398" s="77"/>
      <c r="AB398" s="77"/>
      <c r="AC398" s="77"/>
      <c r="AD398" s="77"/>
      <c r="AE398" s="77"/>
      <c r="AF398" s="77"/>
      <c r="AG398" s="77"/>
      <c r="AH398" s="77"/>
      <c r="AI398" s="77"/>
      <c r="AJ398" s="77"/>
      <c r="AK398" s="77"/>
      <c r="AL398" s="77"/>
      <c r="AM398" s="77"/>
      <c r="AN398" s="77"/>
      <c r="AO398" s="77"/>
      <c r="AP398" s="77"/>
      <c r="AQ398" s="77"/>
      <c r="AR398" s="77"/>
      <c r="AS398" s="77"/>
      <c r="AT398" s="77"/>
      <c r="AU398" s="77"/>
      <c r="AV398" s="77"/>
      <c r="AX398" s="84"/>
      <c r="AY398" s="84"/>
    </row>
    <row r="399" spans="1:51" s="38" customFormat="1" ht="16.5" customHeight="1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  <c r="W399" s="77"/>
      <c r="X399" s="77"/>
      <c r="Y399" s="77"/>
      <c r="Z399" s="77"/>
      <c r="AA399" s="77"/>
      <c r="AB399" s="77"/>
      <c r="AC399" s="77"/>
      <c r="AD399" s="77"/>
      <c r="AE399" s="77"/>
      <c r="AF399" s="77"/>
      <c r="AG399" s="77"/>
      <c r="AH399" s="77"/>
      <c r="AI399" s="77"/>
      <c r="AJ399" s="77"/>
      <c r="AK399" s="77"/>
      <c r="AL399" s="77"/>
      <c r="AM399" s="77"/>
      <c r="AN399" s="77"/>
      <c r="AO399" s="77"/>
      <c r="AP399" s="77"/>
      <c r="AQ399" s="77"/>
      <c r="AR399" s="77"/>
      <c r="AS399" s="77"/>
      <c r="AT399" s="77"/>
      <c r="AU399" s="77"/>
      <c r="AV399" s="77"/>
      <c r="AX399" s="84"/>
      <c r="AY399" s="84"/>
    </row>
    <row r="400" spans="1:51" s="38" customFormat="1" ht="16.5" customHeight="1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  <c r="W400" s="77"/>
      <c r="X400" s="77"/>
      <c r="Y400" s="77"/>
      <c r="Z400" s="77"/>
      <c r="AA400" s="77"/>
      <c r="AB400" s="77"/>
      <c r="AC400" s="77"/>
      <c r="AD400" s="77"/>
      <c r="AE400" s="77"/>
      <c r="AF400" s="77"/>
      <c r="AG400" s="77"/>
      <c r="AH400" s="77"/>
      <c r="AI400" s="77"/>
      <c r="AJ400" s="77"/>
      <c r="AK400" s="77"/>
      <c r="AL400" s="77"/>
      <c r="AM400" s="77"/>
      <c r="AN400" s="77"/>
      <c r="AO400" s="77"/>
      <c r="AP400" s="77"/>
      <c r="AQ400" s="77"/>
      <c r="AR400" s="77"/>
      <c r="AS400" s="77"/>
      <c r="AT400" s="77"/>
      <c r="AU400" s="77"/>
      <c r="AV400" s="77"/>
      <c r="AX400" s="84"/>
      <c r="AY400" s="84"/>
    </row>
    <row r="401" spans="1:58" s="38" customFormat="1" ht="16.5" customHeight="1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  <c r="W401" s="77"/>
      <c r="X401" s="77"/>
      <c r="Y401" s="77"/>
      <c r="Z401" s="77"/>
      <c r="AA401" s="77"/>
      <c r="AB401" s="77"/>
      <c r="AC401" s="77"/>
      <c r="AD401" s="77"/>
      <c r="AE401" s="77"/>
      <c r="AF401" s="77"/>
      <c r="AG401" s="77"/>
      <c r="AH401" s="77"/>
      <c r="AI401" s="77"/>
      <c r="AJ401" s="77"/>
      <c r="AK401" s="77"/>
      <c r="AL401" s="77"/>
      <c r="AM401" s="77"/>
      <c r="AN401" s="77"/>
      <c r="AO401" s="77"/>
      <c r="AP401" s="77"/>
      <c r="AQ401" s="77"/>
      <c r="AR401" s="77"/>
      <c r="AS401" s="77"/>
      <c r="AT401" s="77"/>
      <c r="AU401" s="77"/>
      <c r="AV401" s="77"/>
      <c r="AX401" s="84"/>
      <c r="AY401" s="84"/>
    </row>
    <row r="402" spans="1:58" s="38" customFormat="1" ht="16.5" customHeight="1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  <c r="W402" s="77"/>
      <c r="X402" s="77"/>
      <c r="Y402" s="77"/>
      <c r="Z402" s="77"/>
      <c r="AA402" s="77"/>
      <c r="AB402" s="77"/>
      <c r="AC402" s="77"/>
      <c r="AD402" s="77"/>
      <c r="AE402" s="77"/>
      <c r="AF402" s="77"/>
      <c r="AG402" s="77"/>
      <c r="AH402" s="77"/>
      <c r="AI402" s="77"/>
      <c r="AJ402" s="77"/>
      <c r="AK402" s="77"/>
      <c r="AL402" s="77"/>
      <c r="AM402" s="77"/>
      <c r="AN402" s="77"/>
      <c r="AO402" s="77"/>
      <c r="AP402" s="77"/>
      <c r="AQ402" s="77"/>
      <c r="AR402" s="77"/>
      <c r="AS402" s="77"/>
      <c r="AT402" s="77"/>
      <c r="AU402" s="77"/>
      <c r="AV402" s="77"/>
      <c r="AX402" s="84"/>
      <c r="AY402" s="84"/>
    </row>
    <row r="403" spans="1:58" s="38" customFormat="1" ht="16.5" customHeight="1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  <c r="W403" s="77"/>
      <c r="X403" s="77"/>
      <c r="Y403" s="77"/>
      <c r="Z403" s="77"/>
      <c r="AA403" s="77"/>
      <c r="AB403" s="77"/>
      <c r="AC403" s="77"/>
      <c r="AD403" s="77"/>
      <c r="AE403" s="77"/>
      <c r="AF403" s="77"/>
      <c r="AG403" s="77"/>
      <c r="AH403" s="77"/>
      <c r="AI403" s="77"/>
      <c r="AJ403" s="77"/>
      <c r="AK403" s="77"/>
      <c r="AL403" s="77"/>
      <c r="AM403" s="77"/>
      <c r="AN403" s="77"/>
      <c r="AO403" s="77"/>
      <c r="AP403" s="77"/>
      <c r="AQ403" s="77"/>
      <c r="AR403" s="77"/>
      <c r="AS403" s="77"/>
      <c r="AT403" s="77"/>
      <c r="AU403" s="77"/>
      <c r="AV403" s="77"/>
      <c r="AX403" s="84"/>
      <c r="AY403" s="84"/>
    </row>
    <row r="404" spans="1:58" s="38" customFormat="1" ht="16.5" customHeight="1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  <c r="W404" s="77"/>
      <c r="X404" s="77"/>
      <c r="Y404" s="77"/>
      <c r="Z404" s="77"/>
      <c r="AA404" s="77"/>
      <c r="AB404" s="77"/>
      <c r="AC404" s="77"/>
      <c r="AD404" s="77"/>
      <c r="AE404" s="77"/>
      <c r="AF404" s="77"/>
      <c r="AG404" s="77"/>
      <c r="AH404" s="77"/>
      <c r="AI404" s="77"/>
      <c r="AJ404" s="77"/>
      <c r="AK404" s="77"/>
      <c r="AL404" s="77"/>
      <c r="AM404" s="77"/>
      <c r="AN404" s="77"/>
      <c r="AO404" s="77"/>
      <c r="AP404" s="77"/>
      <c r="AQ404" s="77"/>
      <c r="AR404" s="77"/>
      <c r="AS404" s="77"/>
      <c r="AT404" s="77"/>
      <c r="AU404" s="77"/>
      <c r="AV404" s="77"/>
      <c r="AX404" s="84"/>
      <c r="AY404" s="84"/>
      <c r="AZ404" s="84"/>
      <c r="BA404" s="75" t="s">
        <v>60</v>
      </c>
      <c r="BB404" s="85">
        <v>0</v>
      </c>
      <c r="BC404" s="85">
        <v>0</v>
      </c>
      <c r="BD404" s="85">
        <v>0</v>
      </c>
      <c r="BE404" s="85">
        <v>0</v>
      </c>
      <c r="BF404" s="85">
        <v>0</v>
      </c>
    </row>
    <row r="405" spans="1:58" s="38" customFormat="1" ht="16.5" customHeight="1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  <c r="W405" s="77"/>
      <c r="X405" s="77"/>
      <c r="Y405" s="77"/>
      <c r="Z405" s="77"/>
      <c r="AA405" s="77"/>
      <c r="AB405" s="77"/>
      <c r="AC405" s="77"/>
      <c r="AD405" s="77"/>
      <c r="AE405" s="77"/>
      <c r="AF405" s="77"/>
      <c r="AG405" s="77"/>
      <c r="AH405" s="77"/>
      <c r="AI405" s="77"/>
      <c r="AJ405" s="77"/>
      <c r="AK405" s="77"/>
      <c r="AL405" s="77"/>
      <c r="AM405" s="77"/>
      <c r="AN405" s="77"/>
      <c r="AO405" s="77"/>
      <c r="AP405" s="77"/>
      <c r="AQ405" s="77"/>
      <c r="AR405" s="77"/>
      <c r="AS405" s="77"/>
      <c r="AT405" s="77"/>
      <c r="AU405" s="77"/>
      <c r="AV405" s="77"/>
      <c r="AX405" s="84"/>
      <c r="AY405" s="84"/>
      <c r="AZ405" s="84"/>
      <c r="BA405" s="75" t="s">
        <v>61</v>
      </c>
      <c r="BB405" s="85">
        <v>0</v>
      </c>
      <c r="BC405" s="85">
        <v>0</v>
      </c>
      <c r="BD405" s="85">
        <v>0</v>
      </c>
      <c r="BE405" s="85">
        <v>0</v>
      </c>
      <c r="BF405" s="85">
        <v>0</v>
      </c>
    </row>
    <row r="406" spans="1:58" s="38" customFormat="1" ht="16.5" customHeight="1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  <c r="W406" s="77"/>
      <c r="X406" s="77"/>
      <c r="Y406" s="77"/>
      <c r="Z406" s="77"/>
      <c r="AA406" s="77"/>
      <c r="AB406" s="77"/>
      <c r="AC406" s="77"/>
      <c r="AD406" s="77"/>
      <c r="AE406" s="77"/>
      <c r="AF406" s="77"/>
      <c r="AG406" s="77"/>
      <c r="AH406" s="77"/>
      <c r="AI406" s="77"/>
      <c r="AJ406" s="77"/>
      <c r="AK406" s="77"/>
      <c r="AL406" s="77"/>
      <c r="AM406" s="77"/>
      <c r="AN406" s="77"/>
      <c r="AO406" s="77"/>
      <c r="AP406" s="77"/>
      <c r="AQ406" s="77"/>
      <c r="AR406" s="77"/>
      <c r="AS406" s="77"/>
      <c r="AT406" s="77"/>
      <c r="AU406" s="77"/>
      <c r="AV406" s="77"/>
      <c r="AX406" s="84"/>
      <c r="AY406" s="84"/>
      <c r="AZ406" s="84"/>
      <c r="BA406" s="75" t="s">
        <v>67</v>
      </c>
      <c r="BB406" s="85">
        <v>0</v>
      </c>
      <c r="BC406" s="85">
        <v>0</v>
      </c>
      <c r="BD406" s="85">
        <v>0</v>
      </c>
      <c r="BE406" s="85">
        <v>0</v>
      </c>
      <c r="BF406" s="85">
        <v>0</v>
      </c>
    </row>
    <row r="407" spans="1:58" s="38" customFormat="1" ht="16.5" customHeight="1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  <c r="W407" s="77"/>
      <c r="X407" s="77"/>
      <c r="Y407" s="77"/>
      <c r="Z407" s="77"/>
      <c r="AA407" s="77"/>
      <c r="AB407" s="77"/>
      <c r="AC407" s="77"/>
      <c r="AD407" s="77"/>
      <c r="AE407" s="77"/>
      <c r="AF407" s="77"/>
      <c r="AG407" s="77"/>
      <c r="AH407" s="77"/>
      <c r="AI407" s="77"/>
      <c r="AJ407" s="77"/>
      <c r="AK407" s="77"/>
      <c r="AL407" s="77"/>
      <c r="AM407" s="77"/>
      <c r="AN407" s="77"/>
      <c r="AO407" s="77"/>
      <c r="AP407" s="77"/>
      <c r="AQ407" s="77"/>
      <c r="AR407" s="77"/>
      <c r="AS407" s="77"/>
      <c r="AT407" s="77"/>
      <c r="AU407" s="77"/>
      <c r="AV407" s="77"/>
      <c r="AX407" s="84"/>
      <c r="AY407" s="84"/>
      <c r="AZ407" s="84"/>
      <c r="BA407" s="2"/>
    </row>
    <row r="408" spans="1:58" s="38" customFormat="1" ht="16.5" customHeight="1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  <c r="W408" s="77"/>
      <c r="X408" s="77"/>
      <c r="Y408" s="77"/>
      <c r="Z408" s="77"/>
      <c r="AA408" s="77"/>
      <c r="AB408" s="77"/>
      <c r="AC408" s="77"/>
      <c r="AD408" s="77"/>
      <c r="AE408" s="77"/>
      <c r="AF408" s="77"/>
      <c r="AG408" s="77"/>
      <c r="AH408" s="77"/>
      <c r="AI408" s="77"/>
      <c r="AJ408" s="77"/>
      <c r="AK408" s="77"/>
      <c r="AL408" s="77"/>
      <c r="AM408" s="77"/>
      <c r="AN408" s="77"/>
      <c r="AO408" s="77"/>
      <c r="AP408" s="77"/>
      <c r="AQ408" s="77"/>
      <c r="AR408" s="77"/>
      <c r="AS408" s="77"/>
      <c r="AT408" s="77"/>
      <c r="AU408" s="77"/>
      <c r="AV408" s="77"/>
      <c r="AX408" s="84"/>
      <c r="AY408" s="84"/>
      <c r="AZ408" s="84"/>
      <c r="BA408" s="75"/>
      <c r="BB408" s="75" t="s">
        <v>63</v>
      </c>
      <c r="BC408" s="75" t="s">
        <v>64</v>
      </c>
      <c r="BD408" s="75" t="s">
        <v>65</v>
      </c>
      <c r="BE408" s="75" t="s">
        <v>66</v>
      </c>
      <c r="BF408" s="75" t="s">
        <v>67</v>
      </c>
    </row>
    <row r="409" spans="1:58" s="38" customFormat="1" ht="16.5" customHeight="1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  <c r="W409" s="77"/>
      <c r="X409" s="77"/>
      <c r="Y409" s="77"/>
      <c r="Z409" s="77"/>
      <c r="AA409" s="77"/>
      <c r="AB409" s="77"/>
      <c r="AC409" s="77"/>
      <c r="AD409" s="77"/>
      <c r="AE409" s="77"/>
      <c r="AF409" s="77"/>
      <c r="AG409" s="77"/>
      <c r="AH409" s="77"/>
      <c r="AI409" s="77"/>
      <c r="AJ409" s="77"/>
      <c r="AK409" s="77"/>
      <c r="AL409" s="77"/>
      <c r="AM409" s="77"/>
      <c r="AN409" s="77"/>
      <c r="AO409" s="77"/>
      <c r="AP409" s="77"/>
      <c r="AQ409" s="77"/>
      <c r="AR409" s="77"/>
      <c r="AS409" s="77"/>
      <c r="AT409" s="77"/>
      <c r="AU409" s="77"/>
      <c r="AV409" s="77"/>
      <c r="AX409" s="84"/>
      <c r="AY409" s="84"/>
      <c r="BA409" s="75" t="s">
        <v>60</v>
      </c>
      <c r="BB409" s="87" t="e">
        <v>#DIV/0!</v>
      </c>
      <c r="BC409" s="87" t="e">
        <v>#DIV/0!</v>
      </c>
      <c r="BD409" s="87" t="e">
        <v>#DIV/0!</v>
      </c>
      <c r="BE409" s="87" t="e">
        <v>#DIV/0!</v>
      </c>
      <c r="BF409" s="87" t="e">
        <v>#DIV/0!</v>
      </c>
    </row>
    <row r="410" spans="1:58" s="38" customFormat="1" ht="16.5" customHeight="1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  <c r="W410" s="77"/>
      <c r="X410" s="77"/>
      <c r="Y410" s="77"/>
      <c r="Z410" s="77"/>
      <c r="AA410" s="77"/>
      <c r="AB410" s="77"/>
      <c r="AC410" s="77"/>
      <c r="AD410" s="77"/>
      <c r="AE410" s="77"/>
      <c r="AF410" s="77"/>
      <c r="AG410" s="77"/>
      <c r="AH410" s="77"/>
      <c r="AI410" s="77"/>
      <c r="AJ410" s="77"/>
      <c r="AK410" s="77"/>
      <c r="AL410" s="77"/>
      <c r="AM410" s="77"/>
      <c r="AN410" s="77"/>
      <c r="AO410" s="77"/>
      <c r="AP410" s="77"/>
      <c r="AQ410" s="77"/>
      <c r="AR410" s="77"/>
      <c r="AS410" s="77"/>
      <c r="AT410" s="77"/>
      <c r="AU410" s="77"/>
      <c r="AV410" s="77"/>
      <c r="AX410" s="84"/>
      <c r="AY410" s="84"/>
      <c r="BA410" s="75" t="s">
        <v>61</v>
      </c>
      <c r="BB410" s="87" t="e">
        <v>#DIV/0!</v>
      </c>
      <c r="BC410" s="87" t="e">
        <v>#DIV/0!</v>
      </c>
      <c r="BD410" s="87" t="e">
        <v>#DIV/0!</v>
      </c>
      <c r="BE410" s="87" t="e">
        <v>#DIV/0!</v>
      </c>
      <c r="BF410" s="87" t="e">
        <v>#DIV/0!</v>
      </c>
    </row>
    <row r="411" spans="1:58" s="38" customFormat="1" ht="16.5" customHeight="1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  <c r="W411" s="77"/>
      <c r="X411" s="77"/>
      <c r="Y411" s="77"/>
      <c r="Z411" s="77"/>
      <c r="AA411" s="77"/>
      <c r="AB411" s="77"/>
      <c r="AC411" s="77"/>
      <c r="AD411" s="77"/>
      <c r="AE411" s="77"/>
      <c r="AF411" s="77"/>
      <c r="AG411" s="77"/>
      <c r="AH411" s="77"/>
      <c r="AI411" s="77"/>
      <c r="AJ411" s="77"/>
      <c r="AK411" s="77"/>
      <c r="AL411" s="77"/>
      <c r="AM411" s="77"/>
      <c r="AN411" s="77"/>
      <c r="AO411" s="77"/>
      <c r="AP411" s="77"/>
      <c r="AQ411" s="77"/>
      <c r="AR411" s="77"/>
      <c r="AS411" s="77"/>
      <c r="AT411" s="77"/>
      <c r="AU411" s="77"/>
      <c r="AV411" s="77"/>
      <c r="AX411" s="84"/>
      <c r="AY411" s="84"/>
      <c r="BA411" s="75" t="s">
        <v>67</v>
      </c>
      <c r="BB411" s="87" t="e">
        <v>#DIV/0!</v>
      </c>
      <c r="BC411" s="87" t="e">
        <v>#DIV/0!</v>
      </c>
      <c r="BD411" s="87" t="e">
        <v>#DIV/0!</v>
      </c>
      <c r="BE411" s="87" t="e">
        <v>#DIV/0!</v>
      </c>
      <c r="BF411" s="87" t="e">
        <v>#DIV/0!</v>
      </c>
    </row>
    <row r="412" spans="1:58" s="38" customFormat="1" ht="16.5" customHeight="1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  <c r="W412" s="77"/>
      <c r="X412" s="77"/>
      <c r="Y412" s="77"/>
      <c r="Z412" s="77"/>
      <c r="AA412" s="77"/>
      <c r="AB412" s="77"/>
      <c r="AC412" s="77"/>
      <c r="AD412" s="77"/>
      <c r="AE412" s="77"/>
      <c r="AF412" s="77"/>
      <c r="AG412" s="77"/>
      <c r="AH412" s="77"/>
      <c r="AI412" s="77"/>
      <c r="AJ412" s="77"/>
      <c r="AK412" s="77"/>
      <c r="AL412" s="77"/>
      <c r="AM412" s="77"/>
      <c r="AN412" s="77"/>
      <c r="AO412" s="77"/>
      <c r="AP412" s="77"/>
      <c r="AQ412" s="77"/>
      <c r="AR412" s="77"/>
      <c r="AS412" s="77"/>
      <c r="AT412" s="77"/>
      <c r="AU412" s="77"/>
      <c r="AV412" s="77"/>
      <c r="AX412" s="84"/>
      <c r="AY412" s="84"/>
    </row>
    <row r="413" spans="1:58" s="38" customFormat="1" ht="16.5" customHeight="1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  <c r="W413" s="77"/>
      <c r="X413" s="77"/>
      <c r="Y413" s="77"/>
      <c r="Z413" s="77"/>
      <c r="AA413" s="77"/>
      <c r="AB413" s="77"/>
      <c r="AC413" s="77"/>
      <c r="AD413" s="77"/>
      <c r="AE413" s="77"/>
      <c r="AF413" s="77"/>
      <c r="AG413" s="77"/>
      <c r="AH413" s="77"/>
      <c r="AI413" s="77"/>
      <c r="AJ413" s="77"/>
      <c r="AK413" s="77"/>
      <c r="AL413" s="77"/>
      <c r="AM413" s="77"/>
      <c r="AN413" s="77"/>
      <c r="AO413" s="77"/>
      <c r="AP413" s="77"/>
      <c r="AQ413" s="77"/>
      <c r="AR413" s="77"/>
      <c r="AS413" s="77"/>
      <c r="AT413" s="77"/>
      <c r="AU413" s="77"/>
      <c r="AV413" s="77"/>
      <c r="AX413" s="84"/>
      <c r="AY413" s="84"/>
    </row>
    <row r="414" spans="1:58" s="38" customFormat="1" ht="16.5" customHeight="1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  <c r="W414" s="77"/>
      <c r="X414" s="77"/>
      <c r="Y414" s="77"/>
      <c r="Z414" s="77"/>
      <c r="AA414" s="77"/>
      <c r="AB414" s="77"/>
      <c r="AC414" s="77"/>
      <c r="AD414" s="77"/>
      <c r="AE414" s="77"/>
      <c r="AF414" s="77"/>
      <c r="AG414" s="77"/>
      <c r="AH414" s="77"/>
      <c r="AI414" s="77"/>
      <c r="AJ414" s="77"/>
      <c r="AK414" s="77"/>
      <c r="AL414" s="77"/>
      <c r="AM414" s="77"/>
      <c r="AN414" s="77"/>
      <c r="AO414" s="77"/>
      <c r="AP414" s="77"/>
      <c r="AQ414" s="77"/>
      <c r="AR414" s="77"/>
      <c r="AS414" s="77"/>
      <c r="AT414" s="77"/>
      <c r="AU414" s="77"/>
      <c r="AV414" s="77"/>
      <c r="AX414" s="84"/>
      <c r="AY414" s="84"/>
    </row>
    <row r="415" spans="1:58" s="38" customFormat="1" ht="16.5" customHeight="1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  <c r="W415" s="77"/>
      <c r="X415" s="77"/>
      <c r="Y415" s="77"/>
      <c r="Z415" s="77"/>
      <c r="AA415" s="77"/>
      <c r="AB415" s="77"/>
      <c r="AC415" s="77"/>
      <c r="AD415" s="77"/>
      <c r="AE415" s="77"/>
      <c r="AF415" s="77"/>
      <c r="AG415" s="77"/>
      <c r="AH415" s="77"/>
      <c r="AI415" s="77"/>
      <c r="AJ415" s="77"/>
      <c r="AK415" s="77"/>
      <c r="AL415" s="77"/>
      <c r="AM415" s="77"/>
      <c r="AN415" s="77"/>
      <c r="AO415" s="77"/>
      <c r="AP415" s="77"/>
      <c r="AQ415" s="77"/>
      <c r="AR415" s="77"/>
      <c r="AS415" s="77"/>
      <c r="AT415" s="77"/>
      <c r="AU415" s="77"/>
      <c r="AV415" s="77"/>
      <c r="AX415" s="84"/>
      <c r="AY415" s="84"/>
    </row>
    <row r="416" spans="1:58" s="38" customFormat="1" ht="16.5" customHeight="1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  <c r="W416" s="77"/>
      <c r="X416" s="77"/>
      <c r="Y416" s="77"/>
      <c r="Z416" s="77"/>
      <c r="AA416" s="77"/>
      <c r="AB416" s="77"/>
      <c r="AC416" s="77"/>
      <c r="AD416" s="77"/>
      <c r="AE416" s="77"/>
      <c r="AF416" s="77"/>
      <c r="AG416" s="77"/>
      <c r="AH416" s="77"/>
      <c r="AI416" s="77"/>
      <c r="AJ416" s="77"/>
      <c r="AK416" s="77"/>
      <c r="AL416" s="77"/>
      <c r="AM416" s="77"/>
      <c r="AN416" s="77"/>
      <c r="AO416" s="77"/>
      <c r="AP416" s="77"/>
      <c r="AQ416" s="77"/>
      <c r="AR416" s="77"/>
      <c r="AS416" s="77"/>
      <c r="AT416" s="77"/>
      <c r="AU416" s="77"/>
      <c r="AV416" s="77"/>
      <c r="AX416" s="84"/>
      <c r="AY416" s="84"/>
    </row>
    <row r="417" spans="1:58" s="38" customFormat="1" ht="16.5" customHeight="1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  <c r="W417" s="77"/>
      <c r="X417" s="77"/>
      <c r="Y417" s="77"/>
      <c r="Z417" s="77"/>
      <c r="AA417" s="77"/>
      <c r="AB417" s="77"/>
      <c r="AC417" s="77"/>
      <c r="AD417" s="77"/>
      <c r="AE417" s="77"/>
      <c r="AF417" s="77"/>
      <c r="AG417" s="77"/>
      <c r="AH417" s="77"/>
      <c r="AI417" s="77"/>
      <c r="AJ417" s="77"/>
      <c r="AK417" s="77"/>
      <c r="AL417" s="77"/>
      <c r="AM417" s="77"/>
      <c r="AN417" s="77"/>
      <c r="AO417" s="77"/>
      <c r="AP417" s="77"/>
      <c r="AQ417" s="77"/>
      <c r="AR417" s="77"/>
      <c r="AS417" s="77"/>
      <c r="AT417" s="77"/>
      <c r="AU417" s="77"/>
      <c r="AV417" s="77"/>
      <c r="AX417" s="84"/>
      <c r="AY417" s="84"/>
    </row>
    <row r="418" spans="1:58" s="38" customFormat="1" ht="16.5" customHeight="1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  <c r="W418" s="77"/>
      <c r="X418" s="77"/>
      <c r="Y418" s="77"/>
      <c r="Z418" s="77"/>
      <c r="AA418" s="77"/>
      <c r="AB418" s="77"/>
      <c r="AC418" s="77"/>
      <c r="AD418" s="77"/>
      <c r="AE418" s="77"/>
      <c r="AF418" s="77"/>
      <c r="AG418" s="77"/>
      <c r="AH418" s="77"/>
      <c r="AI418" s="77"/>
      <c r="AJ418" s="77"/>
      <c r="AK418" s="77"/>
      <c r="AL418" s="77"/>
      <c r="AM418" s="77"/>
      <c r="AN418" s="77"/>
      <c r="AO418" s="77"/>
      <c r="AP418" s="77"/>
      <c r="AQ418" s="77"/>
      <c r="AR418" s="77"/>
      <c r="AS418" s="77"/>
      <c r="AT418" s="77"/>
      <c r="AU418" s="77"/>
      <c r="AV418" s="77"/>
      <c r="AX418" s="84"/>
      <c r="AY418" s="84"/>
    </row>
    <row r="419" spans="1:58" s="38" customFormat="1" ht="16.5" customHeight="1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  <c r="W419" s="77"/>
      <c r="X419" s="77"/>
      <c r="Y419" s="77"/>
      <c r="Z419" s="77"/>
      <c r="AA419" s="77"/>
      <c r="AB419" s="77"/>
      <c r="AC419" s="77"/>
      <c r="AD419" s="77"/>
      <c r="AE419" s="77"/>
      <c r="AF419" s="77"/>
      <c r="AG419" s="77"/>
      <c r="AH419" s="77"/>
      <c r="AI419" s="77"/>
      <c r="AJ419" s="77"/>
      <c r="AK419" s="77"/>
      <c r="AL419" s="77"/>
      <c r="AM419" s="77"/>
      <c r="AN419" s="77"/>
      <c r="AO419" s="77"/>
      <c r="AP419" s="77"/>
      <c r="AQ419" s="77"/>
      <c r="AR419" s="77"/>
      <c r="AS419" s="77"/>
      <c r="AT419" s="77"/>
      <c r="AU419" s="77"/>
      <c r="AV419" s="77"/>
      <c r="AX419" s="84"/>
      <c r="AY419" s="84"/>
    </row>
    <row r="420" spans="1:58" s="38" customFormat="1" ht="16.5" customHeight="1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  <c r="W420" s="77"/>
      <c r="X420" s="77"/>
      <c r="Y420" s="77"/>
      <c r="Z420" s="77"/>
      <c r="AA420" s="77"/>
      <c r="AB420" s="77"/>
      <c r="AC420" s="77"/>
      <c r="AD420" s="77"/>
      <c r="AE420" s="77"/>
      <c r="AF420" s="77"/>
      <c r="AG420" s="77"/>
      <c r="AH420" s="77"/>
      <c r="AI420" s="77"/>
      <c r="AJ420" s="77"/>
      <c r="AK420" s="77"/>
      <c r="AL420" s="77"/>
      <c r="AM420" s="77"/>
      <c r="AN420" s="77"/>
      <c r="AO420" s="77"/>
      <c r="AP420" s="77"/>
      <c r="AQ420" s="77"/>
      <c r="AR420" s="77"/>
      <c r="AS420" s="77"/>
      <c r="AT420" s="77"/>
      <c r="AU420" s="77"/>
      <c r="AV420" s="77"/>
      <c r="AX420" s="84"/>
      <c r="AY420" s="84"/>
    </row>
    <row r="421" spans="1:58" s="38" customFormat="1" ht="16.5" customHeight="1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  <c r="W421" s="77"/>
      <c r="X421" s="77"/>
      <c r="Y421" s="77"/>
      <c r="Z421" s="77"/>
      <c r="AA421" s="77"/>
      <c r="AB421" s="77"/>
      <c r="AC421" s="77"/>
      <c r="AD421" s="77"/>
      <c r="AE421" s="77"/>
      <c r="AF421" s="77"/>
      <c r="AG421" s="77"/>
      <c r="AH421" s="77"/>
      <c r="AI421" s="77"/>
      <c r="AJ421" s="77"/>
      <c r="AK421" s="77"/>
      <c r="AL421" s="77"/>
      <c r="AM421" s="77"/>
      <c r="AN421" s="77"/>
      <c r="AO421" s="77"/>
      <c r="AP421" s="77"/>
      <c r="AQ421" s="77"/>
      <c r="AR421" s="77"/>
      <c r="AS421" s="77"/>
      <c r="AT421" s="77"/>
      <c r="AU421" s="77"/>
      <c r="AV421" s="77"/>
      <c r="AX421" s="84"/>
      <c r="AY421" s="84"/>
    </row>
    <row r="422" spans="1:58" s="38" customFormat="1" ht="16.5" customHeight="1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  <c r="W422" s="77"/>
      <c r="X422" s="77"/>
      <c r="Y422" s="77"/>
      <c r="Z422" s="77"/>
      <c r="AA422" s="77"/>
      <c r="AB422" s="77"/>
      <c r="AC422" s="77"/>
      <c r="AD422" s="77"/>
      <c r="AE422" s="77"/>
      <c r="AF422" s="77"/>
      <c r="AG422" s="77"/>
      <c r="AH422" s="77"/>
      <c r="AI422" s="77"/>
      <c r="AJ422" s="77"/>
      <c r="AK422" s="77"/>
      <c r="AL422" s="77"/>
      <c r="AM422" s="77"/>
      <c r="AN422" s="77"/>
      <c r="AO422" s="77"/>
      <c r="AP422" s="77"/>
      <c r="AQ422" s="77"/>
      <c r="AR422" s="77"/>
      <c r="AS422" s="77"/>
      <c r="AT422" s="77"/>
      <c r="AU422" s="77"/>
      <c r="AV422" s="77"/>
      <c r="AX422" s="84"/>
      <c r="AY422" s="84"/>
      <c r="AZ422" s="84"/>
      <c r="BA422" s="75" t="s">
        <v>60</v>
      </c>
      <c r="BB422" s="85">
        <v>0</v>
      </c>
      <c r="BC422" s="85">
        <v>0</v>
      </c>
      <c r="BD422" s="85">
        <v>0</v>
      </c>
      <c r="BE422" s="85">
        <v>0</v>
      </c>
      <c r="BF422" s="85">
        <v>0</v>
      </c>
    </row>
    <row r="423" spans="1:58" s="38" customFormat="1" ht="16.5" customHeight="1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  <c r="W423" s="77"/>
      <c r="X423" s="77"/>
      <c r="Y423" s="77"/>
      <c r="Z423" s="77"/>
      <c r="AA423" s="77"/>
      <c r="AB423" s="77"/>
      <c r="AC423" s="77"/>
      <c r="AD423" s="77"/>
      <c r="AE423" s="77"/>
      <c r="AF423" s="77"/>
      <c r="AG423" s="77"/>
      <c r="AH423" s="77"/>
      <c r="AI423" s="77"/>
      <c r="AJ423" s="77"/>
      <c r="AK423" s="77"/>
      <c r="AL423" s="77"/>
      <c r="AM423" s="77"/>
      <c r="AN423" s="77"/>
      <c r="AO423" s="77"/>
      <c r="AP423" s="77"/>
      <c r="AQ423" s="77"/>
      <c r="AR423" s="77"/>
      <c r="AS423" s="77"/>
      <c r="AT423" s="77"/>
      <c r="AU423" s="77"/>
      <c r="AV423" s="77"/>
      <c r="AX423" s="84"/>
      <c r="AY423" s="84"/>
      <c r="AZ423" s="84"/>
      <c r="BA423" s="75" t="s">
        <v>61</v>
      </c>
      <c r="BB423" s="85">
        <v>0</v>
      </c>
      <c r="BC423" s="85">
        <v>0</v>
      </c>
      <c r="BD423" s="85">
        <v>0</v>
      </c>
      <c r="BE423" s="85">
        <v>0</v>
      </c>
      <c r="BF423" s="85">
        <v>0</v>
      </c>
    </row>
    <row r="424" spans="1:58" s="38" customFormat="1" ht="16.5" customHeight="1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  <c r="W424" s="77"/>
      <c r="X424" s="77"/>
      <c r="Y424" s="77"/>
      <c r="Z424" s="77"/>
      <c r="AA424" s="77"/>
      <c r="AB424" s="77"/>
      <c r="AC424" s="77"/>
      <c r="AD424" s="77"/>
      <c r="AE424" s="77"/>
      <c r="AF424" s="77"/>
      <c r="AG424" s="77"/>
      <c r="AH424" s="77"/>
      <c r="AI424" s="77"/>
      <c r="AJ424" s="77"/>
      <c r="AK424" s="77"/>
      <c r="AL424" s="77"/>
      <c r="AM424" s="77"/>
      <c r="AN424" s="77"/>
      <c r="AO424" s="77"/>
      <c r="AP424" s="77"/>
      <c r="AQ424" s="77"/>
      <c r="AR424" s="77"/>
      <c r="AS424" s="77"/>
      <c r="AT424" s="77"/>
      <c r="AU424" s="77"/>
      <c r="AV424" s="77"/>
      <c r="AX424" s="84"/>
      <c r="AY424" s="84"/>
      <c r="AZ424" s="84"/>
      <c r="BA424" s="76" t="s">
        <v>62</v>
      </c>
      <c r="BB424" s="86">
        <v>0</v>
      </c>
      <c r="BC424" s="86">
        <v>0</v>
      </c>
      <c r="BD424" s="86">
        <v>0</v>
      </c>
      <c r="BE424" s="86">
        <v>0</v>
      </c>
      <c r="BF424" s="86">
        <v>0</v>
      </c>
    </row>
    <row r="425" spans="1:58" s="38" customFormat="1" ht="16.5" customHeight="1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  <c r="W425" s="77"/>
      <c r="X425" s="77"/>
      <c r="Y425" s="77"/>
      <c r="Z425" s="77"/>
      <c r="AA425" s="77"/>
      <c r="AB425" s="77"/>
      <c r="AC425" s="77"/>
      <c r="AD425" s="77"/>
      <c r="AE425" s="77"/>
      <c r="AF425" s="77"/>
      <c r="AG425" s="77"/>
      <c r="AH425" s="77"/>
      <c r="AI425" s="77"/>
      <c r="AJ425" s="77"/>
      <c r="AK425" s="77"/>
      <c r="AL425" s="77"/>
      <c r="AM425" s="77"/>
      <c r="AN425" s="77"/>
      <c r="AO425" s="77"/>
      <c r="AP425" s="77"/>
      <c r="AQ425" s="77"/>
      <c r="AR425" s="77"/>
      <c r="AS425" s="77"/>
      <c r="AT425" s="77"/>
      <c r="AU425" s="77"/>
      <c r="AV425" s="77"/>
      <c r="AX425" s="84"/>
      <c r="AY425" s="84"/>
      <c r="AZ425" s="84"/>
      <c r="BA425" s="2"/>
    </row>
    <row r="426" spans="1:58" s="38" customFormat="1" ht="16.5" customHeight="1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  <c r="W426" s="77"/>
      <c r="X426" s="77"/>
      <c r="Y426" s="77"/>
      <c r="Z426" s="77"/>
      <c r="AA426" s="77"/>
      <c r="AB426" s="77"/>
      <c r="AC426" s="77"/>
      <c r="AD426" s="77"/>
      <c r="AE426" s="77"/>
      <c r="AF426" s="77"/>
      <c r="AG426" s="77"/>
      <c r="AH426" s="77"/>
      <c r="AI426" s="77"/>
      <c r="AJ426" s="77"/>
      <c r="AK426" s="77"/>
      <c r="AL426" s="77"/>
      <c r="AM426" s="77"/>
      <c r="AN426" s="77"/>
      <c r="AO426" s="77"/>
      <c r="AP426" s="77"/>
      <c r="AQ426" s="77"/>
      <c r="AR426" s="77"/>
      <c r="AS426" s="77"/>
      <c r="AT426" s="77"/>
      <c r="AU426" s="77"/>
      <c r="AV426" s="77"/>
      <c r="AX426" s="84"/>
      <c r="AY426" s="84"/>
      <c r="AZ426" s="84"/>
      <c r="BA426" s="75" t="s">
        <v>68</v>
      </c>
      <c r="BB426" s="87" t="e">
        <v>#DIV/0!</v>
      </c>
      <c r="BC426" s="87" t="e">
        <v>#DIV/0!</v>
      </c>
      <c r="BD426" s="87" t="e">
        <v>#DIV/0!</v>
      </c>
      <c r="BE426" s="87" t="e">
        <v>#DIV/0!</v>
      </c>
      <c r="BF426" s="87" t="e">
        <v>#DIV/0!</v>
      </c>
    </row>
    <row r="427" spans="1:58" s="38" customFormat="1" ht="16.5" customHeight="1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  <c r="W427" s="77"/>
      <c r="X427" s="77"/>
      <c r="Y427" s="77"/>
      <c r="Z427" s="77"/>
      <c r="AA427" s="77"/>
      <c r="AB427" s="77"/>
      <c r="AC427" s="77"/>
      <c r="AD427" s="77"/>
      <c r="AE427" s="77"/>
      <c r="AF427" s="77"/>
      <c r="AG427" s="77"/>
      <c r="AH427" s="77"/>
      <c r="AI427" s="77"/>
      <c r="AJ427" s="77"/>
      <c r="AK427" s="77"/>
      <c r="AL427" s="77"/>
      <c r="AM427" s="77"/>
      <c r="AN427" s="77"/>
      <c r="AO427" s="77"/>
      <c r="AP427" s="77"/>
      <c r="AQ427" s="77"/>
      <c r="AR427" s="77"/>
      <c r="AS427" s="77"/>
      <c r="AT427" s="77"/>
      <c r="AU427" s="77"/>
      <c r="AV427" s="77"/>
      <c r="AX427" s="84"/>
      <c r="AY427" s="84"/>
      <c r="BA427" s="75" t="s">
        <v>61</v>
      </c>
      <c r="BB427" s="87" t="e">
        <v>#DIV/0!</v>
      </c>
      <c r="BC427" s="87" t="e">
        <v>#DIV/0!</v>
      </c>
      <c r="BD427" s="87" t="e">
        <v>#DIV/0!</v>
      </c>
      <c r="BE427" s="87" t="e">
        <v>#DIV/0!</v>
      </c>
      <c r="BF427" s="87" t="e">
        <v>#DIV/0!</v>
      </c>
    </row>
    <row r="428" spans="1:58" s="38" customFormat="1" ht="16.5" customHeight="1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  <c r="W428" s="77"/>
      <c r="X428" s="77"/>
      <c r="Y428" s="77"/>
      <c r="Z428" s="77"/>
      <c r="AA428" s="77"/>
      <c r="AB428" s="77"/>
      <c r="AC428" s="77"/>
      <c r="AD428" s="77"/>
      <c r="AE428" s="77"/>
      <c r="AF428" s="77"/>
      <c r="AG428" s="77"/>
      <c r="AH428" s="77"/>
      <c r="AI428" s="77"/>
      <c r="AJ428" s="77"/>
      <c r="AK428" s="77"/>
      <c r="AL428" s="77"/>
      <c r="AM428" s="77"/>
      <c r="AN428" s="77"/>
      <c r="AO428" s="77"/>
      <c r="AP428" s="77"/>
      <c r="AQ428" s="77"/>
      <c r="AR428" s="77"/>
      <c r="AS428" s="77"/>
      <c r="AT428" s="77"/>
      <c r="AU428" s="77"/>
      <c r="AV428" s="77"/>
      <c r="AX428" s="84"/>
      <c r="AY428" s="84"/>
      <c r="BA428" s="76" t="s">
        <v>62</v>
      </c>
      <c r="BB428" s="88" t="e">
        <v>#DIV/0!</v>
      </c>
      <c r="BC428" s="88" t="e">
        <v>#DIV/0!</v>
      </c>
      <c r="BD428" s="88" t="e">
        <v>#DIV/0!</v>
      </c>
      <c r="BE428" s="88" t="e">
        <v>#DIV/0!</v>
      </c>
      <c r="BF428" s="88" t="e">
        <v>#DIV/0!</v>
      </c>
    </row>
    <row r="429" spans="1:58" s="38" customFormat="1" ht="16.5" customHeight="1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  <c r="W429" s="77"/>
      <c r="X429" s="77"/>
      <c r="Y429" s="77"/>
      <c r="Z429" s="77"/>
      <c r="AA429" s="77"/>
      <c r="AB429" s="77"/>
      <c r="AC429" s="77"/>
      <c r="AD429" s="77"/>
      <c r="AE429" s="77"/>
      <c r="AF429" s="77"/>
      <c r="AG429" s="77"/>
      <c r="AH429" s="77"/>
      <c r="AI429" s="77"/>
      <c r="AJ429" s="77"/>
      <c r="AK429" s="77"/>
      <c r="AL429" s="77"/>
      <c r="AM429" s="77"/>
      <c r="AN429" s="77"/>
      <c r="AO429" s="77"/>
      <c r="AP429" s="77"/>
      <c r="AQ429" s="77"/>
      <c r="AR429" s="77"/>
      <c r="AS429" s="77"/>
      <c r="AT429" s="77"/>
      <c r="AU429" s="77"/>
      <c r="AV429" s="77"/>
      <c r="AX429" s="84"/>
      <c r="AY429" s="84"/>
      <c r="BA429" s="75" t="s">
        <v>67</v>
      </c>
      <c r="BB429" s="87" t="e">
        <v>#DIV/0!</v>
      </c>
      <c r="BC429" s="87" t="e">
        <v>#DIV/0!</v>
      </c>
      <c r="BD429" s="87" t="e">
        <v>#DIV/0!</v>
      </c>
      <c r="BE429" s="87" t="e">
        <v>#DIV/0!</v>
      </c>
      <c r="BF429" s="87" t="e">
        <v>#DIV/0!</v>
      </c>
    </row>
    <row r="430" spans="1:58" s="38" customFormat="1" ht="16.5" customHeight="1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  <c r="W430" s="77"/>
      <c r="X430" s="77"/>
      <c r="Y430" s="77"/>
      <c r="Z430" s="77"/>
      <c r="AA430" s="77"/>
      <c r="AB430" s="77"/>
      <c r="AC430" s="77"/>
      <c r="AD430" s="77"/>
      <c r="AE430" s="77"/>
      <c r="AF430" s="77"/>
      <c r="AG430" s="77"/>
      <c r="AH430" s="77"/>
      <c r="AI430" s="77"/>
      <c r="AJ430" s="77"/>
      <c r="AK430" s="77"/>
      <c r="AL430" s="77"/>
      <c r="AM430" s="77"/>
      <c r="AN430" s="77"/>
      <c r="AO430" s="77"/>
      <c r="AP430" s="77"/>
      <c r="AQ430" s="77"/>
      <c r="AR430" s="77"/>
      <c r="AS430" s="77"/>
      <c r="AT430" s="77"/>
      <c r="AU430" s="77"/>
      <c r="AV430" s="77"/>
      <c r="AX430" s="84"/>
      <c r="AY430" s="84"/>
    </row>
    <row r="431" spans="1:58" s="38" customFormat="1" ht="16.5" customHeight="1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  <c r="W431" s="77"/>
      <c r="X431" s="77"/>
      <c r="Y431" s="77"/>
      <c r="Z431" s="77"/>
      <c r="AA431" s="77"/>
      <c r="AB431" s="77"/>
      <c r="AC431" s="77"/>
      <c r="AD431" s="77"/>
      <c r="AE431" s="77"/>
      <c r="AF431" s="77"/>
      <c r="AG431" s="77"/>
      <c r="AH431" s="77"/>
      <c r="AI431" s="77"/>
      <c r="AJ431" s="77"/>
      <c r="AK431" s="77"/>
      <c r="AL431" s="77"/>
      <c r="AM431" s="77"/>
      <c r="AN431" s="77"/>
      <c r="AO431" s="77"/>
      <c r="AP431" s="77"/>
      <c r="AQ431" s="77"/>
      <c r="AR431" s="77"/>
      <c r="AS431" s="77"/>
      <c r="AT431" s="77"/>
      <c r="AU431" s="77"/>
      <c r="AV431" s="77"/>
      <c r="AX431" s="84"/>
      <c r="AY431" s="84"/>
    </row>
    <row r="432" spans="1:58" s="38" customFormat="1" ht="16.5" customHeight="1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  <c r="W432" s="77"/>
      <c r="X432" s="77"/>
      <c r="Y432" s="77"/>
      <c r="Z432" s="77"/>
      <c r="AA432" s="77"/>
      <c r="AB432" s="77"/>
      <c r="AC432" s="77"/>
      <c r="AD432" s="77"/>
      <c r="AE432" s="77"/>
      <c r="AF432" s="77"/>
      <c r="AG432" s="77"/>
      <c r="AH432" s="77"/>
      <c r="AI432" s="77"/>
      <c r="AJ432" s="77"/>
      <c r="AK432" s="77"/>
      <c r="AL432" s="77"/>
      <c r="AM432" s="77"/>
      <c r="AN432" s="77"/>
      <c r="AO432" s="77"/>
      <c r="AP432" s="77"/>
      <c r="AQ432" s="77"/>
      <c r="AR432" s="77"/>
      <c r="AS432" s="77"/>
      <c r="AT432" s="77"/>
      <c r="AU432" s="77"/>
      <c r="AV432" s="77"/>
      <c r="AX432" s="84"/>
      <c r="AY432" s="84"/>
    </row>
    <row r="433" spans="1:51" s="38" customFormat="1" ht="16.5" customHeight="1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  <c r="W433" s="77"/>
      <c r="X433" s="77"/>
      <c r="Y433" s="77"/>
      <c r="Z433" s="77"/>
      <c r="AA433" s="77"/>
      <c r="AB433" s="77"/>
      <c r="AC433" s="77"/>
      <c r="AD433" s="77"/>
      <c r="AE433" s="77"/>
      <c r="AF433" s="77"/>
      <c r="AG433" s="77"/>
      <c r="AH433" s="77"/>
      <c r="AI433" s="77"/>
      <c r="AJ433" s="77"/>
      <c r="AK433" s="77"/>
      <c r="AL433" s="77"/>
      <c r="AM433" s="77"/>
      <c r="AN433" s="77"/>
      <c r="AO433" s="77"/>
      <c r="AP433" s="77"/>
      <c r="AQ433" s="77"/>
      <c r="AR433" s="77"/>
      <c r="AS433" s="77"/>
      <c r="AT433" s="77"/>
      <c r="AU433" s="77"/>
      <c r="AV433" s="77"/>
      <c r="AX433" s="84"/>
      <c r="AY433" s="84"/>
    </row>
    <row r="434" spans="1:51" s="38" customFormat="1" ht="16.5" customHeight="1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  <c r="W434" s="77"/>
      <c r="X434" s="77"/>
      <c r="Y434" s="77"/>
      <c r="Z434" s="77"/>
      <c r="AA434" s="77"/>
      <c r="AB434" s="77"/>
      <c r="AC434" s="77"/>
      <c r="AD434" s="77"/>
      <c r="AE434" s="77"/>
      <c r="AF434" s="77"/>
      <c r="AG434" s="77"/>
      <c r="AH434" s="77"/>
      <c r="AI434" s="77"/>
      <c r="AJ434" s="77"/>
      <c r="AK434" s="77"/>
      <c r="AL434" s="77"/>
      <c r="AM434" s="77"/>
      <c r="AN434" s="77"/>
      <c r="AO434" s="77"/>
      <c r="AP434" s="77"/>
      <c r="AQ434" s="77"/>
      <c r="AR434" s="77"/>
      <c r="AS434" s="77"/>
      <c r="AT434" s="77"/>
      <c r="AU434" s="77"/>
      <c r="AV434" s="77"/>
      <c r="AX434" s="84"/>
      <c r="AY434" s="84"/>
    </row>
    <row r="435" spans="1:51" s="38" customFormat="1" ht="16.5" customHeight="1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  <c r="W435" s="77"/>
      <c r="X435" s="77"/>
      <c r="Y435" s="77"/>
      <c r="Z435" s="77"/>
      <c r="AA435" s="77"/>
      <c r="AB435" s="77"/>
      <c r="AC435" s="77"/>
      <c r="AD435" s="77"/>
      <c r="AE435" s="77"/>
      <c r="AF435" s="77"/>
      <c r="AG435" s="77"/>
      <c r="AH435" s="77"/>
      <c r="AI435" s="77"/>
      <c r="AJ435" s="77"/>
      <c r="AK435" s="77"/>
      <c r="AL435" s="77"/>
      <c r="AM435" s="77"/>
      <c r="AN435" s="77"/>
      <c r="AO435" s="77"/>
      <c r="AP435" s="77"/>
      <c r="AQ435" s="77"/>
      <c r="AR435" s="77"/>
      <c r="AS435" s="77"/>
      <c r="AT435" s="77"/>
      <c r="AU435" s="77"/>
      <c r="AV435" s="77"/>
      <c r="AX435" s="84"/>
      <c r="AY435" s="84"/>
    </row>
    <row r="436" spans="1:51" s="38" customFormat="1" ht="16.5" customHeight="1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  <c r="W436" s="77"/>
      <c r="X436" s="77"/>
      <c r="Y436" s="77"/>
      <c r="Z436" s="77"/>
      <c r="AA436" s="77"/>
      <c r="AB436" s="77"/>
      <c r="AC436" s="77"/>
      <c r="AD436" s="77"/>
      <c r="AE436" s="77"/>
      <c r="AF436" s="77"/>
      <c r="AG436" s="77"/>
      <c r="AH436" s="77"/>
      <c r="AI436" s="77"/>
      <c r="AJ436" s="77"/>
      <c r="AK436" s="77"/>
      <c r="AL436" s="77"/>
      <c r="AM436" s="77"/>
      <c r="AN436" s="77"/>
      <c r="AO436" s="77"/>
      <c r="AP436" s="77"/>
      <c r="AQ436" s="77"/>
      <c r="AR436" s="77"/>
      <c r="AS436" s="77"/>
      <c r="AT436" s="77"/>
      <c r="AU436" s="77"/>
      <c r="AV436" s="77"/>
      <c r="AX436" s="84"/>
      <c r="AY436" s="84"/>
    </row>
    <row r="437" spans="1:51" s="38" customFormat="1" ht="16.5" customHeight="1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  <c r="W437" s="77"/>
      <c r="X437" s="77"/>
      <c r="Y437" s="77"/>
      <c r="Z437" s="77"/>
      <c r="AA437" s="77"/>
      <c r="AB437" s="77"/>
      <c r="AC437" s="77"/>
      <c r="AD437" s="77"/>
      <c r="AE437" s="77"/>
      <c r="AF437" s="77"/>
      <c r="AG437" s="77"/>
      <c r="AH437" s="77"/>
      <c r="AI437" s="77"/>
      <c r="AJ437" s="77"/>
      <c r="AK437" s="77"/>
      <c r="AL437" s="77"/>
      <c r="AM437" s="77"/>
      <c r="AN437" s="77"/>
      <c r="AO437" s="77"/>
      <c r="AP437" s="77"/>
      <c r="AQ437" s="77"/>
      <c r="AR437" s="77"/>
      <c r="AS437" s="77"/>
      <c r="AT437" s="77"/>
      <c r="AU437" s="77"/>
      <c r="AV437" s="77"/>
      <c r="AX437" s="84"/>
      <c r="AY437" s="84"/>
    </row>
    <row r="438" spans="1:51" s="38" customFormat="1" ht="16.5" customHeight="1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  <c r="W438" s="77"/>
      <c r="X438" s="77"/>
      <c r="Y438" s="77"/>
      <c r="Z438" s="77"/>
      <c r="AA438" s="77"/>
      <c r="AB438" s="77"/>
      <c r="AC438" s="77"/>
      <c r="AD438" s="77"/>
      <c r="AE438" s="77"/>
      <c r="AF438" s="77"/>
      <c r="AG438" s="77"/>
      <c r="AH438" s="77"/>
      <c r="AI438" s="77"/>
      <c r="AJ438" s="77"/>
      <c r="AK438" s="77"/>
      <c r="AL438" s="77"/>
      <c r="AM438" s="77"/>
      <c r="AN438" s="77"/>
      <c r="AO438" s="77"/>
      <c r="AP438" s="77"/>
      <c r="AQ438" s="77"/>
      <c r="AR438" s="77"/>
      <c r="AS438" s="77"/>
      <c r="AT438" s="77"/>
      <c r="AU438" s="77"/>
      <c r="AV438" s="77"/>
      <c r="AX438" s="84"/>
      <c r="AY438" s="84"/>
    </row>
    <row r="439" spans="1:51" s="38" customFormat="1" ht="16.5" customHeight="1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  <c r="W439" s="77"/>
      <c r="X439" s="77"/>
      <c r="Y439" s="77"/>
      <c r="Z439" s="77"/>
      <c r="AA439" s="77"/>
      <c r="AB439" s="77"/>
      <c r="AC439" s="77"/>
      <c r="AD439" s="77"/>
      <c r="AE439" s="77"/>
      <c r="AF439" s="77"/>
      <c r="AG439" s="77"/>
      <c r="AH439" s="77"/>
      <c r="AI439" s="77"/>
      <c r="AJ439" s="77"/>
      <c r="AK439" s="77"/>
      <c r="AL439" s="77"/>
      <c r="AM439" s="77"/>
      <c r="AN439" s="77"/>
      <c r="AO439" s="77"/>
      <c r="AP439" s="77"/>
      <c r="AQ439" s="77"/>
      <c r="AR439" s="77"/>
      <c r="AS439" s="77"/>
      <c r="AT439" s="77"/>
      <c r="AU439" s="77"/>
      <c r="AV439" s="77"/>
      <c r="AX439" s="84"/>
      <c r="AY439" s="84"/>
    </row>
    <row r="440" spans="1:51" s="38" customFormat="1" ht="16.5" customHeight="1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  <c r="W440" s="77"/>
      <c r="X440" s="77"/>
      <c r="Y440" s="77"/>
      <c r="Z440" s="77"/>
      <c r="AA440" s="77"/>
      <c r="AB440" s="77"/>
      <c r="AC440" s="77"/>
      <c r="AD440" s="77"/>
      <c r="AE440" s="77"/>
      <c r="AF440" s="77"/>
      <c r="AG440" s="77"/>
      <c r="AH440" s="77"/>
      <c r="AI440" s="77"/>
      <c r="AJ440" s="77"/>
      <c r="AK440" s="77"/>
      <c r="AL440" s="77"/>
      <c r="AM440" s="77"/>
      <c r="AN440" s="77"/>
      <c r="AO440" s="77"/>
      <c r="AP440" s="77"/>
      <c r="AQ440" s="77"/>
      <c r="AR440" s="77"/>
      <c r="AS440" s="77"/>
      <c r="AT440" s="77"/>
      <c r="AU440" s="77"/>
      <c r="AV440" s="77"/>
      <c r="AX440" s="84"/>
      <c r="AY440" s="84"/>
    </row>
    <row r="441" spans="1:51" s="38" customFormat="1" ht="16.5" customHeight="1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  <c r="W441" s="77"/>
      <c r="X441" s="77"/>
      <c r="Y441" s="77"/>
      <c r="Z441" s="77"/>
      <c r="AA441" s="77"/>
      <c r="AB441" s="77"/>
      <c r="AC441" s="77"/>
      <c r="AD441" s="77"/>
      <c r="AE441" s="77"/>
      <c r="AF441" s="77"/>
      <c r="AG441" s="77"/>
      <c r="AH441" s="77"/>
      <c r="AI441" s="77"/>
      <c r="AJ441" s="77"/>
      <c r="AK441" s="77"/>
      <c r="AL441" s="77"/>
      <c r="AM441" s="77"/>
      <c r="AN441" s="77"/>
      <c r="AO441" s="77"/>
      <c r="AP441" s="77"/>
      <c r="AQ441" s="77"/>
      <c r="AR441" s="77"/>
      <c r="AS441" s="77"/>
      <c r="AT441" s="77"/>
      <c r="AU441" s="77"/>
      <c r="AV441" s="77"/>
      <c r="AX441" s="84"/>
      <c r="AY441" s="84"/>
    </row>
    <row r="442" spans="1:51" s="38" customFormat="1" ht="16.5" customHeight="1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  <c r="W442" s="77"/>
      <c r="X442" s="77"/>
      <c r="Y442" s="77"/>
      <c r="Z442" s="77"/>
      <c r="AA442" s="77"/>
      <c r="AB442" s="77"/>
      <c r="AC442" s="77"/>
      <c r="AD442" s="77"/>
      <c r="AE442" s="77"/>
      <c r="AF442" s="77"/>
      <c r="AG442" s="77"/>
      <c r="AH442" s="77"/>
      <c r="AI442" s="77"/>
      <c r="AJ442" s="77"/>
      <c r="AK442" s="77"/>
      <c r="AL442" s="77"/>
      <c r="AM442" s="77"/>
      <c r="AN442" s="77"/>
      <c r="AO442" s="77"/>
      <c r="AP442" s="77"/>
      <c r="AQ442" s="77"/>
      <c r="AR442" s="77"/>
      <c r="AS442" s="77"/>
      <c r="AT442" s="77"/>
      <c r="AU442" s="77"/>
      <c r="AV442" s="77"/>
      <c r="AX442" s="84"/>
      <c r="AY442" s="84"/>
    </row>
    <row r="443" spans="1:51" s="38" customFormat="1" ht="16.5" customHeight="1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  <c r="W443" s="77"/>
      <c r="X443" s="77"/>
      <c r="Y443" s="77"/>
      <c r="Z443" s="77"/>
      <c r="AA443" s="77"/>
      <c r="AB443" s="77"/>
      <c r="AC443" s="77"/>
      <c r="AD443" s="77"/>
      <c r="AE443" s="77"/>
      <c r="AF443" s="77"/>
      <c r="AG443" s="77"/>
      <c r="AH443" s="77"/>
      <c r="AI443" s="77"/>
      <c r="AJ443" s="77"/>
      <c r="AK443" s="77"/>
      <c r="AL443" s="77"/>
      <c r="AM443" s="77"/>
      <c r="AN443" s="77"/>
      <c r="AO443" s="77"/>
      <c r="AP443" s="77"/>
      <c r="AQ443" s="77"/>
      <c r="AR443" s="77"/>
      <c r="AS443" s="77"/>
      <c r="AT443" s="77"/>
      <c r="AU443" s="77"/>
      <c r="AV443" s="77"/>
      <c r="AX443" s="84"/>
      <c r="AY443" s="84"/>
    </row>
    <row r="444" spans="1:51" s="38" customFormat="1" ht="16.5" customHeight="1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  <c r="W444" s="77"/>
      <c r="X444" s="77"/>
      <c r="Y444" s="77"/>
      <c r="Z444" s="77"/>
      <c r="AA444" s="77"/>
      <c r="AB444" s="77"/>
      <c r="AC444" s="77"/>
      <c r="AD444" s="77"/>
      <c r="AE444" s="77"/>
      <c r="AF444" s="77"/>
      <c r="AG444" s="77"/>
      <c r="AH444" s="77"/>
      <c r="AI444" s="77"/>
      <c r="AJ444" s="77"/>
      <c r="AK444" s="77"/>
      <c r="AL444" s="77"/>
      <c r="AM444" s="77"/>
      <c r="AN444" s="77"/>
      <c r="AO444" s="77"/>
      <c r="AP444" s="77"/>
      <c r="AQ444" s="77"/>
      <c r="AR444" s="77"/>
      <c r="AS444" s="77"/>
      <c r="AT444" s="77"/>
      <c r="AU444" s="77"/>
      <c r="AV444" s="77"/>
      <c r="AX444" s="84"/>
      <c r="AY444" s="84"/>
    </row>
    <row r="445" spans="1:51" s="38" customFormat="1" ht="16.5" customHeight="1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  <c r="W445" s="77"/>
      <c r="X445" s="77"/>
      <c r="Y445" s="77"/>
      <c r="Z445" s="77"/>
      <c r="AA445" s="77"/>
      <c r="AB445" s="77"/>
      <c r="AC445" s="77"/>
      <c r="AD445" s="77"/>
      <c r="AE445" s="77"/>
      <c r="AF445" s="77"/>
      <c r="AG445" s="77"/>
      <c r="AH445" s="77"/>
      <c r="AI445" s="77"/>
      <c r="AJ445" s="77"/>
      <c r="AK445" s="77"/>
      <c r="AL445" s="77"/>
      <c r="AM445" s="77"/>
      <c r="AN445" s="77"/>
      <c r="AO445" s="77"/>
      <c r="AP445" s="77"/>
      <c r="AQ445" s="77"/>
      <c r="AR445" s="77"/>
      <c r="AS445" s="77"/>
      <c r="AT445" s="77"/>
      <c r="AU445" s="77"/>
      <c r="AV445" s="77"/>
      <c r="AX445" s="84"/>
      <c r="AY445" s="84"/>
    </row>
    <row r="446" spans="1:51" s="38" customFormat="1" ht="16.5" customHeight="1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  <c r="W446" s="77"/>
      <c r="X446" s="77"/>
      <c r="Y446" s="77"/>
      <c r="Z446" s="77"/>
      <c r="AA446" s="77"/>
      <c r="AB446" s="77"/>
      <c r="AC446" s="77"/>
      <c r="AD446" s="77"/>
      <c r="AE446" s="77"/>
      <c r="AF446" s="77"/>
      <c r="AG446" s="77"/>
      <c r="AH446" s="77"/>
      <c r="AI446" s="77"/>
      <c r="AJ446" s="77"/>
      <c r="AK446" s="77"/>
      <c r="AL446" s="77"/>
      <c r="AM446" s="77"/>
      <c r="AN446" s="77"/>
      <c r="AO446" s="77"/>
      <c r="AP446" s="77"/>
      <c r="AQ446" s="77"/>
      <c r="AR446" s="77"/>
      <c r="AS446" s="77"/>
      <c r="AT446" s="77"/>
      <c r="AU446" s="77"/>
      <c r="AV446" s="77"/>
      <c r="AX446" s="84"/>
      <c r="AY446" s="84"/>
    </row>
    <row r="447" spans="1:51" s="38" customFormat="1" ht="16.5" customHeight="1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  <c r="W447" s="77"/>
      <c r="X447" s="77"/>
      <c r="Y447" s="77"/>
      <c r="Z447" s="77"/>
      <c r="AA447" s="77"/>
      <c r="AB447" s="77"/>
      <c r="AC447" s="77"/>
      <c r="AD447" s="77"/>
      <c r="AE447" s="77"/>
      <c r="AF447" s="77"/>
      <c r="AG447" s="77"/>
      <c r="AH447" s="77"/>
      <c r="AI447" s="77"/>
      <c r="AJ447" s="77"/>
      <c r="AK447" s="77"/>
      <c r="AL447" s="77"/>
      <c r="AM447" s="77"/>
      <c r="AN447" s="77"/>
      <c r="AO447" s="77"/>
      <c r="AP447" s="77"/>
      <c r="AQ447" s="77"/>
      <c r="AR447" s="77"/>
      <c r="AS447" s="77"/>
      <c r="AT447" s="77"/>
      <c r="AU447" s="77"/>
      <c r="AV447" s="77"/>
      <c r="AX447" s="84"/>
      <c r="AY447" s="84"/>
    </row>
    <row r="448" spans="1:51" s="38" customFormat="1" ht="16.5" customHeight="1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  <c r="W448" s="77"/>
      <c r="X448" s="77"/>
      <c r="Y448" s="77"/>
      <c r="Z448" s="77"/>
      <c r="AA448" s="77"/>
      <c r="AB448" s="77"/>
      <c r="AC448" s="77"/>
      <c r="AD448" s="77"/>
      <c r="AE448" s="77"/>
      <c r="AF448" s="77"/>
      <c r="AG448" s="77"/>
      <c r="AH448" s="77"/>
      <c r="AI448" s="77"/>
      <c r="AJ448" s="77"/>
      <c r="AK448" s="77"/>
      <c r="AL448" s="77"/>
      <c r="AM448" s="77"/>
      <c r="AN448" s="77"/>
      <c r="AO448" s="77"/>
      <c r="AP448" s="77"/>
      <c r="AQ448" s="77"/>
      <c r="AR448" s="77"/>
      <c r="AS448" s="77"/>
      <c r="AT448" s="77"/>
      <c r="AU448" s="77"/>
      <c r="AV448" s="77"/>
      <c r="AX448" s="84"/>
      <c r="AY448" s="84"/>
    </row>
    <row r="449" spans="1:58" s="38" customFormat="1" ht="16.5" customHeight="1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  <c r="W449" s="77"/>
      <c r="X449" s="77"/>
      <c r="Y449" s="77"/>
      <c r="Z449" s="77"/>
      <c r="AA449" s="77"/>
      <c r="AB449" s="77"/>
      <c r="AC449" s="77"/>
      <c r="AD449" s="77"/>
      <c r="AE449" s="77"/>
      <c r="AF449" s="77"/>
      <c r="AG449" s="77"/>
      <c r="AH449" s="77"/>
      <c r="AI449" s="77"/>
      <c r="AJ449" s="77"/>
      <c r="AK449" s="77"/>
      <c r="AL449" s="77"/>
      <c r="AM449" s="77"/>
      <c r="AN449" s="77"/>
      <c r="AO449" s="77"/>
      <c r="AP449" s="77"/>
      <c r="AQ449" s="77"/>
      <c r="AR449" s="77"/>
      <c r="AS449" s="77"/>
      <c r="AT449" s="77"/>
      <c r="AU449" s="77"/>
      <c r="AV449" s="77"/>
      <c r="AX449" s="84"/>
      <c r="AY449" s="84"/>
    </row>
    <row r="450" spans="1:58" s="38" customFormat="1" ht="16.5" customHeight="1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  <c r="W450" s="77"/>
      <c r="X450" s="77"/>
      <c r="Y450" s="77"/>
      <c r="Z450" s="77"/>
      <c r="AA450" s="77"/>
      <c r="AB450" s="77"/>
      <c r="AC450" s="77"/>
      <c r="AD450" s="77"/>
      <c r="AE450" s="77"/>
      <c r="AF450" s="77"/>
      <c r="AG450" s="77"/>
      <c r="AH450" s="77"/>
      <c r="AI450" s="77"/>
      <c r="AJ450" s="77"/>
      <c r="AK450" s="77"/>
      <c r="AL450" s="77"/>
      <c r="AM450" s="77"/>
      <c r="AN450" s="77"/>
      <c r="AO450" s="77"/>
      <c r="AP450" s="77"/>
      <c r="AQ450" s="77"/>
      <c r="AR450" s="77"/>
      <c r="AS450" s="77"/>
      <c r="AT450" s="77"/>
      <c r="AU450" s="77"/>
      <c r="AV450" s="77"/>
      <c r="AX450" s="84"/>
      <c r="AY450" s="84"/>
    </row>
    <row r="451" spans="1:58" s="38" customFormat="1" ht="16.5" customHeight="1" x14ac:dyDescent="0.3">
      <c r="A451" s="77"/>
      <c r="B451" s="77"/>
      <c r="C451" s="77"/>
      <c r="D451" s="77"/>
      <c r="E451" s="77"/>
      <c r="F451" s="77"/>
      <c r="G451" s="77"/>
      <c r="H451" s="77"/>
      <c r="I451" s="77"/>
      <c r="J451" s="77"/>
      <c r="K451" s="77"/>
      <c r="L451" s="77"/>
      <c r="M451" s="77"/>
      <c r="N451" s="77"/>
      <c r="O451" s="77"/>
      <c r="P451" s="77"/>
      <c r="Q451" s="77"/>
      <c r="R451" s="77"/>
      <c r="S451" s="77"/>
      <c r="T451" s="77"/>
      <c r="U451" s="77"/>
      <c r="V451" s="77"/>
      <c r="W451" s="77"/>
      <c r="X451" s="77"/>
      <c r="Y451" s="77"/>
      <c r="Z451" s="77"/>
      <c r="AA451" s="77"/>
      <c r="AB451" s="77"/>
      <c r="AC451" s="77"/>
      <c r="AD451" s="77"/>
      <c r="AE451" s="77"/>
      <c r="AF451" s="77"/>
      <c r="AG451" s="77"/>
      <c r="AH451" s="77"/>
      <c r="AI451" s="77"/>
      <c r="AJ451" s="77"/>
      <c r="AK451" s="77"/>
      <c r="AL451" s="77"/>
      <c r="AM451" s="77"/>
      <c r="AN451" s="77"/>
      <c r="AO451" s="77"/>
      <c r="AP451" s="77"/>
      <c r="AQ451" s="77"/>
      <c r="AR451" s="77"/>
      <c r="AS451" s="77"/>
      <c r="AT451" s="77"/>
      <c r="AU451" s="77"/>
      <c r="AV451" s="77"/>
      <c r="AX451" s="84"/>
      <c r="AY451" s="84"/>
    </row>
    <row r="452" spans="1:58" s="38" customFormat="1" ht="16.5" customHeight="1" x14ac:dyDescent="0.3">
      <c r="A452" s="77"/>
      <c r="B452" s="77"/>
      <c r="C452" s="77"/>
      <c r="D452" s="77"/>
      <c r="E452" s="77"/>
      <c r="F452" s="77"/>
      <c r="G452" s="77"/>
      <c r="H452" s="77"/>
      <c r="I452" s="77"/>
      <c r="J452" s="77"/>
      <c r="K452" s="77"/>
      <c r="L452" s="77"/>
      <c r="M452" s="77"/>
      <c r="N452" s="77"/>
      <c r="O452" s="77"/>
      <c r="P452" s="77"/>
      <c r="Q452" s="77"/>
      <c r="R452" s="77"/>
      <c r="S452" s="77"/>
      <c r="T452" s="77"/>
      <c r="U452" s="77"/>
      <c r="V452" s="77"/>
      <c r="W452" s="77"/>
      <c r="X452" s="77"/>
      <c r="Y452" s="77"/>
      <c r="Z452" s="77"/>
      <c r="AA452" s="77"/>
      <c r="AB452" s="77"/>
      <c r="AC452" s="77"/>
      <c r="AD452" s="77"/>
      <c r="AE452" s="77"/>
      <c r="AF452" s="77"/>
      <c r="AG452" s="77"/>
      <c r="AH452" s="77"/>
      <c r="AI452" s="77"/>
      <c r="AJ452" s="77"/>
      <c r="AK452" s="77"/>
      <c r="AL452" s="77"/>
      <c r="AM452" s="77"/>
      <c r="AN452" s="77"/>
      <c r="AO452" s="77"/>
      <c r="AP452" s="77"/>
      <c r="AQ452" s="77"/>
      <c r="AR452" s="77"/>
      <c r="AS452" s="77"/>
      <c r="AT452" s="77"/>
      <c r="AU452" s="77"/>
      <c r="AV452" s="77"/>
      <c r="AX452" s="84"/>
      <c r="AY452" s="84"/>
    </row>
    <row r="453" spans="1:58" s="38" customFormat="1" ht="16.5" customHeight="1" x14ac:dyDescent="0.3">
      <c r="A453" s="77"/>
      <c r="B453" s="77"/>
      <c r="C453" s="77"/>
      <c r="D453" s="77"/>
      <c r="E453" s="77"/>
      <c r="F453" s="77"/>
      <c r="G453" s="77"/>
      <c r="H453" s="77"/>
      <c r="I453" s="77"/>
      <c r="J453" s="77"/>
      <c r="K453" s="77"/>
      <c r="L453" s="77"/>
      <c r="M453" s="77"/>
      <c r="N453" s="77"/>
      <c r="O453" s="77"/>
      <c r="P453" s="77"/>
      <c r="Q453" s="77"/>
      <c r="R453" s="77"/>
      <c r="S453" s="77"/>
      <c r="T453" s="77"/>
      <c r="U453" s="77"/>
      <c r="V453" s="77"/>
      <c r="W453" s="77"/>
      <c r="X453" s="77"/>
      <c r="Y453" s="77"/>
      <c r="Z453" s="77"/>
      <c r="AA453" s="77"/>
      <c r="AB453" s="77"/>
      <c r="AC453" s="77"/>
      <c r="AD453" s="77"/>
      <c r="AE453" s="77"/>
      <c r="AF453" s="77"/>
      <c r="AG453" s="77"/>
      <c r="AH453" s="77"/>
      <c r="AI453" s="77"/>
      <c r="AJ453" s="77"/>
      <c r="AK453" s="77"/>
      <c r="AL453" s="77"/>
      <c r="AM453" s="77"/>
      <c r="AN453" s="77"/>
      <c r="AO453" s="77"/>
      <c r="AP453" s="77"/>
      <c r="AQ453" s="77"/>
      <c r="AR453" s="77"/>
      <c r="AS453" s="77"/>
      <c r="AT453" s="77"/>
      <c r="AU453" s="77"/>
      <c r="AV453" s="77"/>
      <c r="AX453" s="84"/>
      <c r="AY453" s="84"/>
    </row>
    <row r="454" spans="1:58" s="38" customFormat="1" ht="16.5" customHeight="1" x14ac:dyDescent="0.3">
      <c r="A454" s="77"/>
      <c r="B454" s="77"/>
      <c r="C454" s="77"/>
      <c r="D454" s="77"/>
      <c r="E454" s="77"/>
      <c r="F454" s="77"/>
      <c r="G454" s="77"/>
      <c r="H454" s="77"/>
      <c r="I454" s="77"/>
      <c r="J454" s="77"/>
      <c r="K454" s="77"/>
      <c r="L454" s="77"/>
      <c r="M454" s="77"/>
      <c r="N454" s="77"/>
      <c r="O454" s="77"/>
      <c r="P454" s="77"/>
      <c r="Q454" s="77"/>
      <c r="R454" s="77"/>
      <c r="S454" s="77"/>
      <c r="T454" s="77"/>
      <c r="U454" s="77"/>
      <c r="V454" s="77"/>
      <c r="W454" s="77"/>
      <c r="X454" s="77"/>
      <c r="Y454" s="77"/>
      <c r="Z454" s="77"/>
      <c r="AA454" s="77"/>
      <c r="AB454" s="77"/>
      <c r="AC454" s="77"/>
      <c r="AD454" s="77"/>
      <c r="AE454" s="77"/>
      <c r="AF454" s="77"/>
      <c r="AG454" s="77"/>
      <c r="AH454" s="77"/>
      <c r="AI454" s="77"/>
      <c r="AJ454" s="77"/>
      <c r="AK454" s="77"/>
      <c r="AL454" s="77"/>
      <c r="AM454" s="77"/>
      <c r="AN454" s="77"/>
      <c r="AO454" s="77"/>
      <c r="AP454" s="77"/>
      <c r="AQ454" s="77"/>
      <c r="AR454" s="77"/>
      <c r="AS454" s="77"/>
      <c r="AT454" s="77"/>
      <c r="AU454" s="77"/>
      <c r="AV454" s="77"/>
      <c r="AX454" s="84"/>
      <c r="AY454" s="84"/>
    </row>
    <row r="455" spans="1:58" s="38" customFormat="1" ht="16.5" customHeight="1" x14ac:dyDescent="0.3">
      <c r="A455" s="77"/>
      <c r="B455" s="77"/>
      <c r="C455" s="77"/>
      <c r="D455" s="77"/>
      <c r="E455" s="77"/>
      <c r="F455" s="77"/>
      <c r="G455" s="77"/>
      <c r="H455" s="77"/>
      <c r="I455" s="77"/>
      <c r="J455" s="77"/>
      <c r="K455" s="77"/>
      <c r="L455" s="77"/>
      <c r="M455" s="77"/>
      <c r="N455" s="77"/>
      <c r="O455" s="77"/>
      <c r="P455" s="77"/>
      <c r="Q455" s="77"/>
      <c r="R455" s="77"/>
      <c r="S455" s="77"/>
      <c r="T455" s="77"/>
      <c r="U455" s="77"/>
      <c r="V455" s="77"/>
      <c r="W455" s="77"/>
      <c r="X455" s="77"/>
      <c r="Y455" s="77"/>
      <c r="Z455" s="77"/>
      <c r="AA455" s="77"/>
      <c r="AB455" s="77"/>
      <c r="AC455" s="77"/>
      <c r="AD455" s="77"/>
      <c r="AE455" s="77"/>
      <c r="AF455" s="77"/>
      <c r="AG455" s="77"/>
      <c r="AH455" s="77"/>
      <c r="AI455" s="77"/>
      <c r="AJ455" s="77"/>
      <c r="AK455" s="77"/>
      <c r="AL455" s="77"/>
      <c r="AM455" s="77"/>
      <c r="AN455" s="77"/>
      <c r="AO455" s="77"/>
      <c r="AP455" s="77"/>
      <c r="AQ455" s="77"/>
      <c r="AR455" s="77"/>
      <c r="AS455" s="77"/>
      <c r="AT455" s="77"/>
      <c r="AU455" s="77"/>
      <c r="AV455" s="77"/>
      <c r="AX455" s="84"/>
      <c r="AY455" s="84"/>
    </row>
    <row r="456" spans="1:58" s="38" customFormat="1" ht="16.5" customHeight="1" x14ac:dyDescent="0.3">
      <c r="A456" s="77"/>
      <c r="B456" s="77"/>
      <c r="C456" s="77"/>
      <c r="D456" s="77"/>
      <c r="E456" s="77"/>
      <c r="F456" s="77"/>
      <c r="G456" s="77"/>
      <c r="H456" s="77"/>
      <c r="I456" s="77"/>
      <c r="J456" s="77"/>
      <c r="K456" s="77"/>
      <c r="L456" s="77"/>
      <c r="M456" s="77"/>
      <c r="N456" s="77"/>
      <c r="O456" s="77"/>
      <c r="P456" s="77"/>
      <c r="Q456" s="77"/>
      <c r="R456" s="77"/>
      <c r="S456" s="77"/>
      <c r="T456" s="77"/>
      <c r="U456" s="77"/>
      <c r="V456" s="77"/>
      <c r="W456" s="77"/>
      <c r="X456" s="77"/>
      <c r="Y456" s="77"/>
      <c r="Z456" s="77"/>
      <c r="AA456" s="77"/>
      <c r="AB456" s="77"/>
      <c r="AC456" s="77"/>
      <c r="AD456" s="77"/>
      <c r="AE456" s="77"/>
      <c r="AF456" s="77"/>
      <c r="AG456" s="77"/>
      <c r="AH456" s="77"/>
      <c r="AI456" s="77"/>
      <c r="AJ456" s="77"/>
      <c r="AK456" s="77"/>
      <c r="AL456" s="77"/>
      <c r="AM456" s="77"/>
      <c r="AN456" s="77"/>
      <c r="AO456" s="77"/>
      <c r="AP456" s="77"/>
      <c r="AQ456" s="77"/>
      <c r="AR456" s="77"/>
      <c r="AS456" s="77"/>
      <c r="AT456" s="77"/>
      <c r="AU456" s="77"/>
      <c r="AV456" s="77"/>
      <c r="AX456" s="84"/>
      <c r="AY456" s="84"/>
    </row>
    <row r="457" spans="1:58" s="38" customFormat="1" ht="16.5" customHeight="1" x14ac:dyDescent="0.3">
      <c r="A457" s="77"/>
      <c r="B457" s="77"/>
      <c r="C457" s="77"/>
      <c r="D457" s="77"/>
      <c r="E457" s="77"/>
      <c r="F457" s="77"/>
      <c r="G457" s="77"/>
      <c r="H457" s="77"/>
      <c r="I457" s="77"/>
      <c r="J457" s="77"/>
      <c r="K457" s="77"/>
      <c r="L457" s="77"/>
      <c r="M457" s="77"/>
      <c r="N457" s="77"/>
      <c r="O457" s="77"/>
      <c r="P457" s="77"/>
      <c r="Q457" s="77"/>
      <c r="R457" s="77"/>
      <c r="S457" s="77"/>
      <c r="T457" s="77"/>
      <c r="U457" s="77"/>
      <c r="V457" s="77"/>
      <c r="W457" s="77"/>
      <c r="X457" s="77"/>
      <c r="Y457" s="77"/>
      <c r="Z457" s="77"/>
      <c r="AA457" s="77"/>
      <c r="AB457" s="77"/>
      <c r="AC457" s="77"/>
      <c r="AD457" s="77"/>
      <c r="AE457" s="77"/>
      <c r="AF457" s="77"/>
      <c r="AG457" s="77"/>
      <c r="AH457" s="77"/>
      <c r="AI457" s="77"/>
      <c r="AJ457" s="77"/>
      <c r="AK457" s="77"/>
      <c r="AL457" s="77"/>
      <c r="AM457" s="77"/>
      <c r="AN457" s="77"/>
      <c r="AO457" s="77"/>
      <c r="AP457" s="77"/>
      <c r="AQ457" s="77"/>
      <c r="AR457" s="77"/>
      <c r="AS457" s="77"/>
      <c r="AT457" s="77"/>
      <c r="AU457" s="77"/>
      <c r="AV457" s="77"/>
      <c r="AX457" s="84"/>
      <c r="AY457" s="84"/>
    </row>
    <row r="458" spans="1:58" s="38" customFormat="1" ht="16.5" customHeight="1" x14ac:dyDescent="0.3">
      <c r="A458" s="77"/>
      <c r="B458" s="77"/>
      <c r="C458" s="77"/>
      <c r="D458" s="77"/>
      <c r="E458" s="77"/>
      <c r="F458" s="77"/>
      <c r="G458" s="77"/>
      <c r="H458" s="77"/>
      <c r="I458" s="77"/>
      <c r="J458" s="77"/>
      <c r="K458" s="77"/>
      <c r="L458" s="77"/>
      <c r="M458" s="77"/>
      <c r="N458" s="77"/>
      <c r="O458" s="77"/>
      <c r="P458" s="77"/>
      <c r="Q458" s="77"/>
      <c r="R458" s="77"/>
      <c r="S458" s="77"/>
      <c r="T458" s="77"/>
      <c r="U458" s="77"/>
      <c r="V458" s="77"/>
      <c r="W458" s="77"/>
      <c r="X458" s="77"/>
      <c r="Y458" s="77"/>
      <c r="Z458" s="77"/>
      <c r="AA458" s="77"/>
      <c r="AB458" s="77"/>
      <c r="AC458" s="77"/>
      <c r="AD458" s="77"/>
      <c r="AE458" s="77"/>
      <c r="AF458" s="77"/>
      <c r="AG458" s="77"/>
      <c r="AH458" s="77"/>
      <c r="AI458" s="77"/>
      <c r="AJ458" s="77"/>
      <c r="AK458" s="77"/>
      <c r="AL458" s="77"/>
      <c r="AM458" s="77"/>
      <c r="AN458" s="77"/>
      <c r="AO458" s="77"/>
      <c r="AP458" s="77"/>
      <c r="AQ458" s="77"/>
      <c r="AR458" s="77"/>
      <c r="AS458" s="77"/>
      <c r="AT458" s="77"/>
      <c r="AU458" s="77"/>
      <c r="AV458" s="77"/>
      <c r="AX458" s="84"/>
      <c r="AY458" s="84"/>
    </row>
    <row r="459" spans="1:58" s="38" customFormat="1" ht="16.5" customHeight="1" x14ac:dyDescent="0.3">
      <c r="A459" s="77"/>
      <c r="B459" s="77"/>
      <c r="C459" s="77"/>
      <c r="D459" s="77"/>
      <c r="E459" s="77"/>
      <c r="F459" s="77"/>
      <c r="G459" s="77"/>
      <c r="H459" s="77"/>
      <c r="I459" s="77"/>
      <c r="J459" s="77"/>
      <c r="K459" s="77"/>
      <c r="L459" s="77"/>
      <c r="M459" s="77"/>
      <c r="N459" s="77"/>
      <c r="O459" s="77"/>
      <c r="P459" s="77"/>
      <c r="Q459" s="77"/>
      <c r="R459" s="77"/>
      <c r="S459" s="77"/>
      <c r="T459" s="77"/>
      <c r="U459" s="77"/>
      <c r="V459" s="77"/>
      <c r="W459" s="77"/>
      <c r="X459" s="77"/>
      <c r="Y459" s="77"/>
      <c r="Z459" s="77"/>
      <c r="AA459" s="77"/>
      <c r="AB459" s="77"/>
      <c r="AC459" s="77"/>
      <c r="AD459" s="77"/>
      <c r="AE459" s="77"/>
      <c r="AF459" s="77"/>
      <c r="AG459" s="77"/>
      <c r="AH459" s="77"/>
      <c r="AI459" s="77"/>
      <c r="AJ459" s="77"/>
      <c r="AK459" s="77"/>
      <c r="AL459" s="77"/>
      <c r="AM459" s="77"/>
      <c r="AN459" s="77"/>
      <c r="AO459" s="77"/>
      <c r="AP459" s="77"/>
      <c r="AQ459" s="77"/>
      <c r="AR459" s="77"/>
      <c r="AS459" s="77"/>
      <c r="AT459" s="77"/>
      <c r="AU459" s="77"/>
      <c r="AV459" s="77"/>
      <c r="AX459" s="84"/>
      <c r="AY459" s="84"/>
    </row>
    <row r="460" spans="1:58" s="38" customFormat="1" ht="16.5" customHeight="1" x14ac:dyDescent="0.3">
      <c r="A460" s="77"/>
      <c r="B460" s="77"/>
      <c r="C460" s="77"/>
      <c r="D460" s="77"/>
      <c r="E460" s="77"/>
      <c r="F460" s="77"/>
      <c r="G460" s="77"/>
      <c r="H460" s="77"/>
      <c r="I460" s="77"/>
      <c r="J460" s="77"/>
      <c r="K460" s="77"/>
      <c r="L460" s="77"/>
      <c r="M460" s="77"/>
      <c r="N460" s="77"/>
      <c r="O460" s="77"/>
      <c r="P460" s="77"/>
      <c r="Q460" s="77"/>
      <c r="R460" s="77"/>
      <c r="S460" s="77"/>
      <c r="T460" s="77"/>
      <c r="U460" s="77"/>
      <c r="V460" s="77"/>
      <c r="W460" s="77"/>
      <c r="X460" s="77"/>
      <c r="Y460" s="77"/>
      <c r="Z460" s="77"/>
      <c r="AA460" s="77"/>
      <c r="AB460" s="77"/>
      <c r="AC460" s="77"/>
      <c r="AD460" s="77"/>
      <c r="AE460" s="77"/>
      <c r="AF460" s="77"/>
      <c r="AG460" s="77"/>
      <c r="AH460" s="77"/>
      <c r="AI460" s="77"/>
      <c r="AJ460" s="77"/>
      <c r="AK460" s="77"/>
      <c r="AL460" s="77"/>
      <c r="AM460" s="77"/>
      <c r="AN460" s="77"/>
      <c r="AO460" s="77"/>
      <c r="AP460" s="77"/>
      <c r="AQ460" s="77"/>
      <c r="AR460" s="77"/>
      <c r="AS460" s="77"/>
      <c r="AT460" s="77"/>
      <c r="AU460" s="77"/>
      <c r="AV460" s="77"/>
      <c r="AX460" s="84"/>
      <c r="AY460" s="84"/>
    </row>
    <row r="461" spans="1:58" s="38" customFormat="1" ht="16.5" customHeight="1" x14ac:dyDescent="0.3">
      <c r="A461" s="77"/>
      <c r="B461" s="77"/>
      <c r="C461" s="77"/>
      <c r="D461" s="77"/>
      <c r="E461" s="77"/>
      <c r="F461" s="77"/>
      <c r="G461" s="77"/>
      <c r="H461" s="77"/>
      <c r="I461" s="77"/>
      <c r="J461" s="77"/>
      <c r="K461" s="77"/>
      <c r="L461" s="77"/>
      <c r="M461" s="77"/>
      <c r="N461" s="77"/>
      <c r="O461" s="77"/>
      <c r="P461" s="77"/>
      <c r="Q461" s="77"/>
      <c r="R461" s="77"/>
      <c r="S461" s="77"/>
      <c r="T461" s="77"/>
      <c r="U461" s="77"/>
      <c r="V461" s="77"/>
      <c r="W461" s="77"/>
      <c r="X461" s="77"/>
      <c r="Y461" s="77"/>
      <c r="Z461" s="77"/>
      <c r="AA461" s="77"/>
      <c r="AB461" s="77"/>
      <c r="AC461" s="77"/>
      <c r="AD461" s="77"/>
      <c r="AE461" s="77"/>
      <c r="AF461" s="77"/>
      <c r="AG461" s="77"/>
      <c r="AH461" s="77"/>
      <c r="AI461" s="77"/>
      <c r="AJ461" s="77"/>
      <c r="AK461" s="77"/>
      <c r="AL461" s="77"/>
      <c r="AM461" s="77"/>
      <c r="AN461" s="77"/>
      <c r="AO461" s="77"/>
      <c r="AP461" s="77"/>
      <c r="AQ461" s="77"/>
      <c r="AR461" s="77"/>
      <c r="AS461" s="77"/>
      <c r="AT461" s="77"/>
      <c r="AU461" s="77"/>
      <c r="AV461" s="77"/>
      <c r="AX461" s="84"/>
      <c r="AY461" s="84"/>
    </row>
    <row r="462" spans="1:58" s="38" customFormat="1" ht="16.5" customHeight="1" x14ac:dyDescent="0.3">
      <c r="A462" s="77"/>
      <c r="B462" s="77"/>
      <c r="C462" s="77"/>
      <c r="D462" s="77"/>
      <c r="E462" s="77"/>
      <c r="F462" s="77"/>
      <c r="G462" s="77"/>
      <c r="H462" s="77"/>
      <c r="I462" s="77"/>
      <c r="J462" s="77"/>
      <c r="K462" s="77"/>
      <c r="L462" s="77"/>
      <c r="M462" s="77"/>
      <c r="N462" s="77"/>
      <c r="O462" s="77"/>
      <c r="P462" s="77"/>
      <c r="Q462" s="77"/>
      <c r="R462" s="77"/>
      <c r="S462" s="77"/>
      <c r="T462" s="77"/>
      <c r="U462" s="77"/>
      <c r="V462" s="77"/>
      <c r="W462" s="77"/>
      <c r="X462" s="77"/>
      <c r="Y462" s="77"/>
      <c r="Z462" s="77"/>
      <c r="AA462" s="77"/>
      <c r="AB462" s="77"/>
      <c r="AC462" s="77"/>
      <c r="AD462" s="77"/>
      <c r="AE462" s="77"/>
      <c r="AF462" s="77"/>
      <c r="AG462" s="77"/>
      <c r="AH462" s="77"/>
      <c r="AI462" s="77"/>
      <c r="AJ462" s="77"/>
      <c r="AK462" s="77"/>
      <c r="AL462" s="77"/>
      <c r="AM462" s="77"/>
      <c r="AN462" s="77"/>
      <c r="AO462" s="77"/>
      <c r="AP462" s="77"/>
      <c r="AQ462" s="77"/>
      <c r="AR462" s="77"/>
      <c r="AS462" s="77"/>
      <c r="AT462" s="77"/>
      <c r="AU462" s="77"/>
      <c r="AV462" s="77"/>
      <c r="AX462" s="84"/>
      <c r="AY462" s="84"/>
    </row>
    <row r="463" spans="1:58" s="38" customFormat="1" ht="16.5" customHeight="1" x14ac:dyDescent="0.3">
      <c r="A463" s="77"/>
      <c r="B463" s="77"/>
      <c r="C463" s="77"/>
      <c r="D463" s="77"/>
      <c r="E463" s="77"/>
      <c r="F463" s="77"/>
      <c r="G463" s="77"/>
      <c r="H463" s="77"/>
      <c r="I463" s="77"/>
      <c r="J463" s="77"/>
      <c r="K463" s="77"/>
      <c r="L463" s="77"/>
      <c r="M463" s="77"/>
      <c r="N463" s="77"/>
      <c r="O463" s="77"/>
      <c r="P463" s="77"/>
      <c r="Q463" s="77"/>
      <c r="R463" s="77"/>
      <c r="S463" s="77"/>
      <c r="T463" s="77"/>
      <c r="U463" s="77"/>
      <c r="V463" s="77"/>
      <c r="W463" s="77"/>
      <c r="X463" s="77"/>
      <c r="Y463" s="77"/>
      <c r="Z463" s="77"/>
      <c r="AA463" s="77"/>
      <c r="AB463" s="77"/>
      <c r="AC463" s="77"/>
      <c r="AD463" s="77"/>
      <c r="AE463" s="77"/>
      <c r="AF463" s="77"/>
      <c r="AG463" s="77"/>
      <c r="AH463" s="77"/>
      <c r="AI463" s="77"/>
      <c r="AJ463" s="77"/>
      <c r="AK463" s="77"/>
      <c r="AL463" s="77"/>
      <c r="AM463" s="77"/>
      <c r="AN463" s="77"/>
      <c r="AO463" s="77"/>
      <c r="AP463" s="77"/>
      <c r="AQ463" s="77"/>
      <c r="AR463" s="77"/>
      <c r="AS463" s="77"/>
      <c r="AT463" s="77"/>
      <c r="AU463" s="77"/>
      <c r="AV463" s="77"/>
      <c r="AX463" s="84"/>
      <c r="AY463" s="84"/>
    </row>
    <row r="464" spans="1:58" s="38" customFormat="1" ht="16.5" customHeight="1" x14ac:dyDescent="0.3">
      <c r="A464" s="77"/>
      <c r="B464" s="77"/>
      <c r="C464" s="77"/>
      <c r="D464" s="77"/>
      <c r="E464" s="77"/>
      <c r="F464" s="77"/>
      <c r="G464" s="77"/>
      <c r="H464" s="77"/>
      <c r="I464" s="77"/>
      <c r="J464" s="77"/>
      <c r="K464" s="77"/>
      <c r="L464" s="77"/>
      <c r="M464" s="77"/>
      <c r="N464" s="77"/>
      <c r="O464" s="77"/>
      <c r="P464" s="77"/>
      <c r="Q464" s="77"/>
      <c r="R464" s="77"/>
      <c r="S464" s="77"/>
      <c r="T464" s="77"/>
      <c r="U464" s="77"/>
      <c r="V464" s="77"/>
      <c r="W464" s="77"/>
      <c r="X464" s="77"/>
      <c r="Y464" s="77"/>
      <c r="Z464" s="77"/>
      <c r="AA464" s="77"/>
      <c r="AB464" s="77"/>
      <c r="AC464" s="77"/>
      <c r="AD464" s="77"/>
      <c r="AE464" s="77"/>
      <c r="AF464" s="77"/>
      <c r="AG464" s="77"/>
      <c r="AH464" s="77"/>
      <c r="AI464" s="77"/>
      <c r="AJ464" s="77"/>
      <c r="AK464" s="77"/>
      <c r="AL464" s="77"/>
      <c r="AM464" s="77"/>
      <c r="AN464" s="77"/>
      <c r="AO464" s="77"/>
      <c r="AP464" s="77"/>
      <c r="AQ464" s="77"/>
      <c r="AR464" s="77"/>
      <c r="AS464" s="77"/>
      <c r="AT464" s="77"/>
      <c r="AU464" s="77"/>
      <c r="AV464" s="77"/>
      <c r="AX464" s="84"/>
      <c r="AY464" s="84"/>
      <c r="AZ464" s="84"/>
      <c r="BA464" s="75" t="s">
        <v>60</v>
      </c>
      <c r="BB464" s="85">
        <v>0</v>
      </c>
      <c r="BC464" s="85">
        <v>0</v>
      </c>
      <c r="BD464" s="85">
        <v>0</v>
      </c>
      <c r="BE464" s="85">
        <v>0</v>
      </c>
      <c r="BF464" s="85">
        <v>0</v>
      </c>
    </row>
    <row r="465" spans="1:58" s="38" customFormat="1" ht="16.5" customHeight="1" x14ac:dyDescent="0.3">
      <c r="A465" s="77"/>
      <c r="B465" s="77"/>
      <c r="C465" s="77"/>
      <c r="D465" s="77"/>
      <c r="E465" s="77"/>
      <c r="F465" s="77"/>
      <c r="G465" s="77"/>
      <c r="H465" s="77"/>
      <c r="I465" s="77"/>
      <c r="J465" s="77"/>
      <c r="K465" s="77"/>
      <c r="L465" s="77"/>
      <c r="M465" s="77"/>
      <c r="N465" s="77"/>
      <c r="O465" s="77"/>
      <c r="P465" s="77"/>
      <c r="Q465" s="77"/>
      <c r="R465" s="77"/>
      <c r="S465" s="77"/>
      <c r="T465" s="77"/>
      <c r="U465" s="77"/>
      <c r="V465" s="77"/>
      <c r="W465" s="77"/>
      <c r="X465" s="77"/>
      <c r="Y465" s="77"/>
      <c r="Z465" s="77"/>
      <c r="AA465" s="77"/>
      <c r="AB465" s="77"/>
      <c r="AC465" s="77"/>
      <c r="AD465" s="77"/>
      <c r="AE465" s="77"/>
      <c r="AF465" s="77"/>
      <c r="AG465" s="77"/>
      <c r="AH465" s="77"/>
      <c r="AI465" s="77"/>
      <c r="AJ465" s="77"/>
      <c r="AK465" s="77"/>
      <c r="AL465" s="77"/>
      <c r="AM465" s="77"/>
      <c r="AN465" s="77"/>
      <c r="AO465" s="77"/>
      <c r="AP465" s="77"/>
      <c r="AQ465" s="77"/>
      <c r="AR465" s="77"/>
      <c r="AS465" s="77"/>
      <c r="AT465" s="77"/>
      <c r="AU465" s="77"/>
      <c r="AV465" s="77"/>
      <c r="AX465" s="84"/>
      <c r="AY465" s="84"/>
      <c r="AZ465" s="84"/>
      <c r="BA465" s="75" t="s">
        <v>61</v>
      </c>
      <c r="BB465" s="85">
        <v>0</v>
      </c>
      <c r="BC465" s="85">
        <v>0</v>
      </c>
      <c r="BD465" s="85">
        <v>0</v>
      </c>
      <c r="BE465" s="85">
        <v>0</v>
      </c>
      <c r="BF465" s="85">
        <v>0</v>
      </c>
    </row>
    <row r="466" spans="1:58" s="38" customFormat="1" ht="16.5" customHeight="1" x14ac:dyDescent="0.3">
      <c r="A466" s="77"/>
      <c r="B466" s="77"/>
      <c r="C466" s="77"/>
      <c r="D466" s="77"/>
      <c r="E466" s="77"/>
      <c r="F466" s="77"/>
      <c r="G466" s="77"/>
      <c r="H466" s="77"/>
      <c r="I466" s="77"/>
      <c r="J466" s="77"/>
      <c r="K466" s="77"/>
      <c r="L466" s="77"/>
      <c r="M466" s="77"/>
      <c r="N466" s="77"/>
      <c r="O466" s="77"/>
      <c r="P466" s="77"/>
      <c r="Q466" s="77"/>
      <c r="R466" s="77"/>
      <c r="S466" s="77"/>
      <c r="T466" s="77"/>
      <c r="U466" s="77"/>
      <c r="V466" s="77"/>
      <c r="W466" s="77"/>
      <c r="X466" s="77"/>
      <c r="Y466" s="77"/>
      <c r="Z466" s="77"/>
      <c r="AA466" s="77"/>
      <c r="AB466" s="77"/>
      <c r="AC466" s="77"/>
      <c r="AD466" s="77"/>
      <c r="AE466" s="77"/>
      <c r="AF466" s="77"/>
      <c r="AG466" s="77"/>
      <c r="AH466" s="77"/>
      <c r="AI466" s="77"/>
      <c r="AJ466" s="77"/>
      <c r="AK466" s="77"/>
      <c r="AL466" s="77"/>
      <c r="AM466" s="77"/>
      <c r="AN466" s="77"/>
      <c r="AO466" s="77"/>
      <c r="AP466" s="77"/>
      <c r="AQ466" s="77"/>
      <c r="AR466" s="77"/>
      <c r="AS466" s="77"/>
      <c r="AT466" s="77"/>
      <c r="AU466" s="77"/>
      <c r="AV466" s="77"/>
      <c r="AX466" s="84"/>
      <c r="AY466" s="84"/>
      <c r="AZ466" s="84"/>
      <c r="BA466" s="76" t="s">
        <v>62</v>
      </c>
      <c r="BB466" s="86">
        <v>0</v>
      </c>
      <c r="BC466" s="86">
        <v>0</v>
      </c>
      <c r="BD466" s="86">
        <v>0</v>
      </c>
      <c r="BE466" s="86">
        <v>0</v>
      </c>
      <c r="BF466" s="86">
        <v>0</v>
      </c>
    </row>
    <row r="467" spans="1:58" s="38" customFormat="1" ht="16.5" customHeight="1" x14ac:dyDescent="0.3">
      <c r="A467" s="77"/>
      <c r="B467" s="77"/>
      <c r="C467" s="77"/>
      <c r="D467" s="77"/>
      <c r="E467" s="77"/>
      <c r="F467" s="77"/>
      <c r="G467" s="77"/>
      <c r="H467" s="77"/>
      <c r="I467" s="77"/>
      <c r="J467" s="77"/>
      <c r="K467" s="77"/>
      <c r="L467" s="77"/>
      <c r="M467" s="77"/>
      <c r="N467" s="77"/>
      <c r="O467" s="77"/>
      <c r="P467" s="77"/>
      <c r="Q467" s="77"/>
      <c r="R467" s="77"/>
      <c r="S467" s="77"/>
      <c r="T467" s="77"/>
      <c r="U467" s="77"/>
      <c r="V467" s="77"/>
      <c r="W467" s="77"/>
      <c r="X467" s="77"/>
      <c r="Y467" s="77"/>
      <c r="Z467" s="77"/>
      <c r="AA467" s="77"/>
      <c r="AB467" s="77"/>
      <c r="AC467" s="77"/>
      <c r="AD467" s="77"/>
      <c r="AE467" s="77"/>
      <c r="AF467" s="77"/>
      <c r="AG467" s="77"/>
      <c r="AH467" s="77"/>
      <c r="AI467" s="77"/>
      <c r="AJ467" s="77"/>
      <c r="AK467" s="77"/>
      <c r="AL467" s="77"/>
      <c r="AM467" s="77"/>
      <c r="AN467" s="77"/>
      <c r="AO467" s="77"/>
      <c r="AP467" s="77"/>
      <c r="AQ467" s="77"/>
      <c r="AR467" s="77"/>
      <c r="AS467" s="77"/>
      <c r="AT467" s="77"/>
      <c r="AU467" s="77"/>
      <c r="AV467" s="77"/>
      <c r="AX467" s="84"/>
      <c r="AY467" s="84"/>
      <c r="AZ467" s="84"/>
      <c r="BA467" s="75" t="s">
        <v>67</v>
      </c>
      <c r="BB467" s="85">
        <v>0</v>
      </c>
      <c r="BC467" s="85">
        <v>0</v>
      </c>
      <c r="BD467" s="85">
        <v>0</v>
      </c>
      <c r="BE467" s="85">
        <v>0</v>
      </c>
      <c r="BF467" s="85">
        <v>0</v>
      </c>
    </row>
    <row r="468" spans="1:58" s="38" customFormat="1" ht="16.5" customHeight="1" x14ac:dyDescent="0.3">
      <c r="A468" s="77"/>
      <c r="B468" s="77"/>
      <c r="C468" s="77"/>
      <c r="D468" s="77"/>
      <c r="E468" s="77"/>
      <c r="F468" s="77"/>
      <c r="G468" s="77"/>
      <c r="H468" s="77"/>
      <c r="I468" s="77"/>
      <c r="J468" s="77"/>
      <c r="K468" s="77"/>
      <c r="L468" s="77"/>
      <c r="M468" s="77"/>
      <c r="N468" s="77"/>
      <c r="O468" s="77"/>
      <c r="P468" s="77"/>
      <c r="Q468" s="77"/>
      <c r="R468" s="77"/>
      <c r="S468" s="77"/>
      <c r="T468" s="77"/>
      <c r="U468" s="77"/>
      <c r="V468" s="77"/>
      <c r="W468" s="77"/>
      <c r="X468" s="77"/>
      <c r="Y468" s="77"/>
      <c r="Z468" s="77"/>
      <c r="AA468" s="77"/>
      <c r="AB468" s="77"/>
      <c r="AC468" s="77"/>
      <c r="AD468" s="77"/>
      <c r="AE468" s="77"/>
      <c r="AF468" s="77"/>
      <c r="AG468" s="77"/>
      <c r="AH468" s="77"/>
      <c r="AI468" s="77"/>
      <c r="AJ468" s="77"/>
      <c r="AK468" s="77"/>
      <c r="AL468" s="77"/>
      <c r="AM468" s="77"/>
      <c r="AN468" s="77"/>
      <c r="AO468" s="77"/>
      <c r="AP468" s="77"/>
      <c r="AQ468" s="77"/>
      <c r="AR468" s="77"/>
      <c r="AS468" s="77"/>
      <c r="AT468" s="77"/>
      <c r="AU468" s="77"/>
      <c r="AV468" s="77"/>
      <c r="AX468" s="84"/>
      <c r="AY468" s="84"/>
      <c r="AZ468" s="84"/>
      <c r="BA468" s="75"/>
      <c r="BB468" s="75" t="s">
        <v>63</v>
      </c>
      <c r="BC468" s="75" t="s">
        <v>64</v>
      </c>
      <c r="BD468" s="75" t="s">
        <v>65</v>
      </c>
      <c r="BE468" s="75" t="s">
        <v>66</v>
      </c>
      <c r="BF468" s="75" t="s">
        <v>67</v>
      </c>
    </row>
    <row r="469" spans="1:58" s="38" customFormat="1" ht="16.5" customHeight="1" x14ac:dyDescent="0.3">
      <c r="A469" s="77"/>
      <c r="B469" s="77"/>
      <c r="C469" s="77"/>
      <c r="D469" s="77"/>
      <c r="E469" s="77"/>
      <c r="F469" s="77"/>
      <c r="G469" s="77"/>
      <c r="H469" s="77"/>
      <c r="I469" s="77"/>
      <c r="J469" s="77"/>
      <c r="K469" s="77"/>
      <c r="L469" s="77"/>
      <c r="M469" s="77"/>
      <c r="N469" s="77"/>
      <c r="O469" s="77"/>
      <c r="P469" s="77"/>
      <c r="Q469" s="77"/>
      <c r="R469" s="77"/>
      <c r="S469" s="77"/>
      <c r="T469" s="77"/>
      <c r="U469" s="77"/>
      <c r="V469" s="77"/>
      <c r="W469" s="77"/>
      <c r="X469" s="77"/>
      <c r="Y469" s="77"/>
      <c r="Z469" s="77"/>
      <c r="AA469" s="77"/>
      <c r="AB469" s="77"/>
      <c r="AC469" s="77"/>
      <c r="AD469" s="77"/>
      <c r="AE469" s="77"/>
      <c r="AF469" s="77"/>
      <c r="AG469" s="77"/>
      <c r="AH469" s="77"/>
      <c r="AI469" s="77"/>
      <c r="AJ469" s="77"/>
      <c r="AK469" s="77"/>
      <c r="AL469" s="77"/>
      <c r="AM469" s="77"/>
      <c r="AN469" s="77"/>
      <c r="AO469" s="77"/>
      <c r="AP469" s="77"/>
      <c r="AQ469" s="77"/>
      <c r="AR469" s="77"/>
      <c r="AS469" s="77"/>
      <c r="AT469" s="77"/>
      <c r="AU469" s="77"/>
      <c r="AV469" s="77"/>
      <c r="AX469" s="84"/>
      <c r="AY469" s="84"/>
      <c r="AZ469" s="84"/>
      <c r="BA469" s="75" t="s">
        <v>68</v>
      </c>
      <c r="BB469" s="87" t="e">
        <v>#DIV/0!</v>
      </c>
      <c r="BC469" s="87" t="e">
        <v>#DIV/0!</v>
      </c>
      <c r="BD469" s="87" t="e">
        <v>#DIV/0!</v>
      </c>
      <c r="BE469" s="87" t="e">
        <v>#DIV/0!</v>
      </c>
      <c r="BF469" s="87" t="e">
        <v>#DIV/0!</v>
      </c>
    </row>
    <row r="470" spans="1:58" s="38" customFormat="1" ht="16.5" customHeight="1" x14ac:dyDescent="0.3">
      <c r="A470" s="77"/>
      <c r="B470" s="77"/>
      <c r="C470" s="77"/>
      <c r="D470" s="77"/>
      <c r="E470" s="77"/>
      <c r="F470" s="77"/>
      <c r="G470" s="77"/>
      <c r="H470" s="77"/>
      <c r="I470" s="77"/>
      <c r="J470" s="77"/>
      <c r="K470" s="77"/>
      <c r="L470" s="77"/>
      <c r="M470" s="77"/>
      <c r="N470" s="77"/>
      <c r="O470" s="77"/>
      <c r="P470" s="77"/>
      <c r="Q470" s="77"/>
      <c r="R470" s="77"/>
      <c r="S470" s="77"/>
      <c r="T470" s="77"/>
      <c r="U470" s="77"/>
      <c r="V470" s="77"/>
      <c r="W470" s="77"/>
      <c r="X470" s="77"/>
      <c r="Y470" s="77"/>
      <c r="Z470" s="77"/>
      <c r="AA470" s="77"/>
      <c r="AB470" s="77"/>
      <c r="AC470" s="77"/>
      <c r="AD470" s="77"/>
      <c r="AE470" s="77"/>
      <c r="AF470" s="77"/>
      <c r="AG470" s="77"/>
      <c r="AH470" s="77"/>
      <c r="AI470" s="77"/>
      <c r="AJ470" s="77"/>
      <c r="AK470" s="77"/>
      <c r="AL470" s="77"/>
      <c r="AM470" s="77"/>
      <c r="AN470" s="77"/>
      <c r="AO470" s="77"/>
      <c r="AP470" s="77"/>
      <c r="AQ470" s="77"/>
      <c r="AR470" s="77"/>
      <c r="AS470" s="77"/>
      <c r="AT470" s="77"/>
      <c r="AU470" s="77"/>
      <c r="AV470" s="77"/>
      <c r="AX470" s="84"/>
      <c r="AY470" s="84"/>
      <c r="BA470" s="75" t="s">
        <v>60</v>
      </c>
      <c r="BB470" s="87" t="e">
        <v>#DIV/0!</v>
      </c>
      <c r="BC470" s="87" t="e">
        <v>#DIV/0!</v>
      </c>
      <c r="BD470" s="87" t="e">
        <v>#DIV/0!</v>
      </c>
      <c r="BE470" s="87" t="e">
        <v>#DIV/0!</v>
      </c>
      <c r="BF470" s="87" t="e">
        <v>#DIV/0!</v>
      </c>
    </row>
    <row r="471" spans="1:58" s="38" customFormat="1" ht="16.5" customHeight="1" x14ac:dyDescent="0.3">
      <c r="A471" s="77"/>
      <c r="B471" s="77"/>
      <c r="C471" s="77"/>
      <c r="D471" s="77"/>
      <c r="E471" s="77"/>
      <c r="F471" s="77"/>
      <c r="G471" s="77"/>
      <c r="H471" s="77"/>
      <c r="I471" s="77"/>
      <c r="J471" s="77"/>
      <c r="K471" s="77"/>
      <c r="L471" s="77"/>
      <c r="M471" s="77"/>
      <c r="N471" s="77"/>
      <c r="O471" s="77"/>
      <c r="P471" s="77"/>
      <c r="Q471" s="77"/>
      <c r="R471" s="77"/>
      <c r="S471" s="77"/>
      <c r="T471" s="77"/>
      <c r="U471" s="77"/>
      <c r="V471" s="77"/>
      <c r="W471" s="77"/>
      <c r="X471" s="77"/>
      <c r="Y471" s="77"/>
      <c r="Z471" s="77"/>
      <c r="AA471" s="77"/>
      <c r="AB471" s="77"/>
      <c r="AC471" s="77"/>
      <c r="AD471" s="77"/>
      <c r="AE471" s="77"/>
      <c r="AF471" s="77"/>
      <c r="AG471" s="77"/>
      <c r="AH471" s="77"/>
      <c r="AI471" s="77"/>
      <c r="AJ471" s="77"/>
      <c r="AK471" s="77"/>
      <c r="AL471" s="77"/>
      <c r="AM471" s="77"/>
      <c r="AN471" s="77"/>
      <c r="AO471" s="77"/>
      <c r="AP471" s="77"/>
      <c r="AQ471" s="77"/>
      <c r="AR471" s="77"/>
      <c r="AS471" s="77"/>
      <c r="AT471" s="77"/>
      <c r="AU471" s="77"/>
      <c r="AV471" s="77"/>
      <c r="AX471" s="84"/>
      <c r="AY471" s="84"/>
      <c r="BA471" s="76" t="s">
        <v>62</v>
      </c>
      <c r="BB471" s="88" t="e">
        <v>#DIV/0!</v>
      </c>
      <c r="BC471" s="88" t="e">
        <v>#DIV/0!</v>
      </c>
      <c r="BD471" s="88" t="e">
        <v>#DIV/0!</v>
      </c>
      <c r="BE471" s="88" t="e">
        <v>#DIV/0!</v>
      </c>
      <c r="BF471" s="88" t="e">
        <v>#DIV/0!</v>
      </c>
    </row>
    <row r="472" spans="1:58" s="38" customFormat="1" ht="16.5" customHeight="1" x14ac:dyDescent="0.3">
      <c r="A472" s="77"/>
      <c r="B472" s="77"/>
      <c r="C472" s="77"/>
      <c r="D472" s="77"/>
      <c r="E472" s="77"/>
      <c r="F472" s="77"/>
      <c r="G472" s="77"/>
      <c r="H472" s="77"/>
      <c r="I472" s="77"/>
      <c r="J472" s="77"/>
      <c r="K472" s="77"/>
      <c r="L472" s="77"/>
      <c r="M472" s="77"/>
      <c r="N472" s="77"/>
      <c r="O472" s="77"/>
      <c r="P472" s="77"/>
      <c r="Q472" s="77"/>
      <c r="R472" s="77"/>
      <c r="S472" s="77"/>
      <c r="T472" s="77"/>
      <c r="U472" s="77"/>
      <c r="V472" s="77"/>
      <c r="W472" s="77"/>
      <c r="X472" s="77"/>
      <c r="Y472" s="77"/>
      <c r="Z472" s="77"/>
      <c r="AA472" s="77"/>
      <c r="AB472" s="77"/>
      <c r="AC472" s="77"/>
      <c r="AD472" s="77"/>
      <c r="AE472" s="77"/>
      <c r="AF472" s="77"/>
      <c r="AG472" s="77"/>
      <c r="AH472" s="77"/>
      <c r="AI472" s="77"/>
      <c r="AJ472" s="77"/>
      <c r="AK472" s="77"/>
      <c r="AL472" s="77"/>
      <c r="AM472" s="77"/>
      <c r="AN472" s="77"/>
      <c r="AO472" s="77"/>
      <c r="AP472" s="77"/>
      <c r="AQ472" s="77"/>
      <c r="AR472" s="77"/>
      <c r="AS472" s="77"/>
      <c r="AT472" s="77"/>
      <c r="AU472" s="77"/>
      <c r="AV472" s="77"/>
      <c r="AX472" s="84"/>
      <c r="AY472" s="84"/>
      <c r="BA472" s="75" t="s">
        <v>67</v>
      </c>
      <c r="BB472" s="87" t="e">
        <v>#DIV/0!</v>
      </c>
      <c r="BC472" s="87" t="e">
        <v>#DIV/0!</v>
      </c>
      <c r="BD472" s="87" t="e">
        <v>#DIV/0!</v>
      </c>
      <c r="BE472" s="87" t="e">
        <v>#DIV/0!</v>
      </c>
      <c r="BF472" s="87" t="e">
        <v>#DIV/0!</v>
      </c>
    </row>
    <row r="473" spans="1:58" s="38" customFormat="1" ht="16.5" customHeight="1" x14ac:dyDescent="0.3">
      <c r="A473" s="77"/>
      <c r="B473" s="77"/>
      <c r="C473" s="77"/>
      <c r="D473" s="77"/>
      <c r="E473" s="77"/>
      <c r="F473" s="77"/>
      <c r="G473" s="77"/>
      <c r="H473" s="77"/>
      <c r="I473" s="77"/>
      <c r="J473" s="77"/>
      <c r="K473" s="77"/>
      <c r="L473" s="77"/>
      <c r="M473" s="77"/>
      <c r="N473" s="77"/>
      <c r="O473" s="77"/>
      <c r="P473" s="77"/>
      <c r="Q473" s="77"/>
      <c r="R473" s="77"/>
      <c r="S473" s="77"/>
      <c r="T473" s="77"/>
      <c r="U473" s="77"/>
      <c r="V473" s="77"/>
      <c r="W473" s="77"/>
      <c r="X473" s="77"/>
      <c r="Y473" s="77"/>
      <c r="Z473" s="77"/>
      <c r="AA473" s="77"/>
      <c r="AB473" s="77"/>
      <c r="AC473" s="77"/>
      <c r="AD473" s="77"/>
      <c r="AE473" s="77"/>
      <c r="AF473" s="77"/>
      <c r="AG473" s="77"/>
      <c r="AH473" s="77"/>
      <c r="AI473" s="77"/>
      <c r="AJ473" s="77"/>
      <c r="AK473" s="77"/>
      <c r="AL473" s="77"/>
      <c r="AM473" s="77"/>
      <c r="AN473" s="77"/>
      <c r="AO473" s="77"/>
      <c r="AP473" s="77"/>
      <c r="AQ473" s="77"/>
      <c r="AR473" s="77"/>
      <c r="AS473" s="77"/>
      <c r="AT473" s="77"/>
      <c r="AU473" s="77"/>
      <c r="AV473" s="77"/>
      <c r="AX473" s="84"/>
      <c r="AY473" s="84"/>
    </row>
    <row r="474" spans="1:58" s="38" customFormat="1" ht="16.5" customHeight="1" x14ac:dyDescent="0.3">
      <c r="A474" s="77"/>
      <c r="B474" s="77"/>
      <c r="C474" s="77"/>
      <c r="D474" s="77"/>
      <c r="E474" s="77"/>
      <c r="F474" s="77"/>
      <c r="G474" s="77"/>
      <c r="H474" s="77"/>
      <c r="I474" s="77"/>
      <c r="J474" s="77"/>
      <c r="K474" s="77"/>
      <c r="L474" s="77"/>
      <c r="M474" s="77"/>
      <c r="N474" s="77"/>
      <c r="O474" s="77"/>
      <c r="P474" s="77"/>
      <c r="Q474" s="77"/>
      <c r="R474" s="77"/>
      <c r="S474" s="77"/>
      <c r="T474" s="77"/>
      <c r="U474" s="77"/>
      <c r="V474" s="77"/>
      <c r="W474" s="77"/>
      <c r="X474" s="77"/>
      <c r="Y474" s="77"/>
      <c r="Z474" s="77"/>
      <c r="AA474" s="77"/>
      <c r="AB474" s="77"/>
      <c r="AC474" s="77"/>
      <c r="AD474" s="77"/>
      <c r="AE474" s="77"/>
      <c r="AF474" s="77"/>
      <c r="AG474" s="77"/>
      <c r="AH474" s="77"/>
      <c r="AI474" s="77"/>
      <c r="AJ474" s="77"/>
      <c r="AK474" s="77"/>
      <c r="AL474" s="77"/>
      <c r="AM474" s="77"/>
      <c r="AN474" s="77"/>
      <c r="AO474" s="77"/>
      <c r="AP474" s="77"/>
      <c r="AQ474" s="77"/>
      <c r="AR474" s="77"/>
      <c r="AS474" s="77"/>
      <c r="AT474" s="77"/>
      <c r="AU474" s="77"/>
      <c r="AV474" s="77"/>
      <c r="AX474" s="84"/>
      <c r="AY474" s="84"/>
    </row>
    <row r="475" spans="1:58" s="38" customFormat="1" ht="16.5" customHeight="1" x14ac:dyDescent="0.3">
      <c r="A475" s="77"/>
      <c r="B475" s="77"/>
      <c r="C475" s="77"/>
      <c r="D475" s="77"/>
      <c r="E475" s="77"/>
      <c r="F475" s="77"/>
      <c r="G475" s="77"/>
      <c r="H475" s="77"/>
      <c r="I475" s="77"/>
      <c r="J475" s="77"/>
      <c r="K475" s="77"/>
      <c r="L475" s="77"/>
      <c r="M475" s="77"/>
      <c r="N475" s="77"/>
      <c r="O475" s="77"/>
      <c r="P475" s="77"/>
      <c r="Q475" s="77"/>
      <c r="R475" s="77"/>
      <c r="S475" s="77"/>
      <c r="T475" s="77"/>
      <c r="U475" s="77"/>
      <c r="V475" s="77"/>
      <c r="W475" s="77"/>
      <c r="X475" s="77"/>
      <c r="Y475" s="77"/>
      <c r="Z475" s="77"/>
      <c r="AA475" s="77"/>
      <c r="AB475" s="77"/>
      <c r="AC475" s="77"/>
      <c r="AD475" s="77"/>
      <c r="AE475" s="77"/>
      <c r="AF475" s="77"/>
      <c r="AG475" s="77"/>
      <c r="AH475" s="77"/>
      <c r="AI475" s="77"/>
      <c r="AJ475" s="77"/>
      <c r="AK475" s="77"/>
      <c r="AL475" s="77"/>
      <c r="AM475" s="77"/>
      <c r="AN475" s="77"/>
      <c r="AO475" s="77"/>
      <c r="AP475" s="77"/>
      <c r="AQ475" s="77"/>
      <c r="AR475" s="77"/>
      <c r="AS475" s="77"/>
      <c r="AT475" s="77"/>
      <c r="AU475" s="77"/>
      <c r="AV475" s="77"/>
      <c r="AX475" s="84"/>
      <c r="AY475" s="84"/>
    </row>
    <row r="476" spans="1:58" s="38" customFormat="1" ht="16.5" customHeight="1" x14ac:dyDescent="0.3">
      <c r="A476" s="77"/>
      <c r="B476" s="77"/>
      <c r="C476" s="77"/>
      <c r="D476" s="77"/>
      <c r="E476" s="77"/>
      <c r="F476" s="77"/>
      <c r="G476" s="77"/>
      <c r="H476" s="77"/>
      <c r="I476" s="77"/>
      <c r="J476" s="77"/>
      <c r="K476" s="77"/>
      <c r="L476" s="77"/>
      <c r="M476" s="77"/>
      <c r="N476" s="77"/>
      <c r="O476" s="77"/>
      <c r="P476" s="77"/>
      <c r="Q476" s="77"/>
      <c r="R476" s="77"/>
      <c r="S476" s="77"/>
      <c r="T476" s="77"/>
      <c r="U476" s="77"/>
      <c r="V476" s="77"/>
      <c r="W476" s="77"/>
      <c r="X476" s="77"/>
      <c r="Y476" s="77"/>
      <c r="Z476" s="77"/>
      <c r="AA476" s="77"/>
      <c r="AB476" s="77"/>
      <c r="AC476" s="77"/>
      <c r="AD476" s="77"/>
      <c r="AE476" s="77"/>
      <c r="AF476" s="77"/>
      <c r="AG476" s="77"/>
      <c r="AH476" s="77"/>
      <c r="AI476" s="77"/>
      <c r="AJ476" s="77"/>
      <c r="AK476" s="77"/>
      <c r="AL476" s="77"/>
      <c r="AM476" s="77"/>
      <c r="AN476" s="77"/>
      <c r="AO476" s="77"/>
      <c r="AP476" s="77"/>
      <c r="AQ476" s="77"/>
      <c r="AR476" s="77"/>
      <c r="AS476" s="77"/>
      <c r="AT476" s="77"/>
      <c r="AU476" s="77"/>
      <c r="AV476" s="77"/>
      <c r="AX476" s="84"/>
      <c r="AY476" s="84"/>
    </row>
    <row r="477" spans="1:58" s="38" customFormat="1" ht="16.5" customHeight="1" x14ac:dyDescent="0.3">
      <c r="A477" s="77"/>
      <c r="B477" s="77"/>
      <c r="C477" s="77"/>
      <c r="D477" s="77"/>
      <c r="E477" s="77"/>
      <c r="F477" s="77"/>
      <c r="G477" s="77"/>
      <c r="H477" s="77"/>
      <c r="I477" s="77"/>
      <c r="J477" s="77"/>
      <c r="K477" s="77"/>
      <c r="L477" s="77"/>
      <c r="M477" s="77"/>
      <c r="N477" s="77"/>
      <c r="O477" s="77"/>
      <c r="P477" s="77"/>
      <c r="Q477" s="77"/>
      <c r="R477" s="77"/>
      <c r="S477" s="77"/>
      <c r="T477" s="77"/>
      <c r="U477" s="77"/>
      <c r="V477" s="77"/>
      <c r="W477" s="77"/>
      <c r="X477" s="77"/>
      <c r="Y477" s="77"/>
      <c r="Z477" s="77"/>
      <c r="AA477" s="77"/>
      <c r="AB477" s="77"/>
      <c r="AC477" s="77"/>
      <c r="AD477" s="77"/>
      <c r="AE477" s="77"/>
      <c r="AF477" s="77"/>
      <c r="AG477" s="77"/>
      <c r="AH477" s="77"/>
      <c r="AI477" s="77"/>
      <c r="AJ477" s="77"/>
      <c r="AK477" s="77"/>
      <c r="AL477" s="77"/>
      <c r="AM477" s="77"/>
      <c r="AN477" s="77"/>
      <c r="AO477" s="77"/>
      <c r="AP477" s="77"/>
      <c r="AQ477" s="77"/>
      <c r="AR477" s="77"/>
      <c r="AS477" s="77"/>
      <c r="AT477" s="77"/>
      <c r="AU477" s="77"/>
      <c r="AV477" s="77"/>
      <c r="AX477" s="84"/>
      <c r="AY477" s="84"/>
    </row>
    <row r="478" spans="1:58" s="38" customFormat="1" ht="16.5" customHeight="1" x14ac:dyDescent="0.3">
      <c r="A478" s="77"/>
      <c r="B478" s="77"/>
      <c r="C478" s="77"/>
      <c r="D478" s="77"/>
      <c r="E478" s="77"/>
      <c r="F478" s="77"/>
      <c r="G478" s="77"/>
      <c r="H478" s="77"/>
      <c r="I478" s="77"/>
      <c r="J478" s="77"/>
      <c r="K478" s="77"/>
      <c r="L478" s="77"/>
      <c r="M478" s="77"/>
      <c r="N478" s="77"/>
      <c r="O478" s="77"/>
      <c r="P478" s="77"/>
      <c r="Q478" s="77"/>
      <c r="R478" s="77"/>
      <c r="S478" s="77"/>
      <c r="T478" s="77"/>
      <c r="U478" s="77"/>
      <c r="V478" s="77"/>
      <c r="W478" s="77"/>
      <c r="X478" s="77"/>
      <c r="Y478" s="77"/>
      <c r="Z478" s="77"/>
      <c r="AA478" s="77"/>
      <c r="AB478" s="77"/>
      <c r="AC478" s="77"/>
      <c r="AD478" s="77"/>
      <c r="AE478" s="77"/>
      <c r="AF478" s="77"/>
      <c r="AG478" s="77"/>
      <c r="AH478" s="77"/>
      <c r="AI478" s="77"/>
      <c r="AJ478" s="77"/>
      <c r="AK478" s="77"/>
      <c r="AL478" s="77"/>
      <c r="AM478" s="77"/>
      <c r="AN478" s="77"/>
      <c r="AO478" s="77"/>
      <c r="AP478" s="77"/>
      <c r="AQ478" s="77"/>
      <c r="AR478" s="77"/>
      <c r="AS478" s="77"/>
      <c r="AT478" s="77"/>
      <c r="AU478" s="77"/>
      <c r="AV478" s="77"/>
      <c r="AX478" s="84"/>
      <c r="AY478" s="84"/>
    </row>
    <row r="479" spans="1:58" s="38" customFormat="1" ht="16.5" customHeight="1" x14ac:dyDescent="0.3">
      <c r="A479" s="77"/>
      <c r="B479" s="77"/>
      <c r="C479" s="77"/>
      <c r="D479" s="77"/>
      <c r="E479" s="77"/>
      <c r="F479" s="77"/>
      <c r="G479" s="77"/>
      <c r="H479" s="77"/>
      <c r="I479" s="77"/>
      <c r="J479" s="77"/>
      <c r="K479" s="77"/>
      <c r="L479" s="77"/>
      <c r="M479" s="77"/>
      <c r="N479" s="77"/>
      <c r="O479" s="77"/>
      <c r="P479" s="77"/>
      <c r="Q479" s="77"/>
      <c r="R479" s="77"/>
      <c r="S479" s="77"/>
      <c r="T479" s="77"/>
      <c r="U479" s="77"/>
      <c r="V479" s="77"/>
      <c r="W479" s="77"/>
      <c r="X479" s="77"/>
      <c r="Y479" s="77"/>
      <c r="Z479" s="77"/>
      <c r="AA479" s="77"/>
      <c r="AB479" s="77"/>
      <c r="AC479" s="77"/>
      <c r="AD479" s="77"/>
      <c r="AE479" s="77"/>
      <c r="AF479" s="77"/>
      <c r="AG479" s="77"/>
      <c r="AH479" s="77"/>
      <c r="AI479" s="77"/>
      <c r="AJ479" s="77"/>
      <c r="AK479" s="77"/>
      <c r="AL479" s="77"/>
      <c r="AM479" s="77"/>
      <c r="AN479" s="77"/>
      <c r="AO479" s="77"/>
      <c r="AP479" s="77"/>
      <c r="AQ479" s="77"/>
      <c r="AR479" s="77"/>
      <c r="AS479" s="77"/>
      <c r="AT479" s="77"/>
      <c r="AU479" s="77"/>
      <c r="AV479" s="77"/>
      <c r="AX479" s="84"/>
      <c r="AY479" s="84"/>
    </row>
    <row r="480" spans="1:58" s="38" customFormat="1" ht="16.5" customHeight="1" x14ac:dyDescent="0.3">
      <c r="A480" s="77"/>
      <c r="B480" s="77"/>
      <c r="C480" s="77"/>
      <c r="D480" s="77"/>
      <c r="E480" s="77"/>
      <c r="F480" s="77"/>
      <c r="G480" s="77"/>
      <c r="H480" s="77"/>
      <c r="I480" s="77"/>
      <c r="J480" s="77"/>
      <c r="K480" s="77"/>
      <c r="L480" s="77"/>
      <c r="M480" s="77"/>
      <c r="N480" s="77"/>
      <c r="O480" s="77"/>
      <c r="P480" s="77"/>
      <c r="Q480" s="77"/>
      <c r="R480" s="77"/>
      <c r="S480" s="77"/>
      <c r="T480" s="77"/>
      <c r="U480" s="77"/>
      <c r="V480" s="77"/>
      <c r="W480" s="77"/>
      <c r="X480" s="77"/>
      <c r="Y480" s="77"/>
      <c r="Z480" s="77"/>
      <c r="AA480" s="77"/>
      <c r="AB480" s="77"/>
      <c r="AC480" s="77"/>
      <c r="AD480" s="77"/>
      <c r="AE480" s="77"/>
      <c r="AF480" s="77"/>
      <c r="AG480" s="77"/>
      <c r="AH480" s="77"/>
      <c r="AI480" s="77"/>
      <c r="AJ480" s="77"/>
      <c r="AK480" s="77"/>
      <c r="AL480" s="77"/>
      <c r="AM480" s="77"/>
      <c r="AN480" s="77"/>
      <c r="AO480" s="77"/>
      <c r="AP480" s="77"/>
      <c r="AQ480" s="77"/>
      <c r="AR480" s="77"/>
      <c r="AS480" s="77"/>
      <c r="AT480" s="77"/>
      <c r="AU480" s="77"/>
      <c r="AV480" s="77"/>
      <c r="AX480" s="84"/>
      <c r="AY480" s="84"/>
    </row>
    <row r="481" spans="1:51" s="38" customFormat="1" ht="16.5" customHeight="1" x14ac:dyDescent="0.3">
      <c r="A481" s="77"/>
      <c r="B481" s="77"/>
      <c r="C481" s="77"/>
      <c r="D481" s="77"/>
      <c r="E481" s="77"/>
      <c r="F481" s="77"/>
      <c r="G481" s="77"/>
      <c r="H481" s="77"/>
      <c r="I481" s="77"/>
      <c r="J481" s="77"/>
      <c r="K481" s="77"/>
      <c r="L481" s="77"/>
      <c r="M481" s="77"/>
      <c r="N481" s="77"/>
      <c r="O481" s="77"/>
      <c r="P481" s="77"/>
      <c r="Q481" s="77"/>
      <c r="R481" s="77"/>
      <c r="S481" s="77"/>
      <c r="T481" s="77"/>
      <c r="U481" s="77"/>
      <c r="V481" s="77"/>
      <c r="W481" s="77"/>
      <c r="X481" s="77"/>
      <c r="Y481" s="77"/>
      <c r="Z481" s="77"/>
      <c r="AA481" s="77"/>
      <c r="AB481" s="77"/>
      <c r="AC481" s="77"/>
      <c r="AD481" s="77"/>
      <c r="AE481" s="77"/>
      <c r="AF481" s="77"/>
      <c r="AG481" s="77"/>
      <c r="AH481" s="77"/>
      <c r="AI481" s="77"/>
      <c r="AJ481" s="77"/>
      <c r="AK481" s="77"/>
      <c r="AL481" s="77"/>
      <c r="AM481" s="77"/>
      <c r="AN481" s="77"/>
      <c r="AO481" s="77"/>
      <c r="AP481" s="77"/>
      <c r="AQ481" s="77"/>
      <c r="AR481" s="77"/>
      <c r="AS481" s="77"/>
      <c r="AT481" s="77"/>
      <c r="AU481" s="77"/>
      <c r="AV481" s="77"/>
      <c r="AX481" s="84"/>
      <c r="AY481" s="84"/>
    </row>
    <row r="482" spans="1:51" s="38" customFormat="1" ht="16.5" customHeight="1" x14ac:dyDescent="0.3">
      <c r="A482" s="77"/>
      <c r="B482" s="77"/>
      <c r="C482" s="77"/>
      <c r="D482" s="77"/>
      <c r="E482" s="77"/>
      <c r="F482" s="77"/>
      <c r="G482" s="77"/>
      <c r="H482" s="77"/>
      <c r="I482" s="77"/>
      <c r="J482" s="77"/>
      <c r="K482" s="77"/>
      <c r="L482" s="77"/>
      <c r="M482" s="77"/>
      <c r="N482" s="77"/>
      <c r="O482" s="77"/>
      <c r="P482" s="77"/>
      <c r="Q482" s="77"/>
      <c r="R482" s="77"/>
      <c r="S482" s="77"/>
      <c r="T482" s="77"/>
      <c r="U482" s="77"/>
      <c r="V482" s="77"/>
      <c r="W482" s="77"/>
      <c r="X482" s="77"/>
      <c r="Y482" s="77"/>
      <c r="Z482" s="77"/>
      <c r="AA482" s="77"/>
      <c r="AB482" s="77"/>
      <c r="AC482" s="77"/>
      <c r="AD482" s="77"/>
      <c r="AE482" s="77"/>
      <c r="AF482" s="77"/>
      <c r="AG482" s="77"/>
      <c r="AH482" s="77"/>
      <c r="AI482" s="77"/>
      <c r="AJ482" s="77"/>
      <c r="AK482" s="77"/>
      <c r="AL482" s="77"/>
      <c r="AM482" s="77"/>
      <c r="AN482" s="77"/>
      <c r="AO482" s="77"/>
      <c r="AP482" s="77"/>
      <c r="AQ482" s="77"/>
      <c r="AR482" s="77"/>
      <c r="AS482" s="77"/>
      <c r="AT482" s="77"/>
      <c r="AU482" s="77"/>
      <c r="AV482" s="77"/>
      <c r="AX482" s="84"/>
      <c r="AY482" s="84"/>
    </row>
    <row r="483" spans="1:51" s="38" customFormat="1" ht="16.5" customHeight="1" x14ac:dyDescent="0.3">
      <c r="A483" s="77"/>
      <c r="B483" s="77"/>
      <c r="C483" s="77"/>
      <c r="D483" s="77"/>
      <c r="E483" s="77"/>
      <c r="F483" s="77"/>
      <c r="G483" s="77"/>
      <c r="H483" s="77"/>
      <c r="I483" s="77"/>
      <c r="J483" s="77"/>
      <c r="K483" s="77"/>
      <c r="L483" s="77"/>
      <c r="M483" s="77"/>
      <c r="N483" s="77"/>
      <c r="O483" s="77"/>
      <c r="P483" s="77"/>
      <c r="Q483" s="77"/>
      <c r="R483" s="77"/>
      <c r="S483" s="77"/>
      <c r="T483" s="77"/>
      <c r="U483" s="77"/>
      <c r="V483" s="77"/>
      <c r="W483" s="77"/>
      <c r="X483" s="77"/>
      <c r="Y483" s="77"/>
      <c r="Z483" s="77"/>
      <c r="AA483" s="77"/>
      <c r="AB483" s="77"/>
      <c r="AC483" s="77"/>
      <c r="AD483" s="77"/>
      <c r="AE483" s="77"/>
      <c r="AF483" s="77"/>
      <c r="AG483" s="77"/>
      <c r="AH483" s="77"/>
      <c r="AI483" s="77"/>
      <c r="AJ483" s="77"/>
      <c r="AK483" s="77"/>
      <c r="AL483" s="77"/>
      <c r="AM483" s="77"/>
      <c r="AN483" s="77"/>
      <c r="AO483" s="77"/>
      <c r="AP483" s="77"/>
      <c r="AQ483" s="77"/>
      <c r="AR483" s="77"/>
      <c r="AS483" s="77"/>
      <c r="AT483" s="77"/>
      <c r="AU483" s="77"/>
      <c r="AV483" s="77"/>
      <c r="AX483" s="84"/>
      <c r="AY483" s="84"/>
    </row>
    <row r="484" spans="1:51" s="38" customFormat="1" ht="16.5" customHeight="1" x14ac:dyDescent="0.3">
      <c r="A484" s="77"/>
      <c r="B484" s="77"/>
      <c r="C484" s="77"/>
      <c r="D484" s="77"/>
      <c r="E484" s="77"/>
      <c r="F484" s="77"/>
      <c r="G484" s="77"/>
      <c r="H484" s="77"/>
      <c r="I484" s="77"/>
      <c r="J484" s="77"/>
      <c r="K484" s="77"/>
      <c r="L484" s="77"/>
      <c r="M484" s="77"/>
      <c r="N484" s="77"/>
      <c r="O484" s="77"/>
      <c r="P484" s="77"/>
      <c r="Q484" s="77"/>
      <c r="R484" s="77"/>
      <c r="S484" s="77"/>
      <c r="T484" s="77"/>
      <c r="U484" s="77"/>
      <c r="V484" s="77"/>
      <c r="W484" s="77"/>
      <c r="X484" s="77"/>
      <c r="Y484" s="77"/>
      <c r="Z484" s="77"/>
      <c r="AA484" s="77"/>
      <c r="AB484" s="77"/>
      <c r="AC484" s="77"/>
      <c r="AD484" s="77"/>
      <c r="AE484" s="77"/>
      <c r="AF484" s="77"/>
      <c r="AG484" s="77"/>
      <c r="AH484" s="77"/>
      <c r="AI484" s="77"/>
      <c r="AJ484" s="77"/>
      <c r="AK484" s="77"/>
      <c r="AL484" s="77"/>
      <c r="AM484" s="77"/>
      <c r="AN484" s="77"/>
      <c r="AO484" s="77"/>
      <c r="AP484" s="77"/>
      <c r="AQ484" s="77"/>
      <c r="AR484" s="77"/>
      <c r="AS484" s="77"/>
      <c r="AT484" s="77"/>
      <c r="AU484" s="77"/>
      <c r="AV484" s="77"/>
      <c r="AX484" s="84"/>
      <c r="AY484" s="84"/>
    </row>
    <row r="485" spans="1:51" s="38" customFormat="1" ht="16.5" customHeight="1" x14ac:dyDescent="0.3">
      <c r="A485" s="77"/>
      <c r="B485" s="77"/>
      <c r="C485" s="77"/>
      <c r="D485" s="77"/>
      <c r="E485" s="77"/>
      <c r="F485" s="77"/>
      <c r="G485" s="77"/>
      <c r="H485" s="77"/>
      <c r="I485" s="77"/>
      <c r="J485" s="77"/>
      <c r="K485" s="77"/>
      <c r="L485" s="77"/>
      <c r="M485" s="77"/>
      <c r="N485" s="77"/>
      <c r="O485" s="77"/>
      <c r="P485" s="77"/>
      <c r="Q485" s="77"/>
      <c r="R485" s="77"/>
      <c r="S485" s="77"/>
      <c r="T485" s="77"/>
      <c r="U485" s="77"/>
      <c r="V485" s="77"/>
      <c r="W485" s="77"/>
      <c r="X485" s="77"/>
      <c r="Y485" s="77"/>
      <c r="Z485" s="77"/>
      <c r="AA485" s="77"/>
      <c r="AB485" s="77"/>
      <c r="AC485" s="77"/>
      <c r="AD485" s="77"/>
      <c r="AE485" s="77"/>
      <c r="AF485" s="77"/>
      <c r="AG485" s="77"/>
      <c r="AH485" s="77"/>
      <c r="AI485" s="77"/>
      <c r="AJ485" s="77"/>
      <c r="AK485" s="77"/>
      <c r="AL485" s="77"/>
      <c r="AM485" s="77"/>
      <c r="AN485" s="77"/>
      <c r="AO485" s="77"/>
      <c r="AP485" s="77"/>
      <c r="AQ485" s="77"/>
      <c r="AR485" s="77"/>
      <c r="AS485" s="77"/>
      <c r="AT485" s="77"/>
      <c r="AU485" s="77"/>
      <c r="AV485" s="77"/>
      <c r="AX485" s="84"/>
      <c r="AY485" s="84"/>
    </row>
    <row r="486" spans="1:51" s="38" customFormat="1" ht="16.5" customHeight="1" x14ac:dyDescent="0.3">
      <c r="A486" s="77"/>
      <c r="B486" s="77"/>
      <c r="C486" s="77"/>
      <c r="D486" s="77"/>
      <c r="E486" s="77"/>
      <c r="F486" s="77"/>
      <c r="G486" s="77"/>
      <c r="H486" s="77"/>
      <c r="I486" s="77"/>
      <c r="J486" s="77"/>
      <c r="K486" s="77"/>
      <c r="L486" s="77"/>
      <c r="M486" s="77"/>
      <c r="N486" s="77"/>
      <c r="O486" s="77"/>
      <c r="P486" s="77"/>
      <c r="Q486" s="77"/>
      <c r="R486" s="77"/>
      <c r="S486" s="77"/>
      <c r="T486" s="77"/>
      <c r="U486" s="77"/>
      <c r="V486" s="77"/>
      <c r="W486" s="77"/>
      <c r="X486" s="77"/>
      <c r="Y486" s="77"/>
      <c r="Z486" s="77"/>
      <c r="AA486" s="77"/>
      <c r="AB486" s="77"/>
      <c r="AC486" s="77"/>
      <c r="AD486" s="77"/>
      <c r="AE486" s="77"/>
      <c r="AF486" s="77"/>
      <c r="AG486" s="77"/>
      <c r="AH486" s="77"/>
      <c r="AI486" s="77"/>
      <c r="AJ486" s="77"/>
      <c r="AK486" s="77"/>
      <c r="AL486" s="77"/>
      <c r="AM486" s="77"/>
      <c r="AN486" s="77"/>
      <c r="AO486" s="77"/>
      <c r="AP486" s="77"/>
      <c r="AQ486" s="77"/>
      <c r="AR486" s="77"/>
      <c r="AS486" s="77"/>
      <c r="AT486" s="77"/>
      <c r="AU486" s="77"/>
      <c r="AV486" s="77"/>
      <c r="AX486" s="84"/>
      <c r="AY486" s="84"/>
    </row>
    <row r="487" spans="1:51" s="38" customFormat="1" ht="16.5" customHeight="1" x14ac:dyDescent="0.3">
      <c r="A487" s="77"/>
      <c r="B487" s="77"/>
      <c r="C487" s="77"/>
      <c r="D487" s="77"/>
      <c r="E487" s="77"/>
      <c r="F487" s="77"/>
      <c r="G487" s="77"/>
      <c r="H487" s="77"/>
      <c r="I487" s="77"/>
      <c r="J487" s="77"/>
      <c r="K487" s="77"/>
      <c r="L487" s="77"/>
      <c r="M487" s="77"/>
      <c r="N487" s="77"/>
      <c r="O487" s="77"/>
      <c r="P487" s="77"/>
      <c r="Q487" s="77"/>
      <c r="R487" s="77"/>
      <c r="S487" s="77"/>
      <c r="T487" s="77"/>
      <c r="U487" s="77"/>
      <c r="V487" s="77"/>
      <c r="W487" s="77"/>
      <c r="X487" s="77"/>
      <c r="Y487" s="77"/>
      <c r="Z487" s="77"/>
      <c r="AA487" s="77"/>
      <c r="AB487" s="77"/>
      <c r="AC487" s="77"/>
      <c r="AD487" s="77"/>
      <c r="AE487" s="77"/>
      <c r="AF487" s="77"/>
      <c r="AG487" s="77"/>
      <c r="AH487" s="77"/>
      <c r="AI487" s="77"/>
      <c r="AJ487" s="77"/>
      <c r="AK487" s="77"/>
      <c r="AL487" s="77"/>
      <c r="AM487" s="77"/>
      <c r="AN487" s="77"/>
      <c r="AO487" s="77"/>
      <c r="AP487" s="77"/>
      <c r="AQ487" s="77"/>
      <c r="AR487" s="77"/>
      <c r="AS487" s="77"/>
      <c r="AT487" s="77"/>
      <c r="AU487" s="77"/>
      <c r="AV487" s="77"/>
      <c r="AX487" s="84"/>
      <c r="AY487" s="84"/>
    </row>
    <row r="488" spans="1:51" s="38" customFormat="1" ht="16.5" customHeight="1" x14ac:dyDescent="0.3">
      <c r="A488" s="77"/>
      <c r="B488" s="77"/>
      <c r="C488" s="77"/>
      <c r="D488" s="77"/>
      <c r="E488" s="77"/>
      <c r="F488" s="77"/>
      <c r="G488" s="77"/>
      <c r="H488" s="77"/>
      <c r="I488" s="77"/>
      <c r="J488" s="77"/>
      <c r="K488" s="77"/>
      <c r="L488" s="77"/>
      <c r="M488" s="77"/>
      <c r="N488" s="77"/>
      <c r="O488" s="77"/>
      <c r="P488" s="77"/>
      <c r="Q488" s="77"/>
      <c r="R488" s="77"/>
      <c r="S488" s="77"/>
      <c r="T488" s="77"/>
      <c r="U488" s="77"/>
      <c r="V488" s="77"/>
      <c r="W488" s="77"/>
      <c r="X488" s="77"/>
      <c r="Y488" s="77"/>
      <c r="Z488" s="77"/>
      <c r="AA488" s="77"/>
      <c r="AB488" s="77"/>
      <c r="AC488" s="77"/>
      <c r="AD488" s="77"/>
      <c r="AE488" s="77"/>
      <c r="AF488" s="77"/>
      <c r="AG488" s="77"/>
      <c r="AH488" s="77"/>
      <c r="AI488" s="77"/>
      <c r="AJ488" s="77"/>
      <c r="AK488" s="77"/>
      <c r="AL488" s="77"/>
      <c r="AM488" s="77"/>
      <c r="AN488" s="77"/>
      <c r="AO488" s="77"/>
      <c r="AP488" s="77"/>
      <c r="AQ488" s="77"/>
      <c r="AR488" s="77"/>
      <c r="AS488" s="77"/>
      <c r="AT488" s="77"/>
      <c r="AU488" s="77"/>
      <c r="AV488" s="77"/>
      <c r="AX488" s="84"/>
      <c r="AY488" s="84"/>
    </row>
    <row r="489" spans="1:51" s="38" customFormat="1" ht="16.5" customHeight="1" x14ac:dyDescent="0.3">
      <c r="A489" s="77"/>
      <c r="B489" s="77"/>
      <c r="C489" s="77"/>
      <c r="D489" s="77"/>
      <c r="E489" s="77"/>
      <c r="F489" s="77"/>
      <c r="G489" s="77"/>
      <c r="H489" s="77"/>
      <c r="I489" s="77"/>
      <c r="J489" s="77"/>
      <c r="K489" s="77"/>
      <c r="L489" s="77"/>
      <c r="M489" s="77"/>
      <c r="N489" s="77"/>
      <c r="O489" s="77"/>
      <c r="P489" s="77"/>
      <c r="Q489" s="77"/>
      <c r="R489" s="77"/>
      <c r="S489" s="77"/>
      <c r="T489" s="77"/>
      <c r="U489" s="77"/>
      <c r="V489" s="77"/>
      <c r="W489" s="77"/>
      <c r="X489" s="77"/>
      <c r="Y489" s="77"/>
      <c r="Z489" s="77"/>
      <c r="AA489" s="77"/>
      <c r="AB489" s="77"/>
      <c r="AC489" s="77"/>
      <c r="AD489" s="77"/>
      <c r="AE489" s="77"/>
      <c r="AF489" s="77"/>
      <c r="AG489" s="77"/>
      <c r="AH489" s="77"/>
      <c r="AI489" s="77"/>
      <c r="AJ489" s="77"/>
      <c r="AK489" s="77"/>
      <c r="AL489" s="77"/>
      <c r="AM489" s="77"/>
      <c r="AN489" s="77"/>
      <c r="AO489" s="77"/>
      <c r="AP489" s="77"/>
      <c r="AQ489" s="77"/>
      <c r="AR489" s="77"/>
      <c r="AS489" s="77"/>
      <c r="AT489" s="77"/>
      <c r="AU489" s="77"/>
      <c r="AV489" s="77"/>
      <c r="AX489" s="84"/>
      <c r="AY489" s="84"/>
    </row>
    <row r="490" spans="1:51" s="38" customFormat="1" ht="16.5" customHeight="1" x14ac:dyDescent="0.3">
      <c r="A490" s="77"/>
      <c r="B490" s="77"/>
      <c r="C490" s="77"/>
      <c r="D490" s="77"/>
      <c r="E490" s="77"/>
      <c r="F490" s="77"/>
      <c r="G490" s="77"/>
      <c r="H490" s="77"/>
      <c r="I490" s="77"/>
      <c r="J490" s="77"/>
      <c r="K490" s="77"/>
      <c r="L490" s="77"/>
      <c r="M490" s="77"/>
      <c r="N490" s="77"/>
      <c r="O490" s="77"/>
      <c r="P490" s="77"/>
      <c r="Q490" s="77"/>
      <c r="R490" s="77"/>
      <c r="S490" s="77"/>
      <c r="T490" s="77"/>
      <c r="U490" s="77"/>
      <c r="V490" s="77"/>
      <c r="W490" s="77"/>
      <c r="X490" s="77"/>
      <c r="Y490" s="77"/>
      <c r="Z490" s="77"/>
      <c r="AA490" s="77"/>
      <c r="AB490" s="77"/>
      <c r="AC490" s="77"/>
      <c r="AD490" s="77"/>
      <c r="AE490" s="77"/>
      <c r="AF490" s="77"/>
      <c r="AG490" s="77"/>
      <c r="AH490" s="77"/>
      <c r="AI490" s="77"/>
      <c r="AJ490" s="77"/>
      <c r="AK490" s="77"/>
      <c r="AL490" s="77"/>
      <c r="AM490" s="77"/>
      <c r="AN490" s="77"/>
      <c r="AO490" s="77"/>
      <c r="AP490" s="77"/>
      <c r="AQ490" s="77"/>
      <c r="AR490" s="77"/>
      <c r="AS490" s="77"/>
      <c r="AT490" s="77"/>
      <c r="AU490" s="77"/>
      <c r="AV490" s="77"/>
      <c r="AX490" s="84"/>
      <c r="AY490" s="84"/>
    </row>
    <row r="491" spans="1:51" s="38" customFormat="1" ht="16.5" customHeight="1" x14ac:dyDescent="0.3">
      <c r="A491" s="77"/>
      <c r="B491" s="77"/>
      <c r="C491" s="77"/>
      <c r="D491" s="77"/>
      <c r="E491" s="77"/>
      <c r="F491" s="77"/>
      <c r="G491" s="77"/>
      <c r="H491" s="77"/>
      <c r="I491" s="77"/>
      <c r="J491" s="77"/>
      <c r="K491" s="77"/>
      <c r="L491" s="77"/>
      <c r="M491" s="77"/>
      <c r="N491" s="77"/>
      <c r="O491" s="77"/>
      <c r="P491" s="77"/>
      <c r="Q491" s="77"/>
      <c r="R491" s="77"/>
      <c r="S491" s="77"/>
      <c r="T491" s="77"/>
      <c r="U491" s="77"/>
      <c r="V491" s="77"/>
      <c r="W491" s="77"/>
      <c r="X491" s="77"/>
      <c r="Y491" s="77"/>
      <c r="Z491" s="77"/>
      <c r="AA491" s="77"/>
      <c r="AB491" s="77"/>
      <c r="AC491" s="77"/>
      <c r="AD491" s="77"/>
      <c r="AE491" s="77"/>
      <c r="AF491" s="77"/>
      <c r="AG491" s="77"/>
      <c r="AH491" s="77"/>
      <c r="AI491" s="77"/>
      <c r="AJ491" s="77"/>
      <c r="AK491" s="77"/>
      <c r="AL491" s="77"/>
      <c r="AM491" s="77"/>
      <c r="AN491" s="77"/>
      <c r="AO491" s="77"/>
      <c r="AP491" s="77"/>
      <c r="AQ491" s="77"/>
      <c r="AR491" s="77"/>
      <c r="AS491" s="77"/>
      <c r="AT491" s="77"/>
      <c r="AU491" s="77"/>
      <c r="AV491" s="77"/>
      <c r="AX491" s="84"/>
      <c r="AY491" s="84"/>
    </row>
    <row r="492" spans="1:51" s="38" customFormat="1" ht="16.5" customHeight="1" x14ac:dyDescent="0.3">
      <c r="A492" s="77"/>
      <c r="B492" s="77"/>
      <c r="C492" s="77"/>
      <c r="D492" s="77"/>
      <c r="E492" s="77"/>
      <c r="F492" s="77"/>
      <c r="G492" s="77"/>
      <c r="H492" s="77"/>
      <c r="I492" s="77"/>
      <c r="J492" s="77"/>
      <c r="K492" s="77"/>
      <c r="L492" s="77"/>
      <c r="M492" s="77"/>
      <c r="N492" s="77"/>
      <c r="O492" s="77"/>
      <c r="P492" s="77"/>
      <c r="Q492" s="77"/>
      <c r="R492" s="77"/>
      <c r="S492" s="77"/>
      <c r="T492" s="77"/>
      <c r="U492" s="77"/>
      <c r="V492" s="77"/>
      <c r="W492" s="77"/>
      <c r="X492" s="77"/>
      <c r="Y492" s="77"/>
      <c r="Z492" s="77"/>
      <c r="AA492" s="77"/>
      <c r="AB492" s="77"/>
      <c r="AC492" s="77"/>
      <c r="AD492" s="77"/>
      <c r="AE492" s="77"/>
      <c r="AF492" s="77"/>
      <c r="AG492" s="77"/>
      <c r="AH492" s="77"/>
      <c r="AI492" s="77"/>
      <c r="AJ492" s="77"/>
      <c r="AK492" s="77"/>
      <c r="AL492" s="77"/>
      <c r="AM492" s="77"/>
      <c r="AN492" s="77"/>
      <c r="AO492" s="77"/>
      <c r="AP492" s="77"/>
      <c r="AQ492" s="77"/>
      <c r="AR492" s="77"/>
      <c r="AS492" s="77"/>
      <c r="AT492" s="77"/>
      <c r="AU492" s="77"/>
      <c r="AV492" s="77"/>
      <c r="AX492" s="84"/>
      <c r="AY492" s="84"/>
    </row>
    <row r="493" spans="1:51" s="38" customFormat="1" ht="16.5" customHeight="1" x14ac:dyDescent="0.3">
      <c r="A493" s="77"/>
      <c r="B493" s="77"/>
      <c r="C493" s="77"/>
      <c r="D493" s="77"/>
      <c r="E493" s="77"/>
      <c r="F493" s="77"/>
      <c r="G493" s="77"/>
      <c r="H493" s="77"/>
      <c r="I493" s="77"/>
      <c r="J493" s="77"/>
      <c r="K493" s="77"/>
      <c r="L493" s="77"/>
      <c r="M493" s="77"/>
      <c r="N493" s="77"/>
      <c r="O493" s="77"/>
      <c r="P493" s="77"/>
      <c r="Q493" s="77"/>
      <c r="R493" s="77"/>
      <c r="S493" s="77"/>
      <c r="T493" s="77"/>
      <c r="U493" s="77"/>
      <c r="V493" s="77"/>
      <c r="W493" s="77"/>
      <c r="X493" s="77"/>
      <c r="Y493" s="77"/>
      <c r="Z493" s="77"/>
      <c r="AA493" s="77"/>
      <c r="AB493" s="77"/>
      <c r="AC493" s="77"/>
      <c r="AD493" s="77"/>
      <c r="AE493" s="77"/>
      <c r="AF493" s="77"/>
      <c r="AG493" s="77"/>
      <c r="AH493" s="77"/>
      <c r="AI493" s="77"/>
      <c r="AJ493" s="77"/>
      <c r="AK493" s="77"/>
      <c r="AL493" s="77"/>
      <c r="AM493" s="77"/>
      <c r="AN493" s="77"/>
      <c r="AO493" s="77"/>
      <c r="AP493" s="77"/>
      <c r="AQ493" s="77"/>
      <c r="AR493" s="77"/>
      <c r="AS493" s="77"/>
      <c r="AT493" s="77"/>
      <c r="AU493" s="77"/>
      <c r="AV493" s="77"/>
      <c r="AX493" s="84"/>
      <c r="AY493" s="84"/>
    </row>
    <row r="494" spans="1:51" s="38" customFormat="1" ht="16.5" customHeight="1" x14ac:dyDescent="0.3">
      <c r="A494" s="77"/>
      <c r="B494" s="77"/>
      <c r="C494" s="77"/>
      <c r="D494" s="77"/>
      <c r="E494" s="77"/>
      <c r="F494" s="77"/>
      <c r="G494" s="77"/>
      <c r="H494" s="77"/>
      <c r="I494" s="77"/>
      <c r="J494" s="77"/>
      <c r="K494" s="77"/>
      <c r="L494" s="77"/>
      <c r="M494" s="77"/>
      <c r="N494" s="77"/>
      <c r="O494" s="77"/>
      <c r="P494" s="77"/>
      <c r="Q494" s="77"/>
      <c r="R494" s="77"/>
      <c r="S494" s="77"/>
      <c r="T494" s="77"/>
      <c r="U494" s="77"/>
      <c r="V494" s="77"/>
      <c r="W494" s="77"/>
      <c r="X494" s="77"/>
      <c r="Y494" s="77"/>
      <c r="Z494" s="77"/>
      <c r="AA494" s="77"/>
      <c r="AB494" s="77"/>
      <c r="AC494" s="77"/>
      <c r="AD494" s="77"/>
      <c r="AE494" s="77"/>
      <c r="AF494" s="77"/>
      <c r="AG494" s="77"/>
      <c r="AH494" s="77"/>
      <c r="AI494" s="77"/>
      <c r="AJ494" s="77"/>
      <c r="AK494" s="77"/>
      <c r="AL494" s="77"/>
      <c r="AM494" s="77"/>
      <c r="AN494" s="77"/>
      <c r="AO494" s="77"/>
      <c r="AP494" s="77"/>
      <c r="AQ494" s="77"/>
      <c r="AR494" s="77"/>
      <c r="AS494" s="77"/>
      <c r="AT494" s="77"/>
      <c r="AU494" s="77"/>
      <c r="AV494" s="77"/>
      <c r="AX494" s="84"/>
      <c r="AY494" s="84"/>
    </row>
    <row r="495" spans="1:51" s="38" customFormat="1" ht="16.5" customHeight="1" x14ac:dyDescent="0.3">
      <c r="A495" s="77"/>
      <c r="B495" s="77"/>
      <c r="C495" s="77"/>
      <c r="D495" s="77"/>
      <c r="E495" s="77"/>
      <c r="F495" s="77"/>
      <c r="G495" s="77"/>
      <c r="H495" s="77"/>
      <c r="I495" s="77"/>
      <c r="J495" s="77"/>
      <c r="K495" s="77"/>
      <c r="L495" s="77"/>
      <c r="M495" s="77"/>
      <c r="N495" s="77"/>
      <c r="O495" s="77"/>
      <c r="P495" s="77"/>
      <c r="Q495" s="77"/>
      <c r="R495" s="77"/>
      <c r="S495" s="77"/>
      <c r="T495" s="77"/>
      <c r="U495" s="77"/>
      <c r="V495" s="77"/>
      <c r="W495" s="77"/>
      <c r="X495" s="77"/>
      <c r="Y495" s="77"/>
      <c r="Z495" s="77"/>
      <c r="AA495" s="77"/>
      <c r="AB495" s="77"/>
      <c r="AC495" s="77"/>
      <c r="AD495" s="77"/>
      <c r="AE495" s="77"/>
      <c r="AF495" s="77"/>
      <c r="AG495" s="77"/>
      <c r="AH495" s="77"/>
      <c r="AI495" s="77"/>
      <c r="AJ495" s="77"/>
      <c r="AK495" s="77"/>
      <c r="AL495" s="77"/>
      <c r="AM495" s="77"/>
      <c r="AN495" s="77"/>
      <c r="AO495" s="77"/>
      <c r="AP495" s="77"/>
      <c r="AQ495" s="77"/>
      <c r="AR495" s="77"/>
      <c r="AS495" s="77"/>
      <c r="AT495" s="77"/>
      <c r="AU495" s="77"/>
      <c r="AV495" s="77"/>
      <c r="AX495" s="84"/>
      <c r="AY495" s="84"/>
    </row>
    <row r="496" spans="1:51" s="38" customFormat="1" ht="16.5" customHeight="1" x14ac:dyDescent="0.3">
      <c r="A496" s="77"/>
      <c r="B496" s="77"/>
      <c r="C496" s="77"/>
      <c r="D496" s="77"/>
      <c r="E496" s="77"/>
      <c r="F496" s="77"/>
      <c r="G496" s="77"/>
      <c r="H496" s="77"/>
      <c r="I496" s="77"/>
      <c r="J496" s="77"/>
      <c r="K496" s="77"/>
      <c r="L496" s="77"/>
      <c r="M496" s="77"/>
      <c r="N496" s="77"/>
      <c r="O496" s="77"/>
      <c r="P496" s="77"/>
      <c r="Q496" s="77"/>
      <c r="R496" s="77"/>
      <c r="S496" s="77"/>
      <c r="T496" s="77"/>
      <c r="U496" s="77"/>
      <c r="V496" s="77"/>
      <c r="W496" s="77"/>
      <c r="X496" s="77"/>
      <c r="Y496" s="77"/>
      <c r="Z496" s="77"/>
      <c r="AA496" s="77"/>
      <c r="AB496" s="77"/>
      <c r="AC496" s="77"/>
      <c r="AD496" s="77"/>
      <c r="AE496" s="77"/>
      <c r="AF496" s="77"/>
      <c r="AG496" s="77"/>
      <c r="AH496" s="77"/>
      <c r="AI496" s="77"/>
      <c r="AJ496" s="77"/>
      <c r="AK496" s="77"/>
      <c r="AL496" s="77"/>
      <c r="AM496" s="77"/>
      <c r="AN496" s="77"/>
      <c r="AO496" s="77"/>
      <c r="AP496" s="77"/>
      <c r="AQ496" s="77"/>
      <c r="AR496" s="77"/>
      <c r="AS496" s="77"/>
      <c r="AT496" s="77"/>
      <c r="AU496" s="77"/>
      <c r="AV496" s="77"/>
      <c r="AX496" s="84"/>
      <c r="AY496" s="84"/>
    </row>
    <row r="497" spans="1:51" s="38" customFormat="1" ht="16.5" customHeight="1" x14ac:dyDescent="0.3">
      <c r="A497" s="77"/>
      <c r="B497" s="77"/>
      <c r="C497" s="77"/>
      <c r="D497" s="77"/>
      <c r="E497" s="77"/>
      <c r="F497" s="77"/>
      <c r="G497" s="77"/>
      <c r="H497" s="77"/>
      <c r="I497" s="77"/>
      <c r="J497" s="77"/>
      <c r="K497" s="77"/>
      <c r="L497" s="77"/>
      <c r="M497" s="77"/>
      <c r="N497" s="77"/>
      <c r="O497" s="77"/>
      <c r="P497" s="77"/>
      <c r="Q497" s="77"/>
      <c r="R497" s="77"/>
      <c r="S497" s="77"/>
      <c r="T497" s="77"/>
      <c r="U497" s="77"/>
      <c r="V497" s="77"/>
      <c r="W497" s="77"/>
      <c r="X497" s="77"/>
      <c r="Y497" s="77"/>
      <c r="Z497" s="77"/>
      <c r="AA497" s="77"/>
      <c r="AB497" s="77"/>
      <c r="AC497" s="77"/>
      <c r="AD497" s="77"/>
      <c r="AE497" s="77"/>
      <c r="AF497" s="77"/>
      <c r="AG497" s="77"/>
      <c r="AH497" s="77"/>
      <c r="AI497" s="77"/>
      <c r="AJ497" s="77"/>
      <c r="AK497" s="77"/>
      <c r="AL497" s="77"/>
      <c r="AM497" s="77"/>
      <c r="AN497" s="77"/>
      <c r="AO497" s="77"/>
      <c r="AP497" s="77"/>
      <c r="AQ497" s="77"/>
      <c r="AR497" s="77"/>
      <c r="AS497" s="77"/>
      <c r="AT497" s="77"/>
      <c r="AU497" s="77"/>
      <c r="AV497" s="77"/>
      <c r="AX497" s="84"/>
      <c r="AY497" s="84"/>
    </row>
    <row r="498" spans="1:51" s="38" customFormat="1" ht="16.5" customHeight="1" x14ac:dyDescent="0.3">
      <c r="A498" s="77"/>
      <c r="B498" s="77"/>
      <c r="C498" s="77"/>
      <c r="D498" s="77"/>
      <c r="E498" s="77"/>
      <c r="F498" s="77"/>
      <c r="G498" s="77"/>
      <c r="H498" s="77"/>
      <c r="I498" s="77"/>
      <c r="J498" s="77"/>
      <c r="K498" s="77"/>
      <c r="L498" s="77"/>
      <c r="M498" s="77"/>
      <c r="N498" s="77"/>
      <c r="O498" s="77"/>
      <c r="P498" s="77"/>
      <c r="Q498" s="77"/>
      <c r="R498" s="77"/>
      <c r="S498" s="77"/>
      <c r="T498" s="77"/>
      <c r="U498" s="77"/>
      <c r="V498" s="77"/>
      <c r="W498" s="77"/>
      <c r="X498" s="77"/>
      <c r="Y498" s="77"/>
      <c r="Z498" s="77"/>
      <c r="AA498" s="77"/>
      <c r="AB498" s="77"/>
      <c r="AC498" s="77"/>
      <c r="AD498" s="77"/>
      <c r="AE498" s="77"/>
      <c r="AF498" s="77"/>
      <c r="AG498" s="77"/>
      <c r="AH498" s="77"/>
      <c r="AI498" s="77"/>
      <c r="AJ498" s="77"/>
      <c r="AK498" s="77"/>
      <c r="AL498" s="77"/>
      <c r="AM498" s="77"/>
      <c r="AN498" s="77"/>
      <c r="AO498" s="77"/>
      <c r="AP498" s="77"/>
      <c r="AQ498" s="77"/>
      <c r="AR498" s="77"/>
      <c r="AS498" s="77"/>
      <c r="AT498" s="77"/>
      <c r="AU498" s="77"/>
      <c r="AV498" s="77"/>
      <c r="AX498" s="84"/>
      <c r="AY498" s="84"/>
    </row>
    <row r="499" spans="1:51" s="38" customFormat="1" ht="16.5" customHeight="1" x14ac:dyDescent="0.3">
      <c r="A499" s="77"/>
      <c r="B499" s="77"/>
      <c r="C499" s="77"/>
      <c r="D499" s="77"/>
      <c r="E499" s="77"/>
      <c r="F499" s="77"/>
      <c r="G499" s="77"/>
      <c r="H499" s="77"/>
      <c r="I499" s="77"/>
      <c r="J499" s="77"/>
      <c r="K499" s="77"/>
      <c r="L499" s="77"/>
      <c r="M499" s="77"/>
      <c r="N499" s="77"/>
      <c r="O499" s="77"/>
      <c r="P499" s="77"/>
      <c r="Q499" s="77"/>
      <c r="R499" s="77"/>
      <c r="S499" s="77"/>
      <c r="T499" s="77"/>
      <c r="U499" s="77"/>
      <c r="V499" s="77"/>
      <c r="W499" s="77"/>
      <c r="X499" s="77"/>
      <c r="Y499" s="77"/>
      <c r="Z499" s="77"/>
      <c r="AA499" s="77"/>
      <c r="AB499" s="77"/>
      <c r="AC499" s="77"/>
      <c r="AD499" s="77"/>
      <c r="AE499" s="77"/>
      <c r="AF499" s="77"/>
      <c r="AG499" s="77"/>
      <c r="AH499" s="77"/>
      <c r="AI499" s="77"/>
      <c r="AJ499" s="77"/>
      <c r="AK499" s="77"/>
      <c r="AL499" s="77"/>
      <c r="AM499" s="77"/>
      <c r="AN499" s="77"/>
      <c r="AO499" s="77"/>
      <c r="AP499" s="77"/>
      <c r="AQ499" s="77"/>
      <c r="AR499" s="77"/>
      <c r="AS499" s="77"/>
      <c r="AT499" s="77"/>
      <c r="AU499" s="77"/>
      <c r="AV499" s="77"/>
      <c r="AX499" s="84"/>
      <c r="AY499" s="84"/>
    </row>
    <row r="500" spans="1:51" s="38" customFormat="1" ht="16.5" customHeight="1" x14ac:dyDescent="0.3">
      <c r="A500" s="77"/>
      <c r="B500" s="77"/>
      <c r="C500" s="77"/>
      <c r="D500" s="77"/>
      <c r="E500" s="77"/>
      <c r="F500" s="77"/>
      <c r="G500" s="77"/>
      <c r="H500" s="77"/>
      <c r="I500" s="77"/>
      <c r="J500" s="77"/>
      <c r="K500" s="77"/>
      <c r="L500" s="77"/>
      <c r="M500" s="77"/>
      <c r="N500" s="77"/>
      <c r="O500" s="77"/>
      <c r="P500" s="77"/>
      <c r="Q500" s="77"/>
      <c r="R500" s="77"/>
      <c r="S500" s="77"/>
      <c r="T500" s="77"/>
      <c r="U500" s="77"/>
      <c r="V500" s="77"/>
      <c r="W500" s="77"/>
      <c r="X500" s="77"/>
      <c r="Y500" s="77"/>
      <c r="Z500" s="77"/>
      <c r="AA500" s="77"/>
      <c r="AB500" s="77"/>
      <c r="AC500" s="77"/>
      <c r="AD500" s="77"/>
      <c r="AE500" s="77"/>
      <c r="AF500" s="77"/>
      <c r="AG500" s="77"/>
      <c r="AH500" s="77"/>
      <c r="AI500" s="77"/>
      <c r="AJ500" s="77"/>
      <c r="AK500" s="77"/>
      <c r="AL500" s="77"/>
      <c r="AM500" s="77"/>
      <c r="AN500" s="77"/>
      <c r="AO500" s="77"/>
      <c r="AP500" s="77"/>
      <c r="AQ500" s="77"/>
      <c r="AR500" s="77"/>
      <c r="AS500" s="77"/>
      <c r="AT500" s="77"/>
      <c r="AU500" s="77"/>
      <c r="AV500" s="77"/>
      <c r="AX500" s="84"/>
      <c r="AY500" s="84"/>
    </row>
    <row r="501" spans="1:51" s="38" customFormat="1" ht="16.5" customHeight="1" x14ac:dyDescent="0.3">
      <c r="A501" s="77"/>
      <c r="B501" s="77"/>
      <c r="C501" s="77"/>
      <c r="D501" s="77"/>
      <c r="E501" s="77"/>
      <c r="F501" s="77"/>
      <c r="G501" s="77"/>
      <c r="H501" s="77"/>
      <c r="I501" s="77"/>
      <c r="J501" s="77"/>
      <c r="K501" s="77"/>
      <c r="L501" s="77"/>
      <c r="M501" s="77"/>
      <c r="N501" s="77"/>
      <c r="O501" s="77"/>
      <c r="P501" s="77"/>
      <c r="Q501" s="77"/>
      <c r="R501" s="77"/>
      <c r="S501" s="77"/>
      <c r="T501" s="77"/>
      <c r="U501" s="77"/>
      <c r="V501" s="77"/>
      <c r="W501" s="77"/>
      <c r="X501" s="77"/>
      <c r="Y501" s="77"/>
      <c r="Z501" s="77"/>
      <c r="AA501" s="77"/>
      <c r="AB501" s="77"/>
      <c r="AC501" s="77"/>
      <c r="AD501" s="77"/>
      <c r="AE501" s="77"/>
      <c r="AF501" s="77"/>
      <c r="AG501" s="77"/>
      <c r="AH501" s="77"/>
      <c r="AI501" s="77"/>
      <c r="AJ501" s="77"/>
      <c r="AK501" s="77"/>
      <c r="AL501" s="77"/>
      <c r="AM501" s="77"/>
      <c r="AN501" s="77"/>
      <c r="AO501" s="77"/>
      <c r="AP501" s="77"/>
      <c r="AQ501" s="77"/>
      <c r="AR501" s="77"/>
      <c r="AS501" s="77"/>
      <c r="AT501" s="77"/>
      <c r="AU501" s="77"/>
      <c r="AV501" s="77"/>
      <c r="AX501" s="84"/>
      <c r="AY501" s="84"/>
    </row>
    <row r="502" spans="1:51" s="38" customFormat="1" ht="16.5" customHeight="1" x14ac:dyDescent="0.3">
      <c r="A502" s="77"/>
      <c r="B502" s="77"/>
      <c r="C502" s="77"/>
      <c r="D502" s="77"/>
      <c r="E502" s="77"/>
      <c r="F502" s="77"/>
      <c r="G502" s="77"/>
      <c r="H502" s="77"/>
      <c r="I502" s="77"/>
      <c r="J502" s="77"/>
      <c r="K502" s="77"/>
      <c r="L502" s="77"/>
      <c r="M502" s="77"/>
      <c r="N502" s="77"/>
      <c r="O502" s="77"/>
      <c r="P502" s="77"/>
      <c r="Q502" s="77"/>
      <c r="R502" s="77"/>
      <c r="S502" s="77"/>
      <c r="T502" s="77"/>
      <c r="U502" s="77"/>
      <c r="V502" s="77"/>
      <c r="W502" s="77"/>
      <c r="X502" s="77"/>
      <c r="Y502" s="77"/>
      <c r="Z502" s="77"/>
      <c r="AA502" s="77"/>
      <c r="AB502" s="77"/>
      <c r="AC502" s="77"/>
      <c r="AD502" s="77"/>
      <c r="AE502" s="77"/>
      <c r="AF502" s="77"/>
      <c r="AG502" s="77"/>
      <c r="AH502" s="77"/>
      <c r="AI502" s="77"/>
      <c r="AJ502" s="77"/>
      <c r="AK502" s="77"/>
      <c r="AL502" s="77"/>
      <c r="AM502" s="77"/>
      <c r="AN502" s="77"/>
      <c r="AO502" s="77"/>
      <c r="AP502" s="77"/>
      <c r="AQ502" s="77"/>
      <c r="AR502" s="77"/>
      <c r="AS502" s="77"/>
      <c r="AT502" s="77"/>
      <c r="AU502" s="77"/>
      <c r="AV502" s="77"/>
      <c r="AX502" s="84"/>
      <c r="AY502" s="84"/>
    </row>
    <row r="503" spans="1:51" s="38" customFormat="1" ht="16.5" customHeight="1" x14ac:dyDescent="0.3">
      <c r="A503" s="77"/>
      <c r="B503" s="77"/>
      <c r="C503" s="77"/>
      <c r="D503" s="77"/>
      <c r="E503" s="77"/>
      <c r="F503" s="77"/>
      <c r="G503" s="77"/>
      <c r="H503" s="77"/>
      <c r="I503" s="77"/>
      <c r="J503" s="77"/>
      <c r="K503" s="77"/>
      <c r="L503" s="77"/>
      <c r="M503" s="77"/>
      <c r="N503" s="77"/>
      <c r="O503" s="77"/>
      <c r="P503" s="77"/>
      <c r="Q503" s="77"/>
      <c r="R503" s="77"/>
      <c r="S503" s="77"/>
      <c r="T503" s="77"/>
      <c r="U503" s="77"/>
      <c r="V503" s="77"/>
      <c r="W503" s="77"/>
      <c r="X503" s="77"/>
      <c r="Y503" s="77"/>
      <c r="Z503" s="77"/>
      <c r="AA503" s="77"/>
      <c r="AB503" s="77"/>
      <c r="AC503" s="77"/>
      <c r="AD503" s="77"/>
      <c r="AE503" s="77"/>
      <c r="AF503" s="77"/>
      <c r="AG503" s="77"/>
      <c r="AH503" s="77"/>
      <c r="AI503" s="77"/>
      <c r="AJ503" s="77"/>
      <c r="AK503" s="77"/>
      <c r="AL503" s="77"/>
      <c r="AM503" s="77"/>
      <c r="AN503" s="77"/>
      <c r="AO503" s="77"/>
      <c r="AP503" s="77"/>
      <c r="AQ503" s="77"/>
      <c r="AR503" s="77"/>
      <c r="AS503" s="77"/>
      <c r="AT503" s="77"/>
      <c r="AU503" s="77"/>
      <c r="AV503" s="77"/>
      <c r="AX503" s="84"/>
      <c r="AY503" s="84"/>
    </row>
    <row r="504" spans="1:51" s="38" customFormat="1" ht="16.5" customHeight="1" x14ac:dyDescent="0.3">
      <c r="A504" s="77"/>
      <c r="B504" s="77"/>
      <c r="C504" s="77"/>
      <c r="D504" s="77"/>
      <c r="E504" s="77"/>
      <c r="F504" s="77"/>
      <c r="G504" s="77"/>
      <c r="H504" s="77"/>
      <c r="I504" s="77"/>
      <c r="J504" s="77"/>
      <c r="K504" s="77"/>
      <c r="L504" s="77"/>
      <c r="M504" s="77"/>
      <c r="N504" s="77"/>
      <c r="O504" s="77"/>
      <c r="P504" s="77"/>
      <c r="Q504" s="77"/>
      <c r="R504" s="77"/>
      <c r="S504" s="77"/>
      <c r="T504" s="77"/>
      <c r="U504" s="77"/>
      <c r="V504" s="77"/>
      <c r="W504" s="77"/>
      <c r="X504" s="77"/>
      <c r="Y504" s="77"/>
      <c r="Z504" s="77"/>
      <c r="AA504" s="77"/>
      <c r="AB504" s="77"/>
      <c r="AC504" s="77"/>
      <c r="AD504" s="77"/>
      <c r="AE504" s="77"/>
      <c r="AF504" s="77"/>
      <c r="AG504" s="77"/>
      <c r="AH504" s="77"/>
      <c r="AI504" s="77"/>
      <c r="AJ504" s="77"/>
      <c r="AK504" s="77"/>
      <c r="AL504" s="77"/>
      <c r="AM504" s="77"/>
      <c r="AN504" s="77"/>
      <c r="AO504" s="77"/>
      <c r="AP504" s="77"/>
      <c r="AQ504" s="77"/>
      <c r="AR504" s="77"/>
      <c r="AS504" s="77"/>
      <c r="AT504" s="77"/>
      <c r="AU504" s="77"/>
      <c r="AV504" s="77"/>
      <c r="AX504" s="84"/>
      <c r="AY504" s="84"/>
    </row>
    <row r="505" spans="1:51" s="38" customFormat="1" ht="16.5" customHeight="1" x14ac:dyDescent="0.3">
      <c r="A505" s="77"/>
      <c r="B505" s="77"/>
      <c r="C505" s="77"/>
      <c r="D505" s="77"/>
      <c r="E505" s="77"/>
      <c r="F505" s="77"/>
      <c r="G505" s="77"/>
      <c r="H505" s="77"/>
      <c r="I505" s="77"/>
      <c r="J505" s="77"/>
      <c r="K505" s="77"/>
      <c r="L505" s="77"/>
      <c r="M505" s="77"/>
      <c r="N505" s="77"/>
      <c r="O505" s="77"/>
      <c r="P505" s="77"/>
      <c r="Q505" s="77"/>
      <c r="R505" s="77"/>
      <c r="S505" s="77"/>
      <c r="T505" s="77"/>
      <c r="U505" s="77"/>
      <c r="V505" s="77"/>
      <c r="W505" s="77"/>
      <c r="X505" s="77"/>
      <c r="Y505" s="77"/>
      <c r="Z505" s="77"/>
      <c r="AA505" s="77"/>
      <c r="AB505" s="77"/>
      <c r="AC505" s="77"/>
      <c r="AD505" s="77"/>
      <c r="AE505" s="77"/>
      <c r="AF505" s="77"/>
      <c r="AG505" s="77"/>
      <c r="AH505" s="77"/>
      <c r="AI505" s="77"/>
      <c r="AJ505" s="77"/>
      <c r="AK505" s="77"/>
      <c r="AL505" s="77"/>
      <c r="AM505" s="77"/>
      <c r="AN505" s="77"/>
      <c r="AO505" s="77"/>
      <c r="AP505" s="77"/>
      <c r="AQ505" s="77"/>
      <c r="AR505" s="77"/>
      <c r="AS505" s="77"/>
      <c r="AT505" s="77"/>
      <c r="AU505" s="77"/>
      <c r="AV505" s="77"/>
      <c r="AX505" s="84"/>
      <c r="AY505" s="84"/>
    </row>
    <row r="506" spans="1:51" s="38" customFormat="1" ht="16.5" customHeight="1" x14ac:dyDescent="0.3">
      <c r="A506" s="77"/>
      <c r="B506" s="77"/>
      <c r="C506" s="77"/>
      <c r="D506" s="77"/>
      <c r="E506" s="77"/>
      <c r="F506" s="77"/>
      <c r="G506" s="77"/>
      <c r="H506" s="77"/>
      <c r="I506" s="77"/>
      <c r="J506" s="77"/>
      <c r="K506" s="77"/>
      <c r="L506" s="77"/>
      <c r="M506" s="77"/>
      <c r="N506" s="77"/>
      <c r="O506" s="77"/>
      <c r="P506" s="77"/>
      <c r="Q506" s="77"/>
      <c r="R506" s="77"/>
      <c r="S506" s="77"/>
      <c r="T506" s="77"/>
      <c r="U506" s="77"/>
      <c r="V506" s="77"/>
      <c r="W506" s="77"/>
      <c r="X506" s="77"/>
      <c r="Y506" s="77"/>
      <c r="Z506" s="77"/>
      <c r="AA506" s="77"/>
      <c r="AB506" s="77"/>
      <c r="AC506" s="77"/>
      <c r="AD506" s="77"/>
      <c r="AE506" s="77"/>
      <c r="AF506" s="77"/>
      <c r="AG506" s="77"/>
      <c r="AH506" s="77"/>
      <c r="AI506" s="77"/>
      <c r="AJ506" s="77"/>
      <c r="AK506" s="77"/>
      <c r="AL506" s="77"/>
      <c r="AM506" s="77"/>
      <c r="AN506" s="77"/>
      <c r="AO506" s="77"/>
      <c r="AP506" s="77"/>
      <c r="AQ506" s="77"/>
      <c r="AR506" s="77"/>
      <c r="AS506" s="77"/>
      <c r="AT506" s="77"/>
      <c r="AU506" s="77"/>
      <c r="AV506" s="77"/>
      <c r="AX506" s="84"/>
      <c r="AY506" s="84"/>
    </row>
    <row r="507" spans="1:51" s="38" customFormat="1" ht="16.5" customHeight="1" x14ac:dyDescent="0.3">
      <c r="A507" s="77"/>
      <c r="B507" s="77"/>
      <c r="C507" s="77"/>
      <c r="D507" s="77"/>
      <c r="E507" s="77"/>
      <c r="F507" s="77"/>
      <c r="G507" s="77"/>
      <c r="H507" s="77"/>
      <c r="I507" s="77"/>
      <c r="J507" s="77"/>
      <c r="K507" s="77"/>
      <c r="L507" s="77"/>
      <c r="M507" s="77"/>
      <c r="N507" s="77"/>
      <c r="O507" s="77"/>
      <c r="P507" s="77"/>
      <c r="Q507" s="77"/>
      <c r="R507" s="77"/>
      <c r="S507" s="77"/>
      <c r="T507" s="77"/>
      <c r="U507" s="77"/>
      <c r="V507" s="77"/>
      <c r="W507" s="77"/>
      <c r="X507" s="77"/>
      <c r="Y507" s="77"/>
      <c r="Z507" s="77"/>
      <c r="AA507" s="77"/>
      <c r="AB507" s="77"/>
      <c r="AC507" s="77"/>
      <c r="AD507" s="77"/>
      <c r="AE507" s="77"/>
      <c r="AF507" s="77"/>
      <c r="AG507" s="77"/>
      <c r="AH507" s="77"/>
      <c r="AI507" s="77"/>
      <c r="AJ507" s="77"/>
      <c r="AK507" s="77"/>
      <c r="AL507" s="77"/>
      <c r="AM507" s="77"/>
      <c r="AN507" s="77"/>
      <c r="AO507" s="77"/>
      <c r="AP507" s="77"/>
      <c r="AQ507" s="77"/>
      <c r="AR507" s="77"/>
      <c r="AS507" s="77"/>
      <c r="AT507" s="77"/>
      <c r="AU507" s="77"/>
      <c r="AV507" s="77"/>
      <c r="AX507" s="84"/>
      <c r="AY507" s="84"/>
    </row>
    <row r="508" spans="1:51" s="38" customFormat="1" ht="16.5" customHeight="1" x14ac:dyDescent="0.3">
      <c r="A508" s="77"/>
      <c r="B508" s="77"/>
      <c r="C508" s="77"/>
      <c r="D508" s="77"/>
      <c r="E508" s="77"/>
      <c r="F508" s="77"/>
      <c r="G508" s="77"/>
      <c r="H508" s="77"/>
      <c r="I508" s="77"/>
      <c r="J508" s="77"/>
      <c r="K508" s="77"/>
      <c r="L508" s="77"/>
      <c r="M508" s="77"/>
      <c r="N508" s="77"/>
      <c r="O508" s="77"/>
      <c r="P508" s="77"/>
      <c r="Q508" s="77"/>
      <c r="R508" s="77"/>
      <c r="S508" s="77"/>
      <c r="T508" s="77"/>
      <c r="U508" s="77"/>
      <c r="V508" s="77"/>
      <c r="W508" s="77"/>
      <c r="X508" s="77"/>
      <c r="Y508" s="77"/>
      <c r="Z508" s="77"/>
      <c r="AA508" s="77"/>
      <c r="AB508" s="77"/>
      <c r="AC508" s="77"/>
      <c r="AD508" s="77"/>
      <c r="AE508" s="77"/>
      <c r="AF508" s="77"/>
      <c r="AG508" s="77"/>
      <c r="AH508" s="77"/>
      <c r="AI508" s="77"/>
      <c r="AJ508" s="77"/>
      <c r="AK508" s="77"/>
      <c r="AL508" s="77"/>
      <c r="AM508" s="77"/>
      <c r="AN508" s="77"/>
      <c r="AO508" s="77"/>
      <c r="AP508" s="77"/>
      <c r="AQ508" s="77"/>
      <c r="AR508" s="77"/>
      <c r="AS508" s="77"/>
      <c r="AT508" s="77"/>
      <c r="AU508" s="77"/>
      <c r="AV508" s="77"/>
      <c r="AX508" s="84"/>
      <c r="AY508" s="84"/>
    </row>
    <row r="509" spans="1:51" s="38" customFormat="1" ht="16.5" customHeight="1" x14ac:dyDescent="0.3">
      <c r="A509" s="77"/>
      <c r="B509" s="77"/>
      <c r="C509" s="77"/>
      <c r="D509" s="77"/>
      <c r="E509" s="77"/>
      <c r="F509" s="77"/>
      <c r="G509" s="77"/>
      <c r="H509" s="77"/>
      <c r="I509" s="77"/>
      <c r="J509" s="77"/>
      <c r="K509" s="77"/>
      <c r="L509" s="77"/>
      <c r="M509" s="77"/>
      <c r="N509" s="77"/>
      <c r="O509" s="77"/>
      <c r="P509" s="77"/>
      <c r="Q509" s="77"/>
      <c r="R509" s="77"/>
      <c r="S509" s="77"/>
      <c r="T509" s="77"/>
      <c r="U509" s="77"/>
      <c r="V509" s="77"/>
      <c r="W509" s="77"/>
      <c r="X509" s="77"/>
      <c r="Y509" s="77"/>
      <c r="Z509" s="77"/>
      <c r="AA509" s="77"/>
      <c r="AB509" s="77"/>
      <c r="AC509" s="77"/>
      <c r="AD509" s="77"/>
      <c r="AE509" s="77"/>
      <c r="AF509" s="77"/>
      <c r="AG509" s="77"/>
      <c r="AH509" s="77"/>
      <c r="AI509" s="77"/>
      <c r="AJ509" s="77"/>
      <c r="AK509" s="77"/>
      <c r="AL509" s="77"/>
      <c r="AM509" s="77"/>
      <c r="AN509" s="77"/>
      <c r="AO509" s="77"/>
      <c r="AP509" s="77"/>
      <c r="AQ509" s="77"/>
      <c r="AR509" s="77"/>
      <c r="AS509" s="77"/>
      <c r="AT509" s="77"/>
      <c r="AU509" s="77"/>
      <c r="AV509" s="77"/>
      <c r="AX509" s="84"/>
      <c r="AY509" s="84"/>
    </row>
    <row r="510" spans="1:51" s="38" customFormat="1" ht="16.5" customHeight="1" x14ac:dyDescent="0.3">
      <c r="A510" s="77"/>
      <c r="B510" s="77"/>
      <c r="C510" s="77"/>
      <c r="D510" s="77"/>
      <c r="E510" s="77"/>
      <c r="F510" s="77"/>
      <c r="G510" s="77"/>
      <c r="H510" s="77"/>
      <c r="I510" s="77"/>
      <c r="J510" s="77"/>
      <c r="K510" s="77"/>
      <c r="L510" s="77"/>
      <c r="M510" s="77"/>
      <c r="N510" s="77"/>
      <c r="O510" s="77"/>
      <c r="P510" s="77"/>
      <c r="Q510" s="77"/>
      <c r="R510" s="77"/>
      <c r="S510" s="77"/>
      <c r="T510" s="77"/>
      <c r="U510" s="77"/>
      <c r="V510" s="77"/>
      <c r="W510" s="77"/>
      <c r="X510" s="77"/>
      <c r="Y510" s="77"/>
      <c r="Z510" s="77"/>
      <c r="AA510" s="77"/>
      <c r="AB510" s="77"/>
      <c r="AC510" s="77"/>
      <c r="AD510" s="77"/>
      <c r="AE510" s="77"/>
      <c r="AF510" s="77"/>
      <c r="AG510" s="77"/>
      <c r="AH510" s="77"/>
      <c r="AI510" s="77"/>
      <c r="AJ510" s="77"/>
      <c r="AK510" s="77"/>
      <c r="AL510" s="77"/>
      <c r="AM510" s="77"/>
      <c r="AN510" s="77"/>
      <c r="AO510" s="77"/>
      <c r="AP510" s="77"/>
      <c r="AQ510" s="77"/>
      <c r="AR510" s="77"/>
      <c r="AS510" s="77"/>
      <c r="AT510" s="77"/>
      <c r="AU510" s="77"/>
      <c r="AV510" s="77"/>
      <c r="AX510" s="84"/>
      <c r="AY510" s="84"/>
    </row>
    <row r="511" spans="1:51" s="38" customFormat="1" ht="16.5" customHeight="1" x14ac:dyDescent="0.3">
      <c r="A511" s="77"/>
      <c r="B511" s="77"/>
      <c r="C511" s="77"/>
      <c r="D511" s="77"/>
      <c r="E511" s="77"/>
      <c r="F511" s="77"/>
      <c r="G511" s="77"/>
      <c r="H511" s="77"/>
      <c r="I511" s="77"/>
      <c r="J511" s="77"/>
      <c r="K511" s="77"/>
      <c r="L511" s="77"/>
      <c r="M511" s="77"/>
      <c r="N511" s="77"/>
      <c r="O511" s="77"/>
      <c r="P511" s="77"/>
      <c r="Q511" s="77"/>
      <c r="R511" s="77"/>
      <c r="S511" s="77"/>
      <c r="T511" s="77"/>
      <c r="U511" s="77"/>
      <c r="V511" s="77"/>
      <c r="W511" s="77"/>
      <c r="X511" s="77"/>
      <c r="Y511" s="77"/>
      <c r="Z511" s="77"/>
      <c r="AA511" s="77"/>
      <c r="AB511" s="77"/>
      <c r="AC511" s="77"/>
      <c r="AD511" s="77"/>
      <c r="AE511" s="77"/>
      <c r="AF511" s="77"/>
      <c r="AG511" s="77"/>
      <c r="AH511" s="77"/>
      <c r="AI511" s="77"/>
      <c r="AJ511" s="77"/>
      <c r="AK511" s="77"/>
      <c r="AL511" s="77"/>
      <c r="AM511" s="77"/>
      <c r="AN511" s="77"/>
      <c r="AO511" s="77"/>
      <c r="AP511" s="77"/>
      <c r="AQ511" s="77"/>
      <c r="AR511" s="77"/>
      <c r="AS511" s="77"/>
      <c r="AT511" s="77"/>
      <c r="AU511" s="77"/>
      <c r="AV511" s="77"/>
      <c r="AX511" s="84"/>
      <c r="AY511" s="84"/>
    </row>
    <row r="512" spans="1:51" s="38" customFormat="1" ht="16.5" customHeight="1" x14ac:dyDescent="0.3">
      <c r="A512" s="77"/>
      <c r="B512" s="77"/>
      <c r="C512" s="77"/>
      <c r="D512" s="77"/>
      <c r="E512" s="77"/>
      <c r="F512" s="77"/>
      <c r="G512" s="77"/>
      <c r="H512" s="77"/>
      <c r="I512" s="77"/>
      <c r="J512" s="77"/>
      <c r="K512" s="77"/>
      <c r="L512" s="77"/>
      <c r="M512" s="77"/>
      <c r="N512" s="77"/>
      <c r="O512" s="77"/>
      <c r="P512" s="77"/>
      <c r="Q512" s="77"/>
      <c r="R512" s="77"/>
      <c r="S512" s="77"/>
      <c r="T512" s="77"/>
      <c r="U512" s="77"/>
      <c r="V512" s="77"/>
      <c r="W512" s="77"/>
      <c r="X512" s="77"/>
      <c r="Y512" s="77"/>
      <c r="Z512" s="77"/>
      <c r="AA512" s="77"/>
      <c r="AB512" s="77"/>
      <c r="AC512" s="77"/>
      <c r="AD512" s="77"/>
      <c r="AE512" s="77"/>
      <c r="AF512" s="77"/>
      <c r="AG512" s="77"/>
      <c r="AH512" s="77"/>
      <c r="AI512" s="77"/>
      <c r="AJ512" s="77"/>
      <c r="AK512" s="77"/>
      <c r="AL512" s="77"/>
      <c r="AM512" s="77"/>
      <c r="AN512" s="77"/>
      <c r="AO512" s="77"/>
      <c r="AP512" s="77"/>
      <c r="AQ512" s="77"/>
      <c r="AR512" s="77"/>
      <c r="AS512" s="77"/>
      <c r="AT512" s="77"/>
      <c r="AU512" s="77"/>
      <c r="AV512" s="77"/>
      <c r="AX512" s="84"/>
      <c r="AY512" s="84"/>
    </row>
    <row r="513" spans="1:58" s="38" customFormat="1" ht="16.5" customHeight="1" x14ac:dyDescent="0.3">
      <c r="A513" s="77"/>
      <c r="B513" s="77"/>
      <c r="C513" s="77"/>
      <c r="D513" s="77"/>
      <c r="E513" s="77"/>
      <c r="F513" s="77"/>
      <c r="G513" s="77"/>
      <c r="H513" s="77"/>
      <c r="I513" s="77"/>
      <c r="J513" s="77"/>
      <c r="K513" s="77"/>
      <c r="L513" s="77"/>
      <c r="M513" s="77"/>
      <c r="N513" s="77"/>
      <c r="O513" s="77"/>
      <c r="P513" s="77"/>
      <c r="Q513" s="77"/>
      <c r="R513" s="77"/>
      <c r="S513" s="77"/>
      <c r="T513" s="77"/>
      <c r="U513" s="77"/>
      <c r="V513" s="77"/>
      <c r="W513" s="77"/>
      <c r="X513" s="77"/>
      <c r="Y513" s="77"/>
      <c r="Z513" s="77"/>
      <c r="AA513" s="77"/>
      <c r="AB513" s="77"/>
      <c r="AC513" s="77"/>
      <c r="AD513" s="77"/>
      <c r="AE513" s="77"/>
      <c r="AF513" s="77"/>
      <c r="AG513" s="77"/>
      <c r="AH513" s="77"/>
      <c r="AI513" s="77"/>
      <c r="AJ513" s="77"/>
      <c r="AK513" s="77"/>
      <c r="AL513" s="77"/>
      <c r="AM513" s="77"/>
      <c r="AN513" s="77"/>
      <c r="AO513" s="77"/>
      <c r="AP513" s="77"/>
      <c r="AQ513" s="77"/>
      <c r="AR513" s="77"/>
      <c r="AS513" s="77"/>
      <c r="AT513" s="77"/>
      <c r="AU513" s="77"/>
      <c r="AV513" s="77"/>
      <c r="AX513" s="84"/>
      <c r="AY513" s="84"/>
    </row>
    <row r="514" spans="1:58" s="38" customFormat="1" ht="16.5" customHeight="1" x14ac:dyDescent="0.3">
      <c r="A514" s="77"/>
      <c r="B514" s="77"/>
      <c r="C514" s="77"/>
      <c r="D514" s="77"/>
      <c r="E514" s="77"/>
      <c r="F514" s="77"/>
      <c r="G514" s="77"/>
      <c r="H514" s="77"/>
      <c r="I514" s="77"/>
      <c r="J514" s="77"/>
      <c r="K514" s="77"/>
      <c r="L514" s="77"/>
      <c r="M514" s="77"/>
      <c r="N514" s="77"/>
      <c r="O514" s="77"/>
      <c r="P514" s="77"/>
      <c r="Q514" s="77"/>
      <c r="R514" s="77"/>
      <c r="S514" s="77"/>
      <c r="T514" s="77"/>
      <c r="U514" s="77"/>
      <c r="V514" s="77"/>
      <c r="W514" s="77"/>
      <c r="X514" s="77"/>
      <c r="Y514" s="77"/>
      <c r="Z514" s="77"/>
      <c r="AA514" s="77"/>
      <c r="AB514" s="77"/>
      <c r="AC514" s="77"/>
      <c r="AD514" s="77"/>
      <c r="AE514" s="77"/>
      <c r="AF514" s="77"/>
      <c r="AG514" s="77"/>
      <c r="AH514" s="77"/>
      <c r="AI514" s="77"/>
      <c r="AJ514" s="77"/>
      <c r="AK514" s="77"/>
      <c r="AL514" s="77"/>
      <c r="AM514" s="77"/>
      <c r="AN514" s="77"/>
      <c r="AO514" s="77"/>
      <c r="AP514" s="77"/>
      <c r="AQ514" s="77"/>
      <c r="AR514" s="77"/>
      <c r="AS514" s="77"/>
      <c r="AT514" s="77"/>
      <c r="AU514" s="77"/>
      <c r="AV514" s="77"/>
      <c r="AX514" s="84"/>
      <c r="AY514" s="84"/>
    </row>
    <row r="515" spans="1:58" s="38" customFormat="1" ht="16.5" customHeight="1" x14ac:dyDescent="0.3">
      <c r="A515" s="77"/>
      <c r="B515" s="77"/>
      <c r="C515" s="77"/>
      <c r="D515" s="77"/>
      <c r="E515" s="77"/>
      <c r="F515" s="77"/>
      <c r="G515" s="77"/>
      <c r="H515" s="77"/>
      <c r="I515" s="77"/>
      <c r="J515" s="77"/>
      <c r="K515" s="77"/>
      <c r="L515" s="77"/>
      <c r="M515" s="77"/>
      <c r="N515" s="77"/>
      <c r="O515" s="77"/>
      <c r="P515" s="77"/>
      <c r="Q515" s="77"/>
      <c r="R515" s="77"/>
      <c r="S515" s="77"/>
      <c r="T515" s="77"/>
      <c r="U515" s="77"/>
      <c r="V515" s="77"/>
      <c r="W515" s="77"/>
      <c r="X515" s="77"/>
      <c r="Y515" s="77"/>
      <c r="Z515" s="77"/>
      <c r="AA515" s="77"/>
      <c r="AB515" s="77"/>
      <c r="AC515" s="77"/>
      <c r="AD515" s="77"/>
      <c r="AE515" s="77"/>
      <c r="AF515" s="77"/>
      <c r="AG515" s="77"/>
      <c r="AH515" s="77"/>
      <c r="AI515" s="77"/>
      <c r="AJ515" s="77"/>
      <c r="AK515" s="77"/>
      <c r="AL515" s="77"/>
      <c r="AM515" s="77"/>
      <c r="AN515" s="77"/>
      <c r="AO515" s="77"/>
      <c r="AP515" s="77"/>
      <c r="AQ515" s="77"/>
      <c r="AR515" s="77"/>
      <c r="AS515" s="77"/>
      <c r="AT515" s="77"/>
      <c r="AU515" s="77"/>
      <c r="AV515" s="77"/>
      <c r="AX515" s="84"/>
      <c r="AY515" s="84"/>
    </row>
    <row r="516" spans="1:58" s="38" customFormat="1" ht="16.5" customHeight="1" x14ac:dyDescent="0.3">
      <c r="A516" s="77"/>
      <c r="B516" s="77"/>
      <c r="C516" s="77"/>
      <c r="D516" s="77"/>
      <c r="E516" s="77"/>
      <c r="F516" s="77"/>
      <c r="G516" s="77"/>
      <c r="H516" s="77"/>
      <c r="I516" s="77"/>
      <c r="J516" s="77"/>
      <c r="K516" s="77"/>
      <c r="L516" s="77"/>
      <c r="M516" s="77"/>
      <c r="N516" s="77"/>
      <c r="O516" s="77"/>
      <c r="P516" s="77"/>
      <c r="Q516" s="77"/>
      <c r="R516" s="77"/>
      <c r="S516" s="77"/>
      <c r="T516" s="77"/>
      <c r="U516" s="77"/>
      <c r="V516" s="77"/>
      <c r="W516" s="77"/>
      <c r="X516" s="77"/>
      <c r="Y516" s="77"/>
      <c r="Z516" s="77"/>
      <c r="AA516" s="77"/>
      <c r="AB516" s="77"/>
      <c r="AC516" s="77"/>
      <c r="AD516" s="77"/>
      <c r="AE516" s="77"/>
      <c r="AF516" s="77"/>
      <c r="AG516" s="77"/>
      <c r="AH516" s="77"/>
      <c r="AI516" s="77"/>
      <c r="AJ516" s="77"/>
      <c r="AK516" s="77"/>
      <c r="AL516" s="77"/>
      <c r="AM516" s="77"/>
      <c r="AN516" s="77"/>
      <c r="AO516" s="77"/>
      <c r="AP516" s="77"/>
      <c r="AQ516" s="77"/>
      <c r="AR516" s="77"/>
      <c r="AS516" s="77"/>
      <c r="AT516" s="77"/>
      <c r="AU516" s="77"/>
      <c r="AV516" s="77"/>
      <c r="AX516" s="84"/>
      <c r="AY516" s="84"/>
    </row>
    <row r="517" spans="1:58" s="38" customFormat="1" ht="16.5" customHeight="1" x14ac:dyDescent="0.3">
      <c r="A517" s="77"/>
      <c r="B517" s="77"/>
      <c r="C517" s="77"/>
      <c r="D517" s="77"/>
      <c r="E517" s="77"/>
      <c r="F517" s="77"/>
      <c r="G517" s="77"/>
      <c r="H517" s="77"/>
      <c r="I517" s="77"/>
      <c r="J517" s="77"/>
      <c r="K517" s="77"/>
      <c r="L517" s="77"/>
      <c r="M517" s="77"/>
      <c r="N517" s="77"/>
      <c r="O517" s="77"/>
      <c r="P517" s="77"/>
      <c r="Q517" s="77"/>
      <c r="R517" s="77"/>
      <c r="S517" s="77"/>
      <c r="T517" s="77"/>
      <c r="U517" s="77"/>
      <c r="V517" s="77"/>
      <c r="W517" s="77"/>
      <c r="X517" s="77"/>
      <c r="Y517" s="77"/>
      <c r="Z517" s="77"/>
      <c r="AA517" s="77"/>
      <c r="AB517" s="77"/>
      <c r="AC517" s="77"/>
      <c r="AD517" s="77"/>
      <c r="AE517" s="77"/>
      <c r="AF517" s="77"/>
      <c r="AG517" s="77"/>
      <c r="AH517" s="77"/>
      <c r="AI517" s="77"/>
      <c r="AJ517" s="77"/>
      <c r="AK517" s="77"/>
      <c r="AL517" s="77"/>
      <c r="AM517" s="77"/>
      <c r="AN517" s="77"/>
      <c r="AO517" s="77"/>
      <c r="AP517" s="77"/>
      <c r="AQ517" s="77"/>
      <c r="AR517" s="77"/>
      <c r="AS517" s="77"/>
      <c r="AT517" s="77"/>
      <c r="AU517" s="77"/>
      <c r="AV517" s="77"/>
      <c r="AX517" s="84"/>
      <c r="AY517" s="84"/>
    </row>
    <row r="518" spans="1:58" s="38" customFormat="1" ht="16.5" customHeight="1" x14ac:dyDescent="0.3">
      <c r="A518" s="77"/>
      <c r="B518" s="77"/>
      <c r="C518" s="77"/>
      <c r="D518" s="77"/>
      <c r="E518" s="77"/>
      <c r="F518" s="77"/>
      <c r="G518" s="77"/>
      <c r="H518" s="77"/>
      <c r="I518" s="77"/>
      <c r="J518" s="77"/>
      <c r="K518" s="77"/>
      <c r="L518" s="77"/>
      <c r="M518" s="77"/>
      <c r="N518" s="77"/>
      <c r="O518" s="77"/>
      <c r="P518" s="77"/>
      <c r="Q518" s="77"/>
      <c r="R518" s="77"/>
      <c r="S518" s="77"/>
      <c r="T518" s="77"/>
      <c r="U518" s="77"/>
      <c r="V518" s="77"/>
      <c r="W518" s="77"/>
      <c r="X518" s="77"/>
      <c r="Y518" s="77"/>
      <c r="Z518" s="77"/>
      <c r="AA518" s="77"/>
      <c r="AB518" s="77"/>
      <c r="AC518" s="77"/>
      <c r="AD518" s="77"/>
      <c r="AE518" s="77"/>
      <c r="AF518" s="77"/>
      <c r="AG518" s="77"/>
      <c r="AH518" s="77"/>
      <c r="AI518" s="77"/>
      <c r="AJ518" s="77"/>
      <c r="AK518" s="77"/>
      <c r="AL518" s="77"/>
      <c r="AM518" s="77"/>
      <c r="AN518" s="77"/>
      <c r="AO518" s="77"/>
      <c r="AP518" s="77"/>
      <c r="AQ518" s="77"/>
      <c r="AR518" s="77"/>
      <c r="AS518" s="77"/>
      <c r="AT518" s="77"/>
      <c r="AU518" s="77"/>
      <c r="AV518" s="77"/>
      <c r="AX518" s="84"/>
      <c r="AY518" s="84"/>
    </row>
    <row r="519" spans="1:58" s="38" customFormat="1" ht="16.5" customHeight="1" x14ac:dyDescent="0.3">
      <c r="A519" s="77"/>
      <c r="B519" s="77"/>
      <c r="C519" s="77"/>
      <c r="D519" s="77"/>
      <c r="E519" s="77"/>
      <c r="F519" s="77"/>
      <c r="G519" s="77"/>
      <c r="H519" s="77"/>
      <c r="I519" s="77"/>
      <c r="J519" s="77"/>
      <c r="K519" s="77"/>
      <c r="L519" s="77"/>
      <c r="M519" s="77"/>
      <c r="N519" s="77"/>
      <c r="O519" s="77"/>
      <c r="P519" s="77"/>
      <c r="Q519" s="77"/>
      <c r="R519" s="77"/>
      <c r="S519" s="77"/>
      <c r="T519" s="77"/>
      <c r="U519" s="77"/>
      <c r="V519" s="77"/>
      <c r="W519" s="77"/>
      <c r="X519" s="77"/>
      <c r="Y519" s="77"/>
      <c r="Z519" s="77"/>
      <c r="AA519" s="77"/>
      <c r="AB519" s="77"/>
      <c r="AC519" s="77"/>
      <c r="AD519" s="77"/>
      <c r="AE519" s="77"/>
      <c r="AF519" s="77"/>
      <c r="AG519" s="77"/>
      <c r="AH519" s="77"/>
      <c r="AI519" s="77"/>
      <c r="AJ519" s="77"/>
      <c r="AK519" s="77"/>
      <c r="AL519" s="77"/>
      <c r="AM519" s="77"/>
      <c r="AN519" s="77"/>
      <c r="AO519" s="77"/>
      <c r="AP519" s="77"/>
      <c r="AQ519" s="77"/>
      <c r="AR519" s="77"/>
      <c r="AS519" s="77"/>
      <c r="AT519" s="77"/>
      <c r="AU519" s="77"/>
      <c r="AV519" s="77"/>
      <c r="AX519" s="84"/>
      <c r="AY519" s="84"/>
    </row>
    <row r="520" spans="1:58" s="38" customFormat="1" ht="16.5" customHeight="1" x14ac:dyDescent="0.3">
      <c r="A520" s="77"/>
      <c r="B520" s="77"/>
      <c r="C520" s="77"/>
      <c r="D520" s="77"/>
      <c r="E520" s="77"/>
      <c r="F520" s="77"/>
      <c r="G520" s="77"/>
      <c r="H520" s="77"/>
      <c r="I520" s="77"/>
      <c r="J520" s="77"/>
      <c r="K520" s="77"/>
      <c r="L520" s="77"/>
      <c r="M520" s="77"/>
      <c r="N520" s="77"/>
      <c r="O520" s="77"/>
      <c r="P520" s="77"/>
      <c r="Q520" s="77"/>
      <c r="R520" s="77"/>
      <c r="S520" s="77"/>
      <c r="T520" s="77"/>
      <c r="U520" s="77"/>
      <c r="V520" s="77"/>
      <c r="W520" s="77"/>
      <c r="X520" s="77"/>
      <c r="Y520" s="77"/>
      <c r="Z520" s="77"/>
      <c r="AA520" s="77"/>
      <c r="AB520" s="77"/>
      <c r="AC520" s="77"/>
      <c r="AD520" s="77"/>
      <c r="AE520" s="77"/>
      <c r="AF520" s="77"/>
      <c r="AG520" s="77"/>
      <c r="AH520" s="77"/>
      <c r="AI520" s="77"/>
      <c r="AJ520" s="77"/>
      <c r="AK520" s="77"/>
      <c r="AL520" s="77"/>
      <c r="AM520" s="77"/>
      <c r="AN520" s="77"/>
      <c r="AO520" s="77"/>
      <c r="AP520" s="77"/>
      <c r="AQ520" s="77"/>
      <c r="AR520" s="77"/>
      <c r="AS520" s="77"/>
      <c r="AT520" s="77"/>
      <c r="AU520" s="77"/>
      <c r="AV520" s="77"/>
      <c r="AX520" s="84"/>
      <c r="AY520" s="84"/>
    </row>
    <row r="521" spans="1:58" s="38" customFormat="1" ht="16.5" customHeight="1" x14ac:dyDescent="0.3">
      <c r="A521" s="77"/>
      <c r="B521" s="77"/>
      <c r="C521" s="77"/>
      <c r="D521" s="77"/>
      <c r="E521" s="77"/>
      <c r="F521" s="77"/>
      <c r="G521" s="77"/>
      <c r="H521" s="77"/>
      <c r="I521" s="77"/>
      <c r="J521" s="77"/>
      <c r="K521" s="77"/>
      <c r="L521" s="77"/>
      <c r="M521" s="77"/>
      <c r="N521" s="77"/>
      <c r="O521" s="77"/>
      <c r="P521" s="77"/>
      <c r="Q521" s="77"/>
      <c r="R521" s="77"/>
      <c r="S521" s="77"/>
      <c r="T521" s="77"/>
      <c r="U521" s="77"/>
      <c r="V521" s="77"/>
      <c r="W521" s="77"/>
      <c r="X521" s="77"/>
      <c r="Y521" s="77"/>
      <c r="Z521" s="77"/>
      <c r="AA521" s="77"/>
      <c r="AB521" s="77"/>
      <c r="AC521" s="77"/>
      <c r="AD521" s="77"/>
      <c r="AE521" s="77"/>
      <c r="AF521" s="77"/>
      <c r="AG521" s="77"/>
      <c r="AH521" s="77"/>
      <c r="AI521" s="77"/>
      <c r="AJ521" s="77"/>
      <c r="AK521" s="77"/>
      <c r="AL521" s="77"/>
      <c r="AM521" s="77"/>
      <c r="AN521" s="77"/>
      <c r="AO521" s="77"/>
      <c r="AP521" s="77"/>
      <c r="AQ521" s="77"/>
      <c r="AR521" s="77"/>
      <c r="AS521" s="77"/>
      <c r="AT521" s="77"/>
      <c r="AU521" s="77"/>
      <c r="AV521" s="77"/>
      <c r="AX521" s="84"/>
      <c r="AY521" s="84"/>
    </row>
    <row r="522" spans="1:58" s="38" customFormat="1" ht="16.5" customHeight="1" x14ac:dyDescent="0.3">
      <c r="A522" s="77"/>
      <c r="B522" s="77"/>
      <c r="C522" s="77"/>
      <c r="D522" s="77"/>
      <c r="E522" s="77"/>
      <c r="F522" s="77"/>
      <c r="G522" s="77"/>
      <c r="H522" s="77"/>
      <c r="I522" s="77"/>
      <c r="J522" s="77"/>
      <c r="K522" s="77"/>
      <c r="L522" s="77"/>
      <c r="M522" s="77"/>
      <c r="N522" s="77"/>
      <c r="O522" s="77"/>
      <c r="P522" s="77"/>
      <c r="Q522" s="77"/>
      <c r="R522" s="77"/>
      <c r="S522" s="77"/>
      <c r="T522" s="77"/>
      <c r="U522" s="77"/>
      <c r="V522" s="77"/>
      <c r="W522" s="77"/>
      <c r="X522" s="77"/>
      <c r="Y522" s="77"/>
      <c r="Z522" s="77"/>
      <c r="AA522" s="77"/>
      <c r="AB522" s="77"/>
      <c r="AC522" s="77"/>
      <c r="AD522" s="77"/>
      <c r="AE522" s="77"/>
      <c r="AF522" s="77"/>
      <c r="AG522" s="77"/>
      <c r="AH522" s="77"/>
      <c r="AI522" s="77"/>
      <c r="AJ522" s="77"/>
      <c r="AK522" s="77"/>
      <c r="AL522" s="77"/>
      <c r="AM522" s="77"/>
      <c r="AN522" s="77"/>
      <c r="AO522" s="77"/>
      <c r="AP522" s="77"/>
      <c r="AQ522" s="77"/>
      <c r="AR522" s="77"/>
      <c r="AS522" s="77"/>
      <c r="AT522" s="77"/>
      <c r="AU522" s="77"/>
      <c r="AV522" s="77"/>
      <c r="AX522" s="84"/>
      <c r="AY522" s="84"/>
    </row>
    <row r="523" spans="1:58" s="38" customFormat="1" ht="16.5" customHeight="1" x14ac:dyDescent="0.3">
      <c r="A523" s="77"/>
      <c r="B523" s="77"/>
      <c r="C523" s="77"/>
      <c r="D523" s="77"/>
      <c r="E523" s="77"/>
      <c r="F523" s="77"/>
      <c r="G523" s="77"/>
      <c r="H523" s="77"/>
      <c r="I523" s="77"/>
      <c r="J523" s="77"/>
      <c r="K523" s="77"/>
      <c r="L523" s="77"/>
      <c r="M523" s="77"/>
      <c r="N523" s="77"/>
      <c r="O523" s="77"/>
      <c r="P523" s="77"/>
      <c r="Q523" s="77"/>
      <c r="R523" s="77"/>
      <c r="S523" s="77"/>
      <c r="T523" s="77"/>
      <c r="U523" s="77"/>
      <c r="V523" s="77"/>
      <c r="W523" s="77"/>
      <c r="X523" s="77"/>
      <c r="Y523" s="77"/>
      <c r="Z523" s="77"/>
      <c r="AA523" s="77"/>
      <c r="AB523" s="77"/>
      <c r="AC523" s="77"/>
      <c r="AD523" s="77"/>
      <c r="AE523" s="77"/>
      <c r="AF523" s="77"/>
      <c r="AG523" s="77"/>
      <c r="AH523" s="77"/>
      <c r="AI523" s="77"/>
      <c r="AJ523" s="77"/>
      <c r="AK523" s="77"/>
      <c r="AL523" s="77"/>
      <c r="AM523" s="77"/>
      <c r="AN523" s="77"/>
      <c r="AO523" s="77"/>
      <c r="AP523" s="77"/>
      <c r="AQ523" s="77"/>
      <c r="AR523" s="77"/>
      <c r="AS523" s="77"/>
      <c r="AT523" s="77"/>
      <c r="AU523" s="77"/>
      <c r="AV523" s="77"/>
      <c r="AX523" s="84"/>
      <c r="AY523" s="84"/>
    </row>
    <row r="524" spans="1:58" s="38" customFormat="1" ht="16.5" customHeight="1" x14ac:dyDescent="0.3">
      <c r="A524" s="77"/>
      <c r="B524" s="77"/>
      <c r="C524" s="77"/>
      <c r="D524" s="77"/>
      <c r="E524" s="77"/>
      <c r="F524" s="77"/>
      <c r="G524" s="77"/>
      <c r="H524" s="77"/>
      <c r="I524" s="77"/>
      <c r="J524" s="77"/>
      <c r="K524" s="77"/>
      <c r="L524" s="77"/>
      <c r="M524" s="77"/>
      <c r="N524" s="77"/>
      <c r="O524" s="77"/>
      <c r="P524" s="77"/>
      <c r="Q524" s="77"/>
      <c r="R524" s="77"/>
      <c r="S524" s="77"/>
      <c r="T524" s="77"/>
      <c r="U524" s="77"/>
      <c r="V524" s="77"/>
      <c r="W524" s="77"/>
      <c r="X524" s="77"/>
      <c r="Y524" s="77"/>
      <c r="Z524" s="77"/>
      <c r="AA524" s="77"/>
      <c r="AB524" s="77"/>
      <c r="AC524" s="77"/>
      <c r="AD524" s="77"/>
      <c r="AE524" s="77"/>
      <c r="AF524" s="77"/>
      <c r="AG524" s="77"/>
      <c r="AH524" s="77"/>
      <c r="AI524" s="77"/>
      <c r="AJ524" s="77"/>
      <c r="AK524" s="77"/>
      <c r="AL524" s="77"/>
      <c r="AM524" s="77"/>
      <c r="AN524" s="77"/>
      <c r="AO524" s="77"/>
      <c r="AP524" s="77"/>
      <c r="AQ524" s="77"/>
      <c r="AR524" s="77"/>
      <c r="AS524" s="77"/>
      <c r="AT524" s="77"/>
      <c r="AU524" s="77"/>
      <c r="AV524" s="77"/>
      <c r="AX524" s="84"/>
      <c r="AY524" s="84"/>
    </row>
    <row r="525" spans="1:58" s="38" customFormat="1" ht="16.5" customHeight="1" x14ac:dyDescent="0.3">
      <c r="A525" s="77"/>
      <c r="B525" s="77"/>
      <c r="C525" s="77"/>
      <c r="D525" s="77"/>
      <c r="E525" s="77"/>
      <c r="F525" s="77"/>
      <c r="G525" s="77"/>
      <c r="H525" s="77"/>
      <c r="I525" s="77"/>
      <c r="J525" s="77"/>
      <c r="K525" s="77"/>
      <c r="L525" s="77"/>
      <c r="M525" s="77"/>
      <c r="N525" s="77"/>
      <c r="O525" s="77"/>
      <c r="P525" s="77"/>
      <c r="Q525" s="77"/>
      <c r="R525" s="77"/>
      <c r="S525" s="77"/>
      <c r="T525" s="77"/>
      <c r="U525" s="77"/>
      <c r="V525" s="77"/>
      <c r="W525" s="77"/>
      <c r="X525" s="77"/>
      <c r="Y525" s="77"/>
      <c r="Z525" s="77"/>
      <c r="AA525" s="77"/>
      <c r="AB525" s="77"/>
      <c r="AC525" s="77"/>
      <c r="AD525" s="77"/>
      <c r="AE525" s="77"/>
      <c r="AF525" s="77"/>
      <c r="AG525" s="77"/>
      <c r="AH525" s="77"/>
      <c r="AI525" s="77"/>
      <c r="AJ525" s="77"/>
      <c r="AK525" s="77"/>
      <c r="AL525" s="77"/>
      <c r="AM525" s="77"/>
      <c r="AN525" s="77"/>
      <c r="AO525" s="77"/>
      <c r="AP525" s="77"/>
      <c r="AQ525" s="77"/>
      <c r="AR525" s="77"/>
      <c r="AS525" s="77"/>
      <c r="AT525" s="77"/>
      <c r="AU525" s="77"/>
      <c r="AV525" s="77"/>
      <c r="AX525" s="84"/>
      <c r="AY525" s="84"/>
    </row>
    <row r="526" spans="1:58" s="38" customFormat="1" ht="16.5" customHeight="1" x14ac:dyDescent="0.3">
      <c r="A526" s="77"/>
      <c r="B526" s="77"/>
      <c r="C526" s="77"/>
      <c r="D526" s="77"/>
      <c r="E526" s="77"/>
      <c r="F526" s="77"/>
      <c r="G526" s="77"/>
      <c r="H526" s="77"/>
      <c r="I526" s="77"/>
      <c r="J526" s="77"/>
      <c r="K526" s="77"/>
      <c r="L526" s="77"/>
      <c r="M526" s="77"/>
      <c r="N526" s="77"/>
      <c r="O526" s="77"/>
      <c r="P526" s="77"/>
      <c r="Q526" s="77"/>
      <c r="R526" s="77"/>
      <c r="S526" s="77"/>
      <c r="T526" s="77"/>
      <c r="U526" s="77"/>
      <c r="V526" s="77"/>
      <c r="W526" s="77"/>
      <c r="X526" s="77"/>
      <c r="Y526" s="77"/>
      <c r="Z526" s="77"/>
      <c r="AA526" s="77"/>
      <c r="AB526" s="77"/>
      <c r="AC526" s="77"/>
      <c r="AD526" s="77"/>
      <c r="AE526" s="77"/>
      <c r="AF526" s="77"/>
      <c r="AG526" s="77"/>
      <c r="AH526" s="77"/>
      <c r="AI526" s="77"/>
      <c r="AJ526" s="77"/>
      <c r="AK526" s="77"/>
      <c r="AL526" s="77"/>
      <c r="AM526" s="77"/>
      <c r="AN526" s="77"/>
      <c r="AO526" s="77"/>
      <c r="AP526" s="77"/>
      <c r="AQ526" s="77"/>
      <c r="AR526" s="77"/>
      <c r="AS526" s="77"/>
      <c r="AT526" s="77"/>
      <c r="AU526" s="77"/>
      <c r="AV526" s="77"/>
      <c r="AX526" s="84"/>
      <c r="AY526" s="84"/>
    </row>
    <row r="527" spans="1:58" s="38" customFormat="1" ht="16.5" customHeight="1" x14ac:dyDescent="0.3">
      <c r="A527" s="77"/>
      <c r="B527" s="77"/>
      <c r="C527" s="77"/>
      <c r="D527" s="77"/>
      <c r="E527" s="77"/>
      <c r="F527" s="77"/>
      <c r="G527" s="77"/>
      <c r="H527" s="77"/>
      <c r="I527" s="77"/>
      <c r="J527" s="77"/>
      <c r="K527" s="77"/>
      <c r="L527" s="77"/>
      <c r="M527" s="77"/>
      <c r="N527" s="77"/>
      <c r="O527" s="77"/>
      <c r="P527" s="77"/>
      <c r="Q527" s="77"/>
      <c r="R527" s="77"/>
      <c r="S527" s="77"/>
      <c r="T527" s="77"/>
      <c r="U527" s="77"/>
      <c r="V527" s="77"/>
      <c r="W527" s="77"/>
      <c r="X527" s="77"/>
      <c r="Y527" s="77"/>
      <c r="Z527" s="77"/>
      <c r="AA527" s="77"/>
      <c r="AB527" s="77"/>
      <c r="AC527" s="77"/>
      <c r="AD527" s="77"/>
      <c r="AE527" s="77"/>
      <c r="AF527" s="77"/>
      <c r="AG527" s="77"/>
      <c r="AH527" s="77"/>
      <c r="AI527" s="77"/>
      <c r="AJ527" s="77"/>
      <c r="AK527" s="77"/>
      <c r="AL527" s="77"/>
      <c r="AM527" s="77"/>
      <c r="AN527" s="77"/>
      <c r="AO527" s="77"/>
      <c r="AP527" s="77"/>
      <c r="AQ527" s="77"/>
      <c r="AR527" s="77"/>
      <c r="AS527" s="77"/>
      <c r="AT527" s="77"/>
      <c r="AU527" s="77"/>
      <c r="AV527" s="77"/>
      <c r="AX527" s="84"/>
      <c r="AY527" s="84"/>
    </row>
    <row r="528" spans="1:58" s="38" customFormat="1" ht="16.5" customHeight="1" x14ac:dyDescent="0.3">
      <c r="A528" s="77"/>
      <c r="B528" s="77"/>
      <c r="C528" s="77"/>
      <c r="D528" s="77"/>
      <c r="E528" s="77"/>
      <c r="F528" s="77"/>
      <c r="G528" s="77"/>
      <c r="H528" s="77"/>
      <c r="I528" s="77"/>
      <c r="J528" s="77"/>
      <c r="K528" s="77"/>
      <c r="L528" s="77"/>
      <c r="M528" s="77"/>
      <c r="N528" s="77"/>
      <c r="O528" s="77"/>
      <c r="P528" s="77"/>
      <c r="Q528" s="77"/>
      <c r="R528" s="77"/>
      <c r="S528" s="77"/>
      <c r="T528" s="77"/>
      <c r="U528" s="77"/>
      <c r="V528" s="77"/>
      <c r="W528" s="77"/>
      <c r="X528" s="77"/>
      <c r="Y528" s="77"/>
      <c r="Z528" s="77"/>
      <c r="AA528" s="77"/>
      <c r="AB528" s="77"/>
      <c r="AC528" s="77"/>
      <c r="AD528" s="77"/>
      <c r="AE528" s="77"/>
      <c r="AF528" s="77"/>
      <c r="AG528" s="77"/>
      <c r="AH528" s="77"/>
      <c r="AI528" s="77"/>
      <c r="AJ528" s="77"/>
      <c r="AK528" s="77"/>
      <c r="AL528" s="77"/>
      <c r="AM528" s="77"/>
      <c r="AN528" s="77"/>
      <c r="AO528" s="77"/>
      <c r="AP528" s="77"/>
      <c r="AQ528" s="77"/>
      <c r="AR528" s="77"/>
      <c r="AS528" s="77"/>
      <c r="AT528" s="77"/>
      <c r="AU528" s="77"/>
      <c r="AV528" s="77"/>
      <c r="AX528" s="84"/>
      <c r="AY528" s="84"/>
      <c r="AZ528" s="84"/>
      <c r="BA528" s="75" t="s">
        <v>60</v>
      </c>
      <c r="BB528" s="85">
        <v>0</v>
      </c>
      <c r="BC528" s="85">
        <v>0</v>
      </c>
      <c r="BD528" s="85">
        <v>0</v>
      </c>
      <c r="BE528" s="85">
        <v>0</v>
      </c>
      <c r="BF528" s="85">
        <v>0</v>
      </c>
    </row>
    <row r="529" spans="1:58" s="38" customFormat="1" ht="16.5" customHeight="1" x14ac:dyDescent="0.3">
      <c r="A529" s="77"/>
      <c r="B529" s="77"/>
      <c r="C529" s="77"/>
      <c r="D529" s="77"/>
      <c r="E529" s="77"/>
      <c r="F529" s="77"/>
      <c r="G529" s="77"/>
      <c r="H529" s="77"/>
      <c r="I529" s="77"/>
      <c r="J529" s="77"/>
      <c r="K529" s="77"/>
      <c r="L529" s="77"/>
      <c r="M529" s="77"/>
      <c r="N529" s="77"/>
      <c r="O529" s="77"/>
      <c r="P529" s="77"/>
      <c r="Q529" s="77"/>
      <c r="R529" s="77"/>
      <c r="S529" s="77"/>
      <c r="T529" s="77"/>
      <c r="U529" s="77"/>
      <c r="V529" s="77"/>
      <c r="W529" s="77"/>
      <c r="X529" s="77"/>
      <c r="Y529" s="77"/>
      <c r="Z529" s="77"/>
      <c r="AA529" s="77"/>
      <c r="AB529" s="77"/>
      <c r="AC529" s="77"/>
      <c r="AD529" s="77"/>
      <c r="AE529" s="77"/>
      <c r="AF529" s="77"/>
      <c r="AG529" s="77"/>
      <c r="AH529" s="77"/>
      <c r="AI529" s="77"/>
      <c r="AJ529" s="77"/>
      <c r="AK529" s="77"/>
      <c r="AL529" s="77"/>
      <c r="AM529" s="77"/>
      <c r="AN529" s="77"/>
      <c r="AO529" s="77"/>
      <c r="AP529" s="77"/>
      <c r="AQ529" s="77"/>
      <c r="AR529" s="77"/>
      <c r="AS529" s="77"/>
      <c r="AT529" s="77"/>
      <c r="AU529" s="77"/>
      <c r="AV529" s="77"/>
      <c r="AX529" s="84"/>
      <c r="AY529" s="84"/>
      <c r="AZ529" s="84"/>
      <c r="BA529" s="75" t="s">
        <v>61</v>
      </c>
      <c r="BB529" s="85">
        <v>0</v>
      </c>
      <c r="BC529" s="85">
        <v>0</v>
      </c>
      <c r="BD529" s="85">
        <v>0</v>
      </c>
      <c r="BE529" s="85">
        <v>0</v>
      </c>
      <c r="BF529" s="85">
        <v>0</v>
      </c>
    </row>
    <row r="530" spans="1:58" s="38" customFormat="1" ht="16.5" customHeight="1" x14ac:dyDescent="0.3">
      <c r="A530" s="77"/>
      <c r="B530" s="77"/>
      <c r="C530" s="77"/>
      <c r="D530" s="77"/>
      <c r="E530" s="77"/>
      <c r="F530" s="77"/>
      <c r="G530" s="77"/>
      <c r="H530" s="77"/>
      <c r="I530" s="77"/>
      <c r="J530" s="77"/>
      <c r="K530" s="77"/>
      <c r="L530" s="77"/>
      <c r="M530" s="77"/>
      <c r="N530" s="77"/>
      <c r="O530" s="77"/>
      <c r="P530" s="77"/>
      <c r="Q530" s="77"/>
      <c r="R530" s="77"/>
      <c r="S530" s="77"/>
      <c r="T530" s="77"/>
      <c r="U530" s="77"/>
      <c r="V530" s="77"/>
      <c r="W530" s="77"/>
      <c r="X530" s="77"/>
      <c r="Y530" s="77"/>
      <c r="Z530" s="77"/>
      <c r="AA530" s="77"/>
      <c r="AB530" s="77"/>
      <c r="AC530" s="77"/>
      <c r="AD530" s="77"/>
      <c r="AE530" s="77"/>
      <c r="AF530" s="77"/>
      <c r="AG530" s="77"/>
      <c r="AH530" s="77"/>
      <c r="AI530" s="77"/>
      <c r="AJ530" s="77"/>
      <c r="AK530" s="77"/>
      <c r="AL530" s="77"/>
      <c r="AM530" s="77"/>
      <c r="AN530" s="77"/>
      <c r="AO530" s="77"/>
      <c r="AP530" s="77"/>
      <c r="AQ530" s="77"/>
      <c r="AR530" s="77"/>
      <c r="AS530" s="77"/>
      <c r="AT530" s="77"/>
      <c r="AU530" s="77"/>
      <c r="AV530" s="77"/>
      <c r="AX530" s="84"/>
      <c r="AY530" s="84"/>
      <c r="AZ530" s="84"/>
      <c r="BA530" s="75" t="s">
        <v>67</v>
      </c>
      <c r="BB530" s="85">
        <v>0</v>
      </c>
      <c r="BC530" s="85">
        <v>0</v>
      </c>
      <c r="BD530" s="85">
        <v>0</v>
      </c>
      <c r="BE530" s="85">
        <v>0</v>
      </c>
      <c r="BF530" s="85">
        <v>0</v>
      </c>
    </row>
    <row r="531" spans="1:58" s="38" customFormat="1" ht="16.5" customHeight="1" x14ac:dyDescent="0.3">
      <c r="A531" s="77"/>
      <c r="B531" s="77"/>
      <c r="C531" s="77"/>
      <c r="D531" s="77"/>
      <c r="E531" s="77"/>
      <c r="F531" s="77"/>
      <c r="G531" s="77"/>
      <c r="H531" s="77"/>
      <c r="I531" s="77"/>
      <c r="J531" s="77"/>
      <c r="K531" s="77"/>
      <c r="L531" s="77"/>
      <c r="M531" s="77"/>
      <c r="N531" s="77"/>
      <c r="O531" s="77"/>
      <c r="P531" s="77"/>
      <c r="Q531" s="77"/>
      <c r="R531" s="77"/>
      <c r="S531" s="77"/>
      <c r="T531" s="77"/>
      <c r="U531" s="77"/>
      <c r="V531" s="77"/>
      <c r="W531" s="77"/>
      <c r="X531" s="77"/>
      <c r="Y531" s="77"/>
      <c r="Z531" s="77"/>
      <c r="AA531" s="77"/>
      <c r="AB531" s="77"/>
      <c r="AC531" s="77"/>
      <c r="AD531" s="77"/>
      <c r="AE531" s="77"/>
      <c r="AF531" s="77"/>
      <c r="AG531" s="77"/>
      <c r="AH531" s="77"/>
      <c r="AI531" s="77"/>
      <c r="AJ531" s="77"/>
      <c r="AK531" s="77"/>
      <c r="AL531" s="77"/>
      <c r="AM531" s="77"/>
      <c r="AN531" s="77"/>
      <c r="AO531" s="77"/>
      <c r="AP531" s="77"/>
      <c r="AQ531" s="77"/>
      <c r="AR531" s="77"/>
      <c r="AS531" s="77"/>
      <c r="AT531" s="77"/>
      <c r="AU531" s="77"/>
      <c r="AV531" s="77"/>
      <c r="AX531" s="84"/>
      <c r="AY531" s="84"/>
      <c r="AZ531" s="84"/>
      <c r="BA531" s="2"/>
    </row>
    <row r="532" spans="1:58" s="38" customFormat="1" ht="16.5" customHeight="1" x14ac:dyDescent="0.3">
      <c r="A532" s="77"/>
      <c r="B532" s="77"/>
      <c r="C532" s="77"/>
      <c r="D532" s="77"/>
      <c r="E532" s="77"/>
      <c r="F532" s="77"/>
      <c r="G532" s="77"/>
      <c r="H532" s="77"/>
      <c r="I532" s="77"/>
      <c r="J532" s="77"/>
      <c r="K532" s="77"/>
      <c r="L532" s="77"/>
      <c r="M532" s="77"/>
      <c r="N532" s="77"/>
      <c r="O532" s="77"/>
      <c r="P532" s="77"/>
      <c r="Q532" s="77"/>
      <c r="R532" s="77"/>
      <c r="S532" s="77"/>
      <c r="T532" s="77"/>
      <c r="U532" s="77"/>
      <c r="V532" s="77"/>
      <c r="W532" s="77"/>
      <c r="X532" s="77"/>
      <c r="Y532" s="77"/>
      <c r="Z532" s="77"/>
      <c r="AA532" s="77"/>
      <c r="AB532" s="77"/>
      <c r="AC532" s="77"/>
      <c r="AD532" s="77"/>
      <c r="AE532" s="77"/>
      <c r="AF532" s="77"/>
      <c r="AG532" s="77"/>
      <c r="AH532" s="77"/>
      <c r="AI532" s="77"/>
      <c r="AJ532" s="77"/>
      <c r="AK532" s="77"/>
      <c r="AL532" s="77"/>
      <c r="AM532" s="77"/>
      <c r="AN532" s="77"/>
      <c r="AO532" s="77"/>
      <c r="AP532" s="77"/>
      <c r="AQ532" s="77"/>
      <c r="AR532" s="77"/>
      <c r="AS532" s="77"/>
      <c r="AT532" s="77"/>
      <c r="AU532" s="77"/>
      <c r="AV532" s="77"/>
      <c r="AX532" s="84"/>
      <c r="AY532" s="84"/>
      <c r="AZ532" s="84"/>
      <c r="BA532" s="75"/>
      <c r="BB532" s="75" t="s">
        <v>63</v>
      </c>
      <c r="BC532" s="75" t="s">
        <v>64</v>
      </c>
      <c r="BD532" s="75" t="s">
        <v>65</v>
      </c>
      <c r="BE532" s="75" t="s">
        <v>66</v>
      </c>
      <c r="BF532" s="75" t="s">
        <v>67</v>
      </c>
    </row>
    <row r="533" spans="1:58" s="38" customFormat="1" ht="16.5" customHeight="1" x14ac:dyDescent="0.3">
      <c r="A533" s="77"/>
      <c r="B533" s="77"/>
      <c r="C533" s="77"/>
      <c r="D533" s="77"/>
      <c r="E533" s="77"/>
      <c r="F533" s="77"/>
      <c r="G533" s="77"/>
      <c r="H533" s="77"/>
      <c r="I533" s="77"/>
      <c r="J533" s="77"/>
      <c r="K533" s="77"/>
      <c r="L533" s="77"/>
      <c r="M533" s="77"/>
      <c r="N533" s="77"/>
      <c r="O533" s="77"/>
      <c r="P533" s="77"/>
      <c r="Q533" s="77"/>
      <c r="R533" s="77"/>
      <c r="S533" s="77"/>
      <c r="T533" s="77"/>
      <c r="U533" s="77"/>
      <c r="V533" s="77"/>
      <c r="W533" s="77"/>
      <c r="X533" s="77"/>
      <c r="Y533" s="77"/>
      <c r="Z533" s="77"/>
      <c r="AA533" s="77"/>
      <c r="AB533" s="77"/>
      <c r="AC533" s="77"/>
      <c r="AD533" s="77"/>
      <c r="AE533" s="77"/>
      <c r="AF533" s="77"/>
      <c r="AG533" s="77"/>
      <c r="AH533" s="77"/>
      <c r="AI533" s="77"/>
      <c r="AJ533" s="77"/>
      <c r="AK533" s="77"/>
      <c r="AL533" s="77"/>
      <c r="AM533" s="77"/>
      <c r="AN533" s="77"/>
      <c r="AO533" s="77"/>
      <c r="AP533" s="77"/>
      <c r="AQ533" s="77"/>
      <c r="AR533" s="77"/>
      <c r="AS533" s="77"/>
      <c r="AT533" s="77"/>
      <c r="AU533" s="77"/>
      <c r="AV533" s="77"/>
      <c r="AX533" s="84"/>
      <c r="AY533" s="84"/>
      <c r="BA533" s="75" t="s">
        <v>60</v>
      </c>
      <c r="BB533" s="87" t="e">
        <v>#DIV/0!</v>
      </c>
      <c r="BC533" s="87" t="e">
        <v>#DIV/0!</v>
      </c>
      <c r="BD533" s="87" t="e">
        <v>#DIV/0!</v>
      </c>
      <c r="BE533" s="87" t="e">
        <v>#DIV/0!</v>
      </c>
      <c r="BF533" s="87" t="e">
        <v>#DIV/0!</v>
      </c>
    </row>
    <row r="534" spans="1:58" s="38" customFormat="1" ht="16.5" customHeight="1" x14ac:dyDescent="0.3">
      <c r="A534" s="77"/>
      <c r="B534" s="77"/>
      <c r="C534" s="77"/>
      <c r="D534" s="77"/>
      <c r="E534" s="77"/>
      <c r="F534" s="77"/>
      <c r="G534" s="77"/>
      <c r="H534" s="77"/>
      <c r="I534" s="77"/>
      <c r="J534" s="77"/>
      <c r="K534" s="77"/>
      <c r="L534" s="77"/>
      <c r="M534" s="77"/>
      <c r="N534" s="77"/>
      <c r="O534" s="77"/>
      <c r="P534" s="77"/>
      <c r="Q534" s="77"/>
      <c r="R534" s="77"/>
      <c r="S534" s="77"/>
      <c r="T534" s="77"/>
      <c r="U534" s="77"/>
      <c r="V534" s="77"/>
      <c r="W534" s="77"/>
      <c r="X534" s="77"/>
      <c r="Y534" s="77"/>
      <c r="Z534" s="77"/>
      <c r="AA534" s="77"/>
      <c r="AB534" s="77"/>
      <c r="AC534" s="77"/>
      <c r="AD534" s="77"/>
      <c r="AE534" s="77"/>
      <c r="AF534" s="77"/>
      <c r="AG534" s="77"/>
      <c r="AH534" s="77"/>
      <c r="AI534" s="77"/>
      <c r="AJ534" s="77"/>
      <c r="AK534" s="77"/>
      <c r="AL534" s="77"/>
      <c r="AM534" s="77"/>
      <c r="AN534" s="77"/>
      <c r="AO534" s="77"/>
      <c r="AP534" s="77"/>
      <c r="AQ534" s="77"/>
      <c r="AR534" s="77"/>
      <c r="AS534" s="77"/>
      <c r="AT534" s="77"/>
      <c r="AU534" s="77"/>
      <c r="AV534" s="77"/>
      <c r="AX534" s="84"/>
      <c r="AY534" s="84"/>
      <c r="BA534" s="75" t="s">
        <v>61</v>
      </c>
      <c r="BB534" s="87" t="e">
        <v>#DIV/0!</v>
      </c>
      <c r="BC534" s="87" t="e">
        <v>#DIV/0!</v>
      </c>
      <c r="BD534" s="87" t="e">
        <v>#DIV/0!</v>
      </c>
      <c r="BE534" s="87" t="e">
        <v>#DIV/0!</v>
      </c>
      <c r="BF534" s="87" t="e">
        <v>#DIV/0!</v>
      </c>
    </row>
    <row r="535" spans="1:58" s="38" customFormat="1" ht="16.5" customHeight="1" x14ac:dyDescent="0.3">
      <c r="A535" s="77"/>
      <c r="B535" s="77"/>
      <c r="C535" s="77"/>
      <c r="D535" s="77"/>
      <c r="E535" s="77"/>
      <c r="F535" s="77"/>
      <c r="G535" s="77"/>
      <c r="H535" s="77"/>
      <c r="I535" s="77"/>
      <c r="J535" s="77"/>
      <c r="K535" s="77"/>
      <c r="L535" s="77"/>
      <c r="M535" s="77"/>
      <c r="N535" s="77"/>
      <c r="O535" s="77"/>
      <c r="P535" s="77"/>
      <c r="Q535" s="77"/>
      <c r="R535" s="77"/>
      <c r="S535" s="77"/>
      <c r="T535" s="77"/>
      <c r="U535" s="77"/>
      <c r="V535" s="77"/>
      <c r="W535" s="77"/>
      <c r="X535" s="77"/>
      <c r="Y535" s="77"/>
      <c r="Z535" s="77"/>
      <c r="AA535" s="77"/>
      <c r="AB535" s="77"/>
      <c r="AC535" s="77"/>
      <c r="AD535" s="77"/>
      <c r="AE535" s="77"/>
      <c r="AF535" s="77"/>
      <c r="AG535" s="77"/>
      <c r="AH535" s="77"/>
      <c r="AI535" s="77"/>
      <c r="AJ535" s="77"/>
      <c r="AK535" s="77"/>
      <c r="AL535" s="77"/>
      <c r="AM535" s="77"/>
      <c r="AN535" s="77"/>
      <c r="AO535" s="77"/>
      <c r="AP535" s="77"/>
      <c r="AQ535" s="77"/>
      <c r="AR535" s="77"/>
      <c r="AS535" s="77"/>
      <c r="AT535" s="77"/>
      <c r="AU535" s="77"/>
      <c r="AV535" s="77"/>
      <c r="AX535" s="84"/>
      <c r="AY535" s="84"/>
      <c r="BA535" s="75" t="s">
        <v>67</v>
      </c>
      <c r="BB535" s="87" t="e">
        <v>#DIV/0!</v>
      </c>
      <c r="BC535" s="87" t="e">
        <v>#DIV/0!</v>
      </c>
      <c r="BD535" s="87" t="e">
        <v>#DIV/0!</v>
      </c>
      <c r="BE535" s="87" t="e">
        <v>#DIV/0!</v>
      </c>
      <c r="BF535" s="87" t="e">
        <v>#DIV/0!</v>
      </c>
    </row>
    <row r="536" spans="1:58" s="38" customFormat="1" ht="16.5" customHeight="1" x14ac:dyDescent="0.3">
      <c r="A536" s="77"/>
      <c r="B536" s="77"/>
      <c r="C536" s="77"/>
      <c r="D536" s="77"/>
      <c r="E536" s="77"/>
      <c r="F536" s="77"/>
      <c r="G536" s="77"/>
      <c r="H536" s="77"/>
      <c r="I536" s="77"/>
      <c r="J536" s="77"/>
      <c r="K536" s="77"/>
      <c r="L536" s="77"/>
      <c r="M536" s="77"/>
      <c r="N536" s="77"/>
      <c r="O536" s="77"/>
      <c r="P536" s="77"/>
      <c r="Q536" s="77"/>
      <c r="R536" s="77"/>
      <c r="S536" s="77"/>
      <c r="T536" s="77"/>
      <c r="U536" s="77"/>
      <c r="V536" s="77"/>
      <c r="W536" s="77"/>
      <c r="X536" s="77"/>
      <c r="Y536" s="77"/>
      <c r="Z536" s="77"/>
      <c r="AA536" s="77"/>
      <c r="AB536" s="77"/>
      <c r="AC536" s="77"/>
      <c r="AD536" s="77"/>
      <c r="AE536" s="77"/>
      <c r="AF536" s="77"/>
      <c r="AG536" s="77"/>
      <c r="AH536" s="77"/>
      <c r="AI536" s="77"/>
      <c r="AJ536" s="77"/>
      <c r="AK536" s="77"/>
      <c r="AL536" s="77"/>
      <c r="AM536" s="77"/>
      <c r="AN536" s="77"/>
      <c r="AO536" s="77"/>
      <c r="AP536" s="77"/>
      <c r="AQ536" s="77"/>
      <c r="AR536" s="77"/>
      <c r="AS536" s="77"/>
      <c r="AT536" s="77"/>
      <c r="AU536" s="77"/>
      <c r="AV536" s="77"/>
      <c r="AX536" s="84"/>
      <c r="AY536" s="84"/>
    </row>
    <row r="537" spans="1:58" s="38" customFormat="1" ht="16.5" customHeight="1" x14ac:dyDescent="0.3">
      <c r="A537" s="77"/>
      <c r="B537" s="77"/>
      <c r="C537" s="77"/>
      <c r="D537" s="77"/>
      <c r="E537" s="77"/>
      <c r="F537" s="77"/>
      <c r="G537" s="77"/>
      <c r="H537" s="77"/>
      <c r="I537" s="77"/>
      <c r="J537" s="77"/>
      <c r="K537" s="77"/>
      <c r="L537" s="77"/>
      <c r="M537" s="77"/>
      <c r="N537" s="77"/>
      <c r="O537" s="77"/>
      <c r="P537" s="77"/>
      <c r="Q537" s="77"/>
      <c r="R537" s="77"/>
      <c r="S537" s="77"/>
      <c r="T537" s="77"/>
      <c r="U537" s="77"/>
      <c r="V537" s="77"/>
      <c r="W537" s="77"/>
      <c r="X537" s="77"/>
      <c r="Y537" s="77"/>
      <c r="Z537" s="77"/>
      <c r="AA537" s="77"/>
      <c r="AB537" s="77"/>
      <c r="AC537" s="77"/>
      <c r="AD537" s="77"/>
      <c r="AE537" s="77"/>
      <c r="AF537" s="77"/>
      <c r="AG537" s="77"/>
      <c r="AH537" s="77"/>
      <c r="AI537" s="77"/>
      <c r="AJ537" s="77"/>
      <c r="AK537" s="77"/>
      <c r="AL537" s="77"/>
      <c r="AM537" s="77"/>
      <c r="AN537" s="77"/>
      <c r="AO537" s="77"/>
      <c r="AP537" s="77"/>
      <c r="AQ537" s="77"/>
      <c r="AR537" s="77"/>
      <c r="AS537" s="77"/>
      <c r="AT537" s="77"/>
      <c r="AU537" s="77"/>
      <c r="AV537" s="77"/>
      <c r="AX537" s="84"/>
      <c r="AY537" s="84"/>
    </row>
    <row r="538" spans="1:58" s="38" customFormat="1" ht="16.5" customHeight="1" x14ac:dyDescent="0.3">
      <c r="A538" s="77"/>
      <c r="B538" s="77"/>
      <c r="C538" s="77"/>
      <c r="D538" s="77"/>
      <c r="E538" s="77"/>
      <c r="F538" s="77"/>
      <c r="G538" s="77"/>
      <c r="H538" s="77"/>
      <c r="I538" s="77"/>
      <c r="J538" s="77"/>
      <c r="K538" s="77"/>
      <c r="L538" s="77"/>
      <c r="M538" s="77"/>
      <c r="N538" s="77"/>
      <c r="O538" s="77"/>
      <c r="P538" s="77"/>
      <c r="Q538" s="77"/>
      <c r="R538" s="77"/>
      <c r="S538" s="77"/>
      <c r="T538" s="77"/>
      <c r="U538" s="77"/>
      <c r="V538" s="77"/>
      <c r="W538" s="77"/>
      <c r="X538" s="77"/>
      <c r="Y538" s="77"/>
      <c r="Z538" s="77"/>
      <c r="AA538" s="77"/>
      <c r="AB538" s="77"/>
      <c r="AC538" s="77"/>
      <c r="AD538" s="77"/>
      <c r="AE538" s="77"/>
      <c r="AF538" s="77"/>
      <c r="AG538" s="77"/>
      <c r="AH538" s="77"/>
      <c r="AI538" s="77"/>
      <c r="AJ538" s="77"/>
      <c r="AK538" s="77"/>
      <c r="AL538" s="77"/>
      <c r="AM538" s="77"/>
      <c r="AN538" s="77"/>
      <c r="AO538" s="77"/>
      <c r="AP538" s="77"/>
      <c r="AQ538" s="77"/>
      <c r="AR538" s="77"/>
      <c r="AS538" s="77"/>
      <c r="AT538" s="77"/>
      <c r="AU538" s="77"/>
      <c r="AV538" s="77"/>
      <c r="AX538" s="84"/>
      <c r="AY538" s="84"/>
    </row>
    <row r="539" spans="1:58" s="38" customFormat="1" ht="16.5" customHeight="1" x14ac:dyDescent="0.3">
      <c r="A539" s="77"/>
      <c r="B539" s="77"/>
      <c r="C539" s="77"/>
      <c r="D539" s="77"/>
      <c r="E539" s="77"/>
      <c r="F539" s="77"/>
      <c r="G539" s="77"/>
      <c r="H539" s="77"/>
      <c r="I539" s="77"/>
      <c r="J539" s="77"/>
      <c r="K539" s="77"/>
      <c r="L539" s="77"/>
      <c r="M539" s="77"/>
      <c r="N539" s="77"/>
      <c r="O539" s="77"/>
      <c r="P539" s="77"/>
      <c r="Q539" s="77"/>
      <c r="R539" s="77"/>
      <c r="S539" s="77"/>
      <c r="T539" s="77"/>
      <c r="U539" s="77"/>
      <c r="V539" s="77"/>
      <c r="W539" s="77"/>
      <c r="X539" s="77"/>
      <c r="Y539" s="77"/>
      <c r="Z539" s="77"/>
      <c r="AA539" s="77"/>
      <c r="AB539" s="77"/>
      <c r="AC539" s="77"/>
      <c r="AD539" s="77"/>
      <c r="AE539" s="77"/>
      <c r="AF539" s="77"/>
      <c r="AG539" s="77"/>
      <c r="AH539" s="77"/>
      <c r="AI539" s="77"/>
      <c r="AJ539" s="77"/>
      <c r="AK539" s="77"/>
      <c r="AL539" s="77"/>
      <c r="AM539" s="77"/>
      <c r="AN539" s="77"/>
      <c r="AO539" s="77"/>
      <c r="AP539" s="77"/>
      <c r="AQ539" s="77"/>
      <c r="AR539" s="77"/>
      <c r="AS539" s="77"/>
      <c r="AT539" s="77"/>
      <c r="AU539" s="77"/>
      <c r="AV539" s="77"/>
      <c r="AX539" s="84"/>
      <c r="AY539" s="84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phoneticPr fontId="2" type="noConversion"/>
  <conditionalFormatting sqref="X3">
    <cfRule type="cellIs" dxfId="8351" priority="73486" operator="lessThan">
      <formula>15.1</formula>
    </cfRule>
    <cfRule type="cellIs" dxfId="8350" priority="73487" operator="lessThan">
      <formula>18.1</formula>
    </cfRule>
    <cfRule type="cellIs" dxfId="8349" priority="73488" operator="lessThan">
      <formula>21.1</formula>
    </cfRule>
    <cfRule type="cellIs" dxfId="8348" priority="73489" operator="lessThan">
      <formula>24.1</formula>
    </cfRule>
    <cfRule type="cellIs" dxfId="8347" priority="73490" operator="lessThan">
      <formula>30</formula>
    </cfRule>
    <cfRule type="cellIs" dxfId="8346" priority="73491" operator="lessThan">
      <formula>34.1</formula>
    </cfRule>
  </conditionalFormatting>
  <conditionalFormatting sqref="Z3">
    <cfRule type="colorScale" priority="7348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dxfId="8345" priority="73483" operator="greaterThan">
      <formula>0.9</formula>
    </cfRule>
    <cfRule type="cellIs" dxfId="8344" priority="73484" operator="greaterThan">
      <formula>0.85</formula>
    </cfRule>
  </conditionalFormatting>
  <conditionalFormatting sqref="N2">
    <cfRule type="cellIs" dxfId="8343" priority="73481" operator="greaterThan">
      <formula>0.9</formula>
    </cfRule>
    <cfRule type="cellIs" dxfId="8342" priority="73482" operator="greaterThan">
      <formula>0.85</formula>
    </cfRule>
  </conditionalFormatting>
  <conditionalFormatting sqref="AV4">
    <cfRule type="expression" dxfId="8341" priority="3923">
      <formula>AV4="X"</formula>
    </cfRule>
    <cfRule type="expression" dxfId="8340" priority="3924">
      <formula>AV4="후보"</formula>
    </cfRule>
  </conditionalFormatting>
  <conditionalFormatting sqref="AC4">
    <cfRule type="cellIs" dxfId="8339" priority="3921" operator="greaterThan">
      <formula>0.9</formula>
    </cfRule>
    <cfRule type="cellIs" dxfId="8338" priority="3922" operator="greaterThan">
      <formula>0.85</formula>
    </cfRule>
  </conditionalFormatting>
  <conditionalFormatting sqref="N4">
    <cfRule type="cellIs" dxfId="8337" priority="3919" operator="greaterThan">
      <formula>0.9</formula>
    </cfRule>
    <cfRule type="cellIs" dxfId="8336" priority="3920" operator="greaterThan">
      <formula>0.85</formula>
    </cfRule>
  </conditionalFormatting>
  <conditionalFormatting sqref="E4">
    <cfRule type="expression" dxfId="8335" priority="3915">
      <formula>AND(IF(OR($Q4=1,$Q4=2),1,0),IF($X4&lt;=20,1,0))</formula>
    </cfRule>
    <cfRule type="expression" dxfId="8334" priority="3916">
      <formula>AND(IF($Q4=2,1,0),IF($X4&lt;30,1,0))</formula>
    </cfRule>
    <cfRule type="expression" dxfId="8333" priority="3917">
      <formula>AND(IF($Q4=3,1,0),IF($X4&lt;30,1,0))</formula>
    </cfRule>
    <cfRule type="expression" dxfId="8332" priority="3918">
      <formula>AND(IF($Q4=3,1,IF($Q4=4,1,0)),IF($F4&lt;=85,1,0))</formula>
    </cfRule>
  </conditionalFormatting>
  <conditionalFormatting sqref="X4">
    <cfRule type="expression" dxfId="8331" priority="3911">
      <formula>AND(IF(OR($Q4=1,$Q4=2),1,0),IF($X4&lt;=20,1,0))</formula>
    </cfRule>
    <cfRule type="expression" dxfId="8330" priority="3912">
      <formula>AND(IF($Q4=2,1,0),IF($X4&lt;30,1,0))</formula>
    </cfRule>
    <cfRule type="expression" dxfId="8329" priority="3913">
      <formula>AND(IF($Q4=3,1,0),IF($X4&lt;30,1,0))</formula>
    </cfRule>
    <cfRule type="expression" dxfId="8328" priority="3914">
      <formula>AND(IF($Q4=3,1,IF($Q4=4,1,0)),IF($F4&lt;=85,1,0))</formula>
    </cfRule>
  </conditionalFormatting>
  <conditionalFormatting sqref="AI4">
    <cfRule type="expression" dxfId="8327" priority="3907">
      <formula>AND(IF(OR($Q4=1,$Q4=2),1,0),IF($X4&lt;=20,1,0))</formula>
    </cfRule>
    <cfRule type="expression" dxfId="8326" priority="3908">
      <formula>AND(IF($Q4=2,1,0),IF($X4&lt;30,1,0))</formula>
    </cfRule>
    <cfRule type="expression" dxfId="8325" priority="3909">
      <formula>AND(IF($Q4=3,1,0),IF($X4&lt;30,1,0))</formula>
    </cfRule>
    <cfRule type="expression" dxfId="8324" priority="3910">
      <formula>AND(IF($Q4=3,1,IF($Q4=4,1,0)),IF($F4&lt;=85,1,0))</formula>
    </cfRule>
  </conditionalFormatting>
  <conditionalFormatting sqref="AV5">
    <cfRule type="expression" dxfId="8323" priority="3905">
      <formula>AV5="X"</formula>
    </cfRule>
    <cfRule type="expression" dxfId="8322" priority="3906">
      <formula>AV5="후보"</formula>
    </cfRule>
  </conditionalFormatting>
  <conditionalFormatting sqref="AC5">
    <cfRule type="cellIs" dxfId="8321" priority="3903" operator="greaterThan">
      <formula>0.9</formula>
    </cfRule>
    <cfRule type="cellIs" dxfId="8320" priority="3904" operator="greaterThan">
      <formula>0.85</formula>
    </cfRule>
  </conditionalFormatting>
  <conditionalFormatting sqref="N5">
    <cfRule type="cellIs" dxfId="8319" priority="3901" operator="greaterThan">
      <formula>0.9</formula>
    </cfRule>
    <cfRule type="cellIs" dxfId="8318" priority="3902" operator="greaterThan">
      <formula>0.85</formula>
    </cfRule>
  </conditionalFormatting>
  <conditionalFormatting sqref="E5">
    <cfRule type="expression" dxfId="8317" priority="3897">
      <formula>AND(IF(OR($Q5=1,$Q5=2),1,0),IF($X5&lt;=20,1,0))</formula>
    </cfRule>
    <cfRule type="expression" dxfId="8316" priority="3898">
      <formula>AND(IF($Q5=2,1,0),IF($X5&lt;30,1,0))</formula>
    </cfRule>
    <cfRule type="expression" dxfId="8315" priority="3899">
      <formula>AND(IF($Q5=3,1,0),IF($X5&lt;30,1,0))</formula>
    </cfRule>
    <cfRule type="expression" dxfId="8314" priority="3900">
      <formula>AND(IF($Q5=3,1,IF($Q5=4,1,0)),IF($F5&lt;=85,1,0))</formula>
    </cfRule>
  </conditionalFormatting>
  <conditionalFormatting sqref="X5">
    <cfRule type="expression" dxfId="8313" priority="3893">
      <formula>AND(IF(OR($Q5=1,$Q5=2),1,0),IF($X5&lt;=20,1,0))</formula>
    </cfRule>
    <cfRule type="expression" dxfId="8312" priority="3894">
      <formula>AND(IF($Q5=2,1,0),IF($X5&lt;30,1,0))</formula>
    </cfRule>
    <cfRule type="expression" dxfId="8311" priority="3895">
      <formula>AND(IF($Q5=3,1,0),IF($X5&lt;30,1,0))</formula>
    </cfRule>
    <cfRule type="expression" dxfId="8310" priority="3896">
      <formula>AND(IF($Q5=3,1,IF($Q5=4,1,0)),IF($F5&lt;=85,1,0))</formula>
    </cfRule>
  </conditionalFormatting>
  <conditionalFormatting sqref="AI5">
    <cfRule type="expression" dxfId="8309" priority="3889">
      <formula>AND(IF(OR($Q5=1,$Q5=2),1,0),IF($X5&lt;=20,1,0))</formula>
    </cfRule>
    <cfRule type="expression" dxfId="8308" priority="3890">
      <formula>AND(IF($Q5=2,1,0),IF($X5&lt;30,1,0))</formula>
    </cfRule>
    <cfRule type="expression" dxfId="8307" priority="3891">
      <formula>AND(IF($Q5=3,1,0),IF($X5&lt;30,1,0))</formula>
    </cfRule>
    <cfRule type="expression" dxfId="8306" priority="3892">
      <formula>AND(IF($Q5=3,1,IF($Q5=4,1,0)),IF($F5&lt;=85,1,0))</formula>
    </cfRule>
  </conditionalFormatting>
  <conditionalFormatting sqref="AV6">
    <cfRule type="expression" dxfId="8305" priority="3887">
      <formula>AV6="X"</formula>
    </cfRule>
    <cfRule type="expression" dxfId="8304" priority="3888">
      <formula>AV6="후보"</formula>
    </cfRule>
  </conditionalFormatting>
  <conditionalFormatting sqref="AC6">
    <cfRule type="cellIs" dxfId="8303" priority="3885" operator="greaterThan">
      <formula>0.9</formula>
    </cfRule>
    <cfRule type="cellIs" dxfId="8302" priority="3886" operator="greaterThan">
      <formula>0.85</formula>
    </cfRule>
  </conditionalFormatting>
  <conditionalFormatting sqref="N6">
    <cfRule type="cellIs" dxfId="8301" priority="3883" operator="greaterThan">
      <formula>0.9</formula>
    </cfRule>
    <cfRule type="cellIs" dxfId="8300" priority="3884" operator="greaterThan">
      <formula>0.85</formula>
    </cfRule>
  </conditionalFormatting>
  <conditionalFormatting sqref="E6">
    <cfRule type="expression" dxfId="8299" priority="3879">
      <formula>AND(IF(OR($Q6=1,$Q6=2),1,0),IF($X6&lt;=20,1,0))</formula>
    </cfRule>
    <cfRule type="expression" dxfId="8298" priority="3880">
      <formula>AND(IF($Q6=2,1,0),IF($X6&lt;30,1,0))</formula>
    </cfRule>
    <cfRule type="expression" dxfId="8297" priority="3881">
      <formula>AND(IF($Q6=3,1,0),IF($X6&lt;30,1,0))</formula>
    </cfRule>
    <cfRule type="expression" dxfId="8296" priority="3882">
      <formula>AND(IF($Q6=3,1,IF($Q6=4,1,0)),IF($F6&lt;=85,1,0))</formula>
    </cfRule>
  </conditionalFormatting>
  <conditionalFormatting sqref="X6">
    <cfRule type="expression" dxfId="8295" priority="3875">
      <formula>AND(IF(OR($Q6=1,$Q6=2),1,0),IF($X6&lt;=20,1,0))</formula>
    </cfRule>
    <cfRule type="expression" dxfId="8294" priority="3876">
      <formula>AND(IF($Q6=2,1,0),IF($X6&lt;30,1,0))</formula>
    </cfRule>
    <cfRule type="expression" dxfId="8293" priority="3877">
      <formula>AND(IF($Q6=3,1,0),IF($X6&lt;30,1,0))</formula>
    </cfRule>
    <cfRule type="expression" dxfId="8292" priority="3878">
      <formula>AND(IF($Q6=3,1,IF($Q6=4,1,0)),IF($F6&lt;=85,1,0))</formula>
    </cfRule>
  </conditionalFormatting>
  <conditionalFormatting sqref="AI6">
    <cfRule type="expression" dxfId="8291" priority="3871">
      <formula>AND(IF(OR($Q6=1,$Q6=2),1,0),IF($X6&lt;=20,1,0))</formula>
    </cfRule>
    <cfRule type="expression" dxfId="8290" priority="3872">
      <formula>AND(IF($Q6=2,1,0),IF($X6&lt;30,1,0))</formula>
    </cfRule>
    <cfRule type="expression" dxfId="8289" priority="3873">
      <formula>AND(IF($Q6=3,1,0),IF($X6&lt;30,1,0))</formula>
    </cfRule>
    <cfRule type="expression" dxfId="8288" priority="3874">
      <formula>AND(IF($Q6=3,1,IF($Q6=4,1,0)),IF($F6&lt;=85,1,0))</formula>
    </cfRule>
  </conditionalFormatting>
  <conditionalFormatting sqref="AV7">
    <cfRule type="expression" dxfId="8287" priority="3869">
      <formula>AV7="X"</formula>
    </cfRule>
    <cfRule type="expression" dxfId="8286" priority="3870">
      <formula>AV7="후보"</formula>
    </cfRule>
  </conditionalFormatting>
  <conditionalFormatting sqref="AC7">
    <cfRule type="cellIs" dxfId="8285" priority="3867" operator="greaterThan">
      <formula>0.9</formula>
    </cfRule>
    <cfRule type="cellIs" dxfId="8284" priority="3868" operator="greaterThan">
      <formula>0.85</formula>
    </cfRule>
  </conditionalFormatting>
  <conditionalFormatting sqref="N7">
    <cfRule type="cellIs" dxfId="8283" priority="3865" operator="greaterThan">
      <formula>0.9</formula>
    </cfRule>
    <cfRule type="cellIs" dxfId="8282" priority="3866" operator="greaterThan">
      <formula>0.85</formula>
    </cfRule>
  </conditionalFormatting>
  <conditionalFormatting sqref="E7">
    <cfRule type="expression" dxfId="8281" priority="3861">
      <formula>AND(IF(OR($Q7=1,$Q7=2),1,0),IF($X7&lt;=20,1,0))</formula>
    </cfRule>
    <cfRule type="expression" dxfId="8280" priority="3862">
      <formula>AND(IF($Q7=2,1,0),IF($X7&lt;30,1,0))</formula>
    </cfRule>
    <cfRule type="expression" dxfId="8279" priority="3863">
      <formula>AND(IF($Q7=3,1,0),IF($X7&lt;30,1,0))</formula>
    </cfRule>
    <cfRule type="expression" dxfId="8278" priority="3864">
      <formula>AND(IF($Q7=3,1,IF($Q7=4,1,0)),IF($F7&lt;=85,1,0))</formula>
    </cfRule>
  </conditionalFormatting>
  <conditionalFormatting sqref="X7">
    <cfRule type="expression" dxfId="8277" priority="3857">
      <formula>AND(IF(OR($Q7=1,$Q7=2),1,0),IF($X7&lt;=20,1,0))</formula>
    </cfRule>
    <cfRule type="expression" dxfId="8276" priority="3858">
      <formula>AND(IF($Q7=2,1,0),IF($X7&lt;30,1,0))</formula>
    </cfRule>
    <cfRule type="expression" dxfId="8275" priority="3859">
      <formula>AND(IF($Q7=3,1,0),IF($X7&lt;30,1,0))</formula>
    </cfRule>
    <cfRule type="expression" dxfId="8274" priority="3860">
      <formula>AND(IF($Q7=3,1,IF($Q7=4,1,0)),IF($F7&lt;=85,1,0))</formula>
    </cfRule>
  </conditionalFormatting>
  <conditionalFormatting sqref="AI7">
    <cfRule type="expression" dxfId="8273" priority="3853">
      <formula>AND(IF(OR($Q7=1,$Q7=2),1,0),IF($X7&lt;=20,1,0))</formula>
    </cfRule>
    <cfRule type="expression" dxfId="8272" priority="3854">
      <formula>AND(IF($Q7=2,1,0),IF($X7&lt;30,1,0))</formula>
    </cfRule>
    <cfRule type="expression" dxfId="8271" priority="3855">
      <formula>AND(IF($Q7=3,1,0),IF($X7&lt;30,1,0))</formula>
    </cfRule>
    <cfRule type="expression" dxfId="8270" priority="3856">
      <formula>AND(IF($Q7=3,1,IF($Q7=4,1,0)),IF($F7&lt;=85,1,0))</formula>
    </cfRule>
  </conditionalFormatting>
  <conditionalFormatting sqref="AV8">
    <cfRule type="expression" dxfId="8269" priority="3851">
      <formula>AV8="X"</formula>
    </cfRule>
    <cfRule type="expression" dxfId="8268" priority="3852">
      <formula>AV8="후보"</formula>
    </cfRule>
  </conditionalFormatting>
  <conditionalFormatting sqref="AC8">
    <cfRule type="cellIs" dxfId="8267" priority="3849" operator="greaterThan">
      <formula>0.9</formula>
    </cfRule>
    <cfRule type="cellIs" dxfId="8266" priority="3850" operator="greaterThan">
      <formula>0.85</formula>
    </cfRule>
  </conditionalFormatting>
  <conditionalFormatting sqref="N8">
    <cfRule type="cellIs" dxfId="8265" priority="3847" operator="greaterThan">
      <formula>0.9</formula>
    </cfRule>
    <cfRule type="cellIs" dxfId="8264" priority="3848" operator="greaterThan">
      <formula>0.85</formula>
    </cfRule>
  </conditionalFormatting>
  <conditionalFormatting sqref="E8">
    <cfRule type="expression" dxfId="8263" priority="3843">
      <formula>AND(IF(OR($Q8=1,$Q8=2),1,0),IF($X8&lt;=20,1,0))</formula>
    </cfRule>
    <cfRule type="expression" dxfId="8262" priority="3844">
      <formula>AND(IF($Q8=2,1,0),IF($X8&lt;30,1,0))</formula>
    </cfRule>
    <cfRule type="expression" dxfId="8261" priority="3845">
      <formula>AND(IF($Q8=3,1,0),IF($X8&lt;30,1,0))</formula>
    </cfRule>
    <cfRule type="expression" dxfId="8260" priority="3846">
      <formula>AND(IF($Q8=3,1,IF($Q8=4,1,0)),IF($F8&lt;=85,1,0))</formula>
    </cfRule>
  </conditionalFormatting>
  <conditionalFormatting sqref="X8">
    <cfRule type="expression" dxfId="8259" priority="3839">
      <formula>AND(IF(OR($Q8=1,$Q8=2),1,0),IF($X8&lt;=20,1,0))</formula>
    </cfRule>
    <cfRule type="expression" dxfId="8258" priority="3840">
      <formula>AND(IF($Q8=2,1,0),IF($X8&lt;30,1,0))</formula>
    </cfRule>
    <cfRule type="expression" dxfId="8257" priority="3841">
      <formula>AND(IF($Q8=3,1,0),IF($X8&lt;30,1,0))</formula>
    </cfRule>
    <cfRule type="expression" dxfId="8256" priority="3842">
      <formula>AND(IF($Q8=3,1,IF($Q8=4,1,0)),IF($F8&lt;=85,1,0))</formula>
    </cfRule>
  </conditionalFormatting>
  <conditionalFormatting sqref="AI8">
    <cfRule type="expression" dxfId="8255" priority="3835">
      <formula>AND(IF(OR($Q8=1,$Q8=2),1,0),IF($X8&lt;=20,1,0))</formula>
    </cfRule>
    <cfRule type="expression" dxfId="8254" priority="3836">
      <formula>AND(IF($Q8=2,1,0),IF($X8&lt;30,1,0))</formula>
    </cfRule>
    <cfRule type="expression" dxfId="8253" priority="3837">
      <formula>AND(IF($Q8=3,1,0),IF($X8&lt;30,1,0))</formula>
    </cfRule>
    <cfRule type="expression" dxfId="8252" priority="3838">
      <formula>AND(IF($Q8=3,1,IF($Q8=4,1,0)),IF($F8&lt;=85,1,0))</formula>
    </cfRule>
  </conditionalFormatting>
  <conditionalFormatting sqref="AV9">
    <cfRule type="expression" dxfId="8251" priority="3833">
      <formula>AV9="X"</formula>
    </cfRule>
    <cfRule type="expression" dxfId="8250" priority="3834">
      <formula>AV9="후보"</formula>
    </cfRule>
  </conditionalFormatting>
  <conditionalFormatting sqref="AC9">
    <cfRule type="cellIs" dxfId="8249" priority="3831" operator="greaterThan">
      <formula>0.9</formula>
    </cfRule>
    <cfRule type="cellIs" dxfId="8248" priority="3832" operator="greaterThan">
      <formula>0.85</formula>
    </cfRule>
  </conditionalFormatting>
  <conditionalFormatting sqref="N9">
    <cfRule type="cellIs" dxfId="8247" priority="3829" operator="greaterThan">
      <formula>0.9</formula>
    </cfRule>
    <cfRule type="cellIs" dxfId="8246" priority="3830" operator="greaterThan">
      <formula>0.85</formula>
    </cfRule>
  </conditionalFormatting>
  <conditionalFormatting sqref="E9">
    <cfRule type="expression" dxfId="8245" priority="3825">
      <formula>AND(IF(OR($Q9=1,$Q9=2),1,0),IF($X9&lt;=20,1,0))</formula>
    </cfRule>
    <cfRule type="expression" dxfId="8244" priority="3826">
      <formula>AND(IF($Q9=2,1,0),IF($X9&lt;30,1,0))</formula>
    </cfRule>
    <cfRule type="expression" dxfId="8243" priority="3827">
      <formula>AND(IF($Q9=3,1,0),IF($X9&lt;30,1,0))</formula>
    </cfRule>
    <cfRule type="expression" dxfId="8242" priority="3828">
      <formula>AND(IF($Q9=3,1,IF($Q9=4,1,0)),IF($F9&lt;=85,1,0))</formula>
    </cfRule>
  </conditionalFormatting>
  <conditionalFormatting sqref="X9">
    <cfRule type="expression" dxfId="8241" priority="3821">
      <formula>AND(IF(OR($Q9=1,$Q9=2),1,0),IF($X9&lt;=20,1,0))</formula>
    </cfRule>
    <cfRule type="expression" dxfId="8240" priority="3822">
      <formula>AND(IF($Q9=2,1,0),IF($X9&lt;30,1,0))</formula>
    </cfRule>
    <cfRule type="expression" dxfId="8239" priority="3823">
      <formula>AND(IF($Q9=3,1,0),IF($X9&lt;30,1,0))</formula>
    </cfRule>
    <cfRule type="expression" dxfId="8238" priority="3824">
      <formula>AND(IF($Q9=3,1,IF($Q9=4,1,0)),IF($F9&lt;=85,1,0))</formula>
    </cfRule>
  </conditionalFormatting>
  <conditionalFormatting sqref="AI9">
    <cfRule type="expression" dxfId="8237" priority="3817">
      <formula>AND(IF(OR($Q9=1,$Q9=2),1,0),IF($X9&lt;=20,1,0))</formula>
    </cfRule>
    <cfRule type="expression" dxfId="8236" priority="3818">
      <formula>AND(IF($Q9=2,1,0),IF($X9&lt;30,1,0))</formula>
    </cfRule>
    <cfRule type="expression" dxfId="8235" priority="3819">
      <formula>AND(IF($Q9=3,1,0),IF($X9&lt;30,1,0))</formula>
    </cfRule>
    <cfRule type="expression" dxfId="8234" priority="3820">
      <formula>AND(IF($Q9=3,1,IF($Q9=4,1,0)),IF($F9&lt;=85,1,0))</formula>
    </cfRule>
  </conditionalFormatting>
  <conditionalFormatting sqref="AV10">
    <cfRule type="expression" dxfId="8233" priority="3815">
      <formula>AV10="X"</formula>
    </cfRule>
    <cfRule type="expression" dxfId="8232" priority="3816">
      <formula>AV10="후보"</formula>
    </cfRule>
  </conditionalFormatting>
  <conditionalFormatting sqref="AC10">
    <cfRule type="cellIs" dxfId="8231" priority="3813" operator="greaterThan">
      <formula>0.9</formula>
    </cfRule>
    <cfRule type="cellIs" dxfId="8230" priority="3814" operator="greaterThan">
      <formula>0.85</formula>
    </cfRule>
  </conditionalFormatting>
  <conditionalFormatting sqref="N10">
    <cfRule type="cellIs" dxfId="8229" priority="3811" operator="greaterThan">
      <formula>0.9</formula>
    </cfRule>
    <cfRule type="cellIs" dxfId="8228" priority="3812" operator="greaterThan">
      <formula>0.85</formula>
    </cfRule>
  </conditionalFormatting>
  <conditionalFormatting sqref="E10">
    <cfRule type="expression" dxfId="8227" priority="3807">
      <formula>AND(IF(OR($Q10=1,$Q10=2),1,0),IF($X10&lt;=20,1,0))</formula>
    </cfRule>
    <cfRule type="expression" dxfId="8226" priority="3808">
      <formula>AND(IF($Q10=2,1,0),IF($X10&lt;30,1,0))</formula>
    </cfRule>
    <cfRule type="expression" dxfId="8225" priority="3809">
      <formula>AND(IF($Q10=3,1,0),IF($X10&lt;30,1,0))</formula>
    </cfRule>
    <cfRule type="expression" dxfId="8224" priority="3810">
      <formula>AND(IF($Q10=3,1,IF($Q10=4,1,0)),IF($F10&lt;=85,1,0))</formula>
    </cfRule>
  </conditionalFormatting>
  <conditionalFormatting sqref="X10">
    <cfRule type="expression" dxfId="8223" priority="3803">
      <formula>AND(IF(OR($Q10=1,$Q10=2),1,0),IF($X10&lt;=20,1,0))</formula>
    </cfRule>
    <cfRule type="expression" dxfId="8222" priority="3804">
      <formula>AND(IF($Q10=2,1,0),IF($X10&lt;30,1,0))</formula>
    </cfRule>
    <cfRule type="expression" dxfId="8221" priority="3805">
      <formula>AND(IF($Q10=3,1,0),IF($X10&lt;30,1,0))</formula>
    </cfRule>
    <cfRule type="expression" dxfId="8220" priority="3806">
      <formula>AND(IF($Q10=3,1,IF($Q10=4,1,0)),IF($F10&lt;=85,1,0))</formula>
    </cfRule>
  </conditionalFormatting>
  <conditionalFormatting sqref="AI10">
    <cfRule type="expression" dxfId="8219" priority="3799">
      <formula>AND(IF(OR($Q10=1,$Q10=2),1,0),IF($X10&lt;=20,1,0))</formula>
    </cfRule>
    <cfRule type="expression" dxfId="8218" priority="3800">
      <formula>AND(IF($Q10=2,1,0),IF($X10&lt;30,1,0))</formula>
    </cfRule>
    <cfRule type="expression" dxfId="8217" priority="3801">
      <formula>AND(IF($Q10=3,1,0),IF($X10&lt;30,1,0))</formula>
    </cfRule>
    <cfRule type="expression" dxfId="8216" priority="3802">
      <formula>AND(IF($Q10=3,1,IF($Q10=4,1,0)),IF($F10&lt;=85,1,0))</formula>
    </cfRule>
  </conditionalFormatting>
  <conditionalFormatting sqref="AV11">
    <cfRule type="expression" dxfId="8215" priority="3797">
      <formula>AV11="X"</formula>
    </cfRule>
    <cfRule type="expression" dxfId="8214" priority="3798">
      <formula>AV11="후보"</formula>
    </cfRule>
  </conditionalFormatting>
  <conditionalFormatting sqref="AC11">
    <cfRule type="cellIs" dxfId="8213" priority="3795" operator="greaterThan">
      <formula>0.9</formula>
    </cfRule>
    <cfRule type="cellIs" dxfId="8212" priority="3796" operator="greaterThan">
      <formula>0.85</formula>
    </cfRule>
  </conditionalFormatting>
  <conditionalFormatting sqref="N11">
    <cfRule type="cellIs" dxfId="8211" priority="3793" operator="greaterThan">
      <formula>0.9</formula>
    </cfRule>
    <cfRule type="cellIs" dxfId="8210" priority="3794" operator="greaterThan">
      <formula>0.85</formula>
    </cfRule>
  </conditionalFormatting>
  <conditionalFormatting sqref="E11">
    <cfRule type="expression" dxfId="8209" priority="3789">
      <formula>AND(IF(OR($Q11=1,$Q11=2),1,0),IF($X11&lt;=20,1,0))</formula>
    </cfRule>
    <cfRule type="expression" dxfId="8208" priority="3790">
      <formula>AND(IF($Q11=2,1,0),IF($X11&lt;30,1,0))</formula>
    </cfRule>
    <cfRule type="expression" dxfId="8207" priority="3791">
      <formula>AND(IF($Q11=3,1,0),IF($X11&lt;30,1,0))</formula>
    </cfRule>
    <cfRule type="expression" dxfId="8206" priority="3792">
      <formula>AND(IF($Q11=3,1,IF($Q11=4,1,0)),IF($F11&lt;=85,1,0))</formula>
    </cfRule>
  </conditionalFormatting>
  <conditionalFormatting sqref="X11">
    <cfRule type="expression" dxfId="8205" priority="3785">
      <formula>AND(IF(OR($Q11=1,$Q11=2),1,0),IF($X11&lt;=20,1,0))</formula>
    </cfRule>
    <cfRule type="expression" dxfId="8204" priority="3786">
      <formula>AND(IF($Q11=2,1,0),IF($X11&lt;30,1,0))</formula>
    </cfRule>
    <cfRule type="expression" dxfId="8203" priority="3787">
      <formula>AND(IF($Q11=3,1,0),IF($X11&lt;30,1,0))</formula>
    </cfRule>
    <cfRule type="expression" dxfId="8202" priority="3788">
      <formula>AND(IF($Q11=3,1,IF($Q11=4,1,0)),IF($F11&lt;=85,1,0))</formula>
    </cfRule>
  </conditionalFormatting>
  <conditionalFormatting sqref="AI11">
    <cfRule type="expression" dxfId="8201" priority="3781">
      <formula>AND(IF(OR($Q11=1,$Q11=2),1,0),IF($X11&lt;=20,1,0))</formula>
    </cfRule>
    <cfRule type="expression" dxfId="8200" priority="3782">
      <formula>AND(IF($Q11=2,1,0),IF($X11&lt;30,1,0))</formula>
    </cfRule>
    <cfRule type="expression" dxfId="8199" priority="3783">
      <formula>AND(IF($Q11=3,1,0),IF($X11&lt;30,1,0))</formula>
    </cfRule>
    <cfRule type="expression" dxfId="8198" priority="3784">
      <formula>AND(IF($Q11=3,1,IF($Q11=4,1,0)),IF($F11&lt;=85,1,0))</formula>
    </cfRule>
  </conditionalFormatting>
  <conditionalFormatting sqref="AV12">
    <cfRule type="expression" dxfId="8197" priority="3779">
      <formula>AV12="X"</formula>
    </cfRule>
    <cfRule type="expression" dxfId="8196" priority="3780">
      <formula>AV12="후보"</formula>
    </cfRule>
  </conditionalFormatting>
  <conditionalFormatting sqref="AC12">
    <cfRule type="cellIs" dxfId="8195" priority="3777" operator="greaterThan">
      <formula>0.9</formula>
    </cfRule>
    <cfRule type="cellIs" dxfId="8194" priority="3778" operator="greaterThan">
      <formula>0.85</formula>
    </cfRule>
  </conditionalFormatting>
  <conditionalFormatting sqref="N12">
    <cfRule type="cellIs" dxfId="8193" priority="3775" operator="greaterThan">
      <formula>0.9</formula>
    </cfRule>
    <cfRule type="cellIs" dxfId="8192" priority="3776" operator="greaterThan">
      <formula>0.85</formula>
    </cfRule>
  </conditionalFormatting>
  <conditionalFormatting sqref="E12">
    <cfRule type="expression" dxfId="8191" priority="3771">
      <formula>AND(IF(OR($Q12=1,$Q12=2),1,0),IF($X12&lt;=20,1,0))</formula>
    </cfRule>
    <cfRule type="expression" dxfId="8190" priority="3772">
      <formula>AND(IF($Q12=2,1,0),IF($X12&lt;30,1,0))</formula>
    </cfRule>
    <cfRule type="expression" dxfId="8189" priority="3773">
      <formula>AND(IF($Q12=3,1,0),IF($X12&lt;30,1,0))</formula>
    </cfRule>
    <cfRule type="expression" dxfId="8188" priority="3774">
      <formula>AND(IF($Q12=3,1,IF($Q12=4,1,0)),IF($F12&lt;=85,1,0))</formula>
    </cfRule>
  </conditionalFormatting>
  <conditionalFormatting sqref="X12">
    <cfRule type="expression" dxfId="8187" priority="3767">
      <formula>AND(IF(OR($Q12=1,$Q12=2),1,0),IF($X12&lt;=20,1,0))</formula>
    </cfRule>
    <cfRule type="expression" dxfId="8186" priority="3768">
      <formula>AND(IF($Q12=2,1,0),IF($X12&lt;30,1,0))</formula>
    </cfRule>
    <cfRule type="expression" dxfId="8185" priority="3769">
      <formula>AND(IF($Q12=3,1,0),IF($X12&lt;30,1,0))</formula>
    </cfRule>
    <cfRule type="expression" dxfId="8184" priority="3770">
      <formula>AND(IF($Q12=3,1,IF($Q12=4,1,0)),IF($F12&lt;=85,1,0))</formula>
    </cfRule>
  </conditionalFormatting>
  <conditionalFormatting sqref="AI12">
    <cfRule type="expression" dxfId="8183" priority="3763">
      <formula>AND(IF(OR($Q12=1,$Q12=2),1,0),IF($X12&lt;=20,1,0))</formula>
    </cfRule>
    <cfRule type="expression" dxfId="8182" priority="3764">
      <formula>AND(IF($Q12=2,1,0),IF($X12&lt;30,1,0))</formula>
    </cfRule>
    <cfRule type="expression" dxfId="8181" priority="3765">
      <formula>AND(IF($Q12=3,1,0),IF($X12&lt;30,1,0))</formula>
    </cfRule>
    <cfRule type="expression" dxfId="8180" priority="3766">
      <formula>AND(IF($Q12=3,1,IF($Q12=4,1,0)),IF($F12&lt;=85,1,0))</formula>
    </cfRule>
  </conditionalFormatting>
  <conditionalFormatting sqref="AV13">
    <cfRule type="expression" dxfId="8179" priority="3761">
      <formula>AV13="X"</formula>
    </cfRule>
    <cfRule type="expression" dxfId="8178" priority="3762">
      <formula>AV13="후보"</formula>
    </cfRule>
  </conditionalFormatting>
  <conditionalFormatting sqref="AC13">
    <cfRule type="cellIs" dxfId="8177" priority="3759" operator="greaterThan">
      <formula>0.9</formula>
    </cfRule>
    <cfRule type="cellIs" dxfId="8176" priority="3760" operator="greaterThan">
      <formula>0.85</formula>
    </cfRule>
  </conditionalFormatting>
  <conditionalFormatting sqref="N13">
    <cfRule type="cellIs" dxfId="8175" priority="3757" operator="greaterThan">
      <formula>0.9</formula>
    </cfRule>
    <cfRule type="cellIs" dxfId="8174" priority="3758" operator="greaterThan">
      <formula>0.85</formula>
    </cfRule>
  </conditionalFormatting>
  <conditionalFormatting sqref="E13">
    <cfRule type="expression" dxfId="8173" priority="3753">
      <formula>AND(IF(OR($Q13=1,$Q13=2),1,0),IF($X13&lt;=20,1,0))</formula>
    </cfRule>
    <cfRule type="expression" dxfId="8172" priority="3754">
      <formula>AND(IF($Q13=2,1,0),IF($X13&lt;30,1,0))</formula>
    </cfRule>
    <cfRule type="expression" dxfId="8171" priority="3755">
      <formula>AND(IF($Q13=3,1,0),IF($X13&lt;30,1,0))</formula>
    </cfRule>
    <cfRule type="expression" dxfId="8170" priority="3756">
      <formula>AND(IF($Q13=3,1,IF($Q13=4,1,0)),IF($F13&lt;=85,1,0))</formula>
    </cfRule>
  </conditionalFormatting>
  <conditionalFormatting sqref="X13">
    <cfRule type="expression" dxfId="8169" priority="3749">
      <formula>AND(IF(OR($Q13=1,$Q13=2),1,0),IF($X13&lt;=20,1,0))</formula>
    </cfRule>
    <cfRule type="expression" dxfId="8168" priority="3750">
      <formula>AND(IF($Q13=2,1,0),IF($X13&lt;30,1,0))</formula>
    </cfRule>
    <cfRule type="expression" dxfId="8167" priority="3751">
      <formula>AND(IF($Q13=3,1,0),IF($X13&lt;30,1,0))</formula>
    </cfRule>
    <cfRule type="expression" dxfId="8166" priority="3752">
      <formula>AND(IF($Q13=3,1,IF($Q13=4,1,0)),IF($F13&lt;=85,1,0))</formula>
    </cfRule>
  </conditionalFormatting>
  <conditionalFormatting sqref="AI13">
    <cfRule type="expression" dxfId="8165" priority="3745">
      <formula>AND(IF(OR($Q13=1,$Q13=2),1,0),IF($X13&lt;=20,1,0))</formula>
    </cfRule>
    <cfRule type="expression" dxfId="8164" priority="3746">
      <formula>AND(IF($Q13=2,1,0),IF($X13&lt;30,1,0))</formula>
    </cfRule>
    <cfRule type="expression" dxfId="8163" priority="3747">
      <formula>AND(IF($Q13=3,1,0),IF($X13&lt;30,1,0))</formula>
    </cfRule>
    <cfRule type="expression" dxfId="8162" priority="3748">
      <formula>AND(IF($Q13=3,1,IF($Q13=4,1,0)),IF($F13&lt;=85,1,0))</formula>
    </cfRule>
  </conditionalFormatting>
  <conditionalFormatting sqref="AV14">
    <cfRule type="expression" dxfId="8161" priority="3743">
      <formula>AV14="X"</formula>
    </cfRule>
    <cfRule type="expression" dxfId="8160" priority="3744">
      <formula>AV14="후보"</formula>
    </cfRule>
  </conditionalFormatting>
  <conditionalFormatting sqref="AC14">
    <cfRule type="cellIs" dxfId="8159" priority="3741" operator="greaterThan">
      <formula>0.9</formula>
    </cfRule>
    <cfRule type="cellIs" dxfId="8158" priority="3742" operator="greaterThan">
      <formula>0.85</formula>
    </cfRule>
  </conditionalFormatting>
  <conditionalFormatting sqref="N14">
    <cfRule type="cellIs" dxfId="8157" priority="3739" operator="greaterThan">
      <formula>0.9</formula>
    </cfRule>
    <cfRule type="cellIs" dxfId="8156" priority="3740" operator="greaterThan">
      <formula>0.85</formula>
    </cfRule>
  </conditionalFormatting>
  <conditionalFormatting sqref="E14">
    <cfRule type="expression" dxfId="8155" priority="3735">
      <formula>AND(IF(OR($Q14=1,$Q14=2),1,0),IF($X14&lt;=20,1,0))</formula>
    </cfRule>
    <cfRule type="expression" dxfId="8154" priority="3736">
      <formula>AND(IF($Q14=2,1,0),IF($X14&lt;30,1,0))</formula>
    </cfRule>
    <cfRule type="expression" dxfId="8153" priority="3737">
      <formula>AND(IF($Q14=3,1,0),IF($X14&lt;30,1,0))</formula>
    </cfRule>
    <cfRule type="expression" dxfId="8152" priority="3738">
      <formula>AND(IF($Q14=3,1,IF($Q14=4,1,0)),IF($F14&lt;=85,1,0))</formula>
    </cfRule>
  </conditionalFormatting>
  <conditionalFormatting sqref="X14">
    <cfRule type="expression" dxfId="8151" priority="3731">
      <formula>AND(IF(OR($Q14=1,$Q14=2),1,0),IF($X14&lt;=20,1,0))</formula>
    </cfRule>
    <cfRule type="expression" dxfId="8150" priority="3732">
      <formula>AND(IF($Q14=2,1,0),IF($X14&lt;30,1,0))</formula>
    </cfRule>
    <cfRule type="expression" dxfId="8149" priority="3733">
      <formula>AND(IF($Q14=3,1,0),IF($X14&lt;30,1,0))</formula>
    </cfRule>
    <cfRule type="expression" dxfId="8148" priority="3734">
      <formula>AND(IF($Q14=3,1,IF($Q14=4,1,0)),IF($F14&lt;=85,1,0))</formula>
    </cfRule>
  </conditionalFormatting>
  <conditionalFormatting sqref="AI14">
    <cfRule type="expression" dxfId="8147" priority="3727">
      <formula>AND(IF(OR($Q14=1,$Q14=2),1,0),IF($X14&lt;=20,1,0))</formula>
    </cfRule>
    <cfRule type="expression" dxfId="8146" priority="3728">
      <formula>AND(IF($Q14=2,1,0),IF($X14&lt;30,1,0))</formula>
    </cfRule>
    <cfRule type="expression" dxfId="8145" priority="3729">
      <formula>AND(IF($Q14=3,1,0),IF($X14&lt;30,1,0))</formula>
    </cfRule>
    <cfRule type="expression" dxfId="8144" priority="3730">
      <formula>AND(IF($Q14=3,1,IF($Q14=4,1,0)),IF($F14&lt;=85,1,0))</formula>
    </cfRule>
  </conditionalFormatting>
  <conditionalFormatting sqref="AV15">
    <cfRule type="expression" dxfId="8143" priority="3725">
      <formula>AV15="X"</formula>
    </cfRule>
    <cfRule type="expression" dxfId="8142" priority="3726">
      <formula>AV15="후보"</formula>
    </cfRule>
  </conditionalFormatting>
  <conditionalFormatting sqref="AC15">
    <cfRule type="cellIs" dxfId="8141" priority="3723" operator="greaterThan">
      <formula>0.9</formula>
    </cfRule>
    <cfRule type="cellIs" dxfId="8140" priority="3724" operator="greaterThan">
      <formula>0.85</formula>
    </cfRule>
  </conditionalFormatting>
  <conditionalFormatting sqref="N15">
    <cfRule type="cellIs" dxfId="8139" priority="3721" operator="greaterThan">
      <formula>0.9</formula>
    </cfRule>
    <cfRule type="cellIs" dxfId="8138" priority="3722" operator="greaterThan">
      <formula>0.85</formula>
    </cfRule>
  </conditionalFormatting>
  <conditionalFormatting sqref="E15">
    <cfRule type="expression" dxfId="8137" priority="3717">
      <formula>AND(IF(OR($Q15=1,$Q15=2),1,0),IF($X15&lt;=20,1,0))</formula>
    </cfRule>
    <cfRule type="expression" dxfId="8136" priority="3718">
      <formula>AND(IF($Q15=2,1,0),IF($X15&lt;30,1,0))</formula>
    </cfRule>
    <cfRule type="expression" dxfId="8135" priority="3719">
      <formula>AND(IF($Q15=3,1,0),IF($X15&lt;30,1,0))</formula>
    </cfRule>
    <cfRule type="expression" dxfId="8134" priority="3720">
      <formula>AND(IF($Q15=3,1,IF($Q15=4,1,0)),IF($F15&lt;=85,1,0))</formula>
    </cfRule>
  </conditionalFormatting>
  <conditionalFormatting sqref="X15">
    <cfRule type="expression" dxfId="8133" priority="3713">
      <formula>AND(IF(OR($Q15=1,$Q15=2),1,0),IF($X15&lt;=20,1,0))</formula>
    </cfRule>
    <cfRule type="expression" dxfId="8132" priority="3714">
      <formula>AND(IF($Q15=2,1,0),IF($X15&lt;30,1,0))</formula>
    </cfRule>
    <cfRule type="expression" dxfId="8131" priority="3715">
      <formula>AND(IF($Q15=3,1,0),IF($X15&lt;30,1,0))</formula>
    </cfRule>
    <cfRule type="expression" dxfId="8130" priority="3716">
      <formula>AND(IF($Q15=3,1,IF($Q15=4,1,0)),IF($F15&lt;=85,1,0))</formula>
    </cfRule>
  </conditionalFormatting>
  <conditionalFormatting sqref="AI15">
    <cfRule type="expression" dxfId="8129" priority="3709">
      <formula>AND(IF(OR($Q15=1,$Q15=2),1,0),IF($X15&lt;=20,1,0))</formula>
    </cfRule>
    <cfRule type="expression" dxfId="8128" priority="3710">
      <formula>AND(IF($Q15=2,1,0),IF($X15&lt;30,1,0))</formula>
    </cfRule>
    <cfRule type="expression" dxfId="8127" priority="3711">
      <formula>AND(IF($Q15=3,1,0),IF($X15&lt;30,1,0))</formula>
    </cfRule>
    <cfRule type="expression" dxfId="8126" priority="3712">
      <formula>AND(IF($Q15=3,1,IF($Q15=4,1,0)),IF($F15&lt;=85,1,0))</formula>
    </cfRule>
  </conditionalFormatting>
  <conditionalFormatting sqref="AV16">
    <cfRule type="expression" dxfId="8125" priority="3707">
      <formula>AV16="X"</formula>
    </cfRule>
    <cfRule type="expression" dxfId="8124" priority="3708">
      <formula>AV16="후보"</formula>
    </cfRule>
  </conditionalFormatting>
  <conditionalFormatting sqref="AC16">
    <cfRule type="cellIs" dxfId="8123" priority="3705" operator="greaterThan">
      <formula>0.9</formula>
    </cfRule>
    <cfRule type="cellIs" dxfId="8122" priority="3706" operator="greaterThan">
      <formula>0.85</formula>
    </cfRule>
  </conditionalFormatting>
  <conditionalFormatting sqref="N16">
    <cfRule type="cellIs" dxfId="8121" priority="3703" operator="greaterThan">
      <formula>0.9</formula>
    </cfRule>
    <cfRule type="cellIs" dxfId="8120" priority="3704" operator="greaterThan">
      <formula>0.85</formula>
    </cfRule>
  </conditionalFormatting>
  <conditionalFormatting sqref="E16">
    <cfRule type="expression" dxfId="8119" priority="3699">
      <formula>AND(IF(OR($Q16=1,$Q16=2),1,0),IF($X16&lt;=20,1,0))</formula>
    </cfRule>
    <cfRule type="expression" dxfId="8118" priority="3700">
      <formula>AND(IF($Q16=2,1,0),IF($X16&lt;30,1,0))</formula>
    </cfRule>
    <cfRule type="expression" dxfId="8117" priority="3701">
      <formula>AND(IF($Q16=3,1,0),IF($X16&lt;30,1,0))</formula>
    </cfRule>
    <cfRule type="expression" dxfId="8116" priority="3702">
      <formula>AND(IF($Q16=3,1,IF($Q16=4,1,0)),IF($F16&lt;=85,1,0))</formula>
    </cfRule>
  </conditionalFormatting>
  <conditionalFormatting sqref="X16">
    <cfRule type="expression" dxfId="8115" priority="3695">
      <formula>AND(IF(OR($Q16=1,$Q16=2),1,0),IF($X16&lt;=20,1,0))</formula>
    </cfRule>
    <cfRule type="expression" dxfId="8114" priority="3696">
      <formula>AND(IF($Q16=2,1,0),IF($X16&lt;30,1,0))</formula>
    </cfRule>
    <cfRule type="expression" dxfId="8113" priority="3697">
      <formula>AND(IF($Q16=3,1,0),IF($X16&lt;30,1,0))</formula>
    </cfRule>
    <cfRule type="expression" dxfId="8112" priority="3698">
      <formula>AND(IF($Q16=3,1,IF($Q16=4,1,0)),IF($F16&lt;=85,1,0))</formula>
    </cfRule>
  </conditionalFormatting>
  <conditionalFormatting sqref="AI16">
    <cfRule type="expression" dxfId="8111" priority="3691">
      <formula>AND(IF(OR($Q16=1,$Q16=2),1,0),IF($X16&lt;=20,1,0))</formula>
    </cfRule>
    <cfRule type="expression" dxfId="8110" priority="3692">
      <formula>AND(IF($Q16=2,1,0),IF($X16&lt;30,1,0))</formula>
    </cfRule>
    <cfRule type="expression" dxfId="8109" priority="3693">
      <formula>AND(IF($Q16=3,1,0),IF($X16&lt;30,1,0))</formula>
    </cfRule>
    <cfRule type="expression" dxfId="8108" priority="3694">
      <formula>AND(IF($Q16=3,1,IF($Q16=4,1,0)),IF($F16&lt;=85,1,0))</formula>
    </cfRule>
  </conditionalFormatting>
  <conditionalFormatting sqref="AV17">
    <cfRule type="expression" dxfId="8107" priority="3689">
      <formula>AV17="X"</formula>
    </cfRule>
    <cfRule type="expression" dxfId="8106" priority="3690">
      <formula>AV17="후보"</formula>
    </cfRule>
  </conditionalFormatting>
  <conditionalFormatting sqref="AC17">
    <cfRule type="cellIs" dxfId="8105" priority="3687" operator="greaterThan">
      <formula>0.9</formula>
    </cfRule>
    <cfRule type="cellIs" dxfId="8104" priority="3688" operator="greaterThan">
      <formula>0.85</formula>
    </cfRule>
  </conditionalFormatting>
  <conditionalFormatting sqref="N17">
    <cfRule type="cellIs" dxfId="8103" priority="3685" operator="greaterThan">
      <formula>0.9</formula>
    </cfRule>
    <cfRule type="cellIs" dxfId="8102" priority="3686" operator="greaterThan">
      <formula>0.85</formula>
    </cfRule>
  </conditionalFormatting>
  <conditionalFormatting sqref="E17">
    <cfRule type="expression" dxfId="8101" priority="3681">
      <formula>AND(IF(OR($Q17=1,$Q17=2),1,0),IF($X17&lt;=20,1,0))</formula>
    </cfRule>
    <cfRule type="expression" dxfId="8100" priority="3682">
      <formula>AND(IF($Q17=2,1,0),IF($X17&lt;30,1,0))</formula>
    </cfRule>
    <cfRule type="expression" dxfId="8099" priority="3683">
      <formula>AND(IF($Q17=3,1,0),IF($X17&lt;30,1,0))</formula>
    </cfRule>
    <cfRule type="expression" dxfId="8098" priority="3684">
      <formula>AND(IF($Q17=3,1,IF($Q17=4,1,0)),IF($F17&lt;=85,1,0))</formula>
    </cfRule>
  </conditionalFormatting>
  <conditionalFormatting sqref="X17">
    <cfRule type="expression" dxfId="8097" priority="3677">
      <formula>AND(IF(OR($Q17=1,$Q17=2),1,0),IF($X17&lt;=20,1,0))</formula>
    </cfRule>
    <cfRule type="expression" dxfId="8096" priority="3678">
      <formula>AND(IF($Q17=2,1,0),IF($X17&lt;30,1,0))</formula>
    </cfRule>
    <cfRule type="expression" dxfId="8095" priority="3679">
      <formula>AND(IF($Q17=3,1,0),IF($X17&lt;30,1,0))</formula>
    </cfRule>
    <cfRule type="expression" dxfId="8094" priority="3680">
      <formula>AND(IF($Q17=3,1,IF($Q17=4,1,0)),IF($F17&lt;=85,1,0))</formula>
    </cfRule>
  </conditionalFormatting>
  <conditionalFormatting sqref="AI17">
    <cfRule type="expression" dxfId="8093" priority="3673">
      <formula>AND(IF(OR($Q17=1,$Q17=2),1,0),IF($X17&lt;=20,1,0))</formula>
    </cfRule>
    <cfRule type="expression" dxfId="8092" priority="3674">
      <formula>AND(IF($Q17=2,1,0),IF($X17&lt;30,1,0))</formula>
    </cfRule>
    <cfRule type="expression" dxfId="8091" priority="3675">
      <formula>AND(IF($Q17=3,1,0),IF($X17&lt;30,1,0))</formula>
    </cfRule>
    <cfRule type="expression" dxfId="8090" priority="3676">
      <formula>AND(IF($Q17=3,1,IF($Q17=4,1,0)),IF($F17&lt;=85,1,0))</formula>
    </cfRule>
  </conditionalFormatting>
  <conditionalFormatting sqref="AV18">
    <cfRule type="expression" dxfId="8089" priority="3671">
      <formula>AV18="X"</formula>
    </cfRule>
    <cfRule type="expression" dxfId="8088" priority="3672">
      <formula>AV18="후보"</formula>
    </cfRule>
  </conditionalFormatting>
  <conditionalFormatting sqref="AC18">
    <cfRule type="cellIs" dxfId="8087" priority="3669" operator="greaterThan">
      <formula>0.9</formula>
    </cfRule>
    <cfRule type="cellIs" dxfId="8086" priority="3670" operator="greaterThan">
      <formula>0.85</formula>
    </cfRule>
  </conditionalFormatting>
  <conditionalFormatting sqref="N18">
    <cfRule type="cellIs" dxfId="8085" priority="3667" operator="greaterThan">
      <formula>0.9</formula>
    </cfRule>
    <cfRule type="cellIs" dxfId="8084" priority="3668" operator="greaterThan">
      <formula>0.85</formula>
    </cfRule>
  </conditionalFormatting>
  <conditionalFormatting sqref="E18">
    <cfRule type="expression" dxfId="8083" priority="3663">
      <formula>AND(IF(OR($Q18=1,$Q18=2),1,0),IF($X18&lt;=20,1,0))</formula>
    </cfRule>
    <cfRule type="expression" dxfId="8082" priority="3664">
      <formula>AND(IF($Q18=2,1,0),IF($X18&lt;30,1,0))</formula>
    </cfRule>
    <cfRule type="expression" dxfId="8081" priority="3665">
      <formula>AND(IF($Q18=3,1,0),IF($X18&lt;30,1,0))</formula>
    </cfRule>
    <cfRule type="expression" dxfId="8080" priority="3666">
      <formula>AND(IF($Q18=3,1,IF($Q18=4,1,0)),IF($F18&lt;=85,1,0))</formula>
    </cfRule>
  </conditionalFormatting>
  <conditionalFormatting sqref="X18">
    <cfRule type="expression" dxfId="8079" priority="3659">
      <formula>AND(IF(OR($Q18=1,$Q18=2),1,0),IF($X18&lt;=20,1,0))</formula>
    </cfRule>
    <cfRule type="expression" dxfId="8078" priority="3660">
      <formula>AND(IF($Q18=2,1,0),IF($X18&lt;30,1,0))</formula>
    </cfRule>
    <cfRule type="expression" dxfId="8077" priority="3661">
      <formula>AND(IF($Q18=3,1,0),IF($X18&lt;30,1,0))</formula>
    </cfRule>
    <cfRule type="expression" dxfId="8076" priority="3662">
      <formula>AND(IF($Q18=3,1,IF($Q18=4,1,0)),IF($F18&lt;=85,1,0))</formula>
    </cfRule>
  </conditionalFormatting>
  <conditionalFormatting sqref="AI18">
    <cfRule type="expression" dxfId="8075" priority="3655">
      <formula>AND(IF(OR($Q18=1,$Q18=2),1,0),IF($X18&lt;=20,1,0))</formula>
    </cfRule>
    <cfRule type="expression" dxfId="8074" priority="3656">
      <formula>AND(IF($Q18=2,1,0),IF($X18&lt;30,1,0))</formula>
    </cfRule>
    <cfRule type="expression" dxfId="8073" priority="3657">
      <formula>AND(IF($Q18=3,1,0),IF($X18&lt;30,1,0))</formula>
    </cfRule>
    <cfRule type="expression" dxfId="8072" priority="3658">
      <formula>AND(IF($Q18=3,1,IF($Q18=4,1,0)),IF($F18&lt;=85,1,0))</formula>
    </cfRule>
  </conditionalFormatting>
  <conditionalFormatting sqref="AV19">
    <cfRule type="expression" dxfId="8071" priority="3653">
      <formula>AV19="X"</formula>
    </cfRule>
    <cfRule type="expression" dxfId="8070" priority="3654">
      <formula>AV19="후보"</formula>
    </cfRule>
  </conditionalFormatting>
  <conditionalFormatting sqref="AC19">
    <cfRule type="cellIs" dxfId="8069" priority="3651" operator="greaterThan">
      <formula>0.9</formula>
    </cfRule>
    <cfRule type="cellIs" dxfId="8068" priority="3652" operator="greaterThan">
      <formula>0.85</formula>
    </cfRule>
  </conditionalFormatting>
  <conditionalFormatting sqref="N19">
    <cfRule type="cellIs" dxfId="8067" priority="3649" operator="greaterThan">
      <formula>0.9</formula>
    </cfRule>
    <cfRule type="cellIs" dxfId="8066" priority="3650" operator="greaterThan">
      <formula>0.85</formula>
    </cfRule>
  </conditionalFormatting>
  <conditionalFormatting sqref="E19">
    <cfRule type="expression" dxfId="8065" priority="3645">
      <formula>AND(IF(OR($Q19=1,$Q19=2),1,0),IF($X19&lt;=20,1,0))</formula>
    </cfRule>
    <cfRule type="expression" dxfId="8064" priority="3646">
      <formula>AND(IF($Q19=2,1,0),IF($X19&lt;30,1,0))</formula>
    </cfRule>
    <cfRule type="expression" dxfId="8063" priority="3647">
      <formula>AND(IF($Q19=3,1,0),IF($X19&lt;30,1,0))</formula>
    </cfRule>
    <cfRule type="expression" dxfId="8062" priority="3648">
      <formula>AND(IF($Q19=3,1,IF($Q19=4,1,0)),IF($F19&lt;=85,1,0))</formula>
    </cfRule>
  </conditionalFormatting>
  <conditionalFormatting sqref="X19">
    <cfRule type="expression" dxfId="8061" priority="3641">
      <formula>AND(IF(OR($Q19=1,$Q19=2),1,0),IF($X19&lt;=20,1,0))</formula>
    </cfRule>
    <cfRule type="expression" dxfId="8060" priority="3642">
      <formula>AND(IF($Q19=2,1,0),IF($X19&lt;30,1,0))</formula>
    </cfRule>
    <cfRule type="expression" dxfId="8059" priority="3643">
      <formula>AND(IF($Q19=3,1,0),IF($X19&lt;30,1,0))</formula>
    </cfRule>
    <cfRule type="expression" dxfId="8058" priority="3644">
      <formula>AND(IF($Q19=3,1,IF($Q19=4,1,0)),IF($F19&lt;=85,1,0))</formula>
    </cfRule>
  </conditionalFormatting>
  <conditionalFormatting sqref="AI19">
    <cfRule type="expression" dxfId="8057" priority="3637">
      <formula>AND(IF(OR($Q19=1,$Q19=2),1,0),IF($X19&lt;=20,1,0))</formula>
    </cfRule>
    <cfRule type="expression" dxfId="8056" priority="3638">
      <formula>AND(IF($Q19=2,1,0),IF($X19&lt;30,1,0))</formula>
    </cfRule>
    <cfRule type="expression" dxfId="8055" priority="3639">
      <formula>AND(IF($Q19=3,1,0),IF($X19&lt;30,1,0))</formula>
    </cfRule>
    <cfRule type="expression" dxfId="8054" priority="3640">
      <formula>AND(IF($Q19=3,1,IF($Q19=4,1,0)),IF($F19&lt;=85,1,0))</formula>
    </cfRule>
  </conditionalFormatting>
  <conditionalFormatting sqref="AV20">
    <cfRule type="expression" dxfId="8053" priority="3635">
      <formula>AV20="X"</formula>
    </cfRule>
    <cfRule type="expression" dxfId="8052" priority="3636">
      <formula>AV20="후보"</formula>
    </cfRule>
  </conditionalFormatting>
  <conditionalFormatting sqref="AC20">
    <cfRule type="cellIs" dxfId="8051" priority="3633" operator="greaterThan">
      <formula>0.9</formula>
    </cfRule>
    <cfRule type="cellIs" dxfId="8050" priority="3634" operator="greaterThan">
      <formula>0.85</formula>
    </cfRule>
  </conditionalFormatting>
  <conditionalFormatting sqref="N20">
    <cfRule type="cellIs" dxfId="8049" priority="3631" operator="greaterThan">
      <formula>0.9</formula>
    </cfRule>
    <cfRule type="cellIs" dxfId="8048" priority="3632" operator="greaterThan">
      <formula>0.85</formula>
    </cfRule>
  </conditionalFormatting>
  <conditionalFormatting sqref="E20">
    <cfRule type="expression" dxfId="8047" priority="3627">
      <formula>AND(IF(OR($Q20=1,$Q20=2),1,0),IF($X20&lt;=20,1,0))</formula>
    </cfRule>
    <cfRule type="expression" dxfId="8046" priority="3628">
      <formula>AND(IF($Q20=2,1,0),IF($X20&lt;30,1,0))</formula>
    </cfRule>
    <cfRule type="expression" dxfId="8045" priority="3629">
      <formula>AND(IF($Q20=3,1,0),IF($X20&lt;30,1,0))</formula>
    </cfRule>
    <cfRule type="expression" dxfId="8044" priority="3630">
      <formula>AND(IF($Q20=3,1,IF($Q20=4,1,0)),IF($F20&lt;=85,1,0))</formula>
    </cfRule>
  </conditionalFormatting>
  <conditionalFormatting sqref="X20">
    <cfRule type="expression" dxfId="8043" priority="3623">
      <formula>AND(IF(OR($Q20=1,$Q20=2),1,0),IF($X20&lt;=20,1,0))</formula>
    </cfRule>
    <cfRule type="expression" dxfId="8042" priority="3624">
      <formula>AND(IF($Q20=2,1,0),IF($X20&lt;30,1,0))</formula>
    </cfRule>
    <cfRule type="expression" dxfId="8041" priority="3625">
      <formula>AND(IF($Q20=3,1,0),IF($X20&lt;30,1,0))</formula>
    </cfRule>
    <cfRule type="expression" dxfId="8040" priority="3626">
      <formula>AND(IF($Q20=3,1,IF($Q20=4,1,0)),IF($F20&lt;=85,1,0))</formula>
    </cfRule>
  </conditionalFormatting>
  <conditionalFormatting sqref="AI20">
    <cfRule type="expression" dxfId="8039" priority="3619">
      <formula>AND(IF(OR($Q20=1,$Q20=2),1,0),IF($X20&lt;=20,1,0))</formula>
    </cfRule>
    <cfRule type="expression" dxfId="8038" priority="3620">
      <formula>AND(IF($Q20=2,1,0),IF($X20&lt;30,1,0))</formula>
    </cfRule>
    <cfRule type="expression" dxfId="8037" priority="3621">
      <formula>AND(IF($Q20=3,1,0),IF($X20&lt;30,1,0))</formula>
    </cfRule>
    <cfRule type="expression" dxfId="8036" priority="3622">
      <formula>AND(IF($Q20=3,1,IF($Q20=4,1,0)),IF($F20&lt;=85,1,0))</formula>
    </cfRule>
  </conditionalFormatting>
  <conditionalFormatting sqref="AV21">
    <cfRule type="expression" dxfId="8035" priority="3617">
      <formula>AV21="X"</formula>
    </cfRule>
    <cfRule type="expression" dxfId="8034" priority="3618">
      <formula>AV21="후보"</formula>
    </cfRule>
  </conditionalFormatting>
  <conditionalFormatting sqref="AC21">
    <cfRule type="cellIs" dxfId="8033" priority="3615" operator="greaterThan">
      <formula>0.9</formula>
    </cfRule>
    <cfRule type="cellIs" dxfId="8032" priority="3616" operator="greaterThan">
      <formula>0.85</formula>
    </cfRule>
  </conditionalFormatting>
  <conditionalFormatting sqref="N21">
    <cfRule type="cellIs" dxfId="8031" priority="3613" operator="greaterThan">
      <formula>0.9</formula>
    </cfRule>
    <cfRule type="cellIs" dxfId="8030" priority="3614" operator="greaterThan">
      <formula>0.85</formula>
    </cfRule>
  </conditionalFormatting>
  <conditionalFormatting sqref="E21">
    <cfRule type="expression" dxfId="8029" priority="3609">
      <formula>AND(IF(OR($Q21=1,$Q21=2),1,0),IF($X21&lt;=20,1,0))</formula>
    </cfRule>
    <cfRule type="expression" dxfId="8028" priority="3610">
      <formula>AND(IF($Q21=2,1,0),IF($X21&lt;30,1,0))</formula>
    </cfRule>
    <cfRule type="expression" dxfId="8027" priority="3611">
      <formula>AND(IF($Q21=3,1,0),IF($X21&lt;30,1,0))</formula>
    </cfRule>
    <cfRule type="expression" dxfId="8026" priority="3612">
      <formula>AND(IF($Q21=3,1,IF($Q21=4,1,0)),IF($F21&lt;=85,1,0))</formula>
    </cfRule>
  </conditionalFormatting>
  <conditionalFormatting sqref="X21">
    <cfRule type="expression" dxfId="8025" priority="3605">
      <formula>AND(IF(OR($Q21=1,$Q21=2),1,0),IF($X21&lt;=20,1,0))</formula>
    </cfRule>
    <cfRule type="expression" dxfId="8024" priority="3606">
      <formula>AND(IF($Q21=2,1,0),IF($X21&lt;30,1,0))</formula>
    </cfRule>
    <cfRule type="expression" dxfId="8023" priority="3607">
      <formula>AND(IF($Q21=3,1,0),IF($X21&lt;30,1,0))</formula>
    </cfRule>
    <cfRule type="expression" dxfId="8022" priority="3608">
      <formula>AND(IF($Q21=3,1,IF($Q21=4,1,0)),IF($F21&lt;=85,1,0))</formula>
    </cfRule>
  </conditionalFormatting>
  <conditionalFormatting sqref="AI21">
    <cfRule type="expression" dxfId="8021" priority="3601">
      <formula>AND(IF(OR($Q21=1,$Q21=2),1,0),IF($X21&lt;=20,1,0))</formula>
    </cfRule>
    <cfRule type="expression" dxfId="8020" priority="3602">
      <formula>AND(IF($Q21=2,1,0),IF($X21&lt;30,1,0))</formula>
    </cfRule>
    <cfRule type="expression" dxfId="8019" priority="3603">
      <formula>AND(IF($Q21=3,1,0),IF($X21&lt;30,1,0))</formula>
    </cfRule>
    <cfRule type="expression" dxfId="8018" priority="3604">
      <formula>AND(IF($Q21=3,1,IF($Q21=4,1,0)),IF($F21&lt;=85,1,0))</formula>
    </cfRule>
  </conditionalFormatting>
  <conditionalFormatting sqref="AV22">
    <cfRule type="expression" dxfId="8017" priority="3599">
      <formula>AV22="X"</formula>
    </cfRule>
    <cfRule type="expression" dxfId="8016" priority="3600">
      <formula>AV22="후보"</formula>
    </cfRule>
  </conditionalFormatting>
  <conditionalFormatting sqref="AC22">
    <cfRule type="cellIs" dxfId="8015" priority="3597" operator="greaterThan">
      <formula>0.9</formula>
    </cfRule>
    <cfRule type="cellIs" dxfId="8014" priority="3598" operator="greaterThan">
      <formula>0.85</formula>
    </cfRule>
  </conditionalFormatting>
  <conditionalFormatting sqref="N22">
    <cfRule type="cellIs" dxfId="8013" priority="3595" operator="greaterThan">
      <formula>0.9</formula>
    </cfRule>
    <cfRule type="cellIs" dxfId="8012" priority="3596" operator="greaterThan">
      <formula>0.85</formula>
    </cfRule>
  </conditionalFormatting>
  <conditionalFormatting sqref="E22">
    <cfRule type="expression" dxfId="8011" priority="3591">
      <formula>AND(IF(OR($Q22=1,$Q22=2),1,0),IF($X22&lt;=20,1,0))</formula>
    </cfRule>
    <cfRule type="expression" dxfId="8010" priority="3592">
      <formula>AND(IF($Q22=2,1,0),IF($X22&lt;30,1,0))</formula>
    </cfRule>
    <cfRule type="expression" dxfId="8009" priority="3593">
      <formula>AND(IF($Q22=3,1,0),IF($X22&lt;30,1,0))</formula>
    </cfRule>
    <cfRule type="expression" dxfId="8008" priority="3594">
      <formula>AND(IF($Q22=3,1,IF($Q22=4,1,0)),IF($F22&lt;=85,1,0))</formula>
    </cfRule>
  </conditionalFormatting>
  <conditionalFormatting sqref="X22">
    <cfRule type="expression" dxfId="8007" priority="3587">
      <formula>AND(IF(OR($Q22=1,$Q22=2),1,0),IF($X22&lt;=20,1,0))</formula>
    </cfRule>
    <cfRule type="expression" dxfId="8006" priority="3588">
      <formula>AND(IF($Q22=2,1,0),IF($X22&lt;30,1,0))</formula>
    </cfRule>
    <cfRule type="expression" dxfId="8005" priority="3589">
      <formula>AND(IF($Q22=3,1,0),IF($X22&lt;30,1,0))</formula>
    </cfRule>
    <cfRule type="expression" dxfId="8004" priority="3590">
      <formula>AND(IF($Q22=3,1,IF($Q22=4,1,0)),IF($F22&lt;=85,1,0))</formula>
    </cfRule>
  </conditionalFormatting>
  <conditionalFormatting sqref="AI22">
    <cfRule type="expression" dxfId="8003" priority="3583">
      <formula>AND(IF(OR($Q22=1,$Q22=2),1,0),IF($X22&lt;=20,1,0))</formula>
    </cfRule>
    <cfRule type="expression" dxfId="8002" priority="3584">
      <formula>AND(IF($Q22=2,1,0),IF($X22&lt;30,1,0))</formula>
    </cfRule>
    <cfRule type="expression" dxfId="8001" priority="3585">
      <formula>AND(IF($Q22=3,1,0),IF($X22&lt;30,1,0))</formula>
    </cfRule>
    <cfRule type="expression" dxfId="8000" priority="3586">
      <formula>AND(IF($Q22=3,1,IF($Q22=4,1,0)),IF($F22&lt;=85,1,0))</formula>
    </cfRule>
  </conditionalFormatting>
  <conditionalFormatting sqref="AV23">
    <cfRule type="expression" dxfId="7999" priority="3581">
      <formula>AV23="X"</formula>
    </cfRule>
    <cfRule type="expression" dxfId="7998" priority="3582">
      <formula>AV23="후보"</formula>
    </cfRule>
  </conditionalFormatting>
  <conditionalFormatting sqref="AC23">
    <cfRule type="cellIs" dxfId="7997" priority="3579" operator="greaterThan">
      <formula>0.9</formula>
    </cfRule>
    <cfRule type="cellIs" dxfId="7996" priority="3580" operator="greaterThan">
      <formula>0.85</formula>
    </cfRule>
  </conditionalFormatting>
  <conditionalFormatting sqref="N23">
    <cfRule type="cellIs" dxfId="7995" priority="3577" operator="greaterThan">
      <formula>0.9</formula>
    </cfRule>
    <cfRule type="cellIs" dxfId="7994" priority="3578" operator="greaterThan">
      <formula>0.85</formula>
    </cfRule>
  </conditionalFormatting>
  <conditionalFormatting sqref="E23">
    <cfRule type="expression" dxfId="7993" priority="3573">
      <formula>AND(IF(OR($Q23=1,$Q23=2),1,0),IF($X23&lt;=20,1,0))</formula>
    </cfRule>
    <cfRule type="expression" dxfId="7992" priority="3574">
      <formula>AND(IF($Q23=2,1,0),IF($X23&lt;30,1,0))</formula>
    </cfRule>
    <cfRule type="expression" dxfId="7991" priority="3575">
      <formula>AND(IF($Q23=3,1,0),IF($X23&lt;30,1,0))</formula>
    </cfRule>
    <cfRule type="expression" dxfId="7990" priority="3576">
      <formula>AND(IF($Q23=3,1,IF($Q23=4,1,0)),IF($F23&lt;=85,1,0))</formula>
    </cfRule>
  </conditionalFormatting>
  <conditionalFormatting sqref="X23">
    <cfRule type="expression" dxfId="7989" priority="3569">
      <formula>AND(IF(OR($Q23=1,$Q23=2),1,0),IF($X23&lt;=20,1,0))</formula>
    </cfRule>
    <cfRule type="expression" dxfId="7988" priority="3570">
      <formula>AND(IF($Q23=2,1,0),IF($X23&lt;30,1,0))</formula>
    </cfRule>
    <cfRule type="expression" dxfId="7987" priority="3571">
      <formula>AND(IF($Q23=3,1,0),IF($X23&lt;30,1,0))</formula>
    </cfRule>
    <cfRule type="expression" dxfId="7986" priority="3572">
      <formula>AND(IF($Q23=3,1,IF($Q23=4,1,0)),IF($F23&lt;=85,1,0))</formula>
    </cfRule>
  </conditionalFormatting>
  <conditionalFormatting sqref="AI23">
    <cfRule type="expression" dxfId="7985" priority="3565">
      <formula>AND(IF(OR($Q23=1,$Q23=2),1,0),IF($X23&lt;=20,1,0))</formula>
    </cfRule>
    <cfRule type="expression" dxfId="7984" priority="3566">
      <formula>AND(IF($Q23=2,1,0),IF($X23&lt;30,1,0))</formula>
    </cfRule>
    <cfRule type="expression" dxfId="7983" priority="3567">
      <formula>AND(IF($Q23=3,1,0),IF($X23&lt;30,1,0))</formula>
    </cfRule>
    <cfRule type="expression" dxfId="7982" priority="3568">
      <formula>AND(IF($Q23=3,1,IF($Q23=4,1,0)),IF($F23&lt;=85,1,0))</formula>
    </cfRule>
  </conditionalFormatting>
  <conditionalFormatting sqref="AV24">
    <cfRule type="expression" dxfId="7981" priority="3563">
      <formula>AV24="X"</formula>
    </cfRule>
    <cfRule type="expression" dxfId="7980" priority="3564">
      <formula>AV24="후보"</formula>
    </cfRule>
  </conditionalFormatting>
  <conditionalFormatting sqref="AC24">
    <cfRule type="cellIs" dxfId="7979" priority="3561" operator="greaterThan">
      <formula>0.9</formula>
    </cfRule>
    <cfRule type="cellIs" dxfId="7978" priority="3562" operator="greaterThan">
      <formula>0.85</formula>
    </cfRule>
  </conditionalFormatting>
  <conditionalFormatting sqref="N24">
    <cfRule type="cellIs" dxfId="7977" priority="3559" operator="greaterThan">
      <formula>0.9</formula>
    </cfRule>
    <cfRule type="cellIs" dxfId="7976" priority="3560" operator="greaterThan">
      <formula>0.85</formula>
    </cfRule>
  </conditionalFormatting>
  <conditionalFormatting sqref="E24">
    <cfRule type="expression" dxfId="7975" priority="3555">
      <formula>AND(IF(OR($Q24=1,$Q24=2),1,0),IF($X24&lt;=20,1,0))</formula>
    </cfRule>
    <cfRule type="expression" dxfId="7974" priority="3556">
      <formula>AND(IF($Q24=2,1,0),IF($X24&lt;30,1,0))</formula>
    </cfRule>
    <cfRule type="expression" dxfId="7973" priority="3557">
      <formula>AND(IF($Q24=3,1,0),IF($X24&lt;30,1,0))</formula>
    </cfRule>
    <cfRule type="expression" dxfId="7972" priority="3558">
      <formula>AND(IF($Q24=3,1,IF($Q24=4,1,0)),IF($F24&lt;=85,1,0))</formula>
    </cfRule>
  </conditionalFormatting>
  <conditionalFormatting sqref="X24">
    <cfRule type="expression" dxfId="7971" priority="3551">
      <formula>AND(IF(OR($Q24=1,$Q24=2),1,0),IF($X24&lt;=20,1,0))</formula>
    </cfRule>
    <cfRule type="expression" dxfId="7970" priority="3552">
      <formula>AND(IF($Q24=2,1,0),IF($X24&lt;30,1,0))</formula>
    </cfRule>
    <cfRule type="expression" dxfId="7969" priority="3553">
      <formula>AND(IF($Q24=3,1,0),IF($X24&lt;30,1,0))</formula>
    </cfRule>
    <cfRule type="expression" dxfId="7968" priority="3554">
      <formula>AND(IF($Q24=3,1,IF($Q24=4,1,0)),IF($F24&lt;=85,1,0))</formula>
    </cfRule>
  </conditionalFormatting>
  <conditionalFormatting sqref="AI24">
    <cfRule type="expression" dxfId="7967" priority="3547">
      <formula>AND(IF(OR($Q24=1,$Q24=2),1,0),IF($X24&lt;=20,1,0))</formula>
    </cfRule>
    <cfRule type="expression" dxfId="7966" priority="3548">
      <formula>AND(IF($Q24=2,1,0),IF($X24&lt;30,1,0))</formula>
    </cfRule>
    <cfRule type="expression" dxfId="7965" priority="3549">
      <formula>AND(IF($Q24=3,1,0),IF($X24&lt;30,1,0))</formula>
    </cfRule>
    <cfRule type="expression" dxfId="7964" priority="3550">
      <formula>AND(IF($Q24=3,1,IF($Q24=4,1,0)),IF($F24&lt;=85,1,0))</formula>
    </cfRule>
  </conditionalFormatting>
  <conditionalFormatting sqref="AV25">
    <cfRule type="expression" dxfId="7963" priority="3545">
      <formula>AV25="X"</formula>
    </cfRule>
    <cfRule type="expression" dxfId="7962" priority="3546">
      <formula>AV25="후보"</formula>
    </cfRule>
  </conditionalFormatting>
  <conditionalFormatting sqref="AC25">
    <cfRule type="cellIs" dxfId="7961" priority="3543" operator="greaterThan">
      <formula>0.9</formula>
    </cfRule>
    <cfRule type="cellIs" dxfId="7960" priority="3544" operator="greaterThan">
      <formula>0.85</formula>
    </cfRule>
  </conditionalFormatting>
  <conditionalFormatting sqref="N25">
    <cfRule type="cellIs" dxfId="7959" priority="3541" operator="greaterThan">
      <formula>0.9</formula>
    </cfRule>
    <cfRule type="cellIs" dxfId="7958" priority="3542" operator="greaterThan">
      <formula>0.85</formula>
    </cfRule>
  </conditionalFormatting>
  <conditionalFormatting sqref="E25">
    <cfRule type="expression" dxfId="7957" priority="3537">
      <formula>AND(IF(OR($Q25=1,$Q25=2),1,0),IF($X25&lt;=20,1,0))</formula>
    </cfRule>
    <cfRule type="expression" dxfId="7956" priority="3538">
      <formula>AND(IF($Q25=2,1,0),IF($X25&lt;30,1,0))</formula>
    </cfRule>
    <cfRule type="expression" dxfId="7955" priority="3539">
      <formula>AND(IF($Q25=3,1,0),IF($X25&lt;30,1,0))</formula>
    </cfRule>
    <cfRule type="expression" dxfId="7954" priority="3540">
      <formula>AND(IF($Q25=3,1,IF($Q25=4,1,0)),IF($F25&lt;=85,1,0))</formula>
    </cfRule>
  </conditionalFormatting>
  <conditionalFormatting sqref="X25">
    <cfRule type="expression" dxfId="7953" priority="3533">
      <formula>AND(IF(OR($Q25=1,$Q25=2),1,0),IF($X25&lt;=20,1,0))</formula>
    </cfRule>
    <cfRule type="expression" dxfId="7952" priority="3534">
      <formula>AND(IF($Q25=2,1,0),IF($X25&lt;30,1,0))</formula>
    </cfRule>
    <cfRule type="expression" dxfId="7951" priority="3535">
      <formula>AND(IF($Q25=3,1,0),IF($X25&lt;30,1,0))</formula>
    </cfRule>
    <cfRule type="expression" dxfId="7950" priority="3536">
      <formula>AND(IF($Q25=3,1,IF($Q25=4,1,0)),IF($F25&lt;=85,1,0))</formula>
    </cfRule>
  </conditionalFormatting>
  <conditionalFormatting sqref="AI25">
    <cfRule type="expression" dxfId="7949" priority="3529">
      <formula>AND(IF(OR($Q25=1,$Q25=2),1,0),IF($X25&lt;=20,1,0))</formula>
    </cfRule>
    <cfRule type="expression" dxfId="7948" priority="3530">
      <formula>AND(IF($Q25=2,1,0),IF($X25&lt;30,1,0))</formula>
    </cfRule>
    <cfRule type="expression" dxfId="7947" priority="3531">
      <formula>AND(IF($Q25=3,1,0),IF($X25&lt;30,1,0))</formula>
    </cfRule>
    <cfRule type="expression" dxfId="7946" priority="3532">
      <formula>AND(IF($Q25=3,1,IF($Q25=4,1,0)),IF($F25&lt;=85,1,0))</formula>
    </cfRule>
  </conditionalFormatting>
  <conditionalFormatting sqref="AV26">
    <cfRule type="expression" dxfId="7945" priority="3527">
      <formula>AV26="X"</formula>
    </cfRule>
    <cfRule type="expression" dxfId="7944" priority="3528">
      <formula>AV26="후보"</formula>
    </cfRule>
  </conditionalFormatting>
  <conditionalFormatting sqref="AC26">
    <cfRule type="cellIs" dxfId="7943" priority="3525" operator="greaterThan">
      <formula>0.9</formula>
    </cfRule>
    <cfRule type="cellIs" dxfId="7942" priority="3526" operator="greaterThan">
      <formula>0.85</formula>
    </cfRule>
  </conditionalFormatting>
  <conditionalFormatting sqref="N26">
    <cfRule type="cellIs" dxfId="7941" priority="3523" operator="greaterThan">
      <formula>0.9</formula>
    </cfRule>
    <cfRule type="cellIs" dxfId="7940" priority="3524" operator="greaterThan">
      <formula>0.85</formula>
    </cfRule>
  </conditionalFormatting>
  <conditionalFormatting sqref="E26">
    <cfRule type="expression" dxfId="7939" priority="3519">
      <formula>AND(IF(OR($Q26=1,$Q26=2),1,0),IF($X26&lt;=20,1,0))</formula>
    </cfRule>
    <cfRule type="expression" dxfId="7938" priority="3520">
      <formula>AND(IF($Q26=2,1,0),IF($X26&lt;30,1,0))</formula>
    </cfRule>
    <cfRule type="expression" dxfId="7937" priority="3521">
      <formula>AND(IF($Q26=3,1,0),IF($X26&lt;30,1,0))</formula>
    </cfRule>
    <cfRule type="expression" dxfId="7936" priority="3522">
      <formula>AND(IF($Q26=3,1,IF($Q26=4,1,0)),IF($F26&lt;=85,1,0))</formula>
    </cfRule>
  </conditionalFormatting>
  <conditionalFormatting sqref="X26">
    <cfRule type="expression" dxfId="7935" priority="3515">
      <formula>AND(IF(OR($Q26=1,$Q26=2),1,0),IF($X26&lt;=20,1,0))</formula>
    </cfRule>
    <cfRule type="expression" dxfId="7934" priority="3516">
      <formula>AND(IF($Q26=2,1,0),IF($X26&lt;30,1,0))</formula>
    </cfRule>
    <cfRule type="expression" dxfId="7933" priority="3517">
      <formula>AND(IF($Q26=3,1,0),IF($X26&lt;30,1,0))</formula>
    </cfRule>
    <cfRule type="expression" dxfId="7932" priority="3518">
      <formula>AND(IF($Q26=3,1,IF($Q26=4,1,0)),IF($F26&lt;=85,1,0))</formula>
    </cfRule>
  </conditionalFormatting>
  <conditionalFormatting sqref="AI26">
    <cfRule type="expression" dxfId="7931" priority="3511">
      <formula>AND(IF(OR($Q26=1,$Q26=2),1,0),IF($X26&lt;=20,1,0))</formula>
    </cfRule>
    <cfRule type="expression" dxfId="7930" priority="3512">
      <formula>AND(IF($Q26=2,1,0),IF($X26&lt;30,1,0))</formula>
    </cfRule>
    <cfRule type="expression" dxfId="7929" priority="3513">
      <formula>AND(IF($Q26=3,1,0),IF($X26&lt;30,1,0))</formula>
    </cfRule>
    <cfRule type="expression" dxfId="7928" priority="3514">
      <formula>AND(IF($Q26=3,1,IF($Q26=4,1,0)),IF($F26&lt;=85,1,0))</formula>
    </cfRule>
  </conditionalFormatting>
  <conditionalFormatting sqref="AV27">
    <cfRule type="expression" dxfId="7927" priority="3509">
      <formula>AV27="X"</formula>
    </cfRule>
    <cfRule type="expression" dxfId="7926" priority="3510">
      <formula>AV27="후보"</formula>
    </cfRule>
  </conditionalFormatting>
  <conditionalFormatting sqref="AC27">
    <cfRule type="cellIs" dxfId="7925" priority="3507" operator="greaterThan">
      <formula>0.9</formula>
    </cfRule>
    <cfRule type="cellIs" dxfId="7924" priority="3508" operator="greaterThan">
      <formula>0.85</formula>
    </cfRule>
  </conditionalFormatting>
  <conditionalFormatting sqref="N27">
    <cfRule type="cellIs" dxfId="7923" priority="3505" operator="greaterThan">
      <formula>0.9</formula>
    </cfRule>
    <cfRule type="cellIs" dxfId="7922" priority="3506" operator="greaterThan">
      <formula>0.85</formula>
    </cfRule>
  </conditionalFormatting>
  <conditionalFormatting sqref="E27">
    <cfRule type="expression" dxfId="7921" priority="3501">
      <formula>AND(IF(OR($Q27=1,$Q27=2),1,0),IF($X27&lt;=20,1,0))</formula>
    </cfRule>
    <cfRule type="expression" dxfId="7920" priority="3502">
      <formula>AND(IF($Q27=2,1,0),IF($X27&lt;30,1,0))</formula>
    </cfRule>
    <cfRule type="expression" dxfId="7919" priority="3503">
      <formula>AND(IF($Q27=3,1,0),IF($X27&lt;30,1,0))</formula>
    </cfRule>
    <cfRule type="expression" dxfId="7918" priority="3504">
      <formula>AND(IF($Q27=3,1,IF($Q27=4,1,0)),IF($F27&lt;=85,1,0))</formula>
    </cfRule>
  </conditionalFormatting>
  <conditionalFormatting sqref="X27">
    <cfRule type="expression" dxfId="7917" priority="3497">
      <formula>AND(IF(OR($Q27=1,$Q27=2),1,0),IF($X27&lt;=20,1,0))</formula>
    </cfRule>
    <cfRule type="expression" dxfId="7916" priority="3498">
      <formula>AND(IF($Q27=2,1,0),IF($X27&lt;30,1,0))</formula>
    </cfRule>
    <cfRule type="expression" dxfId="7915" priority="3499">
      <formula>AND(IF($Q27=3,1,0),IF($X27&lt;30,1,0))</formula>
    </cfRule>
    <cfRule type="expression" dxfId="7914" priority="3500">
      <formula>AND(IF($Q27=3,1,IF($Q27=4,1,0)),IF($F27&lt;=85,1,0))</formula>
    </cfRule>
  </conditionalFormatting>
  <conditionalFormatting sqref="AI27">
    <cfRule type="expression" dxfId="7913" priority="3493">
      <formula>AND(IF(OR($Q27=1,$Q27=2),1,0),IF($X27&lt;=20,1,0))</formula>
    </cfRule>
    <cfRule type="expression" dxfId="7912" priority="3494">
      <formula>AND(IF($Q27=2,1,0),IF($X27&lt;30,1,0))</formula>
    </cfRule>
    <cfRule type="expression" dxfId="7911" priority="3495">
      <formula>AND(IF($Q27=3,1,0),IF($X27&lt;30,1,0))</formula>
    </cfRule>
    <cfRule type="expression" dxfId="7910" priority="3496">
      <formula>AND(IF($Q27=3,1,IF($Q27=4,1,0)),IF($F27&lt;=85,1,0))</formula>
    </cfRule>
  </conditionalFormatting>
  <conditionalFormatting sqref="AV28">
    <cfRule type="expression" dxfId="7909" priority="3491">
      <formula>AV28="X"</formula>
    </cfRule>
    <cfRule type="expression" dxfId="7908" priority="3492">
      <formula>AV28="후보"</formula>
    </cfRule>
  </conditionalFormatting>
  <conditionalFormatting sqref="AC28">
    <cfRule type="cellIs" dxfId="7907" priority="3489" operator="greaterThan">
      <formula>0.9</formula>
    </cfRule>
    <cfRule type="cellIs" dxfId="7906" priority="3490" operator="greaterThan">
      <formula>0.85</formula>
    </cfRule>
  </conditionalFormatting>
  <conditionalFormatting sqref="N28">
    <cfRule type="cellIs" dxfId="7905" priority="3487" operator="greaterThan">
      <formula>0.9</formula>
    </cfRule>
    <cfRule type="cellIs" dxfId="7904" priority="3488" operator="greaterThan">
      <formula>0.85</formula>
    </cfRule>
  </conditionalFormatting>
  <conditionalFormatting sqref="E28">
    <cfRule type="expression" dxfId="7903" priority="3483">
      <formula>AND(IF(OR($Q28=1,$Q28=2),1,0),IF($X28&lt;=20,1,0))</formula>
    </cfRule>
    <cfRule type="expression" dxfId="7902" priority="3484">
      <formula>AND(IF($Q28=2,1,0),IF($X28&lt;30,1,0))</formula>
    </cfRule>
    <cfRule type="expression" dxfId="7901" priority="3485">
      <formula>AND(IF($Q28=3,1,0),IF($X28&lt;30,1,0))</formula>
    </cfRule>
    <cfRule type="expression" dxfId="7900" priority="3486">
      <formula>AND(IF($Q28=3,1,IF($Q28=4,1,0)),IF($F28&lt;=85,1,0))</formula>
    </cfRule>
  </conditionalFormatting>
  <conditionalFormatting sqref="X28">
    <cfRule type="expression" dxfId="7899" priority="3479">
      <formula>AND(IF(OR($Q28=1,$Q28=2),1,0),IF($X28&lt;=20,1,0))</formula>
    </cfRule>
    <cfRule type="expression" dxfId="7898" priority="3480">
      <formula>AND(IF($Q28=2,1,0),IF($X28&lt;30,1,0))</formula>
    </cfRule>
    <cfRule type="expression" dxfId="7897" priority="3481">
      <formula>AND(IF($Q28=3,1,0),IF($X28&lt;30,1,0))</formula>
    </cfRule>
    <cfRule type="expression" dxfId="7896" priority="3482">
      <formula>AND(IF($Q28=3,1,IF($Q28=4,1,0)),IF($F28&lt;=85,1,0))</formula>
    </cfRule>
  </conditionalFormatting>
  <conditionalFormatting sqref="AI28">
    <cfRule type="expression" dxfId="7895" priority="3475">
      <formula>AND(IF(OR($Q28=1,$Q28=2),1,0),IF($X28&lt;=20,1,0))</formula>
    </cfRule>
    <cfRule type="expression" dxfId="7894" priority="3476">
      <formula>AND(IF($Q28=2,1,0),IF($X28&lt;30,1,0))</formula>
    </cfRule>
    <cfRule type="expression" dxfId="7893" priority="3477">
      <formula>AND(IF($Q28=3,1,0),IF($X28&lt;30,1,0))</formula>
    </cfRule>
    <cfRule type="expression" dxfId="7892" priority="3478">
      <formula>AND(IF($Q28=3,1,IF($Q28=4,1,0)),IF($F28&lt;=85,1,0))</formula>
    </cfRule>
  </conditionalFormatting>
  <conditionalFormatting sqref="AV29">
    <cfRule type="expression" dxfId="7891" priority="3473">
      <formula>AV29="X"</formula>
    </cfRule>
    <cfRule type="expression" dxfId="7890" priority="3474">
      <formula>AV29="후보"</formula>
    </cfRule>
  </conditionalFormatting>
  <conditionalFormatting sqref="AC29">
    <cfRule type="cellIs" dxfId="7889" priority="3471" operator="greaterThan">
      <formula>0.9</formula>
    </cfRule>
    <cfRule type="cellIs" dxfId="7888" priority="3472" operator="greaterThan">
      <formula>0.85</formula>
    </cfRule>
  </conditionalFormatting>
  <conditionalFormatting sqref="N29">
    <cfRule type="cellIs" dxfId="7887" priority="3469" operator="greaterThan">
      <formula>0.9</formula>
    </cfRule>
    <cfRule type="cellIs" dxfId="7886" priority="3470" operator="greaterThan">
      <formula>0.85</formula>
    </cfRule>
  </conditionalFormatting>
  <conditionalFormatting sqref="E29">
    <cfRule type="expression" dxfId="7885" priority="3465">
      <formula>AND(IF(OR($Q29=1,$Q29=2),1,0),IF($X29&lt;=20,1,0))</formula>
    </cfRule>
    <cfRule type="expression" dxfId="7884" priority="3466">
      <formula>AND(IF($Q29=2,1,0),IF($X29&lt;30,1,0))</formula>
    </cfRule>
    <cfRule type="expression" dxfId="7883" priority="3467">
      <formula>AND(IF($Q29=3,1,0),IF($X29&lt;30,1,0))</formula>
    </cfRule>
    <cfRule type="expression" dxfId="7882" priority="3468">
      <formula>AND(IF($Q29=3,1,IF($Q29=4,1,0)),IF($F29&lt;=85,1,0))</formula>
    </cfRule>
  </conditionalFormatting>
  <conditionalFormatting sqref="X29">
    <cfRule type="expression" dxfId="7881" priority="3461">
      <formula>AND(IF(OR($Q29=1,$Q29=2),1,0),IF($X29&lt;=20,1,0))</formula>
    </cfRule>
    <cfRule type="expression" dxfId="7880" priority="3462">
      <formula>AND(IF($Q29=2,1,0),IF($X29&lt;30,1,0))</formula>
    </cfRule>
    <cfRule type="expression" dxfId="7879" priority="3463">
      <formula>AND(IF($Q29=3,1,0),IF($X29&lt;30,1,0))</formula>
    </cfRule>
    <cfRule type="expression" dxfId="7878" priority="3464">
      <formula>AND(IF($Q29=3,1,IF($Q29=4,1,0)),IF($F29&lt;=85,1,0))</formula>
    </cfRule>
  </conditionalFormatting>
  <conditionalFormatting sqref="AI29">
    <cfRule type="expression" dxfId="7877" priority="3457">
      <formula>AND(IF(OR($Q29=1,$Q29=2),1,0),IF($X29&lt;=20,1,0))</formula>
    </cfRule>
    <cfRule type="expression" dxfId="7876" priority="3458">
      <formula>AND(IF($Q29=2,1,0),IF($X29&lt;30,1,0))</formula>
    </cfRule>
    <cfRule type="expression" dxfId="7875" priority="3459">
      <formula>AND(IF($Q29=3,1,0),IF($X29&lt;30,1,0))</formula>
    </cfRule>
    <cfRule type="expression" dxfId="7874" priority="3460">
      <formula>AND(IF($Q29=3,1,IF($Q29=4,1,0)),IF($F29&lt;=85,1,0))</formula>
    </cfRule>
  </conditionalFormatting>
  <conditionalFormatting sqref="AV30">
    <cfRule type="expression" dxfId="7873" priority="3455">
      <formula>AV30="X"</formula>
    </cfRule>
    <cfRule type="expression" dxfId="7872" priority="3456">
      <formula>AV30="후보"</formula>
    </cfRule>
  </conditionalFormatting>
  <conditionalFormatting sqref="AC30">
    <cfRule type="cellIs" dxfId="7871" priority="3453" operator="greaterThan">
      <formula>0.9</formula>
    </cfRule>
    <cfRule type="cellIs" dxfId="7870" priority="3454" operator="greaterThan">
      <formula>0.85</formula>
    </cfRule>
  </conditionalFormatting>
  <conditionalFormatting sqref="N30">
    <cfRule type="cellIs" dxfId="7869" priority="3451" operator="greaterThan">
      <formula>0.9</formula>
    </cfRule>
    <cfRule type="cellIs" dxfId="7868" priority="3452" operator="greaterThan">
      <formula>0.85</formula>
    </cfRule>
  </conditionalFormatting>
  <conditionalFormatting sqref="E30">
    <cfRule type="expression" dxfId="7867" priority="3447">
      <formula>AND(IF(OR($Q30=1,$Q30=2),1,0),IF($X30&lt;=20,1,0))</formula>
    </cfRule>
    <cfRule type="expression" dxfId="7866" priority="3448">
      <formula>AND(IF($Q30=2,1,0),IF($X30&lt;30,1,0))</formula>
    </cfRule>
    <cfRule type="expression" dxfId="7865" priority="3449">
      <formula>AND(IF($Q30=3,1,0),IF($X30&lt;30,1,0))</formula>
    </cfRule>
    <cfRule type="expression" dxfId="7864" priority="3450">
      <formula>AND(IF($Q30=3,1,IF($Q30=4,1,0)),IF($F30&lt;=85,1,0))</formula>
    </cfRule>
  </conditionalFormatting>
  <conditionalFormatting sqref="X30">
    <cfRule type="expression" dxfId="7863" priority="3443">
      <formula>AND(IF(OR($Q30=1,$Q30=2),1,0),IF($X30&lt;=20,1,0))</formula>
    </cfRule>
    <cfRule type="expression" dxfId="7862" priority="3444">
      <formula>AND(IF($Q30=2,1,0),IF($X30&lt;30,1,0))</formula>
    </cfRule>
    <cfRule type="expression" dxfId="7861" priority="3445">
      <formula>AND(IF($Q30=3,1,0),IF($X30&lt;30,1,0))</formula>
    </cfRule>
    <cfRule type="expression" dxfId="7860" priority="3446">
      <formula>AND(IF($Q30=3,1,IF($Q30=4,1,0)),IF($F30&lt;=85,1,0))</formula>
    </cfRule>
  </conditionalFormatting>
  <conditionalFormatting sqref="AI30">
    <cfRule type="expression" dxfId="7859" priority="3439">
      <formula>AND(IF(OR($Q30=1,$Q30=2),1,0),IF($X30&lt;=20,1,0))</formula>
    </cfRule>
    <cfRule type="expression" dxfId="7858" priority="3440">
      <formula>AND(IF($Q30=2,1,0),IF($X30&lt;30,1,0))</formula>
    </cfRule>
    <cfRule type="expression" dxfId="7857" priority="3441">
      <formula>AND(IF($Q30=3,1,0),IF($X30&lt;30,1,0))</formula>
    </cfRule>
    <cfRule type="expression" dxfId="7856" priority="3442">
      <formula>AND(IF($Q30=3,1,IF($Q30=4,1,0)),IF($F30&lt;=85,1,0))</formula>
    </cfRule>
  </conditionalFormatting>
  <conditionalFormatting sqref="AV31">
    <cfRule type="expression" dxfId="7855" priority="3437">
      <formula>AV31="X"</formula>
    </cfRule>
    <cfRule type="expression" dxfId="7854" priority="3438">
      <formula>AV31="후보"</formula>
    </cfRule>
  </conditionalFormatting>
  <conditionalFormatting sqref="AC31">
    <cfRule type="cellIs" dxfId="7853" priority="3435" operator="greaterThan">
      <formula>0.9</formula>
    </cfRule>
    <cfRule type="cellIs" dxfId="7852" priority="3436" operator="greaterThan">
      <formula>0.85</formula>
    </cfRule>
  </conditionalFormatting>
  <conditionalFormatting sqref="N31">
    <cfRule type="cellIs" dxfId="7851" priority="3433" operator="greaterThan">
      <formula>0.9</formula>
    </cfRule>
    <cfRule type="cellIs" dxfId="7850" priority="3434" operator="greaterThan">
      <formula>0.85</formula>
    </cfRule>
  </conditionalFormatting>
  <conditionalFormatting sqref="E31">
    <cfRule type="expression" dxfId="7849" priority="3429">
      <formula>AND(IF(OR($Q31=1,$Q31=2),1,0),IF($X31&lt;=20,1,0))</formula>
    </cfRule>
    <cfRule type="expression" dxfId="7848" priority="3430">
      <formula>AND(IF($Q31=2,1,0),IF($X31&lt;30,1,0))</formula>
    </cfRule>
    <cfRule type="expression" dxfId="7847" priority="3431">
      <formula>AND(IF($Q31=3,1,0),IF($X31&lt;30,1,0))</formula>
    </cfRule>
    <cfRule type="expression" dxfId="7846" priority="3432">
      <formula>AND(IF($Q31=3,1,IF($Q31=4,1,0)),IF($F31&lt;=85,1,0))</formula>
    </cfRule>
  </conditionalFormatting>
  <conditionalFormatting sqref="X31">
    <cfRule type="expression" dxfId="7845" priority="3425">
      <formula>AND(IF(OR($Q31=1,$Q31=2),1,0),IF($X31&lt;=20,1,0))</formula>
    </cfRule>
    <cfRule type="expression" dxfId="7844" priority="3426">
      <formula>AND(IF($Q31=2,1,0),IF($X31&lt;30,1,0))</formula>
    </cfRule>
    <cfRule type="expression" dxfId="7843" priority="3427">
      <formula>AND(IF($Q31=3,1,0),IF($X31&lt;30,1,0))</formula>
    </cfRule>
    <cfRule type="expression" dxfId="7842" priority="3428">
      <formula>AND(IF($Q31=3,1,IF($Q31=4,1,0)),IF($F31&lt;=85,1,0))</formula>
    </cfRule>
  </conditionalFormatting>
  <conditionalFormatting sqref="AI31">
    <cfRule type="expression" dxfId="7841" priority="3421">
      <formula>AND(IF(OR($Q31=1,$Q31=2),1,0),IF($X31&lt;=20,1,0))</formula>
    </cfRule>
    <cfRule type="expression" dxfId="7840" priority="3422">
      <formula>AND(IF($Q31=2,1,0),IF($X31&lt;30,1,0))</formula>
    </cfRule>
    <cfRule type="expression" dxfId="7839" priority="3423">
      <formula>AND(IF($Q31=3,1,0),IF($X31&lt;30,1,0))</formula>
    </cfRule>
    <cfRule type="expression" dxfId="7838" priority="3424">
      <formula>AND(IF($Q31=3,1,IF($Q31=4,1,0)),IF($F31&lt;=85,1,0))</formula>
    </cfRule>
  </conditionalFormatting>
  <conditionalFormatting sqref="AV32">
    <cfRule type="expression" dxfId="7837" priority="3419">
      <formula>AV32="X"</formula>
    </cfRule>
    <cfRule type="expression" dxfId="7836" priority="3420">
      <formula>AV32="후보"</formula>
    </cfRule>
  </conditionalFormatting>
  <conditionalFormatting sqref="AC32">
    <cfRule type="cellIs" dxfId="7835" priority="3417" operator="greaterThan">
      <formula>0.9</formula>
    </cfRule>
    <cfRule type="cellIs" dxfId="7834" priority="3418" operator="greaterThan">
      <formula>0.85</formula>
    </cfRule>
  </conditionalFormatting>
  <conditionalFormatting sqref="N32">
    <cfRule type="cellIs" dxfId="7833" priority="3415" operator="greaterThan">
      <formula>0.9</formula>
    </cfRule>
    <cfRule type="cellIs" dxfId="7832" priority="3416" operator="greaterThan">
      <formula>0.85</formula>
    </cfRule>
  </conditionalFormatting>
  <conditionalFormatting sqref="E32">
    <cfRule type="expression" dxfId="7831" priority="3411">
      <formula>AND(IF(OR($Q32=1,$Q32=2),1,0),IF($X32&lt;=20,1,0))</formula>
    </cfRule>
    <cfRule type="expression" dxfId="7830" priority="3412">
      <formula>AND(IF($Q32=2,1,0),IF($X32&lt;30,1,0))</formula>
    </cfRule>
    <cfRule type="expression" dxfId="7829" priority="3413">
      <formula>AND(IF($Q32=3,1,0),IF($X32&lt;30,1,0))</formula>
    </cfRule>
    <cfRule type="expression" dxfId="7828" priority="3414">
      <formula>AND(IF($Q32=3,1,IF($Q32=4,1,0)),IF($F32&lt;=85,1,0))</formula>
    </cfRule>
  </conditionalFormatting>
  <conditionalFormatting sqref="X32">
    <cfRule type="expression" dxfId="7827" priority="3407">
      <formula>AND(IF(OR($Q32=1,$Q32=2),1,0),IF($X32&lt;=20,1,0))</formula>
    </cfRule>
    <cfRule type="expression" dxfId="7826" priority="3408">
      <formula>AND(IF($Q32=2,1,0),IF($X32&lt;30,1,0))</formula>
    </cfRule>
    <cfRule type="expression" dxfId="7825" priority="3409">
      <formula>AND(IF($Q32=3,1,0),IF($X32&lt;30,1,0))</formula>
    </cfRule>
    <cfRule type="expression" dxfId="7824" priority="3410">
      <formula>AND(IF($Q32=3,1,IF($Q32=4,1,0)),IF($F32&lt;=85,1,0))</formula>
    </cfRule>
  </conditionalFormatting>
  <conditionalFormatting sqref="AI32">
    <cfRule type="expression" dxfId="7823" priority="3403">
      <formula>AND(IF(OR($Q32=1,$Q32=2),1,0),IF($X32&lt;=20,1,0))</formula>
    </cfRule>
    <cfRule type="expression" dxfId="7822" priority="3404">
      <formula>AND(IF($Q32=2,1,0),IF($X32&lt;30,1,0))</formula>
    </cfRule>
    <cfRule type="expression" dxfId="7821" priority="3405">
      <formula>AND(IF($Q32=3,1,0),IF($X32&lt;30,1,0))</formula>
    </cfRule>
    <cfRule type="expression" dxfId="7820" priority="3406">
      <formula>AND(IF($Q32=3,1,IF($Q32=4,1,0)),IF($F32&lt;=85,1,0))</formula>
    </cfRule>
  </conditionalFormatting>
  <conditionalFormatting sqref="AV33">
    <cfRule type="expression" dxfId="7819" priority="3401">
      <formula>AV33="X"</formula>
    </cfRule>
    <cfRule type="expression" dxfId="7818" priority="3402">
      <formula>AV33="후보"</formula>
    </cfRule>
  </conditionalFormatting>
  <conditionalFormatting sqref="AC33">
    <cfRule type="cellIs" dxfId="7817" priority="3399" operator="greaterThan">
      <formula>0.9</formula>
    </cfRule>
    <cfRule type="cellIs" dxfId="7816" priority="3400" operator="greaterThan">
      <formula>0.85</formula>
    </cfRule>
  </conditionalFormatting>
  <conditionalFormatting sqref="N33">
    <cfRule type="cellIs" dxfId="7815" priority="3397" operator="greaterThan">
      <formula>0.9</formula>
    </cfRule>
    <cfRule type="cellIs" dxfId="7814" priority="3398" operator="greaterThan">
      <formula>0.85</formula>
    </cfRule>
  </conditionalFormatting>
  <conditionalFormatting sqref="E33">
    <cfRule type="expression" dxfId="7813" priority="3393">
      <formula>AND(IF(OR($Q33=1,$Q33=2),1,0),IF($X33&lt;=20,1,0))</formula>
    </cfRule>
    <cfRule type="expression" dxfId="7812" priority="3394">
      <formula>AND(IF($Q33=2,1,0),IF($X33&lt;30,1,0))</formula>
    </cfRule>
    <cfRule type="expression" dxfId="7811" priority="3395">
      <formula>AND(IF($Q33=3,1,0),IF($X33&lt;30,1,0))</formula>
    </cfRule>
    <cfRule type="expression" dxfId="7810" priority="3396">
      <formula>AND(IF($Q33=3,1,IF($Q33=4,1,0)),IF($F33&lt;=85,1,0))</formula>
    </cfRule>
  </conditionalFormatting>
  <conditionalFormatting sqref="X33">
    <cfRule type="expression" dxfId="7809" priority="3389">
      <formula>AND(IF(OR($Q33=1,$Q33=2),1,0),IF($X33&lt;=20,1,0))</formula>
    </cfRule>
    <cfRule type="expression" dxfId="7808" priority="3390">
      <formula>AND(IF($Q33=2,1,0),IF($X33&lt;30,1,0))</formula>
    </cfRule>
    <cfRule type="expression" dxfId="7807" priority="3391">
      <formula>AND(IF($Q33=3,1,0),IF($X33&lt;30,1,0))</formula>
    </cfRule>
    <cfRule type="expression" dxfId="7806" priority="3392">
      <formula>AND(IF($Q33=3,1,IF($Q33=4,1,0)),IF($F33&lt;=85,1,0))</formula>
    </cfRule>
  </conditionalFormatting>
  <conditionalFormatting sqref="AI33">
    <cfRule type="expression" dxfId="7805" priority="3385">
      <formula>AND(IF(OR($Q33=1,$Q33=2),1,0),IF($X33&lt;=20,1,0))</formula>
    </cfRule>
    <cfRule type="expression" dxfId="7804" priority="3386">
      <formula>AND(IF($Q33=2,1,0),IF($X33&lt;30,1,0))</formula>
    </cfRule>
    <cfRule type="expression" dxfId="7803" priority="3387">
      <formula>AND(IF($Q33=3,1,0),IF($X33&lt;30,1,0))</formula>
    </cfRule>
    <cfRule type="expression" dxfId="7802" priority="3388">
      <formula>AND(IF($Q33=3,1,IF($Q33=4,1,0)),IF($F33&lt;=85,1,0))</formula>
    </cfRule>
  </conditionalFormatting>
  <conditionalFormatting sqref="AV34">
    <cfRule type="expression" dxfId="7801" priority="3383">
      <formula>AV34="X"</formula>
    </cfRule>
    <cfRule type="expression" dxfId="7800" priority="3384">
      <formula>AV34="후보"</formula>
    </cfRule>
  </conditionalFormatting>
  <conditionalFormatting sqref="AC34">
    <cfRule type="cellIs" dxfId="7799" priority="3381" operator="greaterThan">
      <formula>0.9</formula>
    </cfRule>
    <cfRule type="cellIs" dxfId="7798" priority="3382" operator="greaterThan">
      <formula>0.85</formula>
    </cfRule>
  </conditionalFormatting>
  <conditionalFormatting sqref="N34">
    <cfRule type="cellIs" dxfId="7797" priority="3379" operator="greaterThan">
      <formula>0.9</formula>
    </cfRule>
    <cfRule type="cellIs" dxfId="7796" priority="3380" operator="greaterThan">
      <formula>0.85</formula>
    </cfRule>
  </conditionalFormatting>
  <conditionalFormatting sqref="E34">
    <cfRule type="expression" dxfId="7795" priority="3375">
      <formula>AND(IF(OR($Q34=1,$Q34=2),1,0),IF($X34&lt;=20,1,0))</formula>
    </cfRule>
    <cfRule type="expression" dxfId="7794" priority="3376">
      <formula>AND(IF($Q34=2,1,0),IF($X34&lt;30,1,0))</formula>
    </cfRule>
    <cfRule type="expression" dxfId="7793" priority="3377">
      <formula>AND(IF($Q34=3,1,0),IF($X34&lt;30,1,0))</formula>
    </cfRule>
    <cfRule type="expression" dxfId="7792" priority="3378">
      <formula>AND(IF($Q34=3,1,IF($Q34=4,1,0)),IF($F34&lt;=85,1,0))</formula>
    </cfRule>
  </conditionalFormatting>
  <conditionalFormatting sqref="X34">
    <cfRule type="expression" dxfId="7791" priority="3371">
      <formula>AND(IF(OR($Q34=1,$Q34=2),1,0),IF($X34&lt;=20,1,0))</formula>
    </cfRule>
    <cfRule type="expression" dxfId="7790" priority="3372">
      <formula>AND(IF($Q34=2,1,0),IF($X34&lt;30,1,0))</formula>
    </cfRule>
    <cfRule type="expression" dxfId="7789" priority="3373">
      <formula>AND(IF($Q34=3,1,0),IF($X34&lt;30,1,0))</formula>
    </cfRule>
    <cfRule type="expression" dxfId="7788" priority="3374">
      <formula>AND(IF($Q34=3,1,IF($Q34=4,1,0)),IF($F34&lt;=85,1,0))</formula>
    </cfRule>
  </conditionalFormatting>
  <conditionalFormatting sqref="AI34">
    <cfRule type="expression" dxfId="7787" priority="3367">
      <formula>AND(IF(OR($Q34=1,$Q34=2),1,0),IF($X34&lt;=20,1,0))</formula>
    </cfRule>
    <cfRule type="expression" dxfId="7786" priority="3368">
      <formula>AND(IF($Q34=2,1,0),IF($X34&lt;30,1,0))</formula>
    </cfRule>
    <cfRule type="expression" dxfId="7785" priority="3369">
      <formula>AND(IF($Q34=3,1,0),IF($X34&lt;30,1,0))</formula>
    </cfRule>
    <cfRule type="expression" dxfId="7784" priority="3370">
      <formula>AND(IF($Q34=3,1,IF($Q34=4,1,0)),IF($F34&lt;=85,1,0))</formula>
    </cfRule>
  </conditionalFormatting>
  <conditionalFormatting sqref="AV35">
    <cfRule type="expression" dxfId="7783" priority="3365">
      <formula>AV35="X"</formula>
    </cfRule>
    <cfRule type="expression" dxfId="7782" priority="3366">
      <formula>AV35="후보"</formula>
    </cfRule>
  </conditionalFormatting>
  <conditionalFormatting sqref="AC35">
    <cfRule type="cellIs" dxfId="7781" priority="3363" operator="greaterThan">
      <formula>0.9</formula>
    </cfRule>
    <cfRule type="cellIs" dxfId="7780" priority="3364" operator="greaterThan">
      <formula>0.85</formula>
    </cfRule>
  </conditionalFormatting>
  <conditionalFormatting sqref="N35">
    <cfRule type="cellIs" dxfId="7779" priority="3361" operator="greaterThan">
      <formula>0.9</formula>
    </cfRule>
    <cfRule type="cellIs" dxfId="7778" priority="3362" operator="greaterThan">
      <formula>0.85</formula>
    </cfRule>
  </conditionalFormatting>
  <conditionalFormatting sqref="E35">
    <cfRule type="expression" dxfId="7777" priority="3357">
      <formula>AND(IF(OR($Q35=1,$Q35=2),1,0),IF($X35&lt;=20,1,0))</formula>
    </cfRule>
    <cfRule type="expression" dxfId="7776" priority="3358">
      <formula>AND(IF($Q35=2,1,0),IF($X35&lt;30,1,0))</formula>
    </cfRule>
    <cfRule type="expression" dxfId="7775" priority="3359">
      <formula>AND(IF($Q35=3,1,0),IF($X35&lt;30,1,0))</formula>
    </cfRule>
    <cfRule type="expression" dxfId="7774" priority="3360">
      <formula>AND(IF($Q35=3,1,IF($Q35=4,1,0)),IF($F35&lt;=85,1,0))</formula>
    </cfRule>
  </conditionalFormatting>
  <conditionalFormatting sqref="X35">
    <cfRule type="expression" dxfId="7773" priority="3353">
      <formula>AND(IF(OR($Q35=1,$Q35=2),1,0),IF($X35&lt;=20,1,0))</formula>
    </cfRule>
    <cfRule type="expression" dxfId="7772" priority="3354">
      <formula>AND(IF($Q35=2,1,0),IF($X35&lt;30,1,0))</formula>
    </cfRule>
    <cfRule type="expression" dxfId="7771" priority="3355">
      <formula>AND(IF($Q35=3,1,0),IF($X35&lt;30,1,0))</formula>
    </cfRule>
    <cfRule type="expression" dxfId="7770" priority="3356">
      <formula>AND(IF($Q35=3,1,IF($Q35=4,1,0)),IF($F35&lt;=85,1,0))</formula>
    </cfRule>
  </conditionalFormatting>
  <conditionalFormatting sqref="AI35">
    <cfRule type="expression" dxfId="7769" priority="3349">
      <formula>AND(IF(OR($Q35=1,$Q35=2),1,0),IF($X35&lt;=20,1,0))</formula>
    </cfRule>
    <cfRule type="expression" dxfId="7768" priority="3350">
      <formula>AND(IF($Q35=2,1,0),IF($X35&lt;30,1,0))</formula>
    </cfRule>
    <cfRule type="expression" dxfId="7767" priority="3351">
      <formula>AND(IF($Q35=3,1,0),IF($X35&lt;30,1,0))</formula>
    </cfRule>
    <cfRule type="expression" dxfId="7766" priority="3352">
      <formula>AND(IF($Q35=3,1,IF($Q35=4,1,0)),IF($F35&lt;=85,1,0))</formula>
    </cfRule>
  </conditionalFormatting>
  <conditionalFormatting sqref="AV36">
    <cfRule type="expression" dxfId="7765" priority="3347">
      <formula>AV36="X"</formula>
    </cfRule>
    <cfRule type="expression" dxfId="7764" priority="3348">
      <formula>AV36="후보"</formula>
    </cfRule>
  </conditionalFormatting>
  <conditionalFormatting sqref="AC36">
    <cfRule type="cellIs" dxfId="7763" priority="3345" operator="greaterThan">
      <formula>0.9</formula>
    </cfRule>
    <cfRule type="cellIs" dxfId="7762" priority="3346" operator="greaterThan">
      <formula>0.85</formula>
    </cfRule>
  </conditionalFormatting>
  <conditionalFormatting sqref="N36">
    <cfRule type="cellIs" dxfId="7761" priority="3343" operator="greaterThan">
      <formula>0.9</formula>
    </cfRule>
    <cfRule type="cellIs" dxfId="7760" priority="3344" operator="greaterThan">
      <formula>0.85</formula>
    </cfRule>
  </conditionalFormatting>
  <conditionalFormatting sqref="E36">
    <cfRule type="expression" dxfId="7759" priority="3339">
      <formula>AND(IF(OR($Q36=1,$Q36=2),1,0),IF($X36&lt;=20,1,0))</formula>
    </cfRule>
    <cfRule type="expression" dxfId="7758" priority="3340">
      <formula>AND(IF($Q36=2,1,0),IF($X36&lt;30,1,0))</formula>
    </cfRule>
    <cfRule type="expression" dxfId="7757" priority="3341">
      <formula>AND(IF($Q36=3,1,0),IF($X36&lt;30,1,0))</formula>
    </cfRule>
    <cfRule type="expression" dxfId="7756" priority="3342">
      <formula>AND(IF($Q36=3,1,IF($Q36=4,1,0)),IF($F36&lt;=85,1,0))</formula>
    </cfRule>
  </conditionalFormatting>
  <conditionalFormatting sqref="X36">
    <cfRule type="expression" dxfId="7755" priority="3335">
      <formula>AND(IF(OR($Q36=1,$Q36=2),1,0),IF($X36&lt;=20,1,0))</formula>
    </cfRule>
    <cfRule type="expression" dxfId="7754" priority="3336">
      <formula>AND(IF($Q36=2,1,0),IF($X36&lt;30,1,0))</formula>
    </cfRule>
    <cfRule type="expression" dxfId="7753" priority="3337">
      <formula>AND(IF($Q36=3,1,0),IF($X36&lt;30,1,0))</formula>
    </cfRule>
    <cfRule type="expression" dxfId="7752" priority="3338">
      <formula>AND(IF($Q36=3,1,IF($Q36=4,1,0)),IF($F36&lt;=85,1,0))</formula>
    </cfRule>
  </conditionalFormatting>
  <conditionalFormatting sqref="AI36">
    <cfRule type="expression" dxfId="7751" priority="3331">
      <formula>AND(IF(OR($Q36=1,$Q36=2),1,0),IF($X36&lt;=20,1,0))</formula>
    </cfRule>
    <cfRule type="expression" dxfId="7750" priority="3332">
      <formula>AND(IF($Q36=2,1,0),IF($X36&lt;30,1,0))</formula>
    </cfRule>
    <cfRule type="expression" dxfId="7749" priority="3333">
      <formula>AND(IF($Q36=3,1,0),IF($X36&lt;30,1,0))</formula>
    </cfRule>
    <cfRule type="expression" dxfId="7748" priority="3334">
      <formula>AND(IF($Q36=3,1,IF($Q36=4,1,0)),IF($F36&lt;=85,1,0))</formula>
    </cfRule>
  </conditionalFormatting>
  <conditionalFormatting sqref="AV37">
    <cfRule type="expression" dxfId="7747" priority="3329">
      <formula>AV37="X"</formula>
    </cfRule>
    <cfRule type="expression" dxfId="7746" priority="3330">
      <formula>AV37="후보"</formula>
    </cfRule>
  </conditionalFormatting>
  <conditionalFormatting sqref="AC37">
    <cfRule type="cellIs" dxfId="7745" priority="3327" operator="greaterThan">
      <formula>0.9</formula>
    </cfRule>
    <cfRule type="cellIs" dxfId="7744" priority="3328" operator="greaterThan">
      <formula>0.85</formula>
    </cfRule>
  </conditionalFormatting>
  <conditionalFormatting sqref="N37">
    <cfRule type="cellIs" dxfId="7743" priority="3325" operator="greaterThan">
      <formula>0.9</formula>
    </cfRule>
    <cfRule type="cellIs" dxfId="7742" priority="3326" operator="greaterThan">
      <formula>0.85</formula>
    </cfRule>
  </conditionalFormatting>
  <conditionalFormatting sqref="E37">
    <cfRule type="expression" dxfId="7741" priority="3321">
      <formula>AND(IF(OR($Q37=1,$Q37=2),1,0),IF($X37&lt;=20,1,0))</formula>
    </cfRule>
    <cfRule type="expression" dxfId="7740" priority="3322">
      <formula>AND(IF($Q37=2,1,0),IF($X37&lt;30,1,0))</formula>
    </cfRule>
    <cfRule type="expression" dxfId="7739" priority="3323">
      <formula>AND(IF($Q37=3,1,0),IF($X37&lt;30,1,0))</formula>
    </cfRule>
    <cfRule type="expression" dxfId="7738" priority="3324">
      <formula>AND(IF($Q37=3,1,IF($Q37=4,1,0)),IF($F37&lt;=85,1,0))</formula>
    </cfRule>
  </conditionalFormatting>
  <conditionalFormatting sqref="X37">
    <cfRule type="expression" dxfId="7737" priority="3317">
      <formula>AND(IF(OR($Q37=1,$Q37=2),1,0),IF($X37&lt;=20,1,0))</formula>
    </cfRule>
    <cfRule type="expression" dxfId="7736" priority="3318">
      <formula>AND(IF($Q37=2,1,0),IF($X37&lt;30,1,0))</formula>
    </cfRule>
    <cfRule type="expression" dxfId="7735" priority="3319">
      <formula>AND(IF($Q37=3,1,0),IF($X37&lt;30,1,0))</formula>
    </cfRule>
    <cfRule type="expression" dxfId="7734" priority="3320">
      <formula>AND(IF($Q37=3,1,IF($Q37=4,1,0)),IF($F37&lt;=85,1,0))</formula>
    </cfRule>
  </conditionalFormatting>
  <conditionalFormatting sqref="AI37">
    <cfRule type="expression" dxfId="7733" priority="3313">
      <formula>AND(IF(OR($Q37=1,$Q37=2),1,0),IF($X37&lt;=20,1,0))</formula>
    </cfRule>
    <cfRule type="expression" dxfId="7732" priority="3314">
      <formula>AND(IF($Q37=2,1,0),IF($X37&lt;30,1,0))</formula>
    </cfRule>
    <cfRule type="expression" dxfId="7731" priority="3315">
      <formula>AND(IF($Q37=3,1,0),IF($X37&lt;30,1,0))</formula>
    </cfRule>
    <cfRule type="expression" dxfId="7730" priority="3316">
      <formula>AND(IF($Q37=3,1,IF($Q37=4,1,0)),IF($F37&lt;=85,1,0))</formula>
    </cfRule>
  </conditionalFormatting>
  <conditionalFormatting sqref="AV38">
    <cfRule type="expression" dxfId="7729" priority="3311">
      <formula>AV38="X"</formula>
    </cfRule>
    <cfRule type="expression" dxfId="7728" priority="3312">
      <formula>AV38="후보"</formula>
    </cfRule>
  </conditionalFormatting>
  <conditionalFormatting sqref="AC38">
    <cfRule type="cellIs" dxfId="7727" priority="3309" operator="greaterThan">
      <formula>0.9</formula>
    </cfRule>
    <cfRule type="cellIs" dxfId="7726" priority="3310" operator="greaterThan">
      <formula>0.85</formula>
    </cfRule>
  </conditionalFormatting>
  <conditionalFormatting sqref="N38">
    <cfRule type="cellIs" dxfId="7725" priority="3307" operator="greaterThan">
      <formula>0.9</formula>
    </cfRule>
    <cfRule type="cellIs" dxfId="7724" priority="3308" operator="greaterThan">
      <formula>0.85</formula>
    </cfRule>
  </conditionalFormatting>
  <conditionalFormatting sqref="E38">
    <cfRule type="expression" dxfId="7723" priority="3303">
      <formula>AND(IF(OR($Q38=1,$Q38=2),1,0),IF($X38&lt;=20,1,0))</formula>
    </cfRule>
    <cfRule type="expression" dxfId="7722" priority="3304">
      <formula>AND(IF($Q38=2,1,0),IF($X38&lt;30,1,0))</formula>
    </cfRule>
    <cfRule type="expression" dxfId="7721" priority="3305">
      <formula>AND(IF($Q38=3,1,0),IF($X38&lt;30,1,0))</formula>
    </cfRule>
    <cfRule type="expression" dxfId="7720" priority="3306">
      <formula>AND(IF($Q38=3,1,IF($Q38=4,1,0)),IF($F38&lt;=85,1,0))</formula>
    </cfRule>
  </conditionalFormatting>
  <conditionalFormatting sqref="X38">
    <cfRule type="expression" dxfId="7719" priority="3299">
      <formula>AND(IF(OR($Q38=1,$Q38=2),1,0),IF($X38&lt;=20,1,0))</formula>
    </cfRule>
    <cfRule type="expression" dxfId="7718" priority="3300">
      <formula>AND(IF($Q38=2,1,0),IF($X38&lt;30,1,0))</formula>
    </cfRule>
    <cfRule type="expression" dxfId="7717" priority="3301">
      <formula>AND(IF($Q38=3,1,0),IF($X38&lt;30,1,0))</formula>
    </cfRule>
    <cfRule type="expression" dxfId="7716" priority="3302">
      <formula>AND(IF($Q38=3,1,IF($Q38=4,1,0)),IF($F38&lt;=85,1,0))</formula>
    </cfRule>
  </conditionalFormatting>
  <conditionalFormatting sqref="AI38">
    <cfRule type="expression" dxfId="7715" priority="3295">
      <formula>AND(IF(OR($Q38=1,$Q38=2),1,0),IF($X38&lt;=20,1,0))</formula>
    </cfRule>
    <cfRule type="expression" dxfId="7714" priority="3296">
      <formula>AND(IF($Q38=2,1,0),IF($X38&lt;30,1,0))</formula>
    </cfRule>
    <cfRule type="expression" dxfId="7713" priority="3297">
      <formula>AND(IF($Q38=3,1,0),IF($X38&lt;30,1,0))</formula>
    </cfRule>
    <cfRule type="expression" dxfId="7712" priority="3298">
      <formula>AND(IF($Q38=3,1,IF($Q38=4,1,0)),IF($F38&lt;=85,1,0))</formula>
    </cfRule>
  </conditionalFormatting>
  <conditionalFormatting sqref="AV39">
    <cfRule type="expression" dxfId="7711" priority="3293">
      <formula>AV39="X"</formula>
    </cfRule>
    <cfRule type="expression" dxfId="7710" priority="3294">
      <formula>AV39="후보"</formula>
    </cfRule>
  </conditionalFormatting>
  <conditionalFormatting sqref="AC39">
    <cfRule type="cellIs" dxfId="7709" priority="3291" operator="greaterThan">
      <formula>0.9</formula>
    </cfRule>
    <cfRule type="cellIs" dxfId="7708" priority="3292" operator="greaterThan">
      <formula>0.85</formula>
    </cfRule>
  </conditionalFormatting>
  <conditionalFormatting sqref="N39">
    <cfRule type="cellIs" dxfId="7707" priority="3289" operator="greaterThan">
      <formula>0.9</formula>
    </cfRule>
    <cfRule type="cellIs" dxfId="7706" priority="3290" operator="greaterThan">
      <formula>0.85</formula>
    </cfRule>
  </conditionalFormatting>
  <conditionalFormatting sqref="E39">
    <cfRule type="expression" dxfId="7705" priority="3285">
      <formula>AND(IF(OR($Q39=1,$Q39=2),1,0),IF($X39&lt;=20,1,0))</formula>
    </cfRule>
    <cfRule type="expression" dxfId="7704" priority="3286">
      <formula>AND(IF($Q39=2,1,0),IF($X39&lt;30,1,0))</formula>
    </cfRule>
    <cfRule type="expression" dxfId="7703" priority="3287">
      <formula>AND(IF($Q39=3,1,0),IF($X39&lt;30,1,0))</formula>
    </cfRule>
    <cfRule type="expression" dxfId="7702" priority="3288">
      <formula>AND(IF($Q39=3,1,IF($Q39=4,1,0)),IF($F39&lt;=85,1,0))</formula>
    </cfRule>
  </conditionalFormatting>
  <conditionalFormatting sqref="X39">
    <cfRule type="expression" dxfId="7701" priority="3281">
      <formula>AND(IF(OR($Q39=1,$Q39=2),1,0),IF($X39&lt;=20,1,0))</formula>
    </cfRule>
    <cfRule type="expression" dxfId="7700" priority="3282">
      <formula>AND(IF($Q39=2,1,0),IF($X39&lt;30,1,0))</formula>
    </cfRule>
    <cfRule type="expression" dxfId="7699" priority="3283">
      <formula>AND(IF($Q39=3,1,0),IF($X39&lt;30,1,0))</formula>
    </cfRule>
    <cfRule type="expression" dxfId="7698" priority="3284">
      <formula>AND(IF($Q39=3,1,IF($Q39=4,1,0)),IF($F39&lt;=85,1,0))</formula>
    </cfRule>
  </conditionalFormatting>
  <conditionalFormatting sqref="AI39">
    <cfRule type="expression" dxfId="7697" priority="3277">
      <formula>AND(IF(OR($Q39=1,$Q39=2),1,0),IF($X39&lt;=20,1,0))</formula>
    </cfRule>
    <cfRule type="expression" dxfId="7696" priority="3278">
      <formula>AND(IF($Q39=2,1,0),IF($X39&lt;30,1,0))</formula>
    </cfRule>
    <cfRule type="expression" dxfId="7695" priority="3279">
      <formula>AND(IF($Q39=3,1,0),IF($X39&lt;30,1,0))</formula>
    </cfRule>
    <cfRule type="expression" dxfId="7694" priority="3280">
      <formula>AND(IF($Q39=3,1,IF($Q39=4,1,0)),IF($F39&lt;=85,1,0))</formula>
    </cfRule>
  </conditionalFormatting>
  <conditionalFormatting sqref="AV40">
    <cfRule type="expression" dxfId="7693" priority="3275">
      <formula>AV40="X"</formula>
    </cfRule>
    <cfRule type="expression" dxfId="7692" priority="3276">
      <formula>AV40="후보"</formula>
    </cfRule>
  </conditionalFormatting>
  <conditionalFormatting sqref="AC40">
    <cfRule type="cellIs" dxfId="7691" priority="3273" operator="greaterThan">
      <formula>0.9</formula>
    </cfRule>
    <cfRule type="cellIs" dxfId="7690" priority="3274" operator="greaterThan">
      <formula>0.85</formula>
    </cfRule>
  </conditionalFormatting>
  <conditionalFormatting sqref="N40">
    <cfRule type="cellIs" dxfId="7689" priority="3271" operator="greaterThan">
      <formula>0.9</formula>
    </cfRule>
    <cfRule type="cellIs" dxfId="7688" priority="3272" operator="greaterThan">
      <formula>0.85</formula>
    </cfRule>
  </conditionalFormatting>
  <conditionalFormatting sqref="E40">
    <cfRule type="expression" dxfId="7687" priority="3267">
      <formula>AND(IF(OR($Q40=1,$Q40=2),1,0),IF($X40&lt;=20,1,0))</formula>
    </cfRule>
    <cfRule type="expression" dxfId="7686" priority="3268">
      <formula>AND(IF($Q40=2,1,0),IF($X40&lt;30,1,0))</formula>
    </cfRule>
    <cfRule type="expression" dxfId="7685" priority="3269">
      <formula>AND(IF($Q40=3,1,0),IF($X40&lt;30,1,0))</formula>
    </cfRule>
    <cfRule type="expression" dxfId="7684" priority="3270">
      <formula>AND(IF($Q40=3,1,IF($Q40=4,1,0)),IF($F40&lt;=85,1,0))</formula>
    </cfRule>
  </conditionalFormatting>
  <conditionalFormatting sqref="X40">
    <cfRule type="expression" dxfId="7683" priority="3263">
      <formula>AND(IF(OR($Q40=1,$Q40=2),1,0),IF($X40&lt;=20,1,0))</formula>
    </cfRule>
    <cfRule type="expression" dxfId="7682" priority="3264">
      <formula>AND(IF($Q40=2,1,0),IF($X40&lt;30,1,0))</formula>
    </cfRule>
    <cfRule type="expression" dxfId="7681" priority="3265">
      <formula>AND(IF($Q40=3,1,0),IF($X40&lt;30,1,0))</formula>
    </cfRule>
    <cfRule type="expression" dxfId="7680" priority="3266">
      <formula>AND(IF($Q40=3,1,IF($Q40=4,1,0)),IF($F40&lt;=85,1,0))</formula>
    </cfRule>
  </conditionalFormatting>
  <conditionalFormatting sqref="AI40">
    <cfRule type="expression" dxfId="7679" priority="3259">
      <formula>AND(IF(OR($Q40=1,$Q40=2),1,0),IF($X40&lt;=20,1,0))</formula>
    </cfRule>
    <cfRule type="expression" dxfId="7678" priority="3260">
      <formula>AND(IF($Q40=2,1,0),IF($X40&lt;30,1,0))</formula>
    </cfRule>
    <cfRule type="expression" dxfId="7677" priority="3261">
      <formula>AND(IF($Q40=3,1,0),IF($X40&lt;30,1,0))</formula>
    </cfRule>
    <cfRule type="expression" dxfId="7676" priority="3262">
      <formula>AND(IF($Q40=3,1,IF($Q40=4,1,0)),IF($F40&lt;=85,1,0))</formula>
    </cfRule>
  </conditionalFormatting>
  <conditionalFormatting sqref="AV41">
    <cfRule type="expression" dxfId="7675" priority="3257">
      <formula>AV41="X"</formula>
    </cfRule>
    <cfRule type="expression" dxfId="7674" priority="3258">
      <formula>AV41="후보"</formula>
    </cfRule>
  </conditionalFormatting>
  <conditionalFormatting sqref="AC41">
    <cfRule type="cellIs" dxfId="7673" priority="3255" operator="greaterThan">
      <formula>0.9</formula>
    </cfRule>
    <cfRule type="cellIs" dxfId="7672" priority="3256" operator="greaterThan">
      <formula>0.85</formula>
    </cfRule>
  </conditionalFormatting>
  <conditionalFormatting sqref="N41">
    <cfRule type="cellIs" dxfId="7671" priority="3253" operator="greaterThan">
      <formula>0.9</formula>
    </cfRule>
    <cfRule type="cellIs" dxfId="7670" priority="3254" operator="greaterThan">
      <formula>0.85</formula>
    </cfRule>
  </conditionalFormatting>
  <conditionalFormatting sqref="E41">
    <cfRule type="expression" dxfId="7669" priority="3249">
      <formula>AND(IF(OR($Q41=1,$Q41=2),1,0),IF($X41&lt;=20,1,0))</formula>
    </cfRule>
    <cfRule type="expression" dxfId="7668" priority="3250">
      <formula>AND(IF($Q41=2,1,0),IF($X41&lt;30,1,0))</formula>
    </cfRule>
    <cfRule type="expression" dxfId="7667" priority="3251">
      <formula>AND(IF($Q41=3,1,0),IF($X41&lt;30,1,0))</formula>
    </cfRule>
    <cfRule type="expression" dxfId="7666" priority="3252">
      <formula>AND(IF($Q41=3,1,IF($Q41=4,1,0)),IF($F41&lt;=85,1,0))</formula>
    </cfRule>
  </conditionalFormatting>
  <conditionalFormatting sqref="X41">
    <cfRule type="expression" dxfId="7665" priority="3245">
      <formula>AND(IF(OR($Q41=1,$Q41=2),1,0),IF($X41&lt;=20,1,0))</formula>
    </cfRule>
    <cfRule type="expression" dxfId="7664" priority="3246">
      <formula>AND(IF($Q41=2,1,0),IF($X41&lt;30,1,0))</formula>
    </cfRule>
    <cfRule type="expression" dxfId="7663" priority="3247">
      <formula>AND(IF($Q41=3,1,0),IF($X41&lt;30,1,0))</formula>
    </cfRule>
    <cfRule type="expression" dxfId="7662" priority="3248">
      <formula>AND(IF($Q41=3,1,IF($Q41=4,1,0)),IF($F41&lt;=85,1,0))</formula>
    </cfRule>
  </conditionalFormatting>
  <conditionalFormatting sqref="AI41">
    <cfRule type="expression" dxfId="7661" priority="3241">
      <formula>AND(IF(OR($Q41=1,$Q41=2),1,0),IF($X41&lt;=20,1,0))</formula>
    </cfRule>
    <cfRule type="expression" dxfId="7660" priority="3242">
      <formula>AND(IF($Q41=2,1,0),IF($X41&lt;30,1,0))</formula>
    </cfRule>
    <cfRule type="expression" dxfId="7659" priority="3243">
      <formula>AND(IF($Q41=3,1,0),IF($X41&lt;30,1,0))</formula>
    </cfRule>
    <cfRule type="expression" dxfId="7658" priority="3244">
      <formula>AND(IF($Q41=3,1,IF($Q41=4,1,0)),IF($F41&lt;=85,1,0))</formula>
    </cfRule>
  </conditionalFormatting>
  <conditionalFormatting sqref="AV42">
    <cfRule type="expression" dxfId="7657" priority="3239">
      <formula>AV42="X"</formula>
    </cfRule>
    <cfRule type="expression" dxfId="7656" priority="3240">
      <formula>AV42="후보"</formula>
    </cfRule>
  </conditionalFormatting>
  <conditionalFormatting sqref="AC42">
    <cfRule type="cellIs" dxfId="7655" priority="3237" operator="greaterThan">
      <formula>0.9</formula>
    </cfRule>
    <cfRule type="cellIs" dxfId="7654" priority="3238" operator="greaterThan">
      <formula>0.85</formula>
    </cfRule>
  </conditionalFormatting>
  <conditionalFormatting sqref="N42">
    <cfRule type="cellIs" dxfId="7653" priority="3235" operator="greaterThan">
      <formula>0.9</formula>
    </cfRule>
    <cfRule type="cellIs" dxfId="7652" priority="3236" operator="greaterThan">
      <formula>0.85</formula>
    </cfRule>
  </conditionalFormatting>
  <conditionalFormatting sqref="E42">
    <cfRule type="expression" dxfId="7651" priority="3231">
      <formula>AND(IF(OR($Q42=1,$Q42=2),1,0),IF($X42&lt;=20,1,0))</formula>
    </cfRule>
    <cfRule type="expression" dxfId="7650" priority="3232">
      <formula>AND(IF($Q42=2,1,0),IF($X42&lt;30,1,0))</formula>
    </cfRule>
    <cfRule type="expression" dxfId="7649" priority="3233">
      <formula>AND(IF($Q42=3,1,0),IF($X42&lt;30,1,0))</formula>
    </cfRule>
    <cfRule type="expression" dxfId="7648" priority="3234">
      <formula>AND(IF($Q42=3,1,IF($Q42=4,1,0)),IF($F42&lt;=85,1,0))</formula>
    </cfRule>
  </conditionalFormatting>
  <conditionalFormatting sqref="X42">
    <cfRule type="expression" dxfId="7647" priority="3227">
      <formula>AND(IF(OR($Q42=1,$Q42=2),1,0),IF($X42&lt;=20,1,0))</formula>
    </cfRule>
    <cfRule type="expression" dxfId="7646" priority="3228">
      <formula>AND(IF($Q42=2,1,0),IF($X42&lt;30,1,0))</formula>
    </cfRule>
    <cfRule type="expression" dxfId="7645" priority="3229">
      <formula>AND(IF($Q42=3,1,0),IF($X42&lt;30,1,0))</formula>
    </cfRule>
    <cfRule type="expression" dxfId="7644" priority="3230">
      <formula>AND(IF($Q42=3,1,IF($Q42=4,1,0)),IF($F42&lt;=85,1,0))</formula>
    </cfRule>
  </conditionalFormatting>
  <conditionalFormatting sqref="AI42">
    <cfRule type="expression" dxfId="7643" priority="3223">
      <formula>AND(IF(OR($Q42=1,$Q42=2),1,0),IF($X42&lt;=20,1,0))</formula>
    </cfRule>
    <cfRule type="expression" dxfId="7642" priority="3224">
      <formula>AND(IF($Q42=2,1,0),IF($X42&lt;30,1,0))</formula>
    </cfRule>
    <cfRule type="expression" dxfId="7641" priority="3225">
      <formula>AND(IF($Q42=3,1,0),IF($X42&lt;30,1,0))</formula>
    </cfRule>
    <cfRule type="expression" dxfId="7640" priority="3226">
      <formula>AND(IF($Q42=3,1,IF($Q42=4,1,0)),IF($F42&lt;=85,1,0))</formula>
    </cfRule>
  </conditionalFormatting>
  <conditionalFormatting sqref="AV43">
    <cfRule type="expression" dxfId="7639" priority="3221">
      <formula>AV43="X"</formula>
    </cfRule>
    <cfRule type="expression" dxfId="7638" priority="3222">
      <formula>AV43="후보"</formula>
    </cfRule>
  </conditionalFormatting>
  <conditionalFormatting sqref="AC43">
    <cfRule type="cellIs" dxfId="7637" priority="3219" operator="greaterThan">
      <formula>0.9</formula>
    </cfRule>
    <cfRule type="cellIs" dxfId="7636" priority="3220" operator="greaterThan">
      <formula>0.85</formula>
    </cfRule>
  </conditionalFormatting>
  <conditionalFormatting sqref="N43">
    <cfRule type="cellIs" dxfId="7635" priority="3217" operator="greaterThan">
      <formula>0.9</formula>
    </cfRule>
    <cfRule type="cellIs" dxfId="7634" priority="3218" operator="greaterThan">
      <formula>0.85</formula>
    </cfRule>
  </conditionalFormatting>
  <conditionalFormatting sqref="E43">
    <cfRule type="expression" dxfId="7633" priority="3213">
      <formula>AND(IF(OR($Q43=1,$Q43=2),1,0),IF($X43&lt;=20,1,0))</formula>
    </cfRule>
    <cfRule type="expression" dxfId="7632" priority="3214">
      <formula>AND(IF($Q43=2,1,0),IF($X43&lt;30,1,0))</formula>
    </cfRule>
    <cfRule type="expression" dxfId="7631" priority="3215">
      <formula>AND(IF($Q43=3,1,0),IF($X43&lt;30,1,0))</formula>
    </cfRule>
    <cfRule type="expression" dxfId="7630" priority="3216">
      <formula>AND(IF($Q43=3,1,IF($Q43=4,1,0)),IF($F43&lt;=85,1,0))</formula>
    </cfRule>
  </conditionalFormatting>
  <conditionalFormatting sqref="X43">
    <cfRule type="expression" dxfId="7629" priority="3209">
      <formula>AND(IF(OR($Q43=1,$Q43=2),1,0),IF($X43&lt;=20,1,0))</formula>
    </cfRule>
    <cfRule type="expression" dxfId="7628" priority="3210">
      <formula>AND(IF($Q43=2,1,0),IF($X43&lt;30,1,0))</formula>
    </cfRule>
    <cfRule type="expression" dxfId="7627" priority="3211">
      <formula>AND(IF($Q43=3,1,0),IF($X43&lt;30,1,0))</formula>
    </cfRule>
    <cfRule type="expression" dxfId="7626" priority="3212">
      <formula>AND(IF($Q43=3,1,IF($Q43=4,1,0)),IF($F43&lt;=85,1,0))</formula>
    </cfRule>
  </conditionalFormatting>
  <conditionalFormatting sqref="AI43">
    <cfRule type="expression" dxfId="7625" priority="3205">
      <formula>AND(IF(OR($Q43=1,$Q43=2),1,0),IF($X43&lt;=20,1,0))</formula>
    </cfRule>
    <cfRule type="expression" dxfId="7624" priority="3206">
      <formula>AND(IF($Q43=2,1,0),IF($X43&lt;30,1,0))</formula>
    </cfRule>
    <cfRule type="expression" dxfId="7623" priority="3207">
      <formula>AND(IF($Q43=3,1,0),IF($X43&lt;30,1,0))</formula>
    </cfRule>
    <cfRule type="expression" dxfId="7622" priority="3208">
      <formula>AND(IF($Q43=3,1,IF($Q43=4,1,0)),IF($F43&lt;=85,1,0))</formula>
    </cfRule>
  </conditionalFormatting>
  <conditionalFormatting sqref="AV44">
    <cfRule type="expression" dxfId="7621" priority="3203">
      <formula>AV44="X"</formula>
    </cfRule>
    <cfRule type="expression" dxfId="7620" priority="3204">
      <formula>AV44="후보"</formula>
    </cfRule>
  </conditionalFormatting>
  <conditionalFormatting sqref="AC44">
    <cfRule type="cellIs" dxfId="7619" priority="3201" operator="greaterThan">
      <formula>0.9</formula>
    </cfRule>
    <cfRule type="cellIs" dxfId="7618" priority="3202" operator="greaterThan">
      <formula>0.85</formula>
    </cfRule>
  </conditionalFormatting>
  <conditionalFormatting sqref="N44">
    <cfRule type="cellIs" dxfId="7617" priority="3199" operator="greaterThan">
      <formula>0.9</formula>
    </cfRule>
    <cfRule type="cellIs" dxfId="7616" priority="3200" operator="greaterThan">
      <formula>0.85</formula>
    </cfRule>
  </conditionalFormatting>
  <conditionalFormatting sqref="E44">
    <cfRule type="expression" dxfId="7615" priority="3195">
      <formula>AND(IF(OR($Q44=1,$Q44=2),1,0),IF($X44&lt;=20,1,0))</formula>
    </cfRule>
    <cfRule type="expression" dxfId="7614" priority="3196">
      <formula>AND(IF($Q44=2,1,0),IF($X44&lt;30,1,0))</formula>
    </cfRule>
    <cfRule type="expression" dxfId="7613" priority="3197">
      <formula>AND(IF($Q44=3,1,0),IF($X44&lt;30,1,0))</formula>
    </cfRule>
    <cfRule type="expression" dxfId="7612" priority="3198">
      <formula>AND(IF($Q44=3,1,IF($Q44=4,1,0)),IF($F44&lt;=85,1,0))</formula>
    </cfRule>
  </conditionalFormatting>
  <conditionalFormatting sqref="X44">
    <cfRule type="expression" dxfId="7611" priority="3191">
      <formula>AND(IF(OR($Q44=1,$Q44=2),1,0),IF($X44&lt;=20,1,0))</formula>
    </cfRule>
    <cfRule type="expression" dxfId="7610" priority="3192">
      <formula>AND(IF($Q44=2,1,0),IF($X44&lt;30,1,0))</formula>
    </cfRule>
    <cfRule type="expression" dxfId="7609" priority="3193">
      <formula>AND(IF($Q44=3,1,0),IF($X44&lt;30,1,0))</formula>
    </cfRule>
    <cfRule type="expression" dxfId="7608" priority="3194">
      <formula>AND(IF($Q44=3,1,IF($Q44=4,1,0)),IF($F44&lt;=85,1,0))</formula>
    </cfRule>
  </conditionalFormatting>
  <conditionalFormatting sqref="AI44">
    <cfRule type="expression" dxfId="7607" priority="3187">
      <formula>AND(IF(OR($Q44=1,$Q44=2),1,0),IF($X44&lt;=20,1,0))</formula>
    </cfRule>
    <cfRule type="expression" dxfId="7606" priority="3188">
      <formula>AND(IF($Q44=2,1,0),IF($X44&lt;30,1,0))</formula>
    </cfRule>
    <cfRule type="expression" dxfId="7605" priority="3189">
      <formula>AND(IF($Q44=3,1,0),IF($X44&lt;30,1,0))</formula>
    </cfRule>
    <cfRule type="expression" dxfId="7604" priority="3190">
      <formula>AND(IF($Q44=3,1,IF($Q44=4,1,0)),IF($F44&lt;=85,1,0))</formula>
    </cfRule>
  </conditionalFormatting>
  <conditionalFormatting sqref="AV45">
    <cfRule type="expression" dxfId="7603" priority="3185">
      <formula>AV45="X"</formula>
    </cfRule>
    <cfRule type="expression" dxfId="7602" priority="3186">
      <formula>AV45="후보"</formula>
    </cfRule>
  </conditionalFormatting>
  <conditionalFormatting sqref="AC45">
    <cfRule type="cellIs" dxfId="7601" priority="3183" operator="greaterThan">
      <formula>0.9</formula>
    </cfRule>
    <cfRule type="cellIs" dxfId="7600" priority="3184" operator="greaterThan">
      <formula>0.85</formula>
    </cfRule>
  </conditionalFormatting>
  <conditionalFormatting sqref="N45">
    <cfRule type="cellIs" dxfId="7599" priority="3181" operator="greaterThan">
      <formula>0.9</formula>
    </cfRule>
    <cfRule type="cellIs" dxfId="7598" priority="3182" operator="greaterThan">
      <formula>0.85</formula>
    </cfRule>
  </conditionalFormatting>
  <conditionalFormatting sqref="E45">
    <cfRule type="expression" dxfId="7597" priority="3177">
      <formula>AND(IF(OR($Q45=1,$Q45=2),1,0),IF($X45&lt;=20,1,0))</formula>
    </cfRule>
    <cfRule type="expression" dxfId="7596" priority="3178">
      <formula>AND(IF($Q45=2,1,0),IF($X45&lt;30,1,0))</formula>
    </cfRule>
    <cfRule type="expression" dxfId="7595" priority="3179">
      <formula>AND(IF($Q45=3,1,0),IF($X45&lt;30,1,0))</formula>
    </cfRule>
    <cfRule type="expression" dxfId="7594" priority="3180">
      <formula>AND(IF($Q45=3,1,IF($Q45=4,1,0)),IF($F45&lt;=85,1,0))</formula>
    </cfRule>
  </conditionalFormatting>
  <conditionalFormatting sqref="X45">
    <cfRule type="expression" dxfId="7593" priority="3173">
      <formula>AND(IF(OR($Q45=1,$Q45=2),1,0),IF($X45&lt;=20,1,0))</formula>
    </cfRule>
    <cfRule type="expression" dxfId="7592" priority="3174">
      <formula>AND(IF($Q45=2,1,0),IF($X45&lt;30,1,0))</formula>
    </cfRule>
    <cfRule type="expression" dxfId="7591" priority="3175">
      <formula>AND(IF($Q45=3,1,0),IF($X45&lt;30,1,0))</formula>
    </cfRule>
    <cfRule type="expression" dxfId="7590" priority="3176">
      <formula>AND(IF($Q45=3,1,IF($Q45=4,1,0)),IF($F45&lt;=85,1,0))</formula>
    </cfRule>
  </conditionalFormatting>
  <conditionalFormatting sqref="AI45">
    <cfRule type="expression" dxfId="7589" priority="3169">
      <formula>AND(IF(OR($Q45=1,$Q45=2),1,0),IF($X45&lt;=20,1,0))</formula>
    </cfRule>
    <cfRule type="expression" dxfId="7588" priority="3170">
      <formula>AND(IF($Q45=2,1,0),IF($X45&lt;30,1,0))</formula>
    </cfRule>
    <cfRule type="expression" dxfId="7587" priority="3171">
      <formula>AND(IF($Q45=3,1,0),IF($X45&lt;30,1,0))</formula>
    </cfRule>
    <cfRule type="expression" dxfId="7586" priority="3172">
      <formula>AND(IF($Q45=3,1,IF($Q45=4,1,0)),IF($F45&lt;=85,1,0))</formula>
    </cfRule>
  </conditionalFormatting>
  <conditionalFormatting sqref="AV46">
    <cfRule type="expression" dxfId="7585" priority="3167">
      <formula>AV46="X"</formula>
    </cfRule>
    <cfRule type="expression" dxfId="7584" priority="3168">
      <formula>AV46="후보"</formula>
    </cfRule>
  </conditionalFormatting>
  <conditionalFormatting sqref="AC46">
    <cfRule type="cellIs" dxfId="7583" priority="3165" operator="greaterThan">
      <formula>0.9</formula>
    </cfRule>
    <cfRule type="cellIs" dxfId="7582" priority="3166" operator="greaterThan">
      <formula>0.85</formula>
    </cfRule>
  </conditionalFormatting>
  <conditionalFormatting sqref="N46">
    <cfRule type="cellIs" dxfId="7581" priority="3163" operator="greaterThan">
      <formula>0.9</formula>
    </cfRule>
    <cfRule type="cellIs" dxfId="7580" priority="3164" operator="greaterThan">
      <formula>0.85</formula>
    </cfRule>
  </conditionalFormatting>
  <conditionalFormatting sqref="E46">
    <cfRule type="expression" dxfId="7579" priority="3159">
      <formula>AND(IF(OR($Q46=1,$Q46=2),1,0),IF($X46&lt;=20,1,0))</formula>
    </cfRule>
    <cfRule type="expression" dxfId="7578" priority="3160">
      <formula>AND(IF($Q46=2,1,0),IF($X46&lt;30,1,0))</formula>
    </cfRule>
    <cfRule type="expression" dxfId="7577" priority="3161">
      <formula>AND(IF($Q46=3,1,0),IF($X46&lt;30,1,0))</formula>
    </cfRule>
    <cfRule type="expression" dxfId="7576" priority="3162">
      <formula>AND(IF($Q46=3,1,IF($Q46=4,1,0)),IF($F46&lt;=85,1,0))</formula>
    </cfRule>
  </conditionalFormatting>
  <conditionalFormatting sqref="X46">
    <cfRule type="expression" dxfId="7575" priority="3155">
      <formula>AND(IF(OR($Q46=1,$Q46=2),1,0),IF($X46&lt;=20,1,0))</formula>
    </cfRule>
    <cfRule type="expression" dxfId="7574" priority="3156">
      <formula>AND(IF($Q46=2,1,0),IF($X46&lt;30,1,0))</formula>
    </cfRule>
    <cfRule type="expression" dxfId="7573" priority="3157">
      <formula>AND(IF($Q46=3,1,0),IF($X46&lt;30,1,0))</formula>
    </cfRule>
    <cfRule type="expression" dxfId="7572" priority="3158">
      <formula>AND(IF($Q46=3,1,IF($Q46=4,1,0)),IF($F46&lt;=85,1,0))</formula>
    </cfRule>
  </conditionalFormatting>
  <conditionalFormatting sqref="AI46">
    <cfRule type="expression" dxfId="7571" priority="3151">
      <formula>AND(IF(OR($Q46=1,$Q46=2),1,0),IF($X46&lt;=20,1,0))</formula>
    </cfRule>
    <cfRule type="expression" dxfId="7570" priority="3152">
      <formula>AND(IF($Q46=2,1,0),IF($X46&lt;30,1,0))</formula>
    </cfRule>
    <cfRule type="expression" dxfId="7569" priority="3153">
      <formula>AND(IF($Q46=3,1,0),IF($X46&lt;30,1,0))</formula>
    </cfRule>
    <cfRule type="expression" dxfId="7568" priority="3154">
      <formula>AND(IF($Q46=3,1,IF($Q46=4,1,0)),IF($F46&lt;=85,1,0))</formula>
    </cfRule>
  </conditionalFormatting>
  <conditionalFormatting sqref="AV47">
    <cfRule type="expression" dxfId="7567" priority="3149">
      <formula>AV47="X"</formula>
    </cfRule>
    <cfRule type="expression" dxfId="7566" priority="3150">
      <formula>AV47="후보"</formula>
    </cfRule>
  </conditionalFormatting>
  <conditionalFormatting sqref="AC47">
    <cfRule type="cellIs" dxfId="7565" priority="3147" operator="greaterThan">
      <formula>0.9</formula>
    </cfRule>
    <cfRule type="cellIs" dxfId="7564" priority="3148" operator="greaterThan">
      <formula>0.85</formula>
    </cfRule>
  </conditionalFormatting>
  <conditionalFormatting sqref="N47">
    <cfRule type="cellIs" dxfId="7563" priority="3145" operator="greaterThan">
      <formula>0.9</formula>
    </cfRule>
    <cfRule type="cellIs" dxfId="7562" priority="3146" operator="greaterThan">
      <formula>0.85</formula>
    </cfRule>
  </conditionalFormatting>
  <conditionalFormatting sqref="E47">
    <cfRule type="expression" dxfId="7561" priority="3141">
      <formula>AND(IF(OR($Q47=1,$Q47=2),1,0),IF($X47&lt;=20,1,0))</formula>
    </cfRule>
    <cfRule type="expression" dxfId="7560" priority="3142">
      <formula>AND(IF($Q47=2,1,0),IF($X47&lt;30,1,0))</formula>
    </cfRule>
    <cfRule type="expression" dxfId="7559" priority="3143">
      <formula>AND(IF($Q47=3,1,0),IF($X47&lt;30,1,0))</formula>
    </cfRule>
    <cfRule type="expression" dxfId="7558" priority="3144">
      <formula>AND(IF($Q47=3,1,IF($Q47=4,1,0)),IF($F47&lt;=85,1,0))</formula>
    </cfRule>
  </conditionalFormatting>
  <conditionalFormatting sqref="X47">
    <cfRule type="expression" dxfId="7557" priority="3137">
      <formula>AND(IF(OR($Q47=1,$Q47=2),1,0),IF($X47&lt;=20,1,0))</formula>
    </cfRule>
    <cfRule type="expression" dxfId="7556" priority="3138">
      <formula>AND(IF($Q47=2,1,0),IF($X47&lt;30,1,0))</formula>
    </cfRule>
    <cfRule type="expression" dxfId="7555" priority="3139">
      <formula>AND(IF($Q47=3,1,0),IF($X47&lt;30,1,0))</formula>
    </cfRule>
    <cfRule type="expression" dxfId="7554" priority="3140">
      <formula>AND(IF($Q47=3,1,IF($Q47=4,1,0)),IF($F47&lt;=85,1,0))</formula>
    </cfRule>
  </conditionalFormatting>
  <conditionalFormatting sqref="AI47">
    <cfRule type="expression" dxfId="7553" priority="3133">
      <formula>AND(IF(OR($Q47=1,$Q47=2),1,0),IF($X47&lt;=20,1,0))</formula>
    </cfRule>
    <cfRule type="expression" dxfId="7552" priority="3134">
      <formula>AND(IF($Q47=2,1,0),IF($X47&lt;30,1,0))</formula>
    </cfRule>
    <cfRule type="expression" dxfId="7551" priority="3135">
      <formula>AND(IF($Q47=3,1,0),IF($X47&lt;30,1,0))</formula>
    </cfRule>
    <cfRule type="expression" dxfId="7550" priority="3136">
      <formula>AND(IF($Q47=3,1,IF($Q47=4,1,0)),IF($F47&lt;=85,1,0))</formula>
    </cfRule>
  </conditionalFormatting>
  <conditionalFormatting sqref="AV48">
    <cfRule type="expression" dxfId="7549" priority="3131">
      <formula>AV48="X"</formula>
    </cfRule>
    <cfRule type="expression" dxfId="7548" priority="3132">
      <formula>AV48="후보"</formula>
    </cfRule>
  </conditionalFormatting>
  <conditionalFormatting sqref="AC48">
    <cfRule type="cellIs" dxfId="7547" priority="3129" operator="greaterThan">
      <formula>0.9</formula>
    </cfRule>
    <cfRule type="cellIs" dxfId="7546" priority="3130" operator="greaterThan">
      <formula>0.85</formula>
    </cfRule>
  </conditionalFormatting>
  <conditionalFormatting sqref="N48">
    <cfRule type="cellIs" dxfId="7545" priority="3127" operator="greaterThan">
      <formula>0.9</formula>
    </cfRule>
    <cfRule type="cellIs" dxfId="7544" priority="3128" operator="greaterThan">
      <formula>0.85</formula>
    </cfRule>
  </conditionalFormatting>
  <conditionalFormatting sqref="E48">
    <cfRule type="expression" dxfId="7543" priority="3123">
      <formula>AND(IF(OR($Q48=1,$Q48=2),1,0),IF($X48&lt;=20,1,0))</formula>
    </cfRule>
    <cfRule type="expression" dxfId="7542" priority="3124">
      <formula>AND(IF($Q48=2,1,0),IF($X48&lt;30,1,0))</formula>
    </cfRule>
    <cfRule type="expression" dxfId="7541" priority="3125">
      <formula>AND(IF($Q48=3,1,0),IF($X48&lt;30,1,0))</formula>
    </cfRule>
    <cfRule type="expression" dxfId="7540" priority="3126">
      <formula>AND(IF($Q48=3,1,IF($Q48=4,1,0)),IF($F48&lt;=85,1,0))</formula>
    </cfRule>
  </conditionalFormatting>
  <conditionalFormatting sqref="X48">
    <cfRule type="expression" dxfId="7539" priority="3119">
      <formula>AND(IF(OR($Q48=1,$Q48=2),1,0),IF($X48&lt;=20,1,0))</formula>
    </cfRule>
    <cfRule type="expression" dxfId="7538" priority="3120">
      <formula>AND(IF($Q48=2,1,0),IF($X48&lt;30,1,0))</formula>
    </cfRule>
    <cfRule type="expression" dxfId="7537" priority="3121">
      <formula>AND(IF($Q48=3,1,0),IF($X48&lt;30,1,0))</formula>
    </cfRule>
    <cfRule type="expression" dxfId="7536" priority="3122">
      <formula>AND(IF($Q48=3,1,IF($Q48=4,1,0)),IF($F48&lt;=85,1,0))</formula>
    </cfRule>
  </conditionalFormatting>
  <conditionalFormatting sqref="AI48">
    <cfRule type="expression" dxfId="7535" priority="3115">
      <formula>AND(IF(OR($Q48=1,$Q48=2),1,0),IF($X48&lt;=20,1,0))</formula>
    </cfRule>
    <cfRule type="expression" dxfId="7534" priority="3116">
      <formula>AND(IF($Q48=2,1,0),IF($X48&lt;30,1,0))</formula>
    </cfRule>
    <cfRule type="expression" dxfId="7533" priority="3117">
      <formula>AND(IF($Q48=3,1,0),IF($X48&lt;30,1,0))</formula>
    </cfRule>
    <cfRule type="expression" dxfId="7532" priority="3118">
      <formula>AND(IF($Q48=3,1,IF($Q48=4,1,0)),IF($F48&lt;=85,1,0))</formula>
    </cfRule>
  </conditionalFormatting>
  <conditionalFormatting sqref="AV49">
    <cfRule type="expression" dxfId="7531" priority="3113">
      <formula>AV49="X"</formula>
    </cfRule>
    <cfRule type="expression" dxfId="7530" priority="3114">
      <formula>AV49="후보"</formula>
    </cfRule>
  </conditionalFormatting>
  <conditionalFormatting sqref="AC49">
    <cfRule type="cellIs" dxfId="7529" priority="3111" operator="greaterThan">
      <formula>0.9</formula>
    </cfRule>
    <cfRule type="cellIs" dxfId="7528" priority="3112" operator="greaterThan">
      <formula>0.85</formula>
    </cfRule>
  </conditionalFormatting>
  <conditionalFormatting sqref="N49">
    <cfRule type="cellIs" dxfId="7527" priority="3109" operator="greaterThan">
      <formula>0.9</formula>
    </cfRule>
    <cfRule type="cellIs" dxfId="7526" priority="3110" operator="greaterThan">
      <formula>0.85</formula>
    </cfRule>
  </conditionalFormatting>
  <conditionalFormatting sqref="E49">
    <cfRule type="expression" dxfId="7525" priority="3105">
      <formula>AND(IF(OR($Q49=1,$Q49=2),1,0),IF($X49&lt;=20,1,0))</formula>
    </cfRule>
    <cfRule type="expression" dxfId="7524" priority="3106">
      <formula>AND(IF($Q49=2,1,0),IF($X49&lt;30,1,0))</formula>
    </cfRule>
    <cfRule type="expression" dxfId="7523" priority="3107">
      <formula>AND(IF($Q49=3,1,0),IF($X49&lt;30,1,0))</formula>
    </cfRule>
    <cfRule type="expression" dxfId="7522" priority="3108">
      <formula>AND(IF($Q49=3,1,IF($Q49=4,1,0)),IF($F49&lt;=85,1,0))</formula>
    </cfRule>
  </conditionalFormatting>
  <conditionalFormatting sqref="X49">
    <cfRule type="expression" dxfId="7521" priority="3101">
      <formula>AND(IF(OR($Q49=1,$Q49=2),1,0),IF($X49&lt;=20,1,0))</formula>
    </cfRule>
    <cfRule type="expression" dxfId="7520" priority="3102">
      <formula>AND(IF($Q49=2,1,0),IF($X49&lt;30,1,0))</formula>
    </cfRule>
    <cfRule type="expression" dxfId="7519" priority="3103">
      <formula>AND(IF($Q49=3,1,0),IF($X49&lt;30,1,0))</formula>
    </cfRule>
    <cfRule type="expression" dxfId="7518" priority="3104">
      <formula>AND(IF($Q49=3,1,IF($Q49=4,1,0)),IF($F49&lt;=85,1,0))</formula>
    </cfRule>
  </conditionalFormatting>
  <conditionalFormatting sqref="AI49">
    <cfRule type="expression" dxfId="7517" priority="3097">
      <formula>AND(IF(OR($Q49=1,$Q49=2),1,0),IF($X49&lt;=20,1,0))</formula>
    </cfRule>
    <cfRule type="expression" dxfId="7516" priority="3098">
      <formula>AND(IF($Q49=2,1,0),IF($X49&lt;30,1,0))</formula>
    </cfRule>
    <cfRule type="expression" dxfId="7515" priority="3099">
      <formula>AND(IF($Q49=3,1,0),IF($X49&lt;30,1,0))</formula>
    </cfRule>
    <cfRule type="expression" dxfId="7514" priority="3100">
      <formula>AND(IF($Q49=3,1,IF($Q49=4,1,0)),IF($F49&lt;=85,1,0))</formula>
    </cfRule>
  </conditionalFormatting>
  <conditionalFormatting sqref="AV50">
    <cfRule type="expression" dxfId="7513" priority="3095">
      <formula>AV50="X"</formula>
    </cfRule>
    <cfRule type="expression" dxfId="7512" priority="3096">
      <formula>AV50="후보"</formula>
    </cfRule>
  </conditionalFormatting>
  <conditionalFormatting sqref="AC50">
    <cfRule type="cellIs" dxfId="7511" priority="3093" operator="greaterThan">
      <formula>0.9</formula>
    </cfRule>
    <cfRule type="cellIs" dxfId="7510" priority="3094" operator="greaterThan">
      <formula>0.85</formula>
    </cfRule>
  </conditionalFormatting>
  <conditionalFormatting sqref="N50">
    <cfRule type="cellIs" dxfId="7509" priority="3091" operator="greaterThan">
      <formula>0.9</formula>
    </cfRule>
    <cfRule type="cellIs" dxfId="7508" priority="3092" operator="greaterThan">
      <formula>0.85</formula>
    </cfRule>
  </conditionalFormatting>
  <conditionalFormatting sqref="E50">
    <cfRule type="expression" dxfId="7507" priority="3087">
      <formula>AND(IF(OR($Q50=1,$Q50=2),1,0),IF($X50&lt;=20,1,0))</formula>
    </cfRule>
    <cfRule type="expression" dxfId="7506" priority="3088">
      <formula>AND(IF($Q50=2,1,0),IF($X50&lt;30,1,0))</formula>
    </cfRule>
    <cfRule type="expression" dxfId="7505" priority="3089">
      <formula>AND(IF($Q50=3,1,0),IF($X50&lt;30,1,0))</formula>
    </cfRule>
    <cfRule type="expression" dxfId="7504" priority="3090">
      <formula>AND(IF($Q50=3,1,IF($Q50=4,1,0)),IF($F50&lt;=85,1,0))</formula>
    </cfRule>
  </conditionalFormatting>
  <conditionalFormatting sqref="X50">
    <cfRule type="expression" dxfId="7503" priority="3083">
      <formula>AND(IF(OR($Q50=1,$Q50=2),1,0),IF($X50&lt;=20,1,0))</formula>
    </cfRule>
    <cfRule type="expression" dxfId="7502" priority="3084">
      <formula>AND(IF($Q50=2,1,0),IF($X50&lt;30,1,0))</formula>
    </cfRule>
    <cfRule type="expression" dxfId="7501" priority="3085">
      <formula>AND(IF($Q50=3,1,0),IF($X50&lt;30,1,0))</formula>
    </cfRule>
    <cfRule type="expression" dxfId="7500" priority="3086">
      <formula>AND(IF($Q50=3,1,IF($Q50=4,1,0)),IF($F50&lt;=85,1,0))</formula>
    </cfRule>
  </conditionalFormatting>
  <conditionalFormatting sqref="AI50">
    <cfRule type="expression" dxfId="7499" priority="3079">
      <formula>AND(IF(OR($Q50=1,$Q50=2),1,0),IF($X50&lt;=20,1,0))</formula>
    </cfRule>
    <cfRule type="expression" dxfId="7498" priority="3080">
      <formula>AND(IF($Q50=2,1,0),IF($X50&lt;30,1,0))</formula>
    </cfRule>
    <cfRule type="expression" dxfId="7497" priority="3081">
      <formula>AND(IF($Q50=3,1,0),IF($X50&lt;30,1,0))</formula>
    </cfRule>
    <cfRule type="expression" dxfId="7496" priority="3082">
      <formula>AND(IF($Q50=3,1,IF($Q50=4,1,0)),IF($F50&lt;=85,1,0))</formula>
    </cfRule>
  </conditionalFormatting>
  <conditionalFormatting sqref="AV51">
    <cfRule type="expression" dxfId="7495" priority="3077">
      <formula>AV51="X"</formula>
    </cfRule>
    <cfRule type="expression" dxfId="7494" priority="3078">
      <formula>AV51="후보"</formula>
    </cfRule>
  </conditionalFormatting>
  <conditionalFormatting sqref="AC51">
    <cfRule type="cellIs" dxfId="7493" priority="3075" operator="greaterThan">
      <formula>0.9</formula>
    </cfRule>
    <cfRule type="cellIs" dxfId="7492" priority="3076" operator="greaterThan">
      <formula>0.85</formula>
    </cfRule>
  </conditionalFormatting>
  <conditionalFormatting sqref="N51">
    <cfRule type="cellIs" dxfId="7491" priority="3073" operator="greaterThan">
      <formula>0.9</formula>
    </cfRule>
    <cfRule type="cellIs" dxfId="7490" priority="3074" operator="greaterThan">
      <formula>0.85</formula>
    </cfRule>
  </conditionalFormatting>
  <conditionalFormatting sqref="E51">
    <cfRule type="expression" dxfId="7489" priority="3069">
      <formula>AND(IF(OR($Q51=1,$Q51=2),1,0),IF($X51&lt;=20,1,0))</formula>
    </cfRule>
    <cfRule type="expression" dxfId="7488" priority="3070">
      <formula>AND(IF($Q51=2,1,0),IF($X51&lt;30,1,0))</formula>
    </cfRule>
    <cfRule type="expression" dxfId="7487" priority="3071">
      <formula>AND(IF($Q51=3,1,0),IF($X51&lt;30,1,0))</formula>
    </cfRule>
    <cfRule type="expression" dxfId="7486" priority="3072">
      <formula>AND(IF($Q51=3,1,IF($Q51=4,1,0)),IF($F51&lt;=85,1,0))</formula>
    </cfRule>
  </conditionalFormatting>
  <conditionalFormatting sqref="X51">
    <cfRule type="expression" dxfId="7485" priority="3065">
      <formula>AND(IF(OR($Q51=1,$Q51=2),1,0),IF($X51&lt;=20,1,0))</formula>
    </cfRule>
    <cfRule type="expression" dxfId="7484" priority="3066">
      <formula>AND(IF($Q51=2,1,0),IF($X51&lt;30,1,0))</formula>
    </cfRule>
    <cfRule type="expression" dxfId="7483" priority="3067">
      <formula>AND(IF($Q51=3,1,0),IF($X51&lt;30,1,0))</formula>
    </cfRule>
    <cfRule type="expression" dxfId="7482" priority="3068">
      <formula>AND(IF($Q51=3,1,IF($Q51=4,1,0)),IF($F51&lt;=85,1,0))</formula>
    </cfRule>
  </conditionalFormatting>
  <conditionalFormatting sqref="AI51">
    <cfRule type="expression" dxfId="7481" priority="3061">
      <formula>AND(IF(OR($Q51=1,$Q51=2),1,0),IF($X51&lt;=20,1,0))</formula>
    </cfRule>
    <cfRule type="expression" dxfId="7480" priority="3062">
      <formula>AND(IF($Q51=2,1,0),IF($X51&lt;30,1,0))</formula>
    </cfRule>
    <cfRule type="expression" dxfId="7479" priority="3063">
      <formula>AND(IF($Q51=3,1,0),IF($X51&lt;30,1,0))</formula>
    </cfRule>
    <cfRule type="expression" dxfId="7478" priority="3064">
      <formula>AND(IF($Q51=3,1,IF($Q51=4,1,0)),IF($F51&lt;=85,1,0))</formula>
    </cfRule>
  </conditionalFormatting>
  <conditionalFormatting sqref="AV52">
    <cfRule type="expression" dxfId="7477" priority="3059">
      <formula>AV52="X"</formula>
    </cfRule>
    <cfRule type="expression" dxfId="7476" priority="3060">
      <formula>AV52="후보"</formula>
    </cfRule>
  </conditionalFormatting>
  <conditionalFormatting sqref="AC52">
    <cfRule type="cellIs" dxfId="7475" priority="3057" operator="greaterThan">
      <formula>0.9</formula>
    </cfRule>
    <cfRule type="cellIs" dxfId="7474" priority="3058" operator="greaterThan">
      <formula>0.85</formula>
    </cfRule>
  </conditionalFormatting>
  <conditionalFormatting sqref="N52">
    <cfRule type="cellIs" dxfId="7473" priority="3055" operator="greaterThan">
      <formula>0.9</formula>
    </cfRule>
    <cfRule type="cellIs" dxfId="7472" priority="3056" operator="greaterThan">
      <formula>0.85</formula>
    </cfRule>
  </conditionalFormatting>
  <conditionalFormatting sqref="E52">
    <cfRule type="expression" dxfId="7471" priority="3051">
      <formula>AND(IF(OR($Q52=1,$Q52=2),1,0),IF($X52&lt;=20,1,0))</formula>
    </cfRule>
    <cfRule type="expression" dxfId="7470" priority="3052">
      <formula>AND(IF($Q52=2,1,0),IF($X52&lt;30,1,0))</formula>
    </cfRule>
    <cfRule type="expression" dxfId="7469" priority="3053">
      <formula>AND(IF($Q52=3,1,0),IF($X52&lt;30,1,0))</formula>
    </cfRule>
    <cfRule type="expression" dxfId="7468" priority="3054">
      <formula>AND(IF($Q52=3,1,IF($Q52=4,1,0)),IF($F52&lt;=85,1,0))</formula>
    </cfRule>
  </conditionalFormatting>
  <conditionalFormatting sqref="X52">
    <cfRule type="expression" dxfId="7467" priority="3047">
      <formula>AND(IF(OR($Q52=1,$Q52=2),1,0),IF($X52&lt;=20,1,0))</formula>
    </cfRule>
    <cfRule type="expression" dxfId="7466" priority="3048">
      <formula>AND(IF($Q52=2,1,0),IF($X52&lt;30,1,0))</formula>
    </cfRule>
    <cfRule type="expression" dxfId="7465" priority="3049">
      <formula>AND(IF($Q52=3,1,0),IF($X52&lt;30,1,0))</formula>
    </cfRule>
    <cfRule type="expression" dxfId="7464" priority="3050">
      <formula>AND(IF($Q52=3,1,IF($Q52=4,1,0)),IF($F52&lt;=85,1,0))</formula>
    </cfRule>
  </conditionalFormatting>
  <conditionalFormatting sqref="AI52">
    <cfRule type="expression" dxfId="7463" priority="3043">
      <formula>AND(IF(OR($Q52=1,$Q52=2),1,0),IF($X52&lt;=20,1,0))</formula>
    </cfRule>
    <cfRule type="expression" dxfId="7462" priority="3044">
      <formula>AND(IF($Q52=2,1,0),IF($X52&lt;30,1,0))</formula>
    </cfRule>
    <cfRule type="expression" dxfId="7461" priority="3045">
      <formula>AND(IF($Q52=3,1,0),IF($X52&lt;30,1,0))</formula>
    </cfRule>
    <cfRule type="expression" dxfId="7460" priority="3046">
      <formula>AND(IF($Q52=3,1,IF($Q52=4,1,0)),IF($F52&lt;=85,1,0))</formula>
    </cfRule>
  </conditionalFormatting>
  <conditionalFormatting sqref="AV53">
    <cfRule type="expression" dxfId="7459" priority="3041">
      <formula>AV53="X"</formula>
    </cfRule>
    <cfRule type="expression" dxfId="7458" priority="3042">
      <formula>AV53="후보"</formula>
    </cfRule>
  </conditionalFormatting>
  <conditionalFormatting sqref="AC53">
    <cfRule type="cellIs" dxfId="7457" priority="3039" operator="greaterThan">
      <formula>0.9</formula>
    </cfRule>
    <cfRule type="cellIs" dxfId="7456" priority="3040" operator="greaterThan">
      <formula>0.85</formula>
    </cfRule>
  </conditionalFormatting>
  <conditionalFormatting sqref="N53">
    <cfRule type="cellIs" dxfId="7455" priority="3037" operator="greaterThan">
      <formula>0.9</formula>
    </cfRule>
    <cfRule type="cellIs" dxfId="7454" priority="3038" operator="greaterThan">
      <formula>0.85</formula>
    </cfRule>
  </conditionalFormatting>
  <conditionalFormatting sqref="E53">
    <cfRule type="expression" dxfId="7453" priority="3033">
      <formula>AND(IF(OR($Q53=1,$Q53=2),1,0),IF($X53&lt;=20,1,0))</formula>
    </cfRule>
    <cfRule type="expression" dxfId="7452" priority="3034">
      <formula>AND(IF($Q53=2,1,0),IF($X53&lt;30,1,0))</formula>
    </cfRule>
    <cfRule type="expression" dxfId="7451" priority="3035">
      <formula>AND(IF($Q53=3,1,0),IF($X53&lt;30,1,0))</formula>
    </cfRule>
    <cfRule type="expression" dxfId="7450" priority="3036">
      <formula>AND(IF($Q53=3,1,IF($Q53=4,1,0)),IF($F53&lt;=85,1,0))</formula>
    </cfRule>
  </conditionalFormatting>
  <conditionalFormatting sqref="X53">
    <cfRule type="expression" dxfId="7449" priority="3029">
      <formula>AND(IF(OR($Q53=1,$Q53=2),1,0),IF($X53&lt;=20,1,0))</formula>
    </cfRule>
    <cfRule type="expression" dxfId="7448" priority="3030">
      <formula>AND(IF($Q53=2,1,0),IF($X53&lt;30,1,0))</formula>
    </cfRule>
    <cfRule type="expression" dxfId="7447" priority="3031">
      <formula>AND(IF($Q53=3,1,0),IF($X53&lt;30,1,0))</formula>
    </cfRule>
    <cfRule type="expression" dxfId="7446" priority="3032">
      <formula>AND(IF($Q53=3,1,IF($Q53=4,1,0)),IF($F53&lt;=85,1,0))</formula>
    </cfRule>
  </conditionalFormatting>
  <conditionalFormatting sqref="AI53">
    <cfRule type="expression" dxfId="7445" priority="3025">
      <formula>AND(IF(OR($Q53=1,$Q53=2),1,0),IF($X53&lt;=20,1,0))</formula>
    </cfRule>
    <cfRule type="expression" dxfId="7444" priority="3026">
      <formula>AND(IF($Q53=2,1,0),IF($X53&lt;30,1,0))</formula>
    </cfRule>
    <cfRule type="expression" dxfId="7443" priority="3027">
      <formula>AND(IF($Q53=3,1,0),IF($X53&lt;30,1,0))</formula>
    </cfRule>
    <cfRule type="expression" dxfId="7442" priority="3028">
      <formula>AND(IF($Q53=3,1,IF($Q53=4,1,0)),IF($F53&lt;=85,1,0))</formula>
    </cfRule>
  </conditionalFormatting>
  <conditionalFormatting sqref="AV54">
    <cfRule type="expression" dxfId="7441" priority="3023">
      <formula>AV54="X"</formula>
    </cfRule>
    <cfRule type="expression" dxfId="7440" priority="3024">
      <formula>AV54="후보"</formula>
    </cfRule>
  </conditionalFormatting>
  <conditionalFormatting sqref="AC54">
    <cfRule type="cellIs" dxfId="7439" priority="3021" operator="greaterThan">
      <formula>0.9</formula>
    </cfRule>
    <cfRule type="cellIs" dxfId="7438" priority="3022" operator="greaterThan">
      <formula>0.85</formula>
    </cfRule>
  </conditionalFormatting>
  <conditionalFormatting sqref="N54">
    <cfRule type="cellIs" dxfId="7437" priority="3019" operator="greaterThan">
      <formula>0.9</formula>
    </cfRule>
    <cfRule type="cellIs" dxfId="7436" priority="3020" operator="greaterThan">
      <formula>0.85</formula>
    </cfRule>
  </conditionalFormatting>
  <conditionalFormatting sqref="E54">
    <cfRule type="expression" dxfId="7435" priority="3015">
      <formula>AND(IF(OR($Q54=1,$Q54=2),1,0),IF($X54&lt;=20,1,0))</formula>
    </cfRule>
    <cfRule type="expression" dxfId="7434" priority="3016">
      <formula>AND(IF($Q54=2,1,0),IF($X54&lt;30,1,0))</formula>
    </cfRule>
    <cfRule type="expression" dxfId="7433" priority="3017">
      <formula>AND(IF($Q54=3,1,0),IF($X54&lt;30,1,0))</formula>
    </cfRule>
    <cfRule type="expression" dxfId="7432" priority="3018">
      <formula>AND(IF($Q54=3,1,IF($Q54=4,1,0)),IF($F54&lt;=85,1,0))</formula>
    </cfRule>
  </conditionalFormatting>
  <conditionalFormatting sqref="X54">
    <cfRule type="expression" dxfId="7431" priority="3011">
      <formula>AND(IF(OR($Q54=1,$Q54=2),1,0),IF($X54&lt;=20,1,0))</formula>
    </cfRule>
    <cfRule type="expression" dxfId="7430" priority="3012">
      <formula>AND(IF($Q54=2,1,0),IF($X54&lt;30,1,0))</formula>
    </cfRule>
    <cfRule type="expression" dxfId="7429" priority="3013">
      <formula>AND(IF($Q54=3,1,0),IF($X54&lt;30,1,0))</formula>
    </cfRule>
    <cfRule type="expression" dxfId="7428" priority="3014">
      <formula>AND(IF($Q54=3,1,IF($Q54=4,1,0)),IF($F54&lt;=85,1,0))</formula>
    </cfRule>
  </conditionalFormatting>
  <conditionalFormatting sqref="AI54">
    <cfRule type="expression" dxfId="7427" priority="3007">
      <formula>AND(IF(OR($Q54=1,$Q54=2),1,0),IF($X54&lt;=20,1,0))</formula>
    </cfRule>
    <cfRule type="expression" dxfId="7426" priority="3008">
      <formula>AND(IF($Q54=2,1,0),IF($X54&lt;30,1,0))</formula>
    </cfRule>
    <cfRule type="expression" dxfId="7425" priority="3009">
      <formula>AND(IF($Q54=3,1,0),IF($X54&lt;30,1,0))</formula>
    </cfRule>
    <cfRule type="expression" dxfId="7424" priority="3010">
      <formula>AND(IF($Q54=3,1,IF($Q54=4,1,0)),IF($F54&lt;=85,1,0))</formula>
    </cfRule>
  </conditionalFormatting>
  <conditionalFormatting sqref="AV55">
    <cfRule type="expression" dxfId="7423" priority="3005">
      <formula>AV55="X"</formula>
    </cfRule>
    <cfRule type="expression" dxfId="7422" priority="3006">
      <formula>AV55="후보"</formula>
    </cfRule>
  </conditionalFormatting>
  <conditionalFormatting sqref="AC55">
    <cfRule type="cellIs" dxfId="7421" priority="3003" operator="greaterThan">
      <formula>0.9</formula>
    </cfRule>
    <cfRule type="cellIs" dxfId="7420" priority="3004" operator="greaterThan">
      <formula>0.85</formula>
    </cfRule>
  </conditionalFormatting>
  <conditionalFormatting sqref="N55">
    <cfRule type="cellIs" dxfId="7419" priority="3001" operator="greaterThan">
      <formula>0.9</formula>
    </cfRule>
    <cfRule type="cellIs" dxfId="7418" priority="3002" operator="greaterThan">
      <formula>0.85</formula>
    </cfRule>
  </conditionalFormatting>
  <conditionalFormatting sqref="E55">
    <cfRule type="expression" dxfId="7417" priority="2997">
      <formula>AND(IF(OR($Q55=1,$Q55=2),1,0),IF($X55&lt;=20,1,0))</formula>
    </cfRule>
    <cfRule type="expression" dxfId="7416" priority="2998">
      <formula>AND(IF($Q55=2,1,0),IF($X55&lt;30,1,0))</formula>
    </cfRule>
    <cfRule type="expression" dxfId="7415" priority="2999">
      <formula>AND(IF($Q55=3,1,0),IF($X55&lt;30,1,0))</formula>
    </cfRule>
    <cfRule type="expression" dxfId="7414" priority="3000">
      <formula>AND(IF($Q55=3,1,IF($Q55=4,1,0)),IF($F55&lt;=85,1,0))</formula>
    </cfRule>
  </conditionalFormatting>
  <conditionalFormatting sqref="X55">
    <cfRule type="expression" dxfId="7413" priority="2993">
      <formula>AND(IF(OR($Q55=1,$Q55=2),1,0),IF($X55&lt;=20,1,0))</formula>
    </cfRule>
    <cfRule type="expression" dxfId="7412" priority="2994">
      <formula>AND(IF($Q55=2,1,0),IF($X55&lt;30,1,0))</formula>
    </cfRule>
    <cfRule type="expression" dxfId="7411" priority="2995">
      <formula>AND(IF($Q55=3,1,0),IF($X55&lt;30,1,0))</formula>
    </cfRule>
    <cfRule type="expression" dxfId="7410" priority="2996">
      <formula>AND(IF($Q55=3,1,IF($Q55=4,1,0)),IF($F55&lt;=85,1,0))</formula>
    </cfRule>
  </conditionalFormatting>
  <conditionalFormatting sqref="AI55">
    <cfRule type="expression" dxfId="7409" priority="2989">
      <formula>AND(IF(OR($Q55=1,$Q55=2),1,0),IF($X55&lt;=20,1,0))</formula>
    </cfRule>
    <cfRule type="expression" dxfId="7408" priority="2990">
      <formula>AND(IF($Q55=2,1,0),IF($X55&lt;30,1,0))</formula>
    </cfRule>
    <cfRule type="expression" dxfId="7407" priority="2991">
      <formula>AND(IF($Q55=3,1,0),IF($X55&lt;30,1,0))</formula>
    </cfRule>
    <cfRule type="expression" dxfId="7406" priority="2992">
      <formula>AND(IF($Q55=3,1,IF($Q55=4,1,0)),IF($F55&lt;=85,1,0))</formula>
    </cfRule>
  </conditionalFormatting>
  <conditionalFormatting sqref="AV56">
    <cfRule type="expression" dxfId="7405" priority="2987">
      <formula>AV56="X"</formula>
    </cfRule>
    <cfRule type="expression" dxfId="7404" priority="2988">
      <formula>AV56="후보"</formula>
    </cfRule>
  </conditionalFormatting>
  <conditionalFormatting sqref="AC56">
    <cfRule type="cellIs" dxfId="7403" priority="2985" operator="greaterThan">
      <formula>0.9</formula>
    </cfRule>
    <cfRule type="cellIs" dxfId="7402" priority="2986" operator="greaterThan">
      <formula>0.85</formula>
    </cfRule>
  </conditionalFormatting>
  <conditionalFormatting sqref="N56">
    <cfRule type="cellIs" dxfId="7401" priority="2983" operator="greaterThan">
      <formula>0.9</formula>
    </cfRule>
    <cfRule type="cellIs" dxfId="7400" priority="2984" operator="greaterThan">
      <formula>0.85</formula>
    </cfRule>
  </conditionalFormatting>
  <conditionalFormatting sqref="E56">
    <cfRule type="expression" dxfId="7399" priority="2979">
      <formula>AND(IF(OR($Q56=1,$Q56=2),1,0),IF($X56&lt;=20,1,0))</formula>
    </cfRule>
    <cfRule type="expression" dxfId="7398" priority="2980">
      <formula>AND(IF($Q56=2,1,0),IF($X56&lt;30,1,0))</formula>
    </cfRule>
    <cfRule type="expression" dxfId="7397" priority="2981">
      <formula>AND(IF($Q56=3,1,0),IF($X56&lt;30,1,0))</formula>
    </cfRule>
    <cfRule type="expression" dxfId="7396" priority="2982">
      <formula>AND(IF($Q56=3,1,IF($Q56=4,1,0)),IF($F56&lt;=85,1,0))</formula>
    </cfRule>
  </conditionalFormatting>
  <conditionalFormatting sqref="X56">
    <cfRule type="expression" dxfId="7395" priority="2975">
      <formula>AND(IF(OR($Q56=1,$Q56=2),1,0),IF($X56&lt;=20,1,0))</formula>
    </cfRule>
    <cfRule type="expression" dxfId="7394" priority="2976">
      <formula>AND(IF($Q56=2,1,0),IF($X56&lt;30,1,0))</formula>
    </cfRule>
    <cfRule type="expression" dxfId="7393" priority="2977">
      <formula>AND(IF($Q56=3,1,0),IF($X56&lt;30,1,0))</formula>
    </cfRule>
    <cfRule type="expression" dxfId="7392" priority="2978">
      <formula>AND(IF($Q56=3,1,IF($Q56=4,1,0)),IF($F56&lt;=85,1,0))</formula>
    </cfRule>
  </conditionalFormatting>
  <conditionalFormatting sqref="AI56">
    <cfRule type="expression" dxfId="7391" priority="2971">
      <formula>AND(IF(OR($Q56=1,$Q56=2),1,0),IF($X56&lt;=20,1,0))</formula>
    </cfRule>
    <cfRule type="expression" dxfId="7390" priority="2972">
      <formula>AND(IF($Q56=2,1,0),IF($X56&lt;30,1,0))</formula>
    </cfRule>
    <cfRule type="expression" dxfId="7389" priority="2973">
      <formula>AND(IF($Q56=3,1,0),IF($X56&lt;30,1,0))</formula>
    </cfRule>
    <cfRule type="expression" dxfId="7388" priority="2974">
      <formula>AND(IF($Q56=3,1,IF($Q56=4,1,0)),IF($F56&lt;=85,1,0))</formula>
    </cfRule>
  </conditionalFormatting>
  <conditionalFormatting sqref="AV57">
    <cfRule type="expression" dxfId="7387" priority="2969">
      <formula>AV57="X"</formula>
    </cfRule>
    <cfRule type="expression" dxfId="7386" priority="2970">
      <formula>AV57="후보"</formula>
    </cfRule>
  </conditionalFormatting>
  <conditionalFormatting sqref="AC57">
    <cfRule type="cellIs" dxfId="7385" priority="2967" operator="greaterThan">
      <formula>0.9</formula>
    </cfRule>
    <cfRule type="cellIs" dxfId="7384" priority="2968" operator="greaterThan">
      <formula>0.85</formula>
    </cfRule>
  </conditionalFormatting>
  <conditionalFormatting sqref="N57">
    <cfRule type="cellIs" dxfId="7383" priority="2965" operator="greaterThan">
      <formula>0.9</formula>
    </cfRule>
    <cfRule type="cellIs" dxfId="7382" priority="2966" operator="greaterThan">
      <formula>0.85</formula>
    </cfRule>
  </conditionalFormatting>
  <conditionalFormatting sqref="E57">
    <cfRule type="expression" dxfId="7381" priority="2961">
      <formula>AND(IF(OR($Q57=1,$Q57=2),1,0),IF($X57&lt;=20,1,0))</formula>
    </cfRule>
    <cfRule type="expression" dxfId="7380" priority="2962">
      <formula>AND(IF($Q57=2,1,0),IF($X57&lt;30,1,0))</formula>
    </cfRule>
    <cfRule type="expression" dxfId="7379" priority="2963">
      <formula>AND(IF($Q57=3,1,0),IF($X57&lt;30,1,0))</formula>
    </cfRule>
    <cfRule type="expression" dxfId="7378" priority="2964">
      <formula>AND(IF($Q57=3,1,IF($Q57=4,1,0)),IF($F57&lt;=85,1,0))</formula>
    </cfRule>
  </conditionalFormatting>
  <conditionalFormatting sqref="X57">
    <cfRule type="expression" dxfId="7377" priority="2957">
      <formula>AND(IF(OR($Q57=1,$Q57=2),1,0),IF($X57&lt;=20,1,0))</formula>
    </cfRule>
    <cfRule type="expression" dxfId="7376" priority="2958">
      <formula>AND(IF($Q57=2,1,0),IF($X57&lt;30,1,0))</formula>
    </cfRule>
    <cfRule type="expression" dxfId="7375" priority="2959">
      <formula>AND(IF($Q57=3,1,0),IF($X57&lt;30,1,0))</formula>
    </cfRule>
    <cfRule type="expression" dxfId="7374" priority="2960">
      <formula>AND(IF($Q57=3,1,IF($Q57=4,1,0)),IF($F57&lt;=85,1,0))</formula>
    </cfRule>
  </conditionalFormatting>
  <conditionalFormatting sqref="AI57">
    <cfRule type="expression" dxfId="7373" priority="2953">
      <formula>AND(IF(OR($Q57=1,$Q57=2),1,0),IF($X57&lt;=20,1,0))</formula>
    </cfRule>
    <cfRule type="expression" dxfId="7372" priority="2954">
      <formula>AND(IF($Q57=2,1,0),IF($X57&lt;30,1,0))</formula>
    </cfRule>
    <cfRule type="expression" dxfId="7371" priority="2955">
      <formula>AND(IF($Q57=3,1,0),IF($X57&lt;30,1,0))</formula>
    </cfRule>
    <cfRule type="expression" dxfId="7370" priority="2956">
      <formula>AND(IF($Q57=3,1,IF($Q57=4,1,0)),IF($F57&lt;=85,1,0))</formula>
    </cfRule>
  </conditionalFormatting>
  <conditionalFormatting sqref="AV58">
    <cfRule type="expression" dxfId="7369" priority="2951">
      <formula>AV58="X"</formula>
    </cfRule>
    <cfRule type="expression" dxfId="7368" priority="2952">
      <formula>AV58="후보"</formula>
    </cfRule>
  </conditionalFormatting>
  <conditionalFormatting sqref="AC58">
    <cfRule type="cellIs" dxfId="7367" priority="2949" operator="greaterThan">
      <formula>0.9</formula>
    </cfRule>
    <cfRule type="cellIs" dxfId="7366" priority="2950" operator="greaterThan">
      <formula>0.85</formula>
    </cfRule>
  </conditionalFormatting>
  <conditionalFormatting sqref="N58">
    <cfRule type="cellIs" dxfId="7365" priority="2947" operator="greaterThan">
      <formula>0.9</formula>
    </cfRule>
    <cfRule type="cellIs" dxfId="7364" priority="2948" operator="greaterThan">
      <formula>0.85</formula>
    </cfRule>
  </conditionalFormatting>
  <conditionalFormatting sqref="E58">
    <cfRule type="expression" dxfId="7363" priority="2943">
      <formula>AND(IF(OR($Q58=1,$Q58=2),1,0),IF($X58&lt;=20,1,0))</formula>
    </cfRule>
    <cfRule type="expression" dxfId="7362" priority="2944">
      <formula>AND(IF($Q58=2,1,0),IF($X58&lt;30,1,0))</formula>
    </cfRule>
    <cfRule type="expression" dxfId="7361" priority="2945">
      <formula>AND(IF($Q58=3,1,0),IF($X58&lt;30,1,0))</formula>
    </cfRule>
    <cfRule type="expression" dxfId="7360" priority="2946">
      <formula>AND(IF($Q58=3,1,IF($Q58=4,1,0)),IF($F58&lt;=85,1,0))</formula>
    </cfRule>
  </conditionalFormatting>
  <conditionalFormatting sqref="X58">
    <cfRule type="expression" dxfId="7359" priority="2939">
      <formula>AND(IF(OR($Q58=1,$Q58=2),1,0),IF($X58&lt;=20,1,0))</formula>
    </cfRule>
    <cfRule type="expression" dxfId="7358" priority="2940">
      <formula>AND(IF($Q58=2,1,0),IF($X58&lt;30,1,0))</formula>
    </cfRule>
    <cfRule type="expression" dxfId="7357" priority="2941">
      <formula>AND(IF($Q58=3,1,0),IF($X58&lt;30,1,0))</formula>
    </cfRule>
    <cfRule type="expression" dxfId="7356" priority="2942">
      <formula>AND(IF($Q58=3,1,IF($Q58=4,1,0)),IF($F58&lt;=85,1,0))</formula>
    </cfRule>
  </conditionalFormatting>
  <conditionalFormatting sqref="AI58">
    <cfRule type="expression" dxfId="7355" priority="2935">
      <formula>AND(IF(OR($Q58=1,$Q58=2),1,0),IF($X58&lt;=20,1,0))</formula>
    </cfRule>
    <cfRule type="expression" dxfId="7354" priority="2936">
      <formula>AND(IF($Q58=2,1,0),IF($X58&lt;30,1,0))</formula>
    </cfRule>
    <cfRule type="expression" dxfId="7353" priority="2937">
      <formula>AND(IF($Q58=3,1,0),IF($X58&lt;30,1,0))</formula>
    </cfRule>
    <cfRule type="expression" dxfId="7352" priority="2938">
      <formula>AND(IF($Q58=3,1,IF($Q58=4,1,0)),IF($F58&lt;=85,1,0))</formula>
    </cfRule>
  </conditionalFormatting>
  <conditionalFormatting sqref="AV59">
    <cfRule type="expression" dxfId="7351" priority="2933">
      <formula>AV59="X"</formula>
    </cfRule>
    <cfRule type="expression" dxfId="7350" priority="2934">
      <formula>AV59="후보"</formula>
    </cfRule>
  </conditionalFormatting>
  <conditionalFormatting sqref="AC59">
    <cfRule type="cellIs" dxfId="7349" priority="2931" operator="greaterThan">
      <formula>0.9</formula>
    </cfRule>
    <cfRule type="cellIs" dxfId="7348" priority="2932" operator="greaterThan">
      <formula>0.85</formula>
    </cfRule>
  </conditionalFormatting>
  <conditionalFormatting sqref="N59">
    <cfRule type="cellIs" dxfId="7347" priority="2929" operator="greaterThan">
      <formula>0.9</formula>
    </cfRule>
    <cfRule type="cellIs" dxfId="7346" priority="2930" operator="greaterThan">
      <formula>0.85</formula>
    </cfRule>
  </conditionalFormatting>
  <conditionalFormatting sqref="E59">
    <cfRule type="expression" dxfId="7345" priority="2925">
      <formula>AND(IF(OR($Q59=1,$Q59=2),1,0),IF($X59&lt;=20,1,0))</formula>
    </cfRule>
    <cfRule type="expression" dxfId="7344" priority="2926">
      <formula>AND(IF($Q59=2,1,0),IF($X59&lt;30,1,0))</formula>
    </cfRule>
    <cfRule type="expression" dxfId="7343" priority="2927">
      <formula>AND(IF($Q59=3,1,0),IF($X59&lt;30,1,0))</formula>
    </cfRule>
    <cfRule type="expression" dxfId="7342" priority="2928">
      <formula>AND(IF($Q59=3,1,IF($Q59=4,1,0)),IF($F59&lt;=85,1,0))</formula>
    </cfRule>
  </conditionalFormatting>
  <conditionalFormatting sqref="X59">
    <cfRule type="expression" dxfId="7341" priority="2921">
      <formula>AND(IF(OR($Q59=1,$Q59=2),1,0),IF($X59&lt;=20,1,0))</formula>
    </cfRule>
    <cfRule type="expression" dxfId="7340" priority="2922">
      <formula>AND(IF($Q59=2,1,0),IF($X59&lt;30,1,0))</formula>
    </cfRule>
    <cfRule type="expression" dxfId="7339" priority="2923">
      <formula>AND(IF($Q59=3,1,0),IF($X59&lt;30,1,0))</formula>
    </cfRule>
    <cfRule type="expression" dxfId="7338" priority="2924">
      <formula>AND(IF($Q59=3,1,IF($Q59=4,1,0)),IF($F59&lt;=85,1,0))</formula>
    </cfRule>
  </conditionalFormatting>
  <conditionalFormatting sqref="AI59">
    <cfRule type="expression" dxfId="7337" priority="2917">
      <formula>AND(IF(OR($Q59=1,$Q59=2),1,0),IF($X59&lt;=20,1,0))</formula>
    </cfRule>
    <cfRule type="expression" dxfId="7336" priority="2918">
      <formula>AND(IF($Q59=2,1,0),IF($X59&lt;30,1,0))</formula>
    </cfRule>
    <cfRule type="expression" dxfId="7335" priority="2919">
      <formula>AND(IF($Q59=3,1,0),IF($X59&lt;30,1,0))</formula>
    </cfRule>
    <cfRule type="expression" dxfId="7334" priority="2920">
      <formula>AND(IF($Q59=3,1,IF($Q59=4,1,0)),IF($F59&lt;=85,1,0))</formula>
    </cfRule>
  </conditionalFormatting>
  <conditionalFormatting sqref="AV60">
    <cfRule type="expression" dxfId="7333" priority="2915">
      <formula>AV60="X"</formula>
    </cfRule>
    <cfRule type="expression" dxfId="7332" priority="2916">
      <formula>AV60="후보"</formula>
    </cfRule>
  </conditionalFormatting>
  <conditionalFormatting sqref="AC60">
    <cfRule type="cellIs" dxfId="7331" priority="2913" operator="greaterThan">
      <formula>0.9</formula>
    </cfRule>
    <cfRule type="cellIs" dxfId="7330" priority="2914" operator="greaterThan">
      <formula>0.85</formula>
    </cfRule>
  </conditionalFormatting>
  <conditionalFormatting sqref="N60">
    <cfRule type="cellIs" dxfId="7329" priority="2911" operator="greaterThan">
      <formula>0.9</formula>
    </cfRule>
    <cfRule type="cellIs" dxfId="7328" priority="2912" operator="greaterThan">
      <formula>0.85</formula>
    </cfRule>
  </conditionalFormatting>
  <conditionalFormatting sqref="E60">
    <cfRule type="expression" dxfId="7327" priority="2907">
      <formula>AND(IF(OR($Q60=1,$Q60=2),1,0),IF($X60&lt;=20,1,0))</formula>
    </cfRule>
    <cfRule type="expression" dxfId="7326" priority="2908">
      <formula>AND(IF($Q60=2,1,0),IF($X60&lt;30,1,0))</formula>
    </cfRule>
    <cfRule type="expression" dxfId="7325" priority="2909">
      <formula>AND(IF($Q60=3,1,0),IF($X60&lt;30,1,0))</formula>
    </cfRule>
    <cfRule type="expression" dxfId="7324" priority="2910">
      <formula>AND(IF($Q60=3,1,IF($Q60=4,1,0)),IF($F60&lt;=85,1,0))</formula>
    </cfRule>
  </conditionalFormatting>
  <conditionalFormatting sqref="X60">
    <cfRule type="expression" dxfId="7323" priority="2903">
      <formula>AND(IF(OR($Q60=1,$Q60=2),1,0),IF($X60&lt;=20,1,0))</formula>
    </cfRule>
    <cfRule type="expression" dxfId="7322" priority="2904">
      <formula>AND(IF($Q60=2,1,0),IF($X60&lt;30,1,0))</formula>
    </cfRule>
    <cfRule type="expression" dxfId="7321" priority="2905">
      <formula>AND(IF($Q60=3,1,0),IF($X60&lt;30,1,0))</formula>
    </cfRule>
    <cfRule type="expression" dxfId="7320" priority="2906">
      <formula>AND(IF($Q60=3,1,IF($Q60=4,1,0)),IF($F60&lt;=85,1,0))</formula>
    </cfRule>
  </conditionalFormatting>
  <conditionalFormatting sqref="AI60">
    <cfRule type="expression" dxfId="7319" priority="2899">
      <formula>AND(IF(OR($Q60=1,$Q60=2),1,0),IF($X60&lt;=20,1,0))</formula>
    </cfRule>
    <cfRule type="expression" dxfId="7318" priority="2900">
      <formula>AND(IF($Q60=2,1,0),IF($X60&lt;30,1,0))</formula>
    </cfRule>
    <cfRule type="expression" dxfId="7317" priority="2901">
      <formula>AND(IF($Q60=3,1,0),IF($X60&lt;30,1,0))</formula>
    </cfRule>
    <cfRule type="expression" dxfId="7316" priority="2902">
      <formula>AND(IF($Q60=3,1,IF($Q60=4,1,0)),IF($F60&lt;=85,1,0))</formula>
    </cfRule>
  </conditionalFormatting>
  <conditionalFormatting sqref="AV61">
    <cfRule type="expression" dxfId="7315" priority="2897">
      <formula>AV61="X"</formula>
    </cfRule>
    <cfRule type="expression" dxfId="7314" priority="2898">
      <formula>AV61="후보"</formula>
    </cfRule>
  </conditionalFormatting>
  <conditionalFormatting sqref="AC61">
    <cfRule type="cellIs" dxfId="7313" priority="2895" operator="greaterThan">
      <formula>0.9</formula>
    </cfRule>
    <cfRule type="cellIs" dxfId="7312" priority="2896" operator="greaterThan">
      <formula>0.85</formula>
    </cfRule>
  </conditionalFormatting>
  <conditionalFormatting sqref="N61">
    <cfRule type="cellIs" dxfId="7311" priority="2893" operator="greaterThan">
      <formula>0.9</formula>
    </cfRule>
    <cfRule type="cellIs" dxfId="7310" priority="2894" operator="greaterThan">
      <formula>0.85</formula>
    </cfRule>
  </conditionalFormatting>
  <conditionalFormatting sqref="E61">
    <cfRule type="expression" dxfId="7309" priority="2889">
      <formula>AND(IF(OR($Q61=1,$Q61=2),1,0),IF($X61&lt;=20,1,0))</formula>
    </cfRule>
    <cfRule type="expression" dxfId="7308" priority="2890">
      <formula>AND(IF($Q61=2,1,0),IF($X61&lt;30,1,0))</formula>
    </cfRule>
    <cfRule type="expression" dxfId="7307" priority="2891">
      <formula>AND(IF($Q61=3,1,0),IF($X61&lt;30,1,0))</formula>
    </cfRule>
    <cfRule type="expression" dxfId="7306" priority="2892">
      <formula>AND(IF($Q61=3,1,IF($Q61=4,1,0)),IF($F61&lt;=85,1,0))</formula>
    </cfRule>
  </conditionalFormatting>
  <conditionalFormatting sqref="X61">
    <cfRule type="expression" dxfId="7305" priority="2885">
      <formula>AND(IF(OR($Q61=1,$Q61=2),1,0),IF($X61&lt;=20,1,0))</formula>
    </cfRule>
    <cfRule type="expression" dxfId="7304" priority="2886">
      <formula>AND(IF($Q61=2,1,0),IF($X61&lt;30,1,0))</formula>
    </cfRule>
    <cfRule type="expression" dxfId="7303" priority="2887">
      <formula>AND(IF($Q61=3,1,0),IF($X61&lt;30,1,0))</formula>
    </cfRule>
    <cfRule type="expression" dxfId="7302" priority="2888">
      <formula>AND(IF($Q61=3,1,IF($Q61=4,1,0)),IF($F61&lt;=85,1,0))</formula>
    </cfRule>
  </conditionalFormatting>
  <conditionalFormatting sqref="AI61">
    <cfRule type="expression" dxfId="7301" priority="2881">
      <formula>AND(IF(OR($Q61=1,$Q61=2),1,0),IF($X61&lt;=20,1,0))</formula>
    </cfRule>
    <cfRule type="expression" dxfId="7300" priority="2882">
      <formula>AND(IF($Q61=2,1,0),IF($X61&lt;30,1,0))</formula>
    </cfRule>
    <cfRule type="expression" dxfId="7299" priority="2883">
      <formula>AND(IF($Q61=3,1,0),IF($X61&lt;30,1,0))</formula>
    </cfRule>
    <cfRule type="expression" dxfId="7298" priority="2884">
      <formula>AND(IF($Q61=3,1,IF($Q61=4,1,0)),IF($F61&lt;=85,1,0))</formula>
    </cfRule>
  </conditionalFormatting>
  <conditionalFormatting sqref="AV62">
    <cfRule type="expression" dxfId="7297" priority="2879">
      <formula>AV62="X"</formula>
    </cfRule>
    <cfRule type="expression" dxfId="7296" priority="2880">
      <formula>AV62="후보"</formula>
    </cfRule>
  </conditionalFormatting>
  <conditionalFormatting sqref="AC62">
    <cfRule type="cellIs" dxfId="7295" priority="2877" operator="greaterThan">
      <formula>0.9</formula>
    </cfRule>
    <cfRule type="cellIs" dxfId="7294" priority="2878" operator="greaterThan">
      <formula>0.85</formula>
    </cfRule>
  </conditionalFormatting>
  <conditionalFormatting sqref="N62">
    <cfRule type="cellIs" dxfId="7293" priority="2875" operator="greaterThan">
      <formula>0.9</formula>
    </cfRule>
    <cfRule type="cellIs" dxfId="7292" priority="2876" operator="greaterThan">
      <formula>0.85</formula>
    </cfRule>
  </conditionalFormatting>
  <conditionalFormatting sqref="E62">
    <cfRule type="expression" dxfId="7291" priority="2871">
      <formula>AND(IF(OR($Q62=1,$Q62=2),1,0),IF($X62&lt;=20,1,0))</formula>
    </cfRule>
    <cfRule type="expression" dxfId="7290" priority="2872">
      <formula>AND(IF($Q62=2,1,0),IF($X62&lt;30,1,0))</formula>
    </cfRule>
    <cfRule type="expression" dxfId="7289" priority="2873">
      <formula>AND(IF($Q62=3,1,0),IF($X62&lt;30,1,0))</formula>
    </cfRule>
    <cfRule type="expression" dxfId="7288" priority="2874">
      <formula>AND(IF($Q62=3,1,IF($Q62=4,1,0)),IF($F62&lt;=85,1,0))</formula>
    </cfRule>
  </conditionalFormatting>
  <conditionalFormatting sqref="X62">
    <cfRule type="expression" dxfId="7287" priority="2867">
      <formula>AND(IF(OR($Q62=1,$Q62=2),1,0),IF($X62&lt;=20,1,0))</formula>
    </cfRule>
    <cfRule type="expression" dxfId="7286" priority="2868">
      <formula>AND(IF($Q62=2,1,0),IF($X62&lt;30,1,0))</formula>
    </cfRule>
    <cfRule type="expression" dxfId="7285" priority="2869">
      <formula>AND(IF($Q62=3,1,0),IF($X62&lt;30,1,0))</formula>
    </cfRule>
    <cfRule type="expression" dxfId="7284" priority="2870">
      <formula>AND(IF($Q62=3,1,IF($Q62=4,1,0)),IF($F62&lt;=85,1,0))</formula>
    </cfRule>
  </conditionalFormatting>
  <conditionalFormatting sqref="AI62">
    <cfRule type="expression" dxfId="7283" priority="2863">
      <formula>AND(IF(OR($Q62=1,$Q62=2),1,0),IF($X62&lt;=20,1,0))</formula>
    </cfRule>
    <cfRule type="expression" dxfId="7282" priority="2864">
      <formula>AND(IF($Q62=2,1,0),IF($X62&lt;30,1,0))</formula>
    </cfRule>
    <cfRule type="expression" dxfId="7281" priority="2865">
      <formula>AND(IF($Q62=3,1,0),IF($X62&lt;30,1,0))</formula>
    </cfRule>
    <cfRule type="expression" dxfId="7280" priority="2866">
      <formula>AND(IF($Q62=3,1,IF($Q62=4,1,0)),IF($F62&lt;=85,1,0))</formula>
    </cfRule>
  </conditionalFormatting>
  <conditionalFormatting sqref="AV63">
    <cfRule type="expression" dxfId="7279" priority="2861">
      <formula>AV63="X"</formula>
    </cfRule>
    <cfRule type="expression" dxfId="7278" priority="2862">
      <formula>AV63="후보"</formula>
    </cfRule>
  </conditionalFormatting>
  <conditionalFormatting sqref="AC63">
    <cfRule type="cellIs" dxfId="7277" priority="2859" operator="greaterThan">
      <formula>0.9</formula>
    </cfRule>
    <cfRule type="cellIs" dxfId="7276" priority="2860" operator="greaterThan">
      <formula>0.85</formula>
    </cfRule>
  </conditionalFormatting>
  <conditionalFormatting sqref="N63">
    <cfRule type="cellIs" dxfId="7275" priority="2857" operator="greaterThan">
      <formula>0.9</formula>
    </cfRule>
    <cfRule type="cellIs" dxfId="7274" priority="2858" operator="greaterThan">
      <formula>0.85</formula>
    </cfRule>
  </conditionalFormatting>
  <conditionalFormatting sqref="E63">
    <cfRule type="expression" dxfId="7273" priority="2853">
      <formula>AND(IF(OR($Q63=1,$Q63=2),1,0),IF($X63&lt;=20,1,0))</formula>
    </cfRule>
    <cfRule type="expression" dxfId="7272" priority="2854">
      <formula>AND(IF($Q63=2,1,0),IF($X63&lt;30,1,0))</formula>
    </cfRule>
    <cfRule type="expression" dxfId="7271" priority="2855">
      <formula>AND(IF($Q63=3,1,0),IF($X63&lt;30,1,0))</formula>
    </cfRule>
    <cfRule type="expression" dxfId="7270" priority="2856">
      <formula>AND(IF($Q63=3,1,IF($Q63=4,1,0)),IF($F63&lt;=85,1,0))</formula>
    </cfRule>
  </conditionalFormatting>
  <conditionalFormatting sqref="X63">
    <cfRule type="expression" dxfId="7269" priority="2849">
      <formula>AND(IF(OR($Q63=1,$Q63=2),1,0),IF($X63&lt;=20,1,0))</formula>
    </cfRule>
    <cfRule type="expression" dxfId="7268" priority="2850">
      <formula>AND(IF($Q63=2,1,0),IF($X63&lt;30,1,0))</formula>
    </cfRule>
    <cfRule type="expression" dxfId="7267" priority="2851">
      <formula>AND(IF($Q63=3,1,0),IF($X63&lt;30,1,0))</formula>
    </cfRule>
    <cfRule type="expression" dxfId="7266" priority="2852">
      <formula>AND(IF($Q63=3,1,IF($Q63=4,1,0)),IF($F63&lt;=85,1,0))</formula>
    </cfRule>
  </conditionalFormatting>
  <conditionalFormatting sqref="AI63">
    <cfRule type="expression" dxfId="7265" priority="2845">
      <formula>AND(IF(OR($Q63=1,$Q63=2),1,0),IF($X63&lt;=20,1,0))</formula>
    </cfRule>
    <cfRule type="expression" dxfId="7264" priority="2846">
      <formula>AND(IF($Q63=2,1,0),IF($X63&lt;30,1,0))</formula>
    </cfRule>
    <cfRule type="expression" dxfId="7263" priority="2847">
      <formula>AND(IF($Q63=3,1,0),IF($X63&lt;30,1,0))</formula>
    </cfRule>
    <cfRule type="expression" dxfId="7262" priority="2848">
      <formula>AND(IF($Q63=3,1,IF($Q63=4,1,0)),IF($F63&lt;=85,1,0))</formula>
    </cfRule>
  </conditionalFormatting>
  <conditionalFormatting sqref="AV64">
    <cfRule type="expression" dxfId="7261" priority="2843">
      <formula>AV64="X"</formula>
    </cfRule>
    <cfRule type="expression" dxfId="7260" priority="2844">
      <formula>AV64="후보"</formula>
    </cfRule>
  </conditionalFormatting>
  <conditionalFormatting sqref="AC64">
    <cfRule type="cellIs" dxfId="7259" priority="2841" operator="greaterThan">
      <formula>0.9</formula>
    </cfRule>
    <cfRule type="cellIs" dxfId="7258" priority="2842" operator="greaterThan">
      <formula>0.85</formula>
    </cfRule>
  </conditionalFormatting>
  <conditionalFormatting sqref="N64">
    <cfRule type="cellIs" dxfId="7257" priority="2839" operator="greaterThan">
      <formula>0.9</formula>
    </cfRule>
    <cfRule type="cellIs" dxfId="7256" priority="2840" operator="greaterThan">
      <formula>0.85</formula>
    </cfRule>
  </conditionalFormatting>
  <conditionalFormatting sqref="E64">
    <cfRule type="expression" dxfId="7255" priority="2835">
      <formula>AND(IF(OR($Q64=1,$Q64=2),1,0),IF($X64&lt;=20,1,0))</formula>
    </cfRule>
    <cfRule type="expression" dxfId="7254" priority="2836">
      <formula>AND(IF($Q64=2,1,0),IF($X64&lt;30,1,0))</formula>
    </cfRule>
    <cfRule type="expression" dxfId="7253" priority="2837">
      <formula>AND(IF($Q64=3,1,0),IF($X64&lt;30,1,0))</formula>
    </cfRule>
    <cfRule type="expression" dxfId="7252" priority="2838">
      <formula>AND(IF($Q64=3,1,IF($Q64=4,1,0)),IF($F64&lt;=85,1,0))</formula>
    </cfRule>
  </conditionalFormatting>
  <conditionalFormatting sqref="X64">
    <cfRule type="expression" dxfId="7251" priority="2831">
      <formula>AND(IF(OR($Q64=1,$Q64=2),1,0),IF($X64&lt;=20,1,0))</formula>
    </cfRule>
    <cfRule type="expression" dxfId="7250" priority="2832">
      <formula>AND(IF($Q64=2,1,0),IF($X64&lt;30,1,0))</formula>
    </cfRule>
    <cfRule type="expression" dxfId="7249" priority="2833">
      <formula>AND(IF($Q64=3,1,0),IF($X64&lt;30,1,0))</formula>
    </cfRule>
    <cfRule type="expression" dxfId="7248" priority="2834">
      <formula>AND(IF($Q64=3,1,IF($Q64=4,1,0)),IF($F64&lt;=85,1,0))</formula>
    </cfRule>
  </conditionalFormatting>
  <conditionalFormatting sqref="AI64">
    <cfRule type="expression" dxfId="7247" priority="2827">
      <formula>AND(IF(OR($Q64=1,$Q64=2),1,0),IF($X64&lt;=20,1,0))</formula>
    </cfRule>
    <cfRule type="expression" dxfId="7246" priority="2828">
      <formula>AND(IF($Q64=2,1,0),IF($X64&lt;30,1,0))</formula>
    </cfRule>
    <cfRule type="expression" dxfId="7245" priority="2829">
      <formula>AND(IF($Q64=3,1,0),IF($X64&lt;30,1,0))</formula>
    </cfRule>
    <cfRule type="expression" dxfId="7244" priority="2830">
      <formula>AND(IF($Q64=3,1,IF($Q64=4,1,0)),IF($F64&lt;=85,1,0))</formula>
    </cfRule>
  </conditionalFormatting>
  <conditionalFormatting sqref="AV65">
    <cfRule type="expression" dxfId="7243" priority="2825">
      <formula>AV65="X"</formula>
    </cfRule>
    <cfRule type="expression" dxfId="7242" priority="2826">
      <formula>AV65="후보"</formula>
    </cfRule>
  </conditionalFormatting>
  <conditionalFormatting sqref="AC65">
    <cfRule type="cellIs" dxfId="7241" priority="2823" operator="greaterThan">
      <formula>0.9</formula>
    </cfRule>
    <cfRule type="cellIs" dxfId="7240" priority="2824" operator="greaterThan">
      <formula>0.85</formula>
    </cfRule>
  </conditionalFormatting>
  <conditionalFormatting sqref="N65">
    <cfRule type="cellIs" dxfId="7239" priority="2821" operator="greaterThan">
      <formula>0.9</formula>
    </cfRule>
    <cfRule type="cellIs" dxfId="7238" priority="2822" operator="greaterThan">
      <formula>0.85</formula>
    </cfRule>
  </conditionalFormatting>
  <conditionalFormatting sqref="E65">
    <cfRule type="expression" dxfId="7237" priority="2817">
      <formula>AND(IF(OR($Q65=1,$Q65=2),1,0),IF($X65&lt;=20,1,0))</formula>
    </cfRule>
    <cfRule type="expression" dxfId="7236" priority="2818">
      <formula>AND(IF($Q65=2,1,0),IF($X65&lt;30,1,0))</formula>
    </cfRule>
    <cfRule type="expression" dxfId="7235" priority="2819">
      <formula>AND(IF($Q65=3,1,0),IF($X65&lt;30,1,0))</formula>
    </cfRule>
    <cfRule type="expression" dxfId="7234" priority="2820">
      <formula>AND(IF($Q65=3,1,IF($Q65=4,1,0)),IF($F65&lt;=85,1,0))</formula>
    </cfRule>
  </conditionalFormatting>
  <conditionalFormatting sqref="X65">
    <cfRule type="expression" dxfId="7233" priority="2813">
      <formula>AND(IF(OR($Q65=1,$Q65=2),1,0),IF($X65&lt;=20,1,0))</formula>
    </cfRule>
    <cfRule type="expression" dxfId="7232" priority="2814">
      <formula>AND(IF($Q65=2,1,0),IF($X65&lt;30,1,0))</formula>
    </cfRule>
    <cfRule type="expression" dxfId="7231" priority="2815">
      <formula>AND(IF($Q65=3,1,0),IF($X65&lt;30,1,0))</formula>
    </cfRule>
    <cfRule type="expression" dxfId="7230" priority="2816">
      <formula>AND(IF($Q65=3,1,IF($Q65=4,1,0)),IF($F65&lt;=85,1,0))</formula>
    </cfRule>
  </conditionalFormatting>
  <conditionalFormatting sqref="AI65">
    <cfRule type="expression" dxfId="7229" priority="2809">
      <formula>AND(IF(OR($Q65=1,$Q65=2),1,0),IF($X65&lt;=20,1,0))</formula>
    </cfRule>
    <cfRule type="expression" dxfId="7228" priority="2810">
      <formula>AND(IF($Q65=2,1,0),IF($X65&lt;30,1,0))</formula>
    </cfRule>
    <cfRule type="expression" dxfId="7227" priority="2811">
      <formula>AND(IF($Q65=3,1,0),IF($X65&lt;30,1,0))</formula>
    </cfRule>
    <cfRule type="expression" dxfId="7226" priority="2812">
      <formula>AND(IF($Q65=3,1,IF($Q65=4,1,0)),IF($F65&lt;=85,1,0))</formula>
    </cfRule>
  </conditionalFormatting>
  <conditionalFormatting sqref="AV66">
    <cfRule type="expression" dxfId="7225" priority="2807">
      <formula>AV66="X"</formula>
    </cfRule>
    <cfRule type="expression" dxfId="7224" priority="2808">
      <formula>AV66="후보"</formula>
    </cfRule>
  </conditionalFormatting>
  <conditionalFormatting sqref="AC66">
    <cfRule type="cellIs" dxfId="7223" priority="2805" operator="greaterThan">
      <formula>0.9</formula>
    </cfRule>
    <cfRule type="cellIs" dxfId="7222" priority="2806" operator="greaterThan">
      <formula>0.85</formula>
    </cfRule>
  </conditionalFormatting>
  <conditionalFormatting sqref="N66">
    <cfRule type="cellIs" dxfId="7221" priority="2803" operator="greaterThan">
      <formula>0.9</formula>
    </cfRule>
    <cfRule type="cellIs" dxfId="7220" priority="2804" operator="greaterThan">
      <formula>0.85</formula>
    </cfRule>
  </conditionalFormatting>
  <conditionalFormatting sqref="E66">
    <cfRule type="expression" dxfId="7219" priority="2799">
      <formula>AND(IF(OR($Q66=1,$Q66=2),1,0),IF($X66&lt;=20,1,0))</formula>
    </cfRule>
    <cfRule type="expression" dxfId="7218" priority="2800">
      <formula>AND(IF($Q66=2,1,0),IF($X66&lt;30,1,0))</formula>
    </cfRule>
    <cfRule type="expression" dxfId="7217" priority="2801">
      <formula>AND(IF($Q66=3,1,0),IF($X66&lt;30,1,0))</formula>
    </cfRule>
    <cfRule type="expression" dxfId="7216" priority="2802">
      <formula>AND(IF($Q66=3,1,IF($Q66=4,1,0)),IF($F66&lt;=85,1,0))</formula>
    </cfRule>
  </conditionalFormatting>
  <conditionalFormatting sqref="X66">
    <cfRule type="expression" dxfId="7215" priority="2795">
      <formula>AND(IF(OR($Q66=1,$Q66=2),1,0),IF($X66&lt;=20,1,0))</formula>
    </cfRule>
    <cfRule type="expression" dxfId="7214" priority="2796">
      <formula>AND(IF($Q66=2,1,0),IF($X66&lt;30,1,0))</formula>
    </cfRule>
    <cfRule type="expression" dxfId="7213" priority="2797">
      <formula>AND(IF($Q66=3,1,0),IF($X66&lt;30,1,0))</formula>
    </cfRule>
    <cfRule type="expression" dxfId="7212" priority="2798">
      <formula>AND(IF($Q66=3,1,IF($Q66=4,1,0)),IF($F66&lt;=85,1,0))</formula>
    </cfRule>
  </conditionalFormatting>
  <conditionalFormatting sqref="AI66">
    <cfRule type="expression" dxfId="7211" priority="2791">
      <formula>AND(IF(OR($Q66=1,$Q66=2),1,0),IF($X66&lt;=20,1,0))</formula>
    </cfRule>
    <cfRule type="expression" dxfId="7210" priority="2792">
      <formula>AND(IF($Q66=2,1,0),IF($X66&lt;30,1,0))</formula>
    </cfRule>
    <cfRule type="expression" dxfId="7209" priority="2793">
      <formula>AND(IF($Q66=3,1,0),IF($X66&lt;30,1,0))</formula>
    </cfRule>
    <cfRule type="expression" dxfId="7208" priority="2794">
      <formula>AND(IF($Q66=3,1,IF($Q66=4,1,0)),IF($F66&lt;=85,1,0))</formula>
    </cfRule>
  </conditionalFormatting>
  <conditionalFormatting sqref="AV67">
    <cfRule type="expression" dxfId="7207" priority="2789">
      <formula>AV67="X"</formula>
    </cfRule>
    <cfRule type="expression" dxfId="7206" priority="2790">
      <formula>AV67="후보"</formula>
    </cfRule>
  </conditionalFormatting>
  <conditionalFormatting sqref="AC67">
    <cfRule type="cellIs" dxfId="7205" priority="2787" operator="greaterThan">
      <formula>0.9</formula>
    </cfRule>
    <cfRule type="cellIs" dxfId="7204" priority="2788" operator="greaterThan">
      <formula>0.85</formula>
    </cfRule>
  </conditionalFormatting>
  <conditionalFormatting sqref="N67">
    <cfRule type="cellIs" dxfId="7203" priority="2785" operator="greaterThan">
      <formula>0.9</formula>
    </cfRule>
    <cfRule type="cellIs" dxfId="7202" priority="2786" operator="greaterThan">
      <formula>0.85</formula>
    </cfRule>
  </conditionalFormatting>
  <conditionalFormatting sqref="E67">
    <cfRule type="expression" dxfId="7201" priority="2781">
      <formula>AND(IF(OR($Q67=1,$Q67=2),1,0),IF($X67&lt;=20,1,0))</formula>
    </cfRule>
    <cfRule type="expression" dxfId="7200" priority="2782">
      <formula>AND(IF($Q67=2,1,0),IF($X67&lt;30,1,0))</formula>
    </cfRule>
    <cfRule type="expression" dxfId="7199" priority="2783">
      <formula>AND(IF($Q67=3,1,0),IF($X67&lt;30,1,0))</formula>
    </cfRule>
    <cfRule type="expression" dxfId="7198" priority="2784">
      <formula>AND(IF($Q67=3,1,IF($Q67=4,1,0)),IF($F67&lt;=85,1,0))</formula>
    </cfRule>
  </conditionalFormatting>
  <conditionalFormatting sqref="X67">
    <cfRule type="expression" dxfId="7197" priority="2777">
      <formula>AND(IF(OR($Q67=1,$Q67=2),1,0),IF($X67&lt;=20,1,0))</formula>
    </cfRule>
    <cfRule type="expression" dxfId="7196" priority="2778">
      <formula>AND(IF($Q67=2,1,0),IF($X67&lt;30,1,0))</formula>
    </cfRule>
    <cfRule type="expression" dxfId="7195" priority="2779">
      <formula>AND(IF($Q67=3,1,0),IF($X67&lt;30,1,0))</formula>
    </cfRule>
    <cfRule type="expression" dxfId="7194" priority="2780">
      <formula>AND(IF($Q67=3,1,IF($Q67=4,1,0)),IF($F67&lt;=85,1,0))</formula>
    </cfRule>
  </conditionalFormatting>
  <conditionalFormatting sqref="AI67">
    <cfRule type="expression" dxfId="7193" priority="2773">
      <formula>AND(IF(OR($Q67=1,$Q67=2),1,0),IF($X67&lt;=20,1,0))</formula>
    </cfRule>
    <cfRule type="expression" dxfId="7192" priority="2774">
      <formula>AND(IF($Q67=2,1,0),IF($X67&lt;30,1,0))</formula>
    </cfRule>
    <cfRule type="expression" dxfId="7191" priority="2775">
      <formula>AND(IF($Q67=3,1,0),IF($X67&lt;30,1,0))</formula>
    </cfRule>
    <cfRule type="expression" dxfId="7190" priority="2776">
      <formula>AND(IF($Q67=3,1,IF($Q67=4,1,0)),IF($F67&lt;=85,1,0))</formula>
    </cfRule>
  </conditionalFormatting>
  <conditionalFormatting sqref="AV68">
    <cfRule type="expression" dxfId="7189" priority="2771">
      <formula>AV68="X"</formula>
    </cfRule>
    <cfRule type="expression" dxfId="7188" priority="2772">
      <formula>AV68="후보"</formula>
    </cfRule>
  </conditionalFormatting>
  <conditionalFormatting sqref="AC68">
    <cfRule type="cellIs" dxfId="7187" priority="2769" operator="greaterThan">
      <formula>0.9</formula>
    </cfRule>
    <cfRule type="cellIs" dxfId="7186" priority="2770" operator="greaterThan">
      <formula>0.85</formula>
    </cfRule>
  </conditionalFormatting>
  <conditionalFormatting sqref="N68">
    <cfRule type="cellIs" dxfId="7185" priority="2767" operator="greaterThan">
      <formula>0.9</formula>
    </cfRule>
    <cfRule type="cellIs" dxfId="7184" priority="2768" operator="greaterThan">
      <formula>0.85</formula>
    </cfRule>
  </conditionalFormatting>
  <conditionalFormatting sqref="E68">
    <cfRule type="expression" dxfId="7183" priority="2763">
      <formula>AND(IF(OR($Q68=1,$Q68=2),1,0),IF($X68&lt;=20,1,0))</formula>
    </cfRule>
    <cfRule type="expression" dxfId="7182" priority="2764">
      <formula>AND(IF($Q68=2,1,0),IF($X68&lt;30,1,0))</formula>
    </cfRule>
    <cfRule type="expression" dxfId="7181" priority="2765">
      <formula>AND(IF($Q68=3,1,0),IF($X68&lt;30,1,0))</formula>
    </cfRule>
    <cfRule type="expression" dxfId="7180" priority="2766">
      <formula>AND(IF($Q68=3,1,IF($Q68=4,1,0)),IF($F68&lt;=85,1,0))</formula>
    </cfRule>
  </conditionalFormatting>
  <conditionalFormatting sqref="X68">
    <cfRule type="expression" dxfId="7179" priority="2759">
      <formula>AND(IF(OR($Q68=1,$Q68=2),1,0),IF($X68&lt;=20,1,0))</formula>
    </cfRule>
    <cfRule type="expression" dxfId="7178" priority="2760">
      <formula>AND(IF($Q68=2,1,0),IF($X68&lt;30,1,0))</formula>
    </cfRule>
    <cfRule type="expression" dxfId="7177" priority="2761">
      <formula>AND(IF($Q68=3,1,0),IF($X68&lt;30,1,0))</formula>
    </cfRule>
    <cfRule type="expression" dxfId="7176" priority="2762">
      <formula>AND(IF($Q68=3,1,IF($Q68=4,1,0)),IF($F68&lt;=85,1,0))</formula>
    </cfRule>
  </conditionalFormatting>
  <conditionalFormatting sqref="AI68">
    <cfRule type="expression" dxfId="7175" priority="2755">
      <formula>AND(IF(OR($Q68=1,$Q68=2),1,0),IF($X68&lt;=20,1,0))</formula>
    </cfRule>
    <cfRule type="expression" dxfId="7174" priority="2756">
      <formula>AND(IF($Q68=2,1,0),IF($X68&lt;30,1,0))</formula>
    </cfRule>
    <cfRule type="expression" dxfId="7173" priority="2757">
      <formula>AND(IF($Q68=3,1,0),IF($X68&lt;30,1,0))</formula>
    </cfRule>
    <cfRule type="expression" dxfId="7172" priority="2758">
      <formula>AND(IF($Q68=3,1,IF($Q68=4,1,0)),IF($F68&lt;=85,1,0))</formula>
    </cfRule>
  </conditionalFormatting>
  <conditionalFormatting sqref="AV69">
    <cfRule type="expression" dxfId="7171" priority="2753">
      <formula>AV69="X"</formula>
    </cfRule>
    <cfRule type="expression" dxfId="7170" priority="2754">
      <formula>AV69="후보"</formula>
    </cfRule>
  </conditionalFormatting>
  <conditionalFormatting sqref="AC69">
    <cfRule type="cellIs" dxfId="7169" priority="2751" operator="greaterThan">
      <formula>0.9</formula>
    </cfRule>
    <cfRule type="cellIs" dxfId="7168" priority="2752" operator="greaterThan">
      <formula>0.85</formula>
    </cfRule>
  </conditionalFormatting>
  <conditionalFormatting sqref="N69">
    <cfRule type="cellIs" dxfId="7167" priority="2749" operator="greaterThan">
      <formula>0.9</formula>
    </cfRule>
    <cfRule type="cellIs" dxfId="7166" priority="2750" operator="greaterThan">
      <formula>0.85</formula>
    </cfRule>
  </conditionalFormatting>
  <conditionalFormatting sqref="E69">
    <cfRule type="expression" dxfId="7165" priority="2745">
      <formula>AND(IF(OR($Q69=1,$Q69=2),1,0),IF($X69&lt;=20,1,0))</formula>
    </cfRule>
    <cfRule type="expression" dxfId="7164" priority="2746">
      <formula>AND(IF($Q69=2,1,0),IF($X69&lt;30,1,0))</formula>
    </cfRule>
    <cfRule type="expression" dxfId="7163" priority="2747">
      <formula>AND(IF($Q69=3,1,0),IF($X69&lt;30,1,0))</formula>
    </cfRule>
    <cfRule type="expression" dxfId="7162" priority="2748">
      <formula>AND(IF($Q69=3,1,IF($Q69=4,1,0)),IF($F69&lt;=85,1,0))</formula>
    </cfRule>
  </conditionalFormatting>
  <conditionalFormatting sqref="X69">
    <cfRule type="expression" dxfId="7161" priority="2741">
      <formula>AND(IF(OR($Q69=1,$Q69=2),1,0),IF($X69&lt;=20,1,0))</formula>
    </cfRule>
    <cfRule type="expression" dxfId="7160" priority="2742">
      <formula>AND(IF($Q69=2,1,0),IF($X69&lt;30,1,0))</formula>
    </cfRule>
    <cfRule type="expression" dxfId="7159" priority="2743">
      <formula>AND(IF($Q69=3,1,0),IF($X69&lt;30,1,0))</formula>
    </cfRule>
    <cfRule type="expression" dxfId="7158" priority="2744">
      <formula>AND(IF($Q69=3,1,IF($Q69=4,1,0)),IF($F69&lt;=85,1,0))</formula>
    </cfRule>
  </conditionalFormatting>
  <conditionalFormatting sqref="AI69">
    <cfRule type="expression" dxfId="7157" priority="2737">
      <formula>AND(IF(OR($Q69=1,$Q69=2),1,0),IF($X69&lt;=20,1,0))</formula>
    </cfRule>
    <cfRule type="expression" dxfId="7156" priority="2738">
      <formula>AND(IF($Q69=2,1,0),IF($X69&lt;30,1,0))</formula>
    </cfRule>
    <cfRule type="expression" dxfId="7155" priority="2739">
      <formula>AND(IF($Q69=3,1,0),IF($X69&lt;30,1,0))</formula>
    </cfRule>
    <cfRule type="expression" dxfId="7154" priority="2740">
      <formula>AND(IF($Q69=3,1,IF($Q69=4,1,0)),IF($F69&lt;=85,1,0))</formula>
    </cfRule>
  </conditionalFormatting>
  <conditionalFormatting sqref="AV70">
    <cfRule type="expression" dxfId="7153" priority="2735">
      <formula>AV70="X"</formula>
    </cfRule>
    <cfRule type="expression" dxfId="7152" priority="2736">
      <formula>AV70="후보"</formula>
    </cfRule>
  </conditionalFormatting>
  <conditionalFormatting sqref="AC70">
    <cfRule type="cellIs" dxfId="7151" priority="2733" operator="greaterThan">
      <formula>0.9</formula>
    </cfRule>
    <cfRule type="cellIs" dxfId="7150" priority="2734" operator="greaterThan">
      <formula>0.85</formula>
    </cfRule>
  </conditionalFormatting>
  <conditionalFormatting sqref="N70">
    <cfRule type="cellIs" dxfId="7149" priority="2731" operator="greaterThan">
      <formula>0.9</formula>
    </cfRule>
    <cfRule type="cellIs" dxfId="7148" priority="2732" operator="greaterThan">
      <formula>0.85</formula>
    </cfRule>
  </conditionalFormatting>
  <conditionalFormatting sqref="E70">
    <cfRule type="expression" dxfId="7147" priority="2727">
      <formula>AND(IF(OR($Q70=1,$Q70=2),1,0),IF($X70&lt;=20,1,0))</formula>
    </cfRule>
    <cfRule type="expression" dxfId="7146" priority="2728">
      <formula>AND(IF($Q70=2,1,0),IF($X70&lt;30,1,0))</formula>
    </cfRule>
    <cfRule type="expression" dxfId="7145" priority="2729">
      <formula>AND(IF($Q70=3,1,0),IF($X70&lt;30,1,0))</formula>
    </cfRule>
    <cfRule type="expression" dxfId="7144" priority="2730">
      <formula>AND(IF($Q70=3,1,IF($Q70=4,1,0)),IF($F70&lt;=85,1,0))</formula>
    </cfRule>
  </conditionalFormatting>
  <conditionalFormatting sqref="X70">
    <cfRule type="expression" dxfId="7143" priority="2723">
      <formula>AND(IF(OR($Q70=1,$Q70=2),1,0),IF($X70&lt;=20,1,0))</formula>
    </cfRule>
    <cfRule type="expression" dxfId="7142" priority="2724">
      <formula>AND(IF($Q70=2,1,0),IF($X70&lt;30,1,0))</formula>
    </cfRule>
    <cfRule type="expression" dxfId="7141" priority="2725">
      <formula>AND(IF($Q70=3,1,0),IF($X70&lt;30,1,0))</formula>
    </cfRule>
    <cfRule type="expression" dxfId="7140" priority="2726">
      <formula>AND(IF($Q70=3,1,IF($Q70=4,1,0)),IF($F70&lt;=85,1,0))</formula>
    </cfRule>
  </conditionalFormatting>
  <conditionalFormatting sqref="AI70">
    <cfRule type="expression" dxfId="7139" priority="2719">
      <formula>AND(IF(OR($Q70=1,$Q70=2),1,0),IF($X70&lt;=20,1,0))</formula>
    </cfRule>
    <cfRule type="expression" dxfId="7138" priority="2720">
      <formula>AND(IF($Q70=2,1,0),IF($X70&lt;30,1,0))</formula>
    </cfRule>
    <cfRule type="expression" dxfId="7137" priority="2721">
      <formula>AND(IF($Q70=3,1,0),IF($X70&lt;30,1,0))</formula>
    </cfRule>
    <cfRule type="expression" dxfId="7136" priority="2722">
      <formula>AND(IF($Q70=3,1,IF($Q70=4,1,0)),IF($F70&lt;=85,1,0))</formula>
    </cfRule>
  </conditionalFormatting>
  <conditionalFormatting sqref="AV71">
    <cfRule type="expression" dxfId="7135" priority="2717">
      <formula>AV71="X"</formula>
    </cfRule>
    <cfRule type="expression" dxfId="7134" priority="2718">
      <formula>AV71="후보"</formula>
    </cfRule>
  </conditionalFormatting>
  <conditionalFormatting sqref="AC71">
    <cfRule type="cellIs" dxfId="7133" priority="2715" operator="greaterThan">
      <formula>0.9</formula>
    </cfRule>
    <cfRule type="cellIs" dxfId="7132" priority="2716" operator="greaterThan">
      <formula>0.85</formula>
    </cfRule>
  </conditionalFormatting>
  <conditionalFormatting sqref="N71">
    <cfRule type="cellIs" dxfId="7131" priority="2713" operator="greaterThan">
      <formula>0.9</formula>
    </cfRule>
    <cfRule type="cellIs" dxfId="7130" priority="2714" operator="greaterThan">
      <formula>0.85</formula>
    </cfRule>
  </conditionalFormatting>
  <conditionalFormatting sqref="E71">
    <cfRule type="expression" dxfId="7129" priority="2709">
      <formula>AND(IF(OR($Q71=1,$Q71=2),1,0),IF($X71&lt;=20,1,0))</formula>
    </cfRule>
    <cfRule type="expression" dxfId="7128" priority="2710">
      <formula>AND(IF($Q71=2,1,0),IF($X71&lt;30,1,0))</formula>
    </cfRule>
    <cfRule type="expression" dxfId="7127" priority="2711">
      <formula>AND(IF($Q71=3,1,0),IF($X71&lt;30,1,0))</formula>
    </cfRule>
    <cfRule type="expression" dxfId="7126" priority="2712">
      <formula>AND(IF($Q71=3,1,IF($Q71=4,1,0)),IF($F71&lt;=85,1,0))</formula>
    </cfRule>
  </conditionalFormatting>
  <conditionalFormatting sqref="X71">
    <cfRule type="expression" dxfId="7125" priority="2705">
      <formula>AND(IF(OR($Q71=1,$Q71=2),1,0),IF($X71&lt;=20,1,0))</formula>
    </cfRule>
    <cfRule type="expression" dxfId="7124" priority="2706">
      <formula>AND(IF($Q71=2,1,0),IF($X71&lt;30,1,0))</formula>
    </cfRule>
    <cfRule type="expression" dxfId="7123" priority="2707">
      <formula>AND(IF($Q71=3,1,0),IF($X71&lt;30,1,0))</formula>
    </cfRule>
    <cfRule type="expression" dxfId="7122" priority="2708">
      <formula>AND(IF($Q71=3,1,IF($Q71=4,1,0)),IF($F71&lt;=85,1,0))</formula>
    </cfRule>
  </conditionalFormatting>
  <conditionalFormatting sqref="AI71">
    <cfRule type="expression" dxfId="7121" priority="2701">
      <formula>AND(IF(OR($Q71=1,$Q71=2),1,0),IF($X71&lt;=20,1,0))</formula>
    </cfRule>
    <cfRule type="expression" dxfId="7120" priority="2702">
      <formula>AND(IF($Q71=2,1,0),IF($X71&lt;30,1,0))</formula>
    </cfRule>
    <cfRule type="expression" dxfId="7119" priority="2703">
      <formula>AND(IF($Q71=3,1,0),IF($X71&lt;30,1,0))</formula>
    </cfRule>
    <cfRule type="expression" dxfId="7118" priority="2704">
      <formula>AND(IF($Q71=3,1,IF($Q71=4,1,0)),IF($F71&lt;=85,1,0))</formula>
    </cfRule>
  </conditionalFormatting>
  <conditionalFormatting sqref="AV72">
    <cfRule type="expression" dxfId="7117" priority="2699">
      <formula>AV72="X"</formula>
    </cfRule>
    <cfRule type="expression" dxfId="7116" priority="2700">
      <formula>AV72="후보"</formula>
    </cfRule>
  </conditionalFormatting>
  <conditionalFormatting sqref="AC72">
    <cfRule type="cellIs" dxfId="7115" priority="2697" operator="greaterThan">
      <formula>0.9</formula>
    </cfRule>
    <cfRule type="cellIs" dxfId="7114" priority="2698" operator="greaterThan">
      <formula>0.85</formula>
    </cfRule>
  </conditionalFormatting>
  <conditionalFormatting sqref="N72">
    <cfRule type="cellIs" dxfId="7113" priority="2695" operator="greaterThan">
      <formula>0.9</formula>
    </cfRule>
    <cfRule type="cellIs" dxfId="7112" priority="2696" operator="greaterThan">
      <formula>0.85</formula>
    </cfRule>
  </conditionalFormatting>
  <conditionalFormatting sqref="E72">
    <cfRule type="expression" dxfId="7111" priority="2691">
      <formula>AND(IF(OR($Q72=1,$Q72=2),1,0),IF($X72&lt;=20,1,0))</formula>
    </cfRule>
    <cfRule type="expression" dxfId="7110" priority="2692">
      <formula>AND(IF($Q72=2,1,0),IF($X72&lt;30,1,0))</formula>
    </cfRule>
    <cfRule type="expression" dxfId="7109" priority="2693">
      <formula>AND(IF($Q72=3,1,0),IF($X72&lt;30,1,0))</formula>
    </cfRule>
    <cfRule type="expression" dxfId="7108" priority="2694">
      <formula>AND(IF($Q72=3,1,IF($Q72=4,1,0)),IF($F72&lt;=85,1,0))</formula>
    </cfRule>
  </conditionalFormatting>
  <conditionalFormatting sqref="X72">
    <cfRule type="expression" dxfId="7107" priority="2687">
      <formula>AND(IF(OR($Q72=1,$Q72=2),1,0),IF($X72&lt;=20,1,0))</formula>
    </cfRule>
    <cfRule type="expression" dxfId="7106" priority="2688">
      <formula>AND(IF($Q72=2,1,0),IF($X72&lt;30,1,0))</formula>
    </cfRule>
    <cfRule type="expression" dxfId="7105" priority="2689">
      <formula>AND(IF($Q72=3,1,0),IF($X72&lt;30,1,0))</formula>
    </cfRule>
    <cfRule type="expression" dxfId="7104" priority="2690">
      <formula>AND(IF($Q72=3,1,IF($Q72=4,1,0)),IF($F72&lt;=85,1,0))</formula>
    </cfRule>
  </conditionalFormatting>
  <conditionalFormatting sqref="AI72">
    <cfRule type="expression" dxfId="7103" priority="2683">
      <formula>AND(IF(OR($Q72=1,$Q72=2),1,0),IF($X72&lt;=20,1,0))</formula>
    </cfRule>
    <cfRule type="expression" dxfId="7102" priority="2684">
      <formula>AND(IF($Q72=2,1,0),IF($X72&lt;30,1,0))</formula>
    </cfRule>
    <cfRule type="expression" dxfId="7101" priority="2685">
      <formula>AND(IF($Q72=3,1,0),IF($X72&lt;30,1,0))</formula>
    </cfRule>
    <cfRule type="expression" dxfId="7100" priority="2686">
      <formula>AND(IF($Q72=3,1,IF($Q72=4,1,0)),IF($F72&lt;=85,1,0))</formula>
    </cfRule>
  </conditionalFormatting>
  <conditionalFormatting sqref="AV73">
    <cfRule type="expression" dxfId="7099" priority="2681">
      <formula>AV73="X"</formula>
    </cfRule>
    <cfRule type="expression" dxfId="7098" priority="2682">
      <formula>AV73="후보"</formula>
    </cfRule>
  </conditionalFormatting>
  <conditionalFormatting sqref="AC73">
    <cfRule type="cellIs" dxfId="7097" priority="2679" operator="greaterThan">
      <formula>0.9</formula>
    </cfRule>
    <cfRule type="cellIs" dxfId="7096" priority="2680" operator="greaterThan">
      <formula>0.85</formula>
    </cfRule>
  </conditionalFormatting>
  <conditionalFormatting sqref="N73">
    <cfRule type="cellIs" dxfId="7095" priority="2677" operator="greaterThan">
      <formula>0.9</formula>
    </cfRule>
    <cfRule type="cellIs" dxfId="7094" priority="2678" operator="greaterThan">
      <formula>0.85</formula>
    </cfRule>
  </conditionalFormatting>
  <conditionalFormatting sqref="E73">
    <cfRule type="expression" dxfId="7093" priority="2673">
      <formula>AND(IF(OR($Q73=1,$Q73=2),1,0),IF($X73&lt;=20,1,0))</formula>
    </cfRule>
    <cfRule type="expression" dxfId="7092" priority="2674">
      <formula>AND(IF($Q73=2,1,0),IF($X73&lt;30,1,0))</formula>
    </cfRule>
    <cfRule type="expression" dxfId="7091" priority="2675">
      <formula>AND(IF($Q73=3,1,0),IF($X73&lt;30,1,0))</formula>
    </cfRule>
    <cfRule type="expression" dxfId="7090" priority="2676">
      <formula>AND(IF($Q73=3,1,IF($Q73=4,1,0)),IF($F73&lt;=85,1,0))</formula>
    </cfRule>
  </conditionalFormatting>
  <conditionalFormatting sqref="X73">
    <cfRule type="expression" dxfId="7089" priority="2669">
      <formula>AND(IF(OR($Q73=1,$Q73=2),1,0),IF($X73&lt;=20,1,0))</formula>
    </cfRule>
    <cfRule type="expression" dxfId="7088" priority="2670">
      <formula>AND(IF($Q73=2,1,0),IF($X73&lt;30,1,0))</formula>
    </cfRule>
    <cfRule type="expression" dxfId="7087" priority="2671">
      <formula>AND(IF($Q73=3,1,0),IF($X73&lt;30,1,0))</formula>
    </cfRule>
    <cfRule type="expression" dxfId="7086" priority="2672">
      <formula>AND(IF($Q73=3,1,IF($Q73=4,1,0)),IF($F73&lt;=85,1,0))</formula>
    </cfRule>
  </conditionalFormatting>
  <conditionalFormatting sqref="AI73">
    <cfRule type="expression" dxfId="7085" priority="2665">
      <formula>AND(IF(OR($Q73=1,$Q73=2),1,0),IF($X73&lt;=20,1,0))</formula>
    </cfRule>
    <cfRule type="expression" dxfId="7084" priority="2666">
      <formula>AND(IF($Q73=2,1,0),IF($X73&lt;30,1,0))</formula>
    </cfRule>
    <cfRule type="expression" dxfId="7083" priority="2667">
      <formula>AND(IF($Q73=3,1,0),IF($X73&lt;30,1,0))</formula>
    </cfRule>
    <cfRule type="expression" dxfId="7082" priority="2668">
      <formula>AND(IF($Q73=3,1,IF($Q73=4,1,0)),IF($F73&lt;=85,1,0))</formula>
    </cfRule>
  </conditionalFormatting>
  <conditionalFormatting sqref="AV74">
    <cfRule type="expression" dxfId="7081" priority="2663">
      <formula>AV74="X"</formula>
    </cfRule>
    <cfRule type="expression" dxfId="7080" priority="2664">
      <formula>AV74="후보"</formula>
    </cfRule>
  </conditionalFormatting>
  <conditionalFormatting sqref="AC74">
    <cfRule type="cellIs" dxfId="7079" priority="2661" operator="greaterThan">
      <formula>0.9</formula>
    </cfRule>
    <cfRule type="cellIs" dxfId="7078" priority="2662" operator="greaterThan">
      <formula>0.85</formula>
    </cfRule>
  </conditionalFormatting>
  <conditionalFormatting sqref="N74">
    <cfRule type="cellIs" dxfId="7077" priority="2659" operator="greaterThan">
      <formula>0.9</formula>
    </cfRule>
    <cfRule type="cellIs" dxfId="7076" priority="2660" operator="greaterThan">
      <formula>0.85</formula>
    </cfRule>
  </conditionalFormatting>
  <conditionalFormatting sqref="E74">
    <cfRule type="expression" dxfId="7075" priority="2655">
      <formula>AND(IF(OR($Q74=1,$Q74=2),1,0),IF($X74&lt;=20,1,0))</formula>
    </cfRule>
    <cfRule type="expression" dxfId="7074" priority="2656">
      <formula>AND(IF($Q74=2,1,0),IF($X74&lt;30,1,0))</formula>
    </cfRule>
    <cfRule type="expression" dxfId="7073" priority="2657">
      <formula>AND(IF($Q74=3,1,0),IF($X74&lt;30,1,0))</formula>
    </cfRule>
    <cfRule type="expression" dxfId="7072" priority="2658">
      <formula>AND(IF($Q74=3,1,IF($Q74=4,1,0)),IF($F74&lt;=85,1,0))</formula>
    </cfRule>
  </conditionalFormatting>
  <conditionalFormatting sqref="X74">
    <cfRule type="expression" dxfId="7071" priority="2651">
      <formula>AND(IF(OR($Q74=1,$Q74=2),1,0),IF($X74&lt;=20,1,0))</formula>
    </cfRule>
    <cfRule type="expression" dxfId="7070" priority="2652">
      <formula>AND(IF($Q74=2,1,0),IF($X74&lt;30,1,0))</formula>
    </cfRule>
    <cfRule type="expression" dxfId="7069" priority="2653">
      <formula>AND(IF($Q74=3,1,0),IF($X74&lt;30,1,0))</formula>
    </cfRule>
    <cfRule type="expression" dxfId="7068" priority="2654">
      <formula>AND(IF($Q74=3,1,IF($Q74=4,1,0)),IF($F74&lt;=85,1,0))</formula>
    </cfRule>
  </conditionalFormatting>
  <conditionalFormatting sqref="AI74">
    <cfRule type="expression" dxfId="7067" priority="2647">
      <formula>AND(IF(OR($Q74=1,$Q74=2),1,0),IF($X74&lt;=20,1,0))</formula>
    </cfRule>
    <cfRule type="expression" dxfId="7066" priority="2648">
      <formula>AND(IF($Q74=2,1,0),IF($X74&lt;30,1,0))</formula>
    </cfRule>
    <cfRule type="expression" dxfId="7065" priority="2649">
      <formula>AND(IF($Q74=3,1,0),IF($X74&lt;30,1,0))</formula>
    </cfRule>
    <cfRule type="expression" dxfId="7064" priority="2650">
      <formula>AND(IF($Q74=3,1,IF($Q74=4,1,0)),IF($F74&lt;=85,1,0))</formula>
    </cfRule>
  </conditionalFormatting>
  <conditionalFormatting sqref="AV75">
    <cfRule type="expression" dxfId="7063" priority="2645">
      <formula>AV75="X"</formula>
    </cfRule>
    <cfRule type="expression" dxfId="7062" priority="2646">
      <formula>AV75="후보"</formula>
    </cfRule>
  </conditionalFormatting>
  <conditionalFormatting sqref="AC75">
    <cfRule type="cellIs" dxfId="7061" priority="2643" operator="greaterThan">
      <formula>0.9</formula>
    </cfRule>
    <cfRule type="cellIs" dxfId="7060" priority="2644" operator="greaterThan">
      <formula>0.85</formula>
    </cfRule>
  </conditionalFormatting>
  <conditionalFormatting sqref="N75">
    <cfRule type="cellIs" dxfId="7059" priority="2641" operator="greaterThan">
      <formula>0.9</formula>
    </cfRule>
    <cfRule type="cellIs" dxfId="7058" priority="2642" operator="greaterThan">
      <formula>0.85</formula>
    </cfRule>
  </conditionalFormatting>
  <conditionalFormatting sqref="E75">
    <cfRule type="expression" dxfId="7057" priority="2637">
      <formula>AND(IF(OR($Q75=1,$Q75=2),1,0),IF($X75&lt;=20,1,0))</formula>
    </cfRule>
    <cfRule type="expression" dxfId="7056" priority="2638">
      <formula>AND(IF($Q75=2,1,0),IF($X75&lt;30,1,0))</formula>
    </cfRule>
    <cfRule type="expression" dxfId="7055" priority="2639">
      <formula>AND(IF($Q75=3,1,0),IF($X75&lt;30,1,0))</formula>
    </cfRule>
    <cfRule type="expression" dxfId="7054" priority="2640">
      <formula>AND(IF($Q75=3,1,IF($Q75=4,1,0)),IF($F75&lt;=85,1,0))</formula>
    </cfRule>
  </conditionalFormatting>
  <conditionalFormatting sqref="X75">
    <cfRule type="expression" dxfId="7053" priority="2633">
      <formula>AND(IF(OR($Q75=1,$Q75=2),1,0),IF($X75&lt;=20,1,0))</formula>
    </cfRule>
    <cfRule type="expression" dxfId="7052" priority="2634">
      <formula>AND(IF($Q75=2,1,0),IF($X75&lt;30,1,0))</formula>
    </cfRule>
    <cfRule type="expression" dxfId="7051" priority="2635">
      <formula>AND(IF($Q75=3,1,0),IF($X75&lt;30,1,0))</formula>
    </cfRule>
    <cfRule type="expression" dxfId="7050" priority="2636">
      <formula>AND(IF($Q75=3,1,IF($Q75=4,1,0)),IF($F75&lt;=85,1,0))</formula>
    </cfRule>
  </conditionalFormatting>
  <conditionalFormatting sqref="AI75">
    <cfRule type="expression" dxfId="7049" priority="2629">
      <formula>AND(IF(OR($Q75=1,$Q75=2),1,0),IF($X75&lt;=20,1,0))</formula>
    </cfRule>
    <cfRule type="expression" dxfId="7048" priority="2630">
      <formula>AND(IF($Q75=2,1,0),IF($X75&lt;30,1,0))</formula>
    </cfRule>
    <cfRule type="expression" dxfId="7047" priority="2631">
      <formula>AND(IF($Q75=3,1,0),IF($X75&lt;30,1,0))</formula>
    </cfRule>
    <cfRule type="expression" dxfId="7046" priority="2632">
      <formula>AND(IF($Q75=3,1,IF($Q75=4,1,0)),IF($F75&lt;=85,1,0))</formula>
    </cfRule>
  </conditionalFormatting>
  <conditionalFormatting sqref="AV76">
    <cfRule type="expression" dxfId="7045" priority="2627">
      <formula>AV76="X"</formula>
    </cfRule>
    <cfRule type="expression" dxfId="7044" priority="2628">
      <formula>AV76="후보"</formula>
    </cfRule>
  </conditionalFormatting>
  <conditionalFormatting sqref="AC76">
    <cfRule type="cellIs" dxfId="7043" priority="2625" operator="greaterThan">
      <formula>0.9</formula>
    </cfRule>
    <cfRule type="cellIs" dxfId="7042" priority="2626" operator="greaterThan">
      <formula>0.85</formula>
    </cfRule>
  </conditionalFormatting>
  <conditionalFormatting sqref="N76">
    <cfRule type="cellIs" dxfId="7041" priority="2623" operator="greaterThan">
      <formula>0.9</formula>
    </cfRule>
    <cfRule type="cellIs" dxfId="7040" priority="2624" operator="greaterThan">
      <formula>0.85</formula>
    </cfRule>
  </conditionalFormatting>
  <conditionalFormatting sqref="E76">
    <cfRule type="expression" dxfId="7039" priority="2619">
      <formula>AND(IF(OR($Q76=1,$Q76=2),1,0),IF($X76&lt;=20,1,0))</formula>
    </cfRule>
    <cfRule type="expression" dxfId="7038" priority="2620">
      <formula>AND(IF($Q76=2,1,0),IF($X76&lt;30,1,0))</formula>
    </cfRule>
    <cfRule type="expression" dxfId="7037" priority="2621">
      <formula>AND(IF($Q76=3,1,0),IF($X76&lt;30,1,0))</formula>
    </cfRule>
    <cfRule type="expression" dxfId="7036" priority="2622">
      <formula>AND(IF($Q76=3,1,IF($Q76=4,1,0)),IF($F76&lt;=85,1,0))</formula>
    </cfRule>
  </conditionalFormatting>
  <conditionalFormatting sqref="X76">
    <cfRule type="expression" dxfId="7035" priority="2615">
      <formula>AND(IF(OR($Q76=1,$Q76=2),1,0),IF($X76&lt;=20,1,0))</formula>
    </cfRule>
    <cfRule type="expression" dxfId="7034" priority="2616">
      <formula>AND(IF($Q76=2,1,0),IF($X76&lt;30,1,0))</formula>
    </cfRule>
    <cfRule type="expression" dxfId="7033" priority="2617">
      <formula>AND(IF($Q76=3,1,0),IF($X76&lt;30,1,0))</formula>
    </cfRule>
    <cfRule type="expression" dxfId="7032" priority="2618">
      <formula>AND(IF($Q76=3,1,IF($Q76=4,1,0)),IF($F76&lt;=85,1,0))</formula>
    </cfRule>
  </conditionalFormatting>
  <conditionalFormatting sqref="AI76">
    <cfRule type="expression" dxfId="7031" priority="2611">
      <formula>AND(IF(OR($Q76=1,$Q76=2),1,0),IF($X76&lt;=20,1,0))</formula>
    </cfRule>
    <cfRule type="expression" dxfId="7030" priority="2612">
      <formula>AND(IF($Q76=2,1,0),IF($X76&lt;30,1,0))</formula>
    </cfRule>
    <cfRule type="expression" dxfId="7029" priority="2613">
      <formula>AND(IF($Q76=3,1,0),IF($X76&lt;30,1,0))</formula>
    </cfRule>
    <cfRule type="expression" dxfId="7028" priority="2614">
      <formula>AND(IF($Q76=3,1,IF($Q76=4,1,0)),IF($F76&lt;=85,1,0))</formula>
    </cfRule>
  </conditionalFormatting>
  <conditionalFormatting sqref="AV77">
    <cfRule type="expression" dxfId="7027" priority="2609">
      <formula>AV77="X"</formula>
    </cfRule>
    <cfRule type="expression" dxfId="7026" priority="2610">
      <formula>AV77="후보"</formula>
    </cfRule>
  </conditionalFormatting>
  <conditionalFormatting sqref="AC77">
    <cfRule type="cellIs" dxfId="7025" priority="2607" operator="greaterThan">
      <formula>0.9</formula>
    </cfRule>
    <cfRule type="cellIs" dxfId="7024" priority="2608" operator="greaterThan">
      <formula>0.85</formula>
    </cfRule>
  </conditionalFormatting>
  <conditionalFormatting sqref="N77">
    <cfRule type="cellIs" dxfId="7023" priority="2605" operator="greaterThan">
      <formula>0.9</formula>
    </cfRule>
    <cfRule type="cellIs" dxfId="7022" priority="2606" operator="greaterThan">
      <formula>0.85</formula>
    </cfRule>
  </conditionalFormatting>
  <conditionalFormatting sqref="E77">
    <cfRule type="expression" dxfId="7021" priority="2601">
      <formula>AND(IF(OR($Q77=1,$Q77=2),1,0),IF($X77&lt;=20,1,0))</formula>
    </cfRule>
    <cfRule type="expression" dxfId="7020" priority="2602">
      <formula>AND(IF($Q77=2,1,0),IF($X77&lt;30,1,0))</formula>
    </cfRule>
    <cfRule type="expression" dxfId="7019" priority="2603">
      <formula>AND(IF($Q77=3,1,0),IF($X77&lt;30,1,0))</formula>
    </cfRule>
    <cfRule type="expression" dxfId="7018" priority="2604">
      <formula>AND(IF($Q77=3,1,IF($Q77=4,1,0)),IF($F77&lt;=85,1,0))</formula>
    </cfRule>
  </conditionalFormatting>
  <conditionalFormatting sqref="X77">
    <cfRule type="expression" dxfId="7017" priority="2597">
      <formula>AND(IF(OR($Q77=1,$Q77=2),1,0),IF($X77&lt;=20,1,0))</formula>
    </cfRule>
    <cfRule type="expression" dxfId="7016" priority="2598">
      <formula>AND(IF($Q77=2,1,0),IF($X77&lt;30,1,0))</formula>
    </cfRule>
    <cfRule type="expression" dxfId="7015" priority="2599">
      <formula>AND(IF($Q77=3,1,0),IF($X77&lt;30,1,0))</formula>
    </cfRule>
    <cfRule type="expression" dxfId="7014" priority="2600">
      <formula>AND(IF($Q77=3,1,IF($Q77=4,1,0)),IF($F77&lt;=85,1,0))</formula>
    </cfRule>
  </conditionalFormatting>
  <conditionalFormatting sqref="AI77">
    <cfRule type="expression" dxfId="7013" priority="2593">
      <formula>AND(IF(OR($Q77=1,$Q77=2),1,0),IF($X77&lt;=20,1,0))</formula>
    </cfRule>
    <cfRule type="expression" dxfId="7012" priority="2594">
      <formula>AND(IF($Q77=2,1,0),IF($X77&lt;30,1,0))</formula>
    </cfRule>
    <cfRule type="expression" dxfId="7011" priority="2595">
      <formula>AND(IF($Q77=3,1,0),IF($X77&lt;30,1,0))</formula>
    </cfRule>
    <cfRule type="expression" dxfId="7010" priority="2596">
      <formula>AND(IF($Q77=3,1,IF($Q77=4,1,0)),IF($F77&lt;=85,1,0))</formula>
    </cfRule>
  </conditionalFormatting>
  <conditionalFormatting sqref="AV78">
    <cfRule type="expression" dxfId="7009" priority="2591">
      <formula>AV78="X"</formula>
    </cfRule>
    <cfRule type="expression" dxfId="7008" priority="2592">
      <formula>AV78="후보"</formula>
    </cfRule>
  </conditionalFormatting>
  <conditionalFormatting sqref="AC78">
    <cfRule type="cellIs" dxfId="7007" priority="2589" operator="greaterThan">
      <formula>0.9</formula>
    </cfRule>
    <cfRule type="cellIs" dxfId="7006" priority="2590" operator="greaterThan">
      <formula>0.85</formula>
    </cfRule>
  </conditionalFormatting>
  <conditionalFormatting sqref="N78">
    <cfRule type="cellIs" dxfId="7005" priority="2587" operator="greaterThan">
      <formula>0.9</formula>
    </cfRule>
    <cfRule type="cellIs" dxfId="7004" priority="2588" operator="greaterThan">
      <formula>0.85</formula>
    </cfRule>
  </conditionalFormatting>
  <conditionalFormatting sqref="E78">
    <cfRule type="expression" dxfId="7003" priority="2583">
      <formula>AND(IF(OR($Q78=1,$Q78=2),1,0),IF($X78&lt;=20,1,0))</formula>
    </cfRule>
    <cfRule type="expression" dxfId="7002" priority="2584">
      <formula>AND(IF($Q78=2,1,0),IF($X78&lt;30,1,0))</formula>
    </cfRule>
    <cfRule type="expression" dxfId="7001" priority="2585">
      <formula>AND(IF($Q78=3,1,0),IF($X78&lt;30,1,0))</formula>
    </cfRule>
    <cfRule type="expression" dxfId="7000" priority="2586">
      <formula>AND(IF($Q78=3,1,IF($Q78=4,1,0)),IF($F78&lt;=85,1,0))</formula>
    </cfRule>
  </conditionalFormatting>
  <conditionalFormatting sqref="X78">
    <cfRule type="expression" dxfId="6999" priority="2579">
      <formula>AND(IF(OR($Q78=1,$Q78=2),1,0),IF($X78&lt;=20,1,0))</formula>
    </cfRule>
    <cfRule type="expression" dxfId="6998" priority="2580">
      <formula>AND(IF($Q78=2,1,0),IF($X78&lt;30,1,0))</formula>
    </cfRule>
    <cfRule type="expression" dxfId="6997" priority="2581">
      <formula>AND(IF($Q78=3,1,0),IF($X78&lt;30,1,0))</formula>
    </cfRule>
    <cfRule type="expression" dxfId="6996" priority="2582">
      <formula>AND(IF($Q78=3,1,IF($Q78=4,1,0)),IF($F78&lt;=85,1,0))</formula>
    </cfRule>
  </conditionalFormatting>
  <conditionalFormatting sqref="AI78">
    <cfRule type="expression" dxfId="6995" priority="2575">
      <formula>AND(IF(OR($Q78=1,$Q78=2),1,0),IF($X78&lt;=20,1,0))</formula>
    </cfRule>
    <cfRule type="expression" dxfId="6994" priority="2576">
      <formula>AND(IF($Q78=2,1,0),IF($X78&lt;30,1,0))</formula>
    </cfRule>
    <cfRule type="expression" dxfId="6993" priority="2577">
      <formula>AND(IF($Q78=3,1,0),IF($X78&lt;30,1,0))</formula>
    </cfRule>
    <cfRule type="expression" dxfId="6992" priority="2578">
      <formula>AND(IF($Q78=3,1,IF($Q78=4,1,0)),IF($F78&lt;=85,1,0))</formula>
    </cfRule>
  </conditionalFormatting>
  <conditionalFormatting sqref="AV79">
    <cfRule type="expression" dxfId="6991" priority="2573">
      <formula>AV79="X"</formula>
    </cfRule>
    <cfRule type="expression" dxfId="6990" priority="2574">
      <formula>AV79="후보"</formula>
    </cfRule>
  </conditionalFormatting>
  <conditionalFormatting sqref="AC79">
    <cfRule type="cellIs" dxfId="6989" priority="2571" operator="greaterThan">
      <formula>0.9</formula>
    </cfRule>
    <cfRule type="cellIs" dxfId="6988" priority="2572" operator="greaterThan">
      <formula>0.85</formula>
    </cfRule>
  </conditionalFormatting>
  <conditionalFormatting sqref="N79">
    <cfRule type="cellIs" dxfId="6987" priority="2569" operator="greaterThan">
      <formula>0.9</formula>
    </cfRule>
    <cfRule type="cellIs" dxfId="6986" priority="2570" operator="greaterThan">
      <formula>0.85</formula>
    </cfRule>
  </conditionalFormatting>
  <conditionalFormatting sqref="E79">
    <cfRule type="expression" dxfId="6985" priority="2565">
      <formula>AND(IF(OR($Q79=1,$Q79=2),1,0),IF($X79&lt;=20,1,0))</formula>
    </cfRule>
    <cfRule type="expression" dxfId="6984" priority="2566">
      <formula>AND(IF($Q79=2,1,0),IF($X79&lt;30,1,0))</formula>
    </cfRule>
    <cfRule type="expression" dxfId="6983" priority="2567">
      <formula>AND(IF($Q79=3,1,0),IF($X79&lt;30,1,0))</formula>
    </cfRule>
    <cfRule type="expression" dxfId="6982" priority="2568">
      <formula>AND(IF($Q79=3,1,IF($Q79=4,1,0)),IF($F79&lt;=85,1,0))</formula>
    </cfRule>
  </conditionalFormatting>
  <conditionalFormatting sqref="X79">
    <cfRule type="expression" dxfId="6981" priority="2561">
      <formula>AND(IF(OR($Q79=1,$Q79=2),1,0),IF($X79&lt;=20,1,0))</formula>
    </cfRule>
    <cfRule type="expression" dxfId="6980" priority="2562">
      <formula>AND(IF($Q79=2,1,0),IF($X79&lt;30,1,0))</formula>
    </cfRule>
    <cfRule type="expression" dxfId="6979" priority="2563">
      <formula>AND(IF($Q79=3,1,0),IF($X79&lt;30,1,0))</formula>
    </cfRule>
    <cfRule type="expression" dxfId="6978" priority="2564">
      <formula>AND(IF($Q79=3,1,IF($Q79=4,1,0)),IF($F79&lt;=85,1,0))</formula>
    </cfRule>
  </conditionalFormatting>
  <conditionalFormatting sqref="AI79">
    <cfRule type="expression" dxfId="6977" priority="2557">
      <formula>AND(IF(OR($Q79=1,$Q79=2),1,0),IF($X79&lt;=20,1,0))</formula>
    </cfRule>
    <cfRule type="expression" dxfId="6976" priority="2558">
      <formula>AND(IF($Q79=2,1,0),IF($X79&lt;30,1,0))</formula>
    </cfRule>
    <cfRule type="expression" dxfId="6975" priority="2559">
      <formula>AND(IF($Q79=3,1,0),IF($X79&lt;30,1,0))</formula>
    </cfRule>
    <cfRule type="expression" dxfId="6974" priority="2560">
      <formula>AND(IF($Q79=3,1,IF($Q79=4,1,0)),IF($F79&lt;=85,1,0))</formula>
    </cfRule>
  </conditionalFormatting>
  <conditionalFormatting sqref="AV80">
    <cfRule type="expression" dxfId="6973" priority="2555">
      <formula>AV80="X"</formula>
    </cfRule>
    <cfRule type="expression" dxfId="6972" priority="2556">
      <formula>AV80="후보"</formula>
    </cfRule>
  </conditionalFormatting>
  <conditionalFormatting sqref="AC80">
    <cfRule type="cellIs" dxfId="6971" priority="2553" operator="greaterThan">
      <formula>0.9</formula>
    </cfRule>
    <cfRule type="cellIs" dxfId="6970" priority="2554" operator="greaterThan">
      <formula>0.85</formula>
    </cfRule>
  </conditionalFormatting>
  <conditionalFormatting sqref="N80">
    <cfRule type="cellIs" dxfId="6969" priority="2551" operator="greaterThan">
      <formula>0.9</formula>
    </cfRule>
    <cfRule type="cellIs" dxfId="6968" priority="2552" operator="greaterThan">
      <formula>0.85</formula>
    </cfRule>
  </conditionalFormatting>
  <conditionalFormatting sqref="E80">
    <cfRule type="expression" dxfId="6967" priority="2547">
      <formula>AND(IF(OR($Q80=1,$Q80=2),1,0),IF($X80&lt;=20,1,0))</formula>
    </cfRule>
    <cfRule type="expression" dxfId="6966" priority="2548">
      <formula>AND(IF($Q80=2,1,0),IF($X80&lt;30,1,0))</formula>
    </cfRule>
    <cfRule type="expression" dxfId="6965" priority="2549">
      <formula>AND(IF($Q80=3,1,0),IF($X80&lt;30,1,0))</formula>
    </cfRule>
    <cfRule type="expression" dxfId="6964" priority="2550">
      <formula>AND(IF($Q80=3,1,IF($Q80=4,1,0)),IF($F80&lt;=85,1,0))</formula>
    </cfRule>
  </conditionalFormatting>
  <conditionalFormatting sqref="X80">
    <cfRule type="expression" dxfId="6963" priority="2543">
      <formula>AND(IF(OR($Q80=1,$Q80=2),1,0),IF($X80&lt;=20,1,0))</formula>
    </cfRule>
    <cfRule type="expression" dxfId="6962" priority="2544">
      <formula>AND(IF($Q80=2,1,0),IF($X80&lt;30,1,0))</formula>
    </cfRule>
    <cfRule type="expression" dxfId="6961" priority="2545">
      <formula>AND(IF($Q80=3,1,0),IF($X80&lt;30,1,0))</formula>
    </cfRule>
    <cfRule type="expression" dxfId="6960" priority="2546">
      <formula>AND(IF($Q80=3,1,IF($Q80=4,1,0)),IF($F80&lt;=85,1,0))</formula>
    </cfRule>
  </conditionalFormatting>
  <conditionalFormatting sqref="AI80">
    <cfRule type="expression" dxfId="6959" priority="2539">
      <formula>AND(IF(OR($Q80=1,$Q80=2),1,0),IF($X80&lt;=20,1,0))</formula>
    </cfRule>
    <cfRule type="expression" dxfId="6958" priority="2540">
      <formula>AND(IF($Q80=2,1,0),IF($X80&lt;30,1,0))</formula>
    </cfRule>
    <cfRule type="expression" dxfId="6957" priority="2541">
      <formula>AND(IF($Q80=3,1,0),IF($X80&lt;30,1,0))</formula>
    </cfRule>
    <cfRule type="expression" dxfId="6956" priority="2542">
      <formula>AND(IF($Q80=3,1,IF($Q80=4,1,0)),IF($F80&lt;=85,1,0))</formula>
    </cfRule>
  </conditionalFormatting>
  <conditionalFormatting sqref="AV81">
    <cfRule type="expression" dxfId="6955" priority="2537">
      <formula>AV81="X"</formula>
    </cfRule>
    <cfRule type="expression" dxfId="6954" priority="2538">
      <formula>AV81="후보"</formula>
    </cfRule>
  </conditionalFormatting>
  <conditionalFormatting sqref="AC81">
    <cfRule type="cellIs" dxfId="6953" priority="2535" operator="greaterThan">
      <formula>0.9</formula>
    </cfRule>
    <cfRule type="cellIs" dxfId="6952" priority="2536" operator="greaterThan">
      <formula>0.85</formula>
    </cfRule>
  </conditionalFormatting>
  <conditionalFormatting sqref="N81">
    <cfRule type="cellIs" dxfId="6951" priority="2533" operator="greaterThan">
      <formula>0.9</formula>
    </cfRule>
    <cfRule type="cellIs" dxfId="6950" priority="2534" operator="greaterThan">
      <formula>0.85</formula>
    </cfRule>
  </conditionalFormatting>
  <conditionalFormatting sqref="E81">
    <cfRule type="expression" dxfId="6949" priority="2529">
      <formula>AND(IF(OR($Q81=1,$Q81=2),1,0),IF($X81&lt;=20,1,0))</formula>
    </cfRule>
    <cfRule type="expression" dxfId="6948" priority="2530">
      <formula>AND(IF($Q81=2,1,0),IF($X81&lt;30,1,0))</formula>
    </cfRule>
    <cfRule type="expression" dxfId="6947" priority="2531">
      <formula>AND(IF($Q81=3,1,0),IF($X81&lt;30,1,0))</formula>
    </cfRule>
    <cfRule type="expression" dxfId="6946" priority="2532">
      <formula>AND(IF($Q81=3,1,IF($Q81=4,1,0)),IF($F81&lt;=85,1,0))</formula>
    </cfRule>
  </conditionalFormatting>
  <conditionalFormatting sqref="X81">
    <cfRule type="expression" dxfId="6945" priority="2525">
      <formula>AND(IF(OR($Q81=1,$Q81=2),1,0),IF($X81&lt;=20,1,0))</formula>
    </cfRule>
    <cfRule type="expression" dxfId="6944" priority="2526">
      <formula>AND(IF($Q81=2,1,0),IF($X81&lt;30,1,0))</formula>
    </cfRule>
    <cfRule type="expression" dxfId="6943" priority="2527">
      <formula>AND(IF($Q81=3,1,0),IF($X81&lt;30,1,0))</formula>
    </cfRule>
    <cfRule type="expression" dxfId="6942" priority="2528">
      <formula>AND(IF($Q81=3,1,IF($Q81=4,1,0)),IF($F81&lt;=85,1,0))</formula>
    </cfRule>
  </conditionalFormatting>
  <conditionalFormatting sqref="AI81">
    <cfRule type="expression" dxfId="6941" priority="2521">
      <formula>AND(IF(OR($Q81=1,$Q81=2),1,0),IF($X81&lt;=20,1,0))</formula>
    </cfRule>
    <cfRule type="expression" dxfId="6940" priority="2522">
      <formula>AND(IF($Q81=2,1,0),IF($X81&lt;30,1,0))</formula>
    </cfRule>
    <cfRule type="expression" dxfId="6939" priority="2523">
      <formula>AND(IF($Q81=3,1,0),IF($X81&lt;30,1,0))</formula>
    </cfRule>
    <cfRule type="expression" dxfId="6938" priority="2524">
      <formula>AND(IF($Q81=3,1,IF($Q81=4,1,0)),IF($F81&lt;=85,1,0))</formula>
    </cfRule>
  </conditionalFormatting>
  <conditionalFormatting sqref="AV82">
    <cfRule type="expression" dxfId="6937" priority="2519">
      <formula>AV82="X"</formula>
    </cfRule>
    <cfRule type="expression" dxfId="6936" priority="2520">
      <formula>AV82="후보"</formula>
    </cfRule>
  </conditionalFormatting>
  <conditionalFormatting sqref="AC82">
    <cfRule type="cellIs" dxfId="6935" priority="2517" operator="greaterThan">
      <formula>0.9</formula>
    </cfRule>
    <cfRule type="cellIs" dxfId="6934" priority="2518" operator="greaterThan">
      <formula>0.85</formula>
    </cfRule>
  </conditionalFormatting>
  <conditionalFormatting sqref="N82">
    <cfRule type="cellIs" dxfId="6933" priority="2515" operator="greaterThan">
      <formula>0.9</formula>
    </cfRule>
    <cfRule type="cellIs" dxfId="6932" priority="2516" operator="greaterThan">
      <formula>0.85</formula>
    </cfRule>
  </conditionalFormatting>
  <conditionalFormatting sqref="E82">
    <cfRule type="expression" dxfId="6931" priority="2511">
      <formula>AND(IF(OR($Q82=1,$Q82=2),1,0),IF($X82&lt;=20,1,0))</formula>
    </cfRule>
    <cfRule type="expression" dxfId="6930" priority="2512">
      <formula>AND(IF($Q82=2,1,0),IF($X82&lt;30,1,0))</formula>
    </cfRule>
    <cfRule type="expression" dxfId="6929" priority="2513">
      <formula>AND(IF($Q82=3,1,0),IF($X82&lt;30,1,0))</formula>
    </cfRule>
    <cfRule type="expression" dxfId="6928" priority="2514">
      <formula>AND(IF($Q82=3,1,IF($Q82=4,1,0)),IF($F82&lt;=85,1,0))</formula>
    </cfRule>
  </conditionalFormatting>
  <conditionalFormatting sqref="X82">
    <cfRule type="expression" dxfId="6927" priority="2507">
      <formula>AND(IF(OR($Q82=1,$Q82=2),1,0),IF($X82&lt;=20,1,0))</formula>
    </cfRule>
    <cfRule type="expression" dxfId="6926" priority="2508">
      <formula>AND(IF($Q82=2,1,0),IF($X82&lt;30,1,0))</formula>
    </cfRule>
    <cfRule type="expression" dxfId="6925" priority="2509">
      <formula>AND(IF($Q82=3,1,0),IF($X82&lt;30,1,0))</formula>
    </cfRule>
    <cfRule type="expression" dxfId="6924" priority="2510">
      <formula>AND(IF($Q82=3,1,IF($Q82=4,1,0)),IF($F82&lt;=85,1,0))</formula>
    </cfRule>
  </conditionalFormatting>
  <conditionalFormatting sqref="AI82">
    <cfRule type="expression" dxfId="6923" priority="2503">
      <formula>AND(IF(OR($Q82=1,$Q82=2),1,0),IF($X82&lt;=20,1,0))</formula>
    </cfRule>
    <cfRule type="expression" dxfId="6922" priority="2504">
      <formula>AND(IF($Q82=2,1,0),IF($X82&lt;30,1,0))</formula>
    </cfRule>
    <cfRule type="expression" dxfId="6921" priority="2505">
      <formula>AND(IF($Q82=3,1,0),IF($X82&lt;30,1,0))</formula>
    </cfRule>
    <cfRule type="expression" dxfId="6920" priority="2506">
      <formula>AND(IF($Q82=3,1,IF($Q82=4,1,0)),IF($F82&lt;=85,1,0))</formula>
    </cfRule>
  </conditionalFormatting>
  <conditionalFormatting sqref="AV83">
    <cfRule type="expression" dxfId="6919" priority="2501">
      <formula>AV83="X"</formula>
    </cfRule>
    <cfRule type="expression" dxfId="6918" priority="2502">
      <formula>AV83="후보"</formula>
    </cfRule>
  </conditionalFormatting>
  <conditionalFormatting sqref="AC83">
    <cfRule type="cellIs" dxfId="6917" priority="2499" operator="greaterThan">
      <formula>0.9</formula>
    </cfRule>
    <cfRule type="cellIs" dxfId="6916" priority="2500" operator="greaterThan">
      <formula>0.85</formula>
    </cfRule>
  </conditionalFormatting>
  <conditionalFormatting sqref="N83">
    <cfRule type="cellIs" dxfId="6915" priority="2497" operator="greaterThan">
      <formula>0.9</formula>
    </cfRule>
    <cfRule type="cellIs" dxfId="6914" priority="2498" operator="greaterThan">
      <formula>0.85</formula>
    </cfRule>
  </conditionalFormatting>
  <conditionalFormatting sqref="E83">
    <cfRule type="expression" dxfId="6913" priority="2493">
      <formula>AND(IF(OR($Q83=1,$Q83=2),1,0),IF($X83&lt;=20,1,0))</formula>
    </cfRule>
    <cfRule type="expression" dxfId="6912" priority="2494">
      <formula>AND(IF($Q83=2,1,0),IF($X83&lt;30,1,0))</formula>
    </cfRule>
    <cfRule type="expression" dxfId="6911" priority="2495">
      <formula>AND(IF($Q83=3,1,0),IF($X83&lt;30,1,0))</formula>
    </cfRule>
    <cfRule type="expression" dxfId="6910" priority="2496">
      <formula>AND(IF($Q83=3,1,IF($Q83=4,1,0)),IF($F83&lt;=85,1,0))</formula>
    </cfRule>
  </conditionalFormatting>
  <conditionalFormatting sqref="X83">
    <cfRule type="expression" dxfId="6909" priority="2489">
      <formula>AND(IF(OR($Q83=1,$Q83=2),1,0),IF($X83&lt;=20,1,0))</formula>
    </cfRule>
    <cfRule type="expression" dxfId="6908" priority="2490">
      <formula>AND(IF($Q83=2,1,0),IF($X83&lt;30,1,0))</formula>
    </cfRule>
    <cfRule type="expression" dxfId="6907" priority="2491">
      <formula>AND(IF($Q83=3,1,0),IF($X83&lt;30,1,0))</formula>
    </cfRule>
    <cfRule type="expression" dxfId="6906" priority="2492">
      <formula>AND(IF($Q83=3,1,IF($Q83=4,1,0)),IF($F83&lt;=85,1,0))</formula>
    </cfRule>
  </conditionalFormatting>
  <conditionalFormatting sqref="AI83">
    <cfRule type="expression" dxfId="6905" priority="2485">
      <formula>AND(IF(OR($Q83=1,$Q83=2),1,0),IF($X83&lt;=20,1,0))</formula>
    </cfRule>
    <cfRule type="expression" dxfId="6904" priority="2486">
      <formula>AND(IF($Q83=2,1,0),IF($X83&lt;30,1,0))</formula>
    </cfRule>
    <cfRule type="expression" dxfId="6903" priority="2487">
      <formula>AND(IF($Q83=3,1,0),IF($X83&lt;30,1,0))</formula>
    </cfRule>
    <cfRule type="expression" dxfId="6902" priority="2488">
      <formula>AND(IF($Q83=3,1,IF($Q83=4,1,0)),IF($F83&lt;=85,1,0))</formula>
    </cfRule>
  </conditionalFormatting>
  <conditionalFormatting sqref="AV84">
    <cfRule type="expression" dxfId="6901" priority="2483">
      <formula>AV84="X"</formula>
    </cfRule>
    <cfRule type="expression" dxfId="6900" priority="2484">
      <formula>AV84="후보"</formula>
    </cfRule>
  </conditionalFormatting>
  <conditionalFormatting sqref="AC84">
    <cfRule type="cellIs" dxfId="6899" priority="2481" operator="greaterThan">
      <formula>0.9</formula>
    </cfRule>
    <cfRule type="cellIs" dxfId="6898" priority="2482" operator="greaterThan">
      <formula>0.85</formula>
    </cfRule>
  </conditionalFormatting>
  <conditionalFormatting sqref="N84">
    <cfRule type="cellIs" dxfId="6897" priority="2479" operator="greaterThan">
      <formula>0.9</formula>
    </cfRule>
    <cfRule type="cellIs" dxfId="6896" priority="2480" operator="greaterThan">
      <formula>0.85</formula>
    </cfRule>
  </conditionalFormatting>
  <conditionalFormatting sqref="E84">
    <cfRule type="expression" dxfId="6895" priority="2475">
      <formula>AND(IF(OR($Q84=1,$Q84=2),1,0),IF($X84&lt;=20,1,0))</formula>
    </cfRule>
    <cfRule type="expression" dxfId="6894" priority="2476">
      <formula>AND(IF($Q84=2,1,0),IF($X84&lt;30,1,0))</formula>
    </cfRule>
    <cfRule type="expression" dxfId="6893" priority="2477">
      <formula>AND(IF($Q84=3,1,0),IF($X84&lt;30,1,0))</formula>
    </cfRule>
    <cfRule type="expression" dxfId="6892" priority="2478">
      <formula>AND(IF($Q84=3,1,IF($Q84=4,1,0)),IF($F84&lt;=85,1,0))</formula>
    </cfRule>
  </conditionalFormatting>
  <conditionalFormatting sqref="X84">
    <cfRule type="expression" dxfId="6891" priority="2471">
      <formula>AND(IF(OR($Q84=1,$Q84=2),1,0),IF($X84&lt;=20,1,0))</formula>
    </cfRule>
    <cfRule type="expression" dxfId="6890" priority="2472">
      <formula>AND(IF($Q84=2,1,0),IF($X84&lt;30,1,0))</formula>
    </cfRule>
    <cfRule type="expression" dxfId="6889" priority="2473">
      <formula>AND(IF($Q84=3,1,0),IF($X84&lt;30,1,0))</formula>
    </cfRule>
    <cfRule type="expression" dxfId="6888" priority="2474">
      <formula>AND(IF($Q84=3,1,IF($Q84=4,1,0)),IF($F84&lt;=85,1,0))</formula>
    </cfRule>
  </conditionalFormatting>
  <conditionalFormatting sqref="AI84">
    <cfRule type="expression" dxfId="6887" priority="2467">
      <formula>AND(IF(OR($Q84=1,$Q84=2),1,0),IF($X84&lt;=20,1,0))</formula>
    </cfRule>
    <cfRule type="expression" dxfId="6886" priority="2468">
      <formula>AND(IF($Q84=2,1,0),IF($X84&lt;30,1,0))</formula>
    </cfRule>
    <cfRule type="expression" dxfId="6885" priority="2469">
      <formula>AND(IF($Q84=3,1,0),IF($X84&lt;30,1,0))</formula>
    </cfRule>
    <cfRule type="expression" dxfId="6884" priority="2470">
      <formula>AND(IF($Q84=3,1,IF($Q84=4,1,0)),IF($F84&lt;=85,1,0))</formula>
    </cfRule>
  </conditionalFormatting>
  <conditionalFormatting sqref="AV85">
    <cfRule type="expression" dxfId="6883" priority="2465">
      <formula>AV85="X"</formula>
    </cfRule>
    <cfRule type="expression" dxfId="6882" priority="2466">
      <formula>AV85="후보"</formula>
    </cfRule>
  </conditionalFormatting>
  <conditionalFormatting sqref="AC85">
    <cfRule type="cellIs" dxfId="6881" priority="2463" operator="greaterThan">
      <formula>0.9</formula>
    </cfRule>
    <cfRule type="cellIs" dxfId="6880" priority="2464" operator="greaterThan">
      <formula>0.85</formula>
    </cfRule>
  </conditionalFormatting>
  <conditionalFormatting sqref="N85">
    <cfRule type="cellIs" dxfId="6879" priority="2461" operator="greaterThan">
      <formula>0.9</formula>
    </cfRule>
    <cfRule type="cellIs" dxfId="6878" priority="2462" operator="greaterThan">
      <formula>0.85</formula>
    </cfRule>
  </conditionalFormatting>
  <conditionalFormatting sqref="E85">
    <cfRule type="expression" dxfId="6877" priority="2457">
      <formula>AND(IF(OR($Q85=1,$Q85=2),1,0),IF($X85&lt;=20,1,0))</formula>
    </cfRule>
    <cfRule type="expression" dxfId="6876" priority="2458">
      <formula>AND(IF($Q85=2,1,0),IF($X85&lt;30,1,0))</formula>
    </cfRule>
    <cfRule type="expression" dxfId="6875" priority="2459">
      <formula>AND(IF($Q85=3,1,0),IF($X85&lt;30,1,0))</formula>
    </cfRule>
    <cfRule type="expression" dxfId="6874" priority="2460">
      <formula>AND(IF($Q85=3,1,IF($Q85=4,1,0)),IF($F85&lt;=85,1,0))</formula>
    </cfRule>
  </conditionalFormatting>
  <conditionalFormatting sqref="X85">
    <cfRule type="expression" dxfId="6873" priority="2453">
      <formula>AND(IF(OR($Q85=1,$Q85=2),1,0),IF($X85&lt;=20,1,0))</formula>
    </cfRule>
    <cfRule type="expression" dxfId="6872" priority="2454">
      <formula>AND(IF($Q85=2,1,0),IF($X85&lt;30,1,0))</formula>
    </cfRule>
    <cfRule type="expression" dxfId="6871" priority="2455">
      <formula>AND(IF($Q85=3,1,0),IF($X85&lt;30,1,0))</formula>
    </cfRule>
    <cfRule type="expression" dxfId="6870" priority="2456">
      <formula>AND(IF($Q85=3,1,IF($Q85=4,1,0)),IF($F85&lt;=85,1,0))</formula>
    </cfRule>
  </conditionalFormatting>
  <conditionalFormatting sqref="AI85">
    <cfRule type="expression" dxfId="6869" priority="2449">
      <formula>AND(IF(OR($Q85=1,$Q85=2),1,0),IF($X85&lt;=20,1,0))</formula>
    </cfRule>
    <cfRule type="expression" dxfId="6868" priority="2450">
      <formula>AND(IF($Q85=2,1,0),IF($X85&lt;30,1,0))</formula>
    </cfRule>
    <cfRule type="expression" dxfId="6867" priority="2451">
      <formula>AND(IF($Q85=3,1,0),IF($X85&lt;30,1,0))</formula>
    </cfRule>
    <cfRule type="expression" dxfId="6866" priority="2452">
      <formula>AND(IF($Q85=3,1,IF($Q85=4,1,0)),IF($F85&lt;=85,1,0))</formula>
    </cfRule>
  </conditionalFormatting>
  <conditionalFormatting sqref="AV86">
    <cfRule type="expression" dxfId="6865" priority="2447">
      <formula>AV86="X"</formula>
    </cfRule>
    <cfRule type="expression" dxfId="6864" priority="2448">
      <formula>AV86="후보"</formula>
    </cfRule>
  </conditionalFormatting>
  <conditionalFormatting sqref="AC86">
    <cfRule type="cellIs" dxfId="6863" priority="2445" operator="greaterThan">
      <formula>0.9</formula>
    </cfRule>
    <cfRule type="cellIs" dxfId="6862" priority="2446" operator="greaterThan">
      <formula>0.85</formula>
    </cfRule>
  </conditionalFormatting>
  <conditionalFormatting sqref="N86">
    <cfRule type="cellIs" dxfId="6861" priority="2443" operator="greaterThan">
      <formula>0.9</formula>
    </cfRule>
    <cfRule type="cellIs" dxfId="6860" priority="2444" operator="greaterThan">
      <formula>0.85</formula>
    </cfRule>
  </conditionalFormatting>
  <conditionalFormatting sqref="E86">
    <cfRule type="expression" dxfId="6859" priority="2439">
      <formula>AND(IF(OR($Q86=1,$Q86=2),1,0),IF($X86&lt;=20,1,0))</formula>
    </cfRule>
    <cfRule type="expression" dxfId="6858" priority="2440">
      <formula>AND(IF($Q86=2,1,0),IF($X86&lt;30,1,0))</formula>
    </cfRule>
    <cfRule type="expression" dxfId="6857" priority="2441">
      <formula>AND(IF($Q86=3,1,0),IF($X86&lt;30,1,0))</formula>
    </cfRule>
    <cfRule type="expression" dxfId="6856" priority="2442">
      <formula>AND(IF($Q86=3,1,IF($Q86=4,1,0)),IF($F86&lt;=85,1,0))</formula>
    </cfRule>
  </conditionalFormatting>
  <conditionalFormatting sqref="X86">
    <cfRule type="expression" dxfId="6855" priority="2435">
      <formula>AND(IF(OR($Q86=1,$Q86=2),1,0),IF($X86&lt;=20,1,0))</formula>
    </cfRule>
    <cfRule type="expression" dxfId="6854" priority="2436">
      <formula>AND(IF($Q86=2,1,0),IF($X86&lt;30,1,0))</formula>
    </cfRule>
    <cfRule type="expression" dxfId="6853" priority="2437">
      <formula>AND(IF($Q86=3,1,0),IF($X86&lt;30,1,0))</formula>
    </cfRule>
    <cfRule type="expression" dxfId="6852" priority="2438">
      <formula>AND(IF($Q86=3,1,IF($Q86=4,1,0)),IF($F86&lt;=85,1,0))</formula>
    </cfRule>
  </conditionalFormatting>
  <conditionalFormatting sqref="AI86">
    <cfRule type="expression" dxfId="6851" priority="2431">
      <formula>AND(IF(OR($Q86=1,$Q86=2),1,0),IF($X86&lt;=20,1,0))</formula>
    </cfRule>
    <cfRule type="expression" dxfId="6850" priority="2432">
      <formula>AND(IF($Q86=2,1,0),IF($X86&lt;30,1,0))</formula>
    </cfRule>
    <cfRule type="expression" dxfId="6849" priority="2433">
      <formula>AND(IF($Q86=3,1,0),IF($X86&lt;30,1,0))</formula>
    </cfRule>
    <cfRule type="expression" dxfId="6848" priority="2434">
      <formula>AND(IF($Q86=3,1,IF($Q86=4,1,0)),IF($F86&lt;=85,1,0))</formula>
    </cfRule>
  </conditionalFormatting>
  <conditionalFormatting sqref="AV87">
    <cfRule type="expression" dxfId="6847" priority="2429">
      <formula>AV87="X"</formula>
    </cfRule>
    <cfRule type="expression" dxfId="6846" priority="2430">
      <formula>AV87="후보"</formula>
    </cfRule>
  </conditionalFormatting>
  <conditionalFormatting sqref="AC87">
    <cfRule type="cellIs" dxfId="6845" priority="2427" operator="greaterThan">
      <formula>0.9</formula>
    </cfRule>
    <cfRule type="cellIs" dxfId="6844" priority="2428" operator="greaterThan">
      <formula>0.85</formula>
    </cfRule>
  </conditionalFormatting>
  <conditionalFormatting sqref="N87">
    <cfRule type="cellIs" dxfId="6843" priority="2425" operator="greaterThan">
      <formula>0.9</formula>
    </cfRule>
    <cfRule type="cellIs" dxfId="6842" priority="2426" operator="greaterThan">
      <formula>0.85</formula>
    </cfRule>
  </conditionalFormatting>
  <conditionalFormatting sqref="E87">
    <cfRule type="expression" dxfId="6841" priority="2421">
      <formula>AND(IF(OR($Q87=1,$Q87=2),1,0),IF($X87&lt;=20,1,0))</formula>
    </cfRule>
    <cfRule type="expression" dxfId="6840" priority="2422">
      <formula>AND(IF($Q87=2,1,0),IF($X87&lt;30,1,0))</formula>
    </cfRule>
    <cfRule type="expression" dxfId="6839" priority="2423">
      <formula>AND(IF($Q87=3,1,0),IF($X87&lt;30,1,0))</formula>
    </cfRule>
    <cfRule type="expression" dxfId="6838" priority="2424">
      <formula>AND(IF($Q87=3,1,IF($Q87=4,1,0)),IF($F87&lt;=85,1,0))</formula>
    </cfRule>
  </conditionalFormatting>
  <conditionalFormatting sqref="X87">
    <cfRule type="expression" dxfId="6837" priority="2417">
      <formula>AND(IF(OR($Q87=1,$Q87=2),1,0),IF($X87&lt;=20,1,0))</formula>
    </cfRule>
    <cfRule type="expression" dxfId="6836" priority="2418">
      <formula>AND(IF($Q87=2,1,0),IF($X87&lt;30,1,0))</formula>
    </cfRule>
    <cfRule type="expression" dxfId="6835" priority="2419">
      <formula>AND(IF($Q87=3,1,0),IF($X87&lt;30,1,0))</formula>
    </cfRule>
    <cfRule type="expression" dxfId="6834" priority="2420">
      <formula>AND(IF($Q87=3,1,IF($Q87=4,1,0)),IF($F87&lt;=85,1,0))</formula>
    </cfRule>
  </conditionalFormatting>
  <conditionalFormatting sqref="AI87">
    <cfRule type="expression" dxfId="6833" priority="2413">
      <formula>AND(IF(OR($Q87=1,$Q87=2),1,0),IF($X87&lt;=20,1,0))</formula>
    </cfRule>
    <cfRule type="expression" dxfId="6832" priority="2414">
      <formula>AND(IF($Q87=2,1,0),IF($X87&lt;30,1,0))</formula>
    </cfRule>
    <cfRule type="expression" dxfId="6831" priority="2415">
      <formula>AND(IF($Q87=3,1,0),IF($X87&lt;30,1,0))</formula>
    </cfRule>
    <cfRule type="expression" dxfId="6830" priority="2416">
      <formula>AND(IF($Q87=3,1,IF($Q87=4,1,0)),IF($F87&lt;=85,1,0))</formula>
    </cfRule>
  </conditionalFormatting>
  <conditionalFormatting sqref="AV88">
    <cfRule type="expression" dxfId="6829" priority="2411">
      <formula>AV88="X"</formula>
    </cfRule>
    <cfRule type="expression" dxfId="6828" priority="2412">
      <formula>AV88="후보"</formula>
    </cfRule>
  </conditionalFormatting>
  <conditionalFormatting sqref="AC88">
    <cfRule type="cellIs" dxfId="6827" priority="2409" operator="greaterThan">
      <formula>0.9</formula>
    </cfRule>
    <cfRule type="cellIs" dxfId="6826" priority="2410" operator="greaterThan">
      <formula>0.85</formula>
    </cfRule>
  </conditionalFormatting>
  <conditionalFormatting sqref="N88">
    <cfRule type="cellIs" dxfId="6825" priority="2407" operator="greaterThan">
      <formula>0.9</formula>
    </cfRule>
    <cfRule type="cellIs" dxfId="6824" priority="2408" operator="greaterThan">
      <formula>0.85</formula>
    </cfRule>
  </conditionalFormatting>
  <conditionalFormatting sqref="E88">
    <cfRule type="expression" dxfId="6823" priority="2403">
      <formula>AND(IF(OR($Q88=1,$Q88=2),1,0),IF($X88&lt;=20,1,0))</formula>
    </cfRule>
    <cfRule type="expression" dxfId="6822" priority="2404">
      <formula>AND(IF($Q88=2,1,0),IF($X88&lt;30,1,0))</formula>
    </cfRule>
    <cfRule type="expression" dxfId="6821" priority="2405">
      <formula>AND(IF($Q88=3,1,0),IF($X88&lt;30,1,0))</formula>
    </cfRule>
    <cfRule type="expression" dxfId="6820" priority="2406">
      <formula>AND(IF($Q88=3,1,IF($Q88=4,1,0)),IF($F88&lt;=85,1,0))</formula>
    </cfRule>
  </conditionalFormatting>
  <conditionalFormatting sqref="X88">
    <cfRule type="expression" dxfId="6819" priority="2399">
      <formula>AND(IF(OR($Q88=1,$Q88=2),1,0),IF($X88&lt;=20,1,0))</formula>
    </cfRule>
    <cfRule type="expression" dxfId="6818" priority="2400">
      <formula>AND(IF($Q88=2,1,0),IF($X88&lt;30,1,0))</formula>
    </cfRule>
    <cfRule type="expression" dxfId="6817" priority="2401">
      <formula>AND(IF($Q88=3,1,0),IF($X88&lt;30,1,0))</formula>
    </cfRule>
    <cfRule type="expression" dxfId="6816" priority="2402">
      <formula>AND(IF($Q88=3,1,IF($Q88=4,1,0)),IF($F88&lt;=85,1,0))</formula>
    </cfRule>
  </conditionalFormatting>
  <conditionalFormatting sqref="AI88">
    <cfRule type="expression" dxfId="6815" priority="2395">
      <formula>AND(IF(OR($Q88=1,$Q88=2),1,0),IF($X88&lt;=20,1,0))</formula>
    </cfRule>
    <cfRule type="expression" dxfId="6814" priority="2396">
      <formula>AND(IF($Q88=2,1,0),IF($X88&lt;30,1,0))</formula>
    </cfRule>
    <cfRule type="expression" dxfId="6813" priority="2397">
      <formula>AND(IF($Q88=3,1,0),IF($X88&lt;30,1,0))</formula>
    </cfRule>
    <cfRule type="expression" dxfId="6812" priority="2398">
      <formula>AND(IF($Q88=3,1,IF($Q88=4,1,0)),IF($F88&lt;=85,1,0))</formula>
    </cfRule>
  </conditionalFormatting>
  <conditionalFormatting sqref="AV89">
    <cfRule type="expression" dxfId="6811" priority="2393">
      <formula>AV89="X"</formula>
    </cfRule>
    <cfRule type="expression" dxfId="6810" priority="2394">
      <formula>AV89="후보"</formula>
    </cfRule>
  </conditionalFormatting>
  <conditionalFormatting sqref="AC89">
    <cfRule type="cellIs" dxfId="6809" priority="2391" operator="greaterThan">
      <formula>0.9</formula>
    </cfRule>
    <cfRule type="cellIs" dxfId="6808" priority="2392" operator="greaterThan">
      <formula>0.85</formula>
    </cfRule>
  </conditionalFormatting>
  <conditionalFormatting sqref="N89">
    <cfRule type="cellIs" dxfId="6807" priority="2389" operator="greaterThan">
      <formula>0.9</formula>
    </cfRule>
    <cfRule type="cellIs" dxfId="6806" priority="2390" operator="greaterThan">
      <formula>0.85</formula>
    </cfRule>
  </conditionalFormatting>
  <conditionalFormatting sqref="E89">
    <cfRule type="expression" dxfId="6805" priority="2385">
      <formula>AND(IF(OR($Q89=1,$Q89=2),1,0),IF($X89&lt;=20,1,0))</formula>
    </cfRule>
    <cfRule type="expression" dxfId="6804" priority="2386">
      <formula>AND(IF($Q89=2,1,0),IF($X89&lt;30,1,0))</formula>
    </cfRule>
    <cfRule type="expression" dxfId="6803" priority="2387">
      <formula>AND(IF($Q89=3,1,0),IF($X89&lt;30,1,0))</formula>
    </cfRule>
    <cfRule type="expression" dxfId="6802" priority="2388">
      <formula>AND(IF($Q89=3,1,IF($Q89=4,1,0)),IF($F89&lt;=85,1,0))</formula>
    </cfRule>
  </conditionalFormatting>
  <conditionalFormatting sqref="X89">
    <cfRule type="expression" dxfId="6801" priority="2381">
      <formula>AND(IF(OR($Q89=1,$Q89=2),1,0),IF($X89&lt;=20,1,0))</formula>
    </cfRule>
    <cfRule type="expression" dxfId="6800" priority="2382">
      <formula>AND(IF($Q89=2,1,0),IF($X89&lt;30,1,0))</formula>
    </cfRule>
    <cfRule type="expression" dxfId="6799" priority="2383">
      <formula>AND(IF($Q89=3,1,0),IF($X89&lt;30,1,0))</formula>
    </cfRule>
    <cfRule type="expression" dxfId="6798" priority="2384">
      <formula>AND(IF($Q89=3,1,IF($Q89=4,1,0)),IF($F89&lt;=85,1,0))</formula>
    </cfRule>
  </conditionalFormatting>
  <conditionalFormatting sqref="AI89">
    <cfRule type="expression" dxfId="6797" priority="2377">
      <formula>AND(IF(OR($Q89=1,$Q89=2),1,0),IF($X89&lt;=20,1,0))</formula>
    </cfRule>
    <cfRule type="expression" dxfId="6796" priority="2378">
      <formula>AND(IF($Q89=2,1,0),IF($X89&lt;30,1,0))</formula>
    </cfRule>
    <cfRule type="expression" dxfId="6795" priority="2379">
      <formula>AND(IF($Q89=3,1,0),IF($X89&lt;30,1,0))</formula>
    </cfRule>
    <cfRule type="expression" dxfId="6794" priority="2380">
      <formula>AND(IF($Q89=3,1,IF($Q89=4,1,0)),IF($F89&lt;=85,1,0))</formula>
    </cfRule>
  </conditionalFormatting>
  <conditionalFormatting sqref="AV90">
    <cfRule type="expression" dxfId="6793" priority="2375">
      <formula>AV90="X"</formula>
    </cfRule>
    <cfRule type="expression" dxfId="6792" priority="2376">
      <formula>AV90="후보"</formula>
    </cfRule>
  </conditionalFormatting>
  <conditionalFormatting sqref="AC90">
    <cfRule type="cellIs" dxfId="6791" priority="2373" operator="greaterThan">
      <formula>0.9</formula>
    </cfRule>
    <cfRule type="cellIs" dxfId="6790" priority="2374" operator="greaterThan">
      <formula>0.85</formula>
    </cfRule>
  </conditionalFormatting>
  <conditionalFormatting sqref="N90">
    <cfRule type="cellIs" dxfId="6789" priority="2371" operator="greaterThan">
      <formula>0.9</formula>
    </cfRule>
    <cfRule type="cellIs" dxfId="6788" priority="2372" operator="greaterThan">
      <formula>0.85</formula>
    </cfRule>
  </conditionalFormatting>
  <conditionalFormatting sqref="E90">
    <cfRule type="expression" dxfId="6787" priority="2367">
      <formula>AND(IF(OR($Q90=1,$Q90=2),1,0),IF($X90&lt;=20,1,0))</formula>
    </cfRule>
    <cfRule type="expression" dxfId="6786" priority="2368">
      <formula>AND(IF($Q90=2,1,0),IF($X90&lt;30,1,0))</formula>
    </cfRule>
    <cfRule type="expression" dxfId="6785" priority="2369">
      <formula>AND(IF($Q90=3,1,0),IF($X90&lt;30,1,0))</formula>
    </cfRule>
    <cfRule type="expression" dxfId="6784" priority="2370">
      <formula>AND(IF($Q90=3,1,IF($Q90=4,1,0)),IF($F90&lt;=85,1,0))</formula>
    </cfRule>
  </conditionalFormatting>
  <conditionalFormatting sqref="X90">
    <cfRule type="expression" dxfId="6783" priority="2363">
      <formula>AND(IF(OR($Q90=1,$Q90=2),1,0),IF($X90&lt;=20,1,0))</formula>
    </cfRule>
    <cfRule type="expression" dxfId="6782" priority="2364">
      <formula>AND(IF($Q90=2,1,0),IF($X90&lt;30,1,0))</formula>
    </cfRule>
    <cfRule type="expression" dxfId="6781" priority="2365">
      <formula>AND(IF($Q90=3,1,0),IF($X90&lt;30,1,0))</formula>
    </cfRule>
    <cfRule type="expression" dxfId="6780" priority="2366">
      <formula>AND(IF($Q90=3,1,IF($Q90=4,1,0)),IF($F90&lt;=85,1,0))</formula>
    </cfRule>
  </conditionalFormatting>
  <conditionalFormatting sqref="AI90">
    <cfRule type="expression" dxfId="6779" priority="2359">
      <formula>AND(IF(OR($Q90=1,$Q90=2),1,0),IF($X90&lt;=20,1,0))</formula>
    </cfRule>
    <cfRule type="expression" dxfId="6778" priority="2360">
      <formula>AND(IF($Q90=2,1,0),IF($X90&lt;30,1,0))</formula>
    </cfRule>
    <cfRule type="expression" dxfId="6777" priority="2361">
      <formula>AND(IF($Q90=3,1,0),IF($X90&lt;30,1,0))</formula>
    </cfRule>
    <cfRule type="expression" dxfId="6776" priority="2362">
      <formula>AND(IF($Q90=3,1,IF($Q90=4,1,0)),IF($F90&lt;=85,1,0))</formula>
    </cfRule>
  </conditionalFormatting>
  <conditionalFormatting sqref="AV91">
    <cfRule type="expression" dxfId="6775" priority="2357">
      <formula>AV91="X"</formula>
    </cfRule>
    <cfRule type="expression" dxfId="6774" priority="2358">
      <formula>AV91="후보"</formula>
    </cfRule>
  </conditionalFormatting>
  <conditionalFormatting sqref="AC91">
    <cfRule type="cellIs" dxfId="6773" priority="2355" operator="greaterThan">
      <formula>0.9</formula>
    </cfRule>
    <cfRule type="cellIs" dxfId="6772" priority="2356" operator="greaterThan">
      <formula>0.85</formula>
    </cfRule>
  </conditionalFormatting>
  <conditionalFormatting sqref="N91">
    <cfRule type="cellIs" dxfId="6771" priority="2353" operator="greaterThan">
      <formula>0.9</formula>
    </cfRule>
    <cfRule type="cellIs" dxfId="6770" priority="2354" operator="greaterThan">
      <formula>0.85</formula>
    </cfRule>
  </conditionalFormatting>
  <conditionalFormatting sqref="E91">
    <cfRule type="expression" dxfId="6769" priority="2349">
      <formula>AND(IF(OR($Q91=1,$Q91=2),1,0),IF($X91&lt;=20,1,0))</formula>
    </cfRule>
    <cfRule type="expression" dxfId="6768" priority="2350">
      <formula>AND(IF($Q91=2,1,0),IF($X91&lt;30,1,0))</formula>
    </cfRule>
    <cfRule type="expression" dxfId="6767" priority="2351">
      <formula>AND(IF($Q91=3,1,0),IF($X91&lt;30,1,0))</formula>
    </cfRule>
    <cfRule type="expression" dxfId="6766" priority="2352">
      <formula>AND(IF($Q91=3,1,IF($Q91=4,1,0)),IF($F91&lt;=85,1,0))</formula>
    </cfRule>
  </conditionalFormatting>
  <conditionalFormatting sqref="X91">
    <cfRule type="expression" dxfId="6765" priority="2345">
      <formula>AND(IF(OR($Q91=1,$Q91=2),1,0),IF($X91&lt;=20,1,0))</formula>
    </cfRule>
    <cfRule type="expression" dxfId="6764" priority="2346">
      <formula>AND(IF($Q91=2,1,0),IF($X91&lt;30,1,0))</formula>
    </cfRule>
    <cfRule type="expression" dxfId="6763" priority="2347">
      <formula>AND(IF($Q91=3,1,0),IF($X91&lt;30,1,0))</formula>
    </cfRule>
    <cfRule type="expression" dxfId="6762" priority="2348">
      <formula>AND(IF($Q91=3,1,IF($Q91=4,1,0)),IF($F91&lt;=85,1,0))</formula>
    </cfRule>
  </conditionalFormatting>
  <conditionalFormatting sqref="AI91">
    <cfRule type="expression" dxfId="6761" priority="2341">
      <formula>AND(IF(OR($Q91=1,$Q91=2),1,0),IF($X91&lt;=20,1,0))</formula>
    </cfRule>
    <cfRule type="expression" dxfId="6760" priority="2342">
      <formula>AND(IF($Q91=2,1,0),IF($X91&lt;30,1,0))</formula>
    </cfRule>
    <cfRule type="expression" dxfId="6759" priority="2343">
      <formula>AND(IF($Q91=3,1,0),IF($X91&lt;30,1,0))</formula>
    </cfRule>
    <cfRule type="expression" dxfId="6758" priority="2344">
      <formula>AND(IF($Q91=3,1,IF($Q91=4,1,0)),IF($F91&lt;=85,1,0))</formula>
    </cfRule>
  </conditionalFormatting>
  <conditionalFormatting sqref="AV92">
    <cfRule type="expression" dxfId="6757" priority="2339">
      <formula>AV92="X"</formula>
    </cfRule>
    <cfRule type="expression" dxfId="6756" priority="2340">
      <formula>AV92="후보"</formula>
    </cfRule>
  </conditionalFormatting>
  <conditionalFormatting sqref="AC92">
    <cfRule type="cellIs" dxfId="6755" priority="2337" operator="greaterThan">
      <formula>0.9</formula>
    </cfRule>
    <cfRule type="cellIs" dxfId="6754" priority="2338" operator="greaterThan">
      <formula>0.85</formula>
    </cfRule>
  </conditionalFormatting>
  <conditionalFormatting sqref="N92">
    <cfRule type="cellIs" dxfId="6753" priority="2335" operator="greaterThan">
      <formula>0.9</formula>
    </cfRule>
    <cfRule type="cellIs" dxfId="6752" priority="2336" operator="greaterThan">
      <formula>0.85</formula>
    </cfRule>
  </conditionalFormatting>
  <conditionalFormatting sqref="E92">
    <cfRule type="expression" dxfId="6751" priority="2331">
      <formula>AND(IF(OR($Q92=1,$Q92=2),1,0),IF($X92&lt;=20,1,0))</formula>
    </cfRule>
    <cfRule type="expression" dxfId="6750" priority="2332">
      <formula>AND(IF($Q92=2,1,0),IF($X92&lt;30,1,0))</formula>
    </cfRule>
    <cfRule type="expression" dxfId="6749" priority="2333">
      <formula>AND(IF($Q92=3,1,0),IF($X92&lt;30,1,0))</formula>
    </cfRule>
    <cfRule type="expression" dxfId="6748" priority="2334">
      <formula>AND(IF($Q92=3,1,IF($Q92=4,1,0)),IF($F92&lt;=85,1,0))</formula>
    </cfRule>
  </conditionalFormatting>
  <conditionalFormatting sqref="X92">
    <cfRule type="expression" dxfId="6747" priority="2327">
      <formula>AND(IF(OR($Q92=1,$Q92=2),1,0),IF($X92&lt;=20,1,0))</formula>
    </cfRule>
    <cfRule type="expression" dxfId="6746" priority="2328">
      <formula>AND(IF($Q92=2,1,0),IF($X92&lt;30,1,0))</formula>
    </cfRule>
    <cfRule type="expression" dxfId="6745" priority="2329">
      <formula>AND(IF($Q92=3,1,0),IF($X92&lt;30,1,0))</formula>
    </cfRule>
    <cfRule type="expression" dxfId="6744" priority="2330">
      <formula>AND(IF($Q92=3,1,IF($Q92=4,1,0)),IF($F92&lt;=85,1,0))</formula>
    </cfRule>
  </conditionalFormatting>
  <conditionalFormatting sqref="AI92">
    <cfRule type="expression" dxfId="6743" priority="2323">
      <formula>AND(IF(OR($Q92=1,$Q92=2),1,0),IF($X92&lt;=20,1,0))</formula>
    </cfRule>
    <cfRule type="expression" dxfId="6742" priority="2324">
      <formula>AND(IF($Q92=2,1,0),IF($X92&lt;30,1,0))</formula>
    </cfRule>
    <cfRule type="expression" dxfId="6741" priority="2325">
      <formula>AND(IF($Q92=3,1,0),IF($X92&lt;30,1,0))</formula>
    </cfRule>
    <cfRule type="expression" dxfId="6740" priority="2326">
      <formula>AND(IF($Q92=3,1,IF($Q92=4,1,0)),IF($F92&lt;=85,1,0))</formula>
    </cfRule>
  </conditionalFormatting>
  <conditionalFormatting sqref="AV93">
    <cfRule type="expression" dxfId="6739" priority="2321">
      <formula>AV93="X"</formula>
    </cfRule>
    <cfRule type="expression" dxfId="6738" priority="2322">
      <formula>AV93="후보"</formula>
    </cfRule>
  </conditionalFormatting>
  <conditionalFormatting sqref="AC93">
    <cfRule type="cellIs" dxfId="6737" priority="2319" operator="greaterThan">
      <formula>0.9</formula>
    </cfRule>
    <cfRule type="cellIs" dxfId="6736" priority="2320" operator="greaterThan">
      <formula>0.85</formula>
    </cfRule>
  </conditionalFormatting>
  <conditionalFormatting sqref="N93">
    <cfRule type="cellIs" dxfId="6735" priority="2317" operator="greaterThan">
      <formula>0.9</formula>
    </cfRule>
    <cfRule type="cellIs" dxfId="6734" priority="2318" operator="greaterThan">
      <formula>0.85</formula>
    </cfRule>
  </conditionalFormatting>
  <conditionalFormatting sqref="E93">
    <cfRule type="expression" dxfId="6733" priority="2313">
      <formula>AND(IF(OR($Q93=1,$Q93=2),1,0),IF($X93&lt;=20,1,0))</formula>
    </cfRule>
    <cfRule type="expression" dxfId="6732" priority="2314">
      <formula>AND(IF($Q93=2,1,0),IF($X93&lt;30,1,0))</formula>
    </cfRule>
    <cfRule type="expression" dxfId="6731" priority="2315">
      <formula>AND(IF($Q93=3,1,0),IF($X93&lt;30,1,0))</formula>
    </cfRule>
    <cfRule type="expression" dxfId="6730" priority="2316">
      <formula>AND(IF($Q93=3,1,IF($Q93=4,1,0)),IF($F93&lt;=85,1,0))</formula>
    </cfRule>
  </conditionalFormatting>
  <conditionalFormatting sqref="X93">
    <cfRule type="expression" dxfId="6729" priority="2309">
      <formula>AND(IF(OR($Q93=1,$Q93=2),1,0),IF($X93&lt;=20,1,0))</formula>
    </cfRule>
    <cfRule type="expression" dxfId="6728" priority="2310">
      <formula>AND(IF($Q93=2,1,0),IF($X93&lt;30,1,0))</formula>
    </cfRule>
    <cfRule type="expression" dxfId="6727" priority="2311">
      <formula>AND(IF($Q93=3,1,0),IF($X93&lt;30,1,0))</formula>
    </cfRule>
    <cfRule type="expression" dxfId="6726" priority="2312">
      <formula>AND(IF($Q93=3,1,IF($Q93=4,1,0)),IF($F93&lt;=85,1,0))</formula>
    </cfRule>
  </conditionalFormatting>
  <conditionalFormatting sqref="AI93">
    <cfRule type="expression" dxfId="6725" priority="2305">
      <formula>AND(IF(OR($Q93=1,$Q93=2),1,0),IF($X93&lt;=20,1,0))</formula>
    </cfRule>
    <cfRule type="expression" dxfId="6724" priority="2306">
      <formula>AND(IF($Q93=2,1,0),IF($X93&lt;30,1,0))</formula>
    </cfRule>
    <cfRule type="expression" dxfId="6723" priority="2307">
      <formula>AND(IF($Q93=3,1,0),IF($X93&lt;30,1,0))</formula>
    </cfRule>
    <cfRule type="expression" dxfId="6722" priority="2308">
      <formula>AND(IF($Q93=3,1,IF($Q93=4,1,0)),IF($F93&lt;=85,1,0))</formula>
    </cfRule>
  </conditionalFormatting>
  <conditionalFormatting sqref="AV94">
    <cfRule type="expression" dxfId="6721" priority="2303">
      <formula>AV94="X"</formula>
    </cfRule>
    <cfRule type="expression" dxfId="6720" priority="2304">
      <formula>AV94="후보"</formula>
    </cfRule>
  </conditionalFormatting>
  <conditionalFormatting sqref="AC94">
    <cfRule type="cellIs" dxfId="6719" priority="2301" operator="greaterThan">
      <formula>0.9</formula>
    </cfRule>
    <cfRule type="cellIs" dxfId="6718" priority="2302" operator="greaterThan">
      <formula>0.85</formula>
    </cfRule>
  </conditionalFormatting>
  <conditionalFormatting sqref="N94">
    <cfRule type="cellIs" dxfId="6717" priority="2299" operator="greaterThan">
      <formula>0.9</formula>
    </cfRule>
    <cfRule type="cellIs" dxfId="6716" priority="2300" operator="greaterThan">
      <formula>0.85</formula>
    </cfRule>
  </conditionalFormatting>
  <conditionalFormatting sqref="E94">
    <cfRule type="expression" dxfId="6715" priority="2295">
      <formula>AND(IF(OR($Q94=1,$Q94=2),1,0),IF($X94&lt;=20,1,0))</formula>
    </cfRule>
    <cfRule type="expression" dxfId="6714" priority="2296">
      <formula>AND(IF($Q94=2,1,0),IF($X94&lt;30,1,0))</formula>
    </cfRule>
    <cfRule type="expression" dxfId="6713" priority="2297">
      <formula>AND(IF($Q94=3,1,0),IF($X94&lt;30,1,0))</formula>
    </cfRule>
    <cfRule type="expression" dxfId="6712" priority="2298">
      <formula>AND(IF($Q94=3,1,IF($Q94=4,1,0)),IF($F94&lt;=85,1,0))</formula>
    </cfRule>
  </conditionalFormatting>
  <conditionalFormatting sqref="X94">
    <cfRule type="expression" dxfId="6711" priority="2291">
      <formula>AND(IF(OR($Q94=1,$Q94=2),1,0),IF($X94&lt;=20,1,0))</formula>
    </cfRule>
    <cfRule type="expression" dxfId="6710" priority="2292">
      <formula>AND(IF($Q94=2,1,0),IF($X94&lt;30,1,0))</formula>
    </cfRule>
    <cfRule type="expression" dxfId="6709" priority="2293">
      <formula>AND(IF($Q94=3,1,0),IF($X94&lt;30,1,0))</formula>
    </cfRule>
    <cfRule type="expression" dxfId="6708" priority="2294">
      <formula>AND(IF($Q94=3,1,IF($Q94=4,1,0)),IF($F94&lt;=85,1,0))</formula>
    </cfRule>
  </conditionalFormatting>
  <conditionalFormatting sqref="AI94">
    <cfRule type="expression" dxfId="6707" priority="2287">
      <formula>AND(IF(OR($Q94=1,$Q94=2),1,0),IF($X94&lt;=20,1,0))</formula>
    </cfRule>
    <cfRule type="expression" dxfId="6706" priority="2288">
      <formula>AND(IF($Q94=2,1,0),IF($X94&lt;30,1,0))</formula>
    </cfRule>
    <cfRule type="expression" dxfId="6705" priority="2289">
      <formula>AND(IF($Q94=3,1,0),IF($X94&lt;30,1,0))</formula>
    </cfRule>
    <cfRule type="expression" dxfId="6704" priority="2290">
      <formula>AND(IF($Q94=3,1,IF($Q94=4,1,0)),IF($F94&lt;=85,1,0))</formula>
    </cfRule>
  </conditionalFormatting>
  <conditionalFormatting sqref="AV95">
    <cfRule type="expression" dxfId="6703" priority="2285">
      <formula>AV95="X"</formula>
    </cfRule>
    <cfRule type="expression" dxfId="6702" priority="2286">
      <formula>AV95="후보"</formula>
    </cfRule>
  </conditionalFormatting>
  <conditionalFormatting sqref="AC95">
    <cfRule type="cellIs" dxfId="6701" priority="2283" operator="greaterThan">
      <formula>0.9</formula>
    </cfRule>
    <cfRule type="cellIs" dxfId="6700" priority="2284" operator="greaterThan">
      <formula>0.85</formula>
    </cfRule>
  </conditionalFormatting>
  <conditionalFormatting sqref="N95">
    <cfRule type="cellIs" dxfId="6699" priority="2281" operator="greaterThan">
      <formula>0.9</formula>
    </cfRule>
    <cfRule type="cellIs" dxfId="6698" priority="2282" operator="greaterThan">
      <formula>0.85</formula>
    </cfRule>
  </conditionalFormatting>
  <conditionalFormatting sqref="E95">
    <cfRule type="expression" dxfId="6697" priority="2277">
      <formula>AND(IF(OR($Q95=1,$Q95=2),1,0),IF($X95&lt;=20,1,0))</formula>
    </cfRule>
    <cfRule type="expression" dxfId="6696" priority="2278">
      <formula>AND(IF($Q95=2,1,0),IF($X95&lt;30,1,0))</formula>
    </cfRule>
    <cfRule type="expression" dxfId="6695" priority="2279">
      <formula>AND(IF($Q95=3,1,0),IF($X95&lt;30,1,0))</formula>
    </cfRule>
    <cfRule type="expression" dxfId="6694" priority="2280">
      <formula>AND(IF($Q95=3,1,IF($Q95=4,1,0)),IF($F95&lt;=85,1,0))</formula>
    </cfRule>
  </conditionalFormatting>
  <conditionalFormatting sqref="X95">
    <cfRule type="expression" dxfId="6693" priority="2273">
      <formula>AND(IF(OR($Q95=1,$Q95=2),1,0),IF($X95&lt;=20,1,0))</formula>
    </cfRule>
    <cfRule type="expression" dxfId="6692" priority="2274">
      <formula>AND(IF($Q95=2,1,0),IF($X95&lt;30,1,0))</formula>
    </cfRule>
    <cfRule type="expression" dxfId="6691" priority="2275">
      <formula>AND(IF($Q95=3,1,0),IF($X95&lt;30,1,0))</formula>
    </cfRule>
    <cfRule type="expression" dxfId="6690" priority="2276">
      <formula>AND(IF($Q95=3,1,IF($Q95=4,1,0)),IF($F95&lt;=85,1,0))</formula>
    </cfRule>
  </conditionalFormatting>
  <conditionalFormatting sqref="AI95">
    <cfRule type="expression" dxfId="6689" priority="2269">
      <formula>AND(IF(OR($Q95=1,$Q95=2),1,0),IF($X95&lt;=20,1,0))</formula>
    </cfRule>
    <cfRule type="expression" dxfId="6688" priority="2270">
      <formula>AND(IF($Q95=2,1,0),IF($X95&lt;30,1,0))</formula>
    </cfRule>
    <cfRule type="expression" dxfId="6687" priority="2271">
      <formula>AND(IF($Q95=3,1,0),IF($X95&lt;30,1,0))</formula>
    </cfRule>
    <cfRule type="expression" dxfId="6686" priority="2272">
      <formula>AND(IF($Q95=3,1,IF($Q95=4,1,0)),IF($F95&lt;=85,1,0))</formula>
    </cfRule>
  </conditionalFormatting>
  <conditionalFormatting sqref="AV96">
    <cfRule type="expression" dxfId="6685" priority="2267">
      <formula>AV96="X"</formula>
    </cfRule>
    <cfRule type="expression" dxfId="6684" priority="2268">
      <formula>AV96="후보"</formula>
    </cfRule>
  </conditionalFormatting>
  <conditionalFormatting sqref="AC96">
    <cfRule type="cellIs" dxfId="6683" priority="2265" operator="greaterThan">
      <formula>0.9</formula>
    </cfRule>
    <cfRule type="cellIs" dxfId="6682" priority="2266" operator="greaterThan">
      <formula>0.85</formula>
    </cfRule>
  </conditionalFormatting>
  <conditionalFormatting sqref="N96">
    <cfRule type="cellIs" dxfId="6681" priority="2263" operator="greaterThan">
      <formula>0.9</formula>
    </cfRule>
    <cfRule type="cellIs" dxfId="6680" priority="2264" operator="greaterThan">
      <formula>0.85</formula>
    </cfRule>
  </conditionalFormatting>
  <conditionalFormatting sqref="E96">
    <cfRule type="expression" dxfId="6679" priority="2259">
      <formula>AND(IF(OR($Q96=1,$Q96=2),1,0),IF($X96&lt;=20,1,0))</formula>
    </cfRule>
    <cfRule type="expression" dxfId="6678" priority="2260">
      <formula>AND(IF($Q96=2,1,0),IF($X96&lt;30,1,0))</formula>
    </cfRule>
    <cfRule type="expression" dxfId="6677" priority="2261">
      <formula>AND(IF($Q96=3,1,0),IF($X96&lt;30,1,0))</formula>
    </cfRule>
    <cfRule type="expression" dxfId="6676" priority="2262">
      <formula>AND(IF($Q96=3,1,IF($Q96=4,1,0)),IF($F96&lt;=85,1,0))</formula>
    </cfRule>
  </conditionalFormatting>
  <conditionalFormatting sqref="X96">
    <cfRule type="expression" dxfId="6675" priority="2255">
      <formula>AND(IF(OR($Q96=1,$Q96=2),1,0),IF($X96&lt;=20,1,0))</formula>
    </cfRule>
    <cfRule type="expression" dxfId="6674" priority="2256">
      <formula>AND(IF($Q96=2,1,0),IF($X96&lt;30,1,0))</formula>
    </cfRule>
    <cfRule type="expression" dxfId="6673" priority="2257">
      <formula>AND(IF($Q96=3,1,0),IF($X96&lt;30,1,0))</formula>
    </cfRule>
    <cfRule type="expression" dxfId="6672" priority="2258">
      <formula>AND(IF($Q96=3,1,IF($Q96=4,1,0)),IF($F96&lt;=85,1,0))</formula>
    </cfRule>
  </conditionalFormatting>
  <conditionalFormatting sqref="AI96">
    <cfRule type="expression" dxfId="6671" priority="2251">
      <formula>AND(IF(OR($Q96=1,$Q96=2),1,0),IF($X96&lt;=20,1,0))</formula>
    </cfRule>
    <cfRule type="expression" dxfId="6670" priority="2252">
      <formula>AND(IF($Q96=2,1,0),IF($X96&lt;30,1,0))</formula>
    </cfRule>
    <cfRule type="expression" dxfId="6669" priority="2253">
      <formula>AND(IF($Q96=3,1,0),IF($X96&lt;30,1,0))</formula>
    </cfRule>
    <cfRule type="expression" dxfId="6668" priority="2254">
      <formula>AND(IF($Q96=3,1,IF($Q96=4,1,0)),IF($F96&lt;=85,1,0))</formula>
    </cfRule>
  </conditionalFormatting>
  <conditionalFormatting sqref="AV97">
    <cfRule type="expression" dxfId="6667" priority="2249">
      <formula>AV97="X"</formula>
    </cfRule>
    <cfRule type="expression" dxfId="6666" priority="2250">
      <formula>AV97="후보"</formula>
    </cfRule>
  </conditionalFormatting>
  <conditionalFormatting sqref="AC97">
    <cfRule type="cellIs" dxfId="6665" priority="2247" operator="greaterThan">
      <formula>0.9</formula>
    </cfRule>
    <cfRule type="cellIs" dxfId="6664" priority="2248" operator="greaterThan">
      <formula>0.85</formula>
    </cfRule>
  </conditionalFormatting>
  <conditionalFormatting sqref="N97">
    <cfRule type="cellIs" dxfId="6663" priority="2245" operator="greaterThan">
      <formula>0.9</formula>
    </cfRule>
    <cfRule type="cellIs" dxfId="6662" priority="2246" operator="greaterThan">
      <formula>0.85</formula>
    </cfRule>
  </conditionalFormatting>
  <conditionalFormatting sqref="E97">
    <cfRule type="expression" dxfId="6661" priority="2241">
      <formula>AND(IF(OR($Q97=1,$Q97=2),1,0),IF($X97&lt;=20,1,0))</formula>
    </cfRule>
    <cfRule type="expression" dxfId="6660" priority="2242">
      <formula>AND(IF($Q97=2,1,0),IF($X97&lt;30,1,0))</formula>
    </cfRule>
    <cfRule type="expression" dxfId="6659" priority="2243">
      <formula>AND(IF($Q97=3,1,0),IF($X97&lt;30,1,0))</formula>
    </cfRule>
    <cfRule type="expression" dxfId="6658" priority="2244">
      <formula>AND(IF($Q97=3,1,IF($Q97=4,1,0)),IF($F97&lt;=85,1,0))</formula>
    </cfRule>
  </conditionalFormatting>
  <conditionalFormatting sqref="X97">
    <cfRule type="expression" dxfId="6657" priority="2237">
      <formula>AND(IF(OR($Q97=1,$Q97=2),1,0),IF($X97&lt;=20,1,0))</formula>
    </cfRule>
    <cfRule type="expression" dxfId="6656" priority="2238">
      <formula>AND(IF($Q97=2,1,0),IF($X97&lt;30,1,0))</formula>
    </cfRule>
    <cfRule type="expression" dxfId="6655" priority="2239">
      <formula>AND(IF($Q97=3,1,0),IF($X97&lt;30,1,0))</formula>
    </cfRule>
    <cfRule type="expression" dxfId="6654" priority="2240">
      <formula>AND(IF($Q97=3,1,IF($Q97=4,1,0)),IF($F97&lt;=85,1,0))</formula>
    </cfRule>
  </conditionalFormatting>
  <conditionalFormatting sqref="AI97">
    <cfRule type="expression" dxfId="6653" priority="2233">
      <formula>AND(IF(OR($Q97=1,$Q97=2),1,0),IF($X97&lt;=20,1,0))</formula>
    </cfRule>
    <cfRule type="expression" dxfId="6652" priority="2234">
      <formula>AND(IF($Q97=2,1,0),IF($X97&lt;30,1,0))</formula>
    </cfRule>
    <cfRule type="expression" dxfId="6651" priority="2235">
      <formula>AND(IF($Q97=3,1,0),IF($X97&lt;30,1,0))</formula>
    </cfRule>
    <cfRule type="expression" dxfId="6650" priority="2236">
      <formula>AND(IF($Q97=3,1,IF($Q97=4,1,0)),IF($F97&lt;=85,1,0))</formula>
    </cfRule>
  </conditionalFormatting>
  <conditionalFormatting sqref="AV98">
    <cfRule type="expression" dxfId="6649" priority="2231">
      <formula>AV98="X"</formula>
    </cfRule>
    <cfRule type="expression" dxfId="6648" priority="2232">
      <formula>AV98="후보"</formula>
    </cfRule>
  </conditionalFormatting>
  <conditionalFormatting sqref="AC98">
    <cfRule type="cellIs" dxfId="6647" priority="2229" operator="greaterThan">
      <formula>0.9</formula>
    </cfRule>
    <cfRule type="cellIs" dxfId="6646" priority="2230" operator="greaterThan">
      <formula>0.85</formula>
    </cfRule>
  </conditionalFormatting>
  <conditionalFormatting sqref="N98">
    <cfRule type="cellIs" dxfId="6645" priority="2227" operator="greaterThan">
      <formula>0.9</formula>
    </cfRule>
    <cfRule type="cellIs" dxfId="6644" priority="2228" operator="greaterThan">
      <formula>0.85</formula>
    </cfRule>
  </conditionalFormatting>
  <conditionalFormatting sqref="E98">
    <cfRule type="expression" dxfId="6643" priority="2223">
      <formula>AND(IF(OR($Q98=1,$Q98=2),1,0),IF($X98&lt;=20,1,0))</formula>
    </cfRule>
    <cfRule type="expression" dxfId="6642" priority="2224">
      <formula>AND(IF($Q98=2,1,0),IF($X98&lt;30,1,0))</formula>
    </cfRule>
    <cfRule type="expression" dxfId="6641" priority="2225">
      <formula>AND(IF($Q98=3,1,0),IF($X98&lt;30,1,0))</formula>
    </cfRule>
    <cfRule type="expression" dxfId="6640" priority="2226">
      <formula>AND(IF($Q98=3,1,IF($Q98=4,1,0)),IF($F98&lt;=85,1,0))</formula>
    </cfRule>
  </conditionalFormatting>
  <conditionalFormatting sqref="X98">
    <cfRule type="expression" dxfId="6639" priority="2219">
      <formula>AND(IF(OR($Q98=1,$Q98=2),1,0),IF($X98&lt;=20,1,0))</formula>
    </cfRule>
    <cfRule type="expression" dxfId="6638" priority="2220">
      <formula>AND(IF($Q98=2,1,0),IF($X98&lt;30,1,0))</formula>
    </cfRule>
    <cfRule type="expression" dxfId="6637" priority="2221">
      <formula>AND(IF($Q98=3,1,0),IF($X98&lt;30,1,0))</formula>
    </cfRule>
    <cfRule type="expression" dxfId="6636" priority="2222">
      <formula>AND(IF($Q98=3,1,IF($Q98=4,1,0)),IF($F98&lt;=85,1,0))</formula>
    </cfRule>
  </conditionalFormatting>
  <conditionalFormatting sqref="AI98">
    <cfRule type="expression" dxfId="6635" priority="2215">
      <formula>AND(IF(OR($Q98=1,$Q98=2),1,0),IF($X98&lt;=20,1,0))</formula>
    </cfRule>
    <cfRule type="expression" dxfId="6634" priority="2216">
      <formula>AND(IF($Q98=2,1,0),IF($X98&lt;30,1,0))</formula>
    </cfRule>
    <cfRule type="expression" dxfId="6633" priority="2217">
      <formula>AND(IF($Q98=3,1,0),IF($X98&lt;30,1,0))</formula>
    </cfRule>
    <cfRule type="expression" dxfId="6632" priority="2218">
      <formula>AND(IF($Q98=3,1,IF($Q98=4,1,0)),IF($F98&lt;=85,1,0))</formula>
    </cfRule>
  </conditionalFormatting>
  <conditionalFormatting sqref="AV99">
    <cfRule type="expression" dxfId="6631" priority="2213">
      <formula>AV99="X"</formula>
    </cfRule>
    <cfRule type="expression" dxfId="6630" priority="2214">
      <formula>AV99="후보"</formula>
    </cfRule>
  </conditionalFormatting>
  <conditionalFormatting sqref="AC99">
    <cfRule type="cellIs" dxfId="6629" priority="2211" operator="greaterThan">
      <formula>0.9</formula>
    </cfRule>
    <cfRule type="cellIs" dxfId="6628" priority="2212" operator="greaterThan">
      <formula>0.85</formula>
    </cfRule>
  </conditionalFormatting>
  <conditionalFormatting sqref="N99">
    <cfRule type="cellIs" dxfId="6627" priority="2209" operator="greaterThan">
      <formula>0.9</formula>
    </cfRule>
    <cfRule type="cellIs" dxfId="6626" priority="2210" operator="greaterThan">
      <formula>0.85</formula>
    </cfRule>
  </conditionalFormatting>
  <conditionalFormatting sqref="E99">
    <cfRule type="expression" dxfId="6625" priority="2205">
      <formula>AND(IF(OR($Q99=1,$Q99=2),1,0),IF($X99&lt;=20,1,0))</formula>
    </cfRule>
    <cfRule type="expression" dxfId="6624" priority="2206">
      <formula>AND(IF($Q99=2,1,0),IF($X99&lt;30,1,0))</formula>
    </cfRule>
    <cfRule type="expression" dxfId="6623" priority="2207">
      <formula>AND(IF($Q99=3,1,0),IF($X99&lt;30,1,0))</formula>
    </cfRule>
    <cfRule type="expression" dxfId="6622" priority="2208">
      <formula>AND(IF($Q99=3,1,IF($Q99=4,1,0)),IF($F99&lt;=85,1,0))</formula>
    </cfRule>
  </conditionalFormatting>
  <conditionalFormatting sqref="X99">
    <cfRule type="expression" dxfId="6621" priority="2201">
      <formula>AND(IF(OR($Q99=1,$Q99=2),1,0),IF($X99&lt;=20,1,0))</formula>
    </cfRule>
    <cfRule type="expression" dxfId="6620" priority="2202">
      <formula>AND(IF($Q99=2,1,0),IF($X99&lt;30,1,0))</formula>
    </cfRule>
    <cfRule type="expression" dxfId="6619" priority="2203">
      <formula>AND(IF($Q99=3,1,0),IF($X99&lt;30,1,0))</formula>
    </cfRule>
    <cfRule type="expression" dxfId="6618" priority="2204">
      <formula>AND(IF($Q99=3,1,IF($Q99=4,1,0)),IF($F99&lt;=85,1,0))</formula>
    </cfRule>
  </conditionalFormatting>
  <conditionalFormatting sqref="AI99">
    <cfRule type="expression" dxfId="6617" priority="2197">
      <formula>AND(IF(OR($Q99=1,$Q99=2),1,0),IF($X99&lt;=20,1,0))</formula>
    </cfRule>
    <cfRule type="expression" dxfId="6616" priority="2198">
      <formula>AND(IF($Q99=2,1,0),IF($X99&lt;30,1,0))</formula>
    </cfRule>
    <cfRule type="expression" dxfId="6615" priority="2199">
      <formula>AND(IF($Q99=3,1,0),IF($X99&lt;30,1,0))</formula>
    </cfRule>
    <cfRule type="expression" dxfId="6614" priority="2200">
      <formula>AND(IF($Q99=3,1,IF($Q99=4,1,0)),IF($F99&lt;=85,1,0))</formula>
    </cfRule>
  </conditionalFormatting>
  <conditionalFormatting sqref="AV100">
    <cfRule type="expression" dxfId="6613" priority="2195">
      <formula>AV100="X"</formula>
    </cfRule>
    <cfRule type="expression" dxfId="6612" priority="2196">
      <formula>AV100="후보"</formula>
    </cfRule>
  </conditionalFormatting>
  <conditionalFormatting sqref="AC100">
    <cfRule type="cellIs" dxfId="6611" priority="2193" operator="greaterThan">
      <formula>0.9</formula>
    </cfRule>
    <cfRule type="cellIs" dxfId="6610" priority="2194" operator="greaterThan">
      <formula>0.85</formula>
    </cfRule>
  </conditionalFormatting>
  <conditionalFormatting sqref="N100">
    <cfRule type="cellIs" dxfId="6609" priority="2191" operator="greaterThan">
      <formula>0.9</formula>
    </cfRule>
    <cfRule type="cellIs" dxfId="6608" priority="2192" operator="greaterThan">
      <formula>0.85</formula>
    </cfRule>
  </conditionalFormatting>
  <conditionalFormatting sqref="E100">
    <cfRule type="expression" dxfId="6607" priority="2187">
      <formula>AND(IF(OR($Q100=1,$Q100=2),1,0),IF($X100&lt;=20,1,0))</formula>
    </cfRule>
    <cfRule type="expression" dxfId="6606" priority="2188">
      <formula>AND(IF($Q100=2,1,0),IF($X100&lt;30,1,0))</formula>
    </cfRule>
    <cfRule type="expression" dxfId="6605" priority="2189">
      <formula>AND(IF($Q100=3,1,0),IF($X100&lt;30,1,0))</formula>
    </cfRule>
    <cfRule type="expression" dxfId="6604" priority="2190">
      <formula>AND(IF($Q100=3,1,IF($Q100=4,1,0)),IF($F100&lt;=85,1,0))</formula>
    </cfRule>
  </conditionalFormatting>
  <conditionalFormatting sqref="X100">
    <cfRule type="expression" dxfId="6603" priority="2183">
      <formula>AND(IF(OR($Q100=1,$Q100=2),1,0),IF($X100&lt;=20,1,0))</formula>
    </cfRule>
    <cfRule type="expression" dxfId="6602" priority="2184">
      <formula>AND(IF($Q100=2,1,0),IF($X100&lt;30,1,0))</formula>
    </cfRule>
    <cfRule type="expression" dxfId="6601" priority="2185">
      <formula>AND(IF($Q100=3,1,0),IF($X100&lt;30,1,0))</formula>
    </cfRule>
    <cfRule type="expression" dxfId="6600" priority="2186">
      <formula>AND(IF($Q100=3,1,IF($Q100=4,1,0)),IF($F100&lt;=85,1,0))</formula>
    </cfRule>
  </conditionalFormatting>
  <conditionalFormatting sqref="AI100">
    <cfRule type="expression" dxfId="6599" priority="2179">
      <formula>AND(IF(OR($Q100=1,$Q100=2),1,0),IF($X100&lt;=20,1,0))</formula>
    </cfRule>
    <cfRule type="expression" dxfId="6598" priority="2180">
      <formula>AND(IF($Q100=2,1,0),IF($X100&lt;30,1,0))</formula>
    </cfRule>
    <cfRule type="expression" dxfId="6597" priority="2181">
      <formula>AND(IF($Q100=3,1,0),IF($X100&lt;30,1,0))</formula>
    </cfRule>
    <cfRule type="expression" dxfId="6596" priority="2182">
      <formula>AND(IF($Q100=3,1,IF($Q100=4,1,0)),IF($F100&lt;=85,1,0))</formula>
    </cfRule>
  </conditionalFormatting>
  <conditionalFormatting sqref="AV101">
    <cfRule type="expression" dxfId="6595" priority="2177">
      <formula>AV101="X"</formula>
    </cfRule>
    <cfRule type="expression" dxfId="6594" priority="2178">
      <formula>AV101="후보"</formula>
    </cfRule>
  </conditionalFormatting>
  <conditionalFormatting sqref="AC101">
    <cfRule type="cellIs" dxfId="6593" priority="2175" operator="greaterThan">
      <formula>0.9</formula>
    </cfRule>
    <cfRule type="cellIs" dxfId="6592" priority="2176" operator="greaterThan">
      <formula>0.85</formula>
    </cfRule>
  </conditionalFormatting>
  <conditionalFormatting sqref="N101">
    <cfRule type="cellIs" dxfId="6591" priority="2173" operator="greaterThan">
      <formula>0.9</formula>
    </cfRule>
    <cfRule type="cellIs" dxfId="6590" priority="2174" operator="greaterThan">
      <formula>0.85</formula>
    </cfRule>
  </conditionalFormatting>
  <conditionalFormatting sqref="E101">
    <cfRule type="expression" dxfId="6589" priority="2169">
      <formula>AND(IF(OR($Q101=1,$Q101=2),1,0),IF($X101&lt;=20,1,0))</formula>
    </cfRule>
    <cfRule type="expression" dxfId="6588" priority="2170">
      <formula>AND(IF($Q101=2,1,0),IF($X101&lt;30,1,0))</formula>
    </cfRule>
    <cfRule type="expression" dxfId="6587" priority="2171">
      <formula>AND(IF($Q101=3,1,0),IF($X101&lt;30,1,0))</formula>
    </cfRule>
    <cfRule type="expression" dxfId="6586" priority="2172">
      <formula>AND(IF($Q101=3,1,IF($Q101=4,1,0)),IF($F101&lt;=85,1,0))</formula>
    </cfRule>
  </conditionalFormatting>
  <conditionalFormatting sqref="X101">
    <cfRule type="expression" dxfId="6585" priority="2165">
      <formula>AND(IF(OR($Q101=1,$Q101=2),1,0),IF($X101&lt;=20,1,0))</formula>
    </cfRule>
    <cfRule type="expression" dxfId="6584" priority="2166">
      <formula>AND(IF($Q101=2,1,0),IF($X101&lt;30,1,0))</formula>
    </cfRule>
    <cfRule type="expression" dxfId="6583" priority="2167">
      <formula>AND(IF($Q101=3,1,0),IF($X101&lt;30,1,0))</formula>
    </cfRule>
    <cfRule type="expression" dxfId="6582" priority="2168">
      <formula>AND(IF($Q101=3,1,IF($Q101=4,1,0)),IF($F101&lt;=85,1,0))</formula>
    </cfRule>
  </conditionalFormatting>
  <conditionalFormatting sqref="AI101">
    <cfRule type="expression" dxfId="6581" priority="2161">
      <formula>AND(IF(OR($Q101=1,$Q101=2),1,0),IF($X101&lt;=20,1,0))</formula>
    </cfRule>
    <cfRule type="expression" dxfId="6580" priority="2162">
      <formula>AND(IF($Q101=2,1,0),IF($X101&lt;30,1,0))</formula>
    </cfRule>
    <cfRule type="expression" dxfId="6579" priority="2163">
      <formula>AND(IF($Q101=3,1,0),IF($X101&lt;30,1,0))</formula>
    </cfRule>
    <cfRule type="expression" dxfId="6578" priority="2164">
      <formula>AND(IF($Q101=3,1,IF($Q101=4,1,0)),IF($F101&lt;=85,1,0))</formula>
    </cfRule>
  </conditionalFormatting>
  <conditionalFormatting sqref="AV102">
    <cfRule type="expression" dxfId="6577" priority="2159">
      <formula>AV102="X"</formula>
    </cfRule>
    <cfRule type="expression" dxfId="6576" priority="2160">
      <formula>AV102="후보"</formula>
    </cfRule>
  </conditionalFormatting>
  <conditionalFormatting sqref="AC102">
    <cfRule type="cellIs" dxfId="6575" priority="2157" operator="greaterThan">
      <formula>0.9</formula>
    </cfRule>
    <cfRule type="cellIs" dxfId="6574" priority="2158" operator="greaterThan">
      <formula>0.85</formula>
    </cfRule>
  </conditionalFormatting>
  <conditionalFormatting sqref="N102">
    <cfRule type="cellIs" dxfId="6573" priority="2155" operator="greaterThan">
      <formula>0.9</formula>
    </cfRule>
    <cfRule type="cellIs" dxfId="6572" priority="2156" operator="greaterThan">
      <formula>0.85</formula>
    </cfRule>
  </conditionalFormatting>
  <conditionalFormatting sqref="E102">
    <cfRule type="expression" dxfId="6571" priority="2151">
      <formula>AND(IF(OR($Q102=1,$Q102=2),1,0),IF($X102&lt;=20,1,0))</formula>
    </cfRule>
    <cfRule type="expression" dxfId="6570" priority="2152">
      <formula>AND(IF($Q102=2,1,0),IF($X102&lt;30,1,0))</formula>
    </cfRule>
    <cfRule type="expression" dxfId="6569" priority="2153">
      <formula>AND(IF($Q102=3,1,0),IF($X102&lt;30,1,0))</formula>
    </cfRule>
    <cfRule type="expression" dxfId="6568" priority="2154">
      <formula>AND(IF($Q102=3,1,IF($Q102=4,1,0)),IF($F102&lt;=85,1,0))</formula>
    </cfRule>
  </conditionalFormatting>
  <conditionalFormatting sqref="X102">
    <cfRule type="expression" dxfId="6567" priority="2147">
      <formula>AND(IF(OR($Q102=1,$Q102=2),1,0),IF($X102&lt;=20,1,0))</formula>
    </cfRule>
    <cfRule type="expression" dxfId="6566" priority="2148">
      <formula>AND(IF($Q102=2,1,0),IF($X102&lt;30,1,0))</formula>
    </cfRule>
    <cfRule type="expression" dxfId="6565" priority="2149">
      <formula>AND(IF($Q102=3,1,0),IF($X102&lt;30,1,0))</formula>
    </cfRule>
    <cfRule type="expression" dxfId="6564" priority="2150">
      <formula>AND(IF($Q102=3,1,IF($Q102=4,1,0)),IF($F102&lt;=85,1,0))</formula>
    </cfRule>
  </conditionalFormatting>
  <conditionalFormatting sqref="AI102">
    <cfRule type="expression" dxfId="6563" priority="2143">
      <formula>AND(IF(OR($Q102=1,$Q102=2),1,0),IF($X102&lt;=20,1,0))</formula>
    </cfRule>
    <cfRule type="expression" dxfId="6562" priority="2144">
      <formula>AND(IF($Q102=2,1,0),IF($X102&lt;30,1,0))</formula>
    </cfRule>
    <cfRule type="expression" dxfId="6561" priority="2145">
      <formula>AND(IF($Q102=3,1,0),IF($X102&lt;30,1,0))</formula>
    </cfRule>
    <cfRule type="expression" dxfId="6560" priority="2146">
      <formula>AND(IF($Q102=3,1,IF($Q102=4,1,0)),IF($F102&lt;=85,1,0))</formula>
    </cfRule>
  </conditionalFormatting>
  <conditionalFormatting sqref="AV103">
    <cfRule type="expression" dxfId="6559" priority="2141">
      <formula>AV103="X"</formula>
    </cfRule>
    <cfRule type="expression" dxfId="6558" priority="2142">
      <formula>AV103="후보"</formula>
    </cfRule>
  </conditionalFormatting>
  <conditionalFormatting sqref="AC103">
    <cfRule type="cellIs" dxfId="6557" priority="2139" operator="greaterThan">
      <formula>0.9</formula>
    </cfRule>
    <cfRule type="cellIs" dxfId="6556" priority="2140" operator="greaterThan">
      <formula>0.85</formula>
    </cfRule>
  </conditionalFormatting>
  <conditionalFormatting sqref="N103">
    <cfRule type="cellIs" dxfId="6555" priority="2137" operator="greaterThan">
      <formula>0.9</formula>
    </cfRule>
    <cfRule type="cellIs" dxfId="6554" priority="2138" operator="greaterThan">
      <formula>0.85</formula>
    </cfRule>
  </conditionalFormatting>
  <conditionalFormatting sqref="E103">
    <cfRule type="expression" dxfId="6553" priority="2133">
      <formula>AND(IF(OR($Q103=1,$Q103=2),1,0),IF($X103&lt;=20,1,0))</formula>
    </cfRule>
    <cfRule type="expression" dxfId="6552" priority="2134">
      <formula>AND(IF($Q103=2,1,0),IF($X103&lt;30,1,0))</formula>
    </cfRule>
    <cfRule type="expression" dxfId="6551" priority="2135">
      <formula>AND(IF($Q103=3,1,0),IF($X103&lt;30,1,0))</formula>
    </cfRule>
    <cfRule type="expression" dxfId="6550" priority="2136">
      <formula>AND(IF($Q103=3,1,IF($Q103=4,1,0)),IF($F103&lt;=85,1,0))</formula>
    </cfRule>
  </conditionalFormatting>
  <conditionalFormatting sqref="X103">
    <cfRule type="expression" dxfId="6549" priority="2129">
      <formula>AND(IF(OR($Q103=1,$Q103=2),1,0),IF($X103&lt;=20,1,0))</formula>
    </cfRule>
    <cfRule type="expression" dxfId="6548" priority="2130">
      <formula>AND(IF($Q103=2,1,0),IF($X103&lt;30,1,0))</formula>
    </cfRule>
    <cfRule type="expression" dxfId="6547" priority="2131">
      <formula>AND(IF($Q103=3,1,0),IF($X103&lt;30,1,0))</formula>
    </cfRule>
    <cfRule type="expression" dxfId="6546" priority="2132">
      <formula>AND(IF($Q103=3,1,IF($Q103=4,1,0)),IF($F103&lt;=85,1,0))</formula>
    </cfRule>
  </conditionalFormatting>
  <conditionalFormatting sqref="AI103">
    <cfRule type="expression" dxfId="6545" priority="2125">
      <formula>AND(IF(OR($Q103=1,$Q103=2),1,0),IF($X103&lt;=20,1,0))</formula>
    </cfRule>
    <cfRule type="expression" dxfId="6544" priority="2126">
      <formula>AND(IF($Q103=2,1,0),IF($X103&lt;30,1,0))</formula>
    </cfRule>
    <cfRule type="expression" dxfId="6543" priority="2127">
      <formula>AND(IF($Q103=3,1,0),IF($X103&lt;30,1,0))</formula>
    </cfRule>
    <cfRule type="expression" dxfId="6542" priority="2128">
      <formula>AND(IF($Q103=3,1,IF($Q103=4,1,0)),IF($F103&lt;=85,1,0))</formula>
    </cfRule>
  </conditionalFormatting>
  <conditionalFormatting sqref="AV104">
    <cfRule type="expression" dxfId="6541" priority="2123">
      <formula>AV104="X"</formula>
    </cfRule>
    <cfRule type="expression" dxfId="6540" priority="2124">
      <formula>AV104="후보"</formula>
    </cfRule>
  </conditionalFormatting>
  <conditionalFormatting sqref="AC104">
    <cfRule type="cellIs" dxfId="6539" priority="2121" operator="greaterThan">
      <formula>0.9</formula>
    </cfRule>
    <cfRule type="cellIs" dxfId="6538" priority="2122" operator="greaterThan">
      <formula>0.85</formula>
    </cfRule>
  </conditionalFormatting>
  <conditionalFormatting sqref="N104">
    <cfRule type="cellIs" dxfId="6537" priority="2119" operator="greaterThan">
      <formula>0.9</formula>
    </cfRule>
    <cfRule type="cellIs" dxfId="6536" priority="2120" operator="greaterThan">
      <formula>0.85</formula>
    </cfRule>
  </conditionalFormatting>
  <conditionalFormatting sqref="E104">
    <cfRule type="expression" dxfId="6535" priority="2115">
      <formula>AND(IF(OR($Q104=1,$Q104=2),1,0),IF($X104&lt;=20,1,0))</formula>
    </cfRule>
    <cfRule type="expression" dxfId="6534" priority="2116">
      <formula>AND(IF($Q104=2,1,0),IF($X104&lt;30,1,0))</formula>
    </cfRule>
    <cfRule type="expression" dxfId="6533" priority="2117">
      <formula>AND(IF($Q104=3,1,0),IF($X104&lt;30,1,0))</formula>
    </cfRule>
    <cfRule type="expression" dxfId="6532" priority="2118">
      <formula>AND(IF($Q104=3,1,IF($Q104=4,1,0)),IF($F104&lt;=85,1,0))</formula>
    </cfRule>
  </conditionalFormatting>
  <conditionalFormatting sqref="X104">
    <cfRule type="expression" dxfId="6531" priority="2111">
      <formula>AND(IF(OR($Q104=1,$Q104=2),1,0),IF($X104&lt;=20,1,0))</formula>
    </cfRule>
    <cfRule type="expression" dxfId="6530" priority="2112">
      <formula>AND(IF($Q104=2,1,0),IF($X104&lt;30,1,0))</formula>
    </cfRule>
    <cfRule type="expression" dxfId="6529" priority="2113">
      <formula>AND(IF($Q104=3,1,0),IF($X104&lt;30,1,0))</formula>
    </cfRule>
    <cfRule type="expression" dxfId="6528" priority="2114">
      <formula>AND(IF($Q104=3,1,IF($Q104=4,1,0)),IF($F104&lt;=85,1,0))</formula>
    </cfRule>
  </conditionalFormatting>
  <conditionalFormatting sqref="AI104">
    <cfRule type="expression" dxfId="6527" priority="2107">
      <formula>AND(IF(OR($Q104=1,$Q104=2),1,0),IF($X104&lt;=20,1,0))</formula>
    </cfRule>
    <cfRule type="expression" dxfId="6526" priority="2108">
      <formula>AND(IF($Q104=2,1,0),IF($X104&lt;30,1,0))</formula>
    </cfRule>
    <cfRule type="expression" dxfId="6525" priority="2109">
      <formula>AND(IF($Q104=3,1,0),IF($X104&lt;30,1,0))</formula>
    </cfRule>
    <cfRule type="expression" dxfId="6524" priority="2110">
      <formula>AND(IF($Q104=3,1,IF($Q104=4,1,0)),IF($F104&lt;=85,1,0))</formula>
    </cfRule>
  </conditionalFormatting>
  <conditionalFormatting sqref="AV105">
    <cfRule type="expression" dxfId="6523" priority="2105">
      <formula>AV105="X"</formula>
    </cfRule>
    <cfRule type="expression" dxfId="6522" priority="2106">
      <formula>AV105="후보"</formula>
    </cfRule>
  </conditionalFormatting>
  <conditionalFormatting sqref="AC105">
    <cfRule type="cellIs" dxfId="6521" priority="2103" operator="greaterThan">
      <formula>0.9</formula>
    </cfRule>
    <cfRule type="cellIs" dxfId="6520" priority="2104" operator="greaterThan">
      <formula>0.85</formula>
    </cfRule>
  </conditionalFormatting>
  <conditionalFormatting sqref="N105">
    <cfRule type="cellIs" dxfId="6519" priority="2101" operator="greaterThan">
      <formula>0.9</formula>
    </cfRule>
    <cfRule type="cellIs" dxfId="6518" priority="2102" operator="greaterThan">
      <formula>0.85</formula>
    </cfRule>
  </conditionalFormatting>
  <conditionalFormatting sqref="E105">
    <cfRule type="expression" dxfId="6517" priority="2097">
      <formula>AND(IF(OR($Q105=1,$Q105=2),1,0),IF($X105&lt;=20,1,0))</formula>
    </cfRule>
    <cfRule type="expression" dxfId="6516" priority="2098">
      <formula>AND(IF($Q105=2,1,0),IF($X105&lt;30,1,0))</formula>
    </cfRule>
    <cfRule type="expression" dxfId="6515" priority="2099">
      <formula>AND(IF($Q105=3,1,0),IF($X105&lt;30,1,0))</formula>
    </cfRule>
    <cfRule type="expression" dxfId="6514" priority="2100">
      <formula>AND(IF($Q105=3,1,IF($Q105=4,1,0)),IF($F105&lt;=85,1,0))</formula>
    </cfRule>
  </conditionalFormatting>
  <conditionalFormatting sqref="X105">
    <cfRule type="expression" dxfId="6513" priority="2093">
      <formula>AND(IF(OR($Q105=1,$Q105=2),1,0),IF($X105&lt;=20,1,0))</formula>
    </cfRule>
    <cfRule type="expression" dxfId="6512" priority="2094">
      <formula>AND(IF($Q105=2,1,0),IF($X105&lt;30,1,0))</formula>
    </cfRule>
    <cfRule type="expression" dxfId="6511" priority="2095">
      <formula>AND(IF($Q105=3,1,0),IF($X105&lt;30,1,0))</formula>
    </cfRule>
    <cfRule type="expression" dxfId="6510" priority="2096">
      <formula>AND(IF($Q105=3,1,IF($Q105=4,1,0)),IF($F105&lt;=85,1,0))</formula>
    </cfRule>
  </conditionalFormatting>
  <conditionalFormatting sqref="AI105">
    <cfRule type="expression" dxfId="6509" priority="2089">
      <formula>AND(IF(OR($Q105=1,$Q105=2),1,0),IF($X105&lt;=20,1,0))</formula>
    </cfRule>
    <cfRule type="expression" dxfId="6508" priority="2090">
      <formula>AND(IF($Q105=2,1,0),IF($X105&lt;30,1,0))</formula>
    </cfRule>
    <cfRule type="expression" dxfId="6507" priority="2091">
      <formula>AND(IF($Q105=3,1,0),IF($X105&lt;30,1,0))</formula>
    </cfRule>
    <cfRule type="expression" dxfId="6506" priority="2092">
      <formula>AND(IF($Q105=3,1,IF($Q105=4,1,0)),IF($F105&lt;=85,1,0))</formula>
    </cfRule>
  </conditionalFormatting>
  <conditionalFormatting sqref="AV106">
    <cfRule type="expression" dxfId="6505" priority="2087">
      <formula>AV106="X"</formula>
    </cfRule>
    <cfRule type="expression" dxfId="6504" priority="2088">
      <formula>AV106="후보"</formula>
    </cfRule>
  </conditionalFormatting>
  <conditionalFormatting sqref="AC106">
    <cfRule type="cellIs" dxfId="6503" priority="2085" operator="greaterThan">
      <formula>0.9</formula>
    </cfRule>
    <cfRule type="cellIs" dxfId="6502" priority="2086" operator="greaterThan">
      <formula>0.85</formula>
    </cfRule>
  </conditionalFormatting>
  <conditionalFormatting sqref="N106">
    <cfRule type="cellIs" dxfId="6501" priority="2083" operator="greaterThan">
      <formula>0.9</formula>
    </cfRule>
    <cfRule type="cellIs" dxfId="6500" priority="2084" operator="greaterThan">
      <formula>0.85</formula>
    </cfRule>
  </conditionalFormatting>
  <conditionalFormatting sqref="E106">
    <cfRule type="expression" dxfId="6499" priority="2079">
      <formula>AND(IF(OR($Q106=1,$Q106=2),1,0),IF($X106&lt;=20,1,0))</formula>
    </cfRule>
    <cfRule type="expression" dxfId="6498" priority="2080">
      <formula>AND(IF($Q106=2,1,0),IF($X106&lt;30,1,0))</formula>
    </cfRule>
    <cfRule type="expression" dxfId="6497" priority="2081">
      <formula>AND(IF($Q106=3,1,0),IF($X106&lt;30,1,0))</formula>
    </cfRule>
    <cfRule type="expression" dxfId="6496" priority="2082">
      <formula>AND(IF($Q106=3,1,IF($Q106=4,1,0)),IF($F106&lt;=85,1,0))</formula>
    </cfRule>
  </conditionalFormatting>
  <conditionalFormatting sqref="X106">
    <cfRule type="expression" dxfId="6495" priority="2075">
      <formula>AND(IF(OR($Q106=1,$Q106=2),1,0),IF($X106&lt;=20,1,0))</formula>
    </cfRule>
    <cfRule type="expression" dxfId="6494" priority="2076">
      <formula>AND(IF($Q106=2,1,0),IF($X106&lt;30,1,0))</formula>
    </cfRule>
    <cfRule type="expression" dxfId="6493" priority="2077">
      <formula>AND(IF($Q106=3,1,0),IF($X106&lt;30,1,0))</formula>
    </cfRule>
    <cfRule type="expression" dxfId="6492" priority="2078">
      <formula>AND(IF($Q106=3,1,IF($Q106=4,1,0)),IF($F106&lt;=85,1,0))</formula>
    </cfRule>
  </conditionalFormatting>
  <conditionalFormatting sqref="AI106">
    <cfRule type="expression" dxfId="6491" priority="2071">
      <formula>AND(IF(OR($Q106=1,$Q106=2),1,0),IF($X106&lt;=20,1,0))</formula>
    </cfRule>
    <cfRule type="expression" dxfId="6490" priority="2072">
      <formula>AND(IF($Q106=2,1,0),IF($X106&lt;30,1,0))</formula>
    </cfRule>
    <cfRule type="expression" dxfId="6489" priority="2073">
      <formula>AND(IF($Q106=3,1,0),IF($X106&lt;30,1,0))</formula>
    </cfRule>
    <cfRule type="expression" dxfId="6488" priority="2074">
      <formula>AND(IF($Q106=3,1,IF($Q106=4,1,0)),IF($F106&lt;=85,1,0))</formula>
    </cfRule>
  </conditionalFormatting>
  <conditionalFormatting sqref="AV107">
    <cfRule type="expression" dxfId="6487" priority="2069">
      <formula>AV107="X"</formula>
    </cfRule>
    <cfRule type="expression" dxfId="6486" priority="2070">
      <formula>AV107="후보"</formula>
    </cfRule>
  </conditionalFormatting>
  <conditionalFormatting sqref="AC107">
    <cfRule type="cellIs" dxfId="6485" priority="2067" operator="greaterThan">
      <formula>0.9</formula>
    </cfRule>
    <cfRule type="cellIs" dxfId="6484" priority="2068" operator="greaterThan">
      <formula>0.85</formula>
    </cfRule>
  </conditionalFormatting>
  <conditionalFormatting sqref="N107">
    <cfRule type="cellIs" dxfId="6483" priority="2065" operator="greaterThan">
      <formula>0.9</formula>
    </cfRule>
    <cfRule type="cellIs" dxfId="6482" priority="2066" operator="greaterThan">
      <formula>0.85</formula>
    </cfRule>
  </conditionalFormatting>
  <conditionalFormatting sqref="E107">
    <cfRule type="expression" dxfId="6481" priority="2061">
      <formula>AND(IF(OR($Q107=1,$Q107=2),1,0),IF($X107&lt;=20,1,0))</formula>
    </cfRule>
    <cfRule type="expression" dxfId="6480" priority="2062">
      <formula>AND(IF($Q107=2,1,0),IF($X107&lt;30,1,0))</formula>
    </cfRule>
    <cfRule type="expression" dxfId="6479" priority="2063">
      <formula>AND(IF($Q107=3,1,0),IF($X107&lt;30,1,0))</formula>
    </cfRule>
    <cfRule type="expression" dxfId="6478" priority="2064">
      <formula>AND(IF($Q107=3,1,IF($Q107=4,1,0)),IF($F107&lt;=85,1,0))</formula>
    </cfRule>
  </conditionalFormatting>
  <conditionalFormatting sqref="X107">
    <cfRule type="expression" dxfId="6477" priority="2057">
      <formula>AND(IF(OR($Q107=1,$Q107=2),1,0),IF($X107&lt;=20,1,0))</formula>
    </cfRule>
    <cfRule type="expression" dxfId="6476" priority="2058">
      <formula>AND(IF($Q107=2,1,0),IF($X107&lt;30,1,0))</formula>
    </cfRule>
    <cfRule type="expression" dxfId="6475" priority="2059">
      <formula>AND(IF($Q107=3,1,0),IF($X107&lt;30,1,0))</formula>
    </cfRule>
    <cfRule type="expression" dxfId="6474" priority="2060">
      <formula>AND(IF($Q107=3,1,IF($Q107=4,1,0)),IF($F107&lt;=85,1,0))</formula>
    </cfRule>
  </conditionalFormatting>
  <conditionalFormatting sqref="AI107">
    <cfRule type="expression" dxfId="6473" priority="2053">
      <formula>AND(IF(OR($Q107=1,$Q107=2),1,0),IF($X107&lt;=20,1,0))</formula>
    </cfRule>
    <cfRule type="expression" dxfId="6472" priority="2054">
      <formula>AND(IF($Q107=2,1,0),IF($X107&lt;30,1,0))</formula>
    </cfRule>
    <cfRule type="expression" dxfId="6471" priority="2055">
      <formula>AND(IF($Q107=3,1,0),IF($X107&lt;30,1,0))</formula>
    </cfRule>
    <cfRule type="expression" dxfId="6470" priority="2056">
      <formula>AND(IF($Q107=3,1,IF($Q107=4,1,0)),IF($F107&lt;=85,1,0))</formula>
    </cfRule>
  </conditionalFormatting>
  <conditionalFormatting sqref="AV108">
    <cfRule type="expression" dxfId="6469" priority="2051">
      <formula>AV108="X"</formula>
    </cfRule>
    <cfRule type="expression" dxfId="6468" priority="2052">
      <formula>AV108="후보"</formula>
    </cfRule>
  </conditionalFormatting>
  <conditionalFormatting sqref="AC108">
    <cfRule type="cellIs" dxfId="6467" priority="2049" operator="greaterThan">
      <formula>0.9</formula>
    </cfRule>
    <cfRule type="cellIs" dxfId="6466" priority="2050" operator="greaterThan">
      <formula>0.85</formula>
    </cfRule>
  </conditionalFormatting>
  <conditionalFormatting sqref="N108">
    <cfRule type="cellIs" dxfId="6465" priority="2047" operator="greaterThan">
      <formula>0.9</formula>
    </cfRule>
    <cfRule type="cellIs" dxfId="6464" priority="2048" operator="greaterThan">
      <formula>0.85</formula>
    </cfRule>
  </conditionalFormatting>
  <conditionalFormatting sqref="E108">
    <cfRule type="expression" dxfId="6463" priority="2043">
      <formula>AND(IF(OR($Q108=1,$Q108=2),1,0),IF($X108&lt;=20,1,0))</formula>
    </cfRule>
    <cfRule type="expression" dxfId="6462" priority="2044">
      <formula>AND(IF($Q108=2,1,0),IF($X108&lt;30,1,0))</formula>
    </cfRule>
    <cfRule type="expression" dxfId="6461" priority="2045">
      <formula>AND(IF($Q108=3,1,0),IF($X108&lt;30,1,0))</formula>
    </cfRule>
    <cfRule type="expression" dxfId="6460" priority="2046">
      <formula>AND(IF($Q108=3,1,IF($Q108=4,1,0)),IF($F108&lt;=85,1,0))</formula>
    </cfRule>
  </conditionalFormatting>
  <conditionalFormatting sqref="X108">
    <cfRule type="expression" dxfId="6459" priority="2039">
      <formula>AND(IF(OR($Q108=1,$Q108=2),1,0),IF($X108&lt;=20,1,0))</formula>
    </cfRule>
    <cfRule type="expression" dxfId="6458" priority="2040">
      <formula>AND(IF($Q108=2,1,0),IF($X108&lt;30,1,0))</formula>
    </cfRule>
    <cfRule type="expression" dxfId="6457" priority="2041">
      <formula>AND(IF($Q108=3,1,0),IF($X108&lt;30,1,0))</formula>
    </cfRule>
    <cfRule type="expression" dxfId="6456" priority="2042">
      <formula>AND(IF($Q108=3,1,IF($Q108=4,1,0)),IF($F108&lt;=85,1,0))</formula>
    </cfRule>
  </conditionalFormatting>
  <conditionalFormatting sqref="AI108">
    <cfRule type="expression" dxfId="6455" priority="2035">
      <formula>AND(IF(OR($Q108=1,$Q108=2),1,0),IF($X108&lt;=20,1,0))</formula>
    </cfRule>
    <cfRule type="expression" dxfId="6454" priority="2036">
      <formula>AND(IF($Q108=2,1,0),IF($X108&lt;30,1,0))</formula>
    </cfRule>
    <cfRule type="expression" dxfId="6453" priority="2037">
      <formula>AND(IF($Q108=3,1,0),IF($X108&lt;30,1,0))</formula>
    </cfRule>
    <cfRule type="expression" dxfId="6452" priority="2038">
      <formula>AND(IF($Q108=3,1,IF($Q108=4,1,0)),IF($F108&lt;=85,1,0))</formula>
    </cfRule>
  </conditionalFormatting>
  <conditionalFormatting sqref="AV109">
    <cfRule type="expression" dxfId="6451" priority="2033">
      <formula>AV109="X"</formula>
    </cfRule>
    <cfRule type="expression" dxfId="6450" priority="2034">
      <formula>AV109="후보"</formula>
    </cfRule>
  </conditionalFormatting>
  <conditionalFormatting sqref="AC109">
    <cfRule type="cellIs" dxfId="6449" priority="2031" operator="greaterThan">
      <formula>0.9</formula>
    </cfRule>
    <cfRule type="cellIs" dxfId="6448" priority="2032" operator="greaterThan">
      <formula>0.85</formula>
    </cfRule>
  </conditionalFormatting>
  <conditionalFormatting sqref="N109">
    <cfRule type="cellIs" dxfId="6447" priority="2029" operator="greaterThan">
      <formula>0.9</formula>
    </cfRule>
    <cfRule type="cellIs" dxfId="6446" priority="2030" operator="greaterThan">
      <formula>0.85</formula>
    </cfRule>
  </conditionalFormatting>
  <conditionalFormatting sqref="E109">
    <cfRule type="expression" dxfId="6445" priority="2025">
      <formula>AND(IF(OR($Q109=1,$Q109=2),1,0),IF($X109&lt;=20,1,0))</formula>
    </cfRule>
    <cfRule type="expression" dxfId="6444" priority="2026">
      <formula>AND(IF($Q109=2,1,0),IF($X109&lt;30,1,0))</formula>
    </cfRule>
    <cfRule type="expression" dxfId="6443" priority="2027">
      <formula>AND(IF($Q109=3,1,0),IF($X109&lt;30,1,0))</formula>
    </cfRule>
    <cfRule type="expression" dxfId="6442" priority="2028">
      <formula>AND(IF($Q109=3,1,IF($Q109=4,1,0)),IF($F109&lt;=85,1,0))</formula>
    </cfRule>
  </conditionalFormatting>
  <conditionalFormatting sqref="X109">
    <cfRule type="expression" dxfId="6441" priority="2021">
      <formula>AND(IF(OR($Q109=1,$Q109=2),1,0),IF($X109&lt;=20,1,0))</formula>
    </cfRule>
    <cfRule type="expression" dxfId="6440" priority="2022">
      <formula>AND(IF($Q109=2,1,0),IF($X109&lt;30,1,0))</formula>
    </cfRule>
    <cfRule type="expression" dxfId="6439" priority="2023">
      <formula>AND(IF($Q109=3,1,0),IF($X109&lt;30,1,0))</formula>
    </cfRule>
    <cfRule type="expression" dxfId="6438" priority="2024">
      <formula>AND(IF($Q109=3,1,IF($Q109=4,1,0)),IF($F109&lt;=85,1,0))</formula>
    </cfRule>
  </conditionalFormatting>
  <conditionalFormatting sqref="AI109">
    <cfRule type="expression" dxfId="6437" priority="2017">
      <formula>AND(IF(OR($Q109=1,$Q109=2),1,0),IF($X109&lt;=20,1,0))</formula>
    </cfRule>
    <cfRule type="expression" dxfId="6436" priority="2018">
      <formula>AND(IF($Q109=2,1,0),IF($X109&lt;30,1,0))</formula>
    </cfRule>
    <cfRule type="expression" dxfId="6435" priority="2019">
      <formula>AND(IF($Q109=3,1,0),IF($X109&lt;30,1,0))</formula>
    </cfRule>
    <cfRule type="expression" dxfId="6434" priority="2020">
      <formula>AND(IF($Q109=3,1,IF($Q109=4,1,0)),IF($F109&lt;=85,1,0))</formula>
    </cfRule>
  </conditionalFormatting>
  <conditionalFormatting sqref="AV110">
    <cfRule type="expression" dxfId="6433" priority="2015">
      <formula>AV110="X"</formula>
    </cfRule>
    <cfRule type="expression" dxfId="6432" priority="2016">
      <formula>AV110="후보"</formula>
    </cfRule>
  </conditionalFormatting>
  <conditionalFormatting sqref="AC110">
    <cfRule type="cellIs" dxfId="6431" priority="2013" operator="greaterThan">
      <formula>0.9</formula>
    </cfRule>
    <cfRule type="cellIs" dxfId="6430" priority="2014" operator="greaterThan">
      <formula>0.85</formula>
    </cfRule>
  </conditionalFormatting>
  <conditionalFormatting sqref="N110">
    <cfRule type="cellIs" dxfId="6429" priority="2011" operator="greaterThan">
      <formula>0.9</formula>
    </cfRule>
    <cfRule type="cellIs" dxfId="6428" priority="2012" operator="greaterThan">
      <formula>0.85</formula>
    </cfRule>
  </conditionalFormatting>
  <conditionalFormatting sqref="E110">
    <cfRule type="expression" dxfId="6427" priority="2007">
      <formula>AND(IF(OR($Q110=1,$Q110=2),1,0),IF($X110&lt;=20,1,0))</formula>
    </cfRule>
    <cfRule type="expression" dxfId="6426" priority="2008">
      <formula>AND(IF($Q110=2,1,0),IF($X110&lt;30,1,0))</formula>
    </cfRule>
    <cfRule type="expression" dxfId="6425" priority="2009">
      <formula>AND(IF($Q110=3,1,0),IF($X110&lt;30,1,0))</formula>
    </cfRule>
    <cfRule type="expression" dxfId="6424" priority="2010">
      <formula>AND(IF($Q110=3,1,IF($Q110=4,1,0)),IF($F110&lt;=85,1,0))</formula>
    </cfRule>
  </conditionalFormatting>
  <conditionalFormatting sqref="X110">
    <cfRule type="expression" dxfId="6423" priority="2003">
      <formula>AND(IF(OR($Q110=1,$Q110=2),1,0),IF($X110&lt;=20,1,0))</formula>
    </cfRule>
    <cfRule type="expression" dxfId="6422" priority="2004">
      <formula>AND(IF($Q110=2,1,0),IF($X110&lt;30,1,0))</formula>
    </cfRule>
    <cfRule type="expression" dxfId="6421" priority="2005">
      <formula>AND(IF($Q110=3,1,0),IF($X110&lt;30,1,0))</formula>
    </cfRule>
    <cfRule type="expression" dxfId="6420" priority="2006">
      <formula>AND(IF($Q110=3,1,IF($Q110=4,1,0)),IF($F110&lt;=85,1,0))</formula>
    </cfRule>
  </conditionalFormatting>
  <conditionalFormatting sqref="AI110">
    <cfRule type="expression" dxfId="6419" priority="1999">
      <formula>AND(IF(OR($Q110=1,$Q110=2),1,0),IF($X110&lt;=20,1,0))</formula>
    </cfRule>
    <cfRule type="expression" dxfId="6418" priority="2000">
      <formula>AND(IF($Q110=2,1,0),IF($X110&lt;30,1,0))</formula>
    </cfRule>
    <cfRule type="expression" dxfId="6417" priority="2001">
      <formula>AND(IF($Q110=3,1,0),IF($X110&lt;30,1,0))</formula>
    </cfRule>
    <cfRule type="expression" dxfId="6416" priority="2002">
      <formula>AND(IF($Q110=3,1,IF($Q110=4,1,0)),IF($F110&lt;=85,1,0))</formula>
    </cfRule>
  </conditionalFormatting>
  <conditionalFormatting sqref="AV111">
    <cfRule type="expression" dxfId="6415" priority="1997">
      <formula>AV111="X"</formula>
    </cfRule>
    <cfRule type="expression" dxfId="6414" priority="1998">
      <formula>AV111="후보"</formula>
    </cfRule>
  </conditionalFormatting>
  <conditionalFormatting sqref="AC111">
    <cfRule type="cellIs" dxfId="6413" priority="1995" operator="greaterThan">
      <formula>0.9</formula>
    </cfRule>
    <cfRule type="cellIs" dxfId="6412" priority="1996" operator="greaterThan">
      <formula>0.85</formula>
    </cfRule>
  </conditionalFormatting>
  <conditionalFormatting sqref="N111">
    <cfRule type="cellIs" dxfId="6411" priority="1993" operator="greaterThan">
      <formula>0.9</formula>
    </cfRule>
    <cfRule type="cellIs" dxfId="6410" priority="1994" operator="greaterThan">
      <formula>0.85</formula>
    </cfRule>
  </conditionalFormatting>
  <conditionalFormatting sqref="E111">
    <cfRule type="expression" dxfId="6409" priority="1989">
      <formula>AND(IF(OR($Q111=1,$Q111=2),1,0),IF($X111&lt;=20,1,0))</formula>
    </cfRule>
    <cfRule type="expression" dxfId="6408" priority="1990">
      <formula>AND(IF($Q111=2,1,0),IF($X111&lt;30,1,0))</formula>
    </cfRule>
    <cfRule type="expression" dxfId="6407" priority="1991">
      <formula>AND(IF($Q111=3,1,0),IF($X111&lt;30,1,0))</formula>
    </cfRule>
    <cfRule type="expression" dxfId="6406" priority="1992">
      <formula>AND(IF($Q111=3,1,IF($Q111=4,1,0)),IF($F111&lt;=85,1,0))</formula>
    </cfRule>
  </conditionalFormatting>
  <conditionalFormatting sqref="X111">
    <cfRule type="expression" dxfId="6405" priority="1985">
      <formula>AND(IF(OR($Q111=1,$Q111=2),1,0),IF($X111&lt;=20,1,0))</formula>
    </cfRule>
    <cfRule type="expression" dxfId="6404" priority="1986">
      <formula>AND(IF($Q111=2,1,0),IF($X111&lt;30,1,0))</formula>
    </cfRule>
    <cfRule type="expression" dxfId="6403" priority="1987">
      <formula>AND(IF($Q111=3,1,0),IF($X111&lt;30,1,0))</formula>
    </cfRule>
    <cfRule type="expression" dxfId="6402" priority="1988">
      <formula>AND(IF($Q111=3,1,IF($Q111=4,1,0)),IF($F111&lt;=85,1,0))</formula>
    </cfRule>
  </conditionalFormatting>
  <conditionalFormatting sqref="AI111">
    <cfRule type="expression" dxfId="6401" priority="1981">
      <formula>AND(IF(OR($Q111=1,$Q111=2),1,0),IF($X111&lt;=20,1,0))</formula>
    </cfRule>
    <cfRule type="expression" dxfId="6400" priority="1982">
      <formula>AND(IF($Q111=2,1,0),IF($X111&lt;30,1,0))</formula>
    </cfRule>
    <cfRule type="expression" dxfId="6399" priority="1983">
      <formula>AND(IF($Q111=3,1,0),IF($X111&lt;30,1,0))</formula>
    </cfRule>
    <cfRule type="expression" dxfId="6398" priority="1984">
      <formula>AND(IF($Q111=3,1,IF($Q111=4,1,0)),IF($F111&lt;=85,1,0))</formula>
    </cfRule>
  </conditionalFormatting>
  <conditionalFormatting sqref="AV112">
    <cfRule type="expression" dxfId="6397" priority="1979">
      <formula>AV112="X"</formula>
    </cfRule>
    <cfRule type="expression" dxfId="6396" priority="1980">
      <formula>AV112="후보"</formula>
    </cfRule>
  </conditionalFormatting>
  <conditionalFormatting sqref="AC112">
    <cfRule type="cellIs" dxfId="6395" priority="1977" operator="greaterThan">
      <formula>0.9</formula>
    </cfRule>
    <cfRule type="cellIs" dxfId="6394" priority="1978" operator="greaterThan">
      <formula>0.85</formula>
    </cfRule>
  </conditionalFormatting>
  <conditionalFormatting sqref="N112">
    <cfRule type="cellIs" dxfId="6393" priority="1975" operator="greaterThan">
      <formula>0.9</formula>
    </cfRule>
    <cfRule type="cellIs" dxfId="6392" priority="1976" operator="greaterThan">
      <formula>0.85</formula>
    </cfRule>
  </conditionalFormatting>
  <conditionalFormatting sqref="E112">
    <cfRule type="expression" dxfId="6391" priority="1971">
      <formula>AND(IF(OR($Q112=1,$Q112=2),1,0),IF($X112&lt;=20,1,0))</formula>
    </cfRule>
    <cfRule type="expression" dxfId="6390" priority="1972">
      <formula>AND(IF($Q112=2,1,0),IF($X112&lt;30,1,0))</formula>
    </cfRule>
    <cfRule type="expression" dxfId="6389" priority="1973">
      <formula>AND(IF($Q112=3,1,0),IF($X112&lt;30,1,0))</formula>
    </cfRule>
    <cfRule type="expression" dxfId="6388" priority="1974">
      <formula>AND(IF($Q112=3,1,IF($Q112=4,1,0)),IF($F112&lt;=85,1,0))</formula>
    </cfRule>
  </conditionalFormatting>
  <conditionalFormatting sqref="X112">
    <cfRule type="expression" dxfId="6387" priority="1967">
      <formula>AND(IF(OR($Q112=1,$Q112=2),1,0),IF($X112&lt;=20,1,0))</formula>
    </cfRule>
    <cfRule type="expression" dxfId="6386" priority="1968">
      <formula>AND(IF($Q112=2,1,0),IF($X112&lt;30,1,0))</formula>
    </cfRule>
    <cfRule type="expression" dxfId="6385" priority="1969">
      <formula>AND(IF($Q112=3,1,0),IF($X112&lt;30,1,0))</formula>
    </cfRule>
    <cfRule type="expression" dxfId="6384" priority="1970">
      <formula>AND(IF($Q112=3,1,IF($Q112=4,1,0)),IF($F112&lt;=85,1,0))</formula>
    </cfRule>
  </conditionalFormatting>
  <conditionalFormatting sqref="AI112">
    <cfRule type="expression" dxfId="6383" priority="1963">
      <formula>AND(IF(OR($Q112=1,$Q112=2),1,0),IF($X112&lt;=20,1,0))</formula>
    </cfRule>
    <cfRule type="expression" dxfId="6382" priority="1964">
      <formula>AND(IF($Q112=2,1,0),IF($X112&lt;30,1,0))</formula>
    </cfRule>
    <cfRule type="expression" dxfId="6381" priority="1965">
      <formula>AND(IF($Q112=3,1,0),IF($X112&lt;30,1,0))</formula>
    </cfRule>
    <cfRule type="expression" dxfId="6380" priority="1966">
      <formula>AND(IF($Q112=3,1,IF($Q112=4,1,0)),IF($F112&lt;=85,1,0))</formula>
    </cfRule>
  </conditionalFormatting>
  <conditionalFormatting sqref="AV113">
    <cfRule type="expression" dxfId="6379" priority="1961">
      <formula>AV113="X"</formula>
    </cfRule>
    <cfRule type="expression" dxfId="6378" priority="1962">
      <formula>AV113="후보"</formula>
    </cfRule>
  </conditionalFormatting>
  <conditionalFormatting sqref="AC113">
    <cfRule type="cellIs" dxfId="6377" priority="1959" operator="greaterThan">
      <formula>0.9</formula>
    </cfRule>
    <cfRule type="cellIs" dxfId="6376" priority="1960" operator="greaterThan">
      <formula>0.85</formula>
    </cfRule>
  </conditionalFormatting>
  <conditionalFormatting sqref="N113">
    <cfRule type="cellIs" dxfId="6375" priority="1957" operator="greaterThan">
      <formula>0.9</formula>
    </cfRule>
    <cfRule type="cellIs" dxfId="6374" priority="1958" operator="greaterThan">
      <formula>0.85</formula>
    </cfRule>
  </conditionalFormatting>
  <conditionalFormatting sqref="E113">
    <cfRule type="expression" dxfId="6373" priority="1953">
      <formula>AND(IF(OR($Q113=1,$Q113=2),1,0),IF($X113&lt;=20,1,0))</formula>
    </cfRule>
    <cfRule type="expression" dxfId="6372" priority="1954">
      <formula>AND(IF($Q113=2,1,0),IF($X113&lt;30,1,0))</formula>
    </cfRule>
    <cfRule type="expression" dxfId="6371" priority="1955">
      <formula>AND(IF($Q113=3,1,0),IF($X113&lt;30,1,0))</formula>
    </cfRule>
    <cfRule type="expression" dxfId="6370" priority="1956">
      <formula>AND(IF($Q113=3,1,IF($Q113=4,1,0)),IF($F113&lt;=85,1,0))</formula>
    </cfRule>
  </conditionalFormatting>
  <conditionalFormatting sqref="X113">
    <cfRule type="expression" dxfId="6369" priority="1949">
      <formula>AND(IF(OR($Q113=1,$Q113=2),1,0),IF($X113&lt;=20,1,0))</formula>
    </cfRule>
    <cfRule type="expression" dxfId="6368" priority="1950">
      <formula>AND(IF($Q113=2,1,0),IF($X113&lt;30,1,0))</formula>
    </cfRule>
    <cfRule type="expression" dxfId="6367" priority="1951">
      <formula>AND(IF($Q113=3,1,0),IF($X113&lt;30,1,0))</formula>
    </cfRule>
    <cfRule type="expression" dxfId="6366" priority="1952">
      <formula>AND(IF($Q113=3,1,IF($Q113=4,1,0)),IF($F113&lt;=85,1,0))</formula>
    </cfRule>
  </conditionalFormatting>
  <conditionalFormatting sqref="AI113">
    <cfRule type="expression" dxfId="6365" priority="1945">
      <formula>AND(IF(OR($Q113=1,$Q113=2),1,0),IF($X113&lt;=20,1,0))</formula>
    </cfRule>
    <cfRule type="expression" dxfId="6364" priority="1946">
      <formula>AND(IF($Q113=2,1,0),IF($X113&lt;30,1,0))</formula>
    </cfRule>
    <cfRule type="expression" dxfId="6363" priority="1947">
      <formula>AND(IF($Q113=3,1,0),IF($X113&lt;30,1,0))</formula>
    </cfRule>
    <cfRule type="expression" dxfId="6362" priority="1948">
      <formula>AND(IF($Q113=3,1,IF($Q113=4,1,0)),IF($F113&lt;=85,1,0))</formula>
    </cfRule>
  </conditionalFormatting>
  <conditionalFormatting sqref="AV114">
    <cfRule type="expression" dxfId="6361" priority="1943">
      <formula>AV114="X"</formula>
    </cfRule>
    <cfRule type="expression" dxfId="6360" priority="1944">
      <formula>AV114="후보"</formula>
    </cfRule>
  </conditionalFormatting>
  <conditionalFormatting sqref="AC114">
    <cfRule type="cellIs" dxfId="6359" priority="1941" operator="greaterThan">
      <formula>0.9</formula>
    </cfRule>
    <cfRule type="cellIs" dxfId="6358" priority="1942" operator="greaterThan">
      <formula>0.85</formula>
    </cfRule>
  </conditionalFormatting>
  <conditionalFormatting sqref="N114">
    <cfRule type="cellIs" dxfId="6357" priority="1939" operator="greaterThan">
      <formula>0.9</formula>
    </cfRule>
    <cfRule type="cellIs" dxfId="6356" priority="1940" operator="greaterThan">
      <formula>0.85</formula>
    </cfRule>
  </conditionalFormatting>
  <conditionalFormatting sqref="E114">
    <cfRule type="expression" dxfId="6355" priority="1935">
      <formula>AND(IF(OR($Q114=1,$Q114=2),1,0),IF($X114&lt;=20,1,0))</formula>
    </cfRule>
    <cfRule type="expression" dxfId="6354" priority="1936">
      <formula>AND(IF($Q114=2,1,0),IF($X114&lt;30,1,0))</formula>
    </cfRule>
    <cfRule type="expression" dxfId="6353" priority="1937">
      <formula>AND(IF($Q114=3,1,0),IF($X114&lt;30,1,0))</formula>
    </cfRule>
    <cfRule type="expression" dxfId="6352" priority="1938">
      <formula>AND(IF($Q114=3,1,IF($Q114=4,1,0)),IF($F114&lt;=85,1,0))</formula>
    </cfRule>
  </conditionalFormatting>
  <conditionalFormatting sqref="X114">
    <cfRule type="expression" dxfId="6351" priority="1931">
      <formula>AND(IF(OR($Q114=1,$Q114=2),1,0),IF($X114&lt;=20,1,0))</formula>
    </cfRule>
    <cfRule type="expression" dxfId="6350" priority="1932">
      <formula>AND(IF($Q114=2,1,0),IF($X114&lt;30,1,0))</formula>
    </cfRule>
    <cfRule type="expression" dxfId="6349" priority="1933">
      <formula>AND(IF($Q114=3,1,0),IF($X114&lt;30,1,0))</formula>
    </cfRule>
    <cfRule type="expression" dxfId="6348" priority="1934">
      <formula>AND(IF($Q114=3,1,IF($Q114=4,1,0)),IF($F114&lt;=85,1,0))</formula>
    </cfRule>
  </conditionalFormatting>
  <conditionalFormatting sqref="AI114">
    <cfRule type="expression" dxfId="6347" priority="1927">
      <formula>AND(IF(OR($Q114=1,$Q114=2),1,0),IF($X114&lt;=20,1,0))</formula>
    </cfRule>
    <cfRule type="expression" dxfId="6346" priority="1928">
      <formula>AND(IF($Q114=2,1,0),IF($X114&lt;30,1,0))</formula>
    </cfRule>
    <cfRule type="expression" dxfId="6345" priority="1929">
      <formula>AND(IF($Q114=3,1,0),IF($X114&lt;30,1,0))</formula>
    </cfRule>
    <cfRule type="expression" dxfId="6344" priority="1930">
      <formula>AND(IF($Q114=3,1,IF($Q114=4,1,0)),IF($F114&lt;=85,1,0))</formula>
    </cfRule>
  </conditionalFormatting>
  <conditionalFormatting sqref="AV115">
    <cfRule type="expression" dxfId="6343" priority="1925">
      <formula>AV115="X"</formula>
    </cfRule>
    <cfRule type="expression" dxfId="6342" priority="1926">
      <formula>AV115="후보"</formula>
    </cfRule>
  </conditionalFormatting>
  <conditionalFormatting sqref="AC115">
    <cfRule type="cellIs" dxfId="6341" priority="1923" operator="greaterThan">
      <formula>0.9</formula>
    </cfRule>
    <cfRule type="cellIs" dxfId="6340" priority="1924" operator="greaterThan">
      <formula>0.85</formula>
    </cfRule>
  </conditionalFormatting>
  <conditionalFormatting sqref="N115">
    <cfRule type="cellIs" dxfId="6339" priority="1921" operator="greaterThan">
      <formula>0.9</formula>
    </cfRule>
    <cfRule type="cellIs" dxfId="6338" priority="1922" operator="greaterThan">
      <formula>0.85</formula>
    </cfRule>
  </conditionalFormatting>
  <conditionalFormatting sqref="E115">
    <cfRule type="expression" dxfId="6337" priority="1917">
      <formula>AND(IF(OR($Q115=1,$Q115=2),1,0),IF($X115&lt;=20,1,0))</formula>
    </cfRule>
    <cfRule type="expression" dxfId="6336" priority="1918">
      <formula>AND(IF($Q115=2,1,0),IF($X115&lt;30,1,0))</formula>
    </cfRule>
    <cfRule type="expression" dxfId="6335" priority="1919">
      <formula>AND(IF($Q115=3,1,0),IF($X115&lt;30,1,0))</formula>
    </cfRule>
    <cfRule type="expression" dxfId="6334" priority="1920">
      <formula>AND(IF($Q115=3,1,IF($Q115=4,1,0)),IF($F115&lt;=85,1,0))</formula>
    </cfRule>
  </conditionalFormatting>
  <conditionalFormatting sqref="X115">
    <cfRule type="expression" dxfId="6333" priority="1913">
      <formula>AND(IF(OR($Q115=1,$Q115=2),1,0),IF($X115&lt;=20,1,0))</formula>
    </cfRule>
    <cfRule type="expression" dxfId="6332" priority="1914">
      <formula>AND(IF($Q115=2,1,0),IF($X115&lt;30,1,0))</formula>
    </cfRule>
    <cfRule type="expression" dxfId="6331" priority="1915">
      <formula>AND(IF($Q115=3,1,0),IF($X115&lt;30,1,0))</formula>
    </cfRule>
    <cfRule type="expression" dxfId="6330" priority="1916">
      <formula>AND(IF($Q115=3,1,IF($Q115=4,1,0)),IF($F115&lt;=85,1,0))</formula>
    </cfRule>
  </conditionalFormatting>
  <conditionalFormatting sqref="AI115">
    <cfRule type="expression" dxfId="6329" priority="1909">
      <formula>AND(IF(OR($Q115=1,$Q115=2),1,0),IF($X115&lt;=20,1,0))</formula>
    </cfRule>
    <cfRule type="expression" dxfId="6328" priority="1910">
      <formula>AND(IF($Q115=2,1,0),IF($X115&lt;30,1,0))</formula>
    </cfRule>
    <cfRule type="expression" dxfId="6327" priority="1911">
      <formula>AND(IF($Q115=3,1,0),IF($X115&lt;30,1,0))</formula>
    </cfRule>
    <cfRule type="expression" dxfId="6326" priority="1912">
      <formula>AND(IF($Q115=3,1,IF($Q115=4,1,0)),IF($F115&lt;=85,1,0))</formula>
    </cfRule>
  </conditionalFormatting>
  <conditionalFormatting sqref="AV116">
    <cfRule type="expression" dxfId="6325" priority="1907">
      <formula>AV116="X"</formula>
    </cfRule>
    <cfRule type="expression" dxfId="6324" priority="1908">
      <formula>AV116="후보"</formula>
    </cfRule>
  </conditionalFormatting>
  <conditionalFormatting sqref="AC116">
    <cfRule type="cellIs" dxfId="6323" priority="1905" operator="greaterThan">
      <formula>0.9</formula>
    </cfRule>
    <cfRule type="cellIs" dxfId="6322" priority="1906" operator="greaterThan">
      <formula>0.85</formula>
    </cfRule>
  </conditionalFormatting>
  <conditionalFormatting sqref="N116">
    <cfRule type="cellIs" dxfId="6321" priority="1903" operator="greaterThan">
      <formula>0.9</formula>
    </cfRule>
    <cfRule type="cellIs" dxfId="6320" priority="1904" operator="greaterThan">
      <formula>0.85</formula>
    </cfRule>
  </conditionalFormatting>
  <conditionalFormatting sqref="E116">
    <cfRule type="expression" dxfId="6319" priority="1899">
      <formula>AND(IF(OR($Q116=1,$Q116=2),1,0),IF($X116&lt;=20,1,0))</formula>
    </cfRule>
    <cfRule type="expression" dxfId="6318" priority="1900">
      <formula>AND(IF($Q116=2,1,0),IF($X116&lt;30,1,0))</formula>
    </cfRule>
    <cfRule type="expression" dxfId="6317" priority="1901">
      <formula>AND(IF($Q116=3,1,0),IF($X116&lt;30,1,0))</formula>
    </cfRule>
    <cfRule type="expression" dxfId="6316" priority="1902">
      <formula>AND(IF($Q116=3,1,IF($Q116=4,1,0)),IF($F116&lt;=85,1,0))</formula>
    </cfRule>
  </conditionalFormatting>
  <conditionalFormatting sqref="X116">
    <cfRule type="expression" dxfId="6315" priority="1895">
      <formula>AND(IF(OR($Q116=1,$Q116=2),1,0),IF($X116&lt;=20,1,0))</formula>
    </cfRule>
    <cfRule type="expression" dxfId="6314" priority="1896">
      <formula>AND(IF($Q116=2,1,0),IF($X116&lt;30,1,0))</formula>
    </cfRule>
    <cfRule type="expression" dxfId="6313" priority="1897">
      <formula>AND(IF($Q116=3,1,0),IF($X116&lt;30,1,0))</formula>
    </cfRule>
    <cfRule type="expression" dxfId="6312" priority="1898">
      <formula>AND(IF($Q116=3,1,IF($Q116=4,1,0)),IF($F116&lt;=85,1,0))</formula>
    </cfRule>
  </conditionalFormatting>
  <conditionalFormatting sqref="AI116">
    <cfRule type="expression" dxfId="6311" priority="1891">
      <formula>AND(IF(OR($Q116=1,$Q116=2),1,0),IF($X116&lt;=20,1,0))</formula>
    </cfRule>
    <cfRule type="expression" dxfId="6310" priority="1892">
      <formula>AND(IF($Q116=2,1,0),IF($X116&lt;30,1,0))</formula>
    </cfRule>
    <cfRule type="expression" dxfId="6309" priority="1893">
      <formula>AND(IF($Q116=3,1,0),IF($X116&lt;30,1,0))</formula>
    </cfRule>
    <cfRule type="expression" dxfId="6308" priority="1894">
      <formula>AND(IF($Q116=3,1,IF($Q116=4,1,0)),IF($F116&lt;=85,1,0))</formula>
    </cfRule>
  </conditionalFormatting>
  <conditionalFormatting sqref="AV117">
    <cfRule type="expression" dxfId="6307" priority="1889">
      <formula>AV117="X"</formula>
    </cfRule>
    <cfRule type="expression" dxfId="6306" priority="1890">
      <formula>AV117="후보"</formula>
    </cfRule>
  </conditionalFormatting>
  <conditionalFormatting sqref="AC117">
    <cfRule type="cellIs" dxfId="6305" priority="1887" operator="greaterThan">
      <formula>0.9</formula>
    </cfRule>
    <cfRule type="cellIs" dxfId="6304" priority="1888" operator="greaterThan">
      <formula>0.85</formula>
    </cfRule>
  </conditionalFormatting>
  <conditionalFormatting sqref="N117">
    <cfRule type="cellIs" dxfId="6303" priority="1885" operator="greaterThan">
      <formula>0.9</formula>
    </cfRule>
    <cfRule type="cellIs" dxfId="6302" priority="1886" operator="greaterThan">
      <formula>0.85</formula>
    </cfRule>
  </conditionalFormatting>
  <conditionalFormatting sqref="E117">
    <cfRule type="expression" dxfId="6301" priority="1881">
      <formula>AND(IF(OR($Q117=1,$Q117=2),1,0),IF($X117&lt;=20,1,0))</formula>
    </cfRule>
    <cfRule type="expression" dxfId="6300" priority="1882">
      <formula>AND(IF($Q117=2,1,0),IF($X117&lt;30,1,0))</formula>
    </cfRule>
    <cfRule type="expression" dxfId="6299" priority="1883">
      <formula>AND(IF($Q117=3,1,0),IF($X117&lt;30,1,0))</formula>
    </cfRule>
    <cfRule type="expression" dxfId="6298" priority="1884">
      <formula>AND(IF($Q117=3,1,IF($Q117=4,1,0)),IF($F117&lt;=85,1,0))</formula>
    </cfRule>
  </conditionalFormatting>
  <conditionalFormatting sqref="X117">
    <cfRule type="expression" dxfId="6297" priority="1877">
      <formula>AND(IF(OR($Q117=1,$Q117=2),1,0),IF($X117&lt;=20,1,0))</formula>
    </cfRule>
    <cfRule type="expression" dxfId="6296" priority="1878">
      <formula>AND(IF($Q117=2,1,0),IF($X117&lt;30,1,0))</formula>
    </cfRule>
    <cfRule type="expression" dxfId="6295" priority="1879">
      <formula>AND(IF($Q117=3,1,0),IF($X117&lt;30,1,0))</formula>
    </cfRule>
    <cfRule type="expression" dxfId="6294" priority="1880">
      <formula>AND(IF($Q117=3,1,IF($Q117=4,1,0)),IF($F117&lt;=85,1,0))</formula>
    </cfRule>
  </conditionalFormatting>
  <conditionalFormatting sqref="AI117">
    <cfRule type="expression" dxfId="6293" priority="1873">
      <formula>AND(IF(OR($Q117=1,$Q117=2),1,0),IF($X117&lt;=20,1,0))</formula>
    </cfRule>
    <cfRule type="expression" dxfId="6292" priority="1874">
      <formula>AND(IF($Q117=2,1,0),IF($X117&lt;30,1,0))</formula>
    </cfRule>
    <cfRule type="expression" dxfId="6291" priority="1875">
      <formula>AND(IF($Q117=3,1,0),IF($X117&lt;30,1,0))</formula>
    </cfRule>
    <cfRule type="expression" dxfId="6290" priority="1876">
      <formula>AND(IF($Q117=3,1,IF($Q117=4,1,0)),IF($F117&lt;=85,1,0))</formula>
    </cfRule>
  </conditionalFormatting>
  <conditionalFormatting sqref="AV118">
    <cfRule type="expression" dxfId="6289" priority="1871">
      <formula>AV118="X"</formula>
    </cfRule>
    <cfRule type="expression" dxfId="6288" priority="1872">
      <formula>AV118="후보"</formula>
    </cfRule>
  </conditionalFormatting>
  <conditionalFormatting sqref="AC118">
    <cfRule type="cellIs" dxfId="6287" priority="1869" operator="greaterThan">
      <formula>0.9</formula>
    </cfRule>
    <cfRule type="cellIs" dxfId="6286" priority="1870" operator="greaterThan">
      <formula>0.85</formula>
    </cfRule>
  </conditionalFormatting>
  <conditionalFormatting sqref="N118">
    <cfRule type="cellIs" dxfId="6285" priority="1867" operator="greaterThan">
      <formula>0.9</formula>
    </cfRule>
    <cfRule type="cellIs" dxfId="6284" priority="1868" operator="greaterThan">
      <formula>0.85</formula>
    </cfRule>
  </conditionalFormatting>
  <conditionalFormatting sqref="E118">
    <cfRule type="expression" dxfId="6283" priority="1863">
      <formula>AND(IF(OR($Q118=1,$Q118=2),1,0),IF($X118&lt;=20,1,0))</formula>
    </cfRule>
    <cfRule type="expression" dxfId="6282" priority="1864">
      <formula>AND(IF($Q118=2,1,0),IF($X118&lt;30,1,0))</formula>
    </cfRule>
    <cfRule type="expression" dxfId="6281" priority="1865">
      <formula>AND(IF($Q118=3,1,0),IF($X118&lt;30,1,0))</formula>
    </cfRule>
    <cfRule type="expression" dxfId="6280" priority="1866">
      <formula>AND(IF($Q118=3,1,IF($Q118=4,1,0)),IF($F118&lt;=85,1,0))</formula>
    </cfRule>
  </conditionalFormatting>
  <conditionalFormatting sqref="X118">
    <cfRule type="expression" dxfId="6279" priority="1859">
      <formula>AND(IF(OR($Q118=1,$Q118=2),1,0),IF($X118&lt;=20,1,0))</formula>
    </cfRule>
    <cfRule type="expression" dxfId="6278" priority="1860">
      <formula>AND(IF($Q118=2,1,0),IF($X118&lt;30,1,0))</formula>
    </cfRule>
    <cfRule type="expression" dxfId="6277" priority="1861">
      <formula>AND(IF($Q118=3,1,0),IF($X118&lt;30,1,0))</formula>
    </cfRule>
    <cfRule type="expression" dxfId="6276" priority="1862">
      <formula>AND(IF($Q118=3,1,IF($Q118=4,1,0)),IF($F118&lt;=85,1,0))</formula>
    </cfRule>
  </conditionalFormatting>
  <conditionalFormatting sqref="AI118">
    <cfRule type="expression" dxfId="6275" priority="1855">
      <formula>AND(IF(OR($Q118=1,$Q118=2),1,0),IF($X118&lt;=20,1,0))</formula>
    </cfRule>
    <cfRule type="expression" dxfId="6274" priority="1856">
      <formula>AND(IF($Q118=2,1,0),IF($X118&lt;30,1,0))</formula>
    </cfRule>
    <cfRule type="expression" dxfId="6273" priority="1857">
      <formula>AND(IF($Q118=3,1,0),IF($X118&lt;30,1,0))</formula>
    </cfRule>
    <cfRule type="expression" dxfId="6272" priority="1858">
      <formula>AND(IF($Q118=3,1,IF($Q118=4,1,0)),IF($F118&lt;=85,1,0))</formula>
    </cfRule>
  </conditionalFormatting>
  <conditionalFormatting sqref="AV119">
    <cfRule type="expression" dxfId="6271" priority="1853">
      <formula>AV119="X"</formula>
    </cfRule>
    <cfRule type="expression" dxfId="6270" priority="1854">
      <formula>AV119="후보"</formula>
    </cfRule>
  </conditionalFormatting>
  <conditionalFormatting sqref="AC119">
    <cfRule type="cellIs" dxfId="6269" priority="1851" operator="greaterThan">
      <formula>0.9</formula>
    </cfRule>
    <cfRule type="cellIs" dxfId="6268" priority="1852" operator="greaterThan">
      <formula>0.85</formula>
    </cfRule>
  </conditionalFormatting>
  <conditionalFormatting sqref="N119">
    <cfRule type="cellIs" dxfId="6267" priority="1849" operator="greaterThan">
      <formula>0.9</formula>
    </cfRule>
    <cfRule type="cellIs" dxfId="6266" priority="1850" operator="greaterThan">
      <formula>0.85</formula>
    </cfRule>
  </conditionalFormatting>
  <conditionalFormatting sqref="E119">
    <cfRule type="expression" dxfId="6265" priority="1845">
      <formula>AND(IF(OR($Q119=1,$Q119=2),1,0),IF($X119&lt;=20,1,0))</formula>
    </cfRule>
    <cfRule type="expression" dxfId="6264" priority="1846">
      <formula>AND(IF($Q119=2,1,0),IF($X119&lt;30,1,0))</formula>
    </cfRule>
    <cfRule type="expression" dxfId="6263" priority="1847">
      <formula>AND(IF($Q119=3,1,0),IF($X119&lt;30,1,0))</formula>
    </cfRule>
    <cfRule type="expression" dxfId="6262" priority="1848">
      <formula>AND(IF($Q119=3,1,IF($Q119=4,1,0)),IF($F119&lt;=85,1,0))</formula>
    </cfRule>
  </conditionalFormatting>
  <conditionalFormatting sqref="X119">
    <cfRule type="expression" dxfId="6261" priority="1841">
      <formula>AND(IF(OR($Q119=1,$Q119=2),1,0),IF($X119&lt;=20,1,0))</formula>
    </cfRule>
    <cfRule type="expression" dxfId="6260" priority="1842">
      <formula>AND(IF($Q119=2,1,0),IF($X119&lt;30,1,0))</formula>
    </cfRule>
    <cfRule type="expression" dxfId="6259" priority="1843">
      <formula>AND(IF($Q119=3,1,0),IF($X119&lt;30,1,0))</formula>
    </cfRule>
    <cfRule type="expression" dxfId="6258" priority="1844">
      <formula>AND(IF($Q119=3,1,IF($Q119=4,1,0)),IF($F119&lt;=85,1,0))</formula>
    </cfRule>
  </conditionalFormatting>
  <conditionalFormatting sqref="AI119">
    <cfRule type="expression" dxfId="6257" priority="1837">
      <formula>AND(IF(OR($Q119=1,$Q119=2),1,0),IF($X119&lt;=20,1,0))</formula>
    </cfRule>
    <cfRule type="expression" dxfId="6256" priority="1838">
      <formula>AND(IF($Q119=2,1,0),IF($X119&lt;30,1,0))</formula>
    </cfRule>
    <cfRule type="expression" dxfId="6255" priority="1839">
      <formula>AND(IF($Q119=3,1,0),IF($X119&lt;30,1,0))</formula>
    </cfRule>
    <cfRule type="expression" dxfId="6254" priority="1840">
      <formula>AND(IF($Q119=3,1,IF($Q119=4,1,0)),IF($F119&lt;=85,1,0))</formula>
    </cfRule>
  </conditionalFormatting>
  <conditionalFormatting sqref="AV120">
    <cfRule type="expression" dxfId="6253" priority="1835">
      <formula>AV120="X"</formula>
    </cfRule>
    <cfRule type="expression" dxfId="6252" priority="1836">
      <formula>AV120="후보"</formula>
    </cfRule>
  </conditionalFormatting>
  <conditionalFormatting sqref="AC120">
    <cfRule type="cellIs" dxfId="6251" priority="1833" operator="greaterThan">
      <formula>0.9</formula>
    </cfRule>
    <cfRule type="cellIs" dxfId="6250" priority="1834" operator="greaterThan">
      <formula>0.85</formula>
    </cfRule>
  </conditionalFormatting>
  <conditionalFormatting sqref="N120">
    <cfRule type="cellIs" dxfId="6249" priority="1831" operator="greaterThan">
      <formula>0.9</formula>
    </cfRule>
    <cfRule type="cellIs" dxfId="6248" priority="1832" operator="greaterThan">
      <formula>0.85</formula>
    </cfRule>
  </conditionalFormatting>
  <conditionalFormatting sqref="E120">
    <cfRule type="expression" dxfId="6247" priority="1827">
      <formula>AND(IF(OR($Q120=1,$Q120=2),1,0),IF($X120&lt;=20,1,0))</formula>
    </cfRule>
    <cfRule type="expression" dxfId="6246" priority="1828">
      <formula>AND(IF($Q120=2,1,0),IF($X120&lt;30,1,0))</formula>
    </cfRule>
    <cfRule type="expression" dxfId="6245" priority="1829">
      <formula>AND(IF($Q120=3,1,0),IF($X120&lt;30,1,0))</formula>
    </cfRule>
    <cfRule type="expression" dxfId="6244" priority="1830">
      <formula>AND(IF($Q120=3,1,IF($Q120=4,1,0)),IF($F120&lt;=85,1,0))</formula>
    </cfRule>
  </conditionalFormatting>
  <conditionalFormatting sqref="X120">
    <cfRule type="expression" dxfId="6243" priority="1823">
      <formula>AND(IF(OR($Q120=1,$Q120=2),1,0),IF($X120&lt;=20,1,0))</formula>
    </cfRule>
    <cfRule type="expression" dxfId="6242" priority="1824">
      <formula>AND(IF($Q120=2,1,0),IF($X120&lt;30,1,0))</formula>
    </cfRule>
    <cfRule type="expression" dxfId="6241" priority="1825">
      <formula>AND(IF($Q120=3,1,0),IF($X120&lt;30,1,0))</formula>
    </cfRule>
    <cfRule type="expression" dxfId="6240" priority="1826">
      <formula>AND(IF($Q120=3,1,IF($Q120=4,1,0)),IF($F120&lt;=85,1,0))</formula>
    </cfRule>
  </conditionalFormatting>
  <conditionalFormatting sqref="AI120">
    <cfRule type="expression" dxfId="6239" priority="1819">
      <formula>AND(IF(OR($Q120=1,$Q120=2),1,0),IF($X120&lt;=20,1,0))</formula>
    </cfRule>
    <cfRule type="expression" dxfId="6238" priority="1820">
      <formula>AND(IF($Q120=2,1,0),IF($X120&lt;30,1,0))</formula>
    </cfRule>
    <cfRule type="expression" dxfId="6237" priority="1821">
      <formula>AND(IF($Q120=3,1,0),IF($X120&lt;30,1,0))</formula>
    </cfRule>
    <cfRule type="expression" dxfId="6236" priority="1822">
      <formula>AND(IF($Q120=3,1,IF($Q120=4,1,0)),IF($F120&lt;=85,1,0))</formula>
    </cfRule>
  </conditionalFormatting>
  <conditionalFormatting sqref="AV121">
    <cfRule type="expression" dxfId="6235" priority="1817">
      <formula>AV121="X"</formula>
    </cfRule>
    <cfRule type="expression" dxfId="6234" priority="1818">
      <formula>AV121="후보"</formula>
    </cfRule>
  </conditionalFormatting>
  <conditionalFormatting sqref="AC121">
    <cfRule type="cellIs" dxfId="6233" priority="1815" operator="greaterThan">
      <formula>0.9</formula>
    </cfRule>
    <cfRule type="cellIs" dxfId="6232" priority="1816" operator="greaterThan">
      <formula>0.85</formula>
    </cfRule>
  </conditionalFormatting>
  <conditionalFormatting sqref="N121">
    <cfRule type="cellIs" dxfId="6231" priority="1813" operator="greaterThan">
      <formula>0.9</formula>
    </cfRule>
    <cfRule type="cellIs" dxfId="6230" priority="1814" operator="greaterThan">
      <formula>0.85</formula>
    </cfRule>
  </conditionalFormatting>
  <conditionalFormatting sqref="E121">
    <cfRule type="expression" dxfId="6229" priority="1809">
      <formula>AND(IF(OR($Q121=1,$Q121=2),1,0),IF($X121&lt;=20,1,0))</formula>
    </cfRule>
    <cfRule type="expression" dxfId="6228" priority="1810">
      <formula>AND(IF($Q121=2,1,0),IF($X121&lt;30,1,0))</formula>
    </cfRule>
    <cfRule type="expression" dxfId="6227" priority="1811">
      <formula>AND(IF($Q121=3,1,0),IF($X121&lt;30,1,0))</formula>
    </cfRule>
    <cfRule type="expression" dxfId="6226" priority="1812">
      <formula>AND(IF($Q121=3,1,IF($Q121=4,1,0)),IF($F121&lt;=85,1,0))</formula>
    </cfRule>
  </conditionalFormatting>
  <conditionalFormatting sqref="X121">
    <cfRule type="expression" dxfId="6225" priority="1805">
      <formula>AND(IF(OR($Q121=1,$Q121=2),1,0),IF($X121&lt;=20,1,0))</formula>
    </cfRule>
    <cfRule type="expression" dxfId="6224" priority="1806">
      <formula>AND(IF($Q121=2,1,0),IF($X121&lt;30,1,0))</formula>
    </cfRule>
    <cfRule type="expression" dxfId="6223" priority="1807">
      <formula>AND(IF($Q121=3,1,0),IF($X121&lt;30,1,0))</formula>
    </cfRule>
    <cfRule type="expression" dxfId="6222" priority="1808">
      <formula>AND(IF($Q121=3,1,IF($Q121=4,1,0)),IF($F121&lt;=85,1,0))</formula>
    </cfRule>
  </conditionalFormatting>
  <conditionalFormatting sqref="AI121">
    <cfRule type="expression" dxfId="6221" priority="1801">
      <formula>AND(IF(OR($Q121=1,$Q121=2),1,0),IF($X121&lt;=20,1,0))</formula>
    </cfRule>
    <cfRule type="expression" dxfId="6220" priority="1802">
      <formula>AND(IF($Q121=2,1,0),IF($X121&lt;30,1,0))</formula>
    </cfRule>
    <cfRule type="expression" dxfId="6219" priority="1803">
      <formula>AND(IF($Q121=3,1,0),IF($X121&lt;30,1,0))</formula>
    </cfRule>
    <cfRule type="expression" dxfId="6218" priority="1804">
      <formula>AND(IF($Q121=3,1,IF($Q121=4,1,0)),IF($F121&lt;=85,1,0))</formula>
    </cfRule>
  </conditionalFormatting>
  <conditionalFormatting sqref="AV122">
    <cfRule type="expression" dxfId="6217" priority="1799">
      <formula>AV122="X"</formula>
    </cfRule>
    <cfRule type="expression" dxfId="6216" priority="1800">
      <formula>AV122="후보"</formula>
    </cfRule>
  </conditionalFormatting>
  <conditionalFormatting sqref="AC122">
    <cfRule type="cellIs" dxfId="6215" priority="1797" operator="greaterThan">
      <formula>0.9</formula>
    </cfRule>
    <cfRule type="cellIs" dxfId="6214" priority="1798" operator="greaterThan">
      <formula>0.85</formula>
    </cfRule>
  </conditionalFormatting>
  <conditionalFormatting sqref="N122">
    <cfRule type="cellIs" dxfId="6213" priority="1795" operator="greaterThan">
      <formula>0.9</formula>
    </cfRule>
    <cfRule type="cellIs" dxfId="6212" priority="1796" operator="greaterThan">
      <formula>0.85</formula>
    </cfRule>
  </conditionalFormatting>
  <conditionalFormatting sqref="E122">
    <cfRule type="expression" dxfId="6211" priority="1791">
      <formula>AND(IF(OR($Q122=1,$Q122=2),1,0),IF($X122&lt;=20,1,0))</formula>
    </cfRule>
    <cfRule type="expression" dxfId="6210" priority="1792">
      <formula>AND(IF($Q122=2,1,0),IF($X122&lt;30,1,0))</formula>
    </cfRule>
    <cfRule type="expression" dxfId="6209" priority="1793">
      <formula>AND(IF($Q122=3,1,0),IF($X122&lt;30,1,0))</formula>
    </cfRule>
    <cfRule type="expression" dxfId="6208" priority="1794">
      <formula>AND(IF($Q122=3,1,IF($Q122=4,1,0)),IF($F122&lt;=85,1,0))</formula>
    </cfRule>
  </conditionalFormatting>
  <conditionalFormatting sqref="X122">
    <cfRule type="expression" dxfId="6207" priority="1787">
      <formula>AND(IF(OR($Q122=1,$Q122=2),1,0),IF($X122&lt;=20,1,0))</formula>
    </cfRule>
    <cfRule type="expression" dxfId="6206" priority="1788">
      <formula>AND(IF($Q122=2,1,0),IF($X122&lt;30,1,0))</formula>
    </cfRule>
    <cfRule type="expression" dxfId="6205" priority="1789">
      <formula>AND(IF($Q122=3,1,0),IF($X122&lt;30,1,0))</formula>
    </cfRule>
    <cfRule type="expression" dxfId="6204" priority="1790">
      <formula>AND(IF($Q122=3,1,IF($Q122=4,1,0)),IF($F122&lt;=85,1,0))</formula>
    </cfRule>
  </conditionalFormatting>
  <conditionalFormatting sqref="AI122">
    <cfRule type="expression" dxfId="6203" priority="1783">
      <formula>AND(IF(OR($Q122=1,$Q122=2),1,0),IF($X122&lt;=20,1,0))</formula>
    </cfRule>
    <cfRule type="expression" dxfId="6202" priority="1784">
      <formula>AND(IF($Q122=2,1,0),IF($X122&lt;30,1,0))</formula>
    </cfRule>
    <cfRule type="expression" dxfId="6201" priority="1785">
      <formula>AND(IF($Q122=3,1,0),IF($X122&lt;30,1,0))</formula>
    </cfRule>
    <cfRule type="expression" dxfId="6200" priority="1786">
      <formula>AND(IF($Q122=3,1,IF($Q122=4,1,0)),IF($F122&lt;=85,1,0))</formula>
    </cfRule>
  </conditionalFormatting>
  <conditionalFormatting sqref="AV123">
    <cfRule type="expression" dxfId="6199" priority="1781">
      <formula>AV123="X"</formula>
    </cfRule>
    <cfRule type="expression" dxfId="6198" priority="1782">
      <formula>AV123="후보"</formula>
    </cfRule>
  </conditionalFormatting>
  <conditionalFormatting sqref="AC123">
    <cfRule type="cellIs" dxfId="6197" priority="1779" operator="greaterThan">
      <formula>0.9</formula>
    </cfRule>
    <cfRule type="cellIs" dxfId="6196" priority="1780" operator="greaterThan">
      <formula>0.85</formula>
    </cfRule>
  </conditionalFormatting>
  <conditionalFormatting sqref="N123">
    <cfRule type="cellIs" dxfId="6195" priority="1777" operator="greaterThan">
      <formula>0.9</formula>
    </cfRule>
    <cfRule type="cellIs" dxfId="6194" priority="1778" operator="greaterThan">
      <formula>0.85</formula>
    </cfRule>
  </conditionalFormatting>
  <conditionalFormatting sqref="E123">
    <cfRule type="expression" dxfId="6193" priority="1773">
      <formula>AND(IF(OR($Q123=1,$Q123=2),1,0),IF($X123&lt;=20,1,0))</formula>
    </cfRule>
    <cfRule type="expression" dxfId="6192" priority="1774">
      <formula>AND(IF($Q123=2,1,0),IF($X123&lt;30,1,0))</formula>
    </cfRule>
    <cfRule type="expression" dxfId="6191" priority="1775">
      <formula>AND(IF($Q123=3,1,0),IF($X123&lt;30,1,0))</formula>
    </cfRule>
    <cfRule type="expression" dxfId="6190" priority="1776">
      <formula>AND(IF($Q123=3,1,IF($Q123=4,1,0)),IF($F123&lt;=85,1,0))</formula>
    </cfRule>
  </conditionalFormatting>
  <conditionalFormatting sqref="X123">
    <cfRule type="expression" dxfId="6189" priority="1769">
      <formula>AND(IF(OR($Q123=1,$Q123=2),1,0),IF($X123&lt;=20,1,0))</formula>
    </cfRule>
    <cfRule type="expression" dxfId="6188" priority="1770">
      <formula>AND(IF($Q123=2,1,0),IF($X123&lt;30,1,0))</formula>
    </cfRule>
    <cfRule type="expression" dxfId="6187" priority="1771">
      <formula>AND(IF($Q123=3,1,0),IF($X123&lt;30,1,0))</formula>
    </cfRule>
    <cfRule type="expression" dxfId="6186" priority="1772">
      <formula>AND(IF($Q123=3,1,IF($Q123=4,1,0)),IF($F123&lt;=85,1,0))</formula>
    </cfRule>
  </conditionalFormatting>
  <conditionalFormatting sqref="AI123">
    <cfRule type="expression" dxfId="6185" priority="1765">
      <formula>AND(IF(OR($Q123=1,$Q123=2),1,0),IF($X123&lt;=20,1,0))</formula>
    </cfRule>
    <cfRule type="expression" dxfId="6184" priority="1766">
      <formula>AND(IF($Q123=2,1,0),IF($X123&lt;30,1,0))</formula>
    </cfRule>
    <cfRule type="expression" dxfId="6183" priority="1767">
      <formula>AND(IF($Q123=3,1,0),IF($X123&lt;30,1,0))</formula>
    </cfRule>
    <cfRule type="expression" dxfId="6182" priority="1768">
      <formula>AND(IF($Q123=3,1,IF($Q123=4,1,0)),IF($F123&lt;=85,1,0))</formula>
    </cfRule>
  </conditionalFormatting>
  <conditionalFormatting sqref="AV124">
    <cfRule type="expression" dxfId="6181" priority="1763">
      <formula>AV124="X"</formula>
    </cfRule>
    <cfRule type="expression" dxfId="6180" priority="1764">
      <formula>AV124="후보"</formula>
    </cfRule>
  </conditionalFormatting>
  <conditionalFormatting sqref="AC124">
    <cfRule type="cellIs" dxfId="6179" priority="1761" operator="greaterThan">
      <formula>0.9</formula>
    </cfRule>
    <cfRule type="cellIs" dxfId="6178" priority="1762" operator="greaterThan">
      <formula>0.85</formula>
    </cfRule>
  </conditionalFormatting>
  <conditionalFormatting sqref="N124">
    <cfRule type="cellIs" dxfId="6177" priority="1759" operator="greaterThan">
      <formula>0.9</formula>
    </cfRule>
    <cfRule type="cellIs" dxfId="6176" priority="1760" operator="greaterThan">
      <formula>0.85</formula>
    </cfRule>
  </conditionalFormatting>
  <conditionalFormatting sqref="E124">
    <cfRule type="expression" dxfId="6175" priority="1755">
      <formula>AND(IF(OR($Q124=1,$Q124=2),1,0),IF($X124&lt;=20,1,0))</formula>
    </cfRule>
    <cfRule type="expression" dxfId="6174" priority="1756">
      <formula>AND(IF($Q124=2,1,0),IF($X124&lt;30,1,0))</formula>
    </cfRule>
    <cfRule type="expression" dxfId="6173" priority="1757">
      <formula>AND(IF($Q124=3,1,0),IF($X124&lt;30,1,0))</formula>
    </cfRule>
    <cfRule type="expression" dxfId="6172" priority="1758">
      <formula>AND(IF($Q124=3,1,IF($Q124=4,1,0)),IF($F124&lt;=85,1,0))</formula>
    </cfRule>
  </conditionalFormatting>
  <conditionalFormatting sqref="X124">
    <cfRule type="expression" dxfId="6171" priority="1751">
      <formula>AND(IF(OR($Q124=1,$Q124=2),1,0),IF($X124&lt;=20,1,0))</formula>
    </cfRule>
    <cfRule type="expression" dxfId="6170" priority="1752">
      <formula>AND(IF($Q124=2,1,0),IF($X124&lt;30,1,0))</formula>
    </cfRule>
    <cfRule type="expression" dxfId="6169" priority="1753">
      <formula>AND(IF($Q124=3,1,0),IF($X124&lt;30,1,0))</formula>
    </cfRule>
    <cfRule type="expression" dxfId="6168" priority="1754">
      <formula>AND(IF($Q124=3,1,IF($Q124=4,1,0)),IF($F124&lt;=85,1,0))</formula>
    </cfRule>
  </conditionalFormatting>
  <conditionalFormatting sqref="AI124">
    <cfRule type="expression" dxfId="6167" priority="1747">
      <formula>AND(IF(OR($Q124=1,$Q124=2),1,0),IF($X124&lt;=20,1,0))</formula>
    </cfRule>
    <cfRule type="expression" dxfId="6166" priority="1748">
      <formula>AND(IF($Q124=2,1,0),IF($X124&lt;30,1,0))</formula>
    </cfRule>
    <cfRule type="expression" dxfId="6165" priority="1749">
      <formula>AND(IF($Q124=3,1,0),IF($X124&lt;30,1,0))</formula>
    </cfRule>
    <cfRule type="expression" dxfId="6164" priority="1750">
      <formula>AND(IF($Q124=3,1,IF($Q124=4,1,0)),IF($F124&lt;=85,1,0))</formula>
    </cfRule>
  </conditionalFormatting>
  <conditionalFormatting sqref="AV125">
    <cfRule type="expression" dxfId="6163" priority="1745">
      <formula>AV125="X"</formula>
    </cfRule>
    <cfRule type="expression" dxfId="6162" priority="1746">
      <formula>AV125="후보"</formula>
    </cfRule>
  </conditionalFormatting>
  <conditionalFormatting sqref="AC125">
    <cfRule type="cellIs" dxfId="6161" priority="1743" operator="greaterThan">
      <formula>0.9</formula>
    </cfRule>
    <cfRule type="cellIs" dxfId="6160" priority="1744" operator="greaterThan">
      <formula>0.85</formula>
    </cfRule>
  </conditionalFormatting>
  <conditionalFormatting sqref="N125">
    <cfRule type="cellIs" dxfId="6159" priority="1741" operator="greaterThan">
      <formula>0.9</formula>
    </cfRule>
    <cfRule type="cellIs" dxfId="6158" priority="1742" operator="greaterThan">
      <formula>0.85</formula>
    </cfRule>
  </conditionalFormatting>
  <conditionalFormatting sqref="E125">
    <cfRule type="expression" dxfId="6157" priority="1737">
      <formula>AND(IF(OR($Q125=1,$Q125=2),1,0),IF($X125&lt;=20,1,0))</formula>
    </cfRule>
    <cfRule type="expression" dxfId="6156" priority="1738">
      <formula>AND(IF($Q125=2,1,0),IF($X125&lt;30,1,0))</formula>
    </cfRule>
    <cfRule type="expression" dxfId="6155" priority="1739">
      <formula>AND(IF($Q125=3,1,0),IF($X125&lt;30,1,0))</formula>
    </cfRule>
    <cfRule type="expression" dxfId="6154" priority="1740">
      <formula>AND(IF($Q125=3,1,IF($Q125=4,1,0)),IF($F125&lt;=85,1,0))</formula>
    </cfRule>
  </conditionalFormatting>
  <conditionalFormatting sqref="X125">
    <cfRule type="expression" dxfId="6153" priority="1733">
      <formula>AND(IF(OR($Q125=1,$Q125=2),1,0),IF($X125&lt;=20,1,0))</formula>
    </cfRule>
    <cfRule type="expression" dxfId="6152" priority="1734">
      <formula>AND(IF($Q125=2,1,0),IF($X125&lt;30,1,0))</formula>
    </cfRule>
    <cfRule type="expression" dxfId="6151" priority="1735">
      <formula>AND(IF($Q125=3,1,0),IF($X125&lt;30,1,0))</formula>
    </cfRule>
    <cfRule type="expression" dxfId="6150" priority="1736">
      <formula>AND(IF($Q125=3,1,IF($Q125=4,1,0)),IF($F125&lt;=85,1,0))</formula>
    </cfRule>
  </conditionalFormatting>
  <conditionalFormatting sqref="AI125">
    <cfRule type="expression" dxfId="6149" priority="1729">
      <formula>AND(IF(OR($Q125=1,$Q125=2),1,0),IF($X125&lt;=20,1,0))</formula>
    </cfRule>
    <cfRule type="expression" dxfId="6148" priority="1730">
      <formula>AND(IF($Q125=2,1,0),IF($X125&lt;30,1,0))</formula>
    </cfRule>
    <cfRule type="expression" dxfId="6147" priority="1731">
      <formula>AND(IF($Q125=3,1,0),IF($X125&lt;30,1,0))</formula>
    </cfRule>
    <cfRule type="expression" dxfId="6146" priority="1732">
      <formula>AND(IF($Q125=3,1,IF($Q125=4,1,0)),IF($F125&lt;=85,1,0))</formula>
    </cfRule>
  </conditionalFormatting>
  <conditionalFormatting sqref="AV126">
    <cfRule type="expression" dxfId="6145" priority="1727">
      <formula>AV126="X"</formula>
    </cfRule>
    <cfRule type="expression" dxfId="6144" priority="1728">
      <formula>AV126="후보"</formula>
    </cfRule>
  </conditionalFormatting>
  <conditionalFormatting sqref="AC126">
    <cfRule type="cellIs" dxfId="6143" priority="1725" operator="greaterThan">
      <formula>0.9</formula>
    </cfRule>
    <cfRule type="cellIs" dxfId="6142" priority="1726" operator="greaterThan">
      <formula>0.85</formula>
    </cfRule>
  </conditionalFormatting>
  <conditionalFormatting sqref="N126">
    <cfRule type="cellIs" dxfId="6141" priority="1723" operator="greaterThan">
      <formula>0.9</formula>
    </cfRule>
    <cfRule type="cellIs" dxfId="6140" priority="1724" operator="greaterThan">
      <formula>0.85</formula>
    </cfRule>
  </conditionalFormatting>
  <conditionalFormatting sqref="E126">
    <cfRule type="expression" dxfId="6139" priority="1719">
      <formula>AND(IF(OR($Q126=1,$Q126=2),1,0),IF($X126&lt;=20,1,0))</formula>
    </cfRule>
    <cfRule type="expression" dxfId="6138" priority="1720">
      <formula>AND(IF($Q126=2,1,0),IF($X126&lt;30,1,0))</formula>
    </cfRule>
    <cfRule type="expression" dxfId="6137" priority="1721">
      <formula>AND(IF($Q126=3,1,0),IF($X126&lt;30,1,0))</formula>
    </cfRule>
    <cfRule type="expression" dxfId="6136" priority="1722">
      <formula>AND(IF($Q126=3,1,IF($Q126=4,1,0)),IF($F126&lt;=85,1,0))</formula>
    </cfRule>
  </conditionalFormatting>
  <conditionalFormatting sqref="X126">
    <cfRule type="expression" dxfId="6135" priority="1715">
      <formula>AND(IF(OR($Q126=1,$Q126=2),1,0),IF($X126&lt;=20,1,0))</formula>
    </cfRule>
    <cfRule type="expression" dxfId="6134" priority="1716">
      <formula>AND(IF($Q126=2,1,0),IF($X126&lt;30,1,0))</formula>
    </cfRule>
    <cfRule type="expression" dxfId="6133" priority="1717">
      <formula>AND(IF($Q126=3,1,0),IF($X126&lt;30,1,0))</formula>
    </cfRule>
    <cfRule type="expression" dxfId="6132" priority="1718">
      <formula>AND(IF($Q126=3,1,IF($Q126=4,1,0)),IF($F126&lt;=85,1,0))</formula>
    </cfRule>
  </conditionalFormatting>
  <conditionalFormatting sqref="AI126">
    <cfRule type="expression" dxfId="6131" priority="1711">
      <formula>AND(IF(OR($Q126=1,$Q126=2),1,0),IF($X126&lt;=20,1,0))</formula>
    </cfRule>
    <cfRule type="expression" dxfId="6130" priority="1712">
      <formula>AND(IF($Q126=2,1,0),IF($X126&lt;30,1,0))</formula>
    </cfRule>
    <cfRule type="expression" dxfId="6129" priority="1713">
      <formula>AND(IF($Q126=3,1,0),IF($X126&lt;30,1,0))</formula>
    </cfRule>
    <cfRule type="expression" dxfId="6128" priority="1714">
      <formula>AND(IF($Q126=3,1,IF($Q126=4,1,0)),IF($F126&lt;=85,1,0))</formula>
    </cfRule>
  </conditionalFormatting>
  <conditionalFormatting sqref="AV127">
    <cfRule type="expression" dxfId="6127" priority="1709">
      <formula>AV127="X"</formula>
    </cfRule>
    <cfRule type="expression" dxfId="6126" priority="1710">
      <formula>AV127="후보"</formula>
    </cfRule>
  </conditionalFormatting>
  <conditionalFormatting sqref="AC127">
    <cfRule type="cellIs" dxfId="6125" priority="1707" operator="greaterThan">
      <formula>0.9</formula>
    </cfRule>
    <cfRule type="cellIs" dxfId="6124" priority="1708" operator="greaterThan">
      <formula>0.85</formula>
    </cfRule>
  </conditionalFormatting>
  <conditionalFormatting sqref="N127">
    <cfRule type="cellIs" dxfId="6123" priority="1705" operator="greaterThan">
      <formula>0.9</formula>
    </cfRule>
    <cfRule type="cellIs" dxfId="6122" priority="1706" operator="greaterThan">
      <formula>0.85</formula>
    </cfRule>
  </conditionalFormatting>
  <conditionalFormatting sqref="E127">
    <cfRule type="expression" dxfId="6121" priority="1701">
      <formula>AND(IF(OR($Q127=1,$Q127=2),1,0),IF($X127&lt;=20,1,0))</formula>
    </cfRule>
    <cfRule type="expression" dxfId="6120" priority="1702">
      <formula>AND(IF($Q127=2,1,0),IF($X127&lt;30,1,0))</formula>
    </cfRule>
    <cfRule type="expression" dxfId="6119" priority="1703">
      <formula>AND(IF($Q127=3,1,0),IF($X127&lt;30,1,0))</formula>
    </cfRule>
    <cfRule type="expression" dxfId="6118" priority="1704">
      <formula>AND(IF($Q127=3,1,IF($Q127=4,1,0)),IF($F127&lt;=85,1,0))</formula>
    </cfRule>
  </conditionalFormatting>
  <conditionalFormatting sqref="X127">
    <cfRule type="expression" dxfId="6117" priority="1697">
      <formula>AND(IF(OR($Q127=1,$Q127=2),1,0),IF($X127&lt;=20,1,0))</formula>
    </cfRule>
    <cfRule type="expression" dxfId="6116" priority="1698">
      <formula>AND(IF($Q127=2,1,0),IF($X127&lt;30,1,0))</formula>
    </cfRule>
    <cfRule type="expression" dxfId="6115" priority="1699">
      <formula>AND(IF($Q127=3,1,0),IF($X127&lt;30,1,0))</formula>
    </cfRule>
    <cfRule type="expression" dxfId="6114" priority="1700">
      <formula>AND(IF($Q127=3,1,IF($Q127=4,1,0)),IF($F127&lt;=85,1,0))</formula>
    </cfRule>
  </conditionalFormatting>
  <conditionalFormatting sqref="AI127">
    <cfRule type="expression" dxfId="6113" priority="1693">
      <formula>AND(IF(OR($Q127=1,$Q127=2),1,0),IF($X127&lt;=20,1,0))</formula>
    </cfRule>
    <cfRule type="expression" dxfId="6112" priority="1694">
      <formula>AND(IF($Q127=2,1,0),IF($X127&lt;30,1,0))</formula>
    </cfRule>
    <cfRule type="expression" dxfId="6111" priority="1695">
      <formula>AND(IF($Q127=3,1,0),IF($X127&lt;30,1,0))</formula>
    </cfRule>
    <cfRule type="expression" dxfId="6110" priority="1696">
      <formula>AND(IF($Q127=3,1,IF($Q127=4,1,0)),IF($F127&lt;=85,1,0))</formula>
    </cfRule>
  </conditionalFormatting>
  <conditionalFormatting sqref="AV128">
    <cfRule type="expression" dxfId="6109" priority="1691">
      <formula>AV128="X"</formula>
    </cfRule>
    <cfRule type="expression" dxfId="6108" priority="1692">
      <formula>AV128="후보"</formula>
    </cfRule>
  </conditionalFormatting>
  <conditionalFormatting sqref="AC128">
    <cfRule type="cellIs" dxfId="6107" priority="1689" operator="greaterThan">
      <formula>0.9</formula>
    </cfRule>
    <cfRule type="cellIs" dxfId="6106" priority="1690" operator="greaterThan">
      <formula>0.85</formula>
    </cfRule>
  </conditionalFormatting>
  <conditionalFormatting sqref="N128">
    <cfRule type="cellIs" dxfId="6105" priority="1687" operator="greaterThan">
      <formula>0.9</formula>
    </cfRule>
    <cfRule type="cellIs" dxfId="6104" priority="1688" operator="greaterThan">
      <formula>0.85</formula>
    </cfRule>
  </conditionalFormatting>
  <conditionalFormatting sqref="E128">
    <cfRule type="expression" dxfId="6103" priority="1683">
      <formula>AND(IF(OR($Q128=1,$Q128=2),1,0),IF($X128&lt;=20,1,0))</formula>
    </cfRule>
    <cfRule type="expression" dxfId="6102" priority="1684">
      <formula>AND(IF($Q128=2,1,0),IF($X128&lt;30,1,0))</formula>
    </cfRule>
    <cfRule type="expression" dxfId="6101" priority="1685">
      <formula>AND(IF($Q128=3,1,0),IF($X128&lt;30,1,0))</formula>
    </cfRule>
    <cfRule type="expression" dxfId="6100" priority="1686">
      <formula>AND(IF($Q128=3,1,IF($Q128=4,1,0)),IF($F128&lt;=85,1,0))</formula>
    </cfRule>
  </conditionalFormatting>
  <conditionalFormatting sqref="X128">
    <cfRule type="expression" dxfId="6099" priority="1679">
      <formula>AND(IF(OR($Q128=1,$Q128=2),1,0),IF($X128&lt;=20,1,0))</formula>
    </cfRule>
    <cfRule type="expression" dxfId="6098" priority="1680">
      <formula>AND(IF($Q128=2,1,0),IF($X128&lt;30,1,0))</formula>
    </cfRule>
    <cfRule type="expression" dxfId="6097" priority="1681">
      <formula>AND(IF($Q128=3,1,0),IF($X128&lt;30,1,0))</formula>
    </cfRule>
    <cfRule type="expression" dxfId="6096" priority="1682">
      <formula>AND(IF($Q128=3,1,IF($Q128=4,1,0)),IF($F128&lt;=85,1,0))</formula>
    </cfRule>
  </conditionalFormatting>
  <conditionalFormatting sqref="AI128">
    <cfRule type="expression" dxfId="6095" priority="1675">
      <formula>AND(IF(OR($Q128=1,$Q128=2),1,0),IF($X128&lt;=20,1,0))</formula>
    </cfRule>
    <cfRule type="expression" dxfId="6094" priority="1676">
      <formula>AND(IF($Q128=2,1,0),IF($X128&lt;30,1,0))</formula>
    </cfRule>
    <cfRule type="expression" dxfId="6093" priority="1677">
      <formula>AND(IF($Q128=3,1,0),IF($X128&lt;30,1,0))</formula>
    </cfRule>
    <cfRule type="expression" dxfId="6092" priority="1678">
      <formula>AND(IF($Q128=3,1,IF($Q128=4,1,0)),IF($F128&lt;=85,1,0))</formula>
    </cfRule>
  </conditionalFormatting>
  <conditionalFormatting sqref="AV129">
    <cfRule type="expression" dxfId="6091" priority="1673">
      <formula>AV129="X"</formula>
    </cfRule>
    <cfRule type="expression" dxfId="6090" priority="1674">
      <formula>AV129="후보"</formula>
    </cfRule>
  </conditionalFormatting>
  <conditionalFormatting sqref="AC129">
    <cfRule type="cellIs" dxfId="6089" priority="1671" operator="greaterThan">
      <formula>0.9</formula>
    </cfRule>
    <cfRule type="cellIs" dxfId="6088" priority="1672" operator="greaterThan">
      <formula>0.85</formula>
    </cfRule>
  </conditionalFormatting>
  <conditionalFormatting sqref="N129">
    <cfRule type="cellIs" dxfId="6087" priority="1669" operator="greaterThan">
      <formula>0.9</formula>
    </cfRule>
    <cfRule type="cellIs" dxfId="6086" priority="1670" operator="greaterThan">
      <formula>0.85</formula>
    </cfRule>
  </conditionalFormatting>
  <conditionalFormatting sqref="E129">
    <cfRule type="expression" dxfId="6085" priority="1665">
      <formula>AND(IF(OR($Q129=1,$Q129=2),1,0),IF($X129&lt;=20,1,0))</formula>
    </cfRule>
    <cfRule type="expression" dxfId="6084" priority="1666">
      <formula>AND(IF($Q129=2,1,0),IF($X129&lt;30,1,0))</formula>
    </cfRule>
    <cfRule type="expression" dxfId="6083" priority="1667">
      <formula>AND(IF($Q129=3,1,0),IF($X129&lt;30,1,0))</formula>
    </cfRule>
    <cfRule type="expression" dxfId="6082" priority="1668">
      <formula>AND(IF($Q129=3,1,IF($Q129=4,1,0)),IF($F129&lt;=85,1,0))</formula>
    </cfRule>
  </conditionalFormatting>
  <conditionalFormatting sqref="X129">
    <cfRule type="expression" dxfId="6081" priority="1661">
      <formula>AND(IF(OR($Q129=1,$Q129=2),1,0),IF($X129&lt;=20,1,0))</formula>
    </cfRule>
    <cfRule type="expression" dxfId="6080" priority="1662">
      <formula>AND(IF($Q129=2,1,0),IF($X129&lt;30,1,0))</formula>
    </cfRule>
    <cfRule type="expression" dxfId="6079" priority="1663">
      <formula>AND(IF($Q129=3,1,0),IF($X129&lt;30,1,0))</formula>
    </cfRule>
    <cfRule type="expression" dxfId="6078" priority="1664">
      <formula>AND(IF($Q129=3,1,IF($Q129=4,1,0)),IF($F129&lt;=85,1,0))</formula>
    </cfRule>
  </conditionalFormatting>
  <conditionalFormatting sqref="AI129">
    <cfRule type="expression" dxfId="6077" priority="1657">
      <formula>AND(IF(OR($Q129=1,$Q129=2),1,0),IF($X129&lt;=20,1,0))</formula>
    </cfRule>
    <cfRule type="expression" dxfId="6076" priority="1658">
      <formula>AND(IF($Q129=2,1,0),IF($X129&lt;30,1,0))</formula>
    </cfRule>
    <cfRule type="expression" dxfId="6075" priority="1659">
      <formula>AND(IF($Q129=3,1,0),IF($X129&lt;30,1,0))</formula>
    </cfRule>
    <cfRule type="expression" dxfId="6074" priority="1660">
      <formula>AND(IF($Q129=3,1,IF($Q129=4,1,0)),IF($F129&lt;=85,1,0))</formula>
    </cfRule>
  </conditionalFormatting>
  <conditionalFormatting sqref="AV130">
    <cfRule type="expression" dxfId="6073" priority="1655">
      <formula>AV130="X"</formula>
    </cfRule>
    <cfRule type="expression" dxfId="6072" priority="1656">
      <formula>AV130="후보"</formula>
    </cfRule>
  </conditionalFormatting>
  <conditionalFormatting sqref="AC130">
    <cfRule type="cellIs" dxfId="6071" priority="1653" operator="greaterThan">
      <formula>0.9</formula>
    </cfRule>
    <cfRule type="cellIs" dxfId="6070" priority="1654" operator="greaterThan">
      <formula>0.85</formula>
    </cfRule>
  </conditionalFormatting>
  <conditionalFormatting sqref="N130">
    <cfRule type="cellIs" dxfId="6069" priority="1651" operator="greaterThan">
      <formula>0.9</formula>
    </cfRule>
    <cfRule type="cellIs" dxfId="6068" priority="1652" operator="greaterThan">
      <formula>0.85</formula>
    </cfRule>
  </conditionalFormatting>
  <conditionalFormatting sqref="E130">
    <cfRule type="expression" dxfId="6067" priority="1647">
      <formula>AND(IF(OR($Q130=1,$Q130=2),1,0),IF($X130&lt;=20,1,0))</formula>
    </cfRule>
    <cfRule type="expression" dxfId="6066" priority="1648">
      <formula>AND(IF($Q130=2,1,0),IF($X130&lt;30,1,0))</formula>
    </cfRule>
    <cfRule type="expression" dxfId="6065" priority="1649">
      <formula>AND(IF($Q130=3,1,0),IF($X130&lt;30,1,0))</formula>
    </cfRule>
    <cfRule type="expression" dxfId="6064" priority="1650">
      <formula>AND(IF($Q130=3,1,IF($Q130=4,1,0)),IF($F130&lt;=85,1,0))</formula>
    </cfRule>
  </conditionalFormatting>
  <conditionalFormatting sqref="X130">
    <cfRule type="expression" dxfId="6063" priority="1643">
      <formula>AND(IF(OR($Q130=1,$Q130=2),1,0),IF($X130&lt;=20,1,0))</formula>
    </cfRule>
    <cfRule type="expression" dxfId="6062" priority="1644">
      <formula>AND(IF($Q130=2,1,0),IF($X130&lt;30,1,0))</formula>
    </cfRule>
    <cfRule type="expression" dxfId="6061" priority="1645">
      <formula>AND(IF($Q130=3,1,0),IF($X130&lt;30,1,0))</formula>
    </cfRule>
    <cfRule type="expression" dxfId="6060" priority="1646">
      <formula>AND(IF($Q130=3,1,IF($Q130=4,1,0)),IF($F130&lt;=85,1,0))</formula>
    </cfRule>
  </conditionalFormatting>
  <conditionalFormatting sqref="AI130">
    <cfRule type="expression" dxfId="6059" priority="1639">
      <formula>AND(IF(OR($Q130=1,$Q130=2),1,0),IF($X130&lt;=20,1,0))</formula>
    </cfRule>
    <cfRule type="expression" dxfId="6058" priority="1640">
      <formula>AND(IF($Q130=2,1,0),IF($X130&lt;30,1,0))</formula>
    </cfRule>
    <cfRule type="expression" dxfId="6057" priority="1641">
      <formula>AND(IF($Q130=3,1,0),IF($X130&lt;30,1,0))</formula>
    </cfRule>
    <cfRule type="expression" dxfId="6056" priority="1642">
      <formula>AND(IF($Q130=3,1,IF($Q130=4,1,0)),IF($F130&lt;=85,1,0))</formula>
    </cfRule>
  </conditionalFormatting>
  <conditionalFormatting sqref="AV131">
    <cfRule type="expression" dxfId="6055" priority="1637">
      <formula>AV131="X"</formula>
    </cfRule>
    <cfRule type="expression" dxfId="6054" priority="1638">
      <formula>AV131="후보"</formula>
    </cfRule>
  </conditionalFormatting>
  <conditionalFormatting sqref="AC131">
    <cfRule type="cellIs" dxfId="6053" priority="1635" operator="greaterThan">
      <formula>0.9</formula>
    </cfRule>
    <cfRule type="cellIs" dxfId="6052" priority="1636" operator="greaterThan">
      <formula>0.85</formula>
    </cfRule>
  </conditionalFormatting>
  <conditionalFormatting sqref="N131">
    <cfRule type="cellIs" dxfId="6051" priority="1633" operator="greaterThan">
      <formula>0.9</formula>
    </cfRule>
    <cfRule type="cellIs" dxfId="6050" priority="1634" operator="greaterThan">
      <formula>0.85</formula>
    </cfRule>
  </conditionalFormatting>
  <conditionalFormatting sqref="E131">
    <cfRule type="expression" dxfId="6049" priority="1629">
      <formula>AND(IF(OR($Q131=1,$Q131=2),1,0),IF($X131&lt;=20,1,0))</formula>
    </cfRule>
    <cfRule type="expression" dxfId="6048" priority="1630">
      <formula>AND(IF($Q131=2,1,0),IF($X131&lt;30,1,0))</formula>
    </cfRule>
    <cfRule type="expression" dxfId="6047" priority="1631">
      <formula>AND(IF($Q131=3,1,0),IF($X131&lt;30,1,0))</formula>
    </cfRule>
    <cfRule type="expression" dxfId="6046" priority="1632">
      <formula>AND(IF($Q131=3,1,IF($Q131=4,1,0)),IF($F131&lt;=85,1,0))</formula>
    </cfRule>
  </conditionalFormatting>
  <conditionalFormatting sqref="X131">
    <cfRule type="expression" dxfId="6045" priority="1625">
      <formula>AND(IF(OR($Q131=1,$Q131=2),1,0),IF($X131&lt;=20,1,0))</formula>
    </cfRule>
    <cfRule type="expression" dxfId="6044" priority="1626">
      <formula>AND(IF($Q131=2,1,0),IF($X131&lt;30,1,0))</formula>
    </cfRule>
    <cfRule type="expression" dxfId="6043" priority="1627">
      <formula>AND(IF($Q131=3,1,0),IF($X131&lt;30,1,0))</formula>
    </cfRule>
    <cfRule type="expression" dxfId="6042" priority="1628">
      <formula>AND(IF($Q131=3,1,IF($Q131=4,1,0)),IF($F131&lt;=85,1,0))</formula>
    </cfRule>
  </conditionalFormatting>
  <conditionalFormatting sqref="AI131">
    <cfRule type="expression" dxfId="6041" priority="1621">
      <formula>AND(IF(OR($Q131=1,$Q131=2),1,0),IF($X131&lt;=20,1,0))</formula>
    </cfRule>
    <cfRule type="expression" dxfId="6040" priority="1622">
      <formula>AND(IF($Q131=2,1,0),IF($X131&lt;30,1,0))</formula>
    </cfRule>
    <cfRule type="expression" dxfId="6039" priority="1623">
      <formula>AND(IF($Q131=3,1,0),IF($X131&lt;30,1,0))</formula>
    </cfRule>
    <cfRule type="expression" dxfId="6038" priority="1624">
      <formula>AND(IF($Q131=3,1,IF($Q131=4,1,0)),IF($F131&lt;=85,1,0))</formula>
    </cfRule>
  </conditionalFormatting>
  <conditionalFormatting sqref="AV132">
    <cfRule type="expression" dxfId="6037" priority="1619">
      <formula>AV132="X"</formula>
    </cfRule>
    <cfRule type="expression" dxfId="6036" priority="1620">
      <formula>AV132="후보"</formula>
    </cfRule>
  </conditionalFormatting>
  <conditionalFormatting sqref="AC132">
    <cfRule type="cellIs" dxfId="6035" priority="1617" operator="greaterThan">
      <formula>0.9</formula>
    </cfRule>
    <cfRule type="cellIs" dxfId="6034" priority="1618" operator="greaterThan">
      <formula>0.85</formula>
    </cfRule>
  </conditionalFormatting>
  <conditionalFormatting sqref="N132">
    <cfRule type="cellIs" dxfId="6033" priority="1615" operator="greaterThan">
      <formula>0.9</formula>
    </cfRule>
    <cfRule type="cellIs" dxfId="6032" priority="1616" operator="greaterThan">
      <formula>0.85</formula>
    </cfRule>
  </conditionalFormatting>
  <conditionalFormatting sqref="E132">
    <cfRule type="expression" dxfId="6031" priority="1611">
      <formula>AND(IF(OR($Q132=1,$Q132=2),1,0),IF($X132&lt;=20,1,0))</formula>
    </cfRule>
    <cfRule type="expression" dxfId="6030" priority="1612">
      <formula>AND(IF($Q132=2,1,0),IF($X132&lt;30,1,0))</formula>
    </cfRule>
    <cfRule type="expression" dxfId="6029" priority="1613">
      <formula>AND(IF($Q132=3,1,0),IF($X132&lt;30,1,0))</formula>
    </cfRule>
    <cfRule type="expression" dxfId="6028" priority="1614">
      <formula>AND(IF($Q132=3,1,IF($Q132=4,1,0)),IF($F132&lt;=85,1,0))</formula>
    </cfRule>
  </conditionalFormatting>
  <conditionalFormatting sqref="X132">
    <cfRule type="expression" dxfId="6027" priority="1607">
      <formula>AND(IF(OR($Q132=1,$Q132=2),1,0),IF($X132&lt;=20,1,0))</formula>
    </cfRule>
    <cfRule type="expression" dxfId="6026" priority="1608">
      <formula>AND(IF($Q132=2,1,0),IF($X132&lt;30,1,0))</formula>
    </cfRule>
    <cfRule type="expression" dxfId="6025" priority="1609">
      <formula>AND(IF($Q132=3,1,0),IF($X132&lt;30,1,0))</formula>
    </cfRule>
    <cfRule type="expression" dxfId="6024" priority="1610">
      <formula>AND(IF($Q132=3,1,IF($Q132=4,1,0)),IF($F132&lt;=85,1,0))</formula>
    </cfRule>
  </conditionalFormatting>
  <conditionalFormatting sqref="AI132">
    <cfRule type="expression" dxfId="6023" priority="1603">
      <formula>AND(IF(OR($Q132=1,$Q132=2),1,0),IF($X132&lt;=20,1,0))</formula>
    </cfRule>
    <cfRule type="expression" dxfId="6022" priority="1604">
      <formula>AND(IF($Q132=2,1,0),IF($X132&lt;30,1,0))</formula>
    </cfRule>
    <cfRule type="expression" dxfId="6021" priority="1605">
      <formula>AND(IF($Q132=3,1,0),IF($X132&lt;30,1,0))</formula>
    </cfRule>
    <cfRule type="expression" dxfId="6020" priority="1606">
      <formula>AND(IF($Q132=3,1,IF($Q132=4,1,0)),IF($F132&lt;=85,1,0))</formula>
    </cfRule>
  </conditionalFormatting>
  <conditionalFormatting sqref="AV133">
    <cfRule type="expression" dxfId="6019" priority="1601">
      <formula>AV133="X"</formula>
    </cfRule>
    <cfRule type="expression" dxfId="6018" priority="1602">
      <formula>AV133="후보"</formula>
    </cfRule>
  </conditionalFormatting>
  <conditionalFormatting sqref="AC133">
    <cfRule type="cellIs" dxfId="6017" priority="1599" operator="greaterThan">
      <formula>0.9</formula>
    </cfRule>
    <cfRule type="cellIs" dxfId="6016" priority="1600" operator="greaterThan">
      <formula>0.85</formula>
    </cfRule>
  </conditionalFormatting>
  <conditionalFormatting sqref="N133">
    <cfRule type="cellIs" dxfId="6015" priority="1597" operator="greaterThan">
      <formula>0.9</formula>
    </cfRule>
    <cfRule type="cellIs" dxfId="6014" priority="1598" operator="greaterThan">
      <formula>0.85</formula>
    </cfRule>
  </conditionalFormatting>
  <conditionalFormatting sqref="E133">
    <cfRule type="expression" dxfId="6013" priority="1593">
      <formula>AND(IF(OR($Q133=1,$Q133=2),1,0),IF($X133&lt;=20,1,0))</formula>
    </cfRule>
    <cfRule type="expression" dxfId="6012" priority="1594">
      <formula>AND(IF($Q133=2,1,0),IF($X133&lt;30,1,0))</formula>
    </cfRule>
    <cfRule type="expression" dxfId="6011" priority="1595">
      <formula>AND(IF($Q133=3,1,0),IF($X133&lt;30,1,0))</formula>
    </cfRule>
    <cfRule type="expression" dxfId="6010" priority="1596">
      <formula>AND(IF($Q133=3,1,IF($Q133=4,1,0)),IF($F133&lt;=85,1,0))</formula>
    </cfRule>
  </conditionalFormatting>
  <conditionalFormatting sqref="X133">
    <cfRule type="expression" dxfId="6009" priority="1589">
      <formula>AND(IF(OR($Q133=1,$Q133=2),1,0),IF($X133&lt;=20,1,0))</formula>
    </cfRule>
    <cfRule type="expression" dxfId="6008" priority="1590">
      <formula>AND(IF($Q133=2,1,0),IF($X133&lt;30,1,0))</formula>
    </cfRule>
    <cfRule type="expression" dxfId="6007" priority="1591">
      <formula>AND(IF($Q133=3,1,0),IF($X133&lt;30,1,0))</formula>
    </cfRule>
    <cfRule type="expression" dxfId="6006" priority="1592">
      <formula>AND(IF($Q133=3,1,IF($Q133=4,1,0)),IF($F133&lt;=85,1,0))</formula>
    </cfRule>
  </conditionalFormatting>
  <conditionalFormatting sqref="AI133">
    <cfRule type="expression" dxfId="6005" priority="1585">
      <formula>AND(IF(OR($Q133=1,$Q133=2),1,0),IF($X133&lt;=20,1,0))</formula>
    </cfRule>
    <cfRule type="expression" dxfId="6004" priority="1586">
      <formula>AND(IF($Q133=2,1,0),IF($X133&lt;30,1,0))</formula>
    </cfRule>
    <cfRule type="expression" dxfId="6003" priority="1587">
      <formula>AND(IF($Q133=3,1,0),IF($X133&lt;30,1,0))</formula>
    </cfRule>
    <cfRule type="expression" dxfId="6002" priority="1588">
      <formula>AND(IF($Q133=3,1,IF($Q133=4,1,0)),IF($F133&lt;=85,1,0))</formula>
    </cfRule>
  </conditionalFormatting>
  <conditionalFormatting sqref="AV134">
    <cfRule type="expression" dxfId="6001" priority="1583">
      <formula>AV134="X"</formula>
    </cfRule>
    <cfRule type="expression" dxfId="6000" priority="1584">
      <formula>AV134="후보"</formula>
    </cfRule>
  </conditionalFormatting>
  <conditionalFormatting sqref="AC134">
    <cfRule type="cellIs" dxfId="5999" priority="1581" operator="greaterThan">
      <formula>0.9</formula>
    </cfRule>
    <cfRule type="cellIs" dxfId="5998" priority="1582" operator="greaterThan">
      <formula>0.85</formula>
    </cfRule>
  </conditionalFormatting>
  <conditionalFormatting sqref="N134">
    <cfRule type="cellIs" dxfId="5997" priority="1579" operator="greaterThan">
      <formula>0.9</formula>
    </cfRule>
    <cfRule type="cellIs" dxfId="5996" priority="1580" operator="greaterThan">
      <formula>0.85</formula>
    </cfRule>
  </conditionalFormatting>
  <conditionalFormatting sqref="E134">
    <cfRule type="expression" dxfId="5995" priority="1575">
      <formula>AND(IF(OR($Q134=1,$Q134=2),1,0),IF($X134&lt;=20,1,0))</formula>
    </cfRule>
    <cfRule type="expression" dxfId="5994" priority="1576">
      <formula>AND(IF($Q134=2,1,0),IF($X134&lt;30,1,0))</formula>
    </cfRule>
    <cfRule type="expression" dxfId="5993" priority="1577">
      <formula>AND(IF($Q134=3,1,0),IF($X134&lt;30,1,0))</formula>
    </cfRule>
    <cfRule type="expression" dxfId="5992" priority="1578">
      <formula>AND(IF($Q134=3,1,IF($Q134=4,1,0)),IF($F134&lt;=85,1,0))</formula>
    </cfRule>
  </conditionalFormatting>
  <conditionalFormatting sqref="X134">
    <cfRule type="expression" dxfId="5991" priority="1571">
      <formula>AND(IF(OR($Q134=1,$Q134=2),1,0),IF($X134&lt;=20,1,0))</formula>
    </cfRule>
    <cfRule type="expression" dxfId="5990" priority="1572">
      <formula>AND(IF($Q134=2,1,0),IF($X134&lt;30,1,0))</formula>
    </cfRule>
    <cfRule type="expression" dxfId="5989" priority="1573">
      <formula>AND(IF($Q134=3,1,0),IF($X134&lt;30,1,0))</formula>
    </cfRule>
    <cfRule type="expression" dxfId="5988" priority="1574">
      <formula>AND(IF($Q134=3,1,IF($Q134=4,1,0)),IF($F134&lt;=85,1,0))</formula>
    </cfRule>
  </conditionalFormatting>
  <conditionalFormatting sqref="AI134">
    <cfRule type="expression" dxfId="5987" priority="1567">
      <formula>AND(IF(OR($Q134=1,$Q134=2),1,0),IF($X134&lt;=20,1,0))</formula>
    </cfRule>
    <cfRule type="expression" dxfId="5986" priority="1568">
      <formula>AND(IF($Q134=2,1,0),IF($X134&lt;30,1,0))</formula>
    </cfRule>
    <cfRule type="expression" dxfId="5985" priority="1569">
      <formula>AND(IF($Q134=3,1,0),IF($X134&lt;30,1,0))</formula>
    </cfRule>
    <cfRule type="expression" dxfId="5984" priority="1570">
      <formula>AND(IF($Q134=3,1,IF($Q134=4,1,0)),IF($F134&lt;=85,1,0))</formula>
    </cfRule>
  </conditionalFormatting>
  <conditionalFormatting sqref="AV135">
    <cfRule type="expression" dxfId="5983" priority="1565">
      <formula>AV135="X"</formula>
    </cfRule>
    <cfRule type="expression" dxfId="5982" priority="1566">
      <formula>AV135="후보"</formula>
    </cfRule>
  </conditionalFormatting>
  <conditionalFormatting sqref="AC135">
    <cfRule type="cellIs" dxfId="5981" priority="1563" operator="greaterThan">
      <formula>0.9</formula>
    </cfRule>
    <cfRule type="cellIs" dxfId="5980" priority="1564" operator="greaterThan">
      <formula>0.85</formula>
    </cfRule>
  </conditionalFormatting>
  <conditionalFormatting sqref="N135">
    <cfRule type="cellIs" dxfId="5979" priority="1561" operator="greaterThan">
      <formula>0.9</formula>
    </cfRule>
    <cfRule type="cellIs" dxfId="5978" priority="1562" operator="greaterThan">
      <formula>0.85</formula>
    </cfRule>
  </conditionalFormatting>
  <conditionalFormatting sqref="E135">
    <cfRule type="expression" dxfId="5977" priority="1557">
      <formula>AND(IF(OR($Q135=1,$Q135=2),1,0),IF($X135&lt;=20,1,0))</formula>
    </cfRule>
    <cfRule type="expression" dxfId="5976" priority="1558">
      <formula>AND(IF($Q135=2,1,0),IF($X135&lt;30,1,0))</formula>
    </cfRule>
    <cfRule type="expression" dxfId="5975" priority="1559">
      <formula>AND(IF($Q135=3,1,0),IF($X135&lt;30,1,0))</formula>
    </cfRule>
    <cfRule type="expression" dxfId="5974" priority="1560">
      <formula>AND(IF($Q135=3,1,IF($Q135=4,1,0)),IF($F135&lt;=85,1,0))</formula>
    </cfRule>
  </conditionalFormatting>
  <conditionalFormatting sqref="X135">
    <cfRule type="expression" dxfId="5973" priority="1553">
      <formula>AND(IF(OR($Q135=1,$Q135=2),1,0),IF($X135&lt;=20,1,0))</formula>
    </cfRule>
    <cfRule type="expression" dxfId="5972" priority="1554">
      <formula>AND(IF($Q135=2,1,0),IF($X135&lt;30,1,0))</formula>
    </cfRule>
    <cfRule type="expression" dxfId="5971" priority="1555">
      <formula>AND(IF($Q135=3,1,0),IF($X135&lt;30,1,0))</formula>
    </cfRule>
    <cfRule type="expression" dxfId="5970" priority="1556">
      <formula>AND(IF($Q135=3,1,IF($Q135=4,1,0)),IF($F135&lt;=85,1,0))</formula>
    </cfRule>
  </conditionalFormatting>
  <conditionalFormatting sqref="AI135">
    <cfRule type="expression" dxfId="5969" priority="1549">
      <formula>AND(IF(OR($Q135=1,$Q135=2),1,0),IF($X135&lt;=20,1,0))</formula>
    </cfRule>
    <cfRule type="expression" dxfId="5968" priority="1550">
      <formula>AND(IF($Q135=2,1,0),IF($X135&lt;30,1,0))</formula>
    </cfRule>
    <cfRule type="expression" dxfId="5967" priority="1551">
      <formula>AND(IF($Q135=3,1,0),IF($X135&lt;30,1,0))</formula>
    </cfRule>
    <cfRule type="expression" dxfId="5966" priority="1552">
      <formula>AND(IF($Q135=3,1,IF($Q135=4,1,0)),IF($F135&lt;=85,1,0))</formula>
    </cfRule>
  </conditionalFormatting>
  <conditionalFormatting sqref="AV136">
    <cfRule type="expression" dxfId="5965" priority="1547">
      <formula>AV136="X"</formula>
    </cfRule>
    <cfRule type="expression" dxfId="5964" priority="1548">
      <formula>AV136="후보"</formula>
    </cfRule>
  </conditionalFormatting>
  <conditionalFormatting sqref="AC136">
    <cfRule type="cellIs" dxfId="5963" priority="1545" operator="greaterThan">
      <formula>0.9</formula>
    </cfRule>
    <cfRule type="cellIs" dxfId="5962" priority="1546" operator="greaterThan">
      <formula>0.85</formula>
    </cfRule>
  </conditionalFormatting>
  <conditionalFormatting sqref="N136">
    <cfRule type="cellIs" dxfId="5961" priority="1543" operator="greaterThan">
      <formula>0.9</formula>
    </cfRule>
    <cfRule type="cellIs" dxfId="5960" priority="1544" operator="greaterThan">
      <formula>0.85</formula>
    </cfRule>
  </conditionalFormatting>
  <conditionalFormatting sqref="E136">
    <cfRule type="expression" dxfId="5959" priority="1539">
      <formula>AND(IF(OR($Q136=1,$Q136=2),1,0),IF($X136&lt;=20,1,0))</formula>
    </cfRule>
    <cfRule type="expression" dxfId="5958" priority="1540">
      <formula>AND(IF($Q136=2,1,0),IF($X136&lt;30,1,0))</formula>
    </cfRule>
    <cfRule type="expression" dxfId="5957" priority="1541">
      <formula>AND(IF($Q136=3,1,0),IF($X136&lt;30,1,0))</formula>
    </cfRule>
    <cfRule type="expression" dxfId="5956" priority="1542">
      <formula>AND(IF($Q136=3,1,IF($Q136=4,1,0)),IF($F136&lt;=85,1,0))</formula>
    </cfRule>
  </conditionalFormatting>
  <conditionalFormatting sqref="X136">
    <cfRule type="expression" dxfId="5955" priority="1535">
      <formula>AND(IF(OR($Q136=1,$Q136=2),1,0),IF($X136&lt;=20,1,0))</formula>
    </cfRule>
    <cfRule type="expression" dxfId="5954" priority="1536">
      <formula>AND(IF($Q136=2,1,0),IF($X136&lt;30,1,0))</formula>
    </cfRule>
    <cfRule type="expression" dxfId="5953" priority="1537">
      <formula>AND(IF($Q136=3,1,0),IF($X136&lt;30,1,0))</formula>
    </cfRule>
    <cfRule type="expression" dxfId="5952" priority="1538">
      <formula>AND(IF($Q136=3,1,IF($Q136=4,1,0)),IF($F136&lt;=85,1,0))</formula>
    </cfRule>
  </conditionalFormatting>
  <conditionalFormatting sqref="AI136">
    <cfRule type="expression" dxfId="5951" priority="1531">
      <formula>AND(IF(OR($Q136=1,$Q136=2),1,0),IF($X136&lt;=20,1,0))</formula>
    </cfRule>
    <cfRule type="expression" dxfId="5950" priority="1532">
      <formula>AND(IF($Q136=2,1,0),IF($X136&lt;30,1,0))</formula>
    </cfRule>
    <cfRule type="expression" dxfId="5949" priority="1533">
      <formula>AND(IF($Q136=3,1,0),IF($X136&lt;30,1,0))</formula>
    </cfRule>
    <cfRule type="expression" dxfId="5948" priority="1534">
      <formula>AND(IF($Q136=3,1,IF($Q136=4,1,0)),IF($F136&lt;=85,1,0))</formula>
    </cfRule>
  </conditionalFormatting>
  <conditionalFormatting sqref="AV137">
    <cfRule type="expression" dxfId="5947" priority="1529">
      <formula>AV137="X"</formula>
    </cfRule>
    <cfRule type="expression" dxfId="5946" priority="1530">
      <formula>AV137="후보"</formula>
    </cfRule>
  </conditionalFormatting>
  <conditionalFormatting sqref="AC137">
    <cfRule type="cellIs" dxfId="5945" priority="1527" operator="greaterThan">
      <formula>0.9</formula>
    </cfRule>
    <cfRule type="cellIs" dxfId="5944" priority="1528" operator="greaterThan">
      <formula>0.85</formula>
    </cfRule>
  </conditionalFormatting>
  <conditionalFormatting sqref="N137">
    <cfRule type="cellIs" dxfId="5943" priority="1525" operator="greaterThan">
      <formula>0.9</formula>
    </cfRule>
    <cfRule type="cellIs" dxfId="5942" priority="1526" operator="greaterThan">
      <formula>0.85</formula>
    </cfRule>
  </conditionalFormatting>
  <conditionalFormatting sqref="E137">
    <cfRule type="expression" dxfId="5941" priority="1521">
      <formula>AND(IF(OR($Q137=1,$Q137=2),1,0),IF($X137&lt;=20,1,0))</formula>
    </cfRule>
    <cfRule type="expression" dxfId="5940" priority="1522">
      <formula>AND(IF($Q137=2,1,0),IF($X137&lt;30,1,0))</formula>
    </cfRule>
    <cfRule type="expression" dxfId="5939" priority="1523">
      <formula>AND(IF($Q137=3,1,0),IF($X137&lt;30,1,0))</formula>
    </cfRule>
    <cfRule type="expression" dxfId="5938" priority="1524">
      <formula>AND(IF($Q137=3,1,IF($Q137=4,1,0)),IF($F137&lt;=85,1,0))</formula>
    </cfRule>
  </conditionalFormatting>
  <conditionalFormatting sqref="X137">
    <cfRule type="expression" dxfId="5937" priority="1517">
      <formula>AND(IF(OR($Q137=1,$Q137=2),1,0),IF($X137&lt;=20,1,0))</formula>
    </cfRule>
    <cfRule type="expression" dxfId="5936" priority="1518">
      <formula>AND(IF($Q137=2,1,0),IF($X137&lt;30,1,0))</formula>
    </cfRule>
    <cfRule type="expression" dxfId="5935" priority="1519">
      <formula>AND(IF($Q137=3,1,0),IF($X137&lt;30,1,0))</formula>
    </cfRule>
    <cfRule type="expression" dxfId="5934" priority="1520">
      <formula>AND(IF($Q137=3,1,IF($Q137=4,1,0)),IF($F137&lt;=85,1,0))</formula>
    </cfRule>
  </conditionalFormatting>
  <conditionalFormatting sqref="AI137">
    <cfRule type="expression" dxfId="5933" priority="1513">
      <formula>AND(IF(OR($Q137=1,$Q137=2),1,0),IF($X137&lt;=20,1,0))</formula>
    </cfRule>
    <cfRule type="expression" dxfId="5932" priority="1514">
      <formula>AND(IF($Q137=2,1,0),IF($X137&lt;30,1,0))</formula>
    </cfRule>
    <cfRule type="expression" dxfId="5931" priority="1515">
      <formula>AND(IF($Q137=3,1,0),IF($X137&lt;30,1,0))</formula>
    </cfRule>
    <cfRule type="expression" dxfId="5930" priority="1516">
      <formula>AND(IF($Q137=3,1,IF($Q137=4,1,0)),IF($F137&lt;=85,1,0))</formula>
    </cfRule>
  </conditionalFormatting>
  <conditionalFormatting sqref="AV138">
    <cfRule type="expression" dxfId="5929" priority="1511">
      <formula>AV138="X"</formula>
    </cfRule>
    <cfRule type="expression" dxfId="5928" priority="1512">
      <formula>AV138="후보"</formula>
    </cfRule>
  </conditionalFormatting>
  <conditionalFormatting sqref="AC138">
    <cfRule type="cellIs" dxfId="5927" priority="1509" operator="greaterThan">
      <formula>0.9</formula>
    </cfRule>
    <cfRule type="cellIs" dxfId="5926" priority="1510" operator="greaterThan">
      <formula>0.85</formula>
    </cfRule>
  </conditionalFormatting>
  <conditionalFormatting sqref="N138">
    <cfRule type="cellIs" dxfId="5925" priority="1507" operator="greaterThan">
      <formula>0.9</formula>
    </cfRule>
    <cfRule type="cellIs" dxfId="5924" priority="1508" operator="greaterThan">
      <formula>0.85</formula>
    </cfRule>
  </conditionalFormatting>
  <conditionalFormatting sqref="E138">
    <cfRule type="expression" dxfId="5923" priority="1503">
      <formula>AND(IF(OR($Q138=1,$Q138=2),1,0),IF($X138&lt;=20,1,0))</formula>
    </cfRule>
    <cfRule type="expression" dxfId="5922" priority="1504">
      <formula>AND(IF($Q138=2,1,0),IF($X138&lt;30,1,0))</formula>
    </cfRule>
    <cfRule type="expression" dxfId="5921" priority="1505">
      <formula>AND(IF($Q138=3,1,0),IF($X138&lt;30,1,0))</formula>
    </cfRule>
    <cfRule type="expression" dxfId="5920" priority="1506">
      <formula>AND(IF($Q138=3,1,IF($Q138=4,1,0)),IF($F138&lt;=85,1,0))</formula>
    </cfRule>
  </conditionalFormatting>
  <conditionalFormatting sqref="X138">
    <cfRule type="expression" dxfId="5919" priority="1499">
      <formula>AND(IF(OR($Q138=1,$Q138=2),1,0),IF($X138&lt;=20,1,0))</formula>
    </cfRule>
    <cfRule type="expression" dxfId="5918" priority="1500">
      <formula>AND(IF($Q138=2,1,0),IF($X138&lt;30,1,0))</formula>
    </cfRule>
    <cfRule type="expression" dxfId="5917" priority="1501">
      <formula>AND(IF($Q138=3,1,0),IF($X138&lt;30,1,0))</formula>
    </cfRule>
    <cfRule type="expression" dxfId="5916" priority="1502">
      <formula>AND(IF($Q138=3,1,IF($Q138=4,1,0)),IF($F138&lt;=85,1,0))</formula>
    </cfRule>
  </conditionalFormatting>
  <conditionalFormatting sqref="AI138">
    <cfRule type="expression" dxfId="5915" priority="1495">
      <formula>AND(IF(OR($Q138=1,$Q138=2),1,0),IF($X138&lt;=20,1,0))</formula>
    </cfRule>
    <cfRule type="expression" dxfId="5914" priority="1496">
      <formula>AND(IF($Q138=2,1,0),IF($X138&lt;30,1,0))</formula>
    </cfRule>
    <cfRule type="expression" dxfId="5913" priority="1497">
      <formula>AND(IF($Q138=3,1,0),IF($X138&lt;30,1,0))</formula>
    </cfRule>
    <cfRule type="expression" dxfId="5912" priority="1498">
      <formula>AND(IF($Q138=3,1,IF($Q138=4,1,0)),IF($F138&lt;=85,1,0))</formula>
    </cfRule>
  </conditionalFormatting>
  <conditionalFormatting sqref="AV139">
    <cfRule type="expression" dxfId="5911" priority="1493">
      <formula>AV139="X"</formula>
    </cfRule>
    <cfRule type="expression" dxfId="5910" priority="1494">
      <formula>AV139="후보"</formula>
    </cfRule>
  </conditionalFormatting>
  <conditionalFormatting sqref="AC139">
    <cfRule type="cellIs" dxfId="5909" priority="1491" operator="greaterThan">
      <formula>0.9</formula>
    </cfRule>
    <cfRule type="cellIs" dxfId="5908" priority="1492" operator="greaterThan">
      <formula>0.85</formula>
    </cfRule>
  </conditionalFormatting>
  <conditionalFormatting sqref="N139">
    <cfRule type="cellIs" dxfId="5907" priority="1489" operator="greaterThan">
      <formula>0.9</formula>
    </cfRule>
    <cfRule type="cellIs" dxfId="5906" priority="1490" operator="greaterThan">
      <formula>0.85</formula>
    </cfRule>
  </conditionalFormatting>
  <conditionalFormatting sqref="E139">
    <cfRule type="expression" dxfId="5905" priority="1485">
      <formula>AND(IF(OR($Q139=1,$Q139=2),1,0),IF($X139&lt;=20,1,0))</formula>
    </cfRule>
    <cfRule type="expression" dxfId="5904" priority="1486">
      <formula>AND(IF($Q139=2,1,0),IF($X139&lt;30,1,0))</formula>
    </cfRule>
    <cfRule type="expression" dxfId="5903" priority="1487">
      <formula>AND(IF($Q139=3,1,0),IF($X139&lt;30,1,0))</formula>
    </cfRule>
    <cfRule type="expression" dxfId="5902" priority="1488">
      <formula>AND(IF($Q139=3,1,IF($Q139=4,1,0)),IF($F139&lt;=85,1,0))</formula>
    </cfRule>
  </conditionalFormatting>
  <conditionalFormatting sqref="X139">
    <cfRule type="expression" dxfId="5901" priority="1481">
      <formula>AND(IF(OR($Q139=1,$Q139=2),1,0),IF($X139&lt;=20,1,0))</formula>
    </cfRule>
    <cfRule type="expression" dxfId="5900" priority="1482">
      <formula>AND(IF($Q139=2,1,0),IF($X139&lt;30,1,0))</formula>
    </cfRule>
    <cfRule type="expression" dxfId="5899" priority="1483">
      <formula>AND(IF($Q139=3,1,0),IF($X139&lt;30,1,0))</formula>
    </cfRule>
    <cfRule type="expression" dxfId="5898" priority="1484">
      <formula>AND(IF($Q139=3,1,IF($Q139=4,1,0)),IF($F139&lt;=85,1,0))</formula>
    </cfRule>
  </conditionalFormatting>
  <conditionalFormatting sqref="AI139">
    <cfRule type="expression" dxfId="5897" priority="1477">
      <formula>AND(IF(OR($Q139=1,$Q139=2),1,0),IF($X139&lt;=20,1,0))</formula>
    </cfRule>
    <cfRule type="expression" dxfId="5896" priority="1478">
      <formula>AND(IF($Q139=2,1,0),IF($X139&lt;30,1,0))</formula>
    </cfRule>
    <cfRule type="expression" dxfId="5895" priority="1479">
      <formula>AND(IF($Q139=3,1,0),IF($X139&lt;30,1,0))</formula>
    </cfRule>
    <cfRule type="expression" dxfId="5894" priority="1480">
      <formula>AND(IF($Q139=3,1,IF($Q139=4,1,0)),IF($F139&lt;=85,1,0))</formula>
    </cfRule>
  </conditionalFormatting>
  <conditionalFormatting sqref="AV140">
    <cfRule type="expression" dxfId="5893" priority="1475">
      <formula>AV140="X"</formula>
    </cfRule>
    <cfRule type="expression" dxfId="5892" priority="1476">
      <formula>AV140="후보"</formula>
    </cfRule>
  </conditionalFormatting>
  <conditionalFormatting sqref="AC140">
    <cfRule type="cellIs" dxfId="5891" priority="1473" operator="greaterThan">
      <formula>0.9</formula>
    </cfRule>
    <cfRule type="cellIs" dxfId="5890" priority="1474" operator="greaterThan">
      <formula>0.85</formula>
    </cfRule>
  </conditionalFormatting>
  <conditionalFormatting sqref="N140">
    <cfRule type="cellIs" dxfId="5889" priority="1471" operator="greaterThan">
      <formula>0.9</formula>
    </cfRule>
    <cfRule type="cellIs" dxfId="5888" priority="1472" operator="greaterThan">
      <formula>0.85</formula>
    </cfRule>
  </conditionalFormatting>
  <conditionalFormatting sqref="E140">
    <cfRule type="expression" dxfId="5887" priority="1467">
      <formula>AND(IF(OR($Q140=1,$Q140=2),1,0),IF($X140&lt;=20,1,0))</formula>
    </cfRule>
    <cfRule type="expression" dxfId="5886" priority="1468">
      <formula>AND(IF($Q140=2,1,0),IF($X140&lt;30,1,0))</formula>
    </cfRule>
    <cfRule type="expression" dxfId="5885" priority="1469">
      <formula>AND(IF($Q140=3,1,0),IF($X140&lt;30,1,0))</formula>
    </cfRule>
    <cfRule type="expression" dxfId="5884" priority="1470">
      <formula>AND(IF($Q140=3,1,IF($Q140=4,1,0)),IF($F140&lt;=85,1,0))</formula>
    </cfRule>
  </conditionalFormatting>
  <conditionalFormatting sqref="X140">
    <cfRule type="expression" dxfId="5883" priority="1463">
      <formula>AND(IF(OR($Q140=1,$Q140=2),1,0),IF($X140&lt;=20,1,0))</formula>
    </cfRule>
    <cfRule type="expression" dxfId="5882" priority="1464">
      <formula>AND(IF($Q140=2,1,0),IF($X140&lt;30,1,0))</formula>
    </cfRule>
    <cfRule type="expression" dxfId="5881" priority="1465">
      <formula>AND(IF($Q140=3,1,0),IF($X140&lt;30,1,0))</formula>
    </cfRule>
    <cfRule type="expression" dxfId="5880" priority="1466">
      <formula>AND(IF($Q140=3,1,IF($Q140=4,1,0)),IF($F140&lt;=85,1,0))</formula>
    </cfRule>
  </conditionalFormatting>
  <conditionalFormatting sqref="AI140">
    <cfRule type="expression" dxfId="5879" priority="1459">
      <formula>AND(IF(OR($Q140=1,$Q140=2),1,0),IF($X140&lt;=20,1,0))</formula>
    </cfRule>
    <cfRule type="expression" dxfId="5878" priority="1460">
      <formula>AND(IF($Q140=2,1,0),IF($X140&lt;30,1,0))</formula>
    </cfRule>
    <cfRule type="expression" dxfId="5877" priority="1461">
      <formula>AND(IF($Q140=3,1,0),IF($X140&lt;30,1,0))</formula>
    </cfRule>
    <cfRule type="expression" dxfId="5876" priority="1462">
      <formula>AND(IF($Q140=3,1,IF($Q140=4,1,0)),IF($F140&lt;=85,1,0))</formula>
    </cfRule>
  </conditionalFormatting>
  <conditionalFormatting sqref="AV141">
    <cfRule type="expression" dxfId="5875" priority="1457">
      <formula>AV141="X"</formula>
    </cfRule>
    <cfRule type="expression" dxfId="5874" priority="1458">
      <formula>AV141="후보"</formula>
    </cfRule>
  </conditionalFormatting>
  <conditionalFormatting sqref="AC141">
    <cfRule type="cellIs" dxfId="5873" priority="1455" operator="greaterThan">
      <formula>0.9</formula>
    </cfRule>
    <cfRule type="cellIs" dxfId="5872" priority="1456" operator="greaterThan">
      <formula>0.85</formula>
    </cfRule>
  </conditionalFormatting>
  <conditionalFormatting sqref="N141">
    <cfRule type="cellIs" dxfId="5871" priority="1453" operator="greaterThan">
      <formula>0.9</formula>
    </cfRule>
    <cfRule type="cellIs" dxfId="5870" priority="1454" operator="greaterThan">
      <formula>0.85</formula>
    </cfRule>
  </conditionalFormatting>
  <conditionalFormatting sqref="E141">
    <cfRule type="expression" dxfId="5869" priority="1449">
      <formula>AND(IF(OR($Q141=1,$Q141=2),1,0),IF($X141&lt;=20,1,0))</formula>
    </cfRule>
    <cfRule type="expression" dxfId="5868" priority="1450">
      <formula>AND(IF($Q141=2,1,0),IF($X141&lt;30,1,0))</formula>
    </cfRule>
    <cfRule type="expression" dxfId="5867" priority="1451">
      <formula>AND(IF($Q141=3,1,0),IF($X141&lt;30,1,0))</formula>
    </cfRule>
    <cfRule type="expression" dxfId="5866" priority="1452">
      <formula>AND(IF($Q141=3,1,IF($Q141=4,1,0)),IF($F141&lt;=85,1,0))</formula>
    </cfRule>
  </conditionalFormatting>
  <conditionalFormatting sqref="X141">
    <cfRule type="expression" dxfId="5865" priority="1445">
      <formula>AND(IF(OR($Q141=1,$Q141=2),1,0),IF($X141&lt;=20,1,0))</formula>
    </cfRule>
    <cfRule type="expression" dxfId="5864" priority="1446">
      <formula>AND(IF($Q141=2,1,0),IF($X141&lt;30,1,0))</formula>
    </cfRule>
    <cfRule type="expression" dxfId="5863" priority="1447">
      <formula>AND(IF($Q141=3,1,0),IF($X141&lt;30,1,0))</formula>
    </cfRule>
    <cfRule type="expression" dxfId="5862" priority="1448">
      <formula>AND(IF($Q141=3,1,IF($Q141=4,1,0)),IF($F141&lt;=85,1,0))</formula>
    </cfRule>
  </conditionalFormatting>
  <conditionalFormatting sqref="AI141">
    <cfRule type="expression" dxfId="5861" priority="1441">
      <formula>AND(IF(OR($Q141=1,$Q141=2),1,0),IF($X141&lt;=20,1,0))</formula>
    </cfRule>
    <cfRule type="expression" dxfId="5860" priority="1442">
      <formula>AND(IF($Q141=2,1,0),IF($X141&lt;30,1,0))</formula>
    </cfRule>
    <cfRule type="expression" dxfId="5859" priority="1443">
      <formula>AND(IF($Q141=3,1,0),IF($X141&lt;30,1,0))</formula>
    </cfRule>
    <cfRule type="expression" dxfId="5858" priority="1444">
      <formula>AND(IF($Q141=3,1,IF($Q141=4,1,0)),IF($F141&lt;=85,1,0))</formula>
    </cfRule>
  </conditionalFormatting>
  <conditionalFormatting sqref="AV142">
    <cfRule type="expression" dxfId="5857" priority="1439">
      <formula>AV142="X"</formula>
    </cfRule>
    <cfRule type="expression" dxfId="5856" priority="1440">
      <formula>AV142="후보"</formula>
    </cfRule>
  </conditionalFormatting>
  <conditionalFormatting sqref="AC142">
    <cfRule type="cellIs" dxfId="5855" priority="1437" operator="greaterThan">
      <formula>0.9</formula>
    </cfRule>
    <cfRule type="cellIs" dxfId="5854" priority="1438" operator="greaterThan">
      <formula>0.85</formula>
    </cfRule>
  </conditionalFormatting>
  <conditionalFormatting sqref="N142">
    <cfRule type="cellIs" dxfId="5853" priority="1435" operator="greaterThan">
      <formula>0.9</formula>
    </cfRule>
    <cfRule type="cellIs" dxfId="5852" priority="1436" operator="greaterThan">
      <formula>0.85</formula>
    </cfRule>
  </conditionalFormatting>
  <conditionalFormatting sqref="E142">
    <cfRule type="expression" dxfId="5851" priority="1431">
      <formula>AND(IF(OR($Q142=1,$Q142=2),1,0),IF($X142&lt;=20,1,0))</formula>
    </cfRule>
    <cfRule type="expression" dxfId="5850" priority="1432">
      <formula>AND(IF($Q142=2,1,0),IF($X142&lt;30,1,0))</formula>
    </cfRule>
    <cfRule type="expression" dxfId="5849" priority="1433">
      <formula>AND(IF($Q142=3,1,0),IF($X142&lt;30,1,0))</formula>
    </cfRule>
    <cfRule type="expression" dxfId="5848" priority="1434">
      <formula>AND(IF($Q142=3,1,IF($Q142=4,1,0)),IF($F142&lt;=85,1,0))</formula>
    </cfRule>
  </conditionalFormatting>
  <conditionalFormatting sqref="X142">
    <cfRule type="expression" dxfId="5847" priority="1427">
      <formula>AND(IF(OR($Q142=1,$Q142=2),1,0),IF($X142&lt;=20,1,0))</formula>
    </cfRule>
    <cfRule type="expression" dxfId="5846" priority="1428">
      <formula>AND(IF($Q142=2,1,0),IF($X142&lt;30,1,0))</formula>
    </cfRule>
    <cfRule type="expression" dxfId="5845" priority="1429">
      <formula>AND(IF($Q142=3,1,0),IF($X142&lt;30,1,0))</formula>
    </cfRule>
    <cfRule type="expression" dxfId="5844" priority="1430">
      <formula>AND(IF($Q142=3,1,IF($Q142=4,1,0)),IF($F142&lt;=85,1,0))</formula>
    </cfRule>
  </conditionalFormatting>
  <conditionalFormatting sqref="AI142">
    <cfRule type="expression" dxfId="5843" priority="1423">
      <formula>AND(IF(OR($Q142=1,$Q142=2),1,0),IF($X142&lt;=20,1,0))</formula>
    </cfRule>
    <cfRule type="expression" dxfId="5842" priority="1424">
      <formula>AND(IF($Q142=2,1,0),IF($X142&lt;30,1,0))</formula>
    </cfRule>
    <cfRule type="expression" dxfId="5841" priority="1425">
      <formula>AND(IF($Q142=3,1,0),IF($X142&lt;30,1,0))</formula>
    </cfRule>
    <cfRule type="expression" dxfId="5840" priority="1426">
      <formula>AND(IF($Q142=3,1,IF($Q142=4,1,0)),IF($F142&lt;=85,1,0))</formula>
    </cfRule>
  </conditionalFormatting>
  <conditionalFormatting sqref="AV143">
    <cfRule type="expression" dxfId="5839" priority="1421">
      <formula>AV143="X"</formula>
    </cfRule>
    <cfRule type="expression" dxfId="5838" priority="1422">
      <formula>AV143="후보"</formula>
    </cfRule>
  </conditionalFormatting>
  <conditionalFormatting sqref="AC143">
    <cfRule type="cellIs" dxfId="5837" priority="1419" operator="greaterThan">
      <formula>0.9</formula>
    </cfRule>
    <cfRule type="cellIs" dxfId="5836" priority="1420" operator="greaterThan">
      <formula>0.85</formula>
    </cfRule>
  </conditionalFormatting>
  <conditionalFormatting sqref="N143">
    <cfRule type="cellIs" dxfId="5835" priority="1417" operator="greaterThan">
      <formula>0.9</formula>
    </cfRule>
    <cfRule type="cellIs" dxfId="5834" priority="1418" operator="greaterThan">
      <formula>0.85</formula>
    </cfRule>
  </conditionalFormatting>
  <conditionalFormatting sqref="E143">
    <cfRule type="expression" dxfId="5833" priority="1413">
      <formula>AND(IF(OR($Q143=1,$Q143=2),1,0),IF($X143&lt;=20,1,0))</formula>
    </cfRule>
    <cfRule type="expression" dxfId="5832" priority="1414">
      <formula>AND(IF($Q143=2,1,0),IF($X143&lt;30,1,0))</formula>
    </cfRule>
    <cfRule type="expression" dxfId="5831" priority="1415">
      <formula>AND(IF($Q143=3,1,0),IF($X143&lt;30,1,0))</formula>
    </cfRule>
    <cfRule type="expression" dxfId="5830" priority="1416">
      <formula>AND(IF($Q143=3,1,IF($Q143=4,1,0)),IF($F143&lt;=85,1,0))</formula>
    </cfRule>
  </conditionalFormatting>
  <conditionalFormatting sqref="X143">
    <cfRule type="expression" dxfId="5829" priority="1409">
      <formula>AND(IF(OR($Q143=1,$Q143=2),1,0),IF($X143&lt;=20,1,0))</formula>
    </cfRule>
    <cfRule type="expression" dxfId="5828" priority="1410">
      <formula>AND(IF($Q143=2,1,0),IF($X143&lt;30,1,0))</formula>
    </cfRule>
    <cfRule type="expression" dxfId="5827" priority="1411">
      <formula>AND(IF($Q143=3,1,0),IF($X143&lt;30,1,0))</formula>
    </cfRule>
    <cfRule type="expression" dxfId="5826" priority="1412">
      <formula>AND(IF($Q143=3,1,IF($Q143=4,1,0)),IF($F143&lt;=85,1,0))</formula>
    </cfRule>
  </conditionalFormatting>
  <conditionalFormatting sqref="AI143">
    <cfRule type="expression" dxfId="5825" priority="1405">
      <formula>AND(IF(OR($Q143=1,$Q143=2),1,0),IF($X143&lt;=20,1,0))</formula>
    </cfRule>
    <cfRule type="expression" dxfId="5824" priority="1406">
      <formula>AND(IF($Q143=2,1,0),IF($X143&lt;30,1,0))</formula>
    </cfRule>
    <cfRule type="expression" dxfId="5823" priority="1407">
      <formula>AND(IF($Q143=3,1,0),IF($X143&lt;30,1,0))</formula>
    </cfRule>
    <cfRule type="expression" dxfId="5822" priority="1408">
      <formula>AND(IF($Q143=3,1,IF($Q143=4,1,0)),IF($F143&lt;=85,1,0))</formula>
    </cfRule>
  </conditionalFormatting>
  <conditionalFormatting sqref="AV144">
    <cfRule type="expression" dxfId="5821" priority="1403">
      <formula>AV144="X"</formula>
    </cfRule>
    <cfRule type="expression" dxfId="5820" priority="1404">
      <formula>AV144="후보"</formula>
    </cfRule>
  </conditionalFormatting>
  <conditionalFormatting sqref="AC144">
    <cfRule type="cellIs" dxfId="5819" priority="1401" operator="greaterThan">
      <formula>0.9</formula>
    </cfRule>
    <cfRule type="cellIs" dxfId="5818" priority="1402" operator="greaterThan">
      <formula>0.85</formula>
    </cfRule>
  </conditionalFormatting>
  <conditionalFormatting sqref="N144">
    <cfRule type="cellIs" dxfId="5817" priority="1399" operator="greaterThan">
      <formula>0.9</formula>
    </cfRule>
    <cfRule type="cellIs" dxfId="5816" priority="1400" operator="greaterThan">
      <formula>0.85</formula>
    </cfRule>
  </conditionalFormatting>
  <conditionalFormatting sqref="E144">
    <cfRule type="expression" dxfId="5815" priority="1395">
      <formula>AND(IF(OR($Q144=1,$Q144=2),1,0),IF($X144&lt;=20,1,0))</formula>
    </cfRule>
    <cfRule type="expression" dxfId="5814" priority="1396">
      <formula>AND(IF($Q144=2,1,0),IF($X144&lt;30,1,0))</formula>
    </cfRule>
    <cfRule type="expression" dxfId="5813" priority="1397">
      <formula>AND(IF($Q144=3,1,0),IF($X144&lt;30,1,0))</formula>
    </cfRule>
    <cfRule type="expression" dxfId="5812" priority="1398">
      <formula>AND(IF($Q144=3,1,IF($Q144=4,1,0)),IF($F144&lt;=85,1,0))</formula>
    </cfRule>
  </conditionalFormatting>
  <conditionalFormatting sqref="X144">
    <cfRule type="expression" dxfId="5811" priority="1391">
      <formula>AND(IF(OR($Q144=1,$Q144=2),1,0),IF($X144&lt;=20,1,0))</formula>
    </cfRule>
    <cfRule type="expression" dxfId="5810" priority="1392">
      <formula>AND(IF($Q144=2,1,0),IF($X144&lt;30,1,0))</formula>
    </cfRule>
    <cfRule type="expression" dxfId="5809" priority="1393">
      <formula>AND(IF($Q144=3,1,0),IF($X144&lt;30,1,0))</formula>
    </cfRule>
    <cfRule type="expression" dxfId="5808" priority="1394">
      <formula>AND(IF($Q144=3,1,IF($Q144=4,1,0)),IF($F144&lt;=85,1,0))</formula>
    </cfRule>
  </conditionalFormatting>
  <conditionalFormatting sqref="AI144">
    <cfRule type="expression" dxfId="5807" priority="1387">
      <formula>AND(IF(OR($Q144=1,$Q144=2),1,0),IF($X144&lt;=20,1,0))</formula>
    </cfRule>
    <cfRule type="expression" dxfId="5806" priority="1388">
      <formula>AND(IF($Q144=2,1,0),IF($X144&lt;30,1,0))</formula>
    </cfRule>
    <cfRule type="expression" dxfId="5805" priority="1389">
      <formula>AND(IF($Q144=3,1,0),IF($X144&lt;30,1,0))</formula>
    </cfRule>
    <cfRule type="expression" dxfId="5804" priority="1390">
      <formula>AND(IF($Q144=3,1,IF($Q144=4,1,0)),IF($F144&lt;=85,1,0))</formula>
    </cfRule>
  </conditionalFormatting>
  <conditionalFormatting sqref="AV145">
    <cfRule type="expression" dxfId="5803" priority="1385">
      <formula>AV145="X"</formula>
    </cfRule>
    <cfRule type="expression" dxfId="5802" priority="1386">
      <formula>AV145="후보"</formula>
    </cfRule>
  </conditionalFormatting>
  <conditionalFormatting sqref="AC145">
    <cfRule type="cellIs" dxfId="5801" priority="1383" operator="greaterThan">
      <formula>0.9</formula>
    </cfRule>
    <cfRule type="cellIs" dxfId="5800" priority="1384" operator="greaterThan">
      <formula>0.85</formula>
    </cfRule>
  </conditionalFormatting>
  <conditionalFormatting sqref="N145">
    <cfRule type="cellIs" dxfId="5799" priority="1381" operator="greaterThan">
      <formula>0.9</formula>
    </cfRule>
    <cfRule type="cellIs" dxfId="5798" priority="1382" operator="greaterThan">
      <formula>0.85</formula>
    </cfRule>
  </conditionalFormatting>
  <conditionalFormatting sqref="E145">
    <cfRule type="expression" dxfId="5797" priority="1377">
      <formula>AND(IF(OR($Q145=1,$Q145=2),1,0),IF($X145&lt;=20,1,0))</formula>
    </cfRule>
    <cfRule type="expression" dxfId="5796" priority="1378">
      <formula>AND(IF($Q145=2,1,0),IF($X145&lt;30,1,0))</formula>
    </cfRule>
    <cfRule type="expression" dxfId="5795" priority="1379">
      <formula>AND(IF($Q145=3,1,0),IF($X145&lt;30,1,0))</formula>
    </cfRule>
    <cfRule type="expression" dxfId="5794" priority="1380">
      <formula>AND(IF($Q145=3,1,IF($Q145=4,1,0)),IF($F145&lt;=85,1,0))</formula>
    </cfRule>
  </conditionalFormatting>
  <conditionalFormatting sqref="X145">
    <cfRule type="expression" dxfId="5793" priority="1373">
      <formula>AND(IF(OR($Q145=1,$Q145=2),1,0),IF($X145&lt;=20,1,0))</formula>
    </cfRule>
    <cfRule type="expression" dxfId="5792" priority="1374">
      <formula>AND(IF($Q145=2,1,0),IF($X145&lt;30,1,0))</formula>
    </cfRule>
    <cfRule type="expression" dxfId="5791" priority="1375">
      <formula>AND(IF($Q145=3,1,0),IF($X145&lt;30,1,0))</formula>
    </cfRule>
    <cfRule type="expression" dxfId="5790" priority="1376">
      <formula>AND(IF($Q145=3,1,IF($Q145=4,1,0)),IF($F145&lt;=85,1,0))</formula>
    </cfRule>
  </conditionalFormatting>
  <conditionalFormatting sqref="AI145">
    <cfRule type="expression" dxfId="5789" priority="1369">
      <formula>AND(IF(OR($Q145=1,$Q145=2),1,0),IF($X145&lt;=20,1,0))</formula>
    </cfRule>
    <cfRule type="expression" dxfId="5788" priority="1370">
      <formula>AND(IF($Q145=2,1,0),IF($X145&lt;30,1,0))</formula>
    </cfRule>
    <cfRule type="expression" dxfId="5787" priority="1371">
      <formula>AND(IF($Q145=3,1,0),IF($X145&lt;30,1,0))</formula>
    </cfRule>
    <cfRule type="expression" dxfId="5786" priority="1372">
      <formula>AND(IF($Q145=3,1,IF($Q145=4,1,0)),IF($F145&lt;=85,1,0))</formula>
    </cfRule>
  </conditionalFormatting>
  <conditionalFormatting sqref="AV146">
    <cfRule type="expression" dxfId="5785" priority="1367">
      <formula>AV146="X"</formula>
    </cfRule>
    <cfRule type="expression" dxfId="5784" priority="1368">
      <formula>AV146="후보"</formula>
    </cfRule>
  </conditionalFormatting>
  <conditionalFormatting sqref="AC146">
    <cfRule type="cellIs" dxfId="5783" priority="1365" operator="greaterThan">
      <formula>0.9</formula>
    </cfRule>
    <cfRule type="cellIs" dxfId="5782" priority="1366" operator="greaterThan">
      <formula>0.85</formula>
    </cfRule>
  </conditionalFormatting>
  <conditionalFormatting sqref="N146">
    <cfRule type="cellIs" dxfId="5781" priority="1363" operator="greaterThan">
      <formula>0.9</formula>
    </cfRule>
    <cfRule type="cellIs" dxfId="5780" priority="1364" operator="greaterThan">
      <formula>0.85</formula>
    </cfRule>
  </conditionalFormatting>
  <conditionalFormatting sqref="E146">
    <cfRule type="expression" dxfId="5779" priority="1359">
      <formula>AND(IF(OR($Q146=1,$Q146=2),1,0),IF($X146&lt;=20,1,0))</formula>
    </cfRule>
    <cfRule type="expression" dxfId="5778" priority="1360">
      <formula>AND(IF($Q146=2,1,0),IF($X146&lt;30,1,0))</formula>
    </cfRule>
    <cfRule type="expression" dxfId="5777" priority="1361">
      <formula>AND(IF($Q146=3,1,0),IF($X146&lt;30,1,0))</formula>
    </cfRule>
    <cfRule type="expression" dxfId="5776" priority="1362">
      <formula>AND(IF($Q146=3,1,IF($Q146=4,1,0)),IF($F146&lt;=85,1,0))</formula>
    </cfRule>
  </conditionalFormatting>
  <conditionalFormatting sqref="X146">
    <cfRule type="expression" dxfId="5775" priority="1355">
      <formula>AND(IF(OR($Q146=1,$Q146=2),1,0),IF($X146&lt;=20,1,0))</formula>
    </cfRule>
    <cfRule type="expression" dxfId="5774" priority="1356">
      <formula>AND(IF($Q146=2,1,0),IF($X146&lt;30,1,0))</formula>
    </cfRule>
    <cfRule type="expression" dxfId="5773" priority="1357">
      <formula>AND(IF($Q146=3,1,0),IF($X146&lt;30,1,0))</formula>
    </cfRule>
    <cfRule type="expression" dxfId="5772" priority="1358">
      <formula>AND(IF($Q146=3,1,IF($Q146=4,1,0)),IF($F146&lt;=85,1,0))</formula>
    </cfRule>
  </conditionalFormatting>
  <conditionalFormatting sqref="AI146">
    <cfRule type="expression" dxfId="5771" priority="1351">
      <formula>AND(IF(OR($Q146=1,$Q146=2),1,0),IF($X146&lt;=20,1,0))</formula>
    </cfRule>
    <cfRule type="expression" dxfId="5770" priority="1352">
      <formula>AND(IF($Q146=2,1,0),IF($X146&lt;30,1,0))</formula>
    </cfRule>
    <cfRule type="expression" dxfId="5769" priority="1353">
      <formula>AND(IF($Q146=3,1,0),IF($X146&lt;30,1,0))</formula>
    </cfRule>
    <cfRule type="expression" dxfId="5768" priority="1354">
      <formula>AND(IF($Q146=3,1,IF($Q146=4,1,0)),IF($F146&lt;=85,1,0))</formula>
    </cfRule>
  </conditionalFormatting>
  <conditionalFormatting sqref="AV147">
    <cfRule type="expression" dxfId="5767" priority="1349">
      <formula>AV147="X"</formula>
    </cfRule>
    <cfRule type="expression" dxfId="5766" priority="1350">
      <formula>AV147="후보"</formula>
    </cfRule>
  </conditionalFormatting>
  <conditionalFormatting sqref="AC147">
    <cfRule type="cellIs" dxfId="5765" priority="1347" operator="greaterThan">
      <formula>0.9</formula>
    </cfRule>
    <cfRule type="cellIs" dxfId="5764" priority="1348" operator="greaterThan">
      <formula>0.85</formula>
    </cfRule>
  </conditionalFormatting>
  <conditionalFormatting sqref="N147">
    <cfRule type="cellIs" dxfId="5763" priority="1345" operator="greaterThan">
      <formula>0.9</formula>
    </cfRule>
    <cfRule type="cellIs" dxfId="5762" priority="1346" operator="greaterThan">
      <formula>0.85</formula>
    </cfRule>
  </conditionalFormatting>
  <conditionalFormatting sqref="E147">
    <cfRule type="expression" dxfId="5761" priority="1341">
      <formula>AND(IF(OR($Q147=1,$Q147=2),1,0),IF($X147&lt;=20,1,0))</formula>
    </cfRule>
    <cfRule type="expression" dxfId="5760" priority="1342">
      <formula>AND(IF($Q147=2,1,0),IF($X147&lt;30,1,0))</formula>
    </cfRule>
    <cfRule type="expression" dxfId="5759" priority="1343">
      <formula>AND(IF($Q147=3,1,0),IF($X147&lt;30,1,0))</formula>
    </cfRule>
    <cfRule type="expression" dxfId="5758" priority="1344">
      <formula>AND(IF($Q147=3,1,IF($Q147=4,1,0)),IF($F147&lt;=85,1,0))</formula>
    </cfRule>
  </conditionalFormatting>
  <conditionalFormatting sqref="X147">
    <cfRule type="expression" dxfId="5757" priority="1337">
      <formula>AND(IF(OR($Q147=1,$Q147=2),1,0),IF($X147&lt;=20,1,0))</formula>
    </cfRule>
    <cfRule type="expression" dxfId="5756" priority="1338">
      <formula>AND(IF($Q147=2,1,0),IF($X147&lt;30,1,0))</formula>
    </cfRule>
    <cfRule type="expression" dxfId="5755" priority="1339">
      <formula>AND(IF($Q147=3,1,0),IF($X147&lt;30,1,0))</formula>
    </cfRule>
    <cfRule type="expression" dxfId="5754" priority="1340">
      <formula>AND(IF($Q147=3,1,IF($Q147=4,1,0)),IF($F147&lt;=85,1,0))</formula>
    </cfRule>
  </conditionalFormatting>
  <conditionalFormatting sqref="AI147">
    <cfRule type="expression" dxfId="5753" priority="1333">
      <formula>AND(IF(OR($Q147=1,$Q147=2),1,0),IF($X147&lt;=20,1,0))</formula>
    </cfRule>
    <cfRule type="expression" dxfId="5752" priority="1334">
      <formula>AND(IF($Q147=2,1,0),IF($X147&lt;30,1,0))</formula>
    </cfRule>
    <cfRule type="expression" dxfId="5751" priority="1335">
      <formula>AND(IF($Q147=3,1,0),IF($X147&lt;30,1,0))</formula>
    </cfRule>
    <cfRule type="expression" dxfId="5750" priority="1336">
      <formula>AND(IF($Q147=3,1,IF($Q147=4,1,0)),IF($F147&lt;=85,1,0))</formula>
    </cfRule>
  </conditionalFormatting>
  <conditionalFormatting sqref="AV148">
    <cfRule type="expression" dxfId="5749" priority="1331">
      <formula>AV148="X"</formula>
    </cfRule>
    <cfRule type="expression" dxfId="5748" priority="1332">
      <formula>AV148="후보"</formula>
    </cfRule>
  </conditionalFormatting>
  <conditionalFormatting sqref="AC148">
    <cfRule type="cellIs" dxfId="5747" priority="1329" operator="greaterThan">
      <formula>0.9</formula>
    </cfRule>
    <cfRule type="cellIs" dxfId="5746" priority="1330" operator="greaterThan">
      <formula>0.85</formula>
    </cfRule>
  </conditionalFormatting>
  <conditionalFormatting sqref="N148">
    <cfRule type="cellIs" dxfId="5745" priority="1327" operator="greaterThan">
      <formula>0.9</formula>
    </cfRule>
    <cfRule type="cellIs" dxfId="5744" priority="1328" operator="greaterThan">
      <formula>0.85</formula>
    </cfRule>
  </conditionalFormatting>
  <conditionalFormatting sqref="E148">
    <cfRule type="expression" dxfId="5743" priority="1323">
      <formula>AND(IF(OR($Q148=1,$Q148=2),1,0),IF($X148&lt;=20,1,0))</formula>
    </cfRule>
    <cfRule type="expression" dxfId="5742" priority="1324">
      <formula>AND(IF($Q148=2,1,0),IF($X148&lt;30,1,0))</formula>
    </cfRule>
    <cfRule type="expression" dxfId="5741" priority="1325">
      <formula>AND(IF($Q148=3,1,0),IF($X148&lt;30,1,0))</formula>
    </cfRule>
    <cfRule type="expression" dxfId="5740" priority="1326">
      <formula>AND(IF($Q148=3,1,IF($Q148=4,1,0)),IF($F148&lt;=85,1,0))</formula>
    </cfRule>
  </conditionalFormatting>
  <conditionalFormatting sqref="X148">
    <cfRule type="expression" dxfId="5739" priority="1319">
      <formula>AND(IF(OR($Q148=1,$Q148=2),1,0),IF($X148&lt;=20,1,0))</formula>
    </cfRule>
    <cfRule type="expression" dxfId="5738" priority="1320">
      <formula>AND(IF($Q148=2,1,0),IF($X148&lt;30,1,0))</formula>
    </cfRule>
    <cfRule type="expression" dxfId="5737" priority="1321">
      <formula>AND(IF($Q148=3,1,0),IF($X148&lt;30,1,0))</formula>
    </cfRule>
    <cfRule type="expression" dxfId="5736" priority="1322">
      <formula>AND(IF($Q148=3,1,IF($Q148=4,1,0)),IF($F148&lt;=85,1,0))</formula>
    </cfRule>
  </conditionalFormatting>
  <conditionalFormatting sqref="AI148">
    <cfRule type="expression" dxfId="5735" priority="1315">
      <formula>AND(IF(OR($Q148=1,$Q148=2),1,0),IF($X148&lt;=20,1,0))</formula>
    </cfRule>
    <cfRule type="expression" dxfId="5734" priority="1316">
      <formula>AND(IF($Q148=2,1,0),IF($X148&lt;30,1,0))</formula>
    </cfRule>
    <cfRule type="expression" dxfId="5733" priority="1317">
      <formula>AND(IF($Q148=3,1,0),IF($X148&lt;30,1,0))</formula>
    </cfRule>
    <cfRule type="expression" dxfId="5732" priority="1318">
      <formula>AND(IF($Q148=3,1,IF($Q148=4,1,0)),IF($F148&lt;=85,1,0))</formula>
    </cfRule>
  </conditionalFormatting>
  <conditionalFormatting sqref="AV149">
    <cfRule type="expression" dxfId="5731" priority="1313">
      <formula>AV149="X"</formula>
    </cfRule>
    <cfRule type="expression" dxfId="5730" priority="1314">
      <formula>AV149="후보"</formula>
    </cfRule>
  </conditionalFormatting>
  <conditionalFormatting sqref="AC149">
    <cfRule type="cellIs" dxfId="5729" priority="1311" operator="greaterThan">
      <formula>0.9</formula>
    </cfRule>
    <cfRule type="cellIs" dxfId="5728" priority="1312" operator="greaterThan">
      <formula>0.85</formula>
    </cfRule>
  </conditionalFormatting>
  <conditionalFormatting sqref="N149">
    <cfRule type="cellIs" dxfId="5727" priority="1309" operator="greaterThan">
      <formula>0.9</formula>
    </cfRule>
    <cfRule type="cellIs" dxfId="5726" priority="1310" operator="greaterThan">
      <formula>0.85</formula>
    </cfRule>
  </conditionalFormatting>
  <conditionalFormatting sqref="E149">
    <cfRule type="expression" dxfId="5725" priority="1305">
      <formula>AND(IF(OR($Q149=1,$Q149=2),1,0),IF($X149&lt;=20,1,0))</formula>
    </cfRule>
    <cfRule type="expression" dxfId="5724" priority="1306">
      <formula>AND(IF($Q149=2,1,0),IF($X149&lt;30,1,0))</formula>
    </cfRule>
    <cfRule type="expression" dxfId="5723" priority="1307">
      <formula>AND(IF($Q149=3,1,0),IF($X149&lt;30,1,0))</formula>
    </cfRule>
    <cfRule type="expression" dxfId="5722" priority="1308">
      <formula>AND(IF($Q149=3,1,IF($Q149=4,1,0)),IF($F149&lt;=85,1,0))</formula>
    </cfRule>
  </conditionalFormatting>
  <conditionalFormatting sqref="X149">
    <cfRule type="expression" dxfId="5721" priority="1301">
      <formula>AND(IF(OR($Q149=1,$Q149=2),1,0),IF($X149&lt;=20,1,0))</formula>
    </cfRule>
    <cfRule type="expression" dxfId="5720" priority="1302">
      <formula>AND(IF($Q149=2,1,0),IF($X149&lt;30,1,0))</formula>
    </cfRule>
    <cfRule type="expression" dxfId="5719" priority="1303">
      <formula>AND(IF($Q149=3,1,0),IF($X149&lt;30,1,0))</formula>
    </cfRule>
    <cfRule type="expression" dxfId="5718" priority="1304">
      <formula>AND(IF($Q149=3,1,IF($Q149=4,1,0)),IF($F149&lt;=85,1,0))</formula>
    </cfRule>
  </conditionalFormatting>
  <conditionalFormatting sqref="AI149">
    <cfRule type="expression" dxfId="5717" priority="1297">
      <formula>AND(IF(OR($Q149=1,$Q149=2),1,0),IF($X149&lt;=20,1,0))</formula>
    </cfRule>
    <cfRule type="expression" dxfId="5716" priority="1298">
      <formula>AND(IF($Q149=2,1,0),IF($X149&lt;30,1,0))</formula>
    </cfRule>
    <cfRule type="expression" dxfId="5715" priority="1299">
      <formula>AND(IF($Q149=3,1,0),IF($X149&lt;30,1,0))</formula>
    </cfRule>
    <cfRule type="expression" dxfId="5714" priority="1300">
      <formula>AND(IF($Q149=3,1,IF($Q149=4,1,0)),IF($F149&lt;=85,1,0))</formula>
    </cfRule>
  </conditionalFormatting>
  <conditionalFormatting sqref="AV150">
    <cfRule type="expression" dxfId="5713" priority="1295">
      <formula>AV150="X"</formula>
    </cfRule>
    <cfRule type="expression" dxfId="5712" priority="1296">
      <formula>AV150="후보"</formula>
    </cfRule>
  </conditionalFormatting>
  <conditionalFormatting sqref="AC150">
    <cfRule type="cellIs" dxfId="5711" priority="1293" operator="greaterThan">
      <formula>0.9</formula>
    </cfRule>
    <cfRule type="cellIs" dxfId="5710" priority="1294" operator="greaterThan">
      <formula>0.85</formula>
    </cfRule>
  </conditionalFormatting>
  <conditionalFormatting sqref="N150">
    <cfRule type="cellIs" dxfId="5709" priority="1291" operator="greaterThan">
      <formula>0.9</formula>
    </cfRule>
    <cfRule type="cellIs" dxfId="5708" priority="1292" operator="greaterThan">
      <formula>0.85</formula>
    </cfRule>
  </conditionalFormatting>
  <conditionalFormatting sqref="E150">
    <cfRule type="expression" dxfId="5707" priority="1287">
      <formula>AND(IF(OR($Q150=1,$Q150=2),1,0),IF($X150&lt;=20,1,0))</formula>
    </cfRule>
    <cfRule type="expression" dxfId="5706" priority="1288">
      <formula>AND(IF($Q150=2,1,0),IF($X150&lt;30,1,0))</formula>
    </cfRule>
    <cfRule type="expression" dxfId="5705" priority="1289">
      <formula>AND(IF($Q150=3,1,0),IF($X150&lt;30,1,0))</formula>
    </cfRule>
    <cfRule type="expression" dxfId="5704" priority="1290">
      <formula>AND(IF($Q150=3,1,IF($Q150=4,1,0)),IF($F150&lt;=85,1,0))</formula>
    </cfRule>
  </conditionalFormatting>
  <conditionalFormatting sqref="X150">
    <cfRule type="expression" dxfId="5703" priority="1283">
      <formula>AND(IF(OR($Q150=1,$Q150=2),1,0),IF($X150&lt;=20,1,0))</formula>
    </cfRule>
    <cfRule type="expression" dxfId="5702" priority="1284">
      <formula>AND(IF($Q150=2,1,0),IF($X150&lt;30,1,0))</formula>
    </cfRule>
    <cfRule type="expression" dxfId="5701" priority="1285">
      <formula>AND(IF($Q150=3,1,0),IF($X150&lt;30,1,0))</formula>
    </cfRule>
    <cfRule type="expression" dxfId="5700" priority="1286">
      <formula>AND(IF($Q150=3,1,IF($Q150=4,1,0)),IF($F150&lt;=85,1,0))</formula>
    </cfRule>
  </conditionalFormatting>
  <conditionalFormatting sqref="AI150">
    <cfRule type="expression" dxfId="5699" priority="1279">
      <formula>AND(IF(OR($Q150=1,$Q150=2),1,0),IF($X150&lt;=20,1,0))</formula>
    </cfRule>
    <cfRule type="expression" dxfId="5698" priority="1280">
      <formula>AND(IF($Q150=2,1,0),IF($X150&lt;30,1,0))</formula>
    </cfRule>
    <cfRule type="expression" dxfId="5697" priority="1281">
      <formula>AND(IF($Q150=3,1,0),IF($X150&lt;30,1,0))</formula>
    </cfRule>
    <cfRule type="expression" dxfId="5696" priority="1282">
      <formula>AND(IF($Q150=3,1,IF($Q150=4,1,0)),IF($F150&lt;=85,1,0))</formula>
    </cfRule>
  </conditionalFormatting>
  <conditionalFormatting sqref="AV151">
    <cfRule type="expression" dxfId="5695" priority="1277">
      <formula>AV151="X"</formula>
    </cfRule>
    <cfRule type="expression" dxfId="5694" priority="1278">
      <formula>AV151="후보"</formula>
    </cfRule>
  </conditionalFormatting>
  <conditionalFormatting sqref="AC151">
    <cfRule type="cellIs" dxfId="5693" priority="1275" operator="greaterThan">
      <formula>0.9</formula>
    </cfRule>
    <cfRule type="cellIs" dxfId="5692" priority="1276" operator="greaterThan">
      <formula>0.85</formula>
    </cfRule>
  </conditionalFormatting>
  <conditionalFormatting sqref="N151">
    <cfRule type="cellIs" dxfId="5691" priority="1273" operator="greaterThan">
      <formula>0.9</formula>
    </cfRule>
    <cfRule type="cellIs" dxfId="5690" priority="1274" operator="greaterThan">
      <formula>0.85</formula>
    </cfRule>
  </conditionalFormatting>
  <conditionalFormatting sqref="E151">
    <cfRule type="expression" dxfId="5689" priority="1269">
      <formula>AND(IF(OR($Q151=1,$Q151=2),1,0),IF($X151&lt;=20,1,0))</formula>
    </cfRule>
    <cfRule type="expression" dxfId="5688" priority="1270">
      <formula>AND(IF($Q151=2,1,0),IF($X151&lt;30,1,0))</formula>
    </cfRule>
    <cfRule type="expression" dxfId="5687" priority="1271">
      <formula>AND(IF($Q151=3,1,0),IF($X151&lt;30,1,0))</formula>
    </cfRule>
    <cfRule type="expression" dxfId="5686" priority="1272">
      <formula>AND(IF($Q151=3,1,IF($Q151=4,1,0)),IF($F151&lt;=85,1,0))</formula>
    </cfRule>
  </conditionalFormatting>
  <conditionalFormatting sqref="X151">
    <cfRule type="expression" dxfId="5685" priority="1265">
      <formula>AND(IF(OR($Q151=1,$Q151=2),1,0),IF($X151&lt;=20,1,0))</formula>
    </cfRule>
    <cfRule type="expression" dxfId="5684" priority="1266">
      <formula>AND(IF($Q151=2,1,0),IF($X151&lt;30,1,0))</formula>
    </cfRule>
    <cfRule type="expression" dxfId="5683" priority="1267">
      <formula>AND(IF($Q151=3,1,0),IF($X151&lt;30,1,0))</formula>
    </cfRule>
    <cfRule type="expression" dxfId="5682" priority="1268">
      <formula>AND(IF($Q151=3,1,IF($Q151=4,1,0)),IF($F151&lt;=85,1,0))</formula>
    </cfRule>
  </conditionalFormatting>
  <conditionalFormatting sqref="AI151">
    <cfRule type="expression" dxfId="5681" priority="1261">
      <formula>AND(IF(OR($Q151=1,$Q151=2),1,0),IF($X151&lt;=20,1,0))</formula>
    </cfRule>
    <cfRule type="expression" dxfId="5680" priority="1262">
      <formula>AND(IF($Q151=2,1,0),IF($X151&lt;30,1,0))</formula>
    </cfRule>
    <cfRule type="expression" dxfId="5679" priority="1263">
      <formula>AND(IF($Q151=3,1,0),IF($X151&lt;30,1,0))</formula>
    </cfRule>
    <cfRule type="expression" dxfId="5678" priority="1264">
      <formula>AND(IF($Q151=3,1,IF($Q151=4,1,0)),IF($F151&lt;=85,1,0))</formula>
    </cfRule>
  </conditionalFormatting>
  <conditionalFormatting sqref="AV152">
    <cfRule type="expression" dxfId="5677" priority="1259">
      <formula>AV152="X"</formula>
    </cfRule>
    <cfRule type="expression" dxfId="5676" priority="1260">
      <formula>AV152="후보"</formula>
    </cfRule>
  </conditionalFormatting>
  <conditionalFormatting sqref="AC152">
    <cfRule type="cellIs" dxfId="5675" priority="1257" operator="greaterThan">
      <formula>0.9</formula>
    </cfRule>
    <cfRule type="cellIs" dxfId="5674" priority="1258" operator="greaterThan">
      <formula>0.85</formula>
    </cfRule>
  </conditionalFormatting>
  <conditionalFormatting sqref="N152">
    <cfRule type="cellIs" dxfId="5673" priority="1255" operator="greaterThan">
      <formula>0.9</formula>
    </cfRule>
    <cfRule type="cellIs" dxfId="5672" priority="1256" operator="greaterThan">
      <formula>0.85</formula>
    </cfRule>
  </conditionalFormatting>
  <conditionalFormatting sqref="E152">
    <cfRule type="expression" dxfId="5671" priority="1251">
      <formula>AND(IF(OR($Q152=1,$Q152=2),1,0),IF($X152&lt;=20,1,0))</formula>
    </cfRule>
    <cfRule type="expression" dxfId="5670" priority="1252">
      <formula>AND(IF($Q152=2,1,0),IF($X152&lt;30,1,0))</formula>
    </cfRule>
    <cfRule type="expression" dxfId="5669" priority="1253">
      <formula>AND(IF($Q152=3,1,0),IF($X152&lt;30,1,0))</formula>
    </cfRule>
    <cfRule type="expression" dxfId="5668" priority="1254">
      <formula>AND(IF($Q152=3,1,IF($Q152=4,1,0)),IF($F152&lt;=85,1,0))</formula>
    </cfRule>
  </conditionalFormatting>
  <conditionalFormatting sqref="X152">
    <cfRule type="expression" dxfId="5667" priority="1247">
      <formula>AND(IF(OR($Q152=1,$Q152=2),1,0),IF($X152&lt;=20,1,0))</formula>
    </cfRule>
    <cfRule type="expression" dxfId="5666" priority="1248">
      <formula>AND(IF($Q152=2,1,0),IF($X152&lt;30,1,0))</formula>
    </cfRule>
    <cfRule type="expression" dxfId="5665" priority="1249">
      <formula>AND(IF($Q152=3,1,0),IF($X152&lt;30,1,0))</formula>
    </cfRule>
    <cfRule type="expression" dxfId="5664" priority="1250">
      <formula>AND(IF($Q152=3,1,IF($Q152=4,1,0)),IF($F152&lt;=85,1,0))</formula>
    </cfRule>
  </conditionalFormatting>
  <conditionalFormatting sqref="AI152">
    <cfRule type="expression" dxfId="5663" priority="1243">
      <formula>AND(IF(OR($Q152=1,$Q152=2),1,0),IF($X152&lt;=20,1,0))</formula>
    </cfRule>
    <cfRule type="expression" dxfId="5662" priority="1244">
      <formula>AND(IF($Q152=2,1,0),IF($X152&lt;30,1,0))</formula>
    </cfRule>
    <cfRule type="expression" dxfId="5661" priority="1245">
      <formula>AND(IF($Q152=3,1,0),IF($X152&lt;30,1,0))</formula>
    </cfRule>
    <cfRule type="expression" dxfId="5660" priority="1246">
      <formula>AND(IF($Q152=3,1,IF($Q152=4,1,0)),IF($F152&lt;=85,1,0))</formula>
    </cfRule>
  </conditionalFormatting>
  <conditionalFormatting sqref="AV153">
    <cfRule type="expression" dxfId="5659" priority="1241">
      <formula>AV153="X"</formula>
    </cfRule>
    <cfRule type="expression" dxfId="5658" priority="1242">
      <formula>AV153="후보"</formula>
    </cfRule>
  </conditionalFormatting>
  <conditionalFormatting sqref="AC153">
    <cfRule type="cellIs" dxfId="5657" priority="1239" operator="greaterThan">
      <formula>0.9</formula>
    </cfRule>
    <cfRule type="cellIs" dxfId="5656" priority="1240" operator="greaterThan">
      <formula>0.85</formula>
    </cfRule>
  </conditionalFormatting>
  <conditionalFormatting sqref="N153">
    <cfRule type="cellIs" dxfId="5655" priority="1237" operator="greaterThan">
      <formula>0.9</formula>
    </cfRule>
    <cfRule type="cellIs" dxfId="5654" priority="1238" operator="greaterThan">
      <formula>0.85</formula>
    </cfRule>
  </conditionalFormatting>
  <conditionalFormatting sqref="E153">
    <cfRule type="expression" dxfId="5653" priority="1233">
      <formula>AND(IF(OR($Q153=1,$Q153=2),1,0),IF($X153&lt;=20,1,0))</formula>
    </cfRule>
    <cfRule type="expression" dxfId="5652" priority="1234">
      <formula>AND(IF($Q153=2,1,0),IF($X153&lt;30,1,0))</formula>
    </cfRule>
    <cfRule type="expression" dxfId="5651" priority="1235">
      <formula>AND(IF($Q153=3,1,0),IF($X153&lt;30,1,0))</formula>
    </cfRule>
    <cfRule type="expression" dxfId="5650" priority="1236">
      <formula>AND(IF($Q153=3,1,IF($Q153=4,1,0)),IF($F153&lt;=85,1,0))</formula>
    </cfRule>
  </conditionalFormatting>
  <conditionalFormatting sqref="X153">
    <cfRule type="expression" dxfId="5649" priority="1229">
      <formula>AND(IF(OR($Q153=1,$Q153=2),1,0),IF($X153&lt;=20,1,0))</formula>
    </cfRule>
    <cfRule type="expression" dxfId="5648" priority="1230">
      <formula>AND(IF($Q153=2,1,0),IF($X153&lt;30,1,0))</formula>
    </cfRule>
    <cfRule type="expression" dxfId="5647" priority="1231">
      <formula>AND(IF($Q153=3,1,0),IF($X153&lt;30,1,0))</formula>
    </cfRule>
    <cfRule type="expression" dxfId="5646" priority="1232">
      <formula>AND(IF($Q153=3,1,IF($Q153=4,1,0)),IF($F153&lt;=85,1,0))</formula>
    </cfRule>
  </conditionalFormatting>
  <conditionalFormatting sqref="AI153">
    <cfRule type="expression" dxfId="5645" priority="1225">
      <formula>AND(IF(OR($Q153=1,$Q153=2),1,0),IF($X153&lt;=20,1,0))</formula>
    </cfRule>
    <cfRule type="expression" dxfId="5644" priority="1226">
      <formula>AND(IF($Q153=2,1,0),IF($X153&lt;30,1,0))</formula>
    </cfRule>
    <cfRule type="expression" dxfId="5643" priority="1227">
      <formula>AND(IF($Q153=3,1,0),IF($X153&lt;30,1,0))</formula>
    </cfRule>
    <cfRule type="expression" dxfId="5642" priority="1228">
      <formula>AND(IF($Q153=3,1,IF($Q153=4,1,0)),IF($F153&lt;=85,1,0))</formula>
    </cfRule>
  </conditionalFormatting>
  <conditionalFormatting sqref="AV154">
    <cfRule type="expression" dxfId="5641" priority="1223">
      <formula>AV154="X"</formula>
    </cfRule>
    <cfRule type="expression" dxfId="5640" priority="1224">
      <formula>AV154="후보"</formula>
    </cfRule>
  </conditionalFormatting>
  <conditionalFormatting sqref="AC154">
    <cfRule type="cellIs" dxfId="5639" priority="1221" operator="greaterThan">
      <formula>0.9</formula>
    </cfRule>
    <cfRule type="cellIs" dxfId="5638" priority="1222" operator="greaterThan">
      <formula>0.85</formula>
    </cfRule>
  </conditionalFormatting>
  <conditionalFormatting sqref="N154">
    <cfRule type="cellIs" dxfId="5637" priority="1219" operator="greaterThan">
      <formula>0.9</formula>
    </cfRule>
    <cfRule type="cellIs" dxfId="5636" priority="1220" operator="greaterThan">
      <formula>0.85</formula>
    </cfRule>
  </conditionalFormatting>
  <conditionalFormatting sqref="E154">
    <cfRule type="expression" dxfId="5635" priority="1215">
      <formula>AND(IF(OR($Q154=1,$Q154=2),1,0),IF($X154&lt;=20,1,0))</formula>
    </cfRule>
    <cfRule type="expression" dxfId="5634" priority="1216">
      <formula>AND(IF($Q154=2,1,0),IF($X154&lt;30,1,0))</formula>
    </cfRule>
    <cfRule type="expression" dxfId="5633" priority="1217">
      <formula>AND(IF($Q154=3,1,0),IF($X154&lt;30,1,0))</formula>
    </cfRule>
    <cfRule type="expression" dxfId="5632" priority="1218">
      <formula>AND(IF($Q154=3,1,IF($Q154=4,1,0)),IF($F154&lt;=85,1,0))</formula>
    </cfRule>
  </conditionalFormatting>
  <conditionalFormatting sqref="X154">
    <cfRule type="expression" dxfId="5631" priority="1211">
      <formula>AND(IF(OR($Q154=1,$Q154=2),1,0),IF($X154&lt;=20,1,0))</formula>
    </cfRule>
    <cfRule type="expression" dxfId="5630" priority="1212">
      <formula>AND(IF($Q154=2,1,0),IF($X154&lt;30,1,0))</formula>
    </cfRule>
    <cfRule type="expression" dxfId="5629" priority="1213">
      <formula>AND(IF($Q154=3,1,0),IF($X154&lt;30,1,0))</formula>
    </cfRule>
    <cfRule type="expression" dxfId="5628" priority="1214">
      <formula>AND(IF($Q154=3,1,IF($Q154=4,1,0)),IF($F154&lt;=85,1,0))</formula>
    </cfRule>
  </conditionalFormatting>
  <conditionalFormatting sqref="AI154">
    <cfRule type="expression" dxfId="5627" priority="1207">
      <formula>AND(IF(OR($Q154=1,$Q154=2),1,0),IF($X154&lt;=20,1,0))</formula>
    </cfRule>
    <cfRule type="expression" dxfId="5626" priority="1208">
      <formula>AND(IF($Q154=2,1,0),IF($X154&lt;30,1,0))</formula>
    </cfRule>
    <cfRule type="expression" dxfId="5625" priority="1209">
      <formula>AND(IF($Q154=3,1,0),IF($X154&lt;30,1,0))</formula>
    </cfRule>
    <cfRule type="expression" dxfId="5624" priority="1210">
      <formula>AND(IF($Q154=3,1,IF($Q154=4,1,0)),IF($F154&lt;=85,1,0))</formula>
    </cfRule>
  </conditionalFormatting>
  <conditionalFormatting sqref="AV155">
    <cfRule type="expression" dxfId="5623" priority="1205">
      <formula>AV155="X"</formula>
    </cfRule>
    <cfRule type="expression" dxfId="5622" priority="1206">
      <formula>AV155="후보"</formula>
    </cfRule>
  </conditionalFormatting>
  <conditionalFormatting sqref="AC155">
    <cfRule type="cellIs" dxfId="5621" priority="1203" operator="greaterThan">
      <formula>0.9</formula>
    </cfRule>
    <cfRule type="cellIs" dxfId="5620" priority="1204" operator="greaterThan">
      <formula>0.85</formula>
    </cfRule>
  </conditionalFormatting>
  <conditionalFormatting sqref="N155">
    <cfRule type="cellIs" dxfId="5619" priority="1201" operator="greaterThan">
      <formula>0.9</formula>
    </cfRule>
    <cfRule type="cellIs" dxfId="5618" priority="1202" operator="greaterThan">
      <formula>0.85</formula>
    </cfRule>
  </conditionalFormatting>
  <conditionalFormatting sqref="E155">
    <cfRule type="expression" dxfId="5617" priority="1197">
      <formula>AND(IF(OR($Q155=1,$Q155=2),1,0),IF($X155&lt;=20,1,0))</formula>
    </cfRule>
    <cfRule type="expression" dxfId="5616" priority="1198">
      <formula>AND(IF($Q155=2,1,0),IF($X155&lt;30,1,0))</formula>
    </cfRule>
    <cfRule type="expression" dxfId="5615" priority="1199">
      <formula>AND(IF($Q155=3,1,0),IF($X155&lt;30,1,0))</formula>
    </cfRule>
    <cfRule type="expression" dxfId="5614" priority="1200">
      <formula>AND(IF($Q155=3,1,IF($Q155=4,1,0)),IF($F155&lt;=85,1,0))</formula>
    </cfRule>
  </conditionalFormatting>
  <conditionalFormatting sqref="X155">
    <cfRule type="expression" dxfId="5613" priority="1193">
      <formula>AND(IF(OR($Q155=1,$Q155=2),1,0),IF($X155&lt;=20,1,0))</formula>
    </cfRule>
    <cfRule type="expression" dxfId="5612" priority="1194">
      <formula>AND(IF($Q155=2,1,0),IF($X155&lt;30,1,0))</formula>
    </cfRule>
    <cfRule type="expression" dxfId="5611" priority="1195">
      <formula>AND(IF($Q155=3,1,0),IF($X155&lt;30,1,0))</formula>
    </cfRule>
    <cfRule type="expression" dxfId="5610" priority="1196">
      <formula>AND(IF($Q155=3,1,IF($Q155=4,1,0)),IF($F155&lt;=85,1,0))</formula>
    </cfRule>
  </conditionalFormatting>
  <conditionalFormatting sqref="AI155">
    <cfRule type="expression" dxfId="5609" priority="1189">
      <formula>AND(IF(OR($Q155=1,$Q155=2),1,0),IF($X155&lt;=20,1,0))</formula>
    </cfRule>
    <cfRule type="expression" dxfId="5608" priority="1190">
      <formula>AND(IF($Q155=2,1,0),IF($X155&lt;30,1,0))</formula>
    </cfRule>
    <cfRule type="expression" dxfId="5607" priority="1191">
      <formula>AND(IF($Q155=3,1,0),IF($X155&lt;30,1,0))</formula>
    </cfRule>
    <cfRule type="expression" dxfId="5606" priority="1192">
      <formula>AND(IF($Q155=3,1,IF($Q155=4,1,0)),IF($F155&lt;=85,1,0))</formula>
    </cfRule>
  </conditionalFormatting>
  <conditionalFormatting sqref="AV156">
    <cfRule type="expression" dxfId="5605" priority="1187">
      <formula>AV156="X"</formula>
    </cfRule>
    <cfRule type="expression" dxfId="5604" priority="1188">
      <formula>AV156="후보"</formula>
    </cfRule>
  </conditionalFormatting>
  <conditionalFormatting sqref="AC156">
    <cfRule type="cellIs" dxfId="5603" priority="1185" operator="greaterThan">
      <formula>0.9</formula>
    </cfRule>
    <cfRule type="cellIs" dxfId="5602" priority="1186" operator="greaterThan">
      <formula>0.85</formula>
    </cfRule>
  </conditionalFormatting>
  <conditionalFormatting sqref="N156">
    <cfRule type="cellIs" dxfId="5601" priority="1183" operator="greaterThan">
      <formula>0.9</formula>
    </cfRule>
    <cfRule type="cellIs" dxfId="5600" priority="1184" operator="greaterThan">
      <formula>0.85</formula>
    </cfRule>
  </conditionalFormatting>
  <conditionalFormatting sqref="E156">
    <cfRule type="expression" dxfId="5599" priority="1179">
      <formula>AND(IF(OR($Q156=1,$Q156=2),1,0),IF($X156&lt;=20,1,0))</formula>
    </cfRule>
    <cfRule type="expression" dxfId="5598" priority="1180">
      <formula>AND(IF($Q156=2,1,0),IF($X156&lt;30,1,0))</formula>
    </cfRule>
    <cfRule type="expression" dxfId="5597" priority="1181">
      <formula>AND(IF($Q156=3,1,0),IF($X156&lt;30,1,0))</formula>
    </cfRule>
    <cfRule type="expression" dxfId="5596" priority="1182">
      <formula>AND(IF($Q156=3,1,IF($Q156=4,1,0)),IF($F156&lt;=85,1,0))</formula>
    </cfRule>
  </conditionalFormatting>
  <conditionalFormatting sqref="X156">
    <cfRule type="expression" dxfId="5595" priority="1175">
      <formula>AND(IF(OR($Q156=1,$Q156=2),1,0),IF($X156&lt;=20,1,0))</formula>
    </cfRule>
    <cfRule type="expression" dxfId="5594" priority="1176">
      <formula>AND(IF($Q156=2,1,0),IF($X156&lt;30,1,0))</formula>
    </cfRule>
    <cfRule type="expression" dxfId="5593" priority="1177">
      <formula>AND(IF($Q156=3,1,0),IF($X156&lt;30,1,0))</formula>
    </cfRule>
    <cfRule type="expression" dxfId="5592" priority="1178">
      <formula>AND(IF($Q156=3,1,IF($Q156=4,1,0)),IF($F156&lt;=85,1,0))</formula>
    </cfRule>
  </conditionalFormatting>
  <conditionalFormatting sqref="AI156">
    <cfRule type="expression" dxfId="5591" priority="1171">
      <formula>AND(IF(OR($Q156=1,$Q156=2),1,0),IF($X156&lt;=20,1,0))</formula>
    </cfRule>
    <cfRule type="expression" dxfId="5590" priority="1172">
      <formula>AND(IF($Q156=2,1,0),IF($X156&lt;30,1,0))</formula>
    </cfRule>
    <cfRule type="expression" dxfId="5589" priority="1173">
      <formula>AND(IF($Q156=3,1,0),IF($X156&lt;30,1,0))</formula>
    </cfRule>
    <cfRule type="expression" dxfId="5588" priority="1174">
      <formula>AND(IF($Q156=3,1,IF($Q156=4,1,0)),IF($F156&lt;=85,1,0))</formula>
    </cfRule>
  </conditionalFormatting>
  <conditionalFormatting sqref="AV157">
    <cfRule type="expression" dxfId="5587" priority="1169">
      <formula>AV157="X"</formula>
    </cfRule>
    <cfRule type="expression" dxfId="5586" priority="1170">
      <formula>AV157="후보"</formula>
    </cfRule>
  </conditionalFormatting>
  <conditionalFormatting sqref="AC157">
    <cfRule type="cellIs" dxfId="5585" priority="1167" operator="greaterThan">
      <formula>0.9</formula>
    </cfRule>
    <cfRule type="cellIs" dxfId="5584" priority="1168" operator="greaterThan">
      <formula>0.85</formula>
    </cfRule>
  </conditionalFormatting>
  <conditionalFormatting sqref="N157">
    <cfRule type="cellIs" dxfId="5583" priority="1165" operator="greaterThan">
      <formula>0.9</formula>
    </cfRule>
    <cfRule type="cellIs" dxfId="5582" priority="1166" operator="greaterThan">
      <formula>0.85</formula>
    </cfRule>
  </conditionalFormatting>
  <conditionalFormatting sqref="E157">
    <cfRule type="expression" dxfId="5581" priority="1161">
      <formula>AND(IF(OR($Q157=1,$Q157=2),1,0),IF($X157&lt;=20,1,0))</formula>
    </cfRule>
    <cfRule type="expression" dxfId="5580" priority="1162">
      <formula>AND(IF($Q157=2,1,0),IF($X157&lt;30,1,0))</formula>
    </cfRule>
    <cfRule type="expression" dxfId="5579" priority="1163">
      <formula>AND(IF($Q157=3,1,0),IF($X157&lt;30,1,0))</formula>
    </cfRule>
    <cfRule type="expression" dxfId="5578" priority="1164">
      <formula>AND(IF($Q157=3,1,IF($Q157=4,1,0)),IF($F157&lt;=85,1,0))</formula>
    </cfRule>
  </conditionalFormatting>
  <conditionalFormatting sqref="X157">
    <cfRule type="expression" dxfId="5577" priority="1157">
      <formula>AND(IF(OR($Q157=1,$Q157=2),1,0),IF($X157&lt;=20,1,0))</formula>
    </cfRule>
    <cfRule type="expression" dxfId="5576" priority="1158">
      <formula>AND(IF($Q157=2,1,0),IF($X157&lt;30,1,0))</formula>
    </cfRule>
    <cfRule type="expression" dxfId="5575" priority="1159">
      <formula>AND(IF($Q157=3,1,0),IF($X157&lt;30,1,0))</formula>
    </cfRule>
    <cfRule type="expression" dxfId="5574" priority="1160">
      <formula>AND(IF($Q157=3,1,IF($Q157=4,1,0)),IF($F157&lt;=85,1,0))</formula>
    </cfRule>
  </conditionalFormatting>
  <conditionalFormatting sqref="AI157">
    <cfRule type="expression" dxfId="5573" priority="1153">
      <formula>AND(IF(OR($Q157=1,$Q157=2),1,0),IF($X157&lt;=20,1,0))</formula>
    </cfRule>
    <cfRule type="expression" dxfId="5572" priority="1154">
      <formula>AND(IF($Q157=2,1,0),IF($X157&lt;30,1,0))</formula>
    </cfRule>
    <cfRule type="expression" dxfId="5571" priority="1155">
      <formula>AND(IF($Q157=3,1,0),IF($X157&lt;30,1,0))</formula>
    </cfRule>
    <cfRule type="expression" dxfId="5570" priority="1156">
      <formula>AND(IF($Q157=3,1,IF($Q157=4,1,0)),IF($F157&lt;=85,1,0))</formula>
    </cfRule>
  </conditionalFormatting>
  <conditionalFormatting sqref="AV158">
    <cfRule type="expression" dxfId="5569" priority="1151">
      <formula>AV158="X"</formula>
    </cfRule>
    <cfRule type="expression" dxfId="5568" priority="1152">
      <formula>AV158="후보"</formula>
    </cfRule>
  </conditionalFormatting>
  <conditionalFormatting sqref="AC158">
    <cfRule type="cellIs" dxfId="5567" priority="1149" operator="greaterThan">
      <formula>0.9</formula>
    </cfRule>
    <cfRule type="cellIs" dxfId="5566" priority="1150" operator="greaterThan">
      <formula>0.85</formula>
    </cfRule>
  </conditionalFormatting>
  <conditionalFormatting sqref="N158">
    <cfRule type="cellIs" dxfId="5565" priority="1147" operator="greaterThan">
      <formula>0.9</formula>
    </cfRule>
    <cfRule type="cellIs" dxfId="5564" priority="1148" operator="greaterThan">
      <formula>0.85</formula>
    </cfRule>
  </conditionalFormatting>
  <conditionalFormatting sqref="E158">
    <cfRule type="expression" dxfId="5563" priority="1143">
      <formula>AND(IF(OR($Q158=1,$Q158=2),1,0),IF($X158&lt;=20,1,0))</formula>
    </cfRule>
    <cfRule type="expression" dxfId="5562" priority="1144">
      <formula>AND(IF($Q158=2,1,0),IF($X158&lt;30,1,0))</formula>
    </cfRule>
    <cfRule type="expression" dxfId="5561" priority="1145">
      <formula>AND(IF($Q158=3,1,0),IF($X158&lt;30,1,0))</formula>
    </cfRule>
    <cfRule type="expression" dxfId="5560" priority="1146">
      <formula>AND(IF($Q158=3,1,IF($Q158=4,1,0)),IF($F158&lt;=85,1,0))</formula>
    </cfRule>
  </conditionalFormatting>
  <conditionalFormatting sqref="X158">
    <cfRule type="expression" dxfId="5559" priority="1139">
      <formula>AND(IF(OR($Q158=1,$Q158=2),1,0),IF($X158&lt;=20,1,0))</formula>
    </cfRule>
    <cfRule type="expression" dxfId="5558" priority="1140">
      <formula>AND(IF($Q158=2,1,0),IF($X158&lt;30,1,0))</formula>
    </cfRule>
    <cfRule type="expression" dxfId="5557" priority="1141">
      <formula>AND(IF($Q158=3,1,0),IF($X158&lt;30,1,0))</formula>
    </cfRule>
    <cfRule type="expression" dxfId="5556" priority="1142">
      <formula>AND(IF($Q158=3,1,IF($Q158=4,1,0)),IF($F158&lt;=85,1,0))</formula>
    </cfRule>
  </conditionalFormatting>
  <conditionalFormatting sqref="AI158">
    <cfRule type="expression" dxfId="5555" priority="1135">
      <formula>AND(IF(OR($Q158=1,$Q158=2),1,0),IF($X158&lt;=20,1,0))</formula>
    </cfRule>
    <cfRule type="expression" dxfId="5554" priority="1136">
      <formula>AND(IF($Q158=2,1,0),IF($X158&lt;30,1,0))</formula>
    </cfRule>
    <cfRule type="expression" dxfId="5553" priority="1137">
      <formula>AND(IF($Q158=3,1,0),IF($X158&lt;30,1,0))</formula>
    </cfRule>
    <cfRule type="expression" dxfId="5552" priority="1138">
      <formula>AND(IF($Q158=3,1,IF($Q158=4,1,0)),IF($F158&lt;=85,1,0))</formula>
    </cfRule>
  </conditionalFormatting>
  <conditionalFormatting sqref="AV159">
    <cfRule type="expression" dxfId="5551" priority="1133">
      <formula>AV159="X"</formula>
    </cfRule>
    <cfRule type="expression" dxfId="5550" priority="1134">
      <formula>AV159="후보"</formula>
    </cfRule>
  </conditionalFormatting>
  <conditionalFormatting sqref="AC159">
    <cfRule type="cellIs" dxfId="5549" priority="1131" operator="greaterThan">
      <formula>0.9</formula>
    </cfRule>
    <cfRule type="cellIs" dxfId="5548" priority="1132" operator="greaterThan">
      <formula>0.85</formula>
    </cfRule>
  </conditionalFormatting>
  <conditionalFormatting sqref="N159">
    <cfRule type="cellIs" dxfId="5547" priority="1129" operator="greaterThan">
      <formula>0.9</formula>
    </cfRule>
    <cfRule type="cellIs" dxfId="5546" priority="1130" operator="greaterThan">
      <formula>0.85</formula>
    </cfRule>
  </conditionalFormatting>
  <conditionalFormatting sqref="E159">
    <cfRule type="expression" dxfId="5545" priority="1125">
      <formula>AND(IF(OR($Q159=1,$Q159=2),1,0),IF($X159&lt;=20,1,0))</formula>
    </cfRule>
    <cfRule type="expression" dxfId="5544" priority="1126">
      <formula>AND(IF($Q159=2,1,0),IF($X159&lt;30,1,0))</formula>
    </cfRule>
    <cfRule type="expression" dxfId="5543" priority="1127">
      <formula>AND(IF($Q159=3,1,0),IF($X159&lt;30,1,0))</formula>
    </cfRule>
    <cfRule type="expression" dxfId="5542" priority="1128">
      <formula>AND(IF($Q159=3,1,IF($Q159=4,1,0)),IF($F159&lt;=85,1,0))</formula>
    </cfRule>
  </conditionalFormatting>
  <conditionalFormatting sqref="X159">
    <cfRule type="expression" dxfId="5541" priority="1121">
      <formula>AND(IF(OR($Q159=1,$Q159=2),1,0),IF($X159&lt;=20,1,0))</formula>
    </cfRule>
    <cfRule type="expression" dxfId="5540" priority="1122">
      <formula>AND(IF($Q159=2,1,0),IF($X159&lt;30,1,0))</formula>
    </cfRule>
    <cfRule type="expression" dxfId="5539" priority="1123">
      <formula>AND(IF($Q159=3,1,0),IF($X159&lt;30,1,0))</formula>
    </cfRule>
    <cfRule type="expression" dxfId="5538" priority="1124">
      <formula>AND(IF($Q159=3,1,IF($Q159=4,1,0)),IF($F159&lt;=85,1,0))</formula>
    </cfRule>
  </conditionalFormatting>
  <conditionalFormatting sqref="AI159">
    <cfRule type="expression" dxfId="5537" priority="1117">
      <formula>AND(IF(OR($Q159=1,$Q159=2),1,0),IF($X159&lt;=20,1,0))</formula>
    </cfRule>
    <cfRule type="expression" dxfId="5536" priority="1118">
      <formula>AND(IF($Q159=2,1,0),IF($X159&lt;30,1,0))</formula>
    </cfRule>
    <cfRule type="expression" dxfId="5535" priority="1119">
      <formula>AND(IF($Q159=3,1,0),IF($X159&lt;30,1,0))</formula>
    </cfRule>
    <cfRule type="expression" dxfId="5534" priority="1120">
      <formula>AND(IF($Q159=3,1,IF($Q159=4,1,0)),IF($F159&lt;=85,1,0))</formula>
    </cfRule>
  </conditionalFormatting>
  <conditionalFormatting sqref="AV160">
    <cfRule type="expression" dxfId="5533" priority="1115">
      <formula>AV160="X"</formula>
    </cfRule>
    <cfRule type="expression" dxfId="5532" priority="1116">
      <formula>AV160="후보"</formula>
    </cfRule>
  </conditionalFormatting>
  <conditionalFormatting sqref="AC160">
    <cfRule type="cellIs" dxfId="5531" priority="1113" operator="greaterThan">
      <formula>0.9</formula>
    </cfRule>
    <cfRule type="cellIs" dxfId="5530" priority="1114" operator="greaterThan">
      <formula>0.85</formula>
    </cfRule>
  </conditionalFormatting>
  <conditionalFormatting sqref="N160">
    <cfRule type="cellIs" dxfId="5529" priority="1111" operator="greaterThan">
      <formula>0.9</formula>
    </cfRule>
    <cfRule type="cellIs" dxfId="5528" priority="1112" operator="greaterThan">
      <formula>0.85</formula>
    </cfRule>
  </conditionalFormatting>
  <conditionalFormatting sqref="E160">
    <cfRule type="expression" dxfId="5527" priority="1107">
      <formula>AND(IF(OR($Q160=1,$Q160=2),1,0),IF($X160&lt;=20,1,0))</formula>
    </cfRule>
    <cfRule type="expression" dxfId="5526" priority="1108">
      <formula>AND(IF($Q160=2,1,0),IF($X160&lt;30,1,0))</formula>
    </cfRule>
    <cfRule type="expression" dxfId="5525" priority="1109">
      <formula>AND(IF($Q160=3,1,0),IF($X160&lt;30,1,0))</formula>
    </cfRule>
    <cfRule type="expression" dxfId="5524" priority="1110">
      <formula>AND(IF($Q160=3,1,IF($Q160=4,1,0)),IF($F160&lt;=85,1,0))</formula>
    </cfRule>
  </conditionalFormatting>
  <conditionalFormatting sqref="X160">
    <cfRule type="expression" dxfId="5523" priority="1103">
      <formula>AND(IF(OR($Q160=1,$Q160=2),1,0),IF($X160&lt;=20,1,0))</formula>
    </cfRule>
    <cfRule type="expression" dxfId="5522" priority="1104">
      <formula>AND(IF($Q160=2,1,0),IF($X160&lt;30,1,0))</formula>
    </cfRule>
    <cfRule type="expression" dxfId="5521" priority="1105">
      <formula>AND(IF($Q160=3,1,0),IF($X160&lt;30,1,0))</formula>
    </cfRule>
    <cfRule type="expression" dxfId="5520" priority="1106">
      <formula>AND(IF($Q160=3,1,IF($Q160=4,1,0)),IF($F160&lt;=85,1,0))</formula>
    </cfRule>
  </conditionalFormatting>
  <conditionalFormatting sqref="AI160">
    <cfRule type="expression" dxfId="5519" priority="1099">
      <formula>AND(IF(OR($Q160=1,$Q160=2),1,0),IF($X160&lt;=20,1,0))</formula>
    </cfRule>
    <cfRule type="expression" dxfId="5518" priority="1100">
      <formula>AND(IF($Q160=2,1,0),IF($X160&lt;30,1,0))</formula>
    </cfRule>
    <cfRule type="expression" dxfId="5517" priority="1101">
      <formula>AND(IF($Q160=3,1,0),IF($X160&lt;30,1,0))</formula>
    </cfRule>
    <cfRule type="expression" dxfId="5516" priority="1102">
      <formula>AND(IF($Q160=3,1,IF($Q160=4,1,0)),IF($F160&lt;=85,1,0))</formula>
    </cfRule>
  </conditionalFormatting>
  <conditionalFormatting sqref="AV161">
    <cfRule type="expression" dxfId="5515" priority="1097">
      <formula>AV161="X"</formula>
    </cfRule>
    <cfRule type="expression" dxfId="5514" priority="1098">
      <formula>AV161="후보"</formula>
    </cfRule>
  </conditionalFormatting>
  <conditionalFormatting sqref="AC161">
    <cfRule type="cellIs" dxfId="5513" priority="1095" operator="greaterThan">
      <formula>0.9</formula>
    </cfRule>
    <cfRule type="cellIs" dxfId="5512" priority="1096" operator="greaterThan">
      <formula>0.85</formula>
    </cfRule>
  </conditionalFormatting>
  <conditionalFormatting sqref="N161">
    <cfRule type="cellIs" dxfId="5511" priority="1093" operator="greaterThan">
      <formula>0.9</formula>
    </cfRule>
    <cfRule type="cellIs" dxfId="5510" priority="1094" operator="greaterThan">
      <formula>0.85</formula>
    </cfRule>
  </conditionalFormatting>
  <conditionalFormatting sqref="E161">
    <cfRule type="expression" dxfId="5509" priority="1089">
      <formula>AND(IF(OR($Q161=1,$Q161=2),1,0),IF($X161&lt;=20,1,0))</formula>
    </cfRule>
    <cfRule type="expression" dxfId="5508" priority="1090">
      <formula>AND(IF($Q161=2,1,0),IF($X161&lt;30,1,0))</formula>
    </cfRule>
    <cfRule type="expression" dxfId="5507" priority="1091">
      <formula>AND(IF($Q161=3,1,0),IF($X161&lt;30,1,0))</formula>
    </cfRule>
    <cfRule type="expression" dxfId="5506" priority="1092">
      <formula>AND(IF($Q161=3,1,IF($Q161=4,1,0)),IF($F161&lt;=85,1,0))</formula>
    </cfRule>
  </conditionalFormatting>
  <conditionalFormatting sqref="X161">
    <cfRule type="expression" dxfId="5505" priority="1085">
      <formula>AND(IF(OR($Q161=1,$Q161=2),1,0),IF($X161&lt;=20,1,0))</formula>
    </cfRule>
    <cfRule type="expression" dxfId="5504" priority="1086">
      <formula>AND(IF($Q161=2,1,0),IF($X161&lt;30,1,0))</formula>
    </cfRule>
    <cfRule type="expression" dxfId="5503" priority="1087">
      <formula>AND(IF($Q161=3,1,0),IF($X161&lt;30,1,0))</formula>
    </cfRule>
    <cfRule type="expression" dxfId="5502" priority="1088">
      <formula>AND(IF($Q161=3,1,IF($Q161=4,1,0)),IF($F161&lt;=85,1,0))</formula>
    </cfRule>
  </conditionalFormatting>
  <conditionalFormatting sqref="AI161">
    <cfRule type="expression" dxfId="5501" priority="1081">
      <formula>AND(IF(OR($Q161=1,$Q161=2),1,0),IF($X161&lt;=20,1,0))</formula>
    </cfRule>
    <cfRule type="expression" dxfId="5500" priority="1082">
      <formula>AND(IF($Q161=2,1,0),IF($X161&lt;30,1,0))</formula>
    </cfRule>
    <cfRule type="expression" dxfId="5499" priority="1083">
      <formula>AND(IF($Q161=3,1,0),IF($X161&lt;30,1,0))</formula>
    </cfRule>
    <cfRule type="expression" dxfId="5498" priority="1084">
      <formula>AND(IF($Q161=3,1,IF($Q161=4,1,0)),IF($F161&lt;=85,1,0))</formula>
    </cfRule>
  </conditionalFormatting>
  <conditionalFormatting sqref="AV162">
    <cfRule type="expression" dxfId="5497" priority="1079">
      <formula>AV162="X"</formula>
    </cfRule>
    <cfRule type="expression" dxfId="5496" priority="1080">
      <formula>AV162="후보"</formula>
    </cfRule>
  </conditionalFormatting>
  <conditionalFormatting sqref="AC162">
    <cfRule type="cellIs" dxfId="5495" priority="1077" operator="greaterThan">
      <formula>0.9</formula>
    </cfRule>
    <cfRule type="cellIs" dxfId="5494" priority="1078" operator="greaterThan">
      <formula>0.85</formula>
    </cfRule>
  </conditionalFormatting>
  <conditionalFormatting sqref="N162">
    <cfRule type="cellIs" dxfId="5493" priority="1075" operator="greaterThan">
      <formula>0.9</formula>
    </cfRule>
    <cfRule type="cellIs" dxfId="5492" priority="1076" operator="greaterThan">
      <formula>0.85</formula>
    </cfRule>
  </conditionalFormatting>
  <conditionalFormatting sqref="E162">
    <cfRule type="expression" dxfId="5491" priority="1071">
      <formula>AND(IF(OR($Q162=1,$Q162=2),1,0),IF($X162&lt;=20,1,0))</formula>
    </cfRule>
    <cfRule type="expression" dxfId="5490" priority="1072">
      <formula>AND(IF($Q162=2,1,0),IF($X162&lt;30,1,0))</formula>
    </cfRule>
    <cfRule type="expression" dxfId="5489" priority="1073">
      <formula>AND(IF($Q162=3,1,0),IF($X162&lt;30,1,0))</formula>
    </cfRule>
    <cfRule type="expression" dxfId="5488" priority="1074">
      <formula>AND(IF($Q162=3,1,IF($Q162=4,1,0)),IF($F162&lt;=85,1,0))</formula>
    </cfRule>
  </conditionalFormatting>
  <conditionalFormatting sqref="X162">
    <cfRule type="expression" dxfId="5487" priority="1067">
      <formula>AND(IF(OR($Q162=1,$Q162=2),1,0),IF($X162&lt;=20,1,0))</formula>
    </cfRule>
    <cfRule type="expression" dxfId="5486" priority="1068">
      <formula>AND(IF($Q162=2,1,0),IF($X162&lt;30,1,0))</formula>
    </cfRule>
    <cfRule type="expression" dxfId="5485" priority="1069">
      <formula>AND(IF($Q162=3,1,0),IF($X162&lt;30,1,0))</formula>
    </cfRule>
    <cfRule type="expression" dxfId="5484" priority="1070">
      <formula>AND(IF($Q162=3,1,IF($Q162=4,1,0)),IF($F162&lt;=85,1,0))</formula>
    </cfRule>
  </conditionalFormatting>
  <conditionalFormatting sqref="AI162">
    <cfRule type="expression" dxfId="5483" priority="1063">
      <formula>AND(IF(OR($Q162=1,$Q162=2),1,0),IF($X162&lt;=20,1,0))</formula>
    </cfRule>
    <cfRule type="expression" dxfId="5482" priority="1064">
      <formula>AND(IF($Q162=2,1,0),IF($X162&lt;30,1,0))</formula>
    </cfRule>
    <cfRule type="expression" dxfId="5481" priority="1065">
      <formula>AND(IF($Q162=3,1,0),IF($X162&lt;30,1,0))</formula>
    </cfRule>
    <cfRule type="expression" dxfId="5480" priority="1066">
      <formula>AND(IF($Q162=3,1,IF($Q162=4,1,0)),IF($F162&lt;=85,1,0))</formula>
    </cfRule>
  </conditionalFormatting>
  <conditionalFormatting sqref="AV163">
    <cfRule type="expression" dxfId="5479" priority="1061">
      <formula>AV163="X"</formula>
    </cfRule>
    <cfRule type="expression" dxfId="5478" priority="1062">
      <formula>AV163="후보"</formula>
    </cfRule>
  </conditionalFormatting>
  <conditionalFormatting sqref="AC163">
    <cfRule type="cellIs" dxfId="5477" priority="1059" operator="greaterThan">
      <formula>0.9</formula>
    </cfRule>
    <cfRule type="cellIs" dxfId="5476" priority="1060" operator="greaterThan">
      <formula>0.85</formula>
    </cfRule>
  </conditionalFormatting>
  <conditionalFormatting sqref="N163">
    <cfRule type="cellIs" dxfId="5475" priority="1057" operator="greaterThan">
      <formula>0.9</formula>
    </cfRule>
    <cfRule type="cellIs" dxfId="5474" priority="1058" operator="greaterThan">
      <formula>0.85</formula>
    </cfRule>
  </conditionalFormatting>
  <conditionalFormatting sqref="E163">
    <cfRule type="expression" dxfId="5473" priority="1053">
      <formula>AND(IF(OR($Q163=1,$Q163=2),1,0),IF($X163&lt;=20,1,0))</formula>
    </cfRule>
    <cfRule type="expression" dxfId="5472" priority="1054">
      <formula>AND(IF($Q163=2,1,0),IF($X163&lt;30,1,0))</formula>
    </cfRule>
    <cfRule type="expression" dxfId="5471" priority="1055">
      <formula>AND(IF($Q163=3,1,0),IF($X163&lt;30,1,0))</formula>
    </cfRule>
    <cfRule type="expression" dxfId="5470" priority="1056">
      <formula>AND(IF($Q163=3,1,IF($Q163=4,1,0)),IF($F163&lt;=85,1,0))</formula>
    </cfRule>
  </conditionalFormatting>
  <conditionalFormatting sqref="X163">
    <cfRule type="expression" dxfId="5469" priority="1049">
      <formula>AND(IF(OR($Q163=1,$Q163=2),1,0),IF($X163&lt;=20,1,0))</formula>
    </cfRule>
    <cfRule type="expression" dxfId="5468" priority="1050">
      <formula>AND(IF($Q163=2,1,0),IF($X163&lt;30,1,0))</formula>
    </cfRule>
    <cfRule type="expression" dxfId="5467" priority="1051">
      <formula>AND(IF($Q163=3,1,0),IF($X163&lt;30,1,0))</formula>
    </cfRule>
    <cfRule type="expression" dxfId="5466" priority="1052">
      <formula>AND(IF($Q163=3,1,IF($Q163=4,1,0)),IF($F163&lt;=85,1,0))</formula>
    </cfRule>
  </conditionalFormatting>
  <conditionalFormatting sqref="AI163">
    <cfRule type="expression" dxfId="5465" priority="1045">
      <formula>AND(IF(OR($Q163=1,$Q163=2),1,0),IF($X163&lt;=20,1,0))</formula>
    </cfRule>
    <cfRule type="expression" dxfId="5464" priority="1046">
      <formula>AND(IF($Q163=2,1,0),IF($X163&lt;30,1,0))</formula>
    </cfRule>
    <cfRule type="expression" dxfId="5463" priority="1047">
      <formula>AND(IF($Q163=3,1,0),IF($X163&lt;30,1,0))</formula>
    </cfRule>
    <cfRule type="expression" dxfId="5462" priority="1048">
      <formula>AND(IF($Q163=3,1,IF($Q163=4,1,0)),IF($F163&lt;=85,1,0))</formula>
    </cfRule>
  </conditionalFormatting>
  <conditionalFormatting sqref="AV164">
    <cfRule type="expression" dxfId="5461" priority="1043">
      <formula>AV164="X"</formula>
    </cfRule>
    <cfRule type="expression" dxfId="5460" priority="1044">
      <formula>AV164="후보"</formula>
    </cfRule>
  </conditionalFormatting>
  <conditionalFormatting sqref="AC164">
    <cfRule type="cellIs" dxfId="5459" priority="1041" operator="greaterThan">
      <formula>0.9</formula>
    </cfRule>
    <cfRule type="cellIs" dxfId="5458" priority="1042" operator="greaterThan">
      <formula>0.85</formula>
    </cfRule>
  </conditionalFormatting>
  <conditionalFormatting sqref="N164">
    <cfRule type="cellIs" dxfId="5457" priority="1039" operator="greaterThan">
      <formula>0.9</formula>
    </cfRule>
    <cfRule type="cellIs" dxfId="5456" priority="1040" operator="greaterThan">
      <formula>0.85</formula>
    </cfRule>
  </conditionalFormatting>
  <conditionalFormatting sqref="E164">
    <cfRule type="expression" dxfId="5455" priority="1035">
      <formula>AND(IF(OR($Q164=1,$Q164=2),1,0),IF($X164&lt;=20,1,0))</formula>
    </cfRule>
    <cfRule type="expression" dxfId="5454" priority="1036">
      <formula>AND(IF($Q164=2,1,0),IF($X164&lt;30,1,0))</formula>
    </cfRule>
    <cfRule type="expression" dxfId="5453" priority="1037">
      <formula>AND(IF($Q164=3,1,0),IF($X164&lt;30,1,0))</formula>
    </cfRule>
    <cfRule type="expression" dxfId="5452" priority="1038">
      <formula>AND(IF($Q164=3,1,IF($Q164=4,1,0)),IF($F164&lt;=85,1,0))</formula>
    </cfRule>
  </conditionalFormatting>
  <conditionalFormatting sqref="X164">
    <cfRule type="expression" dxfId="5451" priority="1031">
      <formula>AND(IF(OR($Q164=1,$Q164=2),1,0),IF($X164&lt;=20,1,0))</formula>
    </cfRule>
    <cfRule type="expression" dxfId="5450" priority="1032">
      <formula>AND(IF($Q164=2,1,0),IF($X164&lt;30,1,0))</formula>
    </cfRule>
    <cfRule type="expression" dxfId="5449" priority="1033">
      <formula>AND(IF($Q164=3,1,0),IF($X164&lt;30,1,0))</formula>
    </cfRule>
    <cfRule type="expression" dxfId="5448" priority="1034">
      <formula>AND(IF($Q164=3,1,IF($Q164=4,1,0)),IF($F164&lt;=85,1,0))</formula>
    </cfRule>
  </conditionalFormatting>
  <conditionalFormatting sqref="AI164">
    <cfRule type="expression" dxfId="5447" priority="1027">
      <formula>AND(IF(OR($Q164=1,$Q164=2),1,0),IF($X164&lt;=20,1,0))</formula>
    </cfRule>
    <cfRule type="expression" dxfId="5446" priority="1028">
      <formula>AND(IF($Q164=2,1,0),IF($X164&lt;30,1,0))</formula>
    </cfRule>
    <cfRule type="expression" dxfId="5445" priority="1029">
      <formula>AND(IF($Q164=3,1,0),IF($X164&lt;30,1,0))</formula>
    </cfRule>
    <cfRule type="expression" dxfId="5444" priority="1030">
      <formula>AND(IF($Q164=3,1,IF($Q164=4,1,0)),IF($F164&lt;=85,1,0))</formula>
    </cfRule>
  </conditionalFormatting>
  <conditionalFormatting sqref="AV165">
    <cfRule type="expression" dxfId="5443" priority="1025">
      <formula>AV165="X"</formula>
    </cfRule>
    <cfRule type="expression" dxfId="5442" priority="1026">
      <formula>AV165="후보"</formula>
    </cfRule>
  </conditionalFormatting>
  <conditionalFormatting sqref="AC165">
    <cfRule type="cellIs" dxfId="5441" priority="1023" operator="greaterThan">
      <formula>0.9</formula>
    </cfRule>
    <cfRule type="cellIs" dxfId="5440" priority="1024" operator="greaterThan">
      <formula>0.85</formula>
    </cfRule>
  </conditionalFormatting>
  <conditionalFormatting sqref="N165">
    <cfRule type="cellIs" dxfId="5439" priority="1021" operator="greaterThan">
      <formula>0.9</formula>
    </cfRule>
    <cfRule type="cellIs" dxfId="5438" priority="1022" operator="greaterThan">
      <formula>0.85</formula>
    </cfRule>
  </conditionalFormatting>
  <conditionalFormatting sqref="E165">
    <cfRule type="expression" dxfId="5437" priority="1017">
      <formula>AND(IF(OR($Q165=1,$Q165=2),1,0),IF($X165&lt;=20,1,0))</formula>
    </cfRule>
    <cfRule type="expression" dxfId="5436" priority="1018">
      <formula>AND(IF($Q165=2,1,0),IF($X165&lt;30,1,0))</formula>
    </cfRule>
    <cfRule type="expression" dxfId="5435" priority="1019">
      <formula>AND(IF($Q165=3,1,0),IF($X165&lt;30,1,0))</formula>
    </cfRule>
    <cfRule type="expression" dxfId="5434" priority="1020">
      <formula>AND(IF($Q165=3,1,IF($Q165=4,1,0)),IF($F165&lt;=85,1,0))</formula>
    </cfRule>
  </conditionalFormatting>
  <conditionalFormatting sqref="X165">
    <cfRule type="expression" dxfId="5433" priority="1013">
      <formula>AND(IF(OR($Q165=1,$Q165=2),1,0),IF($X165&lt;=20,1,0))</formula>
    </cfRule>
    <cfRule type="expression" dxfId="5432" priority="1014">
      <formula>AND(IF($Q165=2,1,0),IF($X165&lt;30,1,0))</formula>
    </cfRule>
    <cfRule type="expression" dxfId="5431" priority="1015">
      <formula>AND(IF($Q165=3,1,0),IF($X165&lt;30,1,0))</formula>
    </cfRule>
    <cfRule type="expression" dxfId="5430" priority="1016">
      <formula>AND(IF($Q165=3,1,IF($Q165=4,1,0)),IF($F165&lt;=85,1,0))</formula>
    </cfRule>
  </conditionalFormatting>
  <conditionalFormatting sqref="AI165">
    <cfRule type="expression" dxfId="5429" priority="1009">
      <formula>AND(IF(OR($Q165=1,$Q165=2),1,0),IF($X165&lt;=20,1,0))</formula>
    </cfRule>
    <cfRule type="expression" dxfId="5428" priority="1010">
      <formula>AND(IF($Q165=2,1,0),IF($X165&lt;30,1,0))</formula>
    </cfRule>
    <cfRule type="expression" dxfId="5427" priority="1011">
      <formula>AND(IF($Q165=3,1,0),IF($X165&lt;30,1,0))</formula>
    </cfRule>
    <cfRule type="expression" dxfId="5426" priority="1012">
      <formula>AND(IF($Q165=3,1,IF($Q165=4,1,0)),IF($F165&lt;=85,1,0))</formula>
    </cfRule>
  </conditionalFormatting>
  <conditionalFormatting sqref="AV166">
    <cfRule type="expression" dxfId="5425" priority="1007">
      <formula>AV166="X"</formula>
    </cfRule>
    <cfRule type="expression" dxfId="5424" priority="1008">
      <formula>AV166="후보"</formula>
    </cfRule>
  </conditionalFormatting>
  <conditionalFormatting sqref="AC166">
    <cfRule type="cellIs" dxfId="5423" priority="1005" operator="greaterThan">
      <formula>0.9</formula>
    </cfRule>
    <cfRule type="cellIs" dxfId="5422" priority="1006" operator="greaterThan">
      <formula>0.85</formula>
    </cfRule>
  </conditionalFormatting>
  <conditionalFormatting sqref="N166">
    <cfRule type="cellIs" dxfId="5421" priority="1003" operator="greaterThan">
      <formula>0.9</formula>
    </cfRule>
    <cfRule type="cellIs" dxfId="5420" priority="1004" operator="greaterThan">
      <formula>0.85</formula>
    </cfRule>
  </conditionalFormatting>
  <conditionalFormatting sqref="E166">
    <cfRule type="expression" dxfId="5419" priority="999">
      <formula>AND(IF(OR($Q166=1,$Q166=2),1,0),IF($X166&lt;=20,1,0))</formula>
    </cfRule>
    <cfRule type="expression" dxfId="5418" priority="1000">
      <formula>AND(IF($Q166=2,1,0),IF($X166&lt;30,1,0))</formula>
    </cfRule>
    <cfRule type="expression" dxfId="5417" priority="1001">
      <formula>AND(IF($Q166=3,1,0),IF($X166&lt;30,1,0))</formula>
    </cfRule>
    <cfRule type="expression" dxfId="5416" priority="1002">
      <formula>AND(IF($Q166=3,1,IF($Q166=4,1,0)),IF($F166&lt;=85,1,0))</formula>
    </cfRule>
  </conditionalFormatting>
  <conditionalFormatting sqref="X166">
    <cfRule type="expression" dxfId="5415" priority="995">
      <formula>AND(IF(OR($Q166=1,$Q166=2),1,0),IF($X166&lt;=20,1,0))</formula>
    </cfRule>
    <cfRule type="expression" dxfId="5414" priority="996">
      <formula>AND(IF($Q166=2,1,0),IF($X166&lt;30,1,0))</formula>
    </cfRule>
    <cfRule type="expression" dxfId="5413" priority="997">
      <formula>AND(IF($Q166=3,1,0),IF($X166&lt;30,1,0))</formula>
    </cfRule>
    <cfRule type="expression" dxfId="5412" priority="998">
      <formula>AND(IF($Q166=3,1,IF($Q166=4,1,0)),IF($F166&lt;=85,1,0))</formula>
    </cfRule>
  </conditionalFormatting>
  <conditionalFormatting sqref="AI166">
    <cfRule type="expression" dxfId="5411" priority="991">
      <formula>AND(IF(OR($Q166=1,$Q166=2),1,0),IF($X166&lt;=20,1,0))</formula>
    </cfRule>
    <cfRule type="expression" dxfId="5410" priority="992">
      <formula>AND(IF($Q166=2,1,0),IF($X166&lt;30,1,0))</formula>
    </cfRule>
    <cfRule type="expression" dxfId="5409" priority="993">
      <formula>AND(IF($Q166=3,1,0),IF($X166&lt;30,1,0))</formula>
    </cfRule>
    <cfRule type="expression" dxfId="5408" priority="994">
      <formula>AND(IF($Q166=3,1,IF($Q166=4,1,0)),IF($F166&lt;=85,1,0))</formula>
    </cfRule>
  </conditionalFormatting>
  <conditionalFormatting sqref="AV167">
    <cfRule type="expression" dxfId="5407" priority="989">
      <formula>AV167="X"</formula>
    </cfRule>
    <cfRule type="expression" dxfId="5406" priority="990">
      <formula>AV167="후보"</formula>
    </cfRule>
  </conditionalFormatting>
  <conditionalFormatting sqref="AC167">
    <cfRule type="cellIs" dxfId="5405" priority="987" operator="greaterThan">
      <formula>0.9</formula>
    </cfRule>
    <cfRule type="cellIs" dxfId="5404" priority="988" operator="greaterThan">
      <formula>0.85</formula>
    </cfRule>
  </conditionalFormatting>
  <conditionalFormatting sqref="N167">
    <cfRule type="cellIs" dxfId="5403" priority="985" operator="greaterThan">
      <formula>0.9</formula>
    </cfRule>
    <cfRule type="cellIs" dxfId="5402" priority="986" operator="greaterThan">
      <formula>0.85</formula>
    </cfRule>
  </conditionalFormatting>
  <conditionalFormatting sqref="E167">
    <cfRule type="expression" dxfId="5401" priority="981">
      <formula>AND(IF(OR($Q167=1,$Q167=2),1,0),IF($X167&lt;=20,1,0))</formula>
    </cfRule>
    <cfRule type="expression" dxfId="5400" priority="982">
      <formula>AND(IF($Q167=2,1,0),IF($X167&lt;30,1,0))</formula>
    </cfRule>
    <cfRule type="expression" dxfId="5399" priority="983">
      <formula>AND(IF($Q167=3,1,0),IF($X167&lt;30,1,0))</formula>
    </cfRule>
    <cfRule type="expression" dxfId="5398" priority="984">
      <formula>AND(IF($Q167=3,1,IF($Q167=4,1,0)),IF($F167&lt;=85,1,0))</formula>
    </cfRule>
  </conditionalFormatting>
  <conditionalFormatting sqref="X167">
    <cfRule type="expression" dxfId="5397" priority="977">
      <formula>AND(IF(OR($Q167=1,$Q167=2),1,0),IF($X167&lt;=20,1,0))</formula>
    </cfRule>
    <cfRule type="expression" dxfId="5396" priority="978">
      <formula>AND(IF($Q167=2,1,0),IF($X167&lt;30,1,0))</formula>
    </cfRule>
    <cfRule type="expression" dxfId="5395" priority="979">
      <formula>AND(IF($Q167=3,1,0),IF($X167&lt;30,1,0))</formula>
    </cfRule>
    <cfRule type="expression" dxfId="5394" priority="980">
      <formula>AND(IF($Q167=3,1,IF($Q167=4,1,0)),IF($F167&lt;=85,1,0))</formula>
    </cfRule>
  </conditionalFormatting>
  <conditionalFormatting sqref="AI167">
    <cfRule type="expression" dxfId="5393" priority="973">
      <formula>AND(IF(OR($Q167=1,$Q167=2),1,0),IF($X167&lt;=20,1,0))</formula>
    </cfRule>
    <cfRule type="expression" dxfId="5392" priority="974">
      <formula>AND(IF($Q167=2,1,0),IF($X167&lt;30,1,0))</formula>
    </cfRule>
    <cfRule type="expression" dxfId="5391" priority="975">
      <formula>AND(IF($Q167=3,1,0),IF($X167&lt;30,1,0))</formula>
    </cfRule>
    <cfRule type="expression" dxfId="5390" priority="976">
      <formula>AND(IF($Q167=3,1,IF($Q167=4,1,0)),IF($F167&lt;=85,1,0))</formula>
    </cfRule>
  </conditionalFormatting>
  <conditionalFormatting sqref="AV168">
    <cfRule type="expression" dxfId="5389" priority="971">
      <formula>AV168="X"</formula>
    </cfRule>
    <cfRule type="expression" dxfId="5388" priority="972">
      <formula>AV168="후보"</formula>
    </cfRule>
  </conditionalFormatting>
  <conditionalFormatting sqref="AC168">
    <cfRule type="cellIs" dxfId="5387" priority="969" operator="greaterThan">
      <formula>0.9</formula>
    </cfRule>
    <cfRule type="cellIs" dxfId="5386" priority="970" operator="greaterThan">
      <formula>0.85</formula>
    </cfRule>
  </conditionalFormatting>
  <conditionalFormatting sqref="N168">
    <cfRule type="cellIs" dxfId="5385" priority="967" operator="greaterThan">
      <formula>0.9</formula>
    </cfRule>
    <cfRule type="cellIs" dxfId="5384" priority="968" operator="greaterThan">
      <formula>0.85</formula>
    </cfRule>
  </conditionalFormatting>
  <conditionalFormatting sqref="E168">
    <cfRule type="expression" dxfId="5383" priority="963">
      <formula>AND(IF(OR($Q168=1,$Q168=2),1,0),IF($X168&lt;=20,1,0))</formula>
    </cfRule>
    <cfRule type="expression" dxfId="5382" priority="964">
      <formula>AND(IF($Q168=2,1,0),IF($X168&lt;30,1,0))</formula>
    </cfRule>
    <cfRule type="expression" dxfId="5381" priority="965">
      <formula>AND(IF($Q168=3,1,0),IF($X168&lt;30,1,0))</formula>
    </cfRule>
    <cfRule type="expression" dxfId="5380" priority="966">
      <formula>AND(IF($Q168=3,1,IF($Q168=4,1,0)),IF($F168&lt;=85,1,0))</formula>
    </cfRule>
  </conditionalFormatting>
  <conditionalFormatting sqref="X168">
    <cfRule type="expression" dxfId="5379" priority="959">
      <formula>AND(IF(OR($Q168=1,$Q168=2),1,0),IF($X168&lt;=20,1,0))</formula>
    </cfRule>
    <cfRule type="expression" dxfId="5378" priority="960">
      <formula>AND(IF($Q168=2,1,0),IF($X168&lt;30,1,0))</formula>
    </cfRule>
    <cfRule type="expression" dxfId="5377" priority="961">
      <formula>AND(IF($Q168=3,1,0),IF($X168&lt;30,1,0))</formula>
    </cfRule>
    <cfRule type="expression" dxfId="5376" priority="962">
      <formula>AND(IF($Q168=3,1,IF($Q168=4,1,0)),IF($F168&lt;=85,1,0))</formula>
    </cfRule>
  </conditionalFormatting>
  <conditionalFormatting sqref="AI168">
    <cfRule type="expression" dxfId="5375" priority="955">
      <formula>AND(IF(OR($Q168=1,$Q168=2),1,0),IF($X168&lt;=20,1,0))</formula>
    </cfRule>
    <cfRule type="expression" dxfId="5374" priority="956">
      <formula>AND(IF($Q168=2,1,0),IF($X168&lt;30,1,0))</formula>
    </cfRule>
    <cfRule type="expression" dxfId="5373" priority="957">
      <formula>AND(IF($Q168=3,1,0),IF($X168&lt;30,1,0))</formula>
    </cfRule>
    <cfRule type="expression" dxfId="5372" priority="958">
      <formula>AND(IF($Q168=3,1,IF($Q168=4,1,0)),IF($F168&lt;=85,1,0))</formula>
    </cfRule>
  </conditionalFormatting>
  <conditionalFormatting sqref="AV169">
    <cfRule type="expression" dxfId="5371" priority="953">
      <formula>AV169="X"</formula>
    </cfRule>
    <cfRule type="expression" dxfId="5370" priority="954">
      <formula>AV169="후보"</formula>
    </cfRule>
  </conditionalFormatting>
  <conditionalFormatting sqref="AC169">
    <cfRule type="cellIs" dxfId="5369" priority="951" operator="greaterThan">
      <formula>0.9</formula>
    </cfRule>
    <cfRule type="cellIs" dxfId="5368" priority="952" operator="greaterThan">
      <formula>0.85</formula>
    </cfRule>
  </conditionalFormatting>
  <conditionalFormatting sqref="N169">
    <cfRule type="cellIs" dxfId="5367" priority="949" operator="greaterThan">
      <formula>0.9</formula>
    </cfRule>
    <cfRule type="cellIs" dxfId="5366" priority="950" operator="greaterThan">
      <formula>0.85</formula>
    </cfRule>
  </conditionalFormatting>
  <conditionalFormatting sqref="E169">
    <cfRule type="expression" dxfId="5365" priority="945">
      <formula>AND(IF(OR($Q169=1,$Q169=2),1,0),IF($X169&lt;=20,1,0))</formula>
    </cfRule>
    <cfRule type="expression" dxfId="5364" priority="946">
      <formula>AND(IF($Q169=2,1,0),IF($X169&lt;30,1,0))</formula>
    </cfRule>
    <cfRule type="expression" dxfId="5363" priority="947">
      <formula>AND(IF($Q169=3,1,0),IF($X169&lt;30,1,0))</formula>
    </cfRule>
    <cfRule type="expression" dxfId="5362" priority="948">
      <formula>AND(IF($Q169=3,1,IF($Q169=4,1,0)),IF($F169&lt;=85,1,0))</formula>
    </cfRule>
  </conditionalFormatting>
  <conditionalFormatting sqref="X169">
    <cfRule type="expression" dxfId="5361" priority="941">
      <formula>AND(IF(OR($Q169=1,$Q169=2),1,0),IF($X169&lt;=20,1,0))</formula>
    </cfRule>
    <cfRule type="expression" dxfId="5360" priority="942">
      <formula>AND(IF($Q169=2,1,0),IF($X169&lt;30,1,0))</formula>
    </cfRule>
    <cfRule type="expression" dxfId="5359" priority="943">
      <formula>AND(IF($Q169=3,1,0),IF($X169&lt;30,1,0))</formula>
    </cfRule>
    <cfRule type="expression" dxfId="5358" priority="944">
      <formula>AND(IF($Q169=3,1,IF($Q169=4,1,0)),IF($F169&lt;=85,1,0))</formula>
    </cfRule>
  </conditionalFormatting>
  <conditionalFormatting sqref="AI169">
    <cfRule type="expression" dxfId="5357" priority="937">
      <formula>AND(IF(OR($Q169=1,$Q169=2),1,0),IF($X169&lt;=20,1,0))</formula>
    </cfRule>
    <cfRule type="expression" dxfId="5356" priority="938">
      <formula>AND(IF($Q169=2,1,0),IF($X169&lt;30,1,0))</formula>
    </cfRule>
    <cfRule type="expression" dxfId="5355" priority="939">
      <formula>AND(IF($Q169=3,1,0),IF($X169&lt;30,1,0))</formula>
    </cfRule>
    <cfRule type="expression" dxfId="5354" priority="940">
      <formula>AND(IF($Q169=3,1,IF($Q169=4,1,0)),IF($F169&lt;=85,1,0))</formula>
    </cfRule>
  </conditionalFormatting>
  <conditionalFormatting sqref="AV170">
    <cfRule type="expression" dxfId="5353" priority="935">
      <formula>AV170="X"</formula>
    </cfRule>
    <cfRule type="expression" dxfId="5352" priority="936">
      <formula>AV170="후보"</formula>
    </cfRule>
  </conditionalFormatting>
  <conditionalFormatting sqref="AC170">
    <cfRule type="cellIs" dxfId="5351" priority="933" operator="greaterThan">
      <formula>0.9</formula>
    </cfRule>
    <cfRule type="cellIs" dxfId="5350" priority="934" operator="greaterThan">
      <formula>0.85</formula>
    </cfRule>
  </conditionalFormatting>
  <conditionalFormatting sqref="N170">
    <cfRule type="cellIs" dxfId="5349" priority="931" operator="greaterThan">
      <formula>0.9</formula>
    </cfRule>
    <cfRule type="cellIs" dxfId="5348" priority="932" operator="greaterThan">
      <formula>0.85</formula>
    </cfRule>
  </conditionalFormatting>
  <conditionalFormatting sqref="E170">
    <cfRule type="expression" dxfId="5347" priority="927">
      <formula>AND(IF(OR($Q170=1,$Q170=2),1,0),IF($X170&lt;=20,1,0))</formula>
    </cfRule>
    <cfRule type="expression" dxfId="5346" priority="928">
      <formula>AND(IF($Q170=2,1,0),IF($X170&lt;30,1,0))</formula>
    </cfRule>
    <cfRule type="expression" dxfId="5345" priority="929">
      <formula>AND(IF($Q170=3,1,0),IF($X170&lt;30,1,0))</formula>
    </cfRule>
    <cfRule type="expression" dxfId="5344" priority="930">
      <formula>AND(IF($Q170=3,1,IF($Q170=4,1,0)),IF($F170&lt;=85,1,0))</formula>
    </cfRule>
  </conditionalFormatting>
  <conditionalFormatting sqref="X170">
    <cfRule type="expression" dxfId="5343" priority="923">
      <formula>AND(IF(OR($Q170=1,$Q170=2),1,0),IF($X170&lt;=20,1,0))</formula>
    </cfRule>
    <cfRule type="expression" dxfId="5342" priority="924">
      <formula>AND(IF($Q170=2,1,0),IF($X170&lt;30,1,0))</formula>
    </cfRule>
    <cfRule type="expression" dxfId="5341" priority="925">
      <formula>AND(IF($Q170=3,1,0),IF($X170&lt;30,1,0))</formula>
    </cfRule>
    <cfRule type="expression" dxfId="5340" priority="926">
      <formula>AND(IF($Q170=3,1,IF($Q170=4,1,0)),IF($F170&lt;=85,1,0))</formula>
    </cfRule>
  </conditionalFormatting>
  <conditionalFormatting sqref="AI170">
    <cfRule type="expression" dxfId="5339" priority="919">
      <formula>AND(IF(OR($Q170=1,$Q170=2),1,0),IF($X170&lt;=20,1,0))</formula>
    </cfRule>
    <cfRule type="expression" dxfId="5338" priority="920">
      <formula>AND(IF($Q170=2,1,0),IF($X170&lt;30,1,0))</formula>
    </cfRule>
    <cfRule type="expression" dxfId="5337" priority="921">
      <formula>AND(IF($Q170=3,1,0),IF($X170&lt;30,1,0))</formula>
    </cfRule>
    <cfRule type="expression" dxfId="5336" priority="922">
      <formula>AND(IF($Q170=3,1,IF($Q170=4,1,0)),IF($F170&lt;=85,1,0))</formula>
    </cfRule>
  </conditionalFormatting>
  <conditionalFormatting sqref="AV171">
    <cfRule type="expression" dxfId="5335" priority="917">
      <formula>AV171="X"</formula>
    </cfRule>
    <cfRule type="expression" dxfId="5334" priority="918">
      <formula>AV171="후보"</formula>
    </cfRule>
  </conditionalFormatting>
  <conditionalFormatting sqref="AC171">
    <cfRule type="cellIs" dxfId="5333" priority="915" operator="greaterThan">
      <formula>0.9</formula>
    </cfRule>
    <cfRule type="cellIs" dxfId="5332" priority="916" operator="greaterThan">
      <formula>0.85</formula>
    </cfRule>
  </conditionalFormatting>
  <conditionalFormatting sqref="N171">
    <cfRule type="cellIs" dxfId="5331" priority="913" operator="greaterThan">
      <formula>0.9</formula>
    </cfRule>
    <cfRule type="cellIs" dxfId="5330" priority="914" operator="greaterThan">
      <formula>0.85</formula>
    </cfRule>
  </conditionalFormatting>
  <conditionalFormatting sqref="E171">
    <cfRule type="expression" dxfId="5329" priority="909">
      <formula>AND(IF(OR($Q171=1,$Q171=2),1,0),IF($X171&lt;=20,1,0))</formula>
    </cfRule>
    <cfRule type="expression" dxfId="5328" priority="910">
      <formula>AND(IF($Q171=2,1,0),IF($X171&lt;30,1,0))</formula>
    </cfRule>
    <cfRule type="expression" dxfId="5327" priority="911">
      <formula>AND(IF($Q171=3,1,0),IF($X171&lt;30,1,0))</formula>
    </cfRule>
    <cfRule type="expression" dxfId="5326" priority="912">
      <formula>AND(IF($Q171=3,1,IF($Q171=4,1,0)),IF($F171&lt;=85,1,0))</formula>
    </cfRule>
  </conditionalFormatting>
  <conditionalFormatting sqref="X171">
    <cfRule type="expression" dxfId="5325" priority="905">
      <formula>AND(IF(OR($Q171=1,$Q171=2),1,0),IF($X171&lt;=20,1,0))</formula>
    </cfRule>
    <cfRule type="expression" dxfId="5324" priority="906">
      <formula>AND(IF($Q171=2,1,0),IF($X171&lt;30,1,0))</formula>
    </cfRule>
    <cfRule type="expression" dxfId="5323" priority="907">
      <formula>AND(IF($Q171=3,1,0),IF($X171&lt;30,1,0))</formula>
    </cfRule>
    <cfRule type="expression" dxfId="5322" priority="908">
      <formula>AND(IF($Q171=3,1,IF($Q171=4,1,0)),IF($F171&lt;=85,1,0))</formula>
    </cfRule>
  </conditionalFormatting>
  <conditionalFormatting sqref="AI171">
    <cfRule type="expression" dxfId="5321" priority="901">
      <formula>AND(IF(OR($Q171=1,$Q171=2),1,0),IF($X171&lt;=20,1,0))</formula>
    </cfRule>
    <cfRule type="expression" dxfId="5320" priority="902">
      <formula>AND(IF($Q171=2,1,0),IF($X171&lt;30,1,0))</formula>
    </cfRule>
    <cfRule type="expression" dxfId="5319" priority="903">
      <formula>AND(IF($Q171=3,1,0),IF($X171&lt;30,1,0))</formula>
    </cfRule>
    <cfRule type="expression" dxfId="5318" priority="904">
      <formula>AND(IF($Q171=3,1,IF($Q171=4,1,0)),IF($F171&lt;=85,1,0))</formula>
    </cfRule>
  </conditionalFormatting>
  <conditionalFormatting sqref="AV172">
    <cfRule type="expression" dxfId="5317" priority="899">
      <formula>AV172="X"</formula>
    </cfRule>
    <cfRule type="expression" dxfId="5316" priority="900">
      <formula>AV172="후보"</formula>
    </cfRule>
  </conditionalFormatting>
  <conditionalFormatting sqref="AC172">
    <cfRule type="cellIs" dxfId="5315" priority="897" operator="greaterThan">
      <formula>0.9</formula>
    </cfRule>
    <cfRule type="cellIs" dxfId="5314" priority="898" operator="greaterThan">
      <formula>0.85</formula>
    </cfRule>
  </conditionalFormatting>
  <conditionalFormatting sqref="N172">
    <cfRule type="cellIs" dxfId="5313" priority="895" operator="greaterThan">
      <formula>0.9</formula>
    </cfRule>
    <cfRule type="cellIs" dxfId="5312" priority="896" operator="greaterThan">
      <formula>0.85</formula>
    </cfRule>
  </conditionalFormatting>
  <conditionalFormatting sqref="E172">
    <cfRule type="expression" dxfId="5311" priority="891">
      <formula>AND(IF(OR($Q172=1,$Q172=2),1,0),IF($X172&lt;=20,1,0))</formula>
    </cfRule>
    <cfRule type="expression" dxfId="5310" priority="892">
      <formula>AND(IF($Q172=2,1,0),IF($X172&lt;30,1,0))</formula>
    </cfRule>
    <cfRule type="expression" dxfId="5309" priority="893">
      <formula>AND(IF($Q172=3,1,0),IF($X172&lt;30,1,0))</formula>
    </cfRule>
    <cfRule type="expression" dxfId="5308" priority="894">
      <formula>AND(IF($Q172=3,1,IF($Q172=4,1,0)),IF($F172&lt;=85,1,0))</formula>
    </cfRule>
  </conditionalFormatting>
  <conditionalFormatting sqref="X172">
    <cfRule type="expression" dxfId="5307" priority="887">
      <formula>AND(IF(OR($Q172=1,$Q172=2),1,0),IF($X172&lt;=20,1,0))</formula>
    </cfRule>
    <cfRule type="expression" dxfId="5306" priority="888">
      <formula>AND(IF($Q172=2,1,0),IF($X172&lt;30,1,0))</formula>
    </cfRule>
    <cfRule type="expression" dxfId="5305" priority="889">
      <formula>AND(IF($Q172=3,1,0),IF($X172&lt;30,1,0))</formula>
    </cfRule>
    <cfRule type="expression" dxfId="5304" priority="890">
      <formula>AND(IF($Q172=3,1,IF($Q172=4,1,0)),IF($F172&lt;=85,1,0))</formula>
    </cfRule>
  </conditionalFormatting>
  <conditionalFormatting sqref="AI172">
    <cfRule type="expression" dxfId="5303" priority="883">
      <formula>AND(IF(OR($Q172=1,$Q172=2),1,0),IF($X172&lt;=20,1,0))</formula>
    </cfRule>
    <cfRule type="expression" dxfId="5302" priority="884">
      <formula>AND(IF($Q172=2,1,0),IF($X172&lt;30,1,0))</formula>
    </cfRule>
    <cfRule type="expression" dxfId="5301" priority="885">
      <formula>AND(IF($Q172=3,1,0),IF($X172&lt;30,1,0))</formula>
    </cfRule>
    <cfRule type="expression" dxfId="5300" priority="886">
      <formula>AND(IF($Q172=3,1,IF($Q172=4,1,0)),IF($F172&lt;=85,1,0))</formula>
    </cfRule>
  </conditionalFormatting>
  <conditionalFormatting sqref="AV173">
    <cfRule type="expression" dxfId="5299" priority="881">
      <formula>AV173="X"</formula>
    </cfRule>
    <cfRule type="expression" dxfId="5298" priority="882">
      <formula>AV173="후보"</formula>
    </cfRule>
  </conditionalFormatting>
  <conditionalFormatting sqref="AC173">
    <cfRule type="cellIs" dxfId="5297" priority="879" operator="greaterThan">
      <formula>0.9</formula>
    </cfRule>
    <cfRule type="cellIs" dxfId="5296" priority="880" operator="greaterThan">
      <formula>0.85</formula>
    </cfRule>
  </conditionalFormatting>
  <conditionalFormatting sqref="N173">
    <cfRule type="cellIs" dxfId="5295" priority="877" operator="greaterThan">
      <formula>0.9</formula>
    </cfRule>
    <cfRule type="cellIs" dxfId="5294" priority="878" operator="greaterThan">
      <formula>0.85</formula>
    </cfRule>
  </conditionalFormatting>
  <conditionalFormatting sqref="E173">
    <cfRule type="expression" dxfId="5293" priority="873">
      <formula>AND(IF(OR($Q173=1,$Q173=2),1,0),IF($X173&lt;=20,1,0))</formula>
    </cfRule>
    <cfRule type="expression" dxfId="5292" priority="874">
      <formula>AND(IF($Q173=2,1,0),IF($X173&lt;30,1,0))</formula>
    </cfRule>
    <cfRule type="expression" dxfId="5291" priority="875">
      <formula>AND(IF($Q173=3,1,0),IF($X173&lt;30,1,0))</formula>
    </cfRule>
    <cfRule type="expression" dxfId="5290" priority="876">
      <formula>AND(IF($Q173=3,1,IF($Q173=4,1,0)),IF($F173&lt;=85,1,0))</formula>
    </cfRule>
  </conditionalFormatting>
  <conditionalFormatting sqref="X173">
    <cfRule type="expression" dxfId="5289" priority="869">
      <formula>AND(IF(OR($Q173=1,$Q173=2),1,0),IF($X173&lt;=20,1,0))</formula>
    </cfRule>
    <cfRule type="expression" dxfId="5288" priority="870">
      <formula>AND(IF($Q173=2,1,0),IF($X173&lt;30,1,0))</formula>
    </cfRule>
    <cfRule type="expression" dxfId="5287" priority="871">
      <formula>AND(IF($Q173=3,1,0),IF($X173&lt;30,1,0))</formula>
    </cfRule>
    <cfRule type="expression" dxfId="5286" priority="872">
      <formula>AND(IF($Q173=3,1,IF($Q173=4,1,0)),IF($F173&lt;=85,1,0))</formula>
    </cfRule>
  </conditionalFormatting>
  <conditionalFormatting sqref="AI173">
    <cfRule type="expression" dxfId="5285" priority="865">
      <formula>AND(IF(OR($Q173=1,$Q173=2),1,0),IF($X173&lt;=20,1,0))</formula>
    </cfRule>
    <cfRule type="expression" dxfId="5284" priority="866">
      <formula>AND(IF($Q173=2,1,0),IF($X173&lt;30,1,0))</formula>
    </cfRule>
    <cfRule type="expression" dxfId="5283" priority="867">
      <formula>AND(IF($Q173=3,1,0),IF($X173&lt;30,1,0))</formula>
    </cfRule>
    <cfRule type="expression" dxfId="5282" priority="868">
      <formula>AND(IF($Q173=3,1,IF($Q173=4,1,0)),IF($F173&lt;=85,1,0))</formula>
    </cfRule>
  </conditionalFormatting>
  <conditionalFormatting sqref="AV174">
    <cfRule type="expression" dxfId="5281" priority="863">
      <formula>AV174="X"</formula>
    </cfRule>
    <cfRule type="expression" dxfId="5280" priority="864">
      <formula>AV174="후보"</formula>
    </cfRule>
  </conditionalFormatting>
  <conditionalFormatting sqref="AC174">
    <cfRule type="cellIs" dxfId="5279" priority="861" operator="greaterThan">
      <formula>0.9</formula>
    </cfRule>
    <cfRule type="cellIs" dxfId="5278" priority="862" operator="greaterThan">
      <formula>0.85</formula>
    </cfRule>
  </conditionalFormatting>
  <conditionalFormatting sqref="N174">
    <cfRule type="cellIs" dxfId="5277" priority="859" operator="greaterThan">
      <formula>0.9</formula>
    </cfRule>
    <cfRule type="cellIs" dxfId="5276" priority="860" operator="greaterThan">
      <formula>0.85</formula>
    </cfRule>
  </conditionalFormatting>
  <conditionalFormatting sqref="E174">
    <cfRule type="expression" dxfId="5275" priority="855">
      <formula>AND(IF(OR($Q174=1,$Q174=2),1,0),IF($X174&lt;=20,1,0))</formula>
    </cfRule>
    <cfRule type="expression" dxfId="5274" priority="856">
      <formula>AND(IF($Q174=2,1,0),IF($X174&lt;30,1,0))</formula>
    </cfRule>
    <cfRule type="expression" dxfId="5273" priority="857">
      <formula>AND(IF($Q174=3,1,0),IF($X174&lt;30,1,0))</formula>
    </cfRule>
    <cfRule type="expression" dxfId="5272" priority="858">
      <formula>AND(IF($Q174=3,1,IF($Q174=4,1,0)),IF($F174&lt;=85,1,0))</formula>
    </cfRule>
  </conditionalFormatting>
  <conditionalFormatting sqref="X174">
    <cfRule type="expression" dxfId="5271" priority="851">
      <formula>AND(IF(OR($Q174=1,$Q174=2),1,0),IF($X174&lt;=20,1,0))</formula>
    </cfRule>
    <cfRule type="expression" dxfId="5270" priority="852">
      <formula>AND(IF($Q174=2,1,0),IF($X174&lt;30,1,0))</formula>
    </cfRule>
    <cfRule type="expression" dxfId="5269" priority="853">
      <formula>AND(IF($Q174=3,1,0),IF($X174&lt;30,1,0))</formula>
    </cfRule>
    <cfRule type="expression" dxfId="5268" priority="854">
      <formula>AND(IF($Q174=3,1,IF($Q174=4,1,0)),IF($F174&lt;=85,1,0))</formula>
    </cfRule>
  </conditionalFormatting>
  <conditionalFormatting sqref="AI174">
    <cfRule type="expression" dxfId="5267" priority="847">
      <formula>AND(IF(OR($Q174=1,$Q174=2),1,0),IF($X174&lt;=20,1,0))</formula>
    </cfRule>
    <cfRule type="expression" dxfId="5266" priority="848">
      <formula>AND(IF($Q174=2,1,0),IF($X174&lt;30,1,0))</formula>
    </cfRule>
    <cfRule type="expression" dxfId="5265" priority="849">
      <formula>AND(IF($Q174=3,1,0),IF($X174&lt;30,1,0))</formula>
    </cfRule>
    <cfRule type="expression" dxfId="5264" priority="850">
      <formula>AND(IF($Q174=3,1,IF($Q174=4,1,0)),IF($F174&lt;=85,1,0))</formula>
    </cfRule>
  </conditionalFormatting>
  <conditionalFormatting sqref="AV175">
    <cfRule type="expression" dxfId="5263" priority="845">
      <formula>AV175="X"</formula>
    </cfRule>
    <cfRule type="expression" dxfId="5262" priority="846">
      <formula>AV175="후보"</formula>
    </cfRule>
  </conditionalFormatting>
  <conditionalFormatting sqref="AC175">
    <cfRule type="cellIs" dxfId="5261" priority="843" operator="greaterThan">
      <formula>0.9</formula>
    </cfRule>
    <cfRule type="cellIs" dxfId="5260" priority="844" operator="greaterThan">
      <formula>0.85</formula>
    </cfRule>
  </conditionalFormatting>
  <conditionalFormatting sqref="N175">
    <cfRule type="cellIs" dxfId="5259" priority="841" operator="greaterThan">
      <formula>0.9</formula>
    </cfRule>
    <cfRule type="cellIs" dxfId="5258" priority="842" operator="greaterThan">
      <formula>0.85</formula>
    </cfRule>
  </conditionalFormatting>
  <conditionalFormatting sqref="E175">
    <cfRule type="expression" dxfId="5257" priority="837">
      <formula>AND(IF(OR($Q175=1,$Q175=2),1,0),IF($X175&lt;=20,1,0))</formula>
    </cfRule>
    <cfRule type="expression" dxfId="5256" priority="838">
      <formula>AND(IF($Q175=2,1,0),IF($X175&lt;30,1,0))</formula>
    </cfRule>
    <cfRule type="expression" dxfId="5255" priority="839">
      <formula>AND(IF($Q175=3,1,0),IF($X175&lt;30,1,0))</formula>
    </cfRule>
    <cfRule type="expression" dxfId="5254" priority="840">
      <formula>AND(IF($Q175=3,1,IF($Q175=4,1,0)),IF($F175&lt;=85,1,0))</formula>
    </cfRule>
  </conditionalFormatting>
  <conditionalFormatting sqref="X175">
    <cfRule type="expression" dxfId="5253" priority="833">
      <formula>AND(IF(OR($Q175=1,$Q175=2),1,0),IF($X175&lt;=20,1,0))</formula>
    </cfRule>
    <cfRule type="expression" dxfId="5252" priority="834">
      <formula>AND(IF($Q175=2,1,0),IF($X175&lt;30,1,0))</formula>
    </cfRule>
    <cfRule type="expression" dxfId="5251" priority="835">
      <formula>AND(IF($Q175=3,1,0),IF($X175&lt;30,1,0))</formula>
    </cfRule>
    <cfRule type="expression" dxfId="5250" priority="836">
      <formula>AND(IF($Q175=3,1,IF($Q175=4,1,0)),IF($F175&lt;=85,1,0))</formula>
    </cfRule>
  </conditionalFormatting>
  <conditionalFormatting sqref="AI175">
    <cfRule type="expression" dxfId="5249" priority="829">
      <formula>AND(IF(OR($Q175=1,$Q175=2),1,0),IF($X175&lt;=20,1,0))</formula>
    </cfRule>
    <cfRule type="expression" dxfId="5248" priority="830">
      <formula>AND(IF($Q175=2,1,0),IF($X175&lt;30,1,0))</formula>
    </cfRule>
    <cfRule type="expression" dxfId="5247" priority="831">
      <formula>AND(IF($Q175=3,1,0),IF($X175&lt;30,1,0))</formula>
    </cfRule>
    <cfRule type="expression" dxfId="5246" priority="832">
      <formula>AND(IF($Q175=3,1,IF($Q175=4,1,0)),IF($F175&lt;=85,1,0))</formula>
    </cfRule>
  </conditionalFormatting>
  <conditionalFormatting sqref="AV176">
    <cfRule type="expression" dxfId="5245" priority="827">
      <formula>AV176="X"</formula>
    </cfRule>
    <cfRule type="expression" dxfId="5244" priority="828">
      <formula>AV176="후보"</formula>
    </cfRule>
  </conditionalFormatting>
  <conditionalFormatting sqref="AC176">
    <cfRule type="cellIs" dxfId="5243" priority="825" operator="greaterThan">
      <formula>0.9</formula>
    </cfRule>
    <cfRule type="cellIs" dxfId="5242" priority="826" operator="greaterThan">
      <formula>0.85</formula>
    </cfRule>
  </conditionalFormatting>
  <conditionalFormatting sqref="N176">
    <cfRule type="cellIs" dxfId="5241" priority="823" operator="greaterThan">
      <formula>0.9</formula>
    </cfRule>
    <cfRule type="cellIs" dxfId="5240" priority="824" operator="greaterThan">
      <formula>0.85</formula>
    </cfRule>
  </conditionalFormatting>
  <conditionalFormatting sqref="E176">
    <cfRule type="expression" dxfId="5239" priority="819">
      <formula>AND(IF(OR($Q176=1,$Q176=2),1,0),IF($X176&lt;=20,1,0))</formula>
    </cfRule>
    <cfRule type="expression" dxfId="5238" priority="820">
      <formula>AND(IF($Q176=2,1,0),IF($X176&lt;30,1,0))</formula>
    </cfRule>
    <cfRule type="expression" dxfId="5237" priority="821">
      <formula>AND(IF($Q176=3,1,0),IF($X176&lt;30,1,0))</formula>
    </cfRule>
    <cfRule type="expression" dxfId="5236" priority="822">
      <formula>AND(IF($Q176=3,1,IF($Q176=4,1,0)),IF($F176&lt;=85,1,0))</formula>
    </cfRule>
  </conditionalFormatting>
  <conditionalFormatting sqref="X176">
    <cfRule type="expression" dxfId="5235" priority="815">
      <formula>AND(IF(OR($Q176=1,$Q176=2),1,0),IF($X176&lt;=20,1,0))</formula>
    </cfRule>
    <cfRule type="expression" dxfId="5234" priority="816">
      <formula>AND(IF($Q176=2,1,0),IF($X176&lt;30,1,0))</formula>
    </cfRule>
    <cfRule type="expression" dxfId="5233" priority="817">
      <formula>AND(IF($Q176=3,1,0),IF($X176&lt;30,1,0))</formula>
    </cfRule>
    <cfRule type="expression" dxfId="5232" priority="818">
      <formula>AND(IF($Q176=3,1,IF($Q176=4,1,0)),IF($F176&lt;=85,1,0))</formula>
    </cfRule>
  </conditionalFormatting>
  <conditionalFormatting sqref="AI176">
    <cfRule type="expression" dxfId="5231" priority="811">
      <formula>AND(IF(OR($Q176=1,$Q176=2),1,0),IF($X176&lt;=20,1,0))</formula>
    </cfRule>
    <cfRule type="expression" dxfId="5230" priority="812">
      <formula>AND(IF($Q176=2,1,0),IF($X176&lt;30,1,0))</formula>
    </cfRule>
    <cfRule type="expression" dxfId="5229" priority="813">
      <formula>AND(IF($Q176=3,1,0),IF($X176&lt;30,1,0))</formula>
    </cfRule>
    <cfRule type="expression" dxfId="5228" priority="814">
      <formula>AND(IF($Q176=3,1,IF($Q176=4,1,0)),IF($F176&lt;=85,1,0))</formula>
    </cfRule>
  </conditionalFormatting>
  <conditionalFormatting sqref="AV177">
    <cfRule type="expression" dxfId="5227" priority="809">
      <formula>AV177="X"</formula>
    </cfRule>
    <cfRule type="expression" dxfId="5226" priority="810">
      <formula>AV177="후보"</formula>
    </cfRule>
  </conditionalFormatting>
  <conditionalFormatting sqref="AC177">
    <cfRule type="cellIs" dxfId="5225" priority="807" operator="greaterThan">
      <formula>0.9</formula>
    </cfRule>
    <cfRule type="cellIs" dxfId="5224" priority="808" operator="greaterThan">
      <formula>0.85</formula>
    </cfRule>
  </conditionalFormatting>
  <conditionalFormatting sqref="N177">
    <cfRule type="cellIs" dxfId="5223" priority="805" operator="greaterThan">
      <formula>0.9</formula>
    </cfRule>
    <cfRule type="cellIs" dxfId="5222" priority="806" operator="greaterThan">
      <formula>0.85</formula>
    </cfRule>
  </conditionalFormatting>
  <conditionalFormatting sqref="E177">
    <cfRule type="expression" dxfId="5221" priority="801">
      <formula>AND(IF(OR($Q177=1,$Q177=2),1,0),IF($X177&lt;=20,1,0))</formula>
    </cfRule>
    <cfRule type="expression" dxfId="5220" priority="802">
      <formula>AND(IF($Q177=2,1,0),IF($X177&lt;30,1,0))</formula>
    </cfRule>
    <cfRule type="expression" dxfId="5219" priority="803">
      <formula>AND(IF($Q177=3,1,0),IF($X177&lt;30,1,0))</formula>
    </cfRule>
    <cfRule type="expression" dxfId="5218" priority="804">
      <formula>AND(IF($Q177=3,1,IF($Q177=4,1,0)),IF($F177&lt;=85,1,0))</formula>
    </cfRule>
  </conditionalFormatting>
  <conditionalFormatting sqref="X177">
    <cfRule type="expression" dxfId="5217" priority="797">
      <formula>AND(IF(OR($Q177=1,$Q177=2),1,0),IF($X177&lt;=20,1,0))</formula>
    </cfRule>
    <cfRule type="expression" dxfId="5216" priority="798">
      <formula>AND(IF($Q177=2,1,0),IF($X177&lt;30,1,0))</formula>
    </cfRule>
    <cfRule type="expression" dxfId="5215" priority="799">
      <formula>AND(IF($Q177=3,1,0),IF($X177&lt;30,1,0))</formula>
    </cfRule>
    <cfRule type="expression" dxfId="5214" priority="800">
      <formula>AND(IF($Q177=3,1,IF($Q177=4,1,0)),IF($F177&lt;=85,1,0))</formula>
    </cfRule>
  </conditionalFormatting>
  <conditionalFormatting sqref="AI177">
    <cfRule type="expression" dxfId="5213" priority="793">
      <formula>AND(IF(OR($Q177=1,$Q177=2),1,0),IF($X177&lt;=20,1,0))</formula>
    </cfRule>
    <cfRule type="expression" dxfId="5212" priority="794">
      <formula>AND(IF($Q177=2,1,0),IF($X177&lt;30,1,0))</formula>
    </cfRule>
    <cfRule type="expression" dxfId="5211" priority="795">
      <formula>AND(IF($Q177=3,1,0),IF($X177&lt;30,1,0))</formula>
    </cfRule>
    <cfRule type="expression" dxfId="5210" priority="796">
      <formula>AND(IF($Q177=3,1,IF($Q177=4,1,0)),IF($F177&lt;=85,1,0))</formula>
    </cfRule>
  </conditionalFormatting>
  <conditionalFormatting sqref="AV178">
    <cfRule type="expression" dxfId="5209" priority="791">
      <formula>AV178="X"</formula>
    </cfRule>
    <cfRule type="expression" dxfId="5208" priority="792">
      <formula>AV178="후보"</formula>
    </cfRule>
  </conditionalFormatting>
  <conditionalFormatting sqref="AC178">
    <cfRule type="cellIs" dxfId="5207" priority="789" operator="greaterThan">
      <formula>0.9</formula>
    </cfRule>
    <cfRule type="cellIs" dxfId="5206" priority="790" operator="greaterThan">
      <formula>0.85</formula>
    </cfRule>
  </conditionalFormatting>
  <conditionalFormatting sqref="N178">
    <cfRule type="cellIs" dxfId="5205" priority="787" operator="greaterThan">
      <formula>0.9</formula>
    </cfRule>
    <cfRule type="cellIs" dxfId="5204" priority="788" operator="greaterThan">
      <formula>0.85</formula>
    </cfRule>
  </conditionalFormatting>
  <conditionalFormatting sqref="E178">
    <cfRule type="expression" dxfId="5203" priority="783">
      <formula>AND(IF(OR($Q178=1,$Q178=2),1,0),IF($X178&lt;=20,1,0))</formula>
    </cfRule>
    <cfRule type="expression" dxfId="5202" priority="784">
      <formula>AND(IF($Q178=2,1,0),IF($X178&lt;30,1,0))</formula>
    </cfRule>
    <cfRule type="expression" dxfId="5201" priority="785">
      <formula>AND(IF($Q178=3,1,0),IF($X178&lt;30,1,0))</formula>
    </cfRule>
    <cfRule type="expression" dxfId="5200" priority="786">
      <formula>AND(IF($Q178=3,1,IF($Q178=4,1,0)),IF($F178&lt;=85,1,0))</formula>
    </cfRule>
  </conditionalFormatting>
  <conditionalFormatting sqref="X178">
    <cfRule type="expression" dxfId="5199" priority="779">
      <formula>AND(IF(OR($Q178=1,$Q178=2),1,0),IF($X178&lt;=20,1,0))</formula>
    </cfRule>
    <cfRule type="expression" dxfId="5198" priority="780">
      <formula>AND(IF($Q178=2,1,0),IF($X178&lt;30,1,0))</formula>
    </cfRule>
    <cfRule type="expression" dxfId="5197" priority="781">
      <formula>AND(IF($Q178=3,1,0),IF($X178&lt;30,1,0))</formula>
    </cfRule>
    <cfRule type="expression" dxfId="5196" priority="782">
      <formula>AND(IF($Q178=3,1,IF($Q178=4,1,0)),IF($F178&lt;=85,1,0))</formula>
    </cfRule>
  </conditionalFormatting>
  <conditionalFormatting sqref="AI178">
    <cfRule type="expression" dxfId="5195" priority="775">
      <formula>AND(IF(OR($Q178=1,$Q178=2),1,0),IF($X178&lt;=20,1,0))</formula>
    </cfRule>
    <cfRule type="expression" dxfId="5194" priority="776">
      <formula>AND(IF($Q178=2,1,0),IF($X178&lt;30,1,0))</formula>
    </cfRule>
    <cfRule type="expression" dxfId="5193" priority="777">
      <formula>AND(IF($Q178=3,1,0),IF($X178&lt;30,1,0))</formula>
    </cfRule>
    <cfRule type="expression" dxfId="5192" priority="778">
      <formula>AND(IF($Q178=3,1,IF($Q178=4,1,0)),IF($F178&lt;=85,1,0))</formula>
    </cfRule>
  </conditionalFormatting>
  <conditionalFormatting sqref="AV179">
    <cfRule type="expression" dxfId="5191" priority="773">
      <formula>AV179="X"</formula>
    </cfRule>
    <cfRule type="expression" dxfId="5190" priority="774">
      <formula>AV179="후보"</formula>
    </cfRule>
  </conditionalFormatting>
  <conditionalFormatting sqref="AC179">
    <cfRule type="cellIs" dxfId="5189" priority="771" operator="greaterThan">
      <formula>0.9</formula>
    </cfRule>
    <cfRule type="cellIs" dxfId="5188" priority="772" operator="greaterThan">
      <formula>0.85</formula>
    </cfRule>
  </conditionalFormatting>
  <conditionalFormatting sqref="N179">
    <cfRule type="cellIs" dxfId="5187" priority="769" operator="greaterThan">
      <formula>0.9</formula>
    </cfRule>
    <cfRule type="cellIs" dxfId="5186" priority="770" operator="greaterThan">
      <formula>0.85</formula>
    </cfRule>
  </conditionalFormatting>
  <conditionalFormatting sqref="E179">
    <cfRule type="expression" dxfId="5185" priority="765">
      <formula>AND(IF(OR($Q179=1,$Q179=2),1,0),IF($X179&lt;=20,1,0))</formula>
    </cfRule>
    <cfRule type="expression" dxfId="5184" priority="766">
      <formula>AND(IF($Q179=2,1,0),IF($X179&lt;30,1,0))</formula>
    </cfRule>
    <cfRule type="expression" dxfId="5183" priority="767">
      <formula>AND(IF($Q179=3,1,0),IF($X179&lt;30,1,0))</formula>
    </cfRule>
    <cfRule type="expression" dxfId="5182" priority="768">
      <formula>AND(IF($Q179=3,1,IF($Q179=4,1,0)),IF($F179&lt;=85,1,0))</formula>
    </cfRule>
  </conditionalFormatting>
  <conditionalFormatting sqref="X179">
    <cfRule type="expression" dxfId="5181" priority="761">
      <formula>AND(IF(OR($Q179=1,$Q179=2),1,0),IF($X179&lt;=20,1,0))</formula>
    </cfRule>
    <cfRule type="expression" dxfId="5180" priority="762">
      <formula>AND(IF($Q179=2,1,0),IF($X179&lt;30,1,0))</formula>
    </cfRule>
    <cfRule type="expression" dxfId="5179" priority="763">
      <formula>AND(IF($Q179=3,1,0),IF($X179&lt;30,1,0))</formula>
    </cfRule>
    <cfRule type="expression" dxfId="5178" priority="764">
      <formula>AND(IF($Q179=3,1,IF($Q179=4,1,0)),IF($F179&lt;=85,1,0))</formula>
    </cfRule>
  </conditionalFormatting>
  <conditionalFormatting sqref="AI179">
    <cfRule type="expression" dxfId="5177" priority="757">
      <formula>AND(IF(OR($Q179=1,$Q179=2),1,0),IF($X179&lt;=20,1,0))</formula>
    </cfRule>
    <cfRule type="expression" dxfId="5176" priority="758">
      <formula>AND(IF($Q179=2,1,0),IF($X179&lt;30,1,0))</formula>
    </cfRule>
    <cfRule type="expression" dxfId="5175" priority="759">
      <formula>AND(IF($Q179=3,1,0),IF($X179&lt;30,1,0))</formula>
    </cfRule>
    <cfRule type="expression" dxfId="5174" priority="760">
      <formula>AND(IF($Q179=3,1,IF($Q179=4,1,0)),IF($F179&lt;=85,1,0))</formula>
    </cfRule>
  </conditionalFormatting>
  <conditionalFormatting sqref="AV180">
    <cfRule type="expression" dxfId="5173" priority="755">
      <formula>AV180="X"</formula>
    </cfRule>
    <cfRule type="expression" dxfId="5172" priority="756">
      <formula>AV180="후보"</formula>
    </cfRule>
  </conditionalFormatting>
  <conditionalFormatting sqref="AC180">
    <cfRule type="cellIs" dxfId="5171" priority="753" operator="greaterThan">
      <formula>0.9</formula>
    </cfRule>
    <cfRule type="cellIs" dxfId="5170" priority="754" operator="greaterThan">
      <formula>0.85</formula>
    </cfRule>
  </conditionalFormatting>
  <conditionalFormatting sqref="N180">
    <cfRule type="cellIs" dxfId="5169" priority="751" operator="greaterThan">
      <formula>0.9</formula>
    </cfRule>
    <cfRule type="cellIs" dxfId="5168" priority="752" operator="greaterThan">
      <formula>0.85</formula>
    </cfRule>
  </conditionalFormatting>
  <conditionalFormatting sqref="E180">
    <cfRule type="expression" dxfId="5167" priority="747">
      <formula>AND(IF(OR($Q180=1,$Q180=2),1,0),IF($X180&lt;=20,1,0))</formula>
    </cfRule>
    <cfRule type="expression" dxfId="5166" priority="748">
      <formula>AND(IF($Q180=2,1,0),IF($X180&lt;30,1,0))</formula>
    </cfRule>
    <cfRule type="expression" dxfId="5165" priority="749">
      <formula>AND(IF($Q180=3,1,0),IF($X180&lt;30,1,0))</formula>
    </cfRule>
    <cfRule type="expression" dxfId="5164" priority="750">
      <formula>AND(IF($Q180=3,1,IF($Q180=4,1,0)),IF($F180&lt;=85,1,0))</formula>
    </cfRule>
  </conditionalFormatting>
  <conditionalFormatting sqref="X180">
    <cfRule type="expression" dxfId="5163" priority="743">
      <formula>AND(IF(OR($Q180=1,$Q180=2),1,0),IF($X180&lt;=20,1,0))</formula>
    </cfRule>
    <cfRule type="expression" dxfId="5162" priority="744">
      <formula>AND(IF($Q180=2,1,0),IF($X180&lt;30,1,0))</formula>
    </cfRule>
    <cfRule type="expression" dxfId="5161" priority="745">
      <formula>AND(IF($Q180=3,1,0),IF($X180&lt;30,1,0))</formula>
    </cfRule>
    <cfRule type="expression" dxfId="5160" priority="746">
      <formula>AND(IF($Q180=3,1,IF($Q180=4,1,0)),IF($F180&lt;=85,1,0))</formula>
    </cfRule>
  </conditionalFormatting>
  <conditionalFormatting sqref="AI180">
    <cfRule type="expression" dxfId="5159" priority="739">
      <formula>AND(IF(OR($Q180=1,$Q180=2),1,0),IF($X180&lt;=20,1,0))</formula>
    </cfRule>
    <cfRule type="expression" dxfId="5158" priority="740">
      <formula>AND(IF($Q180=2,1,0),IF($X180&lt;30,1,0))</formula>
    </cfRule>
    <cfRule type="expression" dxfId="5157" priority="741">
      <formula>AND(IF($Q180=3,1,0),IF($X180&lt;30,1,0))</formula>
    </cfRule>
    <cfRule type="expression" dxfId="5156" priority="742">
      <formula>AND(IF($Q180=3,1,IF($Q180=4,1,0)),IF($F180&lt;=85,1,0))</formula>
    </cfRule>
  </conditionalFormatting>
  <conditionalFormatting sqref="AV181">
    <cfRule type="expression" dxfId="5155" priority="737">
      <formula>AV181="X"</formula>
    </cfRule>
    <cfRule type="expression" dxfId="5154" priority="738">
      <formula>AV181="후보"</formula>
    </cfRule>
  </conditionalFormatting>
  <conditionalFormatting sqref="AC181">
    <cfRule type="cellIs" dxfId="5153" priority="735" operator="greaterThan">
      <formula>0.9</formula>
    </cfRule>
    <cfRule type="cellIs" dxfId="5152" priority="736" operator="greaterThan">
      <formula>0.85</formula>
    </cfRule>
  </conditionalFormatting>
  <conditionalFormatting sqref="N181">
    <cfRule type="cellIs" dxfId="5151" priority="733" operator="greaterThan">
      <formula>0.9</formula>
    </cfRule>
    <cfRule type="cellIs" dxfId="5150" priority="734" operator="greaterThan">
      <formula>0.85</formula>
    </cfRule>
  </conditionalFormatting>
  <conditionalFormatting sqref="E181">
    <cfRule type="expression" dxfId="5149" priority="729">
      <formula>AND(IF(OR($Q181=1,$Q181=2),1,0),IF($X181&lt;=20,1,0))</formula>
    </cfRule>
    <cfRule type="expression" dxfId="5148" priority="730">
      <formula>AND(IF($Q181=2,1,0),IF($X181&lt;30,1,0))</formula>
    </cfRule>
    <cfRule type="expression" dxfId="5147" priority="731">
      <formula>AND(IF($Q181=3,1,0),IF($X181&lt;30,1,0))</formula>
    </cfRule>
    <cfRule type="expression" dxfId="5146" priority="732">
      <formula>AND(IF($Q181=3,1,IF($Q181=4,1,0)),IF($F181&lt;=85,1,0))</formula>
    </cfRule>
  </conditionalFormatting>
  <conditionalFormatting sqref="X181">
    <cfRule type="expression" dxfId="5145" priority="725">
      <formula>AND(IF(OR($Q181=1,$Q181=2),1,0),IF($X181&lt;=20,1,0))</formula>
    </cfRule>
    <cfRule type="expression" dxfId="5144" priority="726">
      <formula>AND(IF($Q181=2,1,0),IF($X181&lt;30,1,0))</formula>
    </cfRule>
    <cfRule type="expression" dxfId="5143" priority="727">
      <formula>AND(IF($Q181=3,1,0),IF($X181&lt;30,1,0))</formula>
    </cfRule>
    <cfRule type="expression" dxfId="5142" priority="728">
      <formula>AND(IF($Q181=3,1,IF($Q181=4,1,0)),IF($F181&lt;=85,1,0))</formula>
    </cfRule>
  </conditionalFormatting>
  <conditionalFormatting sqref="AI181">
    <cfRule type="expression" dxfId="5141" priority="721">
      <formula>AND(IF(OR($Q181=1,$Q181=2),1,0),IF($X181&lt;=20,1,0))</formula>
    </cfRule>
    <cfRule type="expression" dxfId="5140" priority="722">
      <formula>AND(IF($Q181=2,1,0),IF($X181&lt;30,1,0))</formula>
    </cfRule>
    <cfRule type="expression" dxfId="5139" priority="723">
      <formula>AND(IF($Q181=3,1,0),IF($X181&lt;30,1,0))</formula>
    </cfRule>
    <cfRule type="expression" dxfId="5138" priority="724">
      <formula>AND(IF($Q181=3,1,IF($Q181=4,1,0)),IF($F181&lt;=85,1,0))</formula>
    </cfRule>
  </conditionalFormatting>
  <conditionalFormatting sqref="AV182">
    <cfRule type="expression" dxfId="5137" priority="719">
      <formula>AV182="X"</formula>
    </cfRule>
    <cfRule type="expression" dxfId="5136" priority="720">
      <formula>AV182="후보"</formula>
    </cfRule>
  </conditionalFormatting>
  <conditionalFormatting sqref="AC182">
    <cfRule type="cellIs" dxfId="5135" priority="717" operator="greaterThan">
      <formula>0.9</formula>
    </cfRule>
    <cfRule type="cellIs" dxfId="5134" priority="718" operator="greaterThan">
      <formula>0.85</formula>
    </cfRule>
  </conditionalFormatting>
  <conditionalFormatting sqref="N182">
    <cfRule type="cellIs" dxfId="5133" priority="715" operator="greaterThan">
      <formula>0.9</formula>
    </cfRule>
    <cfRule type="cellIs" dxfId="5132" priority="716" operator="greaterThan">
      <formula>0.85</formula>
    </cfRule>
  </conditionalFormatting>
  <conditionalFormatting sqref="E182">
    <cfRule type="expression" dxfId="5131" priority="711">
      <formula>AND(IF(OR($Q182=1,$Q182=2),1,0),IF($X182&lt;=20,1,0))</formula>
    </cfRule>
    <cfRule type="expression" dxfId="5130" priority="712">
      <formula>AND(IF($Q182=2,1,0),IF($X182&lt;30,1,0))</formula>
    </cfRule>
    <cfRule type="expression" dxfId="5129" priority="713">
      <formula>AND(IF($Q182=3,1,0),IF($X182&lt;30,1,0))</formula>
    </cfRule>
    <cfRule type="expression" dxfId="5128" priority="714">
      <formula>AND(IF($Q182=3,1,IF($Q182=4,1,0)),IF($F182&lt;=85,1,0))</formula>
    </cfRule>
  </conditionalFormatting>
  <conditionalFormatting sqref="X182">
    <cfRule type="expression" dxfId="5127" priority="707">
      <formula>AND(IF(OR($Q182=1,$Q182=2),1,0),IF($X182&lt;=20,1,0))</formula>
    </cfRule>
    <cfRule type="expression" dxfId="5126" priority="708">
      <formula>AND(IF($Q182=2,1,0),IF($X182&lt;30,1,0))</formula>
    </cfRule>
    <cfRule type="expression" dxfId="5125" priority="709">
      <formula>AND(IF($Q182=3,1,0),IF($X182&lt;30,1,0))</formula>
    </cfRule>
    <cfRule type="expression" dxfId="5124" priority="710">
      <formula>AND(IF($Q182=3,1,IF($Q182=4,1,0)),IF($F182&lt;=85,1,0))</formula>
    </cfRule>
  </conditionalFormatting>
  <conditionalFormatting sqref="AI182">
    <cfRule type="expression" dxfId="5123" priority="703">
      <formula>AND(IF(OR($Q182=1,$Q182=2),1,0),IF($X182&lt;=20,1,0))</formula>
    </cfRule>
    <cfRule type="expression" dxfId="5122" priority="704">
      <formula>AND(IF($Q182=2,1,0),IF($X182&lt;30,1,0))</formula>
    </cfRule>
    <cfRule type="expression" dxfId="5121" priority="705">
      <formula>AND(IF($Q182=3,1,0),IF($X182&lt;30,1,0))</formula>
    </cfRule>
    <cfRule type="expression" dxfId="5120" priority="706">
      <formula>AND(IF($Q182=3,1,IF($Q182=4,1,0)),IF($F182&lt;=85,1,0))</formula>
    </cfRule>
  </conditionalFormatting>
  <conditionalFormatting sqref="AV183">
    <cfRule type="expression" dxfId="5119" priority="701">
      <formula>AV183="X"</formula>
    </cfRule>
    <cfRule type="expression" dxfId="5118" priority="702">
      <formula>AV183="후보"</formula>
    </cfRule>
  </conditionalFormatting>
  <conditionalFormatting sqref="AC183">
    <cfRule type="cellIs" dxfId="5117" priority="699" operator="greaterThan">
      <formula>0.9</formula>
    </cfRule>
    <cfRule type="cellIs" dxfId="5116" priority="700" operator="greaterThan">
      <formula>0.85</formula>
    </cfRule>
  </conditionalFormatting>
  <conditionalFormatting sqref="N183">
    <cfRule type="cellIs" dxfId="5115" priority="697" operator="greaterThan">
      <formula>0.9</formula>
    </cfRule>
    <cfRule type="cellIs" dxfId="5114" priority="698" operator="greaterThan">
      <formula>0.85</formula>
    </cfRule>
  </conditionalFormatting>
  <conditionalFormatting sqref="E183">
    <cfRule type="expression" dxfId="5113" priority="693">
      <formula>AND(IF(OR($Q183=1,$Q183=2),1,0),IF($X183&lt;=20,1,0))</formula>
    </cfRule>
    <cfRule type="expression" dxfId="5112" priority="694">
      <formula>AND(IF($Q183=2,1,0),IF($X183&lt;30,1,0))</formula>
    </cfRule>
    <cfRule type="expression" dxfId="5111" priority="695">
      <formula>AND(IF($Q183=3,1,0),IF($X183&lt;30,1,0))</formula>
    </cfRule>
    <cfRule type="expression" dxfId="5110" priority="696">
      <formula>AND(IF($Q183=3,1,IF($Q183=4,1,0)),IF($F183&lt;=85,1,0))</formula>
    </cfRule>
  </conditionalFormatting>
  <conditionalFormatting sqref="X183">
    <cfRule type="expression" dxfId="5109" priority="689">
      <formula>AND(IF(OR($Q183=1,$Q183=2),1,0),IF($X183&lt;=20,1,0))</formula>
    </cfRule>
    <cfRule type="expression" dxfId="5108" priority="690">
      <formula>AND(IF($Q183=2,1,0),IF($X183&lt;30,1,0))</formula>
    </cfRule>
    <cfRule type="expression" dxfId="5107" priority="691">
      <formula>AND(IF($Q183=3,1,0),IF($X183&lt;30,1,0))</formula>
    </cfRule>
    <cfRule type="expression" dxfId="5106" priority="692">
      <formula>AND(IF($Q183=3,1,IF($Q183=4,1,0)),IF($F183&lt;=85,1,0))</formula>
    </cfRule>
  </conditionalFormatting>
  <conditionalFormatting sqref="AI183">
    <cfRule type="expression" dxfId="5105" priority="685">
      <formula>AND(IF(OR($Q183=1,$Q183=2),1,0),IF($X183&lt;=20,1,0))</formula>
    </cfRule>
    <cfRule type="expression" dxfId="5104" priority="686">
      <formula>AND(IF($Q183=2,1,0),IF($X183&lt;30,1,0))</formula>
    </cfRule>
    <cfRule type="expression" dxfId="5103" priority="687">
      <formula>AND(IF($Q183=3,1,0),IF($X183&lt;30,1,0))</formula>
    </cfRule>
    <cfRule type="expression" dxfId="5102" priority="688">
      <formula>AND(IF($Q183=3,1,IF($Q183=4,1,0)),IF($F183&lt;=85,1,0))</formula>
    </cfRule>
  </conditionalFormatting>
  <conditionalFormatting sqref="AV184">
    <cfRule type="expression" dxfId="5101" priority="683">
      <formula>AV184="X"</formula>
    </cfRule>
    <cfRule type="expression" dxfId="5100" priority="684">
      <formula>AV184="후보"</formula>
    </cfRule>
  </conditionalFormatting>
  <conditionalFormatting sqref="AC184">
    <cfRule type="cellIs" dxfId="5099" priority="681" operator="greaterThan">
      <formula>0.9</formula>
    </cfRule>
    <cfRule type="cellIs" dxfId="5098" priority="682" operator="greaterThan">
      <formula>0.85</formula>
    </cfRule>
  </conditionalFormatting>
  <conditionalFormatting sqref="N184">
    <cfRule type="cellIs" dxfId="5097" priority="679" operator="greaterThan">
      <formula>0.9</formula>
    </cfRule>
    <cfRule type="cellIs" dxfId="5096" priority="680" operator="greaterThan">
      <formula>0.85</formula>
    </cfRule>
  </conditionalFormatting>
  <conditionalFormatting sqref="E184">
    <cfRule type="expression" dxfId="5095" priority="675">
      <formula>AND(IF(OR($Q184=1,$Q184=2),1,0),IF($X184&lt;=20,1,0))</formula>
    </cfRule>
    <cfRule type="expression" dxfId="5094" priority="676">
      <formula>AND(IF($Q184=2,1,0),IF($X184&lt;30,1,0))</formula>
    </cfRule>
    <cfRule type="expression" dxfId="5093" priority="677">
      <formula>AND(IF($Q184=3,1,0),IF($X184&lt;30,1,0))</formula>
    </cfRule>
    <cfRule type="expression" dxfId="5092" priority="678">
      <formula>AND(IF($Q184=3,1,IF($Q184=4,1,0)),IF($F184&lt;=85,1,0))</formula>
    </cfRule>
  </conditionalFormatting>
  <conditionalFormatting sqref="X184">
    <cfRule type="expression" dxfId="5091" priority="671">
      <formula>AND(IF(OR($Q184=1,$Q184=2),1,0),IF($X184&lt;=20,1,0))</formula>
    </cfRule>
    <cfRule type="expression" dxfId="5090" priority="672">
      <formula>AND(IF($Q184=2,1,0),IF($X184&lt;30,1,0))</formula>
    </cfRule>
    <cfRule type="expression" dxfId="5089" priority="673">
      <formula>AND(IF($Q184=3,1,0),IF($X184&lt;30,1,0))</formula>
    </cfRule>
    <cfRule type="expression" dxfId="5088" priority="674">
      <formula>AND(IF($Q184=3,1,IF($Q184=4,1,0)),IF($F184&lt;=85,1,0))</formula>
    </cfRule>
  </conditionalFormatting>
  <conditionalFormatting sqref="AI184">
    <cfRule type="expression" dxfId="5087" priority="667">
      <formula>AND(IF(OR($Q184=1,$Q184=2),1,0),IF($X184&lt;=20,1,0))</formula>
    </cfRule>
    <cfRule type="expression" dxfId="5086" priority="668">
      <formula>AND(IF($Q184=2,1,0),IF($X184&lt;30,1,0))</formula>
    </cfRule>
    <cfRule type="expression" dxfId="5085" priority="669">
      <formula>AND(IF($Q184=3,1,0),IF($X184&lt;30,1,0))</formula>
    </cfRule>
    <cfRule type="expression" dxfId="5084" priority="670">
      <formula>AND(IF($Q184=3,1,IF($Q184=4,1,0)),IF($F184&lt;=85,1,0))</formula>
    </cfRule>
  </conditionalFormatting>
  <conditionalFormatting sqref="AV185">
    <cfRule type="expression" dxfId="5083" priority="665">
      <formula>AV185="X"</formula>
    </cfRule>
    <cfRule type="expression" dxfId="5082" priority="666">
      <formula>AV185="후보"</formula>
    </cfRule>
  </conditionalFormatting>
  <conditionalFormatting sqref="AC185">
    <cfRule type="cellIs" dxfId="5081" priority="663" operator="greaterThan">
      <formula>0.9</formula>
    </cfRule>
    <cfRule type="cellIs" dxfId="5080" priority="664" operator="greaterThan">
      <formula>0.85</formula>
    </cfRule>
  </conditionalFormatting>
  <conditionalFormatting sqref="N185">
    <cfRule type="cellIs" dxfId="5079" priority="661" operator="greaterThan">
      <formula>0.9</formula>
    </cfRule>
    <cfRule type="cellIs" dxfId="5078" priority="662" operator="greaterThan">
      <formula>0.85</formula>
    </cfRule>
  </conditionalFormatting>
  <conditionalFormatting sqref="E185">
    <cfRule type="expression" dxfId="5077" priority="657">
      <formula>AND(IF(OR($Q185=1,$Q185=2),1,0),IF($X185&lt;=20,1,0))</formula>
    </cfRule>
    <cfRule type="expression" dxfId="5076" priority="658">
      <formula>AND(IF($Q185=2,1,0),IF($X185&lt;30,1,0))</formula>
    </cfRule>
    <cfRule type="expression" dxfId="5075" priority="659">
      <formula>AND(IF($Q185=3,1,0),IF($X185&lt;30,1,0))</formula>
    </cfRule>
    <cfRule type="expression" dxfId="5074" priority="660">
      <formula>AND(IF($Q185=3,1,IF($Q185=4,1,0)),IF($F185&lt;=85,1,0))</formula>
    </cfRule>
  </conditionalFormatting>
  <conditionalFormatting sqref="X185">
    <cfRule type="expression" dxfId="5073" priority="653">
      <formula>AND(IF(OR($Q185=1,$Q185=2),1,0),IF($X185&lt;=20,1,0))</formula>
    </cfRule>
    <cfRule type="expression" dxfId="5072" priority="654">
      <formula>AND(IF($Q185=2,1,0),IF($X185&lt;30,1,0))</formula>
    </cfRule>
    <cfRule type="expression" dxfId="5071" priority="655">
      <formula>AND(IF($Q185=3,1,0),IF($X185&lt;30,1,0))</formula>
    </cfRule>
    <cfRule type="expression" dxfId="5070" priority="656">
      <formula>AND(IF($Q185=3,1,IF($Q185=4,1,0)),IF($F185&lt;=85,1,0))</formula>
    </cfRule>
  </conditionalFormatting>
  <conditionalFormatting sqref="AI185">
    <cfRule type="expression" dxfId="5069" priority="649">
      <formula>AND(IF(OR($Q185=1,$Q185=2),1,0),IF($X185&lt;=20,1,0))</formula>
    </cfRule>
    <cfRule type="expression" dxfId="5068" priority="650">
      <formula>AND(IF($Q185=2,1,0),IF($X185&lt;30,1,0))</formula>
    </cfRule>
    <cfRule type="expression" dxfId="5067" priority="651">
      <formula>AND(IF($Q185=3,1,0),IF($X185&lt;30,1,0))</formula>
    </cfRule>
    <cfRule type="expression" dxfId="5066" priority="652">
      <formula>AND(IF($Q185=3,1,IF($Q185=4,1,0)),IF($F185&lt;=85,1,0))</formula>
    </cfRule>
  </conditionalFormatting>
  <conditionalFormatting sqref="AV186">
    <cfRule type="expression" dxfId="5065" priority="647">
      <formula>AV186="X"</formula>
    </cfRule>
    <cfRule type="expression" dxfId="5064" priority="648">
      <formula>AV186="후보"</formula>
    </cfRule>
  </conditionalFormatting>
  <conditionalFormatting sqref="AC186">
    <cfRule type="cellIs" dxfId="5063" priority="645" operator="greaterThan">
      <formula>0.9</formula>
    </cfRule>
    <cfRule type="cellIs" dxfId="5062" priority="646" operator="greaterThan">
      <formula>0.85</formula>
    </cfRule>
  </conditionalFormatting>
  <conditionalFormatting sqref="N186">
    <cfRule type="cellIs" dxfId="5061" priority="643" operator="greaterThan">
      <formula>0.9</formula>
    </cfRule>
    <cfRule type="cellIs" dxfId="5060" priority="644" operator="greaterThan">
      <formula>0.85</formula>
    </cfRule>
  </conditionalFormatting>
  <conditionalFormatting sqref="E186">
    <cfRule type="expression" dxfId="5059" priority="639">
      <formula>AND(IF(OR($Q186=1,$Q186=2),1,0),IF($X186&lt;=20,1,0))</formula>
    </cfRule>
    <cfRule type="expression" dxfId="5058" priority="640">
      <formula>AND(IF($Q186=2,1,0),IF($X186&lt;30,1,0))</formula>
    </cfRule>
    <cfRule type="expression" dxfId="5057" priority="641">
      <formula>AND(IF($Q186=3,1,0),IF($X186&lt;30,1,0))</formula>
    </cfRule>
    <cfRule type="expression" dxfId="5056" priority="642">
      <formula>AND(IF($Q186=3,1,IF($Q186=4,1,0)),IF($F186&lt;=85,1,0))</formula>
    </cfRule>
  </conditionalFormatting>
  <conditionalFormatting sqref="X186">
    <cfRule type="expression" dxfId="5055" priority="635">
      <formula>AND(IF(OR($Q186=1,$Q186=2),1,0),IF($X186&lt;=20,1,0))</formula>
    </cfRule>
    <cfRule type="expression" dxfId="5054" priority="636">
      <formula>AND(IF($Q186=2,1,0),IF($X186&lt;30,1,0))</formula>
    </cfRule>
    <cfRule type="expression" dxfId="5053" priority="637">
      <formula>AND(IF($Q186=3,1,0),IF($X186&lt;30,1,0))</formula>
    </cfRule>
    <cfRule type="expression" dxfId="5052" priority="638">
      <formula>AND(IF($Q186=3,1,IF($Q186=4,1,0)),IF($F186&lt;=85,1,0))</formula>
    </cfRule>
  </conditionalFormatting>
  <conditionalFormatting sqref="AI186">
    <cfRule type="expression" dxfId="5051" priority="631">
      <formula>AND(IF(OR($Q186=1,$Q186=2),1,0),IF($X186&lt;=20,1,0))</formula>
    </cfRule>
    <cfRule type="expression" dxfId="5050" priority="632">
      <formula>AND(IF($Q186=2,1,0),IF($X186&lt;30,1,0))</formula>
    </cfRule>
    <cfRule type="expression" dxfId="5049" priority="633">
      <formula>AND(IF($Q186=3,1,0),IF($X186&lt;30,1,0))</formula>
    </cfRule>
    <cfRule type="expression" dxfId="5048" priority="634">
      <formula>AND(IF($Q186=3,1,IF($Q186=4,1,0)),IF($F186&lt;=85,1,0))</formula>
    </cfRule>
  </conditionalFormatting>
  <conditionalFormatting sqref="AV187">
    <cfRule type="expression" dxfId="5047" priority="629">
      <formula>AV187="X"</formula>
    </cfRule>
    <cfRule type="expression" dxfId="5046" priority="630">
      <formula>AV187="후보"</formula>
    </cfRule>
  </conditionalFormatting>
  <conditionalFormatting sqref="AC187">
    <cfRule type="cellIs" dxfId="5045" priority="627" operator="greaterThan">
      <formula>0.9</formula>
    </cfRule>
    <cfRule type="cellIs" dxfId="5044" priority="628" operator="greaterThan">
      <formula>0.85</formula>
    </cfRule>
  </conditionalFormatting>
  <conditionalFormatting sqref="N187">
    <cfRule type="cellIs" dxfId="5043" priority="625" operator="greaterThan">
      <formula>0.9</formula>
    </cfRule>
    <cfRule type="cellIs" dxfId="5042" priority="626" operator="greaterThan">
      <formula>0.85</formula>
    </cfRule>
  </conditionalFormatting>
  <conditionalFormatting sqref="E187">
    <cfRule type="expression" dxfId="5041" priority="621">
      <formula>AND(IF(OR($Q187=1,$Q187=2),1,0),IF($X187&lt;=20,1,0))</formula>
    </cfRule>
    <cfRule type="expression" dxfId="5040" priority="622">
      <formula>AND(IF($Q187=2,1,0),IF($X187&lt;30,1,0))</formula>
    </cfRule>
    <cfRule type="expression" dxfId="5039" priority="623">
      <formula>AND(IF($Q187=3,1,0),IF($X187&lt;30,1,0))</formula>
    </cfRule>
    <cfRule type="expression" dxfId="5038" priority="624">
      <formula>AND(IF($Q187=3,1,IF($Q187=4,1,0)),IF($F187&lt;=85,1,0))</formula>
    </cfRule>
  </conditionalFormatting>
  <conditionalFormatting sqref="X187">
    <cfRule type="expression" dxfId="5037" priority="617">
      <formula>AND(IF(OR($Q187=1,$Q187=2),1,0),IF($X187&lt;=20,1,0))</formula>
    </cfRule>
    <cfRule type="expression" dxfId="5036" priority="618">
      <formula>AND(IF($Q187=2,1,0),IF($X187&lt;30,1,0))</formula>
    </cfRule>
    <cfRule type="expression" dxfId="5035" priority="619">
      <formula>AND(IF($Q187=3,1,0),IF($X187&lt;30,1,0))</formula>
    </cfRule>
    <cfRule type="expression" dxfId="5034" priority="620">
      <formula>AND(IF($Q187=3,1,IF($Q187=4,1,0)),IF($F187&lt;=85,1,0))</formula>
    </cfRule>
  </conditionalFormatting>
  <conditionalFormatting sqref="AI187">
    <cfRule type="expression" dxfId="5033" priority="613">
      <formula>AND(IF(OR($Q187=1,$Q187=2),1,0),IF($X187&lt;=20,1,0))</formula>
    </cfRule>
    <cfRule type="expression" dxfId="5032" priority="614">
      <formula>AND(IF($Q187=2,1,0),IF($X187&lt;30,1,0))</formula>
    </cfRule>
    <cfRule type="expression" dxfId="5031" priority="615">
      <formula>AND(IF($Q187=3,1,0),IF($X187&lt;30,1,0))</formula>
    </cfRule>
    <cfRule type="expression" dxfId="5030" priority="616">
      <formula>AND(IF($Q187=3,1,IF($Q187=4,1,0)),IF($F187&lt;=85,1,0))</formula>
    </cfRule>
  </conditionalFormatting>
  <conditionalFormatting sqref="AV188">
    <cfRule type="expression" dxfId="5029" priority="611">
      <formula>AV188="X"</formula>
    </cfRule>
    <cfRule type="expression" dxfId="5028" priority="612">
      <formula>AV188="후보"</formula>
    </cfRule>
  </conditionalFormatting>
  <conditionalFormatting sqref="AC188">
    <cfRule type="cellIs" dxfId="5027" priority="609" operator="greaterThan">
      <formula>0.9</formula>
    </cfRule>
    <cfRule type="cellIs" dxfId="5026" priority="610" operator="greaterThan">
      <formula>0.85</formula>
    </cfRule>
  </conditionalFormatting>
  <conditionalFormatting sqref="N188">
    <cfRule type="cellIs" dxfId="5025" priority="607" operator="greaterThan">
      <formula>0.9</formula>
    </cfRule>
    <cfRule type="cellIs" dxfId="5024" priority="608" operator="greaterThan">
      <formula>0.85</formula>
    </cfRule>
  </conditionalFormatting>
  <conditionalFormatting sqref="E188">
    <cfRule type="expression" dxfId="5023" priority="603">
      <formula>AND(IF(OR($Q188=1,$Q188=2),1,0),IF($X188&lt;=20,1,0))</formula>
    </cfRule>
    <cfRule type="expression" dxfId="5022" priority="604">
      <formula>AND(IF($Q188=2,1,0),IF($X188&lt;30,1,0))</formula>
    </cfRule>
    <cfRule type="expression" dxfId="5021" priority="605">
      <formula>AND(IF($Q188=3,1,0),IF($X188&lt;30,1,0))</formula>
    </cfRule>
    <cfRule type="expression" dxfId="5020" priority="606">
      <formula>AND(IF($Q188=3,1,IF($Q188=4,1,0)),IF($F188&lt;=85,1,0))</formula>
    </cfRule>
  </conditionalFormatting>
  <conditionalFormatting sqref="X188">
    <cfRule type="expression" dxfId="5019" priority="599">
      <formula>AND(IF(OR($Q188=1,$Q188=2),1,0),IF($X188&lt;=20,1,0))</formula>
    </cfRule>
    <cfRule type="expression" dxfId="5018" priority="600">
      <formula>AND(IF($Q188=2,1,0),IF($X188&lt;30,1,0))</formula>
    </cfRule>
    <cfRule type="expression" dxfId="5017" priority="601">
      <formula>AND(IF($Q188=3,1,0),IF($X188&lt;30,1,0))</formula>
    </cfRule>
    <cfRule type="expression" dxfId="5016" priority="602">
      <formula>AND(IF($Q188=3,1,IF($Q188=4,1,0)),IF($F188&lt;=85,1,0))</formula>
    </cfRule>
  </conditionalFormatting>
  <conditionalFormatting sqref="AI188">
    <cfRule type="expression" dxfId="5015" priority="595">
      <formula>AND(IF(OR($Q188=1,$Q188=2),1,0),IF($X188&lt;=20,1,0))</formula>
    </cfRule>
    <cfRule type="expression" dxfId="5014" priority="596">
      <formula>AND(IF($Q188=2,1,0),IF($X188&lt;30,1,0))</formula>
    </cfRule>
    <cfRule type="expression" dxfId="5013" priority="597">
      <formula>AND(IF($Q188=3,1,0),IF($X188&lt;30,1,0))</formula>
    </cfRule>
    <cfRule type="expression" dxfId="5012" priority="598">
      <formula>AND(IF($Q188=3,1,IF($Q188=4,1,0)),IF($F188&lt;=85,1,0))</formula>
    </cfRule>
  </conditionalFormatting>
  <conditionalFormatting sqref="AV189">
    <cfRule type="expression" dxfId="5011" priority="593">
      <formula>AV189="X"</formula>
    </cfRule>
    <cfRule type="expression" dxfId="5010" priority="594">
      <formula>AV189="후보"</formula>
    </cfRule>
  </conditionalFormatting>
  <conditionalFormatting sqref="AC189">
    <cfRule type="cellIs" dxfId="5009" priority="591" operator="greaterThan">
      <formula>0.9</formula>
    </cfRule>
    <cfRule type="cellIs" dxfId="5008" priority="592" operator="greaterThan">
      <formula>0.85</formula>
    </cfRule>
  </conditionalFormatting>
  <conditionalFormatting sqref="N189">
    <cfRule type="cellIs" dxfId="5007" priority="589" operator="greaterThan">
      <formula>0.9</formula>
    </cfRule>
    <cfRule type="cellIs" dxfId="5006" priority="590" operator="greaterThan">
      <formula>0.85</formula>
    </cfRule>
  </conditionalFormatting>
  <conditionalFormatting sqref="E189">
    <cfRule type="expression" dxfId="5005" priority="585">
      <formula>AND(IF(OR($Q189=1,$Q189=2),1,0),IF($X189&lt;=20,1,0))</formula>
    </cfRule>
    <cfRule type="expression" dxfId="5004" priority="586">
      <formula>AND(IF($Q189=2,1,0),IF($X189&lt;30,1,0))</formula>
    </cfRule>
    <cfRule type="expression" dxfId="5003" priority="587">
      <formula>AND(IF($Q189=3,1,0),IF($X189&lt;30,1,0))</formula>
    </cfRule>
    <cfRule type="expression" dxfId="5002" priority="588">
      <formula>AND(IF($Q189=3,1,IF($Q189=4,1,0)),IF($F189&lt;=85,1,0))</formula>
    </cfRule>
  </conditionalFormatting>
  <conditionalFormatting sqref="X189">
    <cfRule type="expression" dxfId="5001" priority="581">
      <formula>AND(IF(OR($Q189=1,$Q189=2),1,0),IF($X189&lt;=20,1,0))</formula>
    </cfRule>
    <cfRule type="expression" dxfId="5000" priority="582">
      <formula>AND(IF($Q189=2,1,0),IF($X189&lt;30,1,0))</formula>
    </cfRule>
    <cfRule type="expression" dxfId="4999" priority="583">
      <formula>AND(IF($Q189=3,1,0),IF($X189&lt;30,1,0))</formula>
    </cfRule>
    <cfRule type="expression" dxfId="4998" priority="584">
      <formula>AND(IF($Q189=3,1,IF($Q189=4,1,0)),IF($F189&lt;=85,1,0))</formula>
    </cfRule>
  </conditionalFormatting>
  <conditionalFormatting sqref="AI189">
    <cfRule type="expression" dxfId="4997" priority="577">
      <formula>AND(IF(OR($Q189=1,$Q189=2),1,0),IF($X189&lt;=20,1,0))</formula>
    </cfRule>
    <cfRule type="expression" dxfId="4996" priority="578">
      <formula>AND(IF($Q189=2,1,0),IF($X189&lt;30,1,0))</formula>
    </cfRule>
    <cfRule type="expression" dxfId="4995" priority="579">
      <formula>AND(IF($Q189=3,1,0),IF($X189&lt;30,1,0))</formula>
    </cfRule>
    <cfRule type="expression" dxfId="4994" priority="580">
      <formula>AND(IF($Q189=3,1,IF($Q189=4,1,0)),IF($F189&lt;=85,1,0))</formula>
    </cfRule>
  </conditionalFormatting>
  <conditionalFormatting sqref="AV190">
    <cfRule type="expression" dxfId="4993" priority="575">
      <formula>AV190="X"</formula>
    </cfRule>
    <cfRule type="expression" dxfId="4992" priority="576">
      <formula>AV190="후보"</formula>
    </cfRule>
  </conditionalFormatting>
  <conditionalFormatting sqref="AC190">
    <cfRule type="cellIs" dxfId="4991" priority="573" operator="greaterThan">
      <formula>0.9</formula>
    </cfRule>
    <cfRule type="cellIs" dxfId="4990" priority="574" operator="greaterThan">
      <formula>0.85</formula>
    </cfRule>
  </conditionalFormatting>
  <conditionalFormatting sqref="N190">
    <cfRule type="cellIs" dxfId="4989" priority="571" operator="greaterThan">
      <formula>0.9</formula>
    </cfRule>
    <cfRule type="cellIs" dxfId="4988" priority="572" operator="greaterThan">
      <formula>0.85</formula>
    </cfRule>
  </conditionalFormatting>
  <conditionalFormatting sqref="E190">
    <cfRule type="expression" dxfId="4987" priority="567">
      <formula>AND(IF(OR($Q190=1,$Q190=2),1,0),IF($X190&lt;=20,1,0))</formula>
    </cfRule>
    <cfRule type="expression" dxfId="4986" priority="568">
      <formula>AND(IF($Q190=2,1,0),IF($X190&lt;30,1,0))</formula>
    </cfRule>
    <cfRule type="expression" dxfId="4985" priority="569">
      <formula>AND(IF($Q190=3,1,0),IF($X190&lt;30,1,0))</formula>
    </cfRule>
    <cfRule type="expression" dxfId="4984" priority="570">
      <formula>AND(IF($Q190=3,1,IF($Q190=4,1,0)),IF($F190&lt;=85,1,0))</formula>
    </cfRule>
  </conditionalFormatting>
  <conditionalFormatting sqref="X190">
    <cfRule type="expression" dxfId="4983" priority="563">
      <formula>AND(IF(OR($Q190=1,$Q190=2),1,0),IF($X190&lt;=20,1,0))</formula>
    </cfRule>
    <cfRule type="expression" dxfId="4982" priority="564">
      <formula>AND(IF($Q190=2,1,0),IF($X190&lt;30,1,0))</formula>
    </cfRule>
    <cfRule type="expression" dxfId="4981" priority="565">
      <formula>AND(IF($Q190=3,1,0),IF($X190&lt;30,1,0))</formula>
    </cfRule>
    <cfRule type="expression" dxfId="4980" priority="566">
      <formula>AND(IF($Q190=3,1,IF($Q190=4,1,0)),IF($F190&lt;=85,1,0))</formula>
    </cfRule>
  </conditionalFormatting>
  <conditionalFormatting sqref="AI190">
    <cfRule type="expression" dxfId="4979" priority="559">
      <formula>AND(IF(OR($Q190=1,$Q190=2),1,0),IF($X190&lt;=20,1,0))</formula>
    </cfRule>
    <cfRule type="expression" dxfId="4978" priority="560">
      <formula>AND(IF($Q190=2,1,0),IF($X190&lt;30,1,0))</formula>
    </cfRule>
    <cfRule type="expression" dxfId="4977" priority="561">
      <formula>AND(IF($Q190=3,1,0),IF($X190&lt;30,1,0))</formula>
    </cfRule>
    <cfRule type="expression" dxfId="4976" priority="562">
      <formula>AND(IF($Q190=3,1,IF($Q190=4,1,0)),IF($F190&lt;=85,1,0))</formula>
    </cfRule>
  </conditionalFormatting>
  <conditionalFormatting sqref="AV191">
    <cfRule type="expression" dxfId="4975" priority="557">
      <formula>AV191="X"</formula>
    </cfRule>
    <cfRule type="expression" dxfId="4974" priority="558">
      <formula>AV191="후보"</formula>
    </cfRule>
  </conditionalFormatting>
  <conditionalFormatting sqref="AC191">
    <cfRule type="cellIs" dxfId="4973" priority="555" operator="greaterThan">
      <formula>0.9</formula>
    </cfRule>
    <cfRule type="cellIs" dxfId="4972" priority="556" operator="greaterThan">
      <formula>0.85</formula>
    </cfRule>
  </conditionalFormatting>
  <conditionalFormatting sqref="N191">
    <cfRule type="cellIs" dxfId="4971" priority="553" operator="greaterThan">
      <formula>0.9</formula>
    </cfRule>
    <cfRule type="cellIs" dxfId="4970" priority="554" operator="greaterThan">
      <formula>0.85</formula>
    </cfRule>
  </conditionalFormatting>
  <conditionalFormatting sqref="E191">
    <cfRule type="expression" dxfId="4969" priority="549">
      <formula>AND(IF(OR($Q191=1,$Q191=2),1,0),IF($X191&lt;=20,1,0))</formula>
    </cfRule>
    <cfRule type="expression" dxfId="4968" priority="550">
      <formula>AND(IF($Q191=2,1,0),IF($X191&lt;30,1,0))</formula>
    </cfRule>
    <cfRule type="expression" dxfId="4967" priority="551">
      <formula>AND(IF($Q191=3,1,0),IF($X191&lt;30,1,0))</formula>
    </cfRule>
    <cfRule type="expression" dxfId="4966" priority="552">
      <formula>AND(IF($Q191=3,1,IF($Q191=4,1,0)),IF($F191&lt;=85,1,0))</formula>
    </cfRule>
  </conditionalFormatting>
  <conditionalFormatting sqref="X191">
    <cfRule type="expression" dxfId="4965" priority="545">
      <formula>AND(IF(OR($Q191=1,$Q191=2),1,0),IF($X191&lt;=20,1,0))</formula>
    </cfRule>
    <cfRule type="expression" dxfId="4964" priority="546">
      <formula>AND(IF($Q191=2,1,0),IF($X191&lt;30,1,0))</formula>
    </cfRule>
    <cfRule type="expression" dxfId="4963" priority="547">
      <formula>AND(IF($Q191=3,1,0),IF($X191&lt;30,1,0))</formula>
    </cfRule>
    <cfRule type="expression" dxfId="4962" priority="548">
      <formula>AND(IF($Q191=3,1,IF($Q191=4,1,0)),IF($F191&lt;=85,1,0))</formula>
    </cfRule>
  </conditionalFormatting>
  <conditionalFormatting sqref="AI191">
    <cfRule type="expression" dxfId="4961" priority="541">
      <formula>AND(IF(OR($Q191=1,$Q191=2),1,0),IF($X191&lt;=20,1,0))</formula>
    </cfRule>
    <cfRule type="expression" dxfId="4960" priority="542">
      <formula>AND(IF($Q191=2,1,0),IF($X191&lt;30,1,0))</formula>
    </cfRule>
    <cfRule type="expression" dxfId="4959" priority="543">
      <formula>AND(IF($Q191=3,1,0),IF($X191&lt;30,1,0))</formula>
    </cfRule>
    <cfRule type="expression" dxfId="4958" priority="544">
      <formula>AND(IF($Q191=3,1,IF($Q191=4,1,0)),IF($F191&lt;=85,1,0))</formula>
    </cfRule>
  </conditionalFormatting>
  <conditionalFormatting sqref="AV192">
    <cfRule type="expression" dxfId="4957" priority="539">
      <formula>AV192="X"</formula>
    </cfRule>
    <cfRule type="expression" dxfId="4956" priority="540">
      <formula>AV192="후보"</formula>
    </cfRule>
  </conditionalFormatting>
  <conditionalFormatting sqref="AC192">
    <cfRule type="cellIs" dxfId="4955" priority="537" operator="greaterThan">
      <formula>0.9</formula>
    </cfRule>
    <cfRule type="cellIs" dxfId="4954" priority="538" operator="greaterThan">
      <formula>0.85</formula>
    </cfRule>
  </conditionalFormatting>
  <conditionalFormatting sqref="N192">
    <cfRule type="cellIs" dxfId="4953" priority="535" operator="greaterThan">
      <formula>0.9</formula>
    </cfRule>
    <cfRule type="cellIs" dxfId="4952" priority="536" operator="greaterThan">
      <formula>0.85</formula>
    </cfRule>
  </conditionalFormatting>
  <conditionalFormatting sqref="E192">
    <cfRule type="expression" dxfId="4951" priority="531">
      <formula>AND(IF(OR($Q192=1,$Q192=2),1,0),IF($X192&lt;=20,1,0))</formula>
    </cfRule>
    <cfRule type="expression" dxfId="4950" priority="532">
      <formula>AND(IF($Q192=2,1,0),IF($X192&lt;30,1,0))</formula>
    </cfRule>
    <cfRule type="expression" dxfId="4949" priority="533">
      <formula>AND(IF($Q192=3,1,0),IF($X192&lt;30,1,0))</formula>
    </cfRule>
    <cfRule type="expression" dxfId="4948" priority="534">
      <formula>AND(IF($Q192=3,1,IF($Q192=4,1,0)),IF($F192&lt;=85,1,0))</formula>
    </cfRule>
  </conditionalFormatting>
  <conditionalFormatting sqref="X192">
    <cfRule type="expression" dxfId="4947" priority="527">
      <formula>AND(IF(OR($Q192=1,$Q192=2),1,0),IF($X192&lt;=20,1,0))</formula>
    </cfRule>
    <cfRule type="expression" dxfId="4946" priority="528">
      <formula>AND(IF($Q192=2,1,0),IF($X192&lt;30,1,0))</formula>
    </cfRule>
    <cfRule type="expression" dxfId="4945" priority="529">
      <formula>AND(IF($Q192=3,1,0),IF($X192&lt;30,1,0))</formula>
    </cfRule>
    <cfRule type="expression" dxfId="4944" priority="530">
      <formula>AND(IF($Q192=3,1,IF($Q192=4,1,0)),IF($F192&lt;=85,1,0))</formula>
    </cfRule>
  </conditionalFormatting>
  <conditionalFormatting sqref="AI192">
    <cfRule type="expression" dxfId="4943" priority="523">
      <formula>AND(IF(OR($Q192=1,$Q192=2),1,0),IF($X192&lt;=20,1,0))</formula>
    </cfRule>
    <cfRule type="expression" dxfId="4942" priority="524">
      <formula>AND(IF($Q192=2,1,0),IF($X192&lt;30,1,0))</formula>
    </cfRule>
    <cfRule type="expression" dxfId="4941" priority="525">
      <formula>AND(IF($Q192=3,1,0),IF($X192&lt;30,1,0))</formula>
    </cfRule>
    <cfRule type="expression" dxfId="4940" priority="526">
      <formula>AND(IF($Q192=3,1,IF($Q192=4,1,0)),IF($F192&lt;=85,1,0))</formula>
    </cfRule>
  </conditionalFormatting>
  <conditionalFormatting sqref="AV193">
    <cfRule type="expression" dxfId="4939" priority="521">
      <formula>AV193="X"</formula>
    </cfRule>
    <cfRule type="expression" dxfId="4938" priority="522">
      <formula>AV193="후보"</formula>
    </cfRule>
  </conditionalFormatting>
  <conditionalFormatting sqref="AC193">
    <cfRule type="cellIs" dxfId="4937" priority="519" operator="greaterThan">
      <formula>0.9</formula>
    </cfRule>
    <cfRule type="cellIs" dxfId="4936" priority="520" operator="greaterThan">
      <formula>0.85</formula>
    </cfRule>
  </conditionalFormatting>
  <conditionalFormatting sqref="N193">
    <cfRule type="cellIs" dxfId="4935" priority="517" operator="greaterThan">
      <formula>0.9</formula>
    </cfRule>
    <cfRule type="cellIs" dxfId="4934" priority="518" operator="greaterThan">
      <formula>0.85</formula>
    </cfRule>
  </conditionalFormatting>
  <conditionalFormatting sqref="E193">
    <cfRule type="expression" dxfId="4933" priority="513">
      <formula>AND(IF(OR($Q193=1,$Q193=2),1,0),IF($X193&lt;=20,1,0))</formula>
    </cfRule>
    <cfRule type="expression" dxfId="4932" priority="514">
      <formula>AND(IF($Q193=2,1,0),IF($X193&lt;30,1,0))</formula>
    </cfRule>
    <cfRule type="expression" dxfId="4931" priority="515">
      <formula>AND(IF($Q193=3,1,0),IF($X193&lt;30,1,0))</formula>
    </cfRule>
    <cfRule type="expression" dxfId="4930" priority="516">
      <formula>AND(IF($Q193=3,1,IF($Q193=4,1,0)),IF($F193&lt;=85,1,0))</formula>
    </cfRule>
  </conditionalFormatting>
  <conditionalFormatting sqref="X193">
    <cfRule type="expression" dxfId="4929" priority="509">
      <formula>AND(IF(OR($Q193=1,$Q193=2),1,0),IF($X193&lt;=20,1,0))</formula>
    </cfRule>
    <cfRule type="expression" dxfId="4928" priority="510">
      <formula>AND(IF($Q193=2,1,0),IF($X193&lt;30,1,0))</formula>
    </cfRule>
    <cfRule type="expression" dxfId="4927" priority="511">
      <formula>AND(IF($Q193=3,1,0),IF($X193&lt;30,1,0))</formula>
    </cfRule>
    <cfRule type="expression" dxfId="4926" priority="512">
      <formula>AND(IF($Q193=3,1,IF($Q193=4,1,0)),IF($F193&lt;=85,1,0))</formula>
    </cfRule>
  </conditionalFormatting>
  <conditionalFormatting sqref="AI193">
    <cfRule type="expression" dxfId="4925" priority="505">
      <formula>AND(IF(OR($Q193=1,$Q193=2),1,0),IF($X193&lt;=20,1,0))</formula>
    </cfRule>
    <cfRule type="expression" dxfId="4924" priority="506">
      <formula>AND(IF($Q193=2,1,0),IF($X193&lt;30,1,0))</formula>
    </cfRule>
    <cfRule type="expression" dxfId="4923" priority="507">
      <formula>AND(IF($Q193=3,1,0),IF($X193&lt;30,1,0))</formula>
    </cfRule>
    <cfRule type="expression" dxfId="4922" priority="508">
      <formula>AND(IF($Q193=3,1,IF($Q193=4,1,0)),IF($F193&lt;=85,1,0))</formula>
    </cfRule>
  </conditionalFormatting>
  <conditionalFormatting sqref="AV194">
    <cfRule type="expression" dxfId="4921" priority="503">
      <formula>AV194="X"</formula>
    </cfRule>
    <cfRule type="expression" dxfId="4920" priority="504">
      <formula>AV194="후보"</formula>
    </cfRule>
  </conditionalFormatting>
  <conditionalFormatting sqref="AC194">
    <cfRule type="cellIs" dxfId="4919" priority="501" operator="greaterThan">
      <formula>0.9</formula>
    </cfRule>
    <cfRule type="cellIs" dxfId="4918" priority="502" operator="greaterThan">
      <formula>0.85</formula>
    </cfRule>
  </conditionalFormatting>
  <conditionalFormatting sqref="N194">
    <cfRule type="cellIs" dxfId="4917" priority="499" operator="greaterThan">
      <formula>0.9</formula>
    </cfRule>
    <cfRule type="cellIs" dxfId="4916" priority="500" operator="greaterThan">
      <formula>0.85</formula>
    </cfRule>
  </conditionalFormatting>
  <conditionalFormatting sqref="E194">
    <cfRule type="expression" dxfId="4915" priority="495">
      <formula>AND(IF(OR($Q194=1,$Q194=2),1,0),IF($X194&lt;=20,1,0))</formula>
    </cfRule>
    <cfRule type="expression" dxfId="4914" priority="496">
      <formula>AND(IF($Q194=2,1,0),IF($X194&lt;30,1,0))</formula>
    </cfRule>
    <cfRule type="expression" dxfId="4913" priority="497">
      <formula>AND(IF($Q194=3,1,0),IF($X194&lt;30,1,0))</formula>
    </cfRule>
    <cfRule type="expression" dxfId="4912" priority="498">
      <formula>AND(IF($Q194=3,1,IF($Q194=4,1,0)),IF($F194&lt;=85,1,0))</formula>
    </cfRule>
  </conditionalFormatting>
  <conditionalFormatting sqref="X194">
    <cfRule type="expression" dxfId="4911" priority="491">
      <formula>AND(IF(OR($Q194=1,$Q194=2),1,0),IF($X194&lt;=20,1,0))</formula>
    </cfRule>
    <cfRule type="expression" dxfId="4910" priority="492">
      <formula>AND(IF($Q194=2,1,0),IF($X194&lt;30,1,0))</formula>
    </cfRule>
    <cfRule type="expression" dxfId="4909" priority="493">
      <formula>AND(IF($Q194=3,1,0),IF($X194&lt;30,1,0))</formula>
    </cfRule>
    <cfRule type="expression" dxfId="4908" priority="494">
      <formula>AND(IF($Q194=3,1,IF($Q194=4,1,0)),IF($F194&lt;=85,1,0))</formula>
    </cfRule>
  </conditionalFormatting>
  <conditionalFormatting sqref="AI194">
    <cfRule type="expression" dxfId="4907" priority="487">
      <formula>AND(IF(OR($Q194=1,$Q194=2),1,0),IF($X194&lt;=20,1,0))</formula>
    </cfRule>
    <cfRule type="expression" dxfId="4906" priority="488">
      <formula>AND(IF($Q194=2,1,0),IF($X194&lt;30,1,0))</formula>
    </cfRule>
    <cfRule type="expression" dxfId="4905" priority="489">
      <formula>AND(IF($Q194=3,1,0),IF($X194&lt;30,1,0))</formula>
    </cfRule>
    <cfRule type="expression" dxfId="4904" priority="490">
      <formula>AND(IF($Q194=3,1,IF($Q194=4,1,0)),IF($F194&lt;=85,1,0))</formula>
    </cfRule>
  </conditionalFormatting>
  <conditionalFormatting sqref="AV195">
    <cfRule type="expression" dxfId="4903" priority="485">
      <formula>AV195="X"</formula>
    </cfRule>
    <cfRule type="expression" dxfId="4902" priority="486">
      <formula>AV195="후보"</formula>
    </cfRule>
  </conditionalFormatting>
  <conditionalFormatting sqref="AC195">
    <cfRule type="cellIs" dxfId="4901" priority="483" operator="greaterThan">
      <formula>0.9</formula>
    </cfRule>
    <cfRule type="cellIs" dxfId="4900" priority="484" operator="greaterThan">
      <formula>0.85</formula>
    </cfRule>
  </conditionalFormatting>
  <conditionalFormatting sqref="N195">
    <cfRule type="cellIs" dxfId="4899" priority="481" operator="greaterThan">
      <formula>0.9</formula>
    </cfRule>
    <cfRule type="cellIs" dxfId="4898" priority="482" operator="greaterThan">
      <formula>0.85</formula>
    </cfRule>
  </conditionalFormatting>
  <conditionalFormatting sqref="E195">
    <cfRule type="expression" dxfId="4897" priority="477">
      <formula>AND(IF(OR($Q195=1,$Q195=2),1,0),IF($X195&lt;=20,1,0))</formula>
    </cfRule>
    <cfRule type="expression" dxfId="4896" priority="478">
      <formula>AND(IF($Q195=2,1,0),IF($X195&lt;30,1,0))</formula>
    </cfRule>
    <cfRule type="expression" dxfId="4895" priority="479">
      <formula>AND(IF($Q195=3,1,0),IF($X195&lt;30,1,0))</formula>
    </cfRule>
    <cfRule type="expression" dxfId="4894" priority="480">
      <formula>AND(IF($Q195=3,1,IF($Q195=4,1,0)),IF($F195&lt;=85,1,0))</formula>
    </cfRule>
  </conditionalFormatting>
  <conditionalFormatting sqref="X195">
    <cfRule type="expression" dxfId="4893" priority="473">
      <formula>AND(IF(OR($Q195=1,$Q195=2),1,0),IF($X195&lt;=20,1,0))</formula>
    </cfRule>
    <cfRule type="expression" dxfId="4892" priority="474">
      <formula>AND(IF($Q195=2,1,0),IF($X195&lt;30,1,0))</formula>
    </cfRule>
    <cfRule type="expression" dxfId="4891" priority="475">
      <formula>AND(IF($Q195=3,1,0),IF($X195&lt;30,1,0))</formula>
    </cfRule>
    <cfRule type="expression" dxfId="4890" priority="476">
      <formula>AND(IF($Q195=3,1,IF($Q195=4,1,0)),IF($F195&lt;=85,1,0))</formula>
    </cfRule>
  </conditionalFormatting>
  <conditionalFormatting sqref="AI195">
    <cfRule type="expression" dxfId="4889" priority="469">
      <formula>AND(IF(OR($Q195=1,$Q195=2),1,0),IF($X195&lt;=20,1,0))</formula>
    </cfRule>
    <cfRule type="expression" dxfId="4888" priority="470">
      <formula>AND(IF($Q195=2,1,0),IF($X195&lt;30,1,0))</formula>
    </cfRule>
    <cfRule type="expression" dxfId="4887" priority="471">
      <formula>AND(IF($Q195=3,1,0),IF($X195&lt;30,1,0))</formula>
    </cfRule>
    <cfRule type="expression" dxfId="4886" priority="472">
      <formula>AND(IF($Q195=3,1,IF($Q195=4,1,0)),IF($F195&lt;=85,1,0))</formula>
    </cfRule>
  </conditionalFormatting>
  <conditionalFormatting sqref="AV196">
    <cfRule type="expression" dxfId="4885" priority="467">
      <formula>AV196="X"</formula>
    </cfRule>
    <cfRule type="expression" dxfId="4884" priority="468">
      <formula>AV196="후보"</formula>
    </cfRule>
  </conditionalFormatting>
  <conditionalFormatting sqref="AC196">
    <cfRule type="cellIs" dxfId="4883" priority="465" operator="greaterThan">
      <formula>0.9</formula>
    </cfRule>
    <cfRule type="cellIs" dxfId="4882" priority="466" operator="greaterThan">
      <formula>0.85</formula>
    </cfRule>
  </conditionalFormatting>
  <conditionalFormatting sqref="N196">
    <cfRule type="cellIs" dxfId="4881" priority="463" operator="greaterThan">
      <formula>0.9</formula>
    </cfRule>
    <cfRule type="cellIs" dxfId="4880" priority="464" operator="greaterThan">
      <formula>0.85</formula>
    </cfRule>
  </conditionalFormatting>
  <conditionalFormatting sqref="E196">
    <cfRule type="expression" dxfId="4879" priority="459">
      <formula>AND(IF(OR($Q196=1,$Q196=2),1,0),IF($X196&lt;=20,1,0))</formula>
    </cfRule>
    <cfRule type="expression" dxfId="4878" priority="460">
      <formula>AND(IF($Q196=2,1,0),IF($X196&lt;30,1,0))</formula>
    </cfRule>
    <cfRule type="expression" dxfId="4877" priority="461">
      <formula>AND(IF($Q196=3,1,0),IF($X196&lt;30,1,0))</formula>
    </cfRule>
    <cfRule type="expression" dxfId="4876" priority="462">
      <formula>AND(IF($Q196=3,1,IF($Q196=4,1,0)),IF($F196&lt;=85,1,0))</formula>
    </cfRule>
  </conditionalFormatting>
  <conditionalFormatting sqref="X196">
    <cfRule type="expression" dxfId="4875" priority="455">
      <formula>AND(IF(OR($Q196=1,$Q196=2),1,0),IF($X196&lt;=20,1,0))</formula>
    </cfRule>
    <cfRule type="expression" dxfId="4874" priority="456">
      <formula>AND(IF($Q196=2,1,0),IF($X196&lt;30,1,0))</formula>
    </cfRule>
    <cfRule type="expression" dxfId="4873" priority="457">
      <formula>AND(IF($Q196=3,1,0),IF($X196&lt;30,1,0))</formula>
    </cfRule>
    <cfRule type="expression" dxfId="4872" priority="458">
      <formula>AND(IF($Q196=3,1,IF($Q196=4,1,0)),IF($F196&lt;=85,1,0))</formula>
    </cfRule>
  </conditionalFormatting>
  <conditionalFormatting sqref="AI196">
    <cfRule type="expression" dxfId="4871" priority="451">
      <formula>AND(IF(OR($Q196=1,$Q196=2),1,0),IF($X196&lt;=20,1,0))</formula>
    </cfRule>
    <cfRule type="expression" dxfId="4870" priority="452">
      <formula>AND(IF($Q196=2,1,0),IF($X196&lt;30,1,0))</formula>
    </cfRule>
    <cfRule type="expression" dxfId="4869" priority="453">
      <formula>AND(IF($Q196=3,1,0),IF($X196&lt;30,1,0))</formula>
    </cfRule>
    <cfRule type="expression" dxfId="4868" priority="454">
      <formula>AND(IF($Q196=3,1,IF($Q196=4,1,0)),IF($F196&lt;=85,1,0))</formula>
    </cfRule>
  </conditionalFormatting>
  <conditionalFormatting sqref="AV197">
    <cfRule type="expression" dxfId="4867" priority="449">
      <formula>AV197="X"</formula>
    </cfRule>
    <cfRule type="expression" dxfId="4866" priority="450">
      <formula>AV197="후보"</formula>
    </cfRule>
  </conditionalFormatting>
  <conditionalFormatting sqref="AC197">
    <cfRule type="cellIs" dxfId="4865" priority="447" operator="greaterThan">
      <formula>0.9</formula>
    </cfRule>
    <cfRule type="cellIs" dxfId="4864" priority="448" operator="greaterThan">
      <formula>0.85</formula>
    </cfRule>
  </conditionalFormatting>
  <conditionalFormatting sqref="N197">
    <cfRule type="cellIs" dxfId="4863" priority="445" operator="greaterThan">
      <formula>0.9</formula>
    </cfRule>
    <cfRule type="cellIs" dxfId="4862" priority="446" operator="greaterThan">
      <formula>0.85</formula>
    </cfRule>
  </conditionalFormatting>
  <conditionalFormatting sqref="E197">
    <cfRule type="expression" dxfId="4861" priority="441">
      <formula>AND(IF(OR($Q197=1,$Q197=2),1,0),IF($X197&lt;=20,1,0))</formula>
    </cfRule>
    <cfRule type="expression" dxfId="4860" priority="442">
      <formula>AND(IF($Q197=2,1,0),IF($X197&lt;30,1,0))</formula>
    </cfRule>
    <cfRule type="expression" dxfId="4859" priority="443">
      <formula>AND(IF($Q197=3,1,0),IF($X197&lt;30,1,0))</formula>
    </cfRule>
    <cfRule type="expression" dxfId="4858" priority="444">
      <formula>AND(IF($Q197=3,1,IF($Q197=4,1,0)),IF($F197&lt;=85,1,0))</formula>
    </cfRule>
  </conditionalFormatting>
  <conditionalFormatting sqref="X197">
    <cfRule type="expression" dxfId="4857" priority="437">
      <formula>AND(IF(OR($Q197=1,$Q197=2),1,0),IF($X197&lt;=20,1,0))</formula>
    </cfRule>
    <cfRule type="expression" dxfId="4856" priority="438">
      <formula>AND(IF($Q197=2,1,0),IF($X197&lt;30,1,0))</formula>
    </cfRule>
    <cfRule type="expression" dxfId="4855" priority="439">
      <formula>AND(IF($Q197=3,1,0),IF($X197&lt;30,1,0))</formula>
    </cfRule>
    <cfRule type="expression" dxfId="4854" priority="440">
      <formula>AND(IF($Q197=3,1,IF($Q197=4,1,0)),IF($F197&lt;=85,1,0))</formula>
    </cfRule>
  </conditionalFormatting>
  <conditionalFormatting sqref="AI197">
    <cfRule type="expression" dxfId="4853" priority="433">
      <formula>AND(IF(OR($Q197=1,$Q197=2),1,0),IF($X197&lt;=20,1,0))</formula>
    </cfRule>
    <cfRule type="expression" dxfId="4852" priority="434">
      <formula>AND(IF($Q197=2,1,0),IF($X197&lt;30,1,0))</formula>
    </cfRule>
    <cfRule type="expression" dxfId="4851" priority="435">
      <formula>AND(IF($Q197=3,1,0),IF($X197&lt;30,1,0))</formula>
    </cfRule>
    <cfRule type="expression" dxfId="4850" priority="436">
      <formula>AND(IF($Q197=3,1,IF($Q197=4,1,0)),IF($F197&lt;=85,1,0))</formula>
    </cfRule>
  </conditionalFormatting>
  <conditionalFormatting sqref="AV198">
    <cfRule type="expression" dxfId="4849" priority="431">
      <formula>AV198="X"</formula>
    </cfRule>
    <cfRule type="expression" dxfId="4848" priority="432">
      <formula>AV198="후보"</formula>
    </cfRule>
  </conditionalFormatting>
  <conditionalFormatting sqref="AC198">
    <cfRule type="cellIs" dxfId="4847" priority="429" operator="greaterThan">
      <formula>0.9</formula>
    </cfRule>
    <cfRule type="cellIs" dxfId="4846" priority="430" operator="greaterThan">
      <formula>0.85</formula>
    </cfRule>
  </conditionalFormatting>
  <conditionalFormatting sqref="N198">
    <cfRule type="cellIs" dxfId="4845" priority="427" operator="greaterThan">
      <formula>0.9</formula>
    </cfRule>
    <cfRule type="cellIs" dxfId="4844" priority="428" operator="greaterThan">
      <formula>0.85</formula>
    </cfRule>
  </conditionalFormatting>
  <conditionalFormatting sqref="E198">
    <cfRule type="expression" dxfId="4843" priority="423">
      <formula>AND(IF(OR($Q198=1,$Q198=2),1,0),IF($X198&lt;=20,1,0))</formula>
    </cfRule>
    <cfRule type="expression" dxfId="4842" priority="424">
      <formula>AND(IF($Q198=2,1,0),IF($X198&lt;30,1,0))</formula>
    </cfRule>
    <cfRule type="expression" dxfId="4841" priority="425">
      <formula>AND(IF($Q198=3,1,0),IF($X198&lt;30,1,0))</formula>
    </cfRule>
    <cfRule type="expression" dxfId="4840" priority="426">
      <formula>AND(IF($Q198=3,1,IF($Q198=4,1,0)),IF($F198&lt;=85,1,0))</formula>
    </cfRule>
  </conditionalFormatting>
  <conditionalFormatting sqref="X198">
    <cfRule type="expression" dxfId="4839" priority="419">
      <formula>AND(IF(OR($Q198=1,$Q198=2),1,0),IF($X198&lt;=20,1,0))</formula>
    </cfRule>
    <cfRule type="expression" dxfId="4838" priority="420">
      <formula>AND(IF($Q198=2,1,0),IF($X198&lt;30,1,0))</formula>
    </cfRule>
    <cfRule type="expression" dxfId="4837" priority="421">
      <formula>AND(IF($Q198=3,1,0),IF($X198&lt;30,1,0))</formula>
    </cfRule>
    <cfRule type="expression" dxfId="4836" priority="422">
      <formula>AND(IF($Q198=3,1,IF($Q198=4,1,0)),IF($F198&lt;=85,1,0))</formula>
    </cfRule>
  </conditionalFormatting>
  <conditionalFormatting sqref="AI198">
    <cfRule type="expression" dxfId="4835" priority="415">
      <formula>AND(IF(OR($Q198=1,$Q198=2),1,0),IF($X198&lt;=20,1,0))</formula>
    </cfRule>
    <cfRule type="expression" dxfId="4834" priority="416">
      <formula>AND(IF($Q198=2,1,0),IF($X198&lt;30,1,0))</formula>
    </cfRule>
    <cfRule type="expression" dxfId="4833" priority="417">
      <formula>AND(IF($Q198=3,1,0),IF($X198&lt;30,1,0))</formula>
    </cfRule>
    <cfRule type="expression" dxfId="4832" priority="418">
      <formula>AND(IF($Q198=3,1,IF($Q198=4,1,0)),IF($F198&lt;=85,1,0))</formula>
    </cfRule>
  </conditionalFormatting>
  <conditionalFormatting sqref="AV199">
    <cfRule type="expression" dxfId="4831" priority="413">
      <formula>AV199="X"</formula>
    </cfRule>
    <cfRule type="expression" dxfId="4830" priority="414">
      <formula>AV199="후보"</formula>
    </cfRule>
  </conditionalFormatting>
  <conditionalFormatting sqref="AC199">
    <cfRule type="cellIs" dxfId="4829" priority="411" operator="greaterThan">
      <formula>0.9</formula>
    </cfRule>
    <cfRule type="cellIs" dxfId="4828" priority="412" operator="greaterThan">
      <formula>0.85</formula>
    </cfRule>
  </conditionalFormatting>
  <conditionalFormatting sqref="N199">
    <cfRule type="cellIs" dxfId="4827" priority="409" operator="greaterThan">
      <formula>0.9</formula>
    </cfRule>
    <cfRule type="cellIs" dxfId="4826" priority="410" operator="greaterThan">
      <formula>0.85</formula>
    </cfRule>
  </conditionalFormatting>
  <conditionalFormatting sqref="E199">
    <cfRule type="expression" dxfId="4825" priority="405">
      <formula>AND(IF(OR($Q199=1,$Q199=2),1,0),IF($X199&lt;=20,1,0))</formula>
    </cfRule>
    <cfRule type="expression" dxfId="4824" priority="406">
      <formula>AND(IF($Q199=2,1,0),IF($X199&lt;30,1,0))</formula>
    </cfRule>
    <cfRule type="expression" dxfId="4823" priority="407">
      <formula>AND(IF($Q199=3,1,0),IF($X199&lt;30,1,0))</formula>
    </cfRule>
    <cfRule type="expression" dxfId="4822" priority="408">
      <formula>AND(IF($Q199=3,1,IF($Q199=4,1,0)),IF($F199&lt;=85,1,0))</formula>
    </cfRule>
  </conditionalFormatting>
  <conditionalFormatting sqref="X199">
    <cfRule type="expression" dxfId="4821" priority="401">
      <formula>AND(IF(OR($Q199=1,$Q199=2),1,0),IF($X199&lt;=20,1,0))</formula>
    </cfRule>
    <cfRule type="expression" dxfId="4820" priority="402">
      <formula>AND(IF($Q199=2,1,0),IF($X199&lt;30,1,0))</formula>
    </cfRule>
    <cfRule type="expression" dxfId="4819" priority="403">
      <formula>AND(IF($Q199=3,1,0),IF($X199&lt;30,1,0))</formula>
    </cfRule>
    <cfRule type="expression" dxfId="4818" priority="404">
      <formula>AND(IF($Q199=3,1,IF($Q199=4,1,0)),IF($F199&lt;=85,1,0))</formula>
    </cfRule>
  </conditionalFormatting>
  <conditionalFormatting sqref="AI199">
    <cfRule type="expression" dxfId="4817" priority="397">
      <formula>AND(IF(OR($Q199=1,$Q199=2),1,0),IF($X199&lt;=20,1,0))</formula>
    </cfRule>
    <cfRule type="expression" dxfId="4816" priority="398">
      <formula>AND(IF($Q199=2,1,0),IF($X199&lt;30,1,0))</formula>
    </cfRule>
    <cfRule type="expression" dxfId="4815" priority="399">
      <formula>AND(IF($Q199=3,1,0),IF($X199&lt;30,1,0))</formula>
    </cfRule>
    <cfRule type="expression" dxfId="4814" priority="400">
      <formula>AND(IF($Q199=3,1,IF($Q199=4,1,0)),IF($F199&lt;=85,1,0))</formula>
    </cfRule>
  </conditionalFormatting>
  <conditionalFormatting sqref="AV200">
    <cfRule type="expression" dxfId="4813" priority="395">
      <formula>AV200="X"</formula>
    </cfRule>
    <cfRule type="expression" dxfId="4812" priority="396">
      <formula>AV200="후보"</formula>
    </cfRule>
  </conditionalFormatting>
  <conditionalFormatting sqref="AC200">
    <cfRule type="cellIs" dxfId="4811" priority="393" operator="greaterThan">
      <formula>0.9</formula>
    </cfRule>
    <cfRule type="cellIs" dxfId="4810" priority="394" operator="greaterThan">
      <formula>0.85</formula>
    </cfRule>
  </conditionalFormatting>
  <conditionalFormatting sqref="N200">
    <cfRule type="cellIs" dxfId="4809" priority="391" operator="greaterThan">
      <formula>0.9</formula>
    </cfRule>
    <cfRule type="cellIs" dxfId="4808" priority="392" operator="greaterThan">
      <formula>0.85</formula>
    </cfRule>
  </conditionalFormatting>
  <conditionalFormatting sqref="E200">
    <cfRule type="expression" dxfId="4807" priority="387">
      <formula>AND(IF(OR($Q200=1,$Q200=2),1,0),IF($X200&lt;=20,1,0))</formula>
    </cfRule>
    <cfRule type="expression" dxfId="4806" priority="388">
      <formula>AND(IF($Q200=2,1,0),IF($X200&lt;30,1,0))</formula>
    </cfRule>
    <cfRule type="expression" dxfId="4805" priority="389">
      <formula>AND(IF($Q200=3,1,0),IF($X200&lt;30,1,0))</formula>
    </cfRule>
    <cfRule type="expression" dxfId="4804" priority="390">
      <formula>AND(IF($Q200=3,1,IF($Q200=4,1,0)),IF($F200&lt;=85,1,0))</formula>
    </cfRule>
  </conditionalFormatting>
  <conditionalFormatting sqref="X200">
    <cfRule type="expression" dxfId="4803" priority="383">
      <formula>AND(IF(OR($Q200=1,$Q200=2),1,0),IF($X200&lt;=20,1,0))</formula>
    </cfRule>
    <cfRule type="expression" dxfId="4802" priority="384">
      <formula>AND(IF($Q200=2,1,0),IF($X200&lt;30,1,0))</formula>
    </cfRule>
    <cfRule type="expression" dxfId="4801" priority="385">
      <formula>AND(IF($Q200=3,1,0),IF($X200&lt;30,1,0))</formula>
    </cfRule>
    <cfRule type="expression" dxfId="4800" priority="386">
      <formula>AND(IF($Q200=3,1,IF($Q200=4,1,0)),IF($F200&lt;=85,1,0))</formula>
    </cfRule>
  </conditionalFormatting>
  <conditionalFormatting sqref="AI200">
    <cfRule type="expression" dxfId="4799" priority="379">
      <formula>AND(IF(OR($Q200=1,$Q200=2),1,0),IF($X200&lt;=20,1,0))</formula>
    </cfRule>
    <cfRule type="expression" dxfId="4798" priority="380">
      <formula>AND(IF($Q200=2,1,0),IF($X200&lt;30,1,0))</formula>
    </cfRule>
    <cfRule type="expression" dxfId="4797" priority="381">
      <formula>AND(IF($Q200=3,1,0),IF($X200&lt;30,1,0))</formula>
    </cfRule>
    <cfRule type="expression" dxfId="4796" priority="382">
      <formula>AND(IF($Q200=3,1,IF($Q200=4,1,0)),IF($F200&lt;=85,1,0))</formula>
    </cfRule>
  </conditionalFormatting>
  <conditionalFormatting sqref="AV201">
    <cfRule type="expression" dxfId="4795" priority="377">
      <formula>AV201="X"</formula>
    </cfRule>
    <cfRule type="expression" dxfId="4794" priority="378">
      <formula>AV201="후보"</formula>
    </cfRule>
  </conditionalFormatting>
  <conditionalFormatting sqref="AC201">
    <cfRule type="cellIs" dxfId="4793" priority="375" operator="greaterThan">
      <formula>0.9</formula>
    </cfRule>
    <cfRule type="cellIs" dxfId="4792" priority="376" operator="greaterThan">
      <formula>0.85</formula>
    </cfRule>
  </conditionalFormatting>
  <conditionalFormatting sqref="N201">
    <cfRule type="cellIs" dxfId="4791" priority="373" operator="greaterThan">
      <formula>0.9</formula>
    </cfRule>
    <cfRule type="cellIs" dxfId="4790" priority="374" operator="greaterThan">
      <formula>0.85</formula>
    </cfRule>
  </conditionalFormatting>
  <conditionalFormatting sqref="E201">
    <cfRule type="expression" dxfId="4789" priority="369">
      <formula>AND(IF(OR($Q201=1,$Q201=2),1,0),IF($X201&lt;=20,1,0))</formula>
    </cfRule>
    <cfRule type="expression" dxfId="4788" priority="370">
      <formula>AND(IF($Q201=2,1,0),IF($X201&lt;30,1,0))</formula>
    </cfRule>
    <cfRule type="expression" dxfId="4787" priority="371">
      <formula>AND(IF($Q201=3,1,0),IF($X201&lt;30,1,0))</formula>
    </cfRule>
    <cfRule type="expression" dxfId="4786" priority="372">
      <formula>AND(IF($Q201=3,1,IF($Q201=4,1,0)),IF($F201&lt;=85,1,0))</formula>
    </cfRule>
  </conditionalFormatting>
  <conditionalFormatting sqref="X201">
    <cfRule type="expression" dxfId="4785" priority="365">
      <formula>AND(IF(OR($Q201=1,$Q201=2),1,0),IF($X201&lt;=20,1,0))</formula>
    </cfRule>
    <cfRule type="expression" dxfId="4784" priority="366">
      <formula>AND(IF($Q201=2,1,0),IF($X201&lt;30,1,0))</formula>
    </cfRule>
    <cfRule type="expression" dxfId="4783" priority="367">
      <formula>AND(IF($Q201=3,1,0),IF($X201&lt;30,1,0))</formula>
    </cfRule>
    <cfRule type="expression" dxfId="4782" priority="368">
      <formula>AND(IF($Q201=3,1,IF($Q201=4,1,0)),IF($F201&lt;=85,1,0))</formula>
    </cfRule>
  </conditionalFormatting>
  <conditionalFormatting sqref="AI201">
    <cfRule type="expression" dxfId="4781" priority="361">
      <formula>AND(IF(OR($Q201=1,$Q201=2),1,0),IF($X201&lt;=20,1,0))</formula>
    </cfRule>
    <cfRule type="expression" dxfId="4780" priority="362">
      <formula>AND(IF($Q201=2,1,0),IF($X201&lt;30,1,0))</formula>
    </cfRule>
    <cfRule type="expression" dxfId="4779" priority="363">
      <formula>AND(IF($Q201=3,1,0),IF($X201&lt;30,1,0))</formula>
    </cfRule>
    <cfRule type="expression" dxfId="4778" priority="364">
      <formula>AND(IF($Q201=3,1,IF($Q201=4,1,0)),IF($F201&lt;=85,1,0))</formula>
    </cfRule>
  </conditionalFormatting>
  <conditionalFormatting sqref="AV202">
    <cfRule type="expression" dxfId="4777" priority="359">
      <formula>AV202="X"</formula>
    </cfRule>
    <cfRule type="expression" dxfId="4776" priority="360">
      <formula>AV202="후보"</formula>
    </cfRule>
  </conditionalFormatting>
  <conditionalFormatting sqref="AC202">
    <cfRule type="cellIs" dxfId="4775" priority="357" operator="greaterThan">
      <formula>0.9</formula>
    </cfRule>
    <cfRule type="cellIs" dxfId="4774" priority="358" operator="greaterThan">
      <formula>0.85</formula>
    </cfRule>
  </conditionalFormatting>
  <conditionalFormatting sqref="N202">
    <cfRule type="cellIs" dxfId="4773" priority="355" operator="greaterThan">
      <formula>0.9</formula>
    </cfRule>
    <cfRule type="cellIs" dxfId="4772" priority="356" operator="greaterThan">
      <formula>0.85</formula>
    </cfRule>
  </conditionalFormatting>
  <conditionalFormatting sqref="E202">
    <cfRule type="expression" dxfId="4771" priority="351">
      <formula>AND(IF(OR($Q202=1,$Q202=2),1,0),IF($X202&lt;=20,1,0))</formula>
    </cfRule>
    <cfRule type="expression" dxfId="4770" priority="352">
      <formula>AND(IF($Q202=2,1,0),IF($X202&lt;30,1,0))</formula>
    </cfRule>
    <cfRule type="expression" dxfId="4769" priority="353">
      <formula>AND(IF($Q202=3,1,0),IF($X202&lt;30,1,0))</formula>
    </cfRule>
    <cfRule type="expression" dxfId="4768" priority="354">
      <formula>AND(IF($Q202=3,1,IF($Q202=4,1,0)),IF($F202&lt;=85,1,0))</formula>
    </cfRule>
  </conditionalFormatting>
  <conditionalFormatting sqref="X202">
    <cfRule type="expression" dxfId="4767" priority="347">
      <formula>AND(IF(OR($Q202=1,$Q202=2),1,0),IF($X202&lt;=20,1,0))</formula>
    </cfRule>
    <cfRule type="expression" dxfId="4766" priority="348">
      <formula>AND(IF($Q202=2,1,0),IF($X202&lt;30,1,0))</formula>
    </cfRule>
    <cfRule type="expression" dxfId="4765" priority="349">
      <formula>AND(IF($Q202=3,1,0),IF($X202&lt;30,1,0))</formula>
    </cfRule>
    <cfRule type="expression" dxfId="4764" priority="350">
      <formula>AND(IF($Q202=3,1,IF($Q202=4,1,0)),IF($F202&lt;=85,1,0))</formula>
    </cfRule>
  </conditionalFormatting>
  <conditionalFormatting sqref="AI202">
    <cfRule type="expression" dxfId="4763" priority="343">
      <formula>AND(IF(OR($Q202=1,$Q202=2),1,0),IF($X202&lt;=20,1,0))</formula>
    </cfRule>
    <cfRule type="expression" dxfId="4762" priority="344">
      <formula>AND(IF($Q202=2,1,0),IF($X202&lt;30,1,0))</formula>
    </cfRule>
    <cfRule type="expression" dxfId="4761" priority="345">
      <formula>AND(IF($Q202=3,1,0),IF($X202&lt;30,1,0))</formula>
    </cfRule>
    <cfRule type="expression" dxfId="4760" priority="346">
      <formula>AND(IF($Q202=3,1,IF($Q202=4,1,0)),IF($F202&lt;=85,1,0))</formula>
    </cfRule>
  </conditionalFormatting>
  <conditionalFormatting sqref="AV203">
    <cfRule type="expression" dxfId="4759" priority="341">
      <formula>AV203="X"</formula>
    </cfRule>
    <cfRule type="expression" dxfId="4758" priority="342">
      <formula>AV203="후보"</formula>
    </cfRule>
  </conditionalFormatting>
  <conditionalFormatting sqref="AC203">
    <cfRule type="cellIs" dxfId="4757" priority="339" operator="greaterThan">
      <formula>0.9</formula>
    </cfRule>
    <cfRule type="cellIs" dxfId="4756" priority="340" operator="greaterThan">
      <formula>0.85</formula>
    </cfRule>
  </conditionalFormatting>
  <conditionalFormatting sqref="N203">
    <cfRule type="cellIs" dxfId="4755" priority="337" operator="greaterThan">
      <formula>0.9</formula>
    </cfRule>
    <cfRule type="cellIs" dxfId="4754" priority="338" operator="greaterThan">
      <formula>0.85</formula>
    </cfRule>
  </conditionalFormatting>
  <conditionalFormatting sqref="E203">
    <cfRule type="expression" dxfId="4753" priority="333">
      <formula>AND(IF(OR($Q203=1,$Q203=2),1,0),IF($X203&lt;=20,1,0))</formula>
    </cfRule>
    <cfRule type="expression" dxfId="4752" priority="334">
      <formula>AND(IF($Q203=2,1,0),IF($X203&lt;30,1,0))</formula>
    </cfRule>
    <cfRule type="expression" dxfId="4751" priority="335">
      <formula>AND(IF($Q203=3,1,0),IF($X203&lt;30,1,0))</formula>
    </cfRule>
    <cfRule type="expression" dxfId="4750" priority="336">
      <formula>AND(IF($Q203=3,1,IF($Q203=4,1,0)),IF($F203&lt;=85,1,0))</formula>
    </cfRule>
  </conditionalFormatting>
  <conditionalFormatting sqref="X203">
    <cfRule type="expression" dxfId="4749" priority="329">
      <formula>AND(IF(OR($Q203=1,$Q203=2),1,0),IF($X203&lt;=20,1,0))</formula>
    </cfRule>
    <cfRule type="expression" dxfId="4748" priority="330">
      <formula>AND(IF($Q203=2,1,0),IF($X203&lt;30,1,0))</formula>
    </cfRule>
    <cfRule type="expression" dxfId="4747" priority="331">
      <formula>AND(IF($Q203=3,1,0),IF($X203&lt;30,1,0))</formula>
    </cfRule>
    <cfRule type="expression" dxfId="4746" priority="332">
      <formula>AND(IF($Q203=3,1,IF($Q203=4,1,0)),IF($F203&lt;=85,1,0))</formula>
    </cfRule>
  </conditionalFormatting>
  <conditionalFormatting sqref="AI203">
    <cfRule type="expression" dxfId="4745" priority="325">
      <formula>AND(IF(OR($Q203=1,$Q203=2),1,0),IF($X203&lt;=20,1,0))</formula>
    </cfRule>
    <cfRule type="expression" dxfId="4744" priority="326">
      <formula>AND(IF($Q203=2,1,0),IF($X203&lt;30,1,0))</formula>
    </cfRule>
    <cfRule type="expression" dxfId="4743" priority="327">
      <formula>AND(IF($Q203=3,1,0),IF($X203&lt;30,1,0))</formula>
    </cfRule>
    <cfRule type="expression" dxfId="4742" priority="328">
      <formula>AND(IF($Q203=3,1,IF($Q203=4,1,0)),IF($F203&lt;=85,1,0))</formula>
    </cfRule>
  </conditionalFormatting>
  <conditionalFormatting sqref="AV204">
    <cfRule type="expression" dxfId="4741" priority="323">
      <formula>AV204="X"</formula>
    </cfRule>
    <cfRule type="expression" dxfId="4740" priority="324">
      <formula>AV204="후보"</formula>
    </cfRule>
  </conditionalFormatting>
  <conditionalFormatting sqref="AC204">
    <cfRule type="cellIs" dxfId="4739" priority="321" operator="greaterThan">
      <formula>0.9</formula>
    </cfRule>
    <cfRule type="cellIs" dxfId="4738" priority="322" operator="greaterThan">
      <formula>0.85</formula>
    </cfRule>
  </conditionalFormatting>
  <conditionalFormatting sqref="N204">
    <cfRule type="cellIs" dxfId="4737" priority="319" operator="greaterThan">
      <formula>0.9</formula>
    </cfRule>
    <cfRule type="cellIs" dxfId="4736" priority="320" operator="greaterThan">
      <formula>0.85</formula>
    </cfRule>
  </conditionalFormatting>
  <conditionalFormatting sqref="E204">
    <cfRule type="expression" dxfId="4735" priority="315">
      <formula>AND(IF(OR($Q204=1,$Q204=2),1,0),IF($X204&lt;=20,1,0))</formula>
    </cfRule>
    <cfRule type="expression" dxfId="4734" priority="316">
      <formula>AND(IF($Q204=2,1,0),IF($X204&lt;30,1,0))</formula>
    </cfRule>
    <cfRule type="expression" dxfId="4733" priority="317">
      <formula>AND(IF($Q204=3,1,0),IF($X204&lt;30,1,0))</formula>
    </cfRule>
    <cfRule type="expression" dxfId="4732" priority="318">
      <formula>AND(IF($Q204=3,1,IF($Q204=4,1,0)),IF($F204&lt;=85,1,0))</formula>
    </cfRule>
  </conditionalFormatting>
  <conditionalFormatting sqref="X204">
    <cfRule type="expression" dxfId="4731" priority="311">
      <formula>AND(IF(OR($Q204=1,$Q204=2),1,0),IF($X204&lt;=20,1,0))</formula>
    </cfRule>
    <cfRule type="expression" dxfId="4730" priority="312">
      <formula>AND(IF($Q204=2,1,0),IF($X204&lt;30,1,0))</formula>
    </cfRule>
    <cfRule type="expression" dxfId="4729" priority="313">
      <formula>AND(IF($Q204=3,1,0),IF($X204&lt;30,1,0))</formula>
    </cfRule>
    <cfRule type="expression" dxfId="4728" priority="314">
      <formula>AND(IF($Q204=3,1,IF($Q204=4,1,0)),IF($F204&lt;=85,1,0))</formula>
    </cfRule>
  </conditionalFormatting>
  <conditionalFormatting sqref="AI204">
    <cfRule type="expression" dxfId="4727" priority="307">
      <formula>AND(IF(OR($Q204=1,$Q204=2),1,0),IF($X204&lt;=20,1,0))</formula>
    </cfRule>
    <cfRule type="expression" dxfId="4726" priority="308">
      <formula>AND(IF($Q204=2,1,0),IF($X204&lt;30,1,0))</formula>
    </cfRule>
    <cfRule type="expression" dxfId="4725" priority="309">
      <formula>AND(IF($Q204=3,1,0),IF($X204&lt;30,1,0))</formula>
    </cfRule>
    <cfRule type="expression" dxfId="4724" priority="310">
      <formula>AND(IF($Q204=3,1,IF($Q204=4,1,0)),IF($F204&lt;=85,1,0))</formula>
    </cfRule>
  </conditionalFormatting>
  <conditionalFormatting sqref="AV205">
    <cfRule type="expression" dxfId="4723" priority="305">
      <formula>AV205="X"</formula>
    </cfRule>
    <cfRule type="expression" dxfId="4722" priority="306">
      <formula>AV205="후보"</formula>
    </cfRule>
  </conditionalFormatting>
  <conditionalFormatting sqref="AC205">
    <cfRule type="cellIs" dxfId="4721" priority="303" operator="greaterThan">
      <formula>0.9</formula>
    </cfRule>
    <cfRule type="cellIs" dxfId="4720" priority="304" operator="greaterThan">
      <formula>0.85</formula>
    </cfRule>
  </conditionalFormatting>
  <conditionalFormatting sqref="N205">
    <cfRule type="cellIs" dxfId="4719" priority="301" operator="greaterThan">
      <formula>0.9</formula>
    </cfRule>
    <cfRule type="cellIs" dxfId="4718" priority="302" operator="greaterThan">
      <formula>0.85</formula>
    </cfRule>
  </conditionalFormatting>
  <conditionalFormatting sqref="E205">
    <cfRule type="expression" dxfId="4717" priority="297">
      <formula>AND(IF(OR($Q205=1,$Q205=2),1,0),IF($X205&lt;=20,1,0))</formula>
    </cfRule>
    <cfRule type="expression" dxfId="4716" priority="298">
      <formula>AND(IF($Q205=2,1,0),IF($X205&lt;30,1,0))</formula>
    </cfRule>
    <cfRule type="expression" dxfId="4715" priority="299">
      <formula>AND(IF($Q205=3,1,0),IF($X205&lt;30,1,0))</formula>
    </cfRule>
    <cfRule type="expression" dxfId="4714" priority="300">
      <formula>AND(IF($Q205=3,1,IF($Q205=4,1,0)),IF($F205&lt;=85,1,0))</formula>
    </cfRule>
  </conditionalFormatting>
  <conditionalFormatting sqref="X205">
    <cfRule type="expression" dxfId="4713" priority="293">
      <formula>AND(IF(OR($Q205=1,$Q205=2),1,0),IF($X205&lt;=20,1,0))</formula>
    </cfRule>
    <cfRule type="expression" dxfId="4712" priority="294">
      <formula>AND(IF($Q205=2,1,0),IF($X205&lt;30,1,0))</formula>
    </cfRule>
    <cfRule type="expression" dxfId="4711" priority="295">
      <formula>AND(IF($Q205=3,1,0),IF($X205&lt;30,1,0))</formula>
    </cfRule>
    <cfRule type="expression" dxfId="4710" priority="296">
      <formula>AND(IF($Q205=3,1,IF($Q205=4,1,0)),IF($F205&lt;=85,1,0))</formula>
    </cfRule>
  </conditionalFormatting>
  <conditionalFormatting sqref="AI205">
    <cfRule type="expression" dxfId="4709" priority="289">
      <formula>AND(IF(OR($Q205=1,$Q205=2),1,0),IF($X205&lt;=20,1,0))</formula>
    </cfRule>
    <cfRule type="expression" dxfId="4708" priority="290">
      <formula>AND(IF($Q205=2,1,0),IF($X205&lt;30,1,0))</formula>
    </cfRule>
    <cfRule type="expression" dxfId="4707" priority="291">
      <formula>AND(IF($Q205=3,1,0),IF($X205&lt;30,1,0))</formula>
    </cfRule>
    <cfRule type="expression" dxfId="4706" priority="292">
      <formula>AND(IF($Q205=3,1,IF($Q205=4,1,0)),IF($F205&lt;=85,1,0))</formula>
    </cfRule>
  </conditionalFormatting>
  <conditionalFormatting sqref="AV206">
    <cfRule type="expression" dxfId="4705" priority="287">
      <formula>AV206="X"</formula>
    </cfRule>
    <cfRule type="expression" dxfId="4704" priority="288">
      <formula>AV206="후보"</formula>
    </cfRule>
  </conditionalFormatting>
  <conditionalFormatting sqref="AC206">
    <cfRule type="cellIs" dxfId="4703" priority="285" operator="greaterThan">
      <formula>0.9</formula>
    </cfRule>
    <cfRule type="cellIs" dxfId="4702" priority="286" operator="greaterThan">
      <formula>0.85</formula>
    </cfRule>
  </conditionalFormatting>
  <conditionalFormatting sqref="N206">
    <cfRule type="cellIs" dxfId="4701" priority="283" operator="greaterThan">
      <formula>0.9</formula>
    </cfRule>
    <cfRule type="cellIs" dxfId="4700" priority="284" operator="greaterThan">
      <formula>0.85</formula>
    </cfRule>
  </conditionalFormatting>
  <conditionalFormatting sqref="E206">
    <cfRule type="expression" dxfId="4699" priority="279">
      <formula>AND(IF(OR($Q206=1,$Q206=2),1,0),IF($X206&lt;=20,1,0))</formula>
    </cfRule>
    <cfRule type="expression" dxfId="4698" priority="280">
      <formula>AND(IF($Q206=2,1,0),IF($X206&lt;30,1,0))</formula>
    </cfRule>
    <cfRule type="expression" dxfId="4697" priority="281">
      <formula>AND(IF($Q206=3,1,0),IF($X206&lt;30,1,0))</formula>
    </cfRule>
    <cfRule type="expression" dxfId="4696" priority="282">
      <formula>AND(IF($Q206=3,1,IF($Q206=4,1,0)),IF($F206&lt;=85,1,0))</formula>
    </cfRule>
  </conditionalFormatting>
  <conditionalFormatting sqref="X206">
    <cfRule type="expression" dxfId="4695" priority="275">
      <formula>AND(IF(OR($Q206=1,$Q206=2),1,0),IF($X206&lt;=20,1,0))</formula>
    </cfRule>
    <cfRule type="expression" dxfId="4694" priority="276">
      <formula>AND(IF($Q206=2,1,0),IF($X206&lt;30,1,0))</formula>
    </cfRule>
    <cfRule type="expression" dxfId="4693" priority="277">
      <formula>AND(IF($Q206=3,1,0),IF($X206&lt;30,1,0))</formula>
    </cfRule>
    <cfRule type="expression" dxfId="4692" priority="278">
      <formula>AND(IF($Q206=3,1,IF($Q206=4,1,0)),IF($F206&lt;=85,1,0))</formula>
    </cfRule>
  </conditionalFormatting>
  <conditionalFormatting sqref="AI206">
    <cfRule type="expression" dxfId="4691" priority="271">
      <formula>AND(IF(OR($Q206=1,$Q206=2),1,0),IF($X206&lt;=20,1,0))</formula>
    </cfRule>
    <cfRule type="expression" dxfId="4690" priority="272">
      <formula>AND(IF($Q206=2,1,0),IF($X206&lt;30,1,0))</formula>
    </cfRule>
    <cfRule type="expression" dxfId="4689" priority="273">
      <formula>AND(IF($Q206=3,1,0),IF($X206&lt;30,1,0))</formula>
    </cfRule>
    <cfRule type="expression" dxfId="4688" priority="274">
      <formula>AND(IF($Q206=3,1,IF($Q206=4,1,0)),IF($F206&lt;=85,1,0))</formula>
    </cfRule>
  </conditionalFormatting>
  <conditionalFormatting sqref="AV207">
    <cfRule type="expression" dxfId="4687" priority="269">
      <formula>AV207="X"</formula>
    </cfRule>
    <cfRule type="expression" dxfId="4686" priority="270">
      <formula>AV207="후보"</formula>
    </cfRule>
  </conditionalFormatting>
  <conditionalFormatting sqref="AC207">
    <cfRule type="cellIs" dxfId="4685" priority="267" operator="greaterThan">
      <formula>0.9</formula>
    </cfRule>
    <cfRule type="cellIs" dxfId="4684" priority="268" operator="greaterThan">
      <formula>0.85</formula>
    </cfRule>
  </conditionalFormatting>
  <conditionalFormatting sqref="N207">
    <cfRule type="cellIs" dxfId="4683" priority="265" operator="greaterThan">
      <formula>0.9</formula>
    </cfRule>
    <cfRule type="cellIs" dxfId="4682" priority="266" operator="greaterThan">
      <formula>0.85</formula>
    </cfRule>
  </conditionalFormatting>
  <conditionalFormatting sqref="E207">
    <cfRule type="expression" dxfId="4681" priority="261">
      <formula>AND(IF(OR($Q207=1,$Q207=2),1,0),IF($X207&lt;=20,1,0))</formula>
    </cfRule>
    <cfRule type="expression" dxfId="4680" priority="262">
      <formula>AND(IF($Q207=2,1,0),IF($X207&lt;30,1,0))</formula>
    </cfRule>
    <cfRule type="expression" dxfId="4679" priority="263">
      <formula>AND(IF($Q207=3,1,0),IF($X207&lt;30,1,0))</formula>
    </cfRule>
    <cfRule type="expression" dxfId="4678" priority="264">
      <formula>AND(IF($Q207=3,1,IF($Q207=4,1,0)),IF($F207&lt;=85,1,0))</formula>
    </cfRule>
  </conditionalFormatting>
  <conditionalFormatting sqref="X207">
    <cfRule type="expression" dxfId="4677" priority="257">
      <formula>AND(IF(OR($Q207=1,$Q207=2),1,0),IF($X207&lt;=20,1,0))</formula>
    </cfRule>
    <cfRule type="expression" dxfId="4676" priority="258">
      <formula>AND(IF($Q207=2,1,0),IF($X207&lt;30,1,0))</formula>
    </cfRule>
    <cfRule type="expression" dxfId="4675" priority="259">
      <formula>AND(IF($Q207=3,1,0),IF($X207&lt;30,1,0))</formula>
    </cfRule>
    <cfRule type="expression" dxfId="4674" priority="260">
      <formula>AND(IF($Q207=3,1,IF($Q207=4,1,0)),IF($F207&lt;=85,1,0))</formula>
    </cfRule>
  </conditionalFormatting>
  <conditionalFormatting sqref="AI207">
    <cfRule type="expression" dxfId="4673" priority="253">
      <formula>AND(IF(OR($Q207=1,$Q207=2),1,0),IF($X207&lt;=20,1,0))</formula>
    </cfRule>
    <cfRule type="expression" dxfId="4672" priority="254">
      <formula>AND(IF($Q207=2,1,0),IF($X207&lt;30,1,0))</formula>
    </cfRule>
    <cfRule type="expression" dxfId="4671" priority="255">
      <formula>AND(IF($Q207=3,1,0),IF($X207&lt;30,1,0))</formula>
    </cfRule>
    <cfRule type="expression" dxfId="4670" priority="256">
      <formula>AND(IF($Q207=3,1,IF($Q207=4,1,0)),IF($F207&lt;=85,1,0))</formula>
    </cfRule>
  </conditionalFormatting>
  <conditionalFormatting sqref="AV208">
    <cfRule type="expression" dxfId="4669" priority="251">
      <formula>AV208="X"</formula>
    </cfRule>
    <cfRule type="expression" dxfId="4668" priority="252">
      <formula>AV208="후보"</formula>
    </cfRule>
  </conditionalFormatting>
  <conditionalFormatting sqref="AC208">
    <cfRule type="cellIs" dxfId="4667" priority="249" operator="greaterThan">
      <formula>0.9</formula>
    </cfRule>
    <cfRule type="cellIs" dxfId="4666" priority="250" operator="greaterThan">
      <formula>0.85</formula>
    </cfRule>
  </conditionalFormatting>
  <conditionalFormatting sqref="N208">
    <cfRule type="cellIs" dxfId="4665" priority="247" operator="greaterThan">
      <formula>0.9</formula>
    </cfRule>
    <cfRule type="cellIs" dxfId="4664" priority="248" operator="greaterThan">
      <formula>0.85</formula>
    </cfRule>
  </conditionalFormatting>
  <conditionalFormatting sqref="E208">
    <cfRule type="expression" dxfId="4663" priority="243">
      <formula>AND(IF(OR($Q208=1,$Q208=2),1,0),IF($X208&lt;=20,1,0))</formula>
    </cfRule>
    <cfRule type="expression" dxfId="4662" priority="244">
      <formula>AND(IF($Q208=2,1,0),IF($X208&lt;30,1,0))</formula>
    </cfRule>
    <cfRule type="expression" dxfId="4661" priority="245">
      <formula>AND(IF($Q208=3,1,0),IF($X208&lt;30,1,0))</formula>
    </cfRule>
    <cfRule type="expression" dxfId="4660" priority="246">
      <formula>AND(IF($Q208=3,1,IF($Q208=4,1,0)),IF($F208&lt;=85,1,0))</formula>
    </cfRule>
  </conditionalFormatting>
  <conditionalFormatting sqref="X208">
    <cfRule type="expression" dxfId="4659" priority="239">
      <formula>AND(IF(OR($Q208=1,$Q208=2),1,0),IF($X208&lt;=20,1,0))</formula>
    </cfRule>
    <cfRule type="expression" dxfId="4658" priority="240">
      <formula>AND(IF($Q208=2,1,0),IF($X208&lt;30,1,0))</formula>
    </cfRule>
    <cfRule type="expression" dxfId="4657" priority="241">
      <formula>AND(IF($Q208=3,1,0),IF($X208&lt;30,1,0))</formula>
    </cfRule>
    <cfRule type="expression" dxfId="4656" priority="242">
      <formula>AND(IF($Q208=3,1,IF($Q208=4,1,0)),IF($F208&lt;=85,1,0))</formula>
    </cfRule>
  </conditionalFormatting>
  <conditionalFormatting sqref="AI208">
    <cfRule type="expression" dxfId="4655" priority="235">
      <formula>AND(IF(OR($Q208=1,$Q208=2),1,0),IF($X208&lt;=20,1,0))</formula>
    </cfRule>
    <cfRule type="expression" dxfId="4654" priority="236">
      <formula>AND(IF($Q208=2,1,0),IF($X208&lt;30,1,0))</formula>
    </cfRule>
    <cfRule type="expression" dxfId="4653" priority="237">
      <formula>AND(IF($Q208=3,1,0),IF($X208&lt;30,1,0))</formula>
    </cfRule>
    <cfRule type="expression" dxfId="4652" priority="238">
      <formula>AND(IF($Q208=3,1,IF($Q208=4,1,0)),IF($F208&lt;=85,1,0))</formula>
    </cfRule>
  </conditionalFormatting>
  <conditionalFormatting sqref="AV209">
    <cfRule type="expression" dxfId="4651" priority="233">
      <formula>AV209="X"</formula>
    </cfRule>
    <cfRule type="expression" dxfId="4650" priority="234">
      <formula>AV209="후보"</formula>
    </cfRule>
  </conditionalFormatting>
  <conditionalFormatting sqref="AC209">
    <cfRule type="cellIs" dxfId="4649" priority="231" operator="greaterThan">
      <formula>0.9</formula>
    </cfRule>
    <cfRule type="cellIs" dxfId="4648" priority="232" operator="greaterThan">
      <formula>0.85</formula>
    </cfRule>
  </conditionalFormatting>
  <conditionalFormatting sqref="N209">
    <cfRule type="cellIs" dxfId="4647" priority="229" operator="greaterThan">
      <formula>0.9</formula>
    </cfRule>
    <cfRule type="cellIs" dxfId="4646" priority="230" operator="greaterThan">
      <formula>0.85</formula>
    </cfRule>
  </conditionalFormatting>
  <conditionalFormatting sqref="E209">
    <cfRule type="expression" dxfId="4645" priority="225">
      <formula>AND(IF(OR($Q209=1,$Q209=2),1,0),IF($X209&lt;=20,1,0))</formula>
    </cfRule>
    <cfRule type="expression" dxfId="4644" priority="226">
      <formula>AND(IF($Q209=2,1,0),IF($X209&lt;30,1,0))</formula>
    </cfRule>
    <cfRule type="expression" dxfId="4643" priority="227">
      <formula>AND(IF($Q209=3,1,0),IF($X209&lt;30,1,0))</formula>
    </cfRule>
    <cfRule type="expression" dxfId="4642" priority="228">
      <formula>AND(IF($Q209=3,1,IF($Q209=4,1,0)),IF($F209&lt;=85,1,0))</formula>
    </cfRule>
  </conditionalFormatting>
  <conditionalFormatting sqref="X209">
    <cfRule type="expression" dxfId="4641" priority="221">
      <formula>AND(IF(OR($Q209=1,$Q209=2),1,0),IF($X209&lt;=20,1,0))</formula>
    </cfRule>
    <cfRule type="expression" dxfId="4640" priority="222">
      <formula>AND(IF($Q209=2,1,0),IF($X209&lt;30,1,0))</formula>
    </cfRule>
    <cfRule type="expression" dxfId="4639" priority="223">
      <formula>AND(IF($Q209=3,1,0),IF($X209&lt;30,1,0))</formula>
    </cfRule>
    <cfRule type="expression" dxfId="4638" priority="224">
      <formula>AND(IF($Q209=3,1,IF($Q209=4,1,0)),IF($F209&lt;=85,1,0))</formula>
    </cfRule>
  </conditionalFormatting>
  <conditionalFormatting sqref="AI209">
    <cfRule type="expression" dxfId="4637" priority="217">
      <formula>AND(IF(OR($Q209=1,$Q209=2),1,0),IF($X209&lt;=20,1,0))</formula>
    </cfRule>
    <cfRule type="expression" dxfId="4636" priority="218">
      <formula>AND(IF($Q209=2,1,0),IF($X209&lt;30,1,0))</formula>
    </cfRule>
    <cfRule type="expression" dxfId="4635" priority="219">
      <formula>AND(IF($Q209=3,1,0),IF($X209&lt;30,1,0))</formula>
    </cfRule>
    <cfRule type="expression" dxfId="4634" priority="220">
      <formula>AND(IF($Q209=3,1,IF($Q209=4,1,0)),IF($F209&lt;=85,1,0))</formula>
    </cfRule>
  </conditionalFormatting>
  <conditionalFormatting sqref="AV210">
    <cfRule type="expression" dxfId="4633" priority="215">
      <formula>AV210="X"</formula>
    </cfRule>
    <cfRule type="expression" dxfId="4632" priority="216">
      <formula>AV210="후보"</formula>
    </cfRule>
  </conditionalFormatting>
  <conditionalFormatting sqref="AC210">
    <cfRule type="cellIs" dxfId="4631" priority="213" operator="greaterThan">
      <formula>0.9</formula>
    </cfRule>
    <cfRule type="cellIs" dxfId="4630" priority="214" operator="greaterThan">
      <formula>0.85</formula>
    </cfRule>
  </conditionalFormatting>
  <conditionalFormatting sqref="N210">
    <cfRule type="cellIs" dxfId="4629" priority="211" operator="greaterThan">
      <formula>0.9</formula>
    </cfRule>
    <cfRule type="cellIs" dxfId="4628" priority="212" operator="greaterThan">
      <formula>0.85</formula>
    </cfRule>
  </conditionalFormatting>
  <conditionalFormatting sqref="E210">
    <cfRule type="expression" dxfId="4627" priority="207">
      <formula>AND(IF(OR($Q210=1,$Q210=2),1,0),IF($X210&lt;=20,1,0))</formula>
    </cfRule>
    <cfRule type="expression" dxfId="4626" priority="208">
      <formula>AND(IF($Q210=2,1,0),IF($X210&lt;30,1,0))</formula>
    </cfRule>
    <cfRule type="expression" dxfId="4625" priority="209">
      <formula>AND(IF($Q210=3,1,0),IF($X210&lt;30,1,0))</formula>
    </cfRule>
    <cfRule type="expression" dxfId="4624" priority="210">
      <formula>AND(IF($Q210=3,1,IF($Q210=4,1,0)),IF($F210&lt;=85,1,0))</formula>
    </cfRule>
  </conditionalFormatting>
  <conditionalFormatting sqref="X210">
    <cfRule type="expression" dxfId="4623" priority="203">
      <formula>AND(IF(OR($Q210=1,$Q210=2),1,0),IF($X210&lt;=20,1,0))</formula>
    </cfRule>
    <cfRule type="expression" dxfId="4622" priority="204">
      <formula>AND(IF($Q210=2,1,0),IF($X210&lt;30,1,0))</formula>
    </cfRule>
    <cfRule type="expression" dxfId="4621" priority="205">
      <formula>AND(IF($Q210=3,1,0),IF($X210&lt;30,1,0))</formula>
    </cfRule>
    <cfRule type="expression" dxfId="4620" priority="206">
      <formula>AND(IF($Q210=3,1,IF($Q210=4,1,0)),IF($F210&lt;=85,1,0))</formula>
    </cfRule>
  </conditionalFormatting>
  <conditionalFormatting sqref="AI210">
    <cfRule type="expression" dxfId="4619" priority="199">
      <formula>AND(IF(OR($Q210=1,$Q210=2),1,0),IF($X210&lt;=20,1,0))</formula>
    </cfRule>
    <cfRule type="expression" dxfId="4618" priority="200">
      <formula>AND(IF($Q210=2,1,0),IF($X210&lt;30,1,0))</formula>
    </cfRule>
    <cfRule type="expression" dxfId="4617" priority="201">
      <formula>AND(IF($Q210=3,1,0),IF($X210&lt;30,1,0))</formula>
    </cfRule>
    <cfRule type="expression" dxfId="4616" priority="202">
      <formula>AND(IF($Q210=3,1,IF($Q210=4,1,0)),IF($F210&lt;=85,1,0))</formula>
    </cfRule>
  </conditionalFormatting>
  <conditionalFormatting sqref="AV211">
    <cfRule type="expression" dxfId="4615" priority="197">
      <formula>AV211="X"</formula>
    </cfRule>
    <cfRule type="expression" dxfId="4614" priority="198">
      <formula>AV211="후보"</formula>
    </cfRule>
  </conditionalFormatting>
  <conditionalFormatting sqref="AC211">
    <cfRule type="cellIs" dxfId="4613" priority="195" operator="greaterThan">
      <formula>0.9</formula>
    </cfRule>
    <cfRule type="cellIs" dxfId="4612" priority="196" operator="greaterThan">
      <formula>0.85</formula>
    </cfRule>
  </conditionalFormatting>
  <conditionalFormatting sqref="N211">
    <cfRule type="cellIs" dxfId="4611" priority="193" operator="greaterThan">
      <formula>0.9</formula>
    </cfRule>
    <cfRule type="cellIs" dxfId="4610" priority="194" operator="greaterThan">
      <formula>0.85</formula>
    </cfRule>
  </conditionalFormatting>
  <conditionalFormatting sqref="E211">
    <cfRule type="expression" dxfId="4609" priority="189">
      <formula>AND(IF(OR($Q211=1,$Q211=2),1,0),IF($X211&lt;=20,1,0))</formula>
    </cfRule>
    <cfRule type="expression" dxfId="4608" priority="190">
      <formula>AND(IF($Q211=2,1,0),IF($X211&lt;30,1,0))</formula>
    </cfRule>
    <cfRule type="expression" dxfId="4607" priority="191">
      <formula>AND(IF($Q211=3,1,0),IF($X211&lt;30,1,0))</formula>
    </cfRule>
    <cfRule type="expression" dxfId="4606" priority="192">
      <formula>AND(IF($Q211=3,1,IF($Q211=4,1,0)),IF($F211&lt;=85,1,0))</formula>
    </cfRule>
  </conditionalFormatting>
  <conditionalFormatting sqref="X211">
    <cfRule type="expression" dxfId="4605" priority="185">
      <formula>AND(IF(OR($Q211=1,$Q211=2),1,0),IF($X211&lt;=20,1,0))</formula>
    </cfRule>
    <cfRule type="expression" dxfId="4604" priority="186">
      <formula>AND(IF($Q211=2,1,0),IF($X211&lt;30,1,0))</formula>
    </cfRule>
    <cfRule type="expression" dxfId="4603" priority="187">
      <formula>AND(IF($Q211=3,1,0),IF($X211&lt;30,1,0))</formula>
    </cfRule>
    <cfRule type="expression" dxfId="4602" priority="188">
      <formula>AND(IF($Q211=3,1,IF($Q211=4,1,0)),IF($F211&lt;=85,1,0))</formula>
    </cfRule>
  </conditionalFormatting>
  <conditionalFormatting sqref="AI211">
    <cfRule type="expression" dxfId="4601" priority="181">
      <formula>AND(IF(OR($Q211=1,$Q211=2),1,0),IF($X211&lt;=20,1,0))</formula>
    </cfRule>
    <cfRule type="expression" dxfId="4600" priority="182">
      <formula>AND(IF($Q211=2,1,0),IF($X211&lt;30,1,0))</formula>
    </cfRule>
    <cfRule type="expression" dxfId="4599" priority="183">
      <formula>AND(IF($Q211=3,1,0),IF($X211&lt;30,1,0))</formula>
    </cfRule>
    <cfRule type="expression" dxfId="4598" priority="184">
      <formula>AND(IF($Q211=3,1,IF($Q211=4,1,0)),IF($F211&lt;=85,1,0))</formula>
    </cfRule>
  </conditionalFormatting>
  <conditionalFormatting sqref="AV212">
    <cfRule type="expression" dxfId="4597" priority="179">
      <formula>AV212="X"</formula>
    </cfRule>
    <cfRule type="expression" dxfId="4596" priority="180">
      <formula>AV212="후보"</formula>
    </cfRule>
  </conditionalFormatting>
  <conditionalFormatting sqref="AC212">
    <cfRule type="cellIs" dxfId="4595" priority="177" operator="greaterThan">
      <formula>0.9</formula>
    </cfRule>
    <cfRule type="cellIs" dxfId="4594" priority="178" operator="greaterThan">
      <formula>0.85</formula>
    </cfRule>
  </conditionalFormatting>
  <conditionalFormatting sqref="N212">
    <cfRule type="cellIs" dxfId="4593" priority="175" operator="greaterThan">
      <formula>0.9</formula>
    </cfRule>
    <cfRule type="cellIs" dxfId="4592" priority="176" operator="greaterThan">
      <formula>0.85</formula>
    </cfRule>
  </conditionalFormatting>
  <conditionalFormatting sqref="E212">
    <cfRule type="expression" dxfId="4591" priority="171">
      <formula>AND(IF(OR($Q212=1,$Q212=2),1,0),IF($X212&lt;=20,1,0))</formula>
    </cfRule>
    <cfRule type="expression" dxfId="4590" priority="172">
      <formula>AND(IF($Q212=2,1,0),IF($X212&lt;30,1,0))</formula>
    </cfRule>
    <cfRule type="expression" dxfId="4589" priority="173">
      <formula>AND(IF($Q212=3,1,0),IF($X212&lt;30,1,0))</formula>
    </cfRule>
    <cfRule type="expression" dxfId="4588" priority="174">
      <formula>AND(IF($Q212=3,1,IF($Q212=4,1,0)),IF($F212&lt;=85,1,0))</formula>
    </cfRule>
  </conditionalFormatting>
  <conditionalFormatting sqref="X212">
    <cfRule type="expression" dxfId="4587" priority="167">
      <formula>AND(IF(OR($Q212=1,$Q212=2),1,0),IF($X212&lt;=20,1,0))</formula>
    </cfRule>
    <cfRule type="expression" dxfId="4586" priority="168">
      <formula>AND(IF($Q212=2,1,0),IF($X212&lt;30,1,0))</formula>
    </cfRule>
    <cfRule type="expression" dxfId="4585" priority="169">
      <formula>AND(IF($Q212=3,1,0),IF($X212&lt;30,1,0))</formula>
    </cfRule>
    <cfRule type="expression" dxfId="4584" priority="170">
      <formula>AND(IF($Q212=3,1,IF($Q212=4,1,0)),IF($F212&lt;=85,1,0))</formula>
    </cfRule>
  </conditionalFormatting>
  <conditionalFormatting sqref="AI212">
    <cfRule type="expression" dxfId="4583" priority="163">
      <formula>AND(IF(OR($Q212=1,$Q212=2),1,0),IF($X212&lt;=20,1,0))</formula>
    </cfRule>
    <cfRule type="expression" dxfId="4582" priority="164">
      <formula>AND(IF($Q212=2,1,0),IF($X212&lt;30,1,0))</formula>
    </cfRule>
    <cfRule type="expression" dxfId="4581" priority="165">
      <formula>AND(IF($Q212=3,1,0),IF($X212&lt;30,1,0))</formula>
    </cfRule>
    <cfRule type="expression" dxfId="4580" priority="166">
      <formula>AND(IF($Q212=3,1,IF($Q212=4,1,0)),IF($F212&lt;=85,1,0))</formula>
    </cfRule>
  </conditionalFormatting>
  <conditionalFormatting sqref="AV213">
    <cfRule type="expression" dxfId="4579" priority="161">
      <formula>AV213="X"</formula>
    </cfRule>
    <cfRule type="expression" dxfId="4578" priority="162">
      <formula>AV213="후보"</formula>
    </cfRule>
  </conditionalFormatting>
  <conditionalFormatting sqref="AC213">
    <cfRule type="cellIs" dxfId="4577" priority="159" operator="greaterThan">
      <formula>0.9</formula>
    </cfRule>
    <cfRule type="cellIs" dxfId="4576" priority="160" operator="greaterThan">
      <formula>0.85</formula>
    </cfRule>
  </conditionalFormatting>
  <conditionalFormatting sqref="N213">
    <cfRule type="cellIs" dxfId="4575" priority="157" operator="greaterThan">
      <formula>0.9</formula>
    </cfRule>
    <cfRule type="cellIs" dxfId="4574" priority="158" operator="greaterThan">
      <formula>0.85</formula>
    </cfRule>
  </conditionalFormatting>
  <conditionalFormatting sqref="E213">
    <cfRule type="expression" dxfId="4573" priority="153">
      <formula>AND(IF(OR($Q213=1,$Q213=2),1,0),IF($X213&lt;=20,1,0))</formula>
    </cfRule>
    <cfRule type="expression" dxfId="4572" priority="154">
      <formula>AND(IF($Q213=2,1,0),IF($X213&lt;30,1,0))</formula>
    </cfRule>
    <cfRule type="expression" dxfId="4571" priority="155">
      <formula>AND(IF($Q213=3,1,0),IF($X213&lt;30,1,0))</formula>
    </cfRule>
    <cfRule type="expression" dxfId="4570" priority="156">
      <formula>AND(IF($Q213=3,1,IF($Q213=4,1,0)),IF($F213&lt;=85,1,0))</formula>
    </cfRule>
  </conditionalFormatting>
  <conditionalFormatting sqref="X213">
    <cfRule type="expression" dxfId="4569" priority="149">
      <formula>AND(IF(OR($Q213=1,$Q213=2),1,0),IF($X213&lt;=20,1,0))</formula>
    </cfRule>
    <cfRule type="expression" dxfId="4568" priority="150">
      <formula>AND(IF($Q213=2,1,0),IF($X213&lt;30,1,0))</formula>
    </cfRule>
    <cfRule type="expression" dxfId="4567" priority="151">
      <formula>AND(IF($Q213=3,1,0),IF($X213&lt;30,1,0))</formula>
    </cfRule>
    <cfRule type="expression" dxfId="4566" priority="152">
      <formula>AND(IF($Q213=3,1,IF($Q213=4,1,0)),IF($F213&lt;=85,1,0))</formula>
    </cfRule>
  </conditionalFormatting>
  <conditionalFormatting sqref="AI213">
    <cfRule type="expression" dxfId="4565" priority="145">
      <formula>AND(IF(OR($Q213=1,$Q213=2),1,0),IF($X213&lt;=20,1,0))</formula>
    </cfRule>
    <cfRule type="expression" dxfId="4564" priority="146">
      <formula>AND(IF($Q213=2,1,0),IF($X213&lt;30,1,0))</formula>
    </cfRule>
    <cfRule type="expression" dxfId="4563" priority="147">
      <formula>AND(IF($Q213=3,1,0),IF($X213&lt;30,1,0))</formula>
    </cfRule>
    <cfRule type="expression" dxfId="4562" priority="148">
      <formula>AND(IF($Q213=3,1,IF($Q213=4,1,0)),IF($F213&lt;=85,1,0))</formula>
    </cfRule>
  </conditionalFormatting>
  <conditionalFormatting sqref="AV214">
    <cfRule type="expression" dxfId="4561" priority="143">
      <formula>AV214="X"</formula>
    </cfRule>
    <cfRule type="expression" dxfId="4560" priority="144">
      <formula>AV214="후보"</formula>
    </cfRule>
  </conditionalFormatting>
  <conditionalFormatting sqref="AC214">
    <cfRule type="cellIs" dxfId="4559" priority="141" operator="greaterThan">
      <formula>0.9</formula>
    </cfRule>
    <cfRule type="cellIs" dxfId="4558" priority="142" operator="greaterThan">
      <formula>0.85</formula>
    </cfRule>
  </conditionalFormatting>
  <conditionalFormatting sqref="N214">
    <cfRule type="cellIs" dxfId="4557" priority="139" operator="greaterThan">
      <formula>0.9</formula>
    </cfRule>
    <cfRule type="cellIs" dxfId="4556" priority="140" operator="greaterThan">
      <formula>0.85</formula>
    </cfRule>
  </conditionalFormatting>
  <conditionalFormatting sqref="E214">
    <cfRule type="expression" dxfId="4555" priority="135">
      <formula>AND(IF(OR($Q214=1,$Q214=2),1,0),IF($X214&lt;=20,1,0))</formula>
    </cfRule>
    <cfRule type="expression" dxfId="4554" priority="136">
      <formula>AND(IF($Q214=2,1,0),IF($X214&lt;30,1,0))</formula>
    </cfRule>
    <cfRule type="expression" dxfId="4553" priority="137">
      <formula>AND(IF($Q214=3,1,0),IF($X214&lt;30,1,0))</formula>
    </cfRule>
    <cfRule type="expression" dxfId="4552" priority="138">
      <formula>AND(IF($Q214=3,1,IF($Q214=4,1,0)),IF($F214&lt;=85,1,0))</formula>
    </cfRule>
  </conditionalFormatting>
  <conditionalFormatting sqref="X214">
    <cfRule type="expression" dxfId="4551" priority="131">
      <formula>AND(IF(OR($Q214=1,$Q214=2),1,0),IF($X214&lt;=20,1,0))</formula>
    </cfRule>
    <cfRule type="expression" dxfId="4550" priority="132">
      <formula>AND(IF($Q214=2,1,0),IF($X214&lt;30,1,0))</formula>
    </cfRule>
    <cfRule type="expression" dxfId="4549" priority="133">
      <formula>AND(IF($Q214=3,1,0),IF($X214&lt;30,1,0))</formula>
    </cfRule>
    <cfRule type="expression" dxfId="4548" priority="134">
      <formula>AND(IF($Q214=3,1,IF($Q214=4,1,0)),IF($F214&lt;=85,1,0))</formula>
    </cfRule>
  </conditionalFormatting>
  <conditionalFormatting sqref="AI214">
    <cfRule type="expression" dxfId="4547" priority="127">
      <formula>AND(IF(OR($Q214=1,$Q214=2),1,0),IF($X214&lt;=20,1,0))</formula>
    </cfRule>
    <cfRule type="expression" dxfId="4546" priority="128">
      <formula>AND(IF($Q214=2,1,0),IF($X214&lt;30,1,0))</formula>
    </cfRule>
    <cfRule type="expression" dxfId="4545" priority="129">
      <formula>AND(IF($Q214=3,1,0),IF($X214&lt;30,1,0))</formula>
    </cfRule>
    <cfRule type="expression" dxfId="4544" priority="130">
      <formula>AND(IF($Q214=3,1,IF($Q214=4,1,0)),IF($F214&lt;=85,1,0))</formula>
    </cfRule>
  </conditionalFormatting>
  <conditionalFormatting sqref="AV215">
    <cfRule type="expression" dxfId="4543" priority="125">
      <formula>AV215="X"</formula>
    </cfRule>
    <cfRule type="expression" dxfId="4542" priority="126">
      <formula>AV215="후보"</formula>
    </cfRule>
  </conditionalFormatting>
  <conditionalFormatting sqref="AC215">
    <cfRule type="cellIs" dxfId="4541" priority="123" operator="greaterThan">
      <formula>0.9</formula>
    </cfRule>
    <cfRule type="cellIs" dxfId="4540" priority="124" operator="greaterThan">
      <formula>0.85</formula>
    </cfRule>
  </conditionalFormatting>
  <conditionalFormatting sqref="N215">
    <cfRule type="cellIs" dxfId="4539" priority="121" operator="greaterThan">
      <formula>0.9</formula>
    </cfRule>
    <cfRule type="cellIs" dxfId="4538" priority="122" operator="greaterThan">
      <formula>0.85</formula>
    </cfRule>
  </conditionalFormatting>
  <conditionalFormatting sqref="E215">
    <cfRule type="expression" dxfId="4537" priority="117">
      <formula>AND(IF(OR($Q215=1,$Q215=2),1,0),IF($X215&lt;=20,1,0))</formula>
    </cfRule>
    <cfRule type="expression" dxfId="4536" priority="118">
      <formula>AND(IF($Q215=2,1,0),IF($X215&lt;30,1,0))</formula>
    </cfRule>
    <cfRule type="expression" dxfId="4535" priority="119">
      <formula>AND(IF($Q215=3,1,0),IF($X215&lt;30,1,0))</formula>
    </cfRule>
    <cfRule type="expression" dxfId="4534" priority="120">
      <formula>AND(IF($Q215=3,1,IF($Q215=4,1,0)),IF($F215&lt;=85,1,0))</formula>
    </cfRule>
  </conditionalFormatting>
  <conditionalFormatting sqref="X215">
    <cfRule type="expression" dxfId="4533" priority="113">
      <formula>AND(IF(OR($Q215=1,$Q215=2),1,0),IF($X215&lt;=20,1,0))</formula>
    </cfRule>
    <cfRule type="expression" dxfId="4532" priority="114">
      <formula>AND(IF($Q215=2,1,0),IF($X215&lt;30,1,0))</formula>
    </cfRule>
    <cfRule type="expression" dxfId="4531" priority="115">
      <formula>AND(IF($Q215=3,1,0),IF($X215&lt;30,1,0))</formula>
    </cfRule>
    <cfRule type="expression" dxfId="4530" priority="116">
      <formula>AND(IF($Q215=3,1,IF($Q215=4,1,0)),IF($F215&lt;=85,1,0))</formula>
    </cfRule>
  </conditionalFormatting>
  <conditionalFormatting sqref="AI215">
    <cfRule type="expression" dxfId="4529" priority="109">
      <formula>AND(IF(OR($Q215=1,$Q215=2),1,0),IF($X215&lt;=20,1,0))</formula>
    </cfRule>
    <cfRule type="expression" dxfId="4528" priority="110">
      <formula>AND(IF($Q215=2,1,0),IF($X215&lt;30,1,0))</formula>
    </cfRule>
    <cfRule type="expression" dxfId="4527" priority="111">
      <formula>AND(IF($Q215=3,1,0),IF($X215&lt;30,1,0))</formula>
    </cfRule>
    <cfRule type="expression" dxfId="4526" priority="112">
      <formula>AND(IF($Q215=3,1,IF($Q215=4,1,0)),IF($F215&lt;=85,1,0))</formula>
    </cfRule>
  </conditionalFormatting>
  <conditionalFormatting sqref="AV216">
    <cfRule type="expression" dxfId="4525" priority="107">
      <formula>AV216="X"</formula>
    </cfRule>
    <cfRule type="expression" dxfId="4524" priority="108">
      <formula>AV216="후보"</formula>
    </cfRule>
  </conditionalFormatting>
  <conditionalFormatting sqref="AC216">
    <cfRule type="cellIs" dxfId="4523" priority="105" operator="greaterThan">
      <formula>0.9</formula>
    </cfRule>
    <cfRule type="cellIs" dxfId="4522" priority="106" operator="greaterThan">
      <formula>0.85</formula>
    </cfRule>
  </conditionalFormatting>
  <conditionalFormatting sqref="N216">
    <cfRule type="cellIs" dxfId="4521" priority="103" operator="greaterThan">
      <formula>0.9</formula>
    </cfRule>
    <cfRule type="cellIs" dxfId="4520" priority="104" operator="greaterThan">
      <formula>0.85</formula>
    </cfRule>
  </conditionalFormatting>
  <conditionalFormatting sqref="E216">
    <cfRule type="expression" dxfId="4519" priority="99">
      <formula>AND(IF(OR($Q216=1,$Q216=2),1,0),IF($X216&lt;=20,1,0))</formula>
    </cfRule>
    <cfRule type="expression" dxfId="4518" priority="100">
      <formula>AND(IF($Q216=2,1,0),IF($X216&lt;30,1,0))</formula>
    </cfRule>
    <cfRule type="expression" dxfId="4517" priority="101">
      <formula>AND(IF($Q216=3,1,0),IF($X216&lt;30,1,0))</formula>
    </cfRule>
    <cfRule type="expression" dxfId="4516" priority="102">
      <formula>AND(IF($Q216=3,1,IF($Q216=4,1,0)),IF($F216&lt;=85,1,0))</formula>
    </cfRule>
  </conditionalFormatting>
  <conditionalFormatting sqref="X216">
    <cfRule type="expression" dxfId="4515" priority="95">
      <formula>AND(IF(OR($Q216=1,$Q216=2),1,0),IF($X216&lt;=20,1,0))</formula>
    </cfRule>
    <cfRule type="expression" dxfId="4514" priority="96">
      <formula>AND(IF($Q216=2,1,0),IF($X216&lt;30,1,0))</formula>
    </cfRule>
    <cfRule type="expression" dxfId="4513" priority="97">
      <formula>AND(IF($Q216=3,1,0),IF($X216&lt;30,1,0))</formula>
    </cfRule>
    <cfRule type="expression" dxfId="4512" priority="98">
      <formula>AND(IF($Q216=3,1,IF($Q216=4,1,0)),IF($F216&lt;=85,1,0))</formula>
    </cfRule>
  </conditionalFormatting>
  <conditionalFormatting sqref="AI216">
    <cfRule type="expression" dxfId="4511" priority="91">
      <formula>AND(IF(OR($Q216=1,$Q216=2),1,0),IF($X216&lt;=20,1,0))</formula>
    </cfRule>
    <cfRule type="expression" dxfId="4510" priority="92">
      <formula>AND(IF($Q216=2,1,0),IF($X216&lt;30,1,0))</formula>
    </cfRule>
    <cfRule type="expression" dxfId="4509" priority="93">
      <formula>AND(IF($Q216=3,1,0),IF($X216&lt;30,1,0))</formula>
    </cfRule>
    <cfRule type="expression" dxfId="4508" priority="94">
      <formula>AND(IF($Q216=3,1,IF($Q216=4,1,0)),IF($F216&lt;=85,1,0))</formula>
    </cfRule>
  </conditionalFormatting>
  <conditionalFormatting sqref="AV217">
    <cfRule type="expression" dxfId="4507" priority="89">
      <formula>AV217="X"</formula>
    </cfRule>
    <cfRule type="expression" dxfId="4506" priority="90">
      <formula>AV217="후보"</formula>
    </cfRule>
  </conditionalFormatting>
  <conditionalFormatting sqref="AC217">
    <cfRule type="cellIs" dxfId="4505" priority="87" operator="greaterThan">
      <formula>0.9</formula>
    </cfRule>
    <cfRule type="cellIs" dxfId="4504" priority="88" operator="greaterThan">
      <formula>0.85</formula>
    </cfRule>
  </conditionalFormatting>
  <conditionalFormatting sqref="N217">
    <cfRule type="cellIs" dxfId="4503" priority="85" operator="greaterThan">
      <formula>0.9</formula>
    </cfRule>
    <cfRule type="cellIs" dxfId="4502" priority="86" operator="greaterThan">
      <formula>0.85</formula>
    </cfRule>
  </conditionalFormatting>
  <conditionalFormatting sqref="E217">
    <cfRule type="expression" dxfId="4501" priority="81">
      <formula>AND(IF(OR($Q217=1,$Q217=2),1,0),IF($X217&lt;=20,1,0))</formula>
    </cfRule>
    <cfRule type="expression" dxfId="4500" priority="82">
      <formula>AND(IF($Q217=2,1,0),IF($X217&lt;30,1,0))</formula>
    </cfRule>
    <cfRule type="expression" dxfId="4499" priority="83">
      <formula>AND(IF($Q217=3,1,0),IF($X217&lt;30,1,0))</formula>
    </cfRule>
    <cfRule type="expression" dxfId="4498" priority="84">
      <formula>AND(IF($Q217=3,1,IF($Q217=4,1,0)),IF($F217&lt;=85,1,0))</formula>
    </cfRule>
  </conditionalFormatting>
  <conditionalFormatting sqref="X217">
    <cfRule type="expression" dxfId="4497" priority="77">
      <formula>AND(IF(OR($Q217=1,$Q217=2),1,0),IF($X217&lt;=20,1,0))</formula>
    </cfRule>
    <cfRule type="expression" dxfId="4496" priority="78">
      <formula>AND(IF($Q217=2,1,0),IF($X217&lt;30,1,0))</formula>
    </cfRule>
    <cfRule type="expression" dxfId="4495" priority="79">
      <formula>AND(IF($Q217=3,1,0),IF($X217&lt;30,1,0))</formula>
    </cfRule>
    <cfRule type="expression" dxfId="4494" priority="80">
      <formula>AND(IF($Q217=3,1,IF($Q217=4,1,0)),IF($F217&lt;=85,1,0))</formula>
    </cfRule>
  </conditionalFormatting>
  <conditionalFormatting sqref="AI217">
    <cfRule type="expression" dxfId="4493" priority="73">
      <formula>AND(IF(OR($Q217=1,$Q217=2),1,0),IF($X217&lt;=20,1,0))</formula>
    </cfRule>
    <cfRule type="expression" dxfId="4492" priority="74">
      <formula>AND(IF($Q217=2,1,0),IF($X217&lt;30,1,0))</formula>
    </cfRule>
    <cfRule type="expression" dxfId="4491" priority="75">
      <formula>AND(IF($Q217=3,1,0),IF($X217&lt;30,1,0))</formula>
    </cfRule>
    <cfRule type="expression" dxfId="4490" priority="76">
      <formula>AND(IF($Q217=3,1,IF($Q217=4,1,0)),IF($F217&lt;=85,1,0))</formula>
    </cfRule>
  </conditionalFormatting>
  <conditionalFormatting sqref="AV218">
    <cfRule type="expression" dxfId="4489" priority="71">
      <formula>AV218="X"</formula>
    </cfRule>
    <cfRule type="expression" dxfId="4488" priority="72">
      <formula>AV218="후보"</formula>
    </cfRule>
  </conditionalFormatting>
  <conditionalFormatting sqref="AC218">
    <cfRule type="cellIs" dxfId="4487" priority="69" operator="greaterThan">
      <formula>0.9</formula>
    </cfRule>
    <cfRule type="cellIs" dxfId="4486" priority="70" operator="greaterThan">
      <formula>0.85</formula>
    </cfRule>
  </conditionalFormatting>
  <conditionalFormatting sqref="N218">
    <cfRule type="cellIs" dxfId="4485" priority="67" operator="greaterThan">
      <formula>0.9</formula>
    </cfRule>
    <cfRule type="cellIs" dxfId="4484" priority="68" operator="greaterThan">
      <formula>0.85</formula>
    </cfRule>
  </conditionalFormatting>
  <conditionalFormatting sqref="E218">
    <cfRule type="expression" dxfId="4483" priority="63">
      <formula>AND(IF(OR($Q218=1,$Q218=2),1,0),IF($X218&lt;=20,1,0))</formula>
    </cfRule>
    <cfRule type="expression" dxfId="4482" priority="64">
      <formula>AND(IF($Q218=2,1,0),IF($X218&lt;30,1,0))</formula>
    </cfRule>
    <cfRule type="expression" dxfId="4481" priority="65">
      <formula>AND(IF($Q218=3,1,0),IF($X218&lt;30,1,0))</formula>
    </cfRule>
    <cfRule type="expression" dxfId="4480" priority="66">
      <formula>AND(IF($Q218=3,1,IF($Q218=4,1,0)),IF($F218&lt;=85,1,0))</formula>
    </cfRule>
  </conditionalFormatting>
  <conditionalFormatting sqref="X218">
    <cfRule type="expression" dxfId="4479" priority="59">
      <formula>AND(IF(OR($Q218=1,$Q218=2),1,0),IF($X218&lt;=20,1,0))</formula>
    </cfRule>
    <cfRule type="expression" dxfId="4478" priority="60">
      <formula>AND(IF($Q218=2,1,0),IF($X218&lt;30,1,0))</formula>
    </cfRule>
    <cfRule type="expression" dxfId="4477" priority="61">
      <formula>AND(IF($Q218=3,1,0),IF($X218&lt;30,1,0))</formula>
    </cfRule>
    <cfRule type="expression" dxfId="4476" priority="62">
      <formula>AND(IF($Q218=3,1,IF($Q218=4,1,0)),IF($F218&lt;=85,1,0))</formula>
    </cfRule>
  </conditionalFormatting>
  <conditionalFormatting sqref="AI218">
    <cfRule type="expression" dxfId="4475" priority="55">
      <formula>AND(IF(OR($Q218=1,$Q218=2),1,0),IF($X218&lt;=20,1,0))</formula>
    </cfRule>
    <cfRule type="expression" dxfId="4474" priority="56">
      <formula>AND(IF($Q218=2,1,0),IF($X218&lt;30,1,0))</formula>
    </cfRule>
    <cfRule type="expression" dxfId="4473" priority="57">
      <formula>AND(IF($Q218=3,1,0),IF($X218&lt;30,1,0))</formula>
    </cfRule>
    <cfRule type="expression" dxfId="4472" priority="58">
      <formula>AND(IF($Q218=3,1,IF($Q218=4,1,0)),IF($F218&lt;=85,1,0))</formula>
    </cfRule>
  </conditionalFormatting>
  <conditionalFormatting sqref="AV219">
    <cfRule type="expression" dxfId="4471" priority="53">
      <formula>AV219="X"</formula>
    </cfRule>
    <cfRule type="expression" dxfId="4470" priority="54">
      <formula>AV219="후보"</formula>
    </cfRule>
  </conditionalFormatting>
  <conditionalFormatting sqref="AC219">
    <cfRule type="cellIs" dxfId="4469" priority="51" operator="greaterThan">
      <formula>0.9</formula>
    </cfRule>
    <cfRule type="cellIs" dxfId="4468" priority="52" operator="greaterThan">
      <formula>0.85</formula>
    </cfRule>
  </conditionalFormatting>
  <conditionalFormatting sqref="N219">
    <cfRule type="cellIs" dxfId="4467" priority="49" operator="greaterThan">
      <formula>0.9</formula>
    </cfRule>
    <cfRule type="cellIs" dxfId="4466" priority="50" operator="greaterThan">
      <formula>0.85</formula>
    </cfRule>
  </conditionalFormatting>
  <conditionalFormatting sqref="E219">
    <cfRule type="expression" dxfId="4465" priority="45">
      <formula>AND(IF(OR($Q219=1,$Q219=2),1,0),IF($X219&lt;=20,1,0))</formula>
    </cfRule>
    <cfRule type="expression" dxfId="4464" priority="46">
      <formula>AND(IF($Q219=2,1,0),IF($X219&lt;30,1,0))</formula>
    </cfRule>
    <cfRule type="expression" dxfId="4463" priority="47">
      <formula>AND(IF($Q219=3,1,0),IF($X219&lt;30,1,0))</formula>
    </cfRule>
    <cfRule type="expression" dxfId="4462" priority="48">
      <formula>AND(IF($Q219=3,1,IF($Q219=4,1,0)),IF($F219&lt;=85,1,0))</formula>
    </cfRule>
  </conditionalFormatting>
  <conditionalFormatting sqref="X219">
    <cfRule type="expression" dxfId="4461" priority="41">
      <formula>AND(IF(OR($Q219=1,$Q219=2),1,0),IF($X219&lt;=20,1,0))</formula>
    </cfRule>
    <cfRule type="expression" dxfId="4460" priority="42">
      <formula>AND(IF($Q219=2,1,0),IF($X219&lt;30,1,0))</formula>
    </cfRule>
    <cfRule type="expression" dxfId="4459" priority="43">
      <formula>AND(IF($Q219=3,1,0),IF($X219&lt;30,1,0))</formula>
    </cfRule>
    <cfRule type="expression" dxfId="4458" priority="44">
      <formula>AND(IF($Q219=3,1,IF($Q219=4,1,0)),IF($F219&lt;=85,1,0))</formula>
    </cfRule>
  </conditionalFormatting>
  <conditionalFormatting sqref="AI219">
    <cfRule type="expression" dxfId="4457" priority="37">
      <formula>AND(IF(OR($Q219=1,$Q219=2),1,0),IF($X219&lt;=20,1,0))</formula>
    </cfRule>
    <cfRule type="expression" dxfId="4456" priority="38">
      <formula>AND(IF($Q219=2,1,0),IF($X219&lt;30,1,0))</formula>
    </cfRule>
    <cfRule type="expression" dxfId="4455" priority="39">
      <formula>AND(IF($Q219=3,1,0),IF($X219&lt;30,1,0))</formula>
    </cfRule>
    <cfRule type="expression" dxfId="4454" priority="40">
      <formula>AND(IF($Q219=3,1,IF($Q219=4,1,0)),IF($F219&lt;=85,1,0))</formula>
    </cfRule>
  </conditionalFormatting>
  <conditionalFormatting sqref="AV220">
    <cfRule type="expression" dxfId="4453" priority="35">
      <formula>AV220="X"</formula>
    </cfRule>
    <cfRule type="expression" dxfId="4452" priority="36">
      <formula>AV220="후보"</formula>
    </cfRule>
  </conditionalFormatting>
  <conditionalFormatting sqref="AC220">
    <cfRule type="cellIs" dxfId="4451" priority="33" operator="greaterThan">
      <formula>0.9</formula>
    </cfRule>
    <cfRule type="cellIs" dxfId="4450" priority="34" operator="greaterThan">
      <formula>0.85</formula>
    </cfRule>
  </conditionalFormatting>
  <conditionalFormatting sqref="N220">
    <cfRule type="cellIs" dxfId="4449" priority="31" operator="greaterThan">
      <formula>0.9</formula>
    </cfRule>
    <cfRule type="cellIs" dxfId="4448" priority="32" operator="greaterThan">
      <formula>0.85</formula>
    </cfRule>
  </conditionalFormatting>
  <conditionalFormatting sqref="E220">
    <cfRule type="expression" dxfId="4447" priority="27">
      <formula>AND(IF(OR($Q220=1,$Q220=2),1,0),IF($X220&lt;=20,1,0))</formula>
    </cfRule>
    <cfRule type="expression" dxfId="4446" priority="28">
      <formula>AND(IF($Q220=2,1,0),IF($X220&lt;30,1,0))</formula>
    </cfRule>
    <cfRule type="expression" dxfId="4445" priority="29">
      <formula>AND(IF($Q220=3,1,0),IF($X220&lt;30,1,0))</formula>
    </cfRule>
    <cfRule type="expression" dxfId="4444" priority="30">
      <formula>AND(IF($Q220=3,1,IF($Q220=4,1,0)),IF($F220&lt;=85,1,0))</formula>
    </cfRule>
  </conditionalFormatting>
  <conditionalFormatting sqref="X220">
    <cfRule type="expression" dxfId="4443" priority="23">
      <formula>AND(IF(OR($Q220=1,$Q220=2),1,0),IF($X220&lt;=20,1,0))</formula>
    </cfRule>
    <cfRule type="expression" dxfId="4442" priority="24">
      <formula>AND(IF($Q220=2,1,0),IF($X220&lt;30,1,0))</formula>
    </cfRule>
    <cfRule type="expression" dxfId="4441" priority="25">
      <formula>AND(IF($Q220=3,1,0),IF($X220&lt;30,1,0))</formula>
    </cfRule>
    <cfRule type="expression" dxfId="4440" priority="26">
      <formula>AND(IF($Q220=3,1,IF($Q220=4,1,0)),IF($F220&lt;=85,1,0))</formula>
    </cfRule>
  </conditionalFormatting>
  <conditionalFormatting sqref="AI220">
    <cfRule type="expression" dxfId="4439" priority="19">
      <formula>AND(IF(OR($Q220=1,$Q220=2),1,0),IF($X220&lt;=20,1,0))</formula>
    </cfRule>
    <cfRule type="expression" dxfId="4438" priority="20">
      <formula>AND(IF($Q220=2,1,0),IF($X220&lt;30,1,0))</formula>
    </cfRule>
    <cfRule type="expression" dxfId="4437" priority="21">
      <formula>AND(IF($Q220=3,1,0),IF($X220&lt;30,1,0))</formula>
    </cfRule>
    <cfRule type="expression" dxfId="4436" priority="22">
      <formula>AND(IF($Q220=3,1,IF($Q220=4,1,0)),IF($F220&lt;=85,1,0))</formula>
    </cfRule>
  </conditionalFormatting>
  <conditionalFormatting sqref="AV221">
    <cfRule type="expression" dxfId="4435" priority="17">
      <formula>AV221="X"</formula>
    </cfRule>
    <cfRule type="expression" dxfId="4434" priority="18">
      <formula>AV221="후보"</formula>
    </cfRule>
  </conditionalFormatting>
  <conditionalFormatting sqref="AC221">
    <cfRule type="cellIs" dxfId="4433" priority="15" operator="greaterThan">
      <formula>0.9</formula>
    </cfRule>
    <cfRule type="cellIs" dxfId="4432" priority="16" operator="greaterThan">
      <formula>0.85</formula>
    </cfRule>
  </conditionalFormatting>
  <conditionalFormatting sqref="N221">
    <cfRule type="cellIs" dxfId="4431" priority="13" operator="greaterThan">
      <formula>0.9</formula>
    </cfRule>
    <cfRule type="cellIs" dxfId="4430" priority="14" operator="greaterThan">
      <formula>0.85</formula>
    </cfRule>
  </conditionalFormatting>
  <conditionalFormatting sqref="E221">
    <cfRule type="expression" dxfId="4429" priority="9">
      <formula>AND(IF(OR($Q221=1,$Q221=2),1,0),IF($X221&lt;=20,1,0))</formula>
    </cfRule>
    <cfRule type="expression" dxfId="4428" priority="10">
      <formula>AND(IF($Q221=2,1,0),IF($X221&lt;30,1,0))</formula>
    </cfRule>
    <cfRule type="expression" dxfId="4427" priority="11">
      <formula>AND(IF($Q221=3,1,0),IF($X221&lt;30,1,0))</formula>
    </cfRule>
    <cfRule type="expression" dxfId="4426" priority="12">
      <formula>AND(IF($Q221=3,1,IF($Q221=4,1,0)),IF($F221&lt;=85,1,0))</formula>
    </cfRule>
  </conditionalFormatting>
  <conditionalFormatting sqref="X221">
    <cfRule type="expression" dxfId="4425" priority="5">
      <formula>AND(IF(OR($Q221=1,$Q221=2),1,0),IF($X221&lt;=20,1,0))</formula>
    </cfRule>
    <cfRule type="expression" dxfId="4424" priority="6">
      <formula>AND(IF($Q221=2,1,0),IF($X221&lt;30,1,0))</formula>
    </cfRule>
    <cfRule type="expression" dxfId="4423" priority="7">
      <formula>AND(IF($Q221=3,1,0),IF($X221&lt;30,1,0))</formula>
    </cfRule>
    <cfRule type="expression" dxfId="4422" priority="8">
      <formula>AND(IF($Q221=3,1,IF($Q221=4,1,0)),IF($F221&lt;=85,1,0))</formula>
    </cfRule>
  </conditionalFormatting>
  <conditionalFormatting sqref="AI221">
    <cfRule type="expression" dxfId="4421" priority="1">
      <formula>AND(IF(OR($Q221=1,$Q221=2),1,0),IF($X221&lt;=20,1,0))</formula>
    </cfRule>
    <cfRule type="expression" dxfId="4420" priority="2">
      <formula>AND(IF($Q221=2,1,0),IF($X221&lt;30,1,0))</formula>
    </cfRule>
    <cfRule type="expression" dxfId="4419" priority="3">
      <formula>AND(IF($Q221=3,1,0),IF($X221&lt;30,1,0))</formula>
    </cfRule>
    <cfRule type="expression" dxfId="4418" priority="4">
      <formula>AND(IF($Q221=3,1,IF($Q221=4,1,0)),IF($F221&lt;=85,1,0))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8097" r:id="rId4" name="Button 1025">
              <controlPr defaultSize="0" print="0" autoFill="0" autoPict="0" macro="[0]!AllList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88098" r:id="rId5" name="Button 1026">
              <controlPr defaultSize="0" print="0" autoFill="0" autoPict="0" macro="[0]!CandidateList">
                <anchor moveWithCells="1" sizeWithCells="1">
                  <from>
                    <xdr:col>4</xdr:col>
                    <xdr:colOff>342900</xdr:colOff>
                    <xdr:row>0</xdr:row>
                    <xdr:rowOff>47625</xdr:rowOff>
                  </from>
                  <to>
                    <xdr:col>7</xdr:col>
                    <xdr:colOff>304800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>
    <tabColor theme="5" tint="0.59999389629810485"/>
    <pageSetUpPr fitToPage="1"/>
  </sheetPr>
  <dimension ref="A1:V450"/>
  <sheetViews>
    <sheetView zoomScaleNormal="100" zoomScaleSheetLayoutView="85" workbookViewId="0">
      <pane xSplit="1" ySplit="3" topLeftCell="B16" activePane="bottomRight" state="frozen"/>
      <selection activeCell="U15" sqref="U15"/>
      <selection pane="topRight" activeCell="U15" sqref="U15"/>
      <selection pane="bottomLeft" activeCell="U15" sqref="U15"/>
      <selection pane="bottomRight" activeCell="L47" sqref="L47"/>
    </sheetView>
  </sheetViews>
  <sheetFormatPr defaultColWidth="9" defaultRowHeight="14.1" customHeight="1" x14ac:dyDescent="0.3"/>
  <cols>
    <col min="1" max="1" width="22.5" style="77" bestFit="1" customWidth="1"/>
    <col min="2" max="2" width="5.625" style="77" bestFit="1" customWidth="1"/>
    <col min="3" max="3" width="6.625" style="77" bestFit="1" customWidth="1"/>
    <col min="4" max="4" width="5.625" style="77" bestFit="1" customWidth="1"/>
    <col min="5" max="5" width="4.625" style="77" bestFit="1" customWidth="1"/>
    <col min="6" max="6" width="5.625" style="77" bestFit="1" customWidth="1"/>
    <col min="7" max="7" width="4.625" style="77" bestFit="1" customWidth="1"/>
    <col min="8" max="8" width="6.625" style="77" bestFit="1" customWidth="1"/>
    <col min="9" max="9" width="7.75" style="77" bestFit="1" customWidth="1"/>
    <col min="10" max="10" width="4" style="77" bestFit="1" customWidth="1"/>
    <col min="11" max="11" width="6.875" style="77" bestFit="1" customWidth="1"/>
    <col min="12" max="12" width="4" style="77" bestFit="1" customWidth="1"/>
    <col min="13" max="13" width="6.875" style="77" bestFit="1" customWidth="1"/>
    <col min="14" max="14" width="4.625" style="77" bestFit="1" customWidth="1"/>
    <col min="15" max="16" width="7.625" style="77" bestFit="1" customWidth="1"/>
    <col min="17" max="19" width="3.25" style="77" bestFit="1" customWidth="1"/>
    <col min="20" max="20" width="10.125" style="77" customWidth="1"/>
    <col min="21" max="21" width="25" style="77" customWidth="1"/>
    <col min="22" max="22" width="9" style="77" customWidth="1"/>
    <col min="23" max="16384" width="9" style="25"/>
  </cols>
  <sheetData>
    <row r="1" spans="1:22" ht="17.25" customHeight="1" x14ac:dyDescent="0.3">
      <c r="A1" s="24" t="str">
        <f>단지추출!A1</f>
        <v>창원시 진해구</v>
      </c>
      <c r="B1" s="25"/>
      <c r="C1" s="26"/>
      <c r="D1" s="25"/>
      <c r="E1" s="25"/>
      <c r="F1" s="25"/>
      <c r="G1" s="25"/>
      <c r="H1" s="26"/>
      <c r="I1" s="25"/>
      <c r="J1" s="115" t="s">
        <v>1</v>
      </c>
      <c r="K1" s="114"/>
      <c r="L1" s="44" t="s">
        <v>69</v>
      </c>
      <c r="M1"/>
      <c r="N1" s="115" t="s">
        <v>3</v>
      </c>
      <c r="O1" s="114"/>
      <c r="P1" s="79">
        <v>30</v>
      </c>
      <c r="Q1" s="116" t="s">
        <v>4</v>
      </c>
      <c r="R1" s="117"/>
      <c r="S1" s="114"/>
      <c r="T1" s="28"/>
      <c r="U1" s="25"/>
      <c r="V1" s="25"/>
    </row>
    <row r="2" spans="1:22" ht="12" customHeight="1" x14ac:dyDescent="0.3">
      <c r="A2" s="80">
        <f>단지추출!A2</f>
        <v>44197</v>
      </c>
      <c r="B2" s="27"/>
      <c r="C2" s="26"/>
      <c r="D2" s="25"/>
      <c r="E2" s="25"/>
      <c r="F2" s="25"/>
      <c r="G2" s="25"/>
      <c r="H2" s="26"/>
      <c r="I2" s="25"/>
      <c r="J2" s="25"/>
      <c r="K2" s="25"/>
      <c r="L2" s="25"/>
      <c r="M2" s="25"/>
      <c r="N2" s="25"/>
      <c r="O2" s="25"/>
      <c r="P2" s="25"/>
      <c r="Q2" s="28"/>
      <c r="R2" s="28"/>
      <c r="S2" s="27"/>
      <c r="T2" s="28"/>
      <c r="U2" s="29"/>
      <c r="V2" s="25"/>
    </row>
    <row r="3" spans="1:22" ht="26.25" customHeight="1" x14ac:dyDescent="0.3">
      <c r="A3" s="33" t="s">
        <v>21</v>
      </c>
      <c r="B3" s="33" t="s">
        <v>22</v>
      </c>
      <c r="C3" s="33" t="s">
        <v>23</v>
      </c>
      <c r="D3" s="33" t="s">
        <v>24</v>
      </c>
      <c r="E3" s="33" t="s">
        <v>25</v>
      </c>
      <c r="F3" s="33" t="s">
        <v>26</v>
      </c>
      <c r="G3" s="33" t="s">
        <v>27</v>
      </c>
      <c r="H3" s="78" t="s">
        <v>28</v>
      </c>
      <c r="I3" s="34" t="s">
        <v>29</v>
      </c>
      <c r="J3" s="34" t="s">
        <v>30</v>
      </c>
      <c r="K3" s="34" t="s">
        <v>31</v>
      </c>
      <c r="L3" s="34" t="s">
        <v>30</v>
      </c>
      <c r="M3" s="78" t="s">
        <v>32</v>
      </c>
      <c r="N3" s="33" t="s">
        <v>33</v>
      </c>
      <c r="O3" s="34" t="s">
        <v>34</v>
      </c>
      <c r="P3" s="34" t="s">
        <v>35</v>
      </c>
      <c r="Q3" s="35" t="s">
        <v>36</v>
      </c>
      <c r="R3" s="35" t="s">
        <v>37</v>
      </c>
      <c r="S3" s="33" t="s">
        <v>38</v>
      </c>
      <c r="T3" s="36" t="s">
        <v>39</v>
      </c>
      <c r="U3" s="78" t="s">
        <v>40</v>
      </c>
      <c r="V3" s="25"/>
    </row>
    <row r="4" spans="1:22" s="38" customFormat="1" ht="12" x14ac:dyDescent="0.3">
      <c r="A4" s="110" t="s">
        <v>1101</v>
      </c>
      <c r="B4" s="111" t="s">
        <v>1102</v>
      </c>
      <c r="C4" s="112">
        <v>1192</v>
      </c>
      <c r="D4" s="104">
        <v>228.9</v>
      </c>
      <c r="E4" s="106">
        <v>69</v>
      </c>
      <c r="F4" s="104">
        <v>190</v>
      </c>
      <c r="G4" s="17">
        <v>57</v>
      </c>
      <c r="H4" s="107">
        <v>56</v>
      </c>
      <c r="I4" s="108">
        <v>75000</v>
      </c>
      <c r="J4" s="108" t="s">
        <v>868</v>
      </c>
      <c r="K4" s="108">
        <v>50000</v>
      </c>
      <c r="L4" s="108" t="s">
        <v>873</v>
      </c>
      <c r="M4" s="109">
        <f t="shared" ref="M4:M35" si="0">I4-K4</f>
        <v>25000</v>
      </c>
      <c r="N4" s="4">
        <f t="shared" ref="N4:N35" si="1">IF(ISERROR(K4/I4),"",K4/I4)</f>
        <v>0.66666666666666663</v>
      </c>
      <c r="O4" s="105">
        <f t="shared" ref="O4:O35" si="2">I4/E4</f>
        <v>1086.9565217391305</v>
      </c>
      <c r="P4" s="105">
        <f t="shared" ref="P4:P35" si="3">K4/E4</f>
        <v>724.63768115942025</v>
      </c>
      <c r="Q4" s="75">
        <v>4</v>
      </c>
      <c r="R4" s="75">
        <v>3</v>
      </c>
      <c r="S4" s="75" t="s">
        <v>869</v>
      </c>
      <c r="T4" s="5">
        <v>228</v>
      </c>
      <c r="U4" s="9"/>
    </row>
    <row r="5" spans="1:22" s="38" customFormat="1" ht="12" x14ac:dyDescent="0.3">
      <c r="A5" s="110" t="s">
        <v>1042</v>
      </c>
      <c r="B5" s="111" t="s">
        <v>1043</v>
      </c>
      <c r="C5" s="112">
        <v>1264</v>
      </c>
      <c r="D5" s="104">
        <v>263.39999999999998</v>
      </c>
      <c r="E5" s="106">
        <v>80</v>
      </c>
      <c r="F5" s="104">
        <v>225.5</v>
      </c>
      <c r="G5" s="17">
        <v>68</v>
      </c>
      <c r="H5" s="107">
        <v>30</v>
      </c>
      <c r="I5" s="108">
        <v>65000</v>
      </c>
      <c r="J5" s="108" t="s">
        <v>901</v>
      </c>
      <c r="K5" s="108"/>
      <c r="L5" s="108"/>
      <c r="M5" s="109">
        <f t="shared" si="0"/>
        <v>65000</v>
      </c>
      <c r="N5" s="4">
        <f t="shared" si="1"/>
        <v>0</v>
      </c>
      <c r="O5" s="105">
        <f t="shared" si="2"/>
        <v>812.5</v>
      </c>
      <c r="P5" s="105">
        <f t="shared" si="3"/>
        <v>0</v>
      </c>
      <c r="Q5" s="75">
        <v>5</v>
      </c>
      <c r="R5" s="75">
        <v>3</v>
      </c>
      <c r="S5" s="75" t="s">
        <v>869</v>
      </c>
      <c r="T5" s="5">
        <v>263</v>
      </c>
      <c r="U5" s="9"/>
    </row>
    <row r="6" spans="1:22" s="38" customFormat="1" ht="12" x14ac:dyDescent="0.3">
      <c r="A6" s="110" t="s">
        <v>1024</v>
      </c>
      <c r="B6" s="111" t="s">
        <v>1025</v>
      </c>
      <c r="C6" s="112">
        <v>520</v>
      </c>
      <c r="D6" s="104">
        <v>132</v>
      </c>
      <c r="E6" s="106">
        <v>40</v>
      </c>
      <c r="F6" s="104">
        <v>101.5</v>
      </c>
      <c r="G6" s="17">
        <v>31</v>
      </c>
      <c r="H6" s="107">
        <v>103</v>
      </c>
      <c r="I6" s="108">
        <v>60000</v>
      </c>
      <c r="J6" s="108" t="s">
        <v>873</v>
      </c>
      <c r="K6" s="108"/>
      <c r="L6" s="108"/>
      <c r="M6" s="109">
        <f t="shared" si="0"/>
        <v>60000</v>
      </c>
      <c r="N6" s="4">
        <f t="shared" si="1"/>
        <v>0</v>
      </c>
      <c r="O6" s="105">
        <f t="shared" si="2"/>
        <v>1500</v>
      </c>
      <c r="P6" s="105">
        <f t="shared" si="3"/>
        <v>0</v>
      </c>
      <c r="Q6" s="75">
        <v>4</v>
      </c>
      <c r="R6" s="75">
        <v>2</v>
      </c>
      <c r="S6" s="75" t="s">
        <v>869</v>
      </c>
      <c r="T6" s="5" t="s">
        <v>623</v>
      </c>
      <c r="U6" s="9"/>
    </row>
    <row r="7" spans="1:22" s="38" customFormat="1" ht="12" x14ac:dyDescent="0.3">
      <c r="A7" s="110" t="s">
        <v>1024</v>
      </c>
      <c r="B7" s="111" t="s">
        <v>1025</v>
      </c>
      <c r="C7" s="112">
        <v>520</v>
      </c>
      <c r="D7" s="104">
        <v>148.80000000000001</v>
      </c>
      <c r="E7" s="106">
        <v>45</v>
      </c>
      <c r="F7" s="104">
        <v>114.8</v>
      </c>
      <c r="G7" s="17">
        <v>35</v>
      </c>
      <c r="H7" s="107">
        <v>86</v>
      </c>
      <c r="I7" s="108">
        <v>60000</v>
      </c>
      <c r="J7" s="108" t="s">
        <v>873</v>
      </c>
      <c r="K7" s="108">
        <v>44000</v>
      </c>
      <c r="L7" s="108" t="s">
        <v>873</v>
      </c>
      <c r="M7" s="109">
        <f t="shared" si="0"/>
        <v>16000</v>
      </c>
      <c r="N7" s="4">
        <f t="shared" si="1"/>
        <v>0.73333333333333328</v>
      </c>
      <c r="O7" s="105">
        <f t="shared" si="2"/>
        <v>1333.3333333333333</v>
      </c>
      <c r="P7" s="105">
        <f t="shared" si="3"/>
        <v>977.77777777777783</v>
      </c>
      <c r="Q7" s="75">
        <v>4</v>
      </c>
      <c r="R7" s="75">
        <v>2</v>
      </c>
      <c r="S7" s="75" t="s">
        <v>869</v>
      </c>
      <c r="T7" s="5">
        <v>148</v>
      </c>
      <c r="U7" s="9"/>
    </row>
    <row r="8" spans="1:22" s="38" customFormat="1" ht="12" x14ac:dyDescent="0.3">
      <c r="A8" s="110" t="s">
        <v>982</v>
      </c>
      <c r="B8" s="111" t="s">
        <v>1100</v>
      </c>
      <c r="C8" s="112">
        <v>1192</v>
      </c>
      <c r="D8" s="104">
        <v>195.5</v>
      </c>
      <c r="E8" s="106">
        <v>59</v>
      </c>
      <c r="F8" s="104">
        <v>161.80000000000001</v>
      </c>
      <c r="G8" s="17">
        <v>49</v>
      </c>
      <c r="H8" s="107">
        <v>52</v>
      </c>
      <c r="I8" s="108">
        <v>59500</v>
      </c>
      <c r="J8" s="108" t="s">
        <v>873</v>
      </c>
      <c r="K8" s="108">
        <v>55000</v>
      </c>
      <c r="L8" s="108" t="s">
        <v>901</v>
      </c>
      <c r="M8" s="109">
        <f t="shared" si="0"/>
        <v>4500</v>
      </c>
      <c r="N8" s="4">
        <f t="shared" si="1"/>
        <v>0.92436974789915971</v>
      </c>
      <c r="O8" s="105">
        <f t="shared" si="2"/>
        <v>1008.4745762711865</v>
      </c>
      <c r="P8" s="105">
        <f t="shared" si="3"/>
        <v>932.20338983050851</v>
      </c>
      <c r="Q8" s="75">
        <v>4</v>
      </c>
      <c r="R8" s="75">
        <v>3</v>
      </c>
      <c r="S8" s="75" t="s">
        <v>869</v>
      </c>
      <c r="T8" s="5" t="s">
        <v>417</v>
      </c>
      <c r="U8" s="9"/>
    </row>
    <row r="9" spans="1:22" s="38" customFormat="1" ht="12" x14ac:dyDescent="0.3">
      <c r="A9" s="110" t="s">
        <v>1042</v>
      </c>
      <c r="B9" s="111" t="s">
        <v>1043</v>
      </c>
      <c r="C9" s="112">
        <v>1264</v>
      </c>
      <c r="D9" s="104">
        <v>184.1</v>
      </c>
      <c r="E9" s="106">
        <v>56</v>
      </c>
      <c r="F9" s="104">
        <v>141.4</v>
      </c>
      <c r="G9" s="17">
        <v>43</v>
      </c>
      <c r="H9" s="107">
        <v>90</v>
      </c>
      <c r="I9" s="108">
        <v>51000</v>
      </c>
      <c r="J9" s="108" t="s">
        <v>868</v>
      </c>
      <c r="K9" s="108"/>
      <c r="L9" s="108"/>
      <c r="M9" s="109">
        <f t="shared" si="0"/>
        <v>51000</v>
      </c>
      <c r="N9" s="4">
        <f t="shared" si="1"/>
        <v>0</v>
      </c>
      <c r="O9" s="105">
        <f t="shared" si="2"/>
        <v>910.71428571428567</v>
      </c>
      <c r="P9" s="105">
        <f t="shared" si="3"/>
        <v>0</v>
      </c>
      <c r="Q9" s="75">
        <v>4</v>
      </c>
      <c r="R9" s="75">
        <v>2</v>
      </c>
      <c r="S9" s="75" t="s">
        <v>869</v>
      </c>
      <c r="T9" s="5">
        <v>184</v>
      </c>
      <c r="U9" s="9"/>
    </row>
    <row r="10" spans="1:22" s="38" customFormat="1" ht="12" x14ac:dyDescent="0.3">
      <c r="A10" s="110" t="s">
        <v>1068</v>
      </c>
      <c r="B10" s="111" t="s">
        <v>1069</v>
      </c>
      <c r="C10" s="112">
        <v>620</v>
      </c>
      <c r="D10" s="104">
        <v>219.5</v>
      </c>
      <c r="E10" s="106">
        <v>66</v>
      </c>
      <c r="F10" s="104">
        <v>189.6</v>
      </c>
      <c r="G10" s="17">
        <v>57</v>
      </c>
      <c r="H10" s="107">
        <v>56</v>
      </c>
      <c r="I10" s="108">
        <v>47000</v>
      </c>
      <c r="J10" s="108" t="s">
        <v>868</v>
      </c>
      <c r="K10" s="108"/>
      <c r="L10" s="108"/>
      <c r="M10" s="109">
        <f t="shared" si="0"/>
        <v>47000</v>
      </c>
      <c r="N10" s="4">
        <f t="shared" si="1"/>
        <v>0</v>
      </c>
      <c r="O10" s="105">
        <f t="shared" si="2"/>
        <v>712.12121212121212</v>
      </c>
      <c r="P10" s="105">
        <f t="shared" si="3"/>
        <v>0</v>
      </c>
      <c r="Q10" s="75">
        <v>5</v>
      </c>
      <c r="R10" s="75">
        <v>2</v>
      </c>
      <c r="S10" s="75" t="s">
        <v>869</v>
      </c>
      <c r="T10" s="5">
        <v>219</v>
      </c>
      <c r="U10" s="9"/>
    </row>
    <row r="11" spans="1:22" s="38" customFormat="1" ht="12" x14ac:dyDescent="0.3">
      <c r="A11" s="110" t="s">
        <v>1058</v>
      </c>
      <c r="B11" s="111" t="s">
        <v>1059</v>
      </c>
      <c r="C11" s="112">
        <v>1822</v>
      </c>
      <c r="D11" s="104">
        <v>113.8</v>
      </c>
      <c r="E11" s="106">
        <v>34</v>
      </c>
      <c r="F11" s="104">
        <v>85</v>
      </c>
      <c r="G11" s="17">
        <v>26</v>
      </c>
      <c r="H11" s="107">
        <v>693</v>
      </c>
      <c r="I11" s="108">
        <v>46500</v>
      </c>
      <c r="J11" s="108" t="s">
        <v>878</v>
      </c>
      <c r="K11" s="108">
        <v>34000</v>
      </c>
      <c r="L11" s="108" t="s">
        <v>868</v>
      </c>
      <c r="M11" s="109">
        <f t="shared" si="0"/>
        <v>12500</v>
      </c>
      <c r="N11" s="4">
        <f t="shared" si="1"/>
        <v>0.73118279569892475</v>
      </c>
      <c r="O11" s="105">
        <f t="shared" si="2"/>
        <v>1367.6470588235295</v>
      </c>
      <c r="P11" s="105">
        <f t="shared" si="3"/>
        <v>1000</v>
      </c>
      <c r="Q11" s="75">
        <v>3</v>
      </c>
      <c r="R11" s="75">
        <v>2</v>
      </c>
      <c r="S11" s="75" t="s">
        <v>869</v>
      </c>
      <c r="T11" s="5" t="s">
        <v>123</v>
      </c>
      <c r="U11" s="9"/>
    </row>
    <row r="12" spans="1:22" s="38" customFormat="1" ht="12" x14ac:dyDescent="0.3">
      <c r="A12" s="110" t="s">
        <v>977</v>
      </c>
      <c r="B12" s="111" t="s">
        <v>945</v>
      </c>
      <c r="C12" s="112">
        <v>647</v>
      </c>
      <c r="D12" s="104">
        <v>172.1</v>
      </c>
      <c r="E12" s="106">
        <v>52</v>
      </c>
      <c r="F12" s="104">
        <v>138</v>
      </c>
      <c r="G12" s="17">
        <v>42</v>
      </c>
      <c r="H12" s="107">
        <v>80</v>
      </c>
      <c r="I12" s="108">
        <v>45000</v>
      </c>
      <c r="J12" s="108" t="s">
        <v>898</v>
      </c>
      <c r="K12" s="108"/>
      <c r="L12" s="108"/>
      <c r="M12" s="109">
        <f t="shared" si="0"/>
        <v>45000</v>
      </c>
      <c r="N12" s="4">
        <f t="shared" si="1"/>
        <v>0</v>
      </c>
      <c r="O12" s="105">
        <f t="shared" si="2"/>
        <v>865.38461538461536</v>
      </c>
      <c r="P12" s="105">
        <f t="shared" si="3"/>
        <v>0</v>
      </c>
      <c r="Q12" s="75">
        <v>4</v>
      </c>
      <c r="R12" s="75">
        <v>2</v>
      </c>
      <c r="S12" s="75" t="s">
        <v>869</v>
      </c>
      <c r="T12" s="5">
        <v>172</v>
      </c>
      <c r="U12" s="9"/>
    </row>
    <row r="13" spans="1:22" s="38" customFormat="1" ht="12" x14ac:dyDescent="0.3">
      <c r="A13" s="110" t="s">
        <v>1065</v>
      </c>
      <c r="B13" s="111" t="s">
        <v>1059</v>
      </c>
      <c r="C13" s="112">
        <v>310</v>
      </c>
      <c r="D13" s="104">
        <v>113.7</v>
      </c>
      <c r="E13" s="106">
        <v>34</v>
      </c>
      <c r="F13" s="104">
        <v>85</v>
      </c>
      <c r="G13" s="17">
        <v>26</v>
      </c>
      <c r="H13" s="107">
        <v>153</v>
      </c>
      <c r="I13" s="108">
        <v>45000</v>
      </c>
      <c r="J13" s="108" t="s">
        <v>868</v>
      </c>
      <c r="K13" s="108">
        <v>35000</v>
      </c>
      <c r="L13" s="108" t="s">
        <v>868</v>
      </c>
      <c r="M13" s="109">
        <f t="shared" si="0"/>
        <v>10000</v>
      </c>
      <c r="N13" s="4">
        <f t="shared" si="1"/>
        <v>0.77777777777777779</v>
      </c>
      <c r="O13" s="105">
        <f t="shared" si="2"/>
        <v>1323.5294117647059</v>
      </c>
      <c r="P13" s="105">
        <f t="shared" si="3"/>
        <v>1029.4117647058824</v>
      </c>
      <c r="Q13" s="75">
        <v>3</v>
      </c>
      <c r="R13" s="75">
        <v>2</v>
      </c>
      <c r="S13" s="75" t="s">
        <v>869</v>
      </c>
      <c r="T13" s="5" t="s">
        <v>513</v>
      </c>
      <c r="U13" s="9"/>
    </row>
    <row r="14" spans="1:22" s="38" customFormat="1" ht="12" x14ac:dyDescent="0.3">
      <c r="A14" s="110" t="s">
        <v>1042</v>
      </c>
      <c r="B14" s="111" t="s">
        <v>1112</v>
      </c>
      <c r="C14" s="112">
        <v>1264</v>
      </c>
      <c r="D14" s="104">
        <v>156.19999999999999</v>
      </c>
      <c r="E14" s="106">
        <v>47</v>
      </c>
      <c r="F14" s="104">
        <v>122.1</v>
      </c>
      <c r="G14" s="17">
        <v>37</v>
      </c>
      <c r="H14" s="107">
        <v>90</v>
      </c>
      <c r="I14" s="108">
        <v>44000</v>
      </c>
      <c r="J14" s="108" t="s">
        <v>868</v>
      </c>
      <c r="K14" s="108"/>
      <c r="L14" s="108"/>
      <c r="M14" s="109">
        <f t="shared" si="0"/>
        <v>44000</v>
      </c>
      <c r="N14" s="4">
        <f t="shared" si="1"/>
        <v>0</v>
      </c>
      <c r="O14" s="105">
        <f t="shared" si="2"/>
        <v>936.17021276595744</v>
      </c>
      <c r="P14" s="105">
        <f t="shared" si="3"/>
        <v>0</v>
      </c>
      <c r="Q14" s="75">
        <v>4</v>
      </c>
      <c r="R14" s="75">
        <v>2</v>
      </c>
      <c r="S14" s="75" t="s">
        <v>869</v>
      </c>
      <c r="T14" s="5">
        <v>156</v>
      </c>
      <c r="U14" s="9"/>
    </row>
    <row r="15" spans="1:22" s="38" customFormat="1" ht="12" x14ac:dyDescent="0.3">
      <c r="A15" s="110" t="s">
        <v>1099</v>
      </c>
      <c r="B15" s="111" t="s">
        <v>983</v>
      </c>
      <c r="C15" s="112">
        <v>1192</v>
      </c>
      <c r="D15" s="104">
        <v>111.6</v>
      </c>
      <c r="E15" s="106">
        <v>34</v>
      </c>
      <c r="F15" s="104">
        <v>84.9</v>
      </c>
      <c r="G15" s="17">
        <v>26</v>
      </c>
      <c r="H15" s="107">
        <v>398</v>
      </c>
      <c r="I15" s="108">
        <v>43000</v>
      </c>
      <c r="J15" s="108" t="s">
        <v>885</v>
      </c>
      <c r="K15" s="108"/>
      <c r="L15" s="108"/>
      <c r="M15" s="109">
        <f t="shared" si="0"/>
        <v>43000</v>
      </c>
      <c r="N15" s="4">
        <f t="shared" si="1"/>
        <v>0</v>
      </c>
      <c r="O15" s="105">
        <f t="shared" si="2"/>
        <v>1264.7058823529412</v>
      </c>
      <c r="P15" s="105">
        <f t="shared" si="3"/>
        <v>0</v>
      </c>
      <c r="Q15" s="75">
        <v>3</v>
      </c>
      <c r="R15" s="75">
        <v>2</v>
      </c>
      <c r="S15" s="75" t="s">
        <v>869</v>
      </c>
      <c r="T15" s="5">
        <v>111</v>
      </c>
      <c r="U15" s="9"/>
    </row>
    <row r="16" spans="1:22" s="38" customFormat="1" ht="12" x14ac:dyDescent="0.3">
      <c r="A16" s="110" t="s">
        <v>1037</v>
      </c>
      <c r="B16" s="111" t="s">
        <v>942</v>
      </c>
      <c r="C16" s="112">
        <v>767</v>
      </c>
      <c r="D16" s="104">
        <v>112.4</v>
      </c>
      <c r="E16" s="106">
        <v>34</v>
      </c>
      <c r="F16" s="104">
        <v>84.9</v>
      </c>
      <c r="G16" s="17">
        <v>26</v>
      </c>
      <c r="H16" s="107">
        <v>555</v>
      </c>
      <c r="I16" s="108">
        <v>42000</v>
      </c>
      <c r="J16" s="108" t="s">
        <v>868</v>
      </c>
      <c r="K16" s="108">
        <v>35000</v>
      </c>
      <c r="L16" s="108" t="s">
        <v>907</v>
      </c>
      <c r="M16" s="109">
        <f t="shared" si="0"/>
        <v>7000</v>
      </c>
      <c r="N16" s="4">
        <f t="shared" si="1"/>
        <v>0.83333333333333337</v>
      </c>
      <c r="O16" s="105">
        <f t="shared" si="2"/>
        <v>1235.2941176470588</v>
      </c>
      <c r="P16" s="105">
        <f t="shared" si="3"/>
        <v>1029.4117647058824</v>
      </c>
      <c r="Q16" s="75">
        <v>3</v>
      </c>
      <c r="R16" s="75">
        <v>2</v>
      </c>
      <c r="S16" s="75" t="s">
        <v>869</v>
      </c>
      <c r="T16" s="5">
        <v>112</v>
      </c>
      <c r="U16" s="9"/>
    </row>
    <row r="17" spans="1:21" s="38" customFormat="1" ht="12" x14ac:dyDescent="0.3">
      <c r="A17" s="110" t="s">
        <v>1037</v>
      </c>
      <c r="B17" s="111" t="s">
        <v>942</v>
      </c>
      <c r="C17" s="112">
        <v>767</v>
      </c>
      <c r="D17" s="104">
        <v>100.9</v>
      </c>
      <c r="E17" s="106">
        <v>31</v>
      </c>
      <c r="F17" s="104">
        <v>76.2</v>
      </c>
      <c r="G17" s="17">
        <v>23</v>
      </c>
      <c r="H17" s="107">
        <v>212</v>
      </c>
      <c r="I17" s="108">
        <v>40500</v>
      </c>
      <c r="J17" s="108" t="s">
        <v>873</v>
      </c>
      <c r="K17" s="108">
        <v>32000</v>
      </c>
      <c r="L17" s="108" t="s">
        <v>921</v>
      </c>
      <c r="M17" s="109">
        <f t="shared" si="0"/>
        <v>8500</v>
      </c>
      <c r="N17" s="4">
        <f t="shared" si="1"/>
        <v>0.79012345679012341</v>
      </c>
      <c r="O17" s="105">
        <f t="shared" si="2"/>
        <v>1306.4516129032259</v>
      </c>
      <c r="P17" s="105">
        <f t="shared" si="3"/>
        <v>1032.258064516129</v>
      </c>
      <c r="Q17" s="75">
        <v>3</v>
      </c>
      <c r="R17" s="75">
        <v>2</v>
      </c>
      <c r="S17" s="75" t="s">
        <v>869</v>
      </c>
      <c r="T17" s="5">
        <v>100</v>
      </c>
      <c r="U17" s="9"/>
    </row>
    <row r="18" spans="1:21" s="38" customFormat="1" ht="12" x14ac:dyDescent="0.3">
      <c r="A18" s="110" t="s">
        <v>1040</v>
      </c>
      <c r="B18" s="111" t="s">
        <v>1041</v>
      </c>
      <c r="C18" s="112">
        <v>684</v>
      </c>
      <c r="D18" s="104">
        <v>109.7</v>
      </c>
      <c r="E18" s="106">
        <v>33</v>
      </c>
      <c r="F18" s="104">
        <v>84.5</v>
      </c>
      <c r="G18" s="17">
        <v>26</v>
      </c>
      <c r="H18" s="107">
        <v>217</v>
      </c>
      <c r="I18" s="108">
        <v>39500</v>
      </c>
      <c r="J18" s="108" t="s">
        <v>868</v>
      </c>
      <c r="K18" s="108"/>
      <c r="L18" s="108"/>
      <c r="M18" s="109">
        <f t="shared" si="0"/>
        <v>39500</v>
      </c>
      <c r="N18" s="4">
        <f t="shared" si="1"/>
        <v>0</v>
      </c>
      <c r="O18" s="105">
        <f t="shared" si="2"/>
        <v>1196.969696969697</v>
      </c>
      <c r="P18" s="105">
        <f t="shared" si="3"/>
        <v>0</v>
      </c>
      <c r="Q18" s="75">
        <v>3</v>
      </c>
      <c r="R18" s="75">
        <v>2</v>
      </c>
      <c r="S18" s="75" t="s">
        <v>869</v>
      </c>
      <c r="T18" s="5" t="s">
        <v>219</v>
      </c>
      <c r="U18" s="9"/>
    </row>
    <row r="19" spans="1:21" s="38" customFormat="1" ht="12" x14ac:dyDescent="0.3">
      <c r="A19" s="110" t="s">
        <v>1068</v>
      </c>
      <c r="B19" s="111" t="s">
        <v>1069</v>
      </c>
      <c r="C19" s="112">
        <v>620</v>
      </c>
      <c r="D19" s="104">
        <v>159.80000000000001</v>
      </c>
      <c r="E19" s="106">
        <v>48</v>
      </c>
      <c r="F19" s="104">
        <v>131.6</v>
      </c>
      <c r="G19" s="17">
        <v>40</v>
      </c>
      <c r="H19" s="107">
        <v>180</v>
      </c>
      <c r="I19" s="108">
        <v>39500</v>
      </c>
      <c r="J19" s="108" t="s">
        <v>873</v>
      </c>
      <c r="K19" s="108"/>
      <c r="L19" s="108"/>
      <c r="M19" s="109">
        <f t="shared" si="0"/>
        <v>39500</v>
      </c>
      <c r="N19" s="4">
        <f t="shared" si="1"/>
        <v>0</v>
      </c>
      <c r="O19" s="105">
        <f t="shared" si="2"/>
        <v>822.91666666666663</v>
      </c>
      <c r="P19" s="105">
        <f t="shared" si="3"/>
        <v>0</v>
      </c>
      <c r="Q19" s="75">
        <v>4</v>
      </c>
      <c r="R19" s="75">
        <v>2</v>
      </c>
      <c r="S19" s="75" t="s">
        <v>869</v>
      </c>
      <c r="T19" s="5">
        <v>159</v>
      </c>
      <c r="U19" s="9"/>
    </row>
    <row r="20" spans="1:21" s="38" customFormat="1" ht="12" x14ac:dyDescent="0.3">
      <c r="A20" s="110" t="s">
        <v>941</v>
      </c>
      <c r="B20" s="111" t="s">
        <v>942</v>
      </c>
      <c r="C20" s="112">
        <v>462</v>
      </c>
      <c r="D20" s="104">
        <v>99.4</v>
      </c>
      <c r="E20" s="106">
        <v>30</v>
      </c>
      <c r="F20" s="104">
        <v>74.7</v>
      </c>
      <c r="G20" s="17">
        <v>23</v>
      </c>
      <c r="H20" s="107">
        <v>147</v>
      </c>
      <c r="I20" s="108">
        <v>39000</v>
      </c>
      <c r="J20" s="108" t="s">
        <v>872</v>
      </c>
      <c r="K20" s="108">
        <v>30000</v>
      </c>
      <c r="L20" s="108" t="s">
        <v>872</v>
      </c>
      <c r="M20" s="109">
        <f t="shared" si="0"/>
        <v>9000</v>
      </c>
      <c r="N20" s="4">
        <f t="shared" si="1"/>
        <v>0.76923076923076927</v>
      </c>
      <c r="O20" s="105">
        <f t="shared" si="2"/>
        <v>1300</v>
      </c>
      <c r="P20" s="105">
        <f t="shared" si="3"/>
        <v>1000</v>
      </c>
      <c r="Q20" s="75">
        <v>3</v>
      </c>
      <c r="R20" s="75">
        <v>2</v>
      </c>
      <c r="S20" s="75" t="s">
        <v>869</v>
      </c>
      <c r="T20" s="5" t="s">
        <v>120</v>
      </c>
      <c r="U20" s="9"/>
    </row>
    <row r="21" spans="1:21" s="38" customFormat="1" ht="12" x14ac:dyDescent="0.3">
      <c r="A21" s="110" t="s">
        <v>1018</v>
      </c>
      <c r="B21" s="111" t="s">
        <v>1017</v>
      </c>
      <c r="C21" s="112">
        <v>1298</v>
      </c>
      <c r="D21" s="104">
        <v>115</v>
      </c>
      <c r="E21" s="106">
        <v>35</v>
      </c>
      <c r="F21" s="104">
        <v>84.9</v>
      </c>
      <c r="G21" s="17">
        <v>26</v>
      </c>
      <c r="H21" s="107">
        <v>336</v>
      </c>
      <c r="I21" s="108">
        <v>39000</v>
      </c>
      <c r="J21" s="108" t="s">
        <v>873</v>
      </c>
      <c r="K21" s="108"/>
      <c r="L21" s="108"/>
      <c r="M21" s="109">
        <f t="shared" si="0"/>
        <v>39000</v>
      </c>
      <c r="N21" s="4">
        <f t="shared" si="1"/>
        <v>0</v>
      </c>
      <c r="O21" s="105">
        <f t="shared" si="2"/>
        <v>1114.2857142857142</v>
      </c>
      <c r="P21" s="105">
        <f t="shared" si="3"/>
        <v>0</v>
      </c>
      <c r="Q21" s="75">
        <v>3</v>
      </c>
      <c r="R21" s="75">
        <v>2</v>
      </c>
      <c r="S21" s="75" t="s">
        <v>869</v>
      </c>
      <c r="T21" s="5" t="s">
        <v>606</v>
      </c>
      <c r="U21" s="9"/>
    </row>
    <row r="22" spans="1:21" s="38" customFormat="1" ht="12" x14ac:dyDescent="0.3">
      <c r="A22" s="110" t="s">
        <v>941</v>
      </c>
      <c r="B22" s="111" t="s">
        <v>1070</v>
      </c>
      <c r="C22" s="112">
        <v>462</v>
      </c>
      <c r="D22" s="104">
        <v>113.2</v>
      </c>
      <c r="E22" s="106">
        <v>34</v>
      </c>
      <c r="F22" s="104">
        <v>85</v>
      </c>
      <c r="G22" s="17">
        <v>26</v>
      </c>
      <c r="H22" s="107">
        <v>60</v>
      </c>
      <c r="I22" s="108">
        <v>38500</v>
      </c>
      <c r="J22" s="108" t="s">
        <v>873</v>
      </c>
      <c r="K22" s="108">
        <v>34000</v>
      </c>
      <c r="L22" s="108" t="s">
        <v>873</v>
      </c>
      <c r="M22" s="109">
        <f t="shared" si="0"/>
        <v>4500</v>
      </c>
      <c r="N22" s="4">
        <f t="shared" si="1"/>
        <v>0.88311688311688308</v>
      </c>
      <c r="O22" s="105">
        <f t="shared" si="2"/>
        <v>1132.3529411764705</v>
      </c>
      <c r="P22" s="105">
        <f t="shared" si="3"/>
        <v>1000</v>
      </c>
      <c r="Q22" s="75">
        <v>3</v>
      </c>
      <c r="R22" s="75">
        <v>2</v>
      </c>
      <c r="S22" s="75" t="s">
        <v>869</v>
      </c>
      <c r="T22" s="5" t="s">
        <v>123</v>
      </c>
      <c r="U22" s="9"/>
    </row>
    <row r="23" spans="1:21" s="38" customFormat="1" ht="12" x14ac:dyDescent="0.3">
      <c r="A23" s="110" t="s">
        <v>977</v>
      </c>
      <c r="B23" s="111" t="s">
        <v>945</v>
      </c>
      <c r="C23" s="112">
        <v>647</v>
      </c>
      <c r="D23" s="104">
        <v>149.1</v>
      </c>
      <c r="E23" s="106">
        <v>45</v>
      </c>
      <c r="F23" s="104">
        <v>116.5</v>
      </c>
      <c r="G23" s="17">
        <v>35</v>
      </c>
      <c r="H23" s="107">
        <v>134</v>
      </c>
      <c r="I23" s="108">
        <v>38000</v>
      </c>
      <c r="J23" s="108" t="s">
        <v>868</v>
      </c>
      <c r="K23" s="108">
        <v>32000</v>
      </c>
      <c r="L23" s="108" t="s">
        <v>872</v>
      </c>
      <c r="M23" s="109">
        <f t="shared" si="0"/>
        <v>6000</v>
      </c>
      <c r="N23" s="4">
        <f t="shared" si="1"/>
        <v>0.84210526315789469</v>
      </c>
      <c r="O23" s="105">
        <f t="shared" si="2"/>
        <v>844.44444444444446</v>
      </c>
      <c r="P23" s="105">
        <f t="shared" si="3"/>
        <v>711.11111111111109</v>
      </c>
      <c r="Q23" s="75">
        <v>4</v>
      </c>
      <c r="R23" s="75">
        <v>2</v>
      </c>
      <c r="S23" s="75" t="s">
        <v>869</v>
      </c>
      <c r="T23" s="5">
        <v>149</v>
      </c>
      <c r="U23" s="9"/>
    </row>
    <row r="24" spans="1:21" s="38" customFormat="1" ht="12" x14ac:dyDescent="0.3">
      <c r="A24" s="110" t="s">
        <v>1034</v>
      </c>
      <c r="B24" s="111" t="s">
        <v>1035</v>
      </c>
      <c r="C24" s="112">
        <v>433</v>
      </c>
      <c r="D24" s="104">
        <v>113.9</v>
      </c>
      <c r="E24" s="106">
        <v>34</v>
      </c>
      <c r="F24" s="104">
        <v>85</v>
      </c>
      <c r="G24" s="17">
        <v>26</v>
      </c>
      <c r="H24" s="107">
        <v>162</v>
      </c>
      <c r="I24" s="108">
        <v>37000</v>
      </c>
      <c r="J24" s="108" t="s">
        <v>868</v>
      </c>
      <c r="K24" s="108"/>
      <c r="L24" s="108"/>
      <c r="M24" s="109">
        <f t="shared" si="0"/>
        <v>37000</v>
      </c>
      <c r="N24" s="4">
        <f t="shared" si="1"/>
        <v>0</v>
      </c>
      <c r="O24" s="105">
        <f t="shared" si="2"/>
        <v>1088.2352941176471</v>
      </c>
      <c r="P24" s="105">
        <f t="shared" si="3"/>
        <v>0</v>
      </c>
      <c r="Q24" s="75">
        <v>3</v>
      </c>
      <c r="R24" s="75">
        <v>2</v>
      </c>
      <c r="S24" s="75" t="s">
        <v>869</v>
      </c>
      <c r="T24" s="5" t="s">
        <v>513</v>
      </c>
      <c r="U24" s="9"/>
    </row>
    <row r="25" spans="1:21" s="38" customFormat="1" ht="12" x14ac:dyDescent="0.3">
      <c r="A25" s="110" t="s">
        <v>1015</v>
      </c>
      <c r="B25" s="111" t="s">
        <v>1014</v>
      </c>
      <c r="C25" s="112">
        <v>328</v>
      </c>
      <c r="D25" s="104">
        <v>121.3</v>
      </c>
      <c r="E25" s="106">
        <v>37</v>
      </c>
      <c r="F25" s="104">
        <v>84.8</v>
      </c>
      <c r="G25" s="17">
        <v>26</v>
      </c>
      <c r="H25" s="107">
        <v>289</v>
      </c>
      <c r="I25" s="108">
        <v>36000</v>
      </c>
      <c r="J25" s="108" t="s">
        <v>873</v>
      </c>
      <c r="K25" s="108"/>
      <c r="L25" s="108"/>
      <c r="M25" s="109">
        <f t="shared" si="0"/>
        <v>36000</v>
      </c>
      <c r="N25" s="4">
        <f t="shared" si="1"/>
        <v>0</v>
      </c>
      <c r="O25" s="105">
        <f t="shared" si="2"/>
        <v>972.97297297297303</v>
      </c>
      <c r="P25" s="105">
        <f t="shared" si="3"/>
        <v>0</v>
      </c>
      <c r="Q25" s="75">
        <v>3</v>
      </c>
      <c r="R25" s="75">
        <v>2</v>
      </c>
      <c r="S25" s="75" t="s">
        <v>869</v>
      </c>
      <c r="T25" s="5" t="s">
        <v>568</v>
      </c>
      <c r="U25" s="9"/>
    </row>
    <row r="26" spans="1:21" s="38" customFormat="1" ht="12" x14ac:dyDescent="0.3">
      <c r="A26" s="110" t="s">
        <v>1031</v>
      </c>
      <c r="B26" s="111" t="s">
        <v>1032</v>
      </c>
      <c r="C26" s="112">
        <v>358</v>
      </c>
      <c r="D26" s="104">
        <v>158.69999999999999</v>
      </c>
      <c r="E26" s="106">
        <v>48</v>
      </c>
      <c r="F26" s="104">
        <v>126.2</v>
      </c>
      <c r="G26" s="17">
        <v>38</v>
      </c>
      <c r="H26" s="107">
        <v>60</v>
      </c>
      <c r="I26" s="108">
        <v>36000</v>
      </c>
      <c r="J26" s="108" t="s">
        <v>868</v>
      </c>
      <c r="K26" s="108"/>
      <c r="L26" s="108"/>
      <c r="M26" s="109">
        <f t="shared" si="0"/>
        <v>36000</v>
      </c>
      <c r="N26" s="4">
        <f t="shared" si="1"/>
        <v>0</v>
      </c>
      <c r="O26" s="105">
        <f t="shared" si="2"/>
        <v>750</v>
      </c>
      <c r="P26" s="105">
        <f t="shared" si="3"/>
        <v>0</v>
      </c>
      <c r="Q26" s="75">
        <v>4</v>
      </c>
      <c r="R26" s="75">
        <v>2</v>
      </c>
      <c r="S26" s="75" t="s">
        <v>869</v>
      </c>
      <c r="T26" s="5">
        <v>158</v>
      </c>
      <c r="U26" s="9"/>
    </row>
    <row r="27" spans="1:21" s="38" customFormat="1" ht="12" x14ac:dyDescent="0.3">
      <c r="A27" s="110" t="s">
        <v>1036</v>
      </c>
      <c r="B27" s="111" t="s">
        <v>953</v>
      </c>
      <c r="C27" s="112">
        <v>442</v>
      </c>
      <c r="D27" s="104">
        <v>147.80000000000001</v>
      </c>
      <c r="E27" s="106">
        <v>45</v>
      </c>
      <c r="F27" s="104">
        <v>123.2</v>
      </c>
      <c r="G27" s="17">
        <v>37</v>
      </c>
      <c r="H27" s="107">
        <v>58</v>
      </c>
      <c r="I27" s="108">
        <v>35500</v>
      </c>
      <c r="J27" s="108" t="s">
        <v>883</v>
      </c>
      <c r="K27" s="108"/>
      <c r="L27" s="108"/>
      <c r="M27" s="109">
        <f t="shared" si="0"/>
        <v>35500</v>
      </c>
      <c r="N27" s="4">
        <f t="shared" si="1"/>
        <v>0</v>
      </c>
      <c r="O27" s="105">
        <f t="shared" si="2"/>
        <v>788.88888888888891</v>
      </c>
      <c r="P27" s="105">
        <f t="shared" si="3"/>
        <v>0</v>
      </c>
      <c r="Q27" s="75">
        <v>4</v>
      </c>
      <c r="R27" s="75">
        <v>2</v>
      </c>
      <c r="S27" s="75" t="s">
        <v>869</v>
      </c>
      <c r="T27" s="5">
        <v>147</v>
      </c>
      <c r="U27" s="9"/>
    </row>
    <row r="28" spans="1:21" s="38" customFormat="1" ht="12" x14ac:dyDescent="0.3">
      <c r="A28" s="110" t="s">
        <v>1071</v>
      </c>
      <c r="B28" s="111" t="s">
        <v>945</v>
      </c>
      <c r="C28" s="112">
        <v>408</v>
      </c>
      <c r="D28" s="104">
        <v>160.5</v>
      </c>
      <c r="E28" s="106">
        <v>49</v>
      </c>
      <c r="F28" s="104">
        <v>130.19999999999999</v>
      </c>
      <c r="G28" s="17">
        <v>39</v>
      </c>
      <c r="H28" s="107">
        <v>30</v>
      </c>
      <c r="I28" s="108">
        <v>35000</v>
      </c>
      <c r="J28" s="108" t="s">
        <v>868</v>
      </c>
      <c r="K28" s="108"/>
      <c r="L28" s="108"/>
      <c r="M28" s="109">
        <f t="shared" si="0"/>
        <v>35000</v>
      </c>
      <c r="N28" s="4">
        <f t="shared" si="1"/>
        <v>0</v>
      </c>
      <c r="O28" s="105">
        <f t="shared" si="2"/>
        <v>714.28571428571433</v>
      </c>
      <c r="P28" s="105">
        <f t="shared" si="3"/>
        <v>0</v>
      </c>
      <c r="Q28" s="75">
        <v>4</v>
      </c>
      <c r="R28" s="75">
        <v>2</v>
      </c>
      <c r="S28" s="75" t="s">
        <v>869</v>
      </c>
      <c r="T28" s="5">
        <v>160</v>
      </c>
      <c r="U28" s="9"/>
    </row>
    <row r="29" spans="1:21" s="38" customFormat="1" ht="12" x14ac:dyDescent="0.3">
      <c r="A29" s="110" t="s">
        <v>1093</v>
      </c>
      <c r="B29" s="111" t="s">
        <v>976</v>
      </c>
      <c r="C29" s="112">
        <v>516</v>
      </c>
      <c r="D29" s="104">
        <v>115.4</v>
      </c>
      <c r="E29" s="106">
        <v>35</v>
      </c>
      <c r="F29" s="104">
        <v>84.9</v>
      </c>
      <c r="G29" s="17">
        <v>26</v>
      </c>
      <c r="H29" s="107">
        <v>404</v>
      </c>
      <c r="I29" s="108">
        <v>34700</v>
      </c>
      <c r="J29" s="108" t="s">
        <v>896</v>
      </c>
      <c r="K29" s="108">
        <v>30000</v>
      </c>
      <c r="L29" s="108" t="s">
        <v>897</v>
      </c>
      <c r="M29" s="109">
        <f t="shared" si="0"/>
        <v>4700</v>
      </c>
      <c r="N29" s="4">
        <f t="shared" si="1"/>
        <v>0.86455331412103742</v>
      </c>
      <c r="O29" s="105">
        <f t="shared" si="2"/>
        <v>991.42857142857144</v>
      </c>
      <c r="P29" s="105">
        <f t="shared" si="3"/>
        <v>857.14285714285711</v>
      </c>
      <c r="Q29" s="75">
        <v>3</v>
      </c>
      <c r="R29" s="75">
        <v>2</v>
      </c>
      <c r="S29" s="75" t="s">
        <v>869</v>
      </c>
      <c r="T29" s="5">
        <v>115</v>
      </c>
      <c r="U29" s="9"/>
    </row>
    <row r="30" spans="1:21" s="38" customFormat="1" ht="12" x14ac:dyDescent="0.3">
      <c r="A30" s="110" t="s">
        <v>979</v>
      </c>
      <c r="B30" s="111" t="s">
        <v>1098</v>
      </c>
      <c r="C30" s="112">
        <v>613</v>
      </c>
      <c r="D30" s="104">
        <v>105.5</v>
      </c>
      <c r="E30" s="106">
        <v>32</v>
      </c>
      <c r="F30" s="104">
        <v>85</v>
      </c>
      <c r="G30" s="17">
        <v>26</v>
      </c>
      <c r="H30" s="107">
        <v>413</v>
      </c>
      <c r="I30" s="108">
        <v>34000</v>
      </c>
      <c r="J30" s="108" t="s">
        <v>878</v>
      </c>
      <c r="K30" s="108"/>
      <c r="L30" s="108"/>
      <c r="M30" s="109">
        <f t="shared" si="0"/>
        <v>34000</v>
      </c>
      <c r="N30" s="4">
        <f t="shared" si="1"/>
        <v>0</v>
      </c>
      <c r="O30" s="105">
        <f t="shared" si="2"/>
        <v>1062.5</v>
      </c>
      <c r="P30" s="105">
        <f t="shared" si="3"/>
        <v>0</v>
      </c>
      <c r="Q30" s="75">
        <v>3</v>
      </c>
      <c r="R30" s="75">
        <v>2</v>
      </c>
      <c r="S30" s="75" t="s">
        <v>869</v>
      </c>
      <c r="T30" s="5" t="s">
        <v>405</v>
      </c>
      <c r="U30" s="9"/>
    </row>
    <row r="31" spans="1:21" s="38" customFormat="1" ht="12" x14ac:dyDescent="0.3">
      <c r="A31" s="110" t="s">
        <v>1018</v>
      </c>
      <c r="B31" s="111" t="s">
        <v>1017</v>
      </c>
      <c r="C31" s="112">
        <v>1298</v>
      </c>
      <c r="D31" s="104">
        <v>101.6</v>
      </c>
      <c r="E31" s="106">
        <v>31</v>
      </c>
      <c r="F31" s="104">
        <v>75</v>
      </c>
      <c r="G31" s="17">
        <v>23</v>
      </c>
      <c r="H31" s="107">
        <v>159</v>
      </c>
      <c r="I31" s="108">
        <v>34000</v>
      </c>
      <c r="J31" s="108" t="s">
        <v>872</v>
      </c>
      <c r="K31" s="108">
        <v>27000</v>
      </c>
      <c r="L31" s="108" t="s">
        <v>914</v>
      </c>
      <c r="M31" s="109">
        <f t="shared" si="0"/>
        <v>7000</v>
      </c>
      <c r="N31" s="4">
        <f t="shared" si="1"/>
        <v>0.79411764705882348</v>
      </c>
      <c r="O31" s="105">
        <f t="shared" si="2"/>
        <v>1096.7741935483871</v>
      </c>
      <c r="P31" s="105">
        <f t="shared" si="3"/>
        <v>870.9677419354839</v>
      </c>
      <c r="Q31" s="75">
        <v>3</v>
      </c>
      <c r="R31" s="75">
        <v>2</v>
      </c>
      <c r="S31" s="75" t="s">
        <v>869</v>
      </c>
      <c r="T31" s="5" t="s">
        <v>281</v>
      </c>
      <c r="U31" s="9"/>
    </row>
    <row r="32" spans="1:21" s="38" customFormat="1" ht="12" x14ac:dyDescent="0.3">
      <c r="A32" s="110" t="s">
        <v>1040</v>
      </c>
      <c r="B32" s="111" t="s">
        <v>1041</v>
      </c>
      <c r="C32" s="112">
        <v>684</v>
      </c>
      <c r="D32" s="104">
        <v>90.6</v>
      </c>
      <c r="E32" s="106">
        <v>27</v>
      </c>
      <c r="F32" s="104">
        <v>69.900000000000006</v>
      </c>
      <c r="G32" s="17">
        <v>21</v>
      </c>
      <c r="H32" s="107">
        <v>160</v>
      </c>
      <c r="I32" s="108">
        <v>33000</v>
      </c>
      <c r="J32" s="108" t="s">
        <v>868</v>
      </c>
      <c r="K32" s="108"/>
      <c r="L32" s="108"/>
      <c r="M32" s="109">
        <f t="shared" si="0"/>
        <v>33000</v>
      </c>
      <c r="N32" s="4">
        <f t="shared" si="1"/>
        <v>0</v>
      </c>
      <c r="O32" s="105">
        <f t="shared" si="2"/>
        <v>1222.2222222222222</v>
      </c>
      <c r="P32" s="105">
        <f t="shared" si="3"/>
        <v>0</v>
      </c>
      <c r="Q32" s="75">
        <v>3</v>
      </c>
      <c r="R32" s="75">
        <v>2</v>
      </c>
      <c r="S32" s="75" t="s">
        <v>869</v>
      </c>
      <c r="T32" s="5" t="s">
        <v>678</v>
      </c>
      <c r="U32" s="9"/>
    </row>
    <row r="33" spans="1:21" s="38" customFormat="1" ht="12" x14ac:dyDescent="0.3">
      <c r="A33" s="110" t="s">
        <v>1058</v>
      </c>
      <c r="B33" s="111" t="s">
        <v>1059</v>
      </c>
      <c r="C33" s="112">
        <v>1822</v>
      </c>
      <c r="D33" s="104">
        <v>81.400000000000006</v>
      </c>
      <c r="E33" s="106">
        <v>25</v>
      </c>
      <c r="F33" s="104">
        <v>60</v>
      </c>
      <c r="G33" s="17">
        <v>18</v>
      </c>
      <c r="H33" s="107">
        <v>124</v>
      </c>
      <c r="I33" s="108">
        <v>33000</v>
      </c>
      <c r="J33" s="108" t="s">
        <v>934</v>
      </c>
      <c r="K33" s="108"/>
      <c r="L33" s="108"/>
      <c r="M33" s="109">
        <f t="shared" si="0"/>
        <v>33000</v>
      </c>
      <c r="N33" s="4">
        <f t="shared" si="1"/>
        <v>0</v>
      </c>
      <c r="O33" s="105">
        <f t="shared" si="2"/>
        <v>1320</v>
      </c>
      <c r="P33" s="105">
        <f t="shared" si="3"/>
        <v>0</v>
      </c>
      <c r="Q33" s="75">
        <v>3</v>
      </c>
      <c r="R33" s="75">
        <v>2</v>
      </c>
      <c r="S33" s="75" t="s">
        <v>869</v>
      </c>
      <c r="T33" s="5">
        <v>81</v>
      </c>
      <c r="U33" s="9"/>
    </row>
    <row r="34" spans="1:21" s="38" customFormat="1" ht="12" x14ac:dyDescent="0.3">
      <c r="A34" s="110" t="s">
        <v>1042</v>
      </c>
      <c r="B34" s="111" t="s">
        <v>1043</v>
      </c>
      <c r="C34" s="112">
        <v>1264</v>
      </c>
      <c r="D34" s="104">
        <v>110.5</v>
      </c>
      <c r="E34" s="106">
        <v>33</v>
      </c>
      <c r="F34" s="104">
        <v>84.9</v>
      </c>
      <c r="G34" s="17">
        <v>26</v>
      </c>
      <c r="H34" s="107">
        <v>402</v>
      </c>
      <c r="I34" s="108">
        <v>32000</v>
      </c>
      <c r="J34" s="108" t="s">
        <v>868</v>
      </c>
      <c r="K34" s="108">
        <v>27500</v>
      </c>
      <c r="L34" s="108" t="s">
        <v>873</v>
      </c>
      <c r="M34" s="109">
        <f t="shared" si="0"/>
        <v>4500</v>
      </c>
      <c r="N34" s="4">
        <f t="shared" si="1"/>
        <v>0.859375</v>
      </c>
      <c r="O34" s="105">
        <f t="shared" si="2"/>
        <v>969.69696969696975</v>
      </c>
      <c r="P34" s="105">
        <f t="shared" si="3"/>
        <v>833.33333333333337</v>
      </c>
      <c r="Q34" s="75">
        <v>3</v>
      </c>
      <c r="R34" s="75">
        <v>2</v>
      </c>
      <c r="S34" s="75" t="s">
        <v>869</v>
      </c>
      <c r="T34" s="5">
        <v>110</v>
      </c>
      <c r="U34" s="9"/>
    </row>
    <row r="35" spans="1:21" s="38" customFormat="1" ht="12" x14ac:dyDescent="0.3">
      <c r="A35" s="110" t="s">
        <v>941</v>
      </c>
      <c r="B35" s="111" t="s">
        <v>942</v>
      </c>
      <c r="C35" s="112">
        <v>462</v>
      </c>
      <c r="D35" s="104">
        <v>80.3</v>
      </c>
      <c r="E35" s="106">
        <v>24</v>
      </c>
      <c r="F35" s="104">
        <v>59.9</v>
      </c>
      <c r="G35" s="17">
        <v>18</v>
      </c>
      <c r="H35" s="107">
        <v>71</v>
      </c>
      <c r="I35" s="108">
        <v>31000</v>
      </c>
      <c r="J35" s="108" t="s">
        <v>868</v>
      </c>
      <c r="K35" s="108"/>
      <c r="L35" s="108"/>
      <c r="M35" s="109">
        <f t="shared" si="0"/>
        <v>31000</v>
      </c>
      <c r="N35" s="4">
        <f t="shared" si="1"/>
        <v>0</v>
      </c>
      <c r="O35" s="105">
        <f t="shared" si="2"/>
        <v>1291.6666666666667</v>
      </c>
      <c r="P35" s="105">
        <f t="shared" si="3"/>
        <v>0</v>
      </c>
      <c r="Q35" s="75">
        <v>3</v>
      </c>
      <c r="R35" s="75">
        <v>2</v>
      </c>
      <c r="S35" s="75" t="s">
        <v>869</v>
      </c>
      <c r="T35" s="5">
        <v>80</v>
      </c>
      <c r="U35" s="9"/>
    </row>
    <row r="36" spans="1:21" s="38" customFormat="1" ht="12" x14ac:dyDescent="0.3">
      <c r="A36" s="110" t="s">
        <v>1081</v>
      </c>
      <c r="B36" s="111" t="s">
        <v>1082</v>
      </c>
      <c r="C36" s="112">
        <v>944</v>
      </c>
      <c r="D36" s="104">
        <v>110.2</v>
      </c>
      <c r="E36" s="106">
        <v>33</v>
      </c>
      <c r="F36" s="104">
        <v>85</v>
      </c>
      <c r="G36" s="17">
        <v>26</v>
      </c>
      <c r="H36" s="107">
        <v>448</v>
      </c>
      <c r="I36" s="108">
        <v>31000</v>
      </c>
      <c r="J36" s="108" t="s">
        <v>878</v>
      </c>
      <c r="K36" s="108">
        <v>24000</v>
      </c>
      <c r="L36" s="108" t="s">
        <v>885</v>
      </c>
      <c r="M36" s="109">
        <f t="shared" ref="M36:M67" si="4">I36-K36</f>
        <v>7000</v>
      </c>
      <c r="N36" s="4">
        <f t="shared" ref="N36:N67" si="5">IF(ISERROR(K36/I36),"",K36/I36)</f>
        <v>0.77419354838709675</v>
      </c>
      <c r="O36" s="105">
        <f t="shared" ref="O36:O67" si="6">I36/E36</f>
        <v>939.39393939393938</v>
      </c>
      <c r="P36" s="105">
        <f t="shared" ref="P36:P67" si="7">K36/E36</f>
        <v>727.27272727272725</v>
      </c>
      <c r="Q36" s="75">
        <v>4</v>
      </c>
      <c r="R36" s="75">
        <v>2</v>
      </c>
      <c r="S36" s="75" t="s">
        <v>869</v>
      </c>
      <c r="T36" s="5">
        <v>110</v>
      </c>
      <c r="U36" s="9"/>
    </row>
    <row r="37" spans="1:21" s="38" customFormat="1" ht="12" x14ac:dyDescent="0.3">
      <c r="A37" s="110" t="s">
        <v>977</v>
      </c>
      <c r="B37" s="111" t="s">
        <v>945</v>
      </c>
      <c r="C37" s="112">
        <v>647</v>
      </c>
      <c r="D37" s="104">
        <v>116.9</v>
      </c>
      <c r="E37" s="106">
        <v>35</v>
      </c>
      <c r="F37" s="104">
        <v>85</v>
      </c>
      <c r="G37" s="17">
        <v>26</v>
      </c>
      <c r="H37" s="107">
        <v>343</v>
      </c>
      <c r="I37" s="108">
        <v>31000</v>
      </c>
      <c r="J37" s="108" t="s">
        <v>868</v>
      </c>
      <c r="K37" s="108">
        <v>27000</v>
      </c>
      <c r="L37" s="108" t="s">
        <v>898</v>
      </c>
      <c r="M37" s="109">
        <f t="shared" si="4"/>
        <v>4000</v>
      </c>
      <c r="N37" s="4">
        <f t="shared" si="5"/>
        <v>0.87096774193548387</v>
      </c>
      <c r="O37" s="105">
        <f t="shared" si="6"/>
        <v>885.71428571428567</v>
      </c>
      <c r="P37" s="105">
        <f t="shared" si="7"/>
        <v>771.42857142857144</v>
      </c>
      <c r="Q37" s="75">
        <v>3</v>
      </c>
      <c r="R37" s="75">
        <v>2</v>
      </c>
      <c r="S37" s="75" t="s">
        <v>869</v>
      </c>
      <c r="T37" s="5" t="s">
        <v>382</v>
      </c>
      <c r="U37" s="9"/>
    </row>
    <row r="38" spans="1:21" s="38" customFormat="1" ht="12" x14ac:dyDescent="0.3">
      <c r="A38" s="110" t="s">
        <v>1083</v>
      </c>
      <c r="B38" s="111" t="s">
        <v>961</v>
      </c>
      <c r="C38" s="112">
        <v>876</v>
      </c>
      <c r="D38" s="104">
        <v>109.3</v>
      </c>
      <c r="E38" s="106">
        <v>33</v>
      </c>
      <c r="F38" s="104">
        <v>85</v>
      </c>
      <c r="G38" s="17">
        <v>26</v>
      </c>
      <c r="H38" s="107">
        <v>584</v>
      </c>
      <c r="I38" s="108">
        <v>30000</v>
      </c>
      <c r="J38" s="108" t="s">
        <v>888</v>
      </c>
      <c r="K38" s="108">
        <v>22000</v>
      </c>
      <c r="L38" s="108" t="s">
        <v>888</v>
      </c>
      <c r="M38" s="109">
        <f t="shared" si="4"/>
        <v>8000</v>
      </c>
      <c r="N38" s="4">
        <f t="shared" si="5"/>
        <v>0.73333333333333328</v>
      </c>
      <c r="O38" s="105">
        <f t="shared" si="6"/>
        <v>909.09090909090912</v>
      </c>
      <c r="P38" s="105">
        <f t="shared" si="7"/>
        <v>666.66666666666663</v>
      </c>
      <c r="Q38" s="75">
        <v>3</v>
      </c>
      <c r="R38" s="75">
        <v>2</v>
      </c>
      <c r="S38" s="75" t="s">
        <v>869</v>
      </c>
      <c r="T38" s="5">
        <v>109</v>
      </c>
      <c r="U38" s="9"/>
    </row>
    <row r="39" spans="1:21" s="38" customFormat="1" ht="12" x14ac:dyDescent="0.3">
      <c r="A39" s="110" t="s">
        <v>1031</v>
      </c>
      <c r="B39" s="111" t="s">
        <v>1032</v>
      </c>
      <c r="C39" s="112">
        <v>358</v>
      </c>
      <c r="D39" s="104">
        <v>113.4</v>
      </c>
      <c r="E39" s="106">
        <v>34</v>
      </c>
      <c r="F39" s="104">
        <v>84.9</v>
      </c>
      <c r="G39" s="17">
        <v>26</v>
      </c>
      <c r="H39" s="107">
        <v>230</v>
      </c>
      <c r="I39" s="108">
        <v>30000</v>
      </c>
      <c r="J39" s="108" t="s">
        <v>868</v>
      </c>
      <c r="K39" s="108"/>
      <c r="L39" s="108"/>
      <c r="M39" s="109">
        <f t="shared" si="4"/>
        <v>30000</v>
      </c>
      <c r="N39" s="4">
        <f t="shared" si="5"/>
        <v>0</v>
      </c>
      <c r="O39" s="105">
        <f t="shared" si="6"/>
        <v>882.35294117647061</v>
      </c>
      <c r="P39" s="105">
        <f t="shared" si="7"/>
        <v>0</v>
      </c>
      <c r="Q39" s="75">
        <v>3</v>
      </c>
      <c r="R39" s="75">
        <v>2</v>
      </c>
      <c r="S39" s="75" t="s">
        <v>869</v>
      </c>
      <c r="T39" s="5" t="s">
        <v>123</v>
      </c>
      <c r="U39" s="9"/>
    </row>
    <row r="40" spans="1:21" s="38" customFormat="1" ht="12" x14ac:dyDescent="0.3">
      <c r="A40" s="110" t="s">
        <v>1068</v>
      </c>
      <c r="B40" s="111" t="s">
        <v>1069</v>
      </c>
      <c r="C40" s="112">
        <v>620</v>
      </c>
      <c r="D40" s="104">
        <v>114.8</v>
      </c>
      <c r="E40" s="106">
        <v>35</v>
      </c>
      <c r="F40" s="104">
        <v>85</v>
      </c>
      <c r="G40" s="17">
        <v>26</v>
      </c>
      <c r="H40" s="107">
        <v>384</v>
      </c>
      <c r="I40" s="108">
        <v>30000</v>
      </c>
      <c r="J40" s="108" t="s">
        <v>868</v>
      </c>
      <c r="K40" s="108">
        <v>27000</v>
      </c>
      <c r="L40" s="108" t="s">
        <v>868</v>
      </c>
      <c r="M40" s="109">
        <f t="shared" si="4"/>
        <v>3000</v>
      </c>
      <c r="N40" s="4">
        <f t="shared" si="5"/>
        <v>0.9</v>
      </c>
      <c r="O40" s="105">
        <f t="shared" si="6"/>
        <v>857.14285714285711</v>
      </c>
      <c r="P40" s="105">
        <f t="shared" si="7"/>
        <v>771.42857142857144</v>
      </c>
      <c r="Q40" s="75">
        <v>3</v>
      </c>
      <c r="R40" s="75">
        <v>2</v>
      </c>
      <c r="S40" s="75" t="s">
        <v>869</v>
      </c>
      <c r="T40" s="5">
        <v>114</v>
      </c>
      <c r="U40" s="9"/>
    </row>
    <row r="41" spans="1:21" s="38" customFormat="1" ht="12" x14ac:dyDescent="0.3">
      <c r="A41" s="110" t="s">
        <v>990</v>
      </c>
      <c r="B41" s="111" t="s">
        <v>991</v>
      </c>
      <c r="C41" s="112">
        <v>599</v>
      </c>
      <c r="D41" s="104">
        <v>99.9</v>
      </c>
      <c r="E41" s="106">
        <v>30</v>
      </c>
      <c r="F41" s="104">
        <v>75</v>
      </c>
      <c r="G41" s="17">
        <v>23</v>
      </c>
      <c r="H41" s="107">
        <v>82</v>
      </c>
      <c r="I41" s="108">
        <v>29000</v>
      </c>
      <c r="J41" s="108" t="s">
        <v>872</v>
      </c>
      <c r="K41" s="108"/>
      <c r="L41" s="108"/>
      <c r="M41" s="109">
        <f t="shared" si="4"/>
        <v>29000</v>
      </c>
      <c r="N41" s="4">
        <f t="shared" si="5"/>
        <v>0</v>
      </c>
      <c r="O41" s="105">
        <f t="shared" si="6"/>
        <v>966.66666666666663</v>
      </c>
      <c r="P41" s="105">
        <f t="shared" si="7"/>
        <v>0</v>
      </c>
      <c r="Q41" s="75">
        <v>3</v>
      </c>
      <c r="R41" s="75">
        <v>2</v>
      </c>
      <c r="S41" s="75" t="s">
        <v>869</v>
      </c>
      <c r="T41" s="5" t="s">
        <v>468</v>
      </c>
      <c r="U41" s="9"/>
    </row>
    <row r="42" spans="1:21" s="38" customFormat="1" ht="12" x14ac:dyDescent="0.3">
      <c r="A42" s="110" t="s">
        <v>1109</v>
      </c>
      <c r="B42" s="111" t="s">
        <v>949</v>
      </c>
      <c r="C42" s="112">
        <v>869</v>
      </c>
      <c r="D42" s="104">
        <v>134.1</v>
      </c>
      <c r="E42" s="106">
        <v>41</v>
      </c>
      <c r="F42" s="104">
        <v>101.7</v>
      </c>
      <c r="G42" s="17">
        <v>31</v>
      </c>
      <c r="H42" s="107">
        <v>300</v>
      </c>
      <c r="I42" s="108">
        <v>28000</v>
      </c>
      <c r="J42" s="108" t="s">
        <v>907</v>
      </c>
      <c r="K42" s="108"/>
      <c r="L42" s="108"/>
      <c r="M42" s="109">
        <f t="shared" si="4"/>
        <v>28000</v>
      </c>
      <c r="N42" s="4">
        <f t="shared" si="5"/>
        <v>0</v>
      </c>
      <c r="O42" s="105">
        <f t="shared" si="6"/>
        <v>682.92682926829264</v>
      </c>
      <c r="P42" s="105">
        <f t="shared" si="7"/>
        <v>0</v>
      </c>
      <c r="Q42" s="75">
        <v>3</v>
      </c>
      <c r="R42" s="75">
        <v>2</v>
      </c>
      <c r="S42" s="75" t="s">
        <v>869</v>
      </c>
      <c r="T42" s="5">
        <v>134</v>
      </c>
      <c r="U42" s="9"/>
    </row>
    <row r="43" spans="1:21" s="38" customFormat="1" ht="12" x14ac:dyDescent="0.3">
      <c r="A43" s="110" t="s">
        <v>1018</v>
      </c>
      <c r="B43" s="111" t="s">
        <v>1017</v>
      </c>
      <c r="C43" s="112">
        <v>1298</v>
      </c>
      <c r="D43" s="104">
        <v>81.099999999999994</v>
      </c>
      <c r="E43" s="106">
        <v>25</v>
      </c>
      <c r="F43" s="104">
        <v>59.9</v>
      </c>
      <c r="G43" s="17">
        <v>18</v>
      </c>
      <c r="H43" s="107">
        <v>393</v>
      </c>
      <c r="I43" s="108">
        <v>27400</v>
      </c>
      <c r="J43" s="108" t="s">
        <v>868</v>
      </c>
      <c r="K43" s="108"/>
      <c r="L43" s="108"/>
      <c r="M43" s="109">
        <f t="shared" si="4"/>
        <v>27400</v>
      </c>
      <c r="N43" s="4">
        <f t="shared" si="5"/>
        <v>0</v>
      </c>
      <c r="O43" s="105">
        <f t="shared" si="6"/>
        <v>1096</v>
      </c>
      <c r="P43" s="105">
        <f t="shared" si="7"/>
        <v>0</v>
      </c>
      <c r="Q43" s="75">
        <v>3</v>
      </c>
      <c r="R43" s="75">
        <v>2</v>
      </c>
      <c r="S43" s="75" t="s">
        <v>869</v>
      </c>
      <c r="T43" s="5" t="s">
        <v>139</v>
      </c>
      <c r="U43" s="9"/>
    </row>
    <row r="44" spans="1:21" s="38" customFormat="1" ht="12" x14ac:dyDescent="0.3">
      <c r="A44" s="110" t="s">
        <v>1079</v>
      </c>
      <c r="B44" s="111" t="s">
        <v>1080</v>
      </c>
      <c r="C44" s="112">
        <v>944</v>
      </c>
      <c r="D44" s="104">
        <v>97.2</v>
      </c>
      <c r="E44" s="106">
        <v>29</v>
      </c>
      <c r="F44" s="104">
        <v>72</v>
      </c>
      <c r="G44" s="17">
        <v>22</v>
      </c>
      <c r="H44" s="107">
        <v>371</v>
      </c>
      <c r="I44" s="108">
        <v>27000</v>
      </c>
      <c r="J44" s="108" t="s">
        <v>873</v>
      </c>
      <c r="K44" s="108">
        <v>21000</v>
      </c>
      <c r="L44" s="108" t="s">
        <v>883</v>
      </c>
      <c r="M44" s="109">
        <f t="shared" si="4"/>
        <v>6000</v>
      </c>
      <c r="N44" s="4">
        <f t="shared" si="5"/>
        <v>0.77777777777777779</v>
      </c>
      <c r="O44" s="105">
        <f t="shared" si="6"/>
        <v>931.0344827586207</v>
      </c>
      <c r="P44" s="105">
        <f t="shared" si="7"/>
        <v>724.13793103448279</v>
      </c>
      <c r="Q44" s="75">
        <v>3</v>
      </c>
      <c r="R44" s="75">
        <v>2</v>
      </c>
      <c r="S44" s="75" t="s">
        <v>869</v>
      </c>
      <c r="T44" s="5" t="s">
        <v>257</v>
      </c>
      <c r="U44" s="9"/>
    </row>
    <row r="45" spans="1:21" s="38" customFormat="1" ht="12" x14ac:dyDescent="0.3">
      <c r="A45" s="110" t="s">
        <v>1083</v>
      </c>
      <c r="B45" s="111" t="s">
        <v>1084</v>
      </c>
      <c r="C45" s="112">
        <v>876</v>
      </c>
      <c r="D45" s="104">
        <v>96.5</v>
      </c>
      <c r="E45" s="106">
        <v>29</v>
      </c>
      <c r="F45" s="104">
        <v>74.099999999999994</v>
      </c>
      <c r="G45" s="17">
        <v>22</v>
      </c>
      <c r="H45" s="107">
        <v>115</v>
      </c>
      <c r="I45" s="108">
        <v>27000</v>
      </c>
      <c r="J45" s="108" t="s">
        <v>868</v>
      </c>
      <c r="K45" s="108"/>
      <c r="L45" s="108"/>
      <c r="M45" s="109">
        <f t="shared" si="4"/>
        <v>27000</v>
      </c>
      <c r="N45" s="4">
        <f t="shared" si="5"/>
        <v>0</v>
      </c>
      <c r="O45" s="105">
        <f t="shared" si="6"/>
        <v>931.0344827586207</v>
      </c>
      <c r="P45" s="105">
        <f t="shared" si="7"/>
        <v>0</v>
      </c>
      <c r="Q45" s="75">
        <v>3</v>
      </c>
      <c r="R45" s="75">
        <v>2</v>
      </c>
      <c r="S45" s="75" t="s">
        <v>869</v>
      </c>
      <c r="T45" s="5" t="s">
        <v>264</v>
      </c>
      <c r="U45" s="9"/>
    </row>
    <row r="46" spans="1:21" s="38" customFormat="1" ht="12" x14ac:dyDescent="0.3">
      <c r="A46" s="110" t="s">
        <v>1000</v>
      </c>
      <c r="B46" s="111" t="s">
        <v>999</v>
      </c>
      <c r="C46" s="112">
        <v>452</v>
      </c>
      <c r="D46" s="104">
        <v>112.3</v>
      </c>
      <c r="E46" s="106">
        <v>34</v>
      </c>
      <c r="F46" s="104">
        <v>84.9</v>
      </c>
      <c r="G46" s="17">
        <v>26</v>
      </c>
      <c r="H46" s="107">
        <v>340</v>
      </c>
      <c r="I46" s="108">
        <v>26500</v>
      </c>
      <c r="J46" s="108" t="s">
        <v>868</v>
      </c>
      <c r="K46" s="108"/>
      <c r="L46" s="108"/>
      <c r="M46" s="109">
        <f t="shared" si="4"/>
        <v>26500</v>
      </c>
      <c r="N46" s="4">
        <f t="shared" si="5"/>
        <v>0</v>
      </c>
      <c r="O46" s="105">
        <f t="shared" si="6"/>
        <v>779.41176470588232</v>
      </c>
      <c r="P46" s="105">
        <f t="shared" si="7"/>
        <v>0</v>
      </c>
      <c r="Q46" s="75">
        <v>3</v>
      </c>
      <c r="R46" s="75">
        <v>2</v>
      </c>
      <c r="S46" s="75" t="s">
        <v>869</v>
      </c>
      <c r="T46" s="5">
        <v>112</v>
      </c>
      <c r="U46" s="9"/>
    </row>
    <row r="47" spans="1:21" s="38" customFormat="1" ht="12" x14ac:dyDescent="0.3">
      <c r="A47" s="110" t="s">
        <v>1034</v>
      </c>
      <c r="B47" s="111" t="s">
        <v>1035</v>
      </c>
      <c r="C47" s="112">
        <v>433</v>
      </c>
      <c r="D47" s="104">
        <v>79.7</v>
      </c>
      <c r="E47" s="106">
        <v>24</v>
      </c>
      <c r="F47" s="104">
        <v>59.9</v>
      </c>
      <c r="G47" s="17">
        <v>18</v>
      </c>
      <c r="H47" s="107">
        <v>113</v>
      </c>
      <c r="I47" s="108">
        <v>26500</v>
      </c>
      <c r="J47" s="108" t="s">
        <v>868</v>
      </c>
      <c r="K47" s="108"/>
      <c r="L47" s="108"/>
      <c r="M47" s="109">
        <f t="shared" si="4"/>
        <v>26500</v>
      </c>
      <c r="N47" s="4">
        <f t="shared" si="5"/>
        <v>0</v>
      </c>
      <c r="O47" s="105">
        <f t="shared" si="6"/>
        <v>1104.1666666666667</v>
      </c>
      <c r="P47" s="105">
        <f t="shared" si="7"/>
        <v>0</v>
      </c>
      <c r="Q47" s="75">
        <v>3</v>
      </c>
      <c r="R47" s="75">
        <v>2</v>
      </c>
      <c r="S47" s="75" t="s">
        <v>869</v>
      </c>
      <c r="T47" s="5" t="s">
        <v>138</v>
      </c>
      <c r="U47" s="9"/>
    </row>
    <row r="48" spans="1:21" s="38" customFormat="1" ht="12" x14ac:dyDescent="0.3">
      <c r="A48" s="110" t="s">
        <v>998</v>
      </c>
      <c r="B48" s="111" t="s">
        <v>999</v>
      </c>
      <c r="C48" s="112">
        <v>340</v>
      </c>
      <c r="D48" s="104">
        <v>112.3</v>
      </c>
      <c r="E48" s="106">
        <v>34</v>
      </c>
      <c r="F48" s="104">
        <v>84.9</v>
      </c>
      <c r="G48" s="17">
        <v>26</v>
      </c>
      <c r="H48" s="107">
        <v>284</v>
      </c>
      <c r="I48" s="108">
        <v>26000</v>
      </c>
      <c r="J48" s="108" t="s">
        <v>878</v>
      </c>
      <c r="K48" s="108"/>
      <c r="L48" s="108"/>
      <c r="M48" s="109">
        <f t="shared" si="4"/>
        <v>26000</v>
      </c>
      <c r="N48" s="4">
        <f t="shared" si="5"/>
        <v>0</v>
      </c>
      <c r="O48" s="105">
        <f t="shared" si="6"/>
        <v>764.70588235294122</v>
      </c>
      <c r="P48" s="105">
        <f t="shared" si="7"/>
        <v>0</v>
      </c>
      <c r="Q48" s="75">
        <v>3</v>
      </c>
      <c r="R48" s="75">
        <v>2</v>
      </c>
      <c r="S48" s="75" t="s">
        <v>869</v>
      </c>
      <c r="T48" s="5">
        <v>112</v>
      </c>
      <c r="U48" s="9"/>
    </row>
    <row r="49" spans="1:21" s="38" customFormat="1" ht="12" x14ac:dyDescent="0.3">
      <c r="A49" s="110" t="s">
        <v>1042</v>
      </c>
      <c r="B49" s="111" t="s">
        <v>1043</v>
      </c>
      <c r="C49" s="112">
        <v>1264</v>
      </c>
      <c r="D49" s="104">
        <v>85.8</v>
      </c>
      <c r="E49" s="106">
        <v>26</v>
      </c>
      <c r="F49" s="104">
        <v>60</v>
      </c>
      <c r="G49" s="17">
        <v>18</v>
      </c>
      <c r="H49" s="107">
        <v>120</v>
      </c>
      <c r="I49" s="108">
        <v>25500</v>
      </c>
      <c r="J49" s="108" t="s">
        <v>888</v>
      </c>
      <c r="K49" s="108">
        <v>22500</v>
      </c>
      <c r="L49" s="108" t="s">
        <v>873</v>
      </c>
      <c r="M49" s="109">
        <f t="shared" si="4"/>
        <v>3000</v>
      </c>
      <c r="N49" s="4">
        <f t="shared" si="5"/>
        <v>0.88235294117647056</v>
      </c>
      <c r="O49" s="105">
        <f t="shared" si="6"/>
        <v>980.76923076923072</v>
      </c>
      <c r="P49" s="105">
        <f t="shared" si="7"/>
        <v>865.38461538461536</v>
      </c>
      <c r="Q49" s="75">
        <v>3</v>
      </c>
      <c r="R49" s="75">
        <v>2</v>
      </c>
      <c r="S49" s="75" t="s">
        <v>869</v>
      </c>
      <c r="T49" s="5">
        <v>85</v>
      </c>
      <c r="U49" s="9"/>
    </row>
    <row r="50" spans="1:21" s="38" customFormat="1" ht="12" x14ac:dyDescent="0.3">
      <c r="A50" s="110" t="s">
        <v>1036</v>
      </c>
      <c r="B50" s="111" t="s">
        <v>953</v>
      </c>
      <c r="C50" s="112">
        <v>442</v>
      </c>
      <c r="D50" s="104">
        <v>110.1</v>
      </c>
      <c r="E50" s="106">
        <v>33</v>
      </c>
      <c r="F50" s="104">
        <v>84.4</v>
      </c>
      <c r="G50" s="17">
        <v>26</v>
      </c>
      <c r="H50" s="107">
        <v>326</v>
      </c>
      <c r="I50" s="108">
        <v>25000</v>
      </c>
      <c r="J50" s="108" t="s">
        <v>868</v>
      </c>
      <c r="K50" s="108"/>
      <c r="L50" s="108"/>
      <c r="M50" s="109">
        <f t="shared" si="4"/>
        <v>25000</v>
      </c>
      <c r="N50" s="4">
        <f t="shared" si="5"/>
        <v>0</v>
      </c>
      <c r="O50" s="105">
        <f t="shared" si="6"/>
        <v>757.57575757575762</v>
      </c>
      <c r="P50" s="105">
        <f t="shared" si="7"/>
        <v>0</v>
      </c>
      <c r="Q50" s="75">
        <v>3</v>
      </c>
      <c r="R50" s="75">
        <v>2</v>
      </c>
      <c r="S50" s="75" t="s">
        <v>869</v>
      </c>
      <c r="T50" s="5">
        <v>110</v>
      </c>
      <c r="U50" s="9"/>
    </row>
    <row r="51" spans="1:21" s="38" customFormat="1" ht="12" x14ac:dyDescent="0.3">
      <c r="A51" s="110" t="s">
        <v>952</v>
      </c>
      <c r="B51" s="111" t="s">
        <v>953</v>
      </c>
      <c r="C51" s="112">
        <v>441</v>
      </c>
      <c r="D51" s="104">
        <v>111.5</v>
      </c>
      <c r="E51" s="106">
        <v>34</v>
      </c>
      <c r="F51" s="104">
        <v>84.9</v>
      </c>
      <c r="G51" s="17">
        <v>26</v>
      </c>
      <c r="H51" s="107">
        <v>351</v>
      </c>
      <c r="I51" s="108">
        <v>24000</v>
      </c>
      <c r="J51" s="108" t="s">
        <v>873</v>
      </c>
      <c r="K51" s="108"/>
      <c r="L51" s="108"/>
      <c r="M51" s="109">
        <f t="shared" si="4"/>
        <v>24000</v>
      </c>
      <c r="N51" s="4">
        <f t="shared" si="5"/>
        <v>0</v>
      </c>
      <c r="O51" s="105">
        <f t="shared" si="6"/>
        <v>705.88235294117646</v>
      </c>
      <c r="P51" s="105">
        <f t="shared" si="7"/>
        <v>0</v>
      </c>
      <c r="Q51" s="75">
        <v>3</v>
      </c>
      <c r="R51" s="75">
        <v>2</v>
      </c>
      <c r="S51" s="75" t="s">
        <v>869</v>
      </c>
      <c r="T51" s="5">
        <v>111</v>
      </c>
      <c r="U51" s="9"/>
    </row>
    <row r="52" spans="1:21" s="38" customFormat="1" ht="12" x14ac:dyDescent="0.3">
      <c r="A52" s="110" t="s">
        <v>1087</v>
      </c>
      <c r="B52" s="111" t="s">
        <v>1088</v>
      </c>
      <c r="C52" s="112">
        <v>564</v>
      </c>
      <c r="D52" s="104">
        <v>101.8</v>
      </c>
      <c r="E52" s="106">
        <v>31</v>
      </c>
      <c r="F52" s="104">
        <v>76.599999999999994</v>
      </c>
      <c r="G52" s="17">
        <v>23</v>
      </c>
      <c r="H52" s="107">
        <v>564</v>
      </c>
      <c r="I52" s="108">
        <v>23250</v>
      </c>
      <c r="J52" s="108" t="s">
        <v>873</v>
      </c>
      <c r="K52" s="108">
        <v>16500</v>
      </c>
      <c r="L52" s="108" t="s">
        <v>872</v>
      </c>
      <c r="M52" s="109">
        <f t="shared" si="4"/>
        <v>6750</v>
      </c>
      <c r="N52" s="4">
        <f t="shared" si="5"/>
        <v>0.70967741935483875</v>
      </c>
      <c r="O52" s="105">
        <f t="shared" si="6"/>
        <v>750</v>
      </c>
      <c r="P52" s="105">
        <f t="shared" si="7"/>
        <v>532.25806451612902</v>
      </c>
      <c r="Q52" s="75">
        <v>3</v>
      </c>
      <c r="R52" s="75">
        <v>2</v>
      </c>
      <c r="S52" s="75" t="s">
        <v>869</v>
      </c>
      <c r="T52" s="5" t="s">
        <v>281</v>
      </c>
      <c r="U52" s="9"/>
    </row>
    <row r="53" spans="1:21" s="38" customFormat="1" ht="12" x14ac:dyDescent="0.3">
      <c r="A53" s="110" t="s">
        <v>1106</v>
      </c>
      <c r="B53" s="111" t="s">
        <v>991</v>
      </c>
      <c r="C53" s="112">
        <v>599</v>
      </c>
      <c r="D53" s="104">
        <v>82.8</v>
      </c>
      <c r="E53" s="106">
        <v>25</v>
      </c>
      <c r="F53" s="104">
        <v>59.9</v>
      </c>
      <c r="G53" s="17">
        <v>18</v>
      </c>
      <c r="H53" s="107">
        <v>63</v>
      </c>
      <c r="I53" s="108">
        <v>23000</v>
      </c>
      <c r="J53" s="108" t="s">
        <v>878</v>
      </c>
      <c r="K53" s="108"/>
      <c r="L53" s="108"/>
      <c r="M53" s="109">
        <f t="shared" si="4"/>
        <v>23000</v>
      </c>
      <c r="N53" s="4">
        <f t="shared" si="5"/>
        <v>0</v>
      </c>
      <c r="O53" s="105">
        <f t="shared" si="6"/>
        <v>920</v>
      </c>
      <c r="P53" s="105">
        <f t="shared" si="7"/>
        <v>0</v>
      </c>
      <c r="Q53" s="75">
        <v>3</v>
      </c>
      <c r="R53" s="75">
        <v>2</v>
      </c>
      <c r="S53" s="75" t="s">
        <v>869</v>
      </c>
      <c r="T53" s="5">
        <v>82</v>
      </c>
      <c r="U53" s="9"/>
    </row>
    <row r="54" spans="1:21" s="38" customFormat="1" ht="12" x14ac:dyDescent="0.3">
      <c r="A54" s="110" t="s">
        <v>1002</v>
      </c>
      <c r="B54" s="111" t="s">
        <v>949</v>
      </c>
      <c r="C54" s="112">
        <v>869</v>
      </c>
      <c r="D54" s="104">
        <v>110.2</v>
      </c>
      <c r="E54" s="106">
        <v>33</v>
      </c>
      <c r="F54" s="104">
        <v>85</v>
      </c>
      <c r="G54" s="17">
        <v>26</v>
      </c>
      <c r="H54" s="107">
        <v>479</v>
      </c>
      <c r="I54" s="108">
        <v>23000</v>
      </c>
      <c r="J54" s="108" t="s">
        <v>878</v>
      </c>
      <c r="K54" s="108">
        <v>22500</v>
      </c>
      <c r="L54" s="108" t="s">
        <v>907</v>
      </c>
      <c r="M54" s="109">
        <f t="shared" si="4"/>
        <v>500</v>
      </c>
      <c r="N54" s="4">
        <f t="shared" si="5"/>
        <v>0.97826086956521741</v>
      </c>
      <c r="O54" s="105">
        <f t="shared" si="6"/>
        <v>696.969696969697</v>
      </c>
      <c r="P54" s="105">
        <f t="shared" si="7"/>
        <v>681.81818181818187</v>
      </c>
      <c r="Q54" s="75">
        <v>3</v>
      </c>
      <c r="R54" s="75">
        <v>2</v>
      </c>
      <c r="S54" s="75" t="s">
        <v>869</v>
      </c>
      <c r="T54" s="5">
        <v>110</v>
      </c>
      <c r="U54" s="9"/>
    </row>
    <row r="55" spans="1:21" s="38" customFormat="1" ht="12" x14ac:dyDescent="0.3">
      <c r="A55" s="110" t="s">
        <v>1006</v>
      </c>
      <c r="B55" s="111" t="s">
        <v>1111</v>
      </c>
      <c r="C55" s="112">
        <v>897</v>
      </c>
      <c r="D55" s="104">
        <v>112.6</v>
      </c>
      <c r="E55" s="106">
        <v>34</v>
      </c>
      <c r="F55" s="104">
        <v>84.7</v>
      </c>
      <c r="G55" s="17">
        <v>26</v>
      </c>
      <c r="H55" s="107">
        <v>597</v>
      </c>
      <c r="I55" s="108">
        <v>23000</v>
      </c>
      <c r="J55" s="108" t="s">
        <v>901</v>
      </c>
      <c r="K55" s="108"/>
      <c r="L55" s="108"/>
      <c r="M55" s="109">
        <f t="shared" si="4"/>
        <v>23000</v>
      </c>
      <c r="N55" s="4">
        <f t="shared" si="5"/>
        <v>0</v>
      </c>
      <c r="O55" s="105">
        <f t="shared" si="6"/>
        <v>676.47058823529414</v>
      </c>
      <c r="P55" s="105">
        <f t="shared" si="7"/>
        <v>0</v>
      </c>
      <c r="Q55" s="75">
        <v>3</v>
      </c>
      <c r="R55" s="75">
        <v>2</v>
      </c>
      <c r="S55" s="75" t="s">
        <v>869</v>
      </c>
      <c r="T55" s="5" t="s">
        <v>509</v>
      </c>
      <c r="U55" s="9"/>
    </row>
    <row r="56" spans="1:21" s="38" customFormat="1" ht="12" x14ac:dyDescent="0.3">
      <c r="A56" s="110" t="s">
        <v>1060</v>
      </c>
      <c r="B56" s="111" t="s">
        <v>1051</v>
      </c>
      <c r="C56" s="112">
        <v>372</v>
      </c>
      <c r="D56" s="104">
        <v>95.2</v>
      </c>
      <c r="E56" s="106">
        <v>29</v>
      </c>
      <c r="F56" s="104">
        <v>76.2</v>
      </c>
      <c r="G56" s="17">
        <v>23</v>
      </c>
      <c r="H56" s="107">
        <v>72</v>
      </c>
      <c r="I56" s="108">
        <v>23000</v>
      </c>
      <c r="J56" s="108" t="s">
        <v>878</v>
      </c>
      <c r="K56" s="108"/>
      <c r="L56" s="108"/>
      <c r="M56" s="109">
        <f t="shared" si="4"/>
        <v>23000</v>
      </c>
      <c r="N56" s="4">
        <f t="shared" si="5"/>
        <v>0</v>
      </c>
      <c r="O56" s="105">
        <f t="shared" si="6"/>
        <v>793.10344827586209</v>
      </c>
      <c r="P56" s="105">
        <f t="shared" si="7"/>
        <v>0</v>
      </c>
      <c r="Q56" s="75">
        <v>3</v>
      </c>
      <c r="R56" s="75">
        <v>2</v>
      </c>
      <c r="S56" s="75" t="s">
        <v>869</v>
      </c>
      <c r="T56" s="5">
        <v>95</v>
      </c>
      <c r="U56" s="9"/>
    </row>
    <row r="57" spans="1:21" s="38" customFormat="1" ht="12" x14ac:dyDescent="0.3">
      <c r="A57" s="110" t="s">
        <v>984</v>
      </c>
      <c r="B57" s="111" t="s">
        <v>985</v>
      </c>
      <c r="C57" s="112">
        <v>397</v>
      </c>
      <c r="D57" s="104">
        <v>75.900000000000006</v>
      </c>
      <c r="E57" s="106">
        <v>23</v>
      </c>
      <c r="F57" s="104">
        <v>59.8</v>
      </c>
      <c r="G57" s="17">
        <v>18</v>
      </c>
      <c r="H57" s="107">
        <v>132</v>
      </c>
      <c r="I57" s="108">
        <v>21700</v>
      </c>
      <c r="J57" s="108" t="s">
        <v>873</v>
      </c>
      <c r="K57" s="108"/>
      <c r="L57" s="108"/>
      <c r="M57" s="109">
        <f t="shared" si="4"/>
        <v>21700</v>
      </c>
      <c r="N57" s="4">
        <f t="shared" si="5"/>
        <v>0</v>
      </c>
      <c r="O57" s="105">
        <f t="shared" si="6"/>
        <v>943.47826086956525</v>
      </c>
      <c r="P57" s="105">
        <f t="shared" si="7"/>
        <v>0</v>
      </c>
      <c r="Q57" s="75">
        <v>3</v>
      </c>
      <c r="R57" s="75">
        <v>1</v>
      </c>
      <c r="S57" s="75" t="s">
        <v>869</v>
      </c>
      <c r="T57" s="5">
        <v>75</v>
      </c>
      <c r="U57" s="9"/>
    </row>
    <row r="58" spans="1:21" s="38" customFormat="1" ht="12" x14ac:dyDescent="0.3">
      <c r="A58" s="110" t="s">
        <v>1060</v>
      </c>
      <c r="B58" s="111" t="s">
        <v>1051</v>
      </c>
      <c r="C58" s="112">
        <v>372</v>
      </c>
      <c r="D58" s="104">
        <v>103.1</v>
      </c>
      <c r="E58" s="106">
        <v>31</v>
      </c>
      <c r="F58" s="104">
        <v>84.6</v>
      </c>
      <c r="G58" s="17">
        <v>26</v>
      </c>
      <c r="H58" s="107">
        <v>120</v>
      </c>
      <c r="I58" s="108">
        <v>21000</v>
      </c>
      <c r="J58" s="108" t="s">
        <v>868</v>
      </c>
      <c r="K58" s="108"/>
      <c r="L58" s="108"/>
      <c r="M58" s="109">
        <f t="shared" si="4"/>
        <v>21000</v>
      </c>
      <c r="N58" s="4">
        <f t="shared" si="5"/>
        <v>0</v>
      </c>
      <c r="O58" s="105">
        <f t="shared" si="6"/>
        <v>677.41935483870964</v>
      </c>
      <c r="P58" s="105">
        <f t="shared" si="7"/>
        <v>0</v>
      </c>
      <c r="Q58" s="75">
        <v>3</v>
      </c>
      <c r="R58" s="75">
        <v>2</v>
      </c>
      <c r="S58" s="75" t="s">
        <v>869</v>
      </c>
      <c r="T58" s="5">
        <v>103</v>
      </c>
      <c r="U58" s="9"/>
    </row>
    <row r="59" spans="1:21" s="38" customFormat="1" ht="12" x14ac:dyDescent="0.3">
      <c r="A59" s="110" t="s">
        <v>1061</v>
      </c>
      <c r="B59" s="111" t="s">
        <v>1062</v>
      </c>
      <c r="C59" s="112">
        <v>1763</v>
      </c>
      <c r="D59" s="104">
        <v>103.5</v>
      </c>
      <c r="E59" s="106">
        <v>31</v>
      </c>
      <c r="F59" s="104">
        <v>84.8</v>
      </c>
      <c r="G59" s="17">
        <v>26</v>
      </c>
      <c r="H59" s="107">
        <v>785</v>
      </c>
      <c r="I59" s="108">
        <v>21000</v>
      </c>
      <c r="J59" s="108" t="s">
        <v>914</v>
      </c>
      <c r="K59" s="108">
        <v>18000</v>
      </c>
      <c r="L59" s="108" t="s">
        <v>883</v>
      </c>
      <c r="M59" s="109">
        <f t="shared" si="4"/>
        <v>3000</v>
      </c>
      <c r="N59" s="4">
        <f t="shared" si="5"/>
        <v>0.8571428571428571</v>
      </c>
      <c r="O59" s="105">
        <f t="shared" si="6"/>
        <v>677.41935483870964</v>
      </c>
      <c r="P59" s="105">
        <f t="shared" si="7"/>
        <v>580.64516129032256</v>
      </c>
      <c r="Q59" s="75">
        <v>3</v>
      </c>
      <c r="R59" s="75">
        <v>2</v>
      </c>
      <c r="S59" s="75" t="s">
        <v>869</v>
      </c>
      <c r="T59" s="5">
        <v>103</v>
      </c>
      <c r="U59" s="9"/>
    </row>
    <row r="60" spans="1:21" s="38" customFormat="1" ht="12" x14ac:dyDescent="0.3">
      <c r="A60" s="110" t="s">
        <v>1085</v>
      </c>
      <c r="B60" s="111" t="s">
        <v>1086</v>
      </c>
      <c r="C60" s="112">
        <v>1103</v>
      </c>
      <c r="D60" s="104">
        <v>83.9</v>
      </c>
      <c r="E60" s="106">
        <v>25</v>
      </c>
      <c r="F60" s="104">
        <v>60</v>
      </c>
      <c r="G60" s="17">
        <v>18</v>
      </c>
      <c r="H60" s="107">
        <v>430</v>
      </c>
      <c r="I60" s="108">
        <v>20500</v>
      </c>
      <c r="J60" s="108" t="s">
        <v>873</v>
      </c>
      <c r="K60" s="108">
        <v>17000</v>
      </c>
      <c r="L60" s="108" t="s">
        <v>868</v>
      </c>
      <c r="M60" s="109">
        <f t="shared" si="4"/>
        <v>3500</v>
      </c>
      <c r="N60" s="4">
        <f t="shared" si="5"/>
        <v>0.82926829268292679</v>
      </c>
      <c r="O60" s="105">
        <f t="shared" si="6"/>
        <v>820</v>
      </c>
      <c r="P60" s="105">
        <f t="shared" si="7"/>
        <v>680</v>
      </c>
      <c r="Q60" s="75">
        <v>3</v>
      </c>
      <c r="R60" s="75">
        <v>2</v>
      </c>
      <c r="S60" s="75" t="s">
        <v>869</v>
      </c>
      <c r="T60" s="5" t="s">
        <v>272</v>
      </c>
      <c r="U60" s="9"/>
    </row>
    <row r="61" spans="1:21" s="38" customFormat="1" ht="12" x14ac:dyDescent="0.3">
      <c r="A61" s="110" t="s">
        <v>1071</v>
      </c>
      <c r="B61" s="111" t="s">
        <v>945</v>
      </c>
      <c r="C61" s="112">
        <v>408</v>
      </c>
      <c r="D61" s="104">
        <v>111.1</v>
      </c>
      <c r="E61" s="106">
        <v>34</v>
      </c>
      <c r="F61" s="104">
        <v>85</v>
      </c>
      <c r="G61" s="17">
        <v>26</v>
      </c>
      <c r="H61" s="107">
        <v>378</v>
      </c>
      <c r="I61" s="108">
        <v>20000</v>
      </c>
      <c r="J61" s="108" t="s">
        <v>868</v>
      </c>
      <c r="K61" s="108"/>
      <c r="L61" s="108"/>
      <c r="M61" s="109">
        <f t="shared" si="4"/>
        <v>20000</v>
      </c>
      <c r="N61" s="4">
        <f t="shared" si="5"/>
        <v>0</v>
      </c>
      <c r="O61" s="105">
        <f t="shared" si="6"/>
        <v>588.23529411764707</v>
      </c>
      <c r="P61" s="105">
        <f t="shared" si="7"/>
        <v>0</v>
      </c>
      <c r="Q61" s="75">
        <v>3</v>
      </c>
      <c r="R61" s="75">
        <v>2</v>
      </c>
      <c r="S61" s="75" t="s">
        <v>869</v>
      </c>
      <c r="T61" s="5">
        <v>111</v>
      </c>
      <c r="U61" s="9"/>
    </row>
    <row r="62" spans="1:21" s="38" customFormat="1" ht="12" x14ac:dyDescent="0.3">
      <c r="A62" s="110" t="s">
        <v>1108</v>
      </c>
      <c r="B62" s="111" t="s">
        <v>999</v>
      </c>
      <c r="C62" s="112">
        <v>340</v>
      </c>
      <c r="D62" s="104">
        <v>80.400000000000006</v>
      </c>
      <c r="E62" s="106">
        <v>24</v>
      </c>
      <c r="F62" s="104">
        <v>59.9</v>
      </c>
      <c r="G62" s="17">
        <v>18</v>
      </c>
      <c r="H62" s="107">
        <v>56</v>
      </c>
      <c r="I62" s="108">
        <v>20000</v>
      </c>
      <c r="J62" s="108" t="s">
        <v>901</v>
      </c>
      <c r="K62" s="108"/>
      <c r="L62" s="108"/>
      <c r="M62" s="109">
        <f t="shared" si="4"/>
        <v>20000</v>
      </c>
      <c r="N62" s="4">
        <f t="shared" si="5"/>
        <v>0</v>
      </c>
      <c r="O62" s="105">
        <f t="shared" si="6"/>
        <v>833.33333333333337</v>
      </c>
      <c r="P62" s="105">
        <f t="shared" si="7"/>
        <v>0</v>
      </c>
      <c r="Q62" s="75">
        <v>3</v>
      </c>
      <c r="R62" s="75">
        <v>2</v>
      </c>
      <c r="S62" s="75" t="s">
        <v>869</v>
      </c>
      <c r="T62" s="5">
        <v>80</v>
      </c>
      <c r="U62" s="9"/>
    </row>
    <row r="63" spans="1:21" s="38" customFormat="1" ht="12" x14ac:dyDescent="0.3">
      <c r="A63" s="110" t="s">
        <v>970</v>
      </c>
      <c r="B63" s="111" t="s">
        <v>971</v>
      </c>
      <c r="C63" s="112">
        <v>468</v>
      </c>
      <c r="D63" s="104">
        <v>114.4</v>
      </c>
      <c r="E63" s="106">
        <v>35</v>
      </c>
      <c r="F63" s="104">
        <v>84.8</v>
      </c>
      <c r="G63" s="17">
        <v>26</v>
      </c>
      <c r="H63" s="107">
        <v>288</v>
      </c>
      <c r="I63" s="108">
        <v>19500</v>
      </c>
      <c r="J63" s="108" t="s">
        <v>868</v>
      </c>
      <c r="K63" s="108"/>
      <c r="L63" s="108"/>
      <c r="M63" s="109">
        <f t="shared" si="4"/>
        <v>19500</v>
      </c>
      <c r="N63" s="4">
        <f t="shared" si="5"/>
        <v>0</v>
      </c>
      <c r="O63" s="105">
        <f t="shared" si="6"/>
        <v>557.14285714285711</v>
      </c>
      <c r="P63" s="105">
        <f t="shared" si="7"/>
        <v>0</v>
      </c>
      <c r="Q63" s="75">
        <v>3</v>
      </c>
      <c r="R63" s="75">
        <v>2</v>
      </c>
      <c r="S63" s="75" t="s">
        <v>869</v>
      </c>
      <c r="T63" s="5">
        <v>114</v>
      </c>
      <c r="U63" s="9"/>
    </row>
    <row r="64" spans="1:21" s="38" customFormat="1" ht="12" x14ac:dyDescent="0.3">
      <c r="A64" s="110" t="s">
        <v>1061</v>
      </c>
      <c r="B64" s="111" t="s">
        <v>1062</v>
      </c>
      <c r="C64" s="112">
        <v>1763</v>
      </c>
      <c r="D64" s="104">
        <v>86.7</v>
      </c>
      <c r="E64" s="106">
        <v>26</v>
      </c>
      <c r="F64" s="104">
        <v>69.599999999999994</v>
      </c>
      <c r="G64" s="17">
        <v>21</v>
      </c>
      <c r="H64" s="107">
        <v>114</v>
      </c>
      <c r="I64" s="108">
        <v>18500</v>
      </c>
      <c r="J64" s="108" t="s">
        <v>868</v>
      </c>
      <c r="K64" s="108"/>
      <c r="L64" s="108"/>
      <c r="M64" s="109">
        <f t="shared" si="4"/>
        <v>18500</v>
      </c>
      <c r="N64" s="4">
        <f t="shared" si="5"/>
        <v>0</v>
      </c>
      <c r="O64" s="105">
        <f t="shared" si="6"/>
        <v>711.53846153846155</v>
      </c>
      <c r="P64" s="105">
        <f t="shared" si="7"/>
        <v>0</v>
      </c>
      <c r="Q64" s="75">
        <v>3</v>
      </c>
      <c r="R64" s="75">
        <v>1</v>
      </c>
      <c r="S64" s="75" t="s">
        <v>869</v>
      </c>
      <c r="T64" s="5">
        <v>86</v>
      </c>
      <c r="U64" s="9"/>
    </row>
    <row r="65" spans="1:21" s="38" customFormat="1" ht="12" x14ac:dyDescent="0.3">
      <c r="A65" s="110" t="s">
        <v>966</v>
      </c>
      <c r="B65" s="111" t="s">
        <v>967</v>
      </c>
      <c r="C65" s="112">
        <v>385</v>
      </c>
      <c r="D65" s="104">
        <v>111.4</v>
      </c>
      <c r="E65" s="106">
        <v>34</v>
      </c>
      <c r="F65" s="104">
        <v>85</v>
      </c>
      <c r="G65" s="17">
        <v>26</v>
      </c>
      <c r="H65" s="107">
        <v>347</v>
      </c>
      <c r="I65" s="108">
        <v>18300</v>
      </c>
      <c r="J65" s="108" t="s">
        <v>873</v>
      </c>
      <c r="K65" s="108">
        <v>13500</v>
      </c>
      <c r="L65" s="108" t="s">
        <v>868</v>
      </c>
      <c r="M65" s="109">
        <f t="shared" si="4"/>
        <v>4800</v>
      </c>
      <c r="N65" s="4">
        <f t="shared" si="5"/>
        <v>0.73770491803278693</v>
      </c>
      <c r="O65" s="105">
        <f t="shared" si="6"/>
        <v>538.23529411764707</v>
      </c>
      <c r="P65" s="105">
        <f t="shared" si="7"/>
        <v>397.05882352941177</v>
      </c>
      <c r="Q65" s="75">
        <v>3</v>
      </c>
      <c r="R65" s="75">
        <v>2</v>
      </c>
      <c r="S65" s="75" t="s">
        <v>869</v>
      </c>
      <c r="T65" s="5" t="s">
        <v>153</v>
      </c>
      <c r="U65" s="9"/>
    </row>
    <row r="66" spans="1:21" s="38" customFormat="1" ht="12" x14ac:dyDescent="0.3">
      <c r="A66" s="110" t="s">
        <v>1009</v>
      </c>
      <c r="B66" s="111" t="s">
        <v>1010</v>
      </c>
      <c r="C66" s="112">
        <v>508</v>
      </c>
      <c r="D66" s="104">
        <v>104.8</v>
      </c>
      <c r="E66" s="106">
        <v>32</v>
      </c>
      <c r="F66" s="104">
        <v>85</v>
      </c>
      <c r="G66" s="17">
        <v>26</v>
      </c>
      <c r="H66" s="107">
        <v>508</v>
      </c>
      <c r="I66" s="108">
        <v>17000</v>
      </c>
      <c r="J66" s="108" t="s">
        <v>873</v>
      </c>
      <c r="K66" s="108"/>
      <c r="L66" s="108"/>
      <c r="M66" s="109">
        <f t="shared" si="4"/>
        <v>17000</v>
      </c>
      <c r="N66" s="4">
        <f t="shared" si="5"/>
        <v>0</v>
      </c>
      <c r="O66" s="105">
        <f t="shared" si="6"/>
        <v>531.25</v>
      </c>
      <c r="P66" s="105">
        <f t="shared" si="7"/>
        <v>0</v>
      </c>
      <c r="Q66" s="75">
        <v>3</v>
      </c>
      <c r="R66" s="75">
        <v>2</v>
      </c>
      <c r="S66" s="75" t="s">
        <v>869</v>
      </c>
      <c r="T66" s="5">
        <v>104</v>
      </c>
      <c r="U66" s="9"/>
    </row>
    <row r="67" spans="1:21" s="38" customFormat="1" ht="12" x14ac:dyDescent="0.3">
      <c r="A67" s="110" t="s">
        <v>1060</v>
      </c>
      <c r="B67" s="111" t="s">
        <v>1051</v>
      </c>
      <c r="C67" s="112">
        <v>372</v>
      </c>
      <c r="D67" s="104">
        <v>78.599999999999994</v>
      </c>
      <c r="E67" s="106">
        <v>24</v>
      </c>
      <c r="F67" s="104">
        <v>60</v>
      </c>
      <c r="G67" s="17">
        <v>18</v>
      </c>
      <c r="H67" s="107">
        <v>132</v>
      </c>
      <c r="I67" s="108">
        <v>17000</v>
      </c>
      <c r="J67" s="108" t="s">
        <v>878</v>
      </c>
      <c r="K67" s="108"/>
      <c r="L67" s="108"/>
      <c r="M67" s="109">
        <f t="shared" si="4"/>
        <v>17000</v>
      </c>
      <c r="N67" s="4">
        <f t="shared" si="5"/>
        <v>0</v>
      </c>
      <c r="O67" s="105">
        <f t="shared" si="6"/>
        <v>708.33333333333337</v>
      </c>
      <c r="P67" s="105">
        <f t="shared" si="7"/>
        <v>0</v>
      </c>
      <c r="Q67" s="75">
        <v>3</v>
      </c>
      <c r="R67" s="75">
        <v>2</v>
      </c>
      <c r="S67" s="75" t="s">
        <v>869</v>
      </c>
      <c r="T67" s="5">
        <v>78</v>
      </c>
      <c r="U67" s="9"/>
    </row>
    <row r="68" spans="1:21" s="38" customFormat="1" ht="12" x14ac:dyDescent="0.3">
      <c r="A68" s="110" t="s">
        <v>1063</v>
      </c>
      <c r="B68" s="111" t="s">
        <v>1064</v>
      </c>
      <c r="C68" s="112">
        <v>460</v>
      </c>
      <c r="D68" s="104">
        <v>58.8</v>
      </c>
      <c r="E68" s="106">
        <v>18</v>
      </c>
      <c r="F68" s="104">
        <v>49.8</v>
      </c>
      <c r="G68" s="17">
        <v>15</v>
      </c>
      <c r="H68" s="107">
        <v>460</v>
      </c>
      <c r="I68" s="108">
        <v>14000</v>
      </c>
      <c r="J68" s="108" t="s">
        <v>873</v>
      </c>
      <c r="K68" s="108">
        <v>9000</v>
      </c>
      <c r="L68" s="108" t="s">
        <v>878</v>
      </c>
      <c r="M68" s="109">
        <f t="shared" ref="M68:M99" si="8">I68-K68</f>
        <v>5000</v>
      </c>
      <c r="N68" s="4">
        <f t="shared" ref="N68:N99" si="9">IF(ISERROR(K68/I68),"",K68/I68)</f>
        <v>0.6428571428571429</v>
      </c>
      <c r="O68" s="105">
        <f t="shared" ref="O68:O99" si="10">I68/E68</f>
        <v>777.77777777777783</v>
      </c>
      <c r="P68" s="105">
        <f t="shared" ref="P68:P99" si="11">K68/E68</f>
        <v>500</v>
      </c>
      <c r="Q68" s="75">
        <v>2</v>
      </c>
      <c r="R68" s="75">
        <v>1</v>
      </c>
      <c r="S68" s="75" t="s">
        <v>869</v>
      </c>
      <c r="T68" s="5">
        <v>58</v>
      </c>
      <c r="U68" s="9"/>
    </row>
    <row r="69" spans="1:21" s="38" customFormat="1" ht="12" x14ac:dyDescent="0.3">
      <c r="A69" s="110" t="s">
        <v>1061</v>
      </c>
      <c r="B69" s="111" t="s">
        <v>1062</v>
      </c>
      <c r="C69" s="112">
        <v>1763</v>
      </c>
      <c r="D69" s="104">
        <v>79.900000000000006</v>
      </c>
      <c r="E69" s="106">
        <v>24</v>
      </c>
      <c r="F69" s="104">
        <v>59.9</v>
      </c>
      <c r="G69" s="17">
        <v>18</v>
      </c>
      <c r="H69" s="107">
        <v>548</v>
      </c>
      <c r="I69" s="108">
        <v>13800</v>
      </c>
      <c r="J69" s="108" t="s">
        <v>878</v>
      </c>
      <c r="K69" s="108"/>
      <c r="L69" s="108"/>
      <c r="M69" s="109">
        <f t="shared" si="8"/>
        <v>13800</v>
      </c>
      <c r="N69" s="4">
        <f t="shared" si="9"/>
        <v>0</v>
      </c>
      <c r="O69" s="105">
        <f t="shared" si="10"/>
        <v>575</v>
      </c>
      <c r="P69" s="105">
        <f t="shared" si="11"/>
        <v>0</v>
      </c>
      <c r="Q69" s="75">
        <v>2</v>
      </c>
      <c r="R69" s="75">
        <v>1</v>
      </c>
      <c r="S69" s="75" t="s">
        <v>869</v>
      </c>
      <c r="T69" s="5">
        <v>79</v>
      </c>
      <c r="U69" s="9"/>
    </row>
    <row r="70" spans="1:21" s="38" customFormat="1" ht="12" x14ac:dyDescent="0.3">
      <c r="A70" s="110" t="s">
        <v>1038</v>
      </c>
      <c r="B70" s="111" t="s">
        <v>1039</v>
      </c>
      <c r="C70" s="112">
        <v>370</v>
      </c>
      <c r="D70" s="104">
        <v>81.5</v>
      </c>
      <c r="E70" s="106">
        <v>25</v>
      </c>
      <c r="F70" s="104">
        <v>59.9</v>
      </c>
      <c r="G70" s="17">
        <v>18</v>
      </c>
      <c r="H70" s="107">
        <v>270</v>
      </c>
      <c r="I70" s="108">
        <v>13600</v>
      </c>
      <c r="J70" s="108" t="s">
        <v>883</v>
      </c>
      <c r="K70" s="108"/>
      <c r="L70" s="108"/>
      <c r="M70" s="109">
        <f t="shared" si="8"/>
        <v>13600</v>
      </c>
      <c r="N70" s="4">
        <f t="shared" si="9"/>
        <v>0</v>
      </c>
      <c r="O70" s="105">
        <f t="shared" si="10"/>
        <v>544</v>
      </c>
      <c r="P70" s="105">
        <f t="shared" si="11"/>
        <v>0</v>
      </c>
      <c r="Q70" s="75">
        <v>3</v>
      </c>
      <c r="R70" s="75">
        <v>1</v>
      </c>
      <c r="S70" s="75" t="s">
        <v>869</v>
      </c>
      <c r="T70" s="5">
        <v>81</v>
      </c>
      <c r="U70" s="9"/>
    </row>
    <row r="71" spans="1:21" s="38" customFormat="1" ht="12" x14ac:dyDescent="0.3">
      <c r="A71" s="110" t="s">
        <v>987</v>
      </c>
      <c r="B71" s="111" t="s">
        <v>988</v>
      </c>
      <c r="C71" s="112">
        <v>750</v>
      </c>
      <c r="D71" s="104">
        <v>54.8</v>
      </c>
      <c r="E71" s="106">
        <v>17</v>
      </c>
      <c r="F71" s="104">
        <v>42.5</v>
      </c>
      <c r="G71" s="17">
        <v>13</v>
      </c>
      <c r="H71" s="107">
        <v>302</v>
      </c>
      <c r="I71" s="108">
        <v>13000</v>
      </c>
      <c r="J71" s="108" t="s">
        <v>873</v>
      </c>
      <c r="K71" s="108">
        <v>8200</v>
      </c>
      <c r="L71" s="108" t="s">
        <v>878</v>
      </c>
      <c r="M71" s="109">
        <f t="shared" si="8"/>
        <v>4800</v>
      </c>
      <c r="N71" s="4">
        <f t="shared" si="9"/>
        <v>0.63076923076923075</v>
      </c>
      <c r="O71" s="105">
        <f t="shared" si="10"/>
        <v>764.70588235294122</v>
      </c>
      <c r="P71" s="105">
        <f t="shared" si="11"/>
        <v>482.35294117647061</v>
      </c>
      <c r="Q71" s="75">
        <v>2</v>
      </c>
      <c r="R71" s="75">
        <v>1</v>
      </c>
      <c r="S71" s="75" t="s">
        <v>869</v>
      </c>
      <c r="T71" s="5" t="s">
        <v>437</v>
      </c>
      <c r="U71" s="9"/>
    </row>
    <row r="72" spans="1:21" s="38" customFormat="1" ht="12" x14ac:dyDescent="0.3">
      <c r="A72" s="110" t="s">
        <v>1048</v>
      </c>
      <c r="B72" s="111" t="s">
        <v>1049</v>
      </c>
      <c r="C72" s="112">
        <v>1275</v>
      </c>
      <c r="D72" s="104">
        <v>78.2</v>
      </c>
      <c r="E72" s="106">
        <v>24</v>
      </c>
      <c r="F72" s="104">
        <v>59.8</v>
      </c>
      <c r="G72" s="17">
        <v>18</v>
      </c>
      <c r="H72" s="107">
        <v>570</v>
      </c>
      <c r="I72" s="108">
        <v>13000</v>
      </c>
      <c r="J72" s="108" t="s">
        <v>898</v>
      </c>
      <c r="K72" s="108"/>
      <c r="L72" s="108"/>
      <c r="M72" s="109">
        <f t="shared" si="8"/>
        <v>13000</v>
      </c>
      <c r="N72" s="4">
        <f t="shared" si="9"/>
        <v>0</v>
      </c>
      <c r="O72" s="105">
        <f t="shared" si="10"/>
        <v>541.66666666666663</v>
      </c>
      <c r="P72" s="105">
        <f t="shared" si="11"/>
        <v>0</v>
      </c>
      <c r="Q72" s="75">
        <v>3</v>
      </c>
      <c r="R72" s="75">
        <v>2</v>
      </c>
      <c r="S72" s="75" t="s">
        <v>869</v>
      </c>
      <c r="T72" s="5">
        <v>78</v>
      </c>
      <c r="U72" s="9"/>
    </row>
    <row r="73" spans="1:21" s="38" customFormat="1" ht="12" x14ac:dyDescent="0.3">
      <c r="A73" s="110" t="s">
        <v>1066</v>
      </c>
      <c r="B73" s="111" t="s">
        <v>1067</v>
      </c>
      <c r="C73" s="112">
        <v>390</v>
      </c>
      <c r="D73" s="104">
        <v>57.9</v>
      </c>
      <c r="E73" s="106">
        <v>18</v>
      </c>
      <c r="F73" s="104">
        <v>47</v>
      </c>
      <c r="G73" s="17">
        <v>14</v>
      </c>
      <c r="H73" s="107">
        <v>60</v>
      </c>
      <c r="I73" s="108">
        <v>12500</v>
      </c>
      <c r="J73" s="108" t="s">
        <v>868</v>
      </c>
      <c r="K73" s="108">
        <v>7400</v>
      </c>
      <c r="L73" s="108" t="s">
        <v>873</v>
      </c>
      <c r="M73" s="109">
        <f t="shared" si="8"/>
        <v>5100</v>
      </c>
      <c r="N73" s="4">
        <f t="shared" si="9"/>
        <v>0.59199999999999997</v>
      </c>
      <c r="O73" s="105">
        <f t="shared" si="10"/>
        <v>694.44444444444446</v>
      </c>
      <c r="P73" s="105">
        <f t="shared" si="11"/>
        <v>411.11111111111109</v>
      </c>
      <c r="Q73" s="75">
        <v>2</v>
      </c>
      <c r="R73" s="75">
        <v>1</v>
      </c>
      <c r="S73" s="75" t="s">
        <v>869</v>
      </c>
      <c r="T73" s="5" t="s">
        <v>841</v>
      </c>
      <c r="U73" s="9"/>
    </row>
    <row r="74" spans="1:21" s="38" customFormat="1" ht="12" x14ac:dyDescent="0.3">
      <c r="A74" s="110" t="s">
        <v>1046</v>
      </c>
      <c r="B74" s="111" t="s">
        <v>1047</v>
      </c>
      <c r="C74" s="112">
        <v>440</v>
      </c>
      <c r="D74" s="104">
        <v>77.8</v>
      </c>
      <c r="E74" s="106">
        <v>24</v>
      </c>
      <c r="F74" s="104">
        <v>59.8</v>
      </c>
      <c r="G74" s="17">
        <v>18</v>
      </c>
      <c r="H74" s="107">
        <v>440</v>
      </c>
      <c r="I74" s="108">
        <v>12000</v>
      </c>
      <c r="J74" s="108" t="s">
        <v>897</v>
      </c>
      <c r="K74" s="108"/>
      <c r="L74" s="108"/>
      <c r="M74" s="109">
        <f t="shared" si="8"/>
        <v>12000</v>
      </c>
      <c r="N74" s="4">
        <f t="shared" si="9"/>
        <v>0</v>
      </c>
      <c r="O74" s="105">
        <f t="shared" si="10"/>
        <v>500</v>
      </c>
      <c r="P74" s="105">
        <f t="shared" si="11"/>
        <v>0</v>
      </c>
      <c r="Q74" s="75">
        <v>3</v>
      </c>
      <c r="R74" s="75">
        <v>2</v>
      </c>
      <c r="S74" s="75" t="s">
        <v>869</v>
      </c>
      <c r="T74" s="5">
        <v>77</v>
      </c>
      <c r="U74" s="9"/>
    </row>
    <row r="75" spans="1:21" s="38" customFormat="1" ht="12" x14ac:dyDescent="0.3">
      <c r="A75" s="110" t="s">
        <v>1052</v>
      </c>
      <c r="B75" s="111" t="s">
        <v>1053</v>
      </c>
      <c r="C75" s="112">
        <v>1170</v>
      </c>
      <c r="D75" s="104">
        <v>76.900000000000006</v>
      </c>
      <c r="E75" s="106">
        <v>23</v>
      </c>
      <c r="F75" s="104">
        <v>60</v>
      </c>
      <c r="G75" s="17">
        <v>18</v>
      </c>
      <c r="H75" s="107">
        <v>1170</v>
      </c>
      <c r="I75" s="108">
        <v>12000</v>
      </c>
      <c r="J75" s="108" t="s">
        <v>873</v>
      </c>
      <c r="K75" s="108">
        <v>12000</v>
      </c>
      <c r="L75" s="108" t="s">
        <v>872</v>
      </c>
      <c r="M75" s="109">
        <f t="shared" si="8"/>
        <v>0</v>
      </c>
      <c r="N75" s="4">
        <f t="shared" si="9"/>
        <v>1</v>
      </c>
      <c r="O75" s="105">
        <f t="shared" si="10"/>
        <v>521.73913043478262</v>
      </c>
      <c r="P75" s="105">
        <f t="shared" si="11"/>
        <v>521.73913043478262</v>
      </c>
      <c r="Q75" s="75">
        <v>3</v>
      </c>
      <c r="R75" s="75">
        <v>2</v>
      </c>
      <c r="S75" s="75" t="s">
        <v>869</v>
      </c>
      <c r="T75" s="5">
        <v>76</v>
      </c>
      <c r="U75" s="9"/>
    </row>
    <row r="76" spans="1:21" s="38" customFormat="1" ht="12" x14ac:dyDescent="0.3">
      <c r="A76" s="110" t="s">
        <v>1054</v>
      </c>
      <c r="B76" s="111" t="s">
        <v>1055</v>
      </c>
      <c r="C76" s="112">
        <v>1140</v>
      </c>
      <c r="D76" s="104">
        <v>79</v>
      </c>
      <c r="E76" s="106">
        <v>24</v>
      </c>
      <c r="F76" s="104">
        <v>60</v>
      </c>
      <c r="G76" s="17">
        <v>18</v>
      </c>
      <c r="H76" s="107">
        <v>690</v>
      </c>
      <c r="I76" s="108">
        <v>12000</v>
      </c>
      <c r="J76" s="108" t="s">
        <v>897</v>
      </c>
      <c r="K76" s="108">
        <v>11000</v>
      </c>
      <c r="L76" s="108" t="s">
        <v>901</v>
      </c>
      <c r="M76" s="109">
        <f t="shared" si="8"/>
        <v>1000</v>
      </c>
      <c r="N76" s="4">
        <f t="shared" si="9"/>
        <v>0.91666666666666663</v>
      </c>
      <c r="O76" s="105">
        <f t="shared" si="10"/>
        <v>500</v>
      </c>
      <c r="P76" s="105">
        <f t="shared" si="11"/>
        <v>458.33333333333331</v>
      </c>
      <c r="Q76" s="75">
        <v>3</v>
      </c>
      <c r="R76" s="75">
        <v>2</v>
      </c>
      <c r="S76" s="75" t="s">
        <v>869</v>
      </c>
      <c r="T76" s="5" t="s">
        <v>732</v>
      </c>
      <c r="U76" s="9"/>
    </row>
    <row r="77" spans="1:21" s="38" customFormat="1" ht="12" x14ac:dyDescent="0.3">
      <c r="A77" s="110" t="s">
        <v>1038</v>
      </c>
      <c r="B77" s="111" t="s">
        <v>1039</v>
      </c>
      <c r="C77" s="112">
        <v>370</v>
      </c>
      <c r="D77" s="104">
        <v>68.5</v>
      </c>
      <c r="E77" s="106">
        <v>21</v>
      </c>
      <c r="F77" s="104">
        <v>49.1</v>
      </c>
      <c r="G77" s="17">
        <v>15</v>
      </c>
      <c r="H77" s="107">
        <v>100</v>
      </c>
      <c r="I77" s="108">
        <v>11000</v>
      </c>
      <c r="J77" s="108" t="s">
        <v>914</v>
      </c>
      <c r="K77" s="108"/>
      <c r="L77" s="108"/>
      <c r="M77" s="109">
        <f t="shared" si="8"/>
        <v>11000</v>
      </c>
      <c r="N77" s="4">
        <f t="shared" si="9"/>
        <v>0</v>
      </c>
      <c r="O77" s="105">
        <f t="shared" si="10"/>
        <v>523.80952380952385</v>
      </c>
      <c r="P77" s="105">
        <f t="shared" si="11"/>
        <v>0</v>
      </c>
      <c r="Q77" s="75">
        <v>2</v>
      </c>
      <c r="R77" s="75">
        <v>1</v>
      </c>
      <c r="S77" s="75" t="s">
        <v>869</v>
      </c>
      <c r="T77" s="5">
        <v>68</v>
      </c>
      <c r="U77" s="9"/>
    </row>
    <row r="78" spans="1:21" s="38" customFormat="1" ht="12" x14ac:dyDescent="0.3">
      <c r="A78" s="110" t="s">
        <v>1076</v>
      </c>
      <c r="B78" s="111" t="s">
        <v>951</v>
      </c>
      <c r="C78" s="112">
        <v>420</v>
      </c>
      <c r="D78" s="104">
        <v>45.1</v>
      </c>
      <c r="E78" s="106">
        <v>14</v>
      </c>
      <c r="F78" s="104">
        <v>39.700000000000003</v>
      </c>
      <c r="G78" s="17">
        <v>12</v>
      </c>
      <c r="H78" s="107">
        <v>200</v>
      </c>
      <c r="I78" s="108">
        <v>10700</v>
      </c>
      <c r="J78" s="108" t="s">
        <v>873</v>
      </c>
      <c r="K78" s="108">
        <v>7500</v>
      </c>
      <c r="L78" s="108" t="s">
        <v>878</v>
      </c>
      <c r="M78" s="109">
        <f t="shared" si="8"/>
        <v>3200</v>
      </c>
      <c r="N78" s="4">
        <f t="shared" si="9"/>
        <v>0.7009345794392523</v>
      </c>
      <c r="O78" s="105">
        <f t="shared" si="10"/>
        <v>764.28571428571433</v>
      </c>
      <c r="P78" s="105">
        <f t="shared" si="11"/>
        <v>535.71428571428567</v>
      </c>
      <c r="Q78" s="75">
        <v>2</v>
      </c>
      <c r="R78" s="75">
        <v>1</v>
      </c>
      <c r="S78" s="75" t="s">
        <v>869</v>
      </c>
      <c r="T78" s="5">
        <v>45</v>
      </c>
      <c r="U78" s="9"/>
    </row>
    <row r="79" spans="1:21" s="38" customFormat="1" ht="12" x14ac:dyDescent="0.3">
      <c r="A79" s="110" t="s">
        <v>972</v>
      </c>
      <c r="B79" s="111" t="s">
        <v>969</v>
      </c>
      <c r="C79" s="112">
        <v>498</v>
      </c>
      <c r="D79" s="104">
        <v>79.400000000000006</v>
      </c>
      <c r="E79" s="106">
        <v>24</v>
      </c>
      <c r="F79" s="104">
        <v>59.9</v>
      </c>
      <c r="G79" s="17">
        <v>18</v>
      </c>
      <c r="H79" s="107">
        <v>390</v>
      </c>
      <c r="I79" s="108">
        <v>10500</v>
      </c>
      <c r="J79" s="108" t="s">
        <v>878</v>
      </c>
      <c r="K79" s="108"/>
      <c r="L79" s="108"/>
      <c r="M79" s="109">
        <f t="shared" si="8"/>
        <v>10500</v>
      </c>
      <c r="N79" s="4">
        <f t="shared" si="9"/>
        <v>0</v>
      </c>
      <c r="O79" s="105">
        <f t="shared" si="10"/>
        <v>437.5</v>
      </c>
      <c r="P79" s="105">
        <f t="shared" si="11"/>
        <v>0</v>
      </c>
      <c r="Q79" s="75">
        <v>3</v>
      </c>
      <c r="R79" s="75">
        <v>1</v>
      </c>
      <c r="S79" s="75" t="s">
        <v>869</v>
      </c>
      <c r="T79" s="5">
        <v>79</v>
      </c>
      <c r="U79" s="9"/>
    </row>
    <row r="80" spans="1:21" s="38" customFormat="1" ht="12" x14ac:dyDescent="0.3">
      <c r="A80" s="110" t="s">
        <v>1022</v>
      </c>
      <c r="B80" s="111" t="s">
        <v>1023</v>
      </c>
      <c r="C80" s="112">
        <v>650</v>
      </c>
      <c r="D80" s="104">
        <v>52.4</v>
      </c>
      <c r="E80" s="106">
        <v>16</v>
      </c>
      <c r="F80" s="104">
        <v>39.799999999999997</v>
      </c>
      <c r="G80" s="17">
        <v>12</v>
      </c>
      <c r="H80" s="107">
        <v>650</v>
      </c>
      <c r="I80" s="108">
        <v>10000</v>
      </c>
      <c r="J80" s="108" t="s">
        <v>878</v>
      </c>
      <c r="K80" s="108">
        <v>8000</v>
      </c>
      <c r="L80" s="108" t="s">
        <v>878</v>
      </c>
      <c r="M80" s="109">
        <f t="shared" si="8"/>
        <v>2000</v>
      </c>
      <c r="N80" s="4">
        <f t="shared" si="9"/>
        <v>0.8</v>
      </c>
      <c r="O80" s="105">
        <f t="shared" si="10"/>
        <v>625</v>
      </c>
      <c r="P80" s="105">
        <f t="shared" si="11"/>
        <v>500</v>
      </c>
      <c r="Q80" s="75">
        <v>2</v>
      </c>
      <c r="R80" s="75">
        <v>1</v>
      </c>
      <c r="S80" s="75" t="s">
        <v>903</v>
      </c>
      <c r="T80" s="5">
        <v>52</v>
      </c>
      <c r="U80" s="9"/>
    </row>
    <row r="81" spans="1:21" s="38" customFormat="1" ht="12" x14ac:dyDescent="0.3">
      <c r="A81" s="110" t="s">
        <v>987</v>
      </c>
      <c r="B81" s="111" t="s">
        <v>988</v>
      </c>
      <c r="C81" s="112">
        <v>750</v>
      </c>
      <c r="D81" s="104">
        <v>42.4</v>
      </c>
      <c r="E81" s="106">
        <v>13</v>
      </c>
      <c r="F81" s="104">
        <v>32.799999999999997</v>
      </c>
      <c r="G81" s="17">
        <v>10</v>
      </c>
      <c r="H81" s="107">
        <v>327</v>
      </c>
      <c r="I81" s="108">
        <v>9500</v>
      </c>
      <c r="J81" s="108" t="s">
        <v>878</v>
      </c>
      <c r="K81" s="108"/>
      <c r="L81" s="108"/>
      <c r="M81" s="109">
        <f t="shared" si="8"/>
        <v>9500</v>
      </c>
      <c r="N81" s="4">
        <f t="shared" si="9"/>
        <v>0</v>
      </c>
      <c r="O81" s="105">
        <f t="shared" si="10"/>
        <v>730.76923076923072</v>
      </c>
      <c r="P81" s="105">
        <f t="shared" si="11"/>
        <v>0</v>
      </c>
      <c r="Q81" s="75">
        <v>2</v>
      </c>
      <c r="R81" s="75">
        <v>1</v>
      </c>
      <c r="S81" s="75" t="s">
        <v>869</v>
      </c>
      <c r="T81" s="5">
        <v>42</v>
      </c>
      <c r="U81" s="9"/>
    </row>
    <row r="82" spans="1:21" s="38" customFormat="1" ht="12" x14ac:dyDescent="0.3">
      <c r="A82" s="110" t="s">
        <v>1076</v>
      </c>
      <c r="B82" s="111" t="s">
        <v>1077</v>
      </c>
      <c r="C82" s="112">
        <v>420</v>
      </c>
      <c r="D82" s="104">
        <v>37.4</v>
      </c>
      <c r="E82" s="106">
        <v>11</v>
      </c>
      <c r="F82" s="104">
        <v>32</v>
      </c>
      <c r="G82" s="17">
        <v>10</v>
      </c>
      <c r="H82" s="107">
        <v>220</v>
      </c>
      <c r="I82" s="108">
        <v>9000</v>
      </c>
      <c r="J82" s="108" t="s">
        <v>873</v>
      </c>
      <c r="K82" s="108">
        <v>3500</v>
      </c>
      <c r="L82" s="108" t="s">
        <v>878</v>
      </c>
      <c r="M82" s="109">
        <f t="shared" si="8"/>
        <v>5500</v>
      </c>
      <c r="N82" s="4">
        <f t="shared" si="9"/>
        <v>0.3888888888888889</v>
      </c>
      <c r="O82" s="105">
        <f t="shared" si="10"/>
        <v>818.18181818181813</v>
      </c>
      <c r="P82" s="105">
        <f t="shared" si="11"/>
        <v>318.18181818181819</v>
      </c>
      <c r="Q82" s="75">
        <v>2</v>
      </c>
      <c r="R82" s="75">
        <v>1</v>
      </c>
      <c r="S82" s="75" t="s">
        <v>869</v>
      </c>
      <c r="T82" s="5">
        <v>37</v>
      </c>
      <c r="U82" s="9"/>
    </row>
    <row r="83" spans="1:21" s="38" customFormat="1" ht="12" x14ac:dyDescent="0.3">
      <c r="A83" s="110" t="s">
        <v>1066</v>
      </c>
      <c r="B83" s="111" t="s">
        <v>1067</v>
      </c>
      <c r="C83" s="112">
        <v>390</v>
      </c>
      <c r="D83" s="104">
        <v>49.5</v>
      </c>
      <c r="E83" s="106">
        <v>15</v>
      </c>
      <c r="F83" s="104">
        <v>39.299999999999997</v>
      </c>
      <c r="G83" s="17">
        <v>12</v>
      </c>
      <c r="H83" s="107">
        <v>150</v>
      </c>
      <c r="I83" s="108">
        <v>9000</v>
      </c>
      <c r="J83" s="108" t="s">
        <v>873</v>
      </c>
      <c r="K83" s="108">
        <v>6800</v>
      </c>
      <c r="L83" s="108" t="s">
        <v>878</v>
      </c>
      <c r="M83" s="109">
        <f t="shared" si="8"/>
        <v>2200</v>
      </c>
      <c r="N83" s="4">
        <f t="shared" si="9"/>
        <v>0.75555555555555554</v>
      </c>
      <c r="O83" s="105">
        <f t="shared" si="10"/>
        <v>600</v>
      </c>
      <c r="P83" s="105">
        <f t="shared" si="11"/>
        <v>453.33333333333331</v>
      </c>
      <c r="Q83" s="75">
        <v>2</v>
      </c>
      <c r="R83" s="75">
        <v>1</v>
      </c>
      <c r="S83" s="75" t="s">
        <v>869</v>
      </c>
      <c r="T83" s="5">
        <v>49</v>
      </c>
      <c r="U83" s="9"/>
    </row>
    <row r="84" spans="1:21" s="38" customFormat="1" ht="12" x14ac:dyDescent="0.3">
      <c r="A84" s="110" t="s">
        <v>1048</v>
      </c>
      <c r="B84" s="111" t="s">
        <v>1049</v>
      </c>
      <c r="C84" s="112">
        <v>1275</v>
      </c>
      <c r="D84" s="104">
        <v>68</v>
      </c>
      <c r="E84" s="106">
        <v>21</v>
      </c>
      <c r="F84" s="104">
        <v>49.8</v>
      </c>
      <c r="G84" s="17">
        <v>15</v>
      </c>
      <c r="H84" s="107">
        <v>705</v>
      </c>
      <c r="I84" s="108">
        <v>8000</v>
      </c>
      <c r="J84" s="108" t="s">
        <v>885</v>
      </c>
      <c r="K84" s="108">
        <v>8000</v>
      </c>
      <c r="L84" s="108" t="s">
        <v>888</v>
      </c>
      <c r="M84" s="109">
        <f t="shared" si="8"/>
        <v>0</v>
      </c>
      <c r="N84" s="4">
        <f t="shared" si="9"/>
        <v>1</v>
      </c>
      <c r="O84" s="105">
        <f t="shared" si="10"/>
        <v>380.95238095238096</v>
      </c>
      <c r="P84" s="105">
        <f t="shared" si="11"/>
        <v>380.95238095238096</v>
      </c>
      <c r="Q84" s="75">
        <v>2</v>
      </c>
      <c r="R84" s="75">
        <v>1</v>
      </c>
      <c r="S84" s="75" t="s">
        <v>903</v>
      </c>
      <c r="T84" s="5">
        <v>67</v>
      </c>
      <c r="U84" s="9"/>
    </row>
    <row r="85" spans="1:21" s="38" customFormat="1" ht="12" x14ac:dyDescent="0.3">
      <c r="A85" s="110" t="s">
        <v>1072</v>
      </c>
      <c r="B85" s="111" t="s">
        <v>1073</v>
      </c>
      <c r="C85" s="112">
        <v>285</v>
      </c>
      <c r="D85" s="104">
        <v>100.3</v>
      </c>
      <c r="E85" s="106">
        <v>30</v>
      </c>
      <c r="F85" s="104">
        <v>76.3</v>
      </c>
      <c r="G85" s="17">
        <v>23</v>
      </c>
      <c r="H85" s="107">
        <v>47</v>
      </c>
      <c r="I85" s="108"/>
      <c r="J85" s="108"/>
      <c r="K85" s="108"/>
      <c r="L85" s="108"/>
      <c r="M85" s="109">
        <f t="shared" si="8"/>
        <v>0</v>
      </c>
      <c r="N85" s="4" t="str">
        <f t="shared" si="9"/>
        <v/>
      </c>
      <c r="O85" s="105">
        <f t="shared" si="10"/>
        <v>0</v>
      </c>
      <c r="P85" s="105">
        <f t="shared" si="11"/>
        <v>0</v>
      </c>
      <c r="Q85" s="75">
        <v>4</v>
      </c>
      <c r="R85" s="75">
        <v>2</v>
      </c>
      <c r="S85" s="75" t="s">
        <v>869</v>
      </c>
      <c r="T85" s="5" t="s">
        <v>148</v>
      </c>
      <c r="U85" s="9"/>
    </row>
    <row r="86" spans="1:21" s="38" customFormat="1" ht="12" x14ac:dyDescent="0.3">
      <c r="A86" s="110" t="s">
        <v>1072</v>
      </c>
      <c r="B86" s="111" t="s">
        <v>1073</v>
      </c>
      <c r="C86" s="112">
        <v>285</v>
      </c>
      <c r="D86" s="104">
        <v>111.3</v>
      </c>
      <c r="E86" s="106">
        <v>34</v>
      </c>
      <c r="F86" s="104">
        <v>85</v>
      </c>
      <c r="G86" s="17">
        <v>26</v>
      </c>
      <c r="H86" s="107">
        <v>90</v>
      </c>
      <c r="I86" s="108"/>
      <c r="J86" s="108"/>
      <c r="K86" s="108"/>
      <c r="L86" s="108"/>
      <c r="M86" s="109">
        <f t="shared" si="8"/>
        <v>0</v>
      </c>
      <c r="N86" s="4" t="str">
        <f t="shared" si="9"/>
        <v/>
      </c>
      <c r="O86" s="105">
        <f t="shared" si="10"/>
        <v>0</v>
      </c>
      <c r="P86" s="105">
        <f t="shared" si="11"/>
        <v>0</v>
      </c>
      <c r="Q86" s="75">
        <v>4</v>
      </c>
      <c r="R86" s="75">
        <v>2</v>
      </c>
      <c r="S86" s="75" t="s">
        <v>869</v>
      </c>
      <c r="T86" s="5" t="s">
        <v>153</v>
      </c>
      <c r="U86" s="9"/>
    </row>
    <row r="87" spans="1:21" s="38" customFormat="1" ht="12" x14ac:dyDescent="0.3">
      <c r="A87" s="110" t="s">
        <v>1074</v>
      </c>
      <c r="B87" s="111" t="s">
        <v>1075</v>
      </c>
      <c r="C87" s="112">
        <v>202</v>
      </c>
      <c r="D87" s="104">
        <v>111.2</v>
      </c>
      <c r="E87" s="106">
        <v>34</v>
      </c>
      <c r="F87" s="104">
        <v>84.9</v>
      </c>
      <c r="G87" s="17">
        <v>26</v>
      </c>
      <c r="H87" s="107">
        <v>202</v>
      </c>
      <c r="I87" s="108"/>
      <c r="J87" s="108"/>
      <c r="K87" s="108"/>
      <c r="L87" s="108"/>
      <c r="M87" s="109">
        <f t="shared" si="8"/>
        <v>0</v>
      </c>
      <c r="N87" s="4" t="str">
        <f t="shared" si="9"/>
        <v/>
      </c>
      <c r="O87" s="105">
        <f t="shared" si="10"/>
        <v>0</v>
      </c>
      <c r="P87" s="105">
        <f t="shared" si="11"/>
        <v>0</v>
      </c>
      <c r="Q87" s="75">
        <v>3</v>
      </c>
      <c r="R87" s="75">
        <v>2</v>
      </c>
      <c r="S87" s="75" t="s">
        <v>869</v>
      </c>
      <c r="T87" s="5">
        <v>111</v>
      </c>
      <c r="U87" s="9"/>
    </row>
    <row r="88" spans="1:21" s="38" customFormat="1" ht="12" x14ac:dyDescent="0.3">
      <c r="A88" s="110" t="s">
        <v>954</v>
      </c>
      <c r="B88" s="111" t="s">
        <v>955</v>
      </c>
      <c r="C88" s="112">
        <v>458</v>
      </c>
      <c r="D88" s="104">
        <v>100.4</v>
      </c>
      <c r="E88" s="106">
        <v>30</v>
      </c>
      <c r="F88" s="104">
        <v>74.400000000000006</v>
      </c>
      <c r="G88" s="17">
        <v>23</v>
      </c>
      <c r="H88" s="107">
        <v>120</v>
      </c>
      <c r="I88" s="108"/>
      <c r="J88" s="108"/>
      <c r="K88" s="108"/>
      <c r="L88" s="108"/>
      <c r="M88" s="109">
        <f t="shared" si="8"/>
        <v>0</v>
      </c>
      <c r="N88" s="4" t="str">
        <f t="shared" si="9"/>
        <v/>
      </c>
      <c r="O88" s="105">
        <f t="shared" si="10"/>
        <v>0</v>
      </c>
      <c r="P88" s="105">
        <f t="shared" si="11"/>
        <v>0</v>
      </c>
      <c r="Q88" s="75">
        <v>4</v>
      </c>
      <c r="R88" s="75">
        <v>2</v>
      </c>
      <c r="S88" s="75" t="s">
        <v>869</v>
      </c>
      <c r="T88" s="5" t="s">
        <v>148</v>
      </c>
      <c r="U88" s="9"/>
    </row>
    <row r="89" spans="1:21" s="38" customFormat="1" ht="12" x14ac:dyDescent="0.3">
      <c r="A89" s="110" t="s">
        <v>954</v>
      </c>
      <c r="B89" s="111" t="s">
        <v>1078</v>
      </c>
      <c r="C89" s="112">
        <v>458</v>
      </c>
      <c r="D89" s="104">
        <v>112.9</v>
      </c>
      <c r="E89" s="106">
        <v>34</v>
      </c>
      <c r="F89" s="104">
        <v>84.9</v>
      </c>
      <c r="G89" s="17">
        <v>26</v>
      </c>
      <c r="H89" s="107">
        <v>314</v>
      </c>
      <c r="I89" s="108"/>
      <c r="J89" s="108"/>
      <c r="K89" s="108"/>
      <c r="L89" s="108"/>
      <c r="M89" s="109">
        <f t="shared" si="8"/>
        <v>0</v>
      </c>
      <c r="N89" s="4" t="str">
        <f t="shared" si="9"/>
        <v/>
      </c>
      <c r="O89" s="105">
        <f t="shared" si="10"/>
        <v>0</v>
      </c>
      <c r="P89" s="105">
        <f t="shared" si="11"/>
        <v>0</v>
      </c>
      <c r="Q89" s="75">
        <v>4</v>
      </c>
      <c r="R89" s="75">
        <v>2</v>
      </c>
      <c r="S89" s="75" t="s">
        <v>869</v>
      </c>
      <c r="T89" s="5">
        <v>112</v>
      </c>
      <c r="U89" s="9"/>
    </row>
    <row r="90" spans="1:21" s="38" customFormat="1" ht="12" x14ac:dyDescent="0.3">
      <c r="A90" s="110" t="s">
        <v>956</v>
      </c>
      <c r="B90" s="111" t="s">
        <v>957</v>
      </c>
      <c r="C90" s="112">
        <v>299</v>
      </c>
      <c r="D90" s="104">
        <v>95.2</v>
      </c>
      <c r="E90" s="106">
        <v>29</v>
      </c>
      <c r="F90" s="104">
        <v>73</v>
      </c>
      <c r="G90" s="17">
        <v>22</v>
      </c>
      <c r="H90" s="107">
        <v>40</v>
      </c>
      <c r="I90" s="108"/>
      <c r="J90" s="108"/>
      <c r="K90" s="108"/>
      <c r="L90" s="108"/>
      <c r="M90" s="109">
        <f t="shared" si="8"/>
        <v>0</v>
      </c>
      <c r="N90" s="4" t="str">
        <f t="shared" si="9"/>
        <v/>
      </c>
      <c r="O90" s="105">
        <f t="shared" si="10"/>
        <v>0</v>
      </c>
      <c r="P90" s="105">
        <f t="shared" si="11"/>
        <v>0</v>
      </c>
      <c r="Q90" s="75">
        <v>3</v>
      </c>
      <c r="R90" s="75">
        <v>2</v>
      </c>
      <c r="S90" s="75" t="s">
        <v>869</v>
      </c>
      <c r="T90" s="5" t="s">
        <v>247</v>
      </c>
      <c r="U90" s="9"/>
    </row>
    <row r="91" spans="1:21" s="38" customFormat="1" ht="12" x14ac:dyDescent="0.3">
      <c r="A91" s="110" t="s">
        <v>956</v>
      </c>
      <c r="B91" s="111" t="s">
        <v>957</v>
      </c>
      <c r="C91" s="112">
        <v>299</v>
      </c>
      <c r="D91" s="104">
        <v>110</v>
      </c>
      <c r="E91" s="106">
        <v>33</v>
      </c>
      <c r="F91" s="104">
        <v>84.9</v>
      </c>
      <c r="G91" s="17">
        <v>26</v>
      </c>
      <c r="H91" s="107">
        <v>96</v>
      </c>
      <c r="I91" s="108"/>
      <c r="J91" s="108"/>
      <c r="K91" s="108"/>
      <c r="L91" s="108"/>
      <c r="M91" s="109">
        <f t="shared" si="8"/>
        <v>0</v>
      </c>
      <c r="N91" s="4" t="str">
        <f t="shared" si="9"/>
        <v/>
      </c>
      <c r="O91" s="105">
        <f t="shared" si="10"/>
        <v>0</v>
      </c>
      <c r="P91" s="105">
        <f t="shared" si="11"/>
        <v>0</v>
      </c>
      <c r="Q91" s="75">
        <v>3</v>
      </c>
      <c r="R91" s="75">
        <v>2</v>
      </c>
      <c r="S91" s="75" t="s">
        <v>869</v>
      </c>
      <c r="T91" s="5" t="s">
        <v>252</v>
      </c>
      <c r="U91" s="9"/>
    </row>
    <row r="92" spans="1:21" s="38" customFormat="1" ht="12" x14ac:dyDescent="0.3">
      <c r="A92" s="110" t="s">
        <v>1089</v>
      </c>
      <c r="B92" s="111" t="s">
        <v>1090</v>
      </c>
      <c r="C92" s="112">
        <v>468</v>
      </c>
      <c r="D92" s="104">
        <v>84.3</v>
      </c>
      <c r="E92" s="106">
        <v>25</v>
      </c>
      <c r="F92" s="104">
        <v>59.7</v>
      </c>
      <c r="G92" s="17">
        <v>18</v>
      </c>
      <c r="H92" s="107">
        <v>180</v>
      </c>
      <c r="I92" s="108"/>
      <c r="J92" s="108"/>
      <c r="K92" s="108"/>
      <c r="L92" s="108"/>
      <c r="M92" s="109">
        <f t="shared" si="8"/>
        <v>0</v>
      </c>
      <c r="N92" s="4" t="str">
        <f t="shared" si="9"/>
        <v/>
      </c>
      <c r="O92" s="105">
        <f t="shared" si="10"/>
        <v>0</v>
      </c>
      <c r="P92" s="105">
        <f t="shared" si="11"/>
        <v>0</v>
      </c>
      <c r="Q92" s="75">
        <v>3</v>
      </c>
      <c r="R92" s="75">
        <v>2</v>
      </c>
      <c r="S92" s="75" t="s">
        <v>869</v>
      </c>
      <c r="T92" s="5">
        <v>84</v>
      </c>
      <c r="U92" s="9"/>
    </row>
    <row r="93" spans="1:21" s="38" customFormat="1" ht="12" x14ac:dyDescent="0.3">
      <c r="A93" s="110" t="s">
        <v>972</v>
      </c>
      <c r="B93" s="111" t="s">
        <v>969</v>
      </c>
      <c r="C93" s="112">
        <v>498</v>
      </c>
      <c r="D93" s="104">
        <v>106.6</v>
      </c>
      <c r="E93" s="106">
        <v>32</v>
      </c>
      <c r="F93" s="104">
        <v>85</v>
      </c>
      <c r="G93" s="17">
        <v>26</v>
      </c>
      <c r="H93" s="107">
        <v>108</v>
      </c>
      <c r="I93" s="108"/>
      <c r="J93" s="108"/>
      <c r="K93" s="108"/>
      <c r="L93" s="108"/>
      <c r="M93" s="109">
        <f t="shared" si="8"/>
        <v>0</v>
      </c>
      <c r="N93" s="4" t="str">
        <f t="shared" si="9"/>
        <v/>
      </c>
      <c r="O93" s="105">
        <f t="shared" si="10"/>
        <v>0</v>
      </c>
      <c r="P93" s="105">
        <f t="shared" si="11"/>
        <v>0</v>
      </c>
      <c r="Q93" s="75">
        <v>3</v>
      </c>
      <c r="R93" s="75">
        <v>2</v>
      </c>
      <c r="S93" s="75" t="s">
        <v>869</v>
      </c>
      <c r="T93" s="5">
        <v>106</v>
      </c>
      <c r="U93" s="9"/>
    </row>
    <row r="94" spans="1:21" s="38" customFormat="1" ht="12" x14ac:dyDescent="0.3">
      <c r="A94" s="110" t="s">
        <v>1091</v>
      </c>
      <c r="B94" s="111" t="s">
        <v>1092</v>
      </c>
      <c r="C94" s="112">
        <v>204</v>
      </c>
      <c r="D94" s="104">
        <v>109.9</v>
      </c>
      <c r="E94" s="106">
        <v>33</v>
      </c>
      <c r="F94" s="104">
        <v>85</v>
      </c>
      <c r="G94" s="17">
        <v>26</v>
      </c>
      <c r="H94" s="107">
        <v>156</v>
      </c>
      <c r="I94" s="108"/>
      <c r="J94" s="108"/>
      <c r="K94" s="108"/>
      <c r="L94" s="108"/>
      <c r="M94" s="109">
        <f t="shared" si="8"/>
        <v>0</v>
      </c>
      <c r="N94" s="4" t="str">
        <f t="shared" si="9"/>
        <v/>
      </c>
      <c r="O94" s="105">
        <f t="shared" si="10"/>
        <v>0</v>
      </c>
      <c r="P94" s="105">
        <f t="shared" si="11"/>
        <v>0</v>
      </c>
      <c r="Q94" s="75">
        <v>3</v>
      </c>
      <c r="R94" s="75">
        <v>2</v>
      </c>
      <c r="S94" s="75" t="s">
        <v>869</v>
      </c>
      <c r="T94" s="5">
        <v>109</v>
      </c>
      <c r="U94" s="9"/>
    </row>
    <row r="95" spans="1:21" s="38" customFormat="1" ht="12" x14ac:dyDescent="0.3">
      <c r="A95" s="110" t="s">
        <v>1091</v>
      </c>
      <c r="B95" s="111" t="s">
        <v>974</v>
      </c>
      <c r="C95" s="112">
        <v>204</v>
      </c>
      <c r="D95" s="104">
        <v>151.9</v>
      </c>
      <c r="E95" s="106">
        <v>46</v>
      </c>
      <c r="F95" s="104">
        <v>126.6</v>
      </c>
      <c r="G95" s="17">
        <v>38</v>
      </c>
      <c r="H95" s="107">
        <v>48</v>
      </c>
      <c r="I95" s="108"/>
      <c r="J95" s="108"/>
      <c r="K95" s="108"/>
      <c r="L95" s="108"/>
      <c r="M95" s="109">
        <f t="shared" si="8"/>
        <v>0</v>
      </c>
      <c r="N95" s="4" t="str">
        <f t="shared" si="9"/>
        <v/>
      </c>
      <c r="O95" s="105">
        <f t="shared" si="10"/>
        <v>0</v>
      </c>
      <c r="P95" s="105">
        <f t="shared" si="11"/>
        <v>0</v>
      </c>
      <c r="Q95" s="75">
        <v>4</v>
      </c>
      <c r="R95" s="75">
        <v>2</v>
      </c>
      <c r="S95" s="75" t="s">
        <v>869</v>
      </c>
      <c r="T95" s="5">
        <v>151</v>
      </c>
      <c r="U95" s="9"/>
    </row>
    <row r="96" spans="1:21" s="38" customFormat="1" ht="12" x14ac:dyDescent="0.3">
      <c r="A96" s="110" t="s">
        <v>1093</v>
      </c>
      <c r="B96" s="111" t="s">
        <v>1094</v>
      </c>
      <c r="C96" s="112">
        <v>516</v>
      </c>
      <c r="D96" s="104">
        <v>158</v>
      </c>
      <c r="E96" s="106">
        <v>48</v>
      </c>
      <c r="F96" s="104">
        <v>125.3</v>
      </c>
      <c r="G96" s="17">
        <v>38</v>
      </c>
      <c r="H96" s="107">
        <v>84</v>
      </c>
      <c r="I96" s="108"/>
      <c r="J96" s="108"/>
      <c r="K96" s="108"/>
      <c r="L96" s="108"/>
      <c r="M96" s="109">
        <f t="shared" si="8"/>
        <v>0</v>
      </c>
      <c r="N96" s="4" t="str">
        <f t="shared" si="9"/>
        <v/>
      </c>
      <c r="O96" s="105">
        <f t="shared" si="10"/>
        <v>0</v>
      </c>
      <c r="P96" s="105">
        <f t="shared" si="11"/>
        <v>0</v>
      </c>
      <c r="Q96" s="75">
        <v>4</v>
      </c>
      <c r="R96" s="75">
        <v>2</v>
      </c>
      <c r="S96" s="75" t="s">
        <v>869</v>
      </c>
      <c r="T96" s="5">
        <v>158</v>
      </c>
      <c r="U96" s="9"/>
    </row>
    <row r="97" spans="1:21" s="38" customFormat="1" ht="12" x14ac:dyDescent="0.3">
      <c r="A97" s="110" t="s">
        <v>978</v>
      </c>
      <c r="B97" s="111" t="s">
        <v>967</v>
      </c>
      <c r="C97" s="112">
        <v>264</v>
      </c>
      <c r="D97" s="104">
        <v>143.6</v>
      </c>
      <c r="E97" s="106">
        <v>43</v>
      </c>
      <c r="F97" s="104">
        <v>119.6</v>
      </c>
      <c r="G97" s="17">
        <v>36</v>
      </c>
      <c r="H97" s="107">
        <v>44</v>
      </c>
      <c r="I97" s="108"/>
      <c r="J97" s="108"/>
      <c r="K97" s="108"/>
      <c r="L97" s="108"/>
      <c r="M97" s="109">
        <f t="shared" si="8"/>
        <v>0</v>
      </c>
      <c r="N97" s="4" t="str">
        <f t="shared" si="9"/>
        <v/>
      </c>
      <c r="O97" s="105">
        <f t="shared" si="10"/>
        <v>0</v>
      </c>
      <c r="P97" s="105">
        <f t="shared" si="11"/>
        <v>0</v>
      </c>
      <c r="Q97" s="75">
        <v>4</v>
      </c>
      <c r="R97" s="75">
        <v>2</v>
      </c>
      <c r="S97" s="75" t="s">
        <v>869</v>
      </c>
      <c r="T97" s="5">
        <v>143</v>
      </c>
      <c r="U97" s="9"/>
    </row>
    <row r="98" spans="1:21" s="38" customFormat="1" ht="12" x14ac:dyDescent="0.3">
      <c r="A98" s="110" t="s">
        <v>1095</v>
      </c>
      <c r="B98" s="111" t="s">
        <v>1096</v>
      </c>
      <c r="C98" s="112">
        <v>264</v>
      </c>
      <c r="D98" s="104">
        <v>160.1</v>
      </c>
      <c r="E98" s="106">
        <v>48</v>
      </c>
      <c r="F98" s="104">
        <v>131.5</v>
      </c>
      <c r="G98" s="17">
        <v>40</v>
      </c>
      <c r="H98" s="107">
        <v>132</v>
      </c>
      <c r="I98" s="108"/>
      <c r="J98" s="108"/>
      <c r="K98" s="108"/>
      <c r="L98" s="108"/>
      <c r="M98" s="109">
        <f t="shared" si="8"/>
        <v>0</v>
      </c>
      <c r="N98" s="4" t="str">
        <f t="shared" si="9"/>
        <v/>
      </c>
      <c r="O98" s="105">
        <f t="shared" si="10"/>
        <v>0</v>
      </c>
      <c r="P98" s="105">
        <f t="shared" si="11"/>
        <v>0</v>
      </c>
      <c r="Q98" s="75">
        <v>4</v>
      </c>
      <c r="R98" s="75">
        <v>2</v>
      </c>
      <c r="S98" s="75" t="s">
        <v>869</v>
      </c>
      <c r="T98" s="5">
        <v>160</v>
      </c>
      <c r="U98" s="9"/>
    </row>
    <row r="99" spans="1:21" s="38" customFormat="1" ht="12" x14ac:dyDescent="0.3">
      <c r="A99" s="110" t="s">
        <v>978</v>
      </c>
      <c r="B99" s="111" t="s">
        <v>1097</v>
      </c>
      <c r="C99" s="112">
        <v>264</v>
      </c>
      <c r="D99" s="104">
        <v>183.9</v>
      </c>
      <c r="E99" s="106">
        <v>56</v>
      </c>
      <c r="F99" s="104">
        <v>153.30000000000001</v>
      </c>
      <c r="G99" s="17">
        <v>46</v>
      </c>
      <c r="H99" s="107">
        <v>88</v>
      </c>
      <c r="I99" s="108"/>
      <c r="J99" s="108"/>
      <c r="K99" s="108"/>
      <c r="L99" s="108"/>
      <c r="M99" s="109">
        <f t="shared" si="8"/>
        <v>0</v>
      </c>
      <c r="N99" s="4" t="str">
        <f t="shared" si="9"/>
        <v/>
      </c>
      <c r="O99" s="105">
        <f t="shared" si="10"/>
        <v>0</v>
      </c>
      <c r="P99" s="105">
        <f t="shared" si="11"/>
        <v>0</v>
      </c>
      <c r="Q99" s="75">
        <v>4</v>
      </c>
      <c r="R99" s="75">
        <v>2</v>
      </c>
      <c r="S99" s="75" t="s">
        <v>869</v>
      </c>
      <c r="T99" s="5">
        <v>183</v>
      </c>
      <c r="U99" s="9"/>
    </row>
    <row r="100" spans="1:21" s="38" customFormat="1" ht="12" x14ac:dyDescent="0.3">
      <c r="A100" s="110" t="s">
        <v>982</v>
      </c>
      <c r="B100" s="111" t="s">
        <v>983</v>
      </c>
      <c r="C100" s="112">
        <v>1192</v>
      </c>
      <c r="D100" s="104">
        <v>163.69999999999999</v>
      </c>
      <c r="E100" s="106">
        <v>50</v>
      </c>
      <c r="F100" s="104">
        <v>133.4</v>
      </c>
      <c r="G100" s="17">
        <v>40</v>
      </c>
      <c r="H100" s="107">
        <v>146</v>
      </c>
      <c r="I100" s="108"/>
      <c r="J100" s="108"/>
      <c r="K100" s="108"/>
      <c r="L100" s="108"/>
      <c r="M100" s="109">
        <f t="shared" ref="M100:M131" si="12">I100-K100</f>
        <v>0</v>
      </c>
      <c r="N100" s="4" t="str">
        <f t="shared" ref="N100:N131" si="13">IF(ISERROR(K100/I100),"",K100/I100)</f>
        <v/>
      </c>
      <c r="O100" s="105">
        <f t="shared" ref="O100:O131" si="14">I100/E100</f>
        <v>0</v>
      </c>
      <c r="P100" s="105">
        <f t="shared" ref="P100:P131" si="15">K100/E100</f>
        <v>0</v>
      </c>
      <c r="Q100" s="75">
        <v>4</v>
      </c>
      <c r="R100" s="75">
        <v>2</v>
      </c>
      <c r="S100" s="75" t="s">
        <v>869</v>
      </c>
      <c r="T100" s="5">
        <v>163</v>
      </c>
      <c r="U100" s="9"/>
    </row>
    <row r="101" spans="1:21" s="38" customFormat="1" ht="12" x14ac:dyDescent="0.3">
      <c r="A101" s="110" t="s">
        <v>984</v>
      </c>
      <c r="B101" s="111" t="s">
        <v>985</v>
      </c>
      <c r="C101" s="112">
        <v>397</v>
      </c>
      <c r="D101" s="104">
        <v>94.6</v>
      </c>
      <c r="E101" s="106">
        <v>29</v>
      </c>
      <c r="F101" s="104">
        <v>75</v>
      </c>
      <c r="G101" s="17">
        <v>23</v>
      </c>
      <c r="H101" s="107">
        <v>108</v>
      </c>
      <c r="I101" s="108"/>
      <c r="J101" s="108"/>
      <c r="K101" s="108"/>
      <c r="L101" s="108"/>
      <c r="M101" s="109">
        <f t="shared" si="12"/>
        <v>0</v>
      </c>
      <c r="N101" s="4" t="str">
        <f t="shared" si="13"/>
        <v/>
      </c>
      <c r="O101" s="105">
        <f t="shared" si="14"/>
        <v>0</v>
      </c>
      <c r="P101" s="105">
        <f t="shared" si="15"/>
        <v>0</v>
      </c>
      <c r="Q101" s="75">
        <v>3</v>
      </c>
      <c r="R101" s="75">
        <v>2</v>
      </c>
      <c r="S101" s="75" t="s">
        <v>869</v>
      </c>
      <c r="T101" s="5">
        <v>94</v>
      </c>
      <c r="U101" s="9"/>
    </row>
    <row r="102" spans="1:21" s="38" customFormat="1" ht="12" x14ac:dyDescent="0.3">
      <c r="A102" s="110" t="s">
        <v>984</v>
      </c>
      <c r="B102" s="111" t="s">
        <v>985</v>
      </c>
      <c r="C102" s="112">
        <v>397</v>
      </c>
      <c r="D102" s="104">
        <v>107</v>
      </c>
      <c r="E102" s="106">
        <v>32</v>
      </c>
      <c r="F102" s="104">
        <v>85</v>
      </c>
      <c r="G102" s="17">
        <v>26</v>
      </c>
      <c r="H102" s="107">
        <v>60</v>
      </c>
      <c r="I102" s="108"/>
      <c r="J102" s="108"/>
      <c r="K102" s="108"/>
      <c r="L102" s="108"/>
      <c r="M102" s="109">
        <f t="shared" si="12"/>
        <v>0</v>
      </c>
      <c r="N102" s="4" t="str">
        <f t="shared" si="13"/>
        <v/>
      </c>
      <c r="O102" s="105">
        <f t="shared" si="14"/>
        <v>0</v>
      </c>
      <c r="P102" s="105">
        <f t="shared" si="15"/>
        <v>0</v>
      </c>
      <c r="Q102" s="75">
        <v>3</v>
      </c>
      <c r="R102" s="75">
        <v>2</v>
      </c>
      <c r="S102" s="75" t="s">
        <v>869</v>
      </c>
      <c r="T102" s="5">
        <v>107</v>
      </c>
      <c r="U102" s="9"/>
    </row>
    <row r="103" spans="1:21" s="38" customFormat="1" ht="12" x14ac:dyDescent="0.3">
      <c r="A103" s="110" t="s">
        <v>1103</v>
      </c>
      <c r="B103" s="111" t="s">
        <v>1104</v>
      </c>
      <c r="C103" s="112">
        <v>266</v>
      </c>
      <c r="D103" s="104">
        <v>63.3</v>
      </c>
      <c r="E103" s="106">
        <v>19</v>
      </c>
      <c r="F103" s="104">
        <v>51.7</v>
      </c>
      <c r="G103" s="17">
        <v>16</v>
      </c>
      <c r="H103" s="107">
        <v>80</v>
      </c>
      <c r="I103" s="108"/>
      <c r="J103" s="108"/>
      <c r="K103" s="108"/>
      <c r="L103" s="108"/>
      <c r="M103" s="109">
        <f t="shared" si="12"/>
        <v>0</v>
      </c>
      <c r="N103" s="4" t="str">
        <f t="shared" si="13"/>
        <v/>
      </c>
      <c r="O103" s="105">
        <f t="shared" si="14"/>
        <v>0</v>
      </c>
      <c r="P103" s="105">
        <f t="shared" si="15"/>
        <v>0</v>
      </c>
      <c r="Q103" s="75">
        <v>3</v>
      </c>
      <c r="R103" s="75">
        <v>1</v>
      </c>
      <c r="S103" s="75" t="s">
        <v>869</v>
      </c>
      <c r="T103" s="5">
        <v>63</v>
      </c>
      <c r="U103" s="9"/>
    </row>
    <row r="104" spans="1:21" s="38" customFormat="1" ht="12" x14ac:dyDescent="0.3">
      <c r="A104" s="110" t="s">
        <v>986</v>
      </c>
      <c r="B104" s="111" t="s">
        <v>1105</v>
      </c>
      <c r="C104" s="112">
        <v>266</v>
      </c>
      <c r="D104" s="104">
        <v>84.3</v>
      </c>
      <c r="E104" s="106">
        <v>26</v>
      </c>
      <c r="F104" s="104">
        <v>59.8</v>
      </c>
      <c r="G104" s="17">
        <v>18</v>
      </c>
      <c r="H104" s="107">
        <v>186</v>
      </c>
      <c r="I104" s="108"/>
      <c r="J104" s="108"/>
      <c r="K104" s="108"/>
      <c r="L104" s="108"/>
      <c r="M104" s="109">
        <f t="shared" si="12"/>
        <v>0</v>
      </c>
      <c r="N104" s="4" t="str">
        <f t="shared" si="13"/>
        <v/>
      </c>
      <c r="O104" s="105">
        <f t="shared" si="14"/>
        <v>0</v>
      </c>
      <c r="P104" s="105">
        <f t="shared" si="15"/>
        <v>0</v>
      </c>
      <c r="Q104" s="75">
        <v>3</v>
      </c>
      <c r="R104" s="75">
        <v>1</v>
      </c>
      <c r="S104" s="75" t="s">
        <v>869</v>
      </c>
      <c r="T104" s="5">
        <v>84</v>
      </c>
      <c r="U104" s="9"/>
    </row>
    <row r="105" spans="1:21" s="38" customFormat="1" ht="12" x14ac:dyDescent="0.3">
      <c r="A105" s="110" t="s">
        <v>987</v>
      </c>
      <c r="B105" s="111" t="s">
        <v>988</v>
      </c>
      <c r="C105" s="112">
        <v>750</v>
      </c>
      <c r="D105" s="104">
        <v>58.2</v>
      </c>
      <c r="E105" s="106">
        <v>18</v>
      </c>
      <c r="F105" s="104">
        <v>47.3</v>
      </c>
      <c r="G105" s="17">
        <v>14</v>
      </c>
      <c r="H105" s="107">
        <v>60</v>
      </c>
      <c r="I105" s="108"/>
      <c r="J105" s="108"/>
      <c r="K105" s="108"/>
      <c r="L105" s="108"/>
      <c r="M105" s="109">
        <f t="shared" si="12"/>
        <v>0</v>
      </c>
      <c r="N105" s="4" t="str">
        <f t="shared" si="13"/>
        <v/>
      </c>
      <c r="O105" s="105">
        <f t="shared" si="14"/>
        <v>0</v>
      </c>
      <c r="P105" s="105">
        <f t="shared" si="15"/>
        <v>0</v>
      </c>
      <c r="Q105" s="75">
        <v>3</v>
      </c>
      <c r="R105" s="75">
        <v>1</v>
      </c>
      <c r="S105" s="75" t="s">
        <v>869</v>
      </c>
      <c r="T105" s="5" t="s">
        <v>440</v>
      </c>
      <c r="U105" s="9"/>
    </row>
    <row r="106" spans="1:21" s="38" customFormat="1" ht="12" x14ac:dyDescent="0.3">
      <c r="A106" s="110" t="s">
        <v>990</v>
      </c>
      <c r="B106" s="111" t="s">
        <v>1107</v>
      </c>
      <c r="C106" s="112">
        <v>599</v>
      </c>
      <c r="D106" s="104">
        <v>111.9</v>
      </c>
      <c r="E106" s="106">
        <v>34</v>
      </c>
      <c r="F106" s="104">
        <v>85</v>
      </c>
      <c r="G106" s="17">
        <v>26</v>
      </c>
      <c r="H106" s="107">
        <v>240</v>
      </c>
      <c r="I106" s="108"/>
      <c r="J106" s="108"/>
      <c r="K106" s="108"/>
      <c r="L106" s="108"/>
      <c r="M106" s="109">
        <f t="shared" si="12"/>
        <v>0</v>
      </c>
      <c r="N106" s="4" t="str">
        <f t="shared" si="13"/>
        <v/>
      </c>
      <c r="O106" s="105">
        <f t="shared" si="14"/>
        <v>0</v>
      </c>
      <c r="P106" s="105">
        <f t="shared" si="15"/>
        <v>0</v>
      </c>
      <c r="Q106" s="75">
        <v>4</v>
      </c>
      <c r="R106" s="75">
        <v>2</v>
      </c>
      <c r="S106" s="75" t="s">
        <v>869</v>
      </c>
      <c r="T106" s="5" t="s">
        <v>153</v>
      </c>
      <c r="U106" s="9"/>
    </row>
    <row r="107" spans="1:21" s="38" customFormat="1" ht="12" x14ac:dyDescent="0.3">
      <c r="A107" s="110" t="s">
        <v>1000</v>
      </c>
      <c r="B107" s="111" t="s">
        <v>999</v>
      </c>
      <c r="C107" s="112">
        <v>452</v>
      </c>
      <c r="D107" s="104">
        <v>80.400000000000006</v>
      </c>
      <c r="E107" s="106">
        <v>24</v>
      </c>
      <c r="F107" s="104">
        <v>59.9</v>
      </c>
      <c r="G107" s="17">
        <v>18</v>
      </c>
      <c r="H107" s="107">
        <v>112</v>
      </c>
      <c r="I107" s="108"/>
      <c r="J107" s="108"/>
      <c r="K107" s="108"/>
      <c r="L107" s="108"/>
      <c r="M107" s="109">
        <f t="shared" si="12"/>
        <v>0</v>
      </c>
      <c r="N107" s="4" t="str">
        <f t="shared" si="13"/>
        <v/>
      </c>
      <c r="O107" s="105">
        <f t="shared" si="14"/>
        <v>0</v>
      </c>
      <c r="P107" s="105">
        <f t="shared" si="15"/>
        <v>0</v>
      </c>
      <c r="Q107" s="75">
        <v>3</v>
      </c>
      <c r="R107" s="75">
        <v>2</v>
      </c>
      <c r="S107" s="75" t="s">
        <v>869</v>
      </c>
      <c r="T107" s="5">
        <v>80</v>
      </c>
      <c r="U107" s="9"/>
    </row>
    <row r="108" spans="1:21" s="38" customFormat="1" ht="12" x14ac:dyDescent="0.3">
      <c r="A108" s="110" t="s">
        <v>1110</v>
      </c>
      <c r="B108" s="111" t="s">
        <v>949</v>
      </c>
      <c r="C108" s="112">
        <v>869</v>
      </c>
      <c r="D108" s="104">
        <v>158.4</v>
      </c>
      <c r="E108" s="106">
        <v>48</v>
      </c>
      <c r="F108" s="104">
        <v>121.4</v>
      </c>
      <c r="G108" s="17">
        <v>37</v>
      </c>
      <c r="H108" s="107">
        <v>90</v>
      </c>
      <c r="I108" s="108"/>
      <c r="J108" s="108"/>
      <c r="K108" s="108"/>
      <c r="L108" s="108"/>
      <c r="M108" s="109">
        <f t="shared" si="12"/>
        <v>0</v>
      </c>
      <c r="N108" s="4" t="str">
        <f t="shared" si="13"/>
        <v/>
      </c>
      <c r="O108" s="105">
        <f t="shared" si="14"/>
        <v>0</v>
      </c>
      <c r="P108" s="105">
        <f t="shared" si="15"/>
        <v>0</v>
      </c>
      <c r="Q108" s="75">
        <v>4</v>
      </c>
      <c r="R108" s="75">
        <v>2</v>
      </c>
      <c r="S108" s="75" t="s">
        <v>869</v>
      </c>
      <c r="T108" s="5">
        <v>158</v>
      </c>
      <c r="U108" s="9"/>
    </row>
    <row r="109" spans="1:21" s="38" customFormat="1" ht="12" x14ac:dyDescent="0.3">
      <c r="A109" s="110" t="s">
        <v>1003</v>
      </c>
      <c r="B109" s="111" t="s">
        <v>1004</v>
      </c>
      <c r="C109" s="112">
        <v>539</v>
      </c>
      <c r="D109" s="104">
        <v>112.6</v>
      </c>
      <c r="E109" s="106">
        <v>34</v>
      </c>
      <c r="F109" s="104">
        <v>85</v>
      </c>
      <c r="G109" s="17">
        <v>26</v>
      </c>
      <c r="H109" s="107">
        <v>357</v>
      </c>
      <c r="I109" s="108"/>
      <c r="J109" s="108"/>
      <c r="K109" s="108"/>
      <c r="L109" s="108"/>
      <c r="M109" s="109">
        <f t="shared" si="12"/>
        <v>0</v>
      </c>
      <c r="N109" s="4" t="str">
        <f t="shared" si="13"/>
        <v/>
      </c>
      <c r="O109" s="105">
        <f t="shared" si="14"/>
        <v>0</v>
      </c>
      <c r="P109" s="105">
        <f t="shared" si="15"/>
        <v>0</v>
      </c>
      <c r="Q109" s="75">
        <v>3</v>
      </c>
      <c r="R109" s="75">
        <v>2</v>
      </c>
      <c r="S109" s="75" t="s">
        <v>869</v>
      </c>
      <c r="T109" s="5" t="s">
        <v>509</v>
      </c>
      <c r="U109" s="9"/>
    </row>
    <row r="110" spans="1:21" s="38" customFormat="1" ht="12" x14ac:dyDescent="0.3">
      <c r="A110" s="110" t="s">
        <v>1006</v>
      </c>
      <c r="B110" s="111" t="s">
        <v>1007</v>
      </c>
      <c r="C110" s="112">
        <v>897</v>
      </c>
      <c r="D110" s="104">
        <v>149.6</v>
      </c>
      <c r="E110" s="106">
        <v>45</v>
      </c>
      <c r="F110" s="104">
        <v>120.4</v>
      </c>
      <c r="G110" s="17">
        <v>36</v>
      </c>
      <c r="H110" s="107">
        <v>120</v>
      </c>
      <c r="I110" s="108"/>
      <c r="J110" s="108"/>
      <c r="K110" s="108"/>
      <c r="L110" s="108"/>
      <c r="M110" s="109">
        <f t="shared" si="12"/>
        <v>0</v>
      </c>
      <c r="N110" s="4" t="str">
        <f t="shared" si="13"/>
        <v/>
      </c>
      <c r="O110" s="105">
        <f t="shared" si="14"/>
        <v>0</v>
      </c>
      <c r="P110" s="105">
        <f t="shared" si="15"/>
        <v>0</v>
      </c>
      <c r="Q110" s="75">
        <v>4</v>
      </c>
      <c r="R110" s="75">
        <v>2</v>
      </c>
      <c r="S110" s="75" t="s">
        <v>869</v>
      </c>
      <c r="T110" s="5">
        <v>149</v>
      </c>
      <c r="U110" s="9"/>
    </row>
    <row r="111" spans="1:21" s="38" customFormat="1" ht="12" x14ac:dyDescent="0.3">
      <c r="A111" s="110" t="s">
        <v>1011</v>
      </c>
      <c r="B111" s="111" t="s">
        <v>1012</v>
      </c>
      <c r="C111" s="112">
        <v>268</v>
      </c>
      <c r="D111" s="104">
        <v>89.3</v>
      </c>
      <c r="E111" s="106">
        <v>27</v>
      </c>
      <c r="F111" s="104">
        <v>77.2</v>
      </c>
      <c r="G111" s="17">
        <v>23</v>
      </c>
      <c r="H111" s="107">
        <v>108</v>
      </c>
      <c r="I111" s="108"/>
      <c r="J111" s="108"/>
      <c r="K111" s="108"/>
      <c r="L111" s="108"/>
      <c r="M111" s="109">
        <f t="shared" si="12"/>
        <v>0</v>
      </c>
      <c r="N111" s="4" t="str">
        <f t="shared" si="13"/>
        <v/>
      </c>
      <c r="O111" s="105">
        <f t="shared" si="14"/>
        <v>0</v>
      </c>
      <c r="P111" s="105">
        <f t="shared" si="15"/>
        <v>0</v>
      </c>
      <c r="Q111" s="75">
        <v>3</v>
      </c>
      <c r="R111" s="75">
        <v>1</v>
      </c>
      <c r="S111" s="75" t="s">
        <v>869</v>
      </c>
      <c r="T111" s="5">
        <v>89</v>
      </c>
      <c r="U111" s="9"/>
    </row>
    <row r="112" spans="1:21" s="38" customFormat="1" ht="12" x14ac:dyDescent="0.3">
      <c r="A112" s="110" t="s">
        <v>1011</v>
      </c>
      <c r="B112" s="111" t="s">
        <v>1012</v>
      </c>
      <c r="C112" s="112">
        <v>268</v>
      </c>
      <c r="D112" s="104">
        <v>99.2</v>
      </c>
      <c r="E112" s="106">
        <v>30</v>
      </c>
      <c r="F112" s="104">
        <v>85</v>
      </c>
      <c r="G112" s="17">
        <v>26</v>
      </c>
      <c r="H112" s="107">
        <v>150</v>
      </c>
      <c r="I112" s="108"/>
      <c r="J112" s="108"/>
      <c r="K112" s="108"/>
      <c r="L112" s="108"/>
      <c r="M112" s="109">
        <f t="shared" si="12"/>
        <v>0</v>
      </c>
      <c r="N112" s="4" t="str">
        <f t="shared" si="13"/>
        <v/>
      </c>
      <c r="O112" s="105">
        <f t="shared" si="14"/>
        <v>0</v>
      </c>
      <c r="P112" s="105">
        <f t="shared" si="15"/>
        <v>0</v>
      </c>
      <c r="Q112" s="75">
        <v>3</v>
      </c>
      <c r="R112" s="75">
        <v>2</v>
      </c>
      <c r="S112" s="75" t="s">
        <v>869</v>
      </c>
      <c r="T112" s="5">
        <v>99</v>
      </c>
      <c r="U112" s="9"/>
    </row>
    <row r="113" spans="1:21" s="38" customFormat="1" ht="12" x14ac:dyDescent="0.3">
      <c r="A113" s="110" t="s">
        <v>1024</v>
      </c>
      <c r="B113" s="111" t="s">
        <v>1025</v>
      </c>
      <c r="C113" s="112">
        <v>520</v>
      </c>
      <c r="D113" s="104">
        <v>110.9</v>
      </c>
      <c r="E113" s="106">
        <v>34</v>
      </c>
      <c r="F113" s="104">
        <v>84.9</v>
      </c>
      <c r="G113" s="17">
        <v>26</v>
      </c>
      <c r="H113" s="107">
        <v>224</v>
      </c>
      <c r="I113" s="108"/>
      <c r="J113" s="108"/>
      <c r="K113" s="108"/>
      <c r="L113" s="108"/>
      <c r="M113" s="109">
        <f t="shared" si="12"/>
        <v>0</v>
      </c>
      <c r="N113" s="4" t="str">
        <f t="shared" si="13"/>
        <v/>
      </c>
      <c r="O113" s="105">
        <f t="shared" si="14"/>
        <v>0</v>
      </c>
      <c r="P113" s="105">
        <f t="shared" si="15"/>
        <v>0</v>
      </c>
      <c r="Q113" s="75">
        <v>3</v>
      </c>
      <c r="R113" s="75">
        <v>2</v>
      </c>
      <c r="S113" s="75" t="s">
        <v>869</v>
      </c>
      <c r="T113" s="5" t="s">
        <v>287</v>
      </c>
      <c r="U113" s="9"/>
    </row>
    <row r="114" spans="1:21" s="38" customFormat="1" ht="12" x14ac:dyDescent="0.3">
      <c r="A114" s="110" t="s">
        <v>1026</v>
      </c>
      <c r="B114" s="111" t="s">
        <v>1027</v>
      </c>
      <c r="C114" s="112">
        <v>299</v>
      </c>
      <c r="D114" s="104">
        <v>104</v>
      </c>
      <c r="E114" s="106">
        <v>31</v>
      </c>
      <c r="F114" s="104">
        <v>84.9</v>
      </c>
      <c r="G114" s="17">
        <v>26</v>
      </c>
      <c r="H114" s="107">
        <v>251</v>
      </c>
      <c r="I114" s="108"/>
      <c r="J114" s="108"/>
      <c r="K114" s="108"/>
      <c r="L114" s="108"/>
      <c r="M114" s="109">
        <f t="shared" si="12"/>
        <v>0</v>
      </c>
      <c r="N114" s="4" t="str">
        <f t="shared" si="13"/>
        <v/>
      </c>
      <c r="O114" s="105">
        <f t="shared" si="14"/>
        <v>0</v>
      </c>
      <c r="P114" s="105">
        <f t="shared" si="15"/>
        <v>0</v>
      </c>
      <c r="Q114" s="75">
        <v>3</v>
      </c>
      <c r="R114" s="75">
        <v>2</v>
      </c>
      <c r="S114" s="75" t="s">
        <v>869</v>
      </c>
      <c r="T114" s="5">
        <v>103</v>
      </c>
      <c r="U114" s="9"/>
    </row>
    <row r="115" spans="1:21" s="38" customFormat="1" ht="12" x14ac:dyDescent="0.3">
      <c r="A115" s="110" t="s">
        <v>1026</v>
      </c>
      <c r="B115" s="111" t="s">
        <v>1027</v>
      </c>
      <c r="C115" s="112">
        <v>299</v>
      </c>
      <c r="D115" s="104">
        <v>160.6</v>
      </c>
      <c r="E115" s="106">
        <v>49</v>
      </c>
      <c r="F115" s="104">
        <v>130.4</v>
      </c>
      <c r="G115" s="17">
        <v>39</v>
      </c>
      <c r="H115" s="107">
        <v>48</v>
      </c>
      <c r="I115" s="108"/>
      <c r="J115" s="108"/>
      <c r="K115" s="108"/>
      <c r="L115" s="108"/>
      <c r="M115" s="109">
        <f t="shared" si="12"/>
        <v>0</v>
      </c>
      <c r="N115" s="4" t="str">
        <f t="shared" si="13"/>
        <v/>
      </c>
      <c r="O115" s="105">
        <f t="shared" si="14"/>
        <v>0</v>
      </c>
      <c r="P115" s="105">
        <f t="shared" si="15"/>
        <v>0</v>
      </c>
      <c r="Q115" s="75">
        <v>4</v>
      </c>
      <c r="R115" s="75">
        <v>2</v>
      </c>
      <c r="S115" s="75" t="s">
        <v>869</v>
      </c>
      <c r="T115" s="5">
        <v>160</v>
      </c>
      <c r="U115" s="9"/>
    </row>
    <row r="116" spans="1:21" s="38" customFormat="1" ht="12" x14ac:dyDescent="0.3">
      <c r="A116" s="110" t="s">
        <v>1028</v>
      </c>
      <c r="B116" s="111" t="s">
        <v>1029</v>
      </c>
      <c r="C116" s="112">
        <v>600</v>
      </c>
      <c r="D116" s="104">
        <v>80</v>
      </c>
      <c r="E116" s="106">
        <v>24</v>
      </c>
      <c r="F116" s="104">
        <v>59.7</v>
      </c>
      <c r="G116" s="17">
        <v>18</v>
      </c>
      <c r="H116" s="107">
        <v>216</v>
      </c>
      <c r="I116" s="108"/>
      <c r="J116" s="108"/>
      <c r="K116" s="108"/>
      <c r="L116" s="108"/>
      <c r="M116" s="109">
        <f t="shared" si="12"/>
        <v>0</v>
      </c>
      <c r="N116" s="4" t="str">
        <f t="shared" si="13"/>
        <v/>
      </c>
      <c r="O116" s="105">
        <f t="shared" si="14"/>
        <v>0</v>
      </c>
      <c r="P116" s="105">
        <f t="shared" si="15"/>
        <v>0</v>
      </c>
      <c r="Q116" s="75">
        <v>3</v>
      </c>
      <c r="R116" s="75">
        <v>1</v>
      </c>
      <c r="S116" s="75" t="s">
        <v>869</v>
      </c>
      <c r="T116" s="5" t="s">
        <v>632</v>
      </c>
      <c r="U116" s="9"/>
    </row>
    <row r="117" spans="1:21" s="38" customFormat="1" ht="12" x14ac:dyDescent="0.3">
      <c r="A117" s="110" t="s">
        <v>1028</v>
      </c>
      <c r="B117" s="111" t="s">
        <v>1029</v>
      </c>
      <c r="C117" s="112">
        <v>600</v>
      </c>
      <c r="D117" s="104">
        <v>101.3</v>
      </c>
      <c r="E117" s="106">
        <v>31</v>
      </c>
      <c r="F117" s="104">
        <v>75.599999999999994</v>
      </c>
      <c r="G117" s="17">
        <v>23</v>
      </c>
      <c r="H117" s="107">
        <v>72</v>
      </c>
      <c r="I117" s="108"/>
      <c r="J117" s="108"/>
      <c r="K117" s="108"/>
      <c r="L117" s="108"/>
      <c r="M117" s="109">
        <f t="shared" si="12"/>
        <v>0</v>
      </c>
      <c r="N117" s="4" t="str">
        <f t="shared" si="13"/>
        <v/>
      </c>
      <c r="O117" s="105">
        <f t="shared" si="14"/>
        <v>0</v>
      </c>
      <c r="P117" s="105">
        <f t="shared" si="15"/>
        <v>0</v>
      </c>
      <c r="Q117" s="75">
        <v>3</v>
      </c>
      <c r="R117" s="75">
        <v>2</v>
      </c>
      <c r="S117" s="75" t="s">
        <v>869</v>
      </c>
      <c r="T117" s="5" t="s">
        <v>281</v>
      </c>
      <c r="U117" s="9"/>
    </row>
    <row r="118" spans="1:21" s="38" customFormat="1" ht="12" x14ac:dyDescent="0.3">
      <c r="A118" s="110" t="s">
        <v>1028</v>
      </c>
      <c r="B118" s="111" t="s">
        <v>1029</v>
      </c>
      <c r="C118" s="112">
        <v>600</v>
      </c>
      <c r="D118" s="104">
        <v>113.4</v>
      </c>
      <c r="E118" s="106">
        <v>34</v>
      </c>
      <c r="F118" s="104">
        <v>84.6</v>
      </c>
      <c r="G118" s="17">
        <v>26</v>
      </c>
      <c r="H118" s="107">
        <v>70</v>
      </c>
      <c r="I118" s="108"/>
      <c r="J118" s="108"/>
      <c r="K118" s="108"/>
      <c r="L118" s="108"/>
      <c r="M118" s="109">
        <f t="shared" si="12"/>
        <v>0</v>
      </c>
      <c r="N118" s="4" t="str">
        <f t="shared" si="13"/>
        <v/>
      </c>
      <c r="O118" s="105">
        <f t="shared" si="14"/>
        <v>0</v>
      </c>
      <c r="P118" s="105">
        <f t="shared" si="15"/>
        <v>0</v>
      </c>
      <c r="Q118" s="75">
        <v>3</v>
      </c>
      <c r="R118" s="75">
        <v>2</v>
      </c>
      <c r="S118" s="75" t="s">
        <v>869</v>
      </c>
      <c r="T118" s="5" t="s">
        <v>123</v>
      </c>
      <c r="U118" s="9"/>
    </row>
    <row r="119" spans="1:21" s="38" customFormat="1" ht="12" x14ac:dyDescent="0.3">
      <c r="A119" s="110" t="s">
        <v>1036</v>
      </c>
      <c r="B119" s="111" t="s">
        <v>953</v>
      </c>
      <c r="C119" s="112">
        <v>442</v>
      </c>
      <c r="D119" s="104">
        <v>99.7</v>
      </c>
      <c r="E119" s="106">
        <v>30</v>
      </c>
      <c r="F119" s="104">
        <v>74.2</v>
      </c>
      <c r="G119" s="17">
        <v>22</v>
      </c>
      <c r="H119" s="107">
        <v>58</v>
      </c>
      <c r="I119" s="108"/>
      <c r="J119" s="108"/>
      <c r="K119" s="108"/>
      <c r="L119" s="108"/>
      <c r="M119" s="109">
        <f t="shared" si="12"/>
        <v>0</v>
      </c>
      <c r="N119" s="4" t="str">
        <f t="shared" si="13"/>
        <v/>
      </c>
      <c r="O119" s="105">
        <f t="shared" si="14"/>
        <v>0</v>
      </c>
      <c r="P119" s="105">
        <f t="shared" si="15"/>
        <v>0</v>
      </c>
      <c r="Q119" s="75">
        <v>3</v>
      </c>
      <c r="R119" s="75">
        <v>2</v>
      </c>
      <c r="S119" s="75" t="s">
        <v>869</v>
      </c>
      <c r="T119" s="5">
        <v>99</v>
      </c>
      <c r="U119" s="9"/>
    </row>
    <row r="120" spans="1:21" s="38" customFormat="1" ht="12" x14ac:dyDescent="0.3">
      <c r="A120" s="110" t="s">
        <v>1044</v>
      </c>
      <c r="B120" s="111" t="s">
        <v>1045</v>
      </c>
      <c r="C120" s="112">
        <v>282</v>
      </c>
      <c r="D120" s="104">
        <v>109.7</v>
      </c>
      <c r="E120" s="106">
        <v>33</v>
      </c>
      <c r="F120" s="104">
        <v>84.9</v>
      </c>
      <c r="G120" s="17">
        <v>26</v>
      </c>
      <c r="H120" s="107">
        <v>147</v>
      </c>
      <c r="I120" s="108"/>
      <c r="J120" s="108"/>
      <c r="K120" s="108"/>
      <c r="L120" s="108"/>
      <c r="M120" s="109">
        <f t="shared" si="12"/>
        <v>0</v>
      </c>
      <c r="N120" s="4" t="str">
        <f t="shared" si="13"/>
        <v/>
      </c>
      <c r="O120" s="105">
        <f t="shared" si="14"/>
        <v>0</v>
      </c>
      <c r="P120" s="105">
        <f t="shared" si="15"/>
        <v>0</v>
      </c>
      <c r="Q120" s="75">
        <v>3</v>
      </c>
      <c r="R120" s="75">
        <v>2</v>
      </c>
      <c r="S120" s="75" t="s">
        <v>869</v>
      </c>
      <c r="T120" s="5">
        <v>109</v>
      </c>
      <c r="U120" s="9"/>
    </row>
    <row r="121" spans="1:21" s="38" customFormat="1" ht="12" x14ac:dyDescent="0.3">
      <c r="A121" s="110" t="s">
        <v>1044</v>
      </c>
      <c r="B121" s="111" t="s">
        <v>1045</v>
      </c>
      <c r="C121" s="112">
        <v>282</v>
      </c>
      <c r="D121" s="104">
        <v>151.19999999999999</v>
      </c>
      <c r="E121" s="106">
        <v>46</v>
      </c>
      <c r="F121" s="104">
        <v>120.7</v>
      </c>
      <c r="G121" s="17">
        <v>37</v>
      </c>
      <c r="H121" s="107">
        <v>45</v>
      </c>
      <c r="I121" s="108"/>
      <c r="J121" s="108"/>
      <c r="K121" s="108"/>
      <c r="L121" s="108"/>
      <c r="M121" s="109">
        <f t="shared" si="12"/>
        <v>0</v>
      </c>
      <c r="N121" s="4" t="str">
        <f t="shared" si="13"/>
        <v/>
      </c>
      <c r="O121" s="105">
        <f t="shared" si="14"/>
        <v>0</v>
      </c>
      <c r="P121" s="105">
        <f t="shared" si="15"/>
        <v>0</v>
      </c>
      <c r="Q121" s="75">
        <v>4</v>
      </c>
      <c r="R121" s="75">
        <v>2</v>
      </c>
      <c r="S121" s="75" t="s">
        <v>869</v>
      </c>
      <c r="T121" s="5">
        <v>151</v>
      </c>
      <c r="U121" s="9"/>
    </row>
    <row r="122" spans="1:21" s="38" customFormat="1" ht="12" x14ac:dyDescent="0.3">
      <c r="A122" s="110" t="s">
        <v>1044</v>
      </c>
      <c r="B122" s="111" t="s">
        <v>1045</v>
      </c>
      <c r="C122" s="112">
        <v>282</v>
      </c>
      <c r="D122" s="104">
        <v>174.5</v>
      </c>
      <c r="E122" s="106">
        <v>53</v>
      </c>
      <c r="F122" s="104">
        <v>140.5</v>
      </c>
      <c r="G122" s="17">
        <v>42</v>
      </c>
      <c r="H122" s="107">
        <v>90</v>
      </c>
      <c r="I122" s="108"/>
      <c r="J122" s="108"/>
      <c r="K122" s="108"/>
      <c r="L122" s="108"/>
      <c r="M122" s="109">
        <f t="shared" si="12"/>
        <v>0</v>
      </c>
      <c r="N122" s="4" t="str">
        <f t="shared" si="13"/>
        <v/>
      </c>
      <c r="O122" s="105">
        <f t="shared" si="14"/>
        <v>0</v>
      </c>
      <c r="P122" s="105">
        <f t="shared" si="15"/>
        <v>0</v>
      </c>
      <c r="Q122" s="75">
        <v>4</v>
      </c>
      <c r="R122" s="75">
        <v>2</v>
      </c>
      <c r="S122" s="75" t="s">
        <v>869</v>
      </c>
      <c r="T122" s="5">
        <v>174</v>
      </c>
      <c r="U122" s="9"/>
    </row>
    <row r="123" spans="1:21" s="38" customFormat="1" ht="12" x14ac:dyDescent="0.3">
      <c r="A123" s="110" t="s">
        <v>1050</v>
      </c>
      <c r="B123" s="111" t="s">
        <v>1051</v>
      </c>
      <c r="C123" s="112">
        <v>906</v>
      </c>
      <c r="D123" s="104">
        <v>113.3</v>
      </c>
      <c r="E123" s="106">
        <v>34</v>
      </c>
      <c r="F123" s="104">
        <v>85</v>
      </c>
      <c r="G123" s="17">
        <v>26</v>
      </c>
      <c r="H123" s="107">
        <v>906</v>
      </c>
      <c r="I123" s="108"/>
      <c r="J123" s="108"/>
      <c r="K123" s="108"/>
      <c r="L123" s="108"/>
      <c r="M123" s="109">
        <f t="shared" si="12"/>
        <v>0</v>
      </c>
      <c r="N123" s="4" t="str">
        <f t="shared" si="13"/>
        <v/>
      </c>
      <c r="O123" s="105">
        <f t="shared" si="14"/>
        <v>0</v>
      </c>
      <c r="P123" s="105">
        <f t="shared" si="15"/>
        <v>0</v>
      </c>
      <c r="Q123" s="75">
        <v>3</v>
      </c>
      <c r="R123" s="75">
        <v>2</v>
      </c>
      <c r="S123" s="75" t="s">
        <v>869</v>
      </c>
      <c r="T123" s="5">
        <v>113</v>
      </c>
      <c r="U123" s="9"/>
    </row>
    <row r="124" spans="1:21" s="38" customFormat="1" ht="12" x14ac:dyDescent="0.3">
      <c r="A124" s="110" t="s">
        <v>1056</v>
      </c>
      <c r="B124" s="111" t="s">
        <v>1057</v>
      </c>
      <c r="C124" s="112">
        <v>248</v>
      </c>
      <c r="D124" s="104">
        <v>109</v>
      </c>
      <c r="E124" s="106">
        <v>33</v>
      </c>
      <c r="F124" s="104">
        <v>84.4</v>
      </c>
      <c r="G124" s="17">
        <v>26</v>
      </c>
      <c r="H124" s="107">
        <v>160</v>
      </c>
      <c r="I124" s="108"/>
      <c r="J124" s="108"/>
      <c r="K124" s="108"/>
      <c r="L124" s="108"/>
      <c r="M124" s="109">
        <f t="shared" si="12"/>
        <v>0</v>
      </c>
      <c r="N124" s="4" t="str">
        <f t="shared" si="13"/>
        <v/>
      </c>
      <c r="O124" s="105">
        <f t="shared" si="14"/>
        <v>0</v>
      </c>
      <c r="P124" s="105">
        <f t="shared" si="15"/>
        <v>0</v>
      </c>
      <c r="Q124" s="75">
        <v>3</v>
      </c>
      <c r="R124" s="75">
        <v>2</v>
      </c>
      <c r="S124" s="75" t="s">
        <v>869</v>
      </c>
      <c r="T124" s="5">
        <v>109</v>
      </c>
      <c r="U124" s="9"/>
    </row>
    <row r="125" spans="1:21" s="38" customFormat="1" ht="12" x14ac:dyDescent="0.3">
      <c r="A125" s="110" t="s">
        <v>1056</v>
      </c>
      <c r="B125" s="111" t="s">
        <v>1057</v>
      </c>
      <c r="C125" s="112">
        <v>248</v>
      </c>
      <c r="D125" s="104">
        <v>139.5</v>
      </c>
      <c r="E125" s="106">
        <v>42</v>
      </c>
      <c r="F125" s="104">
        <v>115.9</v>
      </c>
      <c r="G125" s="17">
        <v>35</v>
      </c>
      <c r="H125" s="107">
        <v>88</v>
      </c>
      <c r="I125" s="108"/>
      <c r="J125" s="108"/>
      <c r="K125" s="108"/>
      <c r="L125" s="108"/>
      <c r="M125" s="109">
        <f t="shared" si="12"/>
        <v>0</v>
      </c>
      <c r="N125" s="4" t="str">
        <f t="shared" si="13"/>
        <v/>
      </c>
      <c r="O125" s="105">
        <f t="shared" si="14"/>
        <v>0</v>
      </c>
      <c r="P125" s="105">
        <f t="shared" si="15"/>
        <v>0</v>
      </c>
      <c r="Q125" s="75">
        <v>3</v>
      </c>
      <c r="R125" s="75">
        <v>2</v>
      </c>
      <c r="S125" s="75" t="s">
        <v>869</v>
      </c>
      <c r="T125" s="5">
        <v>139</v>
      </c>
      <c r="U125" s="9"/>
    </row>
    <row r="126" spans="1:21" s="38" customFormat="1" ht="12" x14ac:dyDescent="0.3">
      <c r="A126" s="110" t="s">
        <v>1058</v>
      </c>
      <c r="B126" s="111" t="s">
        <v>1059</v>
      </c>
      <c r="C126" s="112">
        <v>1822</v>
      </c>
      <c r="D126" s="104">
        <v>98.3</v>
      </c>
      <c r="E126" s="106">
        <v>30</v>
      </c>
      <c r="F126" s="104">
        <v>73</v>
      </c>
      <c r="G126" s="17">
        <v>22</v>
      </c>
      <c r="H126" s="107">
        <v>201</v>
      </c>
      <c r="I126" s="108"/>
      <c r="J126" s="108"/>
      <c r="K126" s="108"/>
      <c r="L126" s="108"/>
      <c r="M126" s="109">
        <f t="shared" si="12"/>
        <v>0</v>
      </c>
      <c r="N126" s="4" t="str">
        <f t="shared" si="13"/>
        <v/>
      </c>
      <c r="O126" s="105">
        <f t="shared" si="14"/>
        <v>0</v>
      </c>
      <c r="P126" s="105">
        <f t="shared" si="15"/>
        <v>0</v>
      </c>
      <c r="Q126" s="75">
        <v>3</v>
      </c>
      <c r="R126" s="75">
        <v>2</v>
      </c>
      <c r="S126" s="75" t="s">
        <v>869</v>
      </c>
      <c r="T126" s="5" t="s">
        <v>119</v>
      </c>
      <c r="U126" s="9"/>
    </row>
    <row r="127" spans="1:21" s="38" customFormat="1" ht="12" x14ac:dyDescent="0.3">
      <c r="A127" s="110" t="s">
        <v>1058</v>
      </c>
      <c r="B127" s="111" t="s">
        <v>1059</v>
      </c>
      <c r="C127" s="112">
        <v>1822</v>
      </c>
      <c r="D127" s="104">
        <v>129.30000000000001</v>
      </c>
      <c r="E127" s="106">
        <v>39</v>
      </c>
      <c r="F127" s="104">
        <v>104</v>
      </c>
      <c r="G127" s="17">
        <v>31</v>
      </c>
      <c r="H127" s="107">
        <v>177</v>
      </c>
      <c r="I127" s="108"/>
      <c r="J127" s="108"/>
      <c r="K127" s="108"/>
      <c r="L127" s="108"/>
      <c r="M127" s="109">
        <f t="shared" si="12"/>
        <v>0</v>
      </c>
      <c r="N127" s="4" t="str">
        <f t="shared" si="13"/>
        <v/>
      </c>
      <c r="O127" s="105">
        <f t="shared" si="14"/>
        <v>0</v>
      </c>
      <c r="P127" s="105">
        <f t="shared" si="15"/>
        <v>0</v>
      </c>
      <c r="Q127" s="75">
        <v>4</v>
      </c>
      <c r="R127" s="75">
        <v>2</v>
      </c>
      <c r="S127" s="75" t="s">
        <v>869</v>
      </c>
      <c r="T127" s="5">
        <v>129</v>
      </c>
      <c r="U127" s="9"/>
    </row>
    <row r="128" spans="1:21" s="38" customFormat="1" ht="12" x14ac:dyDescent="0.3">
      <c r="A128" s="110" t="s">
        <v>1060</v>
      </c>
      <c r="B128" s="111" t="s">
        <v>1051</v>
      </c>
      <c r="C128" s="112">
        <v>372</v>
      </c>
      <c r="D128" s="104">
        <v>126.6</v>
      </c>
      <c r="E128" s="106">
        <v>38</v>
      </c>
      <c r="F128" s="104">
        <v>107.7</v>
      </c>
      <c r="G128" s="17">
        <v>33</v>
      </c>
      <c r="H128" s="107">
        <v>48</v>
      </c>
      <c r="I128" s="108"/>
      <c r="J128" s="108"/>
      <c r="K128" s="108"/>
      <c r="L128" s="108"/>
      <c r="M128" s="109">
        <f t="shared" si="12"/>
        <v>0</v>
      </c>
      <c r="N128" s="4" t="str">
        <f t="shared" si="13"/>
        <v/>
      </c>
      <c r="O128" s="105">
        <f t="shared" si="14"/>
        <v>0</v>
      </c>
      <c r="P128" s="105">
        <f t="shared" si="15"/>
        <v>0</v>
      </c>
      <c r="Q128" s="75">
        <v>4</v>
      </c>
      <c r="R128" s="75">
        <v>2</v>
      </c>
      <c r="S128" s="75" t="s">
        <v>869</v>
      </c>
      <c r="T128" s="5">
        <v>126</v>
      </c>
      <c r="U128" s="9"/>
    </row>
    <row r="129" spans="1:22" s="38" customFormat="1" ht="12" x14ac:dyDescent="0.3">
      <c r="A129" s="110" t="s">
        <v>1061</v>
      </c>
      <c r="B129" s="111" t="s">
        <v>1062</v>
      </c>
      <c r="C129" s="112">
        <v>1763</v>
      </c>
      <c r="D129" s="104">
        <v>94.9</v>
      </c>
      <c r="E129" s="106">
        <v>29</v>
      </c>
      <c r="F129" s="104">
        <v>77.099999999999994</v>
      </c>
      <c r="G129" s="17">
        <v>23</v>
      </c>
      <c r="H129" s="107">
        <v>110</v>
      </c>
      <c r="I129" s="108"/>
      <c r="J129" s="108"/>
      <c r="K129" s="108"/>
      <c r="L129" s="108"/>
      <c r="M129" s="109">
        <f t="shared" si="12"/>
        <v>0</v>
      </c>
      <c r="N129" s="4" t="str">
        <f t="shared" si="13"/>
        <v/>
      </c>
      <c r="O129" s="105">
        <f t="shared" si="14"/>
        <v>0</v>
      </c>
      <c r="P129" s="105">
        <f t="shared" si="15"/>
        <v>0</v>
      </c>
      <c r="Q129" s="75">
        <v>3</v>
      </c>
      <c r="R129" s="75">
        <v>1</v>
      </c>
      <c r="S129" s="75" t="s">
        <v>869</v>
      </c>
      <c r="T129" s="5">
        <v>94</v>
      </c>
      <c r="U129" s="9"/>
    </row>
    <row r="130" spans="1:22" s="38" customFormat="1" ht="12" x14ac:dyDescent="0.3">
      <c r="A130" s="110" t="s">
        <v>1061</v>
      </c>
      <c r="B130" s="111" t="s">
        <v>1062</v>
      </c>
      <c r="C130" s="112">
        <v>1763</v>
      </c>
      <c r="D130" s="104">
        <v>123</v>
      </c>
      <c r="E130" s="106">
        <v>37</v>
      </c>
      <c r="F130" s="104">
        <v>101.7</v>
      </c>
      <c r="G130" s="17">
        <v>31</v>
      </c>
      <c r="H130" s="107">
        <v>50</v>
      </c>
      <c r="I130" s="108"/>
      <c r="J130" s="108"/>
      <c r="K130" s="108"/>
      <c r="L130" s="108"/>
      <c r="M130" s="109">
        <f t="shared" si="12"/>
        <v>0</v>
      </c>
      <c r="N130" s="4" t="str">
        <f t="shared" si="13"/>
        <v/>
      </c>
      <c r="O130" s="105">
        <f t="shared" si="14"/>
        <v>0</v>
      </c>
      <c r="P130" s="105">
        <f t="shared" si="15"/>
        <v>0</v>
      </c>
      <c r="Q130" s="75">
        <v>4</v>
      </c>
      <c r="R130" s="75">
        <v>2</v>
      </c>
      <c r="S130" s="75" t="s">
        <v>869</v>
      </c>
      <c r="T130" s="5">
        <v>123</v>
      </c>
      <c r="U130" s="9"/>
    </row>
    <row r="131" spans="1:22" s="38" customFormat="1" ht="12" x14ac:dyDescent="0.3">
      <c r="A131" s="110" t="s">
        <v>1061</v>
      </c>
      <c r="B131" s="111" t="s">
        <v>1062</v>
      </c>
      <c r="C131" s="112">
        <v>1763</v>
      </c>
      <c r="D131" s="104">
        <v>153.4</v>
      </c>
      <c r="E131" s="106">
        <v>46</v>
      </c>
      <c r="F131" s="104">
        <v>129.6</v>
      </c>
      <c r="G131" s="17">
        <v>39</v>
      </c>
      <c r="H131" s="107">
        <v>156</v>
      </c>
      <c r="I131" s="108"/>
      <c r="J131" s="108"/>
      <c r="K131" s="108"/>
      <c r="L131" s="108"/>
      <c r="M131" s="109">
        <f t="shared" si="12"/>
        <v>0</v>
      </c>
      <c r="N131" s="4" t="str">
        <f t="shared" si="13"/>
        <v/>
      </c>
      <c r="O131" s="105">
        <f t="shared" si="14"/>
        <v>0</v>
      </c>
      <c r="P131" s="105">
        <f t="shared" si="15"/>
        <v>0</v>
      </c>
      <c r="Q131" s="75">
        <v>4</v>
      </c>
      <c r="R131" s="75">
        <v>2</v>
      </c>
      <c r="S131" s="75" t="s">
        <v>869</v>
      </c>
      <c r="T131" s="5">
        <v>153</v>
      </c>
      <c r="U131" s="9"/>
    </row>
    <row r="132" spans="1:22" s="38" customFormat="1" ht="16.5" customHeight="1" x14ac:dyDescent="0.3">
      <c r="A132" s="77"/>
      <c r="B132" s="77"/>
      <c r="C132" s="77"/>
      <c r="D132" s="77"/>
      <c r="E132" s="77"/>
      <c r="F132" s="77"/>
      <c r="G132" s="77"/>
      <c r="H132" s="77"/>
      <c r="I132" s="77"/>
      <c r="J132" s="77"/>
      <c r="K132" s="77"/>
      <c r="L132" s="77"/>
      <c r="M132" s="77"/>
      <c r="N132" s="77"/>
      <c r="O132" s="77"/>
      <c r="P132" s="77"/>
      <c r="Q132" s="77"/>
      <c r="R132" s="77"/>
      <c r="S132" s="77"/>
      <c r="T132" s="77"/>
      <c r="U132" s="77"/>
      <c r="V132" s="77"/>
    </row>
    <row r="133" spans="1:22" s="38" customFormat="1" ht="16.5" customHeight="1" x14ac:dyDescent="0.3">
      <c r="A133" s="77"/>
      <c r="B133" s="77"/>
      <c r="C133" s="77"/>
      <c r="D133" s="77"/>
      <c r="E133" s="77"/>
      <c r="F133" s="77"/>
      <c r="G133" s="77"/>
      <c r="H133" s="77"/>
      <c r="I133" s="77"/>
      <c r="J133" s="77"/>
      <c r="K133" s="77"/>
      <c r="L133" s="77"/>
      <c r="M133" s="77"/>
      <c r="N133" s="77"/>
      <c r="O133" s="77"/>
      <c r="P133" s="77"/>
      <c r="Q133" s="77"/>
      <c r="R133" s="77"/>
      <c r="S133" s="77"/>
      <c r="T133" s="77"/>
      <c r="U133" s="77"/>
      <c r="V133" s="77"/>
    </row>
    <row r="134" spans="1:22" s="38" customFormat="1" ht="16.5" customHeight="1" x14ac:dyDescent="0.3">
      <c r="A134" s="77"/>
      <c r="B134" s="77"/>
      <c r="C134" s="77"/>
      <c r="D134" s="77"/>
      <c r="E134" s="77"/>
      <c r="F134" s="77"/>
      <c r="G134" s="77"/>
      <c r="H134" s="77"/>
      <c r="I134" s="77"/>
      <c r="J134" s="77"/>
      <c r="K134" s="77"/>
      <c r="L134" s="77"/>
      <c r="M134" s="77"/>
      <c r="N134" s="77"/>
      <c r="O134" s="77"/>
      <c r="P134" s="77"/>
      <c r="Q134" s="77"/>
      <c r="R134" s="77"/>
      <c r="S134" s="77"/>
      <c r="T134" s="77"/>
      <c r="U134" s="77"/>
      <c r="V134" s="77"/>
    </row>
    <row r="135" spans="1:22" s="38" customFormat="1" ht="16.5" customHeight="1" x14ac:dyDescent="0.3">
      <c r="A135" s="77"/>
      <c r="B135" s="77"/>
      <c r="C135" s="77"/>
      <c r="D135" s="77"/>
      <c r="E135" s="77"/>
      <c r="F135" s="77"/>
      <c r="G135" s="77"/>
      <c r="H135" s="77"/>
      <c r="I135" s="77"/>
      <c r="J135" s="77"/>
      <c r="K135" s="77"/>
      <c r="L135" s="77"/>
      <c r="M135" s="77"/>
      <c r="N135" s="77"/>
      <c r="O135" s="77"/>
      <c r="P135" s="77"/>
      <c r="Q135" s="77"/>
      <c r="R135" s="77"/>
      <c r="S135" s="77"/>
      <c r="T135" s="77"/>
      <c r="U135" s="77"/>
      <c r="V135" s="77"/>
    </row>
    <row r="136" spans="1:22" s="38" customFormat="1" ht="16.5" customHeight="1" x14ac:dyDescent="0.3">
      <c r="A136" s="77"/>
      <c r="B136" s="77"/>
      <c r="C136" s="77"/>
      <c r="D136" s="77"/>
      <c r="E136" s="77"/>
      <c r="F136" s="77"/>
      <c r="G136" s="77"/>
      <c r="H136" s="77"/>
      <c r="I136" s="77"/>
      <c r="J136" s="77"/>
      <c r="K136" s="77"/>
      <c r="L136" s="77"/>
      <c r="M136" s="77"/>
      <c r="N136" s="77"/>
      <c r="O136" s="77"/>
      <c r="P136" s="77"/>
      <c r="Q136" s="77"/>
      <c r="R136" s="77"/>
      <c r="S136" s="77"/>
      <c r="T136" s="77"/>
      <c r="U136" s="77"/>
      <c r="V136" s="77"/>
    </row>
    <row r="137" spans="1:22" s="38" customFormat="1" ht="16.5" customHeight="1" x14ac:dyDescent="0.3">
      <c r="A137" s="77"/>
      <c r="B137" s="77"/>
      <c r="C137" s="77"/>
      <c r="D137" s="77"/>
      <c r="E137" s="77"/>
      <c r="F137" s="77"/>
      <c r="G137" s="77"/>
      <c r="H137" s="77"/>
      <c r="I137" s="77"/>
      <c r="J137" s="77"/>
      <c r="K137" s="77"/>
      <c r="L137" s="77"/>
      <c r="M137" s="77"/>
      <c r="N137" s="77"/>
      <c r="O137" s="77"/>
      <c r="P137" s="77"/>
      <c r="Q137" s="77"/>
      <c r="R137" s="77"/>
      <c r="S137" s="77"/>
      <c r="T137" s="77"/>
      <c r="U137" s="77"/>
      <c r="V137" s="77"/>
    </row>
    <row r="138" spans="1:22" s="38" customFormat="1" ht="16.5" customHeight="1" x14ac:dyDescent="0.3">
      <c r="A138" s="77"/>
      <c r="B138" s="77"/>
      <c r="C138" s="77"/>
      <c r="D138" s="77"/>
      <c r="E138" s="77"/>
      <c r="F138" s="77"/>
      <c r="G138" s="77"/>
      <c r="H138" s="77"/>
      <c r="I138" s="77"/>
      <c r="J138" s="77"/>
      <c r="K138" s="77"/>
      <c r="L138" s="77"/>
      <c r="M138" s="77"/>
      <c r="N138" s="77"/>
      <c r="O138" s="77"/>
      <c r="P138" s="77"/>
      <c r="Q138" s="77"/>
      <c r="R138" s="77"/>
      <c r="S138" s="77"/>
      <c r="T138" s="77"/>
      <c r="U138" s="77"/>
      <c r="V138" s="77"/>
    </row>
    <row r="139" spans="1:22" s="38" customFormat="1" ht="16.5" customHeight="1" x14ac:dyDescent="0.3">
      <c r="A139" s="77"/>
      <c r="B139" s="77"/>
      <c r="C139" s="77"/>
      <c r="D139" s="77"/>
      <c r="E139" s="77"/>
      <c r="F139" s="77"/>
      <c r="G139" s="77"/>
      <c r="H139" s="77"/>
      <c r="I139" s="77"/>
      <c r="J139" s="77"/>
      <c r="K139" s="77"/>
      <c r="L139" s="77"/>
      <c r="M139" s="77"/>
      <c r="N139" s="77"/>
      <c r="O139" s="77"/>
      <c r="P139" s="77"/>
      <c r="Q139" s="77"/>
      <c r="R139" s="77"/>
      <c r="S139" s="77"/>
      <c r="T139" s="77"/>
      <c r="U139" s="77"/>
      <c r="V139" s="77"/>
    </row>
    <row r="140" spans="1:22" s="38" customFormat="1" ht="16.5" customHeight="1" x14ac:dyDescent="0.3">
      <c r="A140" s="77"/>
      <c r="B140" s="77"/>
      <c r="C140" s="77"/>
      <c r="D140" s="77"/>
      <c r="E140" s="77"/>
      <c r="F140" s="77"/>
      <c r="G140" s="77"/>
      <c r="H140" s="77"/>
      <c r="I140" s="77"/>
      <c r="J140" s="77"/>
      <c r="K140" s="77"/>
      <c r="L140" s="77"/>
      <c r="M140" s="77"/>
      <c r="N140" s="77"/>
      <c r="O140" s="77"/>
      <c r="P140" s="77"/>
      <c r="Q140" s="77"/>
      <c r="R140" s="77"/>
      <c r="S140" s="77"/>
      <c r="T140" s="77"/>
      <c r="U140" s="77"/>
      <c r="V140" s="77"/>
    </row>
    <row r="141" spans="1:22" s="38" customFormat="1" ht="16.5" customHeight="1" x14ac:dyDescent="0.3">
      <c r="A141" s="77"/>
      <c r="B141" s="77"/>
      <c r="C141" s="77"/>
      <c r="D141" s="77"/>
      <c r="E141" s="77"/>
      <c r="F141" s="77"/>
      <c r="G141" s="77"/>
      <c r="H141" s="77"/>
      <c r="I141" s="77"/>
      <c r="J141" s="77"/>
      <c r="K141" s="77"/>
      <c r="L141" s="77"/>
      <c r="M141" s="77"/>
      <c r="N141" s="77"/>
      <c r="O141" s="77"/>
      <c r="P141" s="77"/>
      <c r="Q141" s="77"/>
      <c r="R141" s="77"/>
      <c r="S141" s="77"/>
      <c r="T141" s="77"/>
      <c r="U141" s="77"/>
      <c r="V141" s="77"/>
    </row>
    <row r="142" spans="1:22" s="38" customFormat="1" ht="16.5" customHeight="1" x14ac:dyDescent="0.3">
      <c r="A142" s="77"/>
      <c r="B142" s="77"/>
      <c r="C142" s="77"/>
      <c r="D142" s="77"/>
      <c r="E142" s="77"/>
      <c r="F142" s="77"/>
      <c r="G142" s="77"/>
      <c r="H142" s="77"/>
      <c r="I142" s="77"/>
      <c r="J142" s="77"/>
      <c r="K142" s="77"/>
      <c r="L142" s="77"/>
      <c r="M142" s="77"/>
      <c r="N142" s="77"/>
      <c r="O142" s="77"/>
      <c r="P142" s="77"/>
      <c r="Q142" s="77"/>
      <c r="R142" s="77"/>
      <c r="S142" s="77"/>
      <c r="T142" s="77"/>
      <c r="U142" s="77"/>
      <c r="V142" s="77"/>
    </row>
    <row r="143" spans="1:22" s="38" customFormat="1" ht="16.5" customHeight="1" x14ac:dyDescent="0.3">
      <c r="A143" s="77"/>
      <c r="B143" s="77"/>
      <c r="C143" s="77"/>
      <c r="D143" s="77"/>
      <c r="E143" s="77"/>
      <c r="F143" s="77"/>
      <c r="G143" s="77"/>
      <c r="H143" s="77"/>
      <c r="I143" s="77"/>
      <c r="J143" s="77"/>
      <c r="K143" s="77"/>
      <c r="L143" s="77"/>
      <c r="M143" s="77"/>
      <c r="N143" s="77"/>
      <c r="O143" s="77"/>
      <c r="P143" s="77"/>
      <c r="Q143" s="77"/>
      <c r="R143" s="77"/>
      <c r="S143" s="77"/>
      <c r="T143" s="77"/>
      <c r="U143" s="77"/>
      <c r="V143" s="77"/>
    </row>
    <row r="144" spans="1:22" s="38" customFormat="1" ht="16.5" customHeight="1" x14ac:dyDescent="0.3">
      <c r="A144" s="77"/>
      <c r="B144" s="77"/>
      <c r="C144" s="77"/>
      <c r="D144" s="77"/>
      <c r="E144" s="77"/>
      <c r="F144" s="77"/>
      <c r="G144" s="77"/>
      <c r="H144" s="77"/>
      <c r="I144" s="77"/>
      <c r="J144" s="77"/>
      <c r="K144" s="77"/>
      <c r="L144" s="77"/>
      <c r="M144" s="77"/>
      <c r="N144" s="77"/>
      <c r="O144" s="77"/>
      <c r="P144" s="77"/>
      <c r="Q144" s="77"/>
      <c r="R144" s="77"/>
      <c r="S144" s="77"/>
      <c r="T144" s="77"/>
      <c r="U144" s="77"/>
      <c r="V144" s="77"/>
    </row>
    <row r="145" spans="1:22" s="38" customFormat="1" ht="16.5" customHeight="1" x14ac:dyDescent="0.3">
      <c r="A145" s="77"/>
      <c r="B145" s="77"/>
      <c r="C145" s="77"/>
      <c r="D145" s="77"/>
      <c r="E145" s="77"/>
      <c r="F145" s="77"/>
      <c r="G145" s="77"/>
      <c r="H145" s="77"/>
      <c r="I145" s="77"/>
      <c r="J145" s="77"/>
      <c r="K145" s="77"/>
      <c r="L145" s="77"/>
      <c r="M145" s="77"/>
      <c r="N145" s="77"/>
      <c r="O145" s="77"/>
      <c r="P145" s="77"/>
      <c r="Q145" s="77"/>
      <c r="R145" s="77"/>
      <c r="S145" s="77"/>
      <c r="T145" s="77"/>
      <c r="U145" s="77"/>
      <c r="V145" s="77"/>
    </row>
    <row r="146" spans="1:22" s="38" customFormat="1" ht="16.5" customHeight="1" x14ac:dyDescent="0.3">
      <c r="A146" s="77"/>
      <c r="B146" s="77"/>
      <c r="C146" s="77"/>
      <c r="D146" s="77"/>
      <c r="E146" s="77"/>
      <c r="F146" s="77"/>
      <c r="G146" s="77"/>
      <c r="H146" s="77"/>
      <c r="I146" s="77"/>
      <c r="J146" s="77"/>
      <c r="K146" s="77"/>
      <c r="L146" s="77"/>
      <c r="M146" s="77"/>
      <c r="N146" s="77"/>
      <c r="O146" s="77"/>
      <c r="P146" s="77"/>
      <c r="Q146" s="77"/>
      <c r="R146" s="77"/>
      <c r="S146" s="77"/>
      <c r="T146" s="77"/>
      <c r="U146" s="77"/>
      <c r="V146" s="77"/>
    </row>
    <row r="147" spans="1:22" s="38" customFormat="1" ht="16.5" customHeight="1" x14ac:dyDescent="0.3">
      <c r="A147" s="77"/>
      <c r="B147" s="77"/>
      <c r="C147" s="77"/>
      <c r="D147" s="77"/>
      <c r="E147" s="77"/>
      <c r="F147" s="77"/>
      <c r="G147" s="77"/>
      <c r="H147" s="77"/>
      <c r="I147" s="77"/>
      <c r="J147" s="77"/>
      <c r="K147" s="77"/>
      <c r="L147" s="77"/>
      <c r="M147" s="77"/>
      <c r="N147" s="77"/>
      <c r="O147" s="77"/>
      <c r="P147" s="77"/>
      <c r="Q147" s="77"/>
      <c r="R147" s="77"/>
      <c r="S147" s="77"/>
      <c r="T147" s="77"/>
      <c r="U147" s="77"/>
      <c r="V147" s="77"/>
    </row>
    <row r="148" spans="1:22" s="38" customFormat="1" ht="16.5" customHeight="1" x14ac:dyDescent="0.3">
      <c r="A148" s="77"/>
      <c r="B148" s="77"/>
      <c r="C148" s="77"/>
      <c r="D148" s="77"/>
      <c r="E148" s="77"/>
      <c r="F148" s="77"/>
      <c r="G148" s="77"/>
      <c r="H148" s="77"/>
      <c r="I148" s="77"/>
      <c r="J148" s="77"/>
      <c r="K148" s="77"/>
      <c r="L148" s="77"/>
      <c r="M148" s="77"/>
      <c r="N148" s="77"/>
      <c r="O148" s="77"/>
      <c r="P148" s="77"/>
      <c r="Q148" s="77"/>
      <c r="R148" s="77"/>
      <c r="S148" s="77"/>
      <c r="T148" s="77"/>
      <c r="U148" s="77"/>
      <c r="V148" s="77"/>
    </row>
    <row r="149" spans="1:22" s="38" customFormat="1" ht="16.5" customHeight="1" x14ac:dyDescent="0.3">
      <c r="A149" s="77"/>
      <c r="B149" s="77"/>
      <c r="C149" s="77"/>
      <c r="D149" s="77"/>
      <c r="E149" s="77"/>
      <c r="F149" s="77"/>
      <c r="G149" s="77"/>
      <c r="H149" s="77"/>
      <c r="I149" s="77"/>
      <c r="J149" s="77"/>
      <c r="K149" s="77"/>
      <c r="L149" s="77"/>
      <c r="M149" s="77"/>
      <c r="N149" s="77"/>
      <c r="O149" s="77"/>
      <c r="P149" s="77"/>
      <c r="Q149" s="77"/>
      <c r="R149" s="77"/>
      <c r="S149" s="77"/>
      <c r="T149" s="77"/>
      <c r="U149" s="77"/>
      <c r="V149" s="77"/>
    </row>
    <row r="150" spans="1:22" s="38" customFormat="1" ht="16.5" customHeight="1" x14ac:dyDescent="0.3">
      <c r="A150" s="77"/>
      <c r="B150" s="77"/>
      <c r="C150" s="77"/>
      <c r="D150" s="77"/>
      <c r="E150" s="77"/>
      <c r="F150" s="77"/>
      <c r="G150" s="77"/>
      <c r="H150" s="77"/>
      <c r="I150" s="77"/>
      <c r="J150" s="77"/>
      <c r="K150" s="77"/>
      <c r="L150" s="77"/>
      <c r="M150" s="77"/>
      <c r="N150" s="77"/>
      <c r="O150" s="77"/>
      <c r="P150" s="77"/>
      <c r="Q150" s="77"/>
      <c r="R150" s="77"/>
      <c r="S150" s="77"/>
      <c r="T150" s="77"/>
      <c r="U150" s="77"/>
      <c r="V150" s="77"/>
    </row>
    <row r="151" spans="1:22" s="38" customFormat="1" ht="16.5" customHeight="1" x14ac:dyDescent="0.3">
      <c r="A151" s="77"/>
      <c r="B151" s="77"/>
      <c r="C151" s="77"/>
      <c r="D151" s="77"/>
      <c r="E151" s="77"/>
      <c r="F151" s="77"/>
      <c r="G151" s="77"/>
      <c r="H151" s="77"/>
      <c r="I151" s="77"/>
      <c r="J151" s="77"/>
      <c r="K151" s="77"/>
      <c r="L151" s="77"/>
      <c r="M151" s="77"/>
      <c r="N151" s="77"/>
      <c r="O151" s="77"/>
      <c r="P151" s="77"/>
      <c r="Q151" s="77"/>
      <c r="R151" s="77"/>
      <c r="S151" s="77"/>
      <c r="T151" s="77"/>
      <c r="U151" s="77"/>
      <c r="V151" s="77"/>
    </row>
    <row r="152" spans="1:22" s="38" customFormat="1" ht="16.5" customHeight="1" x14ac:dyDescent="0.3">
      <c r="A152" s="77"/>
      <c r="B152" s="77"/>
      <c r="C152" s="77"/>
      <c r="D152" s="77"/>
      <c r="E152" s="77"/>
      <c r="F152" s="77"/>
      <c r="G152" s="77"/>
      <c r="H152" s="77"/>
      <c r="I152" s="77"/>
      <c r="J152" s="77"/>
      <c r="K152" s="77"/>
      <c r="L152" s="77"/>
      <c r="M152" s="77"/>
      <c r="N152" s="77"/>
      <c r="O152" s="77"/>
      <c r="P152" s="77"/>
      <c r="Q152" s="77"/>
      <c r="R152" s="77"/>
      <c r="S152" s="77"/>
      <c r="T152" s="77"/>
      <c r="U152" s="77"/>
      <c r="V152" s="77"/>
    </row>
    <row r="153" spans="1:22" s="38" customFormat="1" ht="16.5" customHeight="1" x14ac:dyDescent="0.3">
      <c r="A153" s="77"/>
      <c r="B153" s="77"/>
      <c r="C153" s="77"/>
      <c r="D153" s="77"/>
      <c r="E153" s="77"/>
      <c r="F153" s="77"/>
      <c r="G153" s="77"/>
      <c r="H153" s="77"/>
      <c r="I153" s="77"/>
      <c r="J153" s="77"/>
      <c r="K153" s="77"/>
      <c r="L153" s="77"/>
      <c r="M153" s="77"/>
      <c r="N153" s="77"/>
      <c r="O153" s="77"/>
      <c r="P153" s="77"/>
      <c r="Q153" s="77"/>
      <c r="R153" s="77"/>
      <c r="S153" s="77"/>
      <c r="T153" s="77"/>
      <c r="U153" s="77"/>
      <c r="V153" s="77"/>
    </row>
    <row r="154" spans="1:22" s="38" customFormat="1" ht="16.5" customHeight="1" x14ac:dyDescent="0.3">
      <c r="A154" s="77"/>
      <c r="B154" s="77"/>
      <c r="C154" s="77"/>
      <c r="D154" s="77"/>
      <c r="E154" s="77"/>
      <c r="F154" s="77"/>
      <c r="G154" s="77"/>
      <c r="H154" s="77"/>
      <c r="I154" s="77"/>
      <c r="J154" s="77"/>
      <c r="K154" s="77"/>
      <c r="L154" s="77"/>
      <c r="M154" s="77"/>
      <c r="N154" s="77"/>
      <c r="O154" s="77"/>
      <c r="P154" s="77"/>
      <c r="Q154" s="77"/>
      <c r="R154" s="77"/>
      <c r="S154" s="77"/>
      <c r="T154" s="77"/>
      <c r="U154" s="77"/>
      <c r="V154" s="77"/>
    </row>
    <row r="155" spans="1:22" s="38" customFormat="1" ht="16.5" customHeight="1" x14ac:dyDescent="0.3">
      <c r="A155" s="77"/>
      <c r="B155" s="77"/>
      <c r="C155" s="77"/>
      <c r="D155" s="77"/>
      <c r="E155" s="77"/>
      <c r="F155" s="77"/>
      <c r="G155" s="77"/>
      <c r="H155" s="77"/>
      <c r="I155" s="77"/>
      <c r="J155" s="77"/>
      <c r="K155" s="77"/>
      <c r="L155" s="77"/>
      <c r="M155" s="77"/>
      <c r="N155" s="77"/>
      <c r="O155" s="77"/>
      <c r="P155" s="77"/>
      <c r="Q155" s="77"/>
      <c r="R155" s="77"/>
      <c r="S155" s="77"/>
      <c r="T155" s="77"/>
      <c r="U155" s="77"/>
      <c r="V155" s="77"/>
    </row>
    <row r="156" spans="1:22" s="38" customFormat="1" ht="16.5" customHeight="1" x14ac:dyDescent="0.3">
      <c r="A156" s="77"/>
      <c r="B156" s="77"/>
      <c r="C156" s="77"/>
      <c r="D156" s="77"/>
      <c r="E156" s="77"/>
      <c r="F156" s="77"/>
      <c r="G156" s="77"/>
      <c r="H156" s="77"/>
      <c r="I156" s="77"/>
      <c r="J156" s="77"/>
      <c r="K156" s="77"/>
      <c r="L156" s="77"/>
      <c r="M156" s="77"/>
      <c r="N156" s="77"/>
      <c r="O156" s="77"/>
      <c r="P156" s="77"/>
      <c r="Q156" s="77"/>
      <c r="R156" s="77"/>
      <c r="S156" s="77"/>
      <c r="T156" s="77"/>
      <c r="U156" s="77"/>
      <c r="V156" s="77"/>
    </row>
    <row r="157" spans="1:22" s="38" customFormat="1" ht="16.5" customHeight="1" x14ac:dyDescent="0.3">
      <c r="A157" s="77"/>
      <c r="B157" s="77"/>
      <c r="C157" s="77"/>
      <c r="D157" s="77"/>
      <c r="E157" s="77"/>
      <c r="F157" s="77"/>
      <c r="G157" s="77"/>
      <c r="H157" s="77"/>
      <c r="I157" s="77"/>
      <c r="J157" s="77"/>
      <c r="K157" s="77"/>
      <c r="L157" s="77"/>
      <c r="M157" s="77"/>
      <c r="N157" s="77"/>
      <c r="O157" s="77"/>
      <c r="P157" s="77"/>
      <c r="Q157" s="77"/>
      <c r="R157" s="77"/>
      <c r="S157" s="77"/>
      <c r="T157" s="77"/>
      <c r="U157" s="77"/>
      <c r="V157" s="77"/>
    </row>
    <row r="158" spans="1:22" s="38" customFormat="1" ht="16.5" customHeight="1" x14ac:dyDescent="0.3">
      <c r="A158" s="77"/>
      <c r="B158" s="77"/>
      <c r="C158" s="77"/>
      <c r="D158" s="77"/>
      <c r="E158" s="77"/>
      <c r="F158" s="77"/>
      <c r="G158" s="77"/>
      <c r="H158" s="77"/>
      <c r="I158" s="77"/>
      <c r="J158" s="77"/>
      <c r="K158" s="77"/>
      <c r="L158" s="77"/>
      <c r="M158" s="77"/>
      <c r="N158" s="77"/>
      <c r="O158" s="77"/>
      <c r="P158" s="77"/>
      <c r="Q158" s="77"/>
      <c r="R158" s="77"/>
      <c r="S158" s="77"/>
      <c r="T158" s="77"/>
      <c r="U158" s="77"/>
      <c r="V158" s="77"/>
    </row>
    <row r="159" spans="1:22" s="38" customFormat="1" ht="16.5" customHeight="1" x14ac:dyDescent="0.3">
      <c r="A159" s="77"/>
      <c r="B159" s="77"/>
      <c r="C159" s="77"/>
      <c r="D159" s="77"/>
      <c r="E159" s="77"/>
      <c r="F159" s="77"/>
      <c r="G159" s="77"/>
      <c r="H159" s="77"/>
      <c r="I159" s="77"/>
      <c r="J159" s="77"/>
      <c r="K159" s="77"/>
      <c r="L159" s="77"/>
      <c r="M159" s="77"/>
      <c r="N159" s="77"/>
      <c r="O159" s="77"/>
      <c r="P159" s="77"/>
      <c r="Q159" s="77"/>
      <c r="R159" s="77"/>
      <c r="S159" s="77"/>
      <c r="T159" s="77"/>
      <c r="U159" s="77"/>
      <c r="V159" s="77"/>
    </row>
    <row r="160" spans="1:22" s="38" customFormat="1" ht="16.5" customHeight="1" x14ac:dyDescent="0.3">
      <c r="A160" s="77"/>
      <c r="B160" s="77"/>
      <c r="C160" s="77"/>
      <c r="D160" s="77"/>
      <c r="E160" s="77"/>
      <c r="F160" s="77"/>
      <c r="G160" s="77"/>
      <c r="H160" s="77"/>
      <c r="I160" s="77"/>
      <c r="J160" s="77"/>
      <c r="K160" s="77"/>
      <c r="L160" s="77"/>
      <c r="M160" s="77"/>
      <c r="N160" s="77"/>
      <c r="O160" s="77"/>
      <c r="P160" s="77"/>
      <c r="Q160" s="77"/>
      <c r="R160" s="77"/>
      <c r="S160" s="77"/>
      <c r="T160" s="77"/>
      <c r="U160" s="77"/>
      <c r="V160" s="77"/>
    </row>
    <row r="161" spans="1:22" s="38" customFormat="1" ht="16.5" customHeight="1" x14ac:dyDescent="0.3">
      <c r="A161" s="77"/>
      <c r="B161" s="77"/>
      <c r="C161" s="77"/>
      <c r="D161" s="77"/>
      <c r="E161" s="77"/>
      <c r="F161" s="77"/>
      <c r="G161" s="77"/>
      <c r="H161" s="77"/>
      <c r="I161" s="77"/>
      <c r="J161" s="77"/>
      <c r="K161" s="77"/>
      <c r="L161" s="77"/>
      <c r="M161" s="77"/>
      <c r="N161" s="77"/>
      <c r="O161" s="77"/>
      <c r="P161" s="77"/>
      <c r="Q161" s="77"/>
      <c r="R161" s="77"/>
      <c r="S161" s="77"/>
      <c r="T161" s="77"/>
      <c r="U161" s="77"/>
      <c r="V161" s="77"/>
    </row>
    <row r="162" spans="1:22" s="38" customFormat="1" ht="16.5" customHeight="1" x14ac:dyDescent="0.3">
      <c r="A162" s="77"/>
      <c r="B162" s="77"/>
      <c r="C162" s="77"/>
      <c r="D162" s="77"/>
      <c r="E162" s="77"/>
      <c r="F162" s="77"/>
      <c r="G162" s="77"/>
      <c r="H162" s="77"/>
      <c r="I162" s="77"/>
      <c r="J162" s="77"/>
      <c r="K162" s="77"/>
      <c r="L162" s="77"/>
      <c r="M162" s="77"/>
      <c r="N162" s="77"/>
      <c r="O162" s="77"/>
      <c r="P162" s="77"/>
      <c r="Q162" s="77"/>
      <c r="R162" s="77"/>
      <c r="S162" s="77"/>
      <c r="T162" s="77"/>
      <c r="U162" s="77"/>
      <c r="V162" s="77"/>
    </row>
    <row r="163" spans="1:22" s="38" customFormat="1" ht="16.5" customHeight="1" x14ac:dyDescent="0.3">
      <c r="A163" s="77"/>
      <c r="B163" s="77"/>
      <c r="C163" s="77"/>
      <c r="D163" s="77"/>
      <c r="E163" s="77"/>
      <c r="F163" s="77"/>
      <c r="G163" s="77"/>
      <c r="H163" s="77"/>
      <c r="I163" s="77"/>
      <c r="J163" s="77"/>
      <c r="K163" s="77"/>
      <c r="L163" s="77"/>
      <c r="M163" s="77"/>
      <c r="N163" s="77"/>
      <c r="O163" s="77"/>
      <c r="P163" s="77"/>
      <c r="Q163" s="77"/>
      <c r="R163" s="77"/>
      <c r="S163" s="77"/>
      <c r="T163" s="77"/>
      <c r="U163" s="77"/>
      <c r="V163" s="77"/>
    </row>
    <row r="164" spans="1:22" s="38" customFormat="1" ht="16.5" customHeight="1" x14ac:dyDescent="0.3">
      <c r="A164" s="77"/>
      <c r="B164" s="77"/>
      <c r="C164" s="77"/>
      <c r="D164" s="77"/>
      <c r="E164" s="77"/>
      <c r="F164" s="77"/>
      <c r="G164" s="77"/>
      <c r="H164" s="77"/>
      <c r="I164" s="77"/>
      <c r="J164" s="77"/>
      <c r="K164" s="77"/>
      <c r="L164" s="77"/>
      <c r="M164" s="77"/>
      <c r="N164" s="77"/>
      <c r="O164" s="77"/>
      <c r="P164" s="77"/>
      <c r="Q164" s="77"/>
      <c r="R164" s="77"/>
      <c r="S164" s="77"/>
      <c r="T164" s="77"/>
      <c r="U164" s="77"/>
      <c r="V164" s="77"/>
    </row>
    <row r="165" spans="1:22" s="38" customFormat="1" ht="16.5" customHeight="1" x14ac:dyDescent="0.3">
      <c r="A165" s="77"/>
      <c r="B165" s="77"/>
      <c r="C165" s="77"/>
      <c r="D165" s="77"/>
      <c r="E165" s="77"/>
      <c r="F165" s="77"/>
      <c r="G165" s="77"/>
      <c r="H165" s="77"/>
      <c r="I165" s="77"/>
      <c r="J165" s="77"/>
      <c r="K165" s="77"/>
      <c r="L165" s="77"/>
      <c r="M165" s="77"/>
      <c r="N165" s="77"/>
      <c r="O165" s="77"/>
      <c r="P165" s="77"/>
      <c r="Q165" s="77"/>
      <c r="R165" s="77"/>
      <c r="S165" s="77"/>
      <c r="T165" s="77"/>
      <c r="U165" s="77"/>
      <c r="V165" s="77"/>
    </row>
    <row r="166" spans="1:22" s="38" customFormat="1" ht="16.5" customHeight="1" x14ac:dyDescent="0.3">
      <c r="A166" s="77"/>
      <c r="B166" s="77"/>
      <c r="C166" s="77"/>
      <c r="D166" s="77"/>
      <c r="E166" s="77"/>
      <c r="F166" s="77"/>
      <c r="G166" s="77"/>
      <c r="H166" s="77"/>
      <c r="I166" s="77"/>
      <c r="J166" s="77"/>
      <c r="K166" s="77"/>
      <c r="L166" s="77"/>
      <c r="M166" s="77"/>
      <c r="N166" s="77"/>
      <c r="O166" s="77"/>
      <c r="P166" s="77"/>
      <c r="Q166" s="77"/>
      <c r="R166" s="77"/>
      <c r="S166" s="77"/>
      <c r="T166" s="77"/>
      <c r="U166" s="77"/>
      <c r="V166" s="77"/>
    </row>
    <row r="167" spans="1:22" s="38" customFormat="1" ht="16.5" customHeight="1" x14ac:dyDescent="0.3">
      <c r="A167" s="77"/>
      <c r="B167" s="77"/>
      <c r="C167" s="77"/>
      <c r="D167" s="77"/>
      <c r="E167" s="77"/>
      <c r="F167" s="77"/>
      <c r="G167" s="77"/>
      <c r="H167" s="77"/>
      <c r="I167" s="77"/>
      <c r="J167" s="77"/>
      <c r="K167" s="77"/>
      <c r="L167" s="77"/>
      <c r="M167" s="77"/>
      <c r="N167" s="77"/>
      <c r="O167" s="77"/>
      <c r="P167" s="77"/>
      <c r="Q167" s="77"/>
      <c r="R167" s="77"/>
      <c r="S167" s="77"/>
      <c r="T167" s="77"/>
      <c r="U167" s="77"/>
      <c r="V167" s="77"/>
    </row>
    <row r="168" spans="1:22" s="38" customFormat="1" ht="16.5" customHeight="1" x14ac:dyDescent="0.3">
      <c r="A168" s="77"/>
      <c r="B168" s="77"/>
      <c r="C168" s="77"/>
      <c r="D168" s="77"/>
      <c r="E168" s="77"/>
      <c r="F168" s="77"/>
      <c r="G168" s="77"/>
      <c r="H168" s="77"/>
      <c r="I168" s="77"/>
      <c r="J168" s="77"/>
      <c r="K168" s="77"/>
      <c r="L168" s="77"/>
      <c r="M168" s="77"/>
      <c r="N168" s="77"/>
      <c r="O168" s="77"/>
      <c r="P168" s="77"/>
      <c r="Q168" s="77"/>
      <c r="R168" s="77"/>
      <c r="S168" s="77"/>
      <c r="T168" s="77"/>
      <c r="U168" s="77"/>
      <c r="V168" s="77"/>
    </row>
    <row r="169" spans="1:22" s="38" customFormat="1" ht="16.5" customHeight="1" x14ac:dyDescent="0.3">
      <c r="A169" s="77"/>
      <c r="B169" s="77"/>
      <c r="C169" s="77"/>
      <c r="D169" s="77"/>
      <c r="E169" s="77"/>
      <c r="F169" s="77"/>
      <c r="G169" s="77"/>
      <c r="H169" s="77"/>
      <c r="I169" s="77"/>
      <c r="J169" s="77"/>
      <c r="K169" s="77"/>
      <c r="L169" s="77"/>
      <c r="M169" s="77"/>
      <c r="N169" s="77"/>
      <c r="O169" s="77"/>
      <c r="P169" s="77"/>
      <c r="Q169" s="77"/>
      <c r="R169" s="77"/>
      <c r="S169" s="77"/>
      <c r="T169" s="77"/>
      <c r="U169" s="77"/>
      <c r="V169" s="77"/>
    </row>
    <row r="170" spans="1:22" s="38" customFormat="1" ht="16.5" customHeight="1" x14ac:dyDescent="0.3">
      <c r="A170" s="77"/>
      <c r="B170" s="77"/>
      <c r="C170" s="77"/>
      <c r="D170" s="77"/>
      <c r="E170" s="77"/>
      <c r="F170" s="77"/>
      <c r="G170" s="77"/>
      <c r="H170" s="77"/>
      <c r="I170" s="77"/>
      <c r="J170" s="77"/>
      <c r="K170" s="77"/>
      <c r="L170" s="77"/>
      <c r="M170" s="77"/>
      <c r="N170" s="77"/>
      <c r="O170" s="77"/>
      <c r="P170" s="77"/>
      <c r="Q170" s="77"/>
      <c r="R170" s="77"/>
      <c r="S170" s="77"/>
      <c r="T170" s="77"/>
      <c r="U170" s="77"/>
      <c r="V170" s="77"/>
    </row>
    <row r="171" spans="1:22" s="38" customFormat="1" ht="16.5" customHeight="1" x14ac:dyDescent="0.3">
      <c r="A171" s="77"/>
      <c r="B171" s="77"/>
      <c r="C171" s="77"/>
      <c r="D171" s="77"/>
      <c r="E171" s="77"/>
      <c r="F171" s="77"/>
      <c r="G171" s="77"/>
      <c r="H171" s="77"/>
      <c r="I171" s="77"/>
      <c r="J171" s="77"/>
      <c r="K171" s="77"/>
      <c r="L171" s="77"/>
      <c r="M171" s="77"/>
      <c r="N171" s="77"/>
      <c r="O171" s="77"/>
      <c r="P171" s="77"/>
      <c r="Q171" s="77"/>
      <c r="R171" s="77"/>
      <c r="S171" s="77"/>
      <c r="T171" s="77"/>
      <c r="U171" s="77"/>
      <c r="V171" s="77"/>
    </row>
    <row r="172" spans="1:22" s="38" customFormat="1" ht="16.5" customHeight="1" x14ac:dyDescent="0.3">
      <c r="A172" s="77"/>
      <c r="B172" s="77"/>
      <c r="C172" s="77"/>
      <c r="D172" s="77"/>
      <c r="E172" s="77"/>
      <c r="F172" s="77"/>
      <c r="G172" s="77"/>
      <c r="H172" s="77"/>
      <c r="I172" s="77"/>
      <c r="J172" s="77"/>
      <c r="K172" s="77"/>
      <c r="L172" s="77"/>
      <c r="M172" s="77"/>
      <c r="N172" s="77"/>
      <c r="O172" s="77"/>
      <c r="P172" s="77"/>
      <c r="Q172" s="77"/>
      <c r="R172" s="77"/>
      <c r="S172" s="77"/>
      <c r="T172" s="77"/>
      <c r="U172" s="77"/>
      <c r="V172" s="77"/>
    </row>
    <row r="173" spans="1:22" s="38" customFormat="1" ht="16.5" customHeight="1" x14ac:dyDescent="0.3">
      <c r="A173" s="77"/>
      <c r="B173" s="77"/>
      <c r="C173" s="77"/>
      <c r="D173" s="77"/>
      <c r="E173" s="77"/>
      <c r="F173" s="77"/>
      <c r="G173" s="77"/>
      <c r="H173" s="77"/>
      <c r="I173" s="77"/>
      <c r="J173" s="77"/>
      <c r="K173" s="77"/>
      <c r="L173" s="77"/>
      <c r="M173" s="77"/>
      <c r="N173" s="77"/>
      <c r="O173" s="77"/>
      <c r="P173" s="77"/>
      <c r="Q173" s="77"/>
      <c r="R173" s="77"/>
      <c r="S173" s="77"/>
      <c r="T173" s="77"/>
      <c r="U173" s="77"/>
      <c r="V173" s="77"/>
    </row>
    <row r="174" spans="1:22" s="38" customFormat="1" ht="16.5" customHeight="1" x14ac:dyDescent="0.3">
      <c r="A174" s="77"/>
      <c r="B174" s="77"/>
      <c r="C174" s="77"/>
      <c r="D174" s="77"/>
      <c r="E174" s="77"/>
      <c r="F174" s="77"/>
      <c r="G174" s="77"/>
      <c r="H174" s="77"/>
      <c r="I174" s="77"/>
      <c r="J174" s="77"/>
      <c r="K174" s="77"/>
      <c r="L174" s="77"/>
      <c r="M174" s="77"/>
      <c r="N174" s="77"/>
      <c r="O174" s="77"/>
      <c r="P174" s="77"/>
      <c r="Q174" s="77"/>
      <c r="R174" s="77"/>
      <c r="S174" s="77"/>
      <c r="T174" s="77"/>
      <c r="U174" s="77"/>
      <c r="V174" s="77"/>
    </row>
    <row r="175" spans="1:22" s="38" customFormat="1" ht="16.5" customHeight="1" x14ac:dyDescent="0.3">
      <c r="A175" s="77"/>
      <c r="B175" s="77"/>
      <c r="C175" s="77"/>
      <c r="D175" s="77"/>
      <c r="E175" s="77"/>
      <c r="F175" s="77"/>
      <c r="G175" s="77"/>
      <c r="H175" s="77"/>
      <c r="I175" s="77"/>
      <c r="J175" s="77"/>
      <c r="K175" s="77"/>
      <c r="L175" s="77"/>
      <c r="M175" s="77"/>
      <c r="N175" s="77"/>
      <c r="O175" s="77"/>
      <c r="P175" s="77"/>
      <c r="Q175" s="77"/>
      <c r="R175" s="77"/>
      <c r="S175" s="77"/>
      <c r="T175" s="77"/>
      <c r="U175" s="77"/>
      <c r="V175" s="77"/>
    </row>
    <row r="176" spans="1:22" s="38" customFormat="1" ht="16.5" customHeight="1" x14ac:dyDescent="0.3">
      <c r="A176" s="77"/>
      <c r="B176" s="77"/>
      <c r="C176" s="77"/>
      <c r="D176" s="77"/>
      <c r="E176" s="77"/>
      <c r="F176" s="77"/>
      <c r="G176" s="77"/>
      <c r="H176" s="77"/>
      <c r="I176" s="77"/>
      <c r="J176" s="77"/>
      <c r="K176" s="77"/>
      <c r="L176" s="77"/>
      <c r="M176" s="77"/>
      <c r="N176" s="77"/>
      <c r="O176" s="77"/>
      <c r="P176" s="77"/>
      <c r="Q176" s="77"/>
      <c r="R176" s="77"/>
      <c r="S176" s="77"/>
      <c r="T176" s="77"/>
      <c r="U176" s="77"/>
      <c r="V176" s="77"/>
    </row>
    <row r="177" spans="1:22" s="38" customFormat="1" ht="16.5" customHeight="1" x14ac:dyDescent="0.3">
      <c r="A177" s="77"/>
      <c r="B177" s="77"/>
      <c r="C177" s="77"/>
      <c r="D177" s="77"/>
      <c r="E177" s="77"/>
      <c r="F177" s="77"/>
      <c r="G177" s="77"/>
      <c r="H177" s="77"/>
      <c r="I177" s="77"/>
      <c r="J177" s="77"/>
      <c r="K177" s="77"/>
      <c r="L177" s="77"/>
      <c r="M177" s="77"/>
      <c r="N177" s="77"/>
      <c r="O177" s="77"/>
      <c r="P177" s="77"/>
      <c r="Q177" s="77"/>
      <c r="R177" s="77"/>
      <c r="S177" s="77"/>
      <c r="T177" s="77"/>
      <c r="U177" s="77"/>
      <c r="V177" s="77"/>
    </row>
    <row r="178" spans="1:22" s="38" customFormat="1" ht="16.5" customHeight="1" x14ac:dyDescent="0.3">
      <c r="A178" s="77"/>
      <c r="B178" s="77"/>
      <c r="C178" s="77"/>
      <c r="D178" s="77"/>
      <c r="E178" s="77"/>
      <c r="F178" s="77"/>
      <c r="G178" s="77"/>
      <c r="H178" s="77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</row>
    <row r="179" spans="1:22" s="38" customFormat="1" ht="16.5" customHeight="1" x14ac:dyDescent="0.3">
      <c r="A179" s="77"/>
      <c r="B179" s="77"/>
      <c r="C179" s="77"/>
      <c r="D179" s="77"/>
      <c r="E179" s="77"/>
      <c r="F179" s="77"/>
      <c r="G179" s="77"/>
      <c r="H179" s="77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</row>
    <row r="180" spans="1:22" s="38" customFormat="1" ht="16.5" customHeight="1" x14ac:dyDescent="0.3">
      <c r="A180" s="77"/>
      <c r="B180" s="77"/>
      <c r="C180" s="77"/>
      <c r="D180" s="77"/>
      <c r="E180" s="77"/>
      <c r="F180" s="77"/>
      <c r="G180" s="77"/>
      <c r="H180" s="77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</row>
    <row r="181" spans="1:22" s="38" customFormat="1" ht="16.5" customHeight="1" x14ac:dyDescent="0.3">
      <c r="A181" s="77"/>
      <c r="B181" s="77"/>
      <c r="C181" s="77"/>
      <c r="D181" s="77"/>
      <c r="E181" s="77"/>
      <c r="F181" s="77"/>
      <c r="G181" s="77"/>
      <c r="H181" s="77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</row>
    <row r="182" spans="1:22" s="38" customFormat="1" ht="16.5" customHeight="1" x14ac:dyDescent="0.3">
      <c r="A182" s="77"/>
      <c r="B182" s="77"/>
      <c r="C182" s="77"/>
      <c r="D182" s="77"/>
      <c r="E182" s="77"/>
      <c r="F182" s="77"/>
      <c r="G182" s="77"/>
      <c r="H182" s="77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</row>
    <row r="183" spans="1:22" s="38" customFormat="1" ht="16.5" customHeight="1" x14ac:dyDescent="0.3">
      <c r="A183" s="77"/>
      <c r="B183" s="77"/>
      <c r="C183" s="77"/>
      <c r="D183" s="77"/>
      <c r="E183" s="77"/>
      <c r="F183" s="77"/>
      <c r="G183" s="77"/>
      <c r="H183" s="77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</row>
    <row r="184" spans="1:22" s="38" customFormat="1" ht="16.5" customHeight="1" x14ac:dyDescent="0.3">
      <c r="A184" s="77"/>
      <c r="B184" s="77"/>
      <c r="C184" s="77"/>
      <c r="D184" s="77"/>
      <c r="E184" s="77"/>
      <c r="F184" s="77"/>
      <c r="G184" s="77"/>
      <c r="H184" s="77"/>
      <c r="I184" s="77"/>
      <c r="J184" s="77"/>
      <c r="K184" s="77"/>
      <c r="L184" s="77"/>
      <c r="M184" s="77"/>
      <c r="N184" s="77"/>
      <c r="O184" s="77"/>
      <c r="P184" s="77"/>
      <c r="Q184" s="77"/>
      <c r="R184" s="77"/>
      <c r="S184" s="77"/>
      <c r="T184" s="77"/>
      <c r="U184" s="77"/>
      <c r="V184" s="77"/>
    </row>
    <row r="185" spans="1:22" s="38" customFormat="1" ht="16.5" customHeight="1" x14ac:dyDescent="0.3">
      <c r="A185" s="77"/>
      <c r="B185" s="77"/>
      <c r="C185" s="77"/>
      <c r="D185" s="77"/>
      <c r="E185" s="77"/>
      <c r="F185" s="77"/>
      <c r="G185" s="77"/>
      <c r="H185" s="77"/>
      <c r="I185" s="77"/>
      <c r="J185" s="77"/>
      <c r="K185" s="77"/>
      <c r="L185" s="77"/>
      <c r="M185" s="77"/>
      <c r="N185" s="77"/>
      <c r="O185" s="77"/>
      <c r="P185" s="77"/>
      <c r="Q185" s="77"/>
      <c r="R185" s="77"/>
      <c r="S185" s="77"/>
      <c r="T185" s="77"/>
      <c r="U185" s="77"/>
      <c r="V185" s="77"/>
    </row>
    <row r="186" spans="1:22" s="38" customFormat="1" ht="16.5" customHeight="1" x14ac:dyDescent="0.3">
      <c r="A186" s="77"/>
      <c r="B186" s="77"/>
      <c r="C186" s="77"/>
      <c r="D186" s="77"/>
      <c r="E186" s="77"/>
      <c r="F186" s="77"/>
      <c r="G186" s="77"/>
      <c r="H186" s="77"/>
      <c r="I186" s="77"/>
      <c r="J186" s="77"/>
      <c r="K186" s="77"/>
      <c r="L186" s="77"/>
      <c r="M186" s="77"/>
      <c r="N186" s="77"/>
      <c r="O186" s="77"/>
      <c r="P186" s="77"/>
      <c r="Q186" s="77"/>
      <c r="R186" s="77"/>
      <c r="S186" s="77"/>
      <c r="T186" s="77"/>
      <c r="U186" s="77"/>
      <c r="V186" s="77"/>
    </row>
    <row r="187" spans="1:22" s="38" customFormat="1" ht="16.5" customHeight="1" x14ac:dyDescent="0.3">
      <c r="A187" s="77"/>
      <c r="B187" s="77"/>
      <c r="C187" s="77"/>
      <c r="D187" s="77"/>
      <c r="E187" s="77"/>
      <c r="F187" s="77"/>
      <c r="G187" s="77"/>
      <c r="H187" s="77"/>
      <c r="I187" s="77"/>
      <c r="J187" s="77"/>
      <c r="K187" s="77"/>
      <c r="L187" s="77"/>
      <c r="M187" s="77"/>
      <c r="N187" s="77"/>
      <c r="O187" s="77"/>
      <c r="P187" s="77"/>
      <c r="Q187" s="77"/>
      <c r="R187" s="77"/>
      <c r="S187" s="77"/>
      <c r="T187" s="77"/>
      <c r="U187" s="77"/>
      <c r="V187" s="77"/>
    </row>
    <row r="188" spans="1:22" s="38" customFormat="1" ht="16.5" customHeight="1" x14ac:dyDescent="0.3">
      <c r="A188" s="77"/>
      <c r="B188" s="77"/>
      <c r="C188" s="77"/>
      <c r="D188" s="77"/>
      <c r="E188" s="77"/>
      <c r="F188" s="77"/>
      <c r="G188" s="77"/>
      <c r="H188" s="77"/>
      <c r="I188" s="77"/>
      <c r="J188" s="77"/>
      <c r="K188" s="77"/>
      <c r="L188" s="77"/>
      <c r="M188" s="77"/>
      <c r="N188" s="77"/>
      <c r="O188" s="77"/>
      <c r="P188" s="77"/>
      <c r="Q188" s="77"/>
      <c r="R188" s="77"/>
      <c r="S188" s="77"/>
      <c r="T188" s="77"/>
      <c r="U188" s="77"/>
      <c r="V188" s="77"/>
    </row>
    <row r="189" spans="1:22" s="38" customFormat="1" ht="16.5" customHeight="1" x14ac:dyDescent="0.3">
      <c r="A189" s="77"/>
      <c r="B189" s="77"/>
      <c r="C189" s="77"/>
      <c r="D189" s="77"/>
      <c r="E189" s="77"/>
      <c r="F189" s="77"/>
      <c r="G189" s="77"/>
      <c r="H189" s="77"/>
      <c r="I189" s="77"/>
      <c r="J189" s="77"/>
      <c r="K189" s="77"/>
      <c r="L189" s="77"/>
      <c r="M189" s="77"/>
      <c r="N189" s="77"/>
      <c r="O189" s="77"/>
      <c r="P189" s="77"/>
      <c r="Q189" s="77"/>
      <c r="R189" s="77"/>
      <c r="S189" s="77"/>
      <c r="T189" s="77"/>
      <c r="U189" s="77"/>
      <c r="V189" s="77"/>
    </row>
    <row r="190" spans="1:22" s="38" customFormat="1" ht="16.5" customHeight="1" x14ac:dyDescent="0.3">
      <c r="A190" s="77"/>
      <c r="B190" s="77"/>
      <c r="C190" s="77"/>
      <c r="D190" s="77"/>
      <c r="E190" s="77"/>
      <c r="F190" s="77"/>
      <c r="G190" s="77"/>
      <c r="H190" s="77"/>
      <c r="I190" s="77"/>
      <c r="J190" s="77"/>
      <c r="K190" s="77"/>
      <c r="L190" s="77"/>
      <c r="M190" s="77"/>
      <c r="N190" s="77"/>
      <c r="O190" s="77"/>
      <c r="P190" s="77"/>
      <c r="Q190" s="77"/>
      <c r="R190" s="77"/>
      <c r="S190" s="77"/>
      <c r="T190" s="77"/>
      <c r="U190" s="77"/>
      <c r="V190" s="77"/>
    </row>
    <row r="191" spans="1:22" s="38" customFormat="1" ht="16.5" customHeight="1" x14ac:dyDescent="0.3">
      <c r="A191" s="77"/>
      <c r="B191" s="77"/>
      <c r="C191" s="77"/>
      <c r="D191" s="77"/>
      <c r="E191" s="77"/>
      <c r="F191" s="77"/>
      <c r="G191" s="77"/>
      <c r="H191" s="77"/>
      <c r="I191" s="77"/>
      <c r="J191" s="77"/>
      <c r="K191" s="77"/>
      <c r="L191" s="77"/>
      <c r="M191" s="77"/>
      <c r="N191" s="77"/>
      <c r="O191" s="77"/>
      <c r="P191" s="77"/>
      <c r="Q191" s="77"/>
      <c r="R191" s="77"/>
      <c r="S191" s="77"/>
      <c r="T191" s="77"/>
      <c r="U191" s="77"/>
      <c r="V191" s="77"/>
    </row>
    <row r="192" spans="1:22" s="38" customFormat="1" ht="16.5" customHeight="1" x14ac:dyDescent="0.3">
      <c r="A192" s="77"/>
      <c r="B192" s="77"/>
      <c r="C192" s="77"/>
      <c r="D192" s="77"/>
      <c r="E192" s="77"/>
      <c r="F192" s="77"/>
      <c r="G192" s="77"/>
      <c r="H192" s="77"/>
      <c r="I192" s="77"/>
      <c r="J192" s="77"/>
      <c r="K192" s="77"/>
      <c r="L192" s="77"/>
      <c r="M192" s="77"/>
      <c r="N192" s="77"/>
      <c r="O192" s="77"/>
      <c r="P192" s="77"/>
      <c r="Q192" s="77"/>
      <c r="R192" s="77"/>
      <c r="S192" s="77"/>
      <c r="T192" s="77"/>
      <c r="U192" s="77"/>
      <c r="V192" s="77"/>
    </row>
    <row r="193" spans="1:22" s="38" customFormat="1" ht="16.5" customHeight="1" x14ac:dyDescent="0.3">
      <c r="A193" s="77"/>
      <c r="B193" s="77"/>
      <c r="C193" s="77"/>
      <c r="D193" s="77"/>
      <c r="E193" s="77"/>
      <c r="F193" s="77"/>
      <c r="G193" s="77"/>
      <c r="H193" s="77"/>
      <c r="I193" s="77"/>
      <c r="J193" s="77"/>
      <c r="K193" s="77"/>
      <c r="L193" s="77"/>
      <c r="M193" s="77"/>
      <c r="N193" s="77"/>
      <c r="O193" s="77"/>
      <c r="P193" s="77"/>
      <c r="Q193" s="77"/>
      <c r="R193" s="77"/>
      <c r="S193" s="77"/>
      <c r="T193" s="77"/>
      <c r="U193" s="77"/>
      <c r="V193" s="77"/>
    </row>
    <row r="194" spans="1:22" s="38" customFormat="1" ht="16.5" customHeight="1" x14ac:dyDescent="0.3">
      <c r="A194" s="77"/>
      <c r="B194" s="77"/>
      <c r="C194" s="77"/>
      <c r="D194" s="77"/>
      <c r="E194" s="77"/>
      <c r="F194" s="77"/>
      <c r="G194" s="77"/>
      <c r="H194" s="77"/>
      <c r="I194" s="77"/>
      <c r="J194" s="77"/>
      <c r="K194" s="77"/>
      <c r="L194" s="77"/>
      <c r="M194" s="77"/>
      <c r="N194" s="77"/>
      <c r="O194" s="77"/>
      <c r="P194" s="77"/>
      <c r="Q194" s="77"/>
      <c r="R194" s="77"/>
      <c r="S194" s="77"/>
      <c r="T194" s="77"/>
      <c r="U194" s="77"/>
      <c r="V194" s="77"/>
    </row>
    <row r="195" spans="1:22" s="38" customFormat="1" ht="16.5" customHeight="1" x14ac:dyDescent="0.3">
      <c r="A195" s="77"/>
      <c r="B195" s="77"/>
      <c r="C195" s="77"/>
      <c r="D195" s="77"/>
      <c r="E195" s="77"/>
      <c r="F195" s="77"/>
      <c r="G195" s="77"/>
      <c r="H195" s="77"/>
      <c r="I195" s="77"/>
      <c r="J195" s="77"/>
      <c r="K195" s="77"/>
      <c r="L195" s="77"/>
      <c r="M195" s="77"/>
      <c r="N195" s="77"/>
      <c r="O195" s="77"/>
      <c r="P195" s="77"/>
      <c r="Q195" s="77"/>
      <c r="R195" s="77"/>
      <c r="S195" s="77"/>
      <c r="T195" s="77"/>
      <c r="U195" s="77"/>
      <c r="V195" s="77"/>
    </row>
    <row r="196" spans="1:22" s="38" customFormat="1" ht="16.5" customHeight="1" x14ac:dyDescent="0.3">
      <c r="A196" s="77"/>
      <c r="B196" s="77"/>
      <c r="C196" s="77"/>
      <c r="D196" s="77"/>
      <c r="E196" s="77"/>
      <c r="F196" s="77"/>
      <c r="G196" s="77"/>
      <c r="H196" s="77"/>
      <c r="I196" s="77"/>
      <c r="J196" s="77"/>
      <c r="K196" s="77"/>
      <c r="L196" s="77"/>
      <c r="M196" s="77"/>
      <c r="N196" s="77"/>
      <c r="O196" s="77"/>
      <c r="P196" s="77"/>
      <c r="Q196" s="77"/>
      <c r="R196" s="77"/>
      <c r="S196" s="77"/>
      <c r="T196" s="77"/>
      <c r="U196" s="77"/>
      <c r="V196" s="77"/>
    </row>
    <row r="197" spans="1:22" s="38" customFormat="1" ht="16.5" customHeight="1" x14ac:dyDescent="0.3">
      <c r="A197" s="77"/>
      <c r="B197" s="77"/>
      <c r="C197" s="77"/>
      <c r="D197" s="77"/>
      <c r="E197" s="77"/>
      <c r="F197" s="77"/>
      <c r="G197" s="77"/>
      <c r="H197" s="77"/>
      <c r="I197" s="77"/>
      <c r="J197" s="77"/>
      <c r="K197" s="77"/>
      <c r="L197" s="77"/>
      <c r="M197" s="77"/>
      <c r="N197" s="77"/>
      <c r="O197" s="77"/>
      <c r="P197" s="77"/>
      <c r="Q197" s="77"/>
      <c r="R197" s="77"/>
      <c r="S197" s="77"/>
      <c r="T197" s="77"/>
      <c r="U197" s="77"/>
      <c r="V197" s="77"/>
    </row>
    <row r="198" spans="1:22" s="38" customFormat="1" ht="16.5" customHeight="1" x14ac:dyDescent="0.3">
      <c r="A198" s="77"/>
      <c r="B198" s="77"/>
      <c r="C198" s="77"/>
      <c r="D198" s="77"/>
      <c r="E198" s="77"/>
      <c r="F198" s="77"/>
      <c r="G198" s="77"/>
      <c r="H198" s="77"/>
      <c r="I198" s="77"/>
      <c r="J198" s="77"/>
      <c r="K198" s="77"/>
      <c r="L198" s="77"/>
      <c r="M198" s="77"/>
      <c r="N198" s="77"/>
      <c r="O198" s="77"/>
      <c r="P198" s="77"/>
      <c r="Q198" s="77"/>
      <c r="R198" s="77"/>
      <c r="S198" s="77"/>
      <c r="T198" s="77"/>
      <c r="U198" s="77"/>
      <c r="V198" s="77"/>
    </row>
    <row r="199" spans="1:22" s="38" customFormat="1" ht="16.5" customHeight="1" x14ac:dyDescent="0.3">
      <c r="A199" s="77"/>
      <c r="B199" s="77"/>
      <c r="C199" s="77"/>
      <c r="D199" s="77"/>
      <c r="E199" s="77"/>
      <c r="F199" s="77"/>
      <c r="G199" s="77"/>
      <c r="H199" s="77"/>
      <c r="I199" s="77"/>
      <c r="J199" s="77"/>
      <c r="K199" s="77"/>
      <c r="L199" s="77"/>
      <c r="M199" s="77"/>
      <c r="N199" s="77"/>
      <c r="O199" s="77"/>
      <c r="P199" s="77"/>
      <c r="Q199" s="77"/>
      <c r="R199" s="77"/>
      <c r="S199" s="77"/>
      <c r="T199" s="77"/>
      <c r="U199" s="77"/>
      <c r="V199" s="77"/>
    </row>
    <row r="200" spans="1:22" s="38" customFormat="1" ht="16.5" customHeight="1" x14ac:dyDescent="0.3">
      <c r="A200" s="77"/>
      <c r="B200" s="77"/>
      <c r="C200" s="77"/>
      <c r="D200" s="77"/>
      <c r="E200" s="77"/>
      <c r="F200" s="77"/>
      <c r="G200" s="77"/>
      <c r="H200" s="77"/>
      <c r="I200" s="77"/>
      <c r="J200" s="77"/>
      <c r="K200" s="77"/>
      <c r="L200" s="77"/>
      <c r="M200" s="77"/>
      <c r="N200" s="77"/>
      <c r="O200" s="77"/>
      <c r="P200" s="77"/>
      <c r="Q200" s="77"/>
      <c r="R200" s="77"/>
      <c r="S200" s="77"/>
      <c r="T200" s="77"/>
      <c r="U200" s="77"/>
      <c r="V200" s="77"/>
    </row>
    <row r="201" spans="1:22" s="38" customFormat="1" ht="16.5" customHeight="1" x14ac:dyDescent="0.3">
      <c r="A201" s="77"/>
      <c r="B201" s="77"/>
      <c r="C201" s="77"/>
      <c r="D201" s="77"/>
      <c r="E201" s="77"/>
      <c r="F201" s="77"/>
      <c r="G201" s="77"/>
      <c r="H201" s="77"/>
      <c r="I201" s="77"/>
      <c r="J201" s="77"/>
      <c r="K201" s="77"/>
      <c r="L201" s="77"/>
      <c r="M201" s="77"/>
      <c r="N201" s="77"/>
      <c r="O201" s="77"/>
      <c r="P201" s="77"/>
      <c r="Q201" s="77"/>
      <c r="R201" s="77"/>
      <c r="S201" s="77"/>
      <c r="T201" s="77"/>
      <c r="U201" s="77"/>
      <c r="V201" s="77"/>
    </row>
    <row r="202" spans="1:22" s="38" customFormat="1" ht="16.5" customHeight="1" x14ac:dyDescent="0.3">
      <c r="A202" s="77"/>
      <c r="B202" s="77"/>
      <c r="C202" s="77"/>
      <c r="D202" s="77"/>
      <c r="E202" s="77"/>
      <c r="F202" s="77"/>
      <c r="G202" s="77"/>
      <c r="H202" s="77"/>
      <c r="I202" s="77"/>
      <c r="J202" s="77"/>
      <c r="K202" s="77"/>
      <c r="L202" s="77"/>
      <c r="M202" s="77"/>
      <c r="N202" s="77"/>
      <c r="O202" s="77"/>
      <c r="P202" s="77"/>
      <c r="Q202" s="77"/>
      <c r="R202" s="77"/>
      <c r="S202" s="77"/>
      <c r="T202" s="77"/>
      <c r="U202" s="77"/>
      <c r="V202" s="77"/>
    </row>
    <row r="203" spans="1:22" s="38" customFormat="1" ht="16.5" customHeight="1" x14ac:dyDescent="0.3">
      <c r="A203" s="77"/>
      <c r="B203" s="77"/>
      <c r="C203" s="77"/>
      <c r="D203" s="77"/>
      <c r="E203" s="77"/>
      <c r="F203" s="77"/>
      <c r="G203" s="77"/>
      <c r="H203" s="77"/>
      <c r="I203" s="77"/>
      <c r="J203" s="77"/>
      <c r="K203" s="77"/>
      <c r="L203" s="77"/>
      <c r="M203" s="77"/>
      <c r="N203" s="77"/>
      <c r="O203" s="77"/>
      <c r="P203" s="77"/>
      <c r="Q203" s="77"/>
      <c r="R203" s="77"/>
      <c r="S203" s="77"/>
      <c r="T203" s="77"/>
      <c r="U203" s="77"/>
      <c r="V203" s="77"/>
    </row>
    <row r="204" spans="1:22" s="38" customFormat="1" ht="16.5" customHeight="1" x14ac:dyDescent="0.3">
      <c r="A204" s="77"/>
      <c r="B204" s="77"/>
      <c r="C204" s="77"/>
      <c r="D204" s="77"/>
      <c r="E204" s="77"/>
      <c r="F204" s="77"/>
      <c r="G204" s="77"/>
      <c r="H204" s="77"/>
      <c r="I204" s="77"/>
      <c r="J204" s="77"/>
      <c r="K204" s="77"/>
      <c r="L204" s="77"/>
      <c r="M204" s="77"/>
      <c r="N204" s="77"/>
      <c r="O204" s="77"/>
      <c r="P204" s="77"/>
      <c r="Q204" s="77"/>
      <c r="R204" s="77"/>
      <c r="S204" s="77"/>
      <c r="T204" s="77"/>
      <c r="U204" s="77"/>
      <c r="V204" s="77"/>
    </row>
    <row r="205" spans="1:22" s="38" customFormat="1" ht="16.5" customHeight="1" x14ac:dyDescent="0.3">
      <c r="A205" s="77"/>
      <c r="B205" s="77"/>
      <c r="C205" s="77"/>
      <c r="D205" s="77"/>
      <c r="E205" s="77"/>
      <c r="F205" s="77"/>
      <c r="G205" s="77"/>
      <c r="H205" s="77"/>
      <c r="I205" s="77"/>
      <c r="J205" s="77"/>
      <c r="K205" s="77"/>
      <c r="L205" s="77"/>
      <c r="M205" s="77"/>
      <c r="N205" s="77"/>
      <c r="O205" s="77"/>
      <c r="P205" s="77"/>
      <c r="Q205" s="77"/>
      <c r="R205" s="77"/>
      <c r="S205" s="77"/>
      <c r="T205" s="77"/>
      <c r="U205" s="77"/>
      <c r="V205" s="77"/>
    </row>
    <row r="206" spans="1:22" s="38" customFormat="1" ht="16.5" customHeight="1" x14ac:dyDescent="0.3">
      <c r="A206" s="77"/>
      <c r="B206" s="77"/>
      <c r="C206" s="77"/>
      <c r="D206" s="77"/>
      <c r="E206" s="77"/>
      <c r="F206" s="77"/>
      <c r="G206" s="77"/>
      <c r="H206" s="77"/>
      <c r="I206" s="77"/>
      <c r="J206" s="77"/>
      <c r="K206" s="77"/>
      <c r="L206" s="77"/>
      <c r="M206" s="77"/>
      <c r="N206" s="77"/>
      <c r="O206" s="77"/>
      <c r="P206" s="77"/>
      <c r="Q206" s="77"/>
      <c r="R206" s="77"/>
      <c r="S206" s="77"/>
      <c r="T206" s="77"/>
      <c r="U206" s="77"/>
      <c r="V206" s="77"/>
    </row>
    <row r="207" spans="1:22" s="38" customFormat="1" ht="16.5" customHeight="1" x14ac:dyDescent="0.3">
      <c r="A207" s="77"/>
      <c r="B207" s="77"/>
      <c r="C207" s="77"/>
      <c r="D207" s="77"/>
      <c r="E207" s="77"/>
      <c r="F207" s="77"/>
      <c r="G207" s="77"/>
      <c r="H207" s="77"/>
      <c r="I207" s="77"/>
      <c r="J207" s="77"/>
      <c r="K207" s="77"/>
      <c r="L207" s="77"/>
      <c r="M207" s="77"/>
      <c r="N207" s="77"/>
      <c r="O207" s="77"/>
      <c r="P207" s="77"/>
      <c r="Q207" s="77"/>
      <c r="R207" s="77"/>
      <c r="S207" s="77"/>
      <c r="T207" s="77"/>
      <c r="U207" s="77"/>
      <c r="V207" s="77"/>
    </row>
    <row r="208" spans="1:22" s="38" customFormat="1" ht="16.5" customHeight="1" x14ac:dyDescent="0.3">
      <c r="A208" s="77"/>
      <c r="B208" s="77"/>
      <c r="C208" s="77"/>
      <c r="D208" s="77"/>
      <c r="E208" s="77"/>
      <c r="F208" s="77"/>
      <c r="G208" s="77"/>
      <c r="H208" s="77"/>
      <c r="I208" s="77"/>
      <c r="J208" s="77"/>
      <c r="K208" s="77"/>
      <c r="L208" s="77"/>
      <c r="M208" s="77"/>
      <c r="N208" s="77"/>
      <c r="O208" s="77"/>
      <c r="P208" s="77"/>
      <c r="Q208" s="77"/>
      <c r="R208" s="77"/>
      <c r="S208" s="77"/>
      <c r="T208" s="77"/>
      <c r="U208" s="77"/>
      <c r="V208" s="77"/>
    </row>
    <row r="209" spans="1:22" s="38" customFormat="1" ht="16.5" customHeight="1" x14ac:dyDescent="0.3">
      <c r="A209" s="77"/>
      <c r="B209" s="77"/>
      <c r="C209" s="77"/>
      <c r="D209" s="77"/>
      <c r="E209" s="77"/>
      <c r="F209" s="77"/>
      <c r="G209" s="77"/>
      <c r="H209" s="77"/>
      <c r="I209" s="77"/>
      <c r="J209" s="77"/>
      <c r="K209" s="77"/>
      <c r="L209" s="77"/>
      <c r="M209" s="77"/>
      <c r="N209" s="77"/>
      <c r="O209" s="77"/>
      <c r="P209" s="77"/>
      <c r="Q209" s="77"/>
      <c r="R209" s="77"/>
      <c r="S209" s="77"/>
      <c r="T209" s="77"/>
      <c r="U209" s="77"/>
      <c r="V209" s="77"/>
    </row>
    <row r="210" spans="1:22" s="38" customFormat="1" ht="16.5" customHeight="1" x14ac:dyDescent="0.3">
      <c r="A210" s="77"/>
      <c r="B210" s="77"/>
      <c r="C210" s="77"/>
      <c r="D210" s="77"/>
      <c r="E210" s="77"/>
      <c r="F210" s="77"/>
      <c r="G210" s="77"/>
      <c r="H210" s="77"/>
      <c r="I210" s="77"/>
      <c r="J210" s="77"/>
      <c r="K210" s="77"/>
      <c r="L210" s="77"/>
      <c r="M210" s="77"/>
      <c r="N210" s="77"/>
      <c r="O210" s="77"/>
      <c r="P210" s="77"/>
      <c r="Q210" s="77"/>
      <c r="R210" s="77"/>
      <c r="S210" s="77"/>
      <c r="T210" s="77"/>
      <c r="U210" s="77"/>
      <c r="V210" s="77"/>
    </row>
    <row r="211" spans="1:22" s="38" customFormat="1" ht="16.5" customHeight="1" x14ac:dyDescent="0.3">
      <c r="A211" s="77"/>
      <c r="B211" s="77"/>
      <c r="C211" s="77"/>
      <c r="D211" s="77"/>
      <c r="E211" s="77"/>
      <c r="F211" s="77"/>
      <c r="G211" s="77"/>
      <c r="H211" s="77"/>
      <c r="I211" s="77"/>
      <c r="J211" s="77"/>
      <c r="K211" s="77"/>
      <c r="L211" s="77"/>
      <c r="M211" s="77"/>
      <c r="N211" s="77"/>
      <c r="O211" s="77"/>
      <c r="P211" s="77"/>
      <c r="Q211" s="77"/>
      <c r="R211" s="77"/>
      <c r="S211" s="77"/>
      <c r="T211" s="77"/>
      <c r="U211" s="77"/>
      <c r="V211" s="77"/>
    </row>
    <row r="212" spans="1:22" s="38" customFormat="1" ht="16.5" customHeight="1" x14ac:dyDescent="0.3">
      <c r="A212" s="77"/>
      <c r="B212" s="77"/>
      <c r="C212" s="77"/>
      <c r="D212" s="77"/>
      <c r="E212" s="77"/>
      <c r="F212" s="77"/>
      <c r="G212" s="77"/>
      <c r="H212" s="77"/>
      <c r="I212" s="77"/>
      <c r="J212" s="77"/>
      <c r="K212" s="77"/>
      <c r="L212" s="77"/>
      <c r="M212" s="77"/>
      <c r="N212" s="77"/>
      <c r="O212" s="77"/>
      <c r="P212" s="77"/>
      <c r="Q212" s="77"/>
      <c r="R212" s="77"/>
      <c r="S212" s="77"/>
      <c r="T212" s="77"/>
      <c r="U212" s="77"/>
      <c r="V212" s="77"/>
    </row>
    <row r="213" spans="1:22" s="38" customFormat="1" ht="16.5" customHeight="1" x14ac:dyDescent="0.3">
      <c r="A213" s="77"/>
      <c r="B213" s="77"/>
      <c r="C213" s="77"/>
      <c r="D213" s="77"/>
      <c r="E213" s="77"/>
      <c r="F213" s="77"/>
      <c r="G213" s="77"/>
      <c r="H213" s="77"/>
      <c r="I213" s="77"/>
      <c r="J213" s="77"/>
      <c r="K213" s="77"/>
      <c r="L213" s="77"/>
      <c r="M213" s="77"/>
      <c r="N213" s="77"/>
      <c r="O213" s="77"/>
      <c r="P213" s="77"/>
      <c r="Q213" s="77"/>
      <c r="R213" s="77"/>
      <c r="S213" s="77"/>
      <c r="T213" s="77"/>
      <c r="U213" s="77"/>
      <c r="V213" s="77"/>
    </row>
    <row r="214" spans="1:22" s="38" customFormat="1" ht="16.5" customHeight="1" x14ac:dyDescent="0.3">
      <c r="A214" s="77"/>
      <c r="B214" s="77"/>
      <c r="C214" s="77"/>
      <c r="D214" s="77"/>
      <c r="E214" s="77"/>
      <c r="F214" s="77"/>
      <c r="G214" s="77"/>
      <c r="H214" s="77"/>
      <c r="I214" s="77"/>
      <c r="J214" s="77"/>
      <c r="K214" s="77"/>
      <c r="L214" s="77"/>
      <c r="M214" s="77"/>
      <c r="N214" s="77"/>
      <c r="O214" s="77"/>
      <c r="P214" s="77"/>
      <c r="Q214" s="77"/>
      <c r="R214" s="77"/>
      <c r="S214" s="77"/>
      <c r="T214" s="77"/>
      <c r="U214" s="77"/>
      <c r="V214" s="77"/>
    </row>
    <row r="215" spans="1:22" s="38" customFormat="1" ht="16.5" customHeight="1" x14ac:dyDescent="0.3">
      <c r="A215" s="77"/>
      <c r="B215" s="77"/>
      <c r="C215" s="77"/>
      <c r="D215" s="77"/>
      <c r="E215" s="77"/>
      <c r="F215" s="77"/>
      <c r="G215" s="77"/>
      <c r="H215" s="77"/>
      <c r="I215" s="77"/>
      <c r="J215" s="77"/>
      <c r="K215" s="77"/>
      <c r="L215" s="77"/>
      <c r="M215" s="77"/>
      <c r="N215" s="77"/>
      <c r="O215" s="77"/>
      <c r="P215" s="77"/>
      <c r="Q215" s="77"/>
      <c r="R215" s="77"/>
      <c r="S215" s="77"/>
      <c r="T215" s="77"/>
      <c r="U215" s="77"/>
      <c r="V215" s="77"/>
    </row>
    <row r="216" spans="1:22" s="38" customFormat="1" ht="16.5" customHeight="1" x14ac:dyDescent="0.3">
      <c r="A216" s="77"/>
      <c r="B216" s="77"/>
      <c r="C216" s="77"/>
      <c r="D216" s="77"/>
      <c r="E216" s="77"/>
      <c r="F216" s="77"/>
      <c r="G216" s="77"/>
      <c r="H216" s="77"/>
      <c r="I216" s="77"/>
      <c r="J216" s="77"/>
      <c r="K216" s="77"/>
      <c r="L216" s="77"/>
      <c r="M216" s="77"/>
      <c r="N216" s="77"/>
      <c r="O216" s="77"/>
      <c r="P216" s="77"/>
      <c r="Q216" s="77"/>
      <c r="R216" s="77"/>
      <c r="S216" s="77"/>
      <c r="T216" s="77"/>
      <c r="U216" s="77"/>
      <c r="V216" s="77"/>
    </row>
    <row r="217" spans="1:22" s="38" customFormat="1" ht="16.5" customHeight="1" x14ac:dyDescent="0.3">
      <c r="A217" s="77"/>
      <c r="B217" s="77"/>
      <c r="C217" s="77"/>
      <c r="D217" s="77"/>
      <c r="E217" s="77"/>
      <c r="F217" s="77"/>
      <c r="G217" s="77"/>
      <c r="H217" s="77"/>
      <c r="I217" s="77"/>
      <c r="J217" s="77"/>
      <c r="K217" s="77"/>
      <c r="L217" s="77"/>
      <c r="M217" s="77"/>
      <c r="N217" s="77"/>
      <c r="O217" s="77"/>
      <c r="P217" s="77"/>
      <c r="Q217" s="77"/>
      <c r="R217" s="77"/>
      <c r="S217" s="77"/>
      <c r="T217" s="77"/>
      <c r="U217" s="77"/>
      <c r="V217" s="77"/>
    </row>
    <row r="218" spans="1:22" s="38" customFormat="1" ht="16.5" customHeight="1" x14ac:dyDescent="0.3">
      <c r="A218" s="77"/>
      <c r="B218" s="77"/>
      <c r="C218" s="77"/>
      <c r="D218" s="77"/>
      <c r="E218" s="77"/>
      <c r="F218" s="77"/>
      <c r="G218" s="77"/>
      <c r="H218" s="77"/>
      <c r="I218" s="77"/>
      <c r="J218" s="77"/>
      <c r="K218" s="77"/>
      <c r="L218" s="77"/>
      <c r="M218" s="77"/>
      <c r="N218" s="77"/>
      <c r="O218" s="77"/>
      <c r="P218" s="77"/>
      <c r="Q218" s="77"/>
      <c r="R218" s="77"/>
      <c r="S218" s="77"/>
      <c r="T218" s="77"/>
      <c r="U218" s="77"/>
      <c r="V218" s="77"/>
    </row>
    <row r="219" spans="1:22" s="38" customFormat="1" ht="16.5" customHeight="1" x14ac:dyDescent="0.3">
      <c r="A219" s="77"/>
      <c r="B219" s="77"/>
      <c r="C219" s="77"/>
      <c r="D219" s="77"/>
      <c r="E219" s="77"/>
      <c r="F219" s="77"/>
      <c r="G219" s="77"/>
      <c r="H219" s="77"/>
      <c r="I219" s="77"/>
      <c r="J219" s="77"/>
      <c r="K219" s="77"/>
      <c r="L219" s="77"/>
      <c r="M219" s="77"/>
      <c r="N219" s="77"/>
      <c r="O219" s="77"/>
      <c r="P219" s="77"/>
      <c r="Q219" s="77"/>
      <c r="R219" s="77"/>
      <c r="S219" s="77"/>
      <c r="T219" s="77"/>
      <c r="U219" s="77"/>
      <c r="V219" s="77"/>
    </row>
    <row r="220" spans="1:22" s="38" customFormat="1" ht="16.5" customHeight="1" x14ac:dyDescent="0.3">
      <c r="A220" s="77"/>
      <c r="B220" s="77"/>
      <c r="C220" s="77"/>
      <c r="D220" s="77"/>
      <c r="E220" s="77"/>
      <c r="F220" s="77"/>
      <c r="G220" s="77"/>
      <c r="H220" s="77"/>
      <c r="I220" s="77"/>
      <c r="J220" s="77"/>
      <c r="K220" s="77"/>
      <c r="L220" s="77"/>
      <c r="M220" s="77"/>
      <c r="N220" s="77"/>
      <c r="O220" s="77"/>
      <c r="P220" s="77"/>
      <c r="Q220" s="77"/>
      <c r="R220" s="77"/>
      <c r="S220" s="77"/>
      <c r="T220" s="77"/>
      <c r="U220" s="77"/>
      <c r="V220" s="77"/>
    </row>
    <row r="221" spans="1:22" s="38" customFormat="1" ht="16.5" customHeight="1" x14ac:dyDescent="0.3">
      <c r="A221" s="77"/>
      <c r="B221" s="77"/>
      <c r="C221" s="77"/>
      <c r="D221" s="77"/>
      <c r="E221" s="77"/>
      <c r="F221" s="77"/>
      <c r="G221" s="77"/>
      <c r="H221" s="77"/>
      <c r="I221" s="77"/>
      <c r="J221" s="77"/>
      <c r="K221" s="77"/>
      <c r="L221" s="77"/>
      <c r="M221" s="77"/>
      <c r="N221" s="77"/>
      <c r="O221" s="77"/>
      <c r="P221" s="77"/>
      <c r="Q221" s="77"/>
      <c r="R221" s="77"/>
      <c r="S221" s="77"/>
      <c r="T221" s="77"/>
      <c r="U221" s="77"/>
      <c r="V221" s="77"/>
    </row>
    <row r="222" spans="1:22" s="38" customFormat="1" ht="16.5" customHeight="1" x14ac:dyDescent="0.3">
      <c r="A222" s="77"/>
      <c r="B222" s="77"/>
      <c r="C222" s="77"/>
      <c r="D222" s="77"/>
      <c r="E222" s="77"/>
      <c r="F222" s="77"/>
      <c r="G222" s="77"/>
      <c r="H222" s="77"/>
      <c r="I222" s="77"/>
      <c r="J222" s="77"/>
      <c r="K222" s="77"/>
      <c r="L222" s="77"/>
      <c r="M222" s="77"/>
      <c r="N222" s="77"/>
      <c r="O222" s="77"/>
      <c r="P222" s="77"/>
      <c r="Q222" s="77"/>
      <c r="R222" s="77"/>
      <c r="S222" s="77"/>
      <c r="T222" s="77"/>
      <c r="U222" s="77"/>
      <c r="V222" s="77"/>
    </row>
    <row r="223" spans="1:22" s="38" customFormat="1" ht="16.5" customHeight="1" x14ac:dyDescent="0.3">
      <c r="A223" s="77"/>
      <c r="B223" s="77"/>
      <c r="C223" s="77"/>
      <c r="D223" s="77"/>
      <c r="E223" s="77"/>
      <c r="F223" s="77"/>
      <c r="G223" s="77"/>
      <c r="H223" s="77"/>
      <c r="I223" s="77"/>
      <c r="J223" s="77"/>
      <c r="K223" s="77"/>
      <c r="L223" s="77"/>
      <c r="M223" s="77"/>
      <c r="N223" s="77"/>
      <c r="O223" s="77"/>
      <c r="P223" s="77"/>
      <c r="Q223" s="77"/>
      <c r="R223" s="77"/>
      <c r="S223" s="77"/>
      <c r="T223" s="77"/>
      <c r="U223" s="77"/>
      <c r="V223" s="77"/>
    </row>
    <row r="224" spans="1:22" s="38" customFormat="1" ht="16.5" customHeight="1" x14ac:dyDescent="0.3">
      <c r="A224" s="77"/>
      <c r="B224" s="77"/>
      <c r="C224" s="77"/>
      <c r="D224" s="77"/>
      <c r="E224" s="77"/>
      <c r="F224" s="77"/>
      <c r="G224" s="77"/>
      <c r="H224" s="77"/>
      <c r="I224" s="77"/>
      <c r="J224" s="77"/>
      <c r="K224" s="77"/>
      <c r="L224" s="77"/>
      <c r="M224" s="77"/>
      <c r="N224" s="77"/>
      <c r="O224" s="77"/>
      <c r="P224" s="77"/>
      <c r="Q224" s="77"/>
      <c r="R224" s="77"/>
      <c r="S224" s="77"/>
      <c r="T224" s="77"/>
      <c r="U224" s="77"/>
      <c r="V224" s="77"/>
    </row>
    <row r="225" spans="1:22" s="38" customFormat="1" ht="16.5" customHeight="1" x14ac:dyDescent="0.3">
      <c r="A225" s="77"/>
      <c r="B225" s="77"/>
      <c r="C225" s="77"/>
      <c r="D225" s="77"/>
      <c r="E225" s="77"/>
      <c r="F225" s="77"/>
      <c r="G225" s="77"/>
      <c r="H225" s="77"/>
      <c r="I225" s="77"/>
      <c r="J225" s="77"/>
      <c r="K225" s="77"/>
      <c r="L225" s="77"/>
      <c r="M225" s="77"/>
      <c r="N225" s="77"/>
      <c r="O225" s="77"/>
      <c r="P225" s="77"/>
      <c r="Q225" s="77"/>
      <c r="R225" s="77"/>
      <c r="S225" s="77"/>
      <c r="T225" s="77"/>
      <c r="U225" s="77"/>
      <c r="V225" s="77"/>
    </row>
    <row r="226" spans="1:22" s="38" customFormat="1" ht="16.5" customHeight="1" x14ac:dyDescent="0.3">
      <c r="A226" s="77"/>
      <c r="B226" s="77"/>
      <c r="C226" s="77"/>
      <c r="D226" s="77"/>
      <c r="E226" s="77"/>
      <c r="F226" s="77"/>
      <c r="G226" s="77"/>
      <c r="H226" s="77"/>
      <c r="I226" s="77"/>
      <c r="J226" s="77"/>
      <c r="K226" s="77"/>
      <c r="L226" s="77"/>
      <c r="M226" s="77"/>
      <c r="N226" s="77"/>
      <c r="O226" s="77"/>
      <c r="P226" s="77"/>
      <c r="Q226" s="77"/>
      <c r="R226" s="77"/>
      <c r="S226" s="77"/>
      <c r="T226" s="77"/>
      <c r="U226" s="77"/>
      <c r="V226" s="77"/>
    </row>
    <row r="227" spans="1:22" s="38" customFormat="1" ht="16.5" customHeight="1" x14ac:dyDescent="0.3">
      <c r="A227" s="77"/>
      <c r="B227" s="77"/>
      <c r="C227" s="77"/>
      <c r="D227" s="77"/>
      <c r="E227" s="77"/>
      <c r="F227" s="77"/>
      <c r="G227" s="77"/>
      <c r="H227" s="77"/>
      <c r="I227" s="77"/>
      <c r="J227" s="77"/>
      <c r="K227" s="77"/>
      <c r="L227" s="77"/>
      <c r="M227" s="77"/>
      <c r="N227" s="77"/>
      <c r="O227" s="77"/>
      <c r="P227" s="77"/>
      <c r="Q227" s="77"/>
      <c r="R227" s="77"/>
      <c r="S227" s="77"/>
      <c r="T227" s="77"/>
      <c r="U227" s="77"/>
      <c r="V227" s="77"/>
    </row>
    <row r="228" spans="1:22" s="38" customFormat="1" ht="16.5" customHeight="1" x14ac:dyDescent="0.3">
      <c r="A228" s="77"/>
      <c r="B228" s="77"/>
      <c r="C228" s="77"/>
      <c r="D228" s="77"/>
      <c r="E228" s="77"/>
      <c r="F228" s="77"/>
      <c r="G228" s="77"/>
      <c r="H228" s="77"/>
      <c r="I228" s="77"/>
      <c r="J228" s="77"/>
      <c r="K228" s="77"/>
      <c r="L228" s="77"/>
      <c r="M228" s="77"/>
      <c r="N228" s="77"/>
      <c r="O228" s="77"/>
      <c r="P228" s="77"/>
      <c r="Q228" s="77"/>
      <c r="R228" s="77"/>
      <c r="S228" s="77"/>
      <c r="T228" s="77"/>
      <c r="U228" s="77"/>
      <c r="V228" s="77"/>
    </row>
    <row r="229" spans="1:22" s="38" customFormat="1" ht="16.5" customHeight="1" x14ac:dyDescent="0.3">
      <c r="A229" s="77"/>
      <c r="B229" s="77"/>
      <c r="C229" s="77"/>
      <c r="D229" s="77"/>
      <c r="E229" s="77"/>
      <c r="F229" s="77"/>
      <c r="G229" s="77"/>
      <c r="H229" s="77"/>
      <c r="I229" s="77"/>
      <c r="J229" s="77"/>
      <c r="K229" s="77"/>
      <c r="L229" s="77"/>
      <c r="M229" s="77"/>
      <c r="N229" s="77"/>
      <c r="O229" s="77"/>
      <c r="P229" s="77"/>
      <c r="Q229" s="77"/>
      <c r="R229" s="77"/>
      <c r="S229" s="77"/>
      <c r="T229" s="77"/>
      <c r="U229" s="77"/>
      <c r="V229" s="77"/>
    </row>
    <row r="230" spans="1:22" s="38" customFormat="1" ht="16.5" customHeight="1" x14ac:dyDescent="0.3">
      <c r="A230" s="77"/>
      <c r="B230" s="77"/>
      <c r="C230" s="77"/>
      <c r="D230" s="77"/>
      <c r="E230" s="77"/>
      <c r="F230" s="77"/>
      <c r="G230" s="77"/>
      <c r="H230" s="77"/>
      <c r="I230" s="77"/>
      <c r="J230" s="77"/>
      <c r="K230" s="77"/>
      <c r="L230" s="77"/>
      <c r="M230" s="77"/>
      <c r="N230" s="77"/>
      <c r="O230" s="77"/>
      <c r="P230" s="77"/>
      <c r="Q230" s="77"/>
      <c r="R230" s="77"/>
      <c r="S230" s="77"/>
      <c r="T230" s="77"/>
      <c r="U230" s="77"/>
      <c r="V230" s="77"/>
    </row>
    <row r="231" spans="1:22" s="38" customFormat="1" ht="16.5" customHeight="1" x14ac:dyDescent="0.3">
      <c r="A231" s="77"/>
      <c r="B231" s="77"/>
      <c r="C231" s="77"/>
      <c r="D231" s="77"/>
      <c r="E231" s="77"/>
      <c r="F231" s="77"/>
      <c r="G231" s="77"/>
      <c r="H231" s="77"/>
      <c r="I231" s="77"/>
      <c r="J231" s="77"/>
      <c r="K231" s="77"/>
      <c r="L231" s="77"/>
      <c r="M231" s="77"/>
      <c r="N231" s="77"/>
      <c r="O231" s="77"/>
      <c r="P231" s="77"/>
      <c r="Q231" s="77"/>
      <c r="R231" s="77"/>
      <c r="S231" s="77"/>
      <c r="T231" s="77"/>
      <c r="U231" s="77"/>
      <c r="V231" s="77"/>
    </row>
    <row r="232" spans="1:22" s="38" customFormat="1" ht="16.5" customHeight="1" x14ac:dyDescent="0.3">
      <c r="A232" s="77"/>
      <c r="B232" s="77"/>
      <c r="C232" s="77"/>
      <c r="D232" s="77"/>
      <c r="E232" s="77"/>
      <c r="F232" s="77"/>
      <c r="G232" s="77"/>
      <c r="H232" s="77"/>
      <c r="I232" s="77"/>
      <c r="J232" s="77"/>
      <c r="K232" s="77"/>
      <c r="L232" s="77"/>
      <c r="M232" s="77"/>
      <c r="N232" s="77"/>
      <c r="O232" s="77"/>
      <c r="P232" s="77"/>
      <c r="Q232" s="77"/>
      <c r="R232" s="77"/>
      <c r="S232" s="77"/>
      <c r="T232" s="77"/>
      <c r="U232" s="77"/>
      <c r="V232" s="77"/>
    </row>
    <row r="233" spans="1:22" s="38" customFormat="1" ht="16.5" customHeight="1" x14ac:dyDescent="0.3">
      <c r="A233" s="77"/>
      <c r="B233" s="77"/>
      <c r="C233" s="77"/>
      <c r="D233" s="77"/>
      <c r="E233" s="77"/>
      <c r="F233" s="77"/>
      <c r="G233" s="77"/>
      <c r="H233" s="77"/>
      <c r="I233" s="77"/>
      <c r="J233" s="77"/>
      <c r="K233" s="77"/>
      <c r="L233" s="77"/>
      <c r="M233" s="77"/>
      <c r="N233" s="77"/>
      <c r="O233" s="77"/>
      <c r="P233" s="77"/>
      <c r="Q233" s="77"/>
      <c r="R233" s="77"/>
      <c r="S233" s="77"/>
      <c r="T233" s="77"/>
      <c r="U233" s="77"/>
      <c r="V233" s="77"/>
    </row>
    <row r="234" spans="1:22" s="38" customFormat="1" ht="16.5" customHeight="1" x14ac:dyDescent="0.3">
      <c r="A234" s="77"/>
      <c r="B234" s="77"/>
      <c r="C234" s="77"/>
      <c r="D234" s="77"/>
      <c r="E234" s="77"/>
      <c r="F234" s="77"/>
      <c r="G234" s="77"/>
      <c r="H234" s="77"/>
      <c r="I234" s="77"/>
      <c r="J234" s="77"/>
      <c r="K234" s="77"/>
      <c r="L234" s="77"/>
      <c r="M234" s="77"/>
      <c r="N234" s="77"/>
      <c r="O234" s="77"/>
      <c r="P234" s="77"/>
      <c r="Q234" s="77"/>
      <c r="R234" s="77"/>
      <c r="S234" s="77"/>
      <c r="T234" s="77"/>
      <c r="U234" s="77"/>
      <c r="V234" s="77"/>
    </row>
    <row r="235" spans="1:22" s="38" customFormat="1" ht="16.5" customHeight="1" x14ac:dyDescent="0.3">
      <c r="A235" s="77"/>
      <c r="B235" s="77"/>
      <c r="C235" s="77"/>
      <c r="D235" s="77"/>
      <c r="E235" s="77"/>
      <c r="F235" s="77"/>
      <c r="G235" s="77"/>
      <c r="H235" s="77"/>
      <c r="I235" s="77"/>
      <c r="J235" s="77"/>
      <c r="K235" s="77"/>
      <c r="L235" s="77"/>
      <c r="M235" s="77"/>
      <c r="N235" s="77"/>
      <c r="O235" s="77"/>
      <c r="P235" s="77"/>
      <c r="Q235" s="77"/>
      <c r="R235" s="77"/>
      <c r="S235" s="77"/>
      <c r="T235" s="77"/>
      <c r="U235" s="77"/>
      <c r="V235" s="77"/>
    </row>
    <row r="236" spans="1:22" s="38" customFormat="1" ht="16.5" customHeight="1" x14ac:dyDescent="0.3">
      <c r="A236" s="77"/>
      <c r="B236" s="77"/>
      <c r="C236" s="77"/>
      <c r="D236" s="77"/>
      <c r="E236" s="77"/>
      <c r="F236" s="77"/>
      <c r="G236" s="77"/>
      <c r="H236" s="77"/>
      <c r="I236" s="77"/>
      <c r="J236" s="77"/>
      <c r="K236" s="77"/>
      <c r="L236" s="77"/>
      <c r="M236" s="77"/>
      <c r="N236" s="77"/>
      <c r="O236" s="77"/>
      <c r="P236" s="77"/>
      <c r="Q236" s="77"/>
      <c r="R236" s="77"/>
      <c r="S236" s="77"/>
      <c r="T236" s="77"/>
      <c r="U236" s="77"/>
      <c r="V236" s="77"/>
    </row>
    <row r="237" spans="1:22" s="38" customFormat="1" ht="16.5" customHeight="1" x14ac:dyDescent="0.3">
      <c r="A237" s="77"/>
      <c r="B237" s="77"/>
      <c r="C237" s="77"/>
      <c r="D237" s="77"/>
      <c r="E237" s="77"/>
      <c r="F237" s="77"/>
      <c r="G237" s="77"/>
      <c r="H237" s="77"/>
      <c r="I237" s="77"/>
      <c r="J237" s="77"/>
      <c r="K237" s="77"/>
      <c r="L237" s="77"/>
      <c r="M237" s="77"/>
      <c r="N237" s="77"/>
      <c r="O237" s="77"/>
      <c r="P237" s="77"/>
      <c r="Q237" s="77"/>
      <c r="R237" s="77"/>
      <c r="S237" s="77"/>
      <c r="T237" s="77"/>
      <c r="U237" s="77"/>
      <c r="V237" s="77"/>
    </row>
    <row r="238" spans="1:22" s="38" customFormat="1" ht="16.5" customHeight="1" x14ac:dyDescent="0.3">
      <c r="A238" s="77"/>
      <c r="B238" s="77"/>
      <c r="C238" s="77"/>
      <c r="D238" s="77"/>
      <c r="E238" s="77"/>
      <c r="F238" s="77"/>
      <c r="G238" s="77"/>
      <c r="H238" s="77"/>
      <c r="I238" s="77"/>
      <c r="J238" s="77"/>
      <c r="K238" s="77"/>
      <c r="L238" s="77"/>
      <c r="M238" s="77"/>
      <c r="N238" s="77"/>
      <c r="O238" s="77"/>
      <c r="P238" s="77"/>
      <c r="Q238" s="77"/>
      <c r="R238" s="77"/>
      <c r="S238" s="77"/>
      <c r="T238" s="77"/>
      <c r="U238" s="77"/>
      <c r="V238" s="77"/>
    </row>
    <row r="239" spans="1:22" s="38" customFormat="1" ht="16.5" customHeight="1" x14ac:dyDescent="0.3">
      <c r="A239" s="77"/>
      <c r="B239" s="77"/>
      <c r="C239" s="77"/>
      <c r="D239" s="77"/>
      <c r="E239" s="77"/>
      <c r="F239" s="77"/>
      <c r="G239" s="77"/>
      <c r="H239" s="77"/>
      <c r="I239" s="77"/>
      <c r="J239" s="77"/>
      <c r="K239" s="77"/>
      <c r="L239" s="77"/>
      <c r="M239" s="77"/>
      <c r="N239" s="77"/>
      <c r="O239" s="77"/>
      <c r="P239" s="77"/>
      <c r="Q239" s="77"/>
      <c r="R239" s="77"/>
      <c r="S239" s="77"/>
      <c r="T239" s="77"/>
      <c r="U239" s="77"/>
      <c r="V239" s="77"/>
    </row>
    <row r="240" spans="1:22" s="38" customFormat="1" ht="16.5" customHeight="1" x14ac:dyDescent="0.3">
      <c r="A240" s="77"/>
      <c r="B240" s="77"/>
      <c r="C240" s="77"/>
      <c r="D240" s="77"/>
      <c r="E240" s="77"/>
      <c r="F240" s="77"/>
      <c r="G240" s="77"/>
      <c r="H240" s="77"/>
      <c r="I240" s="77"/>
      <c r="J240" s="77"/>
      <c r="K240" s="77"/>
      <c r="L240" s="77"/>
      <c r="M240" s="77"/>
      <c r="N240" s="77"/>
      <c r="O240" s="77"/>
      <c r="P240" s="77"/>
      <c r="Q240" s="77"/>
      <c r="R240" s="77"/>
      <c r="S240" s="77"/>
      <c r="T240" s="77"/>
      <c r="U240" s="77"/>
      <c r="V240" s="77"/>
    </row>
    <row r="241" spans="1:22" s="38" customFormat="1" ht="16.5" customHeight="1" x14ac:dyDescent="0.3">
      <c r="A241" s="77"/>
      <c r="B241" s="77"/>
      <c r="C241" s="77"/>
      <c r="D241" s="77"/>
      <c r="E241" s="77"/>
      <c r="F241" s="77"/>
      <c r="G241" s="77"/>
      <c r="H241" s="77"/>
      <c r="I241" s="77"/>
      <c r="J241" s="77"/>
      <c r="K241" s="77"/>
      <c r="L241" s="77"/>
      <c r="M241" s="77"/>
      <c r="N241" s="77"/>
      <c r="O241" s="77"/>
      <c r="P241" s="77"/>
      <c r="Q241" s="77"/>
      <c r="R241" s="77"/>
      <c r="S241" s="77"/>
      <c r="T241" s="77"/>
      <c r="U241" s="77"/>
      <c r="V241" s="77"/>
    </row>
    <row r="242" spans="1:22" s="38" customFormat="1" ht="16.5" customHeight="1" x14ac:dyDescent="0.3">
      <c r="A242" s="77"/>
      <c r="B242" s="77"/>
      <c r="C242" s="77"/>
      <c r="D242" s="77"/>
      <c r="E242" s="77"/>
      <c r="F242" s="77"/>
      <c r="G242" s="77"/>
      <c r="H242" s="77"/>
      <c r="I242" s="77"/>
      <c r="J242" s="77"/>
      <c r="K242" s="77"/>
      <c r="L242" s="77"/>
      <c r="M242" s="77"/>
      <c r="N242" s="77"/>
      <c r="O242" s="77"/>
      <c r="P242" s="77"/>
      <c r="Q242" s="77"/>
      <c r="R242" s="77"/>
      <c r="S242" s="77"/>
      <c r="T242" s="77"/>
      <c r="U242" s="77"/>
      <c r="V242" s="77"/>
    </row>
    <row r="243" spans="1:22" s="38" customFormat="1" ht="16.5" customHeight="1" x14ac:dyDescent="0.3">
      <c r="A243" s="77"/>
      <c r="B243" s="77"/>
      <c r="C243" s="77"/>
      <c r="D243" s="77"/>
      <c r="E243" s="77"/>
      <c r="F243" s="77"/>
      <c r="G243" s="77"/>
      <c r="H243" s="77"/>
      <c r="I243" s="77"/>
      <c r="J243" s="77"/>
      <c r="K243" s="77"/>
      <c r="L243" s="77"/>
      <c r="M243" s="77"/>
      <c r="N243" s="77"/>
      <c r="O243" s="77"/>
      <c r="P243" s="77"/>
      <c r="Q243" s="77"/>
      <c r="R243" s="77"/>
      <c r="S243" s="77"/>
      <c r="T243" s="77"/>
      <c r="U243" s="77"/>
      <c r="V243" s="77"/>
    </row>
    <row r="244" spans="1:22" s="38" customFormat="1" ht="16.5" customHeight="1" x14ac:dyDescent="0.3">
      <c r="A244" s="77"/>
      <c r="B244" s="77"/>
      <c r="C244" s="77"/>
      <c r="D244" s="77"/>
      <c r="E244" s="77"/>
      <c r="F244" s="77"/>
      <c r="G244" s="77"/>
      <c r="H244" s="77"/>
      <c r="I244" s="77"/>
      <c r="J244" s="77"/>
      <c r="K244" s="77"/>
      <c r="L244" s="77"/>
      <c r="M244" s="77"/>
      <c r="N244" s="77"/>
      <c r="O244" s="77"/>
      <c r="P244" s="77"/>
      <c r="Q244" s="77"/>
      <c r="R244" s="77"/>
      <c r="S244" s="77"/>
      <c r="T244" s="77"/>
      <c r="U244" s="77"/>
      <c r="V244" s="77"/>
    </row>
    <row r="245" spans="1:22" s="38" customFormat="1" ht="16.5" customHeight="1" x14ac:dyDescent="0.3">
      <c r="A245" s="77"/>
      <c r="B245" s="77"/>
      <c r="C245" s="77"/>
      <c r="D245" s="77"/>
      <c r="E245" s="77"/>
      <c r="F245" s="77"/>
      <c r="G245" s="77"/>
      <c r="H245" s="77"/>
      <c r="I245" s="77"/>
      <c r="J245" s="77"/>
      <c r="K245" s="77"/>
      <c r="L245" s="77"/>
      <c r="M245" s="77"/>
      <c r="N245" s="77"/>
      <c r="O245" s="77"/>
      <c r="P245" s="77"/>
      <c r="Q245" s="77"/>
      <c r="R245" s="77"/>
      <c r="S245" s="77"/>
      <c r="T245" s="77"/>
      <c r="U245" s="77"/>
      <c r="V245" s="77"/>
    </row>
    <row r="246" spans="1:22" s="38" customFormat="1" ht="16.5" customHeight="1" x14ac:dyDescent="0.3">
      <c r="A246" s="77"/>
      <c r="B246" s="77"/>
      <c r="C246" s="77"/>
      <c r="D246" s="77"/>
      <c r="E246" s="77"/>
      <c r="F246" s="77"/>
      <c r="G246" s="77"/>
      <c r="H246" s="77"/>
      <c r="I246" s="77"/>
      <c r="J246" s="77"/>
      <c r="K246" s="77"/>
      <c r="L246" s="77"/>
      <c r="M246" s="77"/>
      <c r="N246" s="77"/>
      <c r="O246" s="77"/>
      <c r="P246" s="77"/>
      <c r="Q246" s="77"/>
      <c r="R246" s="77"/>
      <c r="S246" s="77"/>
      <c r="T246" s="77"/>
      <c r="U246" s="77"/>
      <c r="V246" s="77"/>
    </row>
    <row r="247" spans="1:22" s="38" customFormat="1" ht="16.5" customHeight="1" x14ac:dyDescent="0.3">
      <c r="A247" s="77"/>
      <c r="B247" s="77"/>
      <c r="C247" s="77"/>
      <c r="D247" s="77"/>
      <c r="E247" s="77"/>
      <c r="F247" s="77"/>
      <c r="G247" s="77"/>
      <c r="H247" s="77"/>
      <c r="I247" s="77"/>
      <c r="J247" s="77"/>
      <c r="K247" s="77"/>
      <c r="L247" s="77"/>
      <c r="M247" s="77"/>
      <c r="N247" s="77"/>
      <c r="O247" s="77"/>
      <c r="P247" s="77"/>
      <c r="Q247" s="77"/>
      <c r="R247" s="77"/>
      <c r="S247" s="77"/>
      <c r="T247" s="77"/>
      <c r="U247" s="77"/>
      <c r="V247" s="77"/>
    </row>
    <row r="248" spans="1:22" s="38" customFormat="1" ht="16.5" customHeight="1" x14ac:dyDescent="0.3">
      <c r="A248" s="77"/>
      <c r="B248" s="77"/>
      <c r="C248" s="77"/>
      <c r="D248" s="77"/>
      <c r="E248" s="77"/>
      <c r="F248" s="77"/>
      <c r="G248" s="77"/>
      <c r="H248" s="77"/>
      <c r="I248" s="77"/>
      <c r="J248" s="77"/>
      <c r="K248" s="77"/>
      <c r="L248" s="77"/>
      <c r="M248" s="77"/>
      <c r="N248" s="77"/>
      <c r="O248" s="77"/>
      <c r="P248" s="77"/>
      <c r="Q248" s="77"/>
      <c r="R248" s="77"/>
      <c r="S248" s="77"/>
      <c r="T248" s="77"/>
      <c r="U248" s="77"/>
      <c r="V248" s="77"/>
    </row>
    <row r="249" spans="1:22" s="38" customFormat="1" ht="16.5" customHeight="1" x14ac:dyDescent="0.3">
      <c r="A249" s="77"/>
      <c r="B249" s="77"/>
      <c r="C249" s="77"/>
      <c r="D249" s="77"/>
      <c r="E249" s="77"/>
      <c r="F249" s="77"/>
      <c r="G249" s="77"/>
      <c r="H249" s="77"/>
      <c r="I249" s="77"/>
      <c r="J249" s="77"/>
      <c r="K249" s="77"/>
      <c r="L249" s="77"/>
      <c r="M249" s="77"/>
      <c r="N249" s="77"/>
      <c r="O249" s="77"/>
      <c r="P249" s="77"/>
      <c r="Q249" s="77"/>
      <c r="R249" s="77"/>
      <c r="S249" s="77"/>
      <c r="T249" s="77"/>
      <c r="U249" s="77"/>
      <c r="V249" s="77"/>
    </row>
    <row r="250" spans="1:22" s="38" customFormat="1" ht="16.5" customHeight="1" x14ac:dyDescent="0.3">
      <c r="A250" s="77"/>
      <c r="B250" s="77"/>
      <c r="C250" s="77"/>
      <c r="D250" s="77"/>
      <c r="E250" s="77"/>
      <c r="F250" s="77"/>
      <c r="G250" s="77"/>
      <c r="H250" s="77"/>
      <c r="I250" s="77"/>
      <c r="J250" s="77"/>
      <c r="K250" s="77"/>
      <c r="L250" s="77"/>
      <c r="M250" s="77"/>
      <c r="N250" s="77"/>
      <c r="O250" s="77"/>
      <c r="P250" s="77"/>
      <c r="Q250" s="77"/>
      <c r="R250" s="77"/>
      <c r="S250" s="77"/>
      <c r="T250" s="77"/>
      <c r="U250" s="77"/>
      <c r="V250" s="77"/>
    </row>
    <row r="251" spans="1:22" s="38" customFormat="1" ht="16.5" customHeight="1" x14ac:dyDescent="0.3">
      <c r="A251" s="77"/>
      <c r="B251" s="77"/>
      <c r="C251" s="77"/>
      <c r="D251" s="77"/>
      <c r="E251" s="77"/>
      <c r="F251" s="77"/>
      <c r="G251" s="77"/>
      <c r="H251" s="77"/>
      <c r="I251" s="77"/>
      <c r="J251" s="77"/>
      <c r="K251" s="77"/>
      <c r="L251" s="77"/>
      <c r="M251" s="77"/>
      <c r="N251" s="77"/>
      <c r="O251" s="77"/>
      <c r="P251" s="77"/>
      <c r="Q251" s="77"/>
      <c r="R251" s="77"/>
      <c r="S251" s="77"/>
      <c r="T251" s="77"/>
      <c r="U251" s="77"/>
      <c r="V251" s="77"/>
    </row>
    <row r="252" spans="1:22" s="38" customFormat="1" ht="16.5" customHeight="1" x14ac:dyDescent="0.3">
      <c r="A252" s="77"/>
      <c r="B252" s="77"/>
      <c r="C252" s="77"/>
      <c r="D252" s="77"/>
      <c r="E252" s="77"/>
      <c r="F252" s="77"/>
      <c r="G252" s="77"/>
      <c r="H252" s="77"/>
      <c r="I252" s="77"/>
      <c r="J252" s="77"/>
      <c r="K252" s="77"/>
      <c r="L252" s="77"/>
      <c r="M252" s="77"/>
      <c r="N252" s="77"/>
      <c r="O252" s="77"/>
      <c r="P252" s="77"/>
      <c r="Q252" s="77"/>
      <c r="R252" s="77"/>
      <c r="S252" s="77"/>
      <c r="T252" s="77"/>
      <c r="U252" s="77"/>
      <c r="V252" s="77"/>
    </row>
    <row r="253" spans="1:22" s="38" customFormat="1" ht="16.5" customHeight="1" x14ac:dyDescent="0.3">
      <c r="A253" s="77"/>
      <c r="B253" s="77"/>
      <c r="C253" s="77"/>
      <c r="D253" s="77"/>
      <c r="E253" s="77"/>
      <c r="F253" s="77"/>
      <c r="G253" s="77"/>
      <c r="H253" s="77"/>
      <c r="I253" s="77"/>
      <c r="J253" s="77"/>
      <c r="K253" s="77"/>
      <c r="L253" s="77"/>
      <c r="M253" s="77"/>
      <c r="N253" s="77"/>
      <c r="O253" s="77"/>
      <c r="P253" s="77"/>
      <c r="Q253" s="77"/>
      <c r="R253" s="77"/>
      <c r="S253" s="77"/>
      <c r="T253" s="77"/>
      <c r="U253" s="77"/>
      <c r="V253" s="77"/>
    </row>
    <row r="254" spans="1:22" s="38" customFormat="1" ht="16.5" customHeight="1" x14ac:dyDescent="0.3">
      <c r="A254" s="77"/>
      <c r="B254" s="77"/>
      <c r="C254" s="77"/>
      <c r="D254" s="77"/>
      <c r="E254" s="77"/>
      <c r="F254" s="77"/>
      <c r="G254" s="77"/>
      <c r="H254" s="77"/>
      <c r="I254" s="77"/>
      <c r="J254" s="77"/>
      <c r="K254" s="77"/>
      <c r="L254" s="77"/>
      <c r="M254" s="77"/>
      <c r="N254" s="77"/>
      <c r="O254" s="77"/>
      <c r="P254" s="77"/>
      <c r="Q254" s="77"/>
      <c r="R254" s="77"/>
      <c r="S254" s="77"/>
      <c r="T254" s="77"/>
      <c r="U254" s="77"/>
      <c r="V254" s="77"/>
    </row>
    <row r="255" spans="1:22" s="38" customFormat="1" ht="16.5" customHeight="1" x14ac:dyDescent="0.3">
      <c r="A255" s="77"/>
      <c r="B255" s="77"/>
      <c r="C255" s="77"/>
      <c r="D255" s="77"/>
      <c r="E255" s="77"/>
      <c r="F255" s="77"/>
      <c r="G255" s="77"/>
      <c r="H255" s="77"/>
      <c r="I255" s="77"/>
      <c r="J255" s="77"/>
      <c r="K255" s="77"/>
      <c r="L255" s="77"/>
      <c r="M255" s="77"/>
      <c r="N255" s="77"/>
      <c r="O255" s="77"/>
      <c r="P255" s="77"/>
      <c r="Q255" s="77"/>
      <c r="R255" s="77"/>
      <c r="S255" s="77"/>
      <c r="T255" s="77"/>
      <c r="U255" s="77"/>
      <c r="V255" s="77"/>
    </row>
    <row r="256" spans="1:22" s="38" customFormat="1" ht="16.5" customHeight="1" x14ac:dyDescent="0.3">
      <c r="A256" s="77"/>
      <c r="B256" s="77"/>
      <c r="C256" s="77"/>
      <c r="D256" s="77"/>
      <c r="E256" s="77"/>
      <c r="F256" s="77"/>
      <c r="G256" s="77"/>
      <c r="H256" s="77"/>
      <c r="I256" s="77"/>
      <c r="J256" s="77"/>
      <c r="K256" s="77"/>
      <c r="L256" s="77"/>
      <c r="M256" s="77"/>
      <c r="N256" s="77"/>
      <c r="O256" s="77"/>
      <c r="P256" s="77"/>
      <c r="Q256" s="77"/>
      <c r="R256" s="77"/>
      <c r="S256" s="77"/>
      <c r="T256" s="77"/>
      <c r="U256" s="77"/>
      <c r="V256" s="77"/>
    </row>
    <row r="257" spans="1:22" s="38" customFormat="1" ht="16.5" customHeight="1" x14ac:dyDescent="0.3">
      <c r="A257" s="77"/>
      <c r="B257" s="77"/>
      <c r="C257" s="77"/>
      <c r="D257" s="77"/>
      <c r="E257" s="77"/>
      <c r="F257" s="77"/>
      <c r="G257" s="77"/>
      <c r="H257" s="77"/>
      <c r="I257" s="77"/>
      <c r="J257" s="77"/>
      <c r="K257" s="77"/>
      <c r="L257" s="77"/>
      <c r="M257" s="77"/>
      <c r="N257" s="77"/>
      <c r="O257" s="77"/>
      <c r="P257" s="77"/>
      <c r="Q257" s="77"/>
      <c r="R257" s="77"/>
      <c r="S257" s="77"/>
      <c r="T257" s="77"/>
      <c r="U257" s="77"/>
      <c r="V257" s="77"/>
    </row>
    <row r="258" spans="1:22" s="38" customFormat="1" ht="16.5" customHeight="1" x14ac:dyDescent="0.3">
      <c r="A258" s="77"/>
      <c r="B258" s="77"/>
      <c r="C258" s="77"/>
      <c r="D258" s="77"/>
      <c r="E258" s="77"/>
      <c r="F258" s="77"/>
      <c r="G258" s="77"/>
      <c r="H258" s="77"/>
      <c r="I258" s="77"/>
      <c r="J258" s="77"/>
      <c r="K258" s="77"/>
      <c r="L258" s="77"/>
      <c r="M258" s="77"/>
      <c r="N258" s="77"/>
      <c r="O258" s="77"/>
      <c r="P258" s="77"/>
      <c r="Q258" s="77"/>
      <c r="R258" s="77"/>
      <c r="S258" s="77"/>
      <c r="T258" s="77"/>
      <c r="U258" s="77"/>
      <c r="V258" s="77"/>
    </row>
    <row r="259" spans="1:22" s="38" customFormat="1" ht="16.5" customHeight="1" x14ac:dyDescent="0.3">
      <c r="A259" s="77"/>
      <c r="B259" s="77"/>
      <c r="C259" s="77"/>
      <c r="D259" s="77"/>
      <c r="E259" s="77"/>
      <c r="F259" s="77"/>
      <c r="G259" s="77"/>
      <c r="H259" s="77"/>
      <c r="I259" s="77"/>
      <c r="J259" s="77"/>
      <c r="K259" s="77"/>
      <c r="L259" s="77"/>
      <c r="M259" s="77"/>
      <c r="N259" s="77"/>
      <c r="O259" s="77"/>
      <c r="P259" s="77"/>
      <c r="Q259" s="77"/>
      <c r="R259" s="77"/>
      <c r="S259" s="77"/>
      <c r="T259" s="77"/>
      <c r="U259" s="77"/>
      <c r="V259" s="77"/>
    </row>
    <row r="260" spans="1:22" s="38" customFormat="1" ht="16.5" customHeight="1" x14ac:dyDescent="0.3">
      <c r="A260" s="77"/>
      <c r="B260" s="77"/>
      <c r="C260" s="77"/>
      <c r="D260" s="77"/>
      <c r="E260" s="77"/>
      <c r="F260" s="77"/>
      <c r="G260" s="77"/>
      <c r="H260" s="77"/>
      <c r="I260" s="77"/>
      <c r="J260" s="77"/>
      <c r="K260" s="77"/>
      <c r="L260" s="77"/>
      <c r="M260" s="77"/>
      <c r="N260" s="77"/>
      <c r="O260" s="77"/>
      <c r="P260" s="77"/>
      <c r="Q260" s="77"/>
      <c r="R260" s="77"/>
      <c r="S260" s="77"/>
      <c r="T260" s="77"/>
      <c r="U260" s="77"/>
      <c r="V260" s="77"/>
    </row>
    <row r="261" spans="1:22" s="38" customFormat="1" ht="16.5" customHeight="1" x14ac:dyDescent="0.3">
      <c r="A261" s="77"/>
      <c r="B261" s="77"/>
      <c r="C261" s="77"/>
      <c r="D261" s="77"/>
      <c r="E261" s="77"/>
      <c r="F261" s="77"/>
      <c r="G261" s="77"/>
      <c r="H261" s="77"/>
      <c r="I261" s="77"/>
      <c r="J261" s="77"/>
      <c r="K261" s="77"/>
      <c r="L261" s="77"/>
      <c r="M261" s="77"/>
      <c r="N261" s="77"/>
      <c r="O261" s="77"/>
      <c r="P261" s="77"/>
      <c r="Q261" s="77"/>
      <c r="R261" s="77"/>
      <c r="S261" s="77"/>
      <c r="T261" s="77"/>
      <c r="U261" s="77"/>
      <c r="V261" s="77"/>
    </row>
    <row r="262" spans="1:22" s="38" customFormat="1" ht="16.5" customHeight="1" x14ac:dyDescent="0.3">
      <c r="A262" s="77"/>
      <c r="B262" s="77"/>
      <c r="C262" s="77"/>
      <c r="D262" s="77"/>
      <c r="E262" s="77"/>
      <c r="F262" s="77"/>
      <c r="G262" s="77"/>
      <c r="H262" s="77"/>
      <c r="I262" s="77"/>
      <c r="J262" s="77"/>
      <c r="K262" s="77"/>
      <c r="L262" s="77"/>
      <c r="M262" s="77"/>
      <c r="N262" s="77"/>
      <c r="O262" s="77"/>
      <c r="P262" s="77"/>
      <c r="Q262" s="77"/>
      <c r="R262" s="77"/>
      <c r="S262" s="77"/>
      <c r="T262" s="77"/>
      <c r="U262" s="77"/>
      <c r="V262" s="77"/>
    </row>
    <row r="263" spans="1:22" s="38" customFormat="1" ht="16.5" customHeight="1" x14ac:dyDescent="0.3">
      <c r="A263" s="77"/>
      <c r="B263" s="77"/>
      <c r="C263" s="77"/>
      <c r="D263" s="77"/>
      <c r="E263" s="77"/>
      <c r="F263" s="77"/>
      <c r="G263" s="77"/>
      <c r="H263" s="77"/>
      <c r="I263" s="77"/>
      <c r="J263" s="77"/>
      <c r="K263" s="77"/>
      <c r="L263" s="77"/>
      <c r="M263" s="77"/>
      <c r="N263" s="77"/>
      <c r="O263" s="77"/>
      <c r="P263" s="77"/>
      <c r="Q263" s="77"/>
      <c r="R263" s="77"/>
      <c r="S263" s="77"/>
      <c r="T263" s="77"/>
      <c r="U263" s="77"/>
      <c r="V263" s="77"/>
    </row>
    <row r="264" spans="1:22" s="38" customFormat="1" ht="16.5" customHeight="1" x14ac:dyDescent="0.3">
      <c r="A264" s="77"/>
      <c r="B264" s="77"/>
      <c r="C264" s="77"/>
      <c r="D264" s="77"/>
      <c r="E264" s="77"/>
      <c r="F264" s="77"/>
      <c r="G264" s="77"/>
      <c r="H264" s="77"/>
      <c r="I264" s="77"/>
      <c r="J264" s="77"/>
      <c r="K264" s="77"/>
      <c r="L264" s="77"/>
      <c r="M264" s="77"/>
      <c r="N264" s="77"/>
      <c r="O264" s="77"/>
      <c r="P264" s="77"/>
      <c r="Q264" s="77"/>
      <c r="R264" s="77"/>
      <c r="S264" s="77"/>
      <c r="T264" s="77"/>
      <c r="U264" s="77"/>
      <c r="V264" s="77"/>
    </row>
    <row r="265" spans="1:22" s="38" customFormat="1" ht="16.5" customHeight="1" x14ac:dyDescent="0.3">
      <c r="A265" s="77"/>
      <c r="B265" s="77"/>
      <c r="C265" s="77"/>
      <c r="D265" s="77"/>
      <c r="E265" s="77"/>
      <c r="F265" s="77"/>
      <c r="G265" s="77"/>
      <c r="H265" s="77"/>
      <c r="I265" s="77"/>
      <c r="J265" s="77"/>
      <c r="K265" s="77"/>
      <c r="L265" s="77"/>
      <c r="M265" s="77"/>
      <c r="N265" s="77"/>
      <c r="O265" s="77"/>
      <c r="P265" s="77"/>
      <c r="Q265" s="77"/>
      <c r="R265" s="77"/>
      <c r="S265" s="77"/>
      <c r="T265" s="77"/>
      <c r="U265" s="77"/>
      <c r="V265" s="77"/>
    </row>
    <row r="266" spans="1:22" s="38" customFormat="1" ht="16.5" customHeight="1" x14ac:dyDescent="0.3">
      <c r="A266" s="77"/>
      <c r="B266" s="77"/>
      <c r="C266" s="77"/>
      <c r="D266" s="77"/>
      <c r="E266" s="77"/>
      <c r="F266" s="77"/>
      <c r="G266" s="77"/>
      <c r="H266" s="77"/>
      <c r="I266" s="77"/>
      <c r="J266" s="77"/>
      <c r="K266" s="77"/>
      <c r="L266" s="77"/>
      <c r="M266" s="77"/>
      <c r="N266" s="77"/>
      <c r="O266" s="77"/>
      <c r="P266" s="77"/>
      <c r="Q266" s="77"/>
      <c r="R266" s="77"/>
      <c r="S266" s="77"/>
      <c r="T266" s="77"/>
      <c r="U266" s="77"/>
      <c r="V266" s="77"/>
    </row>
    <row r="267" spans="1:22" s="38" customFormat="1" ht="16.5" customHeight="1" x14ac:dyDescent="0.3">
      <c r="A267" s="77"/>
      <c r="B267" s="77"/>
      <c r="C267" s="77"/>
      <c r="D267" s="77"/>
      <c r="E267" s="77"/>
      <c r="F267" s="77"/>
      <c r="G267" s="77"/>
      <c r="H267" s="77"/>
      <c r="I267" s="77"/>
      <c r="J267" s="77"/>
      <c r="K267" s="77"/>
      <c r="L267" s="77"/>
      <c r="M267" s="77"/>
      <c r="N267" s="77"/>
      <c r="O267" s="77"/>
      <c r="P267" s="77"/>
      <c r="Q267" s="77"/>
      <c r="R267" s="77"/>
      <c r="S267" s="77"/>
      <c r="T267" s="77"/>
      <c r="U267" s="77"/>
      <c r="V267" s="77"/>
    </row>
    <row r="268" spans="1:22" s="38" customFormat="1" ht="16.5" customHeight="1" x14ac:dyDescent="0.3">
      <c r="A268" s="77"/>
      <c r="B268" s="77"/>
      <c r="C268" s="77"/>
      <c r="D268" s="77"/>
      <c r="E268" s="77"/>
      <c r="F268" s="77"/>
      <c r="G268" s="77"/>
      <c r="H268" s="77"/>
      <c r="I268" s="77"/>
      <c r="J268" s="77"/>
      <c r="K268" s="77"/>
      <c r="L268" s="77"/>
      <c r="M268" s="77"/>
      <c r="N268" s="77"/>
      <c r="O268" s="77"/>
      <c r="P268" s="77"/>
      <c r="Q268" s="77"/>
      <c r="R268" s="77"/>
      <c r="S268" s="77"/>
      <c r="T268" s="77"/>
      <c r="U268" s="77"/>
      <c r="V268" s="77"/>
    </row>
    <row r="269" spans="1:22" s="38" customFormat="1" ht="16.5" customHeight="1" x14ac:dyDescent="0.3">
      <c r="A269" s="77"/>
      <c r="B269" s="77"/>
      <c r="C269" s="77"/>
      <c r="D269" s="77"/>
      <c r="E269" s="77"/>
      <c r="F269" s="77"/>
      <c r="G269" s="77"/>
      <c r="H269" s="77"/>
      <c r="I269" s="77"/>
      <c r="J269" s="77"/>
      <c r="K269" s="77"/>
      <c r="L269" s="77"/>
      <c r="M269" s="77"/>
      <c r="N269" s="77"/>
      <c r="O269" s="77"/>
      <c r="P269" s="77"/>
      <c r="Q269" s="77"/>
      <c r="R269" s="77"/>
      <c r="S269" s="77"/>
      <c r="T269" s="77"/>
      <c r="U269" s="77"/>
      <c r="V269" s="77"/>
    </row>
    <row r="270" spans="1:22" s="38" customFormat="1" ht="16.5" customHeight="1" x14ac:dyDescent="0.3">
      <c r="A270" s="77"/>
      <c r="B270" s="77"/>
      <c r="C270" s="77"/>
      <c r="D270" s="77"/>
      <c r="E270" s="77"/>
      <c r="F270" s="77"/>
      <c r="G270" s="77"/>
      <c r="H270" s="77"/>
      <c r="I270" s="77"/>
      <c r="J270" s="77"/>
      <c r="K270" s="77"/>
      <c r="L270" s="77"/>
      <c r="M270" s="77"/>
      <c r="N270" s="77"/>
      <c r="O270" s="77"/>
      <c r="P270" s="77"/>
      <c r="Q270" s="77"/>
      <c r="R270" s="77"/>
      <c r="S270" s="77"/>
      <c r="T270" s="77"/>
      <c r="U270" s="77"/>
      <c r="V270" s="77"/>
    </row>
    <row r="271" spans="1:22" s="38" customFormat="1" ht="16.5" customHeight="1" x14ac:dyDescent="0.3">
      <c r="A271" s="77"/>
      <c r="B271" s="77"/>
      <c r="C271" s="77"/>
      <c r="D271" s="77"/>
      <c r="E271" s="77"/>
      <c r="F271" s="77"/>
      <c r="G271" s="77"/>
      <c r="H271" s="77"/>
      <c r="I271" s="77"/>
      <c r="J271" s="77"/>
      <c r="K271" s="77"/>
      <c r="L271" s="77"/>
      <c r="M271" s="77"/>
      <c r="N271" s="77"/>
      <c r="O271" s="77"/>
      <c r="P271" s="77"/>
      <c r="Q271" s="77"/>
      <c r="R271" s="77"/>
      <c r="S271" s="77"/>
      <c r="T271" s="77"/>
      <c r="U271" s="77"/>
      <c r="V271" s="77"/>
    </row>
    <row r="272" spans="1:22" s="38" customFormat="1" ht="16.5" customHeight="1" x14ac:dyDescent="0.3">
      <c r="A272" s="77"/>
      <c r="B272" s="77"/>
      <c r="C272" s="77"/>
      <c r="D272" s="77"/>
      <c r="E272" s="77"/>
      <c r="F272" s="77"/>
      <c r="G272" s="77"/>
      <c r="H272" s="77"/>
      <c r="I272" s="77"/>
      <c r="J272" s="77"/>
      <c r="K272" s="77"/>
      <c r="L272" s="77"/>
      <c r="M272" s="77"/>
      <c r="N272" s="77"/>
      <c r="O272" s="77"/>
      <c r="P272" s="77"/>
      <c r="Q272" s="77"/>
      <c r="R272" s="77"/>
      <c r="S272" s="77"/>
      <c r="T272" s="77"/>
      <c r="U272" s="77"/>
      <c r="V272" s="77"/>
    </row>
    <row r="273" spans="1:22" s="38" customFormat="1" ht="16.5" customHeight="1" x14ac:dyDescent="0.3">
      <c r="A273" s="77"/>
      <c r="B273" s="77"/>
      <c r="C273" s="77"/>
      <c r="D273" s="77"/>
      <c r="E273" s="77"/>
      <c r="F273" s="77"/>
      <c r="G273" s="77"/>
      <c r="H273" s="77"/>
      <c r="I273" s="77"/>
      <c r="J273" s="77"/>
      <c r="K273" s="77"/>
      <c r="L273" s="77"/>
      <c r="M273" s="77"/>
      <c r="N273" s="77"/>
      <c r="O273" s="77"/>
      <c r="P273" s="77"/>
      <c r="Q273" s="77"/>
      <c r="R273" s="77"/>
      <c r="S273" s="77"/>
      <c r="T273" s="77"/>
      <c r="U273" s="77"/>
      <c r="V273" s="77"/>
    </row>
    <row r="274" spans="1:22" s="38" customFormat="1" ht="16.5" customHeight="1" x14ac:dyDescent="0.3">
      <c r="A274" s="77"/>
      <c r="B274" s="77"/>
      <c r="C274" s="77"/>
      <c r="D274" s="77"/>
      <c r="E274" s="77"/>
      <c r="F274" s="77"/>
      <c r="G274" s="77"/>
      <c r="H274" s="77"/>
      <c r="I274" s="77"/>
      <c r="J274" s="77"/>
      <c r="K274" s="77"/>
      <c r="L274" s="77"/>
      <c r="M274" s="77"/>
      <c r="N274" s="77"/>
      <c r="O274" s="77"/>
      <c r="P274" s="77"/>
      <c r="Q274" s="77"/>
      <c r="R274" s="77"/>
      <c r="S274" s="77"/>
      <c r="T274" s="77"/>
      <c r="U274" s="77"/>
      <c r="V274" s="77"/>
    </row>
    <row r="275" spans="1:22" s="38" customFormat="1" ht="16.5" customHeight="1" x14ac:dyDescent="0.3">
      <c r="A275" s="77"/>
      <c r="B275" s="77"/>
      <c r="C275" s="77"/>
      <c r="D275" s="77"/>
      <c r="E275" s="77"/>
      <c r="F275" s="77"/>
      <c r="G275" s="77"/>
      <c r="H275" s="77"/>
      <c r="I275" s="77"/>
      <c r="J275" s="77"/>
      <c r="K275" s="77"/>
      <c r="L275" s="77"/>
      <c r="M275" s="77"/>
      <c r="N275" s="77"/>
      <c r="O275" s="77"/>
      <c r="P275" s="77"/>
      <c r="Q275" s="77"/>
      <c r="R275" s="77"/>
      <c r="S275" s="77"/>
      <c r="T275" s="77"/>
      <c r="U275" s="77"/>
      <c r="V275" s="77"/>
    </row>
    <row r="276" spans="1:22" s="38" customFormat="1" ht="16.5" customHeight="1" x14ac:dyDescent="0.3">
      <c r="A276" s="77"/>
      <c r="B276" s="77"/>
      <c r="C276" s="77"/>
      <c r="D276" s="77"/>
      <c r="E276" s="77"/>
      <c r="F276" s="77"/>
      <c r="G276" s="77"/>
      <c r="H276" s="77"/>
      <c r="I276" s="77"/>
      <c r="J276" s="77"/>
      <c r="K276" s="77"/>
      <c r="L276" s="77"/>
      <c r="M276" s="77"/>
      <c r="N276" s="77"/>
      <c r="O276" s="77"/>
      <c r="P276" s="77"/>
      <c r="Q276" s="77"/>
      <c r="R276" s="77"/>
      <c r="S276" s="77"/>
      <c r="T276" s="77"/>
      <c r="U276" s="77"/>
      <c r="V276" s="77"/>
    </row>
    <row r="277" spans="1:22" s="38" customFormat="1" ht="16.5" customHeight="1" x14ac:dyDescent="0.3">
      <c r="A277" s="77"/>
      <c r="B277" s="77"/>
      <c r="C277" s="77"/>
      <c r="D277" s="77"/>
      <c r="E277" s="77"/>
      <c r="F277" s="77"/>
      <c r="G277" s="77"/>
      <c r="H277" s="77"/>
      <c r="I277" s="77"/>
      <c r="J277" s="77"/>
      <c r="K277" s="77"/>
      <c r="L277" s="77"/>
      <c r="M277" s="77"/>
      <c r="N277" s="77"/>
      <c r="O277" s="77"/>
      <c r="P277" s="77"/>
      <c r="Q277" s="77"/>
      <c r="R277" s="77"/>
      <c r="S277" s="77"/>
      <c r="T277" s="77"/>
      <c r="U277" s="77"/>
      <c r="V277" s="77"/>
    </row>
    <row r="278" spans="1:22" s="38" customFormat="1" ht="16.5" customHeight="1" x14ac:dyDescent="0.3">
      <c r="A278" s="77"/>
      <c r="B278" s="77"/>
      <c r="C278" s="77"/>
      <c r="D278" s="77"/>
      <c r="E278" s="77"/>
      <c r="F278" s="77"/>
      <c r="G278" s="77"/>
      <c r="H278" s="77"/>
      <c r="I278" s="77"/>
      <c r="J278" s="77"/>
      <c r="K278" s="77"/>
      <c r="L278" s="77"/>
      <c r="M278" s="77"/>
      <c r="N278" s="77"/>
      <c r="O278" s="77"/>
      <c r="P278" s="77"/>
      <c r="Q278" s="77"/>
      <c r="R278" s="77"/>
      <c r="S278" s="77"/>
      <c r="T278" s="77"/>
      <c r="U278" s="77"/>
      <c r="V278" s="77"/>
    </row>
    <row r="279" spans="1:22" s="38" customFormat="1" ht="16.5" customHeight="1" x14ac:dyDescent="0.3">
      <c r="A279" s="77"/>
      <c r="B279" s="77"/>
      <c r="C279" s="77"/>
      <c r="D279" s="77"/>
      <c r="E279" s="77"/>
      <c r="F279" s="77"/>
      <c r="G279" s="77"/>
      <c r="H279" s="77"/>
      <c r="I279" s="77"/>
      <c r="J279" s="77"/>
      <c r="K279" s="77"/>
      <c r="L279" s="77"/>
      <c r="M279" s="77"/>
      <c r="N279" s="77"/>
      <c r="O279" s="77"/>
      <c r="P279" s="77"/>
      <c r="Q279" s="77"/>
      <c r="R279" s="77"/>
      <c r="S279" s="77"/>
      <c r="T279" s="77"/>
      <c r="U279" s="77"/>
      <c r="V279" s="77"/>
    </row>
    <row r="280" spans="1:22" s="38" customFormat="1" ht="16.5" customHeight="1" x14ac:dyDescent="0.3">
      <c r="A280" s="77"/>
      <c r="B280" s="77"/>
      <c r="C280" s="77"/>
      <c r="D280" s="77"/>
      <c r="E280" s="77"/>
      <c r="F280" s="77"/>
      <c r="G280" s="77"/>
      <c r="H280" s="77"/>
      <c r="I280" s="77"/>
      <c r="J280" s="77"/>
      <c r="K280" s="77"/>
      <c r="L280" s="77"/>
      <c r="M280" s="77"/>
      <c r="N280" s="77"/>
      <c r="O280" s="77"/>
      <c r="P280" s="77"/>
      <c r="Q280" s="77"/>
      <c r="R280" s="77"/>
      <c r="S280" s="77"/>
      <c r="T280" s="77"/>
      <c r="U280" s="77"/>
      <c r="V280" s="77"/>
    </row>
    <row r="281" spans="1:22" s="38" customFormat="1" ht="16.5" customHeight="1" x14ac:dyDescent="0.3">
      <c r="A281" s="77"/>
      <c r="B281" s="77"/>
      <c r="C281" s="77"/>
      <c r="D281" s="77"/>
      <c r="E281" s="77"/>
      <c r="F281" s="77"/>
      <c r="G281" s="77"/>
      <c r="H281" s="77"/>
      <c r="I281" s="77"/>
      <c r="J281" s="77"/>
      <c r="K281" s="77"/>
      <c r="L281" s="77"/>
      <c r="M281" s="77"/>
      <c r="N281" s="77"/>
      <c r="O281" s="77"/>
      <c r="P281" s="77"/>
      <c r="Q281" s="77"/>
      <c r="R281" s="77"/>
      <c r="S281" s="77"/>
      <c r="T281" s="77"/>
      <c r="U281" s="77"/>
      <c r="V281" s="77"/>
    </row>
    <row r="282" spans="1:22" s="38" customFormat="1" ht="16.5" customHeight="1" x14ac:dyDescent="0.3">
      <c r="A282" s="77"/>
      <c r="B282" s="77"/>
      <c r="C282" s="77"/>
      <c r="D282" s="77"/>
      <c r="E282" s="77"/>
      <c r="F282" s="77"/>
      <c r="G282" s="77"/>
      <c r="H282" s="77"/>
      <c r="I282" s="77"/>
      <c r="J282" s="77"/>
      <c r="K282" s="77"/>
      <c r="L282" s="77"/>
      <c r="M282" s="77"/>
      <c r="N282" s="77"/>
      <c r="O282" s="77"/>
      <c r="P282" s="77"/>
      <c r="Q282" s="77"/>
      <c r="R282" s="77"/>
      <c r="S282" s="77"/>
      <c r="T282" s="77"/>
      <c r="U282" s="77"/>
      <c r="V282" s="77"/>
    </row>
    <row r="283" spans="1:22" s="38" customFormat="1" ht="16.5" customHeight="1" x14ac:dyDescent="0.3">
      <c r="A283" s="77"/>
      <c r="B283" s="77"/>
      <c r="C283" s="77"/>
      <c r="D283" s="77"/>
      <c r="E283" s="77"/>
      <c r="F283" s="77"/>
      <c r="G283" s="77"/>
      <c r="H283" s="77"/>
      <c r="I283" s="77"/>
      <c r="J283" s="77"/>
      <c r="K283" s="77"/>
      <c r="L283" s="77"/>
      <c r="M283" s="77"/>
      <c r="N283" s="77"/>
      <c r="O283" s="77"/>
      <c r="P283" s="77"/>
      <c r="Q283" s="77"/>
      <c r="R283" s="77"/>
      <c r="S283" s="77"/>
      <c r="T283" s="77"/>
      <c r="U283" s="77"/>
      <c r="V283" s="77"/>
    </row>
    <row r="284" spans="1:22" s="38" customFormat="1" ht="16.5" customHeight="1" x14ac:dyDescent="0.3">
      <c r="A284" s="77"/>
      <c r="B284" s="77"/>
      <c r="C284" s="77"/>
      <c r="D284" s="77"/>
      <c r="E284" s="77"/>
      <c r="F284" s="77"/>
      <c r="G284" s="77"/>
      <c r="H284" s="77"/>
      <c r="I284" s="77"/>
      <c r="J284" s="77"/>
      <c r="K284" s="77"/>
      <c r="L284" s="77"/>
      <c r="M284" s="77"/>
      <c r="N284" s="77"/>
      <c r="O284" s="77"/>
      <c r="P284" s="77"/>
      <c r="Q284" s="77"/>
      <c r="R284" s="77"/>
      <c r="S284" s="77"/>
      <c r="T284" s="77"/>
      <c r="U284" s="77"/>
      <c r="V284" s="77"/>
    </row>
    <row r="285" spans="1:22" s="38" customFormat="1" ht="16.5" customHeight="1" x14ac:dyDescent="0.3">
      <c r="A285" s="77"/>
      <c r="B285" s="77"/>
      <c r="C285" s="77"/>
      <c r="D285" s="77"/>
      <c r="E285" s="77"/>
      <c r="F285" s="77"/>
      <c r="G285" s="77"/>
      <c r="H285" s="77"/>
      <c r="I285" s="77"/>
      <c r="J285" s="77"/>
      <c r="K285" s="77"/>
      <c r="L285" s="77"/>
      <c r="M285" s="77"/>
      <c r="N285" s="77"/>
      <c r="O285" s="77"/>
      <c r="P285" s="77"/>
      <c r="Q285" s="77"/>
      <c r="R285" s="77"/>
      <c r="S285" s="77"/>
      <c r="T285" s="77"/>
      <c r="U285" s="77"/>
      <c r="V285" s="77"/>
    </row>
    <row r="286" spans="1:22" s="38" customFormat="1" ht="16.5" customHeight="1" x14ac:dyDescent="0.3">
      <c r="A286" s="77"/>
      <c r="B286" s="77"/>
      <c r="C286" s="77"/>
      <c r="D286" s="77"/>
      <c r="E286" s="77"/>
      <c r="F286" s="77"/>
      <c r="G286" s="77"/>
      <c r="H286" s="77"/>
      <c r="I286" s="77"/>
      <c r="J286" s="77"/>
      <c r="K286" s="77"/>
      <c r="L286" s="77"/>
      <c r="M286" s="77"/>
      <c r="N286" s="77"/>
      <c r="O286" s="77"/>
      <c r="P286" s="77"/>
      <c r="Q286" s="77"/>
      <c r="R286" s="77"/>
      <c r="S286" s="77"/>
      <c r="T286" s="77"/>
      <c r="U286" s="77"/>
      <c r="V286" s="77"/>
    </row>
    <row r="287" spans="1:22" s="38" customFormat="1" ht="16.5" customHeight="1" x14ac:dyDescent="0.3">
      <c r="A287" s="77"/>
      <c r="B287" s="77"/>
      <c r="C287" s="77"/>
      <c r="D287" s="77"/>
      <c r="E287" s="77"/>
      <c r="F287" s="77"/>
      <c r="G287" s="77"/>
      <c r="H287" s="77"/>
      <c r="I287" s="77"/>
      <c r="J287" s="77"/>
      <c r="K287" s="77"/>
      <c r="L287" s="77"/>
      <c r="M287" s="77"/>
      <c r="N287" s="77"/>
      <c r="O287" s="77"/>
      <c r="P287" s="77"/>
      <c r="Q287" s="77"/>
      <c r="R287" s="77"/>
      <c r="S287" s="77"/>
      <c r="T287" s="77"/>
      <c r="U287" s="77"/>
      <c r="V287" s="77"/>
    </row>
    <row r="288" spans="1:22" s="38" customFormat="1" ht="16.5" customHeight="1" x14ac:dyDescent="0.3">
      <c r="A288" s="77"/>
      <c r="B288" s="77"/>
      <c r="C288" s="77"/>
      <c r="D288" s="77"/>
      <c r="E288" s="77"/>
      <c r="F288" s="77"/>
      <c r="G288" s="77"/>
      <c r="H288" s="77"/>
      <c r="I288" s="77"/>
      <c r="J288" s="77"/>
      <c r="K288" s="77"/>
      <c r="L288" s="77"/>
      <c r="M288" s="77"/>
      <c r="N288" s="77"/>
      <c r="O288" s="77"/>
      <c r="P288" s="77"/>
      <c r="Q288" s="77"/>
      <c r="R288" s="77"/>
      <c r="S288" s="77"/>
      <c r="T288" s="77"/>
      <c r="U288" s="77"/>
      <c r="V288" s="77"/>
    </row>
    <row r="289" spans="1:22" s="38" customFormat="1" ht="16.5" customHeight="1" x14ac:dyDescent="0.3">
      <c r="A289" s="77"/>
      <c r="B289" s="77"/>
      <c r="C289" s="77"/>
      <c r="D289" s="77"/>
      <c r="E289" s="77"/>
      <c r="F289" s="77"/>
      <c r="G289" s="77"/>
      <c r="H289" s="77"/>
      <c r="I289" s="77"/>
      <c r="J289" s="77"/>
      <c r="K289" s="77"/>
      <c r="L289" s="77"/>
      <c r="M289" s="77"/>
      <c r="N289" s="77"/>
      <c r="O289" s="77"/>
      <c r="P289" s="77"/>
      <c r="Q289" s="77"/>
      <c r="R289" s="77"/>
      <c r="S289" s="77"/>
      <c r="T289" s="77"/>
      <c r="U289" s="77"/>
      <c r="V289" s="77"/>
    </row>
    <row r="290" spans="1:22" s="38" customFormat="1" ht="16.5" customHeight="1" x14ac:dyDescent="0.3">
      <c r="A290" s="77"/>
      <c r="B290" s="77"/>
      <c r="C290" s="77"/>
      <c r="D290" s="77"/>
      <c r="E290" s="77"/>
      <c r="F290" s="77"/>
      <c r="G290" s="77"/>
      <c r="H290" s="77"/>
      <c r="I290" s="77"/>
      <c r="J290" s="77"/>
      <c r="K290" s="77"/>
      <c r="L290" s="77"/>
      <c r="M290" s="77"/>
      <c r="N290" s="77"/>
      <c r="O290" s="77"/>
      <c r="P290" s="77"/>
      <c r="Q290" s="77"/>
      <c r="R290" s="77"/>
      <c r="S290" s="77"/>
      <c r="T290" s="77"/>
      <c r="U290" s="77"/>
      <c r="V290" s="77"/>
    </row>
    <row r="291" spans="1:22" s="38" customFormat="1" ht="16.5" customHeight="1" x14ac:dyDescent="0.3">
      <c r="A291" s="77"/>
      <c r="B291" s="77"/>
      <c r="C291" s="77"/>
      <c r="D291" s="77"/>
      <c r="E291" s="77"/>
      <c r="F291" s="77"/>
      <c r="G291" s="77"/>
      <c r="H291" s="77"/>
      <c r="I291" s="77"/>
      <c r="J291" s="77"/>
      <c r="K291" s="77"/>
      <c r="L291" s="77"/>
      <c r="M291" s="77"/>
      <c r="N291" s="77"/>
      <c r="O291" s="77"/>
      <c r="P291" s="77"/>
      <c r="Q291" s="77"/>
      <c r="R291" s="77"/>
      <c r="S291" s="77"/>
      <c r="T291" s="77"/>
      <c r="U291" s="77"/>
      <c r="V291" s="77"/>
    </row>
    <row r="292" spans="1:22" s="38" customFormat="1" ht="16.5" customHeight="1" x14ac:dyDescent="0.3">
      <c r="A292" s="77"/>
      <c r="B292" s="77"/>
      <c r="C292" s="77"/>
      <c r="D292" s="77"/>
      <c r="E292" s="77"/>
      <c r="F292" s="77"/>
      <c r="G292" s="77"/>
      <c r="H292" s="77"/>
      <c r="I292" s="77"/>
      <c r="J292" s="77"/>
      <c r="K292" s="77"/>
      <c r="L292" s="77"/>
      <c r="M292" s="77"/>
      <c r="N292" s="77"/>
      <c r="O292" s="77"/>
      <c r="P292" s="77"/>
      <c r="Q292" s="77"/>
      <c r="R292" s="77"/>
      <c r="S292" s="77"/>
      <c r="T292" s="77"/>
      <c r="U292" s="77"/>
      <c r="V292" s="77"/>
    </row>
    <row r="293" spans="1:22" s="38" customFormat="1" ht="16.5" customHeight="1" x14ac:dyDescent="0.3">
      <c r="A293" s="77"/>
      <c r="B293" s="77"/>
      <c r="C293" s="77"/>
      <c r="D293" s="77"/>
      <c r="E293" s="77"/>
      <c r="F293" s="77"/>
      <c r="G293" s="77"/>
      <c r="H293" s="77"/>
      <c r="I293" s="77"/>
      <c r="J293" s="77"/>
      <c r="K293" s="77"/>
      <c r="L293" s="77"/>
      <c r="M293" s="77"/>
      <c r="N293" s="77"/>
      <c r="O293" s="77"/>
      <c r="P293" s="77"/>
      <c r="Q293" s="77"/>
      <c r="R293" s="77"/>
      <c r="S293" s="77"/>
      <c r="T293" s="77"/>
      <c r="U293" s="77"/>
      <c r="V293" s="77"/>
    </row>
    <row r="294" spans="1:22" s="38" customFormat="1" ht="16.5" customHeight="1" x14ac:dyDescent="0.3">
      <c r="A294" s="77"/>
      <c r="B294" s="77"/>
      <c r="C294" s="77"/>
      <c r="D294" s="77"/>
      <c r="E294" s="77"/>
      <c r="F294" s="77"/>
      <c r="G294" s="77"/>
      <c r="H294" s="77"/>
      <c r="I294" s="77"/>
      <c r="J294" s="77"/>
      <c r="K294" s="77"/>
      <c r="L294" s="77"/>
      <c r="M294" s="77"/>
      <c r="N294" s="77"/>
      <c r="O294" s="77"/>
      <c r="P294" s="77"/>
      <c r="Q294" s="77"/>
      <c r="R294" s="77"/>
      <c r="S294" s="77"/>
      <c r="T294" s="77"/>
      <c r="U294" s="77"/>
      <c r="V294" s="77"/>
    </row>
    <row r="295" spans="1:22" s="38" customFormat="1" ht="16.5" customHeight="1" x14ac:dyDescent="0.3">
      <c r="A295" s="77"/>
      <c r="B295" s="77"/>
      <c r="C295" s="77"/>
      <c r="D295" s="77"/>
      <c r="E295" s="77"/>
      <c r="F295" s="77"/>
      <c r="G295" s="77"/>
      <c r="H295" s="77"/>
      <c r="I295" s="77"/>
      <c r="J295" s="77"/>
      <c r="K295" s="77"/>
      <c r="L295" s="77"/>
      <c r="M295" s="77"/>
      <c r="N295" s="77"/>
      <c r="O295" s="77"/>
      <c r="P295" s="77"/>
      <c r="Q295" s="77"/>
      <c r="R295" s="77"/>
      <c r="S295" s="77"/>
      <c r="T295" s="77"/>
      <c r="U295" s="77"/>
      <c r="V295" s="77"/>
    </row>
    <row r="296" spans="1:22" s="38" customFormat="1" ht="16.5" customHeight="1" x14ac:dyDescent="0.3">
      <c r="A296" s="77"/>
      <c r="B296" s="77"/>
      <c r="C296" s="77"/>
      <c r="D296" s="77"/>
      <c r="E296" s="77"/>
      <c r="F296" s="77"/>
      <c r="G296" s="77"/>
      <c r="H296" s="77"/>
      <c r="I296" s="77"/>
      <c r="J296" s="77"/>
      <c r="K296" s="77"/>
      <c r="L296" s="77"/>
      <c r="M296" s="77"/>
      <c r="N296" s="77"/>
      <c r="O296" s="77"/>
      <c r="P296" s="77"/>
      <c r="Q296" s="77"/>
      <c r="R296" s="77"/>
      <c r="S296" s="77"/>
      <c r="T296" s="77"/>
      <c r="U296" s="77"/>
      <c r="V296" s="77"/>
    </row>
    <row r="297" spans="1:22" s="38" customFormat="1" ht="16.5" customHeight="1" x14ac:dyDescent="0.3">
      <c r="A297" s="77"/>
      <c r="B297" s="77"/>
      <c r="C297" s="77"/>
      <c r="D297" s="77"/>
      <c r="E297" s="77"/>
      <c r="F297" s="77"/>
      <c r="G297" s="77"/>
      <c r="H297" s="77"/>
      <c r="I297" s="77"/>
      <c r="J297" s="77"/>
      <c r="K297" s="77"/>
      <c r="L297" s="77"/>
      <c r="M297" s="77"/>
      <c r="N297" s="77"/>
      <c r="O297" s="77"/>
      <c r="P297" s="77"/>
      <c r="Q297" s="77"/>
      <c r="R297" s="77"/>
      <c r="S297" s="77"/>
      <c r="T297" s="77"/>
      <c r="U297" s="77"/>
      <c r="V297" s="77"/>
    </row>
    <row r="298" spans="1:22" s="38" customFormat="1" ht="16.5" customHeight="1" x14ac:dyDescent="0.3">
      <c r="A298" s="77"/>
      <c r="B298" s="77"/>
      <c r="C298" s="77"/>
      <c r="D298" s="77"/>
      <c r="E298" s="77"/>
      <c r="F298" s="77"/>
      <c r="G298" s="77"/>
      <c r="H298" s="77"/>
      <c r="I298" s="77"/>
      <c r="J298" s="77"/>
      <c r="K298" s="77"/>
      <c r="L298" s="77"/>
      <c r="M298" s="77"/>
      <c r="N298" s="77"/>
      <c r="O298" s="77"/>
      <c r="P298" s="77"/>
      <c r="Q298" s="77"/>
      <c r="R298" s="77"/>
      <c r="S298" s="77"/>
      <c r="T298" s="77"/>
      <c r="U298" s="77"/>
      <c r="V298" s="77"/>
    </row>
    <row r="299" spans="1:22" s="38" customFormat="1" ht="16.5" customHeight="1" x14ac:dyDescent="0.3">
      <c r="A299" s="77"/>
      <c r="B299" s="77"/>
      <c r="C299" s="77"/>
      <c r="D299" s="77"/>
      <c r="E299" s="77"/>
      <c r="F299" s="77"/>
      <c r="G299" s="77"/>
      <c r="H299" s="77"/>
      <c r="I299" s="77"/>
      <c r="J299" s="77"/>
      <c r="K299" s="77"/>
      <c r="L299" s="77"/>
      <c r="M299" s="77"/>
      <c r="N299" s="77"/>
      <c r="O299" s="77"/>
      <c r="P299" s="77"/>
      <c r="Q299" s="77"/>
      <c r="R299" s="77"/>
      <c r="S299" s="77"/>
      <c r="T299" s="77"/>
      <c r="U299" s="77"/>
      <c r="V299" s="77"/>
    </row>
    <row r="300" spans="1:22" s="38" customFormat="1" ht="16.5" customHeight="1" x14ac:dyDescent="0.3">
      <c r="A300" s="77"/>
      <c r="B300" s="77"/>
      <c r="C300" s="77"/>
      <c r="D300" s="77"/>
      <c r="E300" s="77"/>
      <c r="F300" s="77"/>
      <c r="G300" s="77"/>
      <c r="H300" s="77"/>
      <c r="I300" s="77"/>
      <c r="J300" s="77"/>
      <c r="K300" s="77"/>
      <c r="L300" s="77"/>
      <c r="M300" s="77"/>
      <c r="N300" s="77"/>
      <c r="O300" s="77"/>
      <c r="P300" s="77"/>
      <c r="Q300" s="77"/>
      <c r="R300" s="77"/>
      <c r="S300" s="77"/>
      <c r="T300" s="77"/>
      <c r="U300" s="77"/>
      <c r="V300" s="77"/>
    </row>
    <row r="301" spans="1:22" s="38" customFormat="1" ht="16.5" customHeight="1" x14ac:dyDescent="0.3">
      <c r="A301" s="77"/>
      <c r="B301" s="77"/>
      <c r="C301" s="77"/>
      <c r="D301" s="77"/>
      <c r="E301" s="77"/>
      <c r="F301" s="77"/>
      <c r="G301" s="77"/>
      <c r="H301" s="77"/>
      <c r="I301" s="77"/>
      <c r="J301" s="77"/>
      <c r="K301" s="77"/>
      <c r="L301" s="77"/>
      <c r="M301" s="77"/>
      <c r="N301" s="77"/>
      <c r="O301" s="77"/>
      <c r="P301" s="77"/>
      <c r="Q301" s="77"/>
      <c r="R301" s="77"/>
      <c r="S301" s="77"/>
      <c r="T301" s="77"/>
      <c r="U301" s="77"/>
      <c r="V301" s="77"/>
    </row>
    <row r="302" spans="1:22" s="38" customFormat="1" ht="16.5" customHeight="1" x14ac:dyDescent="0.3">
      <c r="A302" s="77"/>
      <c r="B302" s="77"/>
      <c r="C302" s="77"/>
      <c r="D302" s="77"/>
      <c r="E302" s="77"/>
      <c r="F302" s="77"/>
      <c r="G302" s="77"/>
      <c r="H302" s="77"/>
      <c r="I302" s="77"/>
      <c r="J302" s="77"/>
      <c r="K302" s="77"/>
      <c r="L302" s="77"/>
      <c r="M302" s="77"/>
      <c r="N302" s="77"/>
      <c r="O302" s="77"/>
      <c r="P302" s="77"/>
      <c r="Q302" s="77"/>
      <c r="R302" s="77"/>
      <c r="S302" s="77"/>
      <c r="T302" s="77"/>
      <c r="U302" s="77"/>
      <c r="V302" s="77"/>
    </row>
    <row r="303" spans="1:22" s="38" customFormat="1" ht="16.5" customHeight="1" x14ac:dyDescent="0.3">
      <c r="A303" s="77"/>
      <c r="B303" s="77"/>
      <c r="C303" s="77"/>
      <c r="D303" s="77"/>
      <c r="E303" s="77"/>
      <c r="F303" s="77"/>
      <c r="G303" s="77"/>
      <c r="H303" s="77"/>
      <c r="I303" s="77"/>
      <c r="J303" s="77"/>
      <c r="K303" s="77"/>
      <c r="L303" s="77"/>
      <c r="M303" s="77"/>
      <c r="N303" s="77"/>
      <c r="O303" s="77"/>
      <c r="P303" s="77"/>
      <c r="Q303" s="77"/>
      <c r="R303" s="77"/>
      <c r="S303" s="77"/>
      <c r="T303" s="77"/>
      <c r="U303" s="77"/>
      <c r="V303" s="77"/>
    </row>
    <row r="304" spans="1:22" s="38" customFormat="1" ht="16.5" customHeight="1" x14ac:dyDescent="0.3">
      <c r="A304" s="77"/>
      <c r="B304" s="77"/>
      <c r="C304" s="77"/>
      <c r="D304" s="77"/>
      <c r="E304" s="77"/>
      <c r="F304" s="77"/>
      <c r="G304" s="77"/>
      <c r="H304" s="77"/>
      <c r="I304" s="77"/>
      <c r="J304" s="77"/>
      <c r="K304" s="77"/>
      <c r="L304" s="77"/>
      <c r="M304" s="77"/>
      <c r="N304" s="77"/>
      <c r="O304" s="77"/>
      <c r="P304" s="77"/>
      <c r="Q304" s="77"/>
      <c r="R304" s="77"/>
      <c r="S304" s="77"/>
      <c r="T304" s="77"/>
      <c r="U304" s="77"/>
      <c r="V304" s="77"/>
    </row>
    <row r="305" spans="1:22" s="38" customFormat="1" ht="16.5" customHeight="1" x14ac:dyDescent="0.3">
      <c r="A305" s="77"/>
      <c r="B305" s="77"/>
      <c r="C305" s="77"/>
      <c r="D305" s="77"/>
      <c r="E305" s="77"/>
      <c r="F305" s="77"/>
      <c r="G305" s="77"/>
      <c r="H305" s="77"/>
      <c r="I305" s="77"/>
      <c r="J305" s="77"/>
      <c r="K305" s="77"/>
      <c r="L305" s="77"/>
      <c r="M305" s="77"/>
      <c r="N305" s="77"/>
      <c r="O305" s="77"/>
      <c r="P305" s="77"/>
      <c r="Q305" s="77"/>
      <c r="R305" s="77"/>
      <c r="S305" s="77"/>
      <c r="T305" s="77"/>
      <c r="U305" s="77"/>
      <c r="V305" s="77"/>
    </row>
    <row r="306" spans="1:22" s="38" customFormat="1" ht="16.5" customHeight="1" x14ac:dyDescent="0.3">
      <c r="A306" s="77"/>
      <c r="B306" s="77"/>
      <c r="C306" s="77"/>
      <c r="D306" s="77"/>
      <c r="E306" s="77"/>
      <c r="F306" s="77"/>
      <c r="G306" s="77"/>
      <c r="H306" s="77"/>
      <c r="I306" s="77"/>
      <c r="J306" s="77"/>
      <c r="K306" s="77"/>
      <c r="L306" s="77"/>
      <c r="M306" s="77"/>
      <c r="N306" s="77"/>
      <c r="O306" s="77"/>
      <c r="P306" s="77"/>
      <c r="Q306" s="77"/>
      <c r="R306" s="77"/>
      <c r="S306" s="77"/>
      <c r="T306" s="77"/>
      <c r="U306" s="77"/>
      <c r="V306" s="77"/>
    </row>
    <row r="307" spans="1:22" s="38" customFormat="1" ht="16.5" customHeight="1" x14ac:dyDescent="0.3">
      <c r="A307" s="77"/>
      <c r="B307" s="77"/>
      <c r="C307" s="77"/>
      <c r="D307" s="77"/>
      <c r="E307" s="77"/>
      <c r="F307" s="77"/>
      <c r="G307" s="77"/>
      <c r="H307" s="77"/>
      <c r="I307" s="77"/>
      <c r="J307" s="77"/>
      <c r="K307" s="77"/>
      <c r="L307" s="77"/>
      <c r="M307" s="77"/>
      <c r="N307" s="77"/>
      <c r="O307" s="77"/>
      <c r="P307" s="77"/>
      <c r="Q307" s="77"/>
      <c r="R307" s="77"/>
      <c r="S307" s="77"/>
      <c r="T307" s="77"/>
      <c r="U307" s="77"/>
      <c r="V307" s="77"/>
    </row>
    <row r="308" spans="1:22" s="38" customFormat="1" ht="16.5" customHeight="1" x14ac:dyDescent="0.3">
      <c r="A308" s="77"/>
      <c r="B308" s="77"/>
      <c r="C308" s="77"/>
      <c r="D308" s="77"/>
      <c r="E308" s="77"/>
      <c r="F308" s="77"/>
      <c r="G308" s="77"/>
      <c r="H308" s="77"/>
      <c r="I308" s="77"/>
      <c r="J308" s="77"/>
      <c r="K308" s="77"/>
      <c r="L308" s="77"/>
      <c r="M308" s="77"/>
      <c r="N308" s="77"/>
      <c r="O308" s="77"/>
      <c r="P308" s="77"/>
      <c r="Q308" s="77"/>
      <c r="R308" s="77"/>
      <c r="S308" s="77"/>
      <c r="T308" s="77"/>
      <c r="U308" s="77"/>
      <c r="V308" s="77"/>
    </row>
    <row r="309" spans="1:22" s="38" customFormat="1" ht="16.5" customHeight="1" x14ac:dyDescent="0.3">
      <c r="A309" s="77"/>
      <c r="B309" s="77"/>
      <c r="C309" s="77"/>
      <c r="D309" s="77"/>
      <c r="E309" s="77"/>
      <c r="F309" s="77"/>
      <c r="G309" s="77"/>
      <c r="H309" s="77"/>
      <c r="I309" s="77"/>
      <c r="J309" s="77"/>
      <c r="K309" s="77"/>
      <c r="L309" s="77"/>
      <c r="M309" s="77"/>
      <c r="N309" s="77"/>
      <c r="O309" s="77"/>
      <c r="P309" s="77"/>
      <c r="Q309" s="77"/>
      <c r="R309" s="77"/>
      <c r="S309" s="77"/>
      <c r="T309" s="77"/>
      <c r="U309" s="77"/>
      <c r="V309" s="77"/>
    </row>
    <row r="310" spans="1:22" s="38" customFormat="1" ht="16.5" customHeight="1" x14ac:dyDescent="0.3">
      <c r="A310" s="77"/>
      <c r="B310" s="77"/>
      <c r="C310" s="77"/>
      <c r="D310" s="77"/>
      <c r="E310" s="77"/>
      <c r="F310" s="77"/>
      <c r="G310" s="77"/>
      <c r="H310" s="77"/>
      <c r="I310" s="77"/>
      <c r="J310" s="77"/>
      <c r="K310" s="77"/>
      <c r="L310" s="77"/>
      <c r="M310" s="77"/>
      <c r="N310" s="77"/>
      <c r="O310" s="77"/>
      <c r="P310" s="77"/>
      <c r="Q310" s="77"/>
      <c r="R310" s="77"/>
      <c r="S310" s="77"/>
      <c r="T310" s="77"/>
      <c r="U310" s="77"/>
      <c r="V310" s="77"/>
    </row>
    <row r="311" spans="1:22" s="38" customFormat="1" ht="16.5" customHeight="1" x14ac:dyDescent="0.3">
      <c r="A311" s="77"/>
      <c r="B311" s="77"/>
      <c r="C311" s="77"/>
      <c r="D311" s="77"/>
      <c r="E311" s="77"/>
      <c r="F311" s="77"/>
      <c r="G311" s="77"/>
      <c r="H311" s="77"/>
      <c r="I311" s="77"/>
      <c r="J311" s="77"/>
      <c r="K311" s="77"/>
      <c r="L311" s="77"/>
      <c r="M311" s="77"/>
      <c r="N311" s="77"/>
      <c r="O311" s="77"/>
      <c r="P311" s="77"/>
      <c r="Q311" s="77"/>
      <c r="R311" s="77"/>
      <c r="S311" s="77"/>
      <c r="T311" s="77"/>
      <c r="U311" s="77"/>
      <c r="V311" s="77"/>
    </row>
    <row r="312" spans="1:22" s="38" customFormat="1" ht="16.5" customHeight="1" x14ac:dyDescent="0.3">
      <c r="A312" s="77"/>
      <c r="B312" s="77"/>
      <c r="C312" s="77"/>
      <c r="D312" s="77"/>
      <c r="E312" s="77"/>
      <c r="F312" s="77"/>
      <c r="G312" s="77"/>
      <c r="H312" s="77"/>
      <c r="I312" s="77"/>
      <c r="J312" s="77"/>
      <c r="K312" s="77"/>
      <c r="L312" s="77"/>
      <c r="M312" s="77"/>
      <c r="N312" s="77"/>
      <c r="O312" s="77"/>
      <c r="P312" s="77"/>
      <c r="Q312" s="77"/>
      <c r="R312" s="77"/>
      <c r="S312" s="77"/>
      <c r="T312" s="77"/>
      <c r="U312" s="77"/>
      <c r="V312" s="77"/>
    </row>
    <row r="313" spans="1:22" s="38" customFormat="1" ht="16.5" customHeight="1" x14ac:dyDescent="0.3">
      <c r="A313" s="77"/>
      <c r="B313" s="77"/>
      <c r="C313" s="77"/>
      <c r="D313" s="77"/>
      <c r="E313" s="77"/>
      <c r="F313" s="77"/>
      <c r="G313" s="77"/>
      <c r="H313" s="77"/>
      <c r="I313" s="77"/>
      <c r="J313" s="77"/>
      <c r="K313" s="77"/>
      <c r="L313" s="77"/>
      <c r="M313" s="77"/>
      <c r="N313" s="77"/>
      <c r="O313" s="77"/>
      <c r="P313" s="77"/>
      <c r="Q313" s="77"/>
      <c r="R313" s="77"/>
      <c r="S313" s="77"/>
      <c r="T313" s="77"/>
      <c r="U313" s="77"/>
      <c r="V313" s="77"/>
    </row>
    <row r="314" spans="1:22" s="38" customFormat="1" ht="16.5" customHeight="1" x14ac:dyDescent="0.3">
      <c r="A314" s="77"/>
      <c r="B314" s="77"/>
      <c r="C314" s="77"/>
      <c r="D314" s="77"/>
      <c r="E314" s="77"/>
      <c r="F314" s="77"/>
      <c r="G314" s="77"/>
      <c r="H314" s="77"/>
      <c r="I314" s="77"/>
      <c r="J314" s="77"/>
      <c r="K314" s="77"/>
      <c r="L314" s="77"/>
      <c r="M314" s="77"/>
      <c r="N314" s="77"/>
      <c r="O314" s="77"/>
      <c r="P314" s="77"/>
      <c r="Q314" s="77"/>
      <c r="R314" s="77"/>
      <c r="S314" s="77"/>
      <c r="T314" s="77"/>
      <c r="U314" s="77"/>
      <c r="V314" s="77"/>
    </row>
    <row r="315" spans="1:22" s="38" customFormat="1" ht="16.5" customHeight="1" x14ac:dyDescent="0.3">
      <c r="A315" s="77"/>
      <c r="B315" s="77"/>
      <c r="C315" s="77"/>
      <c r="D315" s="77"/>
      <c r="E315" s="77"/>
      <c r="F315" s="77"/>
      <c r="G315" s="77"/>
      <c r="H315" s="77"/>
      <c r="I315" s="77"/>
      <c r="J315" s="77"/>
      <c r="K315" s="77"/>
      <c r="L315" s="77"/>
      <c r="M315" s="77"/>
      <c r="N315" s="77"/>
      <c r="O315" s="77"/>
      <c r="P315" s="77"/>
      <c r="Q315" s="77"/>
      <c r="R315" s="77"/>
      <c r="S315" s="77"/>
      <c r="T315" s="77"/>
      <c r="U315" s="77"/>
      <c r="V315" s="77"/>
    </row>
    <row r="316" spans="1:22" s="38" customFormat="1" ht="16.5" customHeight="1" x14ac:dyDescent="0.3">
      <c r="A316" s="77"/>
      <c r="B316" s="77"/>
      <c r="C316" s="77"/>
      <c r="D316" s="77"/>
      <c r="E316" s="77"/>
      <c r="F316" s="77"/>
      <c r="G316" s="77"/>
      <c r="H316" s="77"/>
      <c r="I316" s="77"/>
      <c r="J316" s="77"/>
      <c r="K316" s="77"/>
      <c r="L316" s="77"/>
      <c r="M316" s="77"/>
      <c r="N316" s="77"/>
      <c r="O316" s="77"/>
      <c r="P316" s="77"/>
      <c r="Q316" s="77"/>
      <c r="R316" s="77"/>
      <c r="S316" s="77"/>
      <c r="T316" s="77"/>
      <c r="U316" s="77"/>
      <c r="V316" s="77"/>
    </row>
    <row r="317" spans="1:22" s="38" customFormat="1" ht="16.5" customHeight="1" x14ac:dyDescent="0.3">
      <c r="A317" s="77"/>
      <c r="B317" s="77"/>
      <c r="C317" s="77"/>
      <c r="D317" s="77"/>
      <c r="E317" s="77"/>
      <c r="F317" s="77"/>
      <c r="G317" s="77"/>
      <c r="H317" s="77"/>
      <c r="I317" s="77"/>
      <c r="J317" s="77"/>
      <c r="K317" s="77"/>
      <c r="L317" s="77"/>
      <c r="M317" s="77"/>
      <c r="N317" s="77"/>
      <c r="O317" s="77"/>
      <c r="P317" s="77"/>
      <c r="Q317" s="77"/>
      <c r="R317" s="77"/>
      <c r="S317" s="77"/>
      <c r="T317" s="77"/>
      <c r="U317" s="77"/>
      <c r="V317" s="77"/>
    </row>
    <row r="318" spans="1:22" s="38" customFormat="1" ht="16.5" customHeight="1" x14ac:dyDescent="0.3">
      <c r="A318" s="77"/>
      <c r="B318" s="77"/>
      <c r="C318" s="77"/>
      <c r="D318" s="77"/>
      <c r="E318" s="77"/>
      <c r="F318" s="77"/>
      <c r="G318" s="77"/>
      <c r="H318" s="77"/>
      <c r="I318" s="77"/>
      <c r="J318" s="77"/>
      <c r="K318" s="77"/>
      <c r="L318" s="77"/>
      <c r="M318" s="77"/>
      <c r="N318" s="77"/>
      <c r="O318" s="77"/>
      <c r="P318" s="77"/>
      <c r="Q318" s="77"/>
      <c r="R318" s="77"/>
      <c r="S318" s="77"/>
      <c r="T318" s="77"/>
      <c r="U318" s="77"/>
      <c r="V318" s="77"/>
    </row>
    <row r="319" spans="1:22" s="38" customFormat="1" ht="16.5" customHeight="1" x14ac:dyDescent="0.3">
      <c r="A319" s="77"/>
      <c r="B319" s="77"/>
      <c r="C319" s="77"/>
      <c r="D319" s="77"/>
      <c r="E319" s="77"/>
      <c r="F319" s="77"/>
      <c r="G319" s="77"/>
      <c r="H319" s="77"/>
      <c r="I319" s="77"/>
      <c r="J319" s="77"/>
      <c r="K319" s="77"/>
      <c r="L319" s="77"/>
      <c r="M319" s="77"/>
      <c r="N319" s="77"/>
      <c r="O319" s="77"/>
      <c r="P319" s="77"/>
      <c r="Q319" s="77"/>
      <c r="R319" s="77"/>
      <c r="S319" s="77"/>
      <c r="T319" s="77"/>
      <c r="U319" s="77"/>
      <c r="V319" s="77"/>
    </row>
    <row r="320" spans="1:22" s="38" customFormat="1" ht="16.5" customHeight="1" x14ac:dyDescent="0.3">
      <c r="A320" s="77"/>
      <c r="B320" s="77"/>
      <c r="C320" s="77"/>
      <c r="D320" s="77"/>
      <c r="E320" s="77"/>
      <c r="F320" s="77"/>
      <c r="G320" s="77"/>
      <c r="H320" s="77"/>
      <c r="I320" s="77"/>
      <c r="J320" s="77"/>
      <c r="K320" s="77"/>
      <c r="L320" s="77"/>
      <c r="M320" s="77"/>
      <c r="N320" s="77"/>
      <c r="O320" s="77"/>
      <c r="P320" s="77"/>
      <c r="Q320" s="77"/>
      <c r="R320" s="77"/>
      <c r="S320" s="77"/>
      <c r="T320" s="77"/>
      <c r="U320" s="77"/>
      <c r="V320" s="77"/>
    </row>
    <row r="321" spans="1:22" s="38" customFormat="1" ht="16.5" customHeight="1" x14ac:dyDescent="0.3">
      <c r="A321" s="77"/>
      <c r="B321" s="77"/>
      <c r="C321" s="77"/>
      <c r="D321" s="77"/>
      <c r="E321" s="77"/>
      <c r="F321" s="77"/>
      <c r="G321" s="77"/>
      <c r="H321" s="77"/>
      <c r="I321" s="77"/>
      <c r="J321" s="77"/>
      <c r="K321" s="77"/>
      <c r="L321" s="77"/>
      <c r="M321" s="77"/>
      <c r="N321" s="77"/>
      <c r="O321" s="77"/>
      <c r="P321" s="77"/>
      <c r="Q321" s="77"/>
      <c r="R321" s="77"/>
      <c r="S321" s="77"/>
      <c r="T321" s="77"/>
      <c r="U321" s="77"/>
      <c r="V321" s="77"/>
    </row>
    <row r="322" spans="1:22" s="38" customFormat="1" ht="16.5" customHeight="1" x14ac:dyDescent="0.3">
      <c r="A322" s="77"/>
      <c r="B322" s="77"/>
      <c r="C322" s="77"/>
      <c r="D322" s="77"/>
      <c r="E322" s="77"/>
      <c r="F322" s="77"/>
      <c r="G322" s="77"/>
      <c r="H322" s="77"/>
      <c r="I322" s="77"/>
      <c r="J322" s="77"/>
      <c r="K322" s="77"/>
      <c r="L322" s="77"/>
      <c r="M322" s="77"/>
      <c r="N322" s="77"/>
      <c r="O322" s="77"/>
      <c r="P322" s="77"/>
      <c r="Q322" s="77"/>
      <c r="R322" s="77"/>
      <c r="S322" s="77"/>
      <c r="T322" s="77"/>
      <c r="U322" s="77"/>
      <c r="V322" s="77"/>
    </row>
    <row r="323" spans="1:22" s="38" customFormat="1" ht="16.5" customHeight="1" x14ac:dyDescent="0.3">
      <c r="A323" s="77"/>
      <c r="B323" s="77"/>
      <c r="C323" s="77"/>
      <c r="D323" s="77"/>
      <c r="E323" s="77"/>
      <c r="F323" s="77"/>
      <c r="G323" s="77"/>
      <c r="H323" s="77"/>
      <c r="I323" s="77"/>
      <c r="J323" s="77"/>
      <c r="K323" s="77"/>
      <c r="L323" s="77"/>
      <c r="M323" s="77"/>
      <c r="N323" s="77"/>
      <c r="O323" s="77"/>
      <c r="P323" s="77"/>
      <c r="Q323" s="77"/>
      <c r="R323" s="77"/>
      <c r="S323" s="77"/>
      <c r="T323" s="77"/>
      <c r="U323" s="77"/>
      <c r="V323" s="77"/>
    </row>
    <row r="324" spans="1:22" s="38" customFormat="1" ht="16.5" customHeight="1" x14ac:dyDescent="0.3">
      <c r="A324" s="77"/>
      <c r="B324" s="77"/>
      <c r="C324" s="77"/>
      <c r="D324" s="77"/>
      <c r="E324" s="77"/>
      <c r="F324" s="77"/>
      <c r="G324" s="77"/>
      <c r="H324" s="77"/>
      <c r="I324" s="77"/>
      <c r="J324" s="77"/>
      <c r="K324" s="77"/>
      <c r="L324" s="77"/>
      <c r="M324" s="77"/>
      <c r="N324" s="77"/>
      <c r="O324" s="77"/>
      <c r="P324" s="77"/>
      <c r="Q324" s="77"/>
      <c r="R324" s="77"/>
      <c r="S324" s="77"/>
      <c r="T324" s="77"/>
      <c r="U324" s="77"/>
      <c r="V324" s="77"/>
    </row>
    <row r="325" spans="1:22" s="38" customFormat="1" ht="16.5" customHeight="1" x14ac:dyDescent="0.3">
      <c r="A325" s="77"/>
      <c r="B325" s="77"/>
      <c r="C325" s="77"/>
      <c r="D325" s="77"/>
      <c r="E325" s="77"/>
      <c r="F325" s="77"/>
      <c r="G325" s="77"/>
      <c r="H325" s="77"/>
      <c r="I325" s="77"/>
      <c r="J325" s="77"/>
      <c r="K325" s="77"/>
      <c r="L325" s="77"/>
      <c r="M325" s="77"/>
      <c r="N325" s="77"/>
      <c r="O325" s="77"/>
      <c r="P325" s="77"/>
      <c r="Q325" s="77"/>
      <c r="R325" s="77"/>
      <c r="S325" s="77"/>
      <c r="T325" s="77"/>
      <c r="U325" s="77"/>
      <c r="V325" s="77"/>
    </row>
    <row r="326" spans="1:22" s="38" customFormat="1" ht="16.5" customHeight="1" x14ac:dyDescent="0.3">
      <c r="A326" s="77"/>
      <c r="B326" s="77"/>
      <c r="C326" s="77"/>
      <c r="D326" s="77"/>
      <c r="E326" s="77"/>
      <c r="F326" s="77"/>
      <c r="G326" s="77"/>
      <c r="H326" s="77"/>
      <c r="I326" s="77"/>
      <c r="J326" s="77"/>
      <c r="K326" s="77"/>
      <c r="L326" s="77"/>
      <c r="M326" s="77"/>
      <c r="N326" s="77"/>
      <c r="O326" s="77"/>
      <c r="P326" s="77"/>
      <c r="Q326" s="77"/>
      <c r="R326" s="77"/>
      <c r="S326" s="77"/>
      <c r="T326" s="77"/>
      <c r="U326" s="77"/>
      <c r="V326" s="77"/>
    </row>
    <row r="327" spans="1:22" s="38" customFormat="1" ht="16.5" customHeight="1" x14ac:dyDescent="0.3">
      <c r="A327" s="77"/>
      <c r="B327" s="77"/>
      <c r="C327" s="77"/>
      <c r="D327" s="77"/>
      <c r="E327" s="77"/>
      <c r="F327" s="77"/>
      <c r="G327" s="77"/>
      <c r="H327" s="77"/>
      <c r="I327" s="77"/>
      <c r="J327" s="77"/>
      <c r="K327" s="77"/>
      <c r="L327" s="77"/>
      <c r="M327" s="77"/>
      <c r="N327" s="77"/>
      <c r="O327" s="77"/>
      <c r="P327" s="77"/>
      <c r="Q327" s="77"/>
      <c r="R327" s="77"/>
      <c r="S327" s="77"/>
      <c r="T327" s="77"/>
      <c r="U327" s="77"/>
      <c r="V327" s="77"/>
    </row>
    <row r="328" spans="1:22" s="38" customFormat="1" ht="16.5" customHeight="1" x14ac:dyDescent="0.3">
      <c r="A328" s="77"/>
      <c r="B328" s="77"/>
      <c r="C328" s="77"/>
      <c r="D328" s="77"/>
      <c r="E328" s="77"/>
      <c r="F328" s="77"/>
      <c r="G328" s="77"/>
      <c r="H328" s="77"/>
      <c r="I328" s="77"/>
      <c r="J328" s="77"/>
      <c r="K328" s="77"/>
      <c r="L328" s="77"/>
      <c r="M328" s="77"/>
      <c r="N328" s="77"/>
      <c r="O328" s="77"/>
      <c r="P328" s="77"/>
      <c r="Q328" s="77"/>
      <c r="R328" s="77"/>
      <c r="S328" s="77"/>
      <c r="T328" s="77"/>
      <c r="U328" s="77"/>
      <c r="V328" s="77"/>
    </row>
    <row r="329" spans="1:22" s="38" customFormat="1" ht="16.5" customHeight="1" x14ac:dyDescent="0.3">
      <c r="A329" s="77"/>
      <c r="B329" s="77"/>
      <c r="C329" s="77"/>
      <c r="D329" s="77"/>
      <c r="E329" s="77"/>
      <c r="F329" s="77"/>
      <c r="G329" s="77"/>
      <c r="H329" s="77"/>
      <c r="I329" s="77"/>
      <c r="J329" s="77"/>
      <c r="K329" s="77"/>
      <c r="L329" s="77"/>
      <c r="M329" s="77"/>
      <c r="N329" s="77"/>
      <c r="O329" s="77"/>
      <c r="P329" s="77"/>
      <c r="Q329" s="77"/>
      <c r="R329" s="77"/>
      <c r="S329" s="77"/>
      <c r="T329" s="77"/>
      <c r="U329" s="77"/>
      <c r="V329" s="77"/>
    </row>
    <row r="330" spans="1:22" s="38" customFormat="1" ht="16.5" customHeight="1" x14ac:dyDescent="0.3">
      <c r="A330" s="77"/>
      <c r="B330" s="77"/>
      <c r="C330" s="77"/>
      <c r="D330" s="77"/>
      <c r="E330" s="77"/>
      <c r="F330" s="77"/>
      <c r="G330" s="77"/>
      <c r="H330" s="77"/>
      <c r="I330" s="77"/>
      <c r="J330" s="77"/>
      <c r="K330" s="77"/>
      <c r="L330" s="77"/>
      <c r="M330" s="77"/>
      <c r="N330" s="77"/>
      <c r="O330" s="77"/>
      <c r="P330" s="77"/>
      <c r="Q330" s="77"/>
      <c r="R330" s="77"/>
      <c r="S330" s="77"/>
      <c r="T330" s="77"/>
      <c r="U330" s="77"/>
      <c r="V330" s="77"/>
    </row>
    <row r="331" spans="1:22" s="38" customFormat="1" ht="16.5" customHeight="1" x14ac:dyDescent="0.3">
      <c r="A331" s="77"/>
      <c r="B331" s="77"/>
      <c r="C331" s="77"/>
      <c r="D331" s="77"/>
      <c r="E331" s="77"/>
      <c r="F331" s="77"/>
      <c r="G331" s="77"/>
      <c r="H331" s="77"/>
      <c r="I331" s="77"/>
      <c r="J331" s="77"/>
      <c r="K331" s="77"/>
      <c r="L331" s="77"/>
      <c r="M331" s="77"/>
      <c r="N331" s="77"/>
      <c r="O331" s="77"/>
      <c r="P331" s="77"/>
      <c r="Q331" s="77"/>
      <c r="R331" s="77"/>
      <c r="S331" s="77"/>
      <c r="T331" s="77"/>
      <c r="U331" s="77"/>
      <c r="V331" s="77"/>
    </row>
    <row r="332" spans="1:22" s="38" customFormat="1" ht="16.5" customHeight="1" x14ac:dyDescent="0.3">
      <c r="A332" s="77"/>
      <c r="B332" s="77"/>
      <c r="C332" s="77"/>
      <c r="D332" s="77"/>
      <c r="E332" s="77"/>
      <c r="F332" s="77"/>
      <c r="G332" s="77"/>
      <c r="H332" s="77"/>
      <c r="I332" s="77"/>
      <c r="J332" s="77"/>
      <c r="K332" s="77"/>
      <c r="L332" s="77"/>
      <c r="M332" s="77"/>
      <c r="N332" s="77"/>
      <c r="O332" s="77"/>
      <c r="P332" s="77"/>
      <c r="Q332" s="77"/>
      <c r="R332" s="77"/>
      <c r="S332" s="77"/>
      <c r="T332" s="77"/>
      <c r="U332" s="77"/>
      <c r="V332" s="77"/>
    </row>
    <row r="333" spans="1:22" s="38" customFormat="1" ht="16.5" customHeight="1" x14ac:dyDescent="0.3">
      <c r="A333" s="77"/>
      <c r="B333" s="77"/>
      <c r="C333" s="77"/>
      <c r="D333" s="77"/>
      <c r="E333" s="77"/>
      <c r="F333" s="77"/>
      <c r="G333" s="77"/>
      <c r="H333" s="77"/>
      <c r="I333" s="77"/>
      <c r="J333" s="77"/>
      <c r="K333" s="77"/>
      <c r="L333" s="77"/>
      <c r="M333" s="77"/>
      <c r="N333" s="77"/>
      <c r="O333" s="77"/>
      <c r="P333" s="77"/>
      <c r="Q333" s="77"/>
      <c r="R333" s="77"/>
      <c r="S333" s="77"/>
      <c r="T333" s="77"/>
      <c r="U333" s="77"/>
      <c r="V333" s="77"/>
    </row>
    <row r="334" spans="1:22" s="38" customFormat="1" ht="16.5" customHeight="1" x14ac:dyDescent="0.3">
      <c r="A334" s="77"/>
      <c r="B334" s="77"/>
      <c r="C334" s="77"/>
      <c r="D334" s="77"/>
      <c r="E334" s="77"/>
      <c r="F334" s="77"/>
      <c r="G334" s="77"/>
      <c r="H334" s="77"/>
      <c r="I334" s="77"/>
      <c r="J334" s="77"/>
      <c r="K334" s="77"/>
      <c r="L334" s="77"/>
      <c r="M334" s="77"/>
      <c r="N334" s="77"/>
      <c r="O334" s="77"/>
      <c r="P334" s="77"/>
      <c r="Q334" s="77"/>
      <c r="R334" s="77"/>
      <c r="S334" s="77"/>
      <c r="T334" s="77"/>
      <c r="U334" s="77"/>
      <c r="V334" s="77"/>
    </row>
    <row r="335" spans="1:22" s="38" customFormat="1" ht="16.5" customHeight="1" x14ac:dyDescent="0.3">
      <c r="A335" s="77"/>
      <c r="B335" s="77"/>
      <c r="C335" s="77"/>
      <c r="D335" s="77"/>
      <c r="E335" s="77"/>
      <c r="F335" s="77"/>
      <c r="G335" s="77"/>
      <c r="H335" s="77"/>
      <c r="I335" s="77"/>
      <c r="J335" s="77"/>
      <c r="K335" s="77"/>
      <c r="L335" s="77"/>
      <c r="M335" s="77"/>
      <c r="N335" s="77"/>
      <c r="O335" s="77"/>
      <c r="P335" s="77"/>
      <c r="Q335" s="77"/>
      <c r="R335" s="77"/>
      <c r="S335" s="77"/>
      <c r="T335" s="77"/>
      <c r="U335" s="77"/>
      <c r="V335" s="77"/>
    </row>
    <row r="336" spans="1:22" s="38" customFormat="1" ht="16.5" customHeight="1" x14ac:dyDescent="0.3">
      <c r="A336" s="77"/>
      <c r="B336" s="77"/>
      <c r="C336" s="77"/>
      <c r="D336" s="77"/>
      <c r="E336" s="77"/>
      <c r="F336" s="77"/>
      <c r="G336" s="77"/>
      <c r="H336" s="77"/>
      <c r="I336" s="77"/>
      <c r="J336" s="77"/>
      <c r="K336" s="77"/>
      <c r="L336" s="77"/>
      <c r="M336" s="77"/>
      <c r="N336" s="77"/>
      <c r="O336" s="77"/>
      <c r="P336" s="77"/>
      <c r="Q336" s="77"/>
      <c r="R336" s="77"/>
      <c r="S336" s="77"/>
      <c r="T336" s="77"/>
      <c r="U336" s="77"/>
      <c r="V336" s="77"/>
    </row>
    <row r="337" spans="1:22" s="38" customFormat="1" ht="16.5" customHeight="1" x14ac:dyDescent="0.3">
      <c r="A337" s="77"/>
      <c r="B337" s="77"/>
      <c r="C337" s="77"/>
      <c r="D337" s="77"/>
      <c r="E337" s="77"/>
      <c r="F337" s="77"/>
      <c r="G337" s="77"/>
      <c r="H337" s="77"/>
      <c r="I337" s="77"/>
      <c r="J337" s="77"/>
      <c r="K337" s="77"/>
      <c r="L337" s="77"/>
      <c r="M337" s="77"/>
      <c r="N337" s="77"/>
      <c r="O337" s="77"/>
      <c r="P337" s="77"/>
      <c r="Q337" s="77"/>
      <c r="R337" s="77"/>
      <c r="S337" s="77"/>
      <c r="T337" s="77"/>
      <c r="U337" s="77"/>
      <c r="V337" s="77"/>
    </row>
    <row r="338" spans="1:22" s="38" customFormat="1" ht="16.5" customHeight="1" x14ac:dyDescent="0.3">
      <c r="A338" s="77"/>
      <c r="B338" s="77"/>
      <c r="C338" s="77"/>
      <c r="D338" s="77"/>
      <c r="E338" s="77"/>
      <c r="F338" s="77"/>
      <c r="G338" s="77"/>
      <c r="H338" s="77"/>
      <c r="I338" s="77"/>
      <c r="J338" s="77"/>
      <c r="K338" s="77"/>
      <c r="L338" s="77"/>
      <c r="M338" s="77"/>
      <c r="N338" s="77"/>
      <c r="O338" s="77"/>
      <c r="P338" s="77"/>
      <c r="Q338" s="77"/>
      <c r="R338" s="77"/>
      <c r="S338" s="77"/>
      <c r="T338" s="77"/>
      <c r="U338" s="77"/>
      <c r="V338" s="77"/>
    </row>
    <row r="339" spans="1:22" s="38" customFormat="1" ht="16.5" customHeight="1" x14ac:dyDescent="0.3">
      <c r="A339" s="77"/>
      <c r="B339" s="77"/>
      <c r="C339" s="77"/>
      <c r="D339" s="77"/>
      <c r="E339" s="77"/>
      <c r="F339" s="77"/>
      <c r="G339" s="77"/>
      <c r="H339" s="77"/>
      <c r="I339" s="77"/>
      <c r="J339" s="77"/>
      <c r="K339" s="77"/>
      <c r="L339" s="77"/>
      <c r="M339" s="77"/>
      <c r="N339" s="77"/>
      <c r="O339" s="77"/>
      <c r="P339" s="77"/>
      <c r="Q339" s="77"/>
      <c r="R339" s="77"/>
      <c r="S339" s="77"/>
      <c r="T339" s="77"/>
      <c r="U339" s="77"/>
      <c r="V339" s="77"/>
    </row>
    <row r="340" spans="1:22" s="38" customFormat="1" ht="16.5" customHeight="1" x14ac:dyDescent="0.3">
      <c r="A340" s="77"/>
      <c r="B340" s="77"/>
      <c r="C340" s="77"/>
      <c r="D340" s="77"/>
      <c r="E340" s="77"/>
      <c r="F340" s="77"/>
      <c r="G340" s="77"/>
      <c r="H340" s="77"/>
      <c r="I340" s="77"/>
      <c r="J340" s="77"/>
      <c r="K340" s="77"/>
      <c r="L340" s="77"/>
      <c r="M340" s="77"/>
      <c r="N340" s="77"/>
      <c r="O340" s="77"/>
      <c r="P340" s="77"/>
      <c r="Q340" s="77"/>
      <c r="R340" s="77"/>
      <c r="S340" s="77"/>
      <c r="T340" s="77"/>
      <c r="U340" s="77"/>
      <c r="V340" s="77"/>
    </row>
    <row r="341" spans="1:22" s="38" customFormat="1" ht="16.5" customHeight="1" x14ac:dyDescent="0.3">
      <c r="A341" s="77"/>
      <c r="B341" s="77"/>
      <c r="C341" s="77"/>
      <c r="D341" s="77"/>
      <c r="E341" s="77"/>
      <c r="F341" s="77"/>
      <c r="G341" s="77"/>
      <c r="H341" s="77"/>
      <c r="I341" s="77"/>
      <c r="J341" s="77"/>
      <c r="K341" s="77"/>
      <c r="L341" s="77"/>
      <c r="M341" s="77"/>
      <c r="N341" s="77"/>
      <c r="O341" s="77"/>
      <c r="P341" s="77"/>
      <c r="Q341" s="77"/>
      <c r="R341" s="77"/>
      <c r="S341" s="77"/>
      <c r="T341" s="77"/>
      <c r="U341" s="77"/>
      <c r="V341" s="77"/>
    </row>
    <row r="342" spans="1:22" s="38" customFormat="1" ht="16.5" customHeight="1" x14ac:dyDescent="0.3">
      <c r="A342" s="77"/>
      <c r="B342" s="77"/>
      <c r="C342" s="77"/>
      <c r="D342" s="77"/>
      <c r="E342" s="77"/>
      <c r="F342" s="77"/>
      <c r="G342" s="77"/>
      <c r="H342" s="77"/>
      <c r="I342" s="77"/>
      <c r="J342" s="77"/>
      <c r="K342" s="77"/>
      <c r="L342" s="77"/>
      <c r="M342" s="77"/>
      <c r="N342" s="77"/>
      <c r="O342" s="77"/>
      <c r="P342" s="77"/>
      <c r="Q342" s="77"/>
      <c r="R342" s="77"/>
      <c r="S342" s="77"/>
      <c r="T342" s="77"/>
      <c r="U342" s="77"/>
      <c r="V342" s="77"/>
    </row>
    <row r="343" spans="1:22" s="38" customFormat="1" ht="16.5" customHeight="1" x14ac:dyDescent="0.3">
      <c r="A343" s="77"/>
      <c r="B343" s="77"/>
      <c r="C343" s="77"/>
      <c r="D343" s="77"/>
      <c r="E343" s="77"/>
      <c r="F343" s="77"/>
      <c r="G343" s="77"/>
      <c r="H343" s="77"/>
      <c r="I343" s="77"/>
      <c r="J343" s="77"/>
      <c r="K343" s="77"/>
      <c r="L343" s="77"/>
      <c r="M343" s="77"/>
      <c r="N343" s="77"/>
      <c r="O343" s="77"/>
      <c r="P343" s="77"/>
      <c r="Q343" s="77"/>
      <c r="R343" s="77"/>
      <c r="S343" s="77"/>
      <c r="T343" s="77"/>
      <c r="U343" s="77"/>
      <c r="V343" s="77"/>
    </row>
    <row r="344" spans="1:22" s="38" customFormat="1" ht="16.5" customHeight="1" x14ac:dyDescent="0.3">
      <c r="A344" s="77"/>
      <c r="B344" s="77"/>
      <c r="C344" s="77"/>
      <c r="D344" s="77"/>
      <c r="E344" s="77"/>
      <c r="F344" s="77"/>
      <c r="G344" s="77"/>
      <c r="H344" s="77"/>
      <c r="I344" s="77"/>
      <c r="J344" s="77"/>
      <c r="K344" s="77"/>
      <c r="L344" s="77"/>
      <c r="M344" s="77"/>
      <c r="N344" s="77"/>
      <c r="O344" s="77"/>
      <c r="P344" s="77"/>
      <c r="Q344" s="77"/>
      <c r="R344" s="77"/>
      <c r="S344" s="77"/>
      <c r="T344" s="77"/>
      <c r="U344" s="77"/>
      <c r="V344" s="77"/>
    </row>
    <row r="345" spans="1:22" s="38" customFormat="1" ht="16.5" customHeight="1" x14ac:dyDescent="0.3">
      <c r="A345" s="77"/>
      <c r="B345" s="77"/>
      <c r="C345" s="77"/>
      <c r="D345" s="77"/>
      <c r="E345" s="77"/>
      <c r="F345" s="77"/>
      <c r="G345" s="77"/>
      <c r="H345" s="77"/>
      <c r="I345" s="77"/>
      <c r="J345" s="77"/>
      <c r="K345" s="77"/>
      <c r="L345" s="77"/>
      <c r="M345" s="77"/>
      <c r="N345" s="77"/>
      <c r="O345" s="77"/>
      <c r="P345" s="77"/>
      <c r="Q345" s="77"/>
      <c r="R345" s="77"/>
      <c r="S345" s="77"/>
      <c r="T345" s="77"/>
      <c r="U345" s="77"/>
      <c r="V345" s="77"/>
    </row>
    <row r="346" spans="1:22" s="38" customFormat="1" ht="16.5" customHeight="1" x14ac:dyDescent="0.3">
      <c r="A346" s="77"/>
      <c r="B346" s="77"/>
      <c r="C346" s="77"/>
      <c r="D346" s="77"/>
      <c r="E346" s="77"/>
      <c r="F346" s="77"/>
      <c r="G346" s="77"/>
      <c r="H346" s="77"/>
      <c r="I346" s="77"/>
      <c r="J346" s="77"/>
      <c r="K346" s="77"/>
      <c r="L346" s="77"/>
      <c r="M346" s="77"/>
      <c r="N346" s="77"/>
      <c r="O346" s="77"/>
      <c r="P346" s="77"/>
      <c r="Q346" s="77"/>
      <c r="R346" s="77"/>
      <c r="S346" s="77"/>
      <c r="T346" s="77"/>
      <c r="U346" s="77"/>
      <c r="V346" s="77"/>
    </row>
    <row r="347" spans="1:22" s="38" customFormat="1" ht="16.5" customHeight="1" x14ac:dyDescent="0.3">
      <c r="A347" s="77"/>
      <c r="B347" s="77"/>
      <c r="C347" s="77"/>
      <c r="D347" s="77"/>
      <c r="E347" s="77"/>
      <c r="F347" s="77"/>
      <c r="G347" s="77"/>
      <c r="H347" s="77"/>
      <c r="I347" s="77"/>
      <c r="J347" s="77"/>
      <c r="K347" s="77"/>
      <c r="L347" s="77"/>
      <c r="M347" s="77"/>
      <c r="N347" s="77"/>
      <c r="O347" s="77"/>
      <c r="P347" s="77"/>
      <c r="Q347" s="77"/>
      <c r="R347" s="77"/>
      <c r="S347" s="77"/>
      <c r="T347" s="77"/>
      <c r="U347" s="77"/>
      <c r="V347" s="77"/>
    </row>
    <row r="348" spans="1:22" s="38" customFormat="1" ht="16.5" customHeight="1" x14ac:dyDescent="0.3">
      <c r="A348" s="77"/>
      <c r="B348" s="77"/>
      <c r="C348" s="77"/>
      <c r="D348" s="77"/>
      <c r="E348" s="77"/>
      <c r="F348" s="77"/>
      <c r="G348" s="77"/>
      <c r="H348" s="77"/>
      <c r="I348" s="77"/>
      <c r="J348" s="77"/>
      <c r="K348" s="77"/>
      <c r="L348" s="77"/>
      <c r="M348" s="77"/>
      <c r="N348" s="77"/>
      <c r="O348" s="77"/>
      <c r="P348" s="77"/>
      <c r="Q348" s="77"/>
      <c r="R348" s="77"/>
      <c r="S348" s="77"/>
      <c r="T348" s="77"/>
      <c r="U348" s="77"/>
      <c r="V348" s="77"/>
    </row>
    <row r="349" spans="1:22" s="38" customFormat="1" ht="16.5" customHeight="1" x14ac:dyDescent="0.3">
      <c r="A349" s="77"/>
      <c r="B349" s="77"/>
      <c r="C349" s="77"/>
      <c r="D349" s="77"/>
      <c r="E349" s="77"/>
      <c r="F349" s="77"/>
      <c r="G349" s="77"/>
      <c r="H349" s="77"/>
      <c r="I349" s="77"/>
      <c r="J349" s="77"/>
      <c r="K349" s="77"/>
      <c r="L349" s="77"/>
      <c r="M349" s="77"/>
      <c r="N349" s="77"/>
      <c r="O349" s="77"/>
      <c r="P349" s="77"/>
      <c r="Q349" s="77"/>
      <c r="R349" s="77"/>
      <c r="S349" s="77"/>
      <c r="T349" s="77"/>
      <c r="U349" s="77"/>
      <c r="V349" s="77"/>
    </row>
    <row r="350" spans="1:22" s="38" customFormat="1" ht="16.5" customHeight="1" x14ac:dyDescent="0.3">
      <c r="A350" s="77"/>
      <c r="B350" s="77"/>
      <c r="C350" s="77"/>
      <c r="D350" s="77"/>
      <c r="E350" s="77"/>
      <c r="F350" s="77"/>
      <c r="G350" s="77"/>
      <c r="H350" s="77"/>
      <c r="I350" s="77"/>
      <c r="J350" s="77"/>
      <c r="K350" s="77"/>
      <c r="L350" s="77"/>
      <c r="M350" s="77"/>
      <c r="N350" s="77"/>
      <c r="O350" s="77"/>
      <c r="P350" s="77"/>
      <c r="Q350" s="77"/>
      <c r="R350" s="77"/>
      <c r="S350" s="77"/>
      <c r="T350" s="77"/>
      <c r="U350" s="77"/>
      <c r="V350" s="77"/>
    </row>
    <row r="351" spans="1:22" s="38" customFormat="1" ht="16.5" customHeight="1" x14ac:dyDescent="0.3">
      <c r="A351" s="77"/>
      <c r="B351" s="77"/>
      <c r="C351" s="77"/>
      <c r="D351" s="77"/>
      <c r="E351" s="77"/>
      <c r="F351" s="77"/>
      <c r="G351" s="77"/>
      <c r="H351" s="77"/>
      <c r="I351" s="77"/>
      <c r="J351" s="77"/>
      <c r="K351" s="77"/>
      <c r="L351" s="77"/>
      <c r="M351" s="77"/>
      <c r="N351" s="77"/>
      <c r="O351" s="77"/>
      <c r="P351" s="77"/>
      <c r="Q351" s="77"/>
      <c r="R351" s="77"/>
      <c r="S351" s="77"/>
      <c r="T351" s="77"/>
      <c r="U351" s="77"/>
      <c r="V351" s="77"/>
    </row>
    <row r="352" spans="1:22" s="38" customFormat="1" ht="16.5" customHeight="1" x14ac:dyDescent="0.3">
      <c r="A352" s="77"/>
      <c r="B352" s="77"/>
      <c r="C352" s="77"/>
      <c r="D352" s="77"/>
      <c r="E352" s="77"/>
      <c r="F352" s="77"/>
      <c r="G352" s="77"/>
      <c r="H352" s="77"/>
      <c r="I352" s="77"/>
      <c r="J352" s="77"/>
      <c r="K352" s="77"/>
      <c r="L352" s="77"/>
      <c r="M352" s="77"/>
      <c r="N352" s="77"/>
      <c r="O352" s="77"/>
      <c r="P352" s="77"/>
      <c r="Q352" s="77"/>
      <c r="R352" s="77"/>
      <c r="S352" s="77"/>
      <c r="T352" s="77"/>
      <c r="U352" s="77"/>
      <c r="V352" s="77"/>
    </row>
    <row r="353" spans="1:22" s="38" customFormat="1" ht="16.5" customHeight="1" x14ac:dyDescent="0.3">
      <c r="A353" s="77"/>
      <c r="B353" s="77"/>
      <c r="C353" s="77"/>
      <c r="D353" s="77"/>
      <c r="E353" s="77"/>
      <c r="F353" s="77"/>
      <c r="G353" s="77"/>
      <c r="H353" s="77"/>
      <c r="I353" s="77"/>
      <c r="J353" s="77"/>
      <c r="K353" s="77"/>
      <c r="L353" s="77"/>
      <c r="M353" s="77"/>
      <c r="N353" s="77"/>
      <c r="O353" s="77"/>
      <c r="P353" s="77"/>
      <c r="Q353" s="77"/>
      <c r="R353" s="77"/>
      <c r="S353" s="77"/>
      <c r="T353" s="77"/>
      <c r="U353" s="77"/>
      <c r="V353" s="77"/>
    </row>
    <row r="354" spans="1:22" s="38" customFormat="1" ht="16.5" customHeight="1" x14ac:dyDescent="0.3">
      <c r="A354" s="77"/>
      <c r="B354" s="77"/>
      <c r="C354" s="77"/>
      <c r="D354" s="77"/>
      <c r="E354" s="77"/>
      <c r="F354" s="77"/>
      <c r="G354" s="77"/>
      <c r="H354" s="77"/>
      <c r="I354" s="77"/>
      <c r="J354" s="77"/>
      <c r="K354" s="77"/>
      <c r="L354" s="77"/>
      <c r="M354" s="77"/>
      <c r="N354" s="77"/>
      <c r="O354" s="77"/>
      <c r="P354" s="77"/>
      <c r="Q354" s="77"/>
      <c r="R354" s="77"/>
      <c r="S354" s="77"/>
      <c r="T354" s="77"/>
      <c r="U354" s="77"/>
      <c r="V354" s="77"/>
    </row>
    <row r="355" spans="1:22" s="38" customFormat="1" ht="16.5" customHeight="1" x14ac:dyDescent="0.3">
      <c r="A355" s="77"/>
      <c r="B355" s="77"/>
      <c r="C355" s="77"/>
      <c r="D355" s="77"/>
      <c r="E355" s="77"/>
      <c r="F355" s="77"/>
      <c r="G355" s="77"/>
      <c r="H355" s="77"/>
      <c r="I355" s="77"/>
      <c r="J355" s="77"/>
      <c r="K355" s="77"/>
      <c r="L355" s="77"/>
      <c r="M355" s="77"/>
      <c r="N355" s="77"/>
      <c r="O355" s="77"/>
      <c r="P355" s="77"/>
      <c r="Q355" s="77"/>
      <c r="R355" s="77"/>
      <c r="S355" s="77"/>
      <c r="T355" s="77"/>
      <c r="U355" s="77"/>
      <c r="V355" s="77"/>
    </row>
    <row r="356" spans="1:22" s="38" customFormat="1" ht="16.5" customHeight="1" x14ac:dyDescent="0.3">
      <c r="A356" s="77"/>
      <c r="B356" s="77"/>
      <c r="C356" s="77"/>
      <c r="D356" s="77"/>
      <c r="E356" s="77"/>
      <c r="F356" s="77"/>
      <c r="G356" s="77"/>
      <c r="H356" s="77"/>
      <c r="I356" s="77"/>
      <c r="J356" s="77"/>
      <c r="K356" s="77"/>
      <c r="L356" s="77"/>
      <c r="M356" s="77"/>
      <c r="N356" s="77"/>
      <c r="O356" s="77"/>
      <c r="P356" s="77"/>
      <c r="Q356" s="77"/>
      <c r="R356" s="77"/>
      <c r="S356" s="77"/>
      <c r="T356" s="77"/>
      <c r="U356" s="77"/>
      <c r="V356" s="77"/>
    </row>
    <row r="357" spans="1:22" s="38" customFormat="1" ht="16.5" customHeight="1" x14ac:dyDescent="0.3">
      <c r="A357" s="77"/>
      <c r="B357" s="77"/>
      <c r="C357" s="77"/>
      <c r="D357" s="77"/>
      <c r="E357" s="77"/>
      <c r="F357" s="77"/>
      <c r="G357" s="77"/>
      <c r="H357" s="77"/>
      <c r="I357" s="77"/>
      <c r="J357" s="77"/>
      <c r="K357" s="77"/>
      <c r="L357" s="77"/>
      <c r="M357" s="77"/>
      <c r="N357" s="77"/>
      <c r="O357" s="77"/>
      <c r="P357" s="77"/>
      <c r="Q357" s="77"/>
      <c r="R357" s="77"/>
      <c r="S357" s="77"/>
      <c r="T357" s="77"/>
      <c r="U357" s="77"/>
      <c r="V357" s="77"/>
    </row>
    <row r="358" spans="1:22" s="38" customFormat="1" ht="16.5" customHeight="1" x14ac:dyDescent="0.3">
      <c r="A358" s="77"/>
      <c r="B358" s="77"/>
      <c r="C358" s="77"/>
      <c r="D358" s="77"/>
      <c r="E358" s="77"/>
      <c r="F358" s="77"/>
      <c r="G358" s="77"/>
      <c r="H358" s="77"/>
      <c r="I358" s="77"/>
      <c r="J358" s="77"/>
      <c r="K358" s="77"/>
      <c r="L358" s="77"/>
      <c r="M358" s="77"/>
      <c r="N358" s="77"/>
      <c r="O358" s="77"/>
      <c r="P358" s="77"/>
      <c r="Q358" s="77"/>
      <c r="R358" s="77"/>
      <c r="S358" s="77"/>
      <c r="T358" s="77"/>
      <c r="U358" s="77"/>
      <c r="V358" s="77"/>
    </row>
    <row r="359" spans="1:22" s="38" customFormat="1" ht="16.5" customHeight="1" x14ac:dyDescent="0.3">
      <c r="A359" s="77"/>
      <c r="B359" s="77"/>
      <c r="C359" s="77"/>
      <c r="D359" s="77"/>
      <c r="E359" s="77"/>
      <c r="F359" s="77"/>
      <c r="G359" s="77"/>
      <c r="H359" s="77"/>
      <c r="I359" s="77"/>
      <c r="J359" s="77"/>
      <c r="K359" s="77"/>
      <c r="L359" s="77"/>
      <c r="M359" s="77"/>
      <c r="N359" s="77"/>
      <c r="O359" s="77"/>
      <c r="P359" s="77"/>
      <c r="Q359" s="77"/>
      <c r="R359" s="77"/>
      <c r="S359" s="77"/>
      <c r="T359" s="77"/>
      <c r="U359" s="77"/>
      <c r="V359" s="77"/>
    </row>
    <row r="360" spans="1:22" s="38" customFormat="1" ht="16.5" customHeight="1" x14ac:dyDescent="0.3">
      <c r="A360" s="77"/>
      <c r="B360" s="77"/>
      <c r="C360" s="77"/>
      <c r="D360" s="77"/>
      <c r="E360" s="77"/>
      <c r="F360" s="77"/>
      <c r="G360" s="77"/>
      <c r="H360" s="77"/>
      <c r="I360" s="77"/>
      <c r="J360" s="77"/>
      <c r="K360" s="77"/>
      <c r="L360" s="77"/>
      <c r="M360" s="77"/>
      <c r="N360" s="77"/>
      <c r="O360" s="77"/>
      <c r="P360" s="77"/>
      <c r="Q360" s="77"/>
      <c r="R360" s="77"/>
      <c r="S360" s="77"/>
      <c r="T360" s="77"/>
      <c r="U360" s="77"/>
      <c r="V360" s="77"/>
    </row>
    <row r="361" spans="1:22" s="38" customFormat="1" ht="16.5" customHeight="1" x14ac:dyDescent="0.3">
      <c r="A361" s="77"/>
      <c r="B361" s="77"/>
      <c r="C361" s="77"/>
      <c r="D361" s="77"/>
      <c r="E361" s="77"/>
      <c r="F361" s="77"/>
      <c r="G361" s="77"/>
      <c r="H361" s="77"/>
      <c r="I361" s="77"/>
      <c r="J361" s="77"/>
      <c r="K361" s="77"/>
      <c r="L361" s="77"/>
      <c r="M361" s="77"/>
      <c r="N361" s="77"/>
      <c r="O361" s="77"/>
      <c r="P361" s="77"/>
      <c r="Q361" s="77"/>
      <c r="R361" s="77"/>
      <c r="S361" s="77"/>
      <c r="T361" s="77"/>
      <c r="U361" s="77"/>
      <c r="V361" s="77"/>
    </row>
    <row r="362" spans="1:22" s="38" customFormat="1" ht="16.5" customHeight="1" x14ac:dyDescent="0.3">
      <c r="A362" s="77"/>
      <c r="B362" s="77"/>
      <c r="C362" s="77"/>
      <c r="D362" s="77"/>
      <c r="E362" s="77"/>
      <c r="F362" s="77"/>
      <c r="G362" s="77"/>
      <c r="H362" s="77"/>
      <c r="I362" s="77"/>
      <c r="J362" s="77"/>
      <c r="K362" s="77"/>
      <c r="L362" s="77"/>
      <c r="M362" s="77"/>
      <c r="N362" s="77"/>
      <c r="O362" s="77"/>
      <c r="P362" s="77"/>
      <c r="Q362" s="77"/>
      <c r="R362" s="77"/>
      <c r="S362" s="77"/>
      <c r="T362" s="77"/>
      <c r="U362" s="77"/>
      <c r="V362" s="77"/>
    </row>
    <row r="363" spans="1:22" s="38" customFormat="1" ht="16.5" customHeight="1" x14ac:dyDescent="0.3">
      <c r="A363" s="77"/>
      <c r="B363" s="77"/>
      <c r="C363" s="77"/>
      <c r="D363" s="77"/>
      <c r="E363" s="77"/>
      <c r="F363" s="77"/>
      <c r="G363" s="77"/>
      <c r="H363" s="77"/>
      <c r="I363" s="77"/>
      <c r="J363" s="77"/>
      <c r="K363" s="77"/>
      <c r="L363" s="77"/>
      <c r="M363" s="77"/>
      <c r="N363" s="77"/>
      <c r="O363" s="77"/>
      <c r="P363" s="77"/>
      <c r="Q363" s="77"/>
      <c r="R363" s="77"/>
      <c r="S363" s="77"/>
      <c r="T363" s="77"/>
      <c r="U363" s="77"/>
      <c r="V363" s="77"/>
    </row>
    <row r="364" spans="1:22" s="38" customFormat="1" ht="16.5" customHeight="1" x14ac:dyDescent="0.3">
      <c r="A364" s="77"/>
      <c r="B364" s="77"/>
      <c r="C364" s="77"/>
      <c r="D364" s="77"/>
      <c r="E364" s="77"/>
      <c r="F364" s="77"/>
      <c r="G364" s="77"/>
      <c r="H364" s="77"/>
      <c r="I364" s="77"/>
      <c r="J364" s="77"/>
      <c r="K364" s="77"/>
      <c r="L364" s="77"/>
      <c r="M364" s="77"/>
      <c r="N364" s="77"/>
      <c r="O364" s="77"/>
      <c r="P364" s="77"/>
      <c r="Q364" s="77"/>
      <c r="R364" s="77"/>
      <c r="S364" s="77"/>
      <c r="T364" s="77"/>
      <c r="U364" s="77"/>
      <c r="V364" s="77"/>
    </row>
    <row r="365" spans="1:22" s="38" customFormat="1" ht="16.5" customHeight="1" x14ac:dyDescent="0.3">
      <c r="A365" s="77"/>
      <c r="B365" s="77"/>
      <c r="C365" s="77"/>
      <c r="D365" s="77"/>
      <c r="E365" s="77"/>
      <c r="F365" s="77"/>
      <c r="G365" s="77"/>
      <c r="H365" s="77"/>
      <c r="I365" s="77"/>
      <c r="J365" s="77"/>
      <c r="K365" s="77"/>
      <c r="L365" s="77"/>
      <c r="M365" s="77"/>
      <c r="N365" s="77"/>
      <c r="O365" s="77"/>
      <c r="P365" s="77"/>
      <c r="Q365" s="77"/>
      <c r="R365" s="77"/>
      <c r="S365" s="77"/>
      <c r="T365" s="77"/>
      <c r="U365" s="77"/>
      <c r="V365" s="77"/>
    </row>
    <row r="366" spans="1:22" s="38" customFormat="1" ht="16.5" customHeight="1" x14ac:dyDescent="0.3">
      <c r="A366" s="77"/>
      <c r="B366" s="77"/>
      <c r="C366" s="77"/>
      <c r="D366" s="77"/>
      <c r="E366" s="77"/>
      <c r="F366" s="77"/>
      <c r="G366" s="77"/>
      <c r="H366" s="77"/>
      <c r="I366" s="77"/>
      <c r="J366" s="77"/>
      <c r="K366" s="77"/>
      <c r="L366" s="77"/>
      <c r="M366" s="77"/>
      <c r="N366" s="77"/>
      <c r="O366" s="77"/>
      <c r="P366" s="77"/>
      <c r="Q366" s="77"/>
      <c r="R366" s="77"/>
      <c r="S366" s="77"/>
      <c r="T366" s="77"/>
      <c r="U366" s="77"/>
      <c r="V366" s="77"/>
    </row>
    <row r="367" spans="1:22" s="38" customFormat="1" ht="16.5" customHeight="1" x14ac:dyDescent="0.3">
      <c r="A367" s="77"/>
      <c r="B367" s="77"/>
      <c r="C367" s="77"/>
      <c r="D367" s="77"/>
      <c r="E367" s="77"/>
      <c r="F367" s="77"/>
      <c r="G367" s="77"/>
      <c r="H367" s="77"/>
      <c r="I367" s="77"/>
      <c r="J367" s="77"/>
      <c r="K367" s="77"/>
      <c r="L367" s="77"/>
      <c r="M367" s="77"/>
      <c r="N367" s="77"/>
      <c r="O367" s="77"/>
      <c r="P367" s="77"/>
      <c r="Q367" s="77"/>
      <c r="R367" s="77"/>
      <c r="S367" s="77"/>
      <c r="T367" s="77"/>
      <c r="U367" s="77"/>
      <c r="V367" s="77"/>
    </row>
    <row r="368" spans="1:22" s="38" customFormat="1" ht="16.5" customHeight="1" x14ac:dyDescent="0.3">
      <c r="A368" s="77"/>
      <c r="B368" s="77"/>
      <c r="C368" s="77"/>
      <c r="D368" s="77"/>
      <c r="E368" s="77"/>
      <c r="F368" s="77"/>
      <c r="G368" s="77"/>
      <c r="H368" s="77"/>
      <c r="I368" s="77"/>
      <c r="J368" s="77"/>
      <c r="K368" s="77"/>
      <c r="L368" s="77"/>
      <c r="M368" s="77"/>
      <c r="N368" s="77"/>
      <c r="O368" s="77"/>
      <c r="P368" s="77"/>
      <c r="Q368" s="77"/>
      <c r="R368" s="77"/>
      <c r="S368" s="77"/>
      <c r="T368" s="77"/>
      <c r="U368" s="77"/>
      <c r="V368" s="77"/>
    </row>
    <row r="369" spans="1:22" s="38" customFormat="1" ht="16.5" customHeight="1" x14ac:dyDescent="0.3">
      <c r="A369" s="77"/>
      <c r="B369" s="77"/>
      <c r="C369" s="77"/>
      <c r="D369" s="77"/>
      <c r="E369" s="77"/>
      <c r="F369" s="77"/>
      <c r="G369" s="77"/>
      <c r="H369" s="77"/>
      <c r="I369" s="77"/>
      <c r="J369" s="77"/>
      <c r="K369" s="77"/>
      <c r="L369" s="77"/>
      <c r="M369" s="77"/>
      <c r="N369" s="77"/>
      <c r="O369" s="77"/>
      <c r="P369" s="77"/>
      <c r="Q369" s="77"/>
      <c r="R369" s="77"/>
      <c r="S369" s="77"/>
      <c r="T369" s="77"/>
      <c r="U369" s="77"/>
      <c r="V369" s="77"/>
    </row>
    <row r="370" spans="1:22" s="38" customFormat="1" ht="16.5" customHeight="1" x14ac:dyDescent="0.3">
      <c r="A370" s="77"/>
      <c r="B370" s="77"/>
      <c r="C370" s="77"/>
      <c r="D370" s="77"/>
      <c r="E370" s="77"/>
      <c r="F370" s="77"/>
      <c r="G370" s="77"/>
      <c r="H370" s="77"/>
      <c r="I370" s="77"/>
      <c r="J370" s="77"/>
      <c r="K370" s="77"/>
      <c r="L370" s="77"/>
      <c r="M370" s="77"/>
      <c r="N370" s="77"/>
      <c r="O370" s="77"/>
      <c r="P370" s="77"/>
      <c r="Q370" s="77"/>
      <c r="R370" s="77"/>
      <c r="S370" s="77"/>
      <c r="T370" s="77"/>
      <c r="U370" s="77"/>
      <c r="V370" s="77"/>
    </row>
    <row r="371" spans="1:22" s="38" customFormat="1" ht="16.5" customHeight="1" x14ac:dyDescent="0.3">
      <c r="A371" s="77"/>
      <c r="B371" s="77"/>
      <c r="C371" s="77"/>
      <c r="D371" s="77"/>
      <c r="E371" s="77"/>
      <c r="F371" s="77"/>
      <c r="G371" s="77"/>
      <c r="H371" s="77"/>
      <c r="I371" s="77"/>
      <c r="J371" s="77"/>
      <c r="K371" s="77"/>
      <c r="L371" s="77"/>
      <c r="M371" s="77"/>
      <c r="N371" s="77"/>
      <c r="O371" s="77"/>
      <c r="P371" s="77"/>
      <c r="Q371" s="77"/>
      <c r="R371" s="77"/>
      <c r="S371" s="77"/>
      <c r="T371" s="77"/>
      <c r="U371" s="77"/>
      <c r="V371" s="77"/>
    </row>
    <row r="372" spans="1:22" s="38" customFormat="1" ht="16.5" customHeight="1" x14ac:dyDescent="0.3">
      <c r="A372" s="77"/>
      <c r="B372" s="77"/>
      <c r="C372" s="77"/>
      <c r="D372" s="77"/>
      <c r="E372" s="77"/>
      <c r="F372" s="77"/>
      <c r="G372" s="77"/>
      <c r="H372" s="77"/>
      <c r="I372" s="77"/>
      <c r="J372" s="77"/>
      <c r="K372" s="77"/>
      <c r="L372" s="77"/>
      <c r="M372" s="77"/>
      <c r="N372" s="77"/>
      <c r="O372" s="77"/>
      <c r="P372" s="77"/>
      <c r="Q372" s="77"/>
      <c r="R372" s="77"/>
      <c r="S372" s="77"/>
      <c r="T372" s="77"/>
      <c r="U372" s="77"/>
      <c r="V372" s="77"/>
    </row>
    <row r="373" spans="1:22" s="38" customFormat="1" ht="16.5" customHeight="1" x14ac:dyDescent="0.3">
      <c r="A373" s="77"/>
      <c r="B373" s="77"/>
      <c r="C373" s="77"/>
      <c r="D373" s="77"/>
      <c r="E373" s="77"/>
      <c r="F373" s="77"/>
      <c r="G373" s="77"/>
      <c r="H373" s="77"/>
      <c r="I373" s="77"/>
      <c r="J373" s="77"/>
      <c r="K373" s="77"/>
      <c r="L373" s="77"/>
      <c r="M373" s="77"/>
      <c r="N373" s="77"/>
      <c r="O373" s="77"/>
      <c r="P373" s="77"/>
      <c r="Q373" s="77"/>
      <c r="R373" s="77"/>
      <c r="S373" s="77"/>
      <c r="T373" s="77"/>
      <c r="U373" s="77"/>
      <c r="V373" s="77"/>
    </row>
    <row r="374" spans="1:22" s="38" customFormat="1" ht="16.5" customHeight="1" x14ac:dyDescent="0.3">
      <c r="A374" s="77"/>
      <c r="B374" s="77"/>
      <c r="C374" s="77"/>
      <c r="D374" s="77"/>
      <c r="E374" s="77"/>
      <c r="F374" s="77"/>
      <c r="G374" s="77"/>
      <c r="H374" s="77"/>
      <c r="I374" s="77"/>
      <c r="J374" s="77"/>
      <c r="K374" s="77"/>
      <c r="L374" s="77"/>
      <c r="M374" s="77"/>
      <c r="N374" s="77"/>
      <c r="O374" s="77"/>
      <c r="P374" s="77"/>
      <c r="Q374" s="77"/>
      <c r="R374" s="77"/>
      <c r="S374" s="77"/>
      <c r="T374" s="77"/>
      <c r="U374" s="77"/>
      <c r="V374" s="77"/>
    </row>
    <row r="375" spans="1:22" s="38" customFormat="1" ht="16.5" customHeight="1" x14ac:dyDescent="0.3">
      <c r="A375" s="77"/>
      <c r="B375" s="77"/>
      <c r="C375" s="77"/>
      <c r="D375" s="77"/>
      <c r="E375" s="77"/>
      <c r="F375" s="77"/>
      <c r="G375" s="77"/>
      <c r="H375" s="77"/>
      <c r="I375" s="77"/>
      <c r="J375" s="77"/>
      <c r="K375" s="77"/>
      <c r="L375" s="77"/>
      <c r="M375" s="77"/>
      <c r="N375" s="77"/>
      <c r="O375" s="77"/>
      <c r="P375" s="77"/>
      <c r="Q375" s="77"/>
      <c r="R375" s="77"/>
      <c r="S375" s="77"/>
      <c r="T375" s="77"/>
      <c r="U375" s="77"/>
      <c r="V375" s="77"/>
    </row>
    <row r="376" spans="1:22" s="38" customFormat="1" ht="16.5" customHeight="1" x14ac:dyDescent="0.3">
      <c r="A376" s="77"/>
      <c r="B376" s="77"/>
      <c r="C376" s="77"/>
      <c r="D376" s="77"/>
      <c r="E376" s="77"/>
      <c r="F376" s="77"/>
      <c r="G376" s="77"/>
      <c r="H376" s="77"/>
      <c r="I376" s="77"/>
      <c r="J376" s="77"/>
      <c r="K376" s="77"/>
      <c r="L376" s="77"/>
      <c r="M376" s="77"/>
      <c r="N376" s="77"/>
      <c r="O376" s="77"/>
      <c r="P376" s="77"/>
      <c r="Q376" s="77"/>
      <c r="R376" s="77"/>
      <c r="S376" s="77"/>
      <c r="T376" s="77"/>
      <c r="U376" s="77"/>
      <c r="V376" s="77"/>
    </row>
    <row r="377" spans="1:22" s="38" customFormat="1" ht="16.5" customHeight="1" x14ac:dyDescent="0.3">
      <c r="A377" s="77"/>
      <c r="B377" s="77"/>
      <c r="C377" s="77"/>
      <c r="D377" s="77"/>
      <c r="E377" s="77"/>
      <c r="F377" s="77"/>
      <c r="G377" s="77"/>
      <c r="H377" s="77"/>
      <c r="I377" s="77"/>
      <c r="J377" s="77"/>
      <c r="K377" s="77"/>
      <c r="L377" s="77"/>
      <c r="M377" s="77"/>
      <c r="N377" s="77"/>
      <c r="O377" s="77"/>
      <c r="P377" s="77"/>
      <c r="Q377" s="77"/>
      <c r="R377" s="77"/>
      <c r="S377" s="77"/>
      <c r="T377" s="77"/>
      <c r="U377" s="77"/>
      <c r="V377" s="77"/>
    </row>
    <row r="378" spans="1:22" s="38" customFormat="1" ht="16.5" customHeight="1" x14ac:dyDescent="0.3">
      <c r="A378" s="77"/>
      <c r="B378" s="77"/>
      <c r="C378" s="77"/>
      <c r="D378" s="77"/>
      <c r="E378" s="77"/>
      <c r="F378" s="77"/>
      <c r="G378" s="77"/>
      <c r="H378" s="77"/>
      <c r="I378" s="77"/>
      <c r="J378" s="77"/>
      <c r="K378" s="77"/>
      <c r="L378" s="77"/>
      <c r="M378" s="77"/>
      <c r="N378" s="77"/>
      <c r="O378" s="77"/>
      <c r="P378" s="77"/>
      <c r="Q378" s="77"/>
      <c r="R378" s="77"/>
      <c r="S378" s="77"/>
      <c r="T378" s="77"/>
      <c r="U378" s="77"/>
      <c r="V378" s="77"/>
    </row>
    <row r="379" spans="1:22" s="38" customFormat="1" ht="16.5" customHeight="1" x14ac:dyDescent="0.3">
      <c r="A379" s="77"/>
      <c r="B379" s="77"/>
      <c r="C379" s="77"/>
      <c r="D379" s="77"/>
      <c r="E379" s="77"/>
      <c r="F379" s="77"/>
      <c r="G379" s="77"/>
      <c r="H379" s="77"/>
      <c r="I379" s="77"/>
      <c r="J379" s="77"/>
      <c r="K379" s="77"/>
      <c r="L379" s="77"/>
      <c r="M379" s="77"/>
      <c r="N379" s="77"/>
      <c r="O379" s="77"/>
      <c r="P379" s="77"/>
      <c r="Q379" s="77"/>
      <c r="R379" s="77"/>
      <c r="S379" s="77"/>
      <c r="T379" s="77"/>
      <c r="U379" s="77"/>
      <c r="V379" s="77"/>
    </row>
    <row r="380" spans="1:22" s="38" customFormat="1" ht="16.5" customHeight="1" x14ac:dyDescent="0.3">
      <c r="A380" s="77"/>
      <c r="B380" s="77"/>
      <c r="C380" s="77"/>
      <c r="D380" s="77"/>
      <c r="E380" s="77"/>
      <c r="F380" s="77"/>
      <c r="G380" s="77"/>
      <c r="H380" s="77"/>
      <c r="I380" s="77"/>
      <c r="J380" s="77"/>
      <c r="K380" s="77"/>
      <c r="L380" s="77"/>
      <c r="M380" s="77"/>
      <c r="N380" s="77"/>
      <c r="O380" s="77"/>
      <c r="P380" s="77"/>
      <c r="Q380" s="77"/>
      <c r="R380" s="77"/>
      <c r="S380" s="77"/>
      <c r="T380" s="77"/>
      <c r="U380" s="77"/>
      <c r="V380" s="77"/>
    </row>
    <row r="381" spans="1:22" s="38" customFormat="1" ht="16.5" customHeight="1" x14ac:dyDescent="0.3">
      <c r="A381" s="77"/>
      <c r="B381" s="77"/>
      <c r="C381" s="77"/>
      <c r="D381" s="77"/>
      <c r="E381" s="77"/>
      <c r="F381" s="77"/>
      <c r="G381" s="77"/>
      <c r="H381" s="77"/>
      <c r="I381" s="77"/>
      <c r="J381" s="77"/>
      <c r="K381" s="77"/>
      <c r="L381" s="77"/>
      <c r="M381" s="77"/>
      <c r="N381" s="77"/>
      <c r="O381" s="77"/>
      <c r="P381" s="77"/>
      <c r="Q381" s="77"/>
      <c r="R381" s="77"/>
      <c r="S381" s="77"/>
      <c r="T381" s="77"/>
      <c r="U381" s="77"/>
      <c r="V381" s="77"/>
    </row>
    <row r="382" spans="1:22" s="38" customFormat="1" ht="16.5" customHeight="1" x14ac:dyDescent="0.3">
      <c r="A382" s="77"/>
      <c r="B382" s="77"/>
      <c r="C382" s="77"/>
      <c r="D382" s="77"/>
      <c r="E382" s="77"/>
      <c r="F382" s="77"/>
      <c r="G382" s="77"/>
      <c r="H382" s="77"/>
      <c r="I382" s="77"/>
      <c r="J382" s="77"/>
      <c r="K382" s="77"/>
      <c r="L382" s="77"/>
      <c r="M382" s="77"/>
      <c r="N382" s="77"/>
      <c r="O382" s="77"/>
      <c r="P382" s="77"/>
      <c r="Q382" s="77"/>
      <c r="R382" s="77"/>
      <c r="S382" s="77"/>
      <c r="T382" s="77"/>
      <c r="U382" s="77"/>
      <c r="V382" s="77"/>
    </row>
    <row r="383" spans="1:22" s="38" customFormat="1" ht="16.5" customHeight="1" x14ac:dyDescent="0.3">
      <c r="A383" s="77"/>
      <c r="B383" s="77"/>
      <c r="C383" s="77"/>
      <c r="D383" s="77"/>
      <c r="E383" s="77"/>
      <c r="F383" s="77"/>
      <c r="G383" s="77"/>
      <c r="H383" s="77"/>
      <c r="I383" s="77"/>
      <c r="J383" s="77"/>
      <c r="K383" s="77"/>
      <c r="L383" s="77"/>
      <c r="M383" s="77"/>
      <c r="N383" s="77"/>
      <c r="O383" s="77"/>
      <c r="P383" s="77"/>
      <c r="Q383" s="77"/>
      <c r="R383" s="77"/>
      <c r="S383" s="77"/>
      <c r="T383" s="77"/>
      <c r="U383" s="77"/>
      <c r="V383" s="77"/>
    </row>
    <row r="384" spans="1:22" s="38" customFormat="1" ht="16.5" customHeight="1" x14ac:dyDescent="0.3">
      <c r="A384" s="77"/>
      <c r="B384" s="77"/>
      <c r="C384" s="77"/>
      <c r="D384" s="77"/>
      <c r="E384" s="77"/>
      <c r="F384" s="77"/>
      <c r="G384" s="77"/>
      <c r="H384" s="77"/>
      <c r="I384" s="77"/>
      <c r="J384" s="77"/>
      <c r="K384" s="77"/>
      <c r="L384" s="77"/>
      <c r="M384" s="77"/>
      <c r="N384" s="77"/>
      <c r="O384" s="77"/>
      <c r="P384" s="77"/>
      <c r="Q384" s="77"/>
      <c r="R384" s="77"/>
      <c r="S384" s="77"/>
      <c r="T384" s="77"/>
      <c r="U384" s="77"/>
      <c r="V384" s="77"/>
    </row>
    <row r="385" spans="1:22" s="38" customFormat="1" ht="16.5" customHeight="1" x14ac:dyDescent="0.3">
      <c r="A385" s="77"/>
      <c r="B385" s="77"/>
      <c r="C385" s="77"/>
      <c r="D385" s="77"/>
      <c r="E385" s="77"/>
      <c r="F385" s="77"/>
      <c r="G385" s="77"/>
      <c r="H385" s="77"/>
      <c r="I385" s="77"/>
      <c r="J385" s="77"/>
      <c r="K385" s="77"/>
      <c r="L385" s="77"/>
      <c r="M385" s="77"/>
      <c r="N385" s="77"/>
      <c r="O385" s="77"/>
      <c r="P385" s="77"/>
      <c r="Q385" s="77"/>
      <c r="R385" s="77"/>
      <c r="S385" s="77"/>
      <c r="T385" s="77"/>
      <c r="U385" s="77"/>
      <c r="V385" s="77"/>
    </row>
    <row r="386" spans="1:22" s="38" customFormat="1" ht="16.5" customHeight="1" x14ac:dyDescent="0.3">
      <c r="A386" s="77"/>
      <c r="B386" s="77"/>
      <c r="C386" s="77"/>
      <c r="D386" s="77"/>
      <c r="E386" s="77"/>
      <c r="F386" s="77"/>
      <c r="G386" s="77"/>
      <c r="H386" s="77"/>
      <c r="I386" s="77"/>
      <c r="J386" s="77"/>
      <c r="K386" s="77"/>
      <c r="L386" s="77"/>
      <c r="M386" s="77"/>
      <c r="N386" s="77"/>
      <c r="O386" s="77"/>
      <c r="P386" s="77"/>
      <c r="Q386" s="77"/>
      <c r="R386" s="77"/>
      <c r="S386" s="77"/>
      <c r="T386" s="77"/>
      <c r="U386" s="77"/>
      <c r="V386" s="77"/>
    </row>
    <row r="387" spans="1:22" s="38" customFormat="1" ht="16.5" customHeight="1" x14ac:dyDescent="0.3">
      <c r="A387" s="77"/>
      <c r="B387" s="77"/>
      <c r="C387" s="77"/>
      <c r="D387" s="77"/>
      <c r="E387" s="77"/>
      <c r="F387" s="77"/>
      <c r="G387" s="77"/>
      <c r="H387" s="77"/>
      <c r="I387" s="77"/>
      <c r="J387" s="77"/>
      <c r="K387" s="77"/>
      <c r="L387" s="77"/>
      <c r="M387" s="77"/>
      <c r="N387" s="77"/>
      <c r="O387" s="77"/>
      <c r="P387" s="77"/>
      <c r="Q387" s="77"/>
      <c r="R387" s="77"/>
      <c r="S387" s="77"/>
      <c r="T387" s="77"/>
      <c r="U387" s="77"/>
      <c r="V387" s="77"/>
    </row>
    <row r="388" spans="1:22" s="38" customFormat="1" ht="16.5" customHeight="1" x14ac:dyDescent="0.3">
      <c r="A388" s="77"/>
      <c r="B388" s="77"/>
      <c r="C388" s="77"/>
      <c r="D388" s="77"/>
      <c r="E388" s="77"/>
      <c r="F388" s="77"/>
      <c r="G388" s="77"/>
      <c r="H388" s="77"/>
      <c r="I388" s="77"/>
      <c r="J388" s="77"/>
      <c r="K388" s="77"/>
      <c r="L388" s="77"/>
      <c r="M388" s="77"/>
      <c r="N388" s="77"/>
      <c r="O388" s="77"/>
      <c r="P388" s="77"/>
      <c r="Q388" s="77"/>
      <c r="R388" s="77"/>
      <c r="S388" s="77"/>
      <c r="T388" s="77"/>
      <c r="U388" s="77"/>
      <c r="V388" s="77"/>
    </row>
    <row r="389" spans="1:22" s="38" customFormat="1" ht="16.5" customHeight="1" x14ac:dyDescent="0.3">
      <c r="A389" s="77"/>
      <c r="B389" s="77"/>
      <c r="C389" s="77"/>
      <c r="D389" s="77"/>
      <c r="E389" s="77"/>
      <c r="F389" s="77"/>
      <c r="G389" s="77"/>
      <c r="H389" s="77"/>
      <c r="I389" s="77"/>
      <c r="J389" s="77"/>
      <c r="K389" s="77"/>
      <c r="L389" s="77"/>
      <c r="M389" s="77"/>
      <c r="N389" s="77"/>
      <c r="O389" s="77"/>
      <c r="P389" s="77"/>
      <c r="Q389" s="77"/>
      <c r="R389" s="77"/>
      <c r="S389" s="77"/>
      <c r="T389" s="77"/>
      <c r="U389" s="77"/>
      <c r="V389" s="77"/>
    </row>
    <row r="390" spans="1:22" s="38" customFormat="1" ht="16.5" customHeight="1" x14ac:dyDescent="0.3">
      <c r="A390" s="77"/>
      <c r="B390" s="77"/>
      <c r="C390" s="77"/>
      <c r="D390" s="77"/>
      <c r="E390" s="77"/>
      <c r="F390" s="77"/>
      <c r="G390" s="77"/>
      <c r="H390" s="77"/>
      <c r="I390" s="77"/>
      <c r="J390" s="77"/>
      <c r="K390" s="77"/>
      <c r="L390" s="77"/>
      <c r="M390" s="77"/>
      <c r="N390" s="77"/>
      <c r="O390" s="77"/>
      <c r="P390" s="77"/>
      <c r="Q390" s="77"/>
      <c r="R390" s="77"/>
      <c r="S390" s="77"/>
      <c r="T390" s="77"/>
      <c r="U390" s="77"/>
      <c r="V390" s="77"/>
    </row>
    <row r="391" spans="1:22" s="38" customFormat="1" ht="16.5" customHeight="1" x14ac:dyDescent="0.3">
      <c r="A391" s="77"/>
      <c r="B391" s="77"/>
      <c r="C391" s="77"/>
      <c r="D391" s="77"/>
      <c r="E391" s="77"/>
      <c r="F391" s="77"/>
      <c r="G391" s="77"/>
      <c r="H391" s="77"/>
      <c r="I391" s="77"/>
      <c r="J391" s="77"/>
      <c r="K391" s="77"/>
      <c r="L391" s="77"/>
      <c r="M391" s="77"/>
      <c r="N391" s="77"/>
      <c r="O391" s="77"/>
      <c r="P391" s="77"/>
      <c r="Q391" s="77"/>
      <c r="R391" s="77"/>
      <c r="S391" s="77"/>
      <c r="T391" s="77"/>
      <c r="U391" s="77"/>
      <c r="V391" s="77"/>
    </row>
    <row r="392" spans="1:22" s="38" customFormat="1" ht="16.5" customHeight="1" x14ac:dyDescent="0.3">
      <c r="A392" s="77"/>
      <c r="B392" s="77"/>
      <c r="C392" s="77"/>
      <c r="D392" s="77"/>
      <c r="E392" s="77"/>
      <c r="F392" s="77"/>
      <c r="G392" s="77"/>
      <c r="H392" s="77"/>
      <c r="I392" s="77"/>
      <c r="J392" s="77"/>
      <c r="K392" s="77"/>
      <c r="L392" s="77"/>
      <c r="M392" s="77"/>
      <c r="N392" s="77"/>
      <c r="O392" s="77"/>
      <c r="P392" s="77"/>
      <c r="Q392" s="77"/>
      <c r="R392" s="77"/>
      <c r="S392" s="77"/>
      <c r="T392" s="77"/>
      <c r="U392" s="77"/>
      <c r="V392" s="77"/>
    </row>
    <row r="393" spans="1:22" s="38" customFormat="1" ht="16.5" customHeight="1" x14ac:dyDescent="0.3">
      <c r="A393" s="77"/>
      <c r="B393" s="77"/>
      <c r="C393" s="77"/>
      <c r="D393" s="77"/>
      <c r="E393" s="77"/>
      <c r="F393" s="77"/>
      <c r="G393" s="77"/>
      <c r="H393" s="77"/>
      <c r="I393" s="77"/>
      <c r="J393" s="77"/>
      <c r="K393" s="77"/>
      <c r="L393" s="77"/>
      <c r="M393" s="77"/>
      <c r="N393" s="77"/>
      <c r="O393" s="77"/>
      <c r="P393" s="77"/>
      <c r="Q393" s="77"/>
      <c r="R393" s="77"/>
      <c r="S393" s="77"/>
      <c r="T393" s="77"/>
      <c r="U393" s="77"/>
      <c r="V393" s="77"/>
    </row>
    <row r="394" spans="1:22" s="38" customFormat="1" ht="16.5" customHeight="1" x14ac:dyDescent="0.3">
      <c r="A394" s="77"/>
      <c r="B394" s="77"/>
      <c r="C394" s="77"/>
      <c r="D394" s="77"/>
      <c r="E394" s="77"/>
      <c r="F394" s="77"/>
      <c r="G394" s="77"/>
      <c r="H394" s="77"/>
      <c r="I394" s="77"/>
      <c r="J394" s="77"/>
      <c r="K394" s="77"/>
      <c r="L394" s="77"/>
      <c r="M394" s="77"/>
      <c r="N394" s="77"/>
      <c r="O394" s="77"/>
      <c r="P394" s="77"/>
      <c r="Q394" s="77"/>
      <c r="R394" s="77"/>
      <c r="S394" s="77"/>
      <c r="T394" s="77"/>
      <c r="U394" s="77"/>
      <c r="V394" s="77"/>
    </row>
    <row r="395" spans="1:22" s="38" customFormat="1" ht="16.5" customHeight="1" x14ac:dyDescent="0.3">
      <c r="A395" s="77"/>
      <c r="B395" s="77"/>
      <c r="C395" s="77"/>
      <c r="D395" s="77"/>
      <c r="E395" s="77"/>
      <c r="F395" s="77"/>
      <c r="G395" s="77"/>
      <c r="H395" s="77"/>
      <c r="I395" s="77"/>
      <c r="J395" s="77"/>
      <c r="K395" s="77"/>
      <c r="L395" s="77"/>
      <c r="M395" s="77"/>
      <c r="N395" s="77"/>
      <c r="O395" s="77"/>
      <c r="P395" s="77"/>
      <c r="Q395" s="77"/>
      <c r="R395" s="77"/>
      <c r="S395" s="77"/>
      <c r="T395" s="77"/>
      <c r="U395" s="77"/>
      <c r="V395" s="77"/>
    </row>
    <row r="396" spans="1:22" s="38" customFormat="1" ht="16.5" customHeight="1" x14ac:dyDescent="0.3">
      <c r="A396" s="77"/>
      <c r="B396" s="77"/>
      <c r="C396" s="77"/>
      <c r="D396" s="77"/>
      <c r="E396" s="77"/>
      <c r="F396" s="77"/>
      <c r="G396" s="77"/>
      <c r="H396" s="77"/>
      <c r="I396" s="77"/>
      <c r="J396" s="77"/>
      <c r="K396" s="77"/>
      <c r="L396" s="77"/>
      <c r="M396" s="77"/>
      <c r="N396" s="77"/>
      <c r="O396" s="77"/>
      <c r="P396" s="77"/>
      <c r="Q396" s="77"/>
      <c r="R396" s="77"/>
      <c r="S396" s="77"/>
      <c r="T396" s="77"/>
      <c r="U396" s="77"/>
      <c r="V396" s="77"/>
    </row>
    <row r="397" spans="1:22" s="38" customFormat="1" ht="16.5" customHeight="1" x14ac:dyDescent="0.3">
      <c r="A397" s="77"/>
      <c r="B397" s="77"/>
      <c r="C397" s="77"/>
      <c r="D397" s="77"/>
      <c r="E397" s="77"/>
      <c r="F397" s="77"/>
      <c r="G397" s="77"/>
      <c r="H397" s="77"/>
      <c r="I397" s="77"/>
      <c r="J397" s="77"/>
      <c r="K397" s="77"/>
      <c r="L397" s="77"/>
      <c r="M397" s="77"/>
      <c r="N397" s="77"/>
      <c r="O397" s="77"/>
      <c r="P397" s="77"/>
      <c r="Q397" s="77"/>
      <c r="R397" s="77"/>
      <c r="S397" s="77"/>
      <c r="T397" s="77"/>
      <c r="U397" s="77"/>
      <c r="V397" s="77"/>
    </row>
    <row r="398" spans="1:22" s="38" customFormat="1" ht="16.5" customHeight="1" x14ac:dyDescent="0.3">
      <c r="A398" s="77"/>
      <c r="B398" s="77"/>
      <c r="C398" s="77"/>
      <c r="D398" s="77"/>
      <c r="E398" s="77"/>
      <c r="F398" s="77"/>
      <c r="G398" s="77"/>
      <c r="H398" s="77"/>
      <c r="I398" s="77"/>
      <c r="J398" s="77"/>
      <c r="K398" s="77"/>
      <c r="L398" s="77"/>
      <c r="M398" s="77"/>
      <c r="N398" s="77"/>
      <c r="O398" s="77"/>
      <c r="P398" s="77"/>
      <c r="Q398" s="77"/>
      <c r="R398" s="77"/>
      <c r="S398" s="77"/>
      <c r="T398" s="77"/>
      <c r="U398" s="77"/>
      <c r="V398" s="77"/>
    </row>
    <row r="399" spans="1:22" s="38" customFormat="1" ht="16.5" customHeight="1" x14ac:dyDescent="0.3">
      <c r="A399" s="77"/>
      <c r="B399" s="77"/>
      <c r="C399" s="77"/>
      <c r="D399" s="77"/>
      <c r="E399" s="77"/>
      <c r="F399" s="77"/>
      <c r="G399" s="77"/>
      <c r="H399" s="77"/>
      <c r="I399" s="77"/>
      <c r="J399" s="77"/>
      <c r="K399" s="77"/>
      <c r="L399" s="77"/>
      <c r="M399" s="77"/>
      <c r="N399" s="77"/>
      <c r="O399" s="77"/>
      <c r="P399" s="77"/>
      <c r="Q399" s="77"/>
      <c r="R399" s="77"/>
      <c r="S399" s="77"/>
      <c r="T399" s="77"/>
      <c r="U399" s="77"/>
      <c r="V399" s="77"/>
    </row>
    <row r="400" spans="1:22" s="38" customFormat="1" ht="16.5" customHeight="1" x14ac:dyDescent="0.3">
      <c r="A400" s="77"/>
      <c r="B400" s="77"/>
      <c r="C400" s="77"/>
      <c r="D400" s="77"/>
      <c r="E400" s="77"/>
      <c r="F400" s="77"/>
      <c r="G400" s="77"/>
      <c r="H400" s="77"/>
      <c r="I400" s="77"/>
      <c r="J400" s="77"/>
      <c r="K400" s="77"/>
      <c r="L400" s="77"/>
      <c r="M400" s="77"/>
      <c r="N400" s="77"/>
      <c r="O400" s="77"/>
      <c r="P400" s="77"/>
      <c r="Q400" s="77"/>
      <c r="R400" s="77"/>
      <c r="S400" s="77"/>
      <c r="T400" s="77"/>
      <c r="U400" s="77"/>
      <c r="V400" s="77"/>
    </row>
    <row r="401" spans="1:22" s="38" customFormat="1" ht="16.5" customHeight="1" x14ac:dyDescent="0.3">
      <c r="A401" s="77"/>
      <c r="B401" s="77"/>
      <c r="C401" s="77"/>
      <c r="D401" s="77"/>
      <c r="E401" s="77"/>
      <c r="F401" s="77"/>
      <c r="G401" s="77"/>
      <c r="H401" s="77"/>
      <c r="I401" s="77"/>
      <c r="J401" s="77"/>
      <c r="K401" s="77"/>
      <c r="L401" s="77"/>
      <c r="M401" s="77"/>
      <c r="N401" s="77"/>
      <c r="O401" s="77"/>
      <c r="P401" s="77"/>
      <c r="Q401" s="77"/>
      <c r="R401" s="77"/>
      <c r="S401" s="77"/>
      <c r="T401" s="77"/>
      <c r="U401" s="77"/>
      <c r="V401" s="77"/>
    </row>
    <row r="402" spans="1:22" s="38" customFormat="1" ht="16.5" customHeight="1" x14ac:dyDescent="0.3">
      <c r="A402" s="77"/>
      <c r="B402" s="77"/>
      <c r="C402" s="77"/>
      <c r="D402" s="77"/>
      <c r="E402" s="77"/>
      <c r="F402" s="77"/>
      <c r="G402" s="77"/>
      <c r="H402" s="77"/>
      <c r="I402" s="77"/>
      <c r="J402" s="77"/>
      <c r="K402" s="77"/>
      <c r="L402" s="77"/>
      <c r="M402" s="77"/>
      <c r="N402" s="77"/>
      <c r="O402" s="77"/>
      <c r="P402" s="77"/>
      <c r="Q402" s="77"/>
      <c r="R402" s="77"/>
      <c r="S402" s="77"/>
      <c r="T402" s="77"/>
      <c r="U402" s="77"/>
      <c r="V402" s="77"/>
    </row>
    <row r="403" spans="1:22" s="38" customFormat="1" ht="16.5" customHeight="1" x14ac:dyDescent="0.3">
      <c r="A403" s="77"/>
      <c r="B403" s="77"/>
      <c r="C403" s="77"/>
      <c r="D403" s="77"/>
      <c r="E403" s="77"/>
      <c r="F403" s="77"/>
      <c r="G403" s="77"/>
      <c r="H403" s="77"/>
      <c r="I403" s="77"/>
      <c r="J403" s="77"/>
      <c r="K403" s="77"/>
      <c r="L403" s="77"/>
      <c r="M403" s="77"/>
      <c r="N403" s="77"/>
      <c r="O403" s="77"/>
      <c r="P403" s="77"/>
      <c r="Q403" s="77"/>
      <c r="R403" s="77"/>
      <c r="S403" s="77"/>
      <c r="T403" s="77"/>
      <c r="U403" s="77"/>
      <c r="V403" s="77"/>
    </row>
    <row r="404" spans="1:22" s="38" customFormat="1" ht="16.5" customHeight="1" x14ac:dyDescent="0.3">
      <c r="A404" s="77"/>
      <c r="B404" s="77"/>
      <c r="C404" s="77"/>
      <c r="D404" s="77"/>
      <c r="E404" s="77"/>
      <c r="F404" s="77"/>
      <c r="G404" s="77"/>
      <c r="H404" s="77"/>
      <c r="I404" s="77"/>
      <c r="J404" s="77"/>
      <c r="K404" s="77"/>
      <c r="L404" s="77"/>
      <c r="M404" s="77"/>
      <c r="N404" s="77"/>
      <c r="O404" s="77"/>
      <c r="P404" s="77"/>
      <c r="Q404" s="77"/>
      <c r="R404" s="77"/>
      <c r="S404" s="77"/>
      <c r="T404" s="77"/>
      <c r="U404" s="77"/>
      <c r="V404" s="77"/>
    </row>
    <row r="405" spans="1:22" s="38" customFormat="1" ht="16.5" customHeight="1" x14ac:dyDescent="0.3">
      <c r="A405" s="77"/>
      <c r="B405" s="77"/>
      <c r="C405" s="77"/>
      <c r="D405" s="77"/>
      <c r="E405" s="77"/>
      <c r="F405" s="77"/>
      <c r="G405" s="77"/>
      <c r="H405" s="77"/>
      <c r="I405" s="77"/>
      <c r="J405" s="77"/>
      <c r="K405" s="77"/>
      <c r="L405" s="77"/>
      <c r="M405" s="77"/>
      <c r="N405" s="77"/>
      <c r="O405" s="77"/>
      <c r="P405" s="77"/>
      <c r="Q405" s="77"/>
      <c r="R405" s="77"/>
      <c r="S405" s="77"/>
      <c r="T405" s="77"/>
      <c r="U405" s="77"/>
      <c r="V405" s="77"/>
    </row>
    <row r="406" spans="1:22" s="38" customFormat="1" ht="16.5" customHeight="1" x14ac:dyDescent="0.3">
      <c r="A406" s="77"/>
      <c r="B406" s="77"/>
      <c r="C406" s="77"/>
      <c r="D406" s="77"/>
      <c r="E406" s="77"/>
      <c r="F406" s="77"/>
      <c r="G406" s="77"/>
      <c r="H406" s="77"/>
      <c r="I406" s="77"/>
      <c r="J406" s="77"/>
      <c r="K406" s="77"/>
      <c r="L406" s="77"/>
      <c r="M406" s="77"/>
      <c r="N406" s="77"/>
      <c r="O406" s="77"/>
      <c r="P406" s="77"/>
      <c r="Q406" s="77"/>
      <c r="R406" s="77"/>
      <c r="S406" s="77"/>
      <c r="T406" s="77"/>
      <c r="U406" s="77"/>
      <c r="V406" s="77"/>
    </row>
    <row r="407" spans="1:22" s="38" customFormat="1" ht="16.5" customHeight="1" x14ac:dyDescent="0.3">
      <c r="A407" s="77"/>
      <c r="B407" s="77"/>
      <c r="C407" s="77"/>
      <c r="D407" s="77"/>
      <c r="E407" s="77"/>
      <c r="F407" s="77"/>
      <c r="G407" s="77"/>
      <c r="H407" s="77"/>
      <c r="I407" s="77"/>
      <c r="J407" s="77"/>
      <c r="K407" s="77"/>
      <c r="L407" s="77"/>
      <c r="M407" s="77"/>
      <c r="N407" s="77"/>
      <c r="O407" s="77"/>
      <c r="P407" s="77"/>
      <c r="Q407" s="77"/>
      <c r="R407" s="77"/>
      <c r="S407" s="77"/>
      <c r="T407" s="77"/>
      <c r="U407" s="77"/>
      <c r="V407" s="77"/>
    </row>
    <row r="408" spans="1:22" s="38" customFormat="1" ht="16.5" customHeight="1" x14ac:dyDescent="0.3">
      <c r="A408" s="77"/>
      <c r="B408" s="77"/>
      <c r="C408" s="77"/>
      <c r="D408" s="77"/>
      <c r="E408" s="77"/>
      <c r="F408" s="77"/>
      <c r="G408" s="77"/>
      <c r="H408" s="77"/>
      <c r="I408" s="77"/>
      <c r="J408" s="77"/>
      <c r="K408" s="77"/>
      <c r="L408" s="77"/>
      <c r="M408" s="77"/>
      <c r="N408" s="77"/>
      <c r="O408" s="77"/>
      <c r="P408" s="77"/>
      <c r="Q408" s="77"/>
      <c r="R408" s="77"/>
      <c r="S408" s="77"/>
      <c r="T408" s="77"/>
      <c r="U408" s="77"/>
      <c r="V408" s="77"/>
    </row>
    <row r="409" spans="1:22" s="38" customFormat="1" ht="16.5" customHeight="1" x14ac:dyDescent="0.3">
      <c r="A409" s="77"/>
      <c r="B409" s="77"/>
      <c r="C409" s="77"/>
      <c r="D409" s="77"/>
      <c r="E409" s="77"/>
      <c r="F409" s="77"/>
      <c r="G409" s="77"/>
      <c r="H409" s="77"/>
      <c r="I409" s="77"/>
      <c r="J409" s="77"/>
      <c r="K409" s="77"/>
      <c r="L409" s="77"/>
      <c r="M409" s="77"/>
      <c r="N409" s="77"/>
      <c r="O409" s="77"/>
      <c r="P409" s="77"/>
      <c r="Q409" s="77"/>
      <c r="R409" s="77"/>
      <c r="S409" s="77"/>
      <c r="T409" s="77"/>
      <c r="U409" s="77"/>
      <c r="V409" s="77"/>
    </row>
    <row r="410" spans="1:22" s="38" customFormat="1" ht="16.5" customHeight="1" x14ac:dyDescent="0.3">
      <c r="A410" s="77"/>
      <c r="B410" s="77"/>
      <c r="C410" s="77"/>
      <c r="D410" s="77"/>
      <c r="E410" s="77"/>
      <c r="F410" s="77"/>
      <c r="G410" s="77"/>
      <c r="H410" s="77"/>
      <c r="I410" s="77"/>
      <c r="J410" s="77"/>
      <c r="K410" s="77"/>
      <c r="L410" s="77"/>
      <c r="M410" s="77"/>
      <c r="N410" s="77"/>
      <c r="O410" s="77"/>
      <c r="P410" s="77"/>
      <c r="Q410" s="77"/>
      <c r="R410" s="77"/>
      <c r="S410" s="77"/>
      <c r="T410" s="77"/>
      <c r="U410" s="77"/>
      <c r="V410" s="77"/>
    </row>
    <row r="411" spans="1:22" s="38" customFormat="1" ht="16.5" customHeight="1" x14ac:dyDescent="0.3">
      <c r="A411" s="77"/>
      <c r="B411" s="77"/>
      <c r="C411" s="77"/>
      <c r="D411" s="77"/>
      <c r="E411" s="77"/>
      <c r="F411" s="77"/>
      <c r="G411" s="77"/>
      <c r="H411" s="77"/>
      <c r="I411" s="77"/>
      <c r="J411" s="77"/>
      <c r="K411" s="77"/>
      <c r="L411" s="77"/>
      <c r="M411" s="77"/>
      <c r="N411" s="77"/>
      <c r="O411" s="77"/>
      <c r="P411" s="77"/>
      <c r="Q411" s="77"/>
      <c r="R411" s="77"/>
      <c r="S411" s="77"/>
      <c r="T411" s="77"/>
      <c r="U411" s="77"/>
      <c r="V411" s="77"/>
    </row>
    <row r="412" spans="1:22" s="38" customFormat="1" ht="16.5" customHeight="1" x14ac:dyDescent="0.3">
      <c r="A412" s="77"/>
      <c r="B412" s="77"/>
      <c r="C412" s="77"/>
      <c r="D412" s="77"/>
      <c r="E412" s="77"/>
      <c r="F412" s="77"/>
      <c r="G412" s="77"/>
      <c r="H412" s="77"/>
      <c r="I412" s="77"/>
      <c r="J412" s="77"/>
      <c r="K412" s="77"/>
      <c r="L412" s="77"/>
      <c r="M412" s="77"/>
      <c r="N412" s="77"/>
      <c r="O412" s="77"/>
      <c r="P412" s="77"/>
      <c r="Q412" s="77"/>
      <c r="R412" s="77"/>
      <c r="S412" s="77"/>
      <c r="T412" s="77"/>
      <c r="U412" s="77"/>
      <c r="V412" s="77"/>
    </row>
    <row r="413" spans="1:22" s="38" customFormat="1" ht="16.5" customHeight="1" x14ac:dyDescent="0.3">
      <c r="A413" s="77"/>
      <c r="B413" s="77"/>
      <c r="C413" s="77"/>
      <c r="D413" s="77"/>
      <c r="E413" s="77"/>
      <c r="F413" s="77"/>
      <c r="G413" s="77"/>
      <c r="H413" s="77"/>
      <c r="I413" s="77"/>
      <c r="J413" s="77"/>
      <c r="K413" s="77"/>
      <c r="L413" s="77"/>
      <c r="M413" s="77"/>
      <c r="N413" s="77"/>
      <c r="O413" s="77"/>
      <c r="P413" s="77"/>
      <c r="Q413" s="77"/>
      <c r="R413" s="77"/>
      <c r="S413" s="77"/>
      <c r="T413" s="77"/>
      <c r="U413" s="77"/>
      <c r="V413" s="77"/>
    </row>
    <row r="414" spans="1:22" s="38" customFormat="1" ht="16.5" customHeight="1" x14ac:dyDescent="0.3">
      <c r="A414" s="77"/>
      <c r="B414" s="77"/>
      <c r="C414" s="77"/>
      <c r="D414" s="77"/>
      <c r="E414" s="77"/>
      <c r="F414" s="77"/>
      <c r="G414" s="77"/>
      <c r="H414" s="77"/>
      <c r="I414" s="77"/>
      <c r="J414" s="77"/>
      <c r="K414" s="77"/>
      <c r="L414" s="77"/>
      <c r="M414" s="77"/>
      <c r="N414" s="77"/>
      <c r="O414" s="77"/>
      <c r="P414" s="77"/>
      <c r="Q414" s="77"/>
      <c r="R414" s="77"/>
      <c r="S414" s="77"/>
      <c r="T414" s="77"/>
      <c r="U414" s="77"/>
      <c r="V414" s="77"/>
    </row>
    <row r="415" spans="1:22" s="38" customFormat="1" ht="16.5" customHeight="1" x14ac:dyDescent="0.3">
      <c r="A415" s="77"/>
      <c r="B415" s="77"/>
      <c r="C415" s="77"/>
      <c r="D415" s="77"/>
      <c r="E415" s="77"/>
      <c r="F415" s="77"/>
      <c r="G415" s="77"/>
      <c r="H415" s="77"/>
      <c r="I415" s="77"/>
      <c r="J415" s="77"/>
      <c r="K415" s="77"/>
      <c r="L415" s="77"/>
      <c r="M415" s="77"/>
      <c r="N415" s="77"/>
      <c r="O415" s="77"/>
      <c r="P415" s="77"/>
      <c r="Q415" s="77"/>
      <c r="R415" s="77"/>
      <c r="S415" s="77"/>
      <c r="T415" s="77"/>
      <c r="U415" s="77"/>
      <c r="V415" s="77"/>
    </row>
    <row r="416" spans="1:22" s="38" customFormat="1" ht="16.5" customHeight="1" x14ac:dyDescent="0.3">
      <c r="A416" s="77"/>
      <c r="B416" s="77"/>
      <c r="C416" s="77"/>
      <c r="D416" s="77"/>
      <c r="E416" s="77"/>
      <c r="F416" s="77"/>
      <c r="G416" s="77"/>
      <c r="H416" s="77"/>
      <c r="I416" s="77"/>
      <c r="J416" s="77"/>
      <c r="K416" s="77"/>
      <c r="L416" s="77"/>
      <c r="M416" s="77"/>
      <c r="N416" s="77"/>
      <c r="O416" s="77"/>
      <c r="P416" s="77"/>
      <c r="Q416" s="77"/>
      <c r="R416" s="77"/>
      <c r="S416" s="77"/>
      <c r="T416" s="77"/>
      <c r="U416" s="77"/>
      <c r="V416" s="77"/>
    </row>
    <row r="417" spans="1:22" s="38" customFormat="1" ht="16.5" customHeight="1" x14ac:dyDescent="0.3">
      <c r="A417" s="77"/>
      <c r="B417" s="77"/>
      <c r="C417" s="77"/>
      <c r="D417" s="77"/>
      <c r="E417" s="77"/>
      <c r="F417" s="77"/>
      <c r="G417" s="77"/>
      <c r="H417" s="77"/>
      <c r="I417" s="77"/>
      <c r="J417" s="77"/>
      <c r="K417" s="77"/>
      <c r="L417" s="77"/>
      <c r="M417" s="77"/>
      <c r="N417" s="77"/>
      <c r="O417" s="77"/>
      <c r="P417" s="77"/>
      <c r="Q417" s="77"/>
      <c r="R417" s="77"/>
      <c r="S417" s="77"/>
      <c r="T417" s="77"/>
      <c r="U417" s="77"/>
      <c r="V417" s="77"/>
    </row>
    <row r="418" spans="1:22" s="38" customFormat="1" ht="16.5" customHeight="1" x14ac:dyDescent="0.3">
      <c r="A418" s="77"/>
      <c r="B418" s="77"/>
      <c r="C418" s="77"/>
      <c r="D418" s="77"/>
      <c r="E418" s="77"/>
      <c r="F418" s="77"/>
      <c r="G418" s="77"/>
      <c r="H418" s="77"/>
      <c r="I418" s="77"/>
      <c r="J418" s="77"/>
      <c r="K418" s="77"/>
      <c r="L418" s="77"/>
      <c r="M418" s="77"/>
      <c r="N418" s="77"/>
      <c r="O418" s="77"/>
      <c r="P418" s="77"/>
      <c r="Q418" s="77"/>
      <c r="R418" s="77"/>
      <c r="S418" s="77"/>
      <c r="T418" s="77"/>
      <c r="U418" s="77"/>
      <c r="V418" s="77"/>
    </row>
    <row r="419" spans="1:22" s="38" customFormat="1" ht="16.5" customHeight="1" x14ac:dyDescent="0.3">
      <c r="A419" s="77"/>
      <c r="B419" s="77"/>
      <c r="C419" s="77"/>
      <c r="D419" s="77"/>
      <c r="E419" s="77"/>
      <c r="F419" s="77"/>
      <c r="G419" s="77"/>
      <c r="H419" s="77"/>
      <c r="I419" s="77"/>
      <c r="J419" s="77"/>
      <c r="K419" s="77"/>
      <c r="L419" s="77"/>
      <c r="M419" s="77"/>
      <c r="N419" s="77"/>
      <c r="O419" s="77"/>
      <c r="P419" s="77"/>
      <c r="Q419" s="77"/>
      <c r="R419" s="77"/>
      <c r="S419" s="77"/>
      <c r="T419" s="77"/>
      <c r="U419" s="77"/>
      <c r="V419" s="77"/>
    </row>
    <row r="420" spans="1:22" s="38" customFormat="1" ht="16.5" customHeight="1" x14ac:dyDescent="0.3">
      <c r="A420" s="77"/>
      <c r="B420" s="77"/>
      <c r="C420" s="77"/>
      <c r="D420" s="77"/>
      <c r="E420" s="77"/>
      <c r="F420" s="77"/>
      <c r="G420" s="77"/>
      <c r="H420" s="77"/>
      <c r="I420" s="77"/>
      <c r="J420" s="77"/>
      <c r="K420" s="77"/>
      <c r="L420" s="77"/>
      <c r="M420" s="77"/>
      <c r="N420" s="77"/>
      <c r="O420" s="77"/>
      <c r="P420" s="77"/>
      <c r="Q420" s="77"/>
      <c r="R420" s="77"/>
      <c r="S420" s="77"/>
      <c r="T420" s="77"/>
      <c r="U420" s="77"/>
      <c r="V420" s="77"/>
    </row>
    <row r="421" spans="1:22" s="38" customFormat="1" ht="16.5" customHeight="1" x14ac:dyDescent="0.3">
      <c r="A421" s="77"/>
      <c r="B421" s="77"/>
      <c r="C421" s="77"/>
      <c r="D421" s="77"/>
      <c r="E421" s="77"/>
      <c r="F421" s="77"/>
      <c r="G421" s="77"/>
      <c r="H421" s="77"/>
      <c r="I421" s="77"/>
      <c r="J421" s="77"/>
      <c r="K421" s="77"/>
      <c r="L421" s="77"/>
      <c r="M421" s="77"/>
      <c r="N421" s="77"/>
      <c r="O421" s="77"/>
      <c r="P421" s="77"/>
      <c r="Q421" s="77"/>
      <c r="R421" s="77"/>
      <c r="S421" s="77"/>
      <c r="T421" s="77"/>
      <c r="U421" s="77"/>
      <c r="V421" s="77"/>
    </row>
    <row r="422" spans="1:22" s="38" customFormat="1" ht="16.5" customHeight="1" x14ac:dyDescent="0.3">
      <c r="A422" s="77"/>
      <c r="B422" s="77"/>
      <c r="C422" s="77"/>
      <c r="D422" s="77"/>
      <c r="E422" s="77"/>
      <c r="F422" s="77"/>
      <c r="G422" s="77"/>
      <c r="H422" s="77"/>
      <c r="I422" s="77"/>
      <c r="J422" s="77"/>
      <c r="K422" s="77"/>
      <c r="L422" s="77"/>
      <c r="M422" s="77"/>
      <c r="N422" s="77"/>
      <c r="O422" s="77"/>
      <c r="P422" s="77"/>
      <c r="Q422" s="77"/>
      <c r="R422" s="77"/>
      <c r="S422" s="77"/>
      <c r="T422" s="77"/>
      <c r="U422" s="77"/>
      <c r="V422" s="77"/>
    </row>
    <row r="423" spans="1:22" s="38" customFormat="1" ht="16.5" customHeight="1" x14ac:dyDescent="0.3">
      <c r="A423" s="77"/>
      <c r="B423" s="77"/>
      <c r="C423" s="77"/>
      <c r="D423" s="77"/>
      <c r="E423" s="77"/>
      <c r="F423" s="77"/>
      <c r="G423" s="77"/>
      <c r="H423" s="77"/>
      <c r="I423" s="77"/>
      <c r="J423" s="77"/>
      <c r="K423" s="77"/>
      <c r="L423" s="77"/>
      <c r="M423" s="77"/>
      <c r="N423" s="77"/>
      <c r="O423" s="77"/>
      <c r="P423" s="77"/>
      <c r="Q423" s="77"/>
      <c r="R423" s="77"/>
      <c r="S423" s="77"/>
      <c r="T423" s="77"/>
      <c r="U423" s="77"/>
      <c r="V423" s="77"/>
    </row>
    <row r="424" spans="1:22" s="38" customFormat="1" ht="16.5" customHeight="1" x14ac:dyDescent="0.3">
      <c r="A424" s="77"/>
      <c r="B424" s="77"/>
      <c r="C424" s="77"/>
      <c r="D424" s="77"/>
      <c r="E424" s="77"/>
      <c r="F424" s="77"/>
      <c r="G424" s="77"/>
      <c r="H424" s="77"/>
      <c r="I424" s="77"/>
      <c r="J424" s="77"/>
      <c r="K424" s="77"/>
      <c r="L424" s="77"/>
      <c r="M424" s="77"/>
      <c r="N424" s="77"/>
      <c r="O424" s="77"/>
      <c r="P424" s="77"/>
      <c r="Q424" s="77"/>
      <c r="R424" s="77"/>
      <c r="S424" s="77"/>
      <c r="T424" s="77"/>
      <c r="U424" s="77"/>
      <c r="V424" s="77"/>
    </row>
    <row r="425" spans="1:22" s="38" customFormat="1" ht="16.5" customHeight="1" x14ac:dyDescent="0.3">
      <c r="A425" s="77"/>
      <c r="B425" s="77"/>
      <c r="C425" s="77"/>
      <c r="D425" s="77"/>
      <c r="E425" s="77"/>
      <c r="F425" s="77"/>
      <c r="G425" s="77"/>
      <c r="H425" s="77"/>
      <c r="I425" s="77"/>
      <c r="J425" s="77"/>
      <c r="K425" s="77"/>
      <c r="L425" s="77"/>
      <c r="M425" s="77"/>
      <c r="N425" s="77"/>
      <c r="O425" s="77"/>
      <c r="P425" s="77"/>
      <c r="Q425" s="77"/>
      <c r="R425" s="77"/>
      <c r="S425" s="77"/>
      <c r="T425" s="77"/>
      <c r="U425" s="77"/>
      <c r="V425" s="77"/>
    </row>
    <row r="426" spans="1:22" s="38" customFormat="1" ht="16.5" customHeight="1" x14ac:dyDescent="0.3">
      <c r="A426" s="77"/>
      <c r="B426" s="77"/>
      <c r="C426" s="77"/>
      <c r="D426" s="77"/>
      <c r="E426" s="77"/>
      <c r="F426" s="77"/>
      <c r="G426" s="77"/>
      <c r="H426" s="77"/>
      <c r="I426" s="77"/>
      <c r="J426" s="77"/>
      <c r="K426" s="77"/>
      <c r="L426" s="77"/>
      <c r="M426" s="77"/>
      <c r="N426" s="77"/>
      <c r="O426" s="77"/>
      <c r="P426" s="77"/>
      <c r="Q426" s="77"/>
      <c r="R426" s="77"/>
      <c r="S426" s="77"/>
      <c r="T426" s="77"/>
      <c r="U426" s="77"/>
      <c r="V426" s="77"/>
    </row>
    <row r="427" spans="1:22" s="38" customFormat="1" ht="16.5" customHeight="1" x14ac:dyDescent="0.3">
      <c r="A427" s="77"/>
      <c r="B427" s="77"/>
      <c r="C427" s="77"/>
      <c r="D427" s="77"/>
      <c r="E427" s="77"/>
      <c r="F427" s="77"/>
      <c r="G427" s="77"/>
      <c r="H427" s="77"/>
      <c r="I427" s="77"/>
      <c r="J427" s="77"/>
      <c r="K427" s="77"/>
      <c r="L427" s="77"/>
      <c r="M427" s="77"/>
      <c r="N427" s="77"/>
      <c r="O427" s="77"/>
      <c r="P427" s="77"/>
      <c r="Q427" s="77"/>
      <c r="R427" s="77"/>
      <c r="S427" s="77"/>
      <c r="T427" s="77"/>
      <c r="U427" s="77"/>
      <c r="V427" s="77"/>
    </row>
    <row r="428" spans="1:22" s="38" customFormat="1" ht="16.5" customHeight="1" x14ac:dyDescent="0.3">
      <c r="A428" s="77"/>
      <c r="B428" s="77"/>
      <c r="C428" s="77"/>
      <c r="D428" s="77"/>
      <c r="E428" s="77"/>
      <c r="F428" s="77"/>
      <c r="G428" s="77"/>
      <c r="H428" s="77"/>
      <c r="I428" s="77"/>
      <c r="J428" s="77"/>
      <c r="K428" s="77"/>
      <c r="L428" s="77"/>
      <c r="M428" s="77"/>
      <c r="N428" s="77"/>
      <c r="O428" s="77"/>
      <c r="P428" s="77"/>
      <c r="Q428" s="77"/>
      <c r="R428" s="77"/>
      <c r="S428" s="77"/>
      <c r="T428" s="77"/>
      <c r="U428" s="77"/>
      <c r="V428" s="77"/>
    </row>
    <row r="429" spans="1:22" s="38" customFormat="1" ht="16.5" customHeight="1" x14ac:dyDescent="0.3">
      <c r="A429" s="77"/>
      <c r="B429" s="77"/>
      <c r="C429" s="77"/>
      <c r="D429" s="77"/>
      <c r="E429" s="77"/>
      <c r="F429" s="77"/>
      <c r="G429" s="77"/>
      <c r="H429" s="77"/>
      <c r="I429" s="77"/>
      <c r="J429" s="77"/>
      <c r="K429" s="77"/>
      <c r="L429" s="77"/>
      <c r="M429" s="77"/>
      <c r="N429" s="77"/>
      <c r="O429" s="77"/>
      <c r="P429" s="77"/>
      <c r="Q429" s="77"/>
      <c r="R429" s="77"/>
      <c r="S429" s="77"/>
      <c r="T429" s="77"/>
      <c r="U429" s="77"/>
      <c r="V429" s="77"/>
    </row>
    <row r="430" spans="1:22" s="38" customFormat="1" ht="16.5" customHeight="1" x14ac:dyDescent="0.3">
      <c r="A430" s="77"/>
      <c r="B430" s="77"/>
      <c r="C430" s="77"/>
      <c r="D430" s="77"/>
      <c r="E430" s="77"/>
      <c r="F430" s="77"/>
      <c r="G430" s="77"/>
      <c r="H430" s="77"/>
      <c r="I430" s="77"/>
      <c r="J430" s="77"/>
      <c r="K430" s="77"/>
      <c r="L430" s="77"/>
      <c r="M430" s="77"/>
      <c r="N430" s="77"/>
      <c r="O430" s="77"/>
      <c r="P430" s="77"/>
      <c r="Q430" s="77"/>
      <c r="R430" s="77"/>
      <c r="S430" s="77"/>
      <c r="T430" s="77"/>
      <c r="U430" s="77"/>
      <c r="V430" s="77"/>
    </row>
    <row r="431" spans="1:22" s="38" customFormat="1" ht="16.5" customHeight="1" x14ac:dyDescent="0.3">
      <c r="A431" s="77"/>
      <c r="B431" s="77"/>
      <c r="C431" s="77"/>
      <c r="D431" s="77"/>
      <c r="E431" s="77"/>
      <c r="F431" s="77"/>
      <c r="G431" s="77"/>
      <c r="H431" s="77"/>
      <c r="I431" s="77"/>
      <c r="J431" s="77"/>
      <c r="K431" s="77"/>
      <c r="L431" s="77"/>
      <c r="M431" s="77"/>
      <c r="N431" s="77"/>
      <c r="O431" s="77"/>
      <c r="P431" s="77"/>
      <c r="Q431" s="77"/>
      <c r="R431" s="77"/>
      <c r="S431" s="77"/>
      <c r="T431" s="77"/>
      <c r="U431" s="77"/>
      <c r="V431" s="77"/>
    </row>
    <row r="432" spans="1:22" s="38" customFormat="1" ht="16.5" customHeight="1" x14ac:dyDescent="0.3">
      <c r="A432" s="77"/>
      <c r="B432" s="77"/>
      <c r="C432" s="77"/>
      <c r="D432" s="77"/>
      <c r="E432" s="77"/>
      <c r="F432" s="77"/>
      <c r="G432" s="77"/>
      <c r="H432" s="77"/>
      <c r="I432" s="77"/>
      <c r="J432" s="77"/>
      <c r="K432" s="77"/>
      <c r="L432" s="77"/>
      <c r="M432" s="77"/>
      <c r="N432" s="77"/>
      <c r="O432" s="77"/>
      <c r="P432" s="77"/>
      <c r="Q432" s="77"/>
      <c r="R432" s="77"/>
      <c r="S432" s="77"/>
      <c r="T432" s="77"/>
      <c r="U432" s="77"/>
      <c r="V432" s="77"/>
    </row>
    <row r="433" spans="1:22" s="38" customFormat="1" ht="16.5" customHeight="1" x14ac:dyDescent="0.3">
      <c r="A433" s="77"/>
      <c r="B433" s="77"/>
      <c r="C433" s="77"/>
      <c r="D433" s="77"/>
      <c r="E433" s="77"/>
      <c r="F433" s="77"/>
      <c r="G433" s="77"/>
      <c r="H433" s="77"/>
      <c r="I433" s="77"/>
      <c r="J433" s="77"/>
      <c r="K433" s="77"/>
      <c r="L433" s="77"/>
      <c r="M433" s="77"/>
      <c r="N433" s="77"/>
      <c r="O433" s="77"/>
      <c r="P433" s="77"/>
      <c r="Q433" s="77"/>
      <c r="R433" s="77"/>
      <c r="S433" s="77"/>
      <c r="T433" s="77"/>
      <c r="U433" s="77"/>
      <c r="V433" s="77"/>
    </row>
    <row r="434" spans="1:22" s="38" customFormat="1" ht="16.5" customHeight="1" x14ac:dyDescent="0.3">
      <c r="A434" s="77"/>
      <c r="B434" s="77"/>
      <c r="C434" s="77"/>
      <c r="D434" s="77"/>
      <c r="E434" s="77"/>
      <c r="F434" s="77"/>
      <c r="G434" s="77"/>
      <c r="H434" s="77"/>
      <c r="I434" s="77"/>
      <c r="J434" s="77"/>
      <c r="K434" s="77"/>
      <c r="L434" s="77"/>
      <c r="M434" s="77"/>
      <c r="N434" s="77"/>
      <c r="O434" s="77"/>
      <c r="P434" s="77"/>
      <c r="Q434" s="77"/>
      <c r="R434" s="77"/>
      <c r="S434" s="77"/>
      <c r="T434" s="77"/>
      <c r="U434" s="77"/>
      <c r="V434" s="77"/>
    </row>
    <row r="435" spans="1:22" s="38" customFormat="1" ht="16.5" customHeight="1" x14ac:dyDescent="0.3">
      <c r="A435" s="77"/>
      <c r="B435" s="77"/>
      <c r="C435" s="77"/>
      <c r="D435" s="77"/>
      <c r="E435" s="77"/>
      <c r="F435" s="77"/>
      <c r="G435" s="77"/>
      <c r="H435" s="77"/>
      <c r="I435" s="77"/>
      <c r="J435" s="77"/>
      <c r="K435" s="77"/>
      <c r="L435" s="77"/>
      <c r="M435" s="77"/>
      <c r="N435" s="77"/>
      <c r="O435" s="77"/>
      <c r="P435" s="77"/>
      <c r="Q435" s="77"/>
      <c r="R435" s="77"/>
      <c r="S435" s="77"/>
      <c r="T435" s="77"/>
      <c r="U435" s="77"/>
      <c r="V435" s="77"/>
    </row>
    <row r="436" spans="1:22" s="38" customFormat="1" ht="16.5" customHeight="1" x14ac:dyDescent="0.3">
      <c r="A436" s="77"/>
      <c r="B436" s="77"/>
      <c r="C436" s="77"/>
      <c r="D436" s="77"/>
      <c r="E436" s="77"/>
      <c r="F436" s="77"/>
      <c r="G436" s="77"/>
      <c r="H436" s="77"/>
      <c r="I436" s="77"/>
      <c r="J436" s="77"/>
      <c r="K436" s="77"/>
      <c r="L436" s="77"/>
      <c r="M436" s="77"/>
      <c r="N436" s="77"/>
      <c r="O436" s="77"/>
      <c r="P436" s="77"/>
      <c r="Q436" s="77"/>
      <c r="R436" s="77"/>
      <c r="S436" s="77"/>
      <c r="T436" s="77"/>
      <c r="U436" s="77"/>
      <c r="V436" s="77"/>
    </row>
    <row r="437" spans="1:22" s="38" customFormat="1" ht="16.5" customHeight="1" x14ac:dyDescent="0.3">
      <c r="A437" s="77"/>
      <c r="B437" s="77"/>
      <c r="C437" s="77"/>
      <c r="D437" s="77"/>
      <c r="E437" s="77"/>
      <c r="F437" s="77"/>
      <c r="G437" s="77"/>
      <c r="H437" s="77"/>
      <c r="I437" s="77"/>
      <c r="J437" s="77"/>
      <c r="K437" s="77"/>
      <c r="L437" s="77"/>
      <c r="M437" s="77"/>
      <c r="N437" s="77"/>
      <c r="O437" s="77"/>
      <c r="P437" s="77"/>
      <c r="Q437" s="77"/>
      <c r="R437" s="77"/>
      <c r="S437" s="77"/>
      <c r="T437" s="77"/>
      <c r="U437" s="77"/>
      <c r="V437" s="77"/>
    </row>
    <row r="438" spans="1:22" s="38" customFormat="1" ht="16.5" customHeight="1" x14ac:dyDescent="0.3">
      <c r="A438" s="77"/>
      <c r="B438" s="77"/>
      <c r="C438" s="77"/>
      <c r="D438" s="77"/>
      <c r="E438" s="77"/>
      <c r="F438" s="77"/>
      <c r="G438" s="77"/>
      <c r="H438" s="77"/>
      <c r="I438" s="77"/>
      <c r="J438" s="77"/>
      <c r="K438" s="77"/>
      <c r="L438" s="77"/>
      <c r="M438" s="77"/>
      <c r="N438" s="77"/>
      <c r="O438" s="77"/>
      <c r="P438" s="77"/>
      <c r="Q438" s="77"/>
      <c r="R438" s="77"/>
      <c r="S438" s="77"/>
      <c r="T438" s="77"/>
      <c r="U438" s="77"/>
      <c r="V438" s="77"/>
    </row>
    <row r="439" spans="1:22" s="38" customFormat="1" ht="16.5" customHeight="1" x14ac:dyDescent="0.3">
      <c r="A439" s="77"/>
      <c r="B439" s="77"/>
      <c r="C439" s="77"/>
      <c r="D439" s="77"/>
      <c r="E439" s="77"/>
      <c r="F439" s="77"/>
      <c r="G439" s="77"/>
      <c r="H439" s="77"/>
      <c r="I439" s="77"/>
      <c r="J439" s="77"/>
      <c r="K439" s="77"/>
      <c r="L439" s="77"/>
      <c r="M439" s="77"/>
      <c r="N439" s="77"/>
      <c r="O439" s="77"/>
      <c r="P439" s="77"/>
      <c r="Q439" s="77"/>
      <c r="R439" s="77"/>
      <c r="S439" s="77"/>
      <c r="T439" s="77"/>
      <c r="U439" s="77"/>
      <c r="V439" s="77"/>
    </row>
    <row r="440" spans="1:22" s="38" customFormat="1" ht="16.5" customHeight="1" x14ac:dyDescent="0.3">
      <c r="A440" s="77"/>
      <c r="B440" s="77"/>
      <c r="C440" s="77"/>
      <c r="D440" s="77"/>
      <c r="E440" s="77"/>
      <c r="F440" s="77"/>
      <c r="G440" s="77"/>
      <c r="H440" s="77"/>
      <c r="I440" s="77"/>
      <c r="J440" s="77"/>
      <c r="K440" s="77"/>
      <c r="L440" s="77"/>
      <c r="M440" s="77"/>
      <c r="N440" s="77"/>
      <c r="O440" s="77"/>
      <c r="P440" s="77"/>
      <c r="Q440" s="77"/>
      <c r="R440" s="77"/>
      <c r="S440" s="77"/>
      <c r="T440" s="77"/>
      <c r="U440" s="77"/>
      <c r="V440" s="77"/>
    </row>
    <row r="441" spans="1:22" s="38" customFormat="1" ht="16.5" customHeight="1" x14ac:dyDescent="0.3">
      <c r="A441" s="77"/>
      <c r="B441" s="77"/>
      <c r="C441" s="77"/>
      <c r="D441" s="77"/>
      <c r="E441" s="77"/>
      <c r="F441" s="77"/>
      <c r="G441" s="77"/>
      <c r="H441" s="77"/>
      <c r="I441" s="77"/>
      <c r="J441" s="77"/>
      <c r="K441" s="77"/>
      <c r="L441" s="77"/>
      <c r="M441" s="77"/>
      <c r="N441" s="77"/>
      <c r="O441" s="77"/>
      <c r="P441" s="77"/>
      <c r="Q441" s="77"/>
      <c r="R441" s="77"/>
      <c r="S441" s="77"/>
      <c r="T441" s="77"/>
      <c r="U441" s="77"/>
      <c r="V441" s="77"/>
    </row>
    <row r="442" spans="1:22" s="38" customFormat="1" ht="16.5" customHeight="1" x14ac:dyDescent="0.3">
      <c r="A442" s="77"/>
      <c r="B442" s="77"/>
      <c r="C442" s="77"/>
      <c r="D442" s="77"/>
      <c r="E442" s="77"/>
      <c r="F442" s="77"/>
      <c r="G442" s="77"/>
      <c r="H442" s="77"/>
      <c r="I442" s="77"/>
      <c r="J442" s="77"/>
      <c r="K442" s="77"/>
      <c r="L442" s="77"/>
      <c r="M442" s="77"/>
      <c r="N442" s="77"/>
      <c r="O442" s="77"/>
      <c r="P442" s="77"/>
      <c r="Q442" s="77"/>
      <c r="R442" s="77"/>
      <c r="S442" s="77"/>
      <c r="T442" s="77"/>
      <c r="U442" s="77"/>
      <c r="V442" s="77"/>
    </row>
    <row r="443" spans="1:22" s="38" customFormat="1" ht="16.5" customHeight="1" x14ac:dyDescent="0.3">
      <c r="A443" s="77"/>
      <c r="B443" s="77"/>
      <c r="C443" s="77"/>
      <c r="D443" s="77"/>
      <c r="E443" s="77"/>
      <c r="F443" s="77"/>
      <c r="G443" s="77"/>
      <c r="H443" s="77"/>
      <c r="I443" s="77"/>
      <c r="J443" s="77"/>
      <c r="K443" s="77"/>
      <c r="L443" s="77"/>
      <c r="M443" s="77"/>
      <c r="N443" s="77"/>
      <c r="O443" s="77"/>
      <c r="P443" s="77"/>
      <c r="Q443" s="77"/>
      <c r="R443" s="77"/>
      <c r="S443" s="77"/>
      <c r="T443" s="77"/>
      <c r="U443" s="77"/>
      <c r="V443" s="77"/>
    </row>
    <row r="444" spans="1:22" s="38" customFormat="1" ht="16.5" customHeight="1" x14ac:dyDescent="0.3">
      <c r="A444" s="77"/>
      <c r="B444" s="77"/>
      <c r="C444" s="77"/>
      <c r="D444" s="77"/>
      <c r="E444" s="77"/>
      <c r="F444" s="77"/>
      <c r="G444" s="77"/>
      <c r="H444" s="77"/>
      <c r="I444" s="77"/>
      <c r="J444" s="77"/>
      <c r="K444" s="77"/>
      <c r="L444" s="77"/>
      <c r="M444" s="77"/>
      <c r="N444" s="77"/>
      <c r="O444" s="77"/>
      <c r="P444" s="77"/>
      <c r="Q444" s="77"/>
      <c r="R444" s="77"/>
      <c r="S444" s="77"/>
      <c r="T444" s="77"/>
      <c r="U444" s="77"/>
      <c r="V444" s="77"/>
    </row>
    <row r="445" spans="1:22" s="38" customFormat="1" ht="16.5" customHeight="1" x14ac:dyDescent="0.3">
      <c r="A445" s="77"/>
      <c r="B445" s="77"/>
      <c r="C445" s="77"/>
      <c r="D445" s="77"/>
      <c r="E445" s="77"/>
      <c r="F445" s="77"/>
      <c r="G445" s="77"/>
      <c r="H445" s="77"/>
      <c r="I445" s="77"/>
      <c r="J445" s="77"/>
      <c r="K445" s="77"/>
      <c r="L445" s="77"/>
      <c r="M445" s="77"/>
      <c r="N445" s="77"/>
      <c r="O445" s="77"/>
      <c r="P445" s="77"/>
      <c r="Q445" s="77"/>
      <c r="R445" s="77"/>
      <c r="S445" s="77"/>
      <c r="T445" s="77"/>
      <c r="U445" s="77"/>
      <c r="V445" s="77"/>
    </row>
    <row r="446" spans="1:22" s="38" customFormat="1" ht="16.5" customHeight="1" x14ac:dyDescent="0.3">
      <c r="A446" s="77"/>
      <c r="B446" s="77"/>
      <c r="C446" s="77"/>
      <c r="D446" s="77"/>
      <c r="E446" s="77"/>
      <c r="F446" s="77"/>
      <c r="G446" s="77"/>
      <c r="H446" s="77"/>
      <c r="I446" s="77"/>
      <c r="J446" s="77"/>
      <c r="K446" s="77"/>
      <c r="L446" s="77"/>
      <c r="M446" s="77"/>
      <c r="N446" s="77"/>
      <c r="O446" s="77"/>
      <c r="P446" s="77"/>
      <c r="Q446" s="77"/>
      <c r="R446" s="77"/>
      <c r="S446" s="77"/>
      <c r="T446" s="77"/>
      <c r="U446" s="77"/>
      <c r="V446" s="77"/>
    </row>
    <row r="447" spans="1:22" s="38" customFormat="1" ht="16.5" customHeight="1" x14ac:dyDescent="0.3">
      <c r="A447" s="77"/>
      <c r="B447" s="77"/>
      <c r="C447" s="77"/>
      <c r="D447" s="77"/>
      <c r="E447" s="77"/>
      <c r="F447" s="77"/>
      <c r="G447" s="77"/>
      <c r="H447" s="77"/>
      <c r="I447" s="77"/>
      <c r="J447" s="77"/>
      <c r="K447" s="77"/>
      <c r="L447" s="77"/>
      <c r="M447" s="77"/>
      <c r="N447" s="77"/>
      <c r="O447" s="77"/>
      <c r="P447" s="77"/>
      <c r="Q447" s="77"/>
      <c r="R447" s="77"/>
      <c r="S447" s="77"/>
      <c r="T447" s="77"/>
      <c r="U447" s="77"/>
      <c r="V447" s="77"/>
    </row>
    <row r="448" spans="1:22" s="38" customFormat="1" ht="16.5" customHeight="1" x14ac:dyDescent="0.3">
      <c r="A448" s="77"/>
      <c r="B448" s="77"/>
      <c r="C448" s="77"/>
      <c r="D448" s="77"/>
      <c r="E448" s="77"/>
      <c r="F448" s="77"/>
      <c r="G448" s="77"/>
      <c r="H448" s="77"/>
      <c r="I448" s="77"/>
      <c r="J448" s="77"/>
      <c r="K448" s="77"/>
      <c r="L448" s="77"/>
      <c r="M448" s="77"/>
      <c r="N448" s="77"/>
      <c r="O448" s="77"/>
      <c r="P448" s="77"/>
      <c r="Q448" s="77"/>
      <c r="R448" s="77"/>
      <c r="S448" s="77"/>
      <c r="T448" s="77"/>
      <c r="U448" s="77"/>
      <c r="V448" s="77"/>
    </row>
    <row r="449" spans="1:22" s="38" customFormat="1" ht="16.5" customHeight="1" x14ac:dyDescent="0.3">
      <c r="A449" s="77"/>
      <c r="B449" s="77"/>
      <c r="C449" s="77"/>
      <c r="D449" s="77"/>
      <c r="E449" s="77"/>
      <c r="F449" s="77"/>
      <c r="G449" s="77"/>
      <c r="H449" s="77"/>
      <c r="I449" s="77"/>
      <c r="J449" s="77"/>
      <c r="K449" s="77"/>
      <c r="L449" s="77"/>
      <c r="M449" s="77"/>
      <c r="N449" s="77"/>
      <c r="O449" s="77"/>
      <c r="P449" s="77"/>
      <c r="Q449" s="77"/>
      <c r="R449" s="77"/>
      <c r="S449" s="77"/>
      <c r="T449" s="77"/>
      <c r="U449" s="77"/>
      <c r="V449" s="77"/>
    </row>
    <row r="450" spans="1:22" s="38" customFormat="1" ht="16.5" customHeight="1" x14ac:dyDescent="0.3">
      <c r="A450" s="77"/>
      <c r="B450" s="77"/>
      <c r="C450" s="77"/>
      <c r="D450" s="77"/>
      <c r="E450" s="77"/>
      <c r="F450" s="77"/>
      <c r="G450" s="77"/>
      <c r="H450" s="77"/>
      <c r="I450" s="77"/>
      <c r="J450" s="77"/>
      <c r="K450" s="77"/>
      <c r="L450" s="77"/>
      <c r="M450" s="77"/>
      <c r="N450" s="77"/>
      <c r="O450" s="77"/>
      <c r="P450" s="77"/>
      <c r="Q450" s="77"/>
      <c r="R450" s="77"/>
      <c r="S450" s="77"/>
      <c r="T450" s="77"/>
      <c r="U450" s="77"/>
      <c r="V450" s="77"/>
    </row>
  </sheetData>
  <autoFilter ref="A3:U131">
    <sortState ref="A4:U131">
      <sortCondition descending="1" ref="I3:I258"/>
    </sortState>
  </autoFilter>
  <mergeCells count="3">
    <mergeCell ref="J1:K1"/>
    <mergeCell ref="N1:O1"/>
    <mergeCell ref="Q1:S1"/>
  </mergeCells>
  <phoneticPr fontId="2" type="noConversion"/>
  <conditionalFormatting sqref="N2">
    <cfRule type="cellIs" dxfId="4417" priority="36854" operator="greaterThan">
      <formula>0.9</formula>
    </cfRule>
    <cfRule type="cellIs" dxfId="4416" priority="36855" operator="greaterThan">
      <formula>0.85</formula>
    </cfRule>
  </conditionalFormatting>
  <conditionalFormatting sqref="N4">
    <cfRule type="cellIs" dxfId="4415" priority="2515" operator="greaterThan">
      <formula>0.9</formula>
    </cfRule>
    <cfRule type="cellIs" dxfId="4414" priority="2516" operator="greaterThan">
      <formula>0.85</formula>
    </cfRule>
  </conditionalFormatting>
  <conditionalFormatting sqref="N5">
    <cfRule type="cellIs" dxfId="4413" priority="2497" operator="greaterThan">
      <formula>0.9</formula>
    </cfRule>
    <cfRule type="cellIs" dxfId="4412" priority="2498" operator="greaterThan">
      <formula>0.85</formula>
    </cfRule>
  </conditionalFormatting>
  <conditionalFormatting sqref="N131">
    <cfRule type="cellIs" dxfId="4411" priority="13" operator="greaterThan">
      <formula>0.9</formula>
    </cfRule>
    <cfRule type="cellIs" dxfId="4410" priority="14" operator="greaterThan">
      <formula>0.85</formula>
    </cfRule>
  </conditionalFormatting>
  <conditionalFormatting sqref="N6">
    <cfRule type="cellIs" dxfId="4409" priority="2461" operator="greaterThan">
      <formula>0.9</formula>
    </cfRule>
    <cfRule type="cellIs" dxfId="4408" priority="2462" operator="greaterThan">
      <formula>0.85</formula>
    </cfRule>
  </conditionalFormatting>
  <conditionalFormatting sqref="N7">
    <cfRule type="cellIs" dxfId="4407" priority="2443" operator="greaterThan">
      <formula>0.9</formula>
    </cfRule>
    <cfRule type="cellIs" dxfId="4406" priority="2444" operator="greaterThan">
      <formula>0.85</formula>
    </cfRule>
  </conditionalFormatting>
  <conditionalFormatting sqref="N8">
    <cfRule type="cellIs" dxfId="4405" priority="2425" operator="greaterThan">
      <formula>0.9</formula>
    </cfRule>
    <cfRule type="cellIs" dxfId="4404" priority="2426" operator="greaterThan">
      <formula>0.85</formula>
    </cfRule>
  </conditionalFormatting>
  <conditionalFormatting sqref="N9">
    <cfRule type="cellIs" dxfId="4403" priority="2407" operator="greaterThan">
      <formula>0.9</formula>
    </cfRule>
    <cfRule type="cellIs" dxfId="4402" priority="2408" operator="greaterThan">
      <formula>0.85</formula>
    </cfRule>
  </conditionalFormatting>
  <conditionalFormatting sqref="N10">
    <cfRule type="cellIs" dxfId="4401" priority="2371" operator="greaterThan">
      <formula>0.9</formula>
    </cfRule>
    <cfRule type="cellIs" dxfId="4400" priority="2372" operator="greaterThan">
      <formula>0.85</formula>
    </cfRule>
  </conditionalFormatting>
  <conditionalFormatting sqref="N11">
    <cfRule type="cellIs" dxfId="4399" priority="2353" operator="greaterThan">
      <formula>0.9</formula>
    </cfRule>
    <cfRule type="cellIs" dxfId="4398" priority="2354" operator="greaterThan">
      <formula>0.85</formula>
    </cfRule>
  </conditionalFormatting>
  <conditionalFormatting sqref="N12">
    <cfRule type="cellIs" dxfId="4397" priority="2335" operator="greaterThan">
      <formula>0.9</formula>
    </cfRule>
    <cfRule type="cellIs" dxfId="4396" priority="2336" operator="greaterThan">
      <formula>0.85</formula>
    </cfRule>
  </conditionalFormatting>
  <conditionalFormatting sqref="N13">
    <cfRule type="cellIs" dxfId="4395" priority="2317" operator="greaterThan">
      <formula>0.9</formula>
    </cfRule>
    <cfRule type="cellIs" dxfId="4394" priority="2318" operator="greaterThan">
      <formula>0.85</formula>
    </cfRule>
  </conditionalFormatting>
  <conditionalFormatting sqref="N14">
    <cfRule type="cellIs" dxfId="4393" priority="2299" operator="greaterThan">
      <formula>0.9</formula>
    </cfRule>
    <cfRule type="cellIs" dxfId="4392" priority="2300" operator="greaterThan">
      <formula>0.85</formula>
    </cfRule>
  </conditionalFormatting>
  <conditionalFormatting sqref="N15">
    <cfRule type="cellIs" dxfId="4391" priority="2281" operator="greaterThan">
      <formula>0.9</formula>
    </cfRule>
    <cfRule type="cellIs" dxfId="4390" priority="2282" operator="greaterThan">
      <formula>0.85</formula>
    </cfRule>
  </conditionalFormatting>
  <conditionalFormatting sqref="N16">
    <cfRule type="cellIs" dxfId="4389" priority="2263" operator="greaterThan">
      <formula>0.9</formula>
    </cfRule>
    <cfRule type="cellIs" dxfId="4388" priority="2264" operator="greaterThan">
      <formula>0.85</formula>
    </cfRule>
  </conditionalFormatting>
  <conditionalFormatting sqref="N17">
    <cfRule type="cellIs" dxfId="4387" priority="2245" operator="greaterThan">
      <formula>0.9</formula>
    </cfRule>
    <cfRule type="cellIs" dxfId="4386" priority="2246" operator="greaterThan">
      <formula>0.85</formula>
    </cfRule>
  </conditionalFormatting>
  <conditionalFormatting sqref="N18">
    <cfRule type="cellIs" dxfId="4385" priority="2227" operator="greaterThan">
      <formula>0.9</formula>
    </cfRule>
    <cfRule type="cellIs" dxfId="4384" priority="2228" operator="greaterThan">
      <formula>0.85</formula>
    </cfRule>
  </conditionalFormatting>
  <conditionalFormatting sqref="N19">
    <cfRule type="cellIs" dxfId="4383" priority="2209" operator="greaterThan">
      <formula>0.9</formula>
    </cfRule>
    <cfRule type="cellIs" dxfId="4382" priority="2210" operator="greaterThan">
      <formula>0.85</formula>
    </cfRule>
  </conditionalFormatting>
  <conditionalFormatting sqref="N20">
    <cfRule type="cellIs" dxfId="4381" priority="2191" operator="greaterThan">
      <formula>0.9</formula>
    </cfRule>
    <cfRule type="cellIs" dxfId="4380" priority="2192" operator="greaterThan">
      <formula>0.85</formula>
    </cfRule>
  </conditionalFormatting>
  <conditionalFormatting sqref="N21">
    <cfRule type="cellIs" dxfId="4379" priority="2173" operator="greaterThan">
      <formula>0.9</formula>
    </cfRule>
    <cfRule type="cellIs" dxfId="4378" priority="2174" operator="greaterThan">
      <formula>0.85</formula>
    </cfRule>
  </conditionalFormatting>
  <conditionalFormatting sqref="N22">
    <cfRule type="cellIs" dxfId="4377" priority="2155" operator="greaterThan">
      <formula>0.9</formula>
    </cfRule>
    <cfRule type="cellIs" dxfId="4376" priority="2156" operator="greaterThan">
      <formula>0.85</formula>
    </cfRule>
  </conditionalFormatting>
  <conditionalFormatting sqref="N23">
    <cfRule type="cellIs" dxfId="4375" priority="2137" operator="greaterThan">
      <formula>0.9</formula>
    </cfRule>
    <cfRule type="cellIs" dxfId="4374" priority="2138" operator="greaterThan">
      <formula>0.85</formula>
    </cfRule>
  </conditionalFormatting>
  <conditionalFormatting sqref="N24">
    <cfRule type="cellIs" dxfId="4373" priority="2119" operator="greaterThan">
      <formula>0.9</formula>
    </cfRule>
    <cfRule type="cellIs" dxfId="4372" priority="2120" operator="greaterThan">
      <formula>0.85</formula>
    </cfRule>
  </conditionalFormatting>
  <conditionalFormatting sqref="N25">
    <cfRule type="cellIs" dxfId="4371" priority="2101" operator="greaterThan">
      <formula>0.9</formula>
    </cfRule>
    <cfRule type="cellIs" dxfId="4370" priority="2102" operator="greaterThan">
      <formula>0.85</formula>
    </cfRule>
  </conditionalFormatting>
  <conditionalFormatting sqref="N26">
    <cfRule type="cellIs" dxfId="4369" priority="2083" operator="greaterThan">
      <formula>0.9</formula>
    </cfRule>
    <cfRule type="cellIs" dxfId="4368" priority="2084" operator="greaterThan">
      <formula>0.85</formula>
    </cfRule>
  </conditionalFormatting>
  <conditionalFormatting sqref="N27">
    <cfRule type="cellIs" dxfId="4367" priority="2065" operator="greaterThan">
      <formula>0.9</formula>
    </cfRule>
    <cfRule type="cellIs" dxfId="4366" priority="2066" operator="greaterThan">
      <formula>0.85</formula>
    </cfRule>
  </conditionalFormatting>
  <conditionalFormatting sqref="N28">
    <cfRule type="cellIs" dxfId="4365" priority="2047" operator="greaterThan">
      <formula>0.9</formula>
    </cfRule>
    <cfRule type="cellIs" dxfId="4364" priority="2048" operator="greaterThan">
      <formula>0.85</formula>
    </cfRule>
  </conditionalFormatting>
  <conditionalFormatting sqref="N29">
    <cfRule type="cellIs" dxfId="4363" priority="2029" operator="greaterThan">
      <formula>0.9</formula>
    </cfRule>
    <cfRule type="cellIs" dxfId="4362" priority="2030" operator="greaterThan">
      <formula>0.85</formula>
    </cfRule>
  </conditionalFormatting>
  <conditionalFormatting sqref="N30">
    <cfRule type="cellIs" dxfId="4361" priority="2011" operator="greaterThan">
      <formula>0.9</formula>
    </cfRule>
    <cfRule type="cellIs" dxfId="4360" priority="2012" operator="greaterThan">
      <formula>0.85</formula>
    </cfRule>
  </conditionalFormatting>
  <conditionalFormatting sqref="N31">
    <cfRule type="cellIs" dxfId="4359" priority="1993" operator="greaterThan">
      <formula>0.9</formula>
    </cfRule>
    <cfRule type="cellIs" dxfId="4358" priority="1994" operator="greaterThan">
      <formula>0.85</formula>
    </cfRule>
  </conditionalFormatting>
  <conditionalFormatting sqref="N32">
    <cfRule type="cellIs" dxfId="4357" priority="1975" operator="greaterThan">
      <formula>0.9</formula>
    </cfRule>
    <cfRule type="cellIs" dxfId="4356" priority="1976" operator="greaterThan">
      <formula>0.85</formula>
    </cfRule>
  </conditionalFormatting>
  <conditionalFormatting sqref="N33">
    <cfRule type="cellIs" dxfId="4355" priority="1957" operator="greaterThan">
      <formula>0.9</formula>
    </cfRule>
    <cfRule type="cellIs" dxfId="4354" priority="1958" operator="greaterThan">
      <formula>0.85</formula>
    </cfRule>
  </conditionalFormatting>
  <conditionalFormatting sqref="N34">
    <cfRule type="cellIs" dxfId="4353" priority="1939" operator="greaterThan">
      <formula>0.9</formula>
    </cfRule>
    <cfRule type="cellIs" dxfId="4352" priority="1940" operator="greaterThan">
      <formula>0.85</formula>
    </cfRule>
  </conditionalFormatting>
  <conditionalFormatting sqref="N35">
    <cfRule type="cellIs" dxfId="4351" priority="1921" operator="greaterThan">
      <formula>0.9</formula>
    </cfRule>
    <cfRule type="cellIs" dxfId="4350" priority="1922" operator="greaterThan">
      <formula>0.85</formula>
    </cfRule>
  </conditionalFormatting>
  <conditionalFormatting sqref="N36">
    <cfRule type="cellIs" dxfId="4349" priority="1903" operator="greaterThan">
      <formula>0.9</formula>
    </cfRule>
    <cfRule type="cellIs" dxfId="4348" priority="1904" operator="greaterThan">
      <formula>0.85</formula>
    </cfRule>
  </conditionalFormatting>
  <conditionalFormatting sqref="N37">
    <cfRule type="cellIs" dxfId="4347" priority="1885" operator="greaterThan">
      <formula>0.9</formula>
    </cfRule>
    <cfRule type="cellIs" dxfId="4346" priority="1886" operator="greaterThan">
      <formula>0.85</formula>
    </cfRule>
  </conditionalFormatting>
  <conditionalFormatting sqref="N38">
    <cfRule type="cellIs" dxfId="4345" priority="1867" operator="greaterThan">
      <formula>0.9</formula>
    </cfRule>
    <cfRule type="cellIs" dxfId="4344" priority="1868" operator="greaterThan">
      <formula>0.85</formula>
    </cfRule>
  </conditionalFormatting>
  <conditionalFormatting sqref="N39">
    <cfRule type="cellIs" dxfId="4343" priority="1849" operator="greaterThan">
      <formula>0.9</formula>
    </cfRule>
    <cfRule type="cellIs" dxfId="4342" priority="1850" operator="greaterThan">
      <formula>0.85</formula>
    </cfRule>
  </conditionalFormatting>
  <conditionalFormatting sqref="N40">
    <cfRule type="cellIs" dxfId="4341" priority="1831" operator="greaterThan">
      <formula>0.9</formula>
    </cfRule>
    <cfRule type="cellIs" dxfId="4340" priority="1832" operator="greaterThan">
      <formula>0.85</formula>
    </cfRule>
  </conditionalFormatting>
  <conditionalFormatting sqref="N41">
    <cfRule type="cellIs" dxfId="4339" priority="1813" operator="greaterThan">
      <formula>0.9</formula>
    </cfRule>
    <cfRule type="cellIs" dxfId="4338" priority="1814" operator="greaterThan">
      <formula>0.85</formula>
    </cfRule>
  </conditionalFormatting>
  <conditionalFormatting sqref="N42">
    <cfRule type="cellIs" dxfId="4337" priority="1795" operator="greaterThan">
      <formula>0.9</formula>
    </cfRule>
    <cfRule type="cellIs" dxfId="4336" priority="1796" operator="greaterThan">
      <formula>0.85</formula>
    </cfRule>
  </conditionalFormatting>
  <conditionalFormatting sqref="N43">
    <cfRule type="cellIs" dxfId="4335" priority="1777" operator="greaterThan">
      <formula>0.9</formula>
    </cfRule>
    <cfRule type="cellIs" dxfId="4334" priority="1778" operator="greaterThan">
      <formula>0.85</formula>
    </cfRule>
  </conditionalFormatting>
  <conditionalFormatting sqref="N44">
    <cfRule type="cellIs" dxfId="4333" priority="1759" operator="greaterThan">
      <formula>0.9</formula>
    </cfRule>
    <cfRule type="cellIs" dxfId="4332" priority="1760" operator="greaterThan">
      <formula>0.85</formula>
    </cfRule>
  </conditionalFormatting>
  <conditionalFormatting sqref="N45">
    <cfRule type="cellIs" dxfId="4331" priority="1723" operator="greaterThan">
      <formula>0.9</formula>
    </cfRule>
    <cfRule type="cellIs" dxfId="4330" priority="1724" operator="greaterThan">
      <formula>0.85</formula>
    </cfRule>
  </conditionalFormatting>
  <conditionalFormatting sqref="N46">
    <cfRule type="cellIs" dxfId="4329" priority="1687" operator="greaterThan">
      <formula>0.9</formula>
    </cfRule>
    <cfRule type="cellIs" dxfId="4328" priority="1688" operator="greaterThan">
      <formula>0.85</formula>
    </cfRule>
  </conditionalFormatting>
  <conditionalFormatting sqref="N47">
    <cfRule type="cellIs" dxfId="4327" priority="1669" operator="greaterThan">
      <formula>0.9</formula>
    </cfRule>
    <cfRule type="cellIs" dxfId="4326" priority="1670" operator="greaterThan">
      <formula>0.85</formula>
    </cfRule>
  </conditionalFormatting>
  <conditionalFormatting sqref="N48">
    <cfRule type="cellIs" dxfId="4325" priority="1651" operator="greaterThan">
      <formula>0.9</formula>
    </cfRule>
    <cfRule type="cellIs" dxfId="4324" priority="1652" operator="greaterThan">
      <formula>0.85</formula>
    </cfRule>
  </conditionalFormatting>
  <conditionalFormatting sqref="N49">
    <cfRule type="cellIs" dxfId="4323" priority="1633" operator="greaterThan">
      <formula>0.9</formula>
    </cfRule>
    <cfRule type="cellIs" dxfId="4322" priority="1634" operator="greaterThan">
      <formula>0.85</formula>
    </cfRule>
  </conditionalFormatting>
  <conditionalFormatting sqref="N50">
    <cfRule type="cellIs" dxfId="4321" priority="1615" operator="greaterThan">
      <formula>0.9</formula>
    </cfRule>
    <cfRule type="cellIs" dxfId="4320" priority="1616" operator="greaterThan">
      <formula>0.85</formula>
    </cfRule>
  </conditionalFormatting>
  <conditionalFormatting sqref="N51">
    <cfRule type="cellIs" dxfId="4319" priority="1597" operator="greaterThan">
      <formula>0.9</formula>
    </cfRule>
    <cfRule type="cellIs" dxfId="4318" priority="1598" operator="greaterThan">
      <formula>0.85</formula>
    </cfRule>
  </conditionalFormatting>
  <conditionalFormatting sqref="N52">
    <cfRule type="cellIs" dxfId="4317" priority="1561" operator="greaterThan">
      <formula>0.9</formula>
    </cfRule>
    <cfRule type="cellIs" dxfId="4316" priority="1562" operator="greaterThan">
      <formula>0.85</formula>
    </cfRule>
  </conditionalFormatting>
  <conditionalFormatting sqref="N53">
    <cfRule type="cellIs" dxfId="4315" priority="1543" operator="greaterThan">
      <formula>0.9</formula>
    </cfRule>
    <cfRule type="cellIs" dxfId="4314" priority="1544" operator="greaterThan">
      <formula>0.85</formula>
    </cfRule>
  </conditionalFormatting>
  <conditionalFormatting sqref="N54">
    <cfRule type="cellIs" dxfId="4313" priority="1525" operator="greaterThan">
      <formula>0.9</formula>
    </cfRule>
    <cfRule type="cellIs" dxfId="4312" priority="1526" operator="greaterThan">
      <formula>0.85</formula>
    </cfRule>
  </conditionalFormatting>
  <conditionalFormatting sqref="N55">
    <cfRule type="cellIs" dxfId="4311" priority="1507" operator="greaterThan">
      <formula>0.9</formula>
    </cfRule>
    <cfRule type="cellIs" dxfId="4310" priority="1508" operator="greaterThan">
      <formula>0.85</formula>
    </cfRule>
  </conditionalFormatting>
  <conditionalFormatting sqref="N56">
    <cfRule type="cellIs" dxfId="4309" priority="1489" operator="greaterThan">
      <formula>0.9</formula>
    </cfRule>
    <cfRule type="cellIs" dxfId="4308" priority="1490" operator="greaterThan">
      <formula>0.85</formula>
    </cfRule>
  </conditionalFormatting>
  <conditionalFormatting sqref="N57">
    <cfRule type="cellIs" dxfId="4307" priority="1471" operator="greaterThan">
      <formula>0.9</formula>
    </cfRule>
    <cfRule type="cellIs" dxfId="4306" priority="1472" operator="greaterThan">
      <formula>0.85</formula>
    </cfRule>
  </conditionalFormatting>
  <conditionalFormatting sqref="N58">
    <cfRule type="cellIs" dxfId="4305" priority="1453" operator="greaterThan">
      <formula>0.9</formula>
    </cfRule>
    <cfRule type="cellIs" dxfId="4304" priority="1454" operator="greaterThan">
      <formula>0.85</formula>
    </cfRule>
  </conditionalFormatting>
  <conditionalFormatting sqref="N59">
    <cfRule type="cellIs" dxfId="4303" priority="1435" operator="greaterThan">
      <formula>0.9</formula>
    </cfRule>
    <cfRule type="cellIs" dxfId="4302" priority="1436" operator="greaterThan">
      <formula>0.85</formula>
    </cfRule>
  </conditionalFormatting>
  <conditionalFormatting sqref="N60">
    <cfRule type="cellIs" dxfId="4301" priority="1417" operator="greaterThan">
      <formula>0.9</formula>
    </cfRule>
    <cfRule type="cellIs" dxfId="4300" priority="1418" operator="greaterThan">
      <formula>0.85</formula>
    </cfRule>
  </conditionalFormatting>
  <conditionalFormatting sqref="N61">
    <cfRule type="cellIs" dxfId="4299" priority="1399" operator="greaterThan">
      <formula>0.9</formula>
    </cfRule>
    <cfRule type="cellIs" dxfId="4298" priority="1400" operator="greaterThan">
      <formula>0.85</formula>
    </cfRule>
  </conditionalFormatting>
  <conditionalFormatting sqref="N62">
    <cfRule type="cellIs" dxfId="4297" priority="1381" operator="greaterThan">
      <formula>0.9</formula>
    </cfRule>
    <cfRule type="cellIs" dxfId="4296" priority="1382" operator="greaterThan">
      <formula>0.85</formula>
    </cfRule>
  </conditionalFormatting>
  <conditionalFormatting sqref="N63">
    <cfRule type="cellIs" dxfId="4295" priority="1363" operator="greaterThan">
      <formula>0.9</formula>
    </cfRule>
    <cfRule type="cellIs" dxfId="4294" priority="1364" operator="greaterThan">
      <formula>0.85</formula>
    </cfRule>
  </conditionalFormatting>
  <conditionalFormatting sqref="N64">
    <cfRule type="cellIs" dxfId="4293" priority="1345" operator="greaterThan">
      <formula>0.9</formula>
    </cfRule>
    <cfRule type="cellIs" dxfId="4292" priority="1346" operator="greaterThan">
      <formula>0.85</formula>
    </cfRule>
  </conditionalFormatting>
  <conditionalFormatting sqref="N65">
    <cfRule type="cellIs" dxfId="4291" priority="1327" operator="greaterThan">
      <formula>0.9</formula>
    </cfRule>
    <cfRule type="cellIs" dxfId="4290" priority="1328" operator="greaterThan">
      <formula>0.85</formula>
    </cfRule>
  </conditionalFormatting>
  <conditionalFormatting sqref="N66">
    <cfRule type="cellIs" dxfId="4289" priority="1309" operator="greaterThan">
      <formula>0.9</formula>
    </cfRule>
    <cfRule type="cellIs" dxfId="4288" priority="1310" operator="greaterThan">
      <formula>0.85</formula>
    </cfRule>
  </conditionalFormatting>
  <conditionalFormatting sqref="N67">
    <cfRule type="cellIs" dxfId="4287" priority="1291" operator="greaterThan">
      <formula>0.9</formula>
    </cfRule>
    <cfRule type="cellIs" dxfId="4286" priority="1292" operator="greaterThan">
      <formula>0.85</formula>
    </cfRule>
  </conditionalFormatting>
  <conditionalFormatting sqref="N68">
    <cfRule type="cellIs" dxfId="4285" priority="1273" operator="greaterThan">
      <formula>0.9</formula>
    </cfRule>
    <cfRule type="cellIs" dxfId="4284" priority="1274" operator="greaterThan">
      <formula>0.85</formula>
    </cfRule>
  </conditionalFormatting>
  <conditionalFormatting sqref="N69">
    <cfRule type="cellIs" dxfId="4283" priority="1255" operator="greaterThan">
      <formula>0.9</formula>
    </cfRule>
    <cfRule type="cellIs" dxfId="4282" priority="1256" operator="greaterThan">
      <formula>0.85</formula>
    </cfRule>
  </conditionalFormatting>
  <conditionalFormatting sqref="N70">
    <cfRule type="cellIs" dxfId="4281" priority="1237" operator="greaterThan">
      <formula>0.9</formula>
    </cfRule>
    <cfRule type="cellIs" dxfId="4280" priority="1238" operator="greaterThan">
      <formula>0.85</formula>
    </cfRule>
  </conditionalFormatting>
  <conditionalFormatting sqref="N71">
    <cfRule type="cellIs" dxfId="4279" priority="1219" operator="greaterThan">
      <formula>0.9</formula>
    </cfRule>
    <cfRule type="cellIs" dxfId="4278" priority="1220" operator="greaterThan">
      <formula>0.85</formula>
    </cfRule>
  </conditionalFormatting>
  <conditionalFormatting sqref="N72">
    <cfRule type="cellIs" dxfId="4277" priority="1201" operator="greaterThan">
      <formula>0.9</formula>
    </cfRule>
    <cfRule type="cellIs" dxfId="4276" priority="1202" operator="greaterThan">
      <formula>0.85</formula>
    </cfRule>
  </conditionalFormatting>
  <conditionalFormatting sqref="N73">
    <cfRule type="cellIs" dxfId="4275" priority="1183" operator="greaterThan">
      <formula>0.9</formula>
    </cfRule>
    <cfRule type="cellIs" dxfId="4274" priority="1184" operator="greaterThan">
      <formula>0.85</formula>
    </cfRule>
  </conditionalFormatting>
  <conditionalFormatting sqref="N74">
    <cfRule type="cellIs" dxfId="4273" priority="1165" operator="greaterThan">
      <formula>0.9</formula>
    </cfRule>
    <cfRule type="cellIs" dxfId="4272" priority="1166" operator="greaterThan">
      <formula>0.85</formula>
    </cfRule>
  </conditionalFormatting>
  <conditionalFormatting sqref="N75">
    <cfRule type="cellIs" dxfId="4271" priority="1147" operator="greaterThan">
      <formula>0.9</formula>
    </cfRule>
    <cfRule type="cellIs" dxfId="4270" priority="1148" operator="greaterThan">
      <formula>0.85</formula>
    </cfRule>
  </conditionalFormatting>
  <conditionalFormatting sqref="N76">
    <cfRule type="cellIs" dxfId="4269" priority="1129" operator="greaterThan">
      <formula>0.9</formula>
    </cfRule>
    <cfRule type="cellIs" dxfId="4268" priority="1130" operator="greaterThan">
      <formula>0.85</formula>
    </cfRule>
  </conditionalFormatting>
  <conditionalFormatting sqref="N77">
    <cfRule type="cellIs" dxfId="4267" priority="1111" operator="greaterThan">
      <formula>0.9</formula>
    </cfRule>
    <cfRule type="cellIs" dxfId="4266" priority="1112" operator="greaterThan">
      <formula>0.85</formula>
    </cfRule>
  </conditionalFormatting>
  <conditionalFormatting sqref="N78">
    <cfRule type="cellIs" dxfId="4265" priority="1093" operator="greaterThan">
      <formula>0.9</formula>
    </cfRule>
    <cfRule type="cellIs" dxfId="4264" priority="1094" operator="greaterThan">
      <formula>0.85</formula>
    </cfRule>
  </conditionalFormatting>
  <conditionalFormatting sqref="N79">
    <cfRule type="cellIs" dxfId="4263" priority="1075" operator="greaterThan">
      <formula>0.9</formula>
    </cfRule>
    <cfRule type="cellIs" dxfId="4262" priority="1076" operator="greaterThan">
      <formula>0.85</formula>
    </cfRule>
  </conditionalFormatting>
  <conditionalFormatting sqref="N80">
    <cfRule type="cellIs" dxfId="4261" priority="1057" operator="greaterThan">
      <formula>0.9</formula>
    </cfRule>
    <cfRule type="cellIs" dxfId="4260" priority="1058" operator="greaterThan">
      <formula>0.85</formula>
    </cfRule>
  </conditionalFormatting>
  <conditionalFormatting sqref="N81">
    <cfRule type="cellIs" dxfId="4259" priority="1039" operator="greaterThan">
      <formula>0.9</formula>
    </cfRule>
    <cfRule type="cellIs" dxfId="4258" priority="1040" operator="greaterThan">
      <formula>0.85</formula>
    </cfRule>
  </conditionalFormatting>
  <conditionalFormatting sqref="N82">
    <cfRule type="cellIs" dxfId="4257" priority="1003" operator="greaterThan">
      <formula>0.9</formula>
    </cfRule>
    <cfRule type="cellIs" dxfId="4256" priority="1004" operator="greaterThan">
      <formula>0.85</formula>
    </cfRule>
  </conditionalFormatting>
  <conditionalFormatting sqref="N83">
    <cfRule type="cellIs" dxfId="4255" priority="985" operator="greaterThan">
      <formula>0.9</formula>
    </cfRule>
    <cfRule type="cellIs" dxfId="4254" priority="986" operator="greaterThan">
      <formula>0.85</formula>
    </cfRule>
  </conditionalFormatting>
  <conditionalFormatting sqref="N84">
    <cfRule type="cellIs" dxfId="4253" priority="967" operator="greaterThan">
      <formula>0.9</formula>
    </cfRule>
    <cfRule type="cellIs" dxfId="4252" priority="968" operator="greaterThan">
      <formula>0.85</formula>
    </cfRule>
  </conditionalFormatting>
  <conditionalFormatting sqref="N85">
    <cfRule type="cellIs" dxfId="4251" priority="931" operator="greaterThan">
      <formula>0.9</formula>
    </cfRule>
    <cfRule type="cellIs" dxfId="4250" priority="932" operator="greaterThan">
      <formula>0.85</formula>
    </cfRule>
  </conditionalFormatting>
  <conditionalFormatting sqref="N86">
    <cfRule type="cellIs" dxfId="4249" priority="913" operator="greaterThan">
      <formula>0.9</formula>
    </cfRule>
    <cfRule type="cellIs" dxfId="4248" priority="914" operator="greaterThan">
      <formula>0.85</formula>
    </cfRule>
  </conditionalFormatting>
  <conditionalFormatting sqref="N87">
    <cfRule type="cellIs" dxfId="4247" priority="895" operator="greaterThan">
      <formula>0.9</formula>
    </cfRule>
    <cfRule type="cellIs" dxfId="4246" priority="896" operator="greaterThan">
      <formula>0.85</formula>
    </cfRule>
  </conditionalFormatting>
  <conditionalFormatting sqref="N88">
    <cfRule type="cellIs" dxfId="4245" priority="877" operator="greaterThan">
      <formula>0.9</formula>
    </cfRule>
    <cfRule type="cellIs" dxfId="4244" priority="878" operator="greaterThan">
      <formula>0.85</formula>
    </cfRule>
  </conditionalFormatting>
  <conditionalFormatting sqref="N89">
    <cfRule type="cellIs" dxfId="4243" priority="859" operator="greaterThan">
      <formula>0.9</formula>
    </cfRule>
    <cfRule type="cellIs" dxfId="4242" priority="860" operator="greaterThan">
      <formula>0.85</formula>
    </cfRule>
  </conditionalFormatting>
  <conditionalFormatting sqref="N90">
    <cfRule type="cellIs" dxfId="4241" priority="841" operator="greaterThan">
      <formula>0.9</formula>
    </cfRule>
    <cfRule type="cellIs" dxfId="4240" priority="842" operator="greaterThan">
      <formula>0.85</formula>
    </cfRule>
  </conditionalFormatting>
  <conditionalFormatting sqref="N91">
    <cfRule type="cellIs" dxfId="4239" priority="823" operator="greaterThan">
      <formula>0.9</formula>
    </cfRule>
    <cfRule type="cellIs" dxfId="4238" priority="824" operator="greaterThan">
      <formula>0.85</formula>
    </cfRule>
  </conditionalFormatting>
  <conditionalFormatting sqref="N92">
    <cfRule type="cellIs" dxfId="4237" priority="805" operator="greaterThan">
      <formula>0.9</formula>
    </cfRule>
    <cfRule type="cellIs" dxfId="4236" priority="806" operator="greaterThan">
      <formula>0.85</formula>
    </cfRule>
  </conditionalFormatting>
  <conditionalFormatting sqref="N93">
    <cfRule type="cellIs" dxfId="4235" priority="769" operator="greaterThan">
      <formula>0.9</formula>
    </cfRule>
    <cfRule type="cellIs" dxfId="4234" priority="770" operator="greaterThan">
      <formula>0.85</formula>
    </cfRule>
  </conditionalFormatting>
  <conditionalFormatting sqref="N94">
    <cfRule type="cellIs" dxfId="4233" priority="751" operator="greaterThan">
      <formula>0.9</formula>
    </cfRule>
    <cfRule type="cellIs" dxfId="4232" priority="752" operator="greaterThan">
      <formula>0.85</formula>
    </cfRule>
  </conditionalFormatting>
  <conditionalFormatting sqref="N95">
    <cfRule type="cellIs" dxfId="4231" priority="733" operator="greaterThan">
      <formula>0.9</formula>
    </cfRule>
    <cfRule type="cellIs" dxfId="4230" priority="734" operator="greaterThan">
      <formula>0.85</formula>
    </cfRule>
  </conditionalFormatting>
  <conditionalFormatting sqref="N96">
    <cfRule type="cellIs" dxfId="4229" priority="715" operator="greaterThan">
      <formula>0.9</formula>
    </cfRule>
    <cfRule type="cellIs" dxfId="4228" priority="716" operator="greaterThan">
      <formula>0.85</formula>
    </cfRule>
  </conditionalFormatting>
  <conditionalFormatting sqref="N97">
    <cfRule type="cellIs" dxfId="4227" priority="697" operator="greaterThan">
      <formula>0.9</formula>
    </cfRule>
    <cfRule type="cellIs" dxfId="4226" priority="698" operator="greaterThan">
      <formula>0.85</formula>
    </cfRule>
  </conditionalFormatting>
  <conditionalFormatting sqref="N98">
    <cfRule type="cellIs" dxfId="4225" priority="679" operator="greaterThan">
      <formula>0.9</formula>
    </cfRule>
    <cfRule type="cellIs" dxfId="4224" priority="680" operator="greaterThan">
      <formula>0.85</formula>
    </cfRule>
  </conditionalFormatting>
  <conditionalFormatting sqref="N99">
    <cfRule type="cellIs" dxfId="4223" priority="661" operator="greaterThan">
      <formula>0.9</formula>
    </cfRule>
    <cfRule type="cellIs" dxfId="4222" priority="662" operator="greaterThan">
      <formula>0.85</formula>
    </cfRule>
  </conditionalFormatting>
  <conditionalFormatting sqref="N100">
    <cfRule type="cellIs" dxfId="4221" priority="643" operator="greaterThan">
      <formula>0.9</formula>
    </cfRule>
    <cfRule type="cellIs" dxfId="4220" priority="644" operator="greaterThan">
      <formula>0.85</formula>
    </cfRule>
  </conditionalFormatting>
  <conditionalFormatting sqref="N101">
    <cfRule type="cellIs" dxfId="4219" priority="625" operator="greaterThan">
      <formula>0.9</formula>
    </cfRule>
    <cfRule type="cellIs" dxfId="4218" priority="626" operator="greaterThan">
      <formula>0.85</formula>
    </cfRule>
  </conditionalFormatting>
  <conditionalFormatting sqref="N102">
    <cfRule type="cellIs" dxfId="4217" priority="607" operator="greaterThan">
      <formula>0.9</formula>
    </cfRule>
    <cfRule type="cellIs" dxfId="4216" priority="608" operator="greaterThan">
      <formula>0.85</formula>
    </cfRule>
  </conditionalFormatting>
  <conditionalFormatting sqref="N103">
    <cfRule type="cellIs" dxfId="4215" priority="589" operator="greaterThan">
      <formula>0.9</formula>
    </cfRule>
    <cfRule type="cellIs" dxfId="4214" priority="590" operator="greaterThan">
      <formula>0.85</formula>
    </cfRule>
  </conditionalFormatting>
  <conditionalFormatting sqref="N104">
    <cfRule type="cellIs" dxfId="4213" priority="571" operator="greaterThan">
      <formula>0.9</formula>
    </cfRule>
    <cfRule type="cellIs" dxfId="4212" priority="572" operator="greaterThan">
      <formula>0.85</formula>
    </cfRule>
  </conditionalFormatting>
  <conditionalFormatting sqref="N105">
    <cfRule type="cellIs" dxfId="4211" priority="553" operator="greaterThan">
      <formula>0.9</formula>
    </cfRule>
    <cfRule type="cellIs" dxfId="4210" priority="554" operator="greaterThan">
      <formula>0.85</formula>
    </cfRule>
  </conditionalFormatting>
  <conditionalFormatting sqref="N106">
    <cfRule type="cellIs" dxfId="4209" priority="535" operator="greaterThan">
      <formula>0.9</formula>
    </cfRule>
    <cfRule type="cellIs" dxfId="4208" priority="536" operator="greaterThan">
      <formula>0.85</formula>
    </cfRule>
  </conditionalFormatting>
  <conditionalFormatting sqref="N107">
    <cfRule type="cellIs" dxfId="4207" priority="517" operator="greaterThan">
      <formula>0.9</formula>
    </cfRule>
    <cfRule type="cellIs" dxfId="4206" priority="518" operator="greaterThan">
      <formula>0.85</formula>
    </cfRule>
  </conditionalFormatting>
  <conditionalFormatting sqref="N108">
    <cfRule type="cellIs" dxfId="4205" priority="481" operator="greaterThan">
      <formula>0.9</formula>
    </cfRule>
    <cfRule type="cellIs" dxfId="4204" priority="482" operator="greaterThan">
      <formula>0.85</formula>
    </cfRule>
  </conditionalFormatting>
  <conditionalFormatting sqref="N109">
    <cfRule type="cellIs" dxfId="4203" priority="463" operator="greaterThan">
      <formula>0.9</formula>
    </cfRule>
    <cfRule type="cellIs" dxfId="4202" priority="464" operator="greaterThan">
      <formula>0.85</formula>
    </cfRule>
  </conditionalFormatting>
  <conditionalFormatting sqref="N110">
    <cfRule type="cellIs" dxfId="4201" priority="445" operator="greaterThan">
      <formula>0.9</formula>
    </cfRule>
    <cfRule type="cellIs" dxfId="4200" priority="446" operator="greaterThan">
      <formula>0.85</formula>
    </cfRule>
  </conditionalFormatting>
  <conditionalFormatting sqref="N111">
    <cfRule type="cellIs" dxfId="4199" priority="427" operator="greaterThan">
      <formula>0.9</formula>
    </cfRule>
    <cfRule type="cellIs" dxfId="4198" priority="428" operator="greaterThan">
      <formula>0.85</formula>
    </cfRule>
  </conditionalFormatting>
  <conditionalFormatting sqref="N112">
    <cfRule type="cellIs" dxfId="4197" priority="391" operator="greaterThan">
      <formula>0.9</formula>
    </cfRule>
    <cfRule type="cellIs" dxfId="4196" priority="392" operator="greaterThan">
      <formula>0.85</formula>
    </cfRule>
  </conditionalFormatting>
  <conditionalFormatting sqref="N113">
    <cfRule type="cellIs" dxfId="4195" priority="373" operator="greaterThan">
      <formula>0.9</formula>
    </cfRule>
    <cfRule type="cellIs" dxfId="4194" priority="374" operator="greaterThan">
      <formula>0.85</formula>
    </cfRule>
  </conditionalFormatting>
  <conditionalFormatting sqref="N114">
    <cfRule type="cellIs" dxfId="4193" priority="355" operator="greaterThan">
      <formula>0.9</formula>
    </cfRule>
    <cfRule type="cellIs" dxfId="4192" priority="356" operator="greaterThan">
      <formula>0.85</formula>
    </cfRule>
  </conditionalFormatting>
  <conditionalFormatting sqref="N115">
    <cfRule type="cellIs" dxfId="4191" priority="337" operator="greaterThan">
      <formula>0.9</formula>
    </cfRule>
    <cfRule type="cellIs" dxfId="4190" priority="338" operator="greaterThan">
      <formula>0.85</formula>
    </cfRule>
  </conditionalFormatting>
  <conditionalFormatting sqref="N116">
    <cfRule type="cellIs" dxfId="4189" priority="319" operator="greaterThan">
      <formula>0.9</formula>
    </cfRule>
    <cfRule type="cellIs" dxfId="4188" priority="320" operator="greaterThan">
      <formula>0.85</formula>
    </cfRule>
  </conditionalFormatting>
  <conditionalFormatting sqref="N117">
    <cfRule type="cellIs" dxfId="4187" priority="301" operator="greaterThan">
      <formula>0.9</formula>
    </cfRule>
    <cfRule type="cellIs" dxfId="4186" priority="302" operator="greaterThan">
      <formula>0.85</formula>
    </cfRule>
  </conditionalFormatting>
  <conditionalFormatting sqref="N118">
    <cfRule type="cellIs" dxfId="4185" priority="283" operator="greaterThan">
      <formula>0.9</formula>
    </cfRule>
    <cfRule type="cellIs" dxfId="4184" priority="284" operator="greaterThan">
      <formula>0.85</formula>
    </cfRule>
  </conditionalFormatting>
  <conditionalFormatting sqref="N119">
    <cfRule type="cellIs" dxfId="4183" priority="265" operator="greaterThan">
      <formula>0.9</formula>
    </cfRule>
    <cfRule type="cellIs" dxfId="4182" priority="266" operator="greaterThan">
      <formula>0.85</formula>
    </cfRule>
  </conditionalFormatting>
  <conditionalFormatting sqref="N120">
    <cfRule type="cellIs" dxfId="4181" priority="247" operator="greaterThan">
      <formula>0.9</formula>
    </cfRule>
    <cfRule type="cellIs" dxfId="4180" priority="248" operator="greaterThan">
      <formula>0.85</formula>
    </cfRule>
  </conditionalFormatting>
  <conditionalFormatting sqref="N121">
    <cfRule type="cellIs" dxfId="4179" priority="229" operator="greaterThan">
      <formula>0.9</formula>
    </cfRule>
    <cfRule type="cellIs" dxfId="4178" priority="230" operator="greaterThan">
      <formula>0.85</formula>
    </cfRule>
  </conditionalFormatting>
  <conditionalFormatting sqref="N122">
    <cfRule type="cellIs" dxfId="4177" priority="211" operator="greaterThan">
      <formula>0.9</formula>
    </cfRule>
    <cfRule type="cellIs" dxfId="4176" priority="212" operator="greaterThan">
      <formula>0.85</formula>
    </cfRule>
  </conditionalFormatting>
  <conditionalFormatting sqref="N123">
    <cfRule type="cellIs" dxfId="4175" priority="193" operator="greaterThan">
      <formula>0.9</formula>
    </cfRule>
    <cfRule type="cellIs" dxfId="4174" priority="194" operator="greaterThan">
      <formula>0.85</formula>
    </cfRule>
  </conditionalFormatting>
  <conditionalFormatting sqref="N124">
    <cfRule type="cellIs" dxfId="4173" priority="175" operator="greaterThan">
      <formula>0.9</formula>
    </cfRule>
    <cfRule type="cellIs" dxfId="4172" priority="176" operator="greaterThan">
      <formula>0.85</formula>
    </cfRule>
  </conditionalFormatting>
  <conditionalFormatting sqref="N125">
    <cfRule type="cellIs" dxfId="4171" priority="157" operator="greaterThan">
      <formula>0.9</formula>
    </cfRule>
    <cfRule type="cellIs" dxfId="4170" priority="158" operator="greaterThan">
      <formula>0.85</formula>
    </cfRule>
  </conditionalFormatting>
  <conditionalFormatting sqref="N126">
    <cfRule type="cellIs" dxfId="4169" priority="121" operator="greaterThan">
      <formula>0.9</formula>
    </cfRule>
    <cfRule type="cellIs" dxfId="4168" priority="122" operator="greaterThan">
      <formula>0.85</formula>
    </cfRule>
  </conditionalFormatting>
  <conditionalFormatting sqref="N127">
    <cfRule type="cellIs" dxfId="4167" priority="103" operator="greaterThan">
      <formula>0.9</formula>
    </cfRule>
    <cfRule type="cellIs" dxfId="4166" priority="104" operator="greaterThan">
      <formula>0.85</formula>
    </cfRule>
  </conditionalFormatting>
  <conditionalFormatting sqref="N128">
    <cfRule type="cellIs" dxfId="4165" priority="67" operator="greaterThan">
      <formula>0.9</formula>
    </cfRule>
    <cfRule type="cellIs" dxfId="4164" priority="68" operator="greaterThan">
      <formula>0.85</formula>
    </cfRule>
  </conditionalFormatting>
  <conditionalFormatting sqref="N129">
    <cfRule type="cellIs" dxfId="4163" priority="49" operator="greaterThan">
      <formula>0.9</formula>
    </cfRule>
    <cfRule type="cellIs" dxfId="4162" priority="50" operator="greaterThan">
      <formula>0.85</formula>
    </cfRule>
  </conditionalFormatting>
  <conditionalFormatting sqref="N130">
    <cfRule type="cellIs" dxfId="4161" priority="31" operator="greaterThan">
      <formula>0.9</formula>
    </cfRule>
    <cfRule type="cellIs" dxfId="4160" priority="32" operator="greaterThan">
      <formula>0.85</formula>
    </cfRule>
  </conditionalFormatting>
  <conditionalFormatting sqref="E4:E131">
    <cfRule type="expression" dxfId="4159" priority="73492">
      <formula>AND(IF(OR($Q4=1,$Q4=2),1,0),IF(#REF!&lt;=20,1,0))</formula>
    </cfRule>
    <cfRule type="expression" dxfId="4158" priority="73493">
      <formula>AND(IF($Q4=2,1,0),IF(#REF!&lt;30,1,0))</formula>
    </cfRule>
    <cfRule type="expression" dxfId="4157" priority="73494">
      <formula>AND(IF($Q4=3,1,0),IF(#REF!&lt;30,1,0))</formula>
    </cfRule>
    <cfRule type="expression" dxfId="4156" priority="73495">
      <formula>AND(IF($Q4=3,1,IF($Q4=4,1,0)),IF($F4&lt;=85,1,0))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2657" r:id="rId3" name="Button 1">
              <controlPr defaultSize="0" print="0" autoFill="0" autoPict="0" macro="[0]!AllList_DongPrice">
                <anchor moveWithCells="1" sizeWithCells="1">
                  <from>
                    <xdr:col>2</xdr:col>
                    <xdr:colOff>95250</xdr:colOff>
                    <xdr:row>0</xdr:row>
                    <xdr:rowOff>47625</xdr:rowOff>
                  </from>
                  <to>
                    <xdr:col>4</xdr:col>
                    <xdr:colOff>247650</xdr:colOff>
                    <xdr:row>1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5" tint="0.59999389629810485"/>
  </sheetPr>
  <dimension ref="A1:AV69"/>
  <sheetViews>
    <sheetView zoomScaleNormal="100" workbookViewId="0">
      <selection activeCell="D13" sqref="D13"/>
    </sheetView>
  </sheetViews>
  <sheetFormatPr defaultColWidth="17.5" defaultRowHeight="13.5" x14ac:dyDescent="0.3"/>
  <cols>
    <col min="1" max="1" width="4.625" style="51" bestFit="1" customWidth="1"/>
    <col min="2" max="2" width="3.375" style="51" customWidth="1"/>
    <col min="3" max="3" width="4.625" style="51" bestFit="1" customWidth="1"/>
    <col min="4" max="9" width="29.125" style="52" customWidth="1"/>
    <col min="10" max="23" width="25" style="52" customWidth="1"/>
    <col min="24" max="48" width="17.5" style="52" customWidth="1"/>
    <col min="49" max="49" width="17.5" style="51" customWidth="1"/>
    <col min="50" max="16384" width="17.5" style="51"/>
  </cols>
  <sheetData>
    <row r="1" spans="1:48" x14ac:dyDescent="0.3">
      <c r="D1" s="51"/>
      <c r="E1" s="51"/>
      <c r="F1" s="51"/>
      <c r="G1" s="51"/>
      <c r="H1" s="51"/>
      <c r="I1" s="51"/>
      <c r="J1" s="51"/>
      <c r="K1" s="51"/>
      <c r="L1" s="51"/>
      <c r="M1" s="51"/>
      <c r="N1" s="51"/>
      <c r="O1" s="51"/>
      <c r="P1" s="51"/>
      <c r="Q1" s="51"/>
      <c r="R1" s="51"/>
      <c r="S1" s="51"/>
      <c r="T1" s="51"/>
      <c r="U1" s="51"/>
      <c r="V1" s="51"/>
      <c r="W1" s="51"/>
      <c r="X1" s="51"/>
      <c r="Y1" s="51"/>
      <c r="Z1" s="51"/>
      <c r="AA1" s="51"/>
      <c r="AB1" s="51"/>
      <c r="AC1" s="51"/>
      <c r="AD1" s="51"/>
      <c r="AE1" s="51"/>
      <c r="AF1" s="51"/>
      <c r="AG1" s="51"/>
      <c r="AH1" s="51"/>
      <c r="AI1" s="51"/>
      <c r="AJ1" s="51"/>
      <c r="AK1" s="51"/>
      <c r="AL1" s="51"/>
      <c r="AM1" s="51"/>
      <c r="AN1" s="51"/>
      <c r="AO1" s="51"/>
      <c r="AP1" s="51"/>
      <c r="AQ1" s="51"/>
      <c r="AR1" s="51"/>
      <c r="AS1" s="51"/>
      <c r="AT1" s="51"/>
      <c r="AU1" s="51"/>
      <c r="AV1" s="51"/>
    </row>
    <row r="2" spans="1:48" x14ac:dyDescent="0.3">
      <c r="D2" s="51"/>
      <c r="E2" s="51"/>
      <c r="F2" s="51"/>
      <c r="G2" s="51"/>
      <c r="H2" s="51"/>
      <c r="I2" s="51"/>
      <c r="J2" s="51"/>
      <c r="K2" s="51"/>
      <c r="L2" s="51"/>
      <c r="M2" s="51"/>
      <c r="N2" s="51"/>
      <c r="O2" s="51"/>
      <c r="P2" s="51"/>
      <c r="Q2" s="51"/>
      <c r="R2" s="51"/>
      <c r="S2" s="51"/>
      <c r="T2" s="51"/>
      <c r="U2" s="51"/>
      <c r="V2" s="51"/>
      <c r="W2" s="51"/>
      <c r="X2" s="51"/>
      <c r="Y2" s="51"/>
      <c r="Z2" s="51"/>
      <c r="AA2" s="51"/>
      <c r="AB2" s="51"/>
      <c r="AC2" s="51"/>
      <c r="AD2" s="51"/>
      <c r="AE2" s="51"/>
      <c r="AF2" s="51"/>
      <c r="AG2" s="51"/>
      <c r="AH2" s="51"/>
      <c r="AI2" s="51"/>
      <c r="AJ2" s="51"/>
      <c r="AK2" s="51"/>
      <c r="AL2" s="51"/>
      <c r="AM2" s="51"/>
      <c r="AN2" s="51"/>
      <c r="AO2" s="51"/>
      <c r="AP2" s="51"/>
      <c r="AQ2" s="51"/>
      <c r="AR2" s="51"/>
      <c r="AS2" s="51"/>
      <c r="AT2" s="51"/>
      <c r="AU2" s="51"/>
      <c r="AV2" s="51"/>
    </row>
    <row r="3" spans="1:48" x14ac:dyDescent="0.3">
      <c r="D3" s="51"/>
      <c r="E3" s="51"/>
      <c r="F3" s="51"/>
      <c r="G3" s="51"/>
      <c r="H3" s="51"/>
      <c r="I3" s="51"/>
      <c r="J3" s="51"/>
      <c r="K3" s="51"/>
      <c r="L3" s="51"/>
      <c r="M3" s="51"/>
      <c r="N3" s="51"/>
      <c r="O3" s="51"/>
      <c r="P3" s="51"/>
      <c r="Q3" s="51"/>
      <c r="R3" s="51"/>
      <c r="S3" s="51"/>
      <c r="T3" s="51"/>
      <c r="U3" s="51"/>
      <c r="V3" s="51"/>
      <c r="W3" s="51"/>
      <c r="X3" s="51"/>
      <c r="Y3" s="51"/>
      <c r="Z3" s="51"/>
      <c r="AA3" s="51"/>
      <c r="AB3" s="51"/>
      <c r="AC3" s="51"/>
      <c r="AD3" s="51"/>
      <c r="AE3" s="51"/>
      <c r="AF3" s="51"/>
      <c r="AG3" s="51"/>
      <c r="AH3" s="51"/>
      <c r="AI3" s="51"/>
      <c r="AJ3" s="51"/>
      <c r="AK3" s="51"/>
      <c r="AL3" s="51"/>
      <c r="AM3" s="51"/>
      <c r="AN3" s="51"/>
      <c r="AO3" s="51"/>
      <c r="AP3" s="51"/>
      <c r="AQ3" s="51"/>
      <c r="AR3" s="51"/>
      <c r="AS3" s="51"/>
      <c r="AT3" s="51"/>
      <c r="AU3" s="51"/>
      <c r="AV3" s="51"/>
    </row>
    <row r="4" spans="1:48" x14ac:dyDescent="0.3">
      <c r="A4" s="119" t="s">
        <v>70</v>
      </c>
      <c r="B4" s="120"/>
      <c r="C4" s="120"/>
      <c r="D4" s="51" t="s">
        <v>1140</v>
      </c>
      <c r="E4" s="51" t="s">
        <v>1114</v>
      </c>
      <c r="F4" s="51" t="s">
        <v>1113</v>
      </c>
      <c r="G4" s="51" t="s">
        <v>1115</v>
      </c>
      <c r="H4" s="51"/>
      <c r="I4" s="51"/>
      <c r="J4" s="51"/>
      <c r="K4" s="51"/>
      <c r="L4" s="51"/>
      <c r="M4" s="51"/>
      <c r="N4" s="51"/>
      <c r="O4" s="51"/>
      <c r="P4" s="51"/>
      <c r="Q4" s="51"/>
      <c r="R4" s="51"/>
      <c r="S4" s="51"/>
      <c r="T4" s="51"/>
      <c r="U4" s="51"/>
      <c r="V4" s="51"/>
      <c r="W4" s="51"/>
      <c r="X4" s="51"/>
      <c r="Y4" s="51"/>
      <c r="Z4" s="51"/>
      <c r="AA4" s="51"/>
      <c r="AB4" s="51"/>
      <c r="AC4" s="51"/>
      <c r="AD4" s="51"/>
      <c r="AE4" s="51"/>
      <c r="AF4" s="51"/>
      <c r="AG4" s="51"/>
      <c r="AH4" s="51"/>
      <c r="AI4" s="51"/>
      <c r="AJ4" s="51"/>
      <c r="AK4" s="51"/>
      <c r="AL4" s="51"/>
      <c r="AM4" s="51"/>
      <c r="AN4" s="51"/>
      <c r="AO4" s="51"/>
      <c r="AP4" s="51"/>
      <c r="AQ4" s="51"/>
      <c r="AR4" s="51"/>
      <c r="AS4" s="51"/>
      <c r="AT4" s="51"/>
      <c r="AU4" s="51"/>
      <c r="AV4" s="51"/>
    </row>
    <row r="5" spans="1:48" x14ac:dyDescent="0.3">
      <c r="A5" s="119" t="s">
        <v>71</v>
      </c>
      <c r="B5" s="120"/>
      <c r="C5" s="120"/>
    </row>
    <row r="6" spans="1:48" x14ac:dyDescent="0.3">
      <c r="A6" s="119" t="s">
        <v>72</v>
      </c>
      <c r="B6" s="120"/>
      <c r="C6" s="120"/>
    </row>
    <row r="7" spans="1:48" x14ac:dyDescent="0.3">
      <c r="A7" s="53" t="s">
        <v>73</v>
      </c>
      <c r="B7" s="54"/>
      <c r="C7" s="55"/>
      <c r="D7" s="56" t="str">
        <f t="shared" ref="D7:W7" si="0">D4&amp;IF(D5="","",","&amp;D5)&amp;IF(D6="","",","&amp;D6)</f>
        <v>풍호동</v>
      </c>
      <c r="E7" s="56" t="str">
        <f t="shared" si="0"/>
        <v>자은동</v>
      </c>
      <c r="F7" s="56" t="str">
        <f t="shared" si="0"/>
        <v>장천동</v>
      </c>
      <c r="G7" s="56" t="str">
        <f t="shared" si="0"/>
        <v>석동</v>
      </c>
      <c r="H7" s="56" t="str">
        <f t="shared" si="0"/>
        <v/>
      </c>
      <c r="I7" s="56" t="str">
        <f t="shared" si="0"/>
        <v/>
      </c>
      <c r="J7" s="56" t="str">
        <f t="shared" si="0"/>
        <v/>
      </c>
      <c r="K7" s="56" t="str">
        <f t="shared" si="0"/>
        <v/>
      </c>
      <c r="L7" s="56" t="str">
        <f t="shared" si="0"/>
        <v/>
      </c>
      <c r="M7" s="56" t="str">
        <f t="shared" si="0"/>
        <v/>
      </c>
      <c r="N7" s="56" t="str">
        <f t="shared" si="0"/>
        <v/>
      </c>
      <c r="O7" s="56" t="str">
        <f t="shared" si="0"/>
        <v/>
      </c>
      <c r="P7" s="56" t="str">
        <f t="shared" si="0"/>
        <v/>
      </c>
      <c r="Q7" s="56" t="str">
        <f t="shared" si="0"/>
        <v/>
      </c>
      <c r="R7" s="56" t="str">
        <f t="shared" si="0"/>
        <v/>
      </c>
      <c r="S7" s="56" t="str">
        <f t="shared" si="0"/>
        <v/>
      </c>
      <c r="T7" s="56" t="str">
        <f t="shared" si="0"/>
        <v/>
      </c>
      <c r="U7" s="56" t="str">
        <f t="shared" si="0"/>
        <v/>
      </c>
      <c r="V7" s="56" t="str">
        <f t="shared" si="0"/>
        <v/>
      </c>
      <c r="W7" s="56" t="str">
        <f t="shared" si="0"/>
        <v/>
      </c>
    </row>
    <row r="8" spans="1:48" x14ac:dyDescent="0.3">
      <c r="A8" s="89">
        <v>8</v>
      </c>
      <c r="B8" s="59" t="s">
        <v>74</v>
      </c>
      <c r="C8" s="9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</row>
    <row r="9" spans="1:48" x14ac:dyDescent="0.3">
      <c r="A9" s="91">
        <v>7</v>
      </c>
      <c r="B9" s="61" t="s">
        <v>74</v>
      </c>
      <c r="C9" s="92">
        <v>8</v>
      </c>
      <c r="D9" s="60"/>
      <c r="E9" s="60"/>
      <c r="F9" s="60"/>
      <c r="G9" s="60"/>
      <c r="H9" s="60"/>
      <c r="I9" s="60"/>
      <c r="J9" s="60"/>
      <c r="K9" s="60"/>
      <c r="L9" s="60"/>
      <c r="M9" s="60"/>
      <c r="N9" s="60"/>
      <c r="O9" s="60"/>
      <c r="P9" s="60"/>
      <c r="Q9" s="60"/>
      <c r="R9" s="60"/>
      <c r="S9" s="60"/>
      <c r="T9" s="60"/>
      <c r="U9" s="60"/>
      <c r="V9" s="60"/>
      <c r="W9" s="60"/>
    </row>
    <row r="10" spans="1:48" x14ac:dyDescent="0.3">
      <c r="A10" s="93">
        <v>6</v>
      </c>
      <c r="B10" s="57" t="s">
        <v>74</v>
      </c>
      <c r="C10" s="94">
        <v>7</v>
      </c>
      <c r="D10" s="58"/>
      <c r="E10" s="58"/>
      <c r="F10" s="58"/>
      <c r="G10" s="58"/>
      <c r="H10" s="58"/>
      <c r="I10" s="58"/>
      <c r="J10" s="58"/>
      <c r="K10" s="58"/>
      <c r="L10" s="58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</row>
    <row r="11" spans="1:48" x14ac:dyDescent="0.3">
      <c r="A11" s="93">
        <v>5</v>
      </c>
      <c r="B11" s="57" t="s">
        <v>74</v>
      </c>
      <c r="C11" s="94">
        <v>6</v>
      </c>
      <c r="D11" s="58"/>
      <c r="E11" s="58"/>
      <c r="F11" s="58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</row>
    <row r="12" spans="1:48" ht="24" x14ac:dyDescent="0.3">
      <c r="A12" s="93">
        <v>4</v>
      </c>
      <c r="B12" s="57" t="s">
        <v>74</v>
      </c>
      <c r="C12" s="94">
        <v>5</v>
      </c>
      <c r="D12" s="58" t="s">
        <v>1141</v>
      </c>
      <c r="E12" s="58" t="s">
        <v>1118</v>
      </c>
      <c r="F12" s="58"/>
      <c r="G12" s="58" t="s">
        <v>1116</v>
      </c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</row>
    <row r="13" spans="1:48" ht="48" x14ac:dyDescent="0.3">
      <c r="A13" s="95">
        <v>3</v>
      </c>
      <c r="B13" s="62" t="s">
        <v>74</v>
      </c>
      <c r="C13" s="96">
        <v>4</v>
      </c>
      <c r="D13" s="63" t="s">
        <v>1144</v>
      </c>
      <c r="E13" s="63" t="s">
        <v>1125</v>
      </c>
      <c r="F13" s="63" t="s">
        <v>1121</v>
      </c>
      <c r="G13" s="63" t="s">
        <v>1123</v>
      </c>
      <c r="H13" s="63"/>
      <c r="I13" s="63"/>
      <c r="J13" s="63"/>
      <c r="K13" s="63"/>
      <c r="L13" s="63"/>
      <c r="M13" s="63"/>
      <c r="N13" s="63"/>
      <c r="O13" s="63"/>
      <c r="P13" s="63"/>
      <c r="Q13" s="63"/>
      <c r="R13" s="63"/>
      <c r="S13" s="63"/>
      <c r="T13" s="63"/>
      <c r="U13" s="63"/>
      <c r="V13" s="63"/>
      <c r="W13" s="63"/>
    </row>
    <row r="14" spans="1:48" ht="36" x14ac:dyDescent="0.3">
      <c r="A14" s="95">
        <v>2.5</v>
      </c>
      <c r="B14" s="62" t="s">
        <v>74</v>
      </c>
      <c r="C14" s="96">
        <v>3</v>
      </c>
      <c r="D14" s="63"/>
      <c r="E14" s="63" t="s">
        <v>1130</v>
      </c>
      <c r="F14" s="63" t="s">
        <v>1128</v>
      </c>
      <c r="G14" s="63"/>
      <c r="H14" s="63"/>
      <c r="I14" s="63"/>
      <c r="J14" s="63"/>
      <c r="K14" s="63"/>
      <c r="L14" s="63"/>
      <c r="M14" s="63"/>
      <c r="N14" s="63"/>
      <c r="O14" s="63"/>
      <c r="P14" s="63"/>
      <c r="Q14" s="63"/>
      <c r="R14" s="63"/>
      <c r="S14" s="63"/>
      <c r="T14" s="63"/>
      <c r="U14" s="63"/>
      <c r="V14" s="63"/>
      <c r="W14" s="63"/>
    </row>
    <row r="15" spans="1:48" ht="36" x14ac:dyDescent="0.3">
      <c r="A15" s="95">
        <v>2</v>
      </c>
      <c r="B15" s="62" t="s">
        <v>74</v>
      </c>
      <c r="C15" s="96">
        <v>2.5</v>
      </c>
      <c r="D15" s="63" t="s">
        <v>1147</v>
      </c>
      <c r="E15" s="63"/>
      <c r="F15" s="63"/>
      <c r="G15" s="63" t="s">
        <v>1132</v>
      </c>
      <c r="H15" s="63"/>
      <c r="I15" s="63"/>
      <c r="J15" s="63"/>
      <c r="K15" s="63"/>
      <c r="L15" s="63"/>
      <c r="M15" s="63"/>
      <c r="N15" s="63"/>
      <c r="O15" s="63"/>
      <c r="P15" s="63"/>
      <c r="Q15" s="63"/>
      <c r="R15" s="63"/>
      <c r="S15" s="63"/>
      <c r="T15" s="63"/>
      <c r="U15" s="63"/>
      <c r="V15" s="63"/>
      <c r="W15" s="63"/>
    </row>
    <row r="16" spans="1:48" ht="24" x14ac:dyDescent="0.3">
      <c r="A16" s="97">
        <v>1.5</v>
      </c>
      <c r="B16" s="64" t="s">
        <v>74</v>
      </c>
      <c r="C16" s="98">
        <v>2</v>
      </c>
      <c r="D16" s="65" t="s">
        <v>1149</v>
      </c>
      <c r="E16" s="65"/>
      <c r="F16" s="65"/>
      <c r="G16" s="65"/>
      <c r="H16" s="65"/>
      <c r="I16" s="65"/>
      <c r="J16" s="65"/>
      <c r="K16" s="65"/>
      <c r="L16" s="65"/>
      <c r="M16" s="65"/>
      <c r="N16" s="65"/>
      <c r="O16" s="65"/>
      <c r="P16" s="65"/>
      <c r="Q16" s="65"/>
      <c r="R16" s="65"/>
      <c r="S16" s="65"/>
      <c r="T16" s="65"/>
      <c r="U16" s="65"/>
      <c r="V16" s="65"/>
      <c r="W16" s="65"/>
    </row>
    <row r="17" spans="1:23" ht="36" x14ac:dyDescent="0.3">
      <c r="A17" s="97">
        <v>1</v>
      </c>
      <c r="B17" s="64" t="s">
        <v>74</v>
      </c>
      <c r="C17" s="98">
        <v>1.5</v>
      </c>
      <c r="D17" s="65" t="s">
        <v>1152</v>
      </c>
      <c r="E17" s="65" t="s">
        <v>1138</v>
      </c>
      <c r="F17" s="65"/>
      <c r="G17" s="65" t="s">
        <v>1135</v>
      </c>
      <c r="H17" s="65"/>
      <c r="I17" s="65"/>
      <c r="J17" s="65"/>
      <c r="K17" s="65"/>
      <c r="L17" s="65"/>
      <c r="M17" s="65"/>
      <c r="N17" s="65"/>
      <c r="O17" s="65"/>
      <c r="P17" s="65"/>
      <c r="Q17" s="65"/>
      <c r="R17" s="65"/>
      <c r="S17" s="65"/>
      <c r="T17" s="65"/>
      <c r="U17" s="65"/>
      <c r="V17" s="65"/>
      <c r="W17" s="65"/>
    </row>
    <row r="20" spans="1:23" x14ac:dyDescent="0.3">
      <c r="A20" s="53" t="s">
        <v>61</v>
      </c>
      <c r="B20" s="54"/>
      <c r="C20" s="55"/>
      <c r="D20" s="56" t="str">
        <f t="shared" ref="D20:W20" si="1">D7</f>
        <v>풍호동</v>
      </c>
      <c r="E20" s="56" t="str">
        <f t="shared" si="1"/>
        <v>자은동</v>
      </c>
      <c r="F20" s="56" t="str">
        <f t="shared" si="1"/>
        <v>장천동</v>
      </c>
      <c r="G20" s="56" t="str">
        <f t="shared" si="1"/>
        <v>석동</v>
      </c>
      <c r="H20" s="56" t="str">
        <f t="shared" si="1"/>
        <v/>
      </c>
      <c r="I20" s="56" t="str">
        <f t="shared" si="1"/>
        <v/>
      </c>
      <c r="J20" s="56" t="str">
        <f t="shared" si="1"/>
        <v/>
      </c>
      <c r="K20" s="56" t="str">
        <f t="shared" si="1"/>
        <v/>
      </c>
      <c r="L20" s="56" t="str">
        <f t="shared" si="1"/>
        <v/>
      </c>
      <c r="M20" s="56" t="str">
        <f t="shared" si="1"/>
        <v/>
      </c>
      <c r="N20" s="56" t="str">
        <f t="shared" si="1"/>
        <v/>
      </c>
      <c r="O20" s="56" t="str">
        <f t="shared" si="1"/>
        <v/>
      </c>
      <c r="P20" s="56" t="str">
        <f t="shared" si="1"/>
        <v/>
      </c>
      <c r="Q20" s="56" t="str">
        <f t="shared" si="1"/>
        <v/>
      </c>
      <c r="R20" s="56" t="str">
        <f t="shared" si="1"/>
        <v/>
      </c>
      <c r="S20" s="56" t="str">
        <f t="shared" si="1"/>
        <v/>
      </c>
      <c r="T20" s="56" t="str">
        <f t="shared" si="1"/>
        <v/>
      </c>
      <c r="U20" s="56" t="str">
        <f t="shared" si="1"/>
        <v/>
      </c>
      <c r="V20" s="56" t="str">
        <f t="shared" si="1"/>
        <v/>
      </c>
      <c r="W20" s="56" t="str">
        <f t="shared" si="1"/>
        <v/>
      </c>
    </row>
    <row r="21" spans="1:23" x14ac:dyDescent="0.3">
      <c r="A21" s="89">
        <f t="shared" ref="A21:C30" si="2">IF(A8="","",A8)</f>
        <v>8</v>
      </c>
      <c r="B21" s="59" t="str">
        <f t="shared" si="2"/>
        <v>~</v>
      </c>
      <c r="C21" s="90" t="str">
        <f t="shared" si="2"/>
        <v/>
      </c>
      <c r="D21" s="60"/>
      <c r="E21" s="60"/>
      <c r="F21" s="60"/>
      <c r="G21" s="60"/>
      <c r="H21" s="60"/>
      <c r="I21" s="60"/>
      <c r="J21" s="60"/>
      <c r="K21" s="60"/>
      <c r="L21" s="60"/>
      <c r="M21" s="60"/>
      <c r="N21" s="60"/>
      <c r="O21" s="60"/>
      <c r="P21" s="60"/>
      <c r="Q21" s="60"/>
      <c r="R21" s="60"/>
      <c r="S21" s="60"/>
      <c r="T21" s="60"/>
      <c r="U21" s="60"/>
      <c r="V21" s="60"/>
      <c r="W21" s="60"/>
    </row>
    <row r="22" spans="1:23" x14ac:dyDescent="0.3">
      <c r="A22" s="91">
        <f t="shared" si="2"/>
        <v>7</v>
      </c>
      <c r="B22" s="61" t="str">
        <f t="shared" si="2"/>
        <v>~</v>
      </c>
      <c r="C22" s="92">
        <f t="shared" si="2"/>
        <v>8</v>
      </c>
      <c r="D22" s="60"/>
      <c r="E22" s="60"/>
      <c r="F22" s="60"/>
      <c r="G22" s="60"/>
      <c r="H22" s="60"/>
      <c r="I22" s="60"/>
      <c r="J22" s="60"/>
      <c r="K22" s="60"/>
      <c r="L22" s="60"/>
      <c r="M22" s="60"/>
      <c r="N22" s="60"/>
      <c r="O22" s="60"/>
      <c r="P22" s="60"/>
      <c r="Q22" s="60"/>
      <c r="R22" s="60"/>
      <c r="S22" s="60"/>
      <c r="T22" s="60"/>
      <c r="U22" s="60"/>
      <c r="V22" s="60"/>
      <c r="W22" s="60"/>
    </row>
    <row r="23" spans="1:23" x14ac:dyDescent="0.3">
      <c r="A23" s="93">
        <f t="shared" si="2"/>
        <v>6</v>
      </c>
      <c r="B23" s="57" t="str">
        <f t="shared" si="2"/>
        <v>~</v>
      </c>
      <c r="C23" s="94">
        <f t="shared" si="2"/>
        <v>7</v>
      </c>
      <c r="D23" s="58"/>
      <c r="E23" s="58"/>
      <c r="F23" s="58"/>
      <c r="G23" s="58"/>
      <c r="H23" s="58"/>
      <c r="I23" s="58"/>
      <c r="J23" s="58"/>
      <c r="K23" s="58"/>
      <c r="L23" s="58"/>
      <c r="M23" s="58"/>
      <c r="N23" s="58"/>
      <c r="O23" s="58"/>
      <c r="P23" s="58"/>
      <c r="Q23" s="58"/>
      <c r="R23" s="58"/>
      <c r="S23" s="58"/>
      <c r="T23" s="58"/>
      <c r="U23" s="58"/>
      <c r="V23" s="58"/>
      <c r="W23" s="58"/>
    </row>
    <row r="24" spans="1:23" x14ac:dyDescent="0.3">
      <c r="A24" s="93">
        <f t="shared" si="2"/>
        <v>5</v>
      </c>
      <c r="B24" s="57" t="str">
        <f t="shared" si="2"/>
        <v>~</v>
      </c>
      <c r="C24" s="94">
        <f t="shared" si="2"/>
        <v>6</v>
      </c>
      <c r="D24" s="58"/>
      <c r="E24" s="58"/>
      <c r="F24" s="58"/>
      <c r="G24" s="58"/>
      <c r="H24" s="58"/>
      <c r="I24" s="58"/>
      <c r="J24" s="58"/>
      <c r="K24" s="58"/>
      <c r="L24" s="58"/>
      <c r="M24" s="58"/>
      <c r="N24" s="58"/>
      <c r="O24" s="58"/>
      <c r="P24" s="58"/>
      <c r="Q24" s="58"/>
      <c r="R24" s="58"/>
      <c r="S24" s="58"/>
      <c r="T24" s="58"/>
      <c r="U24" s="58"/>
      <c r="V24" s="58"/>
      <c r="W24" s="58"/>
    </row>
    <row r="25" spans="1:23" ht="24" x14ac:dyDescent="0.3">
      <c r="A25" s="93">
        <f t="shared" si="2"/>
        <v>4</v>
      </c>
      <c r="B25" s="57" t="str">
        <f t="shared" si="2"/>
        <v>~</v>
      </c>
      <c r="C25" s="94">
        <f t="shared" si="2"/>
        <v>5</v>
      </c>
      <c r="D25" s="58" t="s">
        <v>1142</v>
      </c>
      <c r="E25" s="58" t="s">
        <v>1119</v>
      </c>
      <c r="F25" s="58"/>
      <c r="G25" s="58" t="s">
        <v>1117</v>
      </c>
      <c r="H25" s="58"/>
      <c r="I25" s="58"/>
      <c r="J25" s="58"/>
      <c r="K25" s="58"/>
      <c r="L25" s="58"/>
      <c r="M25" s="58"/>
      <c r="N25" s="58"/>
      <c r="O25" s="58"/>
      <c r="P25" s="58"/>
      <c r="Q25" s="58"/>
      <c r="R25" s="58"/>
      <c r="S25" s="58"/>
      <c r="T25" s="58"/>
      <c r="U25" s="58"/>
      <c r="V25" s="58"/>
      <c r="W25" s="58"/>
    </row>
    <row r="26" spans="1:23" ht="48" x14ac:dyDescent="0.3">
      <c r="A26" s="95">
        <f t="shared" si="2"/>
        <v>3</v>
      </c>
      <c r="B26" s="62" t="str">
        <f t="shared" si="2"/>
        <v>~</v>
      </c>
      <c r="C26" s="96">
        <f t="shared" si="2"/>
        <v>4</v>
      </c>
      <c r="D26" s="63" t="s">
        <v>1145</v>
      </c>
      <c r="E26" s="63" t="s">
        <v>1126</v>
      </c>
      <c r="F26" s="63" t="s">
        <v>1122</v>
      </c>
      <c r="G26" s="63" t="s">
        <v>1124</v>
      </c>
      <c r="H26" s="63"/>
      <c r="I26" s="63"/>
      <c r="J26" s="63"/>
      <c r="K26" s="63"/>
      <c r="L26" s="63"/>
      <c r="M26" s="63"/>
      <c r="N26" s="63"/>
      <c r="O26" s="63"/>
      <c r="P26" s="63"/>
      <c r="Q26" s="63"/>
      <c r="R26" s="63"/>
      <c r="S26" s="63"/>
      <c r="T26" s="63"/>
      <c r="U26" s="63"/>
      <c r="V26" s="63"/>
      <c r="W26" s="63"/>
    </row>
    <row r="27" spans="1:23" x14ac:dyDescent="0.3">
      <c r="A27" s="95">
        <f t="shared" si="2"/>
        <v>2.5</v>
      </c>
      <c r="B27" s="62" t="str">
        <f t="shared" si="2"/>
        <v>~</v>
      </c>
      <c r="C27" s="96">
        <f t="shared" si="2"/>
        <v>3</v>
      </c>
      <c r="D27" s="63"/>
      <c r="E27" s="63" t="s">
        <v>1131</v>
      </c>
      <c r="F27" s="63"/>
      <c r="G27" s="63"/>
      <c r="H27" s="63"/>
      <c r="I27" s="63"/>
      <c r="J27" s="63"/>
      <c r="K27" s="63"/>
      <c r="L27" s="63"/>
      <c r="M27" s="63"/>
      <c r="N27" s="63"/>
      <c r="O27" s="63"/>
      <c r="P27" s="63"/>
      <c r="Q27" s="63"/>
      <c r="R27" s="63"/>
      <c r="S27" s="63"/>
      <c r="T27" s="63"/>
      <c r="U27" s="63"/>
      <c r="V27" s="63"/>
      <c r="W27" s="63"/>
    </row>
    <row r="28" spans="1:23" ht="24" x14ac:dyDescent="0.3">
      <c r="A28" s="95">
        <f t="shared" si="2"/>
        <v>2</v>
      </c>
      <c r="B28" s="62" t="str">
        <f t="shared" si="2"/>
        <v>~</v>
      </c>
      <c r="C28" s="96">
        <f t="shared" si="2"/>
        <v>2.5</v>
      </c>
      <c r="D28" s="63" t="s">
        <v>1148</v>
      </c>
      <c r="E28" s="63"/>
      <c r="F28" s="63"/>
      <c r="G28" s="63"/>
      <c r="H28" s="63"/>
      <c r="I28" s="63"/>
      <c r="J28" s="63"/>
      <c r="K28" s="63"/>
      <c r="L28" s="63"/>
      <c r="M28" s="63"/>
      <c r="N28" s="63"/>
      <c r="O28" s="63"/>
      <c r="P28" s="63"/>
      <c r="Q28" s="63"/>
      <c r="R28" s="63"/>
      <c r="S28" s="63"/>
      <c r="T28" s="63"/>
      <c r="U28" s="63"/>
      <c r="V28" s="63"/>
      <c r="W28" s="63"/>
    </row>
    <row r="29" spans="1:23" x14ac:dyDescent="0.3">
      <c r="A29" s="97">
        <f t="shared" si="2"/>
        <v>1.5</v>
      </c>
      <c r="B29" s="64" t="str">
        <f t="shared" si="2"/>
        <v>~</v>
      </c>
      <c r="C29" s="98">
        <f t="shared" si="2"/>
        <v>2</v>
      </c>
      <c r="D29" s="65"/>
      <c r="E29" s="65"/>
      <c r="F29" s="65"/>
      <c r="G29" s="65"/>
      <c r="H29" s="65"/>
      <c r="I29" s="65"/>
      <c r="J29" s="65"/>
      <c r="K29" s="65"/>
      <c r="L29" s="65"/>
      <c r="M29" s="65"/>
      <c r="N29" s="65"/>
      <c r="O29" s="65"/>
      <c r="P29" s="65"/>
      <c r="Q29" s="65"/>
      <c r="R29" s="65"/>
      <c r="S29" s="65"/>
      <c r="T29" s="65"/>
      <c r="U29" s="65"/>
      <c r="V29" s="65"/>
      <c r="W29" s="65"/>
    </row>
    <row r="30" spans="1:23" x14ac:dyDescent="0.3">
      <c r="A30" s="97">
        <f t="shared" si="2"/>
        <v>1</v>
      </c>
      <c r="B30" s="64" t="str">
        <f t="shared" si="2"/>
        <v>~</v>
      </c>
      <c r="C30" s="98">
        <f t="shared" si="2"/>
        <v>1.5</v>
      </c>
      <c r="D30" s="65"/>
      <c r="E30" s="65"/>
      <c r="F30" s="65"/>
      <c r="G30" s="65"/>
      <c r="H30" s="65"/>
      <c r="I30" s="65"/>
      <c r="J30" s="65"/>
      <c r="K30" s="65"/>
      <c r="L30" s="65"/>
      <c r="M30" s="65"/>
      <c r="N30" s="65"/>
      <c r="O30" s="65"/>
      <c r="P30" s="65"/>
      <c r="Q30" s="65"/>
      <c r="R30" s="65"/>
      <c r="S30" s="65"/>
      <c r="T30" s="65"/>
      <c r="U30" s="65"/>
      <c r="V30" s="65"/>
      <c r="W30" s="65"/>
    </row>
    <row r="33" spans="1:23" x14ac:dyDescent="0.3">
      <c r="A33" s="53" t="s">
        <v>75</v>
      </c>
      <c r="B33" s="54"/>
      <c r="C33" s="55"/>
      <c r="D33" s="56" t="str">
        <f t="shared" ref="D33:W33" si="3">D20</f>
        <v>풍호동</v>
      </c>
      <c r="E33" s="56" t="str">
        <f t="shared" si="3"/>
        <v>자은동</v>
      </c>
      <c r="F33" s="56" t="str">
        <f t="shared" si="3"/>
        <v>장천동</v>
      </c>
      <c r="G33" s="56" t="str">
        <f t="shared" si="3"/>
        <v>석동</v>
      </c>
      <c r="H33" s="56" t="str">
        <f t="shared" si="3"/>
        <v/>
      </c>
      <c r="I33" s="56" t="str">
        <f t="shared" si="3"/>
        <v/>
      </c>
      <c r="J33" s="56" t="str">
        <f t="shared" si="3"/>
        <v/>
      </c>
      <c r="K33" s="56" t="str">
        <f t="shared" si="3"/>
        <v/>
      </c>
      <c r="L33" s="56" t="str">
        <f t="shared" si="3"/>
        <v/>
      </c>
      <c r="M33" s="56" t="str">
        <f t="shared" si="3"/>
        <v/>
      </c>
      <c r="N33" s="56" t="str">
        <f t="shared" si="3"/>
        <v/>
      </c>
      <c r="O33" s="56" t="str">
        <f t="shared" si="3"/>
        <v/>
      </c>
      <c r="P33" s="56" t="str">
        <f t="shared" si="3"/>
        <v/>
      </c>
      <c r="Q33" s="56" t="str">
        <f t="shared" si="3"/>
        <v/>
      </c>
      <c r="R33" s="56" t="str">
        <f t="shared" si="3"/>
        <v/>
      </c>
      <c r="S33" s="56" t="str">
        <f t="shared" si="3"/>
        <v/>
      </c>
      <c r="T33" s="56" t="str">
        <f t="shared" si="3"/>
        <v/>
      </c>
      <c r="U33" s="56" t="str">
        <f t="shared" si="3"/>
        <v/>
      </c>
      <c r="V33" s="56" t="str">
        <f t="shared" si="3"/>
        <v/>
      </c>
      <c r="W33" s="56" t="str">
        <f t="shared" si="3"/>
        <v/>
      </c>
    </row>
    <row r="34" spans="1:23" x14ac:dyDescent="0.3">
      <c r="A34" s="89">
        <f t="shared" ref="A34:C43" si="4">IF(A21="","",A21)</f>
        <v>8</v>
      </c>
      <c r="B34" s="59" t="str">
        <f t="shared" si="4"/>
        <v>~</v>
      </c>
      <c r="C34" s="90" t="str">
        <f t="shared" si="4"/>
        <v/>
      </c>
      <c r="D34" s="60"/>
      <c r="E34" s="60"/>
      <c r="F34" s="60"/>
      <c r="G34" s="60"/>
      <c r="H34" s="60"/>
      <c r="I34" s="60"/>
      <c r="J34" s="60"/>
      <c r="K34" s="60"/>
      <c r="L34" s="60"/>
      <c r="M34" s="60"/>
      <c r="N34" s="60"/>
      <c r="O34" s="60"/>
      <c r="P34" s="60"/>
      <c r="Q34" s="60"/>
      <c r="R34" s="60"/>
      <c r="S34" s="60"/>
      <c r="T34" s="60"/>
      <c r="U34" s="60"/>
      <c r="V34" s="60"/>
      <c r="W34" s="60"/>
    </row>
    <row r="35" spans="1:23" x14ac:dyDescent="0.3">
      <c r="A35" s="91">
        <f t="shared" si="4"/>
        <v>7</v>
      </c>
      <c r="B35" s="61" t="str">
        <f t="shared" si="4"/>
        <v>~</v>
      </c>
      <c r="C35" s="92">
        <f t="shared" si="4"/>
        <v>8</v>
      </c>
      <c r="D35" s="60"/>
      <c r="E35" s="60"/>
      <c r="F35" s="60"/>
      <c r="G35" s="60"/>
      <c r="H35" s="60"/>
      <c r="I35" s="60"/>
      <c r="J35" s="60"/>
      <c r="K35" s="60"/>
      <c r="L35" s="60"/>
      <c r="M35" s="60"/>
      <c r="N35" s="60"/>
      <c r="O35" s="60"/>
      <c r="P35" s="60"/>
      <c r="Q35" s="60"/>
      <c r="R35" s="60"/>
      <c r="S35" s="60"/>
      <c r="T35" s="60"/>
      <c r="U35" s="60"/>
      <c r="V35" s="60"/>
      <c r="W35" s="60"/>
    </row>
    <row r="36" spans="1:23" x14ac:dyDescent="0.3">
      <c r="A36" s="93">
        <f t="shared" si="4"/>
        <v>6</v>
      </c>
      <c r="B36" s="57" t="str">
        <f t="shared" si="4"/>
        <v>~</v>
      </c>
      <c r="C36" s="94">
        <f t="shared" si="4"/>
        <v>7</v>
      </c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</row>
    <row r="37" spans="1:23" x14ac:dyDescent="0.3">
      <c r="A37" s="93">
        <f t="shared" si="4"/>
        <v>5</v>
      </c>
      <c r="B37" s="57" t="str">
        <f t="shared" si="4"/>
        <v>~</v>
      </c>
      <c r="C37" s="94">
        <f t="shared" si="4"/>
        <v>6</v>
      </c>
      <c r="D37" s="58"/>
      <c r="E37" s="58"/>
      <c r="F37" s="58"/>
      <c r="G37" s="58"/>
      <c r="H37" s="58"/>
      <c r="I37" s="58"/>
      <c r="J37" s="58"/>
      <c r="K37" s="58"/>
      <c r="L37" s="58"/>
      <c r="M37" s="58"/>
      <c r="N37" s="58"/>
      <c r="O37" s="58"/>
      <c r="P37" s="58"/>
      <c r="Q37" s="58"/>
      <c r="R37" s="58"/>
      <c r="S37" s="58"/>
      <c r="T37" s="58"/>
      <c r="U37" s="58"/>
      <c r="V37" s="58"/>
      <c r="W37" s="58"/>
    </row>
    <row r="38" spans="1:23" x14ac:dyDescent="0.3">
      <c r="A38" s="93">
        <f t="shared" si="4"/>
        <v>4</v>
      </c>
      <c r="B38" s="57" t="str">
        <f t="shared" si="4"/>
        <v>~</v>
      </c>
      <c r="C38" s="94">
        <f t="shared" si="4"/>
        <v>5</v>
      </c>
      <c r="D38" s="58"/>
      <c r="E38" s="58"/>
      <c r="F38" s="58"/>
      <c r="G38" s="58"/>
      <c r="H38" s="58"/>
      <c r="I38" s="58"/>
      <c r="J38" s="58"/>
      <c r="K38" s="58"/>
      <c r="L38" s="58"/>
      <c r="M38" s="58"/>
      <c r="N38" s="58"/>
      <c r="O38" s="58"/>
      <c r="P38" s="58"/>
      <c r="Q38" s="58"/>
      <c r="R38" s="58"/>
      <c r="S38" s="58"/>
      <c r="T38" s="58"/>
      <c r="U38" s="58"/>
      <c r="V38" s="58"/>
      <c r="W38" s="58"/>
    </row>
    <row r="39" spans="1:23" x14ac:dyDescent="0.3">
      <c r="A39" s="95">
        <f t="shared" si="4"/>
        <v>3</v>
      </c>
      <c r="B39" s="62" t="str">
        <f t="shared" si="4"/>
        <v>~</v>
      </c>
      <c r="C39" s="96">
        <f t="shared" si="4"/>
        <v>4</v>
      </c>
      <c r="D39" s="63" t="s">
        <v>1143</v>
      </c>
      <c r="E39" s="63"/>
      <c r="F39" s="63" t="s">
        <v>1120</v>
      </c>
      <c r="G39" s="63"/>
      <c r="H39" s="63"/>
      <c r="I39" s="63"/>
      <c r="J39" s="63"/>
      <c r="K39" s="63"/>
      <c r="L39" s="63"/>
      <c r="M39" s="63"/>
      <c r="N39" s="63"/>
      <c r="O39" s="63"/>
      <c r="P39" s="63"/>
      <c r="Q39" s="63"/>
      <c r="R39" s="63"/>
      <c r="S39" s="63"/>
      <c r="T39" s="63"/>
      <c r="U39" s="63"/>
      <c r="V39" s="63"/>
      <c r="W39" s="63"/>
    </row>
    <row r="40" spans="1:23" ht="24" x14ac:dyDescent="0.3">
      <c r="A40" s="95">
        <f t="shared" si="4"/>
        <v>2.5</v>
      </c>
      <c r="B40" s="62" t="str">
        <f t="shared" si="4"/>
        <v>~</v>
      </c>
      <c r="C40" s="96">
        <f t="shared" si="4"/>
        <v>3</v>
      </c>
      <c r="D40" s="63"/>
      <c r="E40" s="63" t="s">
        <v>1127</v>
      </c>
      <c r="F40" s="63" t="s">
        <v>1129</v>
      </c>
      <c r="G40" s="63"/>
      <c r="H40" s="63"/>
      <c r="I40" s="63"/>
      <c r="J40" s="63"/>
      <c r="K40" s="63"/>
      <c r="L40" s="63"/>
      <c r="M40" s="63"/>
      <c r="N40" s="63"/>
      <c r="O40" s="63"/>
      <c r="P40" s="63"/>
      <c r="Q40" s="63"/>
      <c r="R40" s="63"/>
      <c r="S40" s="63"/>
      <c r="T40" s="63"/>
      <c r="U40" s="63"/>
      <c r="V40" s="63"/>
      <c r="W40" s="63"/>
    </row>
    <row r="41" spans="1:23" x14ac:dyDescent="0.3">
      <c r="A41" s="95">
        <f t="shared" si="4"/>
        <v>2</v>
      </c>
      <c r="B41" s="62" t="str">
        <f t="shared" si="4"/>
        <v>~</v>
      </c>
      <c r="C41" s="96">
        <f t="shared" si="4"/>
        <v>2.5</v>
      </c>
      <c r="D41" s="63" t="s">
        <v>1146</v>
      </c>
      <c r="E41" s="63"/>
      <c r="F41" s="63"/>
      <c r="G41" s="63" t="s">
        <v>1133</v>
      </c>
      <c r="H41" s="63"/>
      <c r="I41" s="63"/>
      <c r="J41" s="63"/>
      <c r="K41" s="63"/>
      <c r="L41" s="63"/>
      <c r="M41" s="63"/>
      <c r="N41" s="63"/>
      <c r="O41" s="63"/>
      <c r="P41" s="63"/>
      <c r="Q41" s="63"/>
      <c r="R41" s="63"/>
      <c r="S41" s="63"/>
      <c r="T41" s="63"/>
      <c r="U41" s="63"/>
      <c r="V41" s="63"/>
      <c r="W41" s="63"/>
    </row>
    <row r="42" spans="1:23" ht="24" x14ac:dyDescent="0.3">
      <c r="A42" s="97">
        <f t="shared" si="4"/>
        <v>1.5</v>
      </c>
      <c r="B42" s="64" t="str">
        <f t="shared" si="4"/>
        <v>~</v>
      </c>
      <c r="C42" s="98">
        <f t="shared" si="4"/>
        <v>2</v>
      </c>
      <c r="D42" s="65" t="s">
        <v>1150</v>
      </c>
      <c r="E42" s="65"/>
      <c r="F42" s="65"/>
      <c r="G42" s="65"/>
      <c r="H42" s="65"/>
      <c r="I42" s="65"/>
      <c r="J42" s="65"/>
      <c r="K42" s="65"/>
      <c r="L42" s="65"/>
      <c r="M42" s="65"/>
      <c r="N42" s="65"/>
      <c r="O42" s="65"/>
      <c r="P42" s="65"/>
      <c r="Q42" s="65"/>
      <c r="R42" s="65"/>
      <c r="S42" s="65"/>
      <c r="T42" s="65"/>
      <c r="U42" s="65"/>
      <c r="V42" s="65"/>
      <c r="W42" s="65"/>
    </row>
    <row r="43" spans="1:23" x14ac:dyDescent="0.3">
      <c r="A43" s="97">
        <f t="shared" si="4"/>
        <v>1</v>
      </c>
      <c r="B43" s="64" t="str">
        <f t="shared" si="4"/>
        <v>~</v>
      </c>
      <c r="C43" s="98">
        <f t="shared" si="4"/>
        <v>1.5</v>
      </c>
      <c r="D43" s="65"/>
      <c r="E43" s="65" t="s">
        <v>1134</v>
      </c>
      <c r="F43" s="65"/>
      <c r="G43" s="65"/>
      <c r="H43" s="65"/>
      <c r="I43" s="65"/>
      <c r="J43" s="65"/>
      <c r="K43" s="65"/>
      <c r="L43" s="65"/>
      <c r="M43" s="65"/>
      <c r="N43" s="65"/>
      <c r="O43" s="65"/>
      <c r="P43" s="65"/>
      <c r="Q43" s="65"/>
      <c r="R43" s="65"/>
      <c r="S43" s="65"/>
      <c r="T43" s="65"/>
      <c r="U43" s="65"/>
      <c r="V43" s="65"/>
      <c r="W43" s="65"/>
    </row>
    <row r="46" spans="1:23" x14ac:dyDescent="0.3">
      <c r="A46" s="53" t="s">
        <v>76</v>
      </c>
      <c r="B46" s="54"/>
      <c r="C46" s="55"/>
      <c r="D46" s="56" t="str">
        <f t="shared" ref="D46:W46" si="5">D33</f>
        <v>풍호동</v>
      </c>
      <c r="E46" s="56" t="str">
        <f t="shared" si="5"/>
        <v>자은동</v>
      </c>
      <c r="F46" s="56" t="str">
        <f t="shared" si="5"/>
        <v>장천동</v>
      </c>
      <c r="G46" s="56" t="str">
        <f t="shared" si="5"/>
        <v>석동</v>
      </c>
      <c r="H46" s="56" t="str">
        <f t="shared" si="5"/>
        <v/>
      </c>
      <c r="I46" s="56" t="str">
        <f t="shared" si="5"/>
        <v/>
      </c>
      <c r="J46" s="56" t="str">
        <f t="shared" si="5"/>
        <v/>
      </c>
      <c r="K46" s="56" t="str">
        <f t="shared" si="5"/>
        <v/>
      </c>
      <c r="L46" s="56" t="str">
        <f t="shared" si="5"/>
        <v/>
      </c>
      <c r="M46" s="56" t="str">
        <f t="shared" si="5"/>
        <v/>
      </c>
      <c r="N46" s="56" t="str">
        <f t="shared" si="5"/>
        <v/>
      </c>
      <c r="O46" s="56" t="str">
        <f t="shared" si="5"/>
        <v/>
      </c>
      <c r="P46" s="56" t="str">
        <f t="shared" si="5"/>
        <v/>
      </c>
      <c r="Q46" s="56" t="str">
        <f t="shared" si="5"/>
        <v/>
      </c>
      <c r="R46" s="56" t="str">
        <f t="shared" si="5"/>
        <v/>
      </c>
      <c r="S46" s="56" t="str">
        <f t="shared" si="5"/>
        <v/>
      </c>
      <c r="T46" s="56" t="str">
        <f t="shared" si="5"/>
        <v/>
      </c>
      <c r="U46" s="56" t="str">
        <f t="shared" si="5"/>
        <v/>
      </c>
      <c r="V46" s="56" t="str">
        <f t="shared" si="5"/>
        <v/>
      </c>
      <c r="W46" s="56" t="str">
        <f t="shared" si="5"/>
        <v/>
      </c>
    </row>
    <row r="47" spans="1:23" x14ac:dyDescent="0.3">
      <c r="A47" s="89">
        <f t="shared" ref="A47:C56" si="6">IF(A34="","",A34)</f>
        <v>8</v>
      </c>
      <c r="B47" s="59" t="str">
        <f t="shared" si="6"/>
        <v>~</v>
      </c>
      <c r="C47" s="90" t="str">
        <f t="shared" si="6"/>
        <v/>
      </c>
      <c r="D47" s="60"/>
      <c r="E47" s="60"/>
      <c r="F47" s="60"/>
      <c r="G47" s="60"/>
      <c r="H47" s="60"/>
      <c r="I47" s="60"/>
      <c r="J47" s="60"/>
      <c r="K47" s="60"/>
      <c r="L47" s="60"/>
      <c r="M47" s="60"/>
      <c r="N47" s="60"/>
      <c r="O47" s="60"/>
      <c r="P47" s="60"/>
      <c r="Q47" s="60"/>
      <c r="R47" s="60"/>
      <c r="S47" s="60"/>
      <c r="T47" s="60"/>
      <c r="U47" s="60"/>
      <c r="V47" s="60"/>
      <c r="W47" s="60"/>
    </row>
    <row r="48" spans="1:23" x14ac:dyDescent="0.3">
      <c r="A48" s="91">
        <f t="shared" si="6"/>
        <v>7</v>
      </c>
      <c r="B48" s="61" t="str">
        <f t="shared" si="6"/>
        <v>~</v>
      </c>
      <c r="C48" s="92">
        <f t="shared" si="6"/>
        <v>8</v>
      </c>
      <c r="D48" s="60"/>
      <c r="E48" s="60"/>
      <c r="F48" s="60"/>
      <c r="G48" s="60"/>
      <c r="H48" s="60"/>
      <c r="I48" s="60"/>
      <c r="J48" s="60"/>
      <c r="K48" s="60"/>
      <c r="L48" s="60"/>
      <c r="M48" s="60"/>
      <c r="N48" s="60"/>
      <c r="O48" s="60"/>
      <c r="P48" s="60"/>
      <c r="Q48" s="60"/>
      <c r="R48" s="60"/>
      <c r="S48" s="60"/>
      <c r="T48" s="60"/>
      <c r="U48" s="60"/>
      <c r="V48" s="60"/>
      <c r="W48" s="60"/>
    </row>
    <row r="49" spans="1:23" x14ac:dyDescent="0.3">
      <c r="A49" s="93">
        <f t="shared" si="6"/>
        <v>6</v>
      </c>
      <c r="B49" s="57" t="str">
        <f t="shared" si="6"/>
        <v>~</v>
      </c>
      <c r="C49" s="94">
        <f t="shared" si="6"/>
        <v>7</v>
      </c>
      <c r="D49" s="58"/>
      <c r="E49" s="58"/>
      <c r="F49" s="58"/>
      <c r="G49" s="58"/>
      <c r="H49" s="58"/>
      <c r="I49" s="58"/>
      <c r="J49" s="58"/>
      <c r="K49" s="58"/>
      <c r="L49" s="58"/>
      <c r="M49" s="58"/>
      <c r="N49" s="58"/>
      <c r="O49" s="58"/>
      <c r="P49" s="58"/>
      <c r="Q49" s="58"/>
      <c r="R49" s="58"/>
      <c r="S49" s="58"/>
      <c r="T49" s="58"/>
      <c r="U49" s="58"/>
      <c r="V49" s="58"/>
      <c r="W49" s="58"/>
    </row>
    <row r="50" spans="1:23" x14ac:dyDescent="0.3">
      <c r="A50" s="93">
        <f t="shared" si="6"/>
        <v>5</v>
      </c>
      <c r="B50" s="57" t="str">
        <f t="shared" si="6"/>
        <v>~</v>
      </c>
      <c r="C50" s="94">
        <f t="shared" si="6"/>
        <v>6</v>
      </c>
      <c r="D50" s="58"/>
      <c r="E50" s="58"/>
      <c r="F50" s="58"/>
      <c r="G50" s="58"/>
      <c r="H50" s="58"/>
      <c r="I50" s="58"/>
      <c r="J50" s="58"/>
      <c r="K50" s="58"/>
      <c r="L50" s="58"/>
      <c r="M50" s="58"/>
      <c r="N50" s="58"/>
      <c r="O50" s="58"/>
      <c r="P50" s="58"/>
      <c r="Q50" s="58"/>
      <c r="R50" s="58"/>
      <c r="S50" s="58"/>
      <c r="T50" s="58"/>
      <c r="U50" s="58"/>
      <c r="V50" s="58"/>
      <c r="W50" s="58"/>
    </row>
    <row r="51" spans="1:23" x14ac:dyDescent="0.3">
      <c r="A51" s="93">
        <f t="shared" si="6"/>
        <v>4</v>
      </c>
      <c r="B51" s="57" t="str">
        <f t="shared" si="6"/>
        <v>~</v>
      </c>
      <c r="C51" s="94">
        <f t="shared" si="6"/>
        <v>5</v>
      </c>
      <c r="D51" s="58"/>
      <c r="E51" s="58"/>
      <c r="F51" s="58"/>
      <c r="G51" s="58"/>
      <c r="H51" s="58"/>
      <c r="I51" s="58"/>
      <c r="J51" s="58"/>
      <c r="K51" s="58"/>
      <c r="L51" s="58"/>
      <c r="M51" s="58"/>
      <c r="N51" s="58"/>
      <c r="O51" s="58"/>
      <c r="P51" s="58"/>
      <c r="Q51" s="58"/>
      <c r="R51" s="58"/>
      <c r="S51" s="58"/>
      <c r="T51" s="58"/>
      <c r="U51" s="58"/>
      <c r="V51" s="58"/>
      <c r="W51" s="58"/>
    </row>
    <row r="52" spans="1:23" x14ac:dyDescent="0.3">
      <c r="A52" s="95">
        <f t="shared" si="6"/>
        <v>3</v>
      </c>
      <c r="B52" s="62" t="str">
        <f t="shared" si="6"/>
        <v>~</v>
      </c>
      <c r="C52" s="96">
        <f t="shared" si="6"/>
        <v>4</v>
      </c>
      <c r="D52" s="63"/>
      <c r="E52" s="63"/>
      <c r="F52" s="63"/>
      <c r="G52" s="63"/>
      <c r="H52" s="63"/>
      <c r="I52" s="63"/>
      <c r="J52" s="63"/>
      <c r="K52" s="63"/>
      <c r="L52" s="63"/>
      <c r="M52" s="63"/>
      <c r="N52" s="63"/>
      <c r="O52" s="63"/>
      <c r="P52" s="63"/>
      <c r="Q52" s="63"/>
      <c r="R52" s="63"/>
      <c r="S52" s="63"/>
      <c r="T52" s="63"/>
      <c r="U52" s="63"/>
      <c r="V52" s="63"/>
      <c r="W52" s="63"/>
    </row>
    <row r="53" spans="1:23" x14ac:dyDescent="0.3">
      <c r="A53" s="95">
        <f t="shared" si="6"/>
        <v>2.5</v>
      </c>
      <c r="B53" s="62" t="str">
        <f t="shared" si="6"/>
        <v>~</v>
      </c>
      <c r="C53" s="96">
        <f t="shared" si="6"/>
        <v>3</v>
      </c>
      <c r="D53" s="63"/>
      <c r="E53" s="63"/>
      <c r="F53" s="63"/>
      <c r="G53" s="63"/>
      <c r="H53" s="63"/>
      <c r="I53" s="63"/>
      <c r="J53" s="63"/>
      <c r="K53" s="63"/>
      <c r="L53" s="63"/>
      <c r="M53" s="63"/>
      <c r="N53" s="63"/>
      <c r="O53" s="63"/>
      <c r="P53" s="63"/>
      <c r="Q53" s="63"/>
      <c r="R53" s="63"/>
      <c r="S53" s="63"/>
      <c r="T53" s="63"/>
      <c r="U53" s="63"/>
      <c r="V53" s="63"/>
      <c r="W53" s="63"/>
    </row>
    <row r="54" spans="1:23" x14ac:dyDescent="0.3">
      <c r="A54" s="95">
        <f t="shared" si="6"/>
        <v>2</v>
      </c>
      <c r="B54" s="62" t="str">
        <f t="shared" si="6"/>
        <v>~</v>
      </c>
      <c r="C54" s="96">
        <f t="shared" si="6"/>
        <v>2.5</v>
      </c>
      <c r="D54" s="63"/>
      <c r="E54" s="63"/>
      <c r="F54" s="63"/>
      <c r="G54" s="63"/>
      <c r="H54" s="63"/>
      <c r="I54" s="63"/>
      <c r="J54" s="63"/>
      <c r="K54" s="63"/>
      <c r="L54" s="63"/>
      <c r="M54" s="63"/>
      <c r="N54" s="63"/>
      <c r="O54" s="63"/>
      <c r="P54" s="63"/>
      <c r="Q54" s="63"/>
      <c r="R54" s="63"/>
      <c r="S54" s="63"/>
      <c r="T54" s="63"/>
      <c r="U54" s="63"/>
      <c r="V54" s="63"/>
      <c r="W54" s="63"/>
    </row>
    <row r="55" spans="1:23" x14ac:dyDescent="0.3">
      <c r="A55" s="97">
        <f t="shared" si="6"/>
        <v>1.5</v>
      </c>
      <c r="B55" s="64" t="str">
        <f t="shared" si="6"/>
        <v>~</v>
      </c>
      <c r="C55" s="98">
        <f t="shared" si="6"/>
        <v>2</v>
      </c>
      <c r="D55" s="65"/>
      <c r="E55" s="65"/>
      <c r="F55" s="65"/>
      <c r="G55" s="65"/>
      <c r="H55" s="65"/>
      <c r="I55" s="65"/>
      <c r="J55" s="65"/>
      <c r="K55" s="65"/>
      <c r="L55" s="65"/>
      <c r="M55" s="65"/>
      <c r="N55" s="65"/>
      <c r="O55" s="65"/>
      <c r="P55" s="65"/>
      <c r="Q55" s="65"/>
      <c r="R55" s="65"/>
      <c r="S55" s="65"/>
      <c r="T55" s="65"/>
      <c r="U55" s="65"/>
      <c r="V55" s="65"/>
      <c r="W55" s="65"/>
    </row>
    <row r="56" spans="1:23" x14ac:dyDescent="0.3">
      <c r="A56" s="97">
        <f t="shared" si="6"/>
        <v>1</v>
      </c>
      <c r="B56" s="64" t="str">
        <f t="shared" si="6"/>
        <v>~</v>
      </c>
      <c r="C56" s="98">
        <f t="shared" si="6"/>
        <v>1.5</v>
      </c>
      <c r="D56" s="65" t="s">
        <v>1151</v>
      </c>
      <c r="E56" s="65" t="s">
        <v>1137</v>
      </c>
      <c r="F56" s="65"/>
      <c r="G56" s="65"/>
      <c r="H56" s="65"/>
      <c r="I56" s="65"/>
      <c r="J56" s="65"/>
      <c r="K56" s="65"/>
      <c r="L56" s="65"/>
      <c r="M56" s="65"/>
      <c r="N56" s="65"/>
      <c r="O56" s="65"/>
      <c r="P56" s="65"/>
      <c r="Q56" s="65"/>
      <c r="R56" s="65"/>
      <c r="S56" s="65"/>
      <c r="T56" s="65"/>
      <c r="U56" s="65"/>
      <c r="V56" s="65"/>
      <c r="W56" s="65"/>
    </row>
    <row r="59" spans="1:23" x14ac:dyDescent="0.3">
      <c r="A59" s="53" t="s">
        <v>68</v>
      </c>
      <c r="B59" s="54"/>
      <c r="C59" s="55"/>
      <c r="D59" s="56" t="str">
        <f t="shared" ref="D59:W59" si="7">D46</f>
        <v>풍호동</v>
      </c>
      <c r="E59" s="56" t="str">
        <f t="shared" si="7"/>
        <v>자은동</v>
      </c>
      <c r="F59" s="56" t="str">
        <f t="shared" si="7"/>
        <v>장천동</v>
      </c>
      <c r="G59" s="56" t="str">
        <f t="shared" si="7"/>
        <v>석동</v>
      </c>
      <c r="H59" s="56" t="str">
        <f t="shared" si="7"/>
        <v/>
      </c>
      <c r="I59" s="56" t="str">
        <f t="shared" si="7"/>
        <v/>
      </c>
      <c r="J59" s="56" t="str">
        <f t="shared" si="7"/>
        <v/>
      </c>
      <c r="K59" s="56" t="str">
        <f t="shared" si="7"/>
        <v/>
      </c>
      <c r="L59" s="56" t="str">
        <f t="shared" si="7"/>
        <v/>
      </c>
      <c r="M59" s="56" t="str">
        <f t="shared" si="7"/>
        <v/>
      </c>
      <c r="N59" s="56" t="str">
        <f t="shared" si="7"/>
        <v/>
      </c>
      <c r="O59" s="56" t="str">
        <f t="shared" si="7"/>
        <v/>
      </c>
      <c r="P59" s="56" t="str">
        <f t="shared" si="7"/>
        <v/>
      </c>
      <c r="Q59" s="56" t="str">
        <f t="shared" si="7"/>
        <v/>
      </c>
      <c r="R59" s="56" t="str">
        <f t="shared" si="7"/>
        <v/>
      </c>
      <c r="S59" s="56" t="str">
        <f t="shared" si="7"/>
        <v/>
      </c>
      <c r="T59" s="56" t="str">
        <f t="shared" si="7"/>
        <v/>
      </c>
      <c r="U59" s="56" t="str">
        <f t="shared" si="7"/>
        <v/>
      </c>
      <c r="V59" s="56" t="str">
        <f t="shared" si="7"/>
        <v/>
      </c>
      <c r="W59" s="56" t="str">
        <f t="shared" si="7"/>
        <v/>
      </c>
    </row>
    <row r="60" spans="1:23" x14ac:dyDescent="0.3">
      <c r="A60" s="89">
        <f t="shared" ref="A60:C69" si="8">IF(A47="","",A47)</f>
        <v>8</v>
      </c>
      <c r="B60" s="59" t="str">
        <f t="shared" si="8"/>
        <v>~</v>
      </c>
      <c r="C60" s="90" t="str">
        <f t="shared" si="8"/>
        <v/>
      </c>
      <c r="D60" s="60"/>
      <c r="E60" s="60"/>
      <c r="F60" s="60"/>
      <c r="G60" s="60"/>
      <c r="H60" s="60"/>
      <c r="I60" s="60"/>
      <c r="J60" s="60"/>
      <c r="K60" s="60"/>
      <c r="L60" s="60"/>
      <c r="M60" s="60"/>
      <c r="N60" s="60"/>
      <c r="O60" s="60"/>
      <c r="P60" s="60"/>
      <c r="Q60" s="60"/>
      <c r="R60" s="60"/>
      <c r="S60" s="60"/>
      <c r="T60" s="60"/>
      <c r="U60" s="60"/>
      <c r="V60" s="60"/>
      <c r="W60" s="60"/>
    </row>
    <row r="61" spans="1:23" x14ac:dyDescent="0.3">
      <c r="A61" s="91">
        <f t="shared" si="8"/>
        <v>7</v>
      </c>
      <c r="B61" s="61" t="str">
        <f t="shared" si="8"/>
        <v>~</v>
      </c>
      <c r="C61" s="92">
        <f t="shared" si="8"/>
        <v>8</v>
      </c>
      <c r="D61" s="60"/>
      <c r="E61" s="60"/>
      <c r="F61" s="60"/>
      <c r="G61" s="60"/>
      <c r="H61" s="60"/>
      <c r="I61" s="60"/>
      <c r="J61" s="60"/>
      <c r="K61" s="60"/>
      <c r="L61" s="60"/>
      <c r="M61" s="60"/>
      <c r="N61" s="60"/>
      <c r="O61" s="60"/>
      <c r="P61" s="60"/>
      <c r="Q61" s="60"/>
      <c r="R61" s="60"/>
      <c r="S61" s="60"/>
      <c r="T61" s="60"/>
      <c r="U61" s="60"/>
      <c r="V61" s="60"/>
      <c r="W61" s="60"/>
    </row>
    <row r="62" spans="1:23" x14ac:dyDescent="0.3">
      <c r="A62" s="93">
        <f t="shared" si="8"/>
        <v>6</v>
      </c>
      <c r="B62" s="57" t="str">
        <f t="shared" si="8"/>
        <v>~</v>
      </c>
      <c r="C62" s="94">
        <f t="shared" si="8"/>
        <v>7</v>
      </c>
      <c r="D62" s="58"/>
      <c r="E62" s="58"/>
      <c r="F62" s="58"/>
      <c r="G62" s="58"/>
      <c r="H62" s="58"/>
      <c r="I62" s="58"/>
      <c r="J62" s="58"/>
      <c r="K62" s="58"/>
      <c r="L62" s="58"/>
      <c r="M62" s="58"/>
      <c r="N62" s="58"/>
      <c r="O62" s="58"/>
      <c r="P62" s="58"/>
      <c r="Q62" s="58"/>
      <c r="R62" s="58"/>
      <c r="S62" s="58"/>
      <c r="T62" s="58"/>
      <c r="U62" s="58"/>
      <c r="V62" s="58"/>
      <c r="W62" s="58"/>
    </row>
    <row r="63" spans="1:23" x14ac:dyDescent="0.3">
      <c r="A63" s="93">
        <f t="shared" si="8"/>
        <v>5</v>
      </c>
      <c r="B63" s="57" t="str">
        <f t="shared" si="8"/>
        <v>~</v>
      </c>
      <c r="C63" s="94">
        <f t="shared" si="8"/>
        <v>6</v>
      </c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58"/>
      <c r="W63" s="58"/>
    </row>
    <row r="64" spans="1:23" x14ac:dyDescent="0.3">
      <c r="A64" s="93">
        <f t="shared" si="8"/>
        <v>4</v>
      </c>
      <c r="B64" s="57" t="str">
        <f t="shared" si="8"/>
        <v>~</v>
      </c>
      <c r="C64" s="94">
        <f t="shared" si="8"/>
        <v>5</v>
      </c>
      <c r="D64" s="58"/>
      <c r="E64" s="58"/>
      <c r="F64" s="58"/>
      <c r="G64" s="58"/>
      <c r="H64" s="58"/>
      <c r="I64" s="58"/>
      <c r="J64" s="58"/>
      <c r="K64" s="58"/>
      <c r="L64" s="58"/>
      <c r="M64" s="58"/>
      <c r="N64" s="58"/>
      <c r="O64" s="58"/>
      <c r="P64" s="58"/>
      <c r="Q64" s="58"/>
      <c r="R64" s="58"/>
      <c r="S64" s="58"/>
      <c r="T64" s="58"/>
      <c r="U64" s="58"/>
      <c r="V64" s="58"/>
      <c r="W64" s="58"/>
    </row>
    <row r="65" spans="1:23" x14ac:dyDescent="0.3">
      <c r="A65" s="95">
        <f t="shared" si="8"/>
        <v>3</v>
      </c>
      <c r="B65" s="62" t="str">
        <f t="shared" si="8"/>
        <v>~</v>
      </c>
      <c r="C65" s="96">
        <f t="shared" si="8"/>
        <v>4</v>
      </c>
      <c r="D65" s="63"/>
      <c r="E65" s="63"/>
      <c r="F65" s="63"/>
      <c r="G65" s="63"/>
      <c r="H65" s="63"/>
      <c r="I65" s="63"/>
      <c r="J65" s="63"/>
      <c r="K65" s="63"/>
      <c r="L65" s="63"/>
      <c r="M65" s="63"/>
      <c r="N65" s="63"/>
      <c r="O65" s="63"/>
      <c r="P65" s="63"/>
      <c r="Q65" s="63"/>
      <c r="R65" s="63"/>
      <c r="S65" s="63"/>
      <c r="T65" s="63"/>
      <c r="U65" s="63"/>
      <c r="V65" s="63"/>
      <c r="W65" s="63"/>
    </row>
    <row r="66" spans="1:23" x14ac:dyDescent="0.3">
      <c r="A66" s="95">
        <f t="shared" si="8"/>
        <v>2.5</v>
      </c>
      <c r="B66" s="62" t="str">
        <f t="shared" si="8"/>
        <v>~</v>
      </c>
      <c r="C66" s="96">
        <f t="shared" si="8"/>
        <v>3</v>
      </c>
      <c r="D66" s="63"/>
      <c r="E66" s="63"/>
      <c r="F66" s="63"/>
      <c r="G66" s="63"/>
      <c r="H66" s="63"/>
      <c r="I66" s="63"/>
      <c r="J66" s="63"/>
      <c r="K66" s="63"/>
      <c r="L66" s="63"/>
      <c r="M66" s="63"/>
      <c r="N66" s="63"/>
      <c r="O66" s="63"/>
      <c r="P66" s="63"/>
      <c r="Q66" s="63"/>
      <c r="R66" s="63"/>
      <c r="S66" s="63"/>
      <c r="T66" s="63"/>
      <c r="U66" s="63"/>
      <c r="V66" s="63"/>
      <c r="W66" s="63"/>
    </row>
    <row r="67" spans="1:23" x14ac:dyDescent="0.3">
      <c r="A67" s="95">
        <f t="shared" si="8"/>
        <v>2</v>
      </c>
      <c r="B67" s="62" t="str">
        <f t="shared" si="8"/>
        <v>~</v>
      </c>
      <c r="C67" s="96">
        <f t="shared" si="8"/>
        <v>2.5</v>
      </c>
      <c r="D67" s="63"/>
      <c r="E67" s="63"/>
      <c r="F67" s="63"/>
      <c r="G67" s="63"/>
      <c r="H67" s="63"/>
      <c r="I67" s="63"/>
      <c r="J67" s="63"/>
      <c r="K67" s="63"/>
      <c r="L67" s="63"/>
      <c r="M67" s="63"/>
      <c r="N67" s="63"/>
      <c r="O67" s="63"/>
      <c r="P67" s="63"/>
      <c r="Q67" s="63"/>
      <c r="R67" s="63"/>
      <c r="S67" s="63"/>
      <c r="T67" s="63"/>
      <c r="U67" s="63"/>
      <c r="V67" s="63"/>
      <c r="W67" s="63"/>
    </row>
    <row r="68" spans="1:23" x14ac:dyDescent="0.3">
      <c r="A68" s="97">
        <f t="shared" si="8"/>
        <v>1.5</v>
      </c>
      <c r="B68" s="64" t="str">
        <f t="shared" si="8"/>
        <v>~</v>
      </c>
      <c r="C68" s="98">
        <f t="shared" si="8"/>
        <v>2</v>
      </c>
      <c r="D68" s="65"/>
      <c r="E68" s="65"/>
      <c r="F68" s="65"/>
      <c r="G68" s="65"/>
      <c r="H68" s="65"/>
      <c r="I68" s="65"/>
      <c r="J68" s="65"/>
      <c r="K68" s="65"/>
      <c r="L68" s="65"/>
      <c r="M68" s="65"/>
      <c r="N68" s="65"/>
      <c r="O68" s="65"/>
      <c r="P68" s="65"/>
      <c r="Q68" s="65"/>
      <c r="R68" s="65"/>
      <c r="S68" s="65"/>
      <c r="T68" s="65"/>
      <c r="U68" s="65"/>
      <c r="V68" s="65"/>
      <c r="W68" s="65"/>
    </row>
    <row r="69" spans="1:23" ht="24" x14ac:dyDescent="0.3">
      <c r="A69" s="97">
        <f t="shared" si="8"/>
        <v>1</v>
      </c>
      <c r="B69" s="64" t="str">
        <f t="shared" si="8"/>
        <v>~</v>
      </c>
      <c r="C69" s="98">
        <f t="shared" si="8"/>
        <v>1.5</v>
      </c>
      <c r="D69" s="65" t="s">
        <v>1153</v>
      </c>
      <c r="E69" s="65" t="s">
        <v>1139</v>
      </c>
      <c r="F69" s="65"/>
      <c r="G69" s="65" t="s">
        <v>1136</v>
      </c>
      <c r="H69" s="65"/>
      <c r="I69" s="65"/>
      <c r="J69" s="65"/>
      <c r="K69" s="65"/>
      <c r="L69" s="65"/>
      <c r="M69" s="65"/>
      <c r="N69" s="65"/>
      <c r="O69" s="65"/>
      <c r="P69" s="65"/>
      <c r="Q69" s="65"/>
      <c r="R69" s="65"/>
      <c r="S69" s="65"/>
      <c r="T69" s="65"/>
      <c r="U69" s="65"/>
      <c r="V69" s="65"/>
      <c r="W69" s="65"/>
    </row>
  </sheetData>
  <mergeCells count="3">
    <mergeCell ref="A4:C4"/>
    <mergeCell ref="A5:C5"/>
    <mergeCell ref="A6:C6"/>
  </mergeCells>
  <phoneticPr fontId="2" type="noConversion"/>
  <pageMargins left="0.25" right="0.25" top="0.75" bottom="0.75" header="0.3" footer="0.3"/>
  <pageSetup paperSize="8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7073" r:id="rId3" name="Button 1">
              <controlPr defaultSize="0" print="0" autoFill="0" autoPict="0" macro="[0]!DongPriceTable">
                <anchor moveWithCells="1" sizeWithCells="1">
                  <from>
                    <xdr:col>3</xdr:col>
                    <xdr:colOff>85725</xdr:colOff>
                    <xdr:row>0</xdr:row>
                    <xdr:rowOff>85725</xdr:rowOff>
                  </from>
                  <to>
                    <xdr:col>3</xdr:col>
                    <xdr:colOff>1533525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8" tint="0.59999389629810485"/>
  </sheetPr>
  <dimension ref="A1:B9"/>
  <sheetViews>
    <sheetView zoomScaleNormal="100" workbookViewId="0"/>
  </sheetViews>
  <sheetFormatPr defaultRowHeight="16.5" x14ac:dyDescent="0.3"/>
  <sheetData>
    <row r="1" spans="1:2" ht="33.75" customHeight="1" x14ac:dyDescent="0.3">
      <c r="A1" s="73" t="s">
        <v>77</v>
      </c>
      <c r="B1" s="74"/>
    </row>
    <row r="2" spans="1:2" x14ac:dyDescent="0.3">
      <c r="A2" t="s">
        <v>78</v>
      </c>
    </row>
    <row r="3" spans="1:2" ht="23.25" customHeight="1" x14ac:dyDescent="0.3"/>
    <row r="7" spans="1:2" ht="22.5" customHeight="1" x14ac:dyDescent="0.3"/>
    <row r="9" spans="1:2" ht="17.25" customHeight="1" x14ac:dyDescent="0.3"/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91873" r:id="rId3" name="Button 1">
              <controlPr defaultSize="0" print="0" autoFill="0" autoPict="0" macro="[0]!DeleteAll">
                <anchor moveWithCells="1" sizeWithCells="1">
                  <from>
                    <xdr:col>6</xdr:col>
                    <xdr:colOff>285750</xdr:colOff>
                    <xdr:row>0</xdr:row>
                    <xdr:rowOff>76200</xdr:rowOff>
                  </from>
                  <to>
                    <xdr:col>8</xdr:col>
                    <xdr:colOff>76200</xdr:colOff>
                    <xdr:row>0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91874" r:id="rId4" name="Button 2">
              <controlPr defaultSize="0" print="0" autoFill="0" autoPict="0" macro="[0]!Spacedatainsert_KB">
                <anchor moveWithCells="1" sizeWithCells="1">
                  <from>
                    <xdr:col>4</xdr:col>
                    <xdr:colOff>133350</xdr:colOff>
                    <xdr:row>0</xdr:row>
                    <xdr:rowOff>85725</xdr:rowOff>
                  </from>
                  <to>
                    <xdr:col>5</xdr:col>
                    <xdr:colOff>609600</xdr:colOff>
                    <xdr:row>0</xdr:row>
                    <xdr:rowOff>361950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8" tint="0.59999389629810485"/>
  </sheetPr>
  <dimension ref="A1:AL429"/>
  <sheetViews>
    <sheetView zoomScaleNormal="100" workbookViewId="0">
      <selection activeCell="N11" sqref="N11"/>
    </sheetView>
  </sheetViews>
  <sheetFormatPr defaultRowHeight="16.5" x14ac:dyDescent="0.3"/>
  <sheetData>
    <row r="1" spans="1:38" x14ac:dyDescent="0.3">
      <c r="A1" t="s">
        <v>79</v>
      </c>
      <c r="B1">
        <v>118228</v>
      </c>
      <c r="C1">
        <v>1</v>
      </c>
      <c r="D1" t="s">
        <v>80</v>
      </c>
      <c r="E1" t="s">
        <v>81</v>
      </c>
      <c r="F1">
        <v>24</v>
      </c>
      <c r="G1">
        <v>19.41</v>
      </c>
      <c r="H1">
        <v>64.19</v>
      </c>
      <c r="I1">
        <v>14.01</v>
      </c>
      <c r="J1">
        <v>46.32</v>
      </c>
      <c r="K1">
        <v>6</v>
      </c>
      <c r="T1">
        <v>1</v>
      </c>
      <c r="U1">
        <v>1</v>
      </c>
      <c r="V1" t="s">
        <v>82</v>
      </c>
      <c r="W1">
        <v>64</v>
      </c>
      <c r="X1">
        <v>7</v>
      </c>
      <c r="Y1">
        <v>7</v>
      </c>
      <c r="Z1" t="s">
        <v>83</v>
      </c>
      <c r="AA1" t="s">
        <v>84</v>
      </c>
      <c r="AB1" t="s">
        <v>85</v>
      </c>
      <c r="AC1" t="s">
        <v>86</v>
      </c>
      <c r="AD1" t="s">
        <v>87</v>
      </c>
      <c r="AE1" t="s">
        <v>88</v>
      </c>
      <c r="AG1" t="s">
        <v>89</v>
      </c>
      <c r="AH1">
        <v>0</v>
      </c>
      <c r="AI1">
        <v>260</v>
      </c>
      <c r="AJ1">
        <v>47</v>
      </c>
      <c r="AK1">
        <v>20</v>
      </c>
      <c r="AL1">
        <v>0.83</v>
      </c>
    </row>
    <row r="2" spans="1:38" x14ac:dyDescent="0.3">
      <c r="A2" t="s">
        <v>79</v>
      </c>
      <c r="B2">
        <v>118228</v>
      </c>
      <c r="C2">
        <v>2</v>
      </c>
      <c r="D2" t="s">
        <v>80</v>
      </c>
      <c r="E2" t="s">
        <v>81</v>
      </c>
      <c r="F2">
        <v>24</v>
      </c>
      <c r="G2">
        <v>20.28</v>
      </c>
      <c r="H2">
        <v>67.069999999999993</v>
      </c>
      <c r="I2">
        <v>14.82</v>
      </c>
      <c r="J2">
        <v>49</v>
      </c>
      <c r="K2">
        <v>12</v>
      </c>
      <c r="T2">
        <v>1</v>
      </c>
      <c r="U2">
        <v>1</v>
      </c>
      <c r="V2" t="s">
        <v>82</v>
      </c>
      <c r="W2" t="s">
        <v>90</v>
      </c>
      <c r="X2">
        <v>7</v>
      </c>
      <c r="Y2">
        <v>7</v>
      </c>
      <c r="Z2" t="s">
        <v>83</v>
      </c>
      <c r="AA2" t="s">
        <v>84</v>
      </c>
      <c r="AB2" t="s">
        <v>85</v>
      </c>
      <c r="AC2" t="s">
        <v>86</v>
      </c>
      <c r="AD2" t="s">
        <v>87</v>
      </c>
      <c r="AE2" t="s">
        <v>88</v>
      </c>
      <c r="AG2" t="s">
        <v>89</v>
      </c>
      <c r="AH2">
        <v>0</v>
      </c>
      <c r="AI2">
        <v>260</v>
      </c>
      <c r="AJ2">
        <v>47</v>
      </c>
      <c r="AK2">
        <v>20</v>
      </c>
      <c r="AL2">
        <v>0.83</v>
      </c>
    </row>
    <row r="3" spans="1:38" x14ac:dyDescent="0.3">
      <c r="A3" t="s">
        <v>79</v>
      </c>
      <c r="B3">
        <v>118228</v>
      </c>
      <c r="C3">
        <v>3</v>
      </c>
      <c r="D3" t="s">
        <v>80</v>
      </c>
      <c r="E3" t="s">
        <v>81</v>
      </c>
      <c r="F3">
        <v>24</v>
      </c>
      <c r="G3">
        <v>20.399999999999999</v>
      </c>
      <c r="H3">
        <v>67.45</v>
      </c>
      <c r="I3">
        <v>14.65</v>
      </c>
      <c r="J3">
        <v>48.44</v>
      </c>
      <c r="K3">
        <v>6</v>
      </c>
      <c r="T3">
        <v>1</v>
      </c>
      <c r="U3">
        <v>1</v>
      </c>
      <c r="V3" t="s">
        <v>82</v>
      </c>
      <c r="W3" t="s">
        <v>91</v>
      </c>
      <c r="X3">
        <v>7</v>
      </c>
      <c r="Y3">
        <v>7</v>
      </c>
      <c r="Z3" t="s">
        <v>83</v>
      </c>
      <c r="AA3" t="s">
        <v>84</v>
      </c>
      <c r="AB3" t="s">
        <v>85</v>
      </c>
      <c r="AC3" t="s">
        <v>86</v>
      </c>
      <c r="AD3" t="s">
        <v>87</v>
      </c>
      <c r="AE3" t="s">
        <v>88</v>
      </c>
      <c r="AG3" t="s">
        <v>89</v>
      </c>
      <c r="AH3">
        <v>0</v>
      </c>
      <c r="AI3">
        <v>260</v>
      </c>
      <c r="AJ3">
        <v>47</v>
      </c>
      <c r="AK3">
        <v>20</v>
      </c>
      <c r="AL3">
        <v>0.83</v>
      </c>
    </row>
    <row r="4" spans="1:38" x14ac:dyDescent="0.3">
      <c r="A4" t="s">
        <v>79</v>
      </c>
      <c r="B4">
        <v>14645</v>
      </c>
      <c r="C4">
        <v>1</v>
      </c>
      <c r="D4" t="s">
        <v>92</v>
      </c>
      <c r="E4" t="s">
        <v>93</v>
      </c>
      <c r="F4">
        <v>102</v>
      </c>
      <c r="G4">
        <v>34.01</v>
      </c>
      <c r="H4">
        <v>112.43</v>
      </c>
      <c r="I4">
        <v>25.67</v>
      </c>
      <c r="J4">
        <v>84.89</v>
      </c>
      <c r="K4">
        <v>102</v>
      </c>
      <c r="T4">
        <v>3</v>
      </c>
      <c r="U4">
        <v>2</v>
      </c>
      <c r="V4" t="s">
        <v>82</v>
      </c>
      <c r="W4">
        <v>112</v>
      </c>
      <c r="X4">
        <v>15</v>
      </c>
      <c r="Y4">
        <v>9</v>
      </c>
      <c r="Z4" t="s">
        <v>94</v>
      </c>
      <c r="AA4" t="s">
        <v>95</v>
      </c>
      <c r="AB4" t="s">
        <v>85</v>
      </c>
      <c r="AC4" t="s">
        <v>86</v>
      </c>
      <c r="AD4" t="s">
        <v>87</v>
      </c>
      <c r="AE4" t="s">
        <v>88</v>
      </c>
      <c r="AG4" t="s">
        <v>96</v>
      </c>
      <c r="AH4">
        <v>0</v>
      </c>
      <c r="AI4">
        <v>199</v>
      </c>
      <c r="AJ4">
        <v>21</v>
      </c>
      <c r="AK4">
        <v>105</v>
      </c>
      <c r="AL4">
        <v>1.03</v>
      </c>
    </row>
    <row r="5" spans="1:38" x14ac:dyDescent="0.3">
      <c r="A5" t="s">
        <v>79</v>
      </c>
      <c r="B5">
        <v>112837</v>
      </c>
      <c r="C5">
        <v>1</v>
      </c>
      <c r="D5" t="s">
        <v>97</v>
      </c>
      <c r="E5" t="s">
        <v>98</v>
      </c>
      <c r="F5">
        <v>31</v>
      </c>
      <c r="G5">
        <v>22.02</v>
      </c>
      <c r="H5">
        <v>72.8</v>
      </c>
      <c r="I5">
        <v>15.1</v>
      </c>
      <c r="J5">
        <v>49.94</v>
      </c>
      <c r="K5">
        <v>8</v>
      </c>
      <c r="T5">
        <v>2</v>
      </c>
      <c r="U5">
        <v>1</v>
      </c>
      <c r="V5" t="s">
        <v>82</v>
      </c>
      <c r="W5" t="s">
        <v>99</v>
      </c>
      <c r="X5">
        <v>9</v>
      </c>
      <c r="Y5">
        <v>9</v>
      </c>
      <c r="Z5" t="s">
        <v>100</v>
      </c>
      <c r="AA5" t="s">
        <v>101</v>
      </c>
      <c r="AB5" t="s">
        <v>85</v>
      </c>
      <c r="AC5" t="s">
        <v>86</v>
      </c>
      <c r="AD5" t="s">
        <v>87</v>
      </c>
      <c r="AE5" t="s">
        <v>88</v>
      </c>
      <c r="AG5" t="s">
        <v>102</v>
      </c>
      <c r="AH5">
        <v>0</v>
      </c>
      <c r="AI5">
        <v>305</v>
      </c>
      <c r="AJ5">
        <v>48</v>
      </c>
      <c r="AK5">
        <v>23</v>
      </c>
      <c r="AL5">
        <v>0.74</v>
      </c>
    </row>
    <row r="6" spans="1:38" x14ac:dyDescent="0.3">
      <c r="A6" t="s">
        <v>79</v>
      </c>
      <c r="B6">
        <v>112837</v>
      </c>
      <c r="C6">
        <v>2</v>
      </c>
      <c r="D6" t="s">
        <v>97</v>
      </c>
      <c r="E6" t="s">
        <v>98</v>
      </c>
      <c r="F6">
        <v>31</v>
      </c>
      <c r="G6">
        <v>22.1</v>
      </c>
      <c r="H6">
        <v>73.08</v>
      </c>
      <c r="I6">
        <v>15.02</v>
      </c>
      <c r="J6">
        <v>49.67</v>
      </c>
      <c r="K6">
        <v>8</v>
      </c>
      <c r="T6">
        <v>2</v>
      </c>
      <c r="U6">
        <v>1</v>
      </c>
      <c r="V6" t="s">
        <v>82</v>
      </c>
      <c r="W6" t="s">
        <v>103</v>
      </c>
      <c r="X6">
        <v>9</v>
      </c>
      <c r="Y6">
        <v>9</v>
      </c>
      <c r="Z6" t="s">
        <v>100</v>
      </c>
      <c r="AA6" t="s">
        <v>101</v>
      </c>
      <c r="AB6" t="s">
        <v>85</v>
      </c>
      <c r="AC6" t="s">
        <v>86</v>
      </c>
      <c r="AD6" t="s">
        <v>87</v>
      </c>
      <c r="AE6" t="s">
        <v>88</v>
      </c>
      <c r="AG6" t="s">
        <v>102</v>
      </c>
      <c r="AH6">
        <v>0</v>
      </c>
      <c r="AI6">
        <v>305</v>
      </c>
      <c r="AJ6">
        <v>48</v>
      </c>
      <c r="AK6">
        <v>23</v>
      </c>
      <c r="AL6">
        <v>0.74</v>
      </c>
    </row>
    <row r="7" spans="1:38" x14ac:dyDescent="0.3">
      <c r="A7" t="s">
        <v>79</v>
      </c>
      <c r="B7">
        <v>112837</v>
      </c>
      <c r="C7">
        <v>3</v>
      </c>
      <c r="D7" t="s">
        <v>97</v>
      </c>
      <c r="E7" t="s">
        <v>98</v>
      </c>
      <c r="F7">
        <v>31</v>
      </c>
      <c r="G7">
        <v>22.11</v>
      </c>
      <c r="H7">
        <v>73.12</v>
      </c>
      <c r="I7">
        <v>15.1</v>
      </c>
      <c r="J7">
        <v>49.92</v>
      </c>
      <c r="K7">
        <v>8</v>
      </c>
      <c r="T7">
        <v>2</v>
      </c>
      <c r="U7">
        <v>1</v>
      </c>
      <c r="V7" t="s">
        <v>82</v>
      </c>
      <c r="W7" t="s">
        <v>104</v>
      </c>
      <c r="X7">
        <v>9</v>
      </c>
      <c r="Y7">
        <v>9</v>
      </c>
      <c r="Z7" t="s">
        <v>100</v>
      </c>
      <c r="AA7" t="s">
        <v>101</v>
      </c>
      <c r="AB7" t="s">
        <v>85</v>
      </c>
      <c r="AC7" t="s">
        <v>86</v>
      </c>
      <c r="AD7" t="s">
        <v>87</v>
      </c>
      <c r="AE7" t="s">
        <v>88</v>
      </c>
      <c r="AG7" t="s">
        <v>102</v>
      </c>
      <c r="AH7">
        <v>0</v>
      </c>
      <c r="AI7">
        <v>305</v>
      </c>
      <c r="AJ7">
        <v>48</v>
      </c>
      <c r="AK7">
        <v>23</v>
      </c>
      <c r="AL7">
        <v>0.74</v>
      </c>
    </row>
    <row r="8" spans="1:38" x14ac:dyDescent="0.3">
      <c r="A8" t="s">
        <v>79</v>
      </c>
      <c r="B8">
        <v>112837</v>
      </c>
      <c r="C8">
        <v>4</v>
      </c>
      <c r="D8" t="s">
        <v>97</v>
      </c>
      <c r="E8" t="s">
        <v>98</v>
      </c>
      <c r="F8">
        <v>31</v>
      </c>
      <c r="G8">
        <v>22.16</v>
      </c>
      <c r="H8">
        <v>73.27</v>
      </c>
      <c r="I8">
        <v>15.08</v>
      </c>
      <c r="J8">
        <v>49.88</v>
      </c>
      <c r="K8">
        <v>7</v>
      </c>
      <c r="T8">
        <v>2</v>
      </c>
      <c r="U8">
        <v>1</v>
      </c>
      <c r="V8" t="s">
        <v>82</v>
      </c>
      <c r="W8" t="s">
        <v>105</v>
      </c>
      <c r="X8">
        <v>9</v>
      </c>
      <c r="Y8">
        <v>9</v>
      </c>
      <c r="Z8" t="s">
        <v>100</v>
      </c>
      <c r="AA8" t="s">
        <v>101</v>
      </c>
      <c r="AB8" t="s">
        <v>85</v>
      </c>
      <c r="AC8" t="s">
        <v>86</v>
      </c>
      <c r="AD8" t="s">
        <v>87</v>
      </c>
      <c r="AE8" t="s">
        <v>88</v>
      </c>
      <c r="AG8" t="s">
        <v>102</v>
      </c>
      <c r="AH8">
        <v>0</v>
      </c>
      <c r="AI8">
        <v>305</v>
      </c>
      <c r="AJ8">
        <v>48</v>
      </c>
      <c r="AK8">
        <v>23</v>
      </c>
      <c r="AL8">
        <v>0.74</v>
      </c>
    </row>
    <row r="9" spans="1:38" x14ac:dyDescent="0.3">
      <c r="A9" t="s">
        <v>79</v>
      </c>
      <c r="B9">
        <v>7545</v>
      </c>
      <c r="C9">
        <v>1</v>
      </c>
      <c r="D9" t="s">
        <v>106</v>
      </c>
      <c r="E9" t="s">
        <v>107</v>
      </c>
      <c r="F9">
        <v>84</v>
      </c>
      <c r="G9">
        <v>18.170000000000002</v>
      </c>
      <c r="H9">
        <v>60.09</v>
      </c>
      <c r="I9">
        <v>15.81</v>
      </c>
      <c r="J9">
        <v>52.29</v>
      </c>
      <c r="K9">
        <v>56</v>
      </c>
      <c r="T9">
        <v>3</v>
      </c>
      <c r="U9">
        <v>1</v>
      </c>
      <c r="V9" t="s">
        <v>82</v>
      </c>
      <c r="W9">
        <v>60</v>
      </c>
      <c r="X9">
        <v>5</v>
      </c>
      <c r="Y9">
        <v>3</v>
      </c>
      <c r="Z9" t="s">
        <v>108</v>
      </c>
      <c r="AA9" t="s">
        <v>109</v>
      </c>
      <c r="AB9" t="s">
        <v>85</v>
      </c>
      <c r="AC9" t="s">
        <v>86</v>
      </c>
      <c r="AD9" t="s">
        <v>87</v>
      </c>
      <c r="AE9" t="s">
        <v>88</v>
      </c>
      <c r="AG9" t="s">
        <v>110</v>
      </c>
      <c r="AH9">
        <v>0</v>
      </c>
      <c r="AI9">
        <v>0</v>
      </c>
      <c r="AJ9">
        <v>0</v>
      </c>
      <c r="AK9">
        <v>0</v>
      </c>
      <c r="AL9">
        <v>0</v>
      </c>
    </row>
    <row r="10" spans="1:38" x14ac:dyDescent="0.3">
      <c r="A10" t="s">
        <v>79</v>
      </c>
      <c r="B10">
        <v>7545</v>
      </c>
      <c r="C10">
        <v>2</v>
      </c>
      <c r="D10" t="s">
        <v>106</v>
      </c>
      <c r="E10" t="s">
        <v>107</v>
      </c>
      <c r="F10">
        <v>84</v>
      </c>
      <c r="G10">
        <v>20.170000000000002</v>
      </c>
      <c r="H10">
        <v>66.69</v>
      </c>
      <c r="I10">
        <v>17.850000000000001</v>
      </c>
      <c r="J10">
        <v>59.04</v>
      </c>
      <c r="K10">
        <v>15</v>
      </c>
      <c r="T10">
        <v>3</v>
      </c>
      <c r="U10">
        <v>1</v>
      </c>
      <c r="V10" t="s">
        <v>82</v>
      </c>
      <c r="W10">
        <v>66</v>
      </c>
      <c r="X10">
        <v>5</v>
      </c>
      <c r="Y10">
        <v>3</v>
      </c>
      <c r="Z10" t="s">
        <v>108</v>
      </c>
      <c r="AA10" t="s">
        <v>109</v>
      </c>
      <c r="AB10" t="s">
        <v>85</v>
      </c>
      <c r="AC10" t="s">
        <v>86</v>
      </c>
      <c r="AD10" t="s">
        <v>87</v>
      </c>
      <c r="AE10" t="s">
        <v>88</v>
      </c>
      <c r="AG10" t="s">
        <v>110</v>
      </c>
      <c r="AH10">
        <v>0</v>
      </c>
      <c r="AI10">
        <v>0</v>
      </c>
      <c r="AJ10">
        <v>0</v>
      </c>
      <c r="AK10">
        <v>0</v>
      </c>
      <c r="AL10">
        <v>0</v>
      </c>
    </row>
    <row r="11" spans="1:38" x14ac:dyDescent="0.3">
      <c r="A11" t="s">
        <v>79</v>
      </c>
      <c r="B11">
        <v>7545</v>
      </c>
      <c r="C11">
        <v>3</v>
      </c>
      <c r="D11" t="s">
        <v>106</v>
      </c>
      <c r="E11" t="s">
        <v>107</v>
      </c>
      <c r="F11">
        <v>84</v>
      </c>
      <c r="G11">
        <v>20.83</v>
      </c>
      <c r="H11">
        <v>68.89</v>
      </c>
      <c r="I11">
        <v>18.52</v>
      </c>
      <c r="J11">
        <v>61.24</v>
      </c>
      <c r="K11">
        <v>3</v>
      </c>
      <c r="T11">
        <v>3</v>
      </c>
      <c r="U11">
        <v>1</v>
      </c>
      <c r="V11" t="s">
        <v>82</v>
      </c>
      <c r="W11" t="s">
        <v>111</v>
      </c>
      <c r="X11">
        <v>5</v>
      </c>
      <c r="Y11">
        <v>3</v>
      </c>
      <c r="Z11" t="s">
        <v>108</v>
      </c>
      <c r="AA11" t="s">
        <v>109</v>
      </c>
      <c r="AB11" t="s">
        <v>85</v>
      </c>
      <c r="AC11" t="s">
        <v>86</v>
      </c>
      <c r="AD11" t="s">
        <v>87</v>
      </c>
      <c r="AE11" t="s">
        <v>88</v>
      </c>
      <c r="AG11" t="s">
        <v>110</v>
      </c>
      <c r="AH11">
        <v>0</v>
      </c>
      <c r="AI11">
        <v>0</v>
      </c>
      <c r="AJ11">
        <v>0</v>
      </c>
      <c r="AK11">
        <v>0</v>
      </c>
      <c r="AL11">
        <v>0</v>
      </c>
    </row>
    <row r="12" spans="1:38" x14ac:dyDescent="0.3">
      <c r="A12" t="s">
        <v>79</v>
      </c>
      <c r="B12">
        <v>7545</v>
      </c>
      <c r="C12">
        <v>4</v>
      </c>
      <c r="D12" t="s">
        <v>106</v>
      </c>
      <c r="E12" t="s">
        <v>107</v>
      </c>
      <c r="F12">
        <v>84</v>
      </c>
      <c r="G12">
        <v>21.26</v>
      </c>
      <c r="H12">
        <v>70.290000000000006</v>
      </c>
      <c r="I12">
        <v>16.36</v>
      </c>
      <c r="J12">
        <v>54.09</v>
      </c>
      <c r="K12">
        <v>5</v>
      </c>
      <c r="T12">
        <v>3</v>
      </c>
      <c r="U12">
        <v>1</v>
      </c>
      <c r="V12" t="s">
        <v>82</v>
      </c>
      <c r="W12" t="s">
        <v>112</v>
      </c>
      <c r="X12">
        <v>5</v>
      </c>
      <c r="Y12">
        <v>3</v>
      </c>
      <c r="Z12" t="s">
        <v>108</v>
      </c>
      <c r="AA12" t="s">
        <v>109</v>
      </c>
      <c r="AB12" t="s">
        <v>85</v>
      </c>
      <c r="AC12" t="s">
        <v>86</v>
      </c>
      <c r="AD12" t="s">
        <v>87</v>
      </c>
      <c r="AE12" t="s">
        <v>88</v>
      </c>
      <c r="AG12" t="s">
        <v>110</v>
      </c>
      <c r="AH12">
        <v>0</v>
      </c>
      <c r="AI12">
        <v>0</v>
      </c>
      <c r="AJ12">
        <v>0</v>
      </c>
      <c r="AK12">
        <v>0</v>
      </c>
      <c r="AL12">
        <v>0</v>
      </c>
    </row>
    <row r="13" spans="1:38" x14ac:dyDescent="0.3">
      <c r="A13" t="s">
        <v>79</v>
      </c>
      <c r="B13">
        <v>7545</v>
      </c>
      <c r="C13">
        <v>5</v>
      </c>
      <c r="D13" t="s">
        <v>106</v>
      </c>
      <c r="E13" t="s">
        <v>107</v>
      </c>
      <c r="F13">
        <v>84</v>
      </c>
      <c r="G13">
        <v>21.67</v>
      </c>
      <c r="H13">
        <v>71.64</v>
      </c>
      <c r="I13">
        <v>17.72</v>
      </c>
      <c r="J13">
        <v>58.59</v>
      </c>
      <c r="K13">
        <v>5</v>
      </c>
      <c r="T13">
        <v>3</v>
      </c>
      <c r="U13">
        <v>1</v>
      </c>
      <c r="V13" t="s">
        <v>82</v>
      </c>
      <c r="W13">
        <v>71</v>
      </c>
      <c r="X13">
        <v>5</v>
      </c>
      <c r="Y13">
        <v>3</v>
      </c>
      <c r="Z13" t="s">
        <v>108</v>
      </c>
      <c r="AA13" t="s">
        <v>109</v>
      </c>
      <c r="AB13" t="s">
        <v>85</v>
      </c>
      <c r="AC13" t="s">
        <v>86</v>
      </c>
      <c r="AD13" t="s">
        <v>87</v>
      </c>
      <c r="AE13" t="s">
        <v>88</v>
      </c>
      <c r="AG13" t="s">
        <v>110</v>
      </c>
      <c r="AH13">
        <v>0</v>
      </c>
      <c r="AI13">
        <v>0</v>
      </c>
      <c r="AJ13">
        <v>0</v>
      </c>
      <c r="AK13">
        <v>0</v>
      </c>
      <c r="AL13">
        <v>0</v>
      </c>
    </row>
    <row r="14" spans="1:38" x14ac:dyDescent="0.3">
      <c r="A14" t="s">
        <v>79</v>
      </c>
      <c r="B14">
        <v>116297</v>
      </c>
      <c r="C14">
        <v>1</v>
      </c>
      <c r="D14" t="s">
        <v>113</v>
      </c>
      <c r="E14" t="s">
        <v>114</v>
      </c>
      <c r="F14">
        <v>462</v>
      </c>
      <c r="G14">
        <v>24.29</v>
      </c>
      <c r="H14">
        <v>80.33</v>
      </c>
      <c r="I14">
        <v>18.12</v>
      </c>
      <c r="J14">
        <v>59.92</v>
      </c>
      <c r="K14">
        <v>71</v>
      </c>
      <c r="T14">
        <v>3</v>
      </c>
      <c r="U14">
        <v>2</v>
      </c>
      <c r="V14" t="s">
        <v>82</v>
      </c>
      <c r="W14">
        <v>80</v>
      </c>
      <c r="X14">
        <v>15</v>
      </c>
      <c r="Y14">
        <v>8</v>
      </c>
      <c r="Z14" t="s">
        <v>115</v>
      </c>
      <c r="AA14" t="s">
        <v>116</v>
      </c>
      <c r="AB14" t="s">
        <v>85</v>
      </c>
      <c r="AC14" t="s">
        <v>86</v>
      </c>
      <c r="AD14" t="s">
        <v>87</v>
      </c>
      <c r="AE14" t="s">
        <v>88</v>
      </c>
      <c r="AG14" t="s">
        <v>117</v>
      </c>
      <c r="AH14">
        <v>0</v>
      </c>
      <c r="AI14">
        <v>201</v>
      </c>
      <c r="AJ14">
        <v>21</v>
      </c>
      <c r="AK14">
        <v>577</v>
      </c>
      <c r="AL14">
        <v>1.25</v>
      </c>
    </row>
    <row r="15" spans="1:38" x14ac:dyDescent="0.3">
      <c r="A15" t="s">
        <v>79</v>
      </c>
      <c r="B15">
        <v>116297</v>
      </c>
      <c r="C15">
        <v>2</v>
      </c>
      <c r="D15" t="s">
        <v>113</v>
      </c>
      <c r="E15" t="s">
        <v>114</v>
      </c>
      <c r="F15">
        <v>462</v>
      </c>
      <c r="G15">
        <v>29.81</v>
      </c>
      <c r="H15">
        <v>98.57</v>
      </c>
      <c r="I15">
        <v>22.35</v>
      </c>
      <c r="J15">
        <v>73.91</v>
      </c>
      <c r="K15">
        <v>13</v>
      </c>
      <c r="T15">
        <v>3</v>
      </c>
      <c r="U15">
        <v>2</v>
      </c>
      <c r="V15" t="s">
        <v>82</v>
      </c>
      <c r="W15" t="s">
        <v>118</v>
      </c>
      <c r="X15">
        <v>15</v>
      </c>
      <c r="Y15">
        <v>8</v>
      </c>
      <c r="Z15" t="s">
        <v>115</v>
      </c>
      <c r="AA15" t="s">
        <v>116</v>
      </c>
      <c r="AB15" t="s">
        <v>85</v>
      </c>
      <c r="AC15" t="s">
        <v>86</v>
      </c>
      <c r="AD15" t="s">
        <v>87</v>
      </c>
      <c r="AE15" t="s">
        <v>88</v>
      </c>
      <c r="AG15" t="s">
        <v>117</v>
      </c>
      <c r="AH15">
        <v>0</v>
      </c>
      <c r="AI15">
        <v>201</v>
      </c>
      <c r="AJ15">
        <v>21</v>
      </c>
      <c r="AK15">
        <v>577</v>
      </c>
      <c r="AL15">
        <v>1.25</v>
      </c>
    </row>
    <row r="16" spans="1:38" x14ac:dyDescent="0.3">
      <c r="A16" t="s">
        <v>79</v>
      </c>
      <c r="B16">
        <v>116297</v>
      </c>
      <c r="C16">
        <v>3</v>
      </c>
      <c r="D16" t="s">
        <v>113</v>
      </c>
      <c r="E16" t="s">
        <v>114</v>
      </c>
      <c r="F16">
        <v>462</v>
      </c>
      <c r="G16">
        <v>29.7</v>
      </c>
      <c r="H16">
        <v>98.2</v>
      </c>
      <c r="I16">
        <v>22.33</v>
      </c>
      <c r="J16">
        <v>73.849999999999994</v>
      </c>
      <c r="K16">
        <v>11</v>
      </c>
      <c r="T16">
        <v>3</v>
      </c>
      <c r="U16">
        <v>2</v>
      </c>
      <c r="V16" t="s">
        <v>82</v>
      </c>
      <c r="W16" t="s">
        <v>119</v>
      </c>
      <c r="X16">
        <v>15</v>
      </c>
      <c r="Y16">
        <v>8</v>
      </c>
      <c r="Z16" t="s">
        <v>115</v>
      </c>
      <c r="AA16" t="s">
        <v>116</v>
      </c>
      <c r="AB16" t="s">
        <v>85</v>
      </c>
      <c r="AC16" t="s">
        <v>86</v>
      </c>
      <c r="AD16" t="s">
        <v>87</v>
      </c>
      <c r="AE16" t="s">
        <v>88</v>
      </c>
      <c r="AG16" t="s">
        <v>117</v>
      </c>
      <c r="AH16">
        <v>0</v>
      </c>
      <c r="AI16">
        <v>201</v>
      </c>
      <c r="AJ16">
        <v>21</v>
      </c>
      <c r="AK16">
        <v>577</v>
      </c>
      <c r="AL16">
        <v>1.25</v>
      </c>
    </row>
    <row r="17" spans="1:38" x14ac:dyDescent="0.3">
      <c r="A17" t="s">
        <v>79</v>
      </c>
      <c r="B17">
        <v>116297</v>
      </c>
      <c r="C17">
        <v>4</v>
      </c>
      <c r="D17" t="s">
        <v>113</v>
      </c>
      <c r="E17" t="s">
        <v>114</v>
      </c>
      <c r="F17">
        <v>462</v>
      </c>
      <c r="G17">
        <v>30.07</v>
      </c>
      <c r="H17">
        <v>99.42</v>
      </c>
      <c r="I17">
        <v>22.59</v>
      </c>
      <c r="J17">
        <v>74.709999999999994</v>
      </c>
      <c r="K17">
        <v>147</v>
      </c>
      <c r="T17">
        <v>3</v>
      </c>
      <c r="U17">
        <v>2</v>
      </c>
      <c r="V17" t="s">
        <v>82</v>
      </c>
      <c r="W17" t="s">
        <v>120</v>
      </c>
      <c r="X17">
        <v>15</v>
      </c>
      <c r="Y17">
        <v>8</v>
      </c>
      <c r="Z17" t="s">
        <v>115</v>
      </c>
      <c r="AA17" t="s">
        <v>116</v>
      </c>
      <c r="AB17" t="s">
        <v>85</v>
      </c>
      <c r="AC17" t="s">
        <v>86</v>
      </c>
      <c r="AD17" t="s">
        <v>87</v>
      </c>
      <c r="AE17" t="s">
        <v>88</v>
      </c>
      <c r="AG17" t="s">
        <v>117</v>
      </c>
      <c r="AH17">
        <v>0</v>
      </c>
      <c r="AI17">
        <v>201</v>
      </c>
      <c r="AJ17">
        <v>21</v>
      </c>
      <c r="AK17">
        <v>577</v>
      </c>
      <c r="AL17">
        <v>1.25</v>
      </c>
    </row>
    <row r="18" spans="1:38" x14ac:dyDescent="0.3">
      <c r="A18" t="s">
        <v>79</v>
      </c>
      <c r="B18">
        <v>116297</v>
      </c>
      <c r="C18">
        <v>5</v>
      </c>
      <c r="D18" t="s">
        <v>113</v>
      </c>
      <c r="E18" t="s">
        <v>114</v>
      </c>
      <c r="F18">
        <v>462</v>
      </c>
      <c r="G18">
        <v>34.11</v>
      </c>
      <c r="H18">
        <v>112.78</v>
      </c>
      <c r="I18">
        <v>25.68</v>
      </c>
      <c r="J18">
        <v>84.9</v>
      </c>
      <c r="K18">
        <v>59</v>
      </c>
      <c r="T18">
        <v>3</v>
      </c>
      <c r="U18">
        <v>2</v>
      </c>
      <c r="V18" t="s">
        <v>82</v>
      </c>
      <c r="W18" t="s">
        <v>121</v>
      </c>
      <c r="X18">
        <v>15</v>
      </c>
      <c r="Y18">
        <v>8</v>
      </c>
      <c r="Z18" t="s">
        <v>115</v>
      </c>
      <c r="AA18" t="s">
        <v>116</v>
      </c>
      <c r="AB18" t="s">
        <v>85</v>
      </c>
      <c r="AC18" t="s">
        <v>86</v>
      </c>
      <c r="AD18" t="s">
        <v>87</v>
      </c>
      <c r="AE18" t="s">
        <v>88</v>
      </c>
      <c r="AG18" t="s">
        <v>117</v>
      </c>
      <c r="AH18">
        <v>0</v>
      </c>
      <c r="AI18">
        <v>201</v>
      </c>
      <c r="AJ18">
        <v>21</v>
      </c>
      <c r="AK18">
        <v>577</v>
      </c>
      <c r="AL18">
        <v>1.25</v>
      </c>
    </row>
    <row r="19" spans="1:38" x14ac:dyDescent="0.3">
      <c r="A19" t="s">
        <v>79</v>
      </c>
      <c r="B19">
        <v>116297</v>
      </c>
      <c r="C19">
        <v>6</v>
      </c>
      <c r="D19" t="s">
        <v>113</v>
      </c>
      <c r="E19" t="s">
        <v>114</v>
      </c>
      <c r="F19">
        <v>462</v>
      </c>
      <c r="G19">
        <v>34.04</v>
      </c>
      <c r="H19">
        <v>112.56</v>
      </c>
      <c r="I19">
        <v>25.63</v>
      </c>
      <c r="J19">
        <v>84.75</v>
      </c>
      <c r="K19">
        <v>54</v>
      </c>
      <c r="T19">
        <v>3</v>
      </c>
      <c r="U19">
        <v>2</v>
      </c>
      <c r="V19" t="s">
        <v>82</v>
      </c>
      <c r="W19" t="s">
        <v>122</v>
      </c>
      <c r="X19">
        <v>15</v>
      </c>
      <c r="Y19">
        <v>8</v>
      </c>
      <c r="Z19" t="s">
        <v>115</v>
      </c>
      <c r="AA19" t="s">
        <v>116</v>
      </c>
      <c r="AB19" t="s">
        <v>85</v>
      </c>
      <c r="AC19" t="s">
        <v>86</v>
      </c>
      <c r="AD19" t="s">
        <v>87</v>
      </c>
      <c r="AE19" t="s">
        <v>88</v>
      </c>
      <c r="AG19" t="s">
        <v>117</v>
      </c>
      <c r="AH19">
        <v>0</v>
      </c>
      <c r="AI19">
        <v>201</v>
      </c>
      <c r="AJ19">
        <v>21</v>
      </c>
      <c r="AK19">
        <v>577</v>
      </c>
      <c r="AL19">
        <v>1.25</v>
      </c>
    </row>
    <row r="20" spans="1:38" x14ac:dyDescent="0.3">
      <c r="A20" t="s">
        <v>79</v>
      </c>
      <c r="B20">
        <v>116297</v>
      </c>
      <c r="C20">
        <v>7</v>
      </c>
      <c r="D20" t="s">
        <v>113</v>
      </c>
      <c r="E20" t="s">
        <v>114</v>
      </c>
      <c r="F20">
        <v>462</v>
      </c>
      <c r="G20">
        <v>34.229999999999997</v>
      </c>
      <c r="H20">
        <v>113.19</v>
      </c>
      <c r="I20">
        <v>25.69</v>
      </c>
      <c r="J20">
        <v>84.95</v>
      </c>
      <c r="K20">
        <v>60</v>
      </c>
      <c r="T20">
        <v>3</v>
      </c>
      <c r="U20">
        <v>2</v>
      </c>
      <c r="V20" t="s">
        <v>82</v>
      </c>
      <c r="W20" t="s">
        <v>123</v>
      </c>
      <c r="X20">
        <v>15</v>
      </c>
      <c r="Y20">
        <v>8</v>
      </c>
      <c r="Z20" t="s">
        <v>115</v>
      </c>
      <c r="AA20" t="s">
        <v>116</v>
      </c>
      <c r="AB20" t="s">
        <v>85</v>
      </c>
      <c r="AC20" t="s">
        <v>86</v>
      </c>
      <c r="AD20" t="s">
        <v>87</v>
      </c>
      <c r="AE20" t="s">
        <v>88</v>
      </c>
      <c r="AG20" t="s">
        <v>117</v>
      </c>
      <c r="AH20">
        <v>0</v>
      </c>
      <c r="AI20">
        <v>201</v>
      </c>
      <c r="AJ20">
        <v>21</v>
      </c>
      <c r="AK20">
        <v>577</v>
      </c>
      <c r="AL20">
        <v>1.25</v>
      </c>
    </row>
    <row r="21" spans="1:38" x14ac:dyDescent="0.3">
      <c r="A21" t="s">
        <v>79</v>
      </c>
      <c r="B21">
        <v>116297</v>
      </c>
      <c r="C21">
        <v>8</v>
      </c>
      <c r="D21" t="s">
        <v>113</v>
      </c>
      <c r="E21" t="s">
        <v>114</v>
      </c>
      <c r="F21">
        <v>462</v>
      </c>
      <c r="G21">
        <v>34.229999999999997</v>
      </c>
      <c r="H21">
        <v>113.18</v>
      </c>
      <c r="I21">
        <v>25.69</v>
      </c>
      <c r="J21">
        <v>84.94</v>
      </c>
      <c r="K21">
        <v>47</v>
      </c>
      <c r="T21">
        <v>3</v>
      </c>
      <c r="U21">
        <v>2</v>
      </c>
      <c r="V21" t="s">
        <v>82</v>
      </c>
      <c r="W21" t="s">
        <v>124</v>
      </c>
      <c r="X21">
        <v>15</v>
      </c>
      <c r="Y21">
        <v>8</v>
      </c>
      <c r="Z21" t="s">
        <v>115</v>
      </c>
      <c r="AA21" t="s">
        <v>116</v>
      </c>
      <c r="AB21" t="s">
        <v>85</v>
      </c>
      <c r="AC21" t="s">
        <v>86</v>
      </c>
      <c r="AD21" t="s">
        <v>87</v>
      </c>
      <c r="AE21" t="s">
        <v>88</v>
      </c>
      <c r="AG21" t="s">
        <v>117</v>
      </c>
      <c r="AH21">
        <v>0</v>
      </c>
      <c r="AI21">
        <v>201</v>
      </c>
      <c r="AJ21">
        <v>21</v>
      </c>
      <c r="AK21">
        <v>577</v>
      </c>
      <c r="AL21">
        <v>1.25</v>
      </c>
    </row>
    <row r="22" spans="1:38" x14ac:dyDescent="0.3">
      <c r="A22" t="s">
        <v>79</v>
      </c>
      <c r="B22">
        <v>112838</v>
      </c>
      <c r="C22">
        <v>1</v>
      </c>
      <c r="D22" t="s">
        <v>125</v>
      </c>
      <c r="E22" t="s">
        <v>126</v>
      </c>
      <c r="F22">
        <v>72</v>
      </c>
      <c r="G22">
        <v>21.31</v>
      </c>
      <c r="H22">
        <v>70.45</v>
      </c>
      <c r="I22">
        <v>18</v>
      </c>
      <c r="J22">
        <v>59.53</v>
      </c>
      <c r="K22">
        <v>27</v>
      </c>
      <c r="T22">
        <v>3</v>
      </c>
      <c r="U22">
        <v>2</v>
      </c>
      <c r="V22" t="s">
        <v>82</v>
      </c>
      <c r="W22">
        <v>70</v>
      </c>
      <c r="X22">
        <v>10</v>
      </c>
      <c r="Y22">
        <v>10</v>
      </c>
      <c r="Z22" t="s">
        <v>127</v>
      </c>
      <c r="AA22" t="s">
        <v>128</v>
      </c>
      <c r="AB22" t="s">
        <v>85</v>
      </c>
      <c r="AC22" t="s">
        <v>86</v>
      </c>
      <c r="AD22" t="s">
        <v>87</v>
      </c>
      <c r="AE22" t="s">
        <v>88</v>
      </c>
      <c r="AG22" t="s">
        <v>129</v>
      </c>
      <c r="AH22">
        <v>0</v>
      </c>
      <c r="AI22">
        <v>284</v>
      </c>
      <c r="AJ22">
        <v>36</v>
      </c>
      <c r="AK22">
        <v>0</v>
      </c>
      <c r="AL22">
        <v>0</v>
      </c>
    </row>
    <row r="23" spans="1:38" x14ac:dyDescent="0.3">
      <c r="A23" t="s">
        <v>79</v>
      </c>
      <c r="B23">
        <v>112838</v>
      </c>
      <c r="C23">
        <v>2</v>
      </c>
      <c r="D23" t="s">
        <v>125</v>
      </c>
      <c r="E23" t="s">
        <v>126</v>
      </c>
      <c r="F23">
        <v>72</v>
      </c>
      <c r="G23">
        <v>30.17</v>
      </c>
      <c r="H23">
        <v>99.76</v>
      </c>
      <c r="I23">
        <v>25.5</v>
      </c>
      <c r="J23">
        <v>84.3</v>
      </c>
      <c r="K23">
        <v>9</v>
      </c>
      <c r="T23">
        <v>3</v>
      </c>
      <c r="U23">
        <v>2</v>
      </c>
      <c r="V23" t="s">
        <v>82</v>
      </c>
      <c r="W23" t="s">
        <v>130</v>
      </c>
      <c r="X23">
        <v>10</v>
      </c>
      <c r="Y23">
        <v>10</v>
      </c>
      <c r="Z23" t="s">
        <v>127</v>
      </c>
      <c r="AA23" t="s">
        <v>128</v>
      </c>
      <c r="AB23" t="s">
        <v>85</v>
      </c>
      <c r="AC23" t="s">
        <v>86</v>
      </c>
      <c r="AD23" t="s">
        <v>87</v>
      </c>
      <c r="AE23" t="s">
        <v>88</v>
      </c>
      <c r="AG23" t="s">
        <v>129</v>
      </c>
      <c r="AH23">
        <v>0</v>
      </c>
      <c r="AI23">
        <v>284</v>
      </c>
      <c r="AJ23">
        <v>36</v>
      </c>
      <c r="AK23">
        <v>0</v>
      </c>
      <c r="AL23">
        <v>0</v>
      </c>
    </row>
    <row r="24" spans="1:38" x14ac:dyDescent="0.3">
      <c r="A24" t="s">
        <v>79</v>
      </c>
      <c r="B24">
        <v>112838</v>
      </c>
      <c r="C24">
        <v>3</v>
      </c>
      <c r="D24" t="s">
        <v>125</v>
      </c>
      <c r="E24" t="s">
        <v>126</v>
      </c>
      <c r="F24">
        <v>72</v>
      </c>
      <c r="G24">
        <v>30.35</v>
      </c>
      <c r="H24">
        <v>100.35</v>
      </c>
      <c r="I24">
        <v>25.64</v>
      </c>
      <c r="J24">
        <v>84.79</v>
      </c>
      <c r="K24">
        <v>36</v>
      </c>
      <c r="T24">
        <v>3</v>
      </c>
      <c r="U24">
        <v>2</v>
      </c>
      <c r="V24" t="s">
        <v>82</v>
      </c>
      <c r="W24" t="s">
        <v>131</v>
      </c>
      <c r="X24">
        <v>10</v>
      </c>
      <c r="Y24">
        <v>10</v>
      </c>
      <c r="Z24" t="s">
        <v>127</v>
      </c>
      <c r="AA24" t="s">
        <v>128</v>
      </c>
      <c r="AB24" t="s">
        <v>85</v>
      </c>
      <c r="AC24" t="s">
        <v>86</v>
      </c>
      <c r="AD24" t="s">
        <v>87</v>
      </c>
      <c r="AE24" t="s">
        <v>88</v>
      </c>
      <c r="AG24" t="s">
        <v>129</v>
      </c>
      <c r="AH24">
        <v>0</v>
      </c>
      <c r="AI24">
        <v>284</v>
      </c>
      <c r="AJ24">
        <v>36</v>
      </c>
      <c r="AK24">
        <v>0</v>
      </c>
      <c r="AL24">
        <v>0</v>
      </c>
    </row>
    <row r="25" spans="1:38" x14ac:dyDescent="0.3">
      <c r="A25" t="s">
        <v>79</v>
      </c>
      <c r="B25">
        <v>130346</v>
      </c>
      <c r="C25">
        <v>1</v>
      </c>
      <c r="D25" t="s">
        <v>132</v>
      </c>
      <c r="E25" t="s">
        <v>133</v>
      </c>
      <c r="F25">
        <v>40</v>
      </c>
      <c r="G25">
        <v>20.69</v>
      </c>
      <c r="H25">
        <v>68.41</v>
      </c>
      <c r="I25">
        <v>17.7</v>
      </c>
      <c r="J25">
        <v>58.54</v>
      </c>
      <c r="K25">
        <v>15</v>
      </c>
      <c r="T25">
        <v>3</v>
      </c>
      <c r="U25">
        <v>1</v>
      </c>
      <c r="V25" t="s">
        <v>82</v>
      </c>
      <c r="W25">
        <v>68</v>
      </c>
      <c r="X25">
        <v>9</v>
      </c>
      <c r="Y25">
        <v>6</v>
      </c>
      <c r="Z25" t="s">
        <v>134</v>
      </c>
      <c r="AA25" t="s">
        <v>135</v>
      </c>
      <c r="AB25" t="s">
        <v>85</v>
      </c>
      <c r="AC25" t="s">
        <v>86</v>
      </c>
      <c r="AD25" t="s">
        <v>87</v>
      </c>
      <c r="AE25" t="s">
        <v>88</v>
      </c>
      <c r="AG25" t="s">
        <v>136</v>
      </c>
      <c r="AH25">
        <v>0</v>
      </c>
      <c r="AI25">
        <v>147</v>
      </c>
      <c r="AJ25">
        <v>27</v>
      </c>
      <c r="AK25">
        <v>40</v>
      </c>
      <c r="AL25">
        <v>1</v>
      </c>
    </row>
    <row r="26" spans="1:38" x14ac:dyDescent="0.3">
      <c r="A26" t="s">
        <v>79</v>
      </c>
      <c r="B26">
        <v>130346</v>
      </c>
      <c r="C26">
        <v>2</v>
      </c>
      <c r="D26" t="s">
        <v>132</v>
      </c>
      <c r="E26" t="s">
        <v>133</v>
      </c>
      <c r="F26">
        <v>40</v>
      </c>
      <c r="G26">
        <v>24.01</v>
      </c>
      <c r="H26">
        <v>79.400000000000006</v>
      </c>
      <c r="I26">
        <v>17.7</v>
      </c>
      <c r="J26">
        <v>58.54</v>
      </c>
      <c r="K26">
        <v>9</v>
      </c>
      <c r="T26">
        <v>3</v>
      </c>
      <c r="U26">
        <v>1</v>
      </c>
      <c r="V26" t="s">
        <v>82</v>
      </c>
      <c r="W26" t="s">
        <v>137</v>
      </c>
      <c r="X26">
        <v>9</v>
      </c>
      <c r="Y26">
        <v>6</v>
      </c>
      <c r="Z26" t="s">
        <v>134</v>
      </c>
      <c r="AA26" t="s">
        <v>135</v>
      </c>
      <c r="AB26" t="s">
        <v>85</v>
      </c>
      <c r="AC26" t="s">
        <v>86</v>
      </c>
      <c r="AD26" t="s">
        <v>87</v>
      </c>
      <c r="AE26" t="s">
        <v>88</v>
      </c>
      <c r="AG26" t="s">
        <v>136</v>
      </c>
      <c r="AH26">
        <v>0</v>
      </c>
      <c r="AI26">
        <v>147</v>
      </c>
      <c r="AJ26">
        <v>27</v>
      </c>
      <c r="AK26">
        <v>40</v>
      </c>
      <c r="AL26">
        <v>1</v>
      </c>
    </row>
    <row r="27" spans="1:38" x14ac:dyDescent="0.3">
      <c r="A27" t="s">
        <v>79</v>
      </c>
      <c r="B27">
        <v>130346</v>
      </c>
      <c r="C27">
        <v>3</v>
      </c>
      <c r="D27" t="s">
        <v>132</v>
      </c>
      <c r="E27" t="s">
        <v>133</v>
      </c>
      <c r="F27">
        <v>40</v>
      </c>
      <c r="G27">
        <v>24.17</v>
      </c>
      <c r="H27">
        <v>79.92</v>
      </c>
      <c r="I27">
        <v>17.57</v>
      </c>
      <c r="J27">
        <v>58.1</v>
      </c>
      <c r="K27">
        <v>6</v>
      </c>
      <c r="T27">
        <v>3</v>
      </c>
      <c r="U27">
        <v>1</v>
      </c>
      <c r="V27" t="s">
        <v>82</v>
      </c>
      <c r="W27" t="s">
        <v>138</v>
      </c>
      <c r="X27">
        <v>9</v>
      </c>
      <c r="Y27">
        <v>6</v>
      </c>
      <c r="Z27" t="s">
        <v>134</v>
      </c>
      <c r="AA27" t="s">
        <v>135</v>
      </c>
      <c r="AB27" t="s">
        <v>85</v>
      </c>
      <c r="AC27" t="s">
        <v>86</v>
      </c>
      <c r="AD27" t="s">
        <v>87</v>
      </c>
      <c r="AE27" t="s">
        <v>88</v>
      </c>
      <c r="AG27" t="s">
        <v>136</v>
      </c>
      <c r="AH27">
        <v>0</v>
      </c>
      <c r="AI27">
        <v>147</v>
      </c>
      <c r="AJ27">
        <v>27</v>
      </c>
      <c r="AK27">
        <v>40</v>
      </c>
      <c r="AL27">
        <v>1</v>
      </c>
    </row>
    <row r="28" spans="1:38" x14ac:dyDescent="0.3">
      <c r="A28" t="s">
        <v>79</v>
      </c>
      <c r="B28">
        <v>130346</v>
      </c>
      <c r="C28">
        <v>4</v>
      </c>
      <c r="D28" t="s">
        <v>132</v>
      </c>
      <c r="E28" t="s">
        <v>133</v>
      </c>
      <c r="F28">
        <v>40</v>
      </c>
      <c r="G28">
        <v>24.72</v>
      </c>
      <c r="H28">
        <v>81.72</v>
      </c>
      <c r="I28">
        <v>18.14</v>
      </c>
      <c r="J28">
        <v>59.99</v>
      </c>
      <c r="K28">
        <v>5</v>
      </c>
      <c r="T28">
        <v>3</v>
      </c>
      <c r="U28">
        <v>2</v>
      </c>
      <c r="V28" t="s">
        <v>82</v>
      </c>
      <c r="W28" t="s">
        <v>139</v>
      </c>
      <c r="X28">
        <v>9</v>
      </c>
      <c r="Y28">
        <v>6</v>
      </c>
      <c r="Z28" t="s">
        <v>134</v>
      </c>
      <c r="AA28" t="s">
        <v>135</v>
      </c>
      <c r="AB28" t="s">
        <v>85</v>
      </c>
      <c r="AC28" t="s">
        <v>86</v>
      </c>
      <c r="AD28" t="s">
        <v>87</v>
      </c>
      <c r="AE28" t="s">
        <v>88</v>
      </c>
      <c r="AG28" t="s">
        <v>136</v>
      </c>
      <c r="AH28">
        <v>0</v>
      </c>
      <c r="AI28">
        <v>147</v>
      </c>
      <c r="AJ28">
        <v>27</v>
      </c>
      <c r="AK28">
        <v>40</v>
      </c>
      <c r="AL28">
        <v>1</v>
      </c>
    </row>
    <row r="29" spans="1:38" x14ac:dyDescent="0.3">
      <c r="A29" t="s">
        <v>79</v>
      </c>
      <c r="B29">
        <v>130346</v>
      </c>
      <c r="C29">
        <v>5</v>
      </c>
      <c r="D29" t="s">
        <v>132</v>
      </c>
      <c r="E29" t="s">
        <v>133</v>
      </c>
      <c r="F29">
        <v>40</v>
      </c>
      <c r="G29">
        <v>24.71</v>
      </c>
      <c r="H29">
        <v>81.7</v>
      </c>
      <c r="I29">
        <v>18.14</v>
      </c>
      <c r="J29">
        <v>59.99</v>
      </c>
      <c r="K29">
        <v>5</v>
      </c>
      <c r="T29">
        <v>3</v>
      </c>
      <c r="U29">
        <v>2</v>
      </c>
      <c r="V29" t="s">
        <v>82</v>
      </c>
      <c r="W29" t="s">
        <v>140</v>
      </c>
      <c r="X29">
        <v>9</v>
      </c>
      <c r="Y29">
        <v>6</v>
      </c>
      <c r="Z29" t="s">
        <v>134</v>
      </c>
      <c r="AA29" t="s">
        <v>135</v>
      </c>
      <c r="AB29" t="s">
        <v>85</v>
      </c>
      <c r="AC29" t="s">
        <v>86</v>
      </c>
      <c r="AD29" t="s">
        <v>87</v>
      </c>
      <c r="AE29" t="s">
        <v>88</v>
      </c>
      <c r="AG29" t="s">
        <v>136</v>
      </c>
      <c r="AH29">
        <v>0</v>
      </c>
      <c r="AI29">
        <v>147</v>
      </c>
      <c r="AJ29">
        <v>27</v>
      </c>
      <c r="AK29">
        <v>40</v>
      </c>
      <c r="AL29">
        <v>1</v>
      </c>
    </row>
    <row r="30" spans="1:38" x14ac:dyDescent="0.3">
      <c r="A30" t="s">
        <v>79</v>
      </c>
      <c r="B30">
        <v>19387</v>
      </c>
      <c r="C30">
        <v>1</v>
      </c>
      <c r="D30" t="s">
        <v>141</v>
      </c>
      <c r="E30" t="s">
        <v>142</v>
      </c>
      <c r="F30">
        <v>408</v>
      </c>
      <c r="G30">
        <v>33.6</v>
      </c>
      <c r="H30">
        <v>111.09</v>
      </c>
      <c r="I30">
        <v>25.7</v>
      </c>
      <c r="J30">
        <v>84.99</v>
      </c>
      <c r="K30">
        <v>378</v>
      </c>
      <c r="T30">
        <v>3</v>
      </c>
      <c r="U30">
        <v>2</v>
      </c>
      <c r="V30" t="s">
        <v>82</v>
      </c>
      <c r="W30">
        <v>111</v>
      </c>
      <c r="X30">
        <v>15</v>
      </c>
      <c r="Y30">
        <v>12</v>
      </c>
      <c r="Z30" t="s">
        <v>143</v>
      </c>
      <c r="AA30" t="s">
        <v>144</v>
      </c>
      <c r="AB30" t="s">
        <v>85</v>
      </c>
      <c r="AC30" t="s">
        <v>86</v>
      </c>
      <c r="AD30" t="s">
        <v>87</v>
      </c>
      <c r="AE30" t="s">
        <v>88</v>
      </c>
      <c r="AG30" t="s">
        <v>145</v>
      </c>
      <c r="AH30">
        <v>0</v>
      </c>
      <c r="AI30">
        <v>244</v>
      </c>
      <c r="AJ30">
        <v>22</v>
      </c>
      <c r="AK30">
        <v>414</v>
      </c>
      <c r="AL30">
        <v>1.01</v>
      </c>
    </row>
    <row r="31" spans="1:38" x14ac:dyDescent="0.3">
      <c r="A31" t="s">
        <v>79</v>
      </c>
      <c r="B31">
        <v>19387</v>
      </c>
      <c r="C31">
        <v>2</v>
      </c>
      <c r="D31" t="s">
        <v>141</v>
      </c>
      <c r="E31" t="s">
        <v>142</v>
      </c>
      <c r="F31">
        <v>408</v>
      </c>
      <c r="G31">
        <v>48.56</v>
      </c>
      <c r="H31">
        <v>160.54</v>
      </c>
      <c r="I31">
        <v>39.380000000000003</v>
      </c>
      <c r="J31">
        <v>130.19999999999999</v>
      </c>
      <c r="K31">
        <v>30</v>
      </c>
      <c r="T31">
        <v>4</v>
      </c>
      <c r="U31">
        <v>2</v>
      </c>
      <c r="V31" t="s">
        <v>82</v>
      </c>
      <c r="W31">
        <v>160</v>
      </c>
      <c r="X31">
        <v>15</v>
      </c>
      <c r="Y31">
        <v>12</v>
      </c>
      <c r="Z31" t="s">
        <v>143</v>
      </c>
      <c r="AA31" t="s">
        <v>144</v>
      </c>
      <c r="AB31" t="s">
        <v>85</v>
      </c>
      <c r="AC31" t="s">
        <v>86</v>
      </c>
      <c r="AD31" t="s">
        <v>87</v>
      </c>
      <c r="AE31" t="s">
        <v>88</v>
      </c>
      <c r="AG31" t="s">
        <v>145</v>
      </c>
      <c r="AH31">
        <v>0</v>
      </c>
      <c r="AI31">
        <v>244</v>
      </c>
      <c r="AJ31">
        <v>22</v>
      </c>
      <c r="AK31">
        <v>414</v>
      </c>
      <c r="AL31">
        <v>1.01</v>
      </c>
    </row>
    <row r="32" spans="1:38" x14ac:dyDescent="0.3">
      <c r="A32" t="s">
        <v>79</v>
      </c>
      <c r="B32">
        <v>124804</v>
      </c>
      <c r="C32">
        <v>1</v>
      </c>
      <c r="D32" t="s">
        <v>146</v>
      </c>
      <c r="E32" t="s">
        <v>147</v>
      </c>
      <c r="F32">
        <v>285</v>
      </c>
      <c r="G32">
        <v>30.34</v>
      </c>
      <c r="H32">
        <v>100.3</v>
      </c>
      <c r="I32">
        <v>23.08</v>
      </c>
      <c r="J32">
        <v>76.33</v>
      </c>
      <c r="K32">
        <v>47</v>
      </c>
      <c r="T32">
        <v>4</v>
      </c>
      <c r="U32">
        <v>2</v>
      </c>
      <c r="V32" t="s">
        <v>82</v>
      </c>
      <c r="W32" t="s">
        <v>148</v>
      </c>
      <c r="X32">
        <v>15</v>
      </c>
      <c r="Y32">
        <v>2</v>
      </c>
      <c r="Z32" t="s">
        <v>149</v>
      </c>
      <c r="AA32" t="s">
        <v>150</v>
      </c>
      <c r="AB32" t="s">
        <v>85</v>
      </c>
      <c r="AC32" t="s">
        <v>86</v>
      </c>
      <c r="AD32" t="s">
        <v>87</v>
      </c>
      <c r="AE32" t="s">
        <v>88</v>
      </c>
      <c r="AG32" t="s">
        <v>151</v>
      </c>
      <c r="AH32">
        <v>0</v>
      </c>
      <c r="AI32">
        <v>205</v>
      </c>
      <c r="AJ32">
        <v>34</v>
      </c>
      <c r="AK32">
        <v>342</v>
      </c>
      <c r="AL32">
        <v>1.2</v>
      </c>
    </row>
    <row r="33" spans="1:38" x14ac:dyDescent="0.3">
      <c r="A33" t="s">
        <v>79</v>
      </c>
      <c r="B33">
        <v>124804</v>
      </c>
      <c r="C33">
        <v>2</v>
      </c>
      <c r="D33" t="s">
        <v>146</v>
      </c>
      <c r="E33" t="s">
        <v>147</v>
      </c>
      <c r="F33">
        <v>285</v>
      </c>
      <c r="G33">
        <v>30.28</v>
      </c>
      <c r="H33">
        <v>100.12</v>
      </c>
      <c r="I33">
        <v>23.01</v>
      </c>
      <c r="J33">
        <v>76.09</v>
      </c>
      <c r="K33">
        <v>5</v>
      </c>
      <c r="T33">
        <v>3</v>
      </c>
      <c r="U33">
        <v>2</v>
      </c>
      <c r="V33" t="s">
        <v>82</v>
      </c>
      <c r="W33" t="s">
        <v>131</v>
      </c>
      <c r="X33">
        <v>15</v>
      </c>
      <c r="Y33">
        <v>2</v>
      </c>
      <c r="Z33" t="s">
        <v>149</v>
      </c>
      <c r="AA33" t="s">
        <v>150</v>
      </c>
      <c r="AB33" t="s">
        <v>85</v>
      </c>
      <c r="AC33" t="s">
        <v>86</v>
      </c>
      <c r="AD33" t="s">
        <v>87</v>
      </c>
      <c r="AE33" t="s">
        <v>88</v>
      </c>
      <c r="AG33" t="s">
        <v>151</v>
      </c>
      <c r="AH33">
        <v>0</v>
      </c>
      <c r="AI33">
        <v>205</v>
      </c>
      <c r="AJ33">
        <v>34</v>
      </c>
      <c r="AK33">
        <v>342</v>
      </c>
      <c r="AL33">
        <v>1.2</v>
      </c>
    </row>
    <row r="34" spans="1:38" x14ac:dyDescent="0.3">
      <c r="A34" t="s">
        <v>79</v>
      </c>
      <c r="B34">
        <v>124804</v>
      </c>
      <c r="C34">
        <v>3</v>
      </c>
      <c r="D34" t="s">
        <v>146</v>
      </c>
      <c r="E34" t="s">
        <v>147</v>
      </c>
      <c r="F34">
        <v>285</v>
      </c>
      <c r="G34">
        <v>33.549999999999997</v>
      </c>
      <c r="H34">
        <v>110.94</v>
      </c>
      <c r="I34">
        <v>25.56</v>
      </c>
      <c r="J34">
        <v>84.52</v>
      </c>
      <c r="K34">
        <v>45</v>
      </c>
      <c r="T34">
        <v>3</v>
      </c>
      <c r="U34">
        <v>2</v>
      </c>
      <c r="V34" t="s">
        <v>82</v>
      </c>
      <c r="W34" t="s">
        <v>152</v>
      </c>
      <c r="X34">
        <v>15</v>
      </c>
      <c r="Y34">
        <v>2</v>
      </c>
      <c r="Z34" t="s">
        <v>149</v>
      </c>
      <c r="AA34" t="s">
        <v>150</v>
      </c>
      <c r="AB34" t="s">
        <v>85</v>
      </c>
      <c r="AC34" t="s">
        <v>86</v>
      </c>
      <c r="AD34" t="s">
        <v>87</v>
      </c>
      <c r="AE34" t="s">
        <v>88</v>
      </c>
      <c r="AG34" t="s">
        <v>151</v>
      </c>
      <c r="AH34">
        <v>0</v>
      </c>
      <c r="AI34">
        <v>205</v>
      </c>
      <c r="AJ34">
        <v>34</v>
      </c>
      <c r="AK34">
        <v>342</v>
      </c>
      <c r="AL34">
        <v>1.2</v>
      </c>
    </row>
    <row r="35" spans="1:38" x14ac:dyDescent="0.3">
      <c r="A35" t="s">
        <v>79</v>
      </c>
      <c r="B35">
        <v>124804</v>
      </c>
      <c r="C35">
        <v>4</v>
      </c>
      <c r="D35" t="s">
        <v>146</v>
      </c>
      <c r="E35" t="s">
        <v>147</v>
      </c>
      <c r="F35">
        <v>285</v>
      </c>
      <c r="G35">
        <v>33.659999999999997</v>
      </c>
      <c r="H35">
        <v>111.3</v>
      </c>
      <c r="I35">
        <v>25.69</v>
      </c>
      <c r="J35">
        <v>84.95</v>
      </c>
      <c r="K35">
        <v>90</v>
      </c>
      <c r="T35">
        <v>4</v>
      </c>
      <c r="U35">
        <v>2</v>
      </c>
      <c r="V35" t="s">
        <v>82</v>
      </c>
      <c r="W35" t="s">
        <v>153</v>
      </c>
      <c r="X35">
        <v>15</v>
      </c>
      <c r="Y35">
        <v>2</v>
      </c>
      <c r="Z35" t="s">
        <v>149</v>
      </c>
      <c r="AA35" t="s">
        <v>150</v>
      </c>
      <c r="AB35" t="s">
        <v>85</v>
      </c>
      <c r="AC35" t="s">
        <v>86</v>
      </c>
      <c r="AD35" t="s">
        <v>87</v>
      </c>
      <c r="AE35" t="s">
        <v>88</v>
      </c>
      <c r="AG35" t="s">
        <v>151</v>
      </c>
      <c r="AH35">
        <v>0</v>
      </c>
      <c r="AI35">
        <v>205</v>
      </c>
      <c r="AJ35">
        <v>34</v>
      </c>
      <c r="AK35">
        <v>342</v>
      </c>
      <c r="AL35">
        <v>1.2</v>
      </c>
    </row>
    <row r="36" spans="1:38" x14ac:dyDescent="0.3">
      <c r="A36" t="s">
        <v>79</v>
      </c>
      <c r="B36">
        <v>124804</v>
      </c>
      <c r="C36">
        <v>5</v>
      </c>
      <c r="D36" t="s">
        <v>146</v>
      </c>
      <c r="E36" t="s">
        <v>147</v>
      </c>
      <c r="F36">
        <v>285</v>
      </c>
      <c r="G36">
        <v>33.76</v>
      </c>
      <c r="H36">
        <v>111.62</v>
      </c>
      <c r="I36">
        <v>25.67</v>
      </c>
      <c r="J36">
        <v>84.87</v>
      </c>
      <c r="K36">
        <v>78</v>
      </c>
      <c r="T36">
        <v>3</v>
      </c>
      <c r="U36">
        <v>2</v>
      </c>
      <c r="V36" t="s">
        <v>82</v>
      </c>
      <c r="W36" t="s">
        <v>154</v>
      </c>
      <c r="X36">
        <v>15</v>
      </c>
      <c r="Y36">
        <v>2</v>
      </c>
      <c r="Z36" t="s">
        <v>149</v>
      </c>
      <c r="AA36" t="s">
        <v>150</v>
      </c>
      <c r="AB36" t="s">
        <v>85</v>
      </c>
      <c r="AC36" t="s">
        <v>86</v>
      </c>
      <c r="AD36" t="s">
        <v>87</v>
      </c>
      <c r="AE36" t="s">
        <v>88</v>
      </c>
      <c r="AG36" t="s">
        <v>151</v>
      </c>
      <c r="AH36">
        <v>0</v>
      </c>
      <c r="AI36">
        <v>205</v>
      </c>
      <c r="AJ36">
        <v>34</v>
      </c>
      <c r="AK36">
        <v>342</v>
      </c>
      <c r="AL36">
        <v>1.2</v>
      </c>
    </row>
    <row r="37" spans="1:38" x14ac:dyDescent="0.3">
      <c r="A37" t="s">
        <v>79</v>
      </c>
      <c r="B37">
        <v>124804</v>
      </c>
      <c r="C37">
        <v>6</v>
      </c>
      <c r="D37" t="s">
        <v>146</v>
      </c>
      <c r="E37" t="s">
        <v>147</v>
      </c>
      <c r="F37">
        <v>285</v>
      </c>
      <c r="G37">
        <v>33.61</v>
      </c>
      <c r="H37">
        <v>111.14</v>
      </c>
      <c r="I37">
        <v>25.63</v>
      </c>
      <c r="J37">
        <v>84.74</v>
      </c>
      <c r="K37">
        <v>14</v>
      </c>
      <c r="T37">
        <v>3</v>
      </c>
      <c r="U37">
        <v>2</v>
      </c>
      <c r="V37" t="s">
        <v>82</v>
      </c>
      <c r="W37" t="s">
        <v>155</v>
      </c>
      <c r="X37">
        <v>15</v>
      </c>
      <c r="Y37">
        <v>2</v>
      </c>
      <c r="Z37" t="s">
        <v>149</v>
      </c>
      <c r="AA37" t="s">
        <v>150</v>
      </c>
      <c r="AB37" t="s">
        <v>85</v>
      </c>
      <c r="AC37" t="s">
        <v>86</v>
      </c>
      <c r="AD37" t="s">
        <v>87</v>
      </c>
      <c r="AE37" t="s">
        <v>88</v>
      </c>
      <c r="AG37" t="s">
        <v>151</v>
      </c>
      <c r="AH37">
        <v>0</v>
      </c>
      <c r="AI37">
        <v>205</v>
      </c>
      <c r="AJ37">
        <v>34</v>
      </c>
      <c r="AK37">
        <v>342</v>
      </c>
      <c r="AL37">
        <v>1.2</v>
      </c>
    </row>
    <row r="38" spans="1:38" x14ac:dyDescent="0.3">
      <c r="A38" t="s">
        <v>79</v>
      </c>
      <c r="B38">
        <v>124804</v>
      </c>
      <c r="C38">
        <v>7</v>
      </c>
      <c r="D38" t="s">
        <v>146</v>
      </c>
      <c r="E38" t="s">
        <v>147</v>
      </c>
      <c r="F38">
        <v>285</v>
      </c>
      <c r="G38">
        <v>58.24</v>
      </c>
      <c r="H38">
        <v>192.54</v>
      </c>
      <c r="I38">
        <v>44.05</v>
      </c>
      <c r="J38">
        <v>145.62</v>
      </c>
      <c r="K38">
        <v>6</v>
      </c>
      <c r="T38">
        <v>5</v>
      </c>
      <c r="U38">
        <v>3</v>
      </c>
      <c r="V38" t="s">
        <v>82</v>
      </c>
      <c r="W38" t="s">
        <v>156</v>
      </c>
      <c r="X38">
        <v>15</v>
      </c>
      <c r="Y38">
        <v>2</v>
      </c>
      <c r="Z38" t="s">
        <v>149</v>
      </c>
      <c r="AA38" t="s">
        <v>150</v>
      </c>
      <c r="AB38" t="s">
        <v>85</v>
      </c>
      <c r="AC38" t="s">
        <v>86</v>
      </c>
      <c r="AD38" t="s">
        <v>87</v>
      </c>
      <c r="AE38" t="s">
        <v>88</v>
      </c>
      <c r="AG38" t="s">
        <v>151</v>
      </c>
      <c r="AH38">
        <v>0</v>
      </c>
      <c r="AI38">
        <v>205</v>
      </c>
      <c r="AJ38">
        <v>34</v>
      </c>
      <c r="AK38">
        <v>342</v>
      </c>
      <c r="AL38">
        <v>1.2</v>
      </c>
    </row>
    <row r="39" spans="1:38" x14ac:dyDescent="0.3">
      <c r="A39" t="s">
        <v>79</v>
      </c>
      <c r="B39">
        <v>130074</v>
      </c>
      <c r="C39">
        <v>1</v>
      </c>
      <c r="D39" t="s">
        <v>157</v>
      </c>
      <c r="E39" t="s">
        <v>158</v>
      </c>
      <c r="F39">
        <v>24</v>
      </c>
      <c r="G39">
        <v>24.2</v>
      </c>
      <c r="H39">
        <v>80</v>
      </c>
      <c r="I39">
        <v>18.940000000000001</v>
      </c>
      <c r="J39">
        <v>62.64</v>
      </c>
      <c r="K39">
        <v>6</v>
      </c>
      <c r="T39">
        <v>3</v>
      </c>
      <c r="U39">
        <v>2</v>
      </c>
      <c r="V39" t="s">
        <v>82</v>
      </c>
      <c r="W39">
        <v>80</v>
      </c>
      <c r="X39">
        <v>9</v>
      </c>
      <c r="Y39">
        <v>9</v>
      </c>
      <c r="Z39" t="s">
        <v>159</v>
      </c>
      <c r="AA39" t="s">
        <v>160</v>
      </c>
      <c r="AB39" t="s">
        <v>85</v>
      </c>
      <c r="AC39" t="s">
        <v>86</v>
      </c>
      <c r="AD39" t="s">
        <v>87</v>
      </c>
      <c r="AE39" t="s">
        <v>88</v>
      </c>
      <c r="AG39" t="s">
        <v>161</v>
      </c>
      <c r="AH39">
        <v>0</v>
      </c>
      <c r="AI39">
        <v>422</v>
      </c>
      <c r="AJ39">
        <v>75</v>
      </c>
      <c r="AK39">
        <v>32</v>
      </c>
      <c r="AL39">
        <v>1.33</v>
      </c>
    </row>
    <row r="40" spans="1:38" x14ac:dyDescent="0.3">
      <c r="A40" t="s">
        <v>79</v>
      </c>
      <c r="B40">
        <v>130074</v>
      </c>
      <c r="C40">
        <v>2</v>
      </c>
      <c r="D40" t="s">
        <v>157</v>
      </c>
      <c r="E40" t="s">
        <v>158</v>
      </c>
      <c r="F40">
        <v>24</v>
      </c>
      <c r="G40">
        <v>26.75</v>
      </c>
      <c r="H40">
        <v>88.45</v>
      </c>
      <c r="I40">
        <v>21.06</v>
      </c>
      <c r="J40">
        <v>69.64</v>
      </c>
      <c r="K40">
        <v>6</v>
      </c>
      <c r="T40">
        <v>3</v>
      </c>
      <c r="U40">
        <v>2</v>
      </c>
      <c r="V40" t="s">
        <v>82</v>
      </c>
      <c r="W40">
        <v>88</v>
      </c>
      <c r="X40">
        <v>9</v>
      </c>
      <c r="Y40">
        <v>9</v>
      </c>
      <c r="Z40" t="s">
        <v>159</v>
      </c>
      <c r="AA40" t="s">
        <v>160</v>
      </c>
      <c r="AB40" t="s">
        <v>85</v>
      </c>
      <c r="AC40" t="s">
        <v>86</v>
      </c>
      <c r="AD40" t="s">
        <v>87</v>
      </c>
      <c r="AE40" t="s">
        <v>88</v>
      </c>
      <c r="AG40" t="s">
        <v>161</v>
      </c>
      <c r="AH40">
        <v>0</v>
      </c>
      <c r="AI40">
        <v>422</v>
      </c>
      <c r="AJ40">
        <v>75</v>
      </c>
      <c r="AK40">
        <v>32</v>
      </c>
      <c r="AL40">
        <v>1.33</v>
      </c>
    </row>
    <row r="41" spans="1:38" x14ac:dyDescent="0.3">
      <c r="A41" t="s">
        <v>79</v>
      </c>
      <c r="B41">
        <v>130074</v>
      </c>
      <c r="C41">
        <v>3</v>
      </c>
      <c r="D41" t="s">
        <v>157</v>
      </c>
      <c r="E41" t="s">
        <v>158</v>
      </c>
      <c r="F41">
        <v>24</v>
      </c>
      <c r="G41">
        <v>32.61</v>
      </c>
      <c r="H41">
        <v>107.83</v>
      </c>
      <c r="I41">
        <v>25.6</v>
      </c>
      <c r="J41">
        <v>84.64</v>
      </c>
      <c r="K41">
        <v>6</v>
      </c>
      <c r="T41">
        <v>4</v>
      </c>
      <c r="U41">
        <v>2</v>
      </c>
      <c r="V41" t="s">
        <v>82</v>
      </c>
      <c r="W41" t="s">
        <v>162</v>
      </c>
      <c r="X41">
        <v>9</v>
      </c>
      <c r="Y41">
        <v>9</v>
      </c>
      <c r="Z41" t="s">
        <v>159</v>
      </c>
      <c r="AA41" t="s">
        <v>160</v>
      </c>
      <c r="AB41" t="s">
        <v>85</v>
      </c>
      <c r="AC41" t="s">
        <v>86</v>
      </c>
      <c r="AD41" t="s">
        <v>87</v>
      </c>
      <c r="AE41" t="s">
        <v>88</v>
      </c>
      <c r="AG41" t="s">
        <v>161</v>
      </c>
      <c r="AH41">
        <v>0</v>
      </c>
      <c r="AI41">
        <v>422</v>
      </c>
      <c r="AJ41">
        <v>75</v>
      </c>
      <c r="AK41">
        <v>32</v>
      </c>
      <c r="AL41">
        <v>1.33</v>
      </c>
    </row>
    <row r="42" spans="1:38" x14ac:dyDescent="0.3">
      <c r="A42" t="s">
        <v>79</v>
      </c>
      <c r="B42">
        <v>130074</v>
      </c>
      <c r="C42">
        <v>4</v>
      </c>
      <c r="D42" t="s">
        <v>157</v>
      </c>
      <c r="E42" t="s">
        <v>158</v>
      </c>
      <c r="F42">
        <v>24</v>
      </c>
      <c r="G42">
        <v>32.71</v>
      </c>
      <c r="H42">
        <v>108.15</v>
      </c>
      <c r="I42">
        <v>25.7</v>
      </c>
      <c r="J42">
        <v>84.99</v>
      </c>
      <c r="K42">
        <v>6</v>
      </c>
      <c r="T42">
        <v>4</v>
      </c>
      <c r="U42">
        <v>2</v>
      </c>
      <c r="V42" t="s">
        <v>82</v>
      </c>
      <c r="W42" t="s">
        <v>163</v>
      </c>
      <c r="X42">
        <v>9</v>
      </c>
      <c r="Y42">
        <v>9</v>
      </c>
      <c r="Z42" t="s">
        <v>159</v>
      </c>
      <c r="AA42" t="s">
        <v>160</v>
      </c>
      <c r="AB42" t="s">
        <v>85</v>
      </c>
      <c r="AC42" t="s">
        <v>86</v>
      </c>
      <c r="AD42" t="s">
        <v>87</v>
      </c>
      <c r="AE42" t="s">
        <v>88</v>
      </c>
      <c r="AG42" t="s">
        <v>161</v>
      </c>
      <c r="AH42">
        <v>0</v>
      </c>
      <c r="AI42">
        <v>422</v>
      </c>
      <c r="AJ42">
        <v>75</v>
      </c>
      <c r="AK42">
        <v>32</v>
      </c>
      <c r="AL42">
        <v>1.33</v>
      </c>
    </row>
    <row r="43" spans="1:38" x14ac:dyDescent="0.3">
      <c r="A43" t="s">
        <v>79</v>
      </c>
      <c r="B43">
        <v>139405</v>
      </c>
      <c r="C43">
        <v>1</v>
      </c>
      <c r="D43" t="s">
        <v>164</v>
      </c>
      <c r="E43" t="s">
        <v>165</v>
      </c>
      <c r="F43">
        <v>28</v>
      </c>
      <c r="G43">
        <v>19.809999999999999</v>
      </c>
      <c r="H43">
        <v>65.5</v>
      </c>
      <c r="I43">
        <v>15.32</v>
      </c>
      <c r="J43">
        <v>50.65</v>
      </c>
      <c r="K43">
        <v>1</v>
      </c>
      <c r="T43">
        <v>3</v>
      </c>
      <c r="U43">
        <v>2</v>
      </c>
      <c r="V43" t="s">
        <v>82</v>
      </c>
      <c r="W43" t="s">
        <v>166</v>
      </c>
      <c r="X43">
        <v>8</v>
      </c>
      <c r="Y43">
        <v>7</v>
      </c>
      <c r="Z43" t="s">
        <v>167</v>
      </c>
      <c r="AA43" t="s">
        <v>168</v>
      </c>
      <c r="AB43" t="s">
        <v>85</v>
      </c>
      <c r="AC43" t="s">
        <v>86</v>
      </c>
      <c r="AD43" t="s">
        <v>87</v>
      </c>
      <c r="AE43" t="s">
        <v>88</v>
      </c>
      <c r="AG43" t="s">
        <v>169</v>
      </c>
      <c r="AH43">
        <v>0</v>
      </c>
      <c r="AI43">
        <v>212</v>
      </c>
      <c r="AJ43">
        <v>34</v>
      </c>
      <c r="AK43">
        <v>28</v>
      </c>
      <c r="AL43">
        <v>1</v>
      </c>
    </row>
    <row r="44" spans="1:38" x14ac:dyDescent="0.3">
      <c r="A44" t="s">
        <v>79</v>
      </c>
      <c r="B44">
        <v>139405</v>
      </c>
      <c r="C44">
        <v>2</v>
      </c>
      <c r="D44" t="s">
        <v>164</v>
      </c>
      <c r="E44" t="s">
        <v>165</v>
      </c>
      <c r="F44">
        <v>28</v>
      </c>
      <c r="G44">
        <v>19.98</v>
      </c>
      <c r="H44">
        <v>66.06</v>
      </c>
      <c r="I44">
        <v>15.45</v>
      </c>
      <c r="J44">
        <v>51.09</v>
      </c>
      <c r="K44">
        <v>1</v>
      </c>
      <c r="T44">
        <v>3</v>
      </c>
      <c r="U44">
        <v>2</v>
      </c>
      <c r="V44" t="s">
        <v>82</v>
      </c>
      <c r="W44" t="s">
        <v>170</v>
      </c>
      <c r="X44">
        <v>8</v>
      </c>
      <c r="Y44">
        <v>7</v>
      </c>
      <c r="Z44" t="s">
        <v>167</v>
      </c>
      <c r="AA44" t="s">
        <v>168</v>
      </c>
      <c r="AB44" t="s">
        <v>85</v>
      </c>
      <c r="AC44" t="s">
        <v>86</v>
      </c>
      <c r="AD44" t="s">
        <v>87</v>
      </c>
      <c r="AE44" t="s">
        <v>88</v>
      </c>
      <c r="AG44" t="s">
        <v>169</v>
      </c>
      <c r="AH44">
        <v>0</v>
      </c>
      <c r="AI44">
        <v>212</v>
      </c>
      <c r="AJ44">
        <v>34</v>
      </c>
      <c r="AK44">
        <v>28</v>
      </c>
      <c r="AL44">
        <v>1</v>
      </c>
    </row>
    <row r="45" spans="1:38" x14ac:dyDescent="0.3">
      <c r="A45" t="s">
        <v>79</v>
      </c>
      <c r="B45">
        <v>139405</v>
      </c>
      <c r="C45">
        <v>3</v>
      </c>
      <c r="D45" t="s">
        <v>164</v>
      </c>
      <c r="E45" t="s">
        <v>165</v>
      </c>
      <c r="F45">
        <v>28</v>
      </c>
      <c r="G45">
        <v>20.46</v>
      </c>
      <c r="H45">
        <v>67.650000000000006</v>
      </c>
      <c r="I45">
        <v>15.82</v>
      </c>
      <c r="J45">
        <v>52.32</v>
      </c>
      <c r="K45">
        <v>1</v>
      </c>
      <c r="T45">
        <v>3</v>
      </c>
      <c r="U45">
        <v>2</v>
      </c>
      <c r="V45" t="s">
        <v>82</v>
      </c>
      <c r="W45" t="s">
        <v>171</v>
      </c>
      <c r="X45">
        <v>8</v>
      </c>
      <c r="Y45">
        <v>7</v>
      </c>
      <c r="Z45" t="s">
        <v>167</v>
      </c>
      <c r="AA45" t="s">
        <v>168</v>
      </c>
      <c r="AB45" t="s">
        <v>85</v>
      </c>
      <c r="AC45" t="s">
        <v>86</v>
      </c>
      <c r="AD45" t="s">
        <v>87</v>
      </c>
      <c r="AE45" t="s">
        <v>88</v>
      </c>
      <c r="AG45" t="s">
        <v>169</v>
      </c>
      <c r="AH45">
        <v>0</v>
      </c>
      <c r="AI45">
        <v>212</v>
      </c>
      <c r="AJ45">
        <v>34</v>
      </c>
      <c r="AK45">
        <v>28</v>
      </c>
      <c r="AL45">
        <v>1</v>
      </c>
    </row>
    <row r="46" spans="1:38" x14ac:dyDescent="0.3">
      <c r="A46" t="s">
        <v>79</v>
      </c>
      <c r="B46">
        <v>139405</v>
      </c>
      <c r="C46">
        <v>4</v>
      </c>
      <c r="D46" t="s">
        <v>164</v>
      </c>
      <c r="E46" t="s">
        <v>165</v>
      </c>
      <c r="F46">
        <v>28</v>
      </c>
      <c r="G46">
        <v>22.29</v>
      </c>
      <c r="H46">
        <v>73.7</v>
      </c>
      <c r="I46">
        <v>17.239999999999998</v>
      </c>
      <c r="J46">
        <v>57</v>
      </c>
      <c r="K46">
        <v>6</v>
      </c>
      <c r="T46">
        <v>3</v>
      </c>
      <c r="U46">
        <v>2</v>
      </c>
      <c r="V46" t="s">
        <v>82</v>
      </c>
      <c r="W46" t="s">
        <v>103</v>
      </c>
      <c r="X46">
        <v>8</v>
      </c>
      <c r="Y46">
        <v>7</v>
      </c>
      <c r="Z46" t="s">
        <v>167</v>
      </c>
      <c r="AA46" t="s">
        <v>168</v>
      </c>
      <c r="AB46" t="s">
        <v>85</v>
      </c>
      <c r="AC46" t="s">
        <v>86</v>
      </c>
      <c r="AD46" t="s">
        <v>87</v>
      </c>
      <c r="AE46" t="s">
        <v>88</v>
      </c>
      <c r="AG46" t="s">
        <v>169</v>
      </c>
      <c r="AH46">
        <v>0</v>
      </c>
      <c r="AI46">
        <v>212</v>
      </c>
      <c r="AJ46">
        <v>34</v>
      </c>
      <c r="AK46">
        <v>28</v>
      </c>
      <c r="AL46">
        <v>1</v>
      </c>
    </row>
    <row r="47" spans="1:38" x14ac:dyDescent="0.3">
      <c r="A47" t="s">
        <v>79</v>
      </c>
      <c r="B47">
        <v>139405</v>
      </c>
      <c r="C47">
        <v>5</v>
      </c>
      <c r="D47" t="s">
        <v>164</v>
      </c>
      <c r="E47" t="s">
        <v>165</v>
      </c>
      <c r="F47">
        <v>28</v>
      </c>
      <c r="G47">
        <v>22.63</v>
      </c>
      <c r="H47">
        <v>74.84</v>
      </c>
      <c r="I47">
        <v>17.5</v>
      </c>
      <c r="J47">
        <v>57.88</v>
      </c>
      <c r="K47">
        <v>12</v>
      </c>
      <c r="T47">
        <v>3</v>
      </c>
      <c r="U47">
        <v>2</v>
      </c>
      <c r="V47" t="s">
        <v>82</v>
      </c>
      <c r="W47">
        <v>74</v>
      </c>
      <c r="X47">
        <v>8</v>
      </c>
      <c r="Y47">
        <v>7</v>
      </c>
      <c r="Z47" t="s">
        <v>167</v>
      </c>
      <c r="AA47" t="s">
        <v>168</v>
      </c>
      <c r="AB47" t="s">
        <v>85</v>
      </c>
      <c r="AC47" t="s">
        <v>86</v>
      </c>
      <c r="AD47" t="s">
        <v>87</v>
      </c>
      <c r="AE47" t="s">
        <v>88</v>
      </c>
      <c r="AG47" t="s">
        <v>169</v>
      </c>
      <c r="AH47">
        <v>0</v>
      </c>
      <c r="AI47">
        <v>212</v>
      </c>
      <c r="AJ47">
        <v>34</v>
      </c>
      <c r="AK47">
        <v>28</v>
      </c>
      <c r="AL47">
        <v>1</v>
      </c>
    </row>
    <row r="48" spans="1:38" x14ac:dyDescent="0.3">
      <c r="A48" t="s">
        <v>79</v>
      </c>
      <c r="B48">
        <v>139405</v>
      </c>
      <c r="C48">
        <v>6</v>
      </c>
      <c r="D48" t="s">
        <v>164</v>
      </c>
      <c r="E48" t="s">
        <v>165</v>
      </c>
      <c r="F48">
        <v>28</v>
      </c>
      <c r="G48">
        <v>22.39</v>
      </c>
      <c r="H48">
        <v>74.040000000000006</v>
      </c>
      <c r="I48">
        <v>17.32</v>
      </c>
      <c r="J48">
        <v>57.26</v>
      </c>
      <c r="K48">
        <v>1</v>
      </c>
      <c r="T48">
        <v>3</v>
      </c>
      <c r="U48">
        <v>2</v>
      </c>
      <c r="V48" t="s">
        <v>82</v>
      </c>
      <c r="W48" t="s">
        <v>172</v>
      </c>
      <c r="X48">
        <v>8</v>
      </c>
      <c r="Y48">
        <v>7</v>
      </c>
      <c r="Z48" t="s">
        <v>167</v>
      </c>
      <c r="AA48" t="s">
        <v>168</v>
      </c>
      <c r="AB48" t="s">
        <v>85</v>
      </c>
      <c r="AC48" t="s">
        <v>86</v>
      </c>
      <c r="AD48" t="s">
        <v>87</v>
      </c>
      <c r="AE48" t="s">
        <v>88</v>
      </c>
      <c r="AG48" t="s">
        <v>169</v>
      </c>
      <c r="AH48">
        <v>0</v>
      </c>
      <c r="AI48">
        <v>212</v>
      </c>
      <c r="AJ48">
        <v>34</v>
      </c>
      <c r="AK48">
        <v>28</v>
      </c>
      <c r="AL48">
        <v>1</v>
      </c>
    </row>
    <row r="49" spans="1:38" x14ac:dyDescent="0.3">
      <c r="A49" t="s">
        <v>79</v>
      </c>
      <c r="B49">
        <v>139405</v>
      </c>
      <c r="C49">
        <v>7</v>
      </c>
      <c r="D49" t="s">
        <v>164</v>
      </c>
      <c r="E49" t="s">
        <v>165</v>
      </c>
      <c r="F49">
        <v>28</v>
      </c>
      <c r="G49">
        <v>25.18</v>
      </c>
      <c r="H49">
        <v>83.24</v>
      </c>
      <c r="I49">
        <v>19.47</v>
      </c>
      <c r="J49">
        <v>64.38</v>
      </c>
      <c r="K49">
        <v>6</v>
      </c>
      <c r="T49">
        <v>3</v>
      </c>
      <c r="U49">
        <v>2</v>
      </c>
      <c r="V49" t="s">
        <v>82</v>
      </c>
      <c r="W49">
        <v>83</v>
      </c>
      <c r="X49">
        <v>8</v>
      </c>
      <c r="Y49">
        <v>7</v>
      </c>
      <c r="Z49" t="s">
        <v>167</v>
      </c>
      <c r="AA49" t="s">
        <v>168</v>
      </c>
      <c r="AB49" t="s">
        <v>85</v>
      </c>
      <c r="AC49" t="s">
        <v>86</v>
      </c>
      <c r="AD49" t="s">
        <v>87</v>
      </c>
      <c r="AE49" t="s">
        <v>88</v>
      </c>
      <c r="AG49" t="s">
        <v>169</v>
      </c>
      <c r="AH49">
        <v>0</v>
      </c>
      <c r="AI49">
        <v>212</v>
      </c>
      <c r="AJ49">
        <v>34</v>
      </c>
      <c r="AK49">
        <v>28</v>
      </c>
      <c r="AL49">
        <v>1</v>
      </c>
    </row>
    <row r="50" spans="1:38" x14ac:dyDescent="0.3">
      <c r="A50" t="s">
        <v>79</v>
      </c>
      <c r="B50">
        <v>16752</v>
      </c>
      <c r="C50">
        <v>1</v>
      </c>
      <c r="D50" t="s">
        <v>173</v>
      </c>
      <c r="E50" t="s">
        <v>174</v>
      </c>
      <c r="F50">
        <v>70</v>
      </c>
      <c r="G50">
        <v>24.26</v>
      </c>
      <c r="H50">
        <v>80.22</v>
      </c>
      <c r="I50">
        <v>18.05</v>
      </c>
      <c r="J50">
        <v>59.68</v>
      </c>
      <c r="K50">
        <v>70</v>
      </c>
      <c r="T50">
        <v>3</v>
      </c>
      <c r="U50">
        <v>1</v>
      </c>
      <c r="V50" t="s">
        <v>175</v>
      </c>
      <c r="W50">
        <v>80</v>
      </c>
      <c r="X50">
        <v>7</v>
      </c>
      <c r="Y50">
        <v>7</v>
      </c>
      <c r="Z50" t="s">
        <v>176</v>
      </c>
      <c r="AA50" t="s">
        <v>177</v>
      </c>
      <c r="AB50" t="s">
        <v>85</v>
      </c>
      <c r="AC50" t="s">
        <v>86</v>
      </c>
      <c r="AD50" t="s">
        <v>87</v>
      </c>
      <c r="AE50" t="s">
        <v>88</v>
      </c>
      <c r="AG50" t="s">
        <v>178</v>
      </c>
      <c r="AH50">
        <v>0</v>
      </c>
      <c r="AI50">
        <v>165</v>
      </c>
      <c r="AJ50">
        <v>27</v>
      </c>
      <c r="AK50">
        <v>66</v>
      </c>
      <c r="AL50">
        <v>0.94</v>
      </c>
    </row>
    <row r="51" spans="1:38" x14ac:dyDescent="0.3">
      <c r="A51" t="s">
        <v>79</v>
      </c>
      <c r="B51">
        <v>14644</v>
      </c>
      <c r="C51">
        <v>1</v>
      </c>
      <c r="D51" t="s">
        <v>179</v>
      </c>
      <c r="E51" t="s">
        <v>93</v>
      </c>
      <c r="F51">
        <v>202</v>
      </c>
      <c r="G51">
        <v>33.630000000000003</v>
      </c>
      <c r="H51">
        <v>111.2</v>
      </c>
      <c r="I51">
        <v>25.67</v>
      </c>
      <c r="J51">
        <v>84.89</v>
      </c>
      <c r="K51">
        <v>202</v>
      </c>
      <c r="T51">
        <v>3</v>
      </c>
      <c r="U51">
        <v>2</v>
      </c>
      <c r="V51" t="s">
        <v>82</v>
      </c>
      <c r="W51">
        <v>111</v>
      </c>
      <c r="X51">
        <v>15</v>
      </c>
      <c r="Y51">
        <v>12</v>
      </c>
      <c r="Z51" t="s">
        <v>180</v>
      </c>
      <c r="AA51" t="s">
        <v>181</v>
      </c>
      <c r="AB51" t="s">
        <v>85</v>
      </c>
      <c r="AC51" t="s">
        <v>86</v>
      </c>
      <c r="AD51" t="s">
        <v>87</v>
      </c>
      <c r="AE51" t="s">
        <v>88</v>
      </c>
      <c r="AG51" t="s">
        <v>182</v>
      </c>
      <c r="AH51">
        <v>0</v>
      </c>
      <c r="AI51">
        <v>225</v>
      </c>
      <c r="AJ51">
        <v>22</v>
      </c>
      <c r="AK51">
        <v>203</v>
      </c>
      <c r="AL51">
        <v>1</v>
      </c>
    </row>
    <row r="52" spans="1:38" x14ac:dyDescent="0.3">
      <c r="A52" t="s">
        <v>79</v>
      </c>
      <c r="B52">
        <v>100827</v>
      </c>
      <c r="C52">
        <v>1</v>
      </c>
      <c r="D52" t="s">
        <v>183</v>
      </c>
      <c r="E52" t="s">
        <v>184</v>
      </c>
      <c r="F52">
        <v>84</v>
      </c>
      <c r="G52">
        <v>19.940000000000001</v>
      </c>
      <c r="H52">
        <v>65.94</v>
      </c>
      <c r="I52">
        <v>15.09</v>
      </c>
      <c r="J52">
        <v>49.89</v>
      </c>
      <c r="K52">
        <v>12</v>
      </c>
      <c r="T52">
        <v>2</v>
      </c>
      <c r="U52">
        <v>1</v>
      </c>
      <c r="V52" t="s">
        <v>82</v>
      </c>
      <c r="W52">
        <v>65</v>
      </c>
      <c r="X52">
        <v>6</v>
      </c>
      <c r="Y52">
        <v>6</v>
      </c>
      <c r="Z52" t="s">
        <v>185</v>
      </c>
      <c r="AA52" t="s">
        <v>186</v>
      </c>
      <c r="AB52" t="s">
        <v>85</v>
      </c>
      <c r="AC52" t="s">
        <v>86</v>
      </c>
      <c r="AD52" t="s">
        <v>87</v>
      </c>
      <c r="AE52" t="s">
        <v>88</v>
      </c>
      <c r="AG52" t="s">
        <v>187</v>
      </c>
      <c r="AH52">
        <v>0</v>
      </c>
      <c r="AI52">
        <v>185</v>
      </c>
      <c r="AJ52">
        <v>30</v>
      </c>
      <c r="AK52">
        <v>0</v>
      </c>
      <c r="AL52">
        <v>0</v>
      </c>
    </row>
    <row r="53" spans="1:38" x14ac:dyDescent="0.3">
      <c r="A53" t="s">
        <v>79</v>
      </c>
      <c r="B53">
        <v>100827</v>
      </c>
      <c r="C53">
        <v>2</v>
      </c>
      <c r="D53" t="s">
        <v>183</v>
      </c>
      <c r="E53" t="s">
        <v>184</v>
      </c>
      <c r="F53">
        <v>84</v>
      </c>
      <c r="G53">
        <v>30.08</v>
      </c>
      <c r="H53">
        <v>99.46</v>
      </c>
      <c r="I53">
        <v>23.78</v>
      </c>
      <c r="J53">
        <v>78.63</v>
      </c>
      <c r="K53">
        <v>30</v>
      </c>
      <c r="T53">
        <v>3</v>
      </c>
      <c r="U53">
        <v>1</v>
      </c>
      <c r="V53" t="s">
        <v>82</v>
      </c>
      <c r="W53">
        <v>99</v>
      </c>
      <c r="X53">
        <v>6</v>
      </c>
      <c r="Y53">
        <v>6</v>
      </c>
      <c r="Z53" t="s">
        <v>185</v>
      </c>
      <c r="AA53" t="s">
        <v>186</v>
      </c>
      <c r="AB53" t="s">
        <v>85</v>
      </c>
      <c r="AC53" t="s">
        <v>86</v>
      </c>
      <c r="AD53" t="s">
        <v>87</v>
      </c>
      <c r="AE53" t="s">
        <v>88</v>
      </c>
      <c r="AG53" t="s">
        <v>187</v>
      </c>
      <c r="AH53">
        <v>0</v>
      </c>
      <c r="AI53">
        <v>185</v>
      </c>
      <c r="AJ53">
        <v>30</v>
      </c>
      <c r="AK53">
        <v>0</v>
      </c>
      <c r="AL53">
        <v>0</v>
      </c>
    </row>
    <row r="54" spans="1:38" x14ac:dyDescent="0.3">
      <c r="A54" t="s">
        <v>79</v>
      </c>
      <c r="B54">
        <v>100827</v>
      </c>
      <c r="C54">
        <v>3</v>
      </c>
      <c r="D54" t="s">
        <v>183</v>
      </c>
      <c r="E54" t="s">
        <v>184</v>
      </c>
      <c r="F54">
        <v>84</v>
      </c>
      <c r="G54">
        <v>31.19</v>
      </c>
      <c r="H54">
        <v>103.12</v>
      </c>
      <c r="I54">
        <v>24.73</v>
      </c>
      <c r="J54">
        <v>81.78</v>
      </c>
      <c r="K54">
        <v>18</v>
      </c>
      <c r="T54">
        <v>3</v>
      </c>
      <c r="U54">
        <v>1</v>
      </c>
      <c r="V54" t="s">
        <v>82</v>
      </c>
      <c r="W54">
        <v>103</v>
      </c>
      <c r="X54">
        <v>6</v>
      </c>
      <c r="Y54">
        <v>6</v>
      </c>
      <c r="Z54" t="s">
        <v>185</v>
      </c>
      <c r="AA54" t="s">
        <v>186</v>
      </c>
      <c r="AB54" t="s">
        <v>85</v>
      </c>
      <c r="AC54" t="s">
        <v>86</v>
      </c>
      <c r="AD54" t="s">
        <v>87</v>
      </c>
      <c r="AE54" t="s">
        <v>88</v>
      </c>
      <c r="AG54" t="s">
        <v>187</v>
      </c>
      <c r="AH54">
        <v>0</v>
      </c>
      <c r="AI54">
        <v>185</v>
      </c>
      <c r="AJ54">
        <v>30</v>
      </c>
      <c r="AK54">
        <v>0</v>
      </c>
      <c r="AL54">
        <v>0</v>
      </c>
    </row>
    <row r="55" spans="1:38" x14ac:dyDescent="0.3">
      <c r="A55" t="s">
        <v>79</v>
      </c>
      <c r="B55">
        <v>100827</v>
      </c>
      <c r="C55">
        <v>4</v>
      </c>
      <c r="D55" t="s">
        <v>183</v>
      </c>
      <c r="E55" t="s">
        <v>184</v>
      </c>
      <c r="F55">
        <v>84</v>
      </c>
      <c r="G55">
        <v>32.25</v>
      </c>
      <c r="H55">
        <v>106.63</v>
      </c>
      <c r="I55">
        <v>25.64</v>
      </c>
      <c r="J55">
        <v>84.78</v>
      </c>
      <c r="K55">
        <v>24</v>
      </c>
      <c r="T55">
        <v>3</v>
      </c>
      <c r="U55">
        <v>2</v>
      </c>
      <c r="V55" t="s">
        <v>82</v>
      </c>
      <c r="W55">
        <v>106</v>
      </c>
      <c r="X55">
        <v>6</v>
      </c>
      <c r="Y55">
        <v>6</v>
      </c>
      <c r="Z55" t="s">
        <v>185</v>
      </c>
      <c r="AA55" t="s">
        <v>186</v>
      </c>
      <c r="AB55" t="s">
        <v>85</v>
      </c>
      <c r="AC55" t="s">
        <v>86</v>
      </c>
      <c r="AD55" t="s">
        <v>87</v>
      </c>
      <c r="AE55" t="s">
        <v>88</v>
      </c>
      <c r="AG55" t="s">
        <v>187</v>
      </c>
      <c r="AH55">
        <v>0</v>
      </c>
      <c r="AI55">
        <v>185</v>
      </c>
      <c r="AJ55">
        <v>30</v>
      </c>
      <c r="AK55">
        <v>0</v>
      </c>
      <c r="AL55">
        <v>0</v>
      </c>
    </row>
    <row r="56" spans="1:38" x14ac:dyDescent="0.3">
      <c r="A56" t="s">
        <v>79</v>
      </c>
      <c r="B56">
        <v>101969</v>
      </c>
      <c r="C56">
        <v>1</v>
      </c>
      <c r="D56" t="s">
        <v>188</v>
      </c>
      <c r="E56" t="s">
        <v>189</v>
      </c>
      <c r="F56">
        <v>64</v>
      </c>
      <c r="G56">
        <v>23.61</v>
      </c>
      <c r="H56">
        <v>78.05</v>
      </c>
      <c r="I56">
        <v>18.11</v>
      </c>
      <c r="J56">
        <v>59.88</v>
      </c>
      <c r="K56">
        <v>32</v>
      </c>
      <c r="T56">
        <v>3</v>
      </c>
      <c r="U56">
        <v>1</v>
      </c>
      <c r="V56" t="s">
        <v>82</v>
      </c>
      <c r="W56">
        <v>78</v>
      </c>
      <c r="X56">
        <v>10</v>
      </c>
      <c r="Y56">
        <v>10</v>
      </c>
      <c r="Z56" t="s">
        <v>190</v>
      </c>
      <c r="AA56" t="s">
        <v>191</v>
      </c>
      <c r="AB56" t="s">
        <v>85</v>
      </c>
      <c r="AC56" t="s">
        <v>86</v>
      </c>
      <c r="AD56" t="s">
        <v>87</v>
      </c>
      <c r="AE56" t="s">
        <v>88</v>
      </c>
      <c r="AG56" t="s">
        <v>192</v>
      </c>
      <c r="AH56">
        <v>0</v>
      </c>
      <c r="AI56">
        <v>298</v>
      </c>
      <c r="AJ56">
        <v>55</v>
      </c>
      <c r="AK56">
        <v>90</v>
      </c>
      <c r="AL56">
        <v>1.41</v>
      </c>
    </row>
    <row r="57" spans="1:38" x14ac:dyDescent="0.3">
      <c r="A57" t="s">
        <v>79</v>
      </c>
      <c r="B57">
        <v>101969</v>
      </c>
      <c r="C57">
        <v>2</v>
      </c>
      <c r="D57" t="s">
        <v>188</v>
      </c>
      <c r="E57" t="s">
        <v>189</v>
      </c>
      <c r="F57">
        <v>64</v>
      </c>
      <c r="G57">
        <v>33.47</v>
      </c>
      <c r="H57">
        <v>110.66</v>
      </c>
      <c r="I57">
        <v>25.68</v>
      </c>
      <c r="J57">
        <v>84.9</v>
      </c>
      <c r="K57">
        <v>32</v>
      </c>
      <c r="T57">
        <v>3</v>
      </c>
      <c r="U57">
        <v>2</v>
      </c>
      <c r="V57" t="s">
        <v>82</v>
      </c>
      <c r="W57">
        <v>110</v>
      </c>
      <c r="X57">
        <v>10</v>
      </c>
      <c r="Y57">
        <v>10</v>
      </c>
      <c r="Z57" t="s">
        <v>190</v>
      </c>
      <c r="AA57" t="s">
        <v>191</v>
      </c>
      <c r="AB57" t="s">
        <v>85</v>
      </c>
      <c r="AC57" t="s">
        <v>86</v>
      </c>
      <c r="AD57" t="s">
        <v>87</v>
      </c>
      <c r="AE57" t="s">
        <v>88</v>
      </c>
      <c r="AG57" t="s">
        <v>192</v>
      </c>
      <c r="AH57">
        <v>0</v>
      </c>
      <c r="AI57">
        <v>298</v>
      </c>
      <c r="AJ57">
        <v>55</v>
      </c>
      <c r="AK57">
        <v>90</v>
      </c>
      <c r="AL57">
        <v>1.41</v>
      </c>
    </row>
    <row r="58" spans="1:38" x14ac:dyDescent="0.3">
      <c r="A58" t="s">
        <v>79</v>
      </c>
      <c r="B58">
        <v>7551</v>
      </c>
      <c r="C58">
        <v>1</v>
      </c>
      <c r="D58" t="s">
        <v>193</v>
      </c>
      <c r="E58" t="s">
        <v>194</v>
      </c>
      <c r="F58">
        <v>420</v>
      </c>
      <c r="G58">
        <v>11.3</v>
      </c>
      <c r="H58">
        <v>37.380000000000003</v>
      </c>
      <c r="I58">
        <v>9.67</v>
      </c>
      <c r="J58">
        <v>31.98</v>
      </c>
      <c r="K58">
        <v>220</v>
      </c>
      <c r="T58">
        <v>2</v>
      </c>
      <c r="U58">
        <v>1</v>
      </c>
      <c r="V58" t="s">
        <v>82</v>
      </c>
      <c r="W58">
        <v>37</v>
      </c>
      <c r="X58">
        <v>5</v>
      </c>
      <c r="Y58">
        <v>5</v>
      </c>
      <c r="Z58" t="s">
        <v>195</v>
      </c>
      <c r="AA58" t="s">
        <v>196</v>
      </c>
      <c r="AB58" t="s">
        <v>85</v>
      </c>
      <c r="AC58" t="s">
        <v>86</v>
      </c>
      <c r="AD58" t="s">
        <v>87</v>
      </c>
      <c r="AE58" t="s">
        <v>88</v>
      </c>
      <c r="AG58" t="s">
        <v>197</v>
      </c>
      <c r="AH58">
        <v>0</v>
      </c>
      <c r="AI58">
        <v>97</v>
      </c>
      <c r="AJ58">
        <v>21</v>
      </c>
      <c r="AK58">
        <v>0</v>
      </c>
      <c r="AL58">
        <v>0</v>
      </c>
    </row>
    <row r="59" spans="1:38" x14ac:dyDescent="0.3">
      <c r="A59" t="s">
        <v>79</v>
      </c>
      <c r="B59">
        <v>7551</v>
      </c>
      <c r="C59">
        <v>2</v>
      </c>
      <c r="D59" t="s">
        <v>193</v>
      </c>
      <c r="E59" t="s">
        <v>194</v>
      </c>
      <c r="F59">
        <v>420</v>
      </c>
      <c r="G59">
        <v>13.64</v>
      </c>
      <c r="H59">
        <v>45.12</v>
      </c>
      <c r="I59">
        <v>12.01</v>
      </c>
      <c r="J59">
        <v>39.72</v>
      </c>
      <c r="K59">
        <v>200</v>
      </c>
      <c r="T59">
        <v>2</v>
      </c>
      <c r="U59">
        <v>1</v>
      </c>
      <c r="V59" t="s">
        <v>82</v>
      </c>
      <c r="W59">
        <v>45</v>
      </c>
      <c r="X59">
        <v>5</v>
      </c>
      <c r="Y59">
        <v>5</v>
      </c>
      <c r="Z59" t="s">
        <v>195</v>
      </c>
      <c r="AA59" t="s">
        <v>196</v>
      </c>
      <c r="AB59" t="s">
        <v>85</v>
      </c>
      <c r="AC59" t="s">
        <v>86</v>
      </c>
      <c r="AD59" t="s">
        <v>87</v>
      </c>
      <c r="AE59" t="s">
        <v>88</v>
      </c>
      <c r="AG59" t="s">
        <v>197</v>
      </c>
      <c r="AH59">
        <v>0</v>
      </c>
      <c r="AI59">
        <v>97</v>
      </c>
      <c r="AJ59">
        <v>21</v>
      </c>
      <c r="AK59">
        <v>0</v>
      </c>
      <c r="AL59">
        <v>0</v>
      </c>
    </row>
    <row r="60" spans="1:38" x14ac:dyDescent="0.3">
      <c r="A60" t="s">
        <v>79</v>
      </c>
      <c r="B60">
        <v>117214</v>
      </c>
      <c r="C60">
        <v>1</v>
      </c>
      <c r="D60" t="s">
        <v>198</v>
      </c>
      <c r="E60" t="s">
        <v>81</v>
      </c>
      <c r="F60">
        <v>46</v>
      </c>
      <c r="G60">
        <v>14.25</v>
      </c>
      <c r="H60">
        <v>47.12</v>
      </c>
      <c r="I60">
        <v>10.17</v>
      </c>
      <c r="J60">
        <v>33.65</v>
      </c>
      <c r="K60">
        <v>7</v>
      </c>
      <c r="T60">
        <v>1</v>
      </c>
      <c r="U60">
        <v>1</v>
      </c>
      <c r="V60" t="s">
        <v>82</v>
      </c>
      <c r="W60">
        <v>47</v>
      </c>
      <c r="X60">
        <v>9</v>
      </c>
      <c r="Y60">
        <v>9</v>
      </c>
      <c r="Z60" t="s">
        <v>199</v>
      </c>
      <c r="AA60" t="s">
        <v>200</v>
      </c>
      <c r="AB60" t="s">
        <v>85</v>
      </c>
      <c r="AC60" t="s">
        <v>86</v>
      </c>
      <c r="AD60" t="s">
        <v>87</v>
      </c>
      <c r="AE60" t="s">
        <v>88</v>
      </c>
      <c r="AG60" t="s">
        <v>201</v>
      </c>
      <c r="AH60">
        <v>0</v>
      </c>
      <c r="AI60">
        <v>213</v>
      </c>
      <c r="AJ60">
        <v>31</v>
      </c>
      <c r="AK60">
        <v>37</v>
      </c>
      <c r="AL60">
        <v>0.8</v>
      </c>
    </row>
    <row r="61" spans="1:38" x14ac:dyDescent="0.3">
      <c r="A61" t="s">
        <v>79</v>
      </c>
      <c r="B61">
        <v>117214</v>
      </c>
      <c r="C61">
        <v>2</v>
      </c>
      <c r="D61" t="s">
        <v>198</v>
      </c>
      <c r="E61" t="s">
        <v>81</v>
      </c>
      <c r="F61">
        <v>46</v>
      </c>
      <c r="G61">
        <v>14.67</v>
      </c>
      <c r="H61">
        <v>48.51</v>
      </c>
      <c r="I61">
        <v>10.49</v>
      </c>
      <c r="J61">
        <v>34.700000000000003</v>
      </c>
      <c r="K61">
        <v>2</v>
      </c>
      <c r="T61">
        <v>2</v>
      </c>
      <c r="U61">
        <v>1</v>
      </c>
      <c r="V61" t="s">
        <v>175</v>
      </c>
      <c r="W61">
        <v>48</v>
      </c>
      <c r="X61">
        <v>9</v>
      </c>
      <c r="Y61">
        <v>9</v>
      </c>
      <c r="Z61" t="s">
        <v>199</v>
      </c>
      <c r="AA61" t="s">
        <v>200</v>
      </c>
      <c r="AB61" t="s">
        <v>85</v>
      </c>
      <c r="AC61" t="s">
        <v>86</v>
      </c>
      <c r="AD61" t="s">
        <v>87</v>
      </c>
      <c r="AE61" t="s">
        <v>88</v>
      </c>
      <c r="AG61" t="s">
        <v>201</v>
      </c>
      <c r="AH61">
        <v>0</v>
      </c>
      <c r="AI61">
        <v>213</v>
      </c>
      <c r="AJ61">
        <v>31</v>
      </c>
      <c r="AK61">
        <v>37</v>
      </c>
      <c r="AL61">
        <v>0.8</v>
      </c>
    </row>
    <row r="62" spans="1:38" x14ac:dyDescent="0.3">
      <c r="A62" t="s">
        <v>79</v>
      </c>
      <c r="B62">
        <v>117214</v>
      </c>
      <c r="C62">
        <v>3</v>
      </c>
      <c r="D62" t="s">
        <v>198</v>
      </c>
      <c r="E62" t="s">
        <v>81</v>
      </c>
      <c r="F62">
        <v>46</v>
      </c>
      <c r="G62">
        <v>16.350000000000001</v>
      </c>
      <c r="H62">
        <v>54.06</v>
      </c>
      <c r="I62">
        <v>11.74</v>
      </c>
      <c r="J62">
        <v>38.82</v>
      </c>
      <c r="K62">
        <v>37</v>
      </c>
      <c r="T62">
        <v>2</v>
      </c>
      <c r="U62">
        <v>1</v>
      </c>
      <c r="V62" t="s">
        <v>175</v>
      </c>
      <c r="W62">
        <v>54</v>
      </c>
      <c r="X62">
        <v>9</v>
      </c>
      <c r="Y62">
        <v>9</v>
      </c>
      <c r="Z62" t="s">
        <v>199</v>
      </c>
      <c r="AA62" t="s">
        <v>200</v>
      </c>
      <c r="AB62" t="s">
        <v>85</v>
      </c>
      <c r="AC62" t="s">
        <v>86</v>
      </c>
      <c r="AD62" t="s">
        <v>87</v>
      </c>
      <c r="AE62" t="s">
        <v>88</v>
      </c>
      <c r="AG62" t="s">
        <v>201</v>
      </c>
      <c r="AH62">
        <v>0</v>
      </c>
      <c r="AI62">
        <v>213</v>
      </c>
      <c r="AJ62">
        <v>31</v>
      </c>
      <c r="AK62">
        <v>37</v>
      </c>
      <c r="AL62">
        <v>0.8</v>
      </c>
    </row>
    <row r="63" spans="1:38" x14ac:dyDescent="0.3">
      <c r="A63" t="s">
        <v>79</v>
      </c>
      <c r="B63">
        <v>19436</v>
      </c>
      <c r="C63">
        <v>1</v>
      </c>
      <c r="D63" t="s">
        <v>202</v>
      </c>
      <c r="E63" t="s">
        <v>203</v>
      </c>
      <c r="F63">
        <v>441</v>
      </c>
      <c r="G63">
        <v>33.72</v>
      </c>
      <c r="H63">
        <v>111.5</v>
      </c>
      <c r="I63">
        <v>25.69</v>
      </c>
      <c r="J63">
        <v>84.94</v>
      </c>
      <c r="K63">
        <v>351</v>
      </c>
      <c r="T63">
        <v>3</v>
      </c>
      <c r="U63">
        <v>2</v>
      </c>
      <c r="V63" t="s">
        <v>82</v>
      </c>
      <c r="W63">
        <v>111</v>
      </c>
      <c r="X63">
        <v>15</v>
      </c>
      <c r="Y63">
        <v>11</v>
      </c>
      <c r="Z63" t="s">
        <v>204</v>
      </c>
      <c r="AA63" t="s">
        <v>205</v>
      </c>
      <c r="AB63" t="s">
        <v>85</v>
      </c>
      <c r="AC63" t="s">
        <v>86</v>
      </c>
      <c r="AD63" t="s">
        <v>87</v>
      </c>
      <c r="AE63" t="s">
        <v>88</v>
      </c>
      <c r="AG63" t="s">
        <v>206</v>
      </c>
      <c r="AH63">
        <v>0</v>
      </c>
      <c r="AI63">
        <v>203</v>
      </c>
      <c r="AJ63">
        <v>18</v>
      </c>
      <c r="AK63">
        <v>448</v>
      </c>
      <c r="AL63">
        <v>1.02</v>
      </c>
    </row>
    <row r="64" spans="1:38" x14ac:dyDescent="0.3">
      <c r="A64" t="s">
        <v>79</v>
      </c>
      <c r="B64">
        <v>19436</v>
      </c>
      <c r="C64">
        <v>2</v>
      </c>
      <c r="D64" t="s">
        <v>202</v>
      </c>
      <c r="E64" t="s">
        <v>203</v>
      </c>
      <c r="F64">
        <v>441</v>
      </c>
      <c r="G64">
        <v>34.36</v>
      </c>
      <c r="H64">
        <v>113.6</v>
      </c>
      <c r="I64">
        <v>25.69</v>
      </c>
      <c r="J64">
        <v>84.93</v>
      </c>
      <c r="K64">
        <v>90</v>
      </c>
      <c r="T64">
        <v>3</v>
      </c>
      <c r="U64">
        <v>2</v>
      </c>
      <c r="V64" t="s">
        <v>82</v>
      </c>
      <c r="W64">
        <v>113</v>
      </c>
      <c r="X64">
        <v>15</v>
      </c>
      <c r="Y64">
        <v>11</v>
      </c>
      <c r="Z64" t="s">
        <v>204</v>
      </c>
      <c r="AA64" t="s">
        <v>205</v>
      </c>
      <c r="AB64" t="s">
        <v>85</v>
      </c>
      <c r="AC64" t="s">
        <v>86</v>
      </c>
      <c r="AD64" t="s">
        <v>87</v>
      </c>
      <c r="AE64" t="s">
        <v>88</v>
      </c>
      <c r="AG64" t="s">
        <v>206</v>
      </c>
      <c r="AH64">
        <v>0</v>
      </c>
      <c r="AI64">
        <v>203</v>
      </c>
      <c r="AJ64">
        <v>18</v>
      </c>
      <c r="AK64">
        <v>448</v>
      </c>
      <c r="AL64">
        <v>1.02</v>
      </c>
    </row>
    <row r="65" spans="1:38" x14ac:dyDescent="0.3">
      <c r="A65" t="s">
        <v>79</v>
      </c>
      <c r="B65">
        <v>7549</v>
      </c>
      <c r="C65">
        <v>1</v>
      </c>
      <c r="D65" t="s">
        <v>207</v>
      </c>
      <c r="E65" t="s">
        <v>208</v>
      </c>
      <c r="F65">
        <v>120</v>
      </c>
      <c r="G65">
        <v>19.420000000000002</v>
      </c>
      <c r="H65">
        <v>64.209999999999994</v>
      </c>
      <c r="I65">
        <v>15.72</v>
      </c>
      <c r="J65">
        <v>51.99</v>
      </c>
      <c r="K65">
        <v>4</v>
      </c>
      <c r="T65">
        <v>2</v>
      </c>
      <c r="U65">
        <v>1</v>
      </c>
      <c r="V65" t="s">
        <v>175</v>
      </c>
      <c r="W65">
        <v>64</v>
      </c>
      <c r="X65">
        <v>4</v>
      </c>
      <c r="Y65">
        <v>4</v>
      </c>
      <c r="Z65" t="s">
        <v>209</v>
      </c>
      <c r="AA65" t="s">
        <v>210</v>
      </c>
      <c r="AB65" t="s">
        <v>85</v>
      </c>
      <c r="AC65" t="s">
        <v>86</v>
      </c>
      <c r="AD65" t="s">
        <v>87</v>
      </c>
      <c r="AE65" t="s">
        <v>88</v>
      </c>
      <c r="AG65" t="s">
        <v>211</v>
      </c>
      <c r="AH65">
        <v>0</v>
      </c>
      <c r="AI65">
        <v>0</v>
      </c>
      <c r="AJ65">
        <v>0</v>
      </c>
      <c r="AK65">
        <v>0</v>
      </c>
      <c r="AL65">
        <v>0</v>
      </c>
    </row>
    <row r="66" spans="1:38" x14ac:dyDescent="0.3">
      <c r="A66" t="s">
        <v>79</v>
      </c>
      <c r="B66">
        <v>7549</v>
      </c>
      <c r="C66">
        <v>2</v>
      </c>
      <c r="D66" t="s">
        <v>207</v>
      </c>
      <c r="E66" t="s">
        <v>208</v>
      </c>
      <c r="F66">
        <v>120</v>
      </c>
      <c r="G66">
        <v>19.87</v>
      </c>
      <c r="H66">
        <v>65.709999999999994</v>
      </c>
      <c r="I66">
        <v>16.079999999999998</v>
      </c>
      <c r="J66">
        <v>53.19</v>
      </c>
      <c r="K66">
        <v>12</v>
      </c>
      <c r="T66">
        <v>3</v>
      </c>
      <c r="U66">
        <v>1</v>
      </c>
      <c r="V66" t="s">
        <v>82</v>
      </c>
      <c r="W66" t="s">
        <v>166</v>
      </c>
      <c r="X66">
        <v>4</v>
      </c>
      <c r="Y66">
        <v>4</v>
      </c>
      <c r="Z66" t="s">
        <v>209</v>
      </c>
      <c r="AA66" t="s">
        <v>210</v>
      </c>
      <c r="AB66" t="s">
        <v>85</v>
      </c>
      <c r="AC66" t="s">
        <v>86</v>
      </c>
      <c r="AD66" t="s">
        <v>87</v>
      </c>
      <c r="AE66" t="s">
        <v>88</v>
      </c>
      <c r="AG66" t="s">
        <v>211</v>
      </c>
      <c r="AH66">
        <v>0</v>
      </c>
      <c r="AI66">
        <v>0</v>
      </c>
      <c r="AJ66">
        <v>0</v>
      </c>
      <c r="AK66">
        <v>0</v>
      </c>
      <c r="AL66">
        <v>0</v>
      </c>
    </row>
    <row r="67" spans="1:38" x14ac:dyDescent="0.3">
      <c r="A67" t="s">
        <v>79</v>
      </c>
      <c r="B67">
        <v>7549</v>
      </c>
      <c r="C67">
        <v>3</v>
      </c>
      <c r="D67" t="s">
        <v>207</v>
      </c>
      <c r="E67" t="s">
        <v>208</v>
      </c>
      <c r="F67">
        <v>120</v>
      </c>
      <c r="G67">
        <v>20.239999999999998</v>
      </c>
      <c r="H67">
        <v>66.94</v>
      </c>
      <c r="I67">
        <v>18.11</v>
      </c>
      <c r="J67">
        <v>59.87</v>
      </c>
      <c r="K67">
        <v>26</v>
      </c>
      <c r="T67">
        <v>3</v>
      </c>
      <c r="U67">
        <v>1</v>
      </c>
      <c r="V67" t="s">
        <v>82</v>
      </c>
      <c r="W67" t="s">
        <v>212</v>
      </c>
      <c r="X67">
        <v>4</v>
      </c>
      <c r="Y67">
        <v>4</v>
      </c>
      <c r="Z67" t="s">
        <v>209</v>
      </c>
      <c r="AA67" t="s">
        <v>210</v>
      </c>
      <c r="AB67" t="s">
        <v>85</v>
      </c>
      <c r="AC67" t="s">
        <v>86</v>
      </c>
      <c r="AD67" t="s">
        <v>87</v>
      </c>
      <c r="AE67" t="s">
        <v>88</v>
      </c>
      <c r="AG67" t="s">
        <v>211</v>
      </c>
      <c r="AH67">
        <v>0</v>
      </c>
      <c r="AI67">
        <v>0</v>
      </c>
      <c r="AJ67">
        <v>0</v>
      </c>
      <c r="AK67">
        <v>0</v>
      </c>
      <c r="AL67">
        <v>0</v>
      </c>
    </row>
    <row r="68" spans="1:38" x14ac:dyDescent="0.3">
      <c r="A68" t="s">
        <v>79</v>
      </c>
      <c r="B68">
        <v>7549</v>
      </c>
      <c r="C68">
        <v>4</v>
      </c>
      <c r="D68" t="s">
        <v>207</v>
      </c>
      <c r="E68" t="s">
        <v>208</v>
      </c>
      <c r="F68">
        <v>120</v>
      </c>
      <c r="G68">
        <v>20.09</v>
      </c>
      <c r="H68">
        <v>66.430000000000007</v>
      </c>
      <c r="I68">
        <v>17.97</v>
      </c>
      <c r="J68">
        <v>59.42</v>
      </c>
      <c r="K68">
        <v>3</v>
      </c>
      <c r="T68">
        <v>3</v>
      </c>
      <c r="U68">
        <v>1</v>
      </c>
      <c r="V68" t="s">
        <v>82</v>
      </c>
      <c r="W68" t="s">
        <v>170</v>
      </c>
      <c r="X68">
        <v>4</v>
      </c>
      <c r="Y68">
        <v>4</v>
      </c>
      <c r="Z68" t="s">
        <v>209</v>
      </c>
      <c r="AA68" t="s">
        <v>210</v>
      </c>
      <c r="AB68" t="s">
        <v>85</v>
      </c>
      <c r="AC68" t="s">
        <v>86</v>
      </c>
      <c r="AD68" t="s">
        <v>87</v>
      </c>
      <c r="AE68" t="s">
        <v>88</v>
      </c>
      <c r="AG68" t="s">
        <v>211</v>
      </c>
      <c r="AH68">
        <v>0</v>
      </c>
      <c r="AI68">
        <v>0</v>
      </c>
      <c r="AJ68">
        <v>0</v>
      </c>
      <c r="AK68">
        <v>0</v>
      </c>
      <c r="AL68">
        <v>0</v>
      </c>
    </row>
    <row r="69" spans="1:38" x14ac:dyDescent="0.3">
      <c r="A69" t="s">
        <v>79</v>
      </c>
      <c r="B69">
        <v>7549</v>
      </c>
      <c r="C69">
        <v>5</v>
      </c>
      <c r="D69" t="s">
        <v>207</v>
      </c>
      <c r="E69" t="s">
        <v>208</v>
      </c>
      <c r="F69">
        <v>120</v>
      </c>
      <c r="G69">
        <v>21.96</v>
      </c>
      <c r="H69">
        <v>72.599999999999994</v>
      </c>
      <c r="I69">
        <v>17.77</v>
      </c>
      <c r="J69">
        <v>58.77</v>
      </c>
      <c r="K69">
        <v>3</v>
      </c>
      <c r="T69">
        <v>3</v>
      </c>
      <c r="U69">
        <v>1</v>
      </c>
      <c r="V69" t="s">
        <v>175</v>
      </c>
      <c r="W69">
        <v>72</v>
      </c>
      <c r="X69">
        <v>4</v>
      </c>
      <c r="Y69">
        <v>4</v>
      </c>
      <c r="Z69" t="s">
        <v>209</v>
      </c>
      <c r="AA69" t="s">
        <v>210</v>
      </c>
      <c r="AB69" t="s">
        <v>85</v>
      </c>
      <c r="AC69" t="s">
        <v>86</v>
      </c>
      <c r="AD69" t="s">
        <v>87</v>
      </c>
      <c r="AE69" t="s">
        <v>88</v>
      </c>
      <c r="AG69" t="s">
        <v>211</v>
      </c>
      <c r="AH69">
        <v>0</v>
      </c>
      <c r="AI69">
        <v>0</v>
      </c>
      <c r="AJ69">
        <v>0</v>
      </c>
      <c r="AK69">
        <v>0</v>
      </c>
      <c r="AL69">
        <v>0</v>
      </c>
    </row>
    <row r="70" spans="1:38" x14ac:dyDescent="0.3">
      <c r="A70" t="s">
        <v>79</v>
      </c>
      <c r="B70">
        <v>7549</v>
      </c>
      <c r="C70">
        <v>6</v>
      </c>
      <c r="D70" t="s">
        <v>207</v>
      </c>
      <c r="E70" t="s">
        <v>208</v>
      </c>
      <c r="F70">
        <v>120</v>
      </c>
      <c r="G70">
        <v>23.37</v>
      </c>
      <c r="H70">
        <v>77.27</v>
      </c>
      <c r="I70">
        <v>17.77</v>
      </c>
      <c r="J70">
        <v>58.76</v>
      </c>
      <c r="K70">
        <v>3</v>
      </c>
      <c r="T70">
        <v>3</v>
      </c>
      <c r="U70">
        <v>1</v>
      </c>
      <c r="V70" t="s">
        <v>175</v>
      </c>
      <c r="W70">
        <v>77</v>
      </c>
      <c r="X70">
        <v>4</v>
      </c>
      <c r="Y70">
        <v>4</v>
      </c>
      <c r="Z70" t="s">
        <v>209</v>
      </c>
      <c r="AA70" t="s">
        <v>210</v>
      </c>
      <c r="AB70" t="s">
        <v>85</v>
      </c>
      <c r="AC70" t="s">
        <v>86</v>
      </c>
      <c r="AD70" t="s">
        <v>87</v>
      </c>
      <c r="AE70" t="s">
        <v>88</v>
      </c>
      <c r="AG70" t="s">
        <v>211</v>
      </c>
      <c r="AH70">
        <v>0</v>
      </c>
      <c r="AI70">
        <v>0</v>
      </c>
      <c r="AJ70">
        <v>0</v>
      </c>
      <c r="AK70">
        <v>0</v>
      </c>
      <c r="AL70">
        <v>0</v>
      </c>
    </row>
    <row r="71" spans="1:38" x14ac:dyDescent="0.3">
      <c r="A71" t="s">
        <v>79</v>
      </c>
      <c r="B71">
        <v>7549</v>
      </c>
      <c r="C71">
        <v>7</v>
      </c>
      <c r="D71" t="s">
        <v>207</v>
      </c>
      <c r="E71" t="s">
        <v>208</v>
      </c>
      <c r="F71">
        <v>120</v>
      </c>
      <c r="G71">
        <v>23.53</v>
      </c>
      <c r="H71">
        <v>77.81</v>
      </c>
      <c r="I71">
        <v>17.89</v>
      </c>
      <c r="J71">
        <v>59.17</v>
      </c>
      <c r="K71">
        <v>3</v>
      </c>
      <c r="T71">
        <v>3</v>
      </c>
      <c r="U71">
        <v>1</v>
      </c>
      <c r="V71" t="s">
        <v>82</v>
      </c>
      <c r="W71" t="s">
        <v>213</v>
      </c>
      <c r="X71">
        <v>4</v>
      </c>
      <c r="Y71">
        <v>4</v>
      </c>
      <c r="Z71" t="s">
        <v>209</v>
      </c>
      <c r="AA71" t="s">
        <v>210</v>
      </c>
      <c r="AB71" t="s">
        <v>85</v>
      </c>
      <c r="AC71" t="s">
        <v>86</v>
      </c>
      <c r="AD71" t="s">
        <v>87</v>
      </c>
      <c r="AE71" t="s">
        <v>88</v>
      </c>
      <c r="AG71" t="s">
        <v>211</v>
      </c>
      <c r="AH71">
        <v>0</v>
      </c>
      <c r="AI71">
        <v>0</v>
      </c>
      <c r="AJ71">
        <v>0</v>
      </c>
      <c r="AK71">
        <v>0</v>
      </c>
      <c r="AL71">
        <v>0</v>
      </c>
    </row>
    <row r="72" spans="1:38" x14ac:dyDescent="0.3">
      <c r="A72" t="s">
        <v>79</v>
      </c>
      <c r="B72">
        <v>7549</v>
      </c>
      <c r="C72">
        <v>8</v>
      </c>
      <c r="D72" t="s">
        <v>207</v>
      </c>
      <c r="E72" t="s">
        <v>208</v>
      </c>
      <c r="F72">
        <v>120</v>
      </c>
      <c r="G72">
        <v>23.72</v>
      </c>
      <c r="H72">
        <v>78.42</v>
      </c>
      <c r="I72">
        <v>18.04</v>
      </c>
      <c r="J72">
        <v>59.64</v>
      </c>
      <c r="K72">
        <v>7</v>
      </c>
      <c r="T72">
        <v>3</v>
      </c>
      <c r="U72">
        <v>1</v>
      </c>
      <c r="V72" t="s">
        <v>82</v>
      </c>
      <c r="W72" t="s">
        <v>214</v>
      </c>
      <c r="X72">
        <v>4</v>
      </c>
      <c r="Y72">
        <v>4</v>
      </c>
      <c r="Z72" t="s">
        <v>209</v>
      </c>
      <c r="AA72" t="s">
        <v>210</v>
      </c>
      <c r="AB72" t="s">
        <v>85</v>
      </c>
      <c r="AC72" t="s">
        <v>86</v>
      </c>
      <c r="AD72" t="s">
        <v>87</v>
      </c>
      <c r="AE72" t="s">
        <v>88</v>
      </c>
      <c r="AG72" t="s">
        <v>211</v>
      </c>
      <c r="AH72">
        <v>0</v>
      </c>
      <c r="AI72">
        <v>0</v>
      </c>
      <c r="AJ72">
        <v>0</v>
      </c>
      <c r="AK72">
        <v>0</v>
      </c>
      <c r="AL72">
        <v>0</v>
      </c>
    </row>
    <row r="73" spans="1:38" x14ac:dyDescent="0.3">
      <c r="A73" t="s">
        <v>79</v>
      </c>
      <c r="B73">
        <v>7549</v>
      </c>
      <c r="C73">
        <v>9</v>
      </c>
      <c r="D73" t="s">
        <v>207</v>
      </c>
      <c r="E73" t="s">
        <v>208</v>
      </c>
      <c r="F73">
        <v>120</v>
      </c>
      <c r="G73">
        <v>28.94</v>
      </c>
      <c r="H73">
        <v>95.7</v>
      </c>
      <c r="I73">
        <v>22.01</v>
      </c>
      <c r="J73">
        <v>72.78</v>
      </c>
      <c r="K73">
        <v>2</v>
      </c>
      <c r="T73">
        <v>3</v>
      </c>
      <c r="U73">
        <v>2</v>
      </c>
      <c r="V73" t="s">
        <v>175</v>
      </c>
      <c r="W73">
        <v>95</v>
      </c>
      <c r="X73">
        <v>4</v>
      </c>
      <c r="Y73">
        <v>4</v>
      </c>
      <c r="Z73" t="s">
        <v>209</v>
      </c>
      <c r="AA73" t="s">
        <v>210</v>
      </c>
      <c r="AB73" t="s">
        <v>85</v>
      </c>
      <c r="AC73" t="s">
        <v>86</v>
      </c>
      <c r="AD73" t="s">
        <v>87</v>
      </c>
      <c r="AE73" t="s">
        <v>88</v>
      </c>
      <c r="AG73" t="s">
        <v>211</v>
      </c>
      <c r="AH73">
        <v>0</v>
      </c>
      <c r="AI73">
        <v>0</v>
      </c>
      <c r="AJ73">
        <v>0</v>
      </c>
      <c r="AK73">
        <v>0</v>
      </c>
      <c r="AL73">
        <v>0</v>
      </c>
    </row>
    <row r="74" spans="1:38" x14ac:dyDescent="0.3">
      <c r="A74" t="s">
        <v>79</v>
      </c>
      <c r="B74">
        <v>7549</v>
      </c>
      <c r="C74">
        <v>10</v>
      </c>
      <c r="D74" t="s">
        <v>207</v>
      </c>
      <c r="E74" t="s">
        <v>208</v>
      </c>
      <c r="F74">
        <v>120</v>
      </c>
      <c r="G74">
        <v>31.01</v>
      </c>
      <c r="H74">
        <v>102.52</v>
      </c>
      <c r="I74">
        <v>24.6</v>
      </c>
      <c r="J74">
        <v>81.34</v>
      </c>
      <c r="K74">
        <v>4</v>
      </c>
      <c r="T74">
        <v>3</v>
      </c>
      <c r="U74">
        <v>2</v>
      </c>
      <c r="V74" t="s">
        <v>175</v>
      </c>
      <c r="W74">
        <v>102</v>
      </c>
      <c r="X74">
        <v>4</v>
      </c>
      <c r="Y74">
        <v>4</v>
      </c>
      <c r="Z74" t="s">
        <v>209</v>
      </c>
      <c r="AA74" t="s">
        <v>210</v>
      </c>
      <c r="AB74" t="s">
        <v>85</v>
      </c>
      <c r="AC74" t="s">
        <v>86</v>
      </c>
      <c r="AD74" t="s">
        <v>87</v>
      </c>
      <c r="AE74" t="s">
        <v>88</v>
      </c>
      <c r="AG74" t="s">
        <v>211</v>
      </c>
      <c r="AH74">
        <v>0</v>
      </c>
      <c r="AI74">
        <v>0</v>
      </c>
      <c r="AJ74">
        <v>0</v>
      </c>
      <c r="AK74">
        <v>0</v>
      </c>
      <c r="AL74">
        <v>0</v>
      </c>
    </row>
    <row r="75" spans="1:38" x14ac:dyDescent="0.3">
      <c r="A75" t="s">
        <v>79</v>
      </c>
      <c r="B75">
        <v>7549</v>
      </c>
      <c r="C75">
        <v>11</v>
      </c>
      <c r="D75" t="s">
        <v>207</v>
      </c>
      <c r="E75" t="s">
        <v>208</v>
      </c>
      <c r="F75">
        <v>120</v>
      </c>
      <c r="G75">
        <v>32.39</v>
      </c>
      <c r="H75">
        <v>107.09</v>
      </c>
      <c r="I75">
        <v>25.69</v>
      </c>
      <c r="J75">
        <v>84.93</v>
      </c>
      <c r="K75">
        <v>15</v>
      </c>
      <c r="T75">
        <v>3</v>
      </c>
      <c r="U75">
        <v>2</v>
      </c>
      <c r="V75" t="s">
        <v>82</v>
      </c>
      <c r="W75" t="s">
        <v>215</v>
      </c>
      <c r="X75">
        <v>4</v>
      </c>
      <c r="Y75">
        <v>4</v>
      </c>
      <c r="Z75" t="s">
        <v>209</v>
      </c>
      <c r="AA75" t="s">
        <v>210</v>
      </c>
      <c r="AB75" t="s">
        <v>85</v>
      </c>
      <c r="AC75" t="s">
        <v>86</v>
      </c>
      <c r="AD75" t="s">
        <v>87</v>
      </c>
      <c r="AE75" t="s">
        <v>88</v>
      </c>
      <c r="AG75" t="s">
        <v>211</v>
      </c>
      <c r="AH75">
        <v>0</v>
      </c>
      <c r="AI75">
        <v>0</v>
      </c>
      <c r="AJ75">
        <v>0</v>
      </c>
      <c r="AK75">
        <v>0</v>
      </c>
      <c r="AL75">
        <v>0</v>
      </c>
    </row>
    <row r="76" spans="1:38" x14ac:dyDescent="0.3">
      <c r="A76" t="s">
        <v>79</v>
      </c>
      <c r="B76">
        <v>7549</v>
      </c>
      <c r="C76">
        <v>12</v>
      </c>
      <c r="D76" t="s">
        <v>207</v>
      </c>
      <c r="E76" t="s">
        <v>208</v>
      </c>
      <c r="F76">
        <v>120</v>
      </c>
      <c r="G76">
        <v>32.4</v>
      </c>
      <c r="H76">
        <v>107.14</v>
      </c>
      <c r="I76">
        <v>25.37</v>
      </c>
      <c r="J76">
        <v>83.9</v>
      </c>
      <c r="K76">
        <v>4</v>
      </c>
      <c r="T76">
        <v>3</v>
      </c>
      <c r="U76">
        <v>2</v>
      </c>
      <c r="V76" t="s">
        <v>82</v>
      </c>
      <c r="W76" t="s">
        <v>162</v>
      </c>
      <c r="X76">
        <v>4</v>
      </c>
      <c r="Y76">
        <v>4</v>
      </c>
      <c r="Z76" t="s">
        <v>209</v>
      </c>
      <c r="AA76" t="s">
        <v>210</v>
      </c>
      <c r="AB76" t="s">
        <v>85</v>
      </c>
      <c r="AC76" t="s">
        <v>86</v>
      </c>
      <c r="AD76" t="s">
        <v>87</v>
      </c>
      <c r="AE76" t="s">
        <v>88</v>
      </c>
      <c r="AG76" t="s">
        <v>211</v>
      </c>
      <c r="AH76">
        <v>0</v>
      </c>
      <c r="AI76">
        <v>0</v>
      </c>
      <c r="AJ76">
        <v>0</v>
      </c>
      <c r="AK76">
        <v>0</v>
      </c>
      <c r="AL76">
        <v>0</v>
      </c>
    </row>
    <row r="77" spans="1:38" x14ac:dyDescent="0.3">
      <c r="A77" t="s">
        <v>79</v>
      </c>
      <c r="B77">
        <v>7549</v>
      </c>
      <c r="C77">
        <v>13</v>
      </c>
      <c r="D77" t="s">
        <v>207</v>
      </c>
      <c r="E77" t="s">
        <v>208</v>
      </c>
      <c r="F77">
        <v>120</v>
      </c>
      <c r="G77">
        <v>32.700000000000003</v>
      </c>
      <c r="H77">
        <v>108.1</v>
      </c>
      <c r="I77">
        <v>25.6</v>
      </c>
      <c r="J77">
        <v>84.65</v>
      </c>
      <c r="K77">
        <v>12</v>
      </c>
      <c r="T77">
        <v>3</v>
      </c>
      <c r="U77">
        <v>2</v>
      </c>
      <c r="V77" t="s">
        <v>82</v>
      </c>
      <c r="W77" t="s">
        <v>216</v>
      </c>
      <c r="X77">
        <v>4</v>
      </c>
      <c r="Y77">
        <v>4</v>
      </c>
      <c r="Z77" t="s">
        <v>209</v>
      </c>
      <c r="AA77" t="s">
        <v>210</v>
      </c>
      <c r="AB77" t="s">
        <v>85</v>
      </c>
      <c r="AC77" t="s">
        <v>86</v>
      </c>
      <c r="AD77" t="s">
        <v>87</v>
      </c>
      <c r="AE77" t="s">
        <v>88</v>
      </c>
      <c r="AG77" t="s">
        <v>211</v>
      </c>
      <c r="AH77">
        <v>0</v>
      </c>
      <c r="AI77">
        <v>0</v>
      </c>
      <c r="AJ77">
        <v>0</v>
      </c>
      <c r="AK77">
        <v>0</v>
      </c>
      <c r="AL77">
        <v>0</v>
      </c>
    </row>
    <row r="78" spans="1:38" x14ac:dyDescent="0.3">
      <c r="A78" t="s">
        <v>79</v>
      </c>
      <c r="B78">
        <v>7549</v>
      </c>
      <c r="C78">
        <v>14</v>
      </c>
      <c r="D78" t="s">
        <v>207</v>
      </c>
      <c r="E78" t="s">
        <v>208</v>
      </c>
      <c r="F78">
        <v>120</v>
      </c>
      <c r="G78">
        <v>32.729999999999997</v>
      </c>
      <c r="H78">
        <v>108.2</v>
      </c>
      <c r="I78">
        <v>25.63</v>
      </c>
      <c r="J78">
        <v>84.73</v>
      </c>
      <c r="K78">
        <v>3</v>
      </c>
      <c r="T78">
        <v>3</v>
      </c>
      <c r="U78">
        <v>2</v>
      </c>
      <c r="V78" t="s">
        <v>82</v>
      </c>
      <c r="W78" t="s">
        <v>217</v>
      </c>
      <c r="X78">
        <v>4</v>
      </c>
      <c r="Y78">
        <v>4</v>
      </c>
      <c r="Z78" t="s">
        <v>209</v>
      </c>
      <c r="AA78" t="s">
        <v>210</v>
      </c>
      <c r="AB78" t="s">
        <v>85</v>
      </c>
      <c r="AC78" t="s">
        <v>86</v>
      </c>
      <c r="AD78" t="s">
        <v>87</v>
      </c>
      <c r="AE78" t="s">
        <v>88</v>
      </c>
      <c r="AG78" t="s">
        <v>211</v>
      </c>
      <c r="AH78">
        <v>0</v>
      </c>
      <c r="AI78">
        <v>0</v>
      </c>
      <c r="AJ78">
        <v>0</v>
      </c>
      <c r="AK78">
        <v>0</v>
      </c>
      <c r="AL78">
        <v>0</v>
      </c>
    </row>
    <row r="79" spans="1:38" x14ac:dyDescent="0.3">
      <c r="A79" t="s">
        <v>79</v>
      </c>
      <c r="B79">
        <v>7549</v>
      </c>
      <c r="C79">
        <v>15</v>
      </c>
      <c r="D79" t="s">
        <v>207</v>
      </c>
      <c r="E79" t="s">
        <v>208</v>
      </c>
      <c r="F79">
        <v>120</v>
      </c>
      <c r="G79">
        <v>33.090000000000003</v>
      </c>
      <c r="H79">
        <v>109.39</v>
      </c>
      <c r="I79">
        <v>25.16</v>
      </c>
      <c r="J79">
        <v>83.19</v>
      </c>
      <c r="K79">
        <v>6</v>
      </c>
      <c r="T79">
        <v>3</v>
      </c>
      <c r="U79">
        <v>2</v>
      </c>
      <c r="V79" t="s">
        <v>82</v>
      </c>
      <c r="W79" t="s">
        <v>218</v>
      </c>
      <c r="X79">
        <v>4</v>
      </c>
      <c r="Y79">
        <v>4</v>
      </c>
      <c r="Z79" t="s">
        <v>209</v>
      </c>
      <c r="AA79" t="s">
        <v>210</v>
      </c>
      <c r="AB79" t="s">
        <v>85</v>
      </c>
      <c r="AC79" t="s">
        <v>86</v>
      </c>
      <c r="AD79" t="s">
        <v>87</v>
      </c>
      <c r="AE79" t="s">
        <v>88</v>
      </c>
      <c r="AG79" t="s">
        <v>211</v>
      </c>
      <c r="AH79">
        <v>0</v>
      </c>
      <c r="AI79">
        <v>0</v>
      </c>
      <c r="AJ79">
        <v>0</v>
      </c>
      <c r="AK79">
        <v>0</v>
      </c>
      <c r="AL79">
        <v>0</v>
      </c>
    </row>
    <row r="80" spans="1:38" x14ac:dyDescent="0.3">
      <c r="A80" t="s">
        <v>79</v>
      </c>
      <c r="B80">
        <v>7549</v>
      </c>
      <c r="C80">
        <v>16</v>
      </c>
      <c r="D80" t="s">
        <v>207</v>
      </c>
      <c r="E80" t="s">
        <v>208</v>
      </c>
      <c r="F80">
        <v>120</v>
      </c>
      <c r="G80">
        <v>33.020000000000003</v>
      </c>
      <c r="H80">
        <v>109.16</v>
      </c>
      <c r="I80">
        <v>25.09</v>
      </c>
      <c r="J80">
        <v>82.95</v>
      </c>
      <c r="K80">
        <v>4</v>
      </c>
      <c r="T80">
        <v>3</v>
      </c>
      <c r="U80">
        <v>2</v>
      </c>
      <c r="V80" t="s">
        <v>82</v>
      </c>
      <c r="W80" t="s">
        <v>219</v>
      </c>
      <c r="X80">
        <v>4</v>
      </c>
      <c r="Y80">
        <v>4</v>
      </c>
      <c r="Z80" t="s">
        <v>209</v>
      </c>
      <c r="AA80" t="s">
        <v>210</v>
      </c>
      <c r="AB80" t="s">
        <v>85</v>
      </c>
      <c r="AC80" t="s">
        <v>86</v>
      </c>
      <c r="AD80" t="s">
        <v>87</v>
      </c>
      <c r="AE80" t="s">
        <v>88</v>
      </c>
      <c r="AG80" t="s">
        <v>211</v>
      </c>
      <c r="AH80">
        <v>0</v>
      </c>
      <c r="AI80">
        <v>0</v>
      </c>
      <c r="AJ80">
        <v>0</v>
      </c>
      <c r="AK80">
        <v>0</v>
      </c>
      <c r="AL80">
        <v>0</v>
      </c>
    </row>
    <row r="81" spans="1:38" x14ac:dyDescent="0.3">
      <c r="A81" t="s">
        <v>79</v>
      </c>
      <c r="B81">
        <v>7549</v>
      </c>
      <c r="C81">
        <v>17</v>
      </c>
      <c r="D81" t="s">
        <v>207</v>
      </c>
      <c r="E81" t="s">
        <v>208</v>
      </c>
      <c r="F81">
        <v>120</v>
      </c>
      <c r="G81">
        <v>38.06</v>
      </c>
      <c r="H81">
        <v>125.83</v>
      </c>
      <c r="I81">
        <v>34.04</v>
      </c>
      <c r="J81">
        <v>112.54</v>
      </c>
      <c r="K81">
        <v>1</v>
      </c>
      <c r="T81">
        <v>3</v>
      </c>
      <c r="U81">
        <v>2</v>
      </c>
      <c r="V81" t="s">
        <v>175</v>
      </c>
      <c r="W81">
        <v>125</v>
      </c>
      <c r="X81">
        <v>4</v>
      </c>
      <c r="Y81">
        <v>4</v>
      </c>
      <c r="Z81" t="s">
        <v>209</v>
      </c>
      <c r="AA81" t="s">
        <v>210</v>
      </c>
      <c r="AB81" t="s">
        <v>85</v>
      </c>
      <c r="AC81" t="s">
        <v>86</v>
      </c>
      <c r="AD81" t="s">
        <v>87</v>
      </c>
      <c r="AE81" t="s">
        <v>88</v>
      </c>
      <c r="AG81" t="s">
        <v>211</v>
      </c>
      <c r="AH81">
        <v>0</v>
      </c>
      <c r="AI81">
        <v>0</v>
      </c>
      <c r="AJ81">
        <v>0</v>
      </c>
      <c r="AK81">
        <v>0</v>
      </c>
      <c r="AL81">
        <v>0</v>
      </c>
    </row>
    <row r="82" spans="1:38" x14ac:dyDescent="0.3">
      <c r="A82" t="s">
        <v>79</v>
      </c>
      <c r="B82">
        <v>7549</v>
      </c>
      <c r="C82">
        <v>18</v>
      </c>
      <c r="D82" t="s">
        <v>207</v>
      </c>
      <c r="E82" t="s">
        <v>208</v>
      </c>
      <c r="F82">
        <v>120</v>
      </c>
      <c r="G82">
        <v>41.79</v>
      </c>
      <c r="H82">
        <v>138.18</v>
      </c>
      <c r="I82">
        <v>35.58</v>
      </c>
      <c r="J82">
        <v>117.65</v>
      </c>
      <c r="K82">
        <v>4</v>
      </c>
      <c r="T82">
        <v>4</v>
      </c>
      <c r="U82">
        <v>2</v>
      </c>
      <c r="V82" t="s">
        <v>175</v>
      </c>
      <c r="W82">
        <v>138</v>
      </c>
      <c r="X82">
        <v>4</v>
      </c>
      <c r="Y82">
        <v>4</v>
      </c>
      <c r="Z82" t="s">
        <v>209</v>
      </c>
      <c r="AA82" t="s">
        <v>210</v>
      </c>
      <c r="AB82" t="s">
        <v>85</v>
      </c>
      <c r="AC82" t="s">
        <v>86</v>
      </c>
      <c r="AD82" t="s">
        <v>87</v>
      </c>
      <c r="AE82" t="s">
        <v>88</v>
      </c>
      <c r="AG82" t="s">
        <v>211</v>
      </c>
      <c r="AH82">
        <v>0</v>
      </c>
      <c r="AI82">
        <v>0</v>
      </c>
      <c r="AJ82">
        <v>0</v>
      </c>
      <c r="AK82">
        <v>0</v>
      </c>
      <c r="AL82">
        <v>0</v>
      </c>
    </row>
    <row r="83" spans="1:38" x14ac:dyDescent="0.3">
      <c r="A83" t="s">
        <v>79</v>
      </c>
      <c r="B83">
        <v>7549</v>
      </c>
      <c r="C83">
        <v>19</v>
      </c>
      <c r="D83" t="s">
        <v>207</v>
      </c>
      <c r="E83" t="s">
        <v>208</v>
      </c>
      <c r="F83">
        <v>120</v>
      </c>
      <c r="G83">
        <v>42.67</v>
      </c>
      <c r="H83">
        <v>141.09</v>
      </c>
      <c r="I83">
        <v>36.369999999999997</v>
      </c>
      <c r="J83">
        <v>120.25</v>
      </c>
      <c r="K83">
        <v>4</v>
      </c>
      <c r="T83">
        <v>4</v>
      </c>
      <c r="U83">
        <v>2</v>
      </c>
      <c r="V83" t="s">
        <v>175</v>
      </c>
      <c r="W83">
        <v>141</v>
      </c>
      <c r="X83">
        <v>4</v>
      </c>
      <c r="Y83">
        <v>4</v>
      </c>
      <c r="Z83" t="s">
        <v>209</v>
      </c>
      <c r="AA83" t="s">
        <v>210</v>
      </c>
      <c r="AB83" t="s">
        <v>85</v>
      </c>
      <c r="AC83" t="s">
        <v>86</v>
      </c>
      <c r="AD83" t="s">
        <v>87</v>
      </c>
      <c r="AE83" t="s">
        <v>88</v>
      </c>
      <c r="AG83" t="s">
        <v>211</v>
      </c>
      <c r="AH83">
        <v>0</v>
      </c>
      <c r="AI83">
        <v>0</v>
      </c>
      <c r="AJ83">
        <v>0</v>
      </c>
      <c r="AK83">
        <v>0</v>
      </c>
      <c r="AL83">
        <v>0</v>
      </c>
    </row>
    <row r="84" spans="1:38" x14ac:dyDescent="0.3">
      <c r="A84" t="s">
        <v>220</v>
      </c>
      <c r="B84">
        <v>112618</v>
      </c>
      <c r="C84">
        <v>1</v>
      </c>
      <c r="D84" t="s">
        <v>221</v>
      </c>
      <c r="E84" t="s">
        <v>222</v>
      </c>
      <c r="F84">
        <v>164</v>
      </c>
      <c r="G84">
        <v>24.29</v>
      </c>
      <c r="H84">
        <v>80.31</v>
      </c>
      <c r="I84">
        <v>17.350000000000001</v>
      </c>
      <c r="J84">
        <v>57.38</v>
      </c>
      <c r="K84">
        <v>14</v>
      </c>
      <c r="T84">
        <v>2</v>
      </c>
      <c r="U84">
        <v>1</v>
      </c>
      <c r="V84" t="s">
        <v>82</v>
      </c>
      <c r="W84">
        <v>80</v>
      </c>
      <c r="X84">
        <v>15</v>
      </c>
      <c r="Y84">
        <v>15</v>
      </c>
      <c r="Z84" t="s">
        <v>223</v>
      </c>
      <c r="AA84" t="s">
        <v>224</v>
      </c>
      <c r="AB84" t="s">
        <v>85</v>
      </c>
      <c r="AC84" t="s">
        <v>86</v>
      </c>
      <c r="AD84" t="s">
        <v>87</v>
      </c>
      <c r="AE84" t="s">
        <v>225</v>
      </c>
      <c r="AG84" t="s">
        <v>226</v>
      </c>
      <c r="AH84">
        <v>0</v>
      </c>
      <c r="AI84">
        <v>510</v>
      </c>
      <c r="AJ84">
        <v>58</v>
      </c>
      <c r="AK84">
        <v>192</v>
      </c>
      <c r="AL84">
        <v>1.17</v>
      </c>
    </row>
    <row r="85" spans="1:38" x14ac:dyDescent="0.3">
      <c r="A85" t="s">
        <v>220</v>
      </c>
      <c r="B85">
        <v>112618</v>
      </c>
      <c r="C85">
        <v>2</v>
      </c>
      <c r="D85" t="s">
        <v>221</v>
      </c>
      <c r="E85" t="s">
        <v>222</v>
      </c>
      <c r="F85">
        <v>164</v>
      </c>
      <c r="G85">
        <v>25.31</v>
      </c>
      <c r="H85">
        <v>83.7</v>
      </c>
      <c r="I85">
        <v>18.13</v>
      </c>
      <c r="J85">
        <v>59.94</v>
      </c>
      <c r="K85">
        <v>56</v>
      </c>
      <c r="T85">
        <v>3</v>
      </c>
      <c r="U85">
        <v>1</v>
      </c>
      <c r="V85" t="s">
        <v>82</v>
      </c>
      <c r="W85">
        <v>83</v>
      </c>
      <c r="X85">
        <v>15</v>
      </c>
      <c r="Y85">
        <v>15</v>
      </c>
      <c r="Z85" t="s">
        <v>223</v>
      </c>
      <c r="AA85" t="s">
        <v>224</v>
      </c>
      <c r="AB85" t="s">
        <v>85</v>
      </c>
      <c r="AC85" t="s">
        <v>86</v>
      </c>
      <c r="AD85" t="s">
        <v>87</v>
      </c>
      <c r="AE85" t="s">
        <v>225</v>
      </c>
      <c r="AG85" t="s">
        <v>226</v>
      </c>
      <c r="AH85">
        <v>0</v>
      </c>
      <c r="AI85">
        <v>510</v>
      </c>
      <c r="AJ85">
        <v>58</v>
      </c>
      <c r="AK85">
        <v>192</v>
      </c>
      <c r="AL85">
        <v>1.17</v>
      </c>
    </row>
    <row r="86" spans="1:38" x14ac:dyDescent="0.3">
      <c r="A86" t="s">
        <v>220</v>
      </c>
      <c r="B86">
        <v>112618</v>
      </c>
      <c r="C86">
        <v>3</v>
      </c>
      <c r="D86" t="s">
        <v>221</v>
      </c>
      <c r="E86" t="s">
        <v>222</v>
      </c>
      <c r="F86">
        <v>164</v>
      </c>
      <c r="G86">
        <v>25.26</v>
      </c>
      <c r="H86">
        <v>83.53</v>
      </c>
      <c r="I86">
        <v>18.010000000000002</v>
      </c>
      <c r="J86">
        <v>59.54</v>
      </c>
      <c r="K86">
        <v>14</v>
      </c>
      <c r="T86">
        <v>3</v>
      </c>
      <c r="U86">
        <v>1</v>
      </c>
      <c r="V86" t="s">
        <v>82</v>
      </c>
      <c r="W86" t="s">
        <v>227</v>
      </c>
      <c r="X86">
        <v>15</v>
      </c>
      <c r="Y86">
        <v>15</v>
      </c>
      <c r="Z86" t="s">
        <v>223</v>
      </c>
      <c r="AA86" t="s">
        <v>224</v>
      </c>
      <c r="AB86" t="s">
        <v>85</v>
      </c>
      <c r="AC86" t="s">
        <v>86</v>
      </c>
      <c r="AD86" t="s">
        <v>87</v>
      </c>
      <c r="AE86" t="s">
        <v>225</v>
      </c>
      <c r="AG86" t="s">
        <v>226</v>
      </c>
      <c r="AH86">
        <v>0</v>
      </c>
      <c r="AI86">
        <v>510</v>
      </c>
      <c r="AJ86">
        <v>58</v>
      </c>
      <c r="AK86">
        <v>192</v>
      </c>
      <c r="AL86">
        <v>1.17</v>
      </c>
    </row>
    <row r="87" spans="1:38" x14ac:dyDescent="0.3">
      <c r="A87" t="s">
        <v>220</v>
      </c>
      <c r="B87">
        <v>112618</v>
      </c>
      <c r="C87">
        <v>4</v>
      </c>
      <c r="D87" t="s">
        <v>221</v>
      </c>
      <c r="E87" t="s">
        <v>222</v>
      </c>
      <c r="F87">
        <v>164</v>
      </c>
      <c r="G87">
        <v>25.37</v>
      </c>
      <c r="H87">
        <v>83.88</v>
      </c>
      <c r="I87">
        <v>18.13</v>
      </c>
      <c r="J87">
        <v>59.95</v>
      </c>
      <c r="K87">
        <v>14</v>
      </c>
      <c r="T87">
        <v>3</v>
      </c>
      <c r="U87">
        <v>1</v>
      </c>
      <c r="V87" t="s">
        <v>82</v>
      </c>
      <c r="W87" t="s">
        <v>228</v>
      </c>
      <c r="X87">
        <v>15</v>
      </c>
      <c r="Y87">
        <v>15</v>
      </c>
      <c r="Z87" t="s">
        <v>223</v>
      </c>
      <c r="AA87" t="s">
        <v>224</v>
      </c>
      <c r="AB87" t="s">
        <v>85</v>
      </c>
      <c r="AC87" t="s">
        <v>86</v>
      </c>
      <c r="AD87" t="s">
        <v>87</v>
      </c>
      <c r="AE87" t="s">
        <v>225</v>
      </c>
      <c r="AG87" t="s">
        <v>226</v>
      </c>
      <c r="AH87">
        <v>0</v>
      </c>
      <c r="AI87">
        <v>510</v>
      </c>
      <c r="AJ87">
        <v>58</v>
      </c>
      <c r="AK87">
        <v>192</v>
      </c>
      <c r="AL87">
        <v>1.17</v>
      </c>
    </row>
    <row r="88" spans="1:38" x14ac:dyDescent="0.3">
      <c r="A88" t="s">
        <v>220</v>
      </c>
      <c r="B88">
        <v>112618</v>
      </c>
      <c r="C88">
        <v>5</v>
      </c>
      <c r="D88" t="s">
        <v>221</v>
      </c>
      <c r="E88" t="s">
        <v>222</v>
      </c>
      <c r="F88">
        <v>164</v>
      </c>
      <c r="G88">
        <v>25.48</v>
      </c>
      <c r="H88">
        <v>84.26</v>
      </c>
      <c r="I88">
        <v>18.12</v>
      </c>
      <c r="J88">
        <v>59.93</v>
      </c>
      <c r="K88">
        <v>26</v>
      </c>
      <c r="T88">
        <v>3</v>
      </c>
      <c r="U88">
        <v>1</v>
      </c>
      <c r="V88" t="s">
        <v>82</v>
      </c>
      <c r="W88" t="s">
        <v>229</v>
      </c>
      <c r="X88">
        <v>15</v>
      </c>
      <c r="Y88">
        <v>15</v>
      </c>
      <c r="Z88" t="s">
        <v>223</v>
      </c>
      <c r="AA88" t="s">
        <v>224</v>
      </c>
      <c r="AB88" t="s">
        <v>85</v>
      </c>
      <c r="AC88" t="s">
        <v>86</v>
      </c>
      <c r="AD88" t="s">
        <v>87</v>
      </c>
      <c r="AE88" t="s">
        <v>225</v>
      </c>
      <c r="AG88" t="s">
        <v>226</v>
      </c>
      <c r="AH88">
        <v>0</v>
      </c>
      <c r="AI88">
        <v>510</v>
      </c>
      <c r="AJ88">
        <v>58</v>
      </c>
      <c r="AK88">
        <v>192</v>
      </c>
      <c r="AL88">
        <v>1.17</v>
      </c>
    </row>
    <row r="89" spans="1:38" x14ac:dyDescent="0.3">
      <c r="A89" t="s">
        <v>220</v>
      </c>
      <c r="B89">
        <v>112618</v>
      </c>
      <c r="C89">
        <v>6</v>
      </c>
      <c r="D89" t="s">
        <v>221</v>
      </c>
      <c r="E89" t="s">
        <v>222</v>
      </c>
      <c r="F89">
        <v>164</v>
      </c>
      <c r="G89">
        <v>32.35</v>
      </c>
      <c r="H89">
        <v>106.97</v>
      </c>
      <c r="I89">
        <v>23.4</v>
      </c>
      <c r="J89">
        <v>77.37</v>
      </c>
      <c r="K89">
        <v>40</v>
      </c>
      <c r="T89">
        <v>3</v>
      </c>
      <c r="U89">
        <v>2</v>
      </c>
      <c r="V89" t="s">
        <v>82</v>
      </c>
      <c r="W89">
        <v>106</v>
      </c>
      <c r="X89">
        <v>15</v>
      </c>
      <c r="Y89">
        <v>15</v>
      </c>
      <c r="Z89" t="s">
        <v>223</v>
      </c>
      <c r="AA89" t="s">
        <v>224</v>
      </c>
      <c r="AB89" t="s">
        <v>85</v>
      </c>
      <c r="AC89" t="s">
        <v>86</v>
      </c>
      <c r="AD89" t="s">
        <v>87</v>
      </c>
      <c r="AE89" t="s">
        <v>225</v>
      </c>
      <c r="AG89" t="s">
        <v>226</v>
      </c>
      <c r="AH89">
        <v>0</v>
      </c>
      <c r="AI89">
        <v>510</v>
      </c>
      <c r="AJ89">
        <v>58</v>
      </c>
      <c r="AK89">
        <v>192</v>
      </c>
      <c r="AL89">
        <v>1.17</v>
      </c>
    </row>
    <row r="90" spans="1:38" x14ac:dyDescent="0.3">
      <c r="A90" t="s">
        <v>230</v>
      </c>
      <c r="B90">
        <v>125019</v>
      </c>
      <c r="C90">
        <v>1</v>
      </c>
      <c r="D90" t="s">
        <v>231</v>
      </c>
      <c r="E90" t="s">
        <v>232</v>
      </c>
      <c r="F90">
        <v>77</v>
      </c>
      <c r="G90">
        <v>22.72</v>
      </c>
      <c r="H90">
        <v>75.13</v>
      </c>
      <c r="I90">
        <v>17.989999999999998</v>
      </c>
      <c r="J90">
        <v>59.48</v>
      </c>
      <c r="K90">
        <v>44</v>
      </c>
      <c r="T90">
        <v>3</v>
      </c>
      <c r="U90">
        <v>2</v>
      </c>
      <c r="V90" t="s">
        <v>82</v>
      </c>
      <c r="W90">
        <v>75</v>
      </c>
      <c r="X90">
        <v>12</v>
      </c>
      <c r="Y90">
        <v>12</v>
      </c>
      <c r="Z90" t="s">
        <v>233</v>
      </c>
      <c r="AA90" t="s">
        <v>234</v>
      </c>
      <c r="AB90" t="s">
        <v>85</v>
      </c>
      <c r="AC90" t="s">
        <v>86</v>
      </c>
      <c r="AD90" t="s">
        <v>87</v>
      </c>
      <c r="AE90" t="s">
        <v>235</v>
      </c>
      <c r="AG90" t="s">
        <v>236</v>
      </c>
      <c r="AH90">
        <v>0</v>
      </c>
      <c r="AI90">
        <v>504</v>
      </c>
      <c r="AJ90">
        <v>50</v>
      </c>
      <c r="AK90">
        <v>65</v>
      </c>
      <c r="AL90">
        <v>0.84</v>
      </c>
    </row>
    <row r="91" spans="1:38" x14ac:dyDescent="0.3">
      <c r="A91" t="s">
        <v>230</v>
      </c>
      <c r="B91">
        <v>125019</v>
      </c>
      <c r="C91">
        <v>2</v>
      </c>
      <c r="D91" t="s">
        <v>231</v>
      </c>
      <c r="E91" t="s">
        <v>232</v>
      </c>
      <c r="F91">
        <v>77</v>
      </c>
      <c r="G91">
        <v>26.81</v>
      </c>
      <c r="H91">
        <v>88.64</v>
      </c>
      <c r="I91">
        <v>21.07</v>
      </c>
      <c r="J91">
        <v>69.67</v>
      </c>
      <c r="K91">
        <v>11</v>
      </c>
      <c r="T91">
        <v>3</v>
      </c>
      <c r="U91">
        <v>2</v>
      </c>
      <c r="V91" t="s">
        <v>82</v>
      </c>
      <c r="W91">
        <v>88</v>
      </c>
      <c r="X91">
        <v>12</v>
      </c>
      <c r="Y91">
        <v>12</v>
      </c>
      <c r="Z91" t="s">
        <v>233</v>
      </c>
      <c r="AA91" t="s">
        <v>234</v>
      </c>
      <c r="AB91" t="s">
        <v>85</v>
      </c>
      <c r="AC91" t="s">
        <v>86</v>
      </c>
      <c r="AD91" t="s">
        <v>87</v>
      </c>
      <c r="AE91" t="s">
        <v>235</v>
      </c>
      <c r="AG91" t="s">
        <v>236</v>
      </c>
      <c r="AH91">
        <v>0</v>
      </c>
      <c r="AI91">
        <v>504</v>
      </c>
      <c r="AJ91">
        <v>50</v>
      </c>
      <c r="AK91">
        <v>65</v>
      </c>
      <c r="AL91">
        <v>0.84</v>
      </c>
    </row>
    <row r="92" spans="1:38" x14ac:dyDescent="0.3">
      <c r="A92" t="s">
        <v>230</v>
      </c>
      <c r="B92">
        <v>125019</v>
      </c>
      <c r="C92">
        <v>3</v>
      </c>
      <c r="D92" t="s">
        <v>231</v>
      </c>
      <c r="E92" t="s">
        <v>232</v>
      </c>
      <c r="F92">
        <v>77</v>
      </c>
      <c r="G92">
        <v>30.4</v>
      </c>
      <c r="H92">
        <v>100.51</v>
      </c>
      <c r="I92">
        <v>23.96</v>
      </c>
      <c r="J92">
        <v>79.209999999999994</v>
      </c>
      <c r="K92">
        <v>22</v>
      </c>
      <c r="T92">
        <v>3</v>
      </c>
      <c r="U92">
        <v>2</v>
      </c>
      <c r="V92" t="s">
        <v>82</v>
      </c>
      <c r="W92">
        <v>100</v>
      </c>
      <c r="X92">
        <v>12</v>
      </c>
      <c r="Y92">
        <v>12</v>
      </c>
      <c r="Z92" t="s">
        <v>233</v>
      </c>
      <c r="AA92" t="s">
        <v>234</v>
      </c>
      <c r="AB92" t="s">
        <v>85</v>
      </c>
      <c r="AC92" t="s">
        <v>86</v>
      </c>
      <c r="AD92" t="s">
        <v>87</v>
      </c>
      <c r="AE92" t="s">
        <v>235</v>
      </c>
      <c r="AG92" t="s">
        <v>236</v>
      </c>
      <c r="AH92">
        <v>0</v>
      </c>
      <c r="AI92">
        <v>504</v>
      </c>
      <c r="AJ92">
        <v>50</v>
      </c>
      <c r="AK92">
        <v>65</v>
      </c>
      <c r="AL92">
        <v>0.84</v>
      </c>
    </row>
    <row r="93" spans="1:38" x14ac:dyDescent="0.3">
      <c r="A93" t="s">
        <v>237</v>
      </c>
      <c r="B93">
        <v>140741</v>
      </c>
      <c r="C93">
        <v>1</v>
      </c>
      <c r="D93" t="s">
        <v>238</v>
      </c>
      <c r="E93" t="s">
        <v>239</v>
      </c>
      <c r="F93">
        <v>458</v>
      </c>
      <c r="G93">
        <v>30.37</v>
      </c>
      <c r="H93">
        <v>100.42</v>
      </c>
      <c r="I93">
        <v>22.5</v>
      </c>
      <c r="J93">
        <v>74.39</v>
      </c>
      <c r="K93">
        <v>120</v>
      </c>
      <c r="T93">
        <v>4</v>
      </c>
      <c r="U93">
        <v>2</v>
      </c>
      <c r="V93" t="s">
        <v>82</v>
      </c>
      <c r="W93" t="s">
        <v>148</v>
      </c>
      <c r="X93">
        <v>25</v>
      </c>
      <c r="Y93">
        <v>16</v>
      </c>
      <c r="Z93" t="s">
        <v>240</v>
      </c>
      <c r="AA93" t="s">
        <v>241</v>
      </c>
      <c r="AB93" t="s">
        <v>85</v>
      </c>
      <c r="AC93" t="s">
        <v>86</v>
      </c>
      <c r="AD93" t="s">
        <v>87</v>
      </c>
      <c r="AE93" t="s">
        <v>242</v>
      </c>
      <c r="AG93" t="s">
        <v>243</v>
      </c>
      <c r="AH93">
        <v>0</v>
      </c>
      <c r="AI93">
        <v>219</v>
      </c>
      <c r="AJ93">
        <v>18</v>
      </c>
      <c r="AK93">
        <v>599</v>
      </c>
      <c r="AL93">
        <v>1.31</v>
      </c>
    </row>
    <row r="94" spans="1:38" x14ac:dyDescent="0.3">
      <c r="A94" t="s">
        <v>237</v>
      </c>
      <c r="B94">
        <v>140741</v>
      </c>
      <c r="C94">
        <v>2</v>
      </c>
      <c r="D94" t="s">
        <v>238</v>
      </c>
      <c r="E94" t="s">
        <v>239</v>
      </c>
      <c r="F94">
        <v>458</v>
      </c>
      <c r="G94">
        <v>30.67</v>
      </c>
      <c r="H94">
        <v>101.39</v>
      </c>
      <c r="I94">
        <v>22.66</v>
      </c>
      <c r="J94">
        <v>74.91</v>
      </c>
      <c r="K94">
        <v>24</v>
      </c>
      <c r="T94">
        <v>3</v>
      </c>
      <c r="U94">
        <v>2</v>
      </c>
      <c r="V94" t="s">
        <v>82</v>
      </c>
      <c r="W94" t="s">
        <v>244</v>
      </c>
      <c r="X94">
        <v>25</v>
      </c>
      <c r="Y94">
        <v>16</v>
      </c>
      <c r="Z94" t="s">
        <v>240</v>
      </c>
      <c r="AA94" t="s">
        <v>241</v>
      </c>
      <c r="AB94" t="s">
        <v>85</v>
      </c>
      <c r="AC94" t="s">
        <v>86</v>
      </c>
      <c r="AD94" t="s">
        <v>87</v>
      </c>
      <c r="AE94" t="s">
        <v>242</v>
      </c>
      <c r="AG94" t="s">
        <v>243</v>
      </c>
      <c r="AH94">
        <v>0</v>
      </c>
      <c r="AI94">
        <v>219</v>
      </c>
      <c r="AJ94">
        <v>18</v>
      </c>
      <c r="AK94">
        <v>599</v>
      </c>
      <c r="AL94">
        <v>1.31</v>
      </c>
    </row>
    <row r="95" spans="1:38" x14ac:dyDescent="0.3">
      <c r="A95" t="s">
        <v>237</v>
      </c>
      <c r="B95">
        <v>140741</v>
      </c>
      <c r="C95">
        <v>3</v>
      </c>
      <c r="D95" t="s">
        <v>238</v>
      </c>
      <c r="E95" t="s">
        <v>239</v>
      </c>
      <c r="F95">
        <v>458</v>
      </c>
      <c r="G95">
        <v>34.15</v>
      </c>
      <c r="H95">
        <v>112.91</v>
      </c>
      <c r="I95">
        <v>25.67</v>
      </c>
      <c r="J95">
        <v>84.86</v>
      </c>
      <c r="K95">
        <v>314</v>
      </c>
      <c r="T95">
        <v>4</v>
      </c>
      <c r="U95">
        <v>2</v>
      </c>
      <c r="V95" t="s">
        <v>82</v>
      </c>
      <c r="W95">
        <v>112</v>
      </c>
      <c r="X95">
        <v>25</v>
      </c>
      <c r="Y95">
        <v>16</v>
      </c>
      <c r="Z95" t="s">
        <v>240</v>
      </c>
      <c r="AA95" t="s">
        <v>241</v>
      </c>
      <c r="AB95" t="s">
        <v>85</v>
      </c>
      <c r="AC95" t="s">
        <v>86</v>
      </c>
      <c r="AD95" t="s">
        <v>87</v>
      </c>
      <c r="AE95" t="s">
        <v>242</v>
      </c>
      <c r="AG95" t="s">
        <v>243</v>
      </c>
      <c r="AH95">
        <v>0</v>
      </c>
      <c r="AI95">
        <v>219</v>
      </c>
      <c r="AJ95">
        <v>18</v>
      </c>
      <c r="AK95">
        <v>599</v>
      </c>
      <c r="AL95">
        <v>1.31</v>
      </c>
    </row>
    <row r="96" spans="1:38" x14ac:dyDescent="0.3">
      <c r="A96" t="s">
        <v>237</v>
      </c>
      <c r="B96">
        <v>115868</v>
      </c>
      <c r="C96">
        <v>1</v>
      </c>
      <c r="D96" t="s">
        <v>245</v>
      </c>
      <c r="E96" t="s">
        <v>246</v>
      </c>
      <c r="F96">
        <v>299</v>
      </c>
      <c r="G96">
        <v>28.79</v>
      </c>
      <c r="H96">
        <v>95.2</v>
      </c>
      <c r="I96">
        <v>22.07</v>
      </c>
      <c r="J96">
        <v>72.959999999999994</v>
      </c>
      <c r="K96">
        <v>40</v>
      </c>
      <c r="T96">
        <v>3</v>
      </c>
      <c r="U96">
        <v>2</v>
      </c>
      <c r="V96" t="s">
        <v>82</v>
      </c>
      <c r="W96" t="s">
        <v>247</v>
      </c>
      <c r="X96">
        <v>25</v>
      </c>
      <c r="Y96">
        <v>16</v>
      </c>
      <c r="Z96" t="s">
        <v>248</v>
      </c>
      <c r="AA96" t="s">
        <v>249</v>
      </c>
      <c r="AB96" t="s">
        <v>85</v>
      </c>
      <c r="AC96" t="s">
        <v>86</v>
      </c>
      <c r="AD96" t="s">
        <v>87</v>
      </c>
      <c r="AE96" t="s">
        <v>242</v>
      </c>
      <c r="AG96" t="s">
        <v>250</v>
      </c>
      <c r="AH96">
        <v>0</v>
      </c>
      <c r="AI96">
        <v>219</v>
      </c>
      <c r="AJ96">
        <v>15</v>
      </c>
      <c r="AK96">
        <v>387</v>
      </c>
      <c r="AL96">
        <v>1.29</v>
      </c>
    </row>
    <row r="97" spans="1:38" x14ac:dyDescent="0.3">
      <c r="A97" t="s">
        <v>237</v>
      </c>
      <c r="B97">
        <v>115868</v>
      </c>
      <c r="C97">
        <v>2</v>
      </c>
      <c r="D97" t="s">
        <v>245</v>
      </c>
      <c r="E97" t="s">
        <v>246</v>
      </c>
      <c r="F97">
        <v>299</v>
      </c>
      <c r="G97">
        <v>28.79</v>
      </c>
      <c r="H97">
        <v>95.2</v>
      </c>
      <c r="I97">
        <v>22.07</v>
      </c>
      <c r="J97">
        <v>72.959999999999994</v>
      </c>
      <c r="K97">
        <v>31</v>
      </c>
      <c r="T97">
        <v>3</v>
      </c>
      <c r="U97">
        <v>2</v>
      </c>
      <c r="V97" t="s">
        <v>82</v>
      </c>
      <c r="W97" t="s">
        <v>251</v>
      </c>
      <c r="X97">
        <v>25</v>
      </c>
      <c r="Y97">
        <v>16</v>
      </c>
      <c r="Z97" t="s">
        <v>248</v>
      </c>
      <c r="AA97" t="s">
        <v>249</v>
      </c>
      <c r="AB97" t="s">
        <v>85</v>
      </c>
      <c r="AC97" t="s">
        <v>86</v>
      </c>
      <c r="AD97" t="s">
        <v>87</v>
      </c>
      <c r="AE97" t="s">
        <v>242</v>
      </c>
      <c r="AG97" t="s">
        <v>250</v>
      </c>
      <c r="AH97">
        <v>0</v>
      </c>
      <c r="AI97">
        <v>219</v>
      </c>
      <c r="AJ97">
        <v>15</v>
      </c>
      <c r="AK97">
        <v>387</v>
      </c>
      <c r="AL97">
        <v>1.29</v>
      </c>
    </row>
    <row r="98" spans="1:38" x14ac:dyDescent="0.3">
      <c r="A98" t="s">
        <v>237</v>
      </c>
      <c r="B98">
        <v>115868</v>
      </c>
      <c r="C98">
        <v>3</v>
      </c>
      <c r="D98" t="s">
        <v>245</v>
      </c>
      <c r="E98" t="s">
        <v>246</v>
      </c>
      <c r="F98">
        <v>299</v>
      </c>
      <c r="G98">
        <v>33.28</v>
      </c>
      <c r="H98">
        <v>110.03</v>
      </c>
      <c r="I98">
        <v>25.68</v>
      </c>
      <c r="J98">
        <v>84.92</v>
      </c>
      <c r="K98">
        <v>96</v>
      </c>
      <c r="T98">
        <v>3</v>
      </c>
      <c r="U98">
        <v>2</v>
      </c>
      <c r="V98" t="s">
        <v>82</v>
      </c>
      <c r="W98" t="s">
        <v>252</v>
      </c>
      <c r="X98">
        <v>25</v>
      </c>
      <c r="Y98">
        <v>16</v>
      </c>
      <c r="Z98" t="s">
        <v>248</v>
      </c>
      <c r="AA98" t="s">
        <v>249</v>
      </c>
      <c r="AB98" t="s">
        <v>85</v>
      </c>
      <c r="AC98" t="s">
        <v>86</v>
      </c>
      <c r="AD98" t="s">
        <v>87</v>
      </c>
      <c r="AE98" t="s">
        <v>242</v>
      </c>
      <c r="AG98" t="s">
        <v>250</v>
      </c>
      <c r="AH98">
        <v>0</v>
      </c>
      <c r="AI98">
        <v>219</v>
      </c>
      <c r="AJ98">
        <v>15</v>
      </c>
      <c r="AK98">
        <v>387</v>
      </c>
      <c r="AL98">
        <v>1.29</v>
      </c>
    </row>
    <row r="99" spans="1:38" x14ac:dyDescent="0.3">
      <c r="A99" t="s">
        <v>237</v>
      </c>
      <c r="B99">
        <v>115868</v>
      </c>
      <c r="C99">
        <v>4</v>
      </c>
      <c r="D99" t="s">
        <v>245</v>
      </c>
      <c r="E99" t="s">
        <v>246</v>
      </c>
      <c r="F99">
        <v>299</v>
      </c>
      <c r="G99">
        <v>33.33</v>
      </c>
      <c r="H99">
        <v>110.21</v>
      </c>
      <c r="I99">
        <v>25.69</v>
      </c>
      <c r="J99">
        <v>84.94</v>
      </c>
      <c r="K99">
        <v>48</v>
      </c>
      <c r="T99">
        <v>3</v>
      </c>
      <c r="U99">
        <v>2</v>
      </c>
      <c r="V99" t="s">
        <v>82</v>
      </c>
      <c r="W99" t="s">
        <v>253</v>
      </c>
      <c r="X99">
        <v>25</v>
      </c>
      <c r="Y99">
        <v>16</v>
      </c>
      <c r="Z99" t="s">
        <v>248</v>
      </c>
      <c r="AA99" t="s">
        <v>249</v>
      </c>
      <c r="AB99" t="s">
        <v>85</v>
      </c>
      <c r="AC99" t="s">
        <v>86</v>
      </c>
      <c r="AD99" t="s">
        <v>87</v>
      </c>
      <c r="AE99" t="s">
        <v>242</v>
      </c>
      <c r="AG99" t="s">
        <v>250</v>
      </c>
      <c r="AH99">
        <v>0</v>
      </c>
      <c r="AI99">
        <v>219</v>
      </c>
      <c r="AJ99">
        <v>15</v>
      </c>
      <c r="AK99">
        <v>387</v>
      </c>
      <c r="AL99">
        <v>1.29</v>
      </c>
    </row>
    <row r="100" spans="1:38" x14ac:dyDescent="0.3">
      <c r="A100" t="s">
        <v>237</v>
      </c>
      <c r="B100">
        <v>115868</v>
      </c>
      <c r="C100">
        <v>5</v>
      </c>
      <c r="D100" t="s">
        <v>245</v>
      </c>
      <c r="E100" t="s">
        <v>246</v>
      </c>
      <c r="F100">
        <v>299</v>
      </c>
      <c r="G100">
        <v>33.33</v>
      </c>
      <c r="H100">
        <v>110.21</v>
      </c>
      <c r="I100">
        <v>25.69</v>
      </c>
      <c r="J100">
        <v>84.94</v>
      </c>
      <c r="K100">
        <v>42</v>
      </c>
      <c r="T100">
        <v>3</v>
      </c>
      <c r="U100">
        <v>2</v>
      </c>
      <c r="V100" t="s">
        <v>82</v>
      </c>
      <c r="W100" t="s">
        <v>254</v>
      </c>
      <c r="X100">
        <v>25</v>
      </c>
      <c r="Y100">
        <v>16</v>
      </c>
      <c r="Z100" t="s">
        <v>248</v>
      </c>
      <c r="AA100" t="s">
        <v>249</v>
      </c>
      <c r="AB100" t="s">
        <v>85</v>
      </c>
      <c r="AC100" t="s">
        <v>86</v>
      </c>
      <c r="AD100" t="s">
        <v>87</v>
      </c>
      <c r="AE100" t="s">
        <v>242</v>
      </c>
      <c r="AG100" t="s">
        <v>250</v>
      </c>
      <c r="AH100">
        <v>0</v>
      </c>
      <c r="AI100">
        <v>219</v>
      </c>
      <c r="AJ100">
        <v>15</v>
      </c>
      <c r="AK100">
        <v>387</v>
      </c>
      <c r="AL100">
        <v>1.29</v>
      </c>
    </row>
    <row r="101" spans="1:38" x14ac:dyDescent="0.3">
      <c r="A101" t="s">
        <v>237</v>
      </c>
      <c r="B101">
        <v>115868</v>
      </c>
      <c r="C101">
        <v>6</v>
      </c>
      <c r="D101" t="s">
        <v>245</v>
      </c>
      <c r="E101" t="s">
        <v>246</v>
      </c>
      <c r="F101">
        <v>299</v>
      </c>
      <c r="G101">
        <v>33.54</v>
      </c>
      <c r="H101">
        <v>110.9</v>
      </c>
      <c r="I101">
        <v>25.68</v>
      </c>
      <c r="J101">
        <v>84.92</v>
      </c>
      <c r="K101">
        <v>42</v>
      </c>
      <c r="T101">
        <v>3</v>
      </c>
      <c r="U101">
        <v>2</v>
      </c>
      <c r="V101" t="s">
        <v>82</v>
      </c>
      <c r="W101" t="s">
        <v>152</v>
      </c>
      <c r="X101">
        <v>25</v>
      </c>
      <c r="Y101">
        <v>16</v>
      </c>
      <c r="Z101" t="s">
        <v>248</v>
      </c>
      <c r="AA101" t="s">
        <v>249</v>
      </c>
      <c r="AB101" t="s">
        <v>85</v>
      </c>
      <c r="AC101" t="s">
        <v>86</v>
      </c>
      <c r="AD101" t="s">
        <v>87</v>
      </c>
      <c r="AE101" t="s">
        <v>242</v>
      </c>
      <c r="AG101" t="s">
        <v>250</v>
      </c>
      <c r="AH101">
        <v>0</v>
      </c>
      <c r="AI101">
        <v>219</v>
      </c>
      <c r="AJ101">
        <v>15</v>
      </c>
      <c r="AK101">
        <v>387</v>
      </c>
      <c r="AL101">
        <v>1.29</v>
      </c>
    </row>
    <row r="102" spans="1:38" x14ac:dyDescent="0.3">
      <c r="A102" t="s">
        <v>237</v>
      </c>
      <c r="B102">
        <v>111933</v>
      </c>
      <c r="C102">
        <v>1</v>
      </c>
      <c r="D102" t="s">
        <v>255</v>
      </c>
      <c r="E102" t="s">
        <v>256</v>
      </c>
      <c r="F102">
        <v>944</v>
      </c>
      <c r="G102">
        <v>29.39</v>
      </c>
      <c r="H102">
        <v>97.18</v>
      </c>
      <c r="I102">
        <v>21.77</v>
      </c>
      <c r="J102">
        <v>71.989999999999995</v>
      </c>
      <c r="K102">
        <v>371</v>
      </c>
      <c r="T102">
        <v>3</v>
      </c>
      <c r="U102">
        <v>2</v>
      </c>
      <c r="V102" t="s">
        <v>82</v>
      </c>
      <c r="W102" t="s">
        <v>257</v>
      </c>
      <c r="X102">
        <v>25</v>
      </c>
      <c r="Y102">
        <v>20</v>
      </c>
      <c r="Z102" t="s">
        <v>258</v>
      </c>
      <c r="AA102" t="s">
        <v>259</v>
      </c>
      <c r="AB102" t="s">
        <v>85</v>
      </c>
      <c r="AC102" t="s">
        <v>86</v>
      </c>
      <c r="AD102" t="s">
        <v>87</v>
      </c>
      <c r="AE102" t="s">
        <v>242</v>
      </c>
      <c r="AG102" t="s">
        <v>260</v>
      </c>
      <c r="AH102">
        <v>0</v>
      </c>
      <c r="AI102">
        <v>218</v>
      </c>
      <c r="AJ102">
        <v>16</v>
      </c>
      <c r="AK102">
        <v>1219</v>
      </c>
      <c r="AL102">
        <v>1.29</v>
      </c>
    </row>
    <row r="103" spans="1:38" x14ac:dyDescent="0.3">
      <c r="A103" t="s">
        <v>237</v>
      </c>
      <c r="B103">
        <v>111933</v>
      </c>
      <c r="C103">
        <v>2</v>
      </c>
      <c r="D103" t="s">
        <v>255</v>
      </c>
      <c r="E103" t="s">
        <v>256</v>
      </c>
      <c r="F103">
        <v>944</v>
      </c>
      <c r="G103">
        <v>29.42</v>
      </c>
      <c r="H103">
        <v>97.28</v>
      </c>
      <c r="I103">
        <v>21.77</v>
      </c>
      <c r="J103">
        <v>71.989999999999995</v>
      </c>
      <c r="K103">
        <v>125</v>
      </c>
      <c r="T103">
        <v>3</v>
      </c>
      <c r="U103">
        <v>2</v>
      </c>
      <c r="V103" t="s">
        <v>82</v>
      </c>
      <c r="W103" t="s">
        <v>261</v>
      </c>
      <c r="X103">
        <v>25</v>
      </c>
      <c r="Y103">
        <v>20</v>
      </c>
      <c r="Z103" t="s">
        <v>258</v>
      </c>
      <c r="AA103" t="s">
        <v>259</v>
      </c>
      <c r="AB103" t="s">
        <v>85</v>
      </c>
      <c r="AC103" t="s">
        <v>86</v>
      </c>
      <c r="AD103" t="s">
        <v>87</v>
      </c>
      <c r="AE103" t="s">
        <v>242</v>
      </c>
      <c r="AG103" t="s">
        <v>260</v>
      </c>
      <c r="AH103">
        <v>0</v>
      </c>
      <c r="AI103">
        <v>218</v>
      </c>
      <c r="AJ103">
        <v>16</v>
      </c>
      <c r="AK103">
        <v>1219</v>
      </c>
      <c r="AL103">
        <v>1.29</v>
      </c>
    </row>
    <row r="104" spans="1:38" x14ac:dyDescent="0.3">
      <c r="A104" t="s">
        <v>237</v>
      </c>
      <c r="B104">
        <v>111933</v>
      </c>
      <c r="C104">
        <v>3</v>
      </c>
      <c r="D104" t="s">
        <v>255</v>
      </c>
      <c r="E104" t="s">
        <v>256</v>
      </c>
      <c r="F104">
        <v>944</v>
      </c>
      <c r="G104">
        <v>33.32</v>
      </c>
      <c r="H104">
        <v>110.17</v>
      </c>
      <c r="I104">
        <v>25.7</v>
      </c>
      <c r="J104">
        <v>84.99</v>
      </c>
      <c r="K104">
        <v>448</v>
      </c>
      <c r="T104">
        <v>4</v>
      </c>
      <c r="U104">
        <v>2</v>
      </c>
      <c r="V104" t="s">
        <v>82</v>
      </c>
      <c r="W104">
        <v>110</v>
      </c>
      <c r="X104">
        <v>25</v>
      </c>
      <c r="Y104">
        <v>20</v>
      </c>
      <c r="Z104" t="s">
        <v>258</v>
      </c>
      <c r="AA104" t="s">
        <v>259</v>
      </c>
      <c r="AB104" t="s">
        <v>85</v>
      </c>
      <c r="AC104" t="s">
        <v>86</v>
      </c>
      <c r="AD104" t="s">
        <v>87</v>
      </c>
      <c r="AE104" t="s">
        <v>242</v>
      </c>
      <c r="AG104" t="s">
        <v>260</v>
      </c>
      <c r="AH104">
        <v>0</v>
      </c>
      <c r="AI104">
        <v>218</v>
      </c>
      <c r="AJ104">
        <v>16</v>
      </c>
      <c r="AK104">
        <v>1219</v>
      </c>
      <c r="AL104">
        <v>1.29</v>
      </c>
    </row>
    <row r="105" spans="1:38" x14ac:dyDescent="0.3">
      <c r="A105" t="s">
        <v>237</v>
      </c>
      <c r="B105">
        <v>111268</v>
      </c>
      <c r="C105">
        <v>1</v>
      </c>
      <c r="D105" t="s">
        <v>262</v>
      </c>
      <c r="E105" t="s">
        <v>263</v>
      </c>
      <c r="F105">
        <v>876</v>
      </c>
      <c r="G105">
        <v>29.2</v>
      </c>
      <c r="H105">
        <v>96.54</v>
      </c>
      <c r="I105">
        <v>22.42</v>
      </c>
      <c r="J105">
        <v>74.14</v>
      </c>
      <c r="K105">
        <v>115</v>
      </c>
      <c r="T105">
        <v>3</v>
      </c>
      <c r="U105">
        <v>2</v>
      </c>
      <c r="V105" t="s">
        <v>82</v>
      </c>
      <c r="W105" t="s">
        <v>264</v>
      </c>
      <c r="X105">
        <v>25</v>
      </c>
      <c r="Y105">
        <v>18</v>
      </c>
      <c r="Z105" t="s">
        <v>265</v>
      </c>
      <c r="AA105" t="s">
        <v>266</v>
      </c>
      <c r="AB105" t="s">
        <v>85</v>
      </c>
      <c r="AC105" t="s">
        <v>86</v>
      </c>
      <c r="AD105" t="s">
        <v>87</v>
      </c>
      <c r="AE105" t="s">
        <v>242</v>
      </c>
      <c r="AG105" t="s">
        <v>267</v>
      </c>
      <c r="AH105">
        <v>0</v>
      </c>
      <c r="AI105">
        <v>214</v>
      </c>
      <c r="AJ105">
        <v>16</v>
      </c>
      <c r="AK105">
        <v>1138</v>
      </c>
      <c r="AL105">
        <v>1.3</v>
      </c>
    </row>
    <row r="106" spans="1:38" x14ac:dyDescent="0.3">
      <c r="A106" t="s">
        <v>237</v>
      </c>
      <c r="B106">
        <v>111268</v>
      </c>
      <c r="C106">
        <v>2</v>
      </c>
      <c r="D106" t="s">
        <v>262</v>
      </c>
      <c r="E106" t="s">
        <v>263</v>
      </c>
      <c r="F106">
        <v>876</v>
      </c>
      <c r="G106">
        <v>29.17</v>
      </c>
      <c r="H106">
        <v>96.46</v>
      </c>
      <c r="I106">
        <v>22.46</v>
      </c>
      <c r="J106">
        <v>74.27</v>
      </c>
      <c r="K106">
        <v>113</v>
      </c>
      <c r="T106">
        <v>3</v>
      </c>
      <c r="U106">
        <v>2</v>
      </c>
      <c r="V106" t="s">
        <v>82</v>
      </c>
      <c r="W106" t="s">
        <v>268</v>
      </c>
      <c r="X106">
        <v>25</v>
      </c>
      <c r="Y106">
        <v>18</v>
      </c>
      <c r="Z106" t="s">
        <v>265</v>
      </c>
      <c r="AA106" t="s">
        <v>266</v>
      </c>
      <c r="AB106" t="s">
        <v>85</v>
      </c>
      <c r="AC106" t="s">
        <v>86</v>
      </c>
      <c r="AD106" t="s">
        <v>87</v>
      </c>
      <c r="AE106" t="s">
        <v>242</v>
      </c>
      <c r="AG106" t="s">
        <v>267</v>
      </c>
      <c r="AH106">
        <v>0</v>
      </c>
      <c r="AI106">
        <v>214</v>
      </c>
      <c r="AJ106">
        <v>16</v>
      </c>
      <c r="AK106">
        <v>1138</v>
      </c>
      <c r="AL106">
        <v>1.3</v>
      </c>
    </row>
    <row r="107" spans="1:38" x14ac:dyDescent="0.3">
      <c r="A107" t="s">
        <v>237</v>
      </c>
      <c r="B107">
        <v>111268</v>
      </c>
      <c r="C107">
        <v>3</v>
      </c>
      <c r="D107" t="s">
        <v>262</v>
      </c>
      <c r="E107" t="s">
        <v>263</v>
      </c>
      <c r="F107">
        <v>876</v>
      </c>
      <c r="G107">
        <v>29.3</v>
      </c>
      <c r="H107">
        <v>96.87</v>
      </c>
      <c r="I107">
        <v>22.52</v>
      </c>
      <c r="J107">
        <v>74.45</v>
      </c>
      <c r="K107">
        <v>64</v>
      </c>
      <c r="T107">
        <v>3</v>
      </c>
      <c r="U107">
        <v>2</v>
      </c>
      <c r="V107" t="s">
        <v>82</v>
      </c>
      <c r="W107" t="s">
        <v>269</v>
      </c>
      <c r="X107">
        <v>25</v>
      </c>
      <c r="Y107">
        <v>18</v>
      </c>
      <c r="Z107" t="s">
        <v>265</v>
      </c>
      <c r="AA107" t="s">
        <v>266</v>
      </c>
      <c r="AB107" t="s">
        <v>85</v>
      </c>
      <c r="AC107" t="s">
        <v>86</v>
      </c>
      <c r="AD107" t="s">
        <v>87</v>
      </c>
      <c r="AE107" t="s">
        <v>242</v>
      </c>
      <c r="AG107" t="s">
        <v>267</v>
      </c>
      <c r="AH107">
        <v>0</v>
      </c>
      <c r="AI107">
        <v>214</v>
      </c>
      <c r="AJ107">
        <v>16</v>
      </c>
      <c r="AK107">
        <v>1138</v>
      </c>
      <c r="AL107">
        <v>1.3</v>
      </c>
    </row>
    <row r="108" spans="1:38" x14ac:dyDescent="0.3">
      <c r="A108" t="s">
        <v>237</v>
      </c>
      <c r="B108">
        <v>111268</v>
      </c>
      <c r="C108">
        <v>4</v>
      </c>
      <c r="D108" t="s">
        <v>262</v>
      </c>
      <c r="E108" t="s">
        <v>263</v>
      </c>
      <c r="F108">
        <v>876</v>
      </c>
      <c r="G108">
        <v>33.06</v>
      </c>
      <c r="H108">
        <v>109.3</v>
      </c>
      <c r="I108">
        <v>25.7</v>
      </c>
      <c r="J108">
        <v>84.99</v>
      </c>
      <c r="K108">
        <v>584</v>
      </c>
      <c r="T108">
        <v>3</v>
      </c>
      <c r="U108">
        <v>2</v>
      </c>
      <c r="V108" t="s">
        <v>82</v>
      </c>
      <c r="W108">
        <v>109</v>
      </c>
      <c r="X108">
        <v>25</v>
      </c>
      <c r="Y108">
        <v>18</v>
      </c>
      <c r="Z108" t="s">
        <v>265</v>
      </c>
      <c r="AA108" t="s">
        <v>266</v>
      </c>
      <c r="AB108" t="s">
        <v>85</v>
      </c>
      <c r="AC108" t="s">
        <v>86</v>
      </c>
      <c r="AD108" t="s">
        <v>87</v>
      </c>
      <c r="AE108" t="s">
        <v>242</v>
      </c>
      <c r="AG108" t="s">
        <v>267</v>
      </c>
      <c r="AH108">
        <v>0</v>
      </c>
      <c r="AI108">
        <v>214</v>
      </c>
      <c r="AJ108">
        <v>16</v>
      </c>
      <c r="AK108">
        <v>1138</v>
      </c>
      <c r="AL108">
        <v>1.3</v>
      </c>
    </row>
    <row r="109" spans="1:38" x14ac:dyDescent="0.3">
      <c r="A109" t="s">
        <v>237</v>
      </c>
      <c r="B109">
        <v>109939</v>
      </c>
      <c r="C109">
        <v>1</v>
      </c>
      <c r="D109" t="s">
        <v>270</v>
      </c>
      <c r="E109" t="s">
        <v>271</v>
      </c>
      <c r="F109">
        <v>1103</v>
      </c>
      <c r="G109">
        <v>25.39</v>
      </c>
      <c r="H109">
        <v>83.94</v>
      </c>
      <c r="I109">
        <v>18.14</v>
      </c>
      <c r="J109">
        <v>59.99</v>
      </c>
      <c r="K109">
        <v>430</v>
      </c>
      <c r="T109">
        <v>3</v>
      </c>
      <c r="U109">
        <v>2</v>
      </c>
      <c r="V109" t="s">
        <v>82</v>
      </c>
      <c r="W109" t="s">
        <v>272</v>
      </c>
      <c r="X109">
        <v>25</v>
      </c>
      <c r="Y109">
        <v>18</v>
      </c>
      <c r="Z109" t="s">
        <v>273</v>
      </c>
      <c r="AA109" t="s">
        <v>274</v>
      </c>
      <c r="AB109" t="s">
        <v>85</v>
      </c>
      <c r="AC109" t="s">
        <v>86</v>
      </c>
      <c r="AD109" t="s">
        <v>87</v>
      </c>
      <c r="AE109" t="s">
        <v>242</v>
      </c>
      <c r="AG109" t="s">
        <v>275</v>
      </c>
      <c r="AH109">
        <v>0</v>
      </c>
      <c r="AI109">
        <v>207</v>
      </c>
      <c r="AJ109">
        <v>13</v>
      </c>
      <c r="AK109">
        <v>1203</v>
      </c>
      <c r="AL109">
        <v>1.0900000000000001</v>
      </c>
    </row>
    <row r="110" spans="1:38" x14ac:dyDescent="0.3">
      <c r="A110" t="s">
        <v>237</v>
      </c>
      <c r="B110">
        <v>109939</v>
      </c>
      <c r="C110">
        <v>2</v>
      </c>
      <c r="D110" t="s">
        <v>270</v>
      </c>
      <c r="E110" t="s">
        <v>271</v>
      </c>
      <c r="F110">
        <v>1103</v>
      </c>
      <c r="G110">
        <v>25.19</v>
      </c>
      <c r="H110">
        <v>83.3</v>
      </c>
      <c r="I110">
        <v>18.14</v>
      </c>
      <c r="J110">
        <v>59.98</v>
      </c>
      <c r="K110">
        <v>374</v>
      </c>
      <c r="T110">
        <v>3</v>
      </c>
      <c r="U110">
        <v>2</v>
      </c>
      <c r="V110" t="s">
        <v>82</v>
      </c>
      <c r="W110" t="s">
        <v>276</v>
      </c>
      <c r="X110">
        <v>25</v>
      </c>
      <c r="Y110">
        <v>18</v>
      </c>
      <c r="Z110" t="s">
        <v>273</v>
      </c>
      <c r="AA110" t="s">
        <v>274</v>
      </c>
      <c r="AB110" t="s">
        <v>85</v>
      </c>
      <c r="AC110" t="s">
        <v>86</v>
      </c>
      <c r="AD110" t="s">
        <v>87</v>
      </c>
      <c r="AE110" t="s">
        <v>242</v>
      </c>
      <c r="AG110" t="s">
        <v>275</v>
      </c>
      <c r="AH110">
        <v>0</v>
      </c>
      <c r="AI110">
        <v>207</v>
      </c>
      <c r="AJ110">
        <v>13</v>
      </c>
      <c r="AK110">
        <v>1203</v>
      </c>
      <c r="AL110">
        <v>1.0900000000000001</v>
      </c>
    </row>
    <row r="111" spans="1:38" x14ac:dyDescent="0.3">
      <c r="A111" t="s">
        <v>237</v>
      </c>
      <c r="B111">
        <v>109939</v>
      </c>
      <c r="C111">
        <v>3</v>
      </c>
      <c r="D111" t="s">
        <v>270</v>
      </c>
      <c r="E111" t="s">
        <v>271</v>
      </c>
      <c r="F111">
        <v>1103</v>
      </c>
      <c r="G111">
        <v>25.33</v>
      </c>
      <c r="H111">
        <v>83.75</v>
      </c>
      <c r="I111">
        <v>18.14</v>
      </c>
      <c r="J111">
        <v>59.97</v>
      </c>
      <c r="K111">
        <v>299</v>
      </c>
      <c r="T111">
        <v>3</v>
      </c>
      <c r="U111">
        <v>2</v>
      </c>
      <c r="V111" t="s">
        <v>82</v>
      </c>
      <c r="W111" t="s">
        <v>277</v>
      </c>
      <c r="X111">
        <v>25</v>
      </c>
      <c r="Y111">
        <v>18</v>
      </c>
      <c r="Z111" t="s">
        <v>273</v>
      </c>
      <c r="AA111" t="s">
        <v>274</v>
      </c>
      <c r="AB111" t="s">
        <v>85</v>
      </c>
      <c r="AC111" t="s">
        <v>86</v>
      </c>
      <c r="AD111" t="s">
        <v>87</v>
      </c>
      <c r="AE111" t="s">
        <v>242</v>
      </c>
      <c r="AG111" t="s">
        <v>275</v>
      </c>
      <c r="AH111">
        <v>0</v>
      </c>
      <c r="AI111">
        <v>207</v>
      </c>
      <c r="AJ111">
        <v>13</v>
      </c>
      <c r="AK111">
        <v>1203</v>
      </c>
      <c r="AL111">
        <v>1.0900000000000001</v>
      </c>
    </row>
    <row r="112" spans="1:38" x14ac:dyDescent="0.3">
      <c r="A112" t="s">
        <v>278</v>
      </c>
      <c r="B112">
        <v>131489</v>
      </c>
      <c r="C112">
        <v>1</v>
      </c>
      <c r="D112" t="s">
        <v>279</v>
      </c>
      <c r="E112" t="s">
        <v>280</v>
      </c>
      <c r="F112">
        <v>564</v>
      </c>
      <c r="G112">
        <v>30.79</v>
      </c>
      <c r="H112">
        <v>101.79</v>
      </c>
      <c r="I112">
        <v>23.16</v>
      </c>
      <c r="J112">
        <v>76.59</v>
      </c>
      <c r="K112">
        <v>564</v>
      </c>
      <c r="T112">
        <v>3</v>
      </c>
      <c r="U112">
        <v>2</v>
      </c>
      <c r="V112" t="s">
        <v>82</v>
      </c>
      <c r="W112" t="s">
        <v>281</v>
      </c>
      <c r="X112">
        <v>15</v>
      </c>
      <c r="Y112">
        <v>13</v>
      </c>
      <c r="Z112" t="s">
        <v>282</v>
      </c>
      <c r="AA112" t="s">
        <v>283</v>
      </c>
      <c r="AB112" t="s">
        <v>85</v>
      </c>
      <c r="AC112" t="s">
        <v>86</v>
      </c>
      <c r="AD112" t="s">
        <v>87</v>
      </c>
      <c r="AE112" t="s">
        <v>284</v>
      </c>
      <c r="AG112" t="s">
        <v>243</v>
      </c>
      <c r="AH112">
        <v>0</v>
      </c>
      <c r="AI112">
        <v>0</v>
      </c>
      <c r="AJ112">
        <v>0</v>
      </c>
      <c r="AK112">
        <v>687</v>
      </c>
      <c r="AL112">
        <v>1.22</v>
      </c>
    </row>
    <row r="113" spans="1:38" x14ac:dyDescent="0.3">
      <c r="A113" t="s">
        <v>278</v>
      </c>
      <c r="B113">
        <v>119261</v>
      </c>
      <c r="C113">
        <v>1</v>
      </c>
      <c r="D113" t="s">
        <v>285</v>
      </c>
      <c r="E113" t="s">
        <v>286</v>
      </c>
      <c r="F113">
        <v>385</v>
      </c>
      <c r="G113">
        <v>33.4</v>
      </c>
      <c r="H113">
        <v>110.43</v>
      </c>
      <c r="I113">
        <v>25.7</v>
      </c>
      <c r="J113">
        <v>84.98</v>
      </c>
      <c r="K113">
        <v>24</v>
      </c>
      <c r="T113">
        <v>3</v>
      </c>
      <c r="U113">
        <v>2</v>
      </c>
      <c r="V113" t="s">
        <v>82</v>
      </c>
      <c r="W113" t="s">
        <v>287</v>
      </c>
      <c r="X113">
        <v>15</v>
      </c>
      <c r="Y113">
        <v>11</v>
      </c>
      <c r="Z113" t="s">
        <v>288</v>
      </c>
      <c r="AA113" t="s">
        <v>289</v>
      </c>
      <c r="AB113" t="s">
        <v>85</v>
      </c>
      <c r="AC113" t="s">
        <v>86</v>
      </c>
      <c r="AD113" t="s">
        <v>87</v>
      </c>
      <c r="AE113" t="s">
        <v>284</v>
      </c>
      <c r="AG113" t="s">
        <v>290</v>
      </c>
      <c r="AH113">
        <v>0</v>
      </c>
      <c r="AI113">
        <v>131</v>
      </c>
      <c r="AJ113">
        <v>14</v>
      </c>
      <c r="AK113">
        <v>409</v>
      </c>
      <c r="AL113">
        <v>1.06</v>
      </c>
    </row>
    <row r="114" spans="1:38" x14ac:dyDescent="0.3">
      <c r="A114" t="s">
        <v>278</v>
      </c>
      <c r="B114">
        <v>119261</v>
      </c>
      <c r="C114">
        <v>2</v>
      </c>
      <c r="D114" t="s">
        <v>285</v>
      </c>
      <c r="E114" t="s">
        <v>286</v>
      </c>
      <c r="F114">
        <v>385</v>
      </c>
      <c r="G114">
        <v>33.479999999999997</v>
      </c>
      <c r="H114">
        <v>110.7</v>
      </c>
      <c r="I114">
        <v>25.7</v>
      </c>
      <c r="J114">
        <v>84.99</v>
      </c>
      <c r="K114">
        <v>13</v>
      </c>
      <c r="T114">
        <v>3</v>
      </c>
      <c r="U114">
        <v>2</v>
      </c>
      <c r="V114" t="s">
        <v>82</v>
      </c>
      <c r="W114" t="s">
        <v>252</v>
      </c>
      <c r="X114">
        <v>15</v>
      </c>
      <c r="Y114">
        <v>11</v>
      </c>
      <c r="Z114" t="s">
        <v>288</v>
      </c>
      <c r="AA114" t="s">
        <v>289</v>
      </c>
      <c r="AB114" t="s">
        <v>85</v>
      </c>
      <c r="AC114" t="s">
        <v>86</v>
      </c>
      <c r="AD114" t="s">
        <v>87</v>
      </c>
      <c r="AE114" t="s">
        <v>284</v>
      </c>
      <c r="AG114" t="s">
        <v>290</v>
      </c>
      <c r="AH114">
        <v>0</v>
      </c>
      <c r="AI114">
        <v>131</v>
      </c>
      <c r="AJ114">
        <v>14</v>
      </c>
      <c r="AK114">
        <v>409</v>
      </c>
      <c r="AL114">
        <v>1.06</v>
      </c>
    </row>
    <row r="115" spans="1:38" x14ac:dyDescent="0.3">
      <c r="A115" t="s">
        <v>278</v>
      </c>
      <c r="B115">
        <v>119261</v>
      </c>
      <c r="C115">
        <v>3</v>
      </c>
      <c r="D115" t="s">
        <v>285</v>
      </c>
      <c r="E115" t="s">
        <v>286</v>
      </c>
      <c r="F115">
        <v>385</v>
      </c>
      <c r="G115">
        <v>33.69</v>
      </c>
      <c r="H115">
        <v>111.38</v>
      </c>
      <c r="I115">
        <v>25.7</v>
      </c>
      <c r="J115">
        <v>84.98</v>
      </c>
      <c r="K115">
        <v>347</v>
      </c>
      <c r="T115">
        <v>3</v>
      </c>
      <c r="U115">
        <v>2</v>
      </c>
      <c r="V115" t="s">
        <v>82</v>
      </c>
      <c r="W115" t="s">
        <v>153</v>
      </c>
      <c r="X115">
        <v>15</v>
      </c>
      <c r="Y115">
        <v>11</v>
      </c>
      <c r="Z115" t="s">
        <v>288</v>
      </c>
      <c r="AA115" t="s">
        <v>289</v>
      </c>
      <c r="AB115" t="s">
        <v>85</v>
      </c>
      <c r="AC115" t="s">
        <v>86</v>
      </c>
      <c r="AD115" t="s">
        <v>87</v>
      </c>
      <c r="AE115" t="s">
        <v>284</v>
      </c>
      <c r="AG115" t="s">
        <v>290</v>
      </c>
      <c r="AH115">
        <v>0</v>
      </c>
      <c r="AI115">
        <v>131</v>
      </c>
      <c r="AJ115">
        <v>14</v>
      </c>
      <c r="AK115">
        <v>409</v>
      </c>
      <c r="AL115">
        <v>1.06</v>
      </c>
    </row>
    <row r="116" spans="1:38" x14ac:dyDescent="0.3">
      <c r="A116" t="s">
        <v>278</v>
      </c>
      <c r="B116">
        <v>119261</v>
      </c>
      <c r="C116">
        <v>4</v>
      </c>
      <c r="D116" t="s">
        <v>285</v>
      </c>
      <c r="E116" t="s">
        <v>286</v>
      </c>
      <c r="F116">
        <v>385</v>
      </c>
      <c r="G116">
        <v>33.69</v>
      </c>
      <c r="H116">
        <v>111.38</v>
      </c>
      <c r="I116">
        <v>25.7</v>
      </c>
      <c r="J116">
        <v>84.98</v>
      </c>
      <c r="K116">
        <v>1</v>
      </c>
      <c r="T116">
        <v>3</v>
      </c>
      <c r="U116">
        <v>2</v>
      </c>
      <c r="V116" t="s">
        <v>82</v>
      </c>
      <c r="W116" t="s">
        <v>154</v>
      </c>
      <c r="X116">
        <v>15</v>
      </c>
      <c r="Y116">
        <v>11</v>
      </c>
      <c r="Z116" t="s">
        <v>288</v>
      </c>
      <c r="AA116" t="s">
        <v>289</v>
      </c>
      <c r="AB116" t="s">
        <v>85</v>
      </c>
      <c r="AC116" t="s">
        <v>86</v>
      </c>
      <c r="AD116" t="s">
        <v>87</v>
      </c>
      <c r="AE116" t="s">
        <v>284</v>
      </c>
      <c r="AG116" t="s">
        <v>290</v>
      </c>
      <c r="AH116">
        <v>0</v>
      </c>
      <c r="AI116">
        <v>131</v>
      </c>
      <c r="AJ116">
        <v>14</v>
      </c>
      <c r="AK116">
        <v>409</v>
      </c>
      <c r="AL116">
        <v>1.06</v>
      </c>
    </row>
    <row r="117" spans="1:38" x14ac:dyDescent="0.3">
      <c r="A117" t="s">
        <v>291</v>
      </c>
      <c r="B117">
        <v>138228</v>
      </c>
      <c r="C117">
        <v>1</v>
      </c>
      <c r="D117" t="s">
        <v>292</v>
      </c>
      <c r="E117" t="s">
        <v>293</v>
      </c>
      <c r="F117">
        <v>12</v>
      </c>
      <c r="G117">
        <v>29.89</v>
      </c>
      <c r="H117">
        <v>98.84</v>
      </c>
      <c r="I117">
        <v>23.7</v>
      </c>
      <c r="J117">
        <v>78.36</v>
      </c>
      <c r="K117">
        <v>6</v>
      </c>
      <c r="T117">
        <v>3</v>
      </c>
      <c r="U117">
        <v>2</v>
      </c>
      <c r="V117" t="s">
        <v>82</v>
      </c>
      <c r="W117" t="s">
        <v>118</v>
      </c>
      <c r="X117">
        <v>13</v>
      </c>
      <c r="Y117">
        <v>13</v>
      </c>
      <c r="Z117" t="s">
        <v>294</v>
      </c>
      <c r="AA117" t="s">
        <v>295</v>
      </c>
      <c r="AB117" t="s">
        <v>85</v>
      </c>
      <c r="AC117" t="s">
        <v>86</v>
      </c>
      <c r="AD117" t="s">
        <v>87</v>
      </c>
      <c r="AE117" t="s">
        <v>296</v>
      </c>
      <c r="AG117" t="s">
        <v>297</v>
      </c>
      <c r="AH117">
        <v>0</v>
      </c>
      <c r="AI117">
        <v>342</v>
      </c>
      <c r="AJ117">
        <v>38</v>
      </c>
      <c r="AK117">
        <v>12</v>
      </c>
      <c r="AL117">
        <v>1</v>
      </c>
    </row>
    <row r="118" spans="1:38" x14ac:dyDescent="0.3">
      <c r="A118" t="s">
        <v>291</v>
      </c>
      <c r="B118">
        <v>138228</v>
      </c>
      <c r="C118">
        <v>2</v>
      </c>
      <c r="D118" t="s">
        <v>292</v>
      </c>
      <c r="E118" t="s">
        <v>293</v>
      </c>
      <c r="F118">
        <v>12</v>
      </c>
      <c r="G118">
        <v>29.95</v>
      </c>
      <c r="H118">
        <v>99.03</v>
      </c>
      <c r="I118">
        <v>23.65</v>
      </c>
      <c r="J118">
        <v>78.19</v>
      </c>
      <c r="K118">
        <v>6</v>
      </c>
      <c r="T118">
        <v>3</v>
      </c>
      <c r="U118">
        <v>2</v>
      </c>
      <c r="V118" t="s">
        <v>82</v>
      </c>
      <c r="W118" t="s">
        <v>130</v>
      </c>
      <c r="X118">
        <v>13</v>
      </c>
      <c r="Y118">
        <v>13</v>
      </c>
      <c r="Z118" t="s">
        <v>294</v>
      </c>
      <c r="AA118" t="s">
        <v>295</v>
      </c>
      <c r="AB118" t="s">
        <v>85</v>
      </c>
      <c r="AC118" t="s">
        <v>86</v>
      </c>
      <c r="AD118" t="s">
        <v>87</v>
      </c>
      <c r="AE118" t="s">
        <v>296</v>
      </c>
      <c r="AG118" t="s">
        <v>297</v>
      </c>
      <c r="AH118">
        <v>0</v>
      </c>
      <c r="AI118">
        <v>342</v>
      </c>
      <c r="AJ118">
        <v>38</v>
      </c>
      <c r="AK118">
        <v>12</v>
      </c>
      <c r="AL118">
        <v>1</v>
      </c>
    </row>
    <row r="119" spans="1:38" x14ac:dyDescent="0.3">
      <c r="A119" t="s">
        <v>291</v>
      </c>
      <c r="B119">
        <v>121384</v>
      </c>
      <c r="C119">
        <v>1</v>
      </c>
      <c r="D119" t="s">
        <v>298</v>
      </c>
      <c r="E119" t="s">
        <v>299</v>
      </c>
      <c r="F119">
        <v>68</v>
      </c>
      <c r="G119">
        <v>33.32</v>
      </c>
      <c r="H119">
        <v>110.15</v>
      </c>
      <c r="I119">
        <v>24.11</v>
      </c>
      <c r="J119">
        <v>79.72</v>
      </c>
      <c r="K119">
        <v>68</v>
      </c>
      <c r="T119">
        <v>3</v>
      </c>
      <c r="U119">
        <v>2</v>
      </c>
      <c r="V119" t="s">
        <v>82</v>
      </c>
      <c r="W119">
        <v>110</v>
      </c>
      <c r="X119">
        <v>19</v>
      </c>
      <c r="Y119">
        <v>19</v>
      </c>
      <c r="Z119" t="s">
        <v>300</v>
      </c>
      <c r="AA119" t="s">
        <v>301</v>
      </c>
      <c r="AB119" t="s">
        <v>85</v>
      </c>
      <c r="AC119" t="s">
        <v>86</v>
      </c>
      <c r="AD119" t="s">
        <v>87</v>
      </c>
      <c r="AE119" t="s">
        <v>296</v>
      </c>
      <c r="AG119" t="s">
        <v>302</v>
      </c>
      <c r="AH119">
        <v>0</v>
      </c>
      <c r="AI119">
        <v>320</v>
      </c>
      <c r="AJ119">
        <v>69</v>
      </c>
      <c r="AK119">
        <v>75</v>
      </c>
      <c r="AL119">
        <v>1.1000000000000001</v>
      </c>
    </row>
    <row r="120" spans="1:38" x14ac:dyDescent="0.3">
      <c r="A120" t="s">
        <v>303</v>
      </c>
      <c r="B120">
        <v>100833</v>
      </c>
      <c r="C120">
        <v>1</v>
      </c>
      <c r="D120" t="s">
        <v>304</v>
      </c>
      <c r="E120" t="s">
        <v>305</v>
      </c>
      <c r="F120">
        <v>90</v>
      </c>
      <c r="G120">
        <v>26.41</v>
      </c>
      <c r="H120">
        <v>87.32</v>
      </c>
      <c r="I120">
        <v>21.05</v>
      </c>
      <c r="J120">
        <v>69.599999999999994</v>
      </c>
      <c r="K120">
        <v>1</v>
      </c>
      <c r="T120">
        <v>3</v>
      </c>
      <c r="U120">
        <v>1</v>
      </c>
      <c r="V120" t="s">
        <v>175</v>
      </c>
      <c r="W120">
        <v>87</v>
      </c>
      <c r="X120">
        <v>11</v>
      </c>
      <c r="Y120">
        <v>11</v>
      </c>
      <c r="Z120" t="s">
        <v>306</v>
      </c>
      <c r="AA120" t="s">
        <v>307</v>
      </c>
      <c r="AB120" t="s">
        <v>85</v>
      </c>
      <c r="AC120" t="s">
        <v>86</v>
      </c>
      <c r="AD120" t="s">
        <v>87</v>
      </c>
      <c r="AE120" t="s">
        <v>308</v>
      </c>
      <c r="AG120" t="s">
        <v>309</v>
      </c>
      <c r="AH120">
        <v>0</v>
      </c>
      <c r="AI120">
        <v>475</v>
      </c>
      <c r="AJ120">
        <v>78</v>
      </c>
      <c r="AK120">
        <v>123</v>
      </c>
      <c r="AL120">
        <v>1.37</v>
      </c>
    </row>
    <row r="121" spans="1:38" x14ac:dyDescent="0.3">
      <c r="A121" t="s">
        <v>303</v>
      </c>
      <c r="B121">
        <v>100833</v>
      </c>
      <c r="C121">
        <v>2</v>
      </c>
      <c r="D121" t="s">
        <v>304</v>
      </c>
      <c r="E121" t="s">
        <v>305</v>
      </c>
      <c r="F121">
        <v>90</v>
      </c>
      <c r="G121">
        <v>31.27</v>
      </c>
      <c r="H121">
        <v>103.38</v>
      </c>
      <c r="I121">
        <v>24.92</v>
      </c>
      <c r="J121">
        <v>82.4</v>
      </c>
      <c r="K121">
        <v>2</v>
      </c>
      <c r="T121">
        <v>3</v>
      </c>
      <c r="U121">
        <v>2</v>
      </c>
      <c r="V121" t="s">
        <v>82</v>
      </c>
      <c r="W121">
        <v>103</v>
      </c>
      <c r="X121">
        <v>11</v>
      </c>
      <c r="Y121">
        <v>11</v>
      </c>
      <c r="Z121" t="s">
        <v>306</v>
      </c>
      <c r="AA121" t="s">
        <v>307</v>
      </c>
      <c r="AB121" t="s">
        <v>85</v>
      </c>
      <c r="AC121" t="s">
        <v>86</v>
      </c>
      <c r="AD121" t="s">
        <v>87</v>
      </c>
      <c r="AE121" t="s">
        <v>308</v>
      </c>
      <c r="AG121" t="s">
        <v>309</v>
      </c>
      <c r="AH121">
        <v>0</v>
      </c>
      <c r="AI121">
        <v>475</v>
      </c>
      <c r="AJ121">
        <v>78</v>
      </c>
      <c r="AK121">
        <v>123</v>
      </c>
      <c r="AL121">
        <v>1.37</v>
      </c>
    </row>
    <row r="122" spans="1:38" x14ac:dyDescent="0.3">
      <c r="A122" t="s">
        <v>303</v>
      </c>
      <c r="B122">
        <v>100833</v>
      </c>
      <c r="C122">
        <v>3</v>
      </c>
      <c r="D122" t="s">
        <v>304</v>
      </c>
      <c r="E122" t="s">
        <v>305</v>
      </c>
      <c r="F122">
        <v>90</v>
      </c>
      <c r="G122">
        <v>31.93</v>
      </c>
      <c r="H122">
        <v>105.57</v>
      </c>
      <c r="I122">
        <v>25.45</v>
      </c>
      <c r="J122">
        <v>84.15</v>
      </c>
      <c r="K122">
        <v>63</v>
      </c>
      <c r="T122">
        <v>3</v>
      </c>
      <c r="U122">
        <v>2</v>
      </c>
      <c r="V122" t="s">
        <v>82</v>
      </c>
      <c r="W122" t="s">
        <v>310</v>
      </c>
      <c r="X122">
        <v>11</v>
      </c>
      <c r="Y122">
        <v>11</v>
      </c>
      <c r="Z122" t="s">
        <v>306</v>
      </c>
      <c r="AA122" t="s">
        <v>307</v>
      </c>
      <c r="AB122" t="s">
        <v>85</v>
      </c>
      <c r="AC122" t="s">
        <v>86</v>
      </c>
      <c r="AD122" t="s">
        <v>87</v>
      </c>
      <c r="AE122" t="s">
        <v>308</v>
      </c>
      <c r="AG122" t="s">
        <v>309</v>
      </c>
      <c r="AH122">
        <v>0</v>
      </c>
      <c r="AI122">
        <v>475</v>
      </c>
      <c r="AJ122">
        <v>78</v>
      </c>
      <c r="AK122">
        <v>123</v>
      </c>
      <c r="AL122">
        <v>1.37</v>
      </c>
    </row>
    <row r="123" spans="1:38" x14ac:dyDescent="0.3">
      <c r="A123" t="s">
        <v>303</v>
      </c>
      <c r="B123">
        <v>100833</v>
      </c>
      <c r="C123">
        <v>4</v>
      </c>
      <c r="D123" t="s">
        <v>304</v>
      </c>
      <c r="E123" t="s">
        <v>305</v>
      </c>
      <c r="F123">
        <v>90</v>
      </c>
      <c r="G123">
        <v>32.15</v>
      </c>
      <c r="H123">
        <v>106.31</v>
      </c>
      <c r="I123">
        <v>25.63</v>
      </c>
      <c r="J123">
        <v>84.74</v>
      </c>
      <c r="K123">
        <v>24</v>
      </c>
      <c r="T123">
        <v>3</v>
      </c>
      <c r="U123">
        <v>2</v>
      </c>
      <c r="V123" t="s">
        <v>82</v>
      </c>
      <c r="W123" t="s">
        <v>311</v>
      </c>
      <c r="X123">
        <v>11</v>
      </c>
      <c r="Y123">
        <v>11</v>
      </c>
      <c r="Z123" t="s">
        <v>306</v>
      </c>
      <c r="AA123" t="s">
        <v>307</v>
      </c>
      <c r="AB123" t="s">
        <v>85</v>
      </c>
      <c r="AC123" t="s">
        <v>86</v>
      </c>
      <c r="AD123" t="s">
        <v>87</v>
      </c>
      <c r="AE123" t="s">
        <v>308</v>
      </c>
      <c r="AG123" t="s">
        <v>309</v>
      </c>
      <c r="AH123">
        <v>0</v>
      </c>
      <c r="AI123">
        <v>475</v>
      </c>
      <c r="AJ123">
        <v>78</v>
      </c>
      <c r="AK123">
        <v>123</v>
      </c>
      <c r="AL123">
        <v>1.37</v>
      </c>
    </row>
    <row r="124" spans="1:38" x14ac:dyDescent="0.3">
      <c r="A124" t="s">
        <v>312</v>
      </c>
      <c r="B124">
        <v>128082</v>
      </c>
      <c r="C124">
        <v>1</v>
      </c>
      <c r="D124" t="s">
        <v>313</v>
      </c>
      <c r="E124" t="s">
        <v>314</v>
      </c>
      <c r="F124">
        <v>18</v>
      </c>
      <c r="G124">
        <v>30.85</v>
      </c>
      <c r="H124">
        <v>102.01</v>
      </c>
      <c r="I124">
        <v>25.51</v>
      </c>
      <c r="J124">
        <v>84.34</v>
      </c>
      <c r="K124">
        <v>18</v>
      </c>
      <c r="T124">
        <v>3</v>
      </c>
      <c r="U124">
        <v>2</v>
      </c>
      <c r="V124" t="s">
        <v>82</v>
      </c>
      <c r="W124">
        <v>102</v>
      </c>
      <c r="X124">
        <v>10</v>
      </c>
      <c r="Y124">
        <v>10</v>
      </c>
      <c r="Z124" t="s">
        <v>315</v>
      </c>
      <c r="AA124" t="s">
        <v>316</v>
      </c>
      <c r="AB124" t="s">
        <v>85</v>
      </c>
      <c r="AC124" t="s">
        <v>86</v>
      </c>
      <c r="AD124" t="s">
        <v>87</v>
      </c>
      <c r="AE124" t="s">
        <v>317</v>
      </c>
      <c r="AG124" t="s">
        <v>318</v>
      </c>
      <c r="AH124">
        <v>0</v>
      </c>
      <c r="AI124">
        <v>244</v>
      </c>
      <c r="AJ124">
        <v>29</v>
      </c>
      <c r="AK124">
        <v>19</v>
      </c>
      <c r="AL124">
        <v>1.06</v>
      </c>
    </row>
    <row r="125" spans="1:38" x14ac:dyDescent="0.3">
      <c r="A125" t="s">
        <v>312</v>
      </c>
      <c r="B125">
        <v>105381</v>
      </c>
      <c r="C125">
        <v>1</v>
      </c>
      <c r="D125" t="s">
        <v>319</v>
      </c>
      <c r="E125" t="s">
        <v>320</v>
      </c>
      <c r="F125">
        <v>141</v>
      </c>
      <c r="G125">
        <v>30.35</v>
      </c>
      <c r="H125">
        <v>100.34</v>
      </c>
      <c r="I125">
        <v>23.03</v>
      </c>
      <c r="J125">
        <v>76.16</v>
      </c>
      <c r="K125">
        <v>24</v>
      </c>
      <c r="T125">
        <v>3</v>
      </c>
      <c r="U125">
        <v>2</v>
      </c>
      <c r="V125" t="s">
        <v>175</v>
      </c>
      <c r="W125" t="s">
        <v>148</v>
      </c>
      <c r="X125">
        <v>12</v>
      </c>
      <c r="Y125">
        <v>12</v>
      </c>
      <c r="Z125" t="s">
        <v>321</v>
      </c>
      <c r="AA125" t="s">
        <v>322</v>
      </c>
      <c r="AB125" t="s">
        <v>85</v>
      </c>
      <c r="AC125" t="s">
        <v>86</v>
      </c>
      <c r="AD125" t="s">
        <v>87</v>
      </c>
      <c r="AE125" t="s">
        <v>317</v>
      </c>
      <c r="AG125" t="s">
        <v>323</v>
      </c>
      <c r="AH125">
        <v>0</v>
      </c>
      <c r="AI125">
        <v>229</v>
      </c>
      <c r="AJ125">
        <v>22</v>
      </c>
      <c r="AK125">
        <v>141</v>
      </c>
      <c r="AL125">
        <v>1</v>
      </c>
    </row>
    <row r="126" spans="1:38" x14ac:dyDescent="0.3">
      <c r="A126" t="s">
        <v>312</v>
      </c>
      <c r="B126">
        <v>105381</v>
      </c>
      <c r="C126">
        <v>2</v>
      </c>
      <c r="D126" t="s">
        <v>319</v>
      </c>
      <c r="E126" t="s">
        <v>320</v>
      </c>
      <c r="F126">
        <v>141</v>
      </c>
      <c r="G126">
        <v>30.33</v>
      </c>
      <c r="H126">
        <v>100.29</v>
      </c>
      <c r="I126">
        <v>23.18</v>
      </c>
      <c r="J126">
        <v>76.64</v>
      </c>
      <c r="K126">
        <v>24</v>
      </c>
      <c r="T126">
        <v>3</v>
      </c>
      <c r="U126">
        <v>2</v>
      </c>
      <c r="V126" t="s">
        <v>175</v>
      </c>
      <c r="W126" t="s">
        <v>131</v>
      </c>
      <c r="X126">
        <v>12</v>
      </c>
      <c r="Y126">
        <v>12</v>
      </c>
      <c r="Z126" t="s">
        <v>321</v>
      </c>
      <c r="AA126" t="s">
        <v>322</v>
      </c>
      <c r="AB126" t="s">
        <v>85</v>
      </c>
      <c r="AC126" t="s">
        <v>86</v>
      </c>
      <c r="AD126" t="s">
        <v>87</v>
      </c>
      <c r="AE126" t="s">
        <v>317</v>
      </c>
      <c r="AG126" t="s">
        <v>323</v>
      </c>
      <c r="AH126">
        <v>0</v>
      </c>
      <c r="AI126">
        <v>229</v>
      </c>
      <c r="AJ126">
        <v>22</v>
      </c>
      <c r="AK126">
        <v>141</v>
      </c>
      <c r="AL126">
        <v>1</v>
      </c>
    </row>
    <row r="127" spans="1:38" x14ac:dyDescent="0.3">
      <c r="A127" t="s">
        <v>312</v>
      </c>
      <c r="B127">
        <v>105381</v>
      </c>
      <c r="C127">
        <v>3</v>
      </c>
      <c r="D127" t="s">
        <v>319</v>
      </c>
      <c r="E127" t="s">
        <v>320</v>
      </c>
      <c r="F127">
        <v>141</v>
      </c>
      <c r="G127">
        <v>33.21</v>
      </c>
      <c r="H127">
        <v>109.81</v>
      </c>
      <c r="I127">
        <v>25.7</v>
      </c>
      <c r="J127">
        <v>84.99</v>
      </c>
      <c r="K127">
        <v>93</v>
      </c>
      <c r="T127">
        <v>3</v>
      </c>
      <c r="U127">
        <v>2</v>
      </c>
      <c r="V127" t="s">
        <v>175</v>
      </c>
      <c r="W127">
        <v>109</v>
      </c>
      <c r="X127">
        <v>12</v>
      </c>
      <c r="Y127">
        <v>12</v>
      </c>
      <c r="Z127" t="s">
        <v>321</v>
      </c>
      <c r="AA127" t="s">
        <v>322</v>
      </c>
      <c r="AB127" t="s">
        <v>85</v>
      </c>
      <c r="AC127" t="s">
        <v>86</v>
      </c>
      <c r="AD127" t="s">
        <v>87</v>
      </c>
      <c r="AE127" t="s">
        <v>317</v>
      </c>
      <c r="AG127" t="s">
        <v>323</v>
      </c>
      <c r="AH127">
        <v>0</v>
      </c>
      <c r="AI127">
        <v>229</v>
      </c>
      <c r="AJ127">
        <v>22</v>
      </c>
      <c r="AK127">
        <v>141</v>
      </c>
      <c r="AL127">
        <v>1</v>
      </c>
    </row>
    <row r="128" spans="1:38" x14ac:dyDescent="0.3">
      <c r="A128" t="s">
        <v>312</v>
      </c>
      <c r="B128">
        <v>102385</v>
      </c>
      <c r="C128">
        <v>1</v>
      </c>
      <c r="D128" t="s">
        <v>324</v>
      </c>
      <c r="E128" t="s">
        <v>325</v>
      </c>
      <c r="F128">
        <v>274</v>
      </c>
      <c r="G128">
        <v>34.17</v>
      </c>
      <c r="H128">
        <v>112.99</v>
      </c>
      <c r="I128">
        <v>25.68</v>
      </c>
      <c r="J128">
        <v>84.91</v>
      </c>
      <c r="K128">
        <v>18</v>
      </c>
      <c r="T128">
        <v>3</v>
      </c>
      <c r="U128">
        <v>2</v>
      </c>
      <c r="V128" t="s">
        <v>82</v>
      </c>
      <c r="W128">
        <v>112</v>
      </c>
      <c r="X128">
        <v>18</v>
      </c>
      <c r="Y128">
        <v>15</v>
      </c>
      <c r="Z128" t="s">
        <v>326</v>
      </c>
      <c r="AA128" t="s">
        <v>327</v>
      </c>
      <c r="AB128" t="s">
        <v>85</v>
      </c>
      <c r="AC128" t="s">
        <v>86</v>
      </c>
      <c r="AD128" t="s">
        <v>87</v>
      </c>
      <c r="AE128" t="s">
        <v>317</v>
      </c>
      <c r="AG128" t="s">
        <v>328</v>
      </c>
      <c r="AH128">
        <v>256</v>
      </c>
      <c r="AI128">
        <v>297</v>
      </c>
      <c r="AJ128">
        <v>24</v>
      </c>
      <c r="AK128">
        <v>233</v>
      </c>
      <c r="AL128">
        <v>0.85</v>
      </c>
    </row>
    <row r="129" spans="1:38" x14ac:dyDescent="0.3">
      <c r="A129" t="s">
        <v>329</v>
      </c>
      <c r="B129">
        <v>27813</v>
      </c>
      <c r="C129">
        <v>1</v>
      </c>
      <c r="D129" t="s">
        <v>330</v>
      </c>
      <c r="E129" t="s">
        <v>331</v>
      </c>
      <c r="F129">
        <v>468</v>
      </c>
      <c r="G129">
        <v>25.48</v>
      </c>
      <c r="H129">
        <v>84.25</v>
      </c>
      <c r="I129">
        <v>18.05</v>
      </c>
      <c r="J129">
        <v>59.67</v>
      </c>
      <c r="K129">
        <v>180</v>
      </c>
      <c r="T129">
        <v>3</v>
      </c>
      <c r="U129">
        <v>2</v>
      </c>
      <c r="V129" t="s">
        <v>82</v>
      </c>
      <c r="W129">
        <v>84</v>
      </c>
      <c r="X129">
        <v>15</v>
      </c>
      <c r="Y129">
        <v>9</v>
      </c>
      <c r="Z129" t="s">
        <v>332</v>
      </c>
      <c r="AA129" t="s">
        <v>333</v>
      </c>
      <c r="AB129" t="s">
        <v>85</v>
      </c>
      <c r="AC129" t="s">
        <v>86</v>
      </c>
      <c r="AD129" t="s">
        <v>87</v>
      </c>
      <c r="AE129" t="s">
        <v>334</v>
      </c>
      <c r="AG129" t="s">
        <v>335</v>
      </c>
      <c r="AH129">
        <v>0</v>
      </c>
      <c r="AI129">
        <v>223</v>
      </c>
      <c r="AJ129">
        <v>21</v>
      </c>
      <c r="AK129">
        <v>474</v>
      </c>
      <c r="AL129">
        <v>1.01</v>
      </c>
    </row>
    <row r="130" spans="1:38" x14ac:dyDescent="0.3">
      <c r="A130" t="s">
        <v>329</v>
      </c>
      <c r="B130">
        <v>27813</v>
      </c>
      <c r="C130">
        <v>2</v>
      </c>
      <c r="D130" t="s">
        <v>330</v>
      </c>
      <c r="E130" t="s">
        <v>331</v>
      </c>
      <c r="F130">
        <v>468</v>
      </c>
      <c r="G130">
        <v>34.61</v>
      </c>
      <c r="H130">
        <v>114.44</v>
      </c>
      <c r="I130">
        <v>25.65</v>
      </c>
      <c r="J130">
        <v>84.82</v>
      </c>
      <c r="K130">
        <v>288</v>
      </c>
      <c r="T130">
        <v>3</v>
      </c>
      <c r="U130">
        <v>2</v>
      </c>
      <c r="V130" t="s">
        <v>82</v>
      </c>
      <c r="W130">
        <v>114</v>
      </c>
      <c r="X130">
        <v>15</v>
      </c>
      <c r="Y130">
        <v>9</v>
      </c>
      <c r="Z130" t="s">
        <v>332</v>
      </c>
      <c r="AA130" t="s">
        <v>333</v>
      </c>
      <c r="AB130" t="s">
        <v>85</v>
      </c>
      <c r="AC130" t="s">
        <v>86</v>
      </c>
      <c r="AD130" t="s">
        <v>87</v>
      </c>
      <c r="AE130" t="s">
        <v>334</v>
      </c>
      <c r="AG130" t="s">
        <v>335</v>
      </c>
      <c r="AH130">
        <v>0</v>
      </c>
      <c r="AI130">
        <v>223</v>
      </c>
      <c r="AJ130">
        <v>21</v>
      </c>
      <c r="AK130">
        <v>474</v>
      </c>
      <c r="AL130">
        <v>1.01</v>
      </c>
    </row>
    <row r="131" spans="1:38" x14ac:dyDescent="0.3">
      <c r="A131" t="s">
        <v>329</v>
      </c>
      <c r="B131">
        <v>138589</v>
      </c>
      <c r="C131">
        <v>1</v>
      </c>
      <c r="D131" t="s">
        <v>336</v>
      </c>
      <c r="E131" t="s">
        <v>337</v>
      </c>
      <c r="F131">
        <v>65</v>
      </c>
      <c r="G131">
        <v>21.89</v>
      </c>
      <c r="H131">
        <v>72.37</v>
      </c>
      <c r="I131">
        <v>15.96</v>
      </c>
      <c r="J131">
        <v>52.77</v>
      </c>
      <c r="K131">
        <v>1</v>
      </c>
      <c r="T131">
        <v>2</v>
      </c>
      <c r="U131">
        <v>1</v>
      </c>
      <c r="V131" t="s">
        <v>82</v>
      </c>
      <c r="W131">
        <v>72</v>
      </c>
      <c r="X131">
        <v>11</v>
      </c>
      <c r="Y131">
        <v>9</v>
      </c>
      <c r="Z131" t="s">
        <v>338</v>
      </c>
      <c r="AA131" t="s">
        <v>339</v>
      </c>
      <c r="AB131" t="s">
        <v>85</v>
      </c>
      <c r="AC131" t="s">
        <v>86</v>
      </c>
      <c r="AD131" t="s">
        <v>87</v>
      </c>
      <c r="AE131" t="s">
        <v>334</v>
      </c>
      <c r="AG131" t="s">
        <v>340</v>
      </c>
      <c r="AH131">
        <v>0</v>
      </c>
      <c r="AI131">
        <v>209</v>
      </c>
      <c r="AJ131">
        <v>28</v>
      </c>
      <c r="AK131">
        <v>57</v>
      </c>
      <c r="AL131">
        <v>0.88</v>
      </c>
    </row>
    <row r="132" spans="1:38" x14ac:dyDescent="0.3">
      <c r="A132" t="s">
        <v>329</v>
      </c>
      <c r="B132">
        <v>138589</v>
      </c>
      <c r="C132">
        <v>2</v>
      </c>
      <c r="D132" t="s">
        <v>336</v>
      </c>
      <c r="E132" t="s">
        <v>337</v>
      </c>
      <c r="F132">
        <v>65</v>
      </c>
      <c r="G132">
        <v>23.11</v>
      </c>
      <c r="H132">
        <v>76.400000000000006</v>
      </c>
      <c r="I132">
        <v>14.27</v>
      </c>
      <c r="J132">
        <v>47.2</v>
      </c>
      <c r="K132">
        <v>11</v>
      </c>
      <c r="T132">
        <v>2</v>
      </c>
      <c r="U132">
        <v>1</v>
      </c>
      <c r="V132" t="s">
        <v>82</v>
      </c>
      <c r="W132">
        <v>76</v>
      </c>
      <c r="X132">
        <v>11</v>
      </c>
      <c r="Y132">
        <v>9</v>
      </c>
      <c r="Z132" t="s">
        <v>338</v>
      </c>
      <c r="AA132" t="s">
        <v>339</v>
      </c>
      <c r="AB132" t="s">
        <v>85</v>
      </c>
      <c r="AC132" t="s">
        <v>86</v>
      </c>
      <c r="AD132" t="s">
        <v>87</v>
      </c>
      <c r="AE132" t="s">
        <v>334</v>
      </c>
      <c r="AG132" t="s">
        <v>340</v>
      </c>
      <c r="AH132">
        <v>0</v>
      </c>
      <c r="AI132">
        <v>209</v>
      </c>
      <c r="AJ132">
        <v>28</v>
      </c>
      <c r="AK132">
        <v>57</v>
      </c>
      <c r="AL132">
        <v>0.88</v>
      </c>
    </row>
    <row r="133" spans="1:38" x14ac:dyDescent="0.3">
      <c r="A133" t="s">
        <v>329</v>
      </c>
      <c r="B133">
        <v>138589</v>
      </c>
      <c r="C133">
        <v>3</v>
      </c>
      <c r="D133" t="s">
        <v>336</v>
      </c>
      <c r="E133" t="s">
        <v>337</v>
      </c>
      <c r="F133">
        <v>65</v>
      </c>
      <c r="G133">
        <v>24.54</v>
      </c>
      <c r="H133">
        <v>81.14</v>
      </c>
      <c r="I133">
        <v>15.16</v>
      </c>
      <c r="J133">
        <v>50.13</v>
      </c>
      <c r="K133">
        <v>1</v>
      </c>
      <c r="T133">
        <v>2</v>
      </c>
      <c r="U133">
        <v>1</v>
      </c>
      <c r="V133" t="s">
        <v>82</v>
      </c>
      <c r="W133">
        <v>81</v>
      </c>
      <c r="X133">
        <v>11</v>
      </c>
      <c r="Y133">
        <v>9</v>
      </c>
      <c r="Z133" t="s">
        <v>338</v>
      </c>
      <c r="AA133" t="s">
        <v>339</v>
      </c>
      <c r="AB133" t="s">
        <v>85</v>
      </c>
      <c r="AC133" t="s">
        <v>86</v>
      </c>
      <c r="AD133" t="s">
        <v>87</v>
      </c>
      <c r="AE133" t="s">
        <v>334</v>
      </c>
      <c r="AG133" t="s">
        <v>340</v>
      </c>
      <c r="AH133">
        <v>0</v>
      </c>
      <c r="AI133">
        <v>209</v>
      </c>
      <c r="AJ133">
        <v>28</v>
      </c>
      <c r="AK133">
        <v>57</v>
      </c>
      <c r="AL133">
        <v>0.88</v>
      </c>
    </row>
    <row r="134" spans="1:38" x14ac:dyDescent="0.3">
      <c r="A134" t="s">
        <v>329</v>
      </c>
      <c r="B134">
        <v>138589</v>
      </c>
      <c r="C134">
        <v>4</v>
      </c>
      <c r="D134" t="s">
        <v>336</v>
      </c>
      <c r="E134" t="s">
        <v>337</v>
      </c>
      <c r="F134">
        <v>65</v>
      </c>
      <c r="G134">
        <v>28.45</v>
      </c>
      <c r="H134">
        <v>94.08</v>
      </c>
      <c r="I134">
        <v>17.57</v>
      </c>
      <c r="J134">
        <v>58.11</v>
      </c>
      <c r="K134">
        <v>1</v>
      </c>
      <c r="T134">
        <v>3</v>
      </c>
      <c r="U134">
        <v>2</v>
      </c>
      <c r="V134" t="s">
        <v>82</v>
      </c>
      <c r="W134">
        <v>94</v>
      </c>
      <c r="X134">
        <v>11</v>
      </c>
      <c r="Y134">
        <v>9</v>
      </c>
      <c r="Z134" t="s">
        <v>338</v>
      </c>
      <c r="AA134" t="s">
        <v>339</v>
      </c>
      <c r="AB134" t="s">
        <v>85</v>
      </c>
      <c r="AC134" t="s">
        <v>86</v>
      </c>
      <c r="AD134" t="s">
        <v>87</v>
      </c>
      <c r="AE134" t="s">
        <v>334</v>
      </c>
      <c r="AG134" t="s">
        <v>340</v>
      </c>
      <c r="AH134">
        <v>0</v>
      </c>
      <c r="AI134">
        <v>209</v>
      </c>
      <c r="AJ134">
        <v>28</v>
      </c>
      <c r="AK134">
        <v>57</v>
      </c>
      <c r="AL134">
        <v>0.88</v>
      </c>
    </row>
    <row r="135" spans="1:38" x14ac:dyDescent="0.3">
      <c r="A135" t="s">
        <v>329</v>
      </c>
      <c r="B135">
        <v>138589</v>
      </c>
      <c r="C135">
        <v>5</v>
      </c>
      <c r="D135" t="s">
        <v>336</v>
      </c>
      <c r="E135" t="s">
        <v>337</v>
      </c>
      <c r="F135">
        <v>65</v>
      </c>
      <c r="G135">
        <v>28.84</v>
      </c>
      <c r="H135">
        <v>95.35</v>
      </c>
      <c r="I135">
        <v>17.809999999999999</v>
      </c>
      <c r="J135">
        <v>58.89</v>
      </c>
      <c r="K135">
        <v>1</v>
      </c>
      <c r="T135">
        <v>3</v>
      </c>
      <c r="U135">
        <v>2</v>
      </c>
      <c r="V135" t="s">
        <v>82</v>
      </c>
      <c r="W135" t="s">
        <v>341</v>
      </c>
      <c r="X135">
        <v>11</v>
      </c>
      <c r="Y135">
        <v>9</v>
      </c>
      <c r="Z135" t="s">
        <v>338</v>
      </c>
      <c r="AA135" t="s">
        <v>339</v>
      </c>
      <c r="AB135" t="s">
        <v>85</v>
      </c>
      <c r="AC135" t="s">
        <v>86</v>
      </c>
      <c r="AD135" t="s">
        <v>87</v>
      </c>
      <c r="AE135" t="s">
        <v>334</v>
      </c>
      <c r="AG135" t="s">
        <v>340</v>
      </c>
      <c r="AH135">
        <v>0</v>
      </c>
      <c r="AI135">
        <v>209</v>
      </c>
      <c r="AJ135">
        <v>28</v>
      </c>
      <c r="AK135">
        <v>57</v>
      </c>
      <c r="AL135">
        <v>0.88</v>
      </c>
    </row>
    <row r="136" spans="1:38" x14ac:dyDescent="0.3">
      <c r="A136" t="s">
        <v>329</v>
      </c>
      <c r="B136">
        <v>138589</v>
      </c>
      <c r="C136">
        <v>6</v>
      </c>
      <c r="D136" t="s">
        <v>336</v>
      </c>
      <c r="E136" t="s">
        <v>337</v>
      </c>
      <c r="F136">
        <v>65</v>
      </c>
      <c r="G136">
        <v>29.26</v>
      </c>
      <c r="H136">
        <v>96.75</v>
      </c>
      <c r="I136">
        <v>18.059999999999999</v>
      </c>
      <c r="J136">
        <v>59.73</v>
      </c>
      <c r="K136">
        <v>46</v>
      </c>
      <c r="T136">
        <v>3</v>
      </c>
      <c r="U136">
        <v>2</v>
      </c>
      <c r="V136" t="s">
        <v>82</v>
      </c>
      <c r="W136" t="s">
        <v>269</v>
      </c>
      <c r="X136">
        <v>11</v>
      </c>
      <c r="Y136">
        <v>9</v>
      </c>
      <c r="Z136" t="s">
        <v>338</v>
      </c>
      <c r="AA136" t="s">
        <v>339</v>
      </c>
      <c r="AB136" t="s">
        <v>85</v>
      </c>
      <c r="AC136" t="s">
        <v>86</v>
      </c>
      <c r="AD136" t="s">
        <v>87</v>
      </c>
      <c r="AE136" t="s">
        <v>334</v>
      </c>
      <c r="AG136" t="s">
        <v>340</v>
      </c>
      <c r="AH136">
        <v>0</v>
      </c>
      <c r="AI136">
        <v>209</v>
      </c>
      <c r="AJ136">
        <v>28</v>
      </c>
      <c r="AK136">
        <v>57</v>
      </c>
      <c r="AL136">
        <v>0.88</v>
      </c>
    </row>
    <row r="137" spans="1:38" x14ac:dyDescent="0.3">
      <c r="A137" t="s">
        <v>329</v>
      </c>
      <c r="B137">
        <v>138589</v>
      </c>
      <c r="C137">
        <v>7</v>
      </c>
      <c r="D137" t="s">
        <v>336</v>
      </c>
      <c r="E137" t="s">
        <v>337</v>
      </c>
      <c r="F137">
        <v>65</v>
      </c>
      <c r="G137">
        <v>29.32</v>
      </c>
      <c r="H137">
        <v>96.93</v>
      </c>
      <c r="I137">
        <v>18.059999999999999</v>
      </c>
      <c r="J137">
        <v>59.73</v>
      </c>
      <c r="K137">
        <v>4</v>
      </c>
      <c r="T137">
        <v>3</v>
      </c>
      <c r="U137">
        <v>2</v>
      </c>
      <c r="V137" t="s">
        <v>82</v>
      </c>
      <c r="W137" t="s">
        <v>264</v>
      </c>
      <c r="X137">
        <v>11</v>
      </c>
      <c r="Y137">
        <v>9</v>
      </c>
      <c r="Z137" t="s">
        <v>338</v>
      </c>
      <c r="AA137" t="s">
        <v>339</v>
      </c>
      <c r="AB137" t="s">
        <v>85</v>
      </c>
      <c r="AC137" t="s">
        <v>86</v>
      </c>
      <c r="AD137" t="s">
        <v>87</v>
      </c>
      <c r="AE137" t="s">
        <v>334</v>
      </c>
      <c r="AG137" t="s">
        <v>340</v>
      </c>
      <c r="AH137">
        <v>0</v>
      </c>
      <c r="AI137">
        <v>209</v>
      </c>
      <c r="AJ137">
        <v>28</v>
      </c>
      <c r="AK137">
        <v>57</v>
      </c>
      <c r="AL137">
        <v>0.88</v>
      </c>
    </row>
    <row r="138" spans="1:38" x14ac:dyDescent="0.3">
      <c r="A138" t="s">
        <v>329</v>
      </c>
      <c r="B138">
        <v>105122</v>
      </c>
      <c r="C138">
        <v>1</v>
      </c>
      <c r="D138" t="s">
        <v>342</v>
      </c>
      <c r="E138" t="s">
        <v>325</v>
      </c>
      <c r="F138">
        <v>498</v>
      </c>
      <c r="G138">
        <v>24.01</v>
      </c>
      <c r="H138">
        <v>79.38</v>
      </c>
      <c r="I138">
        <v>18.11</v>
      </c>
      <c r="J138">
        <v>59.87</v>
      </c>
      <c r="K138">
        <v>390</v>
      </c>
      <c r="T138">
        <v>3</v>
      </c>
      <c r="U138">
        <v>1</v>
      </c>
      <c r="V138" t="s">
        <v>82</v>
      </c>
      <c r="W138">
        <v>79</v>
      </c>
      <c r="X138">
        <v>18</v>
      </c>
      <c r="Y138">
        <v>17</v>
      </c>
      <c r="Z138" t="s">
        <v>343</v>
      </c>
      <c r="AA138" t="s">
        <v>344</v>
      </c>
      <c r="AB138" t="s">
        <v>85</v>
      </c>
      <c r="AC138" t="s">
        <v>86</v>
      </c>
      <c r="AD138" t="s">
        <v>87</v>
      </c>
      <c r="AE138" t="s">
        <v>334</v>
      </c>
      <c r="AG138" t="s">
        <v>345</v>
      </c>
      <c r="AH138">
        <v>0</v>
      </c>
      <c r="AI138">
        <v>335</v>
      </c>
      <c r="AJ138">
        <v>21</v>
      </c>
      <c r="AK138">
        <v>392</v>
      </c>
      <c r="AL138">
        <v>0.79</v>
      </c>
    </row>
    <row r="139" spans="1:38" x14ac:dyDescent="0.3">
      <c r="A139" t="s">
        <v>329</v>
      </c>
      <c r="B139">
        <v>105122</v>
      </c>
      <c r="C139">
        <v>2</v>
      </c>
      <c r="D139" t="s">
        <v>342</v>
      </c>
      <c r="E139" t="s">
        <v>325</v>
      </c>
      <c r="F139">
        <v>498</v>
      </c>
      <c r="G139">
        <v>32.229999999999997</v>
      </c>
      <c r="H139">
        <v>106.57</v>
      </c>
      <c r="I139">
        <v>25.7</v>
      </c>
      <c r="J139">
        <v>84.97</v>
      </c>
      <c r="K139">
        <v>108</v>
      </c>
      <c r="T139">
        <v>3</v>
      </c>
      <c r="U139">
        <v>2</v>
      </c>
      <c r="V139" t="s">
        <v>82</v>
      </c>
      <c r="W139">
        <v>106</v>
      </c>
      <c r="X139">
        <v>18</v>
      </c>
      <c r="Y139">
        <v>17</v>
      </c>
      <c r="Z139" t="s">
        <v>343</v>
      </c>
      <c r="AA139" t="s">
        <v>344</v>
      </c>
      <c r="AB139" t="s">
        <v>85</v>
      </c>
      <c r="AC139" t="s">
        <v>86</v>
      </c>
      <c r="AD139" t="s">
        <v>87</v>
      </c>
      <c r="AE139" t="s">
        <v>334</v>
      </c>
      <c r="AG139" t="s">
        <v>345</v>
      </c>
      <c r="AH139">
        <v>0</v>
      </c>
      <c r="AI139">
        <v>335</v>
      </c>
      <c r="AJ139">
        <v>21</v>
      </c>
      <c r="AK139">
        <v>392</v>
      </c>
      <c r="AL139">
        <v>0.79</v>
      </c>
    </row>
    <row r="140" spans="1:38" x14ac:dyDescent="0.3">
      <c r="A140" t="s">
        <v>329</v>
      </c>
      <c r="B140">
        <v>133084</v>
      </c>
      <c r="C140">
        <v>1</v>
      </c>
      <c r="D140" t="s">
        <v>346</v>
      </c>
      <c r="E140" t="s">
        <v>347</v>
      </c>
      <c r="F140">
        <v>44</v>
      </c>
      <c r="G140">
        <v>20.82</v>
      </c>
      <c r="H140">
        <v>68.849999999999994</v>
      </c>
      <c r="I140">
        <v>14.91</v>
      </c>
      <c r="J140">
        <v>49.31</v>
      </c>
      <c r="K140">
        <v>14</v>
      </c>
      <c r="T140">
        <v>2</v>
      </c>
      <c r="U140">
        <v>1</v>
      </c>
      <c r="V140" t="s">
        <v>82</v>
      </c>
      <c r="W140" t="s">
        <v>348</v>
      </c>
      <c r="X140">
        <v>11</v>
      </c>
      <c r="Y140">
        <v>11</v>
      </c>
      <c r="Z140" t="s">
        <v>349</v>
      </c>
      <c r="AA140" t="s">
        <v>350</v>
      </c>
      <c r="AB140" t="s">
        <v>85</v>
      </c>
      <c r="AC140" t="s">
        <v>86</v>
      </c>
      <c r="AD140" t="s">
        <v>87</v>
      </c>
      <c r="AE140" t="s">
        <v>334</v>
      </c>
      <c r="AG140" t="s">
        <v>351</v>
      </c>
      <c r="AH140">
        <v>0</v>
      </c>
      <c r="AI140">
        <v>383</v>
      </c>
      <c r="AJ140">
        <v>55</v>
      </c>
      <c r="AK140">
        <v>26</v>
      </c>
      <c r="AL140">
        <v>0.59</v>
      </c>
    </row>
    <row r="141" spans="1:38" x14ac:dyDescent="0.3">
      <c r="A141" t="s">
        <v>329</v>
      </c>
      <c r="B141">
        <v>133084</v>
      </c>
      <c r="C141">
        <v>2</v>
      </c>
      <c r="D141" t="s">
        <v>346</v>
      </c>
      <c r="E141" t="s">
        <v>347</v>
      </c>
      <c r="F141">
        <v>44</v>
      </c>
      <c r="G141">
        <v>21.11</v>
      </c>
      <c r="H141">
        <v>69.81</v>
      </c>
      <c r="I141">
        <v>15.12</v>
      </c>
      <c r="J141">
        <v>49.99</v>
      </c>
      <c r="K141">
        <v>30</v>
      </c>
      <c r="T141">
        <v>2</v>
      </c>
      <c r="U141">
        <v>1</v>
      </c>
      <c r="V141" t="s">
        <v>82</v>
      </c>
      <c r="W141" t="s">
        <v>352</v>
      </c>
      <c r="X141">
        <v>11</v>
      </c>
      <c r="Y141">
        <v>11</v>
      </c>
      <c r="Z141" t="s">
        <v>349</v>
      </c>
      <c r="AA141" t="s">
        <v>350</v>
      </c>
      <c r="AB141" t="s">
        <v>85</v>
      </c>
      <c r="AC141" t="s">
        <v>86</v>
      </c>
      <c r="AD141" t="s">
        <v>87</v>
      </c>
      <c r="AE141" t="s">
        <v>334</v>
      </c>
      <c r="AG141" t="s">
        <v>351</v>
      </c>
      <c r="AH141">
        <v>0</v>
      </c>
      <c r="AI141">
        <v>383</v>
      </c>
      <c r="AJ141">
        <v>55</v>
      </c>
      <c r="AK141">
        <v>26</v>
      </c>
      <c r="AL141">
        <v>0.59</v>
      </c>
    </row>
    <row r="142" spans="1:38" x14ac:dyDescent="0.3">
      <c r="A142" t="s">
        <v>353</v>
      </c>
      <c r="B142">
        <v>22811</v>
      </c>
      <c r="C142">
        <v>1</v>
      </c>
      <c r="D142" t="s">
        <v>354</v>
      </c>
      <c r="E142" t="s">
        <v>355</v>
      </c>
      <c r="F142">
        <v>204</v>
      </c>
      <c r="G142">
        <v>33.25</v>
      </c>
      <c r="H142">
        <v>109.94</v>
      </c>
      <c r="I142">
        <v>25.69</v>
      </c>
      <c r="J142">
        <v>84.95</v>
      </c>
      <c r="K142">
        <v>156</v>
      </c>
      <c r="T142">
        <v>3</v>
      </c>
      <c r="U142">
        <v>2</v>
      </c>
      <c r="V142" t="s">
        <v>82</v>
      </c>
      <c r="W142">
        <v>109</v>
      </c>
      <c r="X142">
        <v>13</v>
      </c>
      <c r="Y142">
        <v>9</v>
      </c>
      <c r="Z142" t="s">
        <v>356</v>
      </c>
      <c r="AA142" t="s">
        <v>357</v>
      </c>
      <c r="AB142" t="s">
        <v>85</v>
      </c>
      <c r="AC142" t="s">
        <v>86</v>
      </c>
      <c r="AD142" t="s">
        <v>87</v>
      </c>
      <c r="AE142" t="s">
        <v>358</v>
      </c>
      <c r="AG142" t="s">
        <v>359</v>
      </c>
      <c r="AH142">
        <v>0</v>
      </c>
      <c r="AI142">
        <v>319</v>
      </c>
      <c r="AJ142">
        <v>39</v>
      </c>
      <c r="AK142">
        <v>285</v>
      </c>
      <c r="AL142">
        <v>1.4</v>
      </c>
    </row>
    <row r="143" spans="1:38" x14ac:dyDescent="0.3">
      <c r="A143" t="s">
        <v>353</v>
      </c>
      <c r="B143">
        <v>22811</v>
      </c>
      <c r="C143">
        <v>2</v>
      </c>
      <c r="D143" t="s">
        <v>354</v>
      </c>
      <c r="E143" t="s">
        <v>355</v>
      </c>
      <c r="F143">
        <v>204</v>
      </c>
      <c r="G143">
        <v>45.93</v>
      </c>
      <c r="H143">
        <v>151.85</v>
      </c>
      <c r="I143">
        <v>38.28</v>
      </c>
      <c r="J143">
        <v>126.57</v>
      </c>
      <c r="K143">
        <v>48</v>
      </c>
      <c r="T143">
        <v>4</v>
      </c>
      <c r="U143">
        <v>2</v>
      </c>
      <c r="V143" t="s">
        <v>82</v>
      </c>
      <c r="W143">
        <v>151</v>
      </c>
      <c r="X143">
        <v>13</v>
      </c>
      <c r="Y143">
        <v>9</v>
      </c>
      <c r="Z143" t="s">
        <v>356</v>
      </c>
      <c r="AA143" t="s">
        <v>357</v>
      </c>
      <c r="AB143" t="s">
        <v>85</v>
      </c>
      <c r="AC143" t="s">
        <v>86</v>
      </c>
      <c r="AD143" t="s">
        <v>87</v>
      </c>
      <c r="AE143" t="s">
        <v>358</v>
      </c>
      <c r="AG143" t="s">
        <v>359</v>
      </c>
      <c r="AH143">
        <v>0</v>
      </c>
      <c r="AI143">
        <v>319</v>
      </c>
      <c r="AJ143">
        <v>39</v>
      </c>
      <c r="AK143">
        <v>285</v>
      </c>
      <c r="AL143">
        <v>1.4</v>
      </c>
    </row>
    <row r="144" spans="1:38" x14ac:dyDescent="0.3">
      <c r="A144" t="s">
        <v>360</v>
      </c>
      <c r="B144">
        <v>113243</v>
      </c>
      <c r="C144">
        <v>1</v>
      </c>
      <c r="D144" t="s">
        <v>361</v>
      </c>
      <c r="E144" t="s">
        <v>362</v>
      </c>
      <c r="F144">
        <v>99</v>
      </c>
      <c r="G144">
        <v>25.37</v>
      </c>
      <c r="H144">
        <v>83.89</v>
      </c>
      <c r="I144">
        <v>17.989999999999998</v>
      </c>
      <c r="J144">
        <v>59.48</v>
      </c>
      <c r="K144">
        <v>31</v>
      </c>
      <c r="T144">
        <v>3</v>
      </c>
      <c r="U144">
        <v>2</v>
      </c>
      <c r="V144" t="s">
        <v>82</v>
      </c>
      <c r="W144">
        <v>83</v>
      </c>
      <c r="X144">
        <v>15</v>
      </c>
      <c r="Y144">
        <v>7</v>
      </c>
      <c r="Z144" t="s">
        <v>363</v>
      </c>
      <c r="AA144" t="s">
        <v>364</v>
      </c>
      <c r="AB144" t="s">
        <v>85</v>
      </c>
      <c r="AC144" t="s">
        <v>86</v>
      </c>
      <c r="AD144" t="s">
        <v>87</v>
      </c>
      <c r="AE144" t="s">
        <v>365</v>
      </c>
      <c r="AG144" t="s">
        <v>366</v>
      </c>
      <c r="AH144">
        <v>0</v>
      </c>
      <c r="AI144">
        <v>298</v>
      </c>
      <c r="AJ144">
        <v>34</v>
      </c>
      <c r="AK144">
        <v>47</v>
      </c>
      <c r="AL144">
        <v>0.47</v>
      </c>
    </row>
    <row r="145" spans="1:38" x14ac:dyDescent="0.3">
      <c r="A145" t="s">
        <v>360</v>
      </c>
      <c r="B145">
        <v>113243</v>
      </c>
      <c r="C145">
        <v>2</v>
      </c>
      <c r="D145" t="s">
        <v>361</v>
      </c>
      <c r="E145" t="s">
        <v>362</v>
      </c>
      <c r="F145">
        <v>99</v>
      </c>
      <c r="G145">
        <v>25.51</v>
      </c>
      <c r="H145">
        <v>84.36</v>
      </c>
      <c r="I145">
        <v>18.09</v>
      </c>
      <c r="J145">
        <v>59.82</v>
      </c>
      <c r="K145">
        <v>61</v>
      </c>
      <c r="T145">
        <v>3</v>
      </c>
      <c r="U145">
        <v>2</v>
      </c>
      <c r="V145" t="s">
        <v>82</v>
      </c>
      <c r="W145" t="s">
        <v>367</v>
      </c>
      <c r="X145">
        <v>15</v>
      </c>
      <c r="Y145">
        <v>7</v>
      </c>
      <c r="Z145" t="s">
        <v>363</v>
      </c>
      <c r="AA145" t="s">
        <v>364</v>
      </c>
      <c r="AB145" t="s">
        <v>85</v>
      </c>
      <c r="AC145" t="s">
        <v>86</v>
      </c>
      <c r="AD145" t="s">
        <v>87</v>
      </c>
      <c r="AE145" t="s">
        <v>365</v>
      </c>
      <c r="AG145" t="s">
        <v>366</v>
      </c>
      <c r="AH145">
        <v>0</v>
      </c>
      <c r="AI145">
        <v>298</v>
      </c>
      <c r="AJ145">
        <v>34</v>
      </c>
      <c r="AK145">
        <v>47</v>
      </c>
      <c r="AL145">
        <v>0.47</v>
      </c>
    </row>
    <row r="146" spans="1:38" x14ac:dyDescent="0.3">
      <c r="A146" t="s">
        <v>360</v>
      </c>
      <c r="B146">
        <v>113243</v>
      </c>
      <c r="C146">
        <v>3</v>
      </c>
      <c r="D146" t="s">
        <v>361</v>
      </c>
      <c r="E146" t="s">
        <v>362</v>
      </c>
      <c r="F146">
        <v>99</v>
      </c>
      <c r="G146">
        <v>25.5</v>
      </c>
      <c r="H146">
        <v>84.3</v>
      </c>
      <c r="I146">
        <v>18.079999999999998</v>
      </c>
      <c r="J146">
        <v>59.77</v>
      </c>
      <c r="K146">
        <v>7</v>
      </c>
      <c r="T146">
        <v>3</v>
      </c>
      <c r="U146">
        <v>2</v>
      </c>
      <c r="V146" t="s">
        <v>82</v>
      </c>
      <c r="W146" t="s">
        <v>368</v>
      </c>
      <c r="X146">
        <v>15</v>
      </c>
      <c r="Y146">
        <v>7</v>
      </c>
      <c r="Z146" t="s">
        <v>363</v>
      </c>
      <c r="AA146" t="s">
        <v>364</v>
      </c>
      <c r="AB146" t="s">
        <v>85</v>
      </c>
      <c r="AC146" t="s">
        <v>86</v>
      </c>
      <c r="AD146" t="s">
        <v>87</v>
      </c>
      <c r="AE146" t="s">
        <v>365</v>
      </c>
      <c r="AG146" t="s">
        <v>366</v>
      </c>
      <c r="AH146">
        <v>0</v>
      </c>
      <c r="AI146">
        <v>298</v>
      </c>
      <c r="AJ146">
        <v>34</v>
      </c>
      <c r="AK146">
        <v>47</v>
      </c>
      <c r="AL146">
        <v>0.47</v>
      </c>
    </row>
    <row r="147" spans="1:38" x14ac:dyDescent="0.3">
      <c r="A147" t="s">
        <v>369</v>
      </c>
      <c r="B147">
        <v>18816</v>
      </c>
      <c r="C147">
        <v>1</v>
      </c>
      <c r="D147" t="s">
        <v>370</v>
      </c>
      <c r="E147" t="s">
        <v>371</v>
      </c>
      <c r="F147">
        <v>516</v>
      </c>
      <c r="G147">
        <v>34.909999999999997</v>
      </c>
      <c r="H147">
        <v>115.42</v>
      </c>
      <c r="I147">
        <v>25.69</v>
      </c>
      <c r="J147">
        <v>84.94</v>
      </c>
      <c r="K147">
        <v>404</v>
      </c>
      <c r="T147">
        <v>3</v>
      </c>
      <c r="U147">
        <v>2</v>
      </c>
      <c r="V147" t="s">
        <v>82</v>
      </c>
      <c r="W147">
        <v>115</v>
      </c>
      <c r="X147">
        <v>15</v>
      </c>
      <c r="Y147">
        <v>11</v>
      </c>
      <c r="Z147" t="s">
        <v>372</v>
      </c>
      <c r="AA147" t="s">
        <v>373</v>
      </c>
      <c r="AB147" t="s">
        <v>85</v>
      </c>
      <c r="AC147" t="s">
        <v>86</v>
      </c>
      <c r="AD147" t="s">
        <v>87</v>
      </c>
      <c r="AE147" t="s">
        <v>374</v>
      </c>
      <c r="AG147" t="s">
        <v>375</v>
      </c>
      <c r="AH147">
        <v>0</v>
      </c>
      <c r="AI147">
        <v>209</v>
      </c>
      <c r="AJ147">
        <v>18</v>
      </c>
      <c r="AK147">
        <v>637</v>
      </c>
      <c r="AL147">
        <v>1.23</v>
      </c>
    </row>
    <row r="148" spans="1:38" x14ac:dyDescent="0.3">
      <c r="A148" t="s">
        <v>369</v>
      </c>
      <c r="B148">
        <v>18816</v>
      </c>
      <c r="C148">
        <v>2</v>
      </c>
      <c r="D148" t="s">
        <v>370</v>
      </c>
      <c r="E148" t="s">
        <v>371</v>
      </c>
      <c r="F148">
        <v>516</v>
      </c>
      <c r="G148">
        <v>47.8</v>
      </c>
      <c r="H148">
        <v>158.02000000000001</v>
      </c>
      <c r="I148">
        <v>37.9</v>
      </c>
      <c r="J148">
        <v>125.31</v>
      </c>
      <c r="K148">
        <v>84</v>
      </c>
      <c r="T148">
        <v>4</v>
      </c>
      <c r="U148">
        <v>2</v>
      </c>
      <c r="V148" t="s">
        <v>82</v>
      </c>
      <c r="W148">
        <v>158</v>
      </c>
      <c r="X148">
        <v>15</v>
      </c>
      <c r="Y148">
        <v>11</v>
      </c>
      <c r="Z148" t="s">
        <v>372</v>
      </c>
      <c r="AA148" t="s">
        <v>373</v>
      </c>
      <c r="AB148" t="s">
        <v>85</v>
      </c>
      <c r="AC148" t="s">
        <v>86</v>
      </c>
      <c r="AD148" t="s">
        <v>87</v>
      </c>
      <c r="AE148" t="s">
        <v>374</v>
      </c>
      <c r="AG148" t="s">
        <v>375</v>
      </c>
      <c r="AH148">
        <v>0</v>
      </c>
      <c r="AI148">
        <v>209</v>
      </c>
      <c r="AJ148">
        <v>18</v>
      </c>
      <c r="AK148">
        <v>637</v>
      </c>
      <c r="AL148">
        <v>1.23</v>
      </c>
    </row>
    <row r="149" spans="1:38" x14ac:dyDescent="0.3">
      <c r="A149" t="s">
        <v>369</v>
      </c>
      <c r="B149">
        <v>18816</v>
      </c>
      <c r="C149">
        <v>3</v>
      </c>
      <c r="D149" t="s">
        <v>370</v>
      </c>
      <c r="E149" t="s">
        <v>371</v>
      </c>
      <c r="F149">
        <v>516</v>
      </c>
      <c r="G149">
        <v>59.33</v>
      </c>
      <c r="H149">
        <v>196.15</v>
      </c>
      <c r="I149">
        <v>47.1</v>
      </c>
      <c r="J149">
        <v>155.72999999999999</v>
      </c>
      <c r="K149">
        <v>28</v>
      </c>
      <c r="T149">
        <v>5</v>
      </c>
      <c r="U149">
        <v>2</v>
      </c>
      <c r="V149" t="s">
        <v>82</v>
      </c>
      <c r="W149">
        <v>196</v>
      </c>
      <c r="X149">
        <v>15</v>
      </c>
      <c r="Y149">
        <v>11</v>
      </c>
      <c r="Z149" t="s">
        <v>372</v>
      </c>
      <c r="AA149" t="s">
        <v>373</v>
      </c>
      <c r="AB149" t="s">
        <v>85</v>
      </c>
      <c r="AC149" t="s">
        <v>86</v>
      </c>
      <c r="AD149" t="s">
        <v>87</v>
      </c>
      <c r="AE149" t="s">
        <v>374</v>
      </c>
      <c r="AG149" t="s">
        <v>375</v>
      </c>
      <c r="AH149">
        <v>0</v>
      </c>
      <c r="AI149">
        <v>209</v>
      </c>
      <c r="AJ149">
        <v>18</v>
      </c>
      <c r="AK149">
        <v>637</v>
      </c>
      <c r="AL149">
        <v>1.23</v>
      </c>
    </row>
    <row r="150" spans="1:38" x14ac:dyDescent="0.3">
      <c r="A150" t="s">
        <v>369</v>
      </c>
      <c r="B150">
        <v>7553</v>
      </c>
      <c r="C150">
        <v>1</v>
      </c>
      <c r="D150" t="s">
        <v>376</v>
      </c>
      <c r="E150" t="s">
        <v>377</v>
      </c>
      <c r="F150">
        <v>150</v>
      </c>
      <c r="G150">
        <v>25.62</v>
      </c>
      <c r="H150">
        <v>84.71</v>
      </c>
      <c r="I150">
        <v>25.62</v>
      </c>
      <c r="J150">
        <v>84.71</v>
      </c>
      <c r="K150">
        <v>90</v>
      </c>
      <c r="T150">
        <v>3</v>
      </c>
      <c r="U150">
        <v>2</v>
      </c>
      <c r="V150" t="s">
        <v>82</v>
      </c>
      <c r="W150" t="s">
        <v>368</v>
      </c>
      <c r="X150">
        <v>15</v>
      </c>
      <c r="Y150">
        <v>15</v>
      </c>
      <c r="Z150" t="s">
        <v>378</v>
      </c>
      <c r="AA150" t="s">
        <v>379</v>
      </c>
      <c r="AB150" t="s">
        <v>85</v>
      </c>
      <c r="AC150" t="s">
        <v>86</v>
      </c>
      <c r="AD150" t="s">
        <v>87</v>
      </c>
      <c r="AE150" t="s">
        <v>374</v>
      </c>
      <c r="AG150" t="s">
        <v>380</v>
      </c>
      <c r="AH150">
        <v>0</v>
      </c>
      <c r="AI150">
        <v>299</v>
      </c>
      <c r="AJ150">
        <v>26</v>
      </c>
      <c r="AK150">
        <v>0</v>
      </c>
      <c r="AL150">
        <v>0</v>
      </c>
    </row>
    <row r="151" spans="1:38" x14ac:dyDescent="0.3">
      <c r="A151" t="s">
        <v>369</v>
      </c>
      <c r="B151">
        <v>7553</v>
      </c>
      <c r="C151">
        <v>2</v>
      </c>
      <c r="D151" t="s">
        <v>376</v>
      </c>
      <c r="E151" t="s">
        <v>377</v>
      </c>
      <c r="F151">
        <v>150</v>
      </c>
      <c r="G151">
        <v>25.63</v>
      </c>
      <c r="H151">
        <v>84.75</v>
      </c>
      <c r="I151">
        <v>25.63</v>
      </c>
      <c r="J151">
        <v>84.75</v>
      </c>
      <c r="K151">
        <v>30</v>
      </c>
      <c r="T151">
        <v>3</v>
      </c>
      <c r="U151">
        <v>2</v>
      </c>
      <c r="V151" t="s">
        <v>82</v>
      </c>
      <c r="W151" t="s">
        <v>367</v>
      </c>
      <c r="X151">
        <v>15</v>
      </c>
      <c r="Y151">
        <v>15</v>
      </c>
      <c r="Z151" t="s">
        <v>378</v>
      </c>
      <c r="AA151" t="s">
        <v>379</v>
      </c>
      <c r="AB151" t="s">
        <v>85</v>
      </c>
      <c r="AC151" t="s">
        <v>86</v>
      </c>
      <c r="AD151" t="s">
        <v>87</v>
      </c>
      <c r="AE151" t="s">
        <v>374</v>
      </c>
      <c r="AG151" t="s">
        <v>380</v>
      </c>
      <c r="AH151">
        <v>0</v>
      </c>
      <c r="AI151">
        <v>299</v>
      </c>
      <c r="AJ151">
        <v>26</v>
      </c>
      <c r="AK151">
        <v>0</v>
      </c>
      <c r="AL151">
        <v>0</v>
      </c>
    </row>
    <row r="152" spans="1:38" x14ac:dyDescent="0.3">
      <c r="A152" t="s">
        <v>369</v>
      </c>
      <c r="B152">
        <v>7553</v>
      </c>
      <c r="C152">
        <v>3</v>
      </c>
      <c r="D152" t="s">
        <v>376</v>
      </c>
      <c r="E152" t="s">
        <v>377</v>
      </c>
      <c r="F152">
        <v>150</v>
      </c>
      <c r="G152">
        <v>43</v>
      </c>
      <c r="H152">
        <v>142.15</v>
      </c>
      <c r="I152">
        <v>35.53</v>
      </c>
      <c r="J152">
        <v>117.48</v>
      </c>
      <c r="K152">
        <v>30</v>
      </c>
      <c r="T152">
        <v>4</v>
      </c>
      <c r="U152">
        <v>2</v>
      </c>
      <c r="V152" t="s">
        <v>82</v>
      </c>
      <c r="W152">
        <v>142</v>
      </c>
      <c r="X152">
        <v>15</v>
      </c>
      <c r="Y152">
        <v>15</v>
      </c>
      <c r="Z152" t="s">
        <v>378</v>
      </c>
      <c r="AA152" t="s">
        <v>379</v>
      </c>
      <c r="AB152" t="s">
        <v>85</v>
      </c>
      <c r="AC152" t="s">
        <v>86</v>
      </c>
      <c r="AD152" t="s">
        <v>87</v>
      </c>
      <c r="AE152" t="s">
        <v>374</v>
      </c>
      <c r="AG152" t="s">
        <v>380</v>
      </c>
      <c r="AH152">
        <v>0</v>
      </c>
      <c r="AI152">
        <v>299</v>
      </c>
      <c r="AJ152">
        <v>26</v>
      </c>
      <c r="AK152">
        <v>0</v>
      </c>
      <c r="AL152">
        <v>0</v>
      </c>
    </row>
    <row r="153" spans="1:38" x14ac:dyDescent="0.3">
      <c r="A153" t="s">
        <v>369</v>
      </c>
      <c r="B153">
        <v>19439</v>
      </c>
      <c r="C153">
        <v>1</v>
      </c>
      <c r="D153" t="s">
        <v>381</v>
      </c>
      <c r="E153" t="s">
        <v>142</v>
      </c>
      <c r="F153">
        <v>647</v>
      </c>
      <c r="G153">
        <v>35.35</v>
      </c>
      <c r="H153">
        <v>116.86</v>
      </c>
      <c r="I153">
        <v>25.7</v>
      </c>
      <c r="J153">
        <v>84.97</v>
      </c>
      <c r="K153">
        <v>343</v>
      </c>
      <c r="T153">
        <v>3</v>
      </c>
      <c r="U153">
        <v>2</v>
      </c>
      <c r="V153" t="s">
        <v>82</v>
      </c>
      <c r="W153" t="s">
        <v>382</v>
      </c>
      <c r="X153">
        <v>15</v>
      </c>
      <c r="Y153">
        <v>6</v>
      </c>
      <c r="Z153" t="s">
        <v>383</v>
      </c>
      <c r="AA153" t="s">
        <v>384</v>
      </c>
      <c r="AB153" t="s">
        <v>85</v>
      </c>
      <c r="AC153" t="s">
        <v>86</v>
      </c>
      <c r="AD153" t="s">
        <v>87</v>
      </c>
      <c r="AE153" t="s">
        <v>374</v>
      </c>
      <c r="AG153" t="s">
        <v>385</v>
      </c>
      <c r="AH153">
        <v>0</v>
      </c>
      <c r="AI153">
        <v>215</v>
      </c>
      <c r="AJ153">
        <v>23</v>
      </c>
      <c r="AK153">
        <v>878</v>
      </c>
      <c r="AL153">
        <v>1.36</v>
      </c>
    </row>
    <row r="154" spans="1:38" x14ac:dyDescent="0.3">
      <c r="A154" t="s">
        <v>369</v>
      </c>
      <c r="B154">
        <v>19439</v>
      </c>
      <c r="C154">
        <v>2</v>
      </c>
      <c r="D154" t="s">
        <v>381</v>
      </c>
      <c r="E154" t="s">
        <v>142</v>
      </c>
      <c r="F154">
        <v>647</v>
      </c>
      <c r="G154">
        <v>35.35</v>
      </c>
      <c r="H154">
        <v>116.86</v>
      </c>
      <c r="I154">
        <v>25.7</v>
      </c>
      <c r="J154">
        <v>84.97</v>
      </c>
      <c r="K154">
        <v>90</v>
      </c>
      <c r="T154">
        <v>3</v>
      </c>
      <c r="U154">
        <v>2</v>
      </c>
      <c r="V154" t="s">
        <v>82</v>
      </c>
      <c r="W154" t="s">
        <v>386</v>
      </c>
      <c r="X154">
        <v>15</v>
      </c>
      <c r="Y154">
        <v>6</v>
      </c>
      <c r="Z154" t="s">
        <v>383</v>
      </c>
      <c r="AA154" t="s">
        <v>384</v>
      </c>
      <c r="AB154" t="s">
        <v>85</v>
      </c>
      <c r="AC154" t="s">
        <v>86</v>
      </c>
      <c r="AD154" t="s">
        <v>87</v>
      </c>
      <c r="AE154" t="s">
        <v>374</v>
      </c>
      <c r="AG154" t="s">
        <v>385</v>
      </c>
      <c r="AH154">
        <v>0</v>
      </c>
      <c r="AI154">
        <v>215</v>
      </c>
      <c r="AJ154">
        <v>23</v>
      </c>
      <c r="AK154">
        <v>878</v>
      </c>
      <c r="AL154">
        <v>1.36</v>
      </c>
    </row>
    <row r="155" spans="1:38" x14ac:dyDescent="0.3">
      <c r="A155" t="s">
        <v>369</v>
      </c>
      <c r="B155">
        <v>19439</v>
      </c>
      <c r="C155">
        <v>3</v>
      </c>
      <c r="D155" t="s">
        <v>381</v>
      </c>
      <c r="E155" t="s">
        <v>142</v>
      </c>
      <c r="F155">
        <v>647</v>
      </c>
      <c r="G155">
        <v>45.09</v>
      </c>
      <c r="H155">
        <v>149.08000000000001</v>
      </c>
      <c r="I155">
        <v>35.22</v>
      </c>
      <c r="J155">
        <v>116.45</v>
      </c>
      <c r="K155">
        <v>134</v>
      </c>
      <c r="T155">
        <v>4</v>
      </c>
      <c r="U155">
        <v>2</v>
      </c>
      <c r="V155" t="s">
        <v>82</v>
      </c>
      <c r="W155">
        <v>149</v>
      </c>
      <c r="X155">
        <v>15</v>
      </c>
      <c r="Y155">
        <v>6</v>
      </c>
      <c r="Z155" t="s">
        <v>383</v>
      </c>
      <c r="AA155" t="s">
        <v>384</v>
      </c>
      <c r="AB155" t="s">
        <v>85</v>
      </c>
      <c r="AC155" t="s">
        <v>86</v>
      </c>
      <c r="AD155" t="s">
        <v>87</v>
      </c>
      <c r="AE155" t="s">
        <v>374</v>
      </c>
      <c r="AG155" t="s">
        <v>385</v>
      </c>
      <c r="AH155">
        <v>0</v>
      </c>
      <c r="AI155">
        <v>215</v>
      </c>
      <c r="AJ155">
        <v>23</v>
      </c>
      <c r="AK155">
        <v>878</v>
      </c>
      <c r="AL155">
        <v>1.36</v>
      </c>
    </row>
    <row r="156" spans="1:38" x14ac:dyDescent="0.3">
      <c r="A156" t="s">
        <v>369</v>
      </c>
      <c r="B156">
        <v>19439</v>
      </c>
      <c r="C156">
        <v>4</v>
      </c>
      <c r="D156" t="s">
        <v>381</v>
      </c>
      <c r="E156" t="s">
        <v>142</v>
      </c>
      <c r="F156">
        <v>647</v>
      </c>
      <c r="G156">
        <v>52.04</v>
      </c>
      <c r="H156">
        <v>172.06</v>
      </c>
      <c r="I156">
        <v>41.75</v>
      </c>
      <c r="J156">
        <v>138.04</v>
      </c>
      <c r="K156">
        <v>80</v>
      </c>
      <c r="T156">
        <v>4</v>
      </c>
      <c r="U156">
        <v>2</v>
      </c>
      <c r="V156" t="s">
        <v>82</v>
      </c>
      <c r="W156">
        <v>172</v>
      </c>
      <c r="X156">
        <v>15</v>
      </c>
      <c r="Y156">
        <v>6</v>
      </c>
      <c r="Z156" t="s">
        <v>383</v>
      </c>
      <c r="AA156" t="s">
        <v>384</v>
      </c>
      <c r="AB156" t="s">
        <v>85</v>
      </c>
      <c r="AC156" t="s">
        <v>86</v>
      </c>
      <c r="AD156" t="s">
        <v>87</v>
      </c>
      <c r="AE156" t="s">
        <v>374</v>
      </c>
      <c r="AG156" t="s">
        <v>385</v>
      </c>
      <c r="AH156">
        <v>0</v>
      </c>
      <c r="AI156">
        <v>215</v>
      </c>
      <c r="AJ156">
        <v>23</v>
      </c>
      <c r="AK156">
        <v>878</v>
      </c>
      <c r="AL156">
        <v>1.36</v>
      </c>
    </row>
    <row r="157" spans="1:38" x14ac:dyDescent="0.3">
      <c r="A157" t="s">
        <v>369</v>
      </c>
      <c r="B157">
        <v>27779</v>
      </c>
      <c r="C157">
        <v>1</v>
      </c>
      <c r="D157" t="s">
        <v>387</v>
      </c>
      <c r="E157" t="s">
        <v>286</v>
      </c>
      <c r="F157">
        <v>264</v>
      </c>
      <c r="G157">
        <v>43.44</v>
      </c>
      <c r="H157">
        <v>143.63</v>
      </c>
      <c r="I157">
        <v>36.17</v>
      </c>
      <c r="J157">
        <v>119.59</v>
      </c>
      <c r="K157">
        <v>44</v>
      </c>
      <c r="T157">
        <v>4</v>
      </c>
      <c r="U157">
        <v>2</v>
      </c>
      <c r="V157" t="s">
        <v>82</v>
      </c>
      <c r="W157">
        <v>143</v>
      </c>
      <c r="X157">
        <v>12</v>
      </c>
      <c r="Y157">
        <v>12</v>
      </c>
      <c r="Z157" t="s">
        <v>388</v>
      </c>
      <c r="AA157" t="s">
        <v>389</v>
      </c>
      <c r="AB157" t="s">
        <v>85</v>
      </c>
      <c r="AC157" t="s">
        <v>86</v>
      </c>
      <c r="AD157" t="s">
        <v>87</v>
      </c>
      <c r="AE157" t="s">
        <v>374</v>
      </c>
      <c r="AG157" t="s">
        <v>390</v>
      </c>
      <c r="AH157">
        <v>0</v>
      </c>
      <c r="AI157">
        <v>230</v>
      </c>
      <c r="AJ157">
        <v>24</v>
      </c>
      <c r="AK157">
        <v>493</v>
      </c>
      <c r="AL157">
        <v>1.87</v>
      </c>
    </row>
    <row r="158" spans="1:38" x14ac:dyDescent="0.3">
      <c r="A158" t="s">
        <v>369</v>
      </c>
      <c r="B158">
        <v>27779</v>
      </c>
      <c r="C158">
        <v>2</v>
      </c>
      <c r="D158" t="s">
        <v>387</v>
      </c>
      <c r="E158" t="s">
        <v>286</v>
      </c>
      <c r="F158">
        <v>264</v>
      </c>
      <c r="G158">
        <v>48.42</v>
      </c>
      <c r="H158">
        <v>160.07</v>
      </c>
      <c r="I158">
        <v>39.770000000000003</v>
      </c>
      <c r="J158">
        <v>131.47999999999999</v>
      </c>
      <c r="K158">
        <v>132</v>
      </c>
      <c r="T158">
        <v>4</v>
      </c>
      <c r="U158">
        <v>2</v>
      </c>
      <c r="V158" t="s">
        <v>82</v>
      </c>
      <c r="W158">
        <v>160</v>
      </c>
      <c r="X158">
        <v>12</v>
      </c>
      <c r="Y158">
        <v>12</v>
      </c>
      <c r="Z158" t="s">
        <v>388</v>
      </c>
      <c r="AA158" t="s">
        <v>389</v>
      </c>
      <c r="AB158" t="s">
        <v>85</v>
      </c>
      <c r="AC158" t="s">
        <v>86</v>
      </c>
      <c r="AD158" t="s">
        <v>87</v>
      </c>
      <c r="AE158" t="s">
        <v>374</v>
      </c>
      <c r="AG158" t="s">
        <v>390</v>
      </c>
      <c r="AH158">
        <v>0</v>
      </c>
      <c r="AI158">
        <v>230</v>
      </c>
      <c r="AJ158">
        <v>24</v>
      </c>
      <c r="AK158">
        <v>493</v>
      </c>
      <c r="AL158">
        <v>1.87</v>
      </c>
    </row>
    <row r="159" spans="1:38" x14ac:dyDescent="0.3">
      <c r="A159" t="s">
        <v>369</v>
      </c>
      <c r="B159">
        <v>27779</v>
      </c>
      <c r="C159">
        <v>3</v>
      </c>
      <c r="D159" t="s">
        <v>387</v>
      </c>
      <c r="E159" t="s">
        <v>286</v>
      </c>
      <c r="F159">
        <v>264</v>
      </c>
      <c r="G159">
        <v>55.64</v>
      </c>
      <c r="H159">
        <v>183.94</v>
      </c>
      <c r="I159">
        <v>46.36</v>
      </c>
      <c r="J159">
        <v>153.26</v>
      </c>
      <c r="K159">
        <v>88</v>
      </c>
      <c r="T159">
        <v>4</v>
      </c>
      <c r="U159">
        <v>2</v>
      </c>
      <c r="V159" t="s">
        <v>82</v>
      </c>
      <c r="W159">
        <v>183</v>
      </c>
      <c r="X159">
        <v>12</v>
      </c>
      <c r="Y159">
        <v>12</v>
      </c>
      <c r="Z159" t="s">
        <v>388</v>
      </c>
      <c r="AA159" t="s">
        <v>389</v>
      </c>
      <c r="AB159" t="s">
        <v>85</v>
      </c>
      <c r="AC159" t="s">
        <v>86</v>
      </c>
      <c r="AD159" t="s">
        <v>87</v>
      </c>
      <c r="AE159" t="s">
        <v>374</v>
      </c>
      <c r="AG159" t="s">
        <v>390</v>
      </c>
      <c r="AH159">
        <v>0</v>
      </c>
      <c r="AI159">
        <v>230</v>
      </c>
      <c r="AJ159">
        <v>24</v>
      </c>
      <c r="AK159">
        <v>493</v>
      </c>
      <c r="AL159">
        <v>1.87</v>
      </c>
    </row>
    <row r="160" spans="1:38" x14ac:dyDescent="0.3">
      <c r="A160" t="s">
        <v>369</v>
      </c>
      <c r="B160">
        <v>27780</v>
      </c>
      <c r="C160">
        <v>1</v>
      </c>
      <c r="D160" t="s">
        <v>391</v>
      </c>
      <c r="E160" t="s">
        <v>286</v>
      </c>
      <c r="F160">
        <v>63</v>
      </c>
      <c r="G160">
        <v>42.36</v>
      </c>
      <c r="H160">
        <v>140.06</v>
      </c>
      <c r="I160">
        <v>32.880000000000003</v>
      </c>
      <c r="J160">
        <v>108.72</v>
      </c>
      <c r="K160">
        <v>8</v>
      </c>
      <c r="T160">
        <v>3</v>
      </c>
      <c r="U160">
        <v>2</v>
      </c>
      <c r="V160" t="s">
        <v>82</v>
      </c>
      <c r="W160">
        <v>140</v>
      </c>
      <c r="X160">
        <v>12</v>
      </c>
      <c r="Y160">
        <v>7</v>
      </c>
      <c r="Z160" t="s">
        <v>392</v>
      </c>
      <c r="AA160" t="s">
        <v>393</v>
      </c>
      <c r="AB160" t="s">
        <v>85</v>
      </c>
      <c r="AC160" t="s">
        <v>86</v>
      </c>
      <c r="AD160" t="s">
        <v>87</v>
      </c>
      <c r="AE160" t="s">
        <v>374</v>
      </c>
      <c r="AG160" t="s">
        <v>394</v>
      </c>
      <c r="AH160">
        <v>0</v>
      </c>
      <c r="AI160">
        <v>230</v>
      </c>
      <c r="AJ160">
        <v>33</v>
      </c>
      <c r="AK160">
        <v>100</v>
      </c>
      <c r="AL160">
        <v>1.59</v>
      </c>
    </row>
    <row r="161" spans="1:38" x14ac:dyDescent="0.3">
      <c r="A161" t="s">
        <v>369</v>
      </c>
      <c r="B161">
        <v>27780</v>
      </c>
      <c r="C161">
        <v>2</v>
      </c>
      <c r="D161" t="s">
        <v>391</v>
      </c>
      <c r="E161" t="s">
        <v>286</v>
      </c>
      <c r="F161">
        <v>63</v>
      </c>
      <c r="G161">
        <v>45.02</v>
      </c>
      <c r="H161">
        <v>148.83000000000001</v>
      </c>
      <c r="I161">
        <v>35.28</v>
      </c>
      <c r="J161">
        <v>116.65</v>
      </c>
      <c r="K161">
        <v>55</v>
      </c>
      <c r="T161">
        <v>4</v>
      </c>
      <c r="U161">
        <v>2</v>
      </c>
      <c r="V161" t="s">
        <v>82</v>
      </c>
      <c r="W161">
        <v>148</v>
      </c>
      <c r="X161">
        <v>12</v>
      </c>
      <c r="Y161">
        <v>7</v>
      </c>
      <c r="Z161" t="s">
        <v>392</v>
      </c>
      <c r="AA161" t="s">
        <v>393</v>
      </c>
      <c r="AB161" t="s">
        <v>85</v>
      </c>
      <c r="AC161" t="s">
        <v>86</v>
      </c>
      <c r="AD161" t="s">
        <v>87</v>
      </c>
      <c r="AE161" t="s">
        <v>374</v>
      </c>
      <c r="AG161" t="s">
        <v>394</v>
      </c>
      <c r="AH161">
        <v>0</v>
      </c>
      <c r="AI161">
        <v>230</v>
      </c>
      <c r="AJ161">
        <v>33</v>
      </c>
      <c r="AK161">
        <v>100</v>
      </c>
      <c r="AL161">
        <v>1.59</v>
      </c>
    </row>
    <row r="162" spans="1:38" x14ac:dyDescent="0.3">
      <c r="A162" t="s">
        <v>369</v>
      </c>
      <c r="B162">
        <v>117620</v>
      </c>
      <c r="C162">
        <v>1</v>
      </c>
      <c r="D162" t="s">
        <v>395</v>
      </c>
      <c r="E162" t="s">
        <v>396</v>
      </c>
      <c r="F162">
        <v>24</v>
      </c>
      <c r="G162">
        <v>14.84</v>
      </c>
      <c r="H162">
        <v>49.09</v>
      </c>
      <c r="I162">
        <v>13.44</v>
      </c>
      <c r="J162">
        <v>44.46</v>
      </c>
      <c r="K162">
        <v>24</v>
      </c>
      <c r="T162">
        <v>3</v>
      </c>
      <c r="U162">
        <v>2</v>
      </c>
      <c r="V162" t="s">
        <v>175</v>
      </c>
      <c r="W162">
        <v>49</v>
      </c>
      <c r="X162">
        <v>9</v>
      </c>
      <c r="Y162">
        <v>9</v>
      </c>
      <c r="Z162" t="s">
        <v>397</v>
      </c>
      <c r="AA162" t="s">
        <v>398</v>
      </c>
      <c r="AB162" t="s">
        <v>85</v>
      </c>
      <c r="AC162" t="s">
        <v>86</v>
      </c>
      <c r="AD162" t="s">
        <v>87</v>
      </c>
      <c r="AE162" t="s">
        <v>374</v>
      </c>
      <c r="AG162" t="s">
        <v>399</v>
      </c>
      <c r="AH162">
        <v>0</v>
      </c>
      <c r="AI162">
        <v>112</v>
      </c>
      <c r="AJ162">
        <v>16</v>
      </c>
      <c r="AK162">
        <v>3</v>
      </c>
      <c r="AL162">
        <v>0.12</v>
      </c>
    </row>
    <row r="163" spans="1:38" x14ac:dyDescent="0.3">
      <c r="A163" t="s">
        <v>369</v>
      </c>
      <c r="B163">
        <v>13137</v>
      </c>
      <c r="C163">
        <v>1</v>
      </c>
      <c r="D163" t="s">
        <v>400</v>
      </c>
      <c r="E163" t="s">
        <v>401</v>
      </c>
      <c r="F163">
        <v>613</v>
      </c>
      <c r="G163">
        <v>25.04</v>
      </c>
      <c r="H163">
        <v>82.79</v>
      </c>
      <c r="I163">
        <v>20.16</v>
      </c>
      <c r="J163">
        <v>66.66</v>
      </c>
      <c r="K163">
        <v>20</v>
      </c>
      <c r="T163">
        <v>3</v>
      </c>
      <c r="U163">
        <v>2</v>
      </c>
      <c r="V163" t="s">
        <v>82</v>
      </c>
      <c r="W163">
        <v>82</v>
      </c>
      <c r="X163">
        <v>7</v>
      </c>
      <c r="Y163">
        <v>5</v>
      </c>
      <c r="Z163" t="s">
        <v>402</v>
      </c>
      <c r="AA163" t="s">
        <v>403</v>
      </c>
      <c r="AB163" t="s">
        <v>85</v>
      </c>
      <c r="AC163" t="s">
        <v>86</v>
      </c>
      <c r="AD163" t="s">
        <v>87</v>
      </c>
      <c r="AE163" t="s">
        <v>374</v>
      </c>
      <c r="AG163" t="s">
        <v>404</v>
      </c>
      <c r="AH163">
        <v>0</v>
      </c>
      <c r="AI163">
        <v>122</v>
      </c>
      <c r="AJ163">
        <v>23</v>
      </c>
      <c r="AK163">
        <v>644</v>
      </c>
      <c r="AL163">
        <v>1.05</v>
      </c>
    </row>
    <row r="164" spans="1:38" x14ac:dyDescent="0.3">
      <c r="A164" t="s">
        <v>369</v>
      </c>
      <c r="B164">
        <v>13137</v>
      </c>
      <c r="C164">
        <v>2</v>
      </c>
      <c r="D164" t="s">
        <v>400</v>
      </c>
      <c r="E164" t="s">
        <v>401</v>
      </c>
      <c r="F164">
        <v>613</v>
      </c>
      <c r="G164">
        <v>31.92</v>
      </c>
      <c r="H164">
        <v>105.54</v>
      </c>
      <c r="I164">
        <v>25.7</v>
      </c>
      <c r="J164">
        <v>84.97</v>
      </c>
      <c r="K164">
        <v>413</v>
      </c>
      <c r="T164">
        <v>3</v>
      </c>
      <c r="U164">
        <v>2</v>
      </c>
      <c r="V164" t="s">
        <v>82</v>
      </c>
      <c r="W164" t="s">
        <v>405</v>
      </c>
      <c r="X164">
        <v>7</v>
      </c>
      <c r="Y164">
        <v>5</v>
      </c>
      <c r="Z164" t="s">
        <v>402</v>
      </c>
      <c r="AA164" t="s">
        <v>403</v>
      </c>
      <c r="AB164" t="s">
        <v>85</v>
      </c>
      <c r="AC164" t="s">
        <v>86</v>
      </c>
      <c r="AD164" t="s">
        <v>87</v>
      </c>
      <c r="AE164" t="s">
        <v>374</v>
      </c>
      <c r="AG164" t="s">
        <v>404</v>
      </c>
      <c r="AH164">
        <v>0</v>
      </c>
      <c r="AI164">
        <v>122</v>
      </c>
      <c r="AJ164">
        <v>23</v>
      </c>
      <c r="AK164">
        <v>644</v>
      </c>
      <c r="AL164">
        <v>1.05</v>
      </c>
    </row>
    <row r="165" spans="1:38" x14ac:dyDescent="0.3">
      <c r="A165" t="s">
        <v>369</v>
      </c>
      <c r="B165">
        <v>13137</v>
      </c>
      <c r="C165">
        <v>3</v>
      </c>
      <c r="D165" t="s">
        <v>400</v>
      </c>
      <c r="E165" t="s">
        <v>401</v>
      </c>
      <c r="F165">
        <v>613</v>
      </c>
      <c r="G165">
        <v>31.92</v>
      </c>
      <c r="H165">
        <v>105.54</v>
      </c>
      <c r="I165">
        <v>25.7</v>
      </c>
      <c r="J165">
        <v>84.97</v>
      </c>
      <c r="K165">
        <v>180</v>
      </c>
      <c r="T165">
        <v>3</v>
      </c>
      <c r="U165">
        <v>2</v>
      </c>
      <c r="V165" t="s">
        <v>82</v>
      </c>
      <c r="W165" t="s">
        <v>310</v>
      </c>
      <c r="X165">
        <v>7</v>
      </c>
      <c r="Y165">
        <v>5</v>
      </c>
      <c r="Z165" t="s">
        <v>402</v>
      </c>
      <c r="AA165" t="s">
        <v>403</v>
      </c>
      <c r="AB165" t="s">
        <v>85</v>
      </c>
      <c r="AC165" t="s">
        <v>86</v>
      </c>
      <c r="AD165" t="s">
        <v>87</v>
      </c>
      <c r="AE165" t="s">
        <v>374</v>
      </c>
      <c r="AG165" t="s">
        <v>404</v>
      </c>
      <c r="AH165">
        <v>0</v>
      </c>
      <c r="AI165">
        <v>122</v>
      </c>
      <c r="AJ165">
        <v>23</v>
      </c>
      <c r="AK165">
        <v>644</v>
      </c>
      <c r="AL165">
        <v>1.05</v>
      </c>
    </row>
    <row r="166" spans="1:38" x14ac:dyDescent="0.3">
      <c r="A166" t="s">
        <v>369</v>
      </c>
      <c r="B166">
        <v>117737</v>
      </c>
      <c r="C166">
        <v>1</v>
      </c>
      <c r="D166" t="s">
        <v>406</v>
      </c>
      <c r="E166" t="s">
        <v>203</v>
      </c>
      <c r="F166">
        <v>19</v>
      </c>
      <c r="G166">
        <v>26.38</v>
      </c>
      <c r="H166">
        <v>87.23</v>
      </c>
      <c r="I166">
        <v>21.24</v>
      </c>
      <c r="J166">
        <v>70.22</v>
      </c>
      <c r="K166">
        <v>19</v>
      </c>
      <c r="T166">
        <v>3</v>
      </c>
      <c r="U166">
        <v>2</v>
      </c>
      <c r="V166" t="s">
        <v>82</v>
      </c>
      <c r="W166">
        <v>87</v>
      </c>
      <c r="X166">
        <v>12</v>
      </c>
      <c r="Y166">
        <v>7</v>
      </c>
      <c r="Z166" t="s">
        <v>407</v>
      </c>
      <c r="AA166" t="s">
        <v>408</v>
      </c>
      <c r="AB166" t="s">
        <v>85</v>
      </c>
      <c r="AC166" t="s">
        <v>86</v>
      </c>
      <c r="AD166" t="s">
        <v>87</v>
      </c>
      <c r="AE166" t="s">
        <v>374</v>
      </c>
      <c r="AG166" t="s">
        <v>409</v>
      </c>
      <c r="AH166">
        <v>0</v>
      </c>
      <c r="AI166">
        <v>192</v>
      </c>
      <c r="AJ166">
        <v>24</v>
      </c>
      <c r="AK166">
        <v>19</v>
      </c>
      <c r="AL166">
        <v>1</v>
      </c>
    </row>
    <row r="167" spans="1:38" x14ac:dyDescent="0.3">
      <c r="A167" t="s">
        <v>369</v>
      </c>
      <c r="B167">
        <v>25487</v>
      </c>
      <c r="C167">
        <v>1</v>
      </c>
      <c r="D167" t="s">
        <v>410</v>
      </c>
      <c r="E167" t="s">
        <v>411</v>
      </c>
      <c r="F167">
        <v>1192</v>
      </c>
      <c r="G167">
        <v>33.74</v>
      </c>
      <c r="H167">
        <v>111.56</v>
      </c>
      <c r="I167">
        <v>25.67</v>
      </c>
      <c r="J167">
        <v>84.86</v>
      </c>
      <c r="K167">
        <v>398</v>
      </c>
      <c r="T167">
        <v>3</v>
      </c>
      <c r="U167">
        <v>2</v>
      </c>
      <c r="V167" t="s">
        <v>82</v>
      </c>
      <c r="W167">
        <v>111</v>
      </c>
      <c r="X167">
        <v>15</v>
      </c>
      <c r="Y167">
        <v>8</v>
      </c>
      <c r="Z167" t="s">
        <v>412</v>
      </c>
      <c r="AA167" t="s">
        <v>413</v>
      </c>
      <c r="AB167" t="s">
        <v>85</v>
      </c>
      <c r="AC167" t="s">
        <v>86</v>
      </c>
      <c r="AD167" t="s">
        <v>87</v>
      </c>
      <c r="AE167" t="s">
        <v>374</v>
      </c>
      <c r="AG167" t="s">
        <v>414</v>
      </c>
      <c r="AH167">
        <v>0</v>
      </c>
      <c r="AI167">
        <v>159</v>
      </c>
      <c r="AJ167">
        <v>19</v>
      </c>
      <c r="AK167">
        <v>1604</v>
      </c>
      <c r="AL167">
        <v>1.35</v>
      </c>
    </row>
    <row r="168" spans="1:38" x14ac:dyDescent="0.3">
      <c r="A168" t="s">
        <v>369</v>
      </c>
      <c r="B168">
        <v>25487</v>
      </c>
      <c r="C168">
        <v>2</v>
      </c>
      <c r="D168" t="s">
        <v>410</v>
      </c>
      <c r="E168" t="s">
        <v>411</v>
      </c>
      <c r="F168">
        <v>1192</v>
      </c>
      <c r="G168">
        <v>34.01</v>
      </c>
      <c r="H168">
        <v>112.46</v>
      </c>
      <c r="I168">
        <v>25.7</v>
      </c>
      <c r="J168">
        <v>84.99</v>
      </c>
      <c r="K168">
        <v>238</v>
      </c>
      <c r="T168">
        <v>3</v>
      </c>
      <c r="U168">
        <v>2</v>
      </c>
      <c r="V168" t="s">
        <v>82</v>
      </c>
      <c r="W168" t="s">
        <v>122</v>
      </c>
      <c r="X168">
        <v>15</v>
      </c>
      <c r="Y168">
        <v>8</v>
      </c>
      <c r="Z168" t="s">
        <v>412</v>
      </c>
      <c r="AA168" t="s">
        <v>413</v>
      </c>
      <c r="AB168" t="s">
        <v>85</v>
      </c>
      <c r="AC168" t="s">
        <v>86</v>
      </c>
      <c r="AD168" t="s">
        <v>87</v>
      </c>
      <c r="AE168" t="s">
        <v>374</v>
      </c>
      <c r="AG168" t="s">
        <v>414</v>
      </c>
      <c r="AH168">
        <v>0</v>
      </c>
      <c r="AI168">
        <v>159</v>
      </c>
      <c r="AJ168">
        <v>19</v>
      </c>
      <c r="AK168">
        <v>1604</v>
      </c>
      <c r="AL168">
        <v>1.35</v>
      </c>
    </row>
    <row r="169" spans="1:38" x14ac:dyDescent="0.3">
      <c r="A169" t="s">
        <v>369</v>
      </c>
      <c r="B169">
        <v>25487</v>
      </c>
      <c r="C169">
        <v>3</v>
      </c>
      <c r="D169" t="s">
        <v>410</v>
      </c>
      <c r="E169" t="s">
        <v>411</v>
      </c>
      <c r="F169">
        <v>1192</v>
      </c>
      <c r="G169">
        <v>34.33</v>
      </c>
      <c r="H169">
        <v>113.52</v>
      </c>
      <c r="I169">
        <v>25.7</v>
      </c>
      <c r="J169">
        <v>84.99</v>
      </c>
      <c r="K169">
        <v>238</v>
      </c>
      <c r="T169">
        <v>3</v>
      </c>
      <c r="U169">
        <v>2</v>
      </c>
      <c r="V169" t="s">
        <v>82</v>
      </c>
      <c r="W169" t="s">
        <v>123</v>
      </c>
      <c r="X169">
        <v>15</v>
      </c>
      <c r="Y169">
        <v>8</v>
      </c>
      <c r="Z169" t="s">
        <v>412</v>
      </c>
      <c r="AA169" t="s">
        <v>413</v>
      </c>
      <c r="AB169" t="s">
        <v>85</v>
      </c>
      <c r="AC169" t="s">
        <v>86</v>
      </c>
      <c r="AD169" t="s">
        <v>87</v>
      </c>
      <c r="AE169" t="s">
        <v>374</v>
      </c>
      <c r="AG169" t="s">
        <v>414</v>
      </c>
      <c r="AH169">
        <v>0</v>
      </c>
      <c r="AI169">
        <v>159</v>
      </c>
      <c r="AJ169">
        <v>19</v>
      </c>
      <c r="AK169">
        <v>1604</v>
      </c>
      <c r="AL169">
        <v>1.35</v>
      </c>
    </row>
    <row r="170" spans="1:38" x14ac:dyDescent="0.3">
      <c r="A170" t="s">
        <v>369</v>
      </c>
      <c r="B170">
        <v>25487</v>
      </c>
      <c r="C170">
        <v>4</v>
      </c>
      <c r="D170" t="s">
        <v>410</v>
      </c>
      <c r="E170" t="s">
        <v>411</v>
      </c>
      <c r="F170">
        <v>1192</v>
      </c>
      <c r="G170">
        <v>49.51</v>
      </c>
      <c r="H170">
        <v>163.66999999999999</v>
      </c>
      <c r="I170">
        <v>40.340000000000003</v>
      </c>
      <c r="J170">
        <v>133.37</v>
      </c>
      <c r="K170">
        <v>146</v>
      </c>
      <c r="T170">
        <v>4</v>
      </c>
      <c r="U170">
        <v>2</v>
      </c>
      <c r="V170" t="s">
        <v>82</v>
      </c>
      <c r="W170">
        <v>163</v>
      </c>
      <c r="X170">
        <v>15</v>
      </c>
      <c r="Y170">
        <v>8</v>
      </c>
      <c r="Z170" t="s">
        <v>412</v>
      </c>
      <c r="AA170" t="s">
        <v>413</v>
      </c>
      <c r="AB170" t="s">
        <v>85</v>
      </c>
      <c r="AC170" t="s">
        <v>86</v>
      </c>
      <c r="AD170" t="s">
        <v>87</v>
      </c>
      <c r="AE170" t="s">
        <v>374</v>
      </c>
      <c r="AG170" t="s">
        <v>414</v>
      </c>
      <c r="AH170">
        <v>0</v>
      </c>
      <c r="AI170">
        <v>159</v>
      </c>
      <c r="AJ170">
        <v>19</v>
      </c>
      <c r="AK170">
        <v>1604</v>
      </c>
      <c r="AL170">
        <v>1.35</v>
      </c>
    </row>
    <row r="171" spans="1:38" x14ac:dyDescent="0.3">
      <c r="A171" t="s">
        <v>369</v>
      </c>
      <c r="B171">
        <v>25487</v>
      </c>
      <c r="C171">
        <v>5</v>
      </c>
      <c r="D171" t="s">
        <v>410</v>
      </c>
      <c r="E171" t="s">
        <v>411</v>
      </c>
      <c r="F171">
        <v>1192</v>
      </c>
      <c r="G171">
        <v>53.18</v>
      </c>
      <c r="H171">
        <v>175.81</v>
      </c>
      <c r="I171">
        <v>40.479999999999997</v>
      </c>
      <c r="J171">
        <v>133.82</v>
      </c>
      <c r="K171">
        <v>4</v>
      </c>
      <c r="T171">
        <v>4</v>
      </c>
      <c r="U171">
        <v>3</v>
      </c>
      <c r="V171" t="s">
        <v>82</v>
      </c>
      <c r="W171" t="s">
        <v>415</v>
      </c>
      <c r="X171">
        <v>15</v>
      </c>
      <c r="Y171">
        <v>8</v>
      </c>
      <c r="Z171" t="s">
        <v>412</v>
      </c>
      <c r="AA171" t="s">
        <v>413</v>
      </c>
      <c r="AB171" t="s">
        <v>85</v>
      </c>
      <c r="AC171" t="s">
        <v>86</v>
      </c>
      <c r="AD171" t="s">
        <v>87</v>
      </c>
      <c r="AE171" t="s">
        <v>374</v>
      </c>
      <c r="AG171" t="s">
        <v>414</v>
      </c>
      <c r="AH171">
        <v>0</v>
      </c>
      <c r="AI171">
        <v>159</v>
      </c>
      <c r="AJ171">
        <v>19</v>
      </c>
      <c r="AK171">
        <v>1604</v>
      </c>
      <c r="AL171">
        <v>1.35</v>
      </c>
    </row>
    <row r="172" spans="1:38" x14ac:dyDescent="0.3">
      <c r="A172" t="s">
        <v>369</v>
      </c>
      <c r="B172">
        <v>25487</v>
      </c>
      <c r="C172">
        <v>6</v>
      </c>
      <c r="D172" t="s">
        <v>410</v>
      </c>
      <c r="E172" t="s">
        <v>411</v>
      </c>
      <c r="F172">
        <v>1192</v>
      </c>
      <c r="G172">
        <v>53.62</v>
      </c>
      <c r="H172">
        <v>177.26</v>
      </c>
      <c r="I172">
        <v>39.950000000000003</v>
      </c>
      <c r="J172">
        <v>132.09</v>
      </c>
      <c r="K172">
        <v>4</v>
      </c>
      <c r="T172">
        <v>4</v>
      </c>
      <c r="U172">
        <v>3</v>
      </c>
      <c r="V172" t="s">
        <v>82</v>
      </c>
      <c r="W172" t="s">
        <v>416</v>
      </c>
      <c r="X172">
        <v>15</v>
      </c>
      <c r="Y172">
        <v>8</v>
      </c>
      <c r="Z172" t="s">
        <v>412</v>
      </c>
      <c r="AA172" t="s">
        <v>413</v>
      </c>
      <c r="AB172" t="s">
        <v>85</v>
      </c>
      <c r="AC172" t="s">
        <v>86</v>
      </c>
      <c r="AD172" t="s">
        <v>87</v>
      </c>
      <c r="AE172" t="s">
        <v>374</v>
      </c>
      <c r="AG172" t="s">
        <v>414</v>
      </c>
      <c r="AH172">
        <v>0</v>
      </c>
      <c r="AI172">
        <v>159</v>
      </c>
      <c r="AJ172">
        <v>19</v>
      </c>
      <c r="AK172">
        <v>1604</v>
      </c>
      <c r="AL172">
        <v>1.35</v>
      </c>
    </row>
    <row r="173" spans="1:38" x14ac:dyDescent="0.3">
      <c r="A173" t="s">
        <v>369</v>
      </c>
      <c r="B173">
        <v>25487</v>
      </c>
      <c r="C173">
        <v>7</v>
      </c>
      <c r="D173" t="s">
        <v>410</v>
      </c>
      <c r="E173" t="s">
        <v>411</v>
      </c>
      <c r="F173">
        <v>1192</v>
      </c>
      <c r="G173">
        <v>59.12</v>
      </c>
      <c r="H173">
        <v>195.46</v>
      </c>
      <c r="I173">
        <v>48.92</v>
      </c>
      <c r="J173">
        <v>161.75</v>
      </c>
      <c r="K173">
        <v>52</v>
      </c>
      <c r="T173">
        <v>4</v>
      </c>
      <c r="U173">
        <v>3</v>
      </c>
      <c r="V173" t="s">
        <v>82</v>
      </c>
      <c r="W173" t="s">
        <v>417</v>
      </c>
      <c r="X173">
        <v>15</v>
      </c>
      <c r="Y173">
        <v>8</v>
      </c>
      <c r="Z173" t="s">
        <v>412</v>
      </c>
      <c r="AA173" t="s">
        <v>413</v>
      </c>
      <c r="AB173" t="s">
        <v>85</v>
      </c>
      <c r="AC173" t="s">
        <v>86</v>
      </c>
      <c r="AD173" t="s">
        <v>87</v>
      </c>
      <c r="AE173" t="s">
        <v>374</v>
      </c>
      <c r="AG173" t="s">
        <v>414</v>
      </c>
      <c r="AH173">
        <v>0</v>
      </c>
      <c r="AI173">
        <v>159</v>
      </c>
      <c r="AJ173">
        <v>19</v>
      </c>
      <c r="AK173">
        <v>1604</v>
      </c>
      <c r="AL173">
        <v>1.35</v>
      </c>
    </row>
    <row r="174" spans="1:38" x14ac:dyDescent="0.3">
      <c r="A174" t="s">
        <v>369</v>
      </c>
      <c r="B174">
        <v>25487</v>
      </c>
      <c r="C174">
        <v>8</v>
      </c>
      <c r="D174" t="s">
        <v>410</v>
      </c>
      <c r="E174" t="s">
        <v>411</v>
      </c>
      <c r="F174">
        <v>1192</v>
      </c>
      <c r="G174">
        <v>59.42</v>
      </c>
      <c r="H174">
        <v>196.43</v>
      </c>
      <c r="I174">
        <v>48.31</v>
      </c>
      <c r="J174">
        <v>159.72</v>
      </c>
      <c r="K174">
        <v>51</v>
      </c>
      <c r="T174">
        <v>4</v>
      </c>
      <c r="U174">
        <v>2</v>
      </c>
      <c r="V174" t="s">
        <v>82</v>
      </c>
      <c r="W174" t="s">
        <v>418</v>
      </c>
      <c r="X174">
        <v>15</v>
      </c>
      <c r="Y174">
        <v>8</v>
      </c>
      <c r="Z174" t="s">
        <v>412</v>
      </c>
      <c r="AA174" t="s">
        <v>413</v>
      </c>
      <c r="AB174" t="s">
        <v>85</v>
      </c>
      <c r="AC174" t="s">
        <v>86</v>
      </c>
      <c r="AD174" t="s">
        <v>87</v>
      </c>
      <c r="AE174" t="s">
        <v>374</v>
      </c>
      <c r="AG174" t="s">
        <v>414</v>
      </c>
      <c r="AH174">
        <v>0</v>
      </c>
      <c r="AI174">
        <v>159</v>
      </c>
      <c r="AJ174">
        <v>19</v>
      </c>
      <c r="AK174">
        <v>1604</v>
      </c>
      <c r="AL174">
        <v>1.35</v>
      </c>
    </row>
    <row r="175" spans="1:38" x14ac:dyDescent="0.3">
      <c r="A175" t="s">
        <v>369</v>
      </c>
      <c r="B175">
        <v>25487</v>
      </c>
      <c r="C175">
        <v>9</v>
      </c>
      <c r="D175" t="s">
        <v>410</v>
      </c>
      <c r="E175" t="s">
        <v>411</v>
      </c>
      <c r="F175">
        <v>1192</v>
      </c>
      <c r="G175">
        <v>69.23</v>
      </c>
      <c r="H175">
        <v>228.88</v>
      </c>
      <c r="I175">
        <v>57.46</v>
      </c>
      <c r="J175">
        <v>189.96</v>
      </c>
      <c r="K175">
        <v>56</v>
      </c>
      <c r="T175">
        <v>4</v>
      </c>
      <c r="U175">
        <v>3</v>
      </c>
      <c r="V175" t="s">
        <v>82</v>
      </c>
      <c r="W175">
        <v>228</v>
      </c>
      <c r="X175">
        <v>15</v>
      </c>
      <c r="Y175">
        <v>8</v>
      </c>
      <c r="Z175" t="s">
        <v>412</v>
      </c>
      <c r="AA175" t="s">
        <v>413</v>
      </c>
      <c r="AB175" t="s">
        <v>85</v>
      </c>
      <c r="AC175" t="s">
        <v>86</v>
      </c>
      <c r="AD175" t="s">
        <v>87</v>
      </c>
      <c r="AE175" t="s">
        <v>374</v>
      </c>
      <c r="AG175" t="s">
        <v>414</v>
      </c>
      <c r="AH175">
        <v>0</v>
      </c>
      <c r="AI175">
        <v>159</v>
      </c>
      <c r="AJ175">
        <v>19</v>
      </c>
      <c r="AK175">
        <v>1604</v>
      </c>
      <c r="AL175">
        <v>1.35</v>
      </c>
    </row>
    <row r="176" spans="1:38" x14ac:dyDescent="0.3">
      <c r="A176" t="s">
        <v>369</v>
      </c>
      <c r="B176">
        <v>25487</v>
      </c>
      <c r="C176">
        <v>10</v>
      </c>
      <c r="D176" t="s">
        <v>410</v>
      </c>
      <c r="E176" t="s">
        <v>411</v>
      </c>
      <c r="F176">
        <v>1192</v>
      </c>
      <c r="G176">
        <v>93.02</v>
      </c>
      <c r="H176">
        <v>307.51</v>
      </c>
      <c r="I176">
        <v>78.25</v>
      </c>
      <c r="J176">
        <v>258.68</v>
      </c>
      <c r="K176">
        <v>3</v>
      </c>
      <c r="T176">
        <v>5</v>
      </c>
      <c r="U176">
        <v>3</v>
      </c>
      <c r="V176" t="s">
        <v>82</v>
      </c>
      <c r="W176">
        <v>307</v>
      </c>
      <c r="X176">
        <v>15</v>
      </c>
      <c r="Y176">
        <v>8</v>
      </c>
      <c r="Z176" t="s">
        <v>412</v>
      </c>
      <c r="AA176" t="s">
        <v>413</v>
      </c>
      <c r="AB176" t="s">
        <v>85</v>
      </c>
      <c r="AC176" t="s">
        <v>86</v>
      </c>
      <c r="AD176" t="s">
        <v>87</v>
      </c>
      <c r="AE176" t="s">
        <v>374</v>
      </c>
      <c r="AG176" t="s">
        <v>414</v>
      </c>
      <c r="AH176">
        <v>0</v>
      </c>
      <c r="AI176">
        <v>159</v>
      </c>
      <c r="AJ176">
        <v>19</v>
      </c>
      <c r="AK176">
        <v>1604</v>
      </c>
      <c r="AL176">
        <v>1.35</v>
      </c>
    </row>
    <row r="177" spans="1:38" x14ac:dyDescent="0.3">
      <c r="A177" t="s">
        <v>369</v>
      </c>
      <c r="B177">
        <v>25487</v>
      </c>
      <c r="C177">
        <v>11</v>
      </c>
      <c r="D177" t="s">
        <v>410</v>
      </c>
      <c r="E177" t="s">
        <v>411</v>
      </c>
      <c r="F177">
        <v>1192</v>
      </c>
      <c r="G177">
        <v>94.91</v>
      </c>
      <c r="H177">
        <v>313.77999999999997</v>
      </c>
      <c r="I177">
        <v>80.52</v>
      </c>
      <c r="J177">
        <v>266.20999999999998</v>
      </c>
      <c r="K177">
        <v>2</v>
      </c>
      <c r="T177">
        <v>5</v>
      </c>
      <c r="U177">
        <v>3</v>
      </c>
      <c r="V177" t="s">
        <v>82</v>
      </c>
      <c r="W177">
        <v>313</v>
      </c>
      <c r="X177">
        <v>15</v>
      </c>
      <c r="Y177">
        <v>8</v>
      </c>
      <c r="Z177" t="s">
        <v>412</v>
      </c>
      <c r="AA177" t="s">
        <v>413</v>
      </c>
      <c r="AB177" t="s">
        <v>85</v>
      </c>
      <c r="AC177" t="s">
        <v>86</v>
      </c>
      <c r="AD177" t="s">
        <v>87</v>
      </c>
      <c r="AE177" t="s">
        <v>374</v>
      </c>
      <c r="AG177" t="s">
        <v>414</v>
      </c>
      <c r="AH177">
        <v>0</v>
      </c>
      <c r="AI177">
        <v>159</v>
      </c>
      <c r="AJ177">
        <v>19</v>
      </c>
      <c r="AK177">
        <v>1604</v>
      </c>
      <c r="AL177">
        <v>1.35</v>
      </c>
    </row>
    <row r="178" spans="1:38" x14ac:dyDescent="0.3">
      <c r="A178" t="s">
        <v>369</v>
      </c>
      <c r="B178">
        <v>13135</v>
      </c>
      <c r="C178">
        <v>1</v>
      </c>
      <c r="D178" t="s">
        <v>419</v>
      </c>
      <c r="E178" t="s">
        <v>420</v>
      </c>
      <c r="F178">
        <v>397</v>
      </c>
      <c r="G178">
        <v>21.22</v>
      </c>
      <c r="H178">
        <v>70.16</v>
      </c>
      <c r="I178">
        <v>18.09</v>
      </c>
      <c r="J178">
        <v>59.83</v>
      </c>
      <c r="K178">
        <v>43</v>
      </c>
      <c r="T178">
        <v>3</v>
      </c>
      <c r="U178">
        <v>1</v>
      </c>
      <c r="V178" t="s">
        <v>175</v>
      </c>
      <c r="W178">
        <v>70</v>
      </c>
      <c r="X178">
        <v>4</v>
      </c>
      <c r="Y178">
        <v>4</v>
      </c>
      <c r="Z178" t="s">
        <v>421</v>
      </c>
      <c r="AA178" t="s">
        <v>422</v>
      </c>
      <c r="AB178" t="s">
        <v>85</v>
      </c>
      <c r="AC178" t="s">
        <v>86</v>
      </c>
      <c r="AD178" t="s">
        <v>87</v>
      </c>
      <c r="AE178" t="s">
        <v>374</v>
      </c>
      <c r="AG178" t="s">
        <v>423</v>
      </c>
      <c r="AH178">
        <v>0</v>
      </c>
      <c r="AI178">
        <v>84</v>
      </c>
      <c r="AJ178">
        <v>25</v>
      </c>
      <c r="AK178">
        <v>366</v>
      </c>
      <c r="AL178">
        <v>0.92</v>
      </c>
    </row>
    <row r="179" spans="1:38" x14ac:dyDescent="0.3">
      <c r="A179" t="s">
        <v>369</v>
      </c>
      <c r="B179">
        <v>13135</v>
      </c>
      <c r="C179">
        <v>2</v>
      </c>
      <c r="D179" t="s">
        <v>419</v>
      </c>
      <c r="E179" t="s">
        <v>420</v>
      </c>
      <c r="F179">
        <v>397</v>
      </c>
      <c r="G179">
        <v>22.95</v>
      </c>
      <c r="H179">
        <v>75.87</v>
      </c>
      <c r="I179">
        <v>18.09</v>
      </c>
      <c r="J179">
        <v>59.83</v>
      </c>
      <c r="K179">
        <v>132</v>
      </c>
      <c r="T179">
        <v>3</v>
      </c>
      <c r="U179">
        <v>1</v>
      </c>
      <c r="V179" t="s">
        <v>82</v>
      </c>
      <c r="W179">
        <v>75</v>
      </c>
      <c r="X179">
        <v>4</v>
      </c>
      <c r="Y179">
        <v>4</v>
      </c>
      <c r="Z179" t="s">
        <v>421</v>
      </c>
      <c r="AA179" t="s">
        <v>422</v>
      </c>
      <c r="AB179" t="s">
        <v>85</v>
      </c>
      <c r="AC179" t="s">
        <v>86</v>
      </c>
      <c r="AD179" t="s">
        <v>87</v>
      </c>
      <c r="AE179" t="s">
        <v>374</v>
      </c>
      <c r="AG179" t="s">
        <v>423</v>
      </c>
      <c r="AH179">
        <v>0</v>
      </c>
      <c r="AI179">
        <v>84</v>
      </c>
      <c r="AJ179">
        <v>25</v>
      </c>
      <c r="AK179">
        <v>366</v>
      </c>
      <c r="AL179">
        <v>0.92</v>
      </c>
    </row>
    <row r="180" spans="1:38" x14ac:dyDescent="0.3">
      <c r="A180" t="s">
        <v>369</v>
      </c>
      <c r="B180">
        <v>13135</v>
      </c>
      <c r="C180">
        <v>3</v>
      </c>
      <c r="D180" t="s">
        <v>419</v>
      </c>
      <c r="E180" t="s">
        <v>420</v>
      </c>
      <c r="F180">
        <v>397</v>
      </c>
      <c r="G180">
        <v>26.58</v>
      </c>
      <c r="H180">
        <v>87.9</v>
      </c>
      <c r="I180">
        <v>22.67</v>
      </c>
      <c r="J180">
        <v>74.959999999999994</v>
      </c>
      <c r="K180">
        <v>34</v>
      </c>
      <c r="T180">
        <v>3</v>
      </c>
      <c r="U180">
        <v>2</v>
      </c>
      <c r="V180" t="s">
        <v>175</v>
      </c>
      <c r="W180">
        <v>87</v>
      </c>
      <c r="X180">
        <v>4</v>
      </c>
      <c r="Y180">
        <v>4</v>
      </c>
      <c r="Z180" t="s">
        <v>421</v>
      </c>
      <c r="AA180" t="s">
        <v>422</v>
      </c>
      <c r="AB180" t="s">
        <v>85</v>
      </c>
      <c r="AC180" t="s">
        <v>86</v>
      </c>
      <c r="AD180" t="s">
        <v>87</v>
      </c>
      <c r="AE180" t="s">
        <v>374</v>
      </c>
      <c r="AG180" t="s">
        <v>423</v>
      </c>
      <c r="AH180">
        <v>0</v>
      </c>
      <c r="AI180">
        <v>84</v>
      </c>
      <c r="AJ180">
        <v>25</v>
      </c>
      <c r="AK180">
        <v>366</v>
      </c>
      <c r="AL180">
        <v>0.92</v>
      </c>
    </row>
    <row r="181" spans="1:38" x14ac:dyDescent="0.3">
      <c r="A181" t="s">
        <v>369</v>
      </c>
      <c r="B181">
        <v>13135</v>
      </c>
      <c r="C181">
        <v>4</v>
      </c>
      <c r="D181" t="s">
        <v>419</v>
      </c>
      <c r="E181" t="s">
        <v>420</v>
      </c>
      <c r="F181">
        <v>397</v>
      </c>
      <c r="G181">
        <v>28.61</v>
      </c>
      <c r="H181">
        <v>94.6</v>
      </c>
      <c r="I181">
        <v>22.67</v>
      </c>
      <c r="J181">
        <v>74.959999999999994</v>
      </c>
      <c r="K181">
        <v>108</v>
      </c>
      <c r="T181">
        <v>3</v>
      </c>
      <c r="U181">
        <v>2</v>
      </c>
      <c r="V181" t="s">
        <v>82</v>
      </c>
      <c r="W181">
        <v>94</v>
      </c>
      <c r="X181">
        <v>4</v>
      </c>
      <c r="Y181">
        <v>4</v>
      </c>
      <c r="Z181" t="s">
        <v>421</v>
      </c>
      <c r="AA181" t="s">
        <v>422</v>
      </c>
      <c r="AB181" t="s">
        <v>85</v>
      </c>
      <c r="AC181" t="s">
        <v>86</v>
      </c>
      <c r="AD181" t="s">
        <v>87</v>
      </c>
      <c r="AE181" t="s">
        <v>374</v>
      </c>
      <c r="AG181" t="s">
        <v>423</v>
      </c>
      <c r="AH181">
        <v>0</v>
      </c>
      <c r="AI181">
        <v>84</v>
      </c>
      <c r="AJ181">
        <v>25</v>
      </c>
      <c r="AK181">
        <v>366</v>
      </c>
      <c r="AL181">
        <v>0.92</v>
      </c>
    </row>
    <row r="182" spans="1:38" x14ac:dyDescent="0.3">
      <c r="A182" t="s">
        <v>369</v>
      </c>
      <c r="B182">
        <v>13135</v>
      </c>
      <c r="C182">
        <v>5</v>
      </c>
      <c r="D182" t="s">
        <v>419</v>
      </c>
      <c r="E182" t="s">
        <v>420</v>
      </c>
      <c r="F182">
        <v>397</v>
      </c>
      <c r="G182">
        <v>30.13</v>
      </c>
      <c r="H182">
        <v>99.63</v>
      </c>
      <c r="I182">
        <v>25.7</v>
      </c>
      <c r="J182">
        <v>84.96</v>
      </c>
      <c r="K182">
        <v>20</v>
      </c>
      <c r="T182">
        <v>3</v>
      </c>
      <c r="U182">
        <v>2</v>
      </c>
      <c r="V182" t="s">
        <v>175</v>
      </c>
      <c r="W182">
        <v>99</v>
      </c>
      <c r="X182">
        <v>4</v>
      </c>
      <c r="Y182">
        <v>4</v>
      </c>
      <c r="Z182" t="s">
        <v>421</v>
      </c>
      <c r="AA182" t="s">
        <v>422</v>
      </c>
      <c r="AB182" t="s">
        <v>85</v>
      </c>
      <c r="AC182" t="s">
        <v>86</v>
      </c>
      <c r="AD182" t="s">
        <v>87</v>
      </c>
      <c r="AE182" t="s">
        <v>374</v>
      </c>
      <c r="AG182" t="s">
        <v>423</v>
      </c>
      <c r="AH182">
        <v>0</v>
      </c>
      <c r="AI182">
        <v>84</v>
      </c>
      <c r="AJ182">
        <v>25</v>
      </c>
      <c r="AK182">
        <v>366</v>
      </c>
      <c r="AL182">
        <v>0.92</v>
      </c>
    </row>
    <row r="183" spans="1:38" x14ac:dyDescent="0.3">
      <c r="A183" t="s">
        <v>369</v>
      </c>
      <c r="B183">
        <v>13135</v>
      </c>
      <c r="C183">
        <v>6</v>
      </c>
      <c r="D183" t="s">
        <v>419</v>
      </c>
      <c r="E183" t="s">
        <v>420</v>
      </c>
      <c r="F183">
        <v>397</v>
      </c>
      <c r="G183">
        <v>32.369999999999997</v>
      </c>
      <c r="H183">
        <v>107.03</v>
      </c>
      <c r="I183">
        <v>25.7</v>
      </c>
      <c r="J183">
        <v>84.96</v>
      </c>
      <c r="K183">
        <v>60</v>
      </c>
      <c r="T183">
        <v>3</v>
      </c>
      <c r="U183">
        <v>2</v>
      </c>
      <c r="V183" t="s">
        <v>82</v>
      </c>
      <c r="W183">
        <v>107</v>
      </c>
      <c r="X183">
        <v>4</v>
      </c>
      <c r="Y183">
        <v>4</v>
      </c>
      <c r="Z183" t="s">
        <v>421</v>
      </c>
      <c r="AA183" t="s">
        <v>422</v>
      </c>
      <c r="AB183" t="s">
        <v>85</v>
      </c>
      <c r="AC183" t="s">
        <v>86</v>
      </c>
      <c r="AD183" t="s">
        <v>87</v>
      </c>
      <c r="AE183" t="s">
        <v>374</v>
      </c>
      <c r="AG183" t="s">
        <v>423</v>
      </c>
      <c r="AH183">
        <v>0</v>
      </c>
      <c r="AI183">
        <v>84</v>
      </c>
      <c r="AJ183">
        <v>25</v>
      </c>
      <c r="AK183">
        <v>366</v>
      </c>
      <c r="AL183">
        <v>0.92</v>
      </c>
    </row>
    <row r="184" spans="1:38" x14ac:dyDescent="0.3">
      <c r="A184" t="s">
        <v>369</v>
      </c>
      <c r="B184">
        <v>7559</v>
      </c>
      <c r="C184">
        <v>1</v>
      </c>
      <c r="D184" t="s">
        <v>424</v>
      </c>
      <c r="E184" t="s">
        <v>208</v>
      </c>
      <c r="F184">
        <v>110</v>
      </c>
      <c r="G184">
        <v>17.600000000000001</v>
      </c>
      <c r="H184">
        <v>58.21</v>
      </c>
      <c r="I184">
        <v>14.43</v>
      </c>
      <c r="J184">
        <v>47.72</v>
      </c>
      <c r="K184">
        <v>10</v>
      </c>
      <c r="T184">
        <v>2</v>
      </c>
      <c r="U184">
        <v>1</v>
      </c>
      <c r="V184" t="s">
        <v>175</v>
      </c>
      <c r="W184">
        <v>58</v>
      </c>
      <c r="X184">
        <v>5</v>
      </c>
      <c r="Y184">
        <v>5</v>
      </c>
      <c r="Z184" t="s">
        <v>425</v>
      </c>
      <c r="AA184" t="s">
        <v>426</v>
      </c>
      <c r="AB184" t="s">
        <v>85</v>
      </c>
      <c r="AC184" t="s">
        <v>86</v>
      </c>
      <c r="AD184" t="s">
        <v>87</v>
      </c>
      <c r="AE184" t="s">
        <v>374</v>
      </c>
      <c r="AG184" t="s">
        <v>427</v>
      </c>
      <c r="AH184">
        <v>0</v>
      </c>
      <c r="AI184">
        <v>0</v>
      </c>
      <c r="AJ184">
        <v>0</v>
      </c>
      <c r="AK184">
        <v>67</v>
      </c>
      <c r="AL184">
        <v>0.61</v>
      </c>
    </row>
    <row r="185" spans="1:38" x14ac:dyDescent="0.3">
      <c r="A185" t="s">
        <v>369</v>
      </c>
      <c r="B185">
        <v>7559</v>
      </c>
      <c r="C185">
        <v>2</v>
      </c>
      <c r="D185" t="s">
        <v>424</v>
      </c>
      <c r="E185" t="s">
        <v>208</v>
      </c>
      <c r="F185">
        <v>110</v>
      </c>
      <c r="G185">
        <v>19.53</v>
      </c>
      <c r="H185">
        <v>64.569999999999993</v>
      </c>
      <c r="I185">
        <v>17.920000000000002</v>
      </c>
      <c r="J185">
        <v>59.24</v>
      </c>
      <c r="K185">
        <v>1</v>
      </c>
      <c r="T185">
        <v>3</v>
      </c>
      <c r="U185">
        <v>1</v>
      </c>
      <c r="V185" t="s">
        <v>82</v>
      </c>
      <c r="W185">
        <v>64</v>
      </c>
      <c r="X185">
        <v>5</v>
      </c>
      <c r="Y185">
        <v>5</v>
      </c>
      <c r="Z185" t="s">
        <v>425</v>
      </c>
      <c r="AA185" t="s">
        <v>426</v>
      </c>
      <c r="AB185" t="s">
        <v>85</v>
      </c>
      <c r="AC185" t="s">
        <v>86</v>
      </c>
      <c r="AD185" t="s">
        <v>87</v>
      </c>
      <c r="AE185" t="s">
        <v>374</v>
      </c>
      <c r="AG185" t="s">
        <v>427</v>
      </c>
      <c r="AH185">
        <v>0</v>
      </c>
      <c r="AI185">
        <v>0</v>
      </c>
      <c r="AJ185">
        <v>0</v>
      </c>
      <c r="AK185">
        <v>67</v>
      </c>
      <c r="AL185">
        <v>0.61</v>
      </c>
    </row>
    <row r="186" spans="1:38" x14ac:dyDescent="0.3">
      <c r="A186" t="s">
        <v>369</v>
      </c>
      <c r="B186">
        <v>7559</v>
      </c>
      <c r="C186">
        <v>3</v>
      </c>
      <c r="D186" t="s">
        <v>424</v>
      </c>
      <c r="E186" t="s">
        <v>208</v>
      </c>
      <c r="F186">
        <v>110</v>
      </c>
      <c r="G186">
        <v>21.56</v>
      </c>
      <c r="H186">
        <v>71.290000000000006</v>
      </c>
      <c r="I186">
        <v>18.059999999999999</v>
      </c>
      <c r="J186">
        <v>59.72</v>
      </c>
      <c r="K186">
        <v>74</v>
      </c>
      <c r="T186">
        <v>3</v>
      </c>
      <c r="U186">
        <v>1</v>
      </c>
      <c r="V186" t="s">
        <v>82</v>
      </c>
      <c r="W186">
        <v>71</v>
      </c>
      <c r="X186">
        <v>5</v>
      </c>
      <c r="Y186">
        <v>5</v>
      </c>
      <c r="Z186" t="s">
        <v>425</v>
      </c>
      <c r="AA186" t="s">
        <v>426</v>
      </c>
      <c r="AB186" t="s">
        <v>85</v>
      </c>
      <c r="AC186" t="s">
        <v>86</v>
      </c>
      <c r="AD186" t="s">
        <v>87</v>
      </c>
      <c r="AE186" t="s">
        <v>374</v>
      </c>
      <c r="AG186" t="s">
        <v>427</v>
      </c>
      <c r="AH186">
        <v>0</v>
      </c>
      <c r="AI186">
        <v>0</v>
      </c>
      <c r="AJ186">
        <v>0</v>
      </c>
      <c r="AK186">
        <v>67</v>
      </c>
      <c r="AL186">
        <v>0.61</v>
      </c>
    </row>
    <row r="187" spans="1:38" x14ac:dyDescent="0.3">
      <c r="A187" t="s">
        <v>369</v>
      </c>
      <c r="B187">
        <v>7559</v>
      </c>
      <c r="C187">
        <v>4</v>
      </c>
      <c r="D187" t="s">
        <v>424</v>
      </c>
      <c r="E187" t="s">
        <v>208</v>
      </c>
      <c r="F187">
        <v>110</v>
      </c>
      <c r="G187">
        <v>27.64</v>
      </c>
      <c r="H187">
        <v>91.38</v>
      </c>
      <c r="I187">
        <v>23.42</v>
      </c>
      <c r="J187">
        <v>77.430000000000007</v>
      </c>
      <c r="K187">
        <v>5</v>
      </c>
      <c r="T187">
        <v>3</v>
      </c>
      <c r="U187">
        <v>2</v>
      </c>
      <c r="V187" t="s">
        <v>82</v>
      </c>
      <c r="W187">
        <v>91</v>
      </c>
      <c r="X187">
        <v>5</v>
      </c>
      <c r="Y187">
        <v>5</v>
      </c>
      <c r="Z187" t="s">
        <v>425</v>
      </c>
      <c r="AA187" t="s">
        <v>426</v>
      </c>
      <c r="AB187" t="s">
        <v>85</v>
      </c>
      <c r="AC187" t="s">
        <v>86</v>
      </c>
      <c r="AD187" t="s">
        <v>87</v>
      </c>
      <c r="AE187" t="s">
        <v>374</v>
      </c>
      <c r="AG187" t="s">
        <v>427</v>
      </c>
      <c r="AH187">
        <v>0</v>
      </c>
      <c r="AI187">
        <v>0</v>
      </c>
      <c r="AJ187">
        <v>0</v>
      </c>
      <c r="AK187">
        <v>67</v>
      </c>
      <c r="AL187">
        <v>0.61</v>
      </c>
    </row>
    <row r="188" spans="1:38" x14ac:dyDescent="0.3">
      <c r="A188" t="s">
        <v>369</v>
      </c>
      <c r="B188">
        <v>7559</v>
      </c>
      <c r="C188">
        <v>5</v>
      </c>
      <c r="D188" t="s">
        <v>424</v>
      </c>
      <c r="E188" t="s">
        <v>208</v>
      </c>
      <c r="F188">
        <v>110</v>
      </c>
      <c r="G188">
        <v>29.23</v>
      </c>
      <c r="H188">
        <v>96.64</v>
      </c>
      <c r="I188">
        <v>25.11</v>
      </c>
      <c r="J188">
        <v>83.01</v>
      </c>
      <c r="K188">
        <v>20</v>
      </c>
      <c r="T188">
        <v>3</v>
      </c>
      <c r="U188">
        <v>2</v>
      </c>
      <c r="V188" t="s">
        <v>175</v>
      </c>
      <c r="W188">
        <v>96</v>
      </c>
      <c r="X188">
        <v>5</v>
      </c>
      <c r="Y188">
        <v>5</v>
      </c>
      <c r="Z188" t="s">
        <v>425</v>
      </c>
      <c r="AA188" t="s">
        <v>426</v>
      </c>
      <c r="AB188" t="s">
        <v>85</v>
      </c>
      <c r="AC188" t="s">
        <v>86</v>
      </c>
      <c r="AD188" t="s">
        <v>87</v>
      </c>
      <c r="AE188" t="s">
        <v>374</v>
      </c>
      <c r="AG188" t="s">
        <v>427</v>
      </c>
      <c r="AH188">
        <v>0</v>
      </c>
      <c r="AI188">
        <v>0</v>
      </c>
      <c r="AJ188">
        <v>0</v>
      </c>
      <c r="AK188">
        <v>67</v>
      </c>
      <c r="AL188">
        <v>0.61</v>
      </c>
    </row>
    <row r="189" spans="1:38" x14ac:dyDescent="0.3">
      <c r="A189" t="s">
        <v>369</v>
      </c>
      <c r="B189">
        <v>16754</v>
      </c>
      <c r="C189">
        <v>1</v>
      </c>
      <c r="D189" t="s">
        <v>428</v>
      </c>
      <c r="E189" t="s">
        <v>420</v>
      </c>
      <c r="F189">
        <v>266</v>
      </c>
      <c r="G189">
        <v>19.149999999999999</v>
      </c>
      <c r="H189">
        <v>63.33</v>
      </c>
      <c r="I189">
        <v>15.64</v>
      </c>
      <c r="J189">
        <v>51.71</v>
      </c>
      <c r="K189">
        <v>80</v>
      </c>
      <c r="T189">
        <v>3</v>
      </c>
      <c r="U189">
        <v>1</v>
      </c>
      <c r="V189" t="s">
        <v>82</v>
      </c>
      <c r="W189">
        <v>63</v>
      </c>
      <c r="X189">
        <v>4</v>
      </c>
      <c r="Y189">
        <v>4</v>
      </c>
      <c r="Z189" t="s">
        <v>429</v>
      </c>
      <c r="AA189" t="s">
        <v>430</v>
      </c>
      <c r="AB189" t="s">
        <v>85</v>
      </c>
      <c r="AC189" t="s">
        <v>86</v>
      </c>
      <c r="AD189" t="s">
        <v>87</v>
      </c>
      <c r="AE189" t="s">
        <v>374</v>
      </c>
      <c r="AG189" t="s">
        <v>431</v>
      </c>
      <c r="AH189">
        <v>0</v>
      </c>
      <c r="AI189">
        <v>82</v>
      </c>
      <c r="AJ189">
        <v>25</v>
      </c>
      <c r="AK189">
        <v>207</v>
      </c>
      <c r="AL189">
        <v>0.78</v>
      </c>
    </row>
    <row r="190" spans="1:38" x14ac:dyDescent="0.3">
      <c r="A190" t="s">
        <v>369</v>
      </c>
      <c r="B190">
        <v>16754</v>
      </c>
      <c r="C190">
        <v>2</v>
      </c>
      <c r="D190" t="s">
        <v>428</v>
      </c>
      <c r="E190" t="s">
        <v>420</v>
      </c>
      <c r="F190">
        <v>266</v>
      </c>
      <c r="G190">
        <v>25.5</v>
      </c>
      <c r="H190">
        <v>84.31</v>
      </c>
      <c r="I190">
        <v>18.09</v>
      </c>
      <c r="J190">
        <v>59.83</v>
      </c>
      <c r="K190">
        <v>186</v>
      </c>
      <c r="T190">
        <v>3</v>
      </c>
      <c r="U190">
        <v>1</v>
      </c>
      <c r="V190" t="s">
        <v>82</v>
      </c>
      <c r="W190">
        <v>84</v>
      </c>
      <c r="X190">
        <v>4</v>
      </c>
      <c r="Y190">
        <v>4</v>
      </c>
      <c r="Z190" t="s">
        <v>429</v>
      </c>
      <c r="AA190" t="s">
        <v>430</v>
      </c>
      <c r="AB190" t="s">
        <v>85</v>
      </c>
      <c r="AC190" t="s">
        <v>86</v>
      </c>
      <c r="AD190" t="s">
        <v>87</v>
      </c>
      <c r="AE190" t="s">
        <v>374</v>
      </c>
      <c r="AG190" t="s">
        <v>431</v>
      </c>
      <c r="AH190">
        <v>0</v>
      </c>
      <c r="AI190">
        <v>82</v>
      </c>
      <c r="AJ190">
        <v>25</v>
      </c>
      <c r="AK190">
        <v>207</v>
      </c>
      <c r="AL190">
        <v>0.78</v>
      </c>
    </row>
    <row r="191" spans="1:38" x14ac:dyDescent="0.3">
      <c r="A191" t="s">
        <v>369</v>
      </c>
      <c r="B191">
        <v>7555</v>
      </c>
      <c r="C191">
        <v>1</v>
      </c>
      <c r="D191" t="s">
        <v>432</v>
      </c>
      <c r="E191" t="s">
        <v>433</v>
      </c>
      <c r="F191">
        <v>750</v>
      </c>
      <c r="G191">
        <v>12.82</v>
      </c>
      <c r="H191">
        <v>42.4</v>
      </c>
      <c r="I191">
        <v>9.9</v>
      </c>
      <c r="J191">
        <v>32.76</v>
      </c>
      <c r="K191">
        <v>327</v>
      </c>
      <c r="T191">
        <v>2</v>
      </c>
      <c r="U191">
        <v>1</v>
      </c>
      <c r="V191" t="s">
        <v>82</v>
      </c>
      <c r="W191">
        <v>42</v>
      </c>
      <c r="X191">
        <v>5</v>
      </c>
      <c r="Y191">
        <v>5</v>
      </c>
      <c r="Z191" t="s">
        <v>434</v>
      </c>
      <c r="AA191" t="s">
        <v>435</v>
      </c>
      <c r="AB191" t="s">
        <v>85</v>
      </c>
      <c r="AC191" t="s">
        <v>86</v>
      </c>
      <c r="AD191" t="s">
        <v>87</v>
      </c>
      <c r="AE191" t="s">
        <v>374</v>
      </c>
      <c r="AG191" t="s">
        <v>436</v>
      </c>
      <c r="AH191">
        <v>0</v>
      </c>
      <c r="AI191">
        <v>97</v>
      </c>
      <c r="AJ191">
        <v>20</v>
      </c>
      <c r="AK191">
        <v>0</v>
      </c>
      <c r="AL191">
        <v>0</v>
      </c>
    </row>
    <row r="192" spans="1:38" x14ac:dyDescent="0.3">
      <c r="A192" t="s">
        <v>369</v>
      </c>
      <c r="B192">
        <v>7555</v>
      </c>
      <c r="C192">
        <v>2</v>
      </c>
      <c r="D192" t="s">
        <v>432</v>
      </c>
      <c r="E192" t="s">
        <v>433</v>
      </c>
      <c r="F192">
        <v>750</v>
      </c>
      <c r="G192">
        <v>16.57</v>
      </c>
      <c r="H192">
        <v>54.8</v>
      </c>
      <c r="I192">
        <v>12.85</v>
      </c>
      <c r="J192">
        <v>42.48</v>
      </c>
      <c r="K192">
        <v>302</v>
      </c>
      <c r="T192">
        <v>2</v>
      </c>
      <c r="U192">
        <v>1</v>
      </c>
      <c r="V192" t="s">
        <v>82</v>
      </c>
      <c r="W192" t="s">
        <v>437</v>
      </c>
      <c r="X192">
        <v>5</v>
      </c>
      <c r="Y192">
        <v>5</v>
      </c>
      <c r="Z192" t="s">
        <v>434</v>
      </c>
      <c r="AA192" t="s">
        <v>435</v>
      </c>
      <c r="AB192" t="s">
        <v>85</v>
      </c>
      <c r="AC192" t="s">
        <v>86</v>
      </c>
      <c r="AD192" t="s">
        <v>87</v>
      </c>
      <c r="AE192" t="s">
        <v>374</v>
      </c>
      <c r="AG192" t="s">
        <v>436</v>
      </c>
      <c r="AH192">
        <v>0</v>
      </c>
      <c r="AI192">
        <v>97</v>
      </c>
      <c r="AJ192">
        <v>20</v>
      </c>
      <c r="AK192">
        <v>0</v>
      </c>
      <c r="AL192">
        <v>0</v>
      </c>
    </row>
    <row r="193" spans="1:38" x14ac:dyDescent="0.3">
      <c r="A193" t="s">
        <v>369</v>
      </c>
      <c r="B193">
        <v>7555</v>
      </c>
      <c r="C193">
        <v>3</v>
      </c>
      <c r="D193" t="s">
        <v>432</v>
      </c>
      <c r="E193" t="s">
        <v>433</v>
      </c>
      <c r="F193">
        <v>750</v>
      </c>
      <c r="G193">
        <v>16.75</v>
      </c>
      <c r="H193">
        <v>55.4</v>
      </c>
      <c r="I193">
        <v>12.95</v>
      </c>
      <c r="J193">
        <v>42.84</v>
      </c>
      <c r="K193">
        <v>1</v>
      </c>
      <c r="T193">
        <v>2</v>
      </c>
      <c r="U193">
        <v>1</v>
      </c>
      <c r="V193" t="s">
        <v>82</v>
      </c>
      <c r="W193" t="s">
        <v>438</v>
      </c>
      <c r="X193">
        <v>5</v>
      </c>
      <c r="Y193">
        <v>5</v>
      </c>
      <c r="Z193" t="s">
        <v>434</v>
      </c>
      <c r="AA193" t="s">
        <v>435</v>
      </c>
      <c r="AB193" t="s">
        <v>85</v>
      </c>
      <c r="AC193" t="s">
        <v>86</v>
      </c>
      <c r="AD193" t="s">
        <v>87</v>
      </c>
      <c r="AE193" t="s">
        <v>374</v>
      </c>
      <c r="AG193" t="s">
        <v>436</v>
      </c>
      <c r="AH193">
        <v>0</v>
      </c>
      <c r="AI193">
        <v>97</v>
      </c>
      <c r="AJ193">
        <v>20</v>
      </c>
      <c r="AK193">
        <v>0</v>
      </c>
      <c r="AL193">
        <v>0</v>
      </c>
    </row>
    <row r="194" spans="1:38" x14ac:dyDescent="0.3">
      <c r="A194" t="s">
        <v>369</v>
      </c>
      <c r="B194">
        <v>7555</v>
      </c>
      <c r="C194">
        <v>4</v>
      </c>
      <c r="D194" t="s">
        <v>432</v>
      </c>
      <c r="E194" t="s">
        <v>433</v>
      </c>
      <c r="F194">
        <v>750</v>
      </c>
      <c r="G194">
        <v>17.5</v>
      </c>
      <c r="H194">
        <v>57.87</v>
      </c>
      <c r="I194">
        <v>14.21</v>
      </c>
      <c r="J194">
        <v>46.98</v>
      </c>
      <c r="K194">
        <v>60</v>
      </c>
      <c r="T194">
        <v>3</v>
      </c>
      <c r="U194">
        <v>1</v>
      </c>
      <c r="V194" t="s">
        <v>82</v>
      </c>
      <c r="W194" t="s">
        <v>439</v>
      </c>
      <c r="X194">
        <v>5</v>
      </c>
      <c r="Y194">
        <v>5</v>
      </c>
      <c r="Z194" t="s">
        <v>434</v>
      </c>
      <c r="AA194" t="s">
        <v>435</v>
      </c>
      <c r="AB194" t="s">
        <v>85</v>
      </c>
      <c r="AC194" t="s">
        <v>86</v>
      </c>
      <c r="AD194" t="s">
        <v>87</v>
      </c>
      <c r="AE194" t="s">
        <v>374</v>
      </c>
      <c r="AG194" t="s">
        <v>436</v>
      </c>
      <c r="AH194">
        <v>0</v>
      </c>
      <c r="AI194">
        <v>97</v>
      </c>
      <c r="AJ194">
        <v>20</v>
      </c>
      <c r="AK194">
        <v>0</v>
      </c>
      <c r="AL194">
        <v>0</v>
      </c>
    </row>
    <row r="195" spans="1:38" x14ac:dyDescent="0.3">
      <c r="A195" t="s">
        <v>369</v>
      </c>
      <c r="B195">
        <v>7555</v>
      </c>
      <c r="C195">
        <v>5</v>
      </c>
      <c r="D195" t="s">
        <v>432</v>
      </c>
      <c r="E195" t="s">
        <v>433</v>
      </c>
      <c r="F195">
        <v>750</v>
      </c>
      <c r="G195">
        <v>17.61</v>
      </c>
      <c r="H195">
        <v>58.23</v>
      </c>
      <c r="I195">
        <v>14.31</v>
      </c>
      <c r="J195">
        <v>47.31</v>
      </c>
      <c r="K195">
        <v>60</v>
      </c>
      <c r="T195">
        <v>3</v>
      </c>
      <c r="U195">
        <v>1</v>
      </c>
      <c r="V195" t="s">
        <v>82</v>
      </c>
      <c r="W195" t="s">
        <v>440</v>
      </c>
      <c r="X195">
        <v>5</v>
      </c>
      <c r="Y195">
        <v>5</v>
      </c>
      <c r="Z195" t="s">
        <v>434</v>
      </c>
      <c r="AA195" t="s">
        <v>435</v>
      </c>
      <c r="AB195" t="s">
        <v>85</v>
      </c>
      <c r="AC195" t="s">
        <v>86</v>
      </c>
      <c r="AD195" t="s">
        <v>87</v>
      </c>
      <c r="AE195" t="s">
        <v>374</v>
      </c>
      <c r="AG195" t="s">
        <v>436</v>
      </c>
      <c r="AH195">
        <v>0</v>
      </c>
      <c r="AI195">
        <v>97</v>
      </c>
      <c r="AJ195">
        <v>20</v>
      </c>
      <c r="AK195">
        <v>0</v>
      </c>
      <c r="AL195">
        <v>0</v>
      </c>
    </row>
    <row r="196" spans="1:38" x14ac:dyDescent="0.3">
      <c r="A196" t="s">
        <v>441</v>
      </c>
      <c r="B196">
        <v>103794</v>
      </c>
      <c r="C196">
        <v>1</v>
      </c>
      <c r="D196" t="s">
        <v>442</v>
      </c>
      <c r="E196" t="s">
        <v>443</v>
      </c>
      <c r="F196">
        <v>14</v>
      </c>
      <c r="G196">
        <v>26.57</v>
      </c>
      <c r="H196">
        <v>87.86</v>
      </c>
      <c r="I196">
        <v>22.59</v>
      </c>
      <c r="J196">
        <v>74.7</v>
      </c>
      <c r="K196">
        <v>7</v>
      </c>
      <c r="T196">
        <v>3</v>
      </c>
      <c r="U196">
        <v>2</v>
      </c>
      <c r="V196" t="s">
        <v>82</v>
      </c>
      <c r="W196">
        <v>87</v>
      </c>
      <c r="X196">
        <v>8</v>
      </c>
      <c r="Y196">
        <v>8</v>
      </c>
      <c r="Z196" t="s">
        <v>444</v>
      </c>
      <c r="AA196" t="s">
        <v>445</v>
      </c>
      <c r="AB196" t="s">
        <v>85</v>
      </c>
      <c r="AC196" t="s">
        <v>86</v>
      </c>
      <c r="AD196" t="s">
        <v>87</v>
      </c>
      <c r="AE196" t="s">
        <v>446</v>
      </c>
      <c r="AG196" t="s">
        <v>447</v>
      </c>
      <c r="AH196">
        <v>0</v>
      </c>
      <c r="AI196">
        <v>271</v>
      </c>
      <c r="AJ196">
        <v>45</v>
      </c>
      <c r="AK196">
        <v>10</v>
      </c>
      <c r="AL196">
        <v>0.71</v>
      </c>
    </row>
    <row r="197" spans="1:38" x14ac:dyDescent="0.3">
      <c r="A197" t="s">
        <v>441</v>
      </c>
      <c r="B197">
        <v>103794</v>
      </c>
      <c r="C197">
        <v>2</v>
      </c>
      <c r="D197" t="s">
        <v>442</v>
      </c>
      <c r="E197" t="s">
        <v>443</v>
      </c>
      <c r="F197">
        <v>14</v>
      </c>
      <c r="G197">
        <v>26.46</v>
      </c>
      <c r="H197">
        <v>87.48</v>
      </c>
      <c r="I197">
        <v>22.49</v>
      </c>
      <c r="J197">
        <v>74.38</v>
      </c>
      <c r="K197">
        <v>7</v>
      </c>
      <c r="T197">
        <v>3</v>
      </c>
      <c r="U197">
        <v>2</v>
      </c>
      <c r="V197" t="s">
        <v>82</v>
      </c>
      <c r="W197">
        <v>87</v>
      </c>
      <c r="X197">
        <v>8</v>
      </c>
      <c r="Y197">
        <v>8</v>
      </c>
      <c r="Z197" t="s">
        <v>444</v>
      </c>
      <c r="AA197" t="s">
        <v>445</v>
      </c>
      <c r="AB197" t="s">
        <v>85</v>
      </c>
      <c r="AC197" t="s">
        <v>86</v>
      </c>
      <c r="AD197" t="s">
        <v>87</v>
      </c>
      <c r="AE197" t="s">
        <v>446</v>
      </c>
      <c r="AG197" t="s">
        <v>447</v>
      </c>
      <c r="AH197">
        <v>0</v>
      </c>
      <c r="AI197">
        <v>271</v>
      </c>
      <c r="AJ197">
        <v>45</v>
      </c>
      <c r="AK197">
        <v>10</v>
      </c>
      <c r="AL197">
        <v>0.71</v>
      </c>
    </row>
    <row r="198" spans="1:38" x14ac:dyDescent="0.3">
      <c r="A198" t="s">
        <v>441</v>
      </c>
      <c r="B198">
        <v>103793</v>
      </c>
      <c r="C198">
        <v>1</v>
      </c>
      <c r="D198" t="s">
        <v>448</v>
      </c>
      <c r="E198" t="s">
        <v>449</v>
      </c>
      <c r="F198">
        <v>124</v>
      </c>
      <c r="G198">
        <v>24.03</v>
      </c>
      <c r="H198">
        <v>79.47</v>
      </c>
      <c r="I198">
        <v>18.09</v>
      </c>
      <c r="J198">
        <v>59.82</v>
      </c>
      <c r="K198">
        <v>124</v>
      </c>
      <c r="T198">
        <v>3</v>
      </c>
      <c r="U198">
        <v>1</v>
      </c>
      <c r="V198" t="s">
        <v>82</v>
      </c>
      <c r="W198">
        <v>79</v>
      </c>
      <c r="X198">
        <v>14</v>
      </c>
      <c r="Y198">
        <v>8</v>
      </c>
      <c r="Z198" t="s">
        <v>450</v>
      </c>
      <c r="AA198" t="s">
        <v>451</v>
      </c>
      <c r="AB198" t="s">
        <v>85</v>
      </c>
      <c r="AC198" t="s">
        <v>86</v>
      </c>
      <c r="AD198" t="s">
        <v>87</v>
      </c>
      <c r="AE198" t="s">
        <v>446</v>
      </c>
      <c r="AG198" t="s">
        <v>452</v>
      </c>
      <c r="AH198">
        <v>0</v>
      </c>
      <c r="AI198">
        <v>0</v>
      </c>
      <c r="AJ198">
        <v>0</v>
      </c>
      <c r="AK198">
        <v>99</v>
      </c>
      <c r="AL198">
        <v>0.8</v>
      </c>
    </row>
    <row r="199" spans="1:38" x14ac:dyDescent="0.3">
      <c r="A199" t="s">
        <v>441</v>
      </c>
      <c r="B199">
        <v>109497</v>
      </c>
      <c r="C199">
        <v>1</v>
      </c>
      <c r="D199" t="s">
        <v>453</v>
      </c>
      <c r="E199" t="s">
        <v>454</v>
      </c>
      <c r="F199">
        <v>158</v>
      </c>
      <c r="G199">
        <v>26.31</v>
      </c>
      <c r="H199">
        <v>86.99</v>
      </c>
      <c r="I199">
        <v>18.14</v>
      </c>
      <c r="J199">
        <v>59.97</v>
      </c>
      <c r="K199">
        <v>63</v>
      </c>
      <c r="T199">
        <v>3</v>
      </c>
      <c r="U199">
        <v>2</v>
      </c>
      <c r="V199" t="s">
        <v>82</v>
      </c>
      <c r="W199" t="s">
        <v>455</v>
      </c>
      <c r="X199">
        <v>25</v>
      </c>
      <c r="Y199">
        <v>20</v>
      </c>
      <c r="Z199" t="s">
        <v>456</v>
      </c>
      <c r="AA199" t="s">
        <v>457</v>
      </c>
      <c r="AB199" t="s">
        <v>85</v>
      </c>
      <c r="AC199" t="s">
        <v>86</v>
      </c>
      <c r="AD199" t="s">
        <v>87</v>
      </c>
      <c r="AE199" t="s">
        <v>446</v>
      </c>
      <c r="AG199" t="s">
        <v>458</v>
      </c>
      <c r="AH199">
        <v>0</v>
      </c>
      <c r="AI199">
        <v>498</v>
      </c>
      <c r="AJ199">
        <v>75</v>
      </c>
      <c r="AK199">
        <v>218</v>
      </c>
      <c r="AL199">
        <v>1.38</v>
      </c>
    </row>
    <row r="200" spans="1:38" x14ac:dyDescent="0.3">
      <c r="A200" t="s">
        <v>441</v>
      </c>
      <c r="B200">
        <v>109497</v>
      </c>
      <c r="C200">
        <v>2</v>
      </c>
      <c r="D200" t="s">
        <v>453</v>
      </c>
      <c r="E200" t="s">
        <v>454</v>
      </c>
      <c r="F200">
        <v>158</v>
      </c>
      <c r="G200">
        <v>26.44</v>
      </c>
      <c r="H200">
        <v>87.43</v>
      </c>
      <c r="I200">
        <v>18.07</v>
      </c>
      <c r="J200">
        <v>59.74</v>
      </c>
      <c r="K200">
        <v>56</v>
      </c>
      <c r="T200">
        <v>3</v>
      </c>
      <c r="U200">
        <v>2</v>
      </c>
      <c r="V200" t="s">
        <v>82</v>
      </c>
      <c r="W200" t="s">
        <v>459</v>
      </c>
      <c r="X200">
        <v>25</v>
      </c>
      <c r="Y200">
        <v>20</v>
      </c>
      <c r="Z200" t="s">
        <v>456</v>
      </c>
      <c r="AA200" t="s">
        <v>457</v>
      </c>
      <c r="AB200" t="s">
        <v>85</v>
      </c>
      <c r="AC200" t="s">
        <v>86</v>
      </c>
      <c r="AD200" t="s">
        <v>87</v>
      </c>
      <c r="AE200" t="s">
        <v>446</v>
      </c>
      <c r="AG200" t="s">
        <v>458</v>
      </c>
      <c r="AH200">
        <v>0</v>
      </c>
      <c r="AI200">
        <v>498</v>
      </c>
      <c r="AJ200">
        <v>75</v>
      </c>
      <c r="AK200">
        <v>218</v>
      </c>
      <c r="AL200">
        <v>1.38</v>
      </c>
    </row>
    <row r="201" spans="1:38" x14ac:dyDescent="0.3">
      <c r="A201" t="s">
        <v>441</v>
      </c>
      <c r="B201">
        <v>109497</v>
      </c>
      <c r="C201">
        <v>3</v>
      </c>
      <c r="D201" t="s">
        <v>453</v>
      </c>
      <c r="E201" t="s">
        <v>454</v>
      </c>
      <c r="F201">
        <v>158</v>
      </c>
      <c r="G201">
        <v>26.58</v>
      </c>
      <c r="H201">
        <v>87.9</v>
      </c>
      <c r="I201">
        <v>18.14</v>
      </c>
      <c r="J201">
        <v>59.98</v>
      </c>
      <c r="K201">
        <v>39</v>
      </c>
      <c r="T201">
        <v>3</v>
      </c>
      <c r="U201">
        <v>2</v>
      </c>
      <c r="V201" t="s">
        <v>82</v>
      </c>
      <c r="W201" t="s">
        <v>460</v>
      </c>
      <c r="X201">
        <v>25</v>
      </c>
      <c r="Y201">
        <v>20</v>
      </c>
      <c r="Z201" t="s">
        <v>456</v>
      </c>
      <c r="AA201" t="s">
        <v>457</v>
      </c>
      <c r="AB201" t="s">
        <v>85</v>
      </c>
      <c r="AC201" t="s">
        <v>86</v>
      </c>
      <c r="AD201" t="s">
        <v>87</v>
      </c>
      <c r="AE201" t="s">
        <v>446</v>
      </c>
      <c r="AG201" t="s">
        <v>458</v>
      </c>
      <c r="AH201">
        <v>0</v>
      </c>
      <c r="AI201">
        <v>498</v>
      </c>
      <c r="AJ201">
        <v>75</v>
      </c>
      <c r="AK201">
        <v>218</v>
      </c>
      <c r="AL201">
        <v>1.38</v>
      </c>
    </row>
    <row r="202" spans="1:38" x14ac:dyDescent="0.3">
      <c r="A202" t="s">
        <v>461</v>
      </c>
      <c r="B202">
        <v>109158</v>
      </c>
      <c r="C202">
        <v>1</v>
      </c>
      <c r="D202" t="s">
        <v>462</v>
      </c>
      <c r="E202" t="s">
        <v>463</v>
      </c>
      <c r="F202">
        <v>599</v>
      </c>
      <c r="G202">
        <v>25.03</v>
      </c>
      <c r="H202">
        <v>82.77</v>
      </c>
      <c r="I202">
        <v>18.12</v>
      </c>
      <c r="J202">
        <v>59.93</v>
      </c>
      <c r="K202">
        <v>63</v>
      </c>
      <c r="T202">
        <v>3</v>
      </c>
      <c r="U202">
        <v>2</v>
      </c>
      <c r="V202" t="s">
        <v>82</v>
      </c>
      <c r="W202">
        <v>82</v>
      </c>
      <c r="X202">
        <v>22</v>
      </c>
      <c r="Y202">
        <v>10</v>
      </c>
      <c r="Z202" t="s">
        <v>464</v>
      </c>
      <c r="AA202" t="s">
        <v>465</v>
      </c>
      <c r="AB202" t="s">
        <v>85</v>
      </c>
      <c r="AC202" t="s">
        <v>86</v>
      </c>
      <c r="AD202" t="s">
        <v>87</v>
      </c>
      <c r="AE202" t="s">
        <v>466</v>
      </c>
      <c r="AG202" t="s">
        <v>467</v>
      </c>
      <c r="AH202">
        <v>0</v>
      </c>
      <c r="AI202">
        <v>218</v>
      </c>
      <c r="AJ202">
        <v>23</v>
      </c>
      <c r="AK202">
        <v>667</v>
      </c>
      <c r="AL202">
        <v>1.1100000000000001</v>
      </c>
    </row>
    <row r="203" spans="1:38" x14ac:dyDescent="0.3">
      <c r="A203" t="s">
        <v>461</v>
      </c>
      <c r="B203">
        <v>109158</v>
      </c>
      <c r="C203">
        <v>2</v>
      </c>
      <c r="D203" t="s">
        <v>462</v>
      </c>
      <c r="E203" t="s">
        <v>463</v>
      </c>
      <c r="F203">
        <v>599</v>
      </c>
      <c r="G203">
        <v>30.21</v>
      </c>
      <c r="H203">
        <v>99.9</v>
      </c>
      <c r="I203">
        <v>22.67</v>
      </c>
      <c r="J203">
        <v>74.95</v>
      </c>
      <c r="K203">
        <v>82</v>
      </c>
      <c r="T203">
        <v>3</v>
      </c>
      <c r="U203">
        <v>2</v>
      </c>
      <c r="V203" t="s">
        <v>82</v>
      </c>
      <c r="W203" t="s">
        <v>468</v>
      </c>
      <c r="X203">
        <v>22</v>
      </c>
      <c r="Y203">
        <v>10</v>
      </c>
      <c r="Z203" t="s">
        <v>464</v>
      </c>
      <c r="AA203" t="s">
        <v>465</v>
      </c>
      <c r="AB203" t="s">
        <v>85</v>
      </c>
      <c r="AC203" t="s">
        <v>86</v>
      </c>
      <c r="AD203" t="s">
        <v>87</v>
      </c>
      <c r="AE203" t="s">
        <v>466</v>
      </c>
      <c r="AG203" t="s">
        <v>467</v>
      </c>
      <c r="AH203">
        <v>0</v>
      </c>
      <c r="AI203">
        <v>218</v>
      </c>
      <c r="AJ203">
        <v>23</v>
      </c>
      <c r="AK203">
        <v>667</v>
      </c>
      <c r="AL203">
        <v>1.1100000000000001</v>
      </c>
    </row>
    <row r="204" spans="1:38" x14ac:dyDescent="0.3">
      <c r="A204" t="s">
        <v>461</v>
      </c>
      <c r="B204">
        <v>109158</v>
      </c>
      <c r="C204">
        <v>3</v>
      </c>
      <c r="D204" t="s">
        <v>462</v>
      </c>
      <c r="E204" t="s">
        <v>463</v>
      </c>
      <c r="F204">
        <v>599</v>
      </c>
      <c r="G204">
        <v>30.11</v>
      </c>
      <c r="H204">
        <v>99.54</v>
      </c>
      <c r="I204">
        <v>22.66</v>
      </c>
      <c r="J204">
        <v>74.92</v>
      </c>
      <c r="K204">
        <v>79</v>
      </c>
      <c r="T204">
        <v>3</v>
      </c>
      <c r="U204">
        <v>2</v>
      </c>
      <c r="V204" t="s">
        <v>82</v>
      </c>
      <c r="W204" t="s">
        <v>130</v>
      </c>
      <c r="X204">
        <v>22</v>
      </c>
      <c r="Y204">
        <v>10</v>
      </c>
      <c r="Z204" t="s">
        <v>464</v>
      </c>
      <c r="AA204" t="s">
        <v>465</v>
      </c>
      <c r="AB204" t="s">
        <v>85</v>
      </c>
      <c r="AC204" t="s">
        <v>86</v>
      </c>
      <c r="AD204" t="s">
        <v>87</v>
      </c>
      <c r="AE204" t="s">
        <v>466</v>
      </c>
      <c r="AG204" t="s">
        <v>467</v>
      </c>
      <c r="AH204">
        <v>0</v>
      </c>
      <c r="AI204">
        <v>218</v>
      </c>
      <c r="AJ204">
        <v>23</v>
      </c>
      <c r="AK204">
        <v>667</v>
      </c>
      <c r="AL204">
        <v>1.1100000000000001</v>
      </c>
    </row>
    <row r="205" spans="1:38" x14ac:dyDescent="0.3">
      <c r="A205" t="s">
        <v>461</v>
      </c>
      <c r="B205">
        <v>109158</v>
      </c>
      <c r="C205">
        <v>4</v>
      </c>
      <c r="D205" t="s">
        <v>462</v>
      </c>
      <c r="E205" t="s">
        <v>463</v>
      </c>
      <c r="F205">
        <v>599</v>
      </c>
      <c r="G205">
        <v>33.83</v>
      </c>
      <c r="H205">
        <v>111.85</v>
      </c>
      <c r="I205">
        <v>25.7</v>
      </c>
      <c r="J205">
        <v>84.99</v>
      </c>
      <c r="K205">
        <v>240</v>
      </c>
      <c r="T205">
        <v>4</v>
      </c>
      <c r="U205">
        <v>2</v>
      </c>
      <c r="V205" t="s">
        <v>82</v>
      </c>
      <c r="W205" t="s">
        <v>153</v>
      </c>
      <c r="X205">
        <v>22</v>
      </c>
      <c r="Y205">
        <v>10</v>
      </c>
      <c r="Z205" t="s">
        <v>464</v>
      </c>
      <c r="AA205" t="s">
        <v>465</v>
      </c>
      <c r="AB205" t="s">
        <v>85</v>
      </c>
      <c r="AC205" t="s">
        <v>86</v>
      </c>
      <c r="AD205" t="s">
        <v>87</v>
      </c>
      <c r="AE205" t="s">
        <v>466</v>
      </c>
      <c r="AG205" t="s">
        <v>467</v>
      </c>
      <c r="AH205">
        <v>0</v>
      </c>
      <c r="AI205">
        <v>218</v>
      </c>
      <c r="AJ205">
        <v>23</v>
      </c>
      <c r="AK205">
        <v>667</v>
      </c>
      <c r="AL205">
        <v>1.1100000000000001</v>
      </c>
    </row>
    <row r="206" spans="1:38" x14ac:dyDescent="0.3">
      <c r="A206" t="s">
        <v>461</v>
      </c>
      <c r="B206">
        <v>109158</v>
      </c>
      <c r="C206">
        <v>5</v>
      </c>
      <c r="D206" t="s">
        <v>462</v>
      </c>
      <c r="E206" t="s">
        <v>463</v>
      </c>
      <c r="F206">
        <v>599</v>
      </c>
      <c r="G206">
        <v>34.090000000000003</v>
      </c>
      <c r="H206">
        <v>112.7</v>
      </c>
      <c r="I206">
        <v>25.68</v>
      </c>
      <c r="J206">
        <v>84.92</v>
      </c>
      <c r="K206">
        <v>135</v>
      </c>
      <c r="T206">
        <v>3</v>
      </c>
      <c r="U206">
        <v>2</v>
      </c>
      <c r="V206" t="s">
        <v>82</v>
      </c>
      <c r="W206" t="s">
        <v>122</v>
      </c>
      <c r="X206">
        <v>22</v>
      </c>
      <c r="Y206">
        <v>10</v>
      </c>
      <c r="Z206" t="s">
        <v>464</v>
      </c>
      <c r="AA206" t="s">
        <v>465</v>
      </c>
      <c r="AB206" t="s">
        <v>85</v>
      </c>
      <c r="AC206" t="s">
        <v>86</v>
      </c>
      <c r="AD206" t="s">
        <v>87</v>
      </c>
      <c r="AE206" t="s">
        <v>466</v>
      </c>
      <c r="AG206" t="s">
        <v>467</v>
      </c>
      <c r="AH206">
        <v>0</v>
      </c>
      <c r="AI206">
        <v>218</v>
      </c>
      <c r="AJ206">
        <v>23</v>
      </c>
      <c r="AK206">
        <v>667</v>
      </c>
      <c r="AL206">
        <v>1.1100000000000001</v>
      </c>
    </row>
    <row r="207" spans="1:38" x14ac:dyDescent="0.3">
      <c r="A207" t="s">
        <v>469</v>
      </c>
      <c r="B207">
        <v>23582</v>
      </c>
      <c r="C207">
        <v>1</v>
      </c>
      <c r="D207" t="s">
        <v>470</v>
      </c>
      <c r="E207" t="s">
        <v>471</v>
      </c>
      <c r="F207">
        <v>48</v>
      </c>
      <c r="G207">
        <v>12.52</v>
      </c>
      <c r="H207">
        <v>41.42</v>
      </c>
      <c r="I207">
        <v>10.39</v>
      </c>
      <c r="J207">
        <v>34.380000000000003</v>
      </c>
      <c r="K207">
        <v>16</v>
      </c>
      <c r="T207">
        <v>2</v>
      </c>
      <c r="U207">
        <v>1</v>
      </c>
      <c r="V207" t="s">
        <v>175</v>
      </c>
      <c r="W207" t="s">
        <v>472</v>
      </c>
      <c r="X207">
        <v>10</v>
      </c>
      <c r="Y207">
        <v>10</v>
      </c>
      <c r="Z207" t="s">
        <v>473</v>
      </c>
      <c r="AA207" t="s">
        <v>474</v>
      </c>
      <c r="AB207" t="s">
        <v>85</v>
      </c>
      <c r="AC207" t="s">
        <v>86</v>
      </c>
      <c r="AD207" t="s">
        <v>87</v>
      </c>
      <c r="AE207" t="s">
        <v>475</v>
      </c>
      <c r="AG207" t="s">
        <v>476</v>
      </c>
      <c r="AH207">
        <v>0</v>
      </c>
      <c r="AI207">
        <v>459</v>
      </c>
      <c r="AJ207">
        <v>79</v>
      </c>
      <c r="AK207">
        <v>30</v>
      </c>
      <c r="AL207">
        <v>0.62</v>
      </c>
    </row>
    <row r="208" spans="1:38" x14ac:dyDescent="0.3">
      <c r="A208" t="s">
        <v>469</v>
      </c>
      <c r="B208">
        <v>23582</v>
      </c>
      <c r="C208">
        <v>2</v>
      </c>
      <c r="D208" t="s">
        <v>470</v>
      </c>
      <c r="E208" t="s">
        <v>471</v>
      </c>
      <c r="F208">
        <v>48</v>
      </c>
      <c r="G208">
        <v>12.85</v>
      </c>
      <c r="H208">
        <v>42.48</v>
      </c>
      <c r="I208">
        <v>10.66</v>
      </c>
      <c r="J208">
        <v>35.26</v>
      </c>
      <c r="K208">
        <v>8</v>
      </c>
      <c r="T208">
        <v>2</v>
      </c>
      <c r="U208">
        <v>1</v>
      </c>
      <c r="V208" t="s">
        <v>175</v>
      </c>
      <c r="W208" t="s">
        <v>477</v>
      </c>
      <c r="X208">
        <v>10</v>
      </c>
      <c r="Y208">
        <v>10</v>
      </c>
      <c r="Z208" t="s">
        <v>473</v>
      </c>
      <c r="AA208" t="s">
        <v>474</v>
      </c>
      <c r="AB208" t="s">
        <v>85</v>
      </c>
      <c r="AC208" t="s">
        <v>86</v>
      </c>
      <c r="AD208" t="s">
        <v>87</v>
      </c>
      <c r="AE208" t="s">
        <v>475</v>
      </c>
      <c r="AG208" t="s">
        <v>476</v>
      </c>
      <c r="AH208">
        <v>0</v>
      </c>
      <c r="AI208">
        <v>459</v>
      </c>
      <c r="AJ208">
        <v>79</v>
      </c>
      <c r="AK208">
        <v>30</v>
      </c>
      <c r="AL208">
        <v>0.62</v>
      </c>
    </row>
    <row r="209" spans="1:38" x14ac:dyDescent="0.3">
      <c r="A209" t="s">
        <v>469</v>
      </c>
      <c r="B209">
        <v>23582</v>
      </c>
      <c r="C209">
        <v>3</v>
      </c>
      <c r="D209" t="s">
        <v>470</v>
      </c>
      <c r="E209" t="s">
        <v>471</v>
      </c>
      <c r="F209">
        <v>48</v>
      </c>
      <c r="G209">
        <v>13.28</v>
      </c>
      <c r="H209">
        <v>43.92</v>
      </c>
      <c r="I209">
        <v>11.02</v>
      </c>
      <c r="J209">
        <v>36.46</v>
      </c>
      <c r="K209">
        <v>8</v>
      </c>
      <c r="T209">
        <v>2</v>
      </c>
      <c r="U209">
        <v>1</v>
      </c>
      <c r="V209" t="s">
        <v>175</v>
      </c>
      <c r="W209" t="s">
        <v>478</v>
      </c>
      <c r="X209">
        <v>10</v>
      </c>
      <c r="Y209">
        <v>10</v>
      </c>
      <c r="Z209" t="s">
        <v>473</v>
      </c>
      <c r="AA209" t="s">
        <v>474</v>
      </c>
      <c r="AB209" t="s">
        <v>85</v>
      </c>
      <c r="AC209" t="s">
        <v>86</v>
      </c>
      <c r="AD209" t="s">
        <v>87</v>
      </c>
      <c r="AE209" t="s">
        <v>475</v>
      </c>
      <c r="AG209" t="s">
        <v>476</v>
      </c>
      <c r="AH209">
        <v>0</v>
      </c>
      <c r="AI209">
        <v>459</v>
      </c>
      <c r="AJ209">
        <v>79</v>
      </c>
      <c r="AK209">
        <v>30</v>
      </c>
      <c r="AL209">
        <v>0.62</v>
      </c>
    </row>
    <row r="210" spans="1:38" x14ac:dyDescent="0.3">
      <c r="A210" t="s">
        <v>469</v>
      </c>
      <c r="B210">
        <v>23582</v>
      </c>
      <c r="C210">
        <v>4</v>
      </c>
      <c r="D210" t="s">
        <v>470</v>
      </c>
      <c r="E210" t="s">
        <v>471</v>
      </c>
      <c r="F210">
        <v>48</v>
      </c>
      <c r="G210">
        <v>31.33</v>
      </c>
      <c r="H210">
        <v>103.59</v>
      </c>
      <c r="I210">
        <v>25.54</v>
      </c>
      <c r="J210">
        <v>84.45</v>
      </c>
      <c r="K210">
        <v>16</v>
      </c>
      <c r="T210">
        <v>3</v>
      </c>
      <c r="U210">
        <v>2</v>
      </c>
      <c r="V210" t="s">
        <v>82</v>
      </c>
      <c r="W210">
        <v>103</v>
      </c>
      <c r="X210">
        <v>10</v>
      </c>
      <c r="Y210">
        <v>10</v>
      </c>
      <c r="Z210" t="s">
        <v>473</v>
      </c>
      <c r="AA210" t="s">
        <v>474</v>
      </c>
      <c r="AB210" t="s">
        <v>85</v>
      </c>
      <c r="AC210" t="s">
        <v>86</v>
      </c>
      <c r="AD210" t="s">
        <v>87</v>
      </c>
      <c r="AE210" t="s">
        <v>475</v>
      </c>
      <c r="AG210" t="s">
        <v>476</v>
      </c>
      <c r="AH210">
        <v>0</v>
      </c>
      <c r="AI210">
        <v>459</v>
      </c>
      <c r="AJ210">
        <v>79</v>
      </c>
      <c r="AK210">
        <v>30</v>
      </c>
      <c r="AL210">
        <v>0.62</v>
      </c>
    </row>
    <row r="211" spans="1:38" x14ac:dyDescent="0.3">
      <c r="A211" t="s">
        <v>469</v>
      </c>
      <c r="B211">
        <v>122749</v>
      </c>
      <c r="C211">
        <v>1</v>
      </c>
      <c r="D211" t="s">
        <v>479</v>
      </c>
      <c r="E211" t="s">
        <v>463</v>
      </c>
      <c r="F211">
        <v>72</v>
      </c>
      <c r="G211">
        <v>24.85</v>
      </c>
      <c r="H211">
        <v>82.16</v>
      </c>
      <c r="I211">
        <v>18.54</v>
      </c>
      <c r="J211">
        <v>61.3</v>
      </c>
      <c r="K211">
        <v>12</v>
      </c>
      <c r="T211">
        <v>3</v>
      </c>
      <c r="U211">
        <v>2</v>
      </c>
      <c r="V211" t="s">
        <v>82</v>
      </c>
      <c r="W211">
        <v>82</v>
      </c>
      <c r="X211">
        <v>14</v>
      </c>
      <c r="Y211">
        <v>14</v>
      </c>
      <c r="Z211" t="s">
        <v>480</v>
      </c>
      <c r="AA211" t="s">
        <v>481</v>
      </c>
      <c r="AB211" t="s">
        <v>85</v>
      </c>
      <c r="AC211" t="s">
        <v>86</v>
      </c>
      <c r="AD211" t="s">
        <v>87</v>
      </c>
      <c r="AE211" t="s">
        <v>475</v>
      </c>
      <c r="AG211" t="s">
        <v>482</v>
      </c>
      <c r="AH211">
        <v>0</v>
      </c>
      <c r="AI211">
        <v>494</v>
      </c>
      <c r="AJ211">
        <v>69</v>
      </c>
      <c r="AK211">
        <v>75</v>
      </c>
      <c r="AL211">
        <v>1.04</v>
      </c>
    </row>
    <row r="212" spans="1:38" x14ac:dyDescent="0.3">
      <c r="A212" t="s">
        <v>469</v>
      </c>
      <c r="B212">
        <v>122749</v>
      </c>
      <c r="C212">
        <v>2</v>
      </c>
      <c r="D212" t="s">
        <v>479</v>
      </c>
      <c r="E212" t="s">
        <v>463</v>
      </c>
      <c r="F212">
        <v>72</v>
      </c>
      <c r="G212">
        <v>25.95</v>
      </c>
      <c r="H212">
        <v>85.81</v>
      </c>
      <c r="I212">
        <v>19.45</v>
      </c>
      <c r="J212">
        <v>64.319999999999993</v>
      </c>
      <c r="K212">
        <v>12</v>
      </c>
      <c r="T212">
        <v>3</v>
      </c>
      <c r="U212">
        <v>2</v>
      </c>
      <c r="V212" t="s">
        <v>82</v>
      </c>
      <c r="W212">
        <v>85</v>
      </c>
      <c r="X212">
        <v>14</v>
      </c>
      <c r="Y212">
        <v>14</v>
      </c>
      <c r="Z212" t="s">
        <v>480</v>
      </c>
      <c r="AA212" t="s">
        <v>481</v>
      </c>
      <c r="AB212" t="s">
        <v>85</v>
      </c>
      <c r="AC212" t="s">
        <v>86</v>
      </c>
      <c r="AD212" t="s">
        <v>87</v>
      </c>
      <c r="AE212" t="s">
        <v>475</v>
      </c>
      <c r="AG212" t="s">
        <v>482</v>
      </c>
      <c r="AH212">
        <v>0</v>
      </c>
      <c r="AI212">
        <v>494</v>
      </c>
      <c r="AJ212">
        <v>69</v>
      </c>
      <c r="AK212">
        <v>75</v>
      </c>
      <c r="AL212">
        <v>1.04</v>
      </c>
    </row>
    <row r="213" spans="1:38" x14ac:dyDescent="0.3">
      <c r="A213" t="s">
        <v>469</v>
      </c>
      <c r="B213">
        <v>122749</v>
      </c>
      <c r="C213">
        <v>3</v>
      </c>
      <c r="D213" t="s">
        <v>479</v>
      </c>
      <c r="E213" t="s">
        <v>463</v>
      </c>
      <c r="F213">
        <v>72</v>
      </c>
      <c r="G213">
        <v>30.99</v>
      </c>
      <c r="H213">
        <v>102.45</v>
      </c>
      <c r="I213">
        <v>23.35</v>
      </c>
      <c r="J213">
        <v>77.22</v>
      </c>
      <c r="K213">
        <v>12</v>
      </c>
      <c r="T213">
        <v>3</v>
      </c>
      <c r="U213">
        <v>2</v>
      </c>
      <c r="V213" t="s">
        <v>82</v>
      </c>
      <c r="W213">
        <v>102</v>
      </c>
      <c r="X213">
        <v>14</v>
      </c>
      <c r="Y213">
        <v>14</v>
      </c>
      <c r="Z213" t="s">
        <v>480</v>
      </c>
      <c r="AA213" t="s">
        <v>481</v>
      </c>
      <c r="AB213" t="s">
        <v>85</v>
      </c>
      <c r="AC213" t="s">
        <v>86</v>
      </c>
      <c r="AD213" t="s">
        <v>87</v>
      </c>
      <c r="AE213" t="s">
        <v>475</v>
      </c>
      <c r="AG213" t="s">
        <v>482</v>
      </c>
      <c r="AH213">
        <v>0</v>
      </c>
      <c r="AI213">
        <v>494</v>
      </c>
      <c r="AJ213">
        <v>69</v>
      </c>
      <c r="AK213">
        <v>75</v>
      </c>
      <c r="AL213">
        <v>1.04</v>
      </c>
    </row>
    <row r="214" spans="1:38" x14ac:dyDescent="0.3">
      <c r="A214" t="s">
        <v>469</v>
      </c>
      <c r="B214">
        <v>122749</v>
      </c>
      <c r="C214">
        <v>4</v>
      </c>
      <c r="D214" t="s">
        <v>479</v>
      </c>
      <c r="E214" t="s">
        <v>463</v>
      </c>
      <c r="F214">
        <v>72</v>
      </c>
      <c r="G214">
        <v>31.62</v>
      </c>
      <c r="H214">
        <v>104.56</v>
      </c>
      <c r="I214">
        <v>23.83</v>
      </c>
      <c r="J214">
        <v>78.790000000000006</v>
      </c>
      <c r="K214">
        <v>24</v>
      </c>
      <c r="T214">
        <v>3</v>
      </c>
      <c r="U214">
        <v>2</v>
      </c>
      <c r="V214" t="s">
        <v>82</v>
      </c>
      <c r="W214" t="s">
        <v>483</v>
      </c>
      <c r="X214">
        <v>14</v>
      </c>
      <c r="Y214">
        <v>14</v>
      </c>
      <c r="Z214" t="s">
        <v>480</v>
      </c>
      <c r="AA214" t="s">
        <v>481</v>
      </c>
      <c r="AB214" t="s">
        <v>85</v>
      </c>
      <c r="AC214" t="s">
        <v>86</v>
      </c>
      <c r="AD214" t="s">
        <v>87</v>
      </c>
      <c r="AE214" t="s">
        <v>475</v>
      </c>
      <c r="AG214" t="s">
        <v>482</v>
      </c>
      <c r="AH214">
        <v>0</v>
      </c>
      <c r="AI214">
        <v>494</v>
      </c>
      <c r="AJ214">
        <v>69</v>
      </c>
      <c r="AK214">
        <v>75</v>
      </c>
      <c r="AL214">
        <v>1.04</v>
      </c>
    </row>
    <row r="215" spans="1:38" x14ac:dyDescent="0.3">
      <c r="A215" t="s">
        <v>469</v>
      </c>
      <c r="B215">
        <v>122749</v>
      </c>
      <c r="C215">
        <v>5</v>
      </c>
      <c r="D215" t="s">
        <v>479</v>
      </c>
      <c r="E215" t="s">
        <v>463</v>
      </c>
      <c r="F215">
        <v>72</v>
      </c>
      <c r="G215">
        <v>32.31</v>
      </c>
      <c r="H215">
        <v>106.82</v>
      </c>
      <c r="I215">
        <v>24.48</v>
      </c>
      <c r="J215">
        <v>80.94</v>
      </c>
      <c r="K215">
        <v>12</v>
      </c>
      <c r="T215">
        <v>3</v>
      </c>
      <c r="U215">
        <v>2</v>
      </c>
      <c r="V215" t="s">
        <v>82</v>
      </c>
      <c r="W215" t="s">
        <v>311</v>
      </c>
      <c r="X215">
        <v>14</v>
      </c>
      <c r="Y215">
        <v>14</v>
      </c>
      <c r="Z215" t="s">
        <v>480</v>
      </c>
      <c r="AA215" t="s">
        <v>481</v>
      </c>
      <c r="AB215" t="s">
        <v>85</v>
      </c>
      <c r="AC215" t="s">
        <v>86</v>
      </c>
      <c r="AD215" t="s">
        <v>87</v>
      </c>
      <c r="AE215" t="s">
        <v>475</v>
      </c>
      <c r="AG215" t="s">
        <v>482</v>
      </c>
      <c r="AH215">
        <v>0</v>
      </c>
      <c r="AI215">
        <v>494</v>
      </c>
      <c r="AJ215">
        <v>69</v>
      </c>
      <c r="AK215">
        <v>75</v>
      </c>
      <c r="AL215">
        <v>1.04</v>
      </c>
    </row>
    <row r="216" spans="1:38" x14ac:dyDescent="0.3">
      <c r="A216" t="s">
        <v>469</v>
      </c>
      <c r="B216">
        <v>134491</v>
      </c>
      <c r="C216">
        <v>1</v>
      </c>
      <c r="D216" t="s">
        <v>484</v>
      </c>
      <c r="E216" t="s">
        <v>299</v>
      </c>
      <c r="F216">
        <v>24</v>
      </c>
      <c r="G216">
        <v>28.97</v>
      </c>
      <c r="H216">
        <v>95.8</v>
      </c>
      <c r="I216">
        <v>21.89</v>
      </c>
      <c r="J216">
        <v>72.38</v>
      </c>
      <c r="K216">
        <v>24</v>
      </c>
      <c r="T216">
        <v>3</v>
      </c>
      <c r="U216">
        <v>2</v>
      </c>
      <c r="V216" t="s">
        <v>82</v>
      </c>
      <c r="W216">
        <v>95</v>
      </c>
      <c r="X216">
        <v>14</v>
      </c>
      <c r="Y216">
        <v>14</v>
      </c>
      <c r="Z216" t="s">
        <v>485</v>
      </c>
      <c r="AA216" t="s">
        <v>486</v>
      </c>
      <c r="AB216" t="s">
        <v>85</v>
      </c>
      <c r="AC216" t="s">
        <v>86</v>
      </c>
      <c r="AD216" t="s">
        <v>87</v>
      </c>
      <c r="AE216" t="s">
        <v>475</v>
      </c>
      <c r="AG216" t="s">
        <v>487</v>
      </c>
      <c r="AH216">
        <v>0</v>
      </c>
      <c r="AI216">
        <v>219</v>
      </c>
      <c r="AJ216">
        <v>42</v>
      </c>
      <c r="AK216">
        <v>29</v>
      </c>
      <c r="AL216">
        <v>1.21</v>
      </c>
    </row>
    <row r="217" spans="1:38" x14ac:dyDescent="0.3">
      <c r="A217" t="s">
        <v>469</v>
      </c>
      <c r="B217">
        <v>7563</v>
      </c>
      <c r="C217">
        <v>1</v>
      </c>
      <c r="D217" t="s">
        <v>488</v>
      </c>
      <c r="E217" t="s">
        <v>489</v>
      </c>
      <c r="F217">
        <v>174</v>
      </c>
      <c r="G217">
        <v>21.43</v>
      </c>
      <c r="H217">
        <v>70.86</v>
      </c>
      <c r="I217">
        <v>17.760000000000002</v>
      </c>
      <c r="J217">
        <v>58.74</v>
      </c>
      <c r="K217">
        <v>6</v>
      </c>
      <c r="T217">
        <v>2</v>
      </c>
      <c r="U217">
        <v>1</v>
      </c>
      <c r="V217" t="s">
        <v>82</v>
      </c>
      <c r="W217">
        <v>70</v>
      </c>
      <c r="X217">
        <v>8</v>
      </c>
      <c r="Y217">
        <v>3</v>
      </c>
      <c r="Z217" t="s">
        <v>490</v>
      </c>
      <c r="AA217" t="s">
        <v>491</v>
      </c>
      <c r="AB217" t="s">
        <v>85</v>
      </c>
      <c r="AC217" t="s">
        <v>86</v>
      </c>
      <c r="AD217" t="s">
        <v>87</v>
      </c>
      <c r="AE217" t="s">
        <v>475</v>
      </c>
      <c r="AG217" t="s">
        <v>492</v>
      </c>
      <c r="AH217">
        <v>0</v>
      </c>
      <c r="AI217">
        <v>197</v>
      </c>
      <c r="AJ217">
        <v>41</v>
      </c>
      <c r="AK217">
        <v>110</v>
      </c>
      <c r="AL217">
        <v>0.63</v>
      </c>
    </row>
    <row r="218" spans="1:38" x14ac:dyDescent="0.3">
      <c r="A218" t="s">
        <v>469</v>
      </c>
      <c r="B218">
        <v>7563</v>
      </c>
      <c r="C218">
        <v>2</v>
      </c>
      <c r="D218" t="s">
        <v>488</v>
      </c>
      <c r="E218" t="s">
        <v>489</v>
      </c>
      <c r="F218">
        <v>174</v>
      </c>
      <c r="G218">
        <v>22.68</v>
      </c>
      <c r="H218">
        <v>74.989999999999995</v>
      </c>
      <c r="I218">
        <v>18.100000000000001</v>
      </c>
      <c r="J218">
        <v>59.86</v>
      </c>
      <c r="K218">
        <v>64</v>
      </c>
      <c r="T218">
        <v>2</v>
      </c>
      <c r="U218">
        <v>1</v>
      </c>
      <c r="V218" t="s">
        <v>82</v>
      </c>
      <c r="W218">
        <v>74</v>
      </c>
      <c r="X218">
        <v>8</v>
      </c>
      <c r="Y218">
        <v>3</v>
      </c>
      <c r="Z218" t="s">
        <v>490</v>
      </c>
      <c r="AA218" t="s">
        <v>491</v>
      </c>
      <c r="AB218" t="s">
        <v>85</v>
      </c>
      <c r="AC218" t="s">
        <v>86</v>
      </c>
      <c r="AD218" t="s">
        <v>87</v>
      </c>
      <c r="AE218" t="s">
        <v>475</v>
      </c>
      <c r="AG218" t="s">
        <v>492</v>
      </c>
      <c r="AH218">
        <v>0</v>
      </c>
      <c r="AI218">
        <v>197</v>
      </c>
      <c r="AJ218">
        <v>41</v>
      </c>
      <c r="AK218">
        <v>110</v>
      </c>
      <c r="AL218">
        <v>0.63</v>
      </c>
    </row>
    <row r="219" spans="1:38" x14ac:dyDescent="0.3">
      <c r="A219" t="s">
        <v>469</v>
      </c>
      <c r="B219">
        <v>7563</v>
      </c>
      <c r="C219">
        <v>3</v>
      </c>
      <c r="D219" t="s">
        <v>488</v>
      </c>
      <c r="E219" t="s">
        <v>489</v>
      </c>
      <c r="F219">
        <v>174</v>
      </c>
      <c r="G219">
        <v>26.63</v>
      </c>
      <c r="H219">
        <v>88.04</v>
      </c>
      <c r="I219">
        <v>21.77</v>
      </c>
      <c r="J219">
        <v>71.989999999999995</v>
      </c>
      <c r="K219">
        <v>32</v>
      </c>
      <c r="T219">
        <v>3</v>
      </c>
      <c r="U219">
        <v>1</v>
      </c>
      <c r="V219" t="s">
        <v>82</v>
      </c>
      <c r="W219">
        <v>88</v>
      </c>
      <c r="X219">
        <v>8</v>
      </c>
      <c r="Y219">
        <v>3</v>
      </c>
      <c r="Z219" t="s">
        <v>490</v>
      </c>
      <c r="AA219" t="s">
        <v>491</v>
      </c>
      <c r="AB219" t="s">
        <v>85</v>
      </c>
      <c r="AC219" t="s">
        <v>86</v>
      </c>
      <c r="AD219" t="s">
        <v>87</v>
      </c>
      <c r="AE219" t="s">
        <v>475</v>
      </c>
      <c r="AG219" t="s">
        <v>492</v>
      </c>
      <c r="AH219">
        <v>0</v>
      </c>
      <c r="AI219">
        <v>197</v>
      </c>
      <c r="AJ219">
        <v>41</v>
      </c>
      <c r="AK219">
        <v>110</v>
      </c>
      <c r="AL219">
        <v>0.63</v>
      </c>
    </row>
    <row r="220" spans="1:38" x14ac:dyDescent="0.3">
      <c r="A220" t="s">
        <v>469</v>
      </c>
      <c r="B220">
        <v>7563</v>
      </c>
      <c r="C220">
        <v>4</v>
      </c>
      <c r="D220" t="s">
        <v>488</v>
      </c>
      <c r="E220" t="s">
        <v>489</v>
      </c>
      <c r="F220">
        <v>174</v>
      </c>
      <c r="G220">
        <v>29.5</v>
      </c>
      <c r="H220">
        <v>97.54</v>
      </c>
      <c r="I220">
        <v>25.6</v>
      </c>
      <c r="J220">
        <v>84.63</v>
      </c>
      <c r="K220">
        <v>24</v>
      </c>
      <c r="T220">
        <v>3</v>
      </c>
      <c r="U220">
        <v>2</v>
      </c>
      <c r="V220" t="s">
        <v>82</v>
      </c>
      <c r="W220">
        <v>97</v>
      </c>
      <c r="X220">
        <v>8</v>
      </c>
      <c r="Y220">
        <v>3</v>
      </c>
      <c r="Z220" t="s">
        <v>490</v>
      </c>
      <c r="AA220" t="s">
        <v>491</v>
      </c>
      <c r="AB220" t="s">
        <v>85</v>
      </c>
      <c r="AC220" t="s">
        <v>86</v>
      </c>
      <c r="AD220" t="s">
        <v>87</v>
      </c>
      <c r="AE220" t="s">
        <v>475</v>
      </c>
      <c r="AG220" t="s">
        <v>492</v>
      </c>
      <c r="AH220">
        <v>0</v>
      </c>
      <c r="AI220">
        <v>197</v>
      </c>
      <c r="AJ220">
        <v>41</v>
      </c>
      <c r="AK220">
        <v>110</v>
      </c>
      <c r="AL220">
        <v>0.63</v>
      </c>
    </row>
    <row r="221" spans="1:38" x14ac:dyDescent="0.3">
      <c r="A221" t="s">
        <v>469</v>
      </c>
      <c r="B221">
        <v>7563</v>
      </c>
      <c r="C221">
        <v>5</v>
      </c>
      <c r="D221" t="s">
        <v>488</v>
      </c>
      <c r="E221" t="s">
        <v>489</v>
      </c>
      <c r="F221">
        <v>174</v>
      </c>
      <c r="G221">
        <v>30.8</v>
      </c>
      <c r="H221">
        <v>101.82</v>
      </c>
      <c r="I221">
        <v>25.65</v>
      </c>
      <c r="J221">
        <v>84.8</v>
      </c>
      <c r="K221">
        <v>48</v>
      </c>
      <c r="T221">
        <v>3</v>
      </c>
      <c r="U221">
        <v>2</v>
      </c>
      <c r="V221" t="s">
        <v>82</v>
      </c>
      <c r="W221">
        <v>101</v>
      </c>
      <c r="X221">
        <v>8</v>
      </c>
      <c r="Y221">
        <v>3</v>
      </c>
      <c r="Z221" t="s">
        <v>490</v>
      </c>
      <c r="AA221" t="s">
        <v>491</v>
      </c>
      <c r="AB221" t="s">
        <v>85</v>
      </c>
      <c r="AC221" t="s">
        <v>86</v>
      </c>
      <c r="AD221" t="s">
        <v>87</v>
      </c>
      <c r="AE221" t="s">
        <v>475</v>
      </c>
      <c r="AG221" t="s">
        <v>492</v>
      </c>
      <c r="AH221">
        <v>0</v>
      </c>
      <c r="AI221">
        <v>197</v>
      </c>
      <c r="AJ221">
        <v>41</v>
      </c>
      <c r="AK221">
        <v>110</v>
      </c>
      <c r="AL221">
        <v>0.63</v>
      </c>
    </row>
    <row r="222" spans="1:38" x14ac:dyDescent="0.3">
      <c r="A222" t="s">
        <v>493</v>
      </c>
      <c r="B222">
        <v>105289</v>
      </c>
      <c r="C222">
        <v>1</v>
      </c>
      <c r="D222" t="s">
        <v>494</v>
      </c>
      <c r="E222" t="s">
        <v>347</v>
      </c>
      <c r="F222">
        <v>340</v>
      </c>
      <c r="G222">
        <v>24.31</v>
      </c>
      <c r="H222">
        <v>80.37</v>
      </c>
      <c r="I222">
        <v>18.12</v>
      </c>
      <c r="J222">
        <v>59.92</v>
      </c>
      <c r="K222">
        <v>56</v>
      </c>
      <c r="T222">
        <v>3</v>
      </c>
      <c r="U222">
        <v>2</v>
      </c>
      <c r="V222" t="s">
        <v>82</v>
      </c>
      <c r="W222">
        <v>80</v>
      </c>
      <c r="X222">
        <v>28</v>
      </c>
      <c r="Y222">
        <v>15</v>
      </c>
      <c r="Z222" t="s">
        <v>495</v>
      </c>
      <c r="AA222" t="s">
        <v>496</v>
      </c>
      <c r="AB222" t="s">
        <v>85</v>
      </c>
      <c r="AC222" t="s">
        <v>86</v>
      </c>
      <c r="AD222" t="s">
        <v>87</v>
      </c>
      <c r="AE222" t="s">
        <v>497</v>
      </c>
      <c r="AG222" t="s">
        <v>498</v>
      </c>
      <c r="AH222">
        <v>0</v>
      </c>
      <c r="AI222">
        <v>222</v>
      </c>
      <c r="AJ222">
        <v>19</v>
      </c>
      <c r="AK222">
        <v>419</v>
      </c>
      <c r="AL222">
        <v>1.23</v>
      </c>
    </row>
    <row r="223" spans="1:38" x14ac:dyDescent="0.3">
      <c r="A223" t="s">
        <v>493</v>
      </c>
      <c r="B223">
        <v>105289</v>
      </c>
      <c r="C223">
        <v>2</v>
      </c>
      <c r="D223" t="s">
        <v>494</v>
      </c>
      <c r="E223" t="s">
        <v>347</v>
      </c>
      <c r="F223">
        <v>340</v>
      </c>
      <c r="G223">
        <v>33.97</v>
      </c>
      <c r="H223">
        <v>112.31</v>
      </c>
      <c r="I223">
        <v>25.67</v>
      </c>
      <c r="J223">
        <v>84.89</v>
      </c>
      <c r="K223">
        <v>284</v>
      </c>
      <c r="T223">
        <v>3</v>
      </c>
      <c r="U223">
        <v>2</v>
      </c>
      <c r="V223" t="s">
        <v>82</v>
      </c>
      <c r="W223">
        <v>112</v>
      </c>
      <c r="X223">
        <v>28</v>
      </c>
      <c r="Y223">
        <v>15</v>
      </c>
      <c r="Z223" t="s">
        <v>495</v>
      </c>
      <c r="AA223" t="s">
        <v>496</v>
      </c>
      <c r="AB223" t="s">
        <v>85</v>
      </c>
      <c r="AC223" t="s">
        <v>86</v>
      </c>
      <c r="AD223" t="s">
        <v>87</v>
      </c>
      <c r="AE223" t="s">
        <v>497</v>
      </c>
      <c r="AG223" t="s">
        <v>498</v>
      </c>
      <c r="AH223">
        <v>0</v>
      </c>
      <c r="AI223">
        <v>222</v>
      </c>
      <c r="AJ223">
        <v>19</v>
      </c>
      <c r="AK223">
        <v>419</v>
      </c>
      <c r="AL223">
        <v>1.23</v>
      </c>
    </row>
    <row r="224" spans="1:38" x14ac:dyDescent="0.3">
      <c r="A224" t="s">
        <v>493</v>
      </c>
      <c r="B224">
        <v>105290</v>
      </c>
      <c r="C224">
        <v>1</v>
      </c>
      <c r="D224" t="s">
        <v>499</v>
      </c>
      <c r="E224" t="s">
        <v>347</v>
      </c>
      <c r="F224">
        <v>452</v>
      </c>
      <c r="G224">
        <v>24.3</v>
      </c>
      <c r="H224">
        <v>80.36</v>
      </c>
      <c r="I224">
        <v>18.12</v>
      </c>
      <c r="J224">
        <v>59.92</v>
      </c>
      <c r="K224">
        <v>112</v>
      </c>
      <c r="T224">
        <v>3</v>
      </c>
      <c r="U224">
        <v>2</v>
      </c>
      <c r="V224" t="s">
        <v>82</v>
      </c>
      <c r="W224">
        <v>80</v>
      </c>
      <c r="X224">
        <v>29</v>
      </c>
      <c r="Y224">
        <v>29</v>
      </c>
      <c r="Z224" t="s">
        <v>500</v>
      </c>
      <c r="AA224" t="s">
        <v>501</v>
      </c>
      <c r="AB224" t="s">
        <v>85</v>
      </c>
      <c r="AC224" t="s">
        <v>86</v>
      </c>
      <c r="AD224" t="s">
        <v>87</v>
      </c>
      <c r="AE224" t="s">
        <v>497</v>
      </c>
      <c r="AG224" t="s">
        <v>502</v>
      </c>
      <c r="AH224">
        <v>0</v>
      </c>
      <c r="AI224">
        <v>229</v>
      </c>
      <c r="AJ224">
        <v>17</v>
      </c>
      <c r="AK224">
        <v>559</v>
      </c>
      <c r="AL224">
        <v>1.24</v>
      </c>
    </row>
    <row r="225" spans="1:38" x14ac:dyDescent="0.3">
      <c r="A225" t="s">
        <v>493</v>
      </c>
      <c r="B225">
        <v>105290</v>
      </c>
      <c r="C225">
        <v>2</v>
      </c>
      <c r="D225" t="s">
        <v>499</v>
      </c>
      <c r="E225" t="s">
        <v>347</v>
      </c>
      <c r="F225">
        <v>452</v>
      </c>
      <c r="G225">
        <v>33.97</v>
      </c>
      <c r="H225">
        <v>112.3</v>
      </c>
      <c r="I225">
        <v>25.67</v>
      </c>
      <c r="J225">
        <v>84.89</v>
      </c>
      <c r="K225">
        <v>340</v>
      </c>
      <c r="T225">
        <v>3</v>
      </c>
      <c r="U225">
        <v>2</v>
      </c>
      <c r="V225" t="s">
        <v>82</v>
      </c>
      <c r="W225">
        <v>112</v>
      </c>
      <c r="X225">
        <v>29</v>
      </c>
      <c r="Y225">
        <v>29</v>
      </c>
      <c r="Z225" t="s">
        <v>500</v>
      </c>
      <c r="AA225" t="s">
        <v>501</v>
      </c>
      <c r="AB225" t="s">
        <v>85</v>
      </c>
      <c r="AC225" t="s">
        <v>86</v>
      </c>
      <c r="AD225" t="s">
        <v>87</v>
      </c>
      <c r="AE225" t="s">
        <v>497</v>
      </c>
      <c r="AG225" t="s">
        <v>502</v>
      </c>
      <c r="AH225">
        <v>0</v>
      </c>
      <c r="AI225">
        <v>229</v>
      </c>
      <c r="AJ225">
        <v>17</v>
      </c>
      <c r="AK225">
        <v>559</v>
      </c>
      <c r="AL225">
        <v>1.24</v>
      </c>
    </row>
    <row r="226" spans="1:38" x14ac:dyDescent="0.3">
      <c r="A226" t="s">
        <v>493</v>
      </c>
      <c r="B226">
        <v>15440</v>
      </c>
      <c r="C226">
        <v>1</v>
      </c>
      <c r="D226" t="s">
        <v>503</v>
      </c>
      <c r="E226" t="s">
        <v>93</v>
      </c>
      <c r="F226">
        <v>869</v>
      </c>
      <c r="G226">
        <v>33.340000000000003</v>
      </c>
      <c r="H226">
        <v>110.22</v>
      </c>
      <c r="I226">
        <v>25.7</v>
      </c>
      <c r="J226">
        <v>84.98</v>
      </c>
      <c r="K226">
        <v>479</v>
      </c>
      <c r="T226">
        <v>3</v>
      </c>
      <c r="U226">
        <v>2</v>
      </c>
      <c r="V226" t="s">
        <v>82</v>
      </c>
      <c r="W226">
        <v>110</v>
      </c>
      <c r="X226">
        <v>15</v>
      </c>
      <c r="Y226">
        <v>15</v>
      </c>
      <c r="Z226" t="s">
        <v>504</v>
      </c>
      <c r="AA226" t="s">
        <v>505</v>
      </c>
      <c r="AB226" t="s">
        <v>85</v>
      </c>
      <c r="AC226" t="s">
        <v>86</v>
      </c>
      <c r="AD226" t="s">
        <v>87</v>
      </c>
      <c r="AE226" t="s">
        <v>497</v>
      </c>
      <c r="AG226" t="s">
        <v>506</v>
      </c>
      <c r="AH226">
        <v>0</v>
      </c>
      <c r="AI226">
        <v>212</v>
      </c>
      <c r="AJ226">
        <v>18</v>
      </c>
      <c r="AK226">
        <v>1013</v>
      </c>
      <c r="AL226">
        <v>1.17</v>
      </c>
    </row>
    <row r="227" spans="1:38" x14ac:dyDescent="0.3">
      <c r="A227" t="s">
        <v>493</v>
      </c>
      <c r="B227">
        <v>15440</v>
      </c>
      <c r="C227">
        <v>2</v>
      </c>
      <c r="D227" t="s">
        <v>503</v>
      </c>
      <c r="E227" t="s">
        <v>93</v>
      </c>
      <c r="F227">
        <v>869</v>
      </c>
      <c r="G227">
        <v>40.549999999999997</v>
      </c>
      <c r="H227">
        <v>134.07</v>
      </c>
      <c r="I227">
        <v>30.77</v>
      </c>
      <c r="J227">
        <v>101.72</v>
      </c>
      <c r="K227">
        <v>300</v>
      </c>
      <c r="T227">
        <v>3</v>
      </c>
      <c r="U227">
        <v>2</v>
      </c>
      <c r="V227" t="s">
        <v>82</v>
      </c>
      <c r="W227">
        <v>134</v>
      </c>
      <c r="X227">
        <v>15</v>
      </c>
      <c r="Y227">
        <v>15</v>
      </c>
      <c r="Z227" t="s">
        <v>504</v>
      </c>
      <c r="AA227" t="s">
        <v>505</v>
      </c>
      <c r="AB227" t="s">
        <v>85</v>
      </c>
      <c r="AC227" t="s">
        <v>86</v>
      </c>
      <c r="AD227" t="s">
        <v>87</v>
      </c>
      <c r="AE227" t="s">
        <v>497</v>
      </c>
      <c r="AG227" t="s">
        <v>506</v>
      </c>
      <c r="AH227">
        <v>0</v>
      </c>
      <c r="AI227">
        <v>212</v>
      </c>
      <c r="AJ227">
        <v>18</v>
      </c>
      <c r="AK227">
        <v>1013</v>
      </c>
      <c r="AL227">
        <v>1.17</v>
      </c>
    </row>
    <row r="228" spans="1:38" x14ac:dyDescent="0.3">
      <c r="A228" t="s">
        <v>493</v>
      </c>
      <c r="B228">
        <v>15440</v>
      </c>
      <c r="C228">
        <v>3</v>
      </c>
      <c r="D228" t="s">
        <v>503</v>
      </c>
      <c r="E228" t="s">
        <v>93</v>
      </c>
      <c r="F228">
        <v>869</v>
      </c>
      <c r="G228">
        <v>47.92</v>
      </c>
      <c r="H228">
        <v>158.43</v>
      </c>
      <c r="I228">
        <v>36.72</v>
      </c>
      <c r="J228">
        <v>121.41</v>
      </c>
      <c r="K228">
        <v>90</v>
      </c>
      <c r="T228">
        <v>4</v>
      </c>
      <c r="U228">
        <v>2</v>
      </c>
      <c r="V228" t="s">
        <v>82</v>
      </c>
      <c r="W228">
        <v>158</v>
      </c>
      <c r="X228">
        <v>15</v>
      </c>
      <c r="Y228">
        <v>15</v>
      </c>
      <c r="Z228" t="s">
        <v>504</v>
      </c>
      <c r="AA228" t="s">
        <v>505</v>
      </c>
      <c r="AB228" t="s">
        <v>85</v>
      </c>
      <c r="AC228" t="s">
        <v>86</v>
      </c>
      <c r="AD228" t="s">
        <v>87</v>
      </c>
      <c r="AE228" t="s">
        <v>497</v>
      </c>
      <c r="AG228" t="s">
        <v>506</v>
      </c>
      <c r="AH228">
        <v>0</v>
      </c>
      <c r="AI228">
        <v>212</v>
      </c>
      <c r="AJ228">
        <v>18</v>
      </c>
      <c r="AK228">
        <v>1013</v>
      </c>
      <c r="AL228">
        <v>1.17</v>
      </c>
    </row>
    <row r="229" spans="1:38" x14ac:dyDescent="0.3">
      <c r="A229" t="s">
        <v>493</v>
      </c>
      <c r="B229">
        <v>128363</v>
      </c>
      <c r="C229">
        <v>1</v>
      </c>
      <c r="D229" t="s">
        <v>507</v>
      </c>
      <c r="E229" t="s">
        <v>508</v>
      </c>
      <c r="F229">
        <v>539</v>
      </c>
      <c r="G229">
        <v>34.049999999999997</v>
      </c>
      <c r="H229">
        <v>112.59</v>
      </c>
      <c r="I229">
        <v>25.7</v>
      </c>
      <c r="J229">
        <v>84.99</v>
      </c>
      <c r="K229">
        <v>357</v>
      </c>
      <c r="T229">
        <v>3</v>
      </c>
      <c r="U229">
        <v>2</v>
      </c>
      <c r="V229" t="s">
        <v>82</v>
      </c>
      <c r="W229" t="s">
        <v>509</v>
      </c>
      <c r="X229">
        <v>25</v>
      </c>
      <c r="Y229">
        <v>13</v>
      </c>
      <c r="Z229" t="s">
        <v>510</v>
      </c>
      <c r="AA229" t="s">
        <v>511</v>
      </c>
      <c r="AB229" t="s">
        <v>85</v>
      </c>
      <c r="AC229" t="s">
        <v>86</v>
      </c>
      <c r="AD229" t="s">
        <v>87</v>
      </c>
      <c r="AE229" t="s">
        <v>497</v>
      </c>
      <c r="AG229" t="s">
        <v>512</v>
      </c>
      <c r="AH229">
        <v>539</v>
      </c>
      <c r="AI229">
        <v>227</v>
      </c>
      <c r="AJ229">
        <v>17</v>
      </c>
      <c r="AK229">
        <v>601</v>
      </c>
      <c r="AL229">
        <v>1.1200000000000001</v>
      </c>
    </row>
    <row r="230" spans="1:38" x14ac:dyDescent="0.3">
      <c r="A230" t="s">
        <v>493</v>
      </c>
      <c r="B230">
        <v>128363</v>
      </c>
      <c r="C230">
        <v>2</v>
      </c>
      <c r="D230" t="s">
        <v>507</v>
      </c>
      <c r="E230" t="s">
        <v>508</v>
      </c>
      <c r="F230">
        <v>539</v>
      </c>
      <c r="G230">
        <v>34.270000000000003</v>
      </c>
      <c r="H230">
        <v>113.3</v>
      </c>
      <c r="I230">
        <v>25.69</v>
      </c>
      <c r="J230">
        <v>84.93</v>
      </c>
      <c r="K230">
        <v>95</v>
      </c>
      <c r="T230">
        <v>3</v>
      </c>
      <c r="U230">
        <v>2</v>
      </c>
      <c r="V230" t="s">
        <v>82</v>
      </c>
      <c r="W230" t="s">
        <v>513</v>
      </c>
      <c r="X230">
        <v>25</v>
      </c>
      <c r="Y230">
        <v>13</v>
      </c>
      <c r="Z230" t="s">
        <v>510</v>
      </c>
      <c r="AA230" t="s">
        <v>511</v>
      </c>
      <c r="AB230" t="s">
        <v>85</v>
      </c>
      <c r="AC230" t="s">
        <v>86</v>
      </c>
      <c r="AD230" t="s">
        <v>87</v>
      </c>
      <c r="AE230" t="s">
        <v>497</v>
      </c>
      <c r="AG230" t="s">
        <v>512</v>
      </c>
      <c r="AH230">
        <v>539</v>
      </c>
      <c r="AI230">
        <v>227</v>
      </c>
      <c r="AJ230">
        <v>17</v>
      </c>
      <c r="AK230">
        <v>601</v>
      </c>
      <c r="AL230">
        <v>1.1200000000000001</v>
      </c>
    </row>
    <row r="231" spans="1:38" x14ac:dyDescent="0.3">
      <c r="A231" t="s">
        <v>493</v>
      </c>
      <c r="B231">
        <v>128363</v>
      </c>
      <c r="C231">
        <v>3</v>
      </c>
      <c r="D231" t="s">
        <v>507</v>
      </c>
      <c r="E231" t="s">
        <v>508</v>
      </c>
      <c r="F231">
        <v>539</v>
      </c>
      <c r="G231">
        <v>34.24</v>
      </c>
      <c r="H231">
        <v>113.22</v>
      </c>
      <c r="I231">
        <v>25.59</v>
      </c>
      <c r="J231">
        <v>84.62</v>
      </c>
      <c r="K231">
        <v>87</v>
      </c>
      <c r="T231">
        <v>3</v>
      </c>
      <c r="U231">
        <v>2</v>
      </c>
      <c r="V231" t="s">
        <v>82</v>
      </c>
      <c r="W231" t="s">
        <v>514</v>
      </c>
      <c r="X231">
        <v>25</v>
      </c>
      <c r="Y231">
        <v>13</v>
      </c>
      <c r="Z231" t="s">
        <v>510</v>
      </c>
      <c r="AA231" t="s">
        <v>511</v>
      </c>
      <c r="AB231" t="s">
        <v>85</v>
      </c>
      <c r="AC231" t="s">
        <v>86</v>
      </c>
      <c r="AD231" t="s">
        <v>87</v>
      </c>
      <c r="AE231" t="s">
        <v>497</v>
      </c>
      <c r="AG231" t="s">
        <v>512</v>
      </c>
      <c r="AH231">
        <v>539</v>
      </c>
      <c r="AI231">
        <v>227</v>
      </c>
      <c r="AJ231">
        <v>17</v>
      </c>
      <c r="AK231">
        <v>601</v>
      </c>
      <c r="AL231">
        <v>1.1200000000000001</v>
      </c>
    </row>
    <row r="232" spans="1:38" x14ac:dyDescent="0.3">
      <c r="A232" t="s">
        <v>493</v>
      </c>
      <c r="B232">
        <v>13909</v>
      </c>
      <c r="C232">
        <v>1</v>
      </c>
      <c r="D232" t="s">
        <v>515</v>
      </c>
      <c r="E232" t="s">
        <v>516</v>
      </c>
      <c r="F232">
        <v>897</v>
      </c>
      <c r="G232">
        <v>34.049999999999997</v>
      </c>
      <c r="H232">
        <v>112.59</v>
      </c>
      <c r="I232">
        <v>25.62</v>
      </c>
      <c r="J232">
        <v>84.71</v>
      </c>
      <c r="K232">
        <v>597</v>
      </c>
      <c r="T232">
        <v>3</v>
      </c>
      <c r="U232">
        <v>2</v>
      </c>
      <c r="V232" t="s">
        <v>82</v>
      </c>
      <c r="W232" t="s">
        <v>509</v>
      </c>
      <c r="X232">
        <v>15</v>
      </c>
      <c r="Y232">
        <v>13</v>
      </c>
      <c r="Z232" t="s">
        <v>517</v>
      </c>
      <c r="AA232" t="s">
        <v>518</v>
      </c>
      <c r="AB232" t="s">
        <v>85</v>
      </c>
      <c r="AC232" t="s">
        <v>86</v>
      </c>
      <c r="AD232" t="s">
        <v>87</v>
      </c>
      <c r="AE232" t="s">
        <v>497</v>
      </c>
      <c r="AG232" t="s">
        <v>519</v>
      </c>
      <c r="AH232">
        <v>0</v>
      </c>
      <c r="AI232">
        <v>207</v>
      </c>
      <c r="AJ232">
        <v>16</v>
      </c>
      <c r="AK232">
        <v>909</v>
      </c>
      <c r="AL232">
        <v>1.01</v>
      </c>
    </row>
    <row r="233" spans="1:38" x14ac:dyDescent="0.3">
      <c r="A233" t="s">
        <v>493</v>
      </c>
      <c r="B233">
        <v>13909</v>
      </c>
      <c r="C233">
        <v>2</v>
      </c>
      <c r="D233" t="s">
        <v>515</v>
      </c>
      <c r="E233" t="s">
        <v>516</v>
      </c>
      <c r="F233">
        <v>897</v>
      </c>
      <c r="G233">
        <v>34.049999999999997</v>
      </c>
      <c r="H233">
        <v>112.59</v>
      </c>
      <c r="I233">
        <v>25.62</v>
      </c>
      <c r="J233">
        <v>84.71</v>
      </c>
      <c r="K233">
        <v>180</v>
      </c>
      <c r="T233">
        <v>3</v>
      </c>
      <c r="U233">
        <v>2</v>
      </c>
      <c r="V233" t="s">
        <v>82</v>
      </c>
      <c r="W233" t="s">
        <v>122</v>
      </c>
      <c r="X233">
        <v>15</v>
      </c>
      <c r="Y233">
        <v>13</v>
      </c>
      <c r="Z233" t="s">
        <v>517</v>
      </c>
      <c r="AA233" t="s">
        <v>518</v>
      </c>
      <c r="AB233" t="s">
        <v>85</v>
      </c>
      <c r="AC233" t="s">
        <v>86</v>
      </c>
      <c r="AD233" t="s">
        <v>87</v>
      </c>
      <c r="AE233" t="s">
        <v>497</v>
      </c>
      <c r="AG233" t="s">
        <v>519</v>
      </c>
      <c r="AH233">
        <v>0</v>
      </c>
      <c r="AI233">
        <v>207</v>
      </c>
      <c r="AJ233">
        <v>16</v>
      </c>
      <c r="AK233">
        <v>909</v>
      </c>
      <c r="AL233">
        <v>1.01</v>
      </c>
    </row>
    <row r="234" spans="1:38" x14ac:dyDescent="0.3">
      <c r="A234" t="s">
        <v>493</v>
      </c>
      <c r="B234">
        <v>13909</v>
      </c>
      <c r="C234">
        <v>3</v>
      </c>
      <c r="D234" t="s">
        <v>515</v>
      </c>
      <c r="E234" t="s">
        <v>516</v>
      </c>
      <c r="F234">
        <v>897</v>
      </c>
      <c r="G234">
        <v>45.26</v>
      </c>
      <c r="H234">
        <v>149.63999999999999</v>
      </c>
      <c r="I234">
        <v>36.4</v>
      </c>
      <c r="J234">
        <v>120.35</v>
      </c>
      <c r="K234">
        <v>120</v>
      </c>
      <c r="T234">
        <v>4</v>
      </c>
      <c r="U234">
        <v>2</v>
      </c>
      <c r="V234" t="s">
        <v>82</v>
      </c>
      <c r="W234">
        <v>149</v>
      </c>
      <c r="X234">
        <v>15</v>
      </c>
      <c r="Y234">
        <v>13</v>
      </c>
      <c r="Z234" t="s">
        <v>517</v>
      </c>
      <c r="AA234" t="s">
        <v>518</v>
      </c>
      <c r="AB234" t="s">
        <v>85</v>
      </c>
      <c r="AC234" t="s">
        <v>86</v>
      </c>
      <c r="AD234" t="s">
        <v>87</v>
      </c>
      <c r="AE234" t="s">
        <v>497</v>
      </c>
      <c r="AG234" t="s">
        <v>519</v>
      </c>
      <c r="AH234">
        <v>0</v>
      </c>
      <c r="AI234">
        <v>207</v>
      </c>
      <c r="AJ234">
        <v>16</v>
      </c>
      <c r="AK234">
        <v>909</v>
      </c>
      <c r="AL234">
        <v>1.01</v>
      </c>
    </row>
    <row r="235" spans="1:38" x14ac:dyDescent="0.3">
      <c r="A235" t="s">
        <v>493</v>
      </c>
      <c r="B235">
        <v>107551</v>
      </c>
      <c r="C235">
        <v>1</v>
      </c>
      <c r="D235" t="s">
        <v>520</v>
      </c>
      <c r="E235" t="s">
        <v>521</v>
      </c>
      <c r="F235">
        <v>19</v>
      </c>
      <c r="G235">
        <v>30.18</v>
      </c>
      <c r="H235">
        <v>99.79</v>
      </c>
      <c r="I235">
        <v>25.53</v>
      </c>
      <c r="J235">
        <v>84.42</v>
      </c>
      <c r="K235">
        <v>19</v>
      </c>
      <c r="T235">
        <v>3</v>
      </c>
      <c r="U235">
        <v>2</v>
      </c>
      <c r="V235" t="s">
        <v>82</v>
      </c>
      <c r="W235">
        <v>99</v>
      </c>
      <c r="X235">
        <v>10</v>
      </c>
      <c r="Y235">
        <v>4</v>
      </c>
      <c r="Z235" t="s">
        <v>522</v>
      </c>
      <c r="AA235" t="s">
        <v>523</v>
      </c>
      <c r="AB235" t="s">
        <v>85</v>
      </c>
      <c r="AC235" t="s">
        <v>86</v>
      </c>
      <c r="AD235" t="s">
        <v>87</v>
      </c>
      <c r="AE235" t="s">
        <v>497</v>
      </c>
      <c r="AG235" t="s">
        <v>524</v>
      </c>
      <c r="AH235">
        <v>0</v>
      </c>
      <c r="AI235">
        <v>262</v>
      </c>
      <c r="AJ235">
        <v>37</v>
      </c>
      <c r="AK235">
        <v>8</v>
      </c>
      <c r="AL235">
        <v>0.42</v>
      </c>
    </row>
    <row r="236" spans="1:38" x14ac:dyDescent="0.3">
      <c r="A236" t="s">
        <v>493</v>
      </c>
      <c r="B236">
        <v>123264</v>
      </c>
      <c r="C236">
        <v>1</v>
      </c>
      <c r="D236" t="s">
        <v>525</v>
      </c>
      <c r="E236" t="s">
        <v>165</v>
      </c>
      <c r="F236">
        <v>126</v>
      </c>
      <c r="G236">
        <v>15.89</v>
      </c>
      <c r="H236">
        <v>52.53</v>
      </c>
      <c r="I236">
        <v>9.48</v>
      </c>
      <c r="J236">
        <v>31.37</v>
      </c>
      <c r="K236">
        <v>84</v>
      </c>
      <c r="T236">
        <v>1</v>
      </c>
      <c r="U236">
        <v>1</v>
      </c>
      <c r="V236" t="s">
        <v>82</v>
      </c>
      <c r="W236">
        <v>52</v>
      </c>
      <c r="X236">
        <v>5</v>
      </c>
      <c r="Y236">
        <v>5</v>
      </c>
      <c r="Z236" t="s">
        <v>526</v>
      </c>
      <c r="AA236" t="s">
        <v>527</v>
      </c>
      <c r="AB236" t="s">
        <v>85</v>
      </c>
      <c r="AC236" t="s">
        <v>86</v>
      </c>
      <c r="AD236" t="s">
        <v>87</v>
      </c>
      <c r="AE236" t="s">
        <v>497</v>
      </c>
      <c r="AG236" t="s">
        <v>528</v>
      </c>
      <c r="AH236">
        <v>0</v>
      </c>
      <c r="AI236">
        <v>237</v>
      </c>
      <c r="AJ236">
        <v>59</v>
      </c>
      <c r="AK236">
        <v>114</v>
      </c>
      <c r="AL236">
        <v>0.9</v>
      </c>
    </row>
    <row r="237" spans="1:38" x14ac:dyDescent="0.3">
      <c r="A237" t="s">
        <v>493</v>
      </c>
      <c r="B237">
        <v>123264</v>
      </c>
      <c r="C237">
        <v>2</v>
      </c>
      <c r="D237" t="s">
        <v>525</v>
      </c>
      <c r="E237" t="s">
        <v>165</v>
      </c>
      <c r="F237">
        <v>126</v>
      </c>
      <c r="G237">
        <v>24.08</v>
      </c>
      <c r="H237">
        <v>79.63</v>
      </c>
      <c r="I237">
        <v>14.38</v>
      </c>
      <c r="J237">
        <v>47.55</v>
      </c>
      <c r="K237">
        <v>12</v>
      </c>
      <c r="T237">
        <v>1</v>
      </c>
      <c r="U237">
        <v>1</v>
      </c>
      <c r="V237" t="s">
        <v>82</v>
      </c>
      <c r="W237">
        <v>79</v>
      </c>
      <c r="X237">
        <v>5</v>
      </c>
      <c r="Y237">
        <v>5</v>
      </c>
      <c r="Z237" t="s">
        <v>526</v>
      </c>
      <c r="AA237" t="s">
        <v>527</v>
      </c>
      <c r="AB237" t="s">
        <v>85</v>
      </c>
      <c r="AC237" t="s">
        <v>86</v>
      </c>
      <c r="AD237" t="s">
        <v>87</v>
      </c>
      <c r="AE237" t="s">
        <v>497</v>
      </c>
      <c r="AG237" t="s">
        <v>528</v>
      </c>
      <c r="AH237">
        <v>0</v>
      </c>
      <c r="AI237">
        <v>237</v>
      </c>
      <c r="AJ237">
        <v>59</v>
      </c>
      <c r="AK237">
        <v>114</v>
      </c>
      <c r="AL237">
        <v>0.9</v>
      </c>
    </row>
    <row r="238" spans="1:38" x14ac:dyDescent="0.3">
      <c r="A238" t="s">
        <v>493</v>
      </c>
      <c r="B238">
        <v>123264</v>
      </c>
      <c r="C238">
        <v>3</v>
      </c>
      <c r="D238" t="s">
        <v>525</v>
      </c>
      <c r="E238" t="s">
        <v>165</v>
      </c>
      <c r="F238">
        <v>126</v>
      </c>
      <c r="G238">
        <v>24.56</v>
      </c>
      <c r="H238">
        <v>81.2</v>
      </c>
      <c r="I238">
        <v>14.66</v>
      </c>
      <c r="J238">
        <v>48.49</v>
      </c>
      <c r="K238">
        <v>12</v>
      </c>
      <c r="T238">
        <v>1</v>
      </c>
      <c r="U238">
        <v>1</v>
      </c>
      <c r="V238" t="s">
        <v>82</v>
      </c>
      <c r="W238" t="s">
        <v>139</v>
      </c>
      <c r="X238">
        <v>5</v>
      </c>
      <c r="Y238">
        <v>5</v>
      </c>
      <c r="Z238" t="s">
        <v>526</v>
      </c>
      <c r="AA238" t="s">
        <v>527</v>
      </c>
      <c r="AB238" t="s">
        <v>85</v>
      </c>
      <c r="AC238" t="s">
        <v>86</v>
      </c>
      <c r="AD238" t="s">
        <v>87</v>
      </c>
      <c r="AE238" t="s">
        <v>497</v>
      </c>
      <c r="AG238" t="s">
        <v>528</v>
      </c>
      <c r="AH238">
        <v>0</v>
      </c>
      <c r="AI238">
        <v>237</v>
      </c>
      <c r="AJ238">
        <v>59</v>
      </c>
      <c r="AK238">
        <v>114</v>
      </c>
      <c r="AL238">
        <v>0.9</v>
      </c>
    </row>
    <row r="239" spans="1:38" x14ac:dyDescent="0.3">
      <c r="A239" t="s">
        <v>493</v>
      </c>
      <c r="B239">
        <v>123264</v>
      </c>
      <c r="C239">
        <v>4</v>
      </c>
      <c r="D239" t="s">
        <v>525</v>
      </c>
      <c r="E239" t="s">
        <v>165</v>
      </c>
      <c r="F239">
        <v>126</v>
      </c>
      <c r="G239">
        <v>25.1</v>
      </c>
      <c r="H239">
        <v>82.99</v>
      </c>
      <c r="I239">
        <v>14.99</v>
      </c>
      <c r="J239">
        <v>49.56</v>
      </c>
      <c r="K239">
        <v>18</v>
      </c>
      <c r="T239">
        <v>1</v>
      </c>
      <c r="U239">
        <v>1</v>
      </c>
      <c r="V239" t="s">
        <v>82</v>
      </c>
      <c r="W239" t="s">
        <v>529</v>
      </c>
      <c r="X239">
        <v>5</v>
      </c>
      <c r="Y239">
        <v>5</v>
      </c>
      <c r="Z239" t="s">
        <v>526</v>
      </c>
      <c r="AA239" t="s">
        <v>527</v>
      </c>
      <c r="AB239" t="s">
        <v>85</v>
      </c>
      <c r="AC239" t="s">
        <v>86</v>
      </c>
      <c r="AD239" t="s">
        <v>87</v>
      </c>
      <c r="AE239" t="s">
        <v>497</v>
      </c>
      <c r="AG239" t="s">
        <v>528</v>
      </c>
      <c r="AH239">
        <v>0</v>
      </c>
      <c r="AI239">
        <v>237</v>
      </c>
      <c r="AJ239">
        <v>59</v>
      </c>
      <c r="AK239">
        <v>114</v>
      </c>
      <c r="AL239">
        <v>0.9</v>
      </c>
    </row>
    <row r="240" spans="1:38" x14ac:dyDescent="0.3">
      <c r="A240" t="s">
        <v>493</v>
      </c>
      <c r="B240">
        <v>7566</v>
      </c>
      <c r="C240">
        <v>1</v>
      </c>
      <c r="D240" t="s">
        <v>530</v>
      </c>
      <c r="E240" t="s">
        <v>531</v>
      </c>
      <c r="F240">
        <v>508</v>
      </c>
      <c r="G240">
        <v>31.71</v>
      </c>
      <c r="H240">
        <v>104.84</v>
      </c>
      <c r="I240">
        <v>25.7</v>
      </c>
      <c r="J240">
        <v>84.97</v>
      </c>
      <c r="K240">
        <v>508</v>
      </c>
      <c r="T240">
        <v>3</v>
      </c>
      <c r="U240">
        <v>2</v>
      </c>
      <c r="V240" t="s">
        <v>82</v>
      </c>
      <c r="W240">
        <v>104</v>
      </c>
      <c r="X240">
        <v>15</v>
      </c>
      <c r="Y240">
        <v>13</v>
      </c>
      <c r="Z240" t="s">
        <v>532</v>
      </c>
      <c r="AA240" t="s">
        <v>533</v>
      </c>
      <c r="AB240" t="s">
        <v>85</v>
      </c>
      <c r="AC240" t="s">
        <v>86</v>
      </c>
      <c r="AD240" t="s">
        <v>87</v>
      </c>
      <c r="AE240" t="s">
        <v>497</v>
      </c>
      <c r="AG240" t="s">
        <v>534</v>
      </c>
      <c r="AH240">
        <v>0</v>
      </c>
      <c r="AI240">
        <v>207</v>
      </c>
      <c r="AJ240">
        <v>19</v>
      </c>
      <c r="AK240">
        <v>513</v>
      </c>
      <c r="AL240">
        <v>1.01</v>
      </c>
    </row>
    <row r="241" spans="1:38" x14ac:dyDescent="0.3">
      <c r="A241" t="s">
        <v>535</v>
      </c>
      <c r="B241">
        <v>112965</v>
      </c>
      <c r="C241">
        <v>1</v>
      </c>
      <c r="D241" t="s">
        <v>536</v>
      </c>
      <c r="E241" t="s">
        <v>537</v>
      </c>
      <c r="F241">
        <v>91</v>
      </c>
      <c r="G241">
        <v>14.88</v>
      </c>
      <c r="H241">
        <v>49.21</v>
      </c>
      <c r="I241">
        <v>10.76</v>
      </c>
      <c r="J241">
        <v>35.58</v>
      </c>
      <c r="K241">
        <v>91</v>
      </c>
      <c r="T241">
        <v>1</v>
      </c>
      <c r="U241">
        <v>1</v>
      </c>
      <c r="V241" t="s">
        <v>82</v>
      </c>
      <c r="W241">
        <v>49</v>
      </c>
      <c r="X241">
        <v>7</v>
      </c>
      <c r="Y241">
        <v>4</v>
      </c>
      <c r="Z241" t="s">
        <v>538</v>
      </c>
      <c r="AA241" t="s">
        <v>539</v>
      </c>
      <c r="AB241" t="s">
        <v>85</v>
      </c>
      <c r="AC241" t="s">
        <v>86</v>
      </c>
      <c r="AD241" t="s">
        <v>87</v>
      </c>
      <c r="AE241" t="s">
        <v>540</v>
      </c>
      <c r="AG241" t="s">
        <v>541</v>
      </c>
      <c r="AH241">
        <v>0</v>
      </c>
      <c r="AI241">
        <v>219</v>
      </c>
      <c r="AJ241">
        <v>48</v>
      </c>
      <c r="AK241">
        <v>67</v>
      </c>
      <c r="AL241">
        <v>0.74</v>
      </c>
    </row>
    <row r="242" spans="1:38" x14ac:dyDescent="0.3">
      <c r="A242" t="s">
        <v>535</v>
      </c>
      <c r="B242">
        <v>27327</v>
      </c>
      <c r="C242">
        <v>1</v>
      </c>
      <c r="D242" t="s">
        <v>542</v>
      </c>
      <c r="E242" t="s">
        <v>543</v>
      </c>
      <c r="F242">
        <v>137</v>
      </c>
      <c r="G242">
        <v>32.479999999999997</v>
      </c>
      <c r="H242">
        <v>107.38</v>
      </c>
      <c r="I242">
        <v>25.7</v>
      </c>
      <c r="J242">
        <v>84.99</v>
      </c>
      <c r="K242">
        <v>39</v>
      </c>
      <c r="T242">
        <v>3</v>
      </c>
      <c r="U242">
        <v>2</v>
      </c>
      <c r="V242" t="s">
        <v>82</v>
      </c>
      <c r="W242">
        <v>107</v>
      </c>
      <c r="X242">
        <v>14</v>
      </c>
      <c r="Y242">
        <v>9</v>
      </c>
      <c r="Z242" t="s">
        <v>544</v>
      </c>
      <c r="AA242" t="s">
        <v>545</v>
      </c>
      <c r="AB242" t="s">
        <v>85</v>
      </c>
      <c r="AC242" t="s">
        <v>86</v>
      </c>
      <c r="AD242" t="s">
        <v>87</v>
      </c>
      <c r="AE242" t="s">
        <v>540</v>
      </c>
      <c r="AG242" t="s">
        <v>546</v>
      </c>
      <c r="AH242">
        <v>0</v>
      </c>
      <c r="AI242">
        <v>238</v>
      </c>
      <c r="AJ242">
        <v>24</v>
      </c>
      <c r="AK242">
        <v>225</v>
      </c>
      <c r="AL242">
        <v>1.64</v>
      </c>
    </row>
    <row r="243" spans="1:38" x14ac:dyDescent="0.3">
      <c r="A243" t="s">
        <v>535</v>
      </c>
      <c r="B243">
        <v>27327</v>
      </c>
      <c r="C243">
        <v>2</v>
      </c>
      <c r="D243" t="s">
        <v>542</v>
      </c>
      <c r="E243" t="s">
        <v>543</v>
      </c>
      <c r="F243">
        <v>137</v>
      </c>
      <c r="G243">
        <v>47.84</v>
      </c>
      <c r="H243">
        <v>158.15</v>
      </c>
      <c r="I243">
        <v>39.119999999999997</v>
      </c>
      <c r="J243">
        <v>129.33000000000001</v>
      </c>
      <c r="K243">
        <v>48</v>
      </c>
      <c r="T243">
        <v>4</v>
      </c>
      <c r="U243">
        <v>2</v>
      </c>
      <c r="V243" t="s">
        <v>82</v>
      </c>
      <c r="W243">
        <v>158</v>
      </c>
      <c r="X243">
        <v>14</v>
      </c>
      <c r="Y243">
        <v>9</v>
      </c>
      <c r="Z243" t="s">
        <v>544</v>
      </c>
      <c r="AA243" t="s">
        <v>545</v>
      </c>
      <c r="AB243" t="s">
        <v>85</v>
      </c>
      <c r="AC243" t="s">
        <v>86</v>
      </c>
      <c r="AD243" t="s">
        <v>87</v>
      </c>
      <c r="AE243" t="s">
        <v>540</v>
      </c>
      <c r="AG243" t="s">
        <v>546</v>
      </c>
      <c r="AH243">
        <v>0</v>
      </c>
      <c r="AI243">
        <v>238</v>
      </c>
      <c r="AJ243">
        <v>24</v>
      </c>
      <c r="AK243">
        <v>225</v>
      </c>
      <c r="AL243">
        <v>1.64</v>
      </c>
    </row>
    <row r="244" spans="1:38" x14ac:dyDescent="0.3">
      <c r="A244" t="s">
        <v>535</v>
      </c>
      <c r="B244">
        <v>27327</v>
      </c>
      <c r="C244">
        <v>3</v>
      </c>
      <c r="D244" t="s">
        <v>542</v>
      </c>
      <c r="E244" t="s">
        <v>543</v>
      </c>
      <c r="F244">
        <v>137</v>
      </c>
      <c r="G244">
        <v>51.1</v>
      </c>
      <c r="H244">
        <v>168.94</v>
      </c>
      <c r="I244">
        <v>44.3</v>
      </c>
      <c r="J244">
        <v>146.44999999999999</v>
      </c>
      <c r="K244">
        <v>26</v>
      </c>
      <c r="T244">
        <v>4</v>
      </c>
      <c r="U244">
        <v>2</v>
      </c>
      <c r="V244" t="s">
        <v>82</v>
      </c>
      <c r="W244">
        <v>168</v>
      </c>
      <c r="X244">
        <v>14</v>
      </c>
      <c r="Y244">
        <v>9</v>
      </c>
      <c r="Z244" t="s">
        <v>544</v>
      </c>
      <c r="AA244" t="s">
        <v>545</v>
      </c>
      <c r="AB244" t="s">
        <v>85</v>
      </c>
      <c r="AC244" t="s">
        <v>86</v>
      </c>
      <c r="AD244" t="s">
        <v>87</v>
      </c>
      <c r="AE244" t="s">
        <v>540</v>
      </c>
      <c r="AG244" t="s">
        <v>546</v>
      </c>
      <c r="AH244">
        <v>0</v>
      </c>
      <c r="AI244">
        <v>238</v>
      </c>
      <c r="AJ244">
        <v>24</v>
      </c>
      <c r="AK244">
        <v>225</v>
      </c>
      <c r="AL244">
        <v>1.64</v>
      </c>
    </row>
    <row r="245" spans="1:38" x14ac:dyDescent="0.3">
      <c r="A245" t="s">
        <v>535</v>
      </c>
      <c r="B245">
        <v>27327</v>
      </c>
      <c r="C245">
        <v>4</v>
      </c>
      <c r="D245" t="s">
        <v>542</v>
      </c>
      <c r="E245" t="s">
        <v>543</v>
      </c>
      <c r="F245">
        <v>137</v>
      </c>
      <c r="G245">
        <v>58.27</v>
      </c>
      <c r="H245">
        <v>192.66</v>
      </c>
      <c r="I245">
        <v>49.87</v>
      </c>
      <c r="J245">
        <v>164.87</v>
      </c>
      <c r="K245">
        <v>13</v>
      </c>
      <c r="T245">
        <v>5</v>
      </c>
      <c r="U245">
        <v>2</v>
      </c>
      <c r="V245" t="s">
        <v>82</v>
      </c>
      <c r="W245">
        <v>192</v>
      </c>
      <c r="X245">
        <v>14</v>
      </c>
      <c r="Y245">
        <v>9</v>
      </c>
      <c r="Z245" t="s">
        <v>544</v>
      </c>
      <c r="AA245" t="s">
        <v>545</v>
      </c>
      <c r="AB245" t="s">
        <v>85</v>
      </c>
      <c r="AC245" t="s">
        <v>86</v>
      </c>
      <c r="AD245" t="s">
        <v>87</v>
      </c>
      <c r="AE245" t="s">
        <v>540</v>
      </c>
      <c r="AG245" t="s">
        <v>546</v>
      </c>
      <c r="AH245">
        <v>0</v>
      </c>
      <c r="AI245">
        <v>238</v>
      </c>
      <c r="AJ245">
        <v>24</v>
      </c>
      <c r="AK245">
        <v>225</v>
      </c>
      <c r="AL245">
        <v>1.64</v>
      </c>
    </row>
    <row r="246" spans="1:38" x14ac:dyDescent="0.3">
      <c r="A246" t="s">
        <v>535</v>
      </c>
      <c r="B246">
        <v>27327</v>
      </c>
      <c r="C246">
        <v>5</v>
      </c>
      <c r="D246" t="s">
        <v>542</v>
      </c>
      <c r="E246" t="s">
        <v>543</v>
      </c>
      <c r="F246">
        <v>137</v>
      </c>
      <c r="G246">
        <v>59.94</v>
      </c>
      <c r="H246">
        <v>198.17</v>
      </c>
      <c r="I246">
        <v>50.82</v>
      </c>
      <c r="J246">
        <v>168.02</v>
      </c>
      <c r="K246">
        <v>11</v>
      </c>
      <c r="T246">
        <v>4</v>
      </c>
      <c r="U246">
        <v>2</v>
      </c>
      <c r="V246" t="s">
        <v>82</v>
      </c>
      <c r="W246">
        <v>198</v>
      </c>
      <c r="X246">
        <v>14</v>
      </c>
      <c r="Y246">
        <v>9</v>
      </c>
      <c r="Z246" t="s">
        <v>544</v>
      </c>
      <c r="AA246" t="s">
        <v>545</v>
      </c>
      <c r="AB246" t="s">
        <v>85</v>
      </c>
      <c r="AC246" t="s">
        <v>86</v>
      </c>
      <c r="AD246" t="s">
        <v>87</v>
      </c>
      <c r="AE246" t="s">
        <v>540</v>
      </c>
      <c r="AG246" t="s">
        <v>546</v>
      </c>
      <c r="AH246">
        <v>0</v>
      </c>
      <c r="AI246">
        <v>238</v>
      </c>
      <c r="AJ246">
        <v>24</v>
      </c>
      <c r="AK246">
        <v>225</v>
      </c>
      <c r="AL246">
        <v>1.64</v>
      </c>
    </row>
    <row r="247" spans="1:38" x14ac:dyDescent="0.3">
      <c r="A247" t="s">
        <v>535</v>
      </c>
      <c r="B247">
        <v>106618</v>
      </c>
      <c r="C247">
        <v>1</v>
      </c>
      <c r="D247" t="s">
        <v>547</v>
      </c>
      <c r="E247" t="s">
        <v>548</v>
      </c>
      <c r="F247">
        <v>16</v>
      </c>
      <c r="G247">
        <v>28.7</v>
      </c>
      <c r="H247">
        <v>94.9</v>
      </c>
      <c r="I247">
        <v>22.14</v>
      </c>
      <c r="J247">
        <v>73.22</v>
      </c>
      <c r="K247">
        <v>2</v>
      </c>
      <c r="T247">
        <v>3</v>
      </c>
      <c r="U247">
        <v>2</v>
      </c>
      <c r="V247" t="s">
        <v>175</v>
      </c>
      <c r="W247">
        <v>94</v>
      </c>
      <c r="X247">
        <v>9</v>
      </c>
      <c r="Y247">
        <v>9</v>
      </c>
      <c r="Z247" t="s">
        <v>549</v>
      </c>
      <c r="AA247" t="s">
        <v>550</v>
      </c>
      <c r="AB247" t="s">
        <v>85</v>
      </c>
      <c r="AC247" t="s">
        <v>86</v>
      </c>
      <c r="AD247" t="s">
        <v>87</v>
      </c>
      <c r="AE247" t="s">
        <v>540</v>
      </c>
      <c r="AG247" t="s">
        <v>551</v>
      </c>
      <c r="AH247">
        <v>0</v>
      </c>
      <c r="AI247">
        <v>192</v>
      </c>
      <c r="AJ247">
        <v>47</v>
      </c>
      <c r="AK247">
        <v>15</v>
      </c>
      <c r="AL247">
        <v>0.94</v>
      </c>
    </row>
    <row r="248" spans="1:38" x14ac:dyDescent="0.3">
      <c r="A248" t="s">
        <v>535</v>
      </c>
      <c r="B248">
        <v>106618</v>
      </c>
      <c r="C248">
        <v>2</v>
      </c>
      <c r="D248" t="s">
        <v>547</v>
      </c>
      <c r="E248" t="s">
        <v>548</v>
      </c>
      <c r="F248">
        <v>16</v>
      </c>
      <c r="G248">
        <v>30.43</v>
      </c>
      <c r="H248">
        <v>100.6</v>
      </c>
      <c r="I248">
        <v>23.5</v>
      </c>
      <c r="J248">
        <v>77.69</v>
      </c>
      <c r="K248">
        <v>14</v>
      </c>
      <c r="T248">
        <v>3</v>
      </c>
      <c r="U248">
        <v>2</v>
      </c>
      <c r="V248" t="s">
        <v>175</v>
      </c>
      <c r="W248">
        <v>100</v>
      </c>
      <c r="X248">
        <v>9</v>
      </c>
      <c r="Y248">
        <v>9</v>
      </c>
      <c r="Z248" t="s">
        <v>549</v>
      </c>
      <c r="AA248" t="s">
        <v>550</v>
      </c>
      <c r="AB248" t="s">
        <v>85</v>
      </c>
      <c r="AC248" t="s">
        <v>86</v>
      </c>
      <c r="AD248" t="s">
        <v>87</v>
      </c>
      <c r="AE248" t="s">
        <v>540</v>
      </c>
      <c r="AG248" t="s">
        <v>551</v>
      </c>
      <c r="AH248">
        <v>0</v>
      </c>
      <c r="AI248">
        <v>192</v>
      </c>
      <c r="AJ248">
        <v>47</v>
      </c>
      <c r="AK248">
        <v>15</v>
      </c>
      <c r="AL248">
        <v>0.94</v>
      </c>
    </row>
    <row r="249" spans="1:38" x14ac:dyDescent="0.3">
      <c r="A249" t="s">
        <v>535</v>
      </c>
      <c r="B249">
        <v>7568</v>
      </c>
      <c r="C249">
        <v>1</v>
      </c>
      <c r="D249" t="s">
        <v>552</v>
      </c>
      <c r="E249" t="s">
        <v>553</v>
      </c>
      <c r="F249">
        <v>268</v>
      </c>
      <c r="G249">
        <v>27</v>
      </c>
      <c r="H249">
        <v>89.26</v>
      </c>
      <c r="I249">
        <v>23.35</v>
      </c>
      <c r="J249">
        <v>77.209999999999994</v>
      </c>
      <c r="K249">
        <v>108</v>
      </c>
      <c r="T249">
        <v>3</v>
      </c>
      <c r="U249">
        <v>1</v>
      </c>
      <c r="V249" t="s">
        <v>82</v>
      </c>
      <c r="W249">
        <v>89</v>
      </c>
      <c r="X249">
        <v>6</v>
      </c>
      <c r="Y249">
        <v>5</v>
      </c>
      <c r="Z249" t="s">
        <v>554</v>
      </c>
      <c r="AA249" t="s">
        <v>555</v>
      </c>
      <c r="AB249" t="s">
        <v>85</v>
      </c>
      <c r="AC249" t="s">
        <v>86</v>
      </c>
      <c r="AD249" t="s">
        <v>87</v>
      </c>
      <c r="AE249" t="s">
        <v>540</v>
      </c>
      <c r="AG249" t="s">
        <v>556</v>
      </c>
      <c r="AH249">
        <v>0</v>
      </c>
      <c r="AI249">
        <v>140</v>
      </c>
      <c r="AJ249">
        <v>30</v>
      </c>
      <c r="AK249">
        <v>150</v>
      </c>
      <c r="AL249">
        <v>0.56000000000000005</v>
      </c>
    </row>
    <row r="250" spans="1:38" x14ac:dyDescent="0.3">
      <c r="A250" t="s">
        <v>535</v>
      </c>
      <c r="B250">
        <v>7568</v>
      </c>
      <c r="C250">
        <v>2</v>
      </c>
      <c r="D250" t="s">
        <v>552</v>
      </c>
      <c r="E250" t="s">
        <v>553</v>
      </c>
      <c r="F250">
        <v>268</v>
      </c>
      <c r="G250">
        <v>29.99</v>
      </c>
      <c r="H250">
        <v>99.17</v>
      </c>
      <c r="I250">
        <v>25.7</v>
      </c>
      <c r="J250">
        <v>84.96</v>
      </c>
      <c r="K250">
        <v>150</v>
      </c>
      <c r="T250">
        <v>3</v>
      </c>
      <c r="U250">
        <v>2</v>
      </c>
      <c r="V250" t="s">
        <v>82</v>
      </c>
      <c r="W250">
        <v>99</v>
      </c>
      <c r="X250">
        <v>6</v>
      </c>
      <c r="Y250">
        <v>5</v>
      </c>
      <c r="Z250" t="s">
        <v>554</v>
      </c>
      <c r="AA250" t="s">
        <v>555</v>
      </c>
      <c r="AB250" t="s">
        <v>85</v>
      </c>
      <c r="AC250" t="s">
        <v>86</v>
      </c>
      <c r="AD250" t="s">
        <v>87</v>
      </c>
      <c r="AE250" t="s">
        <v>540</v>
      </c>
      <c r="AG250" t="s">
        <v>556</v>
      </c>
      <c r="AH250">
        <v>0</v>
      </c>
      <c r="AI250">
        <v>140</v>
      </c>
      <c r="AJ250">
        <v>30</v>
      </c>
      <c r="AK250">
        <v>150</v>
      </c>
      <c r="AL250">
        <v>0.56000000000000005</v>
      </c>
    </row>
    <row r="251" spans="1:38" x14ac:dyDescent="0.3">
      <c r="A251" t="s">
        <v>535</v>
      </c>
      <c r="B251">
        <v>7568</v>
      </c>
      <c r="C251">
        <v>3</v>
      </c>
      <c r="D251" t="s">
        <v>552</v>
      </c>
      <c r="E251" t="s">
        <v>553</v>
      </c>
      <c r="F251">
        <v>268</v>
      </c>
      <c r="G251">
        <v>44.08</v>
      </c>
      <c r="H251">
        <v>145.72999999999999</v>
      </c>
      <c r="I251">
        <v>38.909999999999997</v>
      </c>
      <c r="J251">
        <v>128.63</v>
      </c>
      <c r="K251">
        <v>10</v>
      </c>
      <c r="T251">
        <v>4</v>
      </c>
      <c r="U251">
        <v>2</v>
      </c>
      <c r="V251" t="s">
        <v>82</v>
      </c>
      <c r="W251">
        <v>145</v>
      </c>
      <c r="X251">
        <v>6</v>
      </c>
      <c r="Y251">
        <v>5</v>
      </c>
      <c r="Z251" t="s">
        <v>554</v>
      </c>
      <c r="AA251" t="s">
        <v>555</v>
      </c>
      <c r="AB251" t="s">
        <v>85</v>
      </c>
      <c r="AC251" t="s">
        <v>86</v>
      </c>
      <c r="AD251" t="s">
        <v>87</v>
      </c>
      <c r="AE251" t="s">
        <v>540</v>
      </c>
      <c r="AG251" t="s">
        <v>556</v>
      </c>
      <c r="AH251">
        <v>0</v>
      </c>
      <c r="AI251">
        <v>140</v>
      </c>
      <c r="AJ251">
        <v>30</v>
      </c>
      <c r="AK251">
        <v>150</v>
      </c>
      <c r="AL251">
        <v>0.56000000000000005</v>
      </c>
    </row>
    <row r="252" spans="1:38" x14ac:dyDescent="0.3">
      <c r="A252" t="s">
        <v>535</v>
      </c>
      <c r="B252">
        <v>27328</v>
      </c>
      <c r="C252">
        <v>1</v>
      </c>
      <c r="D252" t="s">
        <v>557</v>
      </c>
      <c r="E252" t="s">
        <v>543</v>
      </c>
      <c r="F252">
        <v>83</v>
      </c>
      <c r="G252">
        <v>46.39</v>
      </c>
      <c r="H252">
        <v>153.37</v>
      </c>
      <c r="I252">
        <v>39.119999999999997</v>
      </c>
      <c r="J252">
        <v>129.33000000000001</v>
      </c>
      <c r="K252">
        <v>26</v>
      </c>
      <c r="T252">
        <v>4</v>
      </c>
      <c r="U252">
        <v>2</v>
      </c>
      <c r="V252" t="s">
        <v>82</v>
      </c>
      <c r="W252">
        <v>153</v>
      </c>
      <c r="X252">
        <v>14</v>
      </c>
      <c r="Y252">
        <v>7</v>
      </c>
      <c r="Z252" t="s">
        <v>558</v>
      </c>
      <c r="AA252" t="s">
        <v>559</v>
      </c>
      <c r="AB252" t="s">
        <v>85</v>
      </c>
      <c r="AC252" t="s">
        <v>86</v>
      </c>
      <c r="AD252" t="s">
        <v>87</v>
      </c>
      <c r="AE252" t="s">
        <v>540</v>
      </c>
      <c r="AG252" t="s">
        <v>560</v>
      </c>
      <c r="AH252">
        <v>0</v>
      </c>
      <c r="AI252">
        <v>216</v>
      </c>
      <c r="AJ252">
        <v>23</v>
      </c>
      <c r="AK252">
        <v>173</v>
      </c>
      <c r="AL252">
        <v>2.08</v>
      </c>
    </row>
    <row r="253" spans="1:38" x14ac:dyDescent="0.3">
      <c r="A253" t="s">
        <v>535</v>
      </c>
      <c r="B253">
        <v>27328</v>
      </c>
      <c r="C253">
        <v>2</v>
      </c>
      <c r="D253" t="s">
        <v>557</v>
      </c>
      <c r="E253" t="s">
        <v>543</v>
      </c>
      <c r="F253">
        <v>83</v>
      </c>
      <c r="G253">
        <v>52.64</v>
      </c>
      <c r="H253">
        <v>174.03</v>
      </c>
      <c r="I253">
        <v>42.91</v>
      </c>
      <c r="J253">
        <v>141.87</v>
      </c>
      <c r="K253">
        <v>9</v>
      </c>
      <c r="T253">
        <v>4</v>
      </c>
      <c r="U253">
        <v>2</v>
      </c>
      <c r="V253" t="s">
        <v>82</v>
      </c>
      <c r="W253">
        <v>174</v>
      </c>
      <c r="X253">
        <v>14</v>
      </c>
      <c r="Y253">
        <v>7</v>
      </c>
      <c r="Z253" t="s">
        <v>558</v>
      </c>
      <c r="AA253" t="s">
        <v>559</v>
      </c>
      <c r="AB253" t="s">
        <v>85</v>
      </c>
      <c r="AC253" t="s">
        <v>86</v>
      </c>
      <c r="AD253" t="s">
        <v>87</v>
      </c>
      <c r="AE253" t="s">
        <v>540</v>
      </c>
      <c r="AG253" t="s">
        <v>560</v>
      </c>
      <c r="AH253">
        <v>0</v>
      </c>
      <c r="AI253">
        <v>216</v>
      </c>
      <c r="AJ253">
        <v>23</v>
      </c>
      <c r="AK253">
        <v>173</v>
      </c>
      <c r="AL253">
        <v>2.08</v>
      </c>
    </row>
    <row r="254" spans="1:38" x14ac:dyDescent="0.3">
      <c r="A254" t="s">
        <v>535</v>
      </c>
      <c r="B254">
        <v>27328</v>
      </c>
      <c r="C254">
        <v>3</v>
      </c>
      <c r="D254" t="s">
        <v>557</v>
      </c>
      <c r="E254" t="s">
        <v>543</v>
      </c>
      <c r="F254">
        <v>83</v>
      </c>
      <c r="G254">
        <v>57.94</v>
      </c>
      <c r="H254">
        <v>191.55</v>
      </c>
      <c r="I254">
        <v>49.87</v>
      </c>
      <c r="J254">
        <v>164.87</v>
      </c>
      <c r="K254">
        <v>48</v>
      </c>
      <c r="T254">
        <v>5</v>
      </c>
      <c r="U254">
        <v>2</v>
      </c>
      <c r="V254" t="s">
        <v>82</v>
      </c>
      <c r="W254">
        <v>191</v>
      </c>
      <c r="X254">
        <v>14</v>
      </c>
      <c r="Y254">
        <v>7</v>
      </c>
      <c r="Z254" t="s">
        <v>558</v>
      </c>
      <c r="AA254" t="s">
        <v>559</v>
      </c>
      <c r="AB254" t="s">
        <v>85</v>
      </c>
      <c r="AC254" t="s">
        <v>86</v>
      </c>
      <c r="AD254" t="s">
        <v>87</v>
      </c>
      <c r="AE254" t="s">
        <v>540</v>
      </c>
      <c r="AG254" t="s">
        <v>560</v>
      </c>
      <c r="AH254">
        <v>0</v>
      </c>
      <c r="AI254">
        <v>216</v>
      </c>
      <c r="AJ254">
        <v>23</v>
      </c>
      <c r="AK254">
        <v>173</v>
      </c>
      <c r="AL254">
        <v>2.08</v>
      </c>
    </row>
    <row r="255" spans="1:38" x14ac:dyDescent="0.3">
      <c r="A255" t="s">
        <v>535</v>
      </c>
      <c r="B255">
        <v>111202</v>
      </c>
      <c r="C255">
        <v>1</v>
      </c>
      <c r="D255" t="s">
        <v>561</v>
      </c>
      <c r="E255" t="s">
        <v>562</v>
      </c>
      <c r="F255">
        <v>18</v>
      </c>
      <c r="G255">
        <v>30.6</v>
      </c>
      <c r="H255">
        <v>101.17</v>
      </c>
      <c r="I255">
        <v>25.7</v>
      </c>
      <c r="J255">
        <v>84.97</v>
      </c>
      <c r="K255">
        <v>18</v>
      </c>
      <c r="T255">
        <v>3</v>
      </c>
      <c r="U255">
        <v>2</v>
      </c>
      <c r="V255" t="s">
        <v>82</v>
      </c>
      <c r="W255">
        <v>101</v>
      </c>
      <c r="X255">
        <v>11</v>
      </c>
      <c r="Y255">
        <v>11</v>
      </c>
      <c r="Z255" t="s">
        <v>563</v>
      </c>
      <c r="AA255" t="s">
        <v>564</v>
      </c>
      <c r="AB255" t="s">
        <v>85</v>
      </c>
      <c r="AC255" t="s">
        <v>86</v>
      </c>
      <c r="AD255" t="s">
        <v>87</v>
      </c>
      <c r="AE255" t="s">
        <v>540</v>
      </c>
      <c r="AG255" t="s">
        <v>565</v>
      </c>
      <c r="AH255">
        <v>0</v>
      </c>
      <c r="AI255">
        <v>279</v>
      </c>
      <c r="AJ255">
        <v>56</v>
      </c>
      <c r="AK255">
        <v>21</v>
      </c>
      <c r="AL255">
        <v>1.17</v>
      </c>
    </row>
    <row r="256" spans="1:38" x14ac:dyDescent="0.3">
      <c r="A256" t="s">
        <v>535</v>
      </c>
      <c r="B256">
        <v>26752</v>
      </c>
      <c r="C256">
        <v>1</v>
      </c>
      <c r="D256" t="s">
        <v>566</v>
      </c>
      <c r="E256" t="s">
        <v>567</v>
      </c>
      <c r="F256">
        <v>328</v>
      </c>
      <c r="G256">
        <v>36.68</v>
      </c>
      <c r="H256">
        <v>121.28</v>
      </c>
      <c r="I256">
        <v>25.66</v>
      </c>
      <c r="J256">
        <v>84.83</v>
      </c>
      <c r="K256">
        <v>289</v>
      </c>
      <c r="T256">
        <v>3</v>
      </c>
      <c r="U256">
        <v>2</v>
      </c>
      <c r="V256" t="s">
        <v>82</v>
      </c>
      <c r="W256" t="s">
        <v>568</v>
      </c>
      <c r="X256">
        <v>10</v>
      </c>
      <c r="Y256">
        <v>9</v>
      </c>
      <c r="Z256" t="s">
        <v>569</v>
      </c>
      <c r="AA256" t="s">
        <v>570</v>
      </c>
      <c r="AB256" t="s">
        <v>85</v>
      </c>
      <c r="AC256" t="s">
        <v>86</v>
      </c>
      <c r="AD256" t="s">
        <v>87</v>
      </c>
      <c r="AE256" t="s">
        <v>540</v>
      </c>
      <c r="AG256" t="s">
        <v>571</v>
      </c>
      <c r="AH256">
        <v>0</v>
      </c>
      <c r="AI256">
        <v>203</v>
      </c>
      <c r="AJ256">
        <v>30</v>
      </c>
      <c r="AK256">
        <v>409</v>
      </c>
      <c r="AL256">
        <v>1.25</v>
      </c>
    </row>
    <row r="257" spans="1:38" x14ac:dyDescent="0.3">
      <c r="A257" t="s">
        <v>535</v>
      </c>
      <c r="B257">
        <v>26752</v>
      </c>
      <c r="C257">
        <v>2</v>
      </c>
      <c r="D257" t="s">
        <v>566</v>
      </c>
      <c r="E257" t="s">
        <v>567</v>
      </c>
      <c r="F257">
        <v>328</v>
      </c>
      <c r="G257">
        <v>36.94</v>
      </c>
      <c r="H257">
        <v>122.13</v>
      </c>
      <c r="I257">
        <v>25.63</v>
      </c>
      <c r="J257">
        <v>84.73</v>
      </c>
      <c r="K257">
        <v>39</v>
      </c>
      <c r="T257">
        <v>3</v>
      </c>
      <c r="U257">
        <v>2</v>
      </c>
      <c r="V257" t="s">
        <v>82</v>
      </c>
      <c r="W257" t="s">
        <v>572</v>
      </c>
      <c r="X257">
        <v>10</v>
      </c>
      <c r="Y257">
        <v>9</v>
      </c>
      <c r="Z257" t="s">
        <v>569</v>
      </c>
      <c r="AA257" t="s">
        <v>570</v>
      </c>
      <c r="AB257" t="s">
        <v>85</v>
      </c>
      <c r="AC257" t="s">
        <v>86</v>
      </c>
      <c r="AD257" t="s">
        <v>87</v>
      </c>
      <c r="AE257" t="s">
        <v>540</v>
      </c>
      <c r="AG257" t="s">
        <v>571</v>
      </c>
      <c r="AH257">
        <v>0</v>
      </c>
      <c r="AI257">
        <v>203</v>
      </c>
      <c r="AJ257">
        <v>30</v>
      </c>
      <c r="AK257">
        <v>409</v>
      </c>
      <c r="AL257">
        <v>1.25</v>
      </c>
    </row>
    <row r="258" spans="1:38" x14ac:dyDescent="0.3">
      <c r="A258" t="s">
        <v>535</v>
      </c>
      <c r="B258">
        <v>118239</v>
      </c>
      <c r="C258">
        <v>1</v>
      </c>
      <c r="D258" t="s">
        <v>573</v>
      </c>
      <c r="E258" t="s">
        <v>574</v>
      </c>
      <c r="F258">
        <v>32</v>
      </c>
      <c r="G258">
        <v>21.52</v>
      </c>
      <c r="H258">
        <v>71.17</v>
      </c>
      <c r="I258">
        <v>14.4</v>
      </c>
      <c r="J258">
        <v>47.63</v>
      </c>
      <c r="K258">
        <v>8</v>
      </c>
      <c r="T258">
        <v>2</v>
      </c>
      <c r="U258">
        <v>1</v>
      </c>
      <c r="V258" t="s">
        <v>82</v>
      </c>
      <c r="W258" t="s">
        <v>575</v>
      </c>
      <c r="X258">
        <v>10</v>
      </c>
      <c r="Y258">
        <v>10</v>
      </c>
      <c r="Z258" t="s">
        <v>576</v>
      </c>
      <c r="AA258" t="s">
        <v>577</v>
      </c>
      <c r="AB258" t="s">
        <v>85</v>
      </c>
      <c r="AC258" t="s">
        <v>86</v>
      </c>
      <c r="AD258" t="s">
        <v>87</v>
      </c>
      <c r="AE258" t="s">
        <v>540</v>
      </c>
      <c r="AG258" t="s">
        <v>578</v>
      </c>
      <c r="AH258">
        <v>0</v>
      </c>
      <c r="AI258">
        <v>387</v>
      </c>
      <c r="AJ258">
        <v>53</v>
      </c>
      <c r="AK258">
        <v>23</v>
      </c>
      <c r="AL258">
        <v>0.72</v>
      </c>
    </row>
    <row r="259" spans="1:38" x14ac:dyDescent="0.3">
      <c r="A259" t="s">
        <v>535</v>
      </c>
      <c r="B259">
        <v>118239</v>
      </c>
      <c r="C259">
        <v>2</v>
      </c>
      <c r="D259" t="s">
        <v>573</v>
      </c>
      <c r="E259" t="s">
        <v>574</v>
      </c>
      <c r="F259">
        <v>32</v>
      </c>
      <c r="G259">
        <v>21.56</v>
      </c>
      <c r="H259">
        <v>71.3</v>
      </c>
      <c r="I259">
        <v>14.68</v>
      </c>
      <c r="J259">
        <v>48.53</v>
      </c>
      <c r="K259">
        <v>8</v>
      </c>
      <c r="T259">
        <v>2</v>
      </c>
      <c r="U259">
        <v>1</v>
      </c>
      <c r="V259" t="s">
        <v>82</v>
      </c>
      <c r="W259" t="s">
        <v>579</v>
      </c>
      <c r="X259">
        <v>10</v>
      </c>
      <c r="Y259">
        <v>10</v>
      </c>
      <c r="Z259" t="s">
        <v>576</v>
      </c>
      <c r="AA259" t="s">
        <v>577</v>
      </c>
      <c r="AB259" t="s">
        <v>85</v>
      </c>
      <c r="AC259" t="s">
        <v>86</v>
      </c>
      <c r="AD259" t="s">
        <v>87</v>
      </c>
      <c r="AE259" t="s">
        <v>540</v>
      </c>
      <c r="AG259" t="s">
        <v>578</v>
      </c>
      <c r="AH259">
        <v>0</v>
      </c>
      <c r="AI259">
        <v>387</v>
      </c>
      <c r="AJ259">
        <v>53</v>
      </c>
      <c r="AK259">
        <v>23</v>
      </c>
      <c r="AL259">
        <v>0.72</v>
      </c>
    </row>
    <row r="260" spans="1:38" x14ac:dyDescent="0.3">
      <c r="A260" t="s">
        <v>535</v>
      </c>
      <c r="B260">
        <v>118239</v>
      </c>
      <c r="C260">
        <v>3</v>
      </c>
      <c r="D260" t="s">
        <v>573</v>
      </c>
      <c r="E260" t="s">
        <v>574</v>
      </c>
      <c r="F260">
        <v>32</v>
      </c>
      <c r="G260">
        <v>21.73</v>
      </c>
      <c r="H260">
        <v>71.86</v>
      </c>
      <c r="I260">
        <v>15.05</v>
      </c>
      <c r="J260">
        <v>49.78</v>
      </c>
      <c r="K260">
        <v>8</v>
      </c>
      <c r="T260">
        <v>2</v>
      </c>
      <c r="U260">
        <v>1</v>
      </c>
      <c r="V260" t="s">
        <v>82</v>
      </c>
      <c r="W260" t="s">
        <v>580</v>
      </c>
      <c r="X260">
        <v>10</v>
      </c>
      <c r="Y260">
        <v>10</v>
      </c>
      <c r="Z260" t="s">
        <v>576</v>
      </c>
      <c r="AA260" t="s">
        <v>577</v>
      </c>
      <c r="AB260" t="s">
        <v>85</v>
      </c>
      <c r="AC260" t="s">
        <v>86</v>
      </c>
      <c r="AD260" t="s">
        <v>87</v>
      </c>
      <c r="AE260" t="s">
        <v>540</v>
      </c>
      <c r="AG260" t="s">
        <v>578</v>
      </c>
      <c r="AH260">
        <v>0</v>
      </c>
      <c r="AI260">
        <v>387</v>
      </c>
      <c r="AJ260">
        <v>53</v>
      </c>
      <c r="AK260">
        <v>23</v>
      </c>
      <c r="AL260">
        <v>0.72</v>
      </c>
    </row>
    <row r="261" spans="1:38" x14ac:dyDescent="0.3">
      <c r="A261" t="s">
        <v>535</v>
      </c>
      <c r="B261">
        <v>118239</v>
      </c>
      <c r="C261">
        <v>4</v>
      </c>
      <c r="D261" t="s">
        <v>573</v>
      </c>
      <c r="E261" t="s">
        <v>574</v>
      </c>
      <c r="F261">
        <v>32</v>
      </c>
      <c r="G261">
        <v>21.92</v>
      </c>
      <c r="H261">
        <v>72.47</v>
      </c>
      <c r="I261">
        <v>15.04</v>
      </c>
      <c r="J261">
        <v>49.73</v>
      </c>
      <c r="K261">
        <v>8</v>
      </c>
      <c r="T261">
        <v>2</v>
      </c>
      <c r="U261">
        <v>1</v>
      </c>
      <c r="V261" t="s">
        <v>82</v>
      </c>
      <c r="W261" t="s">
        <v>99</v>
      </c>
      <c r="X261">
        <v>10</v>
      </c>
      <c r="Y261">
        <v>10</v>
      </c>
      <c r="Z261" t="s">
        <v>576</v>
      </c>
      <c r="AA261" t="s">
        <v>577</v>
      </c>
      <c r="AB261" t="s">
        <v>85</v>
      </c>
      <c r="AC261" t="s">
        <v>86</v>
      </c>
      <c r="AD261" t="s">
        <v>87</v>
      </c>
      <c r="AE261" t="s">
        <v>540</v>
      </c>
      <c r="AG261" t="s">
        <v>578</v>
      </c>
      <c r="AH261">
        <v>0</v>
      </c>
      <c r="AI261">
        <v>387</v>
      </c>
      <c r="AJ261">
        <v>53</v>
      </c>
      <c r="AK261">
        <v>23</v>
      </c>
      <c r="AL261">
        <v>0.72</v>
      </c>
    </row>
    <row r="262" spans="1:38" x14ac:dyDescent="0.3">
      <c r="A262" t="s">
        <v>581</v>
      </c>
      <c r="B262">
        <v>100836</v>
      </c>
      <c r="C262">
        <v>1</v>
      </c>
      <c r="D262" t="s">
        <v>582</v>
      </c>
      <c r="E262" t="s">
        <v>583</v>
      </c>
      <c r="F262">
        <v>115</v>
      </c>
      <c r="G262">
        <v>21.16</v>
      </c>
      <c r="H262">
        <v>69.98</v>
      </c>
      <c r="I262">
        <v>18.100000000000001</v>
      </c>
      <c r="J262">
        <v>59.85</v>
      </c>
      <c r="K262">
        <v>8</v>
      </c>
      <c r="T262">
        <v>3</v>
      </c>
      <c r="U262">
        <v>1</v>
      </c>
      <c r="V262" t="s">
        <v>82</v>
      </c>
      <c r="W262" t="s">
        <v>584</v>
      </c>
      <c r="X262">
        <v>8</v>
      </c>
      <c r="Y262">
        <v>8</v>
      </c>
      <c r="Z262" t="s">
        <v>585</v>
      </c>
      <c r="AA262" t="s">
        <v>586</v>
      </c>
      <c r="AB262" t="s">
        <v>85</v>
      </c>
      <c r="AC262" t="s">
        <v>86</v>
      </c>
      <c r="AD262" t="s">
        <v>87</v>
      </c>
      <c r="AE262" t="s">
        <v>587</v>
      </c>
      <c r="AG262" t="s">
        <v>588</v>
      </c>
      <c r="AH262">
        <v>0</v>
      </c>
      <c r="AI262">
        <v>234</v>
      </c>
      <c r="AJ262">
        <v>40</v>
      </c>
      <c r="AK262">
        <v>86</v>
      </c>
      <c r="AL262">
        <v>0.75</v>
      </c>
    </row>
    <row r="263" spans="1:38" x14ac:dyDescent="0.3">
      <c r="A263" t="s">
        <v>581</v>
      </c>
      <c r="B263">
        <v>100836</v>
      </c>
      <c r="C263">
        <v>2</v>
      </c>
      <c r="D263" t="s">
        <v>582</v>
      </c>
      <c r="E263" t="s">
        <v>583</v>
      </c>
      <c r="F263">
        <v>115</v>
      </c>
      <c r="G263">
        <v>21.19</v>
      </c>
      <c r="H263">
        <v>70.06</v>
      </c>
      <c r="I263">
        <v>18.12</v>
      </c>
      <c r="J263">
        <v>59.91</v>
      </c>
      <c r="K263">
        <v>52</v>
      </c>
      <c r="T263">
        <v>2</v>
      </c>
      <c r="U263">
        <v>1</v>
      </c>
      <c r="V263" t="s">
        <v>82</v>
      </c>
      <c r="W263" t="s">
        <v>589</v>
      </c>
      <c r="X263">
        <v>8</v>
      </c>
      <c r="Y263">
        <v>8</v>
      </c>
      <c r="Z263" t="s">
        <v>585</v>
      </c>
      <c r="AA263" t="s">
        <v>586</v>
      </c>
      <c r="AB263" t="s">
        <v>85</v>
      </c>
      <c r="AC263" t="s">
        <v>86</v>
      </c>
      <c r="AD263" t="s">
        <v>87</v>
      </c>
      <c r="AE263" t="s">
        <v>587</v>
      </c>
      <c r="AG263" t="s">
        <v>588</v>
      </c>
      <c r="AH263">
        <v>0</v>
      </c>
      <c r="AI263">
        <v>234</v>
      </c>
      <c r="AJ263">
        <v>40</v>
      </c>
      <c r="AK263">
        <v>86</v>
      </c>
      <c r="AL263">
        <v>0.75</v>
      </c>
    </row>
    <row r="264" spans="1:38" x14ac:dyDescent="0.3">
      <c r="A264" t="s">
        <v>581</v>
      </c>
      <c r="B264">
        <v>100836</v>
      </c>
      <c r="C264">
        <v>3</v>
      </c>
      <c r="D264" t="s">
        <v>582</v>
      </c>
      <c r="E264" t="s">
        <v>583</v>
      </c>
      <c r="F264">
        <v>115</v>
      </c>
      <c r="G264">
        <v>21.17</v>
      </c>
      <c r="H264">
        <v>70.010000000000005</v>
      </c>
      <c r="I264">
        <v>18.11</v>
      </c>
      <c r="J264">
        <v>59.88</v>
      </c>
      <c r="K264">
        <v>8</v>
      </c>
      <c r="T264">
        <v>3</v>
      </c>
      <c r="U264">
        <v>1</v>
      </c>
      <c r="V264" t="s">
        <v>82</v>
      </c>
      <c r="W264" t="s">
        <v>590</v>
      </c>
      <c r="X264">
        <v>8</v>
      </c>
      <c r="Y264">
        <v>8</v>
      </c>
      <c r="Z264" t="s">
        <v>585</v>
      </c>
      <c r="AA264" t="s">
        <v>586</v>
      </c>
      <c r="AB264" t="s">
        <v>85</v>
      </c>
      <c r="AC264" t="s">
        <v>86</v>
      </c>
      <c r="AD264" t="s">
        <v>87</v>
      </c>
      <c r="AE264" t="s">
        <v>587</v>
      </c>
      <c r="AG264" t="s">
        <v>588</v>
      </c>
      <c r="AH264">
        <v>0</v>
      </c>
      <c r="AI264">
        <v>234</v>
      </c>
      <c r="AJ264">
        <v>40</v>
      </c>
      <c r="AK264">
        <v>86</v>
      </c>
      <c r="AL264">
        <v>0.75</v>
      </c>
    </row>
    <row r="265" spans="1:38" x14ac:dyDescent="0.3">
      <c r="A265" t="s">
        <v>581</v>
      </c>
      <c r="B265">
        <v>100836</v>
      </c>
      <c r="C265">
        <v>4</v>
      </c>
      <c r="D265" t="s">
        <v>582</v>
      </c>
      <c r="E265" t="s">
        <v>583</v>
      </c>
      <c r="F265">
        <v>115</v>
      </c>
      <c r="G265">
        <v>29.61</v>
      </c>
      <c r="H265">
        <v>97.89</v>
      </c>
      <c r="I265">
        <v>25.32</v>
      </c>
      <c r="J265">
        <v>83.73</v>
      </c>
      <c r="K265">
        <v>16</v>
      </c>
      <c r="T265">
        <v>3</v>
      </c>
      <c r="U265">
        <v>1</v>
      </c>
      <c r="V265" t="s">
        <v>82</v>
      </c>
      <c r="W265" t="s">
        <v>257</v>
      </c>
      <c r="X265">
        <v>8</v>
      </c>
      <c r="Y265">
        <v>8</v>
      </c>
      <c r="Z265" t="s">
        <v>585</v>
      </c>
      <c r="AA265" t="s">
        <v>586</v>
      </c>
      <c r="AB265" t="s">
        <v>85</v>
      </c>
      <c r="AC265" t="s">
        <v>86</v>
      </c>
      <c r="AD265" t="s">
        <v>87</v>
      </c>
      <c r="AE265" t="s">
        <v>587</v>
      </c>
      <c r="AG265" t="s">
        <v>588</v>
      </c>
      <c r="AH265">
        <v>0</v>
      </c>
      <c r="AI265">
        <v>234</v>
      </c>
      <c r="AJ265">
        <v>40</v>
      </c>
      <c r="AK265">
        <v>86</v>
      </c>
      <c r="AL265">
        <v>0.75</v>
      </c>
    </row>
    <row r="266" spans="1:38" x14ac:dyDescent="0.3">
      <c r="A266" t="s">
        <v>581</v>
      </c>
      <c r="B266">
        <v>100836</v>
      </c>
      <c r="C266">
        <v>5</v>
      </c>
      <c r="D266" t="s">
        <v>582</v>
      </c>
      <c r="E266" t="s">
        <v>583</v>
      </c>
      <c r="F266">
        <v>115</v>
      </c>
      <c r="G266">
        <v>30.02</v>
      </c>
      <c r="H266">
        <v>99.26</v>
      </c>
      <c r="I266">
        <v>25.68</v>
      </c>
      <c r="J266">
        <v>84.9</v>
      </c>
      <c r="K266">
        <v>31</v>
      </c>
      <c r="T266">
        <v>3</v>
      </c>
      <c r="U266">
        <v>1</v>
      </c>
      <c r="V266" t="s">
        <v>82</v>
      </c>
      <c r="W266" t="s">
        <v>468</v>
      </c>
      <c r="X266">
        <v>8</v>
      </c>
      <c r="Y266">
        <v>8</v>
      </c>
      <c r="Z266" t="s">
        <v>585</v>
      </c>
      <c r="AA266" t="s">
        <v>586</v>
      </c>
      <c r="AB266" t="s">
        <v>85</v>
      </c>
      <c r="AC266" t="s">
        <v>86</v>
      </c>
      <c r="AD266" t="s">
        <v>87</v>
      </c>
      <c r="AE266" t="s">
        <v>587</v>
      </c>
      <c r="AG266" t="s">
        <v>588</v>
      </c>
      <c r="AH266">
        <v>0</v>
      </c>
      <c r="AI266">
        <v>234</v>
      </c>
      <c r="AJ266">
        <v>40</v>
      </c>
      <c r="AK266">
        <v>86</v>
      </c>
      <c r="AL266">
        <v>0.75</v>
      </c>
    </row>
    <row r="267" spans="1:38" x14ac:dyDescent="0.3">
      <c r="A267" t="s">
        <v>591</v>
      </c>
      <c r="B267">
        <v>137093</v>
      </c>
      <c r="C267">
        <v>1</v>
      </c>
      <c r="D267" t="s">
        <v>592</v>
      </c>
      <c r="E267" t="s">
        <v>314</v>
      </c>
      <c r="F267">
        <v>98</v>
      </c>
      <c r="G267">
        <v>22.79</v>
      </c>
      <c r="H267">
        <v>75.34</v>
      </c>
      <c r="I267">
        <v>18.12</v>
      </c>
      <c r="J267">
        <v>59.91</v>
      </c>
      <c r="K267">
        <v>8</v>
      </c>
      <c r="T267">
        <v>3</v>
      </c>
      <c r="U267">
        <v>1</v>
      </c>
      <c r="V267" t="s">
        <v>82</v>
      </c>
      <c r="W267" t="s">
        <v>593</v>
      </c>
      <c r="X267">
        <v>10</v>
      </c>
      <c r="Y267">
        <v>8</v>
      </c>
      <c r="Z267" t="s">
        <v>594</v>
      </c>
      <c r="AA267" t="s">
        <v>595</v>
      </c>
      <c r="AB267" t="s">
        <v>85</v>
      </c>
      <c r="AC267" t="s">
        <v>86</v>
      </c>
      <c r="AD267" t="s">
        <v>87</v>
      </c>
      <c r="AE267" t="s">
        <v>596</v>
      </c>
      <c r="AG267" t="s">
        <v>597</v>
      </c>
      <c r="AH267">
        <v>0</v>
      </c>
      <c r="AI267">
        <v>234</v>
      </c>
      <c r="AJ267">
        <v>31</v>
      </c>
      <c r="AK267">
        <v>82</v>
      </c>
      <c r="AL267">
        <v>0.84</v>
      </c>
    </row>
    <row r="268" spans="1:38" x14ac:dyDescent="0.3">
      <c r="A268" t="s">
        <v>591</v>
      </c>
      <c r="B268">
        <v>137093</v>
      </c>
      <c r="C268">
        <v>2</v>
      </c>
      <c r="D268" t="s">
        <v>592</v>
      </c>
      <c r="E268" t="s">
        <v>314</v>
      </c>
      <c r="F268">
        <v>98</v>
      </c>
      <c r="G268">
        <v>23.08</v>
      </c>
      <c r="H268">
        <v>76.3</v>
      </c>
      <c r="I268">
        <v>18.14</v>
      </c>
      <c r="J268">
        <v>59.99</v>
      </c>
      <c r="K268">
        <v>50</v>
      </c>
      <c r="T268">
        <v>3</v>
      </c>
      <c r="U268">
        <v>1</v>
      </c>
      <c r="V268" t="s">
        <v>82</v>
      </c>
      <c r="W268" t="s">
        <v>598</v>
      </c>
      <c r="X268">
        <v>10</v>
      </c>
      <c r="Y268">
        <v>8</v>
      </c>
      <c r="Z268" t="s">
        <v>594</v>
      </c>
      <c r="AA268" t="s">
        <v>595</v>
      </c>
      <c r="AB268" t="s">
        <v>85</v>
      </c>
      <c r="AC268" t="s">
        <v>86</v>
      </c>
      <c r="AD268" t="s">
        <v>87</v>
      </c>
      <c r="AE268" t="s">
        <v>596</v>
      </c>
      <c r="AG268" t="s">
        <v>597</v>
      </c>
      <c r="AH268">
        <v>0</v>
      </c>
      <c r="AI268">
        <v>234</v>
      </c>
      <c r="AJ268">
        <v>31</v>
      </c>
      <c r="AK268">
        <v>82</v>
      </c>
      <c r="AL268">
        <v>0.84</v>
      </c>
    </row>
    <row r="269" spans="1:38" x14ac:dyDescent="0.3">
      <c r="A269" t="s">
        <v>591</v>
      </c>
      <c r="B269">
        <v>137093</v>
      </c>
      <c r="C269">
        <v>3</v>
      </c>
      <c r="D269" t="s">
        <v>592</v>
      </c>
      <c r="E269" t="s">
        <v>314</v>
      </c>
      <c r="F269">
        <v>98</v>
      </c>
      <c r="G269">
        <v>27.06</v>
      </c>
      <c r="H269">
        <v>89.48</v>
      </c>
      <c r="I269">
        <v>21.39</v>
      </c>
      <c r="J269">
        <v>70.73</v>
      </c>
      <c r="K269">
        <v>40</v>
      </c>
      <c r="T269">
        <v>3</v>
      </c>
      <c r="U269">
        <v>2</v>
      </c>
      <c r="V269" t="s">
        <v>82</v>
      </c>
      <c r="W269">
        <v>89</v>
      </c>
      <c r="X269">
        <v>10</v>
      </c>
      <c r="Y269">
        <v>8</v>
      </c>
      <c r="Z269" t="s">
        <v>594</v>
      </c>
      <c r="AA269" t="s">
        <v>595</v>
      </c>
      <c r="AB269" t="s">
        <v>85</v>
      </c>
      <c r="AC269" t="s">
        <v>86</v>
      </c>
      <c r="AD269" t="s">
        <v>87</v>
      </c>
      <c r="AE269" t="s">
        <v>596</v>
      </c>
      <c r="AG269" t="s">
        <v>597</v>
      </c>
      <c r="AH269">
        <v>0</v>
      </c>
      <c r="AI269">
        <v>234</v>
      </c>
      <c r="AJ269">
        <v>31</v>
      </c>
      <c r="AK269">
        <v>82</v>
      </c>
      <c r="AL269">
        <v>0.84</v>
      </c>
    </row>
    <row r="270" spans="1:38" x14ac:dyDescent="0.3">
      <c r="A270" t="s">
        <v>591</v>
      </c>
      <c r="B270">
        <v>106127</v>
      </c>
      <c r="C270">
        <v>1</v>
      </c>
      <c r="D270" t="s">
        <v>599</v>
      </c>
      <c r="E270" t="s">
        <v>454</v>
      </c>
      <c r="F270">
        <v>1298</v>
      </c>
      <c r="G270">
        <v>24.54</v>
      </c>
      <c r="H270">
        <v>81.14</v>
      </c>
      <c r="I270">
        <v>18.11</v>
      </c>
      <c r="J270">
        <v>59.9</v>
      </c>
      <c r="K270">
        <v>393</v>
      </c>
      <c r="T270">
        <v>3</v>
      </c>
      <c r="U270">
        <v>2</v>
      </c>
      <c r="V270" t="s">
        <v>82</v>
      </c>
      <c r="W270" t="s">
        <v>139</v>
      </c>
      <c r="X270">
        <v>25</v>
      </c>
      <c r="Y270">
        <v>12</v>
      </c>
      <c r="Z270" t="s">
        <v>600</v>
      </c>
      <c r="AA270" t="s">
        <v>601</v>
      </c>
      <c r="AB270" t="s">
        <v>85</v>
      </c>
      <c r="AC270" t="s">
        <v>86</v>
      </c>
      <c r="AD270" t="s">
        <v>87</v>
      </c>
      <c r="AE270" t="s">
        <v>596</v>
      </c>
      <c r="AG270" t="s">
        <v>602</v>
      </c>
      <c r="AH270">
        <v>0</v>
      </c>
      <c r="AI270">
        <v>175</v>
      </c>
      <c r="AJ270">
        <v>15</v>
      </c>
      <c r="AK270">
        <v>1312</v>
      </c>
      <c r="AL270">
        <v>1.01</v>
      </c>
    </row>
    <row r="271" spans="1:38" x14ac:dyDescent="0.3">
      <c r="A271" t="s">
        <v>591</v>
      </c>
      <c r="B271">
        <v>106127</v>
      </c>
      <c r="C271">
        <v>2</v>
      </c>
      <c r="D271" t="s">
        <v>599</v>
      </c>
      <c r="E271" t="s">
        <v>454</v>
      </c>
      <c r="F271">
        <v>1298</v>
      </c>
      <c r="G271">
        <v>24.56</v>
      </c>
      <c r="H271">
        <v>81.22</v>
      </c>
      <c r="I271">
        <v>18.13</v>
      </c>
      <c r="J271">
        <v>59.96</v>
      </c>
      <c r="K271">
        <v>146</v>
      </c>
      <c r="T271">
        <v>3</v>
      </c>
      <c r="U271">
        <v>2</v>
      </c>
      <c r="V271" t="s">
        <v>82</v>
      </c>
      <c r="W271" t="s">
        <v>603</v>
      </c>
      <c r="X271">
        <v>25</v>
      </c>
      <c r="Y271">
        <v>12</v>
      </c>
      <c r="Z271" t="s">
        <v>600</v>
      </c>
      <c r="AA271" t="s">
        <v>601</v>
      </c>
      <c r="AB271" t="s">
        <v>85</v>
      </c>
      <c r="AC271" t="s">
        <v>86</v>
      </c>
      <c r="AD271" t="s">
        <v>87</v>
      </c>
      <c r="AE271" t="s">
        <v>596</v>
      </c>
      <c r="AG271" t="s">
        <v>602</v>
      </c>
      <c r="AH271">
        <v>0</v>
      </c>
      <c r="AI271">
        <v>175</v>
      </c>
      <c r="AJ271">
        <v>15</v>
      </c>
      <c r="AK271">
        <v>1312</v>
      </c>
      <c r="AL271">
        <v>1.01</v>
      </c>
    </row>
    <row r="272" spans="1:38" x14ac:dyDescent="0.3">
      <c r="A272" t="s">
        <v>591</v>
      </c>
      <c r="B272">
        <v>106127</v>
      </c>
      <c r="C272">
        <v>3</v>
      </c>
      <c r="D272" t="s">
        <v>599</v>
      </c>
      <c r="E272" t="s">
        <v>454</v>
      </c>
      <c r="F272">
        <v>1298</v>
      </c>
      <c r="G272">
        <v>24.5</v>
      </c>
      <c r="H272">
        <v>81.02</v>
      </c>
      <c r="I272">
        <v>18.09</v>
      </c>
      <c r="J272">
        <v>59.81</v>
      </c>
      <c r="K272">
        <v>65</v>
      </c>
      <c r="T272">
        <v>3</v>
      </c>
      <c r="U272">
        <v>2</v>
      </c>
      <c r="V272" t="s">
        <v>82</v>
      </c>
      <c r="W272" t="s">
        <v>140</v>
      </c>
      <c r="X272">
        <v>25</v>
      </c>
      <c r="Y272">
        <v>12</v>
      </c>
      <c r="Z272" t="s">
        <v>600</v>
      </c>
      <c r="AA272" t="s">
        <v>601</v>
      </c>
      <c r="AB272" t="s">
        <v>85</v>
      </c>
      <c r="AC272" t="s">
        <v>86</v>
      </c>
      <c r="AD272" t="s">
        <v>87</v>
      </c>
      <c r="AE272" t="s">
        <v>596</v>
      </c>
      <c r="AG272" t="s">
        <v>602</v>
      </c>
      <c r="AH272">
        <v>0</v>
      </c>
      <c r="AI272">
        <v>175</v>
      </c>
      <c r="AJ272">
        <v>15</v>
      </c>
      <c r="AK272">
        <v>1312</v>
      </c>
      <c r="AL272">
        <v>1.01</v>
      </c>
    </row>
    <row r="273" spans="1:38" x14ac:dyDescent="0.3">
      <c r="A273" t="s">
        <v>591</v>
      </c>
      <c r="B273">
        <v>106127</v>
      </c>
      <c r="C273">
        <v>4</v>
      </c>
      <c r="D273" t="s">
        <v>599</v>
      </c>
      <c r="E273" t="s">
        <v>454</v>
      </c>
      <c r="F273">
        <v>1298</v>
      </c>
      <c r="G273">
        <v>24.57</v>
      </c>
      <c r="H273">
        <v>81.25</v>
      </c>
      <c r="I273">
        <v>18.14</v>
      </c>
      <c r="J273">
        <v>59.98</v>
      </c>
      <c r="K273">
        <v>19</v>
      </c>
      <c r="T273">
        <v>3</v>
      </c>
      <c r="U273">
        <v>2</v>
      </c>
      <c r="V273" t="s">
        <v>82</v>
      </c>
      <c r="W273" t="s">
        <v>604</v>
      </c>
      <c r="X273">
        <v>25</v>
      </c>
      <c r="Y273">
        <v>12</v>
      </c>
      <c r="Z273" t="s">
        <v>600</v>
      </c>
      <c r="AA273" t="s">
        <v>601</v>
      </c>
      <c r="AB273" t="s">
        <v>85</v>
      </c>
      <c r="AC273" t="s">
        <v>86</v>
      </c>
      <c r="AD273" t="s">
        <v>87</v>
      </c>
      <c r="AE273" t="s">
        <v>596</v>
      </c>
      <c r="AG273" t="s">
        <v>602</v>
      </c>
      <c r="AH273">
        <v>0</v>
      </c>
      <c r="AI273">
        <v>175</v>
      </c>
      <c r="AJ273">
        <v>15</v>
      </c>
      <c r="AK273">
        <v>1312</v>
      </c>
      <c r="AL273">
        <v>1.01</v>
      </c>
    </row>
    <row r="274" spans="1:38" x14ac:dyDescent="0.3">
      <c r="A274" t="s">
        <v>591</v>
      </c>
      <c r="B274">
        <v>106127</v>
      </c>
      <c r="C274">
        <v>5</v>
      </c>
      <c r="D274" t="s">
        <v>599</v>
      </c>
      <c r="E274" t="s">
        <v>454</v>
      </c>
      <c r="F274">
        <v>1298</v>
      </c>
      <c r="G274">
        <v>30.72</v>
      </c>
      <c r="H274">
        <v>101.56</v>
      </c>
      <c r="I274">
        <v>22.67</v>
      </c>
      <c r="J274">
        <v>74.97</v>
      </c>
      <c r="K274">
        <v>159</v>
      </c>
      <c r="T274">
        <v>3</v>
      </c>
      <c r="U274">
        <v>2</v>
      </c>
      <c r="V274" t="s">
        <v>82</v>
      </c>
      <c r="W274" t="s">
        <v>281</v>
      </c>
      <c r="X274">
        <v>25</v>
      </c>
      <c r="Y274">
        <v>12</v>
      </c>
      <c r="Z274" t="s">
        <v>600</v>
      </c>
      <c r="AA274" t="s">
        <v>601</v>
      </c>
      <c r="AB274" t="s">
        <v>85</v>
      </c>
      <c r="AC274" t="s">
        <v>86</v>
      </c>
      <c r="AD274" t="s">
        <v>87</v>
      </c>
      <c r="AE274" t="s">
        <v>596</v>
      </c>
      <c r="AG274" t="s">
        <v>602</v>
      </c>
      <c r="AH274">
        <v>0</v>
      </c>
      <c r="AI274">
        <v>175</v>
      </c>
      <c r="AJ274">
        <v>15</v>
      </c>
      <c r="AK274">
        <v>1312</v>
      </c>
      <c r="AL274">
        <v>1.01</v>
      </c>
    </row>
    <row r="275" spans="1:38" x14ac:dyDescent="0.3">
      <c r="A275" t="s">
        <v>591</v>
      </c>
      <c r="B275">
        <v>106127</v>
      </c>
      <c r="C275">
        <v>6</v>
      </c>
      <c r="D275" t="s">
        <v>599</v>
      </c>
      <c r="E275" t="s">
        <v>454</v>
      </c>
      <c r="F275">
        <v>1298</v>
      </c>
      <c r="G275">
        <v>30.55</v>
      </c>
      <c r="H275">
        <v>101</v>
      </c>
      <c r="I275">
        <v>22.55</v>
      </c>
      <c r="J275">
        <v>74.56</v>
      </c>
      <c r="K275">
        <v>41</v>
      </c>
      <c r="T275">
        <v>3</v>
      </c>
      <c r="U275">
        <v>2</v>
      </c>
      <c r="V275" t="s">
        <v>82</v>
      </c>
      <c r="W275" t="s">
        <v>244</v>
      </c>
      <c r="X275">
        <v>25</v>
      </c>
      <c r="Y275">
        <v>12</v>
      </c>
      <c r="Z275" t="s">
        <v>600</v>
      </c>
      <c r="AA275" t="s">
        <v>601</v>
      </c>
      <c r="AB275" t="s">
        <v>85</v>
      </c>
      <c r="AC275" t="s">
        <v>86</v>
      </c>
      <c r="AD275" t="s">
        <v>87</v>
      </c>
      <c r="AE275" t="s">
        <v>596</v>
      </c>
      <c r="AG275" t="s">
        <v>602</v>
      </c>
      <c r="AH275">
        <v>0</v>
      </c>
      <c r="AI275">
        <v>175</v>
      </c>
      <c r="AJ275">
        <v>15</v>
      </c>
      <c r="AK275">
        <v>1312</v>
      </c>
      <c r="AL275">
        <v>1.01</v>
      </c>
    </row>
    <row r="276" spans="1:38" x14ac:dyDescent="0.3">
      <c r="A276" t="s">
        <v>591</v>
      </c>
      <c r="B276">
        <v>106127</v>
      </c>
      <c r="C276">
        <v>7</v>
      </c>
      <c r="D276" t="s">
        <v>599</v>
      </c>
      <c r="E276" t="s">
        <v>454</v>
      </c>
      <c r="F276">
        <v>1298</v>
      </c>
      <c r="G276">
        <v>30.66</v>
      </c>
      <c r="H276">
        <v>101.37</v>
      </c>
      <c r="I276">
        <v>22.63</v>
      </c>
      <c r="J276">
        <v>74.83</v>
      </c>
      <c r="K276">
        <v>28</v>
      </c>
      <c r="T276">
        <v>3</v>
      </c>
      <c r="U276">
        <v>2</v>
      </c>
      <c r="V276" t="s">
        <v>82</v>
      </c>
      <c r="W276" t="s">
        <v>605</v>
      </c>
      <c r="X276">
        <v>25</v>
      </c>
      <c r="Y276">
        <v>12</v>
      </c>
      <c r="Z276" t="s">
        <v>600</v>
      </c>
      <c r="AA276" t="s">
        <v>601</v>
      </c>
      <c r="AB276" t="s">
        <v>85</v>
      </c>
      <c r="AC276" t="s">
        <v>86</v>
      </c>
      <c r="AD276" t="s">
        <v>87</v>
      </c>
      <c r="AE276" t="s">
        <v>596</v>
      </c>
      <c r="AG276" t="s">
        <v>602</v>
      </c>
      <c r="AH276">
        <v>0</v>
      </c>
      <c r="AI276">
        <v>175</v>
      </c>
      <c r="AJ276">
        <v>15</v>
      </c>
      <c r="AK276">
        <v>1312</v>
      </c>
      <c r="AL276">
        <v>1.01</v>
      </c>
    </row>
    <row r="277" spans="1:38" x14ac:dyDescent="0.3">
      <c r="A277" t="s">
        <v>591</v>
      </c>
      <c r="B277">
        <v>106127</v>
      </c>
      <c r="C277">
        <v>8</v>
      </c>
      <c r="D277" t="s">
        <v>599</v>
      </c>
      <c r="E277" t="s">
        <v>454</v>
      </c>
      <c r="F277">
        <v>1298</v>
      </c>
      <c r="G277">
        <v>34.78</v>
      </c>
      <c r="H277">
        <v>114.99</v>
      </c>
      <c r="I277">
        <v>25.67</v>
      </c>
      <c r="J277">
        <v>84.89</v>
      </c>
      <c r="K277">
        <v>336</v>
      </c>
      <c r="T277">
        <v>3</v>
      </c>
      <c r="U277">
        <v>2</v>
      </c>
      <c r="V277" t="s">
        <v>82</v>
      </c>
      <c r="W277" t="s">
        <v>606</v>
      </c>
      <c r="X277">
        <v>25</v>
      </c>
      <c r="Y277">
        <v>12</v>
      </c>
      <c r="Z277" t="s">
        <v>600</v>
      </c>
      <c r="AA277" t="s">
        <v>601</v>
      </c>
      <c r="AB277" t="s">
        <v>85</v>
      </c>
      <c r="AC277" t="s">
        <v>86</v>
      </c>
      <c r="AD277" t="s">
        <v>87</v>
      </c>
      <c r="AE277" t="s">
        <v>596</v>
      </c>
      <c r="AG277" t="s">
        <v>602</v>
      </c>
      <c r="AH277">
        <v>0</v>
      </c>
      <c r="AI277">
        <v>175</v>
      </c>
      <c r="AJ277">
        <v>15</v>
      </c>
      <c r="AK277">
        <v>1312</v>
      </c>
      <c r="AL277">
        <v>1.01</v>
      </c>
    </row>
    <row r="278" spans="1:38" x14ac:dyDescent="0.3">
      <c r="A278" t="s">
        <v>591</v>
      </c>
      <c r="B278">
        <v>106127</v>
      </c>
      <c r="C278">
        <v>9</v>
      </c>
      <c r="D278" t="s">
        <v>599</v>
      </c>
      <c r="E278" t="s">
        <v>454</v>
      </c>
      <c r="F278">
        <v>1298</v>
      </c>
      <c r="G278">
        <v>34.79</v>
      </c>
      <c r="H278">
        <v>115.02</v>
      </c>
      <c r="I278">
        <v>25.68</v>
      </c>
      <c r="J278">
        <v>84.91</v>
      </c>
      <c r="K278">
        <v>111</v>
      </c>
      <c r="T278">
        <v>3</v>
      </c>
      <c r="U278">
        <v>2</v>
      </c>
      <c r="V278" t="s">
        <v>82</v>
      </c>
      <c r="W278" t="s">
        <v>607</v>
      </c>
      <c r="X278">
        <v>25</v>
      </c>
      <c r="Y278">
        <v>12</v>
      </c>
      <c r="Z278" t="s">
        <v>600</v>
      </c>
      <c r="AA278" t="s">
        <v>601</v>
      </c>
      <c r="AB278" t="s">
        <v>85</v>
      </c>
      <c r="AC278" t="s">
        <v>86</v>
      </c>
      <c r="AD278" t="s">
        <v>87</v>
      </c>
      <c r="AE278" t="s">
        <v>596</v>
      </c>
      <c r="AG278" t="s">
        <v>602</v>
      </c>
      <c r="AH278">
        <v>0</v>
      </c>
      <c r="AI278">
        <v>175</v>
      </c>
      <c r="AJ278">
        <v>15</v>
      </c>
      <c r="AK278">
        <v>1312</v>
      </c>
      <c r="AL278">
        <v>1.01</v>
      </c>
    </row>
    <row r="279" spans="1:38" x14ac:dyDescent="0.3">
      <c r="A279" t="s">
        <v>591</v>
      </c>
      <c r="B279">
        <v>135803</v>
      </c>
      <c r="C279">
        <v>1</v>
      </c>
      <c r="D279" t="s">
        <v>608</v>
      </c>
      <c r="E279" t="s">
        <v>609</v>
      </c>
      <c r="F279">
        <v>57</v>
      </c>
      <c r="G279">
        <v>23.8</v>
      </c>
      <c r="H279">
        <v>78.709999999999994</v>
      </c>
      <c r="I279">
        <v>18.11</v>
      </c>
      <c r="J279">
        <v>59.9</v>
      </c>
      <c r="K279">
        <v>47</v>
      </c>
      <c r="T279">
        <v>3</v>
      </c>
      <c r="U279">
        <v>2</v>
      </c>
      <c r="V279" t="s">
        <v>82</v>
      </c>
      <c r="W279">
        <v>78</v>
      </c>
      <c r="X279">
        <v>11</v>
      </c>
      <c r="Y279">
        <v>11</v>
      </c>
      <c r="Z279" t="s">
        <v>610</v>
      </c>
      <c r="AA279" t="s">
        <v>611</v>
      </c>
      <c r="AB279" t="s">
        <v>85</v>
      </c>
      <c r="AC279" t="s">
        <v>86</v>
      </c>
      <c r="AD279" t="s">
        <v>87</v>
      </c>
      <c r="AE279" t="s">
        <v>596</v>
      </c>
      <c r="AG279" t="s">
        <v>612</v>
      </c>
      <c r="AH279">
        <v>0</v>
      </c>
      <c r="AI279">
        <v>172</v>
      </c>
      <c r="AJ279">
        <v>19</v>
      </c>
      <c r="AK279">
        <v>48</v>
      </c>
      <c r="AL279">
        <v>0.84</v>
      </c>
    </row>
    <row r="280" spans="1:38" x14ac:dyDescent="0.3">
      <c r="A280" t="s">
        <v>591</v>
      </c>
      <c r="B280">
        <v>135803</v>
      </c>
      <c r="C280">
        <v>2</v>
      </c>
      <c r="D280" t="s">
        <v>608</v>
      </c>
      <c r="E280" t="s">
        <v>609</v>
      </c>
      <c r="F280">
        <v>57</v>
      </c>
      <c r="G280">
        <v>27.34</v>
      </c>
      <c r="H280">
        <v>90.4</v>
      </c>
      <c r="I280">
        <v>20.79</v>
      </c>
      <c r="J280">
        <v>68.739999999999995</v>
      </c>
      <c r="K280">
        <v>10</v>
      </c>
      <c r="T280">
        <v>3</v>
      </c>
      <c r="U280">
        <v>2</v>
      </c>
      <c r="V280" t="s">
        <v>82</v>
      </c>
      <c r="W280">
        <v>90</v>
      </c>
      <c r="X280">
        <v>11</v>
      </c>
      <c r="Y280">
        <v>11</v>
      </c>
      <c r="Z280" t="s">
        <v>610</v>
      </c>
      <c r="AA280" t="s">
        <v>611</v>
      </c>
      <c r="AB280" t="s">
        <v>85</v>
      </c>
      <c r="AC280" t="s">
        <v>86</v>
      </c>
      <c r="AD280" t="s">
        <v>87</v>
      </c>
      <c r="AE280" t="s">
        <v>596</v>
      </c>
      <c r="AG280" t="s">
        <v>612</v>
      </c>
      <c r="AH280">
        <v>0</v>
      </c>
      <c r="AI280">
        <v>172</v>
      </c>
      <c r="AJ280">
        <v>19</v>
      </c>
      <c r="AK280">
        <v>48</v>
      </c>
      <c r="AL280">
        <v>0.84</v>
      </c>
    </row>
    <row r="281" spans="1:38" x14ac:dyDescent="0.3">
      <c r="A281" t="s">
        <v>591</v>
      </c>
      <c r="B281">
        <v>7577</v>
      </c>
      <c r="C281">
        <v>1</v>
      </c>
      <c r="D281" t="s">
        <v>613</v>
      </c>
      <c r="E281" t="s">
        <v>614</v>
      </c>
      <c r="F281">
        <v>650</v>
      </c>
      <c r="G281">
        <v>15.84</v>
      </c>
      <c r="H281">
        <v>52.39</v>
      </c>
      <c r="I281">
        <v>12.02</v>
      </c>
      <c r="J281">
        <v>39.75</v>
      </c>
      <c r="K281">
        <v>650</v>
      </c>
      <c r="T281">
        <v>2</v>
      </c>
      <c r="U281">
        <v>1</v>
      </c>
      <c r="V281" t="s">
        <v>175</v>
      </c>
      <c r="W281">
        <v>52</v>
      </c>
      <c r="X281">
        <v>5</v>
      </c>
      <c r="Y281">
        <v>5</v>
      </c>
      <c r="Z281" t="s">
        <v>615</v>
      </c>
      <c r="AA281" t="s">
        <v>616</v>
      </c>
      <c r="AB281" t="s">
        <v>85</v>
      </c>
      <c r="AC281" t="s">
        <v>86</v>
      </c>
      <c r="AD281" t="s">
        <v>87</v>
      </c>
      <c r="AE281" t="s">
        <v>596</v>
      </c>
      <c r="AG281" t="s">
        <v>617</v>
      </c>
      <c r="AH281">
        <v>0</v>
      </c>
      <c r="AI281">
        <v>109</v>
      </c>
      <c r="AJ281">
        <v>26</v>
      </c>
      <c r="AK281">
        <v>428</v>
      </c>
      <c r="AL281">
        <v>0.66</v>
      </c>
    </row>
    <row r="282" spans="1:38" x14ac:dyDescent="0.3">
      <c r="A282" t="s">
        <v>591</v>
      </c>
      <c r="B282">
        <v>110474</v>
      </c>
      <c r="C282">
        <v>1</v>
      </c>
      <c r="D282" t="s">
        <v>618</v>
      </c>
      <c r="E282" t="s">
        <v>619</v>
      </c>
      <c r="F282">
        <v>520</v>
      </c>
      <c r="G282">
        <v>33.53</v>
      </c>
      <c r="H282">
        <v>110.85</v>
      </c>
      <c r="I282">
        <v>25.69</v>
      </c>
      <c r="J282">
        <v>84.94</v>
      </c>
      <c r="K282">
        <v>224</v>
      </c>
      <c r="T282">
        <v>3</v>
      </c>
      <c r="U282">
        <v>2</v>
      </c>
      <c r="V282" t="s">
        <v>82</v>
      </c>
      <c r="W282" t="s">
        <v>287</v>
      </c>
      <c r="X282">
        <v>22</v>
      </c>
      <c r="Y282">
        <v>12</v>
      </c>
      <c r="Z282" t="s">
        <v>620</v>
      </c>
      <c r="AA282" t="s">
        <v>621</v>
      </c>
      <c r="AB282" t="s">
        <v>85</v>
      </c>
      <c r="AC282" t="s">
        <v>86</v>
      </c>
      <c r="AD282" t="s">
        <v>87</v>
      </c>
      <c r="AE282" t="s">
        <v>596</v>
      </c>
      <c r="AG282" t="s">
        <v>622</v>
      </c>
      <c r="AH282">
        <v>0</v>
      </c>
      <c r="AI282">
        <v>139</v>
      </c>
      <c r="AJ282">
        <v>13</v>
      </c>
      <c r="AK282">
        <v>665</v>
      </c>
      <c r="AL282">
        <v>1.28</v>
      </c>
    </row>
    <row r="283" spans="1:38" x14ac:dyDescent="0.3">
      <c r="A283" t="s">
        <v>591</v>
      </c>
      <c r="B283">
        <v>110474</v>
      </c>
      <c r="C283">
        <v>2</v>
      </c>
      <c r="D283" t="s">
        <v>618</v>
      </c>
      <c r="E283" t="s">
        <v>619</v>
      </c>
      <c r="F283">
        <v>520</v>
      </c>
      <c r="G283">
        <v>33.57</v>
      </c>
      <c r="H283">
        <v>110.98</v>
      </c>
      <c r="I283">
        <v>25.7</v>
      </c>
      <c r="J283">
        <v>84.98</v>
      </c>
      <c r="K283">
        <v>18</v>
      </c>
      <c r="T283">
        <v>3</v>
      </c>
      <c r="U283">
        <v>2</v>
      </c>
      <c r="V283" t="s">
        <v>82</v>
      </c>
      <c r="W283" t="s">
        <v>152</v>
      </c>
      <c r="X283">
        <v>22</v>
      </c>
      <c r="Y283">
        <v>12</v>
      </c>
      <c r="Z283" t="s">
        <v>620</v>
      </c>
      <c r="AA283" t="s">
        <v>621</v>
      </c>
      <c r="AB283" t="s">
        <v>85</v>
      </c>
      <c r="AC283" t="s">
        <v>86</v>
      </c>
      <c r="AD283" t="s">
        <v>87</v>
      </c>
      <c r="AE283" t="s">
        <v>596</v>
      </c>
      <c r="AG283" t="s">
        <v>622</v>
      </c>
      <c r="AH283">
        <v>0</v>
      </c>
      <c r="AI283">
        <v>139</v>
      </c>
      <c r="AJ283">
        <v>13</v>
      </c>
      <c r="AK283">
        <v>665</v>
      </c>
      <c r="AL283">
        <v>1.28</v>
      </c>
    </row>
    <row r="284" spans="1:38" x14ac:dyDescent="0.3">
      <c r="A284" t="s">
        <v>591</v>
      </c>
      <c r="B284">
        <v>110474</v>
      </c>
      <c r="C284">
        <v>3</v>
      </c>
      <c r="D284" t="s">
        <v>618</v>
      </c>
      <c r="E284" t="s">
        <v>619</v>
      </c>
      <c r="F284">
        <v>520</v>
      </c>
      <c r="G284">
        <v>33.68</v>
      </c>
      <c r="H284">
        <v>111.36</v>
      </c>
      <c r="I284">
        <v>25.66</v>
      </c>
      <c r="J284">
        <v>84.84</v>
      </c>
      <c r="K284">
        <v>48</v>
      </c>
      <c r="T284">
        <v>4</v>
      </c>
      <c r="U284">
        <v>2</v>
      </c>
      <c r="V284" t="s">
        <v>82</v>
      </c>
      <c r="W284" t="s">
        <v>154</v>
      </c>
      <c r="X284">
        <v>22</v>
      </c>
      <c r="Y284">
        <v>12</v>
      </c>
      <c r="Z284" t="s">
        <v>620</v>
      </c>
      <c r="AA284" t="s">
        <v>621</v>
      </c>
      <c r="AB284" t="s">
        <v>85</v>
      </c>
      <c r="AC284" t="s">
        <v>86</v>
      </c>
      <c r="AD284" t="s">
        <v>87</v>
      </c>
      <c r="AE284" t="s">
        <v>596</v>
      </c>
      <c r="AG284" t="s">
        <v>622</v>
      </c>
      <c r="AH284">
        <v>0</v>
      </c>
      <c r="AI284">
        <v>139</v>
      </c>
      <c r="AJ284">
        <v>13</v>
      </c>
      <c r="AK284">
        <v>665</v>
      </c>
      <c r="AL284">
        <v>1.28</v>
      </c>
    </row>
    <row r="285" spans="1:38" x14ac:dyDescent="0.3">
      <c r="A285" t="s">
        <v>591</v>
      </c>
      <c r="B285">
        <v>110474</v>
      </c>
      <c r="C285">
        <v>4</v>
      </c>
      <c r="D285" t="s">
        <v>618</v>
      </c>
      <c r="E285" t="s">
        <v>619</v>
      </c>
      <c r="F285">
        <v>520</v>
      </c>
      <c r="G285">
        <v>39.93</v>
      </c>
      <c r="H285">
        <v>132.01</v>
      </c>
      <c r="I285">
        <v>30.71</v>
      </c>
      <c r="J285">
        <v>101.54</v>
      </c>
      <c r="K285">
        <v>103</v>
      </c>
      <c r="T285">
        <v>4</v>
      </c>
      <c r="U285">
        <v>2</v>
      </c>
      <c r="V285" t="s">
        <v>82</v>
      </c>
      <c r="W285" t="s">
        <v>623</v>
      </c>
      <c r="X285">
        <v>22</v>
      </c>
      <c r="Y285">
        <v>12</v>
      </c>
      <c r="Z285" t="s">
        <v>620</v>
      </c>
      <c r="AA285" t="s">
        <v>621</v>
      </c>
      <c r="AB285" t="s">
        <v>85</v>
      </c>
      <c r="AC285" t="s">
        <v>86</v>
      </c>
      <c r="AD285" t="s">
        <v>87</v>
      </c>
      <c r="AE285" t="s">
        <v>596</v>
      </c>
      <c r="AG285" t="s">
        <v>622</v>
      </c>
      <c r="AH285">
        <v>0</v>
      </c>
      <c r="AI285">
        <v>139</v>
      </c>
      <c r="AJ285">
        <v>13</v>
      </c>
      <c r="AK285">
        <v>665</v>
      </c>
      <c r="AL285">
        <v>1.28</v>
      </c>
    </row>
    <row r="286" spans="1:38" x14ac:dyDescent="0.3">
      <c r="A286" t="s">
        <v>591</v>
      </c>
      <c r="B286">
        <v>110474</v>
      </c>
      <c r="C286">
        <v>5</v>
      </c>
      <c r="D286" t="s">
        <v>618</v>
      </c>
      <c r="E286" t="s">
        <v>619</v>
      </c>
      <c r="F286">
        <v>520</v>
      </c>
      <c r="G286">
        <v>39.93</v>
      </c>
      <c r="H286">
        <v>132.03</v>
      </c>
      <c r="I286">
        <v>30.65</v>
      </c>
      <c r="J286">
        <v>101.34</v>
      </c>
      <c r="K286">
        <v>41</v>
      </c>
      <c r="T286">
        <v>4</v>
      </c>
      <c r="U286">
        <v>2</v>
      </c>
      <c r="V286" t="s">
        <v>82</v>
      </c>
      <c r="W286" t="s">
        <v>624</v>
      </c>
      <c r="X286">
        <v>22</v>
      </c>
      <c r="Y286">
        <v>12</v>
      </c>
      <c r="Z286" t="s">
        <v>620</v>
      </c>
      <c r="AA286" t="s">
        <v>621</v>
      </c>
      <c r="AB286" t="s">
        <v>85</v>
      </c>
      <c r="AC286" t="s">
        <v>86</v>
      </c>
      <c r="AD286" t="s">
        <v>87</v>
      </c>
      <c r="AE286" t="s">
        <v>596</v>
      </c>
      <c r="AG286" t="s">
        <v>622</v>
      </c>
      <c r="AH286">
        <v>0</v>
      </c>
      <c r="AI286">
        <v>139</v>
      </c>
      <c r="AJ286">
        <v>13</v>
      </c>
      <c r="AK286">
        <v>665</v>
      </c>
      <c r="AL286">
        <v>1.28</v>
      </c>
    </row>
    <row r="287" spans="1:38" x14ac:dyDescent="0.3">
      <c r="A287" t="s">
        <v>591</v>
      </c>
      <c r="B287">
        <v>110474</v>
      </c>
      <c r="C287">
        <v>6</v>
      </c>
      <c r="D287" t="s">
        <v>618</v>
      </c>
      <c r="E287" t="s">
        <v>619</v>
      </c>
      <c r="F287">
        <v>520</v>
      </c>
      <c r="G287">
        <v>44.99</v>
      </c>
      <c r="H287">
        <v>148.75</v>
      </c>
      <c r="I287">
        <v>34.72</v>
      </c>
      <c r="J287">
        <v>114.79</v>
      </c>
      <c r="K287">
        <v>86</v>
      </c>
      <c r="T287">
        <v>4</v>
      </c>
      <c r="U287">
        <v>2</v>
      </c>
      <c r="V287" t="s">
        <v>82</v>
      </c>
      <c r="W287">
        <v>148</v>
      </c>
      <c r="X287">
        <v>22</v>
      </c>
      <c r="Y287">
        <v>12</v>
      </c>
      <c r="Z287" t="s">
        <v>620</v>
      </c>
      <c r="AA287" t="s">
        <v>621</v>
      </c>
      <c r="AB287" t="s">
        <v>85</v>
      </c>
      <c r="AC287" t="s">
        <v>86</v>
      </c>
      <c r="AD287" t="s">
        <v>87</v>
      </c>
      <c r="AE287" t="s">
        <v>596</v>
      </c>
      <c r="AG287" t="s">
        <v>622</v>
      </c>
      <c r="AH287">
        <v>0</v>
      </c>
      <c r="AI287">
        <v>139</v>
      </c>
      <c r="AJ287">
        <v>13</v>
      </c>
      <c r="AK287">
        <v>665</v>
      </c>
      <c r="AL287">
        <v>1.28</v>
      </c>
    </row>
    <row r="288" spans="1:38" x14ac:dyDescent="0.3">
      <c r="A288" t="s">
        <v>591</v>
      </c>
      <c r="B288">
        <v>7573</v>
      </c>
      <c r="C288">
        <v>1</v>
      </c>
      <c r="D288" t="s">
        <v>625</v>
      </c>
      <c r="E288" t="s">
        <v>626</v>
      </c>
      <c r="F288">
        <v>299</v>
      </c>
      <c r="G288">
        <v>31.45</v>
      </c>
      <c r="H288">
        <v>103.99</v>
      </c>
      <c r="I288">
        <v>25.68</v>
      </c>
      <c r="J288">
        <v>84.9</v>
      </c>
      <c r="K288">
        <v>251</v>
      </c>
      <c r="T288">
        <v>3</v>
      </c>
      <c r="U288">
        <v>2</v>
      </c>
      <c r="V288" t="s">
        <v>82</v>
      </c>
      <c r="W288">
        <v>103</v>
      </c>
      <c r="X288">
        <v>6</v>
      </c>
      <c r="Y288">
        <v>6</v>
      </c>
      <c r="Z288" t="s">
        <v>627</v>
      </c>
      <c r="AA288" t="s">
        <v>628</v>
      </c>
      <c r="AB288" t="s">
        <v>85</v>
      </c>
      <c r="AC288" t="s">
        <v>86</v>
      </c>
      <c r="AD288" t="s">
        <v>87</v>
      </c>
      <c r="AE288" t="s">
        <v>596</v>
      </c>
      <c r="AG288" t="s">
        <v>629</v>
      </c>
      <c r="AH288">
        <v>0</v>
      </c>
      <c r="AI288">
        <v>107</v>
      </c>
      <c r="AJ288">
        <v>21</v>
      </c>
      <c r="AK288">
        <v>0</v>
      </c>
      <c r="AL288">
        <v>0</v>
      </c>
    </row>
    <row r="289" spans="1:38" x14ac:dyDescent="0.3">
      <c r="A289" t="s">
        <v>591</v>
      </c>
      <c r="B289">
        <v>7573</v>
      </c>
      <c r="C289">
        <v>2</v>
      </c>
      <c r="D289" t="s">
        <v>625</v>
      </c>
      <c r="E289" t="s">
        <v>626</v>
      </c>
      <c r="F289">
        <v>299</v>
      </c>
      <c r="G289">
        <v>48.57</v>
      </c>
      <c r="H289">
        <v>160.59</v>
      </c>
      <c r="I289">
        <v>39.43</v>
      </c>
      <c r="J289">
        <v>130.35</v>
      </c>
      <c r="K289">
        <v>48</v>
      </c>
      <c r="T289">
        <v>4</v>
      </c>
      <c r="U289">
        <v>2</v>
      </c>
      <c r="V289" t="s">
        <v>82</v>
      </c>
      <c r="W289">
        <v>160</v>
      </c>
      <c r="X289">
        <v>6</v>
      </c>
      <c r="Y289">
        <v>6</v>
      </c>
      <c r="Z289" t="s">
        <v>627</v>
      </c>
      <c r="AA289" t="s">
        <v>628</v>
      </c>
      <c r="AB289" t="s">
        <v>85</v>
      </c>
      <c r="AC289" t="s">
        <v>86</v>
      </c>
      <c r="AD289" t="s">
        <v>87</v>
      </c>
      <c r="AE289" t="s">
        <v>596</v>
      </c>
      <c r="AG289" t="s">
        <v>629</v>
      </c>
      <c r="AH289">
        <v>0</v>
      </c>
      <c r="AI289">
        <v>107</v>
      </c>
      <c r="AJ289">
        <v>21</v>
      </c>
      <c r="AK289">
        <v>0</v>
      </c>
      <c r="AL289">
        <v>0</v>
      </c>
    </row>
    <row r="290" spans="1:38" x14ac:dyDescent="0.3">
      <c r="A290" t="s">
        <v>591</v>
      </c>
      <c r="B290">
        <v>7579</v>
      </c>
      <c r="C290">
        <v>1</v>
      </c>
      <c r="D290" t="s">
        <v>630</v>
      </c>
      <c r="E290" t="s">
        <v>631</v>
      </c>
      <c r="F290">
        <v>600</v>
      </c>
      <c r="G290">
        <v>24.2</v>
      </c>
      <c r="H290">
        <v>80.03</v>
      </c>
      <c r="I290">
        <v>18.059999999999999</v>
      </c>
      <c r="J290">
        <v>59.71</v>
      </c>
      <c r="K290">
        <v>216</v>
      </c>
      <c r="T290">
        <v>3</v>
      </c>
      <c r="U290">
        <v>1</v>
      </c>
      <c r="V290" t="s">
        <v>82</v>
      </c>
      <c r="W290" t="s">
        <v>632</v>
      </c>
      <c r="X290">
        <v>9</v>
      </c>
      <c r="Y290">
        <v>8</v>
      </c>
      <c r="Z290" t="s">
        <v>633</v>
      </c>
      <c r="AA290" t="s">
        <v>634</v>
      </c>
      <c r="AB290" t="s">
        <v>85</v>
      </c>
      <c r="AC290" t="s">
        <v>86</v>
      </c>
      <c r="AD290" t="s">
        <v>87</v>
      </c>
      <c r="AE290" t="s">
        <v>596</v>
      </c>
      <c r="AG290" t="s">
        <v>635</v>
      </c>
      <c r="AH290">
        <v>0</v>
      </c>
      <c r="AI290">
        <v>129</v>
      </c>
      <c r="AJ290">
        <v>20</v>
      </c>
      <c r="AK290">
        <v>537</v>
      </c>
      <c r="AL290">
        <v>0.9</v>
      </c>
    </row>
    <row r="291" spans="1:38" x14ac:dyDescent="0.3">
      <c r="A291" t="s">
        <v>591</v>
      </c>
      <c r="B291">
        <v>7579</v>
      </c>
      <c r="C291">
        <v>2</v>
      </c>
      <c r="D291" t="s">
        <v>630</v>
      </c>
      <c r="E291" t="s">
        <v>631</v>
      </c>
      <c r="F291">
        <v>600</v>
      </c>
      <c r="G291">
        <v>24.31</v>
      </c>
      <c r="H291">
        <v>80.38</v>
      </c>
      <c r="I291">
        <v>18.14</v>
      </c>
      <c r="J291">
        <v>59.97</v>
      </c>
      <c r="K291">
        <v>24</v>
      </c>
      <c r="T291">
        <v>3</v>
      </c>
      <c r="U291">
        <v>1</v>
      </c>
      <c r="V291" t="s">
        <v>82</v>
      </c>
      <c r="W291" t="s">
        <v>636</v>
      </c>
      <c r="X291">
        <v>9</v>
      </c>
      <c r="Y291">
        <v>8</v>
      </c>
      <c r="Z291" t="s">
        <v>633</v>
      </c>
      <c r="AA291" t="s">
        <v>634</v>
      </c>
      <c r="AB291" t="s">
        <v>85</v>
      </c>
      <c r="AC291" t="s">
        <v>86</v>
      </c>
      <c r="AD291" t="s">
        <v>87</v>
      </c>
      <c r="AE291" t="s">
        <v>596</v>
      </c>
      <c r="AG291" t="s">
        <v>635</v>
      </c>
      <c r="AH291">
        <v>0</v>
      </c>
      <c r="AI291">
        <v>129</v>
      </c>
      <c r="AJ291">
        <v>20</v>
      </c>
      <c r="AK291">
        <v>537</v>
      </c>
      <c r="AL291">
        <v>0.9</v>
      </c>
    </row>
    <row r="292" spans="1:38" x14ac:dyDescent="0.3">
      <c r="A292" t="s">
        <v>591</v>
      </c>
      <c r="B292">
        <v>7579</v>
      </c>
      <c r="C292">
        <v>3</v>
      </c>
      <c r="D292" t="s">
        <v>630</v>
      </c>
      <c r="E292" t="s">
        <v>631</v>
      </c>
      <c r="F292">
        <v>600</v>
      </c>
      <c r="G292">
        <v>30.64</v>
      </c>
      <c r="H292">
        <v>101.29</v>
      </c>
      <c r="I292">
        <v>22.85</v>
      </c>
      <c r="J292">
        <v>75.569999999999993</v>
      </c>
      <c r="K292">
        <v>72</v>
      </c>
      <c r="T292">
        <v>3</v>
      </c>
      <c r="U292">
        <v>2</v>
      </c>
      <c r="V292" t="s">
        <v>82</v>
      </c>
      <c r="W292" t="s">
        <v>281</v>
      </c>
      <c r="X292">
        <v>9</v>
      </c>
      <c r="Y292">
        <v>8</v>
      </c>
      <c r="Z292" t="s">
        <v>633</v>
      </c>
      <c r="AA292" t="s">
        <v>634</v>
      </c>
      <c r="AB292" t="s">
        <v>85</v>
      </c>
      <c r="AC292" t="s">
        <v>86</v>
      </c>
      <c r="AD292" t="s">
        <v>87</v>
      </c>
      <c r="AE292" t="s">
        <v>596</v>
      </c>
      <c r="AG292" t="s">
        <v>635</v>
      </c>
      <c r="AH292">
        <v>0</v>
      </c>
      <c r="AI292">
        <v>129</v>
      </c>
      <c r="AJ292">
        <v>20</v>
      </c>
      <c r="AK292">
        <v>537</v>
      </c>
      <c r="AL292">
        <v>0.9</v>
      </c>
    </row>
    <row r="293" spans="1:38" x14ac:dyDescent="0.3">
      <c r="A293" t="s">
        <v>591</v>
      </c>
      <c r="B293">
        <v>7579</v>
      </c>
      <c r="C293">
        <v>4</v>
      </c>
      <c r="D293" t="s">
        <v>630</v>
      </c>
      <c r="E293" t="s">
        <v>631</v>
      </c>
      <c r="F293">
        <v>600</v>
      </c>
      <c r="G293">
        <v>30.65</v>
      </c>
      <c r="H293">
        <v>101.33</v>
      </c>
      <c r="I293">
        <v>22.86</v>
      </c>
      <c r="J293">
        <v>75.599999999999994</v>
      </c>
      <c r="K293">
        <v>60</v>
      </c>
      <c r="T293">
        <v>3</v>
      </c>
      <c r="U293">
        <v>2</v>
      </c>
      <c r="V293" t="s">
        <v>82</v>
      </c>
      <c r="W293" t="s">
        <v>244</v>
      </c>
      <c r="X293">
        <v>9</v>
      </c>
      <c r="Y293">
        <v>8</v>
      </c>
      <c r="Z293" t="s">
        <v>633</v>
      </c>
      <c r="AA293" t="s">
        <v>634</v>
      </c>
      <c r="AB293" t="s">
        <v>85</v>
      </c>
      <c r="AC293" t="s">
        <v>86</v>
      </c>
      <c r="AD293" t="s">
        <v>87</v>
      </c>
      <c r="AE293" t="s">
        <v>596</v>
      </c>
      <c r="AG293" t="s">
        <v>635</v>
      </c>
      <c r="AH293">
        <v>0</v>
      </c>
      <c r="AI293">
        <v>129</v>
      </c>
      <c r="AJ293">
        <v>20</v>
      </c>
      <c r="AK293">
        <v>537</v>
      </c>
      <c r="AL293">
        <v>0.9</v>
      </c>
    </row>
    <row r="294" spans="1:38" x14ac:dyDescent="0.3">
      <c r="A294" t="s">
        <v>591</v>
      </c>
      <c r="B294">
        <v>7579</v>
      </c>
      <c r="C294">
        <v>5</v>
      </c>
      <c r="D294" t="s">
        <v>630</v>
      </c>
      <c r="E294" t="s">
        <v>631</v>
      </c>
      <c r="F294">
        <v>600</v>
      </c>
      <c r="G294">
        <v>30.73</v>
      </c>
      <c r="H294">
        <v>101.61</v>
      </c>
      <c r="I294">
        <v>22.93</v>
      </c>
      <c r="J294">
        <v>75.81</v>
      </c>
      <c r="K294">
        <v>48</v>
      </c>
      <c r="T294">
        <v>3</v>
      </c>
      <c r="U294">
        <v>2</v>
      </c>
      <c r="V294" t="s">
        <v>82</v>
      </c>
      <c r="W294" t="s">
        <v>605</v>
      </c>
      <c r="X294">
        <v>9</v>
      </c>
      <c r="Y294">
        <v>8</v>
      </c>
      <c r="Z294" t="s">
        <v>633</v>
      </c>
      <c r="AA294" t="s">
        <v>634</v>
      </c>
      <c r="AB294" t="s">
        <v>85</v>
      </c>
      <c r="AC294" t="s">
        <v>86</v>
      </c>
      <c r="AD294" t="s">
        <v>87</v>
      </c>
      <c r="AE294" t="s">
        <v>596</v>
      </c>
      <c r="AG294" t="s">
        <v>635</v>
      </c>
      <c r="AH294">
        <v>0</v>
      </c>
      <c r="AI294">
        <v>129</v>
      </c>
      <c r="AJ294">
        <v>20</v>
      </c>
      <c r="AK294">
        <v>537</v>
      </c>
      <c r="AL294">
        <v>0.9</v>
      </c>
    </row>
    <row r="295" spans="1:38" x14ac:dyDescent="0.3">
      <c r="A295" t="s">
        <v>591</v>
      </c>
      <c r="B295">
        <v>7579</v>
      </c>
      <c r="C295">
        <v>6</v>
      </c>
      <c r="D295" t="s">
        <v>630</v>
      </c>
      <c r="E295" t="s">
        <v>631</v>
      </c>
      <c r="F295">
        <v>600</v>
      </c>
      <c r="G295">
        <v>34.29</v>
      </c>
      <c r="H295">
        <v>113.36</v>
      </c>
      <c r="I295">
        <v>25.58</v>
      </c>
      <c r="J295">
        <v>84.58</v>
      </c>
      <c r="K295">
        <v>70</v>
      </c>
      <c r="T295">
        <v>3</v>
      </c>
      <c r="U295">
        <v>2</v>
      </c>
      <c r="V295" t="s">
        <v>82</v>
      </c>
      <c r="W295" t="s">
        <v>123</v>
      </c>
      <c r="X295">
        <v>9</v>
      </c>
      <c r="Y295">
        <v>8</v>
      </c>
      <c r="Z295" t="s">
        <v>633</v>
      </c>
      <c r="AA295" t="s">
        <v>634</v>
      </c>
      <c r="AB295" t="s">
        <v>85</v>
      </c>
      <c r="AC295" t="s">
        <v>86</v>
      </c>
      <c r="AD295" t="s">
        <v>87</v>
      </c>
      <c r="AE295" t="s">
        <v>596</v>
      </c>
      <c r="AG295" t="s">
        <v>635</v>
      </c>
      <c r="AH295">
        <v>0</v>
      </c>
      <c r="AI295">
        <v>129</v>
      </c>
      <c r="AJ295">
        <v>20</v>
      </c>
      <c r="AK295">
        <v>537</v>
      </c>
      <c r="AL295">
        <v>0.9</v>
      </c>
    </row>
    <row r="296" spans="1:38" x14ac:dyDescent="0.3">
      <c r="A296" t="s">
        <v>591</v>
      </c>
      <c r="B296">
        <v>7579</v>
      </c>
      <c r="C296">
        <v>7</v>
      </c>
      <c r="D296" t="s">
        <v>630</v>
      </c>
      <c r="E296" t="s">
        <v>631</v>
      </c>
      <c r="F296">
        <v>600</v>
      </c>
      <c r="G296">
        <v>34.409999999999997</v>
      </c>
      <c r="H296">
        <v>113.77</v>
      </c>
      <c r="I296">
        <v>25.67</v>
      </c>
      <c r="J296">
        <v>84.88</v>
      </c>
      <c r="K296">
        <v>62</v>
      </c>
      <c r="T296">
        <v>3</v>
      </c>
      <c r="U296">
        <v>2</v>
      </c>
      <c r="V296" t="s">
        <v>82</v>
      </c>
      <c r="W296" t="s">
        <v>513</v>
      </c>
      <c r="X296">
        <v>9</v>
      </c>
      <c r="Y296">
        <v>8</v>
      </c>
      <c r="Z296" t="s">
        <v>633</v>
      </c>
      <c r="AA296" t="s">
        <v>634</v>
      </c>
      <c r="AB296" t="s">
        <v>85</v>
      </c>
      <c r="AC296" t="s">
        <v>86</v>
      </c>
      <c r="AD296" t="s">
        <v>87</v>
      </c>
      <c r="AE296" t="s">
        <v>596</v>
      </c>
      <c r="AG296" t="s">
        <v>635</v>
      </c>
      <c r="AH296">
        <v>0</v>
      </c>
      <c r="AI296">
        <v>129</v>
      </c>
      <c r="AJ296">
        <v>20</v>
      </c>
      <c r="AK296">
        <v>537</v>
      </c>
      <c r="AL296">
        <v>0.9</v>
      </c>
    </row>
    <row r="297" spans="1:38" x14ac:dyDescent="0.3">
      <c r="A297" t="s">
        <v>591</v>
      </c>
      <c r="B297">
        <v>7579</v>
      </c>
      <c r="C297">
        <v>8</v>
      </c>
      <c r="D297" t="s">
        <v>630</v>
      </c>
      <c r="E297" t="s">
        <v>631</v>
      </c>
      <c r="F297">
        <v>600</v>
      </c>
      <c r="G297">
        <v>34.42</v>
      </c>
      <c r="H297">
        <v>113.81</v>
      </c>
      <c r="I297">
        <v>25.68</v>
      </c>
      <c r="J297">
        <v>84.91</v>
      </c>
      <c r="K297">
        <v>48</v>
      </c>
      <c r="T297">
        <v>3</v>
      </c>
      <c r="U297">
        <v>2</v>
      </c>
      <c r="V297" t="s">
        <v>82</v>
      </c>
      <c r="W297" t="s">
        <v>514</v>
      </c>
      <c r="X297">
        <v>9</v>
      </c>
      <c r="Y297">
        <v>8</v>
      </c>
      <c r="Z297" t="s">
        <v>633</v>
      </c>
      <c r="AA297" t="s">
        <v>634</v>
      </c>
      <c r="AB297" t="s">
        <v>85</v>
      </c>
      <c r="AC297" t="s">
        <v>86</v>
      </c>
      <c r="AD297" t="s">
        <v>87</v>
      </c>
      <c r="AE297" t="s">
        <v>596</v>
      </c>
      <c r="AG297" t="s">
        <v>635</v>
      </c>
      <c r="AH297">
        <v>0</v>
      </c>
      <c r="AI297">
        <v>129</v>
      </c>
      <c r="AJ297">
        <v>20</v>
      </c>
      <c r="AK297">
        <v>537</v>
      </c>
      <c r="AL297">
        <v>0.9</v>
      </c>
    </row>
    <row r="298" spans="1:38" x14ac:dyDescent="0.3">
      <c r="A298" t="s">
        <v>591</v>
      </c>
      <c r="B298">
        <v>26576</v>
      </c>
      <c r="C298">
        <v>1</v>
      </c>
      <c r="D298" t="s">
        <v>637</v>
      </c>
      <c r="E298" t="s">
        <v>638</v>
      </c>
      <c r="F298">
        <v>358</v>
      </c>
      <c r="G298">
        <v>34.14</v>
      </c>
      <c r="H298">
        <v>112.86</v>
      </c>
      <c r="I298">
        <v>25.68</v>
      </c>
      <c r="J298">
        <v>84.91</v>
      </c>
      <c r="K298">
        <v>55</v>
      </c>
      <c r="T298">
        <v>3</v>
      </c>
      <c r="U298">
        <v>2</v>
      </c>
      <c r="V298" t="s">
        <v>175</v>
      </c>
      <c r="W298" t="s">
        <v>122</v>
      </c>
      <c r="X298">
        <v>15</v>
      </c>
      <c r="Y298">
        <v>6</v>
      </c>
      <c r="Z298" t="s">
        <v>639</v>
      </c>
      <c r="AA298" t="s">
        <v>640</v>
      </c>
      <c r="AB298" t="s">
        <v>85</v>
      </c>
      <c r="AC298" t="s">
        <v>86</v>
      </c>
      <c r="AD298" t="s">
        <v>87</v>
      </c>
      <c r="AE298" t="s">
        <v>596</v>
      </c>
      <c r="AG298" t="s">
        <v>641</v>
      </c>
      <c r="AH298">
        <v>0</v>
      </c>
      <c r="AI298">
        <v>233</v>
      </c>
      <c r="AJ298">
        <v>23</v>
      </c>
      <c r="AK298">
        <v>399</v>
      </c>
      <c r="AL298">
        <v>1.1100000000000001</v>
      </c>
    </row>
    <row r="299" spans="1:38" x14ac:dyDescent="0.3">
      <c r="A299" t="s">
        <v>591</v>
      </c>
      <c r="B299">
        <v>26576</v>
      </c>
      <c r="C299">
        <v>2</v>
      </c>
      <c r="D299" t="s">
        <v>637</v>
      </c>
      <c r="E299" t="s">
        <v>638</v>
      </c>
      <c r="F299">
        <v>358</v>
      </c>
      <c r="G299">
        <v>34.299999999999997</v>
      </c>
      <c r="H299">
        <v>113.4</v>
      </c>
      <c r="I299">
        <v>25.69</v>
      </c>
      <c r="J299">
        <v>84.94</v>
      </c>
      <c r="K299">
        <v>230</v>
      </c>
      <c r="T299">
        <v>3</v>
      </c>
      <c r="U299">
        <v>2</v>
      </c>
      <c r="V299" t="s">
        <v>82</v>
      </c>
      <c r="W299" t="s">
        <v>123</v>
      </c>
      <c r="X299">
        <v>15</v>
      </c>
      <c r="Y299">
        <v>6</v>
      </c>
      <c r="Z299" t="s">
        <v>639</v>
      </c>
      <c r="AA299" t="s">
        <v>640</v>
      </c>
      <c r="AB299" t="s">
        <v>85</v>
      </c>
      <c r="AC299" t="s">
        <v>86</v>
      </c>
      <c r="AD299" t="s">
        <v>87</v>
      </c>
      <c r="AE299" t="s">
        <v>596</v>
      </c>
      <c r="AG299" t="s">
        <v>641</v>
      </c>
      <c r="AH299">
        <v>0</v>
      </c>
      <c r="AI299">
        <v>233</v>
      </c>
      <c r="AJ299">
        <v>23</v>
      </c>
      <c r="AK299">
        <v>399</v>
      </c>
      <c r="AL299">
        <v>1.1100000000000001</v>
      </c>
    </row>
    <row r="300" spans="1:38" x14ac:dyDescent="0.3">
      <c r="A300" t="s">
        <v>591</v>
      </c>
      <c r="B300">
        <v>26576</v>
      </c>
      <c r="C300">
        <v>3</v>
      </c>
      <c r="D300" t="s">
        <v>637</v>
      </c>
      <c r="E300" t="s">
        <v>638</v>
      </c>
      <c r="F300">
        <v>358</v>
      </c>
      <c r="G300">
        <v>34.54</v>
      </c>
      <c r="H300">
        <v>114.19</v>
      </c>
      <c r="I300">
        <v>25.7</v>
      </c>
      <c r="J300">
        <v>84.97</v>
      </c>
      <c r="K300">
        <v>13</v>
      </c>
      <c r="T300">
        <v>3</v>
      </c>
      <c r="U300">
        <v>2</v>
      </c>
      <c r="V300" t="s">
        <v>175</v>
      </c>
      <c r="W300" t="s">
        <v>642</v>
      </c>
      <c r="X300">
        <v>15</v>
      </c>
      <c r="Y300">
        <v>6</v>
      </c>
      <c r="Z300" t="s">
        <v>639</v>
      </c>
      <c r="AA300" t="s">
        <v>640</v>
      </c>
      <c r="AB300" t="s">
        <v>85</v>
      </c>
      <c r="AC300" t="s">
        <v>86</v>
      </c>
      <c r="AD300" t="s">
        <v>87</v>
      </c>
      <c r="AE300" t="s">
        <v>596</v>
      </c>
      <c r="AG300" t="s">
        <v>641</v>
      </c>
      <c r="AH300">
        <v>0</v>
      </c>
      <c r="AI300">
        <v>233</v>
      </c>
      <c r="AJ300">
        <v>23</v>
      </c>
      <c r="AK300">
        <v>399</v>
      </c>
      <c r="AL300">
        <v>1.1100000000000001</v>
      </c>
    </row>
    <row r="301" spans="1:38" x14ac:dyDescent="0.3">
      <c r="A301" t="s">
        <v>591</v>
      </c>
      <c r="B301">
        <v>26576</v>
      </c>
      <c r="C301">
        <v>4</v>
      </c>
      <c r="D301" t="s">
        <v>637</v>
      </c>
      <c r="E301" t="s">
        <v>638</v>
      </c>
      <c r="F301">
        <v>358</v>
      </c>
      <c r="G301">
        <v>47.99</v>
      </c>
      <c r="H301">
        <v>158.66</v>
      </c>
      <c r="I301">
        <v>38.18</v>
      </c>
      <c r="J301">
        <v>126.23</v>
      </c>
      <c r="K301">
        <v>60</v>
      </c>
      <c r="T301">
        <v>4</v>
      </c>
      <c r="U301">
        <v>2</v>
      </c>
      <c r="V301" t="s">
        <v>82</v>
      </c>
      <c r="W301">
        <v>158</v>
      </c>
      <c r="X301">
        <v>15</v>
      </c>
      <c r="Y301">
        <v>6</v>
      </c>
      <c r="Z301" t="s">
        <v>639</v>
      </c>
      <c r="AA301" t="s">
        <v>640</v>
      </c>
      <c r="AB301" t="s">
        <v>85</v>
      </c>
      <c r="AC301" t="s">
        <v>86</v>
      </c>
      <c r="AD301" t="s">
        <v>87</v>
      </c>
      <c r="AE301" t="s">
        <v>596</v>
      </c>
      <c r="AG301" t="s">
        <v>641</v>
      </c>
      <c r="AH301">
        <v>0</v>
      </c>
      <c r="AI301">
        <v>233</v>
      </c>
      <c r="AJ301">
        <v>23</v>
      </c>
      <c r="AK301">
        <v>399</v>
      </c>
      <c r="AL301">
        <v>1.1100000000000001</v>
      </c>
    </row>
    <row r="302" spans="1:38" x14ac:dyDescent="0.3">
      <c r="A302" t="s">
        <v>591</v>
      </c>
      <c r="B302">
        <v>15716</v>
      </c>
      <c r="C302">
        <v>1</v>
      </c>
      <c r="D302" t="s">
        <v>643</v>
      </c>
      <c r="E302" t="s">
        <v>626</v>
      </c>
      <c r="F302">
        <v>112</v>
      </c>
      <c r="G302">
        <v>27.34</v>
      </c>
      <c r="H302">
        <v>90.41</v>
      </c>
      <c r="I302">
        <v>23.05</v>
      </c>
      <c r="J302">
        <v>76.23</v>
      </c>
      <c r="K302">
        <v>112</v>
      </c>
      <c r="T302">
        <v>3</v>
      </c>
      <c r="U302">
        <v>2</v>
      </c>
      <c r="V302" t="s">
        <v>82</v>
      </c>
      <c r="W302">
        <v>90</v>
      </c>
      <c r="X302">
        <v>4</v>
      </c>
      <c r="Y302">
        <v>4</v>
      </c>
      <c r="Z302" t="s">
        <v>644</v>
      </c>
      <c r="AA302" t="s">
        <v>645</v>
      </c>
      <c r="AB302" t="s">
        <v>85</v>
      </c>
      <c r="AC302" t="s">
        <v>86</v>
      </c>
      <c r="AD302" t="s">
        <v>87</v>
      </c>
      <c r="AE302" t="s">
        <v>596</v>
      </c>
      <c r="AG302" t="s">
        <v>646</v>
      </c>
      <c r="AH302">
        <v>0</v>
      </c>
      <c r="AI302">
        <v>85</v>
      </c>
      <c r="AJ302">
        <v>25</v>
      </c>
      <c r="AK302">
        <v>0</v>
      </c>
      <c r="AL302">
        <v>0</v>
      </c>
    </row>
    <row r="303" spans="1:38" x14ac:dyDescent="0.3">
      <c r="A303" t="s">
        <v>591</v>
      </c>
      <c r="B303">
        <v>106408</v>
      </c>
      <c r="C303">
        <v>1</v>
      </c>
      <c r="D303" t="s">
        <v>647</v>
      </c>
      <c r="E303" t="s">
        <v>648</v>
      </c>
      <c r="F303">
        <v>140</v>
      </c>
      <c r="G303">
        <v>19.39</v>
      </c>
      <c r="H303">
        <v>64.13</v>
      </c>
      <c r="I303">
        <v>16.2</v>
      </c>
      <c r="J303">
        <v>53.56</v>
      </c>
      <c r="K303">
        <v>50</v>
      </c>
      <c r="T303">
        <v>2</v>
      </c>
      <c r="U303">
        <v>1</v>
      </c>
      <c r="V303" t="s">
        <v>175</v>
      </c>
      <c r="W303">
        <v>64</v>
      </c>
      <c r="X303">
        <v>10</v>
      </c>
      <c r="Y303">
        <v>5</v>
      </c>
      <c r="Z303" t="s">
        <v>649</v>
      </c>
      <c r="AA303" t="s">
        <v>650</v>
      </c>
      <c r="AB303" t="s">
        <v>85</v>
      </c>
      <c r="AC303" t="s">
        <v>86</v>
      </c>
      <c r="AD303" t="s">
        <v>87</v>
      </c>
      <c r="AE303" t="s">
        <v>596</v>
      </c>
      <c r="AG303" t="s">
        <v>651</v>
      </c>
      <c r="AH303">
        <v>64</v>
      </c>
      <c r="AI303">
        <v>236</v>
      </c>
      <c r="AJ303">
        <v>37</v>
      </c>
      <c r="AK303">
        <v>99</v>
      </c>
      <c r="AL303">
        <v>0.71</v>
      </c>
    </row>
    <row r="304" spans="1:38" x14ac:dyDescent="0.3">
      <c r="A304" t="s">
        <v>591</v>
      </c>
      <c r="B304">
        <v>106408</v>
      </c>
      <c r="C304">
        <v>2</v>
      </c>
      <c r="D304" t="s">
        <v>647</v>
      </c>
      <c r="E304" t="s">
        <v>648</v>
      </c>
      <c r="F304">
        <v>140</v>
      </c>
      <c r="G304">
        <v>23.19</v>
      </c>
      <c r="H304">
        <v>76.67</v>
      </c>
      <c r="I304">
        <v>17.940000000000001</v>
      </c>
      <c r="J304">
        <v>59.31</v>
      </c>
      <c r="K304">
        <v>26</v>
      </c>
      <c r="T304">
        <v>3</v>
      </c>
      <c r="U304">
        <v>2</v>
      </c>
      <c r="V304" t="s">
        <v>82</v>
      </c>
      <c r="W304">
        <v>76</v>
      </c>
      <c r="X304">
        <v>10</v>
      </c>
      <c r="Y304">
        <v>5</v>
      </c>
      <c r="Z304" t="s">
        <v>649</v>
      </c>
      <c r="AA304" t="s">
        <v>650</v>
      </c>
      <c r="AB304" t="s">
        <v>85</v>
      </c>
      <c r="AC304" t="s">
        <v>86</v>
      </c>
      <c r="AD304" t="s">
        <v>87</v>
      </c>
      <c r="AE304" t="s">
        <v>596</v>
      </c>
      <c r="AG304" t="s">
        <v>651</v>
      </c>
      <c r="AH304">
        <v>64</v>
      </c>
      <c r="AI304">
        <v>236</v>
      </c>
      <c r="AJ304">
        <v>37</v>
      </c>
      <c r="AK304">
        <v>99</v>
      </c>
      <c r="AL304">
        <v>0.71</v>
      </c>
    </row>
    <row r="305" spans="1:38" x14ac:dyDescent="0.3">
      <c r="A305" t="s">
        <v>591</v>
      </c>
      <c r="B305">
        <v>105297</v>
      </c>
      <c r="C305">
        <v>1</v>
      </c>
      <c r="D305" t="s">
        <v>652</v>
      </c>
      <c r="E305" t="s">
        <v>653</v>
      </c>
      <c r="F305">
        <v>433</v>
      </c>
      <c r="G305">
        <v>24.11</v>
      </c>
      <c r="H305">
        <v>79.709999999999994</v>
      </c>
      <c r="I305">
        <v>18.12</v>
      </c>
      <c r="J305">
        <v>59.93</v>
      </c>
      <c r="K305">
        <v>113</v>
      </c>
      <c r="T305">
        <v>3</v>
      </c>
      <c r="U305">
        <v>2</v>
      </c>
      <c r="V305" t="s">
        <v>82</v>
      </c>
      <c r="W305" t="s">
        <v>138</v>
      </c>
      <c r="X305">
        <v>14</v>
      </c>
      <c r="Y305">
        <v>12</v>
      </c>
      <c r="Z305" t="s">
        <v>654</v>
      </c>
      <c r="AA305" t="s">
        <v>655</v>
      </c>
      <c r="AB305" t="s">
        <v>85</v>
      </c>
      <c r="AC305" t="s">
        <v>86</v>
      </c>
      <c r="AD305" t="s">
        <v>87</v>
      </c>
      <c r="AE305" t="s">
        <v>596</v>
      </c>
      <c r="AG305" t="s">
        <v>656</v>
      </c>
      <c r="AH305">
        <v>0</v>
      </c>
      <c r="AI305">
        <v>216</v>
      </c>
      <c r="AJ305">
        <v>23</v>
      </c>
      <c r="AK305">
        <v>456</v>
      </c>
      <c r="AL305">
        <v>1.05</v>
      </c>
    </row>
    <row r="306" spans="1:38" x14ac:dyDescent="0.3">
      <c r="A306" t="s">
        <v>591</v>
      </c>
      <c r="B306">
        <v>105297</v>
      </c>
      <c r="C306">
        <v>2</v>
      </c>
      <c r="D306" t="s">
        <v>652</v>
      </c>
      <c r="E306" t="s">
        <v>653</v>
      </c>
      <c r="F306">
        <v>433</v>
      </c>
      <c r="G306">
        <v>24.49</v>
      </c>
      <c r="H306">
        <v>80.959999999999994</v>
      </c>
      <c r="I306">
        <v>18.13</v>
      </c>
      <c r="J306">
        <v>59.96</v>
      </c>
      <c r="K306">
        <v>52</v>
      </c>
      <c r="T306">
        <v>3</v>
      </c>
      <c r="U306">
        <v>2</v>
      </c>
      <c r="V306" t="s">
        <v>82</v>
      </c>
      <c r="W306" t="s">
        <v>636</v>
      </c>
      <c r="X306">
        <v>14</v>
      </c>
      <c r="Y306">
        <v>12</v>
      </c>
      <c r="Z306" t="s">
        <v>654</v>
      </c>
      <c r="AA306" t="s">
        <v>655</v>
      </c>
      <c r="AB306" t="s">
        <v>85</v>
      </c>
      <c r="AC306" t="s">
        <v>86</v>
      </c>
      <c r="AD306" t="s">
        <v>87</v>
      </c>
      <c r="AE306" t="s">
        <v>596</v>
      </c>
      <c r="AG306" t="s">
        <v>656</v>
      </c>
      <c r="AH306">
        <v>0</v>
      </c>
      <c r="AI306">
        <v>216</v>
      </c>
      <c r="AJ306">
        <v>23</v>
      </c>
      <c r="AK306">
        <v>456</v>
      </c>
      <c r="AL306">
        <v>1.05</v>
      </c>
    </row>
    <row r="307" spans="1:38" x14ac:dyDescent="0.3">
      <c r="A307" t="s">
        <v>591</v>
      </c>
      <c r="B307">
        <v>105297</v>
      </c>
      <c r="C307">
        <v>3</v>
      </c>
      <c r="D307" t="s">
        <v>652</v>
      </c>
      <c r="E307" t="s">
        <v>653</v>
      </c>
      <c r="F307">
        <v>433</v>
      </c>
      <c r="G307">
        <v>33.97</v>
      </c>
      <c r="H307">
        <v>112.33</v>
      </c>
      <c r="I307">
        <v>25.7</v>
      </c>
      <c r="J307">
        <v>84.99</v>
      </c>
      <c r="K307">
        <v>106</v>
      </c>
      <c r="T307">
        <v>3</v>
      </c>
      <c r="U307">
        <v>2</v>
      </c>
      <c r="V307" t="s">
        <v>82</v>
      </c>
      <c r="W307" t="s">
        <v>509</v>
      </c>
      <c r="X307">
        <v>14</v>
      </c>
      <c r="Y307">
        <v>12</v>
      </c>
      <c r="Z307" t="s">
        <v>654</v>
      </c>
      <c r="AA307" t="s">
        <v>655</v>
      </c>
      <c r="AB307" t="s">
        <v>85</v>
      </c>
      <c r="AC307" t="s">
        <v>86</v>
      </c>
      <c r="AD307" t="s">
        <v>87</v>
      </c>
      <c r="AE307" t="s">
        <v>596</v>
      </c>
      <c r="AG307" t="s">
        <v>656</v>
      </c>
      <c r="AH307">
        <v>0</v>
      </c>
      <c r="AI307">
        <v>216</v>
      </c>
      <c r="AJ307">
        <v>23</v>
      </c>
      <c r="AK307">
        <v>456</v>
      </c>
      <c r="AL307">
        <v>1.05</v>
      </c>
    </row>
    <row r="308" spans="1:38" x14ac:dyDescent="0.3">
      <c r="A308" t="s">
        <v>591</v>
      </c>
      <c r="B308">
        <v>105297</v>
      </c>
      <c r="C308">
        <v>4</v>
      </c>
      <c r="D308" t="s">
        <v>652</v>
      </c>
      <c r="E308" t="s">
        <v>653</v>
      </c>
      <c r="F308">
        <v>433</v>
      </c>
      <c r="G308">
        <v>34.44</v>
      </c>
      <c r="H308">
        <v>113.87</v>
      </c>
      <c r="I308">
        <v>25.7</v>
      </c>
      <c r="J308">
        <v>84.97</v>
      </c>
      <c r="K308">
        <v>162</v>
      </c>
      <c r="T308">
        <v>3</v>
      </c>
      <c r="U308">
        <v>2</v>
      </c>
      <c r="V308" t="s">
        <v>82</v>
      </c>
      <c r="W308" t="s">
        <v>513</v>
      </c>
      <c r="X308">
        <v>14</v>
      </c>
      <c r="Y308">
        <v>12</v>
      </c>
      <c r="Z308" t="s">
        <v>654</v>
      </c>
      <c r="AA308" t="s">
        <v>655</v>
      </c>
      <c r="AB308" t="s">
        <v>85</v>
      </c>
      <c r="AC308" t="s">
        <v>86</v>
      </c>
      <c r="AD308" t="s">
        <v>87</v>
      </c>
      <c r="AE308" t="s">
        <v>596</v>
      </c>
      <c r="AG308" t="s">
        <v>656</v>
      </c>
      <c r="AH308">
        <v>0</v>
      </c>
      <c r="AI308">
        <v>216</v>
      </c>
      <c r="AJ308">
        <v>23</v>
      </c>
      <c r="AK308">
        <v>456</v>
      </c>
      <c r="AL308">
        <v>1.05</v>
      </c>
    </row>
    <row r="309" spans="1:38" x14ac:dyDescent="0.3">
      <c r="A309" t="s">
        <v>591</v>
      </c>
      <c r="B309">
        <v>14467</v>
      </c>
      <c r="C309">
        <v>1</v>
      </c>
      <c r="D309" t="s">
        <v>657</v>
      </c>
      <c r="E309" t="s">
        <v>203</v>
      </c>
      <c r="F309">
        <v>442</v>
      </c>
      <c r="G309">
        <v>30.17</v>
      </c>
      <c r="H309">
        <v>99.74</v>
      </c>
      <c r="I309">
        <v>22.43</v>
      </c>
      <c r="J309">
        <v>74.150000000000006</v>
      </c>
      <c r="K309">
        <v>58</v>
      </c>
      <c r="T309">
        <v>3</v>
      </c>
      <c r="U309">
        <v>2</v>
      </c>
      <c r="V309" t="s">
        <v>82</v>
      </c>
      <c r="W309">
        <v>99</v>
      </c>
      <c r="X309">
        <v>15</v>
      </c>
      <c r="Y309">
        <v>13</v>
      </c>
      <c r="Z309" t="s">
        <v>658</v>
      </c>
      <c r="AA309" t="s">
        <v>659</v>
      </c>
      <c r="AB309" t="s">
        <v>85</v>
      </c>
      <c r="AC309" t="s">
        <v>86</v>
      </c>
      <c r="AD309" t="s">
        <v>87</v>
      </c>
      <c r="AE309" t="s">
        <v>596</v>
      </c>
      <c r="AG309" t="s">
        <v>660</v>
      </c>
      <c r="AH309">
        <v>0</v>
      </c>
      <c r="AI309">
        <v>243</v>
      </c>
      <c r="AJ309">
        <v>22</v>
      </c>
      <c r="AK309">
        <v>445</v>
      </c>
      <c r="AL309">
        <v>1.01</v>
      </c>
    </row>
    <row r="310" spans="1:38" x14ac:dyDescent="0.3">
      <c r="A310" t="s">
        <v>591</v>
      </c>
      <c r="B310">
        <v>14467</v>
      </c>
      <c r="C310">
        <v>2</v>
      </c>
      <c r="D310" t="s">
        <v>657</v>
      </c>
      <c r="E310" t="s">
        <v>203</v>
      </c>
      <c r="F310">
        <v>442</v>
      </c>
      <c r="G310">
        <v>33.31</v>
      </c>
      <c r="H310">
        <v>110.12</v>
      </c>
      <c r="I310">
        <v>25.53</v>
      </c>
      <c r="J310">
        <v>84.41</v>
      </c>
      <c r="K310">
        <v>326</v>
      </c>
      <c r="T310">
        <v>3</v>
      </c>
      <c r="U310">
        <v>2</v>
      </c>
      <c r="V310" t="s">
        <v>82</v>
      </c>
      <c r="W310">
        <v>110</v>
      </c>
      <c r="X310">
        <v>15</v>
      </c>
      <c r="Y310">
        <v>13</v>
      </c>
      <c r="Z310" t="s">
        <v>658</v>
      </c>
      <c r="AA310" t="s">
        <v>659</v>
      </c>
      <c r="AB310" t="s">
        <v>85</v>
      </c>
      <c r="AC310" t="s">
        <v>86</v>
      </c>
      <c r="AD310" t="s">
        <v>87</v>
      </c>
      <c r="AE310" t="s">
        <v>596</v>
      </c>
      <c r="AG310" t="s">
        <v>660</v>
      </c>
      <c r="AH310">
        <v>0</v>
      </c>
      <c r="AI310">
        <v>243</v>
      </c>
      <c r="AJ310">
        <v>22</v>
      </c>
      <c r="AK310">
        <v>445</v>
      </c>
      <c r="AL310">
        <v>1.01</v>
      </c>
    </row>
    <row r="311" spans="1:38" x14ac:dyDescent="0.3">
      <c r="A311" t="s">
        <v>591</v>
      </c>
      <c r="B311">
        <v>14467</v>
      </c>
      <c r="C311">
        <v>3</v>
      </c>
      <c r="D311" t="s">
        <v>657</v>
      </c>
      <c r="E311" t="s">
        <v>203</v>
      </c>
      <c r="F311">
        <v>442</v>
      </c>
      <c r="G311">
        <v>44.7</v>
      </c>
      <c r="H311">
        <v>147.79</v>
      </c>
      <c r="I311">
        <v>37.270000000000003</v>
      </c>
      <c r="J311">
        <v>123.22</v>
      </c>
      <c r="K311">
        <v>58</v>
      </c>
      <c r="T311">
        <v>4</v>
      </c>
      <c r="U311">
        <v>2</v>
      </c>
      <c r="V311" t="s">
        <v>82</v>
      </c>
      <c r="W311">
        <v>147</v>
      </c>
      <c r="X311">
        <v>15</v>
      </c>
      <c r="Y311">
        <v>13</v>
      </c>
      <c r="Z311" t="s">
        <v>658</v>
      </c>
      <c r="AA311" t="s">
        <v>659</v>
      </c>
      <c r="AB311" t="s">
        <v>85</v>
      </c>
      <c r="AC311" t="s">
        <v>86</v>
      </c>
      <c r="AD311" t="s">
        <v>87</v>
      </c>
      <c r="AE311" t="s">
        <v>596</v>
      </c>
      <c r="AG311" t="s">
        <v>660</v>
      </c>
      <c r="AH311">
        <v>0</v>
      </c>
      <c r="AI311">
        <v>243</v>
      </c>
      <c r="AJ311">
        <v>22</v>
      </c>
      <c r="AK311">
        <v>445</v>
      </c>
      <c r="AL311">
        <v>1.01</v>
      </c>
    </row>
    <row r="312" spans="1:38" x14ac:dyDescent="0.3">
      <c r="A312" t="s">
        <v>591</v>
      </c>
      <c r="B312">
        <v>108775</v>
      </c>
      <c r="C312">
        <v>1</v>
      </c>
      <c r="D312" t="s">
        <v>661</v>
      </c>
      <c r="E312" t="s">
        <v>114</v>
      </c>
      <c r="F312">
        <v>767</v>
      </c>
      <c r="G312">
        <v>30.53</v>
      </c>
      <c r="H312">
        <v>100.94</v>
      </c>
      <c r="I312">
        <v>23.03</v>
      </c>
      <c r="J312">
        <v>76.16</v>
      </c>
      <c r="K312">
        <v>212</v>
      </c>
      <c r="T312">
        <v>3</v>
      </c>
      <c r="U312">
        <v>2</v>
      </c>
      <c r="V312" t="s">
        <v>82</v>
      </c>
      <c r="W312">
        <v>100</v>
      </c>
      <c r="X312">
        <v>21</v>
      </c>
      <c r="Y312">
        <v>13</v>
      </c>
      <c r="Z312" t="s">
        <v>662</v>
      </c>
      <c r="AA312" t="s">
        <v>663</v>
      </c>
      <c r="AB312" t="s">
        <v>85</v>
      </c>
      <c r="AC312" t="s">
        <v>86</v>
      </c>
      <c r="AD312" t="s">
        <v>87</v>
      </c>
      <c r="AE312" t="s">
        <v>596</v>
      </c>
      <c r="AG312" t="s">
        <v>664</v>
      </c>
      <c r="AH312">
        <v>0</v>
      </c>
      <c r="AI312">
        <v>169</v>
      </c>
      <c r="AJ312">
        <v>15</v>
      </c>
      <c r="AK312">
        <v>1006</v>
      </c>
      <c r="AL312">
        <v>1.31</v>
      </c>
    </row>
    <row r="313" spans="1:38" x14ac:dyDescent="0.3">
      <c r="A313" t="s">
        <v>591</v>
      </c>
      <c r="B313">
        <v>108775</v>
      </c>
      <c r="C313">
        <v>2</v>
      </c>
      <c r="D313" t="s">
        <v>661</v>
      </c>
      <c r="E313" t="s">
        <v>114</v>
      </c>
      <c r="F313">
        <v>767</v>
      </c>
      <c r="G313">
        <v>34</v>
      </c>
      <c r="H313">
        <v>112.42</v>
      </c>
      <c r="I313">
        <v>25.67</v>
      </c>
      <c r="J313">
        <v>84.86</v>
      </c>
      <c r="K313">
        <v>555</v>
      </c>
      <c r="T313">
        <v>3</v>
      </c>
      <c r="U313">
        <v>2</v>
      </c>
      <c r="V313" t="s">
        <v>82</v>
      </c>
      <c r="W313">
        <v>112</v>
      </c>
      <c r="X313">
        <v>21</v>
      </c>
      <c r="Y313">
        <v>13</v>
      </c>
      <c r="Z313" t="s">
        <v>662</v>
      </c>
      <c r="AA313" t="s">
        <v>663</v>
      </c>
      <c r="AB313" t="s">
        <v>85</v>
      </c>
      <c r="AC313" t="s">
        <v>86</v>
      </c>
      <c r="AD313" t="s">
        <v>87</v>
      </c>
      <c r="AE313" t="s">
        <v>596</v>
      </c>
      <c r="AG313" t="s">
        <v>664</v>
      </c>
      <c r="AH313">
        <v>0</v>
      </c>
      <c r="AI313">
        <v>169</v>
      </c>
      <c r="AJ313">
        <v>15</v>
      </c>
      <c r="AK313">
        <v>1006</v>
      </c>
      <c r="AL313">
        <v>1.31</v>
      </c>
    </row>
    <row r="314" spans="1:38" x14ac:dyDescent="0.3">
      <c r="A314" t="s">
        <v>591</v>
      </c>
      <c r="B314">
        <v>7575</v>
      </c>
      <c r="C314">
        <v>1</v>
      </c>
      <c r="D314" t="s">
        <v>665</v>
      </c>
      <c r="E314" t="s">
        <v>666</v>
      </c>
      <c r="F314">
        <v>370</v>
      </c>
      <c r="G314">
        <v>20.72</v>
      </c>
      <c r="H314">
        <v>68.5</v>
      </c>
      <c r="I314">
        <v>14.86</v>
      </c>
      <c r="J314">
        <v>49.14</v>
      </c>
      <c r="K314">
        <v>100</v>
      </c>
      <c r="T314">
        <v>2</v>
      </c>
      <c r="U314">
        <v>1</v>
      </c>
      <c r="V314" t="s">
        <v>82</v>
      </c>
      <c r="W314">
        <v>68</v>
      </c>
      <c r="X314">
        <v>10</v>
      </c>
      <c r="Y314">
        <v>10</v>
      </c>
      <c r="Z314" t="s">
        <v>667</v>
      </c>
      <c r="AA314" t="s">
        <v>668</v>
      </c>
      <c r="AB314" t="s">
        <v>85</v>
      </c>
      <c r="AC314" t="s">
        <v>86</v>
      </c>
      <c r="AD314" t="s">
        <v>87</v>
      </c>
      <c r="AE314" t="s">
        <v>596</v>
      </c>
      <c r="AG314" t="s">
        <v>669</v>
      </c>
      <c r="AH314">
        <v>0</v>
      </c>
      <c r="AI314">
        <v>228</v>
      </c>
      <c r="AJ314">
        <v>28</v>
      </c>
      <c r="AK314">
        <v>0</v>
      </c>
      <c r="AL314">
        <v>0</v>
      </c>
    </row>
    <row r="315" spans="1:38" x14ac:dyDescent="0.3">
      <c r="A315" t="s">
        <v>591</v>
      </c>
      <c r="B315">
        <v>7575</v>
      </c>
      <c r="C315">
        <v>2</v>
      </c>
      <c r="D315" t="s">
        <v>665</v>
      </c>
      <c r="E315" t="s">
        <v>666</v>
      </c>
      <c r="F315">
        <v>370</v>
      </c>
      <c r="G315">
        <v>24.65</v>
      </c>
      <c r="H315">
        <v>81.5</v>
      </c>
      <c r="I315">
        <v>18.12</v>
      </c>
      <c r="J315">
        <v>59.92</v>
      </c>
      <c r="K315">
        <v>270</v>
      </c>
      <c r="T315">
        <v>3</v>
      </c>
      <c r="U315">
        <v>1</v>
      </c>
      <c r="V315" t="s">
        <v>82</v>
      </c>
      <c r="W315">
        <v>81</v>
      </c>
      <c r="X315">
        <v>10</v>
      </c>
      <c r="Y315">
        <v>10</v>
      </c>
      <c r="Z315" t="s">
        <v>667</v>
      </c>
      <c r="AA315" t="s">
        <v>668</v>
      </c>
      <c r="AB315" t="s">
        <v>85</v>
      </c>
      <c r="AC315" t="s">
        <v>86</v>
      </c>
      <c r="AD315" t="s">
        <v>87</v>
      </c>
      <c r="AE315" t="s">
        <v>596</v>
      </c>
      <c r="AG315" t="s">
        <v>669</v>
      </c>
      <c r="AH315">
        <v>0</v>
      </c>
      <c r="AI315">
        <v>228</v>
      </c>
      <c r="AJ315">
        <v>28</v>
      </c>
      <c r="AK315">
        <v>0</v>
      </c>
      <c r="AL315">
        <v>0</v>
      </c>
    </row>
    <row r="316" spans="1:38" x14ac:dyDescent="0.3">
      <c r="A316" t="s">
        <v>670</v>
      </c>
      <c r="B316">
        <v>108397</v>
      </c>
      <c r="C316">
        <v>1</v>
      </c>
      <c r="D316" t="s">
        <v>671</v>
      </c>
      <c r="E316" t="s">
        <v>672</v>
      </c>
      <c r="F316">
        <v>684</v>
      </c>
      <c r="G316">
        <v>27.12</v>
      </c>
      <c r="H316">
        <v>89.67</v>
      </c>
      <c r="I316">
        <v>21.11</v>
      </c>
      <c r="J316">
        <v>69.790000000000006</v>
      </c>
      <c r="K316">
        <v>101</v>
      </c>
      <c r="T316">
        <v>3</v>
      </c>
      <c r="U316">
        <v>2</v>
      </c>
      <c r="V316" t="s">
        <v>82</v>
      </c>
      <c r="W316" t="s">
        <v>673</v>
      </c>
      <c r="X316">
        <v>23</v>
      </c>
      <c r="Y316">
        <v>17</v>
      </c>
      <c r="Z316" t="s">
        <v>674</v>
      </c>
      <c r="AA316" t="s">
        <v>675</v>
      </c>
      <c r="AB316" t="s">
        <v>85</v>
      </c>
      <c r="AC316" t="s">
        <v>86</v>
      </c>
      <c r="AD316" t="s">
        <v>87</v>
      </c>
      <c r="AE316" t="s">
        <v>676</v>
      </c>
      <c r="AG316" t="s">
        <v>677</v>
      </c>
      <c r="AH316">
        <v>0</v>
      </c>
      <c r="AI316">
        <v>219</v>
      </c>
      <c r="AJ316">
        <v>18</v>
      </c>
      <c r="AK316">
        <v>806</v>
      </c>
      <c r="AL316">
        <v>1.18</v>
      </c>
    </row>
    <row r="317" spans="1:38" x14ac:dyDescent="0.3">
      <c r="A317" t="s">
        <v>670</v>
      </c>
      <c r="B317">
        <v>108397</v>
      </c>
      <c r="C317">
        <v>2</v>
      </c>
      <c r="D317" t="s">
        <v>671</v>
      </c>
      <c r="E317" t="s">
        <v>672</v>
      </c>
      <c r="F317">
        <v>684</v>
      </c>
      <c r="G317">
        <v>27.4</v>
      </c>
      <c r="H317">
        <v>90.58</v>
      </c>
      <c r="I317">
        <v>21.15</v>
      </c>
      <c r="J317">
        <v>69.92</v>
      </c>
      <c r="K317">
        <v>160</v>
      </c>
      <c r="T317">
        <v>3</v>
      </c>
      <c r="U317">
        <v>2</v>
      </c>
      <c r="V317" t="s">
        <v>82</v>
      </c>
      <c r="W317" t="s">
        <v>678</v>
      </c>
      <c r="X317">
        <v>23</v>
      </c>
      <c r="Y317">
        <v>17</v>
      </c>
      <c r="Z317" t="s">
        <v>674</v>
      </c>
      <c r="AA317" t="s">
        <v>675</v>
      </c>
      <c r="AB317" t="s">
        <v>85</v>
      </c>
      <c r="AC317" t="s">
        <v>86</v>
      </c>
      <c r="AD317" t="s">
        <v>87</v>
      </c>
      <c r="AE317" t="s">
        <v>676</v>
      </c>
      <c r="AG317" t="s">
        <v>677</v>
      </c>
      <c r="AH317">
        <v>0</v>
      </c>
      <c r="AI317">
        <v>219</v>
      </c>
      <c r="AJ317">
        <v>18</v>
      </c>
      <c r="AK317">
        <v>806</v>
      </c>
      <c r="AL317">
        <v>1.18</v>
      </c>
    </row>
    <row r="318" spans="1:38" x14ac:dyDescent="0.3">
      <c r="A318" t="s">
        <v>670</v>
      </c>
      <c r="B318">
        <v>108397</v>
      </c>
      <c r="C318">
        <v>3</v>
      </c>
      <c r="D318" t="s">
        <v>671</v>
      </c>
      <c r="E318" t="s">
        <v>672</v>
      </c>
      <c r="F318">
        <v>684</v>
      </c>
      <c r="G318">
        <v>33.18</v>
      </c>
      <c r="H318">
        <v>109.7</v>
      </c>
      <c r="I318">
        <v>25.54</v>
      </c>
      <c r="J318">
        <v>84.45</v>
      </c>
      <c r="K318">
        <v>217</v>
      </c>
      <c r="T318">
        <v>3</v>
      </c>
      <c r="U318">
        <v>2</v>
      </c>
      <c r="V318" t="s">
        <v>82</v>
      </c>
      <c r="W318" t="s">
        <v>219</v>
      </c>
      <c r="X318">
        <v>23</v>
      </c>
      <c r="Y318">
        <v>17</v>
      </c>
      <c r="Z318" t="s">
        <v>674</v>
      </c>
      <c r="AA318" t="s">
        <v>675</v>
      </c>
      <c r="AB318" t="s">
        <v>85</v>
      </c>
      <c r="AC318" t="s">
        <v>86</v>
      </c>
      <c r="AD318" t="s">
        <v>87</v>
      </c>
      <c r="AE318" t="s">
        <v>676</v>
      </c>
      <c r="AG318" t="s">
        <v>677</v>
      </c>
      <c r="AH318">
        <v>0</v>
      </c>
      <c r="AI318">
        <v>219</v>
      </c>
      <c r="AJ318">
        <v>18</v>
      </c>
      <c r="AK318">
        <v>806</v>
      </c>
      <c r="AL318">
        <v>1.18</v>
      </c>
    </row>
    <row r="319" spans="1:38" x14ac:dyDescent="0.3">
      <c r="A319" t="s">
        <v>670</v>
      </c>
      <c r="B319">
        <v>108397</v>
      </c>
      <c r="C319">
        <v>4</v>
      </c>
      <c r="D319" t="s">
        <v>671</v>
      </c>
      <c r="E319" t="s">
        <v>672</v>
      </c>
      <c r="F319">
        <v>684</v>
      </c>
      <c r="G319">
        <v>33.03</v>
      </c>
      <c r="H319">
        <v>109.21</v>
      </c>
      <c r="I319">
        <v>25.54</v>
      </c>
      <c r="J319">
        <v>84.44</v>
      </c>
      <c r="K319">
        <v>66</v>
      </c>
      <c r="T319">
        <v>3</v>
      </c>
      <c r="U319">
        <v>2</v>
      </c>
      <c r="V319" t="s">
        <v>82</v>
      </c>
      <c r="W319" t="s">
        <v>679</v>
      </c>
      <c r="X319">
        <v>23</v>
      </c>
      <c r="Y319">
        <v>17</v>
      </c>
      <c r="Z319" t="s">
        <v>674</v>
      </c>
      <c r="AA319" t="s">
        <v>675</v>
      </c>
      <c r="AB319" t="s">
        <v>85</v>
      </c>
      <c r="AC319" t="s">
        <v>86</v>
      </c>
      <c r="AD319" t="s">
        <v>87</v>
      </c>
      <c r="AE319" t="s">
        <v>676</v>
      </c>
      <c r="AG319" t="s">
        <v>677</v>
      </c>
      <c r="AH319">
        <v>0</v>
      </c>
      <c r="AI319">
        <v>219</v>
      </c>
      <c r="AJ319">
        <v>18</v>
      </c>
      <c r="AK319">
        <v>806</v>
      </c>
      <c r="AL319">
        <v>1.18</v>
      </c>
    </row>
    <row r="320" spans="1:38" x14ac:dyDescent="0.3">
      <c r="A320" t="s">
        <v>670</v>
      </c>
      <c r="B320">
        <v>108397</v>
      </c>
      <c r="C320">
        <v>5</v>
      </c>
      <c r="D320" t="s">
        <v>671</v>
      </c>
      <c r="E320" t="s">
        <v>672</v>
      </c>
      <c r="F320">
        <v>684</v>
      </c>
      <c r="G320">
        <v>33.18</v>
      </c>
      <c r="H320">
        <v>109.69</v>
      </c>
      <c r="I320">
        <v>25.61</v>
      </c>
      <c r="J320">
        <v>84.68</v>
      </c>
      <c r="K320">
        <v>64</v>
      </c>
      <c r="T320">
        <v>3</v>
      </c>
      <c r="U320">
        <v>2</v>
      </c>
      <c r="V320" t="s">
        <v>82</v>
      </c>
      <c r="W320" t="s">
        <v>680</v>
      </c>
      <c r="X320">
        <v>23</v>
      </c>
      <c r="Y320">
        <v>17</v>
      </c>
      <c r="Z320" t="s">
        <v>674</v>
      </c>
      <c r="AA320" t="s">
        <v>675</v>
      </c>
      <c r="AB320" t="s">
        <v>85</v>
      </c>
      <c r="AC320" t="s">
        <v>86</v>
      </c>
      <c r="AD320" t="s">
        <v>87</v>
      </c>
      <c r="AE320" t="s">
        <v>676</v>
      </c>
      <c r="AG320" t="s">
        <v>677</v>
      </c>
      <c r="AH320">
        <v>0</v>
      </c>
      <c r="AI320">
        <v>219</v>
      </c>
      <c r="AJ320">
        <v>18</v>
      </c>
      <c r="AK320">
        <v>806</v>
      </c>
      <c r="AL320">
        <v>1.18</v>
      </c>
    </row>
    <row r="321" spans="1:38" x14ac:dyDescent="0.3">
      <c r="A321" t="s">
        <v>670</v>
      </c>
      <c r="B321">
        <v>108397</v>
      </c>
      <c r="C321">
        <v>6</v>
      </c>
      <c r="D321" t="s">
        <v>671</v>
      </c>
      <c r="E321" t="s">
        <v>672</v>
      </c>
      <c r="F321">
        <v>684</v>
      </c>
      <c r="G321">
        <v>33.119999999999997</v>
      </c>
      <c r="H321">
        <v>109.51</v>
      </c>
      <c r="I321">
        <v>25.7</v>
      </c>
      <c r="J321">
        <v>84.98</v>
      </c>
      <c r="K321">
        <v>44</v>
      </c>
      <c r="T321">
        <v>3</v>
      </c>
      <c r="U321">
        <v>2</v>
      </c>
      <c r="V321" t="s">
        <v>82</v>
      </c>
      <c r="W321" t="s">
        <v>681</v>
      </c>
      <c r="X321">
        <v>23</v>
      </c>
      <c r="Y321">
        <v>17</v>
      </c>
      <c r="Z321" t="s">
        <v>674</v>
      </c>
      <c r="AA321" t="s">
        <v>675</v>
      </c>
      <c r="AB321" t="s">
        <v>85</v>
      </c>
      <c r="AC321" t="s">
        <v>86</v>
      </c>
      <c r="AD321" t="s">
        <v>87</v>
      </c>
      <c r="AE321" t="s">
        <v>676</v>
      </c>
      <c r="AG321" t="s">
        <v>677</v>
      </c>
      <c r="AH321">
        <v>0</v>
      </c>
      <c r="AI321">
        <v>219</v>
      </c>
      <c r="AJ321">
        <v>18</v>
      </c>
      <c r="AK321">
        <v>806</v>
      </c>
      <c r="AL321">
        <v>1.18</v>
      </c>
    </row>
    <row r="322" spans="1:38" x14ac:dyDescent="0.3">
      <c r="A322" t="s">
        <v>670</v>
      </c>
      <c r="B322">
        <v>108397</v>
      </c>
      <c r="C322">
        <v>7</v>
      </c>
      <c r="D322" t="s">
        <v>671</v>
      </c>
      <c r="E322" t="s">
        <v>672</v>
      </c>
      <c r="F322">
        <v>684</v>
      </c>
      <c r="G322">
        <v>33.08</v>
      </c>
      <c r="H322">
        <v>109.37</v>
      </c>
      <c r="I322">
        <v>25.62</v>
      </c>
      <c r="J322">
        <v>84.7</v>
      </c>
      <c r="K322">
        <v>22</v>
      </c>
      <c r="T322">
        <v>3</v>
      </c>
      <c r="U322">
        <v>2</v>
      </c>
      <c r="V322" t="s">
        <v>82</v>
      </c>
      <c r="W322" t="s">
        <v>682</v>
      </c>
      <c r="X322">
        <v>23</v>
      </c>
      <c r="Y322">
        <v>17</v>
      </c>
      <c r="Z322" t="s">
        <v>674</v>
      </c>
      <c r="AA322" t="s">
        <v>675</v>
      </c>
      <c r="AB322" t="s">
        <v>85</v>
      </c>
      <c r="AC322" t="s">
        <v>86</v>
      </c>
      <c r="AD322" t="s">
        <v>87</v>
      </c>
      <c r="AE322" t="s">
        <v>676</v>
      </c>
      <c r="AG322" t="s">
        <v>677</v>
      </c>
      <c r="AH322">
        <v>0</v>
      </c>
      <c r="AI322">
        <v>219</v>
      </c>
      <c r="AJ322">
        <v>18</v>
      </c>
      <c r="AK322">
        <v>806</v>
      </c>
      <c r="AL322">
        <v>1.18</v>
      </c>
    </row>
    <row r="323" spans="1:38" x14ac:dyDescent="0.3">
      <c r="A323" t="s">
        <v>670</v>
      </c>
      <c r="B323">
        <v>108397</v>
      </c>
      <c r="C323">
        <v>8</v>
      </c>
      <c r="D323" t="s">
        <v>671</v>
      </c>
      <c r="E323" t="s">
        <v>672</v>
      </c>
      <c r="F323">
        <v>684</v>
      </c>
      <c r="G323">
        <v>34.409999999999997</v>
      </c>
      <c r="H323">
        <v>113.76</v>
      </c>
      <c r="I323">
        <v>25.54</v>
      </c>
      <c r="J323">
        <v>84.45</v>
      </c>
      <c r="K323">
        <v>10</v>
      </c>
      <c r="T323">
        <v>3</v>
      </c>
      <c r="U323">
        <v>2</v>
      </c>
      <c r="V323" t="s">
        <v>82</v>
      </c>
      <c r="W323" t="s">
        <v>513</v>
      </c>
      <c r="X323">
        <v>23</v>
      </c>
      <c r="Y323">
        <v>17</v>
      </c>
      <c r="Z323" t="s">
        <v>674</v>
      </c>
      <c r="AA323" t="s">
        <v>675</v>
      </c>
      <c r="AB323" t="s">
        <v>85</v>
      </c>
      <c r="AC323" t="s">
        <v>86</v>
      </c>
      <c r="AD323" t="s">
        <v>87</v>
      </c>
      <c r="AE323" t="s">
        <v>676</v>
      </c>
      <c r="AG323" t="s">
        <v>677</v>
      </c>
      <c r="AH323">
        <v>0</v>
      </c>
      <c r="AI323">
        <v>219</v>
      </c>
      <c r="AJ323">
        <v>18</v>
      </c>
      <c r="AK323">
        <v>806</v>
      </c>
      <c r="AL323">
        <v>1.18</v>
      </c>
    </row>
    <row r="324" spans="1:38" x14ac:dyDescent="0.3">
      <c r="A324" t="s">
        <v>670</v>
      </c>
      <c r="B324">
        <v>22971</v>
      </c>
      <c r="C324">
        <v>1</v>
      </c>
      <c r="D324" t="s">
        <v>683</v>
      </c>
      <c r="E324" t="s">
        <v>684</v>
      </c>
      <c r="F324">
        <v>1264</v>
      </c>
      <c r="G324">
        <v>25.94</v>
      </c>
      <c r="H324">
        <v>85.77</v>
      </c>
      <c r="I324">
        <v>18.14</v>
      </c>
      <c r="J324">
        <v>59.97</v>
      </c>
      <c r="K324">
        <v>120</v>
      </c>
      <c r="T324">
        <v>3</v>
      </c>
      <c r="U324">
        <v>2</v>
      </c>
      <c r="V324" t="s">
        <v>82</v>
      </c>
      <c r="W324">
        <v>85</v>
      </c>
      <c r="X324">
        <v>15</v>
      </c>
      <c r="Y324">
        <v>11</v>
      </c>
      <c r="Z324" t="s">
        <v>685</v>
      </c>
      <c r="AA324" t="s">
        <v>686</v>
      </c>
      <c r="AB324" t="s">
        <v>85</v>
      </c>
      <c r="AC324" t="s">
        <v>86</v>
      </c>
      <c r="AD324" t="s">
        <v>87</v>
      </c>
      <c r="AE324" t="s">
        <v>676</v>
      </c>
      <c r="AG324" t="s">
        <v>687</v>
      </c>
      <c r="AH324">
        <v>0</v>
      </c>
      <c r="AI324">
        <v>167</v>
      </c>
      <c r="AJ324">
        <v>15</v>
      </c>
      <c r="AK324">
        <v>1682</v>
      </c>
      <c r="AL324">
        <v>1.33</v>
      </c>
    </row>
    <row r="325" spans="1:38" x14ac:dyDescent="0.3">
      <c r="A325" t="s">
        <v>670</v>
      </c>
      <c r="B325">
        <v>22971</v>
      </c>
      <c r="C325">
        <v>2</v>
      </c>
      <c r="D325" t="s">
        <v>683</v>
      </c>
      <c r="E325" t="s">
        <v>684</v>
      </c>
      <c r="F325">
        <v>1264</v>
      </c>
      <c r="G325">
        <v>33.42</v>
      </c>
      <c r="H325">
        <v>110.5</v>
      </c>
      <c r="I325">
        <v>25.67</v>
      </c>
      <c r="J325">
        <v>84.88</v>
      </c>
      <c r="K325">
        <v>402</v>
      </c>
      <c r="T325">
        <v>3</v>
      </c>
      <c r="U325">
        <v>2</v>
      </c>
      <c r="V325" t="s">
        <v>82</v>
      </c>
      <c r="W325">
        <v>110</v>
      </c>
      <c r="X325">
        <v>15</v>
      </c>
      <c r="Y325">
        <v>11</v>
      </c>
      <c r="Z325" t="s">
        <v>685</v>
      </c>
      <c r="AA325" t="s">
        <v>686</v>
      </c>
      <c r="AB325" t="s">
        <v>85</v>
      </c>
      <c r="AC325" t="s">
        <v>86</v>
      </c>
      <c r="AD325" t="s">
        <v>87</v>
      </c>
      <c r="AE325" t="s">
        <v>676</v>
      </c>
      <c r="AG325" t="s">
        <v>687</v>
      </c>
      <c r="AH325">
        <v>0</v>
      </c>
      <c r="AI325">
        <v>167</v>
      </c>
      <c r="AJ325">
        <v>15</v>
      </c>
      <c r="AK325">
        <v>1682</v>
      </c>
      <c r="AL325">
        <v>1.33</v>
      </c>
    </row>
    <row r="326" spans="1:38" x14ac:dyDescent="0.3">
      <c r="A326" t="s">
        <v>670</v>
      </c>
      <c r="B326">
        <v>22971</v>
      </c>
      <c r="C326">
        <v>3</v>
      </c>
      <c r="D326" t="s">
        <v>683</v>
      </c>
      <c r="E326" t="s">
        <v>684</v>
      </c>
      <c r="F326">
        <v>1264</v>
      </c>
      <c r="G326">
        <v>33.67</v>
      </c>
      <c r="H326">
        <v>111.33</v>
      </c>
      <c r="I326">
        <v>25.65</v>
      </c>
      <c r="J326">
        <v>84.82</v>
      </c>
      <c r="K326">
        <v>251</v>
      </c>
      <c r="T326">
        <v>3</v>
      </c>
      <c r="U326">
        <v>2</v>
      </c>
      <c r="V326" t="s">
        <v>82</v>
      </c>
      <c r="W326">
        <v>111</v>
      </c>
      <c r="X326">
        <v>15</v>
      </c>
      <c r="Y326">
        <v>11</v>
      </c>
      <c r="Z326" t="s">
        <v>685</v>
      </c>
      <c r="AA326" t="s">
        <v>686</v>
      </c>
      <c r="AB326" t="s">
        <v>85</v>
      </c>
      <c r="AC326" t="s">
        <v>86</v>
      </c>
      <c r="AD326" t="s">
        <v>87</v>
      </c>
      <c r="AE326" t="s">
        <v>676</v>
      </c>
      <c r="AG326" t="s">
        <v>687</v>
      </c>
      <c r="AH326">
        <v>0</v>
      </c>
      <c r="AI326">
        <v>167</v>
      </c>
      <c r="AJ326">
        <v>15</v>
      </c>
      <c r="AK326">
        <v>1682</v>
      </c>
      <c r="AL326">
        <v>1.33</v>
      </c>
    </row>
    <row r="327" spans="1:38" x14ac:dyDescent="0.3">
      <c r="A327" t="s">
        <v>670</v>
      </c>
      <c r="B327">
        <v>22971</v>
      </c>
      <c r="C327">
        <v>4</v>
      </c>
      <c r="D327" t="s">
        <v>683</v>
      </c>
      <c r="E327" t="s">
        <v>684</v>
      </c>
      <c r="F327">
        <v>1264</v>
      </c>
      <c r="G327">
        <v>35.65</v>
      </c>
      <c r="H327">
        <v>117.87</v>
      </c>
      <c r="I327">
        <v>25.69</v>
      </c>
      <c r="J327">
        <v>84.95</v>
      </c>
      <c r="K327">
        <v>253</v>
      </c>
      <c r="T327">
        <v>3</v>
      </c>
      <c r="U327">
        <v>2</v>
      </c>
      <c r="V327" t="s">
        <v>82</v>
      </c>
      <c r="W327">
        <v>117</v>
      </c>
      <c r="X327">
        <v>15</v>
      </c>
      <c r="Y327">
        <v>11</v>
      </c>
      <c r="Z327" t="s">
        <v>685</v>
      </c>
      <c r="AA327" t="s">
        <v>686</v>
      </c>
      <c r="AB327" t="s">
        <v>85</v>
      </c>
      <c r="AC327" t="s">
        <v>86</v>
      </c>
      <c r="AD327" t="s">
        <v>87</v>
      </c>
      <c r="AE327" t="s">
        <v>676</v>
      </c>
      <c r="AG327" t="s">
        <v>687</v>
      </c>
      <c r="AH327">
        <v>0</v>
      </c>
      <c r="AI327">
        <v>167</v>
      </c>
      <c r="AJ327">
        <v>15</v>
      </c>
      <c r="AK327">
        <v>1682</v>
      </c>
      <c r="AL327">
        <v>1.33</v>
      </c>
    </row>
    <row r="328" spans="1:38" x14ac:dyDescent="0.3">
      <c r="A328" t="s">
        <v>670</v>
      </c>
      <c r="B328">
        <v>22971</v>
      </c>
      <c r="C328">
        <v>5</v>
      </c>
      <c r="D328" t="s">
        <v>683</v>
      </c>
      <c r="E328" t="s">
        <v>684</v>
      </c>
      <c r="F328">
        <v>1264</v>
      </c>
      <c r="G328">
        <v>47.24</v>
      </c>
      <c r="H328">
        <v>156.18</v>
      </c>
      <c r="I328">
        <v>36.92</v>
      </c>
      <c r="J328">
        <v>122.06</v>
      </c>
      <c r="K328">
        <v>90</v>
      </c>
      <c r="T328">
        <v>4</v>
      </c>
      <c r="U328">
        <v>2</v>
      </c>
      <c r="V328" t="s">
        <v>82</v>
      </c>
      <c r="W328">
        <v>156</v>
      </c>
      <c r="X328">
        <v>15</v>
      </c>
      <c r="Y328">
        <v>11</v>
      </c>
      <c r="Z328" t="s">
        <v>685</v>
      </c>
      <c r="AA328" t="s">
        <v>686</v>
      </c>
      <c r="AB328" t="s">
        <v>85</v>
      </c>
      <c r="AC328" t="s">
        <v>86</v>
      </c>
      <c r="AD328" t="s">
        <v>87</v>
      </c>
      <c r="AE328" t="s">
        <v>676</v>
      </c>
      <c r="AG328" t="s">
        <v>687</v>
      </c>
      <c r="AH328">
        <v>0</v>
      </c>
      <c r="AI328">
        <v>167</v>
      </c>
      <c r="AJ328">
        <v>15</v>
      </c>
      <c r="AK328">
        <v>1682</v>
      </c>
      <c r="AL328">
        <v>1.33</v>
      </c>
    </row>
    <row r="329" spans="1:38" x14ac:dyDescent="0.3">
      <c r="A329" t="s">
        <v>670</v>
      </c>
      <c r="B329">
        <v>22971</v>
      </c>
      <c r="C329">
        <v>6</v>
      </c>
      <c r="D329" t="s">
        <v>683</v>
      </c>
      <c r="E329" t="s">
        <v>684</v>
      </c>
      <c r="F329">
        <v>1264</v>
      </c>
      <c r="G329">
        <v>55.67</v>
      </c>
      <c r="H329">
        <v>184.06</v>
      </c>
      <c r="I329">
        <v>42.77</v>
      </c>
      <c r="J329">
        <v>141.4</v>
      </c>
      <c r="K329">
        <v>90</v>
      </c>
      <c r="T329">
        <v>4</v>
      </c>
      <c r="U329">
        <v>2</v>
      </c>
      <c r="V329" t="s">
        <v>82</v>
      </c>
      <c r="W329">
        <v>184</v>
      </c>
      <c r="X329">
        <v>15</v>
      </c>
      <c r="Y329">
        <v>11</v>
      </c>
      <c r="Z329" t="s">
        <v>685</v>
      </c>
      <c r="AA329" t="s">
        <v>686</v>
      </c>
      <c r="AB329" t="s">
        <v>85</v>
      </c>
      <c r="AC329" t="s">
        <v>86</v>
      </c>
      <c r="AD329" t="s">
        <v>87</v>
      </c>
      <c r="AE329" t="s">
        <v>676</v>
      </c>
      <c r="AG329" t="s">
        <v>687</v>
      </c>
      <c r="AH329">
        <v>0</v>
      </c>
      <c r="AI329">
        <v>167</v>
      </c>
      <c r="AJ329">
        <v>15</v>
      </c>
      <c r="AK329">
        <v>1682</v>
      </c>
      <c r="AL329">
        <v>1.33</v>
      </c>
    </row>
    <row r="330" spans="1:38" x14ac:dyDescent="0.3">
      <c r="A330" t="s">
        <v>670</v>
      </c>
      <c r="B330">
        <v>22971</v>
      </c>
      <c r="C330">
        <v>7</v>
      </c>
      <c r="D330" t="s">
        <v>683</v>
      </c>
      <c r="E330" t="s">
        <v>684</v>
      </c>
      <c r="F330">
        <v>1264</v>
      </c>
      <c r="G330">
        <v>64.599999999999994</v>
      </c>
      <c r="H330">
        <v>213.57</v>
      </c>
      <c r="I330">
        <v>53.77</v>
      </c>
      <c r="J330">
        <v>177.77</v>
      </c>
      <c r="K330">
        <v>28</v>
      </c>
      <c r="T330">
        <v>5</v>
      </c>
      <c r="U330">
        <v>2</v>
      </c>
      <c r="V330" t="s">
        <v>82</v>
      </c>
      <c r="W330">
        <v>213</v>
      </c>
      <c r="X330">
        <v>15</v>
      </c>
      <c r="Y330">
        <v>11</v>
      </c>
      <c r="Z330" t="s">
        <v>685</v>
      </c>
      <c r="AA330" t="s">
        <v>686</v>
      </c>
      <c r="AB330" t="s">
        <v>85</v>
      </c>
      <c r="AC330" t="s">
        <v>86</v>
      </c>
      <c r="AD330" t="s">
        <v>87</v>
      </c>
      <c r="AE330" t="s">
        <v>676</v>
      </c>
      <c r="AG330" t="s">
        <v>687</v>
      </c>
      <c r="AH330">
        <v>0</v>
      </c>
      <c r="AI330">
        <v>167</v>
      </c>
      <c r="AJ330">
        <v>15</v>
      </c>
      <c r="AK330">
        <v>1682</v>
      </c>
      <c r="AL330">
        <v>1.33</v>
      </c>
    </row>
    <row r="331" spans="1:38" x14ac:dyDescent="0.3">
      <c r="A331" t="s">
        <v>670</v>
      </c>
      <c r="B331">
        <v>22971</v>
      </c>
      <c r="C331">
        <v>8</v>
      </c>
      <c r="D331" t="s">
        <v>683</v>
      </c>
      <c r="E331" t="s">
        <v>684</v>
      </c>
      <c r="F331">
        <v>1264</v>
      </c>
      <c r="G331">
        <v>79.680000000000007</v>
      </c>
      <c r="H331">
        <v>263.42</v>
      </c>
      <c r="I331">
        <v>68.22</v>
      </c>
      <c r="J331">
        <v>225.53</v>
      </c>
      <c r="K331">
        <v>30</v>
      </c>
      <c r="T331">
        <v>5</v>
      </c>
      <c r="U331">
        <v>3</v>
      </c>
      <c r="V331" t="s">
        <v>82</v>
      </c>
      <c r="W331">
        <v>263</v>
      </c>
      <c r="X331">
        <v>15</v>
      </c>
      <c r="Y331">
        <v>11</v>
      </c>
      <c r="Z331" t="s">
        <v>685</v>
      </c>
      <c r="AA331" t="s">
        <v>686</v>
      </c>
      <c r="AB331" t="s">
        <v>85</v>
      </c>
      <c r="AC331" t="s">
        <v>86</v>
      </c>
      <c r="AD331" t="s">
        <v>87</v>
      </c>
      <c r="AE331" t="s">
        <v>676</v>
      </c>
      <c r="AG331" t="s">
        <v>687</v>
      </c>
      <c r="AH331">
        <v>0</v>
      </c>
      <c r="AI331">
        <v>167</v>
      </c>
      <c r="AJ331">
        <v>15</v>
      </c>
      <c r="AK331">
        <v>1682</v>
      </c>
      <c r="AL331">
        <v>1.33</v>
      </c>
    </row>
    <row r="332" spans="1:38" x14ac:dyDescent="0.3">
      <c r="A332" t="s">
        <v>670</v>
      </c>
      <c r="B332">
        <v>26961</v>
      </c>
      <c r="C332">
        <v>1</v>
      </c>
      <c r="D332" t="s">
        <v>688</v>
      </c>
      <c r="E332" t="s">
        <v>689</v>
      </c>
      <c r="F332">
        <v>282</v>
      </c>
      <c r="G332">
        <v>33.19</v>
      </c>
      <c r="H332">
        <v>109.74</v>
      </c>
      <c r="I332">
        <v>25.69</v>
      </c>
      <c r="J332">
        <v>84.94</v>
      </c>
      <c r="K332">
        <v>147</v>
      </c>
      <c r="T332">
        <v>3</v>
      </c>
      <c r="U332">
        <v>2</v>
      </c>
      <c r="V332" t="s">
        <v>82</v>
      </c>
      <c r="W332">
        <v>109</v>
      </c>
      <c r="X332">
        <v>15</v>
      </c>
      <c r="Y332">
        <v>10</v>
      </c>
      <c r="Z332" t="s">
        <v>690</v>
      </c>
      <c r="AA332" t="s">
        <v>691</v>
      </c>
      <c r="AB332" t="s">
        <v>85</v>
      </c>
      <c r="AC332" t="s">
        <v>86</v>
      </c>
      <c r="AD332" t="s">
        <v>87</v>
      </c>
      <c r="AE332" t="s">
        <v>676</v>
      </c>
      <c r="AG332" t="s">
        <v>692</v>
      </c>
      <c r="AH332">
        <v>0</v>
      </c>
      <c r="AI332">
        <v>230</v>
      </c>
      <c r="AJ332">
        <v>20</v>
      </c>
      <c r="AK332">
        <v>388</v>
      </c>
      <c r="AL332">
        <v>1.38</v>
      </c>
    </row>
    <row r="333" spans="1:38" x14ac:dyDescent="0.3">
      <c r="A333" t="s">
        <v>670</v>
      </c>
      <c r="B333">
        <v>26961</v>
      </c>
      <c r="C333">
        <v>2</v>
      </c>
      <c r="D333" t="s">
        <v>688</v>
      </c>
      <c r="E333" t="s">
        <v>689</v>
      </c>
      <c r="F333">
        <v>282</v>
      </c>
      <c r="G333">
        <v>45.72</v>
      </c>
      <c r="H333">
        <v>151.16</v>
      </c>
      <c r="I333">
        <v>36.51</v>
      </c>
      <c r="J333">
        <v>120.71</v>
      </c>
      <c r="K333">
        <v>45</v>
      </c>
      <c r="T333">
        <v>4</v>
      </c>
      <c r="U333">
        <v>2</v>
      </c>
      <c r="V333" t="s">
        <v>82</v>
      </c>
      <c r="W333">
        <v>151</v>
      </c>
      <c r="X333">
        <v>15</v>
      </c>
      <c r="Y333">
        <v>10</v>
      </c>
      <c r="Z333" t="s">
        <v>690</v>
      </c>
      <c r="AA333" t="s">
        <v>691</v>
      </c>
      <c r="AB333" t="s">
        <v>85</v>
      </c>
      <c r="AC333" t="s">
        <v>86</v>
      </c>
      <c r="AD333" t="s">
        <v>87</v>
      </c>
      <c r="AE333" t="s">
        <v>676</v>
      </c>
      <c r="AG333" t="s">
        <v>692</v>
      </c>
      <c r="AH333">
        <v>0</v>
      </c>
      <c r="AI333">
        <v>230</v>
      </c>
      <c r="AJ333">
        <v>20</v>
      </c>
      <c r="AK333">
        <v>388</v>
      </c>
      <c r="AL333">
        <v>1.38</v>
      </c>
    </row>
    <row r="334" spans="1:38" x14ac:dyDescent="0.3">
      <c r="A334" t="s">
        <v>670</v>
      </c>
      <c r="B334">
        <v>26961</v>
      </c>
      <c r="C334">
        <v>3</v>
      </c>
      <c r="D334" t="s">
        <v>688</v>
      </c>
      <c r="E334" t="s">
        <v>689</v>
      </c>
      <c r="F334">
        <v>282</v>
      </c>
      <c r="G334">
        <v>52.79</v>
      </c>
      <c r="H334">
        <v>174.53</v>
      </c>
      <c r="I334">
        <v>42.49</v>
      </c>
      <c r="J334">
        <v>140.47</v>
      </c>
      <c r="K334">
        <v>90</v>
      </c>
      <c r="T334">
        <v>4</v>
      </c>
      <c r="U334">
        <v>2</v>
      </c>
      <c r="V334" t="s">
        <v>82</v>
      </c>
      <c r="W334">
        <v>174</v>
      </c>
      <c r="X334">
        <v>15</v>
      </c>
      <c r="Y334">
        <v>10</v>
      </c>
      <c r="Z334" t="s">
        <v>690</v>
      </c>
      <c r="AA334" t="s">
        <v>691</v>
      </c>
      <c r="AB334" t="s">
        <v>85</v>
      </c>
      <c r="AC334" t="s">
        <v>86</v>
      </c>
      <c r="AD334" t="s">
        <v>87</v>
      </c>
      <c r="AE334" t="s">
        <v>676</v>
      </c>
      <c r="AG334" t="s">
        <v>692</v>
      </c>
      <c r="AH334">
        <v>0</v>
      </c>
      <c r="AI334">
        <v>230</v>
      </c>
      <c r="AJ334">
        <v>20</v>
      </c>
      <c r="AK334">
        <v>388</v>
      </c>
      <c r="AL334">
        <v>1.38</v>
      </c>
    </row>
    <row r="335" spans="1:38" x14ac:dyDescent="0.3">
      <c r="A335" t="s">
        <v>693</v>
      </c>
      <c r="B335">
        <v>24632</v>
      </c>
      <c r="C335">
        <v>1</v>
      </c>
      <c r="D335" t="s">
        <v>694</v>
      </c>
      <c r="E335" t="s">
        <v>695</v>
      </c>
      <c r="F335">
        <v>150</v>
      </c>
      <c r="G335">
        <v>23.65</v>
      </c>
      <c r="H335">
        <v>78.2</v>
      </c>
      <c r="I335">
        <v>23.65</v>
      </c>
      <c r="J335">
        <v>78.2</v>
      </c>
      <c r="K335">
        <v>15</v>
      </c>
      <c r="T335">
        <v>3</v>
      </c>
      <c r="U335">
        <v>2</v>
      </c>
      <c r="V335" t="s">
        <v>82</v>
      </c>
      <c r="W335">
        <v>78</v>
      </c>
      <c r="X335">
        <v>15</v>
      </c>
      <c r="Y335">
        <v>15</v>
      </c>
      <c r="Z335" t="s">
        <v>696</v>
      </c>
      <c r="AA335" t="s">
        <v>697</v>
      </c>
      <c r="AB335" t="s">
        <v>85</v>
      </c>
      <c r="AC335" t="s">
        <v>86</v>
      </c>
      <c r="AD335" t="s">
        <v>87</v>
      </c>
      <c r="AE335" t="s">
        <v>698</v>
      </c>
      <c r="AG335" t="s">
        <v>699</v>
      </c>
      <c r="AH335">
        <v>0</v>
      </c>
      <c r="AI335">
        <v>0</v>
      </c>
      <c r="AJ335">
        <v>0</v>
      </c>
      <c r="AK335">
        <v>0</v>
      </c>
      <c r="AL335">
        <v>0</v>
      </c>
    </row>
    <row r="336" spans="1:38" x14ac:dyDescent="0.3">
      <c r="A336" t="s">
        <v>693</v>
      </c>
      <c r="B336">
        <v>24632</v>
      </c>
      <c r="C336">
        <v>2</v>
      </c>
      <c r="D336" t="s">
        <v>694</v>
      </c>
      <c r="E336" t="s">
        <v>695</v>
      </c>
      <c r="F336">
        <v>150</v>
      </c>
      <c r="G336">
        <v>25.31</v>
      </c>
      <c r="H336">
        <v>83.69</v>
      </c>
      <c r="I336">
        <v>25.31</v>
      </c>
      <c r="J336">
        <v>83.69</v>
      </c>
      <c r="K336">
        <v>15</v>
      </c>
      <c r="T336">
        <v>3</v>
      </c>
      <c r="U336">
        <v>2</v>
      </c>
      <c r="V336" t="s">
        <v>82</v>
      </c>
      <c r="W336" t="s">
        <v>272</v>
      </c>
      <c r="X336">
        <v>15</v>
      </c>
      <c r="Y336">
        <v>15</v>
      </c>
      <c r="Z336" t="s">
        <v>696</v>
      </c>
      <c r="AA336" t="s">
        <v>697</v>
      </c>
      <c r="AB336" t="s">
        <v>85</v>
      </c>
      <c r="AC336" t="s">
        <v>86</v>
      </c>
      <c r="AD336" t="s">
        <v>87</v>
      </c>
      <c r="AE336" t="s">
        <v>698</v>
      </c>
      <c r="AG336" t="s">
        <v>699</v>
      </c>
      <c r="AH336">
        <v>0</v>
      </c>
      <c r="AI336">
        <v>0</v>
      </c>
      <c r="AJ336">
        <v>0</v>
      </c>
      <c r="AK336">
        <v>0</v>
      </c>
      <c r="AL336">
        <v>0</v>
      </c>
    </row>
    <row r="337" spans="1:38" x14ac:dyDescent="0.3">
      <c r="A337" t="s">
        <v>693</v>
      </c>
      <c r="B337">
        <v>24632</v>
      </c>
      <c r="C337">
        <v>3</v>
      </c>
      <c r="D337" t="s">
        <v>694</v>
      </c>
      <c r="E337" t="s">
        <v>695</v>
      </c>
      <c r="F337">
        <v>150</v>
      </c>
      <c r="G337">
        <v>25.68</v>
      </c>
      <c r="H337">
        <v>84.91</v>
      </c>
      <c r="I337">
        <v>25.68</v>
      </c>
      <c r="J337">
        <v>84.91</v>
      </c>
      <c r="K337">
        <v>75</v>
      </c>
      <c r="T337">
        <v>3</v>
      </c>
      <c r="U337">
        <v>2</v>
      </c>
      <c r="V337" t="s">
        <v>175</v>
      </c>
      <c r="W337">
        <v>84</v>
      </c>
      <c r="X337">
        <v>15</v>
      </c>
      <c r="Y337">
        <v>15</v>
      </c>
      <c r="Z337" t="s">
        <v>696</v>
      </c>
      <c r="AA337" t="s">
        <v>697</v>
      </c>
      <c r="AB337" t="s">
        <v>85</v>
      </c>
      <c r="AC337" t="s">
        <v>86</v>
      </c>
      <c r="AD337" t="s">
        <v>87</v>
      </c>
      <c r="AE337" t="s">
        <v>698</v>
      </c>
      <c r="AG337" t="s">
        <v>699</v>
      </c>
      <c r="AH337">
        <v>0</v>
      </c>
      <c r="AI337">
        <v>0</v>
      </c>
      <c r="AJ337">
        <v>0</v>
      </c>
      <c r="AK337">
        <v>0</v>
      </c>
      <c r="AL337">
        <v>0</v>
      </c>
    </row>
    <row r="338" spans="1:38" x14ac:dyDescent="0.3">
      <c r="A338" t="s">
        <v>693</v>
      </c>
      <c r="B338">
        <v>24632</v>
      </c>
      <c r="C338">
        <v>4</v>
      </c>
      <c r="D338" t="s">
        <v>694</v>
      </c>
      <c r="E338" t="s">
        <v>695</v>
      </c>
      <c r="F338">
        <v>150</v>
      </c>
      <c r="G338">
        <v>25.48</v>
      </c>
      <c r="H338">
        <v>84.26</v>
      </c>
      <c r="I338">
        <v>25.48</v>
      </c>
      <c r="J338">
        <v>84.26</v>
      </c>
      <c r="K338">
        <v>15</v>
      </c>
      <c r="T338">
        <v>3</v>
      </c>
      <c r="U338">
        <v>2</v>
      </c>
      <c r="V338" t="s">
        <v>82</v>
      </c>
      <c r="W338" t="s">
        <v>367</v>
      </c>
      <c r="X338">
        <v>15</v>
      </c>
      <c r="Y338">
        <v>15</v>
      </c>
      <c r="Z338" t="s">
        <v>696</v>
      </c>
      <c r="AA338" t="s">
        <v>697</v>
      </c>
      <c r="AB338" t="s">
        <v>85</v>
      </c>
      <c r="AC338" t="s">
        <v>86</v>
      </c>
      <c r="AD338" t="s">
        <v>87</v>
      </c>
      <c r="AE338" t="s">
        <v>698</v>
      </c>
      <c r="AG338" t="s">
        <v>699</v>
      </c>
      <c r="AH338">
        <v>0</v>
      </c>
      <c r="AI338">
        <v>0</v>
      </c>
      <c r="AJ338">
        <v>0</v>
      </c>
      <c r="AK338">
        <v>0</v>
      </c>
      <c r="AL338">
        <v>0</v>
      </c>
    </row>
    <row r="339" spans="1:38" x14ac:dyDescent="0.3">
      <c r="A339" t="s">
        <v>693</v>
      </c>
      <c r="B339">
        <v>24632</v>
      </c>
      <c r="C339">
        <v>5</v>
      </c>
      <c r="D339" t="s">
        <v>694</v>
      </c>
      <c r="E339" t="s">
        <v>695</v>
      </c>
      <c r="F339">
        <v>150</v>
      </c>
      <c r="G339">
        <v>32.89</v>
      </c>
      <c r="H339">
        <v>108.74</v>
      </c>
      <c r="I339">
        <v>32.89</v>
      </c>
      <c r="J339">
        <v>108.74</v>
      </c>
      <c r="K339">
        <v>15</v>
      </c>
      <c r="T339">
        <v>3</v>
      </c>
      <c r="U339">
        <v>2</v>
      </c>
      <c r="V339" t="s">
        <v>82</v>
      </c>
      <c r="W339">
        <v>108</v>
      </c>
      <c r="X339">
        <v>15</v>
      </c>
      <c r="Y339">
        <v>15</v>
      </c>
      <c r="Z339" t="s">
        <v>696</v>
      </c>
      <c r="AA339" t="s">
        <v>697</v>
      </c>
      <c r="AB339" t="s">
        <v>85</v>
      </c>
      <c r="AC339" t="s">
        <v>86</v>
      </c>
      <c r="AD339" t="s">
        <v>87</v>
      </c>
      <c r="AE339" t="s">
        <v>698</v>
      </c>
      <c r="AG339" t="s">
        <v>699</v>
      </c>
      <c r="AH339">
        <v>0</v>
      </c>
      <c r="AI339">
        <v>0</v>
      </c>
      <c r="AJ339">
        <v>0</v>
      </c>
      <c r="AK339">
        <v>0</v>
      </c>
      <c r="AL339">
        <v>0</v>
      </c>
    </row>
    <row r="340" spans="1:38" x14ac:dyDescent="0.3">
      <c r="A340" t="s">
        <v>693</v>
      </c>
      <c r="B340">
        <v>24632</v>
      </c>
      <c r="C340">
        <v>6</v>
      </c>
      <c r="D340" t="s">
        <v>694</v>
      </c>
      <c r="E340" t="s">
        <v>695</v>
      </c>
      <c r="F340">
        <v>150</v>
      </c>
      <c r="G340">
        <v>37.1</v>
      </c>
      <c r="H340">
        <v>122.67</v>
      </c>
      <c r="I340">
        <v>37.1</v>
      </c>
      <c r="J340">
        <v>122.67</v>
      </c>
      <c r="K340">
        <v>15</v>
      </c>
      <c r="T340">
        <v>3</v>
      </c>
      <c r="U340">
        <v>2</v>
      </c>
      <c r="V340" t="s">
        <v>82</v>
      </c>
      <c r="W340">
        <v>122</v>
      </c>
      <c r="X340">
        <v>15</v>
      </c>
      <c r="Y340">
        <v>15</v>
      </c>
      <c r="Z340" t="s">
        <v>696</v>
      </c>
      <c r="AA340" t="s">
        <v>697</v>
      </c>
      <c r="AB340" t="s">
        <v>85</v>
      </c>
      <c r="AC340" t="s">
        <v>86</v>
      </c>
      <c r="AD340" t="s">
        <v>87</v>
      </c>
      <c r="AE340" t="s">
        <v>698</v>
      </c>
      <c r="AG340" t="s">
        <v>699</v>
      </c>
      <c r="AH340">
        <v>0</v>
      </c>
      <c r="AI340">
        <v>0</v>
      </c>
      <c r="AJ340">
        <v>0</v>
      </c>
      <c r="AK340">
        <v>0</v>
      </c>
      <c r="AL340">
        <v>0</v>
      </c>
    </row>
    <row r="341" spans="1:38" x14ac:dyDescent="0.3">
      <c r="A341" t="s">
        <v>693</v>
      </c>
      <c r="B341">
        <v>101005</v>
      </c>
      <c r="C341">
        <v>1</v>
      </c>
      <c r="D341" t="s">
        <v>700</v>
      </c>
      <c r="E341" t="s">
        <v>701</v>
      </c>
      <c r="F341">
        <v>167</v>
      </c>
      <c r="G341">
        <v>24.24</v>
      </c>
      <c r="H341">
        <v>80.16</v>
      </c>
      <c r="I341">
        <v>18.11</v>
      </c>
      <c r="J341">
        <v>59.88</v>
      </c>
      <c r="K341">
        <v>95</v>
      </c>
      <c r="T341">
        <v>3</v>
      </c>
      <c r="U341">
        <v>1</v>
      </c>
      <c r="V341" t="s">
        <v>82</v>
      </c>
      <c r="W341">
        <v>80</v>
      </c>
      <c r="X341">
        <v>18</v>
      </c>
      <c r="Y341">
        <v>9</v>
      </c>
      <c r="Z341" t="s">
        <v>702</v>
      </c>
      <c r="AA341" t="s">
        <v>703</v>
      </c>
      <c r="AB341" t="s">
        <v>85</v>
      </c>
      <c r="AC341" t="s">
        <v>86</v>
      </c>
      <c r="AD341" t="s">
        <v>87</v>
      </c>
      <c r="AE341" t="s">
        <v>698</v>
      </c>
      <c r="AG341" t="s">
        <v>704</v>
      </c>
      <c r="AH341">
        <v>0</v>
      </c>
      <c r="AI341">
        <v>266</v>
      </c>
      <c r="AJ341">
        <v>26</v>
      </c>
      <c r="AK341">
        <v>103</v>
      </c>
      <c r="AL341">
        <v>0.62</v>
      </c>
    </row>
    <row r="342" spans="1:38" x14ac:dyDescent="0.3">
      <c r="A342" t="s">
        <v>693</v>
      </c>
      <c r="B342">
        <v>101005</v>
      </c>
      <c r="C342">
        <v>2</v>
      </c>
      <c r="D342" t="s">
        <v>700</v>
      </c>
      <c r="E342" t="s">
        <v>701</v>
      </c>
      <c r="F342">
        <v>167</v>
      </c>
      <c r="G342">
        <v>32.74</v>
      </c>
      <c r="H342">
        <v>108.25</v>
      </c>
      <c r="I342">
        <v>25.67</v>
      </c>
      <c r="J342">
        <v>84.87</v>
      </c>
      <c r="K342">
        <v>72</v>
      </c>
      <c r="T342">
        <v>3</v>
      </c>
      <c r="U342">
        <v>1</v>
      </c>
      <c r="V342" t="s">
        <v>82</v>
      </c>
      <c r="W342">
        <v>108</v>
      </c>
      <c r="X342">
        <v>18</v>
      </c>
      <c r="Y342">
        <v>9</v>
      </c>
      <c r="Z342" t="s">
        <v>702</v>
      </c>
      <c r="AA342" t="s">
        <v>703</v>
      </c>
      <c r="AB342" t="s">
        <v>85</v>
      </c>
      <c r="AC342" t="s">
        <v>86</v>
      </c>
      <c r="AD342" t="s">
        <v>87</v>
      </c>
      <c r="AE342" t="s">
        <v>698</v>
      </c>
      <c r="AG342" t="s">
        <v>704</v>
      </c>
      <c r="AH342">
        <v>0</v>
      </c>
      <c r="AI342">
        <v>266</v>
      </c>
      <c r="AJ342">
        <v>26</v>
      </c>
      <c r="AK342">
        <v>103</v>
      </c>
      <c r="AL342">
        <v>0.62</v>
      </c>
    </row>
    <row r="343" spans="1:38" x14ac:dyDescent="0.3">
      <c r="A343" t="s">
        <v>705</v>
      </c>
      <c r="B343">
        <v>23949</v>
      </c>
      <c r="C343">
        <v>1</v>
      </c>
      <c r="D343" t="s">
        <v>706</v>
      </c>
      <c r="E343" t="s">
        <v>126</v>
      </c>
      <c r="F343">
        <v>440</v>
      </c>
      <c r="G343">
        <v>23.54</v>
      </c>
      <c r="H343">
        <v>77.83</v>
      </c>
      <c r="I343">
        <v>18.100000000000001</v>
      </c>
      <c r="J343">
        <v>59.84</v>
      </c>
      <c r="K343">
        <v>440</v>
      </c>
      <c r="T343">
        <v>3</v>
      </c>
      <c r="U343">
        <v>2</v>
      </c>
      <c r="V343" t="s">
        <v>82</v>
      </c>
      <c r="W343">
        <v>77</v>
      </c>
      <c r="X343">
        <v>15</v>
      </c>
      <c r="Y343">
        <v>14</v>
      </c>
      <c r="Z343" t="s">
        <v>707</v>
      </c>
      <c r="AA343" t="s">
        <v>708</v>
      </c>
      <c r="AB343" t="s">
        <v>85</v>
      </c>
      <c r="AC343" t="s">
        <v>86</v>
      </c>
      <c r="AD343" t="s">
        <v>87</v>
      </c>
      <c r="AE343" t="s">
        <v>709</v>
      </c>
      <c r="AG343" t="s">
        <v>710</v>
      </c>
      <c r="AH343">
        <v>0</v>
      </c>
      <c r="AI343">
        <v>219</v>
      </c>
      <c r="AJ343">
        <v>19</v>
      </c>
      <c r="AK343">
        <v>319</v>
      </c>
      <c r="AL343">
        <v>0.72</v>
      </c>
    </row>
    <row r="344" spans="1:38" x14ac:dyDescent="0.3">
      <c r="A344" t="s">
        <v>705</v>
      </c>
      <c r="B344">
        <v>23960</v>
      </c>
      <c r="C344">
        <v>1</v>
      </c>
      <c r="D344" t="s">
        <v>711</v>
      </c>
      <c r="E344" t="s">
        <v>712</v>
      </c>
      <c r="F344">
        <v>1275</v>
      </c>
      <c r="G344">
        <v>20.56</v>
      </c>
      <c r="H344">
        <v>67.98</v>
      </c>
      <c r="I344">
        <v>15.07</v>
      </c>
      <c r="J344">
        <v>49.84</v>
      </c>
      <c r="K344">
        <v>705</v>
      </c>
      <c r="T344">
        <v>2</v>
      </c>
      <c r="U344">
        <v>1</v>
      </c>
      <c r="V344" t="s">
        <v>175</v>
      </c>
      <c r="W344">
        <v>67</v>
      </c>
      <c r="X344">
        <v>15</v>
      </c>
      <c r="Y344">
        <v>15</v>
      </c>
      <c r="Z344" t="s">
        <v>713</v>
      </c>
      <c r="AA344" t="s">
        <v>714</v>
      </c>
      <c r="AB344" t="s">
        <v>85</v>
      </c>
      <c r="AC344" t="s">
        <v>86</v>
      </c>
      <c r="AD344" t="s">
        <v>87</v>
      </c>
      <c r="AE344" t="s">
        <v>709</v>
      </c>
      <c r="AG344" t="s">
        <v>715</v>
      </c>
      <c r="AH344">
        <v>0</v>
      </c>
      <c r="AI344">
        <v>219</v>
      </c>
      <c r="AJ344">
        <v>17</v>
      </c>
      <c r="AK344">
        <v>924</v>
      </c>
      <c r="AL344">
        <v>0.72</v>
      </c>
    </row>
    <row r="345" spans="1:38" x14ac:dyDescent="0.3">
      <c r="A345" t="s">
        <v>705</v>
      </c>
      <c r="B345">
        <v>23960</v>
      </c>
      <c r="C345">
        <v>2</v>
      </c>
      <c r="D345" t="s">
        <v>711</v>
      </c>
      <c r="E345" t="s">
        <v>712</v>
      </c>
      <c r="F345">
        <v>1275</v>
      </c>
      <c r="G345">
        <v>23.64</v>
      </c>
      <c r="H345">
        <v>78.17</v>
      </c>
      <c r="I345">
        <v>18.100000000000001</v>
      </c>
      <c r="J345">
        <v>59.84</v>
      </c>
      <c r="K345">
        <v>570</v>
      </c>
      <c r="T345">
        <v>3</v>
      </c>
      <c r="U345">
        <v>2</v>
      </c>
      <c r="V345" t="s">
        <v>82</v>
      </c>
      <c r="W345">
        <v>78</v>
      </c>
      <c r="X345">
        <v>15</v>
      </c>
      <c r="Y345">
        <v>15</v>
      </c>
      <c r="Z345" t="s">
        <v>713</v>
      </c>
      <c r="AA345" t="s">
        <v>714</v>
      </c>
      <c r="AB345" t="s">
        <v>85</v>
      </c>
      <c r="AC345" t="s">
        <v>86</v>
      </c>
      <c r="AD345" t="s">
        <v>87</v>
      </c>
      <c r="AE345" t="s">
        <v>709</v>
      </c>
      <c r="AG345" t="s">
        <v>715</v>
      </c>
      <c r="AH345">
        <v>0</v>
      </c>
      <c r="AI345">
        <v>219</v>
      </c>
      <c r="AJ345">
        <v>17</v>
      </c>
      <c r="AK345">
        <v>924</v>
      </c>
      <c r="AL345">
        <v>0.72</v>
      </c>
    </row>
    <row r="346" spans="1:38" x14ac:dyDescent="0.3">
      <c r="A346" t="s">
        <v>705</v>
      </c>
      <c r="B346">
        <v>23943</v>
      </c>
      <c r="C346">
        <v>1</v>
      </c>
      <c r="D346" t="s">
        <v>716</v>
      </c>
      <c r="E346" t="s">
        <v>717</v>
      </c>
      <c r="F346">
        <v>906</v>
      </c>
      <c r="G346">
        <v>34.25</v>
      </c>
      <c r="H346">
        <v>113.25</v>
      </c>
      <c r="I346">
        <v>25.69</v>
      </c>
      <c r="J346">
        <v>84.95</v>
      </c>
      <c r="K346">
        <v>906</v>
      </c>
      <c r="T346">
        <v>3</v>
      </c>
      <c r="U346">
        <v>2</v>
      </c>
      <c r="V346" t="s">
        <v>82</v>
      </c>
      <c r="W346">
        <v>113</v>
      </c>
      <c r="X346">
        <v>15</v>
      </c>
      <c r="Y346">
        <v>13</v>
      </c>
      <c r="Z346" t="s">
        <v>718</v>
      </c>
      <c r="AA346" t="s">
        <v>719</v>
      </c>
      <c r="AB346" t="s">
        <v>85</v>
      </c>
      <c r="AC346" t="s">
        <v>86</v>
      </c>
      <c r="AD346" t="s">
        <v>87</v>
      </c>
      <c r="AE346" t="s">
        <v>709</v>
      </c>
      <c r="AG346" t="s">
        <v>720</v>
      </c>
      <c r="AH346">
        <v>0</v>
      </c>
      <c r="AI346">
        <v>219</v>
      </c>
      <c r="AJ346">
        <v>18</v>
      </c>
      <c r="AK346">
        <v>994</v>
      </c>
      <c r="AL346">
        <v>1.1000000000000001</v>
      </c>
    </row>
    <row r="347" spans="1:38" x14ac:dyDescent="0.3">
      <c r="A347" t="s">
        <v>705</v>
      </c>
      <c r="B347">
        <v>7583</v>
      </c>
      <c r="C347">
        <v>1</v>
      </c>
      <c r="D347" t="s">
        <v>721</v>
      </c>
      <c r="E347" t="s">
        <v>722</v>
      </c>
      <c r="F347">
        <v>1170</v>
      </c>
      <c r="G347">
        <v>23.26</v>
      </c>
      <c r="H347">
        <v>76.92</v>
      </c>
      <c r="I347">
        <v>18.13</v>
      </c>
      <c r="J347">
        <v>59.96</v>
      </c>
      <c r="K347">
        <v>1170</v>
      </c>
      <c r="T347">
        <v>3</v>
      </c>
      <c r="U347">
        <v>2</v>
      </c>
      <c r="V347" t="s">
        <v>82</v>
      </c>
      <c r="W347">
        <v>76</v>
      </c>
      <c r="X347">
        <v>15</v>
      </c>
      <c r="Y347">
        <v>15</v>
      </c>
      <c r="Z347" t="s">
        <v>723</v>
      </c>
      <c r="AA347" t="s">
        <v>724</v>
      </c>
      <c r="AB347" t="s">
        <v>85</v>
      </c>
      <c r="AC347" t="s">
        <v>86</v>
      </c>
      <c r="AD347" t="s">
        <v>87</v>
      </c>
      <c r="AE347" t="s">
        <v>709</v>
      </c>
      <c r="AG347" t="s">
        <v>725</v>
      </c>
      <c r="AH347">
        <v>0</v>
      </c>
      <c r="AI347">
        <v>203</v>
      </c>
      <c r="AJ347">
        <v>20</v>
      </c>
      <c r="AK347">
        <v>839</v>
      </c>
      <c r="AL347">
        <v>0.72</v>
      </c>
    </row>
    <row r="348" spans="1:38" x14ac:dyDescent="0.3">
      <c r="A348" t="s">
        <v>705</v>
      </c>
      <c r="B348">
        <v>14208</v>
      </c>
      <c r="C348">
        <v>1</v>
      </c>
      <c r="D348" t="s">
        <v>726</v>
      </c>
      <c r="E348" t="s">
        <v>727</v>
      </c>
      <c r="F348">
        <v>1140</v>
      </c>
      <c r="G348">
        <v>23.29</v>
      </c>
      <c r="H348">
        <v>77.02</v>
      </c>
      <c r="I348">
        <v>18.079999999999998</v>
      </c>
      <c r="J348">
        <v>59.77</v>
      </c>
      <c r="K348">
        <v>210</v>
      </c>
      <c r="T348">
        <v>2</v>
      </c>
      <c r="U348">
        <v>1</v>
      </c>
      <c r="V348" t="s">
        <v>82</v>
      </c>
      <c r="W348" t="s">
        <v>728</v>
      </c>
      <c r="X348">
        <v>15</v>
      </c>
      <c r="Y348">
        <v>15</v>
      </c>
      <c r="Z348" t="s">
        <v>729</v>
      </c>
      <c r="AA348" t="s">
        <v>730</v>
      </c>
      <c r="AB348" t="s">
        <v>85</v>
      </c>
      <c r="AC348" t="s">
        <v>86</v>
      </c>
      <c r="AD348" t="s">
        <v>87</v>
      </c>
      <c r="AE348" t="s">
        <v>709</v>
      </c>
      <c r="AG348" t="s">
        <v>731</v>
      </c>
      <c r="AH348">
        <v>0</v>
      </c>
      <c r="AI348">
        <v>218</v>
      </c>
      <c r="AJ348">
        <v>18</v>
      </c>
      <c r="AK348">
        <v>816</v>
      </c>
      <c r="AL348">
        <v>0.72</v>
      </c>
    </row>
    <row r="349" spans="1:38" x14ac:dyDescent="0.3">
      <c r="A349" t="s">
        <v>705</v>
      </c>
      <c r="B349">
        <v>14208</v>
      </c>
      <c r="C349">
        <v>2</v>
      </c>
      <c r="D349" t="s">
        <v>726</v>
      </c>
      <c r="E349" t="s">
        <v>727</v>
      </c>
      <c r="F349">
        <v>1140</v>
      </c>
      <c r="G349">
        <v>23.89</v>
      </c>
      <c r="H349">
        <v>78.989999999999995</v>
      </c>
      <c r="I349">
        <v>18.13</v>
      </c>
      <c r="J349">
        <v>59.96</v>
      </c>
      <c r="K349">
        <v>690</v>
      </c>
      <c r="T349">
        <v>3</v>
      </c>
      <c r="U349">
        <v>2</v>
      </c>
      <c r="V349" t="s">
        <v>82</v>
      </c>
      <c r="W349" t="s">
        <v>732</v>
      </c>
      <c r="X349">
        <v>15</v>
      </c>
      <c r="Y349">
        <v>15</v>
      </c>
      <c r="Z349" t="s">
        <v>729</v>
      </c>
      <c r="AA349" t="s">
        <v>730</v>
      </c>
      <c r="AB349" t="s">
        <v>85</v>
      </c>
      <c r="AC349" t="s">
        <v>86</v>
      </c>
      <c r="AD349" t="s">
        <v>87</v>
      </c>
      <c r="AE349" t="s">
        <v>709</v>
      </c>
      <c r="AG349" t="s">
        <v>731</v>
      </c>
      <c r="AH349">
        <v>0</v>
      </c>
      <c r="AI349">
        <v>218</v>
      </c>
      <c r="AJ349">
        <v>18</v>
      </c>
      <c r="AK349">
        <v>816</v>
      </c>
      <c r="AL349">
        <v>0.72</v>
      </c>
    </row>
    <row r="350" spans="1:38" x14ac:dyDescent="0.3">
      <c r="A350" t="s">
        <v>705</v>
      </c>
      <c r="B350">
        <v>14208</v>
      </c>
      <c r="C350">
        <v>3</v>
      </c>
      <c r="D350" t="s">
        <v>726</v>
      </c>
      <c r="E350" t="s">
        <v>727</v>
      </c>
      <c r="F350">
        <v>1140</v>
      </c>
      <c r="G350">
        <v>23.85</v>
      </c>
      <c r="H350">
        <v>78.849999999999994</v>
      </c>
      <c r="I350">
        <v>18.12</v>
      </c>
      <c r="J350">
        <v>59.93</v>
      </c>
      <c r="K350">
        <v>240</v>
      </c>
      <c r="T350">
        <v>2</v>
      </c>
      <c r="U350">
        <v>1</v>
      </c>
      <c r="V350" t="s">
        <v>82</v>
      </c>
      <c r="W350" t="s">
        <v>214</v>
      </c>
      <c r="X350">
        <v>15</v>
      </c>
      <c r="Y350">
        <v>15</v>
      </c>
      <c r="Z350" t="s">
        <v>729</v>
      </c>
      <c r="AA350" t="s">
        <v>730</v>
      </c>
      <c r="AB350" t="s">
        <v>85</v>
      </c>
      <c r="AC350" t="s">
        <v>86</v>
      </c>
      <c r="AD350" t="s">
        <v>87</v>
      </c>
      <c r="AE350" t="s">
        <v>709</v>
      </c>
      <c r="AG350" t="s">
        <v>731</v>
      </c>
      <c r="AH350">
        <v>0</v>
      </c>
      <c r="AI350">
        <v>218</v>
      </c>
      <c r="AJ350">
        <v>18</v>
      </c>
      <c r="AK350">
        <v>816</v>
      </c>
      <c r="AL350">
        <v>0.72</v>
      </c>
    </row>
    <row r="351" spans="1:38" x14ac:dyDescent="0.3">
      <c r="A351" t="s">
        <v>733</v>
      </c>
      <c r="B351">
        <v>138832</v>
      </c>
      <c r="C351">
        <v>1</v>
      </c>
      <c r="D351" t="s">
        <v>734</v>
      </c>
      <c r="E351" t="s">
        <v>735</v>
      </c>
      <c r="F351">
        <v>44</v>
      </c>
      <c r="G351">
        <v>18.29</v>
      </c>
      <c r="H351">
        <v>60.49</v>
      </c>
      <c r="I351">
        <v>13.75</v>
      </c>
      <c r="J351">
        <v>45.47</v>
      </c>
      <c r="K351">
        <v>22</v>
      </c>
      <c r="T351">
        <v>2</v>
      </c>
      <c r="U351">
        <v>1</v>
      </c>
      <c r="V351" t="s">
        <v>82</v>
      </c>
      <c r="W351">
        <v>60</v>
      </c>
      <c r="X351">
        <v>13</v>
      </c>
      <c r="Y351">
        <v>13</v>
      </c>
      <c r="Z351" t="s">
        <v>736</v>
      </c>
      <c r="AA351" t="s">
        <v>737</v>
      </c>
      <c r="AB351" t="s">
        <v>85</v>
      </c>
      <c r="AC351" t="s">
        <v>86</v>
      </c>
      <c r="AD351" t="s">
        <v>87</v>
      </c>
      <c r="AE351" t="s">
        <v>738</v>
      </c>
      <c r="AG351" t="s">
        <v>739</v>
      </c>
      <c r="AH351">
        <v>0</v>
      </c>
      <c r="AI351">
        <v>522</v>
      </c>
      <c r="AJ351">
        <v>55</v>
      </c>
      <c r="AK351">
        <v>47</v>
      </c>
      <c r="AL351">
        <v>1.07</v>
      </c>
    </row>
    <row r="352" spans="1:38" x14ac:dyDescent="0.3">
      <c r="A352" t="s">
        <v>733</v>
      </c>
      <c r="B352">
        <v>138832</v>
      </c>
      <c r="C352">
        <v>2</v>
      </c>
      <c r="D352" t="s">
        <v>734</v>
      </c>
      <c r="E352" t="s">
        <v>735</v>
      </c>
      <c r="F352">
        <v>44</v>
      </c>
      <c r="G352">
        <v>24.51</v>
      </c>
      <c r="H352">
        <v>81.05</v>
      </c>
      <c r="I352">
        <v>18.649999999999999</v>
      </c>
      <c r="J352">
        <v>61.68</v>
      </c>
      <c r="K352">
        <v>16</v>
      </c>
      <c r="T352">
        <v>3</v>
      </c>
      <c r="U352">
        <v>2</v>
      </c>
      <c r="V352" t="s">
        <v>82</v>
      </c>
      <c r="W352" t="s">
        <v>139</v>
      </c>
      <c r="X352">
        <v>13</v>
      </c>
      <c r="Y352">
        <v>13</v>
      </c>
      <c r="Z352" t="s">
        <v>736</v>
      </c>
      <c r="AA352" t="s">
        <v>737</v>
      </c>
      <c r="AB352" t="s">
        <v>85</v>
      </c>
      <c r="AC352" t="s">
        <v>86</v>
      </c>
      <c r="AD352" t="s">
        <v>87</v>
      </c>
      <c r="AE352" t="s">
        <v>738</v>
      </c>
      <c r="AG352" t="s">
        <v>739</v>
      </c>
      <c r="AH352">
        <v>0</v>
      </c>
      <c r="AI352">
        <v>522</v>
      </c>
      <c r="AJ352">
        <v>55</v>
      </c>
      <c r="AK352">
        <v>47</v>
      </c>
      <c r="AL352">
        <v>1.07</v>
      </c>
    </row>
    <row r="353" spans="1:38" x14ac:dyDescent="0.3">
      <c r="A353" t="s">
        <v>733</v>
      </c>
      <c r="B353">
        <v>138832</v>
      </c>
      <c r="C353">
        <v>3</v>
      </c>
      <c r="D353" t="s">
        <v>734</v>
      </c>
      <c r="E353" t="s">
        <v>735</v>
      </c>
      <c r="F353">
        <v>44</v>
      </c>
      <c r="G353">
        <v>24.51</v>
      </c>
      <c r="H353">
        <v>81.05</v>
      </c>
      <c r="I353">
        <v>18.649999999999999</v>
      </c>
      <c r="J353">
        <v>61.68</v>
      </c>
      <c r="K353">
        <v>3</v>
      </c>
      <c r="T353">
        <v>3</v>
      </c>
      <c r="U353">
        <v>2</v>
      </c>
      <c r="V353" t="s">
        <v>82</v>
      </c>
      <c r="W353" t="s">
        <v>140</v>
      </c>
      <c r="X353">
        <v>13</v>
      </c>
      <c r="Y353">
        <v>13</v>
      </c>
      <c r="Z353" t="s">
        <v>736</v>
      </c>
      <c r="AA353" t="s">
        <v>737</v>
      </c>
      <c r="AB353" t="s">
        <v>85</v>
      </c>
      <c r="AC353" t="s">
        <v>86</v>
      </c>
      <c r="AD353" t="s">
        <v>87</v>
      </c>
      <c r="AE353" t="s">
        <v>738</v>
      </c>
      <c r="AG353" t="s">
        <v>739</v>
      </c>
      <c r="AH353">
        <v>0</v>
      </c>
      <c r="AI353">
        <v>522</v>
      </c>
      <c r="AJ353">
        <v>55</v>
      </c>
      <c r="AK353">
        <v>47</v>
      </c>
      <c r="AL353">
        <v>1.07</v>
      </c>
    </row>
    <row r="354" spans="1:38" x14ac:dyDescent="0.3">
      <c r="A354" t="s">
        <v>733</v>
      </c>
      <c r="B354">
        <v>138832</v>
      </c>
      <c r="C354">
        <v>4</v>
      </c>
      <c r="D354" t="s">
        <v>734</v>
      </c>
      <c r="E354" t="s">
        <v>735</v>
      </c>
      <c r="F354">
        <v>44</v>
      </c>
      <c r="G354">
        <v>24.51</v>
      </c>
      <c r="H354">
        <v>81.05</v>
      </c>
      <c r="I354">
        <v>18.649999999999999</v>
      </c>
      <c r="J354">
        <v>61.68</v>
      </c>
      <c r="K354">
        <v>3</v>
      </c>
      <c r="T354">
        <v>3</v>
      </c>
      <c r="U354">
        <v>2</v>
      </c>
      <c r="V354" t="s">
        <v>82</v>
      </c>
      <c r="W354" t="s">
        <v>603</v>
      </c>
      <c r="X354">
        <v>13</v>
      </c>
      <c r="Y354">
        <v>13</v>
      </c>
      <c r="Z354" t="s">
        <v>736</v>
      </c>
      <c r="AA354" t="s">
        <v>737</v>
      </c>
      <c r="AB354" t="s">
        <v>85</v>
      </c>
      <c r="AC354" t="s">
        <v>86</v>
      </c>
      <c r="AD354" t="s">
        <v>87</v>
      </c>
      <c r="AE354" t="s">
        <v>738</v>
      </c>
      <c r="AG354" t="s">
        <v>739</v>
      </c>
      <c r="AH354">
        <v>0</v>
      </c>
      <c r="AI354">
        <v>522</v>
      </c>
      <c r="AJ354">
        <v>55</v>
      </c>
      <c r="AK354">
        <v>47</v>
      </c>
      <c r="AL354">
        <v>1.07</v>
      </c>
    </row>
    <row r="355" spans="1:38" x14ac:dyDescent="0.3">
      <c r="A355" t="s">
        <v>733</v>
      </c>
      <c r="B355">
        <v>122746</v>
      </c>
      <c r="C355">
        <v>1</v>
      </c>
      <c r="D355" t="s">
        <v>740</v>
      </c>
      <c r="E355" t="s">
        <v>463</v>
      </c>
      <c r="F355">
        <v>17</v>
      </c>
      <c r="G355">
        <v>30.58</v>
      </c>
      <c r="H355">
        <v>101.11</v>
      </c>
      <c r="I355">
        <v>25.63</v>
      </c>
      <c r="J355">
        <v>84.74</v>
      </c>
      <c r="K355">
        <v>17</v>
      </c>
      <c r="T355">
        <v>3</v>
      </c>
      <c r="U355">
        <v>2</v>
      </c>
      <c r="V355" t="s">
        <v>82</v>
      </c>
      <c r="W355">
        <v>101</v>
      </c>
      <c r="X355">
        <v>10</v>
      </c>
      <c r="Y355">
        <v>10</v>
      </c>
      <c r="Z355" t="s">
        <v>741</v>
      </c>
      <c r="AA355" t="s">
        <v>742</v>
      </c>
      <c r="AB355" t="s">
        <v>85</v>
      </c>
      <c r="AC355" t="s">
        <v>86</v>
      </c>
      <c r="AD355" t="s">
        <v>87</v>
      </c>
      <c r="AE355" t="s">
        <v>738</v>
      </c>
      <c r="AG355" t="s">
        <v>743</v>
      </c>
      <c r="AH355">
        <v>0</v>
      </c>
      <c r="AI355">
        <v>314</v>
      </c>
      <c r="AJ355">
        <v>59</v>
      </c>
      <c r="AK355">
        <v>17</v>
      </c>
      <c r="AL355">
        <v>1</v>
      </c>
    </row>
    <row r="356" spans="1:38" x14ac:dyDescent="0.3">
      <c r="A356" t="s">
        <v>744</v>
      </c>
      <c r="B356">
        <v>100854</v>
      </c>
      <c r="C356">
        <v>1</v>
      </c>
      <c r="D356" t="s">
        <v>745</v>
      </c>
      <c r="E356" t="s">
        <v>746</v>
      </c>
      <c r="F356">
        <v>122</v>
      </c>
      <c r="G356">
        <v>23.2</v>
      </c>
      <c r="H356">
        <v>76.709999999999994</v>
      </c>
      <c r="I356">
        <v>18.07</v>
      </c>
      <c r="J356">
        <v>59.74</v>
      </c>
      <c r="K356">
        <v>122</v>
      </c>
      <c r="T356">
        <v>3</v>
      </c>
      <c r="U356">
        <v>2</v>
      </c>
      <c r="V356" t="s">
        <v>82</v>
      </c>
      <c r="W356">
        <v>76</v>
      </c>
      <c r="X356">
        <v>9</v>
      </c>
      <c r="Y356">
        <v>8</v>
      </c>
      <c r="Z356" t="s">
        <v>747</v>
      </c>
      <c r="AA356" t="s">
        <v>748</v>
      </c>
      <c r="AB356" t="s">
        <v>85</v>
      </c>
      <c r="AC356" t="s">
        <v>86</v>
      </c>
      <c r="AD356" t="s">
        <v>87</v>
      </c>
      <c r="AE356" t="s">
        <v>749</v>
      </c>
      <c r="AG356" t="s">
        <v>750</v>
      </c>
      <c r="AH356">
        <v>0</v>
      </c>
      <c r="AI356">
        <v>171</v>
      </c>
      <c r="AJ356">
        <v>25</v>
      </c>
      <c r="AK356">
        <v>106</v>
      </c>
      <c r="AL356">
        <v>0.87</v>
      </c>
    </row>
    <row r="357" spans="1:38" x14ac:dyDescent="0.3">
      <c r="A357" t="s">
        <v>751</v>
      </c>
      <c r="B357">
        <v>27197</v>
      </c>
      <c r="C357">
        <v>1</v>
      </c>
      <c r="D357" t="s">
        <v>752</v>
      </c>
      <c r="E357" t="s">
        <v>753</v>
      </c>
      <c r="F357">
        <v>40</v>
      </c>
      <c r="G357">
        <v>27.34</v>
      </c>
      <c r="H357">
        <v>90.41</v>
      </c>
      <c r="I357">
        <v>24.47</v>
      </c>
      <c r="J357">
        <v>80.900000000000006</v>
      </c>
      <c r="K357">
        <v>20</v>
      </c>
      <c r="T357">
        <v>3</v>
      </c>
      <c r="U357">
        <v>2</v>
      </c>
      <c r="V357" t="s">
        <v>82</v>
      </c>
      <c r="W357">
        <v>90</v>
      </c>
      <c r="X357">
        <v>12</v>
      </c>
      <c r="Y357">
        <v>12</v>
      </c>
      <c r="Z357" t="s">
        <v>754</v>
      </c>
      <c r="AA357" t="s">
        <v>755</v>
      </c>
      <c r="AB357" t="s">
        <v>85</v>
      </c>
      <c r="AC357" t="s">
        <v>86</v>
      </c>
      <c r="AD357" t="s">
        <v>87</v>
      </c>
      <c r="AE357" t="s">
        <v>756</v>
      </c>
      <c r="AG357" t="s">
        <v>757</v>
      </c>
      <c r="AH357">
        <v>0</v>
      </c>
      <c r="AI357">
        <v>867</v>
      </c>
      <c r="AJ357">
        <v>79</v>
      </c>
      <c r="AK357">
        <v>43</v>
      </c>
      <c r="AL357">
        <v>1.07</v>
      </c>
    </row>
    <row r="358" spans="1:38" x14ac:dyDescent="0.3">
      <c r="A358" t="s">
        <v>751</v>
      </c>
      <c r="B358">
        <v>27197</v>
      </c>
      <c r="C358">
        <v>2</v>
      </c>
      <c r="D358" t="s">
        <v>752</v>
      </c>
      <c r="E358" t="s">
        <v>753</v>
      </c>
      <c r="F358">
        <v>40</v>
      </c>
      <c r="G358">
        <v>28.69</v>
      </c>
      <c r="H358">
        <v>94.87</v>
      </c>
      <c r="I358">
        <v>25.67</v>
      </c>
      <c r="J358">
        <v>84.89</v>
      </c>
      <c r="K358">
        <v>20</v>
      </c>
      <c r="T358">
        <v>3</v>
      </c>
      <c r="U358">
        <v>2</v>
      </c>
      <c r="V358" t="s">
        <v>82</v>
      </c>
      <c r="W358">
        <v>94</v>
      </c>
      <c r="X358">
        <v>12</v>
      </c>
      <c r="Y358">
        <v>12</v>
      </c>
      <c r="Z358" t="s">
        <v>754</v>
      </c>
      <c r="AA358" t="s">
        <v>755</v>
      </c>
      <c r="AB358" t="s">
        <v>85</v>
      </c>
      <c r="AC358" t="s">
        <v>86</v>
      </c>
      <c r="AD358" t="s">
        <v>87</v>
      </c>
      <c r="AE358" t="s">
        <v>756</v>
      </c>
      <c r="AG358" t="s">
        <v>757</v>
      </c>
      <c r="AH358">
        <v>0</v>
      </c>
      <c r="AI358">
        <v>867</v>
      </c>
      <c r="AJ358">
        <v>79</v>
      </c>
      <c r="AK358">
        <v>43</v>
      </c>
      <c r="AL358">
        <v>1.07</v>
      </c>
    </row>
    <row r="359" spans="1:38" x14ac:dyDescent="0.3">
      <c r="A359" t="s">
        <v>751</v>
      </c>
      <c r="B359">
        <v>100856</v>
      </c>
      <c r="C359">
        <v>1</v>
      </c>
      <c r="D359" t="s">
        <v>758</v>
      </c>
      <c r="E359" t="s">
        <v>759</v>
      </c>
      <c r="F359">
        <v>78</v>
      </c>
      <c r="G359">
        <v>21.14</v>
      </c>
      <c r="H359">
        <v>69.900000000000006</v>
      </c>
      <c r="I359">
        <v>17.95</v>
      </c>
      <c r="J359">
        <v>59.36</v>
      </c>
      <c r="K359">
        <v>26</v>
      </c>
      <c r="T359">
        <v>2</v>
      </c>
      <c r="U359">
        <v>1</v>
      </c>
      <c r="V359" t="s">
        <v>82</v>
      </c>
      <c r="W359" t="s">
        <v>352</v>
      </c>
      <c r="X359">
        <v>15</v>
      </c>
      <c r="Y359">
        <v>15</v>
      </c>
      <c r="Z359" t="s">
        <v>760</v>
      </c>
      <c r="AA359" t="s">
        <v>761</v>
      </c>
      <c r="AB359" t="s">
        <v>85</v>
      </c>
      <c r="AC359" t="s">
        <v>86</v>
      </c>
      <c r="AD359" t="s">
        <v>87</v>
      </c>
      <c r="AE359" t="s">
        <v>756</v>
      </c>
      <c r="AG359" t="s">
        <v>762</v>
      </c>
      <c r="AH359">
        <v>0</v>
      </c>
      <c r="AI359">
        <v>512</v>
      </c>
      <c r="AJ359">
        <v>69</v>
      </c>
      <c r="AK359">
        <v>33</v>
      </c>
      <c r="AL359">
        <v>0.42</v>
      </c>
    </row>
    <row r="360" spans="1:38" x14ac:dyDescent="0.3">
      <c r="A360" t="s">
        <v>751</v>
      </c>
      <c r="B360">
        <v>100856</v>
      </c>
      <c r="C360">
        <v>2</v>
      </c>
      <c r="D360" t="s">
        <v>758</v>
      </c>
      <c r="E360" t="s">
        <v>759</v>
      </c>
      <c r="F360">
        <v>78</v>
      </c>
      <c r="G360">
        <v>20.96</v>
      </c>
      <c r="H360">
        <v>69.31</v>
      </c>
      <c r="I360">
        <v>17.82</v>
      </c>
      <c r="J360">
        <v>58.92</v>
      </c>
      <c r="K360">
        <v>2</v>
      </c>
      <c r="T360">
        <v>2</v>
      </c>
      <c r="U360">
        <v>1</v>
      </c>
      <c r="V360" t="s">
        <v>82</v>
      </c>
      <c r="W360" t="s">
        <v>584</v>
      </c>
      <c r="X360">
        <v>15</v>
      </c>
      <c r="Y360">
        <v>15</v>
      </c>
      <c r="Z360" t="s">
        <v>760</v>
      </c>
      <c r="AA360" t="s">
        <v>761</v>
      </c>
      <c r="AB360" t="s">
        <v>85</v>
      </c>
      <c r="AC360" t="s">
        <v>86</v>
      </c>
      <c r="AD360" t="s">
        <v>87</v>
      </c>
      <c r="AE360" t="s">
        <v>756</v>
      </c>
      <c r="AG360" t="s">
        <v>762</v>
      </c>
      <c r="AH360">
        <v>0</v>
      </c>
      <c r="AI360">
        <v>512</v>
      </c>
      <c r="AJ360">
        <v>69</v>
      </c>
      <c r="AK360">
        <v>33</v>
      </c>
      <c r="AL360">
        <v>0.42</v>
      </c>
    </row>
    <row r="361" spans="1:38" x14ac:dyDescent="0.3">
      <c r="A361" t="s">
        <v>751</v>
      </c>
      <c r="B361">
        <v>100856</v>
      </c>
      <c r="C361">
        <v>3</v>
      </c>
      <c r="D361" t="s">
        <v>758</v>
      </c>
      <c r="E361" t="s">
        <v>759</v>
      </c>
      <c r="F361">
        <v>78</v>
      </c>
      <c r="G361">
        <v>30.24</v>
      </c>
      <c r="H361">
        <v>99.99</v>
      </c>
      <c r="I361">
        <v>25.68</v>
      </c>
      <c r="J361">
        <v>84.92</v>
      </c>
      <c r="K361">
        <v>50</v>
      </c>
      <c r="T361">
        <v>3</v>
      </c>
      <c r="U361">
        <v>1</v>
      </c>
      <c r="V361" t="s">
        <v>82</v>
      </c>
      <c r="W361">
        <v>99</v>
      </c>
      <c r="X361">
        <v>15</v>
      </c>
      <c r="Y361">
        <v>15</v>
      </c>
      <c r="Z361" t="s">
        <v>760</v>
      </c>
      <c r="AA361" t="s">
        <v>761</v>
      </c>
      <c r="AB361" t="s">
        <v>85</v>
      </c>
      <c r="AC361" t="s">
        <v>86</v>
      </c>
      <c r="AD361" t="s">
        <v>87</v>
      </c>
      <c r="AE361" t="s">
        <v>756</v>
      </c>
      <c r="AG361" t="s">
        <v>762</v>
      </c>
      <c r="AH361">
        <v>0</v>
      </c>
      <c r="AI361">
        <v>512</v>
      </c>
      <c r="AJ361">
        <v>69</v>
      </c>
      <c r="AK361">
        <v>33</v>
      </c>
      <c r="AL361">
        <v>0.42</v>
      </c>
    </row>
    <row r="362" spans="1:38" x14ac:dyDescent="0.3">
      <c r="A362" t="s">
        <v>763</v>
      </c>
      <c r="B362">
        <v>16758</v>
      </c>
      <c r="C362">
        <v>1</v>
      </c>
      <c r="D362" t="s">
        <v>764</v>
      </c>
      <c r="E362" t="s">
        <v>765</v>
      </c>
      <c r="F362">
        <v>168</v>
      </c>
      <c r="G362">
        <v>23.52</v>
      </c>
      <c r="H362">
        <v>77.77</v>
      </c>
      <c r="I362">
        <v>18.12</v>
      </c>
      <c r="J362">
        <v>59.91</v>
      </c>
      <c r="K362">
        <v>168</v>
      </c>
      <c r="T362">
        <v>2</v>
      </c>
      <c r="U362">
        <v>1</v>
      </c>
      <c r="V362" t="s">
        <v>82</v>
      </c>
      <c r="W362">
        <v>77</v>
      </c>
      <c r="X362">
        <v>14</v>
      </c>
      <c r="Y362">
        <v>14</v>
      </c>
      <c r="Z362" t="s">
        <v>766</v>
      </c>
      <c r="AA362" t="s">
        <v>767</v>
      </c>
      <c r="AB362" t="s">
        <v>85</v>
      </c>
      <c r="AC362" t="s">
        <v>86</v>
      </c>
      <c r="AD362" t="s">
        <v>87</v>
      </c>
      <c r="AE362" t="s">
        <v>768</v>
      </c>
      <c r="AG362" t="s">
        <v>769</v>
      </c>
      <c r="AH362">
        <v>0</v>
      </c>
      <c r="AI362">
        <v>297</v>
      </c>
      <c r="AJ362">
        <v>28</v>
      </c>
      <c r="AK362">
        <v>120</v>
      </c>
      <c r="AL362">
        <v>0.71</v>
      </c>
    </row>
    <row r="363" spans="1:38" x14ac:dyDescent="0.3">
      <c r="A363" t="s">
        <v>763</v>
      </c>
      <c r="B363">
        <v>13136</v>
      </c>
      <c r="C363">
        <v>1</v>
      </c>
      <c r="D363" t="s">
        <v>770</v>
      </c>
      <c r="E363" t="s">
        <v>771</v>
      </c>
      <c r="F363">
        <v>248</v>
      </c>
      <c r="G363">
        <v>32.97</v>
      </c>
      <c r="H363">
        <v>109.01</v>
      </c>
      <c r="I363">
        <v>25.52</v>
      </c>
      <c r="J363">
        <v>84.39</v>
      </c>
      <c r="K363">
        <v>160</v>
      </c>
      <c r="T363">
        <v>3</v>
      </c>
      <c r="U363">
        <v>2</v>
      </c>
      <c r="V363" t="s">
        <v>82</v>
      </c>
      <c r="W363">
        <v>109</v>
      </c>
      <c r="X363">
        <v>12</v>
      </c>
      <c r="Y363">
        <v>9</v>
      </c>
      <c r="Z363" t="s">
        <v>772</v>
      </c>
      <c r="AA363" t="s">
        <v>773</v>
      </c>
      <c r="AB363" t="s">
        <v>85</v>
      </c>
      <c r="AC363" t="s">
        <v>86</v>
      </c>
      <c r="AD363" t="s">
        <v>87</v>
      </c>
      <c r="AE363" t="s">
        <v>768</v>
      </c>
      <c r="AG363" t="s">
        <v>774</v>
      </c>
      <c r="AH363">
        <v>0</v>
      </c>
      <c r="AI363">
        <v>253</v>
      </c>
      <c r="AJ363">
        <v>27</v>
      </c>
      <c r="AK363">
        <v>288</v>
      </c>
      <c r="AL363">
        <v>1.1599999999999999</v>
      </c>
    </row>
    <row r="364" spans="1:38" x14ac:dyDescent="0.3">
      <c r="A364" t="s">
        <v>763</v>
      </c>
      <c r="B364">
        <v>13136</v>
      </c>
      <c r="C364">
        <v>2</v>
      </c>
      <c r="D364" t="s">
        <v>770</v>
      </c>
      <c r="E364" t="s">
        <v>771</v>
      </c>
      <c r="F364">
        <v>248</v>
      </c>
      <c r="G364">
        <v>42.18</v>
      </c>
      <c r="H364">
        <v>139.47</v>
      </c>
      <c r="I364">
        <v>35.06</v>
      </c>
      <c r="J364">
        <v>115.92</v>
      </c>
      <c r="K364">
        <v>88</v>
      </c>
      <c r="T364">
        <v>3</v>
      </c>
      <c r="U364">
        <v>2</v>
      </c>
      <c r="V364" t="s">
        <v>82</v>
      </c>
      <c r="W364">
        <v>139</v>
      </c>
      <c r="X364">
        <v>12</v>
      </c>
      <c r="Y364">
        <v>9</v>
      </c>
      <c r="Z364" t="s">
        <v>772</v>
      </c>
      <c r="AA364" t="s">
        <v>773</v>
      </c>
      <c r="AB364" t="s">
        <v>85</v>
      </c>
      <c r="AC364" t="s">
        <v>86</v>
      </c>
      <c r="AD364" t="s">
        <v>87</v>
      </c>
      <c r="AE364" t="s">
        <v>768</v>
      </c>
      <c r="AG364" t="s">
        <v>774</v>
      </c>
      <c r="AH364">
        <v>0</v>
      </c>
      <c r="AI364">
        <v>253</v>
      </c>
      <c r="AJ364">
        <v>27</v>
      </c>
      <c r="AK364">
        <v>288</v>
      </c>
      <c r="AL364">
        <v>1.1599999999999999</v>
      </c>
    </row>
    <row r="365" spans="1:38" x14ac:dyDescent="0.3">
      <c r="A365" t="s">
        <v>763</v>
      </c>
      <c r="B365">
        <v>106560</v>
      </c>
      <c r="C365">
        <v>1</v>
      </c>
      <c r="D365" t="s">
        <v>775</v>
      </c>
      <c r="E365" t="s">
        <v>776</v>
      </c>
      <c r="F365">
        <v>1822</v>
      </c>
      <c r="G365">
        <v>24.63</v>
      </c>
      <c r="H365">
        <v>81.430000000000007</v>
      </c>
      <c r="I365">
        <v>18.14</v>
      </c>
      <c r="J365">
        <v>59.98</v>
      </c>
      <c r="K365">
        <v>124</v>
      </c>
      <c r="T365">
        <v>3</v>
      </c>
      <c r="U365">
        <v>2</v>
      </c>
      <c r="V365" t="s">
        <v>82</v>
      </c>
      <c r="W365">
        <v>81</v>
      </c>
      <c r="X365">
        <v>29</v>
      </c>
      <c r="Y365">
        <v>20</v>
      </c>
      <c r="Z365" t="s">
        <v>777</v>
      </c>
      <c r="AA365" t="s">
        <v>778</v>
      </c>
      <c r="AB365" t="s">
        <v>85</v>
      </c>
      <c r="AC365" t="s">
        <v>86</v>
      </c>
      <c r="AD365" t="s">
        <v>87</v>
      </c>
      <c r="AE365" t="s">
        <v>768</v>
      </c>
      <c r="AG365" t="s">
        <v>779</v>
      </c>
      <c r="AH365">
        <v>0</v>
      </c>
      <c r="AI365">
        <v>214</v>
      </c>
      <c r="AJ365">
        <v>15</v>
      </c>
      <c r="AK365">
        <v>2259</v>
      </c>
      <c r="AL365">
        <v>1.24</v>
      </c>
    </row>
    <row r="366" spans="1:38" x14ac:dyDescent="0.3">
      <c r="A366" t="s">
        <v>763</v>
      </c>
      <c r="B366">
        <v>106560</v>
      </c>
      <c r="C366">
        <v>2</v>
      </c>
      <c r="D366" t="s">
        <v>775</v>
      </c>
      <c r="E366" t="s">
        <v>776</v>
      </c>
      <c r="F366">
        <v>1822</v>
      </c>
      <c r="G366">
        <v>26.94</v>
      </c>
      <c r="H366">
        <v>89.06</v>
      </c>
      <c r="I366">
        <v>19.95</v>
      </c>
      <c r="J366">
        <v>65.97</v>
      </c>
      <c r="K366">
        <v>15</v>
      </c>
      <c r="T366">
        <v>3</v>
      </c>
      <c r="U366">
        <v>2</v>
      </c>
      <c r="V366" t="s">
        <v>82</v>
      </c>
      <c r="W366">
        <v>89</v>
      </c>
      <c r="X366">
        <v>29</v>
      </c>
      <c r="Y366">
        <v>20</v>
      </c>
      <c r="Z366" t="s">
        <v>777</v>
      </c>
      <c r="AA366" t="s">
        <v>778</v>
      </c>
      <c r="AB366" t="s">
        <v>85</v>
      </c>
      <c r="AC366" t="s">
        <v>86</v>
      </c>
      <c r="AD366" t="s">
        <v>87</v>
      </c>
      <c r="AE366" t="s">
        <v>768</v>
      </c>
      <c r="AG366" t="s">
        <v>779</v>
      </c>
      <c r="AH366">
        <v>0</v>
      </c>
      <c r="AI366">
        <v>214</v>
      </c>
      <c r="AJ366">
        <v>15</v>
      </c>
      <c r="AK366">
        <v>2259</v>
      </c>
      <c r="AL366">
        <v>1.24</v>
      </c>
    </row>
    <row r="367" spans="1:38" x14ac:dyDescent="0.3">
      <c r="A367" t="s">
        <v>763</v>
      </c>
      <c r="B367">
        <v>106560</v>
      </c>
      <c r="C367">
        <v>3</v>
      </c>
      <c r="D367" t="s">
        <v>775</v>
      </c>
      <c r="E367" t="s">
        <v>776</v>
      </c>
      <c r="F367">
        <v>1822</v>
      </c>
      <c r="G367">
        <v>29.63</v>
      </c>
      <c r="H367">
        <v>97.97</v>
      </c>
      <c r="I367">
        <v>22.07</v>
      </c>
      <c r="J367">
        <v>72.989999999999995</v>
      </c>
      <c r="K367">
        <v>42</v>
      </c>
      <c r="T367">
        <v>3</v>
      </c>
      <c r="U367">
        <v>2</v>
      </c>
      <c r="V367" t="s">
        <v>82</v>
      </c>
      <c r="W367" t="s">
        <v>780</v>
      </c>
      <c r="X367">
        <v>29</v>
      </c>
      <c r="Y367">
        <v>20</v>
      </c>
      <c r="Z367" t="s">
        <v>777</v>
      </c>
      <c r="AA367" t="s">
        <v>778</v>
      </c>
      <c r="AB367" t="s">
        <v>85</v>
      </c>
      <c r="AC367" t="s">
        <v>86</v>
      </c>
      <c r="AD367" t="s">
        <v>87</v>
      </c>
      <c r="AE367" t="s">
        <v>768</v>
      </c>
      <c r="AG367" t="s">
        <v>779</v>
      </c>
      <c r="AH367">
        <v>0</v>
      </c>
      <c r="AI367">
        <v>214</v>
      </c>
      <c r="AJ367">
        <v>15</v>
      </c>
      <c r="AK367">
        <v>2259</v>
      </c>
      <c r="AL367">
        <v>1.24</v>
      </c>
    </row>
    <row r="368" spans="1:38" x14ac:dyDescent="0.3">
      <c r="A368" t="s">
        <v>763</v>
      </c>
      <c r="B368">
        <v>106560</v>
      </c>
      <c r="C368">
        <v>4</v>
      </c>
      <c r="D368" t="s">
        <v>775</v>
      </c>
      <c r="E368" t="s">
        <v>776</v>
      </c>
      <c r="F368">
        <v>1822</v>
      </c>
      <c r="G368">
        <v>29.72</v>
      </c>
      <c r="H368">
        <v>98.25</v>
      </c>
      <c r="I368">
        <v>22.07</v>
      </c>
      <c r="J368">
        <v>72.98</v>
      </c>
      <c r="K368">
        <v>201</v>
      </c>
      <c r="T368">
        <v>3</v>
      </c>
      <c r="U368">
        <v>2</v>
      </c>
      <c r="V368" t="s">
        <v>82</v>
      </c>
      <c r="W368" t="s">
        <v>119</v>
      </c>
      <c r="X368">
        <v>29</v>
      </c>
      <c r="Y368">
        <v>20</v>
      </c>
      <c r="Z368" t="s">
        <v>777</v>
      </c>
      <c r="AA368" t="s">
        <v>778</v>
      </c>
      <c r="AB368" t="s">
        <v>85</v>
      </c>
      <c r="AC368" t="s">
        <v>86</v>
      </c>
      <c r="AD368" t="s">
        <v>87</v>
      </c>
      <c r="AE368" t="s">
        <v>768</v>
      </c>
      <c r="AG368" t="s">
        <v>779</v>
      </c>
      <c r="AH368">
        <v>0</v>
      </c>
      <c r="AI368">
        <v>214</v>
      </c>
      <c r="AJ368">
        <v>15</v>
      </c>
      <c r="AK368">
        <v>2259</v>
      </c>
      <c r="AL368">
        <v>1.24</v>
      </c>
    </row>
    <row r="369" spans="1:38" x14ac:dyDescent="0.3">
      <c r="A369" t="s">
        <v>763</v>
      </c>
      <c r="B369">
        <v>106560</v>
      </c>
      <c r="C369">
        <v>5</v>
      </c>
      <c r="D369" t="s">
        <v>775</v>
      </c>
      <c r="E369" t="s">
        <v>776</v>
      </c>
      <c r="F369">
        <v>1822</v>
      </c>
      <c r="G369">
        <v>29.86</v>
      </c>
      <c r="H369">
        <v>98.72</v>
      </c>
      <c r="I369">
        <v>22.07</v>
      </c>
      <c r="J369">
        <v>72.97</v>
      </c>
      <c r="K369">
        <v>92</v>
      </c>
      <c r="T369">
        <v>3</v>
      </c>
      <c r="U369">
        <v>2</v>
      </c>
      <c r="V369" t="s">
        <v>82</v>
      </c>
      <c r="W369" t="s">
        <v>118</v>
      </c>
      <c r="X369">
        <v>29</v>
      </c>
      <c r="Y369">
        <v>20</v>
      </c>
      <c r="Z369" t="s">
        <v>777</v>
      </c>
      <c r="AA369" t="s">
        <v>778</v>
      </c>
      <c r="AB369" t="s">
        <v>85</v>
      </c>
      <c r="AC369" t="s">
        <v>86</v>
      </c>
      <c r="AD369" t="s">
        <v>87</v>
      </c>
      <c r="AE369" t="s">
        <v>768</v>
      </c>
      <c r="AG369" t="s">
        <v>779</v>
      </c>
      <c r="AH369">
        <v>0</v>
      </c>
      <c r="AI369">
        <v>214</v>
      </c>
      <c r="AJ369">
        <v>15</v>
      </c>
      <c r="AK369">
        <v>2259</v>
      </c>
      <c r="AL369">
        <v>1.24</v>
      </c>
    </row>
    <row r="370" spans="1:38" x14ac:dyDescent="0.3">
      <c r="A370" t="s">
        <v>763</v>
      </c>
      <c r="B370">
        <v>106560</v>
      </c>
      <c r="C370">
        <v>6</v>
      </c>
      <c r="D370" t="s">
        <v>775</v>
      </c>
      <c r="E370" t="s">
        <v>776</v>
      </c>
      <c r="F370">
        <v>1822</v>
      </c>
      <c r="G370">
        <v>29.67</v>
      </c>
      <c r="H370">
        <v>98.1</v>
      </c>
      <c r="I370">
        <v>22.07</v>
      </c>
      <c r="J370">
        <v>72.97</v>
      </c>
      <c r="K370">
        <v>48</v>
      </c>
      <c r="T370">
        <v>3</v>
      </c>
      <c r="U370">
        <v>2</v>
      </c>
      <c r="V370" t="s">
        <v>82</v>
      </c>
      <c r="W370" t="s">
        <v>781</v>
      </c>
      <c r="X370">
        <v>29</v>
      </c>
      <c r="Y370">
        <v>20</v>
      </c>
      <c r="Z370" t="s">
        <v>777</v>
      </c>
      <c r="AA370" t="s">
        <v>778</v>
      </c>
      <c r="AB370" t="s">
        <v>85</v>
      </c>
      <c r="AC370" t="s">
        <v>86</v>
      </c>
      <c r="AD370" t="s">
        <v>87</v>
      </c>
      <c r="AE370" t="s">
        <v>768</v>
      </c>
      <c r="AG370" t="s">
        <v>779</v>
      </c>
      <c r="AH370">
        <v>0</v>
      </c>
      <c r="AI370">
        <v>214</v>
      </c>
      <c r="AJ370">
        <v>15</v>
      </c>
      <c r="AK370">
        <v>2259</v>
      </c>
      <c r="AL370">
        <v>1.24</v>
      </c>
    </row>
    <row r="371" spans="1:38" x14ac:dyDescent="0.3">
      <c r="A371" t="s">
        <v>763</v>
      </c>
      <c r="B371">
        <v>106560</v>
      </c>
      <c r="C371">
        <v>7</v>
      </c>
      <c r="D371" t="s">
        <v>775</v>
      </c>
      <c r="E371" t="s">
        <v>776</v>
      </c>
      <c r="F371">
        <v>1822</v>
      </c>
      <c r="G371">
        <v>31.53</v>
      </c>
      <c r="H371">
        <v>104.26</v>
      </c>
      <c r="I371">
        <v>23.52</v>
      </c>
      <c r="J371">
        <v>77.77</v>
      </c>
      <c r="K371">
        <v>12</v>
      </c>
      <c r="T371">
        <v>3</v>
      </c>
      <c r="U371">
        <v>2</v>
      </c>
      <c r="V371" t="s">
        <v>82</v>
      </c>
      <c r="W371" t="s">
        <v>483</v>
      </c>
      <c r="X371">
        <v>29</v>
      </c>
      <c r="Y371">
        <v>20</v>
      </c>
      <c r="Z371" t="s">
        <v>777</v>
      </c>
      <c r="AA371" t="s">
        <v>778</v>
      </c>
      <c r="AB371" t="s">
        <v>85</v>
      </c>
      <c r="AC371" t="s">
        <v>86</v>
      </c>
      <c r="AD371" t="s">
        <v>87</v>
      </c>
      <c r="AE371" t="s">
        <v>768</v>
      </c>
      <c r="AG371" t="s">
        <v>779</v>
      </c>
      <c r="AH371">
        <v>0</v>
      </c>
      <c r="AI371">
        <v>214</v>
      </c>
      <c r="AJ371">
        <v>15</v>
      </c>
      <c r="AK371">
        <v>2259</v>
      </c>
      <c r="AL371">
        <v>1.24</v>
      </c>
    </row>
    <row r="372" spans="1:38" x14ac:dyDescent="0.3">
      <c r="A372" t="s">
        <v>763</v>
      </c>
      <c r="B372">
        <v>106560</v>
      </c>
      <c r="C372">
        <v>8</v>
      </c>
      <c r="D372" t="s">
        <v>775</v>
      </c>
      <c r="E372" t="s">
        <v>776</v>
      </c>
      <c r="F372">
        <v>1822</v>
      </c>
      <c r="G372">
        <v>31.68</v>
      </c>
      <c r="H372">
        <v>104.73</v>
      </c>
      <c r="I372">
        <v>23.51</v>
      </c>
      <c r="J372">
        <v>77.73</v>
      </c>
      <c r="K372">
        <v>12</v>
      </c>
      <c r="T372">
        <v>3</v>
      </c>
      <c r="U372">
        <v>2</v>
      </c>
      <c r="V372" t="s">
        <v>82</v>
      </c>
      <c r="W372" t="s">
        <v>782</v>
      </c>
      <c r="X372">
        <v>29</v>
      </c>
      <c r="Y372">
        <v>20</v>
      </c>
      <c r="Z372" t="s">
        <v>777</v>
      </c>
      <c r="AA372" t="s">
        <v>778</v>
      </c>
      <c r="AB372" t="s">
        <v>85</v>
      </c>
      <c r="AC372" t="s">
        <v>86</v>
      </c>
      <c r="AD372" t="s">
        <v>87</v>
      </c>
      <c r="AE372" t="s">
        <v>768</v>
      </c>
      <c r="AG372" t="s">
        <v>779</v>
      </c>
      <c r="AH372">
        <v>0</v>
      </c>
      <c r="AI372">
        <v>214</v>
      </c>
      <c r="AJ372">
        <v>15</v>
      </c>
      <c r="AK372">
        <v>2259</v>
      </c>
      <c r="AL372">
        <v>1.24</v>
      </c>
    </row>
    <row r="373" spans="1:38" x14ac:dyDescent="0.3">
      <c r="A373" t="s">
        <v>763</v>
      </c>
      <c r="B373">
        <v>106560</v>
      </c>
      <c r="C373">
        <v>9</v>
      </c>
      <c r="D373" t="s">
        <v>775</v>
      </c>
      <c r="E373" t="s">
        <v>776</v>
      </c>
      <c r="F373">
        <v>1822</v>
      </c>
      <c r="G373">
        <v>34.43</v>
      </c>
      <c r="H373">
        <v>113.82</v>
      </c>
      <c r="I373">
        <v>25.7</v>
      </c>
      <c r="J373">
        <v>84.96</v>
      </c>
      <c r="K373">
        <v>693</v>
      </c>
      <c r="T373">
        <v>3</v>
      </c>
      <c r="U373">
        <v>2</v>
      </c>
      <c r="V373" t="s">
        <v>82</v>
      </c>
      <c r="W373" t="s">
        <v>123</v>
      </c>
      <c r="X373">
        <v>29</v>
      </c>
      <c r="Y373">
        <v>20</v>
      </c>
      <c r="Z373" t="s">
        <v>777</v>
      </c>
      <c r="AA373" t="s">
        <v>778</v>
      </c>
      <c r="AB373" t="s">
        <v>85</v>
      </c>
      <c r="AC373" t="s">
        <v>86</v>
      </c>
      <c r="AD373" t="s">
        <v>87</v>
      </c>
      <c r="AE373" t="s">
        <v>768</v>
      </c>
      <c r="AG373" t="s">
        <v>779</v>
      </c>
      <c r="AH373">
        <v>0</v>
      </c>
      <c r="AI373">
        <v>214</v>
      </c>
      <c r="AJ373">
        <v>15</v>
      </c>
      <c r="AK373">
        <v>2259</v>
      </c>
      <c r="AL373">
        <v>1.24</v>
      </c>
    </row>
    <row r="374" spans="1:38" x14ac:dyDescent="0.3">
      <c r="A374" t="s">
        <v>763</v>
      </c>
      <c r="B374">
        <v>106560</v>
      </c>
      <c r="C374">
        <v>10</v>
      </c>
      <c r="D374" t="s">
        <v>775</v>
      </c>
      <c r="E374" t="s">
        <v>776</v>
      </c>
      <c r="F374">
        <v>1822</v>
      </c>
      <c r="G374">
        <v>34.270000000000003</v>
      </c>
      <c r="H374">
        <v>113.31</v>
      </c>
      <c r="I374">
        <v>25.7</v>
      </c>
      <c r="J374">
        <v>84.97</v>
      </c>
      <c r="K374">
        <v>204</v>
      </c>
      <c r="T374">
        <v>3</v>
      </c>
      <c r="U374">
        <v>2</v>
      </c>
      <c r="V374" t="s">
        <v>82</v>
      </c>
      <c r="W374" t="s">
        <v>514</v>
      </c>
      <c r="X374">
        <v>29</v>
      </c>
      <c r="Y374">
        <v>20</v>
      </c>
      <c r="Z374" t="s">
        <v>777</v>
      </c>
      <c r="AA374" t="s">
        <v>778</v>
      </c>
      <c r="AB374" t="s">
        <v>85</v>
      </c>
      <c r="AC374" t="s">
        <v>86</v>
      </c>
      <c r="AD374" t="s">
        <v>87</v>
      </c>
      <c r="AE374" t="s">
        <v>768</v>
      </c>
      <c r="AG374" t="s">
        <v>779</v>
      </c>
      <c r="AH374">
        <v>0</v>
      </c>
      <c r="AI374">
        <v>214</v>
      </c>
      <c r="AJ374">
        <v>15</v>
      </c>
      <c r="AK374">
        <v>2259</v>
      </c>
      <c r="AL374">
        <v>1.24</v>
      </c>
    </row>
    <row r="375" spans="1:38" x14ac:dyDescent="0.3">
      <c r="A375" t="s">
        <v>763</v>
      </c>
      <c r="B375">
        <v>106560</v>
      </c>
      <c r="C375">
        <v>11</v>
      </c>
      <c r="D375" t="s">
        <v>775</v>
      </c>
      <c r="E375" t="s">
        <v>776</v>
      </c>
      <c r="F375">
        <v>1822</v>
      </c>
      <c r="G375">
        <v>34.479999999999997</v>
      </c>
      <c r="H375">
        <v>114</v>
      </c>
      <c r="I375">
        <v>25.7</v>
      </c>
      <c r="J375">
        <v>84.98</v>
      </c>
      <c r="K375">
        <v>201</v>
      </c>
      <c r="T375">
        <v>3</v>
      </c>
      <c r="U375">
        <v>2</v>
      </c>
      <c r="V375" t="s">
        <v>82</v>
      </c>
      <c r="W375" t="s">
        <v>783</v>
      </c>
      <c r="X375">
        <v>29</v>
      </c>
      <c r="Y375">
        <v>20</v>
      </c>
      <c r="Z375" t="s">
        <v>777</v>
      </c>
      <c r="AA375" t="s">
        <v>778</v>
      </c>
      <c r="AB375" t="s">
        <v>85</v>
      </c>
      <c r="AC375" t="s">
        <v>86</v>
      </c>
      <c r="AD375" t="s">
        <v>87</v>
      </c>
      <c r="AE375" t="s">
        <v>768</v>
      </c>
      <c r="AG375" t="s">
        <v>779</v>
      </c>
      <c r="AH375">
        <v>0</v>
      </c>
      <c r="AI375">
        <v>214</v>
      </c>
      <c r="AJ375">
        <v>15</v>
      </c>
      <c r="AK375">
        <v>2259</v>
      </c>
      <c r="AL375">
        <v>1.24</v>
      </c>
    </row>
    <row r="376" spans="1:38" x14ac:dyDescent="0.3">
      <c r="A376" t="s">
        <v>763</v>
      </c>
      <c r="B376">
        <v>106560</v>
      </c>
      <c r="C376">
        <v>12</v>
      </c>
      <c r="D376" t="s">
        <v>775</v>
      </c>
      <c r="E376" t="s">
        <v>776</v>
      </c>
      <c r="F376">
        <v>1822</v>
      </c>
      <c r="G376">
        <v>39.090000000000003</v>
      </c>
      <c r="H376">
        <v>129.25</v>
      </c>
      <c r="I376">
        <v>31.44</v>
      </c>
      <c r="J376">
        <v>103.96</v>
      </c>
      <c r="K376">
        <v>177</v>
      </c>
      <c r="T376">
        <v>4</v>
      </c>
      <c r="U376">
        <v>2</v>
      </c>
      <c r="V376" t="s">
        <v>82</v>
      </c>
      <c r="W376">
        <v>129</v>
      </c>
      <c r="X376">
        <v>29</v>
      </c>
      <c r="Y376">
        <v>20</v>
      </c>
      <c r="Z376" t="s">
        <v>777</v>
      </c>
      <c r="AA376" t="s">
        <v>778</v>
      </c>
      <c r="AB376" t="s">
        <v>85</v>
      </c>
      <c r="AC376" t="s">
        <v>86</v>
      </c>
      <c r="AD376" t="s">
        <v>87</v>
      </c>
      <c r="AE376" t="s">
        <v>768</v>
      </c>
      <c r="AG376" t="s">
        <v>779</v>
      </c>
      <c r="AH376">
        <v>0</v>
      </c>
      <c r="AI376">
        <v>214</v>
      </c>
      <c r="AJ376">
        <v>15</v>
      </c>
      <c r="AK376">
        <v>2259</v>
      </c>
      <c r="AL376">
        <v>1.24</v>
      </c>
    </row>
    <row r="377" spans="1:38" x14ac:dyDescent="0.3">
      <c r="A377" t="s">
        <v>763</v>
      </c>
      <c r="B377">
        <v>106560</v>
      </c>
      <c r="C377">
        <v>13</v>
      </c>
      <c r="D377" t="s">
        <v>775</v>
      </c>
      <c r="E377" t="s">
        <v>776</v>
      </c>
      <c r="F377">
        <v>1822</v>
      </c>
      <c r="G377">
        <v>42.99</v>
      </c>
      <c r="H377">
        <v>142.13</v>
      </c>
      <c r="I377">
        <v>34.76</v>
      </c>
      <c r="J377">
        <v>114.93</v>
      </c>
      <c r="K377">
        <v>1</v>
      </c>
      <c r="T377">
        <v>4</v>
      </c>
      <c r="U377">
        <v>2</v>
      </c>
      <c r="V377" t="s">
        <v>82</v>
      </c>
      <c r="W377">
        <v>142</v>
      </c>
      <c r="X377">
        <v>29</v>
      </c>
      <c r="Y377">
        <v>20</v>
      </c>
      <c r="Z377" t="s">
        <v>777</v>
      </c>
      <c r="AA377" t="s">
        <v>778</v>
      </c>
      <c r="AB377" t="s">
        <v>85</v>
      </c>
      <c r="AC377" t="s">
        <v>86</v>
      </c>
      <c r="AD377" t="s">
        <v>87</v>
      </c>
      <c r="AE377" t="s">
        <v>768</v>
      </c>
      <c r="AG377" t="s">
        <v>779</v>
      </c>
      <c r="AH377">
        <v>0</v>
      </c>
      <c r="AI377">
        <v>214</v>
      </c>
      <c r="AJ377">
        <v>15</v>
      </c>
      <c r="AK377">
        <v>2259</v>
      </c>
      <c r="AL377">
        <v>1.24</v>
      </c>
    </row>
    <row r="378" spans="1:38" x14ac:dyDescent="0.3">
      <c r="A378" t="s">
        <v>763</v>
      </c>
      <c r="B378">
        <v>120264</v>
      </c>
      <c r="C378">
        <v>1</v>
      </c>
      <c r="D378" t="s">
        <v>784</v>
      </c>
      <c r="E378" t="s">
        <v>785</v>
      </c>
      <c r="F378">
        <v>60</v>
      </c>
      <c r="G378">
        <v>18.670000000000002</v>
      </c>
      <c r="H378">
        <v>61.74</v>
      </c>
      <c r="I378">
        <v>16.71</v>
      </c>
      <c r="J378">
        <v>55.24</v>
      </c>
      <c r="K378">
        <v>40</v>
      </c>
      <c r="T378">
        <v>2</v>
      </c>
      <c r="U378">
        <v>1</v>
      </c>
      <c r="V378" t="s">
        <v>82</v>
      </c>
      <c r="W378">
        <v>61</v>
      </c>
      <c r="X378">
        <v>5</v>
      </c>
      <c r="Y378">
        <v>5</v>
      </c>
      <c r="Z378" t="s">
        <v>786</v>
      </c>
      <c r="AA378" t="s">
        <v>787</v>
      </c>
      <c r="AB378" t="s">
        <v>85</v>
      </c>
      <c r="AC378" t="s">
        <v>86</v>
      </c>
      <c r="AD378" t="s">
        <v>87</v>
      </c>
      <c r="AE378" t="s">
        <v>768</v>
      </c>
      <c r="AG378" t="s">
        <v>788</v>
      </c>
      <c r="AH378">
        <v>0</v>
      </c>
      <c r="AI378">
        <v>151</v>
      </c>
      <c r="AJ378">
        <v>30</v>
      </c>
      <c r="AK378">
        <v>0</v>
      </c>
      <c r="AL378">
        <v>0</v>
      </c>
    </row>
    <row r="379" spans="1:38" x14ac:dyDescent="0.3">
      <c r="A379" t="s">
        <v>763</v>
      </c>
      <c r="B379">
        <v>120264</v>
      </c>
      <c r="C379">
        <v>2</v>
      </c>
      <c r="D379" t="s">
        <v>784</v>
      </c>
      <c r="E379" t="s">
        <v>785</v>
      </c>
      <c r="F379">
        <v>60</v>
      </c>
      <c r="G379">
        <v>24.07</v>
      </c>
      <c r="H379">
        <v>79.59</v>
      </c>
      <c r="I379">
        <v>22.18</v>
      </c>
      <c r="J379">
        <v>73.349999999999994</v>
      </c>
      <c r="K379">
        <v>20</v>
      </c>
      <c r="T379">
        <v>3</v>
      </c>
      <c r="U379">
        <v>1</v>
      </c>
      <c r="V379" t="s">
        <v>82</v>
      </c>
      <c r="W379">
        <v>79</v>
      </c>
      <c r="X379">
        <v>5</v>
      </c>
      <c r="Y379">
        <v>5</v>
      </c>
      <c r="Z379" t="s">
        <v>786</v>
      </c>
      <c r="AA379" t="s">
        <v>787</v>
      </c>
      <c r="AB379" t="s">
        <v>85</v>
      </c>
      <c r="AC379" t="s">
        <v>86</v>
      </c>
      <c r="AD379" t="s">
        <v>87</v>
      </c>
      <c r="AE379" t="s">
        <v>768</v>
      </c>
      <c r="AG379" t="s">
        <v>788</v>
      </c>
      <c r="AH379">
        <v>0</v>
      </c>
      <c r="AI379">
        <v>151</v>
      </c>
      <c r="AJ379">
        <v>30</v>
      </c>
      <c r="AK379">
        <v>0</v>
      </c>
      <c r="AL379">
        <v>0</v>
      </c>
    </row>
    <row r="380" spans="1:38" x14ac:dyDescent="0.3">
      <c r="A380" t="s">
        <v>763</v>
      </c>
      <c r="B380">
        <v>119602</v>
      </c>
      <c r="C380">
        <v>1</v>
      </c>
      <c r="D380" t="s">
        <v>789</v>
      </c>
      <c r="E380" t="s">
        <v>790</v>
      </c>
      <c r="F380">
        <v>84</v>
      </c>
      <c r="G380">
        <v>16.29</v>
      </c>
      <c r="H380">
        <v>53.87</v>
      </c>
      <c r="I380">
        <v>14.15</v>
      </c>
      <c r="J380">
        <v>46.8</v>
      </c>
      <c r="K380">
        <v>9</v>
      </c>
      <c r="T380">
        <v>2</v>
      </c>
      <c r="U380">
        <v>1</v>
      </c>
      <c r="V380" t="s">
        <v>82</v>
      </c>
      <c r="W380">
        <v>53</v>
      </c>
      <c r="X380">
        <v>5</v>
      </c>
      <c r="Y380">
        <v>3</v>
      </c>
      <c r="Z380" t="s">
        <v>791</v>
      </c>
      <c r="AA380" t="s">
        <v>792</v>
      </c>
      <c r="AB380" t="s">
        <v>85</v>
      </c>
      <c r="AC380" t="s">
        <v>86</v>
      </c>
      <c r="AD380" t="s">
        <v>87</v>
      </c>
      <c r="AE380" t="s">
        <v>768</v>
      </c>
      <c r="AG380" t="s">
        <v>793</v>
      </c>
      <c r="AH380">
        <v>0</v>
      </c>
      <c r="AI380">
        <v>156</v>
      </c>
      <c r="AJ380">
        <v>36</v>
      </c>
      <c r="AK380">
        <v>0</v>
      </c>
      <c r="AL380">
        <v>0</v>
      </c>
    </row>
    <row r="381" spans="1:38" x14ac:dyDescent="0.3">
      <c r="A381" t="s">
        <v>763</v>
      </c>
      <c r="B381">
        <v>119602</v>
      </c>
      <c r="C381">
        <v>2</v>
      </c>
      <c r="D381" t="s">
        <v>789</v>
      </c>
      <c r="E381" t="s">
        <v>790</v>
      </c>
      <c r="F381">
        <v>84</v>
      </c>
      <c r="G381">
        <v>16.62</v>
      </c>
      <c r="H381">
        <v>54.97</v>
      </c>
      <c r="I381">
        <v>14.48</v>
      </c>
      <c r="J381">
        <v>47.88</v>
      </c>
      <c r="K381">
        <v>25</v>
      </c>
      <c r="T381">
        <v>2</v>
      </c>
      <c r="U381">
        <v>1</v>
      </c>
      <c r="V381" t="s">
        <v>82</v>
      </c>
      <c r="W381" t="s">
        <v>794</v>
      </c>
      <c r="X381">
        <v>5</v>
      </c>
      <c r="Y381">
        <v>3</v>
      </c>
      <c r="Z381" t="s">
        <v>791</v>
      </c>
      <c r="AA381" t="s">
        <v>792</v>
      </c>
      <c r="AB381" t="s">
        <v>85</v>
      </c>
      <c r="AC381" t="s">
        <v>86</v>
      </c>
      <c r="AD381" t="s">
        <v>87</v>
      </c>
      <c r="AE381" t="s">
        <v>768</v>
      </c>
      <c r="AG381" t="s">
        <v>793</v>
      </c>
      <c r="AH381">
        <v>0</v>
      </c>
      <c r="AI381">
        <v>156</v>
      </c>
      <c r="AJ381">
        <v>36</v>
      </c>
      <c r="AK381">
        <v>0</v>
      </c>
      <c r="AL381">
        <v>0</v>
      </c>
    </row>
    <row r="382" spans="1:38" x14ac:dyDescent="0.3">
      <c r="A382" t="s">
        <v>763</v>
      </c>
      <c r="B382">
        <v>119602</v>
      </c>
      <c r="C382">
        <v>3</v>
      </c>
      <c r="D382" t="s">
        <v>789</v>
      </c>
      <c r="E382" t="s">
        <v>790</v>
      </c>
      <c r="F382">
        <v>84</v>
      </c>
      <c r="G382">
        <v>16.73</v>
      </c>
      <c r="H382">
        <v>55.32</v>
      </c>
      <c r="I382">
        <v>14.59</v>
      </c>
      <c r="J382">
        <v>48.24</v>
      </c>
      <c r="K382">
        <v>10</v>
      </c>
      <c r="T382">
        <v>2</v>
      </c>
      <c r="U382">
        <v>1</v>
      </c>
      <c r="V382" t="s">
        <v>82</v>
      </c>
      <c r="W382" t="s">
        <v>438</v>
      </c>
      <c r="X382">
        <v>5</v>
      </c>
      <c r="Y382">
        <v>3</v>
      </c>
      <c r="Z382" t="s">
        <v>791</v>
      </c>
      <c r="AA382" t="s">
        <v>792</v>
      </c>
      <c r="AB382" t="s">
        <v>85</v>
      </c>
      <c r="AC382" t="s">
        <v>86</v>
      </c>
      <c r="AD382" t="s">
        <v>87</v>
      </c>
      <c r="AE382" t="s">
        <v>768</v>
      </c>
      <c r="AG382" t="s">
        <v>793</v>
      </c>
      <c r="AH382">
        <v>0</v>
      </c>
      <c r="AI382">
        <v>156</v>
      </c>
      <c r="AJ382">
        <v>36</v>
      </c>
      <c r="AK382">
        <v>0</v>
      </c>
      <c r="AL382">
        <v>0</v>
      </c>
    </row>
    <row r="383" spans="1:38" x14ac:dyDescent="0.3">
      <c r="A383" t="s">
        <v>763</v>
      </c>
      <c r="B383">
        <v>119602</v>
      </c>
      <c r="C383">
        <v>4</v>
      </c>
      <c r="D383" t="s">
        <v>789</v>
      </c>
      <c r="E383" t="s">
        <v>790</v>
      </c>
      <c r="F383">
        <v>84</v>
      </c>
      <c r="G383">
        <v>16.71</v>
      </c>
      <c r="H383">
        <v>55.24</v>
      </c>
      <c r="I383">
        <v>14.56</v>
      </c>
      <c r="J383">
        <v>48.15</v>
      </c>
      <c r="K383">
        <v>3</v>
      </c>
      <c r="T383">
        <v>2</v>
      </c>
      <c r="U383">
        <v>1</v>
      </c>
      <c r="V383" t="s">
        <v>82</v>
      </c>
      <c r="W383" t="s">
        <v>795</v>
      </c>
      <c r="X383">
        <v>5</v>
      </c>
      <c r="Y383">
        <v>3</v>
      </c>
      <c r="Z383" t="s">
        <v>791</v>
      </c>
      <c r="AA383" t="s">
        <v>792</v>
      </c>
      <c r="AB383" t="s">
        <v>85</v>
      </c>
      <c r="AC383" t="s">
        <v>86</v>
      </c>
      <c r="AD383" t="s">
        <v>87</v>
      </c>
      <c r="AE383" t="s">
        <v>768</v>
      </c>
      <c r="AG383" t="s">
        <v>793</v>
      </c>
      <c r="AH383">
        <v>0</v>
      </c>
      <c r="AI383">
        <v>156</v>
      </c>
      <c r="AJ383">
        <v>36</v>
      </c>
      <c r="AK383">
        <v>0</v>
      </c>
      <c r="AL383">
        <v>0</v>
      </c>
    </row>
    <row r="384" spans="1:38" x14ac:dyDescent="0.3">
      <c r="A384" t="s">
        <v>763</v>
      </c>
      <c r="B384">
        <v>119602</v>
      </c>
      <c r="C384">
        <v>5</v>
      </c>
      <c r="D384" t="s">
        <v>789</v>
      </c>
      <c r="E384" t="s">
        <v>790</v>
      </c>
      <c r="F384">
        <v>84</v>
      </c>
      <c r="G384">
        <v>16.739999999999998</v>
      </c>
      <c r="H384">
        <v>55.36</v>
      </c>
      <c r="I384">
        <v>14.6</v>
      </c>
      <c r="J384">
        <v>48.28</v>
      </c>
      <c r="K384">
        <v>1</v>
      </c>
      <c r="T384">
        <v>2</v>
      </c>
      <c r="U384">
        <v>1</v>
      </c>
      <c r="V384" t="s">
        <v>82</v>
      </c>
      <c r="W384" t="s">
        <v>796</v>
      </c>
      <c r="X384">
        <v>5</v>
      </c>
      <c r="Y384">
        <v>3</v>
      </c>
      <c r="Z384" t="s">
        <v>791</v>
      </c>
      <c r="AA384" t="s">
        <v>792</v>
      </c>
      <c r="AB384" t="s">
        <v>85</v>
      </c>
      <c r="AC384" t="s">
        <v>86</v>
      </c>
      <c r="AD384" t="s">
        <v>87</v>
      </c>
      <c r="AE384" t="s">
        <v>768</v>
      </c>
      <c r="AG384" t="s">
        <v>793</v>
      </c>
      <c r="AH384">
        <v>0</v>
      </c>
      <c r="AI384">
        <v>156</v>
      </c>
      <c r="AJ384">
        <v>36</v>
      </c>
      <c r="AK384">
        <v>0</v>
      </c>
      <c r="AL384">
        <v>0</v>
      </c>
    </row>
    <row r="385" spans="1:38" x14ac:dyDescent="0.3">
      <c r="A385" t="s">
        <v>763</v>
      </c>
      <c r="B385">
        <v>119602</v>
      </c>
      <c r="C385">
        <v>6</v>
      </c>
      <c r="D385" t="s">
        <v>789</v>
      </c>
      <c r="E385" t="s">
        <v>790</v>
      </c>
      <c r="F385">
        <v>84</v>
      </c>
      <c r="G385">
        <v>17.059999999999999</v>
      </c>
      <c r="H385">
        <v>56.41</v>
      </c>
      <c r="I385">
        <v>14.91</v>
      </c>
      <c r="J385">
        <v>49.32</v>
      </c>
      <c r="K385">
        <v>25</v>
      </c>
      <c r="T385">
        <v>2</v>
      </c>
      <c r="U385">
        <v>1</v>
      </c>
      <c r="V385" t="s">
        <v>82</v>
      </c>
      <c r="W385" t="s">
        <v>797</v>
      </c>
      <c r="X385">
        <v>5</v>
      </c>
      <c r="Y385">
        <v>3</v>
      </c>
      <c r="Z385" t="s">
        <v>791</v>
      </c>
      <c r="AA385" t="s">
        <v>792</v>
      </c>
      <c r="AB385" t="s">
        <v>85</v>
      </c>
      <c r="AC385" t="s">
        <v>86</v>
      </c>
      <c r="AD385" t="s">
        <v>87</v>
      </c>
      <c r="AE385" t="s">
        <v>768</v>
      </c>
      <c r="AG385" t="s">
        <v>793</v>
      </c>
      <c r="AH385">
        <v>0</v>
      </c>
      <c r="AI385">
        <v>156</v>
      </c>
      <c r="AJ385">
        <v>36</v>
      </c>
      <c r="AK385">
        <v>0</v>
      </c>
      <c r="AL385">
        <v>0</v>
      </c>
    </row>
    <row r="386" spans="1:38" x14ac:dyDescent="0.3">
      <c r="A386" t="s">
        <v>763</v>
      </c>
      <c r="B386">
        <v>119602</v>
      </c>
      <c r="C386">
        <v>7</v>
      </c>
      <c r="D386" t="s">
        <v>789</v>
      </c>
      <c r="E386" t="s">
        <v>790</v>
      </c>
      <c r="F386">
        <v>84</v>
      </c>
      <c r="G386">
        <v>17.059999999999999</v>
      </c>
      <c r="H386">
        <v>56.4</v>
      </c>
      <c r="I386">
        <v>14.91</v>
      </c>
      <c r="J386">
        <v>49.32</v>
      </c>
      <c r="K386">
        <v>1</v>
      </c>
      <c r="T386">
        <v>2</v>
      </c>
      <c r="U386">
        <v>1</v>
      </c>
      <c r="V386" t="s">
        <v>82</v>
      </c>
      <c r="W386" t="s">
        <v>798</v>
      </c>
      <c r="X386">
        <v>5</v>
      </c>
      <c r="Y386">
        <v>3</v>
      </c>
      <c r="Z386" t="s">
        <v>791</v>
      </c>
      <c r="AA386" t="s">
        <v>792</v>
      </c>
      <c r="AB386" t="s">
        <v>85</v>
      </c>
      <c r="AC386" t="s">
        <v>86</v>
      </c>
      <c r="AD386" t="s">
        <v>87</v>
      </c>
      <c r="AE386" t="s">
        <v>768</v>
      </c>
      <c r="AG386" t="s">
        <v>793</v>
      </c>
      <c r="AH386">
        <v>0</v>
      </c>
      <c r="AI386">
        <v>156</v>
      </c>
      <c r="AJ386">
        <v>36</v>
      </c>
      <c r="AK386">
        <v>0</v>
      </c>
      <c r="AL386">
        <v>0</v>
      </c>
    </row>
    <row r="387" spans="1:38" x14ac:dyDescent="0.3">
      <c r="A387" t="s">
        <v>763</v>
      </c>
      <c r="B387">
        <v>119602</v>
      </c>
      <c r="C387">
        <v>8</v>
      </c>
      <c r="D387" t="s">
        <v>789</v>
      </c>
      <c r="E387" t="s">
        <v>790</v>
      </c>
      <c r="F387">
        <v>84</v>
      </c>
      <c r="G387">
        <v>23.02</v>
      </c>
      <c r="H387">
        <v>76.099999999999994</v>
      </c>
      <c r="I387">
        <v>20.82</v>
      </c>
      <c r="J387">
        <v>68.849999999999994</v>
      </c>
      <c r="K387">
        <v>3</v>
      </c>
      <c r="T387">
        <v>3</v>
      </c>
      <c r="U387">
        <v>1</v>
      </c>
      <c r="V387" t="s">
        <v>82</v>
      </c>
      <c r="W387">
        <v>76</v>
      </c>
      <c r="X387">
        <v>5</v>
      </c>
      <c r="Y387">
        <v>3</v>
      </c>
      <c r="Z387" t="s">
        <v>791</v>
      </c>
      <c r="AA387" t="s">
        <v>792</v>
      </c>
      <c r="AB387" t="s">
        <v>85</v>
      </c>
      <c r="AC387" t="s">
        <v>86</v>
      </c>
      <c r="AD387" t="s">
        <v>87</v>
      </c>
      <c r="AE387" t="s">
        <v>768</v>
      </c>
      <c r="AG387" t="s">
        <v>793</v>
      </c>
      <c r="AH387">
        <v>0</v>
      </c>
      <c r="AI387">
        <v>156</v>
      </c>
      <c r="AJ387">
        <v>36</v>
      </c>
      <c r="AK387">
        <v>0</v>
      </c>
      <c r="AL387">
        <v>0</v>
      </c>
    </row>
    <row r="388" spans="1:38" x14ac:dyDescent="0.3">
      <c r="A388" t="s">
        <v>763</v>
      </c>
      <c r="B388">
        <v>119602</v>
      </c>
      <c r="C388">
        <v>9</v>
      </c>
      <c r="D388" t="s">
        <v>789</v>
      </c>
      <c r="E388" t="s">
        <v>790</v>
      </c>
      <c r="F388">
        <v>84</v>
      </c>
      <c r="G388">
        <v>24.91</v>
      </c>
      <c r="H388">
        <v>82.35</v>
      </c>
      <c r="I388">
        <v>22.67</v>
      </c>
      <c r="J388">
        <v>74.97</v>
      </c>
      <c r="K388">
        <v>2</v>
      </c>
      <c r="T388">
        <v>3</v>
      </c>
      <c r="U388">
        <v>2</v>
      </c>
      <c r="V388" t="s">
        <v>82</v>
      </c>
      <c r="W388" t="s">
        <v>799</v>
      </c>
      <c r="X388">
        <v>5</v>
      </c>
      <c r="Y388">
        <v>3</v>
      </c>
      <c r="Z388" t="s">
        <v>791</v>
      </c>
      <c r="AA388" t="s">
        <v>792</v>
      </c>
      <c r="AB388" t="s">
        <v>85</v>
      </c>
      <c r="AC388" t="s">
        <v>86</v>
      </c>
      <c r="AD388" t="s">
        <v>87</v>
      </c>
      <c r="AE388" t="s">
        <v>768</v>
      </c>
      <c r="AG388" t="s">
        <v>793</v>
      </c>
      <c r="AH388">
        <v>0</v>
      </c>
      <c r="AI388">
        <v>156</v>
      </c>
      <c r="AJ388">
        <v>36</v>
      </c>
      <c r="AK388">
        <v>0</v>
      </c>
      <c r="AL388">
        <v>0</v>
      </c>
    </row>
    <row r="389" spans="1:38" x14ac:dyDescent="0.3">
      <c r="A389" t="s">
        <v>763</v>
      </c>
      <c r="B389">
        <v>119602</v>
      </c>
      <c r="C389">
        <v>10</v>
      </c>
      <c r="D389" t="s">
        <v>789</v>
      </c>
      <c r="E389" t="s">
        <v>790</v>
      </c>
      <c r="F389">
        <v>84</v>
      </c>
      <c r="G389">
        <v>25.26</v>
      </c>
      <c r="H389">
        <v>83.53</v>
      </c>
      <c r="I389">
        <v>23.03</v>
      </c>
      <c r="J389">
        <v>76.14</v>
      </c>
      <c r="K389">
        <v>5</v>
      </c>
      <c r="T389">
        <v>3</v>
      </c>
      <c r="U389">
        <v>2</v>
      </c>
      <c r="V389" t="s">
        <v>82</v>
      </c>
      <c r="W389" t="s">
        <v>276</v>
      </c>
      <c r="X389">
        <v>5</v>
      </c>
      <c r="Y389">
        <v>3</v>
      </c>
      <c r="Z389" t="s">
        <v>791</v>
      </c>
      <c r="AA389" t="s">
        <v>792</v>
      </c>
      <c r="AB389" t="s">
        <v>85</v>
      </c>
      <c r="AC389" t="s">
        <v>86</v>
      </c>
      <c r="AD389" t="s">
        <v>87</v>
      </c>
      <c r="AE389" t="s">
        <v>768</v>
      </c>
      <c r="AG389" t="s">
        <v>793</v>
      </c>
      <c r="AH389">
        <v>0</v>
      </c>
      <c r="AI389">
        <v>156</v>
      </c>
      <c r="AJ389">
        <v>36</v>
      </c>
      <c r="AK389">
        <v>0</v>
      </c>
      <c r="AL389">
        <v>0</v>
      </c>
    </row>
    <row r="390" spans="1:38" x14ac:dyDescent="0.3">
      <c r="A390" t="s">
        <v>763</v>
      </c>
      <c r="B390">
        <v>11437</v>
      </c>
      <c r="C390">
        <v>1</v>
      </c>
      <c r="D390" t="s">
        <v>800</v>
      </c>
      <c r="E390" t="s">
        <v>717</v>
      </c>
      <c r="F390">
        <v>372</v>
      </c>
      <c r="G390">
        <v>23.76</v>
      </c>
      <c r="H390">
        <v>78.569999999999993</v>
      </c>
      <c r="I390">
        <v>18.13</v>
      </c>
      <c r="J390">
        <v>59.95</v>
      </c>
      <c r="K390">
        <v>132</v>
      </c>
      <c r="T390">
        <v>3</v>
      </c>
      <c r="U390">
        <v>2</v>
      </c>
      <c r="V390" t="s">
        <v>82</v>
      </c>
      <c r="W390">
        <v>78</v>
      </c>
      <c r="X390">
        <v>6</v>
      </c>
      <c r="Y390">
        <v>6</v>
      </c>
      <c r="Z390" t="s">
        <v>801</v>
      </c>
      <c r="AA390" t="s">
        <v>802</v>
      </c>
      <c r="AB390" t="s">
        <v>85</v>
      </c>
      <c r="AC390" t="s">
        <v>86</v>
      </c>
      <c r="AD390" t="s">
        <v>87</v>
      </c>
      <c r="AE390" t="s">
        <v>768</v>
      </c>
      <c r="AG390" t="s">
        <v>803</v>
      </c>
      <c r="AH390">
        <v>0</v>
      </c>
      <c r="AI390">
        <v>132</v>
      </c>
      <c r="AJ390">
        <v>26</v>
      </c>
      <c r="AK390">
        <v>358</v>
      </c>
      <c r="AL390">
        <v>0.96</v>
      </c>
    </row>
    <row r="391" spans="1:38" x14ac:dyDescent="0.3">
      <c r="A391" t="s">
        <v>763</v>
      </c>
      <c r="B391">
        <v>11437</v>
      </c>
      <c r="C391">
        <v>2</v>
      </c>
      <c r="D391" t="s">
        <v>800</v>
      </c>
      <c r="E391" t="s">
        <v>717</v>
      </c>
      <c r="F391">
        <v>372</v>
      </c>
      <c r="G391">
        <v>28.78</v>
      </c>
      <c r="H391">
        <v>95.16</v>
      </c>
      <c r="I391">
        <v>23.05</v>
      </c>
      <c r="J391">
        <v>76.209999999999994</v>
      </c>
      <c r="K391">
        <v>72</v>
      </c>
      <c r="T391">
        <v>3</v>
      </c>
      <c r="U391">
        <v>2</v>
      </c>
      <c r="V391" t="s">
        <v>82</v>
      </c>
      <c r="W391">
        <v>95</v>
      </c>
      <c r="X391">
        <v>6</v>
      </c>
      <c r="Y391">
        <v>6</v>
      </c>
      <c r="Z391" t="s">
        <v>801</v>
      </c>
      <c r="AA391" t="s">
        <v>802</v>
      </c>
      <c r="AB391" t="s">
        <v>85</v>
      </c>
      <c r="AC391" t="s">
        <v>86</v>
      </c>
      <c r="AD391" t="s">
        <v>87</v>
      </c>
      <c r="AE391" t="s">
        <v>768</v>
      </c>
      <c r="AG391" t="s">
        <v>803</v>
      </c>
      <c r="AH391">
        <v>0</v>
      </c>
      <c r="AI391">
        <v>132</v>
      </c>
      <c r="AJ391">
        <v>26</v>
      </c>
      <c r="AK391">
        <v>358</v>
      </c>
      <c r="AL391">
        <v>0.96</v>
      </c>
    </row>
    <row r="392" spans="1:38" x14ac:dyDescent="0.3">
      <c r="A392" t="s">
        <v>763</v>
      </c>
      <c r="B392">
        <v>11437</v>
      </c>
      <c r="C392">
        <v>3</v>
      </c>
      <c r="D392" t="s">
        <v>800</v>
      </c>
      <c r="E392" t="s">
        <v>717</v>
      </c>
      <c r="F392">
        <v>372</v>
      </c>
      <c r="G392">
        <v>31.19</v>
      </c>
      <c r="H392">
        <v>103.13</v>
      </c>
      <c r="I392">
        <v>25.59</v>
      </c>
      <c r="J392">
        <v>84.6</v>
      </c>
      <c r="K392">
        <v>120</v>
      </c>
      <c r="T392">
        <v>3</v>
      </c>
      <c r="U392">
        <v>2</v>
      </c>
      <c r="V392" t="s">
        <v>82</v>
      </c>
      <c r="W392">
        <v>103</v>
      </c>
      <c r="X392">
        <v>6</v>
      </c>
      <c r="Y392">
        <v>6</v>
      </c>
      <c r="Z392" t="s">
        <v>801</v>
      </c>
      <c r="AA392" t="s">
        <v>802</v>
      </c>
      <c r="AB392" t="s">
        <v>85</v>
      </c>
      <c r="AC392" t="s">
        <v>86</v>
      </c>
      <c r="AD392" t="s">
        <v>87</v>
      </c>
      <c r="AE392" t="s">
        <v>768</v>
      </c>
      <c r="AG392" t="s">
        <v>803</v>
      </c>
      <c r="AH392">
        <v>0</v>
      </c>
      <c r="AI392">
        <v>132</v>
      </c>
      <c r="AJ392">
        <v>26</v>
      </c>
      <c r="AK392">
        <v>358</v>
      </c>
      <c r="AL392">
        <v>0.96</v>
      </c>
    </row>
    <row r="393" spans="1:38" x14ac:dyDescent="0.3">
      <c r="A393" t="s">
        <v>763</v>
      </c>
      <c r="B393">
        <v>11437</v>
      </c>
      <c r="C393">
        <v>4</v>
      </c>
      <c r="D393" t="s">
        <v>800</v>
      </c>
      <c r="E393" t="s">
        <v>717</v>
      </c>
      <c r="F393">
        <v>372</v>
      </c>
      <c r="G393">
        <v>38.299999999999997</v>
      </c>
      <c r="H393">
        <v>126.62</v>
      </c>
      <c r="I393">
        <v>32.56</v>
      </c>
      <c r="J393">
        <v>107.66</v>
      </c>
      <c r="K393">
        <v>48</v>
      </c>
      <c r="T393">
        <v>4</v>
      </c>
      <c r="U393">
        <v>2</v>
      </c>
      <c r="V393" t="s">
        <v>82</v>
      </c>
      <c r="W393">
        <v>126</v>
      </c>
      <c r="X393">
        <v>6</v>
      </c>
      <c r="Y393">
        <v>6</v>
      </c>
      <c r="Z393" t="s">
        <v>801</v>
      </c>
      <c r="AA393" t="s">
        <v>802</v>
      </c>
      <c r="AB393" t="s">
        <v>85</v>
      </c>
      <c r="AC393" t="s">
        <v>86</v>
      </c>
      <c r="AD393" t="s">
        <v>87</v>
      </c>
      <c r="AE393" t="s">
        <v>768</v>
      </c>
      <c r="AG393" t="s">
        <v>803</v>
      </c>
      <c r="AH393">
        <v>0</v>
      </c>
      <c r="AI393">
        <v>132</v>
      </c>
      <c r="AJ393">
        <v>26</v>
      </c>
      <c r="AK393">
        <v>358</v>
      </c>
      <c r="AL393">
        <v>0.96</v>
      </c>
    </row>
    <row r="394" spans="1:38" x14ac:dyDescent="0.3">
      <c r="A394" t="s">
        <v>763</v>
      </c>
      <c r="B394">
        <v>7589</v>
      </c>
      <c r="C394">
        <v>1</v>
      </c>
      <c r="D394" t="s">
        <v>804</v>
      </c>
      <c r="E394" t="s">
        <v>805</v>
      </c>
      <c r="F394">
        <v>1763</v>
      </c>
      <c r="G394">
        <v>24.15</v>
      </c>
      <c r="H394">
        <v>79.86</v>
      </c>
      <c r="I394">
        <v>18.100000000000001</v>
      </c>
      <c r="J394">
        <v>59.85</v>
      </c>
      <c r="K394">
        <v>548</v>
      </c>
      <c r="T394">
        <v>2</v>
      </c>
      <c r="U394">
        <v>1</v>
      </c>
      <c r="V394" t="s">
        <v>82</v>
      </c>
      <c r="W394">
        <v>79</v>
      </c>
      <c r="X394">
        <v>13</v>
      </c>
      <c r="Y394">
        <v>6</v>
      </c>
      <c r="Z394" t="s">
        <v>806</v>
      </c>
      <c r="AA394" t="s">
        <v>807</v>
      </c>
      <c r="AB394" t="s">
        <v>85</v>
      </c>
      <c r="AC394" t="s">
        <v>86</v>
      </c>
      <c r="AD394" t="s">
        <v>87</v>
      </c>
      <c r="AE394" t="s">
        <v>768</v>
      </c>
      <c r="AG394" t="s">
        <v>808</v>
      </c>
      <c r="AH394">
        <v>0</v>
      </c>
      <c r="AI394">
        <v>211</v>
      </c>
      <c r="AJ394">
        <v>23</v>
      </c>
      <c r="AK394">
        <v>0</v>
      </c>
      <c r="AL394">
        <v>0</v>
      </c>
    </row>
    <row r="395" spans="1:38" x14ac:dyDescent="0.3">
      <c r="A395" t="s">
        <v>763</v>
      </c>
      <c r="B395">
        <v>7589</v>
      </c>
      <c r="C395">
        <v>2</v>
      </c>
      <c r="D395" t="s">
        <v>804</v>
      </c>
      <c r="E395" t="s">
        <v>805</v>
      </c>
      <c r="F395">
        <v>1763</v>
      </c>
      <c r="G395">
        <v>26.21</v>
      </c>
      <c r="H395">
        <v>86.65</v>
      </c>
      <c r="I395">
        <v>21.05</v>
      </c>
      <c r="J395">
        <v>69.59</v>
      </c>
      <c r="K395">
        <v>114</v>
      </c>
      <c r="T395">
        <v>3</v>
      </c>
      <c r="U395">
        <v>1</v>
      </c>
      <c r="V395" t="s">
        <v>82</v>
      </c>
      <c r="W395">
        <v>86</v>
      </c>
      <c r="X395">
        <v>13</v>
      </c>
      <c r="Y395">
        <v>6</v>
      </c>
      <c r="Z395" t="s">
        <v>806</v>
      </c>
      <c r="AA395" t="s">
        <v>807</v>
      </c>
      <c r="AB395" t="s">
        <v>85</v>
      </c>
      <c r="AC395" t="s">
        <v>86</v>
      </c>
      <c r="AD395" t="s">
        <v>87</v>
      </c>
      <c r="AE395" t="s">
        <v>768</v>
      </c>
      <c r="AG395" t="s">
        <v>808</v>
      </c>
      <c r="AH395">
        <v>0</v>
      </c>
      <c r="AI395">
        <v>211</v>
      </c>
      <c r="AJ395">
        <v>23</v>
      </c>
      <c r="AK395">
        <v>0</v>
      </c>
      <c r="AL395">
        <v>0</v>
      </c>
    </row>
    <row r="396" spans="1:38" x14ac:dyDescent="0.3">
      <c r="A396" t="s">
        <v>763</v>
      </c>
      <c r="B396">
        <v>7589</v>
      </c>
      <c r="C396">
        <v>3</v>
      </c>
      <c r="D396" t="s">
        <v>804</v>
      </c>
      <c r="E396" t="s">
        <v>805</v>
      </c>
      <c r="F396">
        <v>1763</v>
      </c>
      <c r="G396">
        <v>28.7</v>
      </c>
      <c r="H396">
        <v>94.89</v>
      </c>
      <c r="I396">
        <v>23.31</v>
      </c>
      <c r="J396">
        <v>77.06</v>
      </c>
      <c r="K396">
        <v>110</v>
      </c>
      <c r="T396">
        <v>3</v>
      </c>
      <c r="U396">
        <v>1</v>
      </c>
      <c r="V396" t="s">
        <v>82</v>
      </c>
      <c r="W396">
        <v>94</v>
      </c>
      <c r="X396">
        <v>13</v>
      </c>
      <c r="Y396">
        <v>6</v>
      </c>
      <c r="Z396" t="s">
        <v>806</v>
      </c>
      <c r="AA396" t="s">
        <v>807</v>
      </c>
      <c r="AB396" t="s">
        <v>85</v>
      </c>
      <c r="AC396" t="s">
        <v>86</v>
      </c>
      <c r="AD396" t="s">
        <v>87</v>
      </c>
      <c r="AE396" t="s">
        <v>768</v>
      </c>
      <c r="AG396" t="s">
        <v>808</v>
      </c>
      <c r="AH396">
        <v>0</v>
      </c>
      <c r="AI396">
        <v>211</v>
      </c>
      <c r="AJ396">
        <v>23</v>
      </c>
      <c r="AK396">
        <v>0</v>
      </c>
      <c r="AL396">
        <v>0</v>
      </c>
    </row>
    <row r="397" spans="1:38" x14ac:dyDescent="0.3">
      <c r="A397" t="s">
        <v>763</v>
      </c>
      <c r="B397">
        <v>7589</v>
      </c>
      <c r="C397">
        <v>4</v>
      </c>
      <c r="D397" t="s">
        <v>804</v>
      </c>
      <c r="E397" t="s">
        <v>805</v>
      </c>
      <c r="F397">
        <v>1763</v>
      </c>
      <c r="G397">
        <v>31.31</v>
      </c>
      <c r="H397">
        <v>103.51</v>
      </c>
      <c r="I397">
        <v>25.64</v>
      </c>
      <c r="J397">
        <v>84.77</v>
      </c>
      <c r="K397">
        <v>785</v>
      </c>
      <c r="T397">
        <v>3</v>
      </c>
      <c r="U397">
        <v>2</v>
      </c>
      <c r="V397" t="s">
        <v>82</v>
      </c>
      <c r="W397">
        <v>103</v>
      </c>
      <c r="X397">
        <v>13</v>
      </c>
      <c r="Y397">
        <v>6</v>
      </c>
      <c r="Z397" t="s">
        <v>806</v>
      </c>
      <c r="AA397" t="s">
        <v>807</v>
      </c>
      <c r="AB397" t="s">
        <v>85</v>
      </c>
      <c r="AC397" t="s">
        <v>86</v>
      </c>
      <c r="AD397" t="s">
        <v>87</v>
      </c>
      <c r="AE397" t="s">
        <v>768</v>
      </c>
      <c r="AG397" t="s">
        <v>808</v>
      </c>
      <c r="AH397">
        <v>0</v>
      </c>
      <c r="AI397">
        <v>211</v>
      </c>
      <c r="AJ397">
        <v>23</v>
      </c>
      <c r="AK397">
        <v>0</v>
      </c>
      <c r="AL397">
        <v>0</v>
      </c>
    </row>
    <row r="398" spans="1:38" x14ac:dyDescent="0.3">
      <c r="A398" t="s">
        <v>763</v>
      </c>
      <c r="B398">
        <v>7589</v>
      </c>
      <c r="C398">
        <v>5</v>
      </c>
      <c r="D398" t="s">
        <v>804</v>
      </c>
      <c r="E398" t="s">
        <v>805</v>
      </c>
      <c r="F398">
        <v>1763</v>
      </c>
      <c r="G398">
        <v>37.21</v>
      </c>
      <c r="H398">
        <v>123.03</v>
      </c>
      <c r="I398">
        <v>30.74</v>
      </c>
      <c r="J398">
        <v>101.65</v>
      </c>
      <c r="K398">
        <v>50</v>
      </c>
      <c r="T398">
        <v>4</v>
      </c>
      <c r="U398">
        <v>2</v>
      </c>
      <c r="V398" t="s">
        <v>82</v>
      </c>
      <c r="W398">
        <v>123</v>
      </c>
      <c r="X398">
        <v>13</v>
      </c>
      <c r="Y398">
        <v>6</v>
      </c>
      <c r="Z398" t="s">
        <v>806</v>
      </c>
      <c r="AA398" t="s">
        <v>807</v>
      </c>
      <c r="AB398" t="s">
        <v>85</v>
      </c>
      <c r="AC398" t="s">
        <v>86</v>
      </c>
      <c r="AD398" t="s">
        <v>87</v>
      </c>
      <c r="AE398" t="s">
        <v>768</v>
      </c>
      <c r="AG398" t="s">
        <v>808</v>
      </c>
      <c r="AH398">
        <v>0</v>
      </c>
      <c r="AI398">
        <v>211</v>
      </c>
      <c r="AJ398">
        <v>23</v>
      </c>
      <c r="AK398">
        <v>0</v>
      </c>
      <c r="AL398">
        <v>0</v>
      </c>
    </row>
    <row r="399" spans="1:38" x14ac:dyDescent="0.3">
      <c r="A399" t="s">
        <v>763</v>
      </c>
      <c r="B399">
        <v>7589</v>
      </c>
      <c r="C399">
        <v>6</v>
      </c>
      <c r="D399" t="s">
        <v>804</v>
      </c>
      <c r="E399" t="s">
        <v>805</v>
      </c>
      <c r="F399">
        <v>1763</v>
      </c>
      <c r="G399">
        <v>46.38</v>
      </c>
      <c r="H399">
        <v>153.35</v>
      </c>
      <c r="I399">
        <v>39.19</v>
      </c>
      <c r="J399">
        <v>129.56</v>
      </c>
      <c r="K399">
        <v>156</v>
      </c>
      <c r="T399">
        <v>4</v>
      </c>
      <c r="U399">
        <v>2</v>
      </c>
      <c r="V399" t="s">
        <v>82</v>
      </c>
      <c r="W399">
        <v>153</v>
      </c>
      <c r="X399">
        <v>13</v>
      </c>
      <c r="Y399">
        <v>6</v>
      </c>
      <c r="Z399" t="s">
        <v>806</v>
      </c>
      <c r="AA399" t="s">
        <v>807</v>
      </c>
      <c r="AB399" t="s">
        <v>85</v>
      </c>
      <c r="AC399" t="s">
        <v>86</v>
      </c>
      <c r="AD399" t="s">
        <v>87</v>
      </c>
      <c r="AE399" t="s">
        <v>768</v>
      </c>
      <c r="AG399" t="s">
        <v>808</v>
      </c>
      <c r="AH399">
        <v>0</v>
      </c>
      <c r="AI399">
        <v>211</v>
      </c>
      <c r="AJ399">
        <v>23</v>
      </c>
      <c r="AK399">
        <v>0</v>
      </c>
      <c r="AL399">
        <v>0</v>
      </c>
    </row>
    <row r="400" spans="1:38" x14ac:dyDescent="0.3">
      <c r="A400" t="s">
        <v>763</v>
      </c>
      <c r="B400">
        <v>117500</v>
      </c>
      <c r="C400">
        <v>1</v>
      </c>
      <c r="D400" t="s">
        <v>809</v>
      </c>
      <c r="E400" t="s">
        <v>562</v>
      </c>
      <c r="F400">
        <v>15</v>
      </c>
      <c r="G400">
        <v>25.57</v>
      </c>
      <c r="H400">
        <v>84.53</v>
      </c>
      <c r="I400">
        <v>18.64</v>
      </c>
      <c r="J400">
        <v>61.65</v>
      </c>
      <c r="K400">
        <v>15</v>
      </c>
      <c r="T400">
        <v>3</v>
      </c>
      <c r="U400">
        <v>2</v>
      </c>
      <c r="V400" t="s">
        <v>82</v>
      </c>
      <c r="W400">
        <v>84</v>
      </c>
      <c r="X400">
        <v>7</v>
      </c>
      <c r="Y400">
        <v>7</v>
      </c>
      <c r="Z400" t="s">
        <v>810</v>
      </c>
      <c r="AA400" t="s">
        <v>811</v>
      </c>
      <c r="AB400" t="s">
        <v>85</v>
      </c>
      <c r="AC400" t="s">
        <v>86</v>
      </c>
      <c r="AD400" t="s">
        <v>87</v>
      </c>
      <c r="AE400" t="s">
        <v>768</v>
      </c>
      <c r="AG400" t="s">
        <v>812</v>
      </c>
      <c r="AH400">
        <v>0</v>
      </c>
      <c r="AI400">
        <v>282</v>
      </c>
      <c r="AJ400">
        <v>51</v>
      </c>
      <c r="AK400">
        <v>9</v>
      </c>
      <c r="AL400">
        <v>0.6</v>
      </c>
    </row>
    <row r="401" spans="1:38" x14ac:dyDescent="0.3">
      <c r="A401" t="s">
        <v>763</v>
      </c>
      <c r="B401">
        <v>122172</v>
      </c>
      <c r="C401">
        <v>1</v>
      </c>
      <c r="D401" t="s">
        <v>813</v>
      </c>
      <c r="E401" t="s">
        <v>814</v>
      </c>
      <c r="F401">
        <v>34</v>
      </c>
      <c r="G401">
        <v>24.49</v>
      </c>
      <c r="H401">
        <v>80.97</v>
      </c>
      <c r="I401">
        <v>16.93</v>
      </c>
      <c r="J401">
        <v>55.98</v>
      </c>
      <c r="K401">
        <v>2</v>
      </c>
      <c r="T401">
        <v>3</v>
      </c>
      <c r="U401">
        <v>2</v>
      </c>
      <c r="V401" t="s">
        <v>82</v>
      </c>
      <c r="W401">
        <v>80</v>
      </c>
      <c r="X401">
        <v>9</v>
      </c>
      <c r="Y401">
        <v>8</v>
      </c>
      <c r="Z401" t="s">
        <v>815</v>
      </c>
      <c r="AA401" t="s">
        <v>816</v>
      </c>
      <c r="AB401" t="s">
        <v>85</v>
      </c>
      <c r="AC401" t="s">
        <v>86</v>
      </c>
      <c r="AD401" t="s">
        <v>87</v>
      </c>
      <c r="AE401" t="s">
        <v>768</v>
      </c>
      <c r="AG401" t="s">
        <v>817</v>
      </c>
      <c r="AH401">
        <v>0</v>
      </c>
      <c r="AI401">
        <v>208</v>
      </c>
      <c r="AJ401">
        <v>30</v>
      </c>
      <c r="AK401">
        <v>31</v>
      </c>
      <c r="AL401">
        <v>0.91</v>
      </c>
    </row>
    <row r="402" spans="1:38" x14ac:dyDescent="0.3">
      <c r="A402" t="s">
        <v>763</v>
      </c>
      <c r="B402">
        <v>122172</v>
      </c>
      <c r="C402">
        <v>2</v>
      </c>
      <c r="D402" t="s">
        <v>813</v>
      </c>
      <c r="E402" t="s">
        <v>814</v>
      </c>
      <c r="F402">
        <v>34</v>
      </c>
      <c r="G402">
        <v>25.86</v>
      </c>
      <c r="H402">
        <v>85.49</v>
      </c>
      <c r="I402">
        <v>17.87</v>
      </c>
      <c r="J402">
        <v>59.1</v>
      </c>
      <c r="K402">
        <v>14</v>
      </c>
      <c r="T402">
        <v>3</v>
      </c>
      <c r="U402">
        <v>2</v>
      </c>
      <c r="V402" t="s">
        <v>82</v>
      </c>
      <c r="W402">
        <v>85</v>
      </c>
      <c r="X402">
        <v>9</v>
      </c>
      <c r="Y402">
        <v>8</v>
      </c>
      <c r="Z402" t="s">
        <v>815</v>
      </c>
      <c r="AA402" t="s">
        <v>816</v>
      </c>
      <c r="AB402" t="s">
        <v>85</v>
      </c>
      <c r="AC402" t="s">
        <v>86</v>
      </c>
      <c r="AD402" t="s">
        <v>87</v>
      </c>
      <c r="AE402" t="s">
        <v>768</v>
      </c>
      <c r="AG402" t="s">
        <v>817</v>
      </c>
      <c r="AH402">
        <v>0</v>
      </c>
      <c r="AI402">
        <v>208</v>
      </c>
      <c r="AJ402">
        <v>30</v>
      </c>
      <c r="AK402">
        <v>31</v>
      </c>
      <c r="AL402">
        <v>0.91</v>
      </c>
    </row>
    <row r="403" spans="1:38" x14ac:dyDescent="0.3">
      <c r="A403" t="s">
        <v>763</v>
      </c>
      <c r="B403">
        <v>122172</v>
      </c>
      <c r="C403">
        <v>3</v>
      </c>
      <c r="D403" t="s">
        <v>813</v>
      </c>
      <c r="E403" t="s">
        <v>814</v>
      </c>
      <c r="F403">
        <v>34</v>
      </c>
      <c r="G403">
        <v>33.78</v>
      </c>
      <c r="H403">
        <v>111.67</v>
      </c>
      <c r="I403">
        <v>24.28</v>
      </c>
      <c r="J403">
        <v>80.27</v>
      </c>
      <c r="K403">
        <v>2</v>
      </c>
      <c r="T403">
        <v>3</v>
      </c>
      <c r="U403">
        <v>2</v>
      </c>
      <c r="V403" t="s">
        <v>82</v>
      </c>
      <c r="W403">
        <v>111</v>
      </c>
      <c r="X403">
        <v>9</v>
      </c>
      <c r="Y403">
        <v>8</v>
      </c>
      <c r="Z403" t="s">
        <v>815</v>
      </c>
      <c r="AA403" t="s">
        <v>816</v>
      </c>
      <c r="AB403" t="s">
        <v>85</v>
      </c>
      <c r="AC403" t="s">
        <v>86</v>
      </c>
      <c r="AD403" t="s">
        <v>87</v>
      </c>
      <c r="AE403" t="s">
        <v>768</v>
      </c>
      <c r="AG403" t="s">
        <v>817</v>
      </c>
      <c r="AH403">
        <v>0</v>
      </c>
      <c r="AI403">
        <v>208</v>
      </c>
      <c r="AJ403">
        <v>30</v>
      </c>
      <c r="AK403">
        <v>31</v>
      </c>
      <c r="AL403">
        <v>0.91</v>
      </c>
    </row>
    <row r="404" spans="1:38" x14ac:dyDescent="0.3">
      <c r="A404" t="s">
        <v>763</v>
      </c>
      <c r="B404">
        <v>122172</v>
      </c>
      <c r="C404">
        <v>4</v>
      </c>
      <c r="D404" t="s">
        <v>813</v>
      </c>
      <c r="E404" t="s">
        <v>814</v>
      </c>
      <c r="F404">
        <v>34</v>
      </c>
      <c r="G404">
        <v>35.479999999999997</v>
      </c>
      <c r="H404">
        <v>117.31</v>
      </c>
      <c r="I404">
        <v>25.5</v>
      </c>
      <c r="J404">
        <v>84.32</v>
      </c>
      <c r="K404">
        <v>16</v>
      </c>
      <c r="T404">
        <v>3</v>
      </c>
      <c r="U404">
        <v>2</v>
      </c>
      <c r="V404" t="s">
        <v>82</v>
      </c>
      <c r="W404">
        <v>117</v>
      </c>
      <c r="X404">
        <v>9</v>
      </c>
      <c r="Y404">
        <v>8</v>
      </c>
      <c r="Z404" t="s">
        <v>815</v>
      </c>
      <c r="AA404" t="s">
        <v>816</v>
      </c>
      <c r="AB404" t="s">
        <v>85</v>
      </c>
      <c r="AC404" t="s">
        <v>86</v>
      </c>
      <c r="AD404" t="s">
        <v>87</v>
      </c>
      <c r="AE404" t="s">
        <v>768</v>
      </c>
      <c r="AG404" t="s">
        <v>817</v>
      </c>
      <c r="AH404">
        <v>0</v>
      </c>
      <c r="AI404">
        <v>208</v>
      </c>
      <c r="AJ404">
        <v>30</v>
      </c>
      <c r="AK404">
        <v>31</v>
      </c>
      <c r="AL404">
        <v>0.91</v>
      </c>
    </row>
    <row r="405" spans="1:38" x14ac:dyDescent="0.3">
      <c r="A405" t="s">
        <v>763</v>
      </c>
      <c r="B405">
        <v>7588</v>
      </c>
      <c r="C405">
        <v>1</v>
      </c>
      <c r="D405" t="s">
        <v>818</v>
      </c>
      <c r="E405" t="s">
        <v>819</v>
      </c>
      <c r="F405">
        <v>460</v>
      </c>
      <c r="G405">
        <v>17.79</v>
      </c>
      <c r="H405">
        <v>58.83</v>
      </c>
      <c r="I405">
        <v>15.06</v>
      </c>
      <c r="J405">
        <v>49.79</v>
      </c>
      <c r="K405">
        <v>460</v>
      </c>
      <c r="T405">
        <v>2</v>
      </c>
      <c r="U405">
        <v>1</v>
      </c>
      <c r="V405" t="s">
        <v>82</v>
      </c>
      <c r="W405">
        <v>58</v>
      </c>
      <c r="X405">
        <v>5</v>
      </c>
      <c r="Y405">
        <v>5</v>
      </c>
      <c r="Z405" t="s">
        <v>820</v>
      </c>
      <c r="AA405" t="s">
        <v>821</v>
      </c>
      <c r="AB405" t="s">
        <v>85</v>
      </c>
      <c r="AC405" t="s">
        <v>86</v>
      </c>
      <c r="AD405" t="s">
        <v>87</v>
      </c>
      <c r="AE405" t="s">
        <v>768</v>
      </c>
      <c r="AG405" t="s">
        <v>822</v>
      </c>
      <c r="AH405">
        <v>0</v>
      </c>
      <c r="AI405">
        <v>0</v>
      </c>
      <c r="AJ405">
        <v>0</v>
      </c>
      <c r="AK405">
        <v>485</v>
      </c>
      <c r="AL405">
        <v>1.05</v>
      </c>
    </row>
    <row r="406" spans="1:38" x14ac:dyDescent="0.3">
      <c r="A406" t="s">
        <v>763</v>
      </c>
      <c r="B406">
        <v>143260</v>
      </c>
      <c r="C406">
        <v>1</v>
      </c>
      <c r="D406" t="s">
        <v>823</v>
      </c>
      <c r="E406" t="s">
        <v>824</v>
      </c>
      <c r="F406">
        <v>14</v>
      </c>
      <c r="G406">
        <v>23.36</v>
      </c>
      <c r="H406">
        <v>77.23</v>
      </c>
      <c r="I406">
        <v>20.190000000000001</v>
      </c>
      <c r="J406">
        <v>66.77</v>
      </c>
      <c r="K406">
        <v>2</v>
      </c>
      <c r="T406">
        <v>3</v>
      </c>
      <c r="U406">
        <v>1</v>
      </c>
      <c r="V406" t="s">
        <v>82</v>
      </c>
      <c r="W406">
        <v>77</v>
      </c>
      <c r="X406">
        <v>9</v>
      </c>
      <c r="Y406">
        <v>9</v>
      </c>
      <c r="Z406" t="s">
        <v>825</v>
      </c>
      <c r="AA406" t="s">
        <v>826</v>
      </c>
      <c r="AB406" t="s">
        <v>85</v>
      </c>
      <c r="AC406" t="s">
        <v>86</v>
      </c>
      <c r="AD406" t="s">
        <v>87</v>
      </c>
      <c r="AE406" t="s">
        <v>768</v>
      </c>
      <c r="AG406" t="s">
        <v>827</v>
      </c>
      <c r="AH406">
        <v>0</v>
      </c>
      <c r="AI406">
        <v>249</v>
      </c>
      <c r="AJ406">
        <v>53</v>
      </c>
      <c r="AK406">
        <v>18</v>
      </c>
      <c r="AL406">
        <v>1.29</v>
      </c>
    </row>
    <row r="407" spans="1:38" x14ac:dyDescent="0.3">
      <c r="A407" t="s">
        <v>763</v>
      </c>
      <c r="B407">
        <v>143260</v>
      </c>
      <c r="C407">
        <v>2</v>
      </c>
      <c r="D407" t="s">
        <v>823</v>
      </c>
      <c r="E407" t="s">
        <v>824</v>
      </c>
      <c r="F407">
        <v>14</v>
      </c>
      <c r="G407">
        <v>29.7</v>
      </c>
      <c r="H407">
        <v>98.2</v>
      </c>
      <c r="I407">
        <v>25.68</v>
      </c>
      <c r="J407">
        <v>84.9</v>
      </c>
      <c r="K407">
        <v>12</v>
      </c>
      <c r="T407">
        <v>3</v>
      </c>
      <c r="U407">
        <v>2</v>
      </c>
      <c r="V407" t="s">
        <v>82</v>
      </c>
      <c r="W407">
        <v>98</v>
      </c>
      <c r="X407">
        <v>9</v>
      </c>
      <c r="Y407">
        <v>9</v>
      </c>
      <c r="Z407" t="s">
        <v>825</v>
      </c>
      <c r="AA407" t="s">
        <v>826</v>
      </c>
      <c r="AB407" t="s">
        <v>85</v>
      </c>
      <c r="AC407" t="s">
        <v>86</v>
      </c>
      <c r="AD407" t="s">
        <v>87</v>
      </c>
      <c r="AE407" t="s">
        <v>768</v>
      </c>
      <c r="AG407" t="s">
        <v>827</v>
      </c>
      <c r="AH407">
        <v>0</v>
      </c>
      <c r="AI407">
        <v>249</v>
      </c>
      <c r="AJ407">
        <v>53</v>
      </c>
      <c r="AK407">
        <v>18</v>
      </c>
      <c r="AL407">
        <v>1.29</v>
      </c>
    </row>
    <row r="408" spans="1:38" x14ac:dyDescent="0.3">
      <c r="A408" t="s">
        <v>763</v>
      </c>
      <c r="B408">
        <v>117157</v>
      </c>
      <c r="C408">
        <v>1</v>
      </c>
      <c r="D408" t="s">
        <v>828</v>
      </c>
      <c r="E408" t="s">
        <v>722</v>
      </c>
      <c r="F408">
        <v>86</v>
      </c>
      <c r="G408">
        <v>11.25</v>
      </c>
      <c r="H408">
        <v>37.22</v>
      </c>
      <c r="I408">
        <v>7.97</v>
      </c>
      <c r="J408">
        <v>26.36</v>
      </c>
      <c r="K408">
        <v>1</v>
      </c>
      <c r="T408">
        <v>2</v>
      </c>
      <c r="U408">
        <v>1</v>
      </c>
      <c r="V408" t="s">
        <v>175</v>
      </c>
      <c r="W408">
        <v>37</v>
      </c>
      <c r="X408">
        <v>11</v>
      </c>
      <c r="Y408">
        <v>6</v>
      </c>
      <c r="Z408" t="s">
        <v>829</v>
      </c>
      <c r="AA408" t="s">
        <v>830</v>
      </c>
      <c r="AB408" t="s">
        <v>85</v>
      </c>
      <c r="AC408" t="s">
        <v>86</v>
      </c>
      <c r="AD408" t="s">
        <v>87</v>
      </c>
      <c r="AE408" t="s">
        <v>768</v>
      </c>
      <c r="AG408" t="s">
        <v>831</v>
      </c>
      <c r="AH408">
        <v>0</v>
      </c>
      <c r="AI408">
        <v>292</v>
      </c>
      <c r="AJ408">
        <v>44</v>
      </c>
      <c r="AK408">
        <v>59</v>
      </c>
      <c r="AL408">
        <v>0.69</v>
      </c>
    </row>
    <row r="409" spans="1:38" x14ac:dyDescent="0.3">
      <c r="A409" t="s">
        <v>763</v>
      </c>
      <c r="B409">
        <v>117157</v>
      </c>
      <c r="C409">
        <v>2</v>
      </c>
      <c r="D409" t="s">
        <v>828</v>
      </c>
      <c r="E409" t="s">
        <v>722</v>
      </c>
      <c r="F409">
        <v>86</v>
      </c>
      <c r="G409">
        <v>12.59</v>
      </c>
      <c r="H409">
        <v>41.64</v>
      </c>
      <c r="I409">
        <v>8.92</v>
      </c>
      <c r="J409">
        <v>29.49</v>
      </c>
      <c r="K409">
        <v>1</v>
      </c>
      <c r="T409">
        <v>2</v>
      </c>
      <c r="U409">
        <v>1</v>
      </c>
      <c r="V409" t="s">
        <v>175</v>
      </c>
      <c r="W409">
        <v>41</v>
      </c>
      <c r="X409">
        <v>11</v>
      </c>
      <c r="Y409">
        <v>6</v>
      </c>
      <c r="Z409" t="s">
        <v>829</v>
      </c>
      <c r="AA409" t="s">
        <v>830</v>
      </c>
      <c r="AB409" t="s">
        <v>85</v>
      </c>
      <c r="AC409" t="s">
        <v>86</v>
      </c>
      <c r="AD409" t="s">
        <v>87</v>
      </c>
      <c r="AE409" t="s">
        <v>768</v>
      </c>
      <c r="AG409" t="s">
        <v>831</v>
      </c>
      <c r="AH409">
        <v>0</v>
      </c>
      <c r="AI409">
        <v>292</v>
      </c>
      <c r="AJ409">
        <v>44</v>
      </c>
      <c r="AK409">
        <v>59</v>
      </c>
      <c r="AL409">
        <v>0.69</v>
      </c>
    </row>
    <row r="410" spans="1:38" x14ac:dyDescent="0.3">
      <c r="A410" t="s">
        <v>763</v>
      </c>
      <c r="B410">
        <v>117157</v>
      </c>
      <c r="C410">
        <v>3</v>
      </c>
      <c r="D410" t="s">
        <v>828</v>
      </c>
      <c r="E410" t="s">
        <v>722</v>
      </c>
      <c r="F410">
        <v>86</v>
      </c>
      <c r="G410">
        <v>16.87</v>
      </c>
      <c r="H410">
        <v>55.77</v>
      </c>
      <c r="I410">
        <v>11.94</v>
      </c>
      <c r="J410">
        <v>39.5</v>
      </c>
      <c r="K410">
        <v>23</v>
      </c>
      <c r="T410">
        <v>2</v>
      </c>
      <c r="U410">
        <v>1</v>
      </c>
      <c r="V410" t="s">
        <v>175</v>
      </c>
      <c r="W410">
        <v>55</v>
      </c>
      <c r="X410">
        <v>11</v>
      </c>
      <c r="Y410">
        <v>6</v>
      </c>
      <c r="Z410" t="s">
        <v>829</v>
      </c>
      <c r="AA410" t="s">
        <v>830</v>
      </c>
      <c r="AB410" t="s">
        <v>85</v>
      </c>
      <c r="AC410" t="s">
        <v>86</v>
      </c>
      <c r="AD410" t="s">
        <v>87</v>
      </c>
      <c r="AE410" t="s">
        <v>768</v>
      </c>
      <c r="AG410" t="s">
        <v>831</v>
      </c>
      <c r="AH410">
        <v>0</v>
      </c>
      <c r="AI410">
        <v>292</v>
      </c>
      <c r="AJ410">
        <v>44</v>
      </c>
      <c r="AK410">
        <v>59</v>
      </c>
      <c r="AL410">
        <v>0.69</v>
      </c>
    </row>
    <row r="411" spans="1:38" x14ac:dyDescent="0.3">
      <c r="A411" t="s">
        <v>763</v>
      </c>
      <c r="B411">
        <v>117157</v>
      </c>
      <c r="C411">
        <v>4</v>
      </c>
      <c r="D411" t="s">
        <v>828</v>
      </c>
      <c r="E411" t="s">
        <v>722</v>
      </c>
      <c r="F411">
        <v>86</v>
      </c>
      <c r="G411">
        <v>17.61</v>
      </c>
      <c r="H411">
        <v>58.24</v>
      </c>
      <c r="I411">
        <v>12.51</v>
      </c>
      <c r="J411">
        <v>41.36</v>
      </c>
      <c r="K411">
        <v>1</v>
      </c>
      <c r="T411">
        <v>2</v>
      </c>
      <c r="U411">
        <v>1</v>
      </c>
      <c r="V411" t="s">
        <v>175</v>
      </c>
      <c r="W411">
        <v>58</v>
      </c>
      <c r="X411">
        <v>11</v>
      </c>
      <c r="Y411">
        <v>6</v>
      </c>
      <c r="Z411" t="s">
        <v>829</v>
      </c>
      <c r="AA411" t="s">
        <v>830</v>
      </c>
      <c r="AB411" t="s">
        <v>85</v>
      </c>
      <c r="AC411" t="s">
        <v>86</v>
      </c>
      <c r="AD411" t="s">
        <v>87</v>
      </c>
      <c r="AE411" t="s">
        <v>768</v>
      </c>
      <c r="AG411" t="s">
        <v>831</v>
      </c>
      <c r="AH411">
        <v>0</v>
      </c>
      <c r="AI411">
        <v>292</v>
      </c>
      <c r="AJ411">
        <v>44</v>
      </c>
      <c r="AK411">
        <v>59</v>
      </c>
      <c r="AL411">
        <v>0.69</v>
      </c>
    </row>
    <row r="412" spans="1:38" x14ac:dyDescent="0.3">
      <c r="A412" t="s">
        <v>763</v>
      </c>
      <c r="B412">
        <v>117157</v>
      </c>
      <c r="C412">
        <v>5</v>
      </c>
      <c r="D412" t="s">
        <v>828</v>
      </c>
      <c r="E412" t="s">
        <v>722</v>
      </c>
      <c r="F412">
        <v>86</v>
      </c>
      <c r="G412">
        <v>18.59</v>
      </c>
      <c r="H412">
        <v>61.48</v>
      </c>
      <c r="I412">
        <v>13.17</v>
      </c>
      <c r="J412">
        <v>43.55</v>
      </c>
      <c r="K412">
        <v>1</v>
      </c>
      <c r="T412">
        <v>2</v>
      </c>
      <c r="U412">
        <v>1</v>
      </c>
      <c r="V412" t="s">
        <v>175</v>
      </c>
      <c r="W412">
        <v>61</v>
      </c>
      <c r="X412">
        <v>11</v>
      </c>
      <c r="Y412">
        <v>6</v>
      </c>
      <c r="Z412" t="s">
        <v>829</v>
      </c>
      <c r="AA412" t="s">
        <v>830</v>
      </c>
      <c r="AB412" t="s">
        <v>85</v>
      </c>
      <c r="AC412" t="s">
        <v>86</v>
      </c>
      <c r="AD412" t="s">
        <v>87</v>
      </c>
      <c r="AE412" t="s">
        <v>768</v>
      </c>
      <c r="AG412" t="s">
        <v>831</v>
      </c>
      <c r="AH412">
        <v>0</v>
      </c>
      <c r="AI412">
        <v>292</v>
      </c>
      <c r="AJ412">
        <v>44</v>
      </c>
      <c r="AK412">
        <v>59</v>
      </c>
      <c r="AL412">
        <v>0.69</v>
      </c>
    </row>
    <row r="413" spans="1:38" x14ac:dyDescent="0.3">
      <c r="A413" t="s">
        <v>763</v>
      </c>
      <c r="B413">
        <v>117157</v>
      </c>
      <c r="C413">
        <v>6</v>
      </c>
      <c r="D413" t="s">
        <v>828</v>
      </c>
      <c r="E413" t="s">
        <v>722</v>
      </c>
      <c r="F413">
        <v>86</v>
      </c>
      <c r="G413">
        <v>24.19</v>
      </c>
      <c r="H413">
        <v>79.98</v>
      </c>
      <c r="I413">
        <v>17.13</v>
      </c>
      <c r="J413">
        <v>56.64</v>
      </c>
      <c r="K413">
        <v>59</v>
      </c>
      <c r="T413">
        <v>3</v>
      </c>
      <c r="U413">
        <v>2</v>
      </c>
      <c r="V413" t="s">
        <v>175</v>
      </c>
      <c r="W413">
        <v>79</v>
      </c>
      <c r="X413">
        <v>11</v>
      </c>
      <c r="Y413">
        <v>6</v>
      </c>
      <c r="Z413" t="s">
        <v>829</v>
      </c>
      <c r="AA413" t="s">
        <v>830</v>
      </c>
      <c r="AB413" t="s">
        <v>85</v>
      </c>
      <c r="AC413" t="s">
        <v>86</v>
      </c>
      <c r="AD413" t="s">
        <v>87</v>
      </c>
      <c r="AE413" t="s">
        <v>768</v>
      </c>
      <c r="AG413" t="s">
        <v>831</v>
      </c>
      <c r="AH413">
        <v>0</v>
      </c>
      <c r="AI413">
        <v>292</v>
      </c>
      <c r="AJ413">
        <v>44</v>
      </c>
      <c r="AK413">
        <v>59</v>
      </c>
      <c r="AL413">
        <v>0.69</v>
      </c>
    </row>
    <row r="414" spans="1:38" x14ac:dyDescent="0.3">
      <c r="A414" t="s">
        <v>763</v>
      </c>
      <c r="B414">
        <v>106561</v>
      </c>
      <c r="C414">
        <v>1</v>
      </c>
      <c r="D414" t="s">
        <v>832</v>
      </c>
      <c r="E414" t="s">
        <v>776</v>
      </c>
      <c r="F414">
        <v>310</v>
      </c>
      <c r="G414">
        <v>34.159999999999997</v>
      </c>
      <c r="H414">
        <v>112.93</v>
      </c>
      <c r="I414">
        <v>25.7</v>
      </c>
      <c r="J414">
        <v>84.98</v>
      </c>
      <c r="K414">
        <v>79</v>
      </c>
      <c r="T414">
        <v>3</v>
      </c>
      <c r="U414">
        <v>2</v>
      </c>
      <c r="V414" t="s">
        <v>82</v>
      </c>
      <c r="W414" t="s">
        <v>121</v>
      </c>
      <c r="X414">
        <v>25</v>
      </c>
      <c r="Y414">
        <v>17</v>
      </c>
      <c r="Z414" t="s">
        <v>833</v>
      </c>
      <c r="AA414" t="s">
        <v>834</v>
      </c>
      <c r="AB414" t="s">
        <v>85</v>
      </c>
      <c r="AC414" t="s">
        <v>86</v>
      </c>
      <c r="AD414" t="s">
        <v>87</v>
      </c>
      <c r="AE414" t="s">
        <v>768</v>
      </c>
      <c r="AG414" t="s">
        <v>835</v>
      </c>
      <c r="AH414">
        <v>0</v>
      </c>
      <c r="AI414">
        <v>271</v>
      </c>
      <c r="AJ414">
        <v>50</v>
      </c>
      <c r="AK414">
        <v>431</v>
      </c>
      <c r="AL414">
        <v>1.39</v>
      </c>
    </row>
    <row r="415" spans="1:38" x14ac:dyDescent="0.3">
      <c r="A415" t="s">
        <v>763</v>
      </c>
      <c r="B415">
        <v>106561</v>
      </c>
      <c r="C415">
        <v>2</v>
      </c>
      <c r="D415" t="s">
        <v>832</v>
      </c>
      <c r="E415" t="s">
        <v>776</v>
      </c>
      <c r="F415">
        <v>310</v>
      </c>
      <c r="G415">
        <v>34.14</v>
      </c>
      <c r="H415">
        <v>112.89</v>
      </c>
      <c r="I415">
        <v>25.7</v>
      </c>
      <c r="J415">
        <v>84.96</v>
      </c>
      <c r="K415">
        <v>78</v>
      </c>
      <c r="T415">
        <v>3</v>
      </c>
      <c r="U415">
        <v>2</v>
      </c>
      <c r="V415" t="s">
        <v>82</v>
      </c>
      <c r="W415" t="s">
        <v>509</v>
      </c>
      <c r="X415">
        <v>25</v>
      </c>
      <c r="Y415">
        <v>17</v>
      </c>
      <c r="Z415" t="s">
        <v>833</v>
      </c>
      <c r="AA415" t="s">
        <v>834</v>
      </c>
      <c r="AB415" t="s">
        <v>85</v>
      </c>
      <c r="AC415" t="s">
        <v>86</v>
      </c>
      <c r="AD415" t="s">
        <v>87</v>
      </c>
      <c r="AE415" t="s">
        <v>768</v>
      </c>
      <c r="AG415" t="s">
        <v>835</v>
      </c>
      <c r="AH415">
        <v>0</v>
      </c>
      <c r="AI415">
        <v>271</v>
      </c>
      <c r="AJ415">
        <v>50</v>
      </c>
      <c r="AK415">
        <v>431</v>
      </c>
      <c r="AL415">
        <v>1.39</v>
      </c>
    </row>
    <row r="416" spans="1:38" x14ac:dyDescent="0.3">
      <c r="A416" t="s">
        <v>763</v>
      </c>
      <c r="B416">
        <v>106561</v>
      </c>
      <c r="C416">
        <v>3</v>
      </c>
      <c r="D416" t="s">
        <v>832</v>
      </c>
      <c r="E416" t="s">
        <v>776</v>
      </c>
      <c r="F416">
        <v>310</v>
      </c>
      <c r="G416">
        <v>34.4</v>
      </c>
      <c r="H416">
        <v>113.74</v>
      </c>
      <c r="I416">
        <v>25.69</v>
      </c>
      <c r="J416">
        <v>84.95</v>
      </c>
      <c r="K416">
        <v>153</v>
      </c>
      <c r="T416">
        <v>3</v>
      </c>
      <c r="U416">
        <v>2</v>
      </c>
      <c r="V416" t="s">
        <v>82</v>
      </c>
      <c r="W416" t="s">
        <v>513</v>
      </c>
      <c r="X416">
        <v>25</v>
      </c>
      <c r="Y416">
        <v>17</v>
      </c>
      <c r="Z416" t="s">
        <v>833</v>
      </c>
      <c r="AA416" t="s">
        <v>834</v>
      </c>
      <c r="AB416" t="s">
        <v>85</v>
      </c>
      <c r="AC416" t="s">
        <v>86</v>
      </c>
      <c r="AD416" t="s">
        <v>87</v>
      </c>
      <c r="AE416" t="s">
        <v>768</v>
      </c>
      <c r="AG416" t="s">
        <v>835</v>
      </c>
      <c r="AH416">
        <v>0</v>
      </c>
      <c r="AI416">
        <v>271</v>
      </c>
      <c r="AJ416">
        <v>50</v>
      </c>
      <c r="AK416">
        <v>431</v>
      </c>
      <c r="AL416">
        <v>1.39</v>
      </c>
    </row>
    <row r="417" spans="1:38" x14ac:dyDescent="0.3">
      <c r="A417" t="s">
        <v>763</v>
      </c>
      <c r="B417">
        <v>7593</v>
      </c>
      <c r="C417">
        <v>1</v>
      </c>
      <c r="D417" t="s">
        <v>432</v>
      </c>
      <c r="E417" t="s">
        <v>836</v>
      </c>
      <c r="F417">
        <v>390</v>
      </c>
      <c r="G417">
        <v>14.96</v>
      </c>
      <c r="H417">
        <v>49.48</v>
      </c>
      <c r="I417">
        <v>11.88</v>
      </c>
      <c r="J417">
        <v>39.299999999999997</v>
      </c>
      <c r="K417">
        <v>150</v>
      </c>
      <c r="T417">
        <v>2</v>
      </c>
      <c r="U417">
        <v>1</v>
      </c>
      <c r="V417" t="s">
        <v>82</v>
      </c>
      <c r="W417">
        <v>49</v>
      </c>
      <c r="X417">
        <v>5</v>
      </c>
      <c r="Y417">
        <v>5</v>
      </c>
      <c r="Z417" t="s">
        <v>837</v>
      </c>
      <c r="AA417" t="s">
        <v>838</v>
      </c>
      <c r="AB417" t="s">
        <v>85</v>
      </c>
      <c r="AC417" t="s">
        <v>86</v>
      </c>
      <c r="AD417" t="s">
        <v>87</v>
      </c>
      <c r="AE417" t="s">
        <v>768</v>
      </c>
      <c r="AG417" t="s">
        <v>839</v>
      </c>
      <c r="AH417">
        <v>0</v>
      </c>
      <c r="AI417">
        <v>101</v>
      </c>
      <c r="AJ417">
        <v>21</v>
      </c>
      <c r="AK417">
        <v>0</v>
      </c>
      <c r="AL417">
        <v>0</v>
      </c>
    </row>
    <row r="418" spans="1:38" x14ac:dyDescent="0.3">
      <c r="A418" t="s">
        <v>763</v>
      </c>
      <c r="B418">
        <v>7593</v>
      </c>
      <c r="C418">
        <v>2</v>
      </c>
      <c r="D418" t="s">
        <v>432</v>
      </c>
      <c r="E418" t="s">
        <v>836</v>
      </c>
      <c r="F418">
        <v>390</v>
      </c>
      <c r="G418">
        <v>15.09</v>
      </c>
      <c r="H418">
        <v>49.91</v>
      </c>
      <c r="I418">
        <v>12</v>
      </c>
      <c r="J418">
        <v>39.69</v>
      </c>
      <c r="K418">
        <v>120</v>
      </c>
      <c r="T418">
        <v>2</v>
      </c>
      <c r="U418">
        <v>1</v>
      </c>
      <c r="V418" t="s">
        <v>82</v>
      </c>
      <c r="W418" t="s">
        <v>840</v>
      </c>
      <c r="X418">
        <v>5</v>
      </c>
      <c r="Y418">
        <v>5</v>
      </c>
      <c r="Z418" t="s">
        <v>837</v>
      </c>
      <c r="AA418" t="s">
        <v>838</v>
      </c>
      <c r="AB418" t="s">
        <v>85</v>
      </c>
      <c r="AC418" t="s">
        <v>86</v>
      </c>
      <c r="AD418" t="s">
        <v>87</v>
      </c>
      <c r="AE418" t="s">
        <v>768</v>
      </c>
      <c r="AG418" t="s">
        <v>839</v>
      </c>
      <c r="AH418">
        <v>0</v>
      </c>
      <c r="AI418">
        <v>101</v>
      </c>
      <c r="AJ418">
        <v>21</v>
      </c>
      <c r="AK418">
        <v>0</v>
      </c>
      <c r="AL418">
        <v>0</v>
      </c>
    </row>
    <row r="419" spans="1:38" x14ac:dyDescent="0.3">
      <c r="A419" t="s">
        <v>763</v>
      </c>
      <c r="B419">
        <v>7593</v>
      </c>
      <c r="C419">
        <v>3</v>
      </c>
      <c r="D419" t="s">
        <v>432</v>
      </c>
      <c r="E419" t="s">
        <v>836</v>
      </c>
      <c r="F419">
        <v>390</v>
      </c>
      <c r="G419">
        <v>17.41</v>
      </c>
      <c r="H419">
        <v>57.57</v>
      </c>
      <c r="I419">
        <v>14.12</v>
      </c>
      <c r="J419">
        <v>46.68</v>
      </c>
      <c r="K419">
        <v>60</v>
      </c>
      <c r="T419">
        <v>2</v>
      </c>
      <c r="U419">
        <v>1</v>
      </c>
      <c r="V419" t="s">
        <v>82</v>
      </c>
      <c r="W419">
        <v>57</v>
      </c>
      <c r="X419">
        <v>5</v>
      </c>
      <c r="Y419">
        <v>5</v>
      </c>
      <c r="Z419" t="s">
        <v>837</v>
      </c>
      <c r="AA419" t="s">
        <v>838</v>
      </c>
      <c r="AB419" t="s">
        <v>85</v>
      </c>
      <c r="AC419" t="s">
        <v>86</v>
      </c>
      <c r="AD419" t="s">
        <v>87</v>
      </c>
      <c r="AE419" t="s">
        <v>768</v>
      </c>
      <c r="AG419" t="s">
        <v>839</v>
      </c>
      <c r="AH419">
        <v>0</v>
      </c>
      <c r="AI419">
        <v>101</v>
      </c>
      <c r="AJ419">
        <v>21</v>
      </c>
      <c r="AK419">
        <v>0</v>
      </c>
      <c r="AL419">
        <v>0</v>
      </c>
    </row>
    <row r="420" spans="1:38" x14ac:dyDescent="0.3">
      <c r="A420" t="s">
        <v>763</v>
      </c>
      <c r="B420">
        <v>7593</v>
      </c>
      <c r="C420">
        <v>4</v>
      </c>
      <c r="D420" t="s">
        <v>432</v>
      </c>
      <c r="E420" t="s">
        <v>836</v>
      </c>
      <c r="F420">
        <v>390</v>
      </c>
      <c r="G420">
        <v>17.52</v>
      </c>
      <c r="H420">
        <v>57.93</v>
      </c>
      <c r="I420">
        <v>14.22</v>
      </c>
      <c r="J420">
        <v>47.01</v>
      </c>
      <c r="K420">
        <v>60</v>
      </c>
      <c r="T420">
        <v>2</v>
      </c>
      <c r="U420">
        <v>1</v>
      </c>
      <c r="V420" t="s">
        <v>82</v>
      </c>
      <c r="W420" t="s">
        <v>841</v>
      </c>
      <c r="X420">
        <v>5</v>
      </c>
      <c r="Y420">
        <v>5</v>
      </c>
      <c r="Z420" t="s">
        <v>837</v>
      </c>
      <c r="AA420" t="s">
        <v>838</v>
      </c>
      <c r="AB420" t="s">
        <v>85</v>
      </c>
      <c r="AC420" t="s">
        <v>86</v>
      </c>
      <c r="AD420" t="s">
        <v>87</v>
      </c>
      <c r="AE420" t="s">
        <v>768</v>
      </c>
      <c r="AG420" t="s">
        <v>839</v>
      </c>
      <c r="AH420">
        <v>0</v>
      </c>
      <c r="AI420">
        <v>101</v>
      </c>
      <c r="AJ420">
        <v>21</v>
      </c>
      <c r="AK420">
        <v>0</v>
      </c>
      <c r="AL420">
        <v>0</v>
      </c>
    </row>
    <row r="421" spans="1:38" x14ac:dyDescent="0.3">
      <c r="A421" t="s">
        <v>763</v>
      </c>
      <c r="B421">
        <v>13116</v>
      </c>
      <c r="C421">
        <v>1</v>
      </c>
      <c r="D421" t="s">
        <v>842</v>
      </c>
      <c r="E421" t="s">
        <v>843</v>
      </c>
      <c r="F421">
        <v>620</v>
      </c>
      <c r="G421">
        <v>34.71</v>
      </c>
      <c r="H421">
        <v>114.77</v>
      </c>
      <c r="I421">
        <v>25.7</v>
      </c>
      <c r="J421">
        <v>84.98</v>
      </c>
      <c r="K421">
        <v>384</v>
      </c>
      <c r="T421">
        <v>3</v>
      </c>
      <c r="U421">
        <v>2</v>
      </c>
      <c r="V421" t="s">
        <v>82</v>
      </c>
      <c r="W421">
        <v>114</v>
      </c>
      <c r="X421">
        <v>15</v>
      </c>
      <c r="Y421">
        <v>14</v>
      </c>
      <c r="Z421" t="s">
        <v>844</v>
      </c>
      <c r="AA421" t="s">
        <v>845</v>
      </c>
      <c r="AB421" t="s">
        <v>85</v>
      </c>
      <c r="AC421" t="s">
        <v>86</v>
      </c>
      <c r="AD421" t="s">
        <v>87</v>
      </c>
      <c r="AE421" t="s">
        <v>768</v>
      </c>
      <c r="AG421" t="s">
        <v>846</v>
      </c>
      <c r="AH421">
        <v>0</v>
      </c>
      <c r="AI421">
        <v>188</v>
      </c>
      <c r="AJ421">
        <v>16</v>
      </c>
      <c r="AK421">
        <v>938</v>
      </c>
      <c r="AL421">
        <v>1.51</v>
      </c>
    </row>
    <row r="422" spans="1:38" x14ac:dyDescent="0.3">
      <c r="A422" t="s">
        <v>763</v>
      </c>
      <c r="B422">
        <v>13116</v>
      </c>
      <c r="C422">
        <v>2</v>
      </c>
      <c r="D422" t="s">
        <v>842</v>
      </c>
      <c r="E422" t="s">
        <v>843</v>
      </c>
      <c r="F422">
        <v>620</v>
      </c>
      <c r="G422">
        <v>48.33</v>
      </c>
      <c r="H422">
        <v>159.80000000000001</v>
      </c>
      <c r="I422">
        <v>39.82</v>
      </c>
      <c r="J422">
        <v>131.63999999999999</v>
      </c>
      <c r="K422">
        <v>180</v>
      </c>
      <c r="T422">
        <v>4</v>
      </c>
      <c r="U422">
        <v>2</v>
      </c>
      <c r="V422" t="s">
        <v>82</v>
      </c>
      <c r="W422">
        <v>159</v>
      </c>
      <c r="X422">
        <v>15</v>
      </c>
      <c r="Y422">
        <v>14</v>
      </c>
      <c r="Z422" t="s">
        <v>844</v>
      </c>
      <c r="AA422" t="s">
        <v>845</v>
      </c>
      <c r="AB422" t="s">
        <v>85</v>
      </c>
      <c r="AC422" t="s">
        <v>86</v>
      </c>
      <c r="AD422" t="s">
        <v>87</v>
      </c>
      <c r="AE422" t="s">
        <v>768</v>
      </c>
      <c r="AG422" t="s">
        <v>846</v>
      </c>
      <c r="AH422">
        <v>0</v>
      </c>
      <c r="AI422">
        <v>188</v>
      </c>
      <c r="AJ422">
        <v>16</v>
      </c>
      <c r="AK422">
        <v>938</v>
      </c>
      <c r="AL422">
        <v>1.51</v>
      </c>
    </row>
    <row r="423" spans="1:38" x14ac:dyDescent="0.3">
      <c r="A423" t="s">
        <v>763</v>
      </c>
      <c r="B423">
        <v>13116</v>
      </c>
      <c r="C423">
        <v>3</v>
      </c>
      <c r="D423" t="s">
        <v>842</v>
      </c>
      <c r="E423" t="s">
        <v>843</v>
      </c>
      <c r="F423">
        <v>620</v>
      </c>
      <c r="G423">
        <v>66.400000000000006</v>
      </c>
      <c r="H423">
        <v>219.51</v>
      </c>
      <c r="I423">
        <v>57.36</v>
      </c>
      <c r="J423">
        <v>189.64</v>
      </c>
      <c r="K423">
        <v>56</v>
      </c>
      <c r="T423">
        <v>5</v>
      </c>
      <c r="U423">
        <v>2</v>
      </c>
      <c r="V423" t="s">
        <v>82</v>
      </c>
      <c r="W423">
        <v>219</v>
      </c>
      <c r="X423">
        <v>15</v>
      </c>
      <c r="Y423">
        <v>14</v>
      </c>
      <c r="Z423" t="s">
        <v>844</v>
      </c>
      <c r="AA423" t="s">
        <v>845</v>
      </c>
      <c r="AB423" t="s">
        <v>85</v>
      </c>
      <c r="AC423" t="s">
        <v>86</v>
      </c>
      <c r="AD423" t="s">
        <v>87</v>
      </c>
      <c r="AE423" t="s">
        <v>768</v>
      </c>
      <c r="AG423" t="s">
        <v>846</v>
      </c>
      <c r="AH423">
        <v>0</v>
      </c>
      <c r="AI423">
        <v>188</v>
      </c>
      <c r="AJ423">
        <v>16</v>
      </c>
      <c r="AK423">
        <v>938</v>
      </c>
      <c r="AL423">
        <v>1.51</v>
      </c>
    </row>
    <row r="424" spans="1:38" x14ac:dyDescent="0.3">
      <c r="A424" t="s">
        <v>847</v>
      </c>
      <c r="B424">
        <v>128748</v>
      </c>
      <c r="C424">
        <v>1</v>
      </c>
      <c r="D424" t="s">
        <v>848</v>
      </c>
      <c r="E424" t="s">
        <v>849</v>
      </c>
      <c r="F424">
        <v>96</v>
      </c>
      <c r="G424">
        <v>26.19</v>
      </c>
      <c r="H424">
        <v>86.61</v>
      </c>
      <c r="I424">
        <v>24.2</v>
      </c>
      <c r="J424">
        <v>80</v>
      </c>
      <c r="K424">
        <v>1</v>
      </c>
      <c r="T424">
        <v>3</v>
      </c>
      <c r="U424">
        <v>2</v>
      </c>
      <c r="V424" t="s">
        <v>82</v>
      </c>
      <c r="W424" t="s">
        <v>455</v>
      </c>
      <c r="X424">
        <v>4</v>
      </c>
      <c r="Y424">
        <v>4</v>
      </c>
      <c r="Z424" t="s">
        <v>850</v>
      </c>
      <c r="AA424" t="s">
        <v>851</v>
      </c>
      <c r="AB424" t="s">
        <v>85</v>
      </c>
      <c r="AC424" t="s">
        <v>86</v>
      </c>
      <c r="AD424" t="s">
        <v>87</v>
      </c>
      <c r="AE424" t="s">
        <v>852</v>
      </c>
      <c r="AG424" t="s">
        <v>853</v>
      </c>
      <c r="AH424">
        <v>0</v>
      </c>
      <c r="AI424">
        <v>0</v>
      </c>
      <c r="AJ424">
        <v>0</v>
      </c>
      <c r="AK424">
        <v>0</v>
      </c>
      <c r="AL424">
        <v>0</v>
      </c>
    </row>
    <row r="425" spans="1:38" x14ac:dyDescent="0.3">
      <c r="A425" t="s">
        <v>847</v>
      </c>
      <c r="B425">
        <v>128748</v>
      </c>
      <c r="C425">
        <v>2</v>
      </c>
      <c r="D425" t="s">
        <v>848</v>
      </c>
      <c r="E425" t="s">
        <v>849</v>
      </c>
      <c r="F425">
        <v>96</v>
      </c>
      <c r="G425">
        <v>26.31</v>
      </c>
      <c r="H425">
        <v>87</v>
      </c>
      <c r="I425">
        <v>24.31</v>
      </c>
      <c r="J425">
        <v>80.39</v>
      </c>
      <c r="K425">
        <v>95</v>
      </c>
      <c r="T425">
        <v>3</v>
      </c>
      <c r="U425">
        <v>2</v>
      </c>
      <c r="V425" t="s">
        <v>82</v>
      </c>
      <c r="W425" t="s">
        <v>460</v>
      </c>
      <c r="X425">
        <v>4</v>
      </c>
      <c r="Y425">
        <v>4</v>
      </c>
      <c r="Z425" t="s">
        <v>850</v>
      </c>
      <c r="AA425" t="s">
        <v>851</v>
      </c>
      <c r="AB425" t="s">
        <v>85</v>
      </c>
      <c r="AC425" t="s">
        <v>86</v>
      </c>
      <c r="AD425" t="s">
        <v>87</v>
      </c>
      <c r="AE425" t="s">
        <v>852</v>
      </c>
      <c r="AG425" t="s">
        <v>853</v>
      </c>
      <c r="AH425">
        <v>0</v>
      </c>
      <c r="AI425">
        <v>0</v>
      </c>
      <c r="AJ425">
        <v>0</v>
      </c>
      <c r="AK425">
        <v>0</v>
      </c>
      <c r="AL425">
        <v>0</v>
      </c>
    </row>
    <row r="426" spans="1:38" x14ac:dyDescent="0.3">
      <c r="A426" t="s">
        <v>847</v>
      </c>
      <c r="B426">
        <v>142402</v>
      </c>
      <c r="C426">
        <v>1</v>
      </c>
      <c r="D426" t="s">
        <v>854</v>
      </c>
      <c r="E426" t="s">
        <v>855</v>
      </c>
      <c r="F426">
        <v>16</v>
      </c>
      <c r="G426">
        <v>32.06</v>
      </c>
      <c r="H426">
        <v>106.01</v>
      </c>
      <c r="I426">
        <v>25.35</v>
      </c>
      <c r="J426">
        <v>83.81</v>
      </c>
      <c r="K426">
        <v>8</v>
      </c>
      <c r="T426">
        <v>3</v>
      </c>
      <c r="U426">
        <v>2</v>
      </c>
      <c r="V426" t="s">
        <v>82</v>
      </c>
      <c r="W426" t="s">
        <v>856</v>
      </c>
      <c r="X426">
        <v>9</v>
      </c>
      <c r="Y426">
        <v>9</v>
      </c>
      <c r="Z426" t="s">
        <v>857</v>
      </c>
      <c r="AA426" t="s">
        <v>858</v>
      </c>
      <c r="AB426" t="s">
        <v>85</v>
      </c>
      <c r="AC426" t="s">
        <v>86</v>
      </c>
      <c r="AD426" t="s">
        <v>87</v>
      </c>
      <c r="AE426" t="s">
        <v>852</v>
      </c>
      <c r="AG426" t="s">
        <v>859</v>
      </c>
      <c r="AH426">
        <v>0</v>
      </c>
      <c r="AI426">
        <v>388</v>
      </c>
      <c r="AJ426">
        <v>53</v>
      </c>
      <c r="AK426">
        <v>16</v>
      </c>
      <c r="AL426">
        <v>1</v>
      </c>
    </row>
    <row r="427" spans="1:38" x14ac:dyDescent="0.3">
      <c r="A427" t="s">
        <v>847</v>
      </c>
      <c r="B427">
        <v>142402</v>
      </c>
      <c r="C427">
        <v>2</v>
      </c>
      <c r="D427" t="s">
        <v>854</v>
      </c>
      <c r="E427" t="s">
        <v>855</v>
      </c>
      <c r="F427">
        <v>16</v>
      </c>
      <c r="G427">
        <v>32.36</v>
      </c>
      <c r="H427">
        <v>107</v>
      </c>
      <c r="I427">
        <v>25.59</v>
      </c>
      <c r="J427">
        <v>84.6</v>
      </c>
      <c r="K427">
        <v>8</v>
      </c>
      <c r="T427">
        <v>3</v>
      </c>
      <c r="U427">
        <v>2</v>
      </c>
      <c r="V427" t="s">
        <v>82</v>
      </c>
      <c r="W427" t="s">
        <v>215</v>
      </c>
      <c r="X427">
        <v>9</v>
      </c>
      <c r="Y427">
        <v>9</v>
      </c>
      <c r="Z427" t="s">
        <v>857</v>
      </c>
      <c r="AA427" t="s">
        <v>858</v>
      </c>
      <c r="AB427" t="s">
        <v>85</v>
      </c>
      <c r="AC427" t="s">
        <v>86</v>
      </c>
      <c r="AD427" t="s">
        <v>87</v>
      </c>
      <c r="AE427" t="s">
        <v>852</v>
      </c>
      <c r="AG427" t="s">
        <v>859</v>
      </c>
      <c r="AH427">
        <v>0</v>
      </c>
      <c r="AI427">
        <v>388</v>
      </c>
      <c r="AJ427">
        <v>53</v>
      </c>
      <c r="AK427">
        <v>16</v>
      </c>
      <c r="AL427">
        <v>1</v>
      </c>
    </row>
    <row r="428" spans="1:38" x14ac:dyDescent="0.3">
      <c r="A428" t="s">
        <v>847</v>
      </c>
      <c r="B428">
        <v>120753</v>
      </c>
      <c r="C428">
        <v>1</v>
      </c>
      <c r="D428" t="s">
        <v>860</v>
      </c>
      <c r="E428" t="s">
        <v>861</v>
      </c>
      <c r="F428">
        <v>16</v>
      </c>
      <c r="G428">
        <v>25.96</v>
      </c>
      <c r="H428">
        <v>85.83</v>
      </c>
      <c r="I428">
        <v>19.5</v>
      </c>
      <c r="J428">
        <v>64.48</v>
      </c>
      <c r="K428">
        <v>1</v>
      </c>
      <c r="T428">
        <v>3</v>
      </c>
      <c r="U428">
        <v>2</v>
      </c>
      <c r="V428" t="s">
        <v>82</v>
      </c>
      <c r="W428">
        <v>85</v>
      </c>
      <c r="X428">
        <v>10</v>
      </c>
      <c r="Y428">
        <v>10</v>
      </c>
      <c r="Z428" t="s">
        <v>862</v>
      </c>
      <c r="AA428" t="s">
        <v>863</v>
      </c>
      <c r="AB428" t="s">
        <v>85</v>
      </c>
      <c r="AC428" t="s">
        <v>86</v>
      </c>
      <c r="AD428" t="s">
        <v>87</v>
      </c>
      <c r="AE428" t="s">
        <v>852</v>
      </c>
      <c r="AG428" t="s">
        <v>864</v>
      </c>
      <c r="AH428">
        <v>0</v>
      </c>
      <c r="AI428">
        <v>353</v>
      </c>
      <c r="AJ428">
        <v>51</v>
      </c>
      <c r="AK428">
        <v>16</v>
      </c>
      <c r="AL428">
        <v>1</v>
      </c>
    </row>
    <row r="429" spans="1:38" x14ac:dyDescent="0.3">
      <c r="A429" t="s">
        <v>847</v>
      </c>
      <c r="B429">
        <v>120753</v>
      </c>
      <c r="C429">
        <v>2</v>
      </c>
      <c r="D429" t="s">
        <v>860</v>
      </c>
      <c r="E429" t="s">
        <v>861</v>
      </c>
      <c r="F429">
        <v>16</v>
      </c>
      <c r="G429">
        <v>31.51</v>
      </c>
      <c r="H429">
        <v>104.18</v>
      </c>
      <c r="I429">
        <v>23.87</v>
      </c>
      <c r="J429">
        <v>78.91</v>
      </c>
      <c r="K429">
        <v>15</v>
      </c>
      <c r="T429">
        <v>3</v>
      </c>
      <c r="U429">
        <v>2</v>
      </c>
      <c r="V429" t="s">
        <v>82</v>
      </c>
      <c r="W429">
        <v>104</v>
      </c>
      <c r="X429">
        <v>10</v>
      </c>
      <c r="Y429">
        <v>10</v>
      </c>
      <c r="Z429" t="s">
        <v>862</v>
      </c>
      <c r="AA429" t="s">
        <v>863</v>
      </c>
      <c r="AB429" t="s">
        <v>85</v>
      </c>
      <c r="AC429" t="s">
        <v>86</v>
      </c>
      <c r="AD429" t="s">
        <v>87</v>
      </c>
      <c r="AE429" t="s">
        <v>852</v>
      </c>
      <c r="AG429" t="s">
        <v>864</v>
      </c>
      <c r="AH429">
        <v>0</v>
      </c>
      <c r="AI429">
        <v>353</v>
      </c>
      <c r="AJ429">
        <v>51</v>
      </c>
      <c r="AK429">
        <v>16</v>
      </c>
      <c r="AL429">
        <v>1</v>
      </c>
    </row>
  </sheetData>
  <phoneticPr fontId="2" type="noConversion"/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5329" r:id="rId3" name="Button 1">
              <controlPr defaultSize="0" print="0" autoFill="0" autoPict="0" macro="[0]!Spacedatainsert">
                <anchor moveWithCells="1" sizeWithCells="1">
                  <from>
                    <xdr:col>12</xdr:col>
                    <xdr:colOff>361950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5330" r:id="rId4" name="Button 2">
              <controlPr defaultSize="0" print="0" autoFill="0" autoPict="0" macro="[0]!Spacedatainsert_건파님연동">
                <anchor moveWithCells="1" sizeWithCells="1">
                  <from>
                    <xdr:col>12</xdr:col>
                    <xdr:colOff>371475</xdr:colOff>
                    <xdr:row>0</xdr:row>
                    <xdr:rowOff>47625</xdr:rowOff>
                  </from>
                  <to>
                    <xdr:col>14</xdr:col>
                    <xdr:colOff>152400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AV3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2" sqref="A32:XFD32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경화동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2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88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경화동 두산위브('17.02.,462^)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2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113</v>
      </c>
      <c r="B6" s="10" t="s">
        <v>867</v>
      </c>
      <c r="C6" s="107">
        <v>462</v>
      </c>
      <c r="D6" s="104">
        <v>80.3</v>
      </c>
      <c r="E6" s="106">
        <v>24</v>
      </c>
      <c r="F6" s="104">
        <v>59.9</v>
      </c>
      <c r="G6" s="17">
        <v>18</v>
      </c>
      <c r="H6" s="107">
        <v>71</v>
      </c>
      <c r="I6" s="108">
        <v>31000</v>
      </c>
      <c r="J6" s="108" t="s">
        <v>868</v>
      </c>
      <c r="K6" s="108"/>
      <c r="L6" s="108"/>
      <c r="M6" s="109">
        <f t="shared" ref="M6:M13" si="2">I6-K6</f>
        <v>31000</v>
      </c>
      <c r="N6" s="4">
        <f t="shared" ref="N6:N13" si="3">IF(ISERROR(K6/I6),"",K6/I6)</f>
        <v>0</v>
      </c>
      <c r="O6" s="105">
        <f t="shared" ref="O6:O13" si="4">I6/E6</f>
        <v>1291.6666666666667</v>
      </c>
      <c r="P6" s="105">
        <f t="shared" ref="P6:P13" si="5">K6/E6</f>
        <v>0</v>
      </c>
      <c r="Q6" s="75">
        <v>3</v>
      </c>
      <c r="R6" s="75">
        <v>2</v>
      </c>
      <c r="S6" s="75" t="s">
        <v>869</v>
      </c>
      <c r="T6" s="5">
        <v>80</v>
      </c>
      <c r="U6" s="9"/>
      <c r="W6" s="104">
        <f t="shared" ref="W6:X13" si="6">D6</f>
        <v>80.3</v>
      </c>
      <c r="X6" s="106">
        <f t="shared" si="6"/>
        <v>24</v>
      </c>
      <c r="Y6" s="102">
        <f t="shared" ref="Y6:Z13" si="7">H6</f>
        <v>71</v>
      </c>
      <c r="Z6" s="109">
        <f t="shared" si="7"/>
        <v>31000</v>
      </c>
      <c r="AA6" s="109">
        <f t="shared" ref="AA6:AA13" si="8">K6</f>
        <v>0</v>
      </c>
      <c r="AB6" s="109">
        <f t="shared" ref="AB6:AD13" si="9">M6</f>
        <v>31000</v>
      </c>
      <c r="AC6" s="4">
        <f t="shared" si="9"/>
        <v>0</v>
      </c>
      <c r="AD6" s="105">
        <f t="shared" si="9"/>
        <v>1291.6666666666667</v>
      </c>
      <c r="AE6" s="75" t="str">
        <f t="shared" ref="AE6:AE13" si="10">S6</f>
        <v>계</v>
      </c>
      <c r="AF6" s="75" t="str">
        <f t="shared" ref="AF6:AF13" si="11">Q6&amp;"/"&amp;R6</f>
        <v>3/2</v>
      </c>
      <c r="AH6" s="20" t="str">
        <f t="shared" si="1"/>
        <v>두산위브</v>
      </c>
      <c r="AI6" s="106">
        <f t="shared" si="0"/>
        <v>24</v>
      </c>
      <c r="AJ6" s="75" t="str">
        <f t="shared" ref="AJ6:AJ13" si="12">IF(AI6="","",$AJ$2)</f>
        <v>A-</v>
      </c>
      <c r="AK6" s="75" t="s">
        <v>14</v>
      </c>
      <c r="AL6" s="75" t="s">
        <v>870</v>
      </c>
      <c r="AM6" s="75" t="s">
        <v>871</v>
      </c>
      <c r="AN6" s="75" t="str">
        <f t="shared" ref="AN6:AN13" si="13">IF(AI6="","",$AN$2)</f>
        <v>C</v>
      </c>
      <c r="AO6" s="75" t="str">
        <f t="shared" ref="AO6:AO13" si="14">IF(N6="","",IF(N6&gt;=$AO$1/100,"O","X"))</f>
        <v>X</v>
      </c>
      <c r="AP6" s="75" t="str">
        <f t="shared" ref="AP6:AP13" si="15">IF(I6="","",IF(I6&lt;=$AP$1,"O","X"))</f>
        <v>O</v>
      </c>
      <c r="AQ6" s="75" t="str">
        <f t="shared" ref="AQ6:AQ13" si="16">IF(O6="","",IF(O6&lt;=$AQ$1,"O","X"))</f>
        <v>X</v>
      </c>
      <c r="AR6" s="75" t="str">
        <f t="shared" ref="AR6:AR13" si="17">IF(M6="","",IF(M6&lt;=$AR$1,"O","X"))</f>
        <v>X</v>
      </c>
      <c r="AS6" s="75" t="s">
        <v>2</v>
      </c>
      <c r="AT6" s="75" t="str">
        <f t="shared" ref="AT6:AT13" si="18">IF(OR(F6="",AI6=""),"",IF(AND((F6&lt;=85),(AI6&gt;=15)),"O","X"))</f>
        <v>O</v>
      </c>
      <c r="AU6" s="75" t="str">
        <f t="shared" ref="AU6:AU13" si="19">IF(C6="","",IF(C6&gt;=$AU$1,"O","X"))</f>
        <v>O</v>
      </c>
      <c r="AV6" s="75" t="str">
        <f t="shared" ref="AV6:AV13" si="20">IF(AO6="","",IF(AND(AO6="O",AP6="O",AR6="O",AT6="O",AU6="O"),"후보","X"))</f>
        <v>X</v>
      </c>
    </row>
    <row r="7" spans="1:48" x14ac:dyDescent="0.3">
      <c r="A7" s="9" t="s">
        <v>113</v>
      </c>
      <c r="B7" s="10" t="s">
        <v>867</v>
      </c>
      <c r="C7" s="107">
        <v>462</v>
      </c>
      <c r="D7" s="104">
        <v>98.6</v>
      </c>
      <c r="E7" s="106">
        <v>30</v>
      </c>
      <c r="F7" s="104">
        <v>73.900000000000006</v>
      </c>
      <c r="G7" s="17">
        <v>22</v>
      </c>
      <c r="H7" s="107">
        <v>13</v>
      </c>
      <c r="I7" s="108">
        <v>36000</v>
      </c>
      <c r="J7" s="108" t="s">
        <v>868</v>
      </c>
      <c r="K7" s="108"/>
      <c r="L7" s="108"/>
      <c r="M7" s="109">
        <f t="shared" si="2"/>
        <v>36000</v>
      </c>
      <c r="N7" s="4">
        <f t="shared" si="3"/>
        <v>0</v>
      </c>
      <c r="O7" s="105">
        <f t="shared" si="4"/>
        <v>1200</v>
      </c>
      <c r="P7" s="105">
        <f t="shared" si="5"/>
        <v>0</v>
      </c>
      <c r="Q7" s="75">
        <v>3</v>
      </c>
      <c r="R7" s="75">
        <v>2</v>
      </c>
      <c r="S7" s="75" t="s">
        <v>869</v>
      </c>
      <c r="T7" s="5" t="s">
        <v>118</v>
      </c>
      <c r="U7" s="9"/>
      <c r="W7" s="104">
        <f t="shared" si="6"/>
        <v>98.6</v>
      </c>
      <c r="X7" s="106">
        <f t="shared" si="6"/>
        <v>30</v>
      </c>
      <c r="Y7" s="102">
        <f t="shared" si="7"/>
        <v>13</v>
      </c>
      <c r="Z7" s="109">
        <f t="shared" si="7"/>
        <v>36000</v>
      </c>
      <c r="AA7" s="109">
        <f t="shared" si="8"/>
        <v>0</v>
      </c>
      <c r="AB7" s="109">
        <f t="shared" si="9"/>
        <v>36000</v>
      </c>
      <c r="AC7" s="4">
        <f t="shared" si="9"/>
        <v>0</v>
      </c>
      <c r="AD7" s="105">
        <f t="shared" si="9"/>
        <v>1200</v>
      </c>
      <c r="AE7" s="75" t="str">
        <f t="shared" si="10"/>
        <v>계</v>
      </c>
      <c r="AF7" s="75" t="str">
        <f t="shared" si="11"/>
        <v>3/2</v>
      </c>
      <c r="AH7" s="20" t="str">
        <f t="shared" si="1"/>
        <v>두산위브</v>
      </c>
      <c r="AI7" s="106">
        <f t="shared" si="0"/>
        <v>30</v>
      </c>
      <c r="AJ7" s="75" t="str">
        <f t="shared" si="12"/>
        <v>A-</v>
      </c>
      <c r="AK7" s="75" t="s">
        <v>14</v>
      </c>
      <c r="AL7" s="75" t="s">
        <v>870</v>
      </c>
      <c r="AM7" s="75" t="s">
        <v>871</v>
      </c>
      <c r="AN7" s="75" t="str">
        <f t="shared" si="13"/>
        <v>C</v>
      </c>
      <c r="AO7" s="75" t="str">
        <f t="shared" si="14"/>
        <v>X</v>
      </c>
      <c r="AP7" s="75" t="str">
        <f t="shared" si="15"/>
        <v>O</v>
      </c>
      <c r="AQ7" s="75" t="str">
        <f t="shared" si="16"/>
        <v>X</v>
      </c>
      <c r="AR7" s="75" t="str">
        <f t="shared" si="17"/>
        <v>X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>X</v>
      </c>
    </row>
    <row r="8" spans="1:48" x14ac:dyDescent="0.3">
      <c r="A8" s="9" t="s">
        <v>113</v>
      </c>
      <c r="B8" s="10" t="s">
        <v>867</v>
      </c>
      <c r="C8" s="107">
        <v>462</v>
      </c>
      <c r="D8" s="104">
        <v>98.2</v>
      </c>
      <c r="E8" s="106">
        <v>30</v>
      </c>
      <c r="F8" s="104">
        <v>73.900000000000006</v>
      </c>
      <c r="G8" s="17">
        <v>22</v>
      </c>
      <c r="H8" s="107">
        <v>11</v>
      </c>
      <c r="I8" s="108"/>
      <c r="J8" s="108"/>
      <c r="K8" s="108"/>
      <c r="L8" s="108"/>
      <c r="M8" s="109">
        <f t="shared" si="2"/>
        <v>0</v>
      </c>
      <c r="N8" s="4" t="str">
        <f t="shared" si="3"/>
        <v/>
      </c>
      <c r="O8" s="105">
        <f t="shared" si="4"/>
        <v>0</v>
      </c>
      <c r="P8" s="105">
        <f t="shared" si="5"/>
        <v>0</v>
      </c>
      <c r="Q8" s="75">
        <v>3</v>
      </c>
      <c r="R8" s="75">
        <v>2</v>
      </c>
      <c r="S8" s="75" t="s">
        <v>869</v>
      </c>
      <c r="T8" s="5" t="s">
        <v>119</v>
      </c>
      <c r="U8" s="9"/>
      <c r="W8" s="104">
        <f t="shared" si="6"/>
        <v>98.2</v>
      </c>
      <c r="X8" s="106">
        <f t="shared" si="6"/>
        <v>30</v>
      </c>
      <c r="Y8" s="102">
        <f t="shared" si="7"/>
        <v>11</v>
      </c>
      <c r="Z8" s="109">
        <f t="shared" si="7"/>
        <v>0</v>
      </c>
      <c r="AA8" s="109">
        <f t="shared" si="8"/>
        <v>0</v>
      </c>
      <c r="AB8" s="109">
        <f t="shared" si="9"/>
        <v>0</v>
      </c>
      <c r="AC8" s="4" t="str">
        <f t="shared" si="9"/>
        <v/>
      </c>
      <c r="AD8" s="105">
        <f t="shared" si="9"/>
        <v>0</v>
      </c>
      <c r="AE8" s="75" t="str">
        <f t="shared" si="10"/>
        <v>계</v>
      </c>
      <c r="AF8" s="75" t="str">
        <f t="shared" si="11"/>
        <v>3/2</v>
      </c>
      <c r="AH8" s="20" t="str">
        <f t="shared" si="1"/>
        <v>두산위브</v>
      </c>
      <c r="AI8" s="106">
        <f t="shared" si="0"/>
        <v>30</v>
      </c>
      <c r="AJ8" s="75" t="str">
        <f t="shared" si="12"/>
        <v>A-</v>
      </c>
      <c r="AK8" s="75" t="s">
        <v>14</v>
      </c>
      <c r="AL8" s="75" t="s">
        <v>870</v>
      </c>
      <c r="AM8" s="75" t="s">
        <v>871</v>
      </c>
      <c r="AN8" s="75" t="str">
        <f t="shared" si="13"/>
        <v>C</v>
      </c>
      <c r="AO8" s="75" t="str">
        <f t="shared" si="14"/>
        <v/>
      </c>
      <c r="AP8" s="75" t="str">
        <f t="shared" si="15"/>
        <v/>
      </c>
      <c r="AQ8" s="75" t="str">
        <f t="shared" si="16"/>
        <v>O</v>
      </c>
      <c r="AR8" s="75" t="str">
        <f t="shared" si="17"/>
        <v>O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/>
      </c>
    </row>
    <row r="9" spans="1:48" x14ac:dyDescent="0.3">
      <c r="A9" s="9" t="s">
        <v>113</v>
      </c>
      <c r="B9" s="10" t="s">
        <v>867</v>
      </c>
      <c r="C9" s="107">
        <v>462</v>
      </c>
      <c r="D9" s="104">
        <v>99.4</v>
      </c>
      <c r="E9" s="106">
        <v>30</v>
      </c>
      <c r="F9" s="104">
        <v>74.7</v>
      </c>
      <c r="G9" s="17">
        <v>23</v>
      </c>
      <c r="H9" s="107">
        <v>147</v>
      </c>
      <c r="I9" s="108">
        <v>39000</v>
      </c>
      <c r="J9" s="108" t="s">
        <v>872</v>
      </c>
      <c r="K9" s="108">
        <v>30000</v>
      </c>
      <c r="L9" s="108" t="s">
        <v>872</v>
      </c>
      <c r="M9" s="109">
        <f t="shared" si="2"/>
        <v>9000</v>
      </c>
      <c r="N9" s="4">
        <f t="shared" si="3"/>
        <v>0.76923076923076927</v>
      </c>
      <c r="O9" s="105">
        <f t="shared" si="4"/>
        <v>1300</v>
      </c>
      <c r="P9" s="105">
        <f t="shared" si="5"/>
        <v>1000</v>
      </c>
      <c r="Q9" s="75">
        <v>3</v>
      </c>
      <c r="R9" s="75">
        <v>2</v>
      </c>
      <c r="S9" s="75" t="s">
        <v>869</v>
      </c>
      <c r="T9" s="5" t="s">
        <v>120</v>
      </c>
      <c r="U9" s="9"/>
      <c r="W9" s="104">
        <f t="shared" si="6"/>
        <v>99.4</v>
      </c>
      <c r="X9" s="106">
        <f t="shared" si="6"/>
        <v>30</v>
      </c>
      <c r="Y9" s="102">
        <f t="shared" si="7"/>
        <v>147</v>
      </c>
      <c r="Z9" s="109">
        <f t="shared" si="7"/>
        <v>39000</v>
      </c>
      <c r="AA9" s="109">
        <f t="shared" si="8"/>
        <v>30000</v>
      </c>
      <c r="AB9" s="109">
        <f t="shared" si="9"/>
        <v>9000</v>
      </c>
      <c r="AC9" s="4">
        <f t="shared" si="9"/>
        <v>0.76923076923076927</v>
      </c>
      <c r="AD9" s="105">
        <f t="shared" si="9"/>
        <v>1300</v>
      </c>
      <c r="AE9" s="75" t="str">
        <f t="shared" si="10"/>
        <v>계</v>
      </c>
      <c r="AF9" s="75" t="str">
        <f t="shared" si="11"/>
        <v>3/2</v>
      </c>
      <c r="AH9" s="20" t="str">
        <f t="shared" si="1"/>
        <v>두산위브</v>
      </c>
      <c r="AI9" s="106">
        <f t="shared" si="0"/>
        <v>30</v>
      </c>
      <c r="AJ9" s="75" t="str">
        <f t="shared" si="12"/>
        <v>A-</v>
      </c>
      <c r="AK9" s="75" t="s">
        <v>14</v>
      </c>
      <c r="AL9" s="75" t="s">
        <v>870</v>
      </c>
      <c r="AM9" s="75" t="s">
        <v>871</v>
      </c>
      <c r="AN9" s="75" t="str">
        <f t="shared" si="13"/>
        <v>C</v>
      </c>
      <c r="AO9" s="75" t="str">
        <f t="shared" si="14"/>
        <v>X</v>
      </c>
      <c r="AP9" s="75" t="str">
        <f t="shared" si="15"/>
        <v>O</v>
      </c>
      <c r="AQ9" s="75" t="str">
        <f t="shared" si="16"/>
        <v>X</v>
      </c>
      <c r="AR9" s="75" t="str">
        <f t="shared" si="17"/>
        <v>X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>X</v>
      </c>
    </row>
    <row r="10" spans="1:48" x14ac:dyDescent="0.3">
      <c r="A10" s="9" t="s">
        <v>113</v>
      </c>
      <c r="B10" s="10" t="s">
        <v>867</v>
      </c>
      <c r="C10" s="107">
        <v>462</v>
      </c>
      <c r="D10" s="104">
        <v>112.8</v>
      </c>
      <c r="E10" s="106">
        <v>34</v>
      </c>
      <c r="F10" s="104">
        <v>84.9</v>
      </c>
      <c r="G10" s="17">
        <v>26</v>
      </c>
      <c r="H10" s="107">
        <v>59</v>
      </c>
      <c r="I10" s="108">
        <v>40500</v>
      </c>
      <c r="J10" s="108" t="s">
        <v>868</v>
      </c>
      <c r="K10" s="108"/>
      <c r="L10" s="108"/>
      <c r="M10" s="109">
        <f t="shared" si="2"/>
        <v>40500</v>
      </c>
      <c r="N10" s="4">
        <f t="shared" si="3"/>
        <v>0</v>
      </c>
      <c r="O10" s="105">
        <f t="shared" si="4"/>
        <v>1191.1764705882354</v>
      </c>
      <c r="P10" s="105">
        <f t="shared" si="5"/>
        <v>0</v>
      </c>
      <c r="Q10" s="75">
        <v>3</v>
      </c>
      <c r="R10" s="75">
        <v>2</v>
      </c>
      <c r="S10" s="75" t="s">
        <v>869</v>
      </c>
      <c r="T10" s="5" t="s">
        <v>121</v>
      </c>
      <c r="U10" s="9"/>
      <c r="W10" s="104">
        <f t="shared" si="6"/>
        <v>112.8</v>
      </c>
      <c r="X10" s="106">
        <f t="shared" si="6"/>
        <v>34</v>
      </c>
      <c r="Y10" s="102">
        <f t="shared" si="7"/>
        <v>59</v>
      </c>
      <c r="Z10" s="109">
        <f t="shared" si="7"/>
        <v>40500</v>
      </c>
      <c r="AA10" s="109">
        <f t="shared" si="8"/>
        <v>0</v>
      </c>
      <c r="AB10" s="109">
        <f t="shared" si="9"/>
        <v>40500</v>
      </c>
      <c r="AC10" s="4">
        <f t="shared" si="9"/>
        <v>0</v>
      </c>
      <c r="AD10" s="105">
        <f t="shared" si="9"/>
        <v>1191.1764705882354</v>
      </c>
      <c r="AE10" s="75" t="str">
        <f t="shared" si="10"/>
        <v>계</v>
      </c>
      <c r="AF10" s="75" t="str">
        <f t="shared" si="11"/>
        <v>3/2</v>
      </c>
      <c r="AH10" s="20" t="str">
        <f t="shared" si="1"/>
        <v>두산위브</v>
      </c>
      <c r="AI10" s="106">
        <f t="shared" si="0"/>
        <v>34</v>
      </c>
      <c r="AJ10" s="75" t="str">
        <f t="shared" si="12"/>
        <v>A-</v>
      </c>
      <c r="AK10" s="75" t="s">
        <v>14</v>
      </c>
      <c r="AL10" s="75" t="s">
        <v>870</v>
      </c>
      <c r="AM10" s="75" t="s">
        <v>871</v>
      </c>
      <c r="AN10" s="75" t="str">
        <f t="shared" si="13"/>
        <v>C</v>
      </c>
      <c r="AO10" s="75" t="str">
        <f t="shared" si="14"/>
        <v>X</v>
      </c>
      <c r="AP10" s="75" t="str">
        <f t="shared" si="15"/>
        <v>O</v>
      </c>
      <c r="AQ10" s="75" t="str">
        <f t="shared" si="16"/>
        <v>X</v>
      </c>
      <c r="AR10" s="75" t="str">
        <f t="shared" si="17"/>
        <v>X</v>
      </c>
      <c r="AS10" s="75" t="s">
        <v>2</v>
      </c>
      <c r="AT10" s="75" t="str">
        <f t="shared" si="18"/>
        <v>O</v>
      </c>
      <c r="AU10" s="75" t="str">
        <f t="shared" si="19"/>
        <v>O</v>
      </c>
      <c r="AV10" s="75" t="str">
        <f t="shared" si="20"/>
        <v>X</v>
      </c>
    </row>
    <row r="11" spans="1:48" x14ac:dyDescent="0.3">
      <c r="A11" s="9" t="s">
        <v>113</v>
      </c>
      <c r="B11" s="10" t="s">
        <v>867</v>
      </c>
      <c r="C11" s="107">
        <v>462</v>
      </c>
      <c r="D11" s="104">
        <v>112.6</v>
      </c>
      <c r="E11" s="106">
        <v>34</v>
      </c>
      <c r="F11" s="104">
        <v>84.8</v>
      </c>
      <c r="G11" s="17">
        <v>26</v>
      </c>
      <c r="H11" s="107">
        <v>54</v>
      </c>
      <c r="I11" s="108">
        <v>39500</v>
      </c>
      <c r="J11" s="108" t="s">
        <v>873</v>
      </c>
      <c r="K11" s="108"/>
      <c r="L11" s="108"/>
      <c r="M11" s="109">
        <f t="shared" si="2"/>
        <v>39500</v>
      </c>
      <c r="N11" s="4">
        <f t="shared" si="3"/>
        <v>0</v>
      </c>
      <c r="O11" s="105">
        <f t="shared" si="4"/>
        <v>1161.7647058823529</v>
      </c>
      <c r="P11" s="105">
        <f t="shared" si="5"/>
        <v>0</v>
      </c>
      <c r="Q11" s="75">
        <v>3</v>
      </c>
      <c r="R11" s="75">
        <v>2</v>
      </c>
      <c r="S11" s="75" t="s">
        <v>869</v>
      </c>
      <c r="T11" s="5" t="s">
        <v>122</v>
      </c>
      <c r="U11" s="9"/>
      <c r="W11" s="104">
        <f t="shared" si="6"/>
        <v>112.6</v>
      </c>
      <c r="X11" s="106">
        <f t="shared" si="6"/>
        <v>34</v>
      </c>
      <c r="Y11" s="102">
        <f t="shared" si="7"/>
        <v>54</v>
      </c>
      <c r="Z11" s="109">
        <f t="shared" si="7"/>
        <v>39500</v>
      </c>
      <c r="AA11" s="109">
        <f t="shared" si="8"/>
        <v>0</v>
      </c>
      <c r="AB11" s="109">
        <f t="shared" si="9"/>
        <v>39500</v>
      </c>
      <c r="AC11" s="4">
        <f t="shared" si="9"/>
        <v>0</v>
      </c>
      <c r="AD11" s="105">
        <f t="shared" si="9"/>
        <v>1161.7647058823529</v>
      </c>
      <c r="AE11" s="75" t="str">
        <f t="shared" si="10"/>
        <v>계</v>
      </c>
      <c r="AF11" s="75" t="str">
        <f t="shared" si="11"/>
        <v>3/2</v>
      </c>
      <c r="AH11" s="20" t="str">
        <f t="shared" si="1"/>
        <v>두산위브</v>
      </c>
      <c r="AI11" s="106">
        <f t="shared" si="0"/>
        <v>34</v>
      </c>
      <c r="AJ11" s="75" t="str">
        <f t="shared" si="12"/>
        <v>A-</v>
      </c>
      <c r="AK11" s="75" t="s">
        <v>14</v>
      </c>
      <c r="AL11" s="75" t="s">
        <v>870</v>
      </c>
      <c r="AM11" s="75" t="s">
        <v>871</v>
      </c>
      <c r="AN11" s="75" t="str">
        <f t="shared" si="13"/>
        <v>C</v>
      </c>
      <c r="AO11" s="75" t="str">
        <f t="shared" si="14"/>
        <v>X</v>
      </c>
      <c r="AP11" s="75" t="str">
        <f t="shared" si="15"/>
        <v>O</v>
      </c>
      <c r="AQ11" s="75" t="str">
        <f t="shared" si="16"/>
        <v>X</v>
      </c>
      <c r="AR11" s="75" t="str">
        <f t="shared" si="17"/>
        <v>X</v>
      </c>
      <c r="AS11" s="75" t="s">
        <v>2</v>
      </c>
      <c r="AT11" s="75" t="str">
        <f t="shared" si="18"/>
        <v>O</v>
      </c>
      <c r="AU11" s="75" t="str">
        <f t="shared" si="19"/>
        <v>O</v>
      </c>
      <c r="AV11" s="75" t="str">
        <f t="shared" si="20"/>
        <v>X</v>
      </c>
    </row>
    <row r="12" spans="1:48" x14ac:dyDescent="0.3">
      <c r="A12" s="9" t="s">
        <v>113</v>
      </c>
      <c r="B12" s="10" t="s">
        <v>867</v>
      </c>
      <c r="C12" s="107">
        <v>462</v>
      </c>
      <c r="D12" s="104">
        <v>113.2</v>
      </c>
      <c r="E12" s="106">
        <v>34</v>
      </c>
      <c r="F12" s="104">
        <v>85</v>
      </c>
      <c r="G12" s="17">
        <v>26</v>
      </c>
      <c r="H12" s="107">
        <v>60</v>
      </c>
      <c r="I12" s="108">
        <v>38500</v>
      </c>
      <c r="J12" s="108" t="s">
        <v>873</v>
      </c>
      <c r="K12" s="108">
        <v>34000</v>
      </c>
      <c r="L12" s="108" t="s">
        <v>873</v>
      </c>
      <c r="M12" s="109">
        <f t="shared" si="2"/>
        <v>4500</v>
      </c>
      <c r="N12" s="4">
        <f t="shared" si="3"/>
        <v>0.88311688311688308</v>
      </c>
      <c r="O12" s="105">
        <f t="shared" si="4"/>
        <v>1132.3529411764705</v>
      </c>
      <c r="P12" s="105">
        <f t="shared" si="5"/>
        <v>1000</v>
      </c>
      <c r="Q12" s="75">
        <v>3</v>
      </c>
      <c r="R12" s="75">
        <v>2</v>
      </c>
      <c r="S12" s="75" t="s">
        <v>869</v>
      </c>
      <c r="T12" s="5" t="s">
        <v>123</v>
      </c>
      <c r="U12" s="9"/>
      <c r="W12" s="104">
        <f t="shared" si="6"/>
        <v>113.2</v>
      </c>
      <c r="X12" s="106">
        <f t="shared" si="6"/>
        <v>34</v>
      </c>
      <c r="Y12" s="102">
        <f t="shared" si="7"/>
        <v>60</v>
      </c>
      <c r="Z12" s="109">
        <f t="shared" si="7"/>
        <v>38500</v>
      </c>
      <c r="AA12" s="109">
        <f t="shared" si="8"/>
        <v>34000</v>
      </c>
      <c r="AB12" s="109">
        <f t="shared" si="9"/>
        <v>4500</v>
      </c>
      <c r="AC12" s="4">
        <f t="shared" si="9"/>
        <v>0.88311688311688308</v>
      </c>
      <c r="AD12" s="105">
        <f t="shared" si="9"/>
        <v>1132.3529411764705</v>
      </c>
      <c r="AE12" s="75" t="str">
        <f t="shared" si="10"/>
        <v>계</v>
      </c>
      <c r="AF12" s="75" t="str">
        <f t="shared" si="11"/>
        <v>3/2</v>
      </c>
      <c r="AH12" s="20" t="str">
        <f t="shared" si="1"/>
        <v>두산위브</v>
      </c>
      <c r="AI12" s="106">
        <f t="shared" si="0"/>
        <v>34</v>
      </c>
      <c r="AJ12" s="75" t="str">
        <f t="shared" si="12"/>
        <v>A-</v>
      </c>
      <c r="AK12" s="75" t="s">
        <v>14</v>
      </c>
      <c r="AL12" s="75" t="s">
        <v>870</v>
      </c>
      <c r="AM12" s="75" t="s">
        <v>871</v>
      </c>
      <c r="AN12" s="75" t="str">
        <f t="shared" si="13"/>
        <v>C</v>
      </c>
      <c r="AO12" s="75" t="str">
        <f t="shared" si="14"/>
        <v>O</v>
      </c>
      <c r="AP12" s="75" t="str">
        <f t="shared" si="15"/>
        <v>O</v>
      </c>
      <c r="AQ12" s="75" t="str">
        <f t="shared" si="16"/>
        <v>X</v>
      </c>
      <c r="AR12" s="75" t="str">
        <f t="shared" si="17"/>
        <v>O</v>
      </c>
      <c r="AS12" s="75" t="s">
        <v>2</v>
      </c>
      <c r="AT12" s="75" t="str">
        <f t="shared" si="18"/>
        <v>O</v>
      </c>
      <c r="AU12" s="75" t="str">
        <f t="shared" si="19"/>
        <v>O</v>
      </c>
      <c r="AV12" s="75" t="str">
        <f t="shared" si="20"/>
        <v>후보</v>
      </c>
    </row>
    <row r="13" spans="1:48" x14ac:dyDescent="0.3">
      <c r="A13" s="9" t="s">
        <v>113</v>
      </c>
      <c r="B13" s="10" t="s">
        <v>867</v>
      </c>
      <c r="C13" s="107">
        <v>462</v>
      </c>
      <c r="D13" s="104">
        <v>113.2</v>
      </c>
      <c r="E13" s="106">
        <v>34</v>
      </c>
      <c r="F13" s="104">
        <v>84.9</v>
      </c>
      <c r="G13" s="17">
        <v>26</v>
      </c>
      <c r="H13" s="107">
        <v>47</v>
      </c>
      <c r="I13" s="108">
        <v>57000</v>
      </c>
      <c r="J13" s="108" t="s">
        <v>873</v>
      </c>
      <c r="K13" s="108"/>
      <c r="L13" s="108"/>
      <c r="M13" s="109">
        <f t="shared" si="2"/>
        <v>57000</v>
      </c>
      <c r="N13" s="4">
        <f t="shared" si="3"/>
        <v>0</v>
      </c>
      <c r="O13" s="105">
        <f t="shared" si="4"/>
        <v>1676.4705882352941</v>
      </c>
      <c r="P13" s="105">
        <f t="shared" si="5"/>
        <v>0</v>
      </c>
      <c r="Q13" s="75">
        <v>3</v>
      </c>
      <c r="R13" s="75">
        <v>2</v>
      </c>
      <c r="S13" s="75" t="s">
        <v>869</v>
      </c>
      <c r="T13" s="5" t="s">
        <v>124</v>
      </c>
      <c r="U13" s="9"/>
      <c r="W13" s="104">
        <f t="shared" si="6"/>
        <v>113.2</v>
      </c>
      <c r="X13" s="106">
        <f t="shared" si="6"/>
        <v>34</v>
      </c>
      <c r="Y13" s="102">
        <f t="shared" si="7"/>
        <v>47</v>
      </c>
      <c r="Z13" s="109">
        <f t="shared" si="7"/>
        <v>57000</v>
      </c>
      <c r="AA13" s="109">
        <f t="shared" si="8"/>
        <v>0</v>
      </c>
      <c r="AB13" s="109">
        <f t="shared" si="9"/>
        <v>57000</v>
      </c>
      <c r="AC13" s="4">
        <f t="shared" si="9"/>
        <v>0</v>
      </c>
      <c r="AD13" s="105">
        <f t="shared" si="9"/>
        <v>1676.4705882352941</v>
      </c>
      <c r="AE13" s="75" t="str">
        <f t="shared" si="10"/>
        <v>계</v>
      </c>
      <c r="AF13" s="75" t="str">
        <f t="shared" si="11"/>
        <v>3/2</v>
      </c>
      <c r="AH13" s="20" t="str">
        <f t="shared" si="1"/>
        <v>두산위브</v>
      </c>
      <c r="AI13" s="106">
        <f t="shared" si="0"/>
        <v>34</v>
      </c>
      <c r="AJ13" s="75" t="str">
        <f t="shared" si="12"/>
        <v>A-</v>
      </c>
      <c r="AK13" s="75" t="s">
        <v>14</v>
      </c>
      <c r="AL13" s="75" t="s">
        <v>870</v>
      </c>
      <c r="AM13" s="75" t="s">
        <v>871</v>
      </c>
      <c r="AN13" s="75" t="str">
        <f t="shared" si="13"/>
        <v>C</v>
      </c>
      <c r="AO13" s="75" t="str">
        <f t="shared" si="14"/>
        <v>X</v>
      </c>
      <c r="AP13" s="75" t="str">
        <f t="shared" si="15"/>
        <v>X</v>
      </c>
      <c r="AQ13" s="75" t="str">
        <f t="shared" si="16"/>
        <v>X</v>
      </c>
      <c r="AR13" s="75" t="str">
        <f t="shared" si="17"/>
        <v>X</v>
      </c>
      <c r="AS13" s="75" t="s">
        <v>2</v>
      </c>
      <c r="AT13" s="75" t="str">
        <f t="shared" si="18"/>
        <v>O</v>
      </c>
      <c r="AU13" s="75" t="str">
        <f t="shared" si="19"/>
        <v>O</v>
      </c>
      <c r="AV13" s="75" t="str">
        <f t="shared" si="20"/>
        <v>X</v>
      </c>
    </row>
    <row r="14" spans="1:48" x14ac:dyDescent="0.3">
      <c r="A14" s="9"/>
      <c r="B14" s="75"/>
      <c r="C14" s="6"/>
      <c r="D14" s="9"/>
      <c r="E14" s="14"/>
      <c r="F14" s="104"/>
      <c r="G14" s="9"/>
      <c r="H14" s="9"/>
      <c r="I14" s="9"/>
      <c r="J14" s="9"/>
      <c r="K14" s="9"/>
      <c r="L14" s="9"/>
      <c r="M14" s="9"/>
      <c r="N14" s="9"/>
      <c r="O14" s="105"/>
      <c r="P14" s="105"/>
      <c r="Q14" s="106"/>
      <c r="R14" s="106"/>
      <c r="S14" s="9"/>
      <c r="T14" s="48"/>
      <c r="U14" s="9"/>
      <c r="W14" s="70" t="str">
        <f>$A$4&amp;" "&amp;A15&amp;"("&amp;B15&amp;","&amp;C15&amp;"^)"</f>
        <v>경화동 대동다숲('06.08.,408^)</v>
      </c>
      <c r="X14" s="71"/>
      <c r="Y14" s="71"/>
      <c r="Z14" s="71"/>
      <c r="AA14" s="71"/>
      <c r="AB14" s="71"/>
      <c r="AC14" s="71"/>
      <c r="AD14" s="71"/>
      <c r="AE14" s="71"/>
      <c r="AF14" s="72"/>
      <c r="AH14" s="20" t="str">
        <f t="shared" si="1"/>
        <v/>
      </c>
      <c r="AI14" s="103" t="str">
        <f t="shared" si="0"/>
        <v/>
      </c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</row>
    <row r="15" spans="1:48" x14ac:dyDescent="0.3">
      <c r="A15" s="9" t="s">
        <v>141</v>
      </c>
      <c r="B15" s="10" t="s">
        <v>874</v>
      </c>
      <c r="C15" s="107">
        <v>408</v>
      </c>
      <c r="D15" s="104">
        <v>111.1</v>
      </c>
      <c r="E15" s="106">
        <v>34</v>
      </c>
      <c r="F15" s="104">
        <v>85</v>
      </c>
      <c r="G15" s="17">
        <v>26</v>
      </c>
      <c r="H15" s="107">
        <v>378</v>
      </c>
      <c r="I15" s="108">
        <v>20000</v>
      </c>
      <c r="J15" s="108" t="s">
        <v>868</v>
      </c>
      <c r="K15" s="108"/>
      <c r="L15" s="108"/>
      <c r="M15" s="109">
        <f>I15-K15</f>
        <v>20000</v>
      </c>
      <c r="N15" s="4">
        <f>IF(ISERROR(K15/I15),"",K15/I15)</f>
        <v>0</v>
      </c>
      <c r="O15" s="105">
        <f>I15/E15</f>
        <v>588.23529411764707</v>
      </c>
      <c r="P15" s="105">
        <f>K15/E15</f>
        <v>0</v>
      </c>
      <c r="Q15" s="75">
        <v>3</v>
      </c>
      <c r="R15" s="75">
        <v>2</v>
      </c>
      <c r="S15" s="75" t="s">
        <v>869</v>
      </c>
      <c r="T15" s="5">
        <v>111</v>
      </c>
      <c r="U15" s="9"/>
      <c r="W15" s="104">
        <f>D15</f>
        <v>111.1</v>
      </c>
      <c r="X15" s="106">
        <f>E15</f>
        <v>34</v>
      </c>
      <c r="Y15" s="102">
        <f>H15</f>
        <v>378</v>
      </c>
      <c r="Z15" s="109">
        <f>I15</f>
        <v>20000</v>
      </c>
      <c r="AA15" s="109">
        <f>K15</f>
        <v>0</v>
      </c>
      <c r="AB15" s="109">
        <f t="shared" ref="AB15:AD16" si="21">M15</f>
        <v>20000</v>
      </c>
      <c r="AC15" s="4">
        <f t="shared" si="21"/>
        <v>0</v>
      </c>
      <c r="AD15" s="105">
        <f t="shared" si="21"/>
        <v>588.23529411764707</v>
      </c>
      <c r="AE15" s="75" t="str">
        <f>S15</f>
        <v>계</v>
      </c>
      <c r="AF15" s="75" t="str">
        <f>Q15&amp;"/"&amp;R15</f>
        <v>3/2</v>
      </c>
      <c r="AH15" s="20" t="str">
        <f t="shared" si="1"/>
        <v>대동다숲</v>
      </c>
      <c r="AI15" s="106">
        <f t="shared" si="0"/>
        <v>34</v>
      </c>
      <c r="AJ15" s="75" t="str">
        <f>IF(AI15="","",$AJ$2)</f>
        <v>A-</v>
      </c>
      <c r="AK15" s="75" t="s">
        <v>14</v>
      </c>
      <c r="AL15" s="75" t="s">
        <v>870</v>
      </c>
      <c r="AM15" s="75" t="s">
        <v>871</v>
      </c>
      <c r="AN15" s="75" t="str">
        <f>IF(AI15="","",$AN$2)</f>
        <v>C</v>
      </c>
      <c r="AO15" s="75" t="str">
        <f>IF(N15="","",IF(N15&gt;=$AO$1/100,"O","X"))</f>
        <v>X</v>
      </c>
      <c r="AP15" s="75" t="str">
        <f>IF(I15="","",IF(I15&lt;=$AP$1,"O","X"))</f>
        <v>O</v>
      </c>
      <c r="AQ15" s="75" t="str">
        <f>IF(O15="","",IF(O15&lt;=$AQ$1,"O","X"))</f>
        <v>O</v>
      </c>
      <c r="AR15" s="75" t="str">
        <f>IF(M15="","",IF(M15&lt;=$AR$1,"O","X"))</f>
        <v>X</v>
      </c>
      <c r="AS15" s="75" t="s">
        <v>2</v>
      </c>
      <c r="AT15" s="75" t="str">
        <f>IF(OR(F15="",AI15=""),"",IF(AND((F15&lt;=85),(AI15&gt;=15)),"O","X"))</f>
        <v>O</v>
      </c>
      <c r="AU15" s="75" t="str">
        <f>IF(C15="","",IF(C15&gt;=$AU$1,"O","X"))</f>
        <v>O</v>
      </c>
      <c r="AV15" s="75" t="str">
        <f>IF(AO15="","",IF(AND(AO15="O",AP15="O",AR15="O",AT15="O",AU15="O"),"후보","X"))</f>
        <v>X</v>
      </c>
    </row>
    <row r="16" spans="1:48" x14ac:dyDescent="0.3">
      <c r="A16" s="9" t="s">
        <v>141</v>
      </c>
      <c r="B16" s="10" t="s">
        <v>874</v>
      </c>
      <c r="C16" s="107">
        <v>408</v>
      </c>
      <c r="D16" s="104">
        <v>160.5</v>
      </c>
      <c r="E16" s="106">
        <v>49</v>
      </c>
      <c r="F16" s="104">
        <v>130.19999999999999</v>
      </c>
      <c r="G16" s="17">
        <v>39</v>
      </c>
      <c r="H16" s="107">
        <v>30</v>
      </c>
      <c r="I16" s="108">
        <v>35000</v>
      </c>
      <c r="J16" s="108" t="s">
        <v>868</v>
      </c>
      <c r="K16" s="108"/>
      <c r="L16" s="108"/>
      <c r="M16" s="109">
        <f>I16-K16</f>
        <v>35000</v>
      </c>
      <c r="N16" s="4">
        <f>IF(ISERROR(K16/I16),"",K16/I16)</f>
        <v>0</v>
      </c>
      <c r="O16" s="105">
        <f>I16/E16</f>
        <v>714.28571428571433</v>
      </c>
      <c r="P16" s="105">
        <f>K16/E16</f>
        <v>0</v>
      </c>
      <c r="Q16" s="75">
        <v>4</v>
      </c>
      <c r="R16" s="75">
        <v>2</v>
      </c>
      <c r="S16" s="75" t="s">
        <v>869</v>
      </c>
      <c r="T16" s="5">
        <v>160</v>
      </c>
      <c r="U16" s="9"/>
      <c r="W16" s="104">
        <f>D16</f>
        <v>160.5</v>
      </c>
      <c r="X16" s="106">
        <f>E16</f>
        <v>49</v>
      </c>
      <c r="Y16" s="102">
        <f>H16</f>
        <v>30</v>
      </c>
      <c r="Z16" s="109">
        <f>I16</f>
        <v>35000</v>
      </c>
      <c r="AA16" s="109">
        <f>K16</f>
        <v>0</v>
      </c>
      <c r="AB16" s="109">
        <f t="shared" si="21"/>
        <v>35000</v>
      </c>
      <c r="AC16" s="4">
        <f t="shared" si="21"/>
        <v>0</v>
      </c>
      <c r="AD16" s="105">
        <f t="shared" si="21"/>
        <v>714.28571428571433</v>
      </c>
      <c r="AE16" s="75" t="str">
        <f>S16</f>
        <v>계</v>
      </c>
      <c r="AF16" s="75" t="str">
        <f>Q16&amp;"/"&amp;R16</f>
        <v>4/2</v>
      </c>
      <c r="AH16" s="20" t="str">
        <f t="shared" si="1"/>
        <v>대동다숲</v>
      </c>
      <c r="AI16" s="106">
        <f t="shared" si="0"/>
        <v>49</v>
      </c>
      <c r="AJ16" s="75" t="str">
        <f>IF(AI16="","",$AJ$2)</f>
        <v>A-</v>
      </c>
      <c r="AK16" s="75" t="s">
        <v>14</v>
      </c>
      <c r="AL16" s="75" t="s">
        <v>870</v>
      </c>
      <c r="AM16" s="75" t="s">
        <v>871</v>
      </c>
      <c r="AN16" s="75" t="str">
        <f>IF(AI16="","",$AN$2)</f>
        <v>C</v>
      </c>
      <c r="AO16" s="75" t="str">
        <f>IF(N16="","",IF(N16&gt;=$AO$1/100,"O","X"))</f>
        <v>X</v>
      </c>
      <c r="AP16" s="75" t="str">
        <f>IF(I16="","",IF(I16&lt;=$AP$1,"O","X"))</f>
        <v>O</v>
      </c>
      <c r="AQ16" s="75" t="str">
        <f>IF(O16="","",IF(O16&lt;=$AQ$1,"O","X"))</f>
        <v>O</v>
      </c>
      <c r="AR16" s="75" t="str">
        <f>IF(M16="","",IF(M16&lt;=$AR$1,"O","X"))</f>
        <v>X</v>
      </c>
      <c r="AS16" s="75" t="s">
        <v>2</v>
      </c>
      <c r="AT16" s="75" t="str">
        <f>IF(OR(F16="",AI16=""),"",IF(AND((F16&lt;=85),(AI16&gt;=15)),"O","X"))</f>
        <v>X</v>
      </c>
      <c r="AU16" s="75" t="str">
        <f>IF(C16="","",IF(C16&gt;=$AU$1,"O","X"))</f>
        <v>O</v>
      </c>
      <c r="AV16" s="75" t="str">
        <f>IF(AO16="","",IF(AND(AO16="O",AP16="O",AR16="O",AT16="O",AU16="O"),"후보","X"))</f>
        <v>X</v>
      </c>
    </row>
    <row r="17" spans="1:48" x14ac:dyDescent="0.3">
      <c r="A17" s="9"/>
      <c r="B17" s="75"/>
      <c r="C17" s="6"/>
      <c r="D17" s="9"/>
      <c r="E17" s="14"/>
      <c r="F17" s="104"/>
      <c r="G17" s="9"/>
      <c r="H17" s="9"/>
      <c r="I17" s="9"/>
      <c r="J17" s="9"/>
      <c r="K17" s="9"/>
      <c r="L17" s="9"/>
      <c r="M17" s="9"/>
      <c r="N17" s="9"/>
      <c r="O17" s="105"/>
      <c r="P17" s="105"/>
      <c r="Q17" s="106"/>
      <c r="R17" s="106"/>
      <c r="S17" s="9"/>
      <c r="T17" s="48"/>
      <c r="U17" s="9"/>
      <c r="W17" s="70" t="str">
        <f>$A$4&amp;" "&amp;A18&amp;"("&amp;B18&amp;","&amp;C18&amp;"^)"</f>
        <v>경화동 창원경화베스티움('18.12.,285^)</v>
      </c>
      <c r="X17" s="71"/>
      <c r="Y17" s="71"/>
      <c r="Z17" s="71"/>
      <c r="AA17" s="71"/>
      <c r="AB17" s="71"/>
      <c r="AC17" s="71"/>
      <c r="AD17" s="71"/>
      <c r="AE17" s="71"/>
      <c r="AF17" s="72"/>
      <c r="AH17" s="20" t="str">
        <f t="shared" si="1"/>
        <v/>
      </c>
      <c r="AI17" s="103" t="str">
        <f t="shared" si="0"/>
        <v/>
      </c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</row>
    <row r="18" spans="1:48" x14ac:dyDescent="0.3">
      <c r="A18" s="9" t="s">
        <v>146</v>
      </c>
      <c r="B18" s="10" t="s">
        <v>875</v>
      </c>
      <c r="C18" s="107">
        <v>285</v>
      </c>
      <c r="D18" s="104">
        <v>100.3</v>
      </c>
      <c r="E18" s="106">
        <v>30</v>
      </c>
      <c r="F18" s="104">
        <v>76.3</v>
      </c>
      <c r="G18" s="17">
        <v>23</v>
      </c>
      <c r="H18" s="107">
        <v>47</v>
      </c>
      <c r="I18" s="108"/>
      <c r="J18" s="108"/>
      <c r="K18" s="108"/>
      <c r="L18" s="108"/>
      <c r="M18" s="109">
        <f t="shared" ref="M18:M24" si="22">I18-K18</f>
        <v>0</v>
      </c>
      <c r="N18" s="4" t="str">
        <f t="shared" ref="N18:N24" si="23">IF(ISERROR(K18/I18),"",K18/I18)</f>
        <v/>
      </c>
      <c r="O18" s="105">
        <f t="shared" ref="O18:O24" si="24">I18/E18</f>
        <v>0</v>
      </c>
      <c r="P18" s="105">
        <f t="shared" ref="P18:P24" si="25">K18/E18</f>
        <v>0</v>
      </c>
      <c r="Q18" s="75">
        <v>4</v>
      </c>
      <c r="R18" s="75">
        <v>2</v>
      </c>
      <c r="S18" s="75" t="s">
        <v>869</v>
      </c>
      <c r="T18" s="5" t="s">
        <v>148</v>
      </c>
      <c r="U18" s="9"/>
      <c r="W18" s="104">
        <f t="shared" ref="W18:X24" si="26">D18</f>
        <v>100.3</v>
      </c>
      <c r="X18" s="106">
        <f t="shared" si="26"/>
        <v>30</v>
      </c>
      <c r="Y18" s="102">
        <f t="shared" ref="Y18:Z24" si="27">H18</f>
        <v>47</v>
      </c>
      <c r="Z18" s="109">
        <f t="shared" si="27"/>
        <v>0</v>
      </c>
      <c r="AA18" s="109">
        <f t="shared" ref="AA18:AA24" si="28">K18</f>
        <v>0</v>
      </c>
      <c r="AB18" s="109">
        <f t="shared" ref="AB18:AD24" si="29">M18</f>
        <v>0</v>
      </c>
      <c r="AC18" s="4" t="str">
        <f t="shared" si="29"/>
        <v/>
      </c>
      <c r="AD18" s="105">
        <f t="shared" si="29"/>
        <v>0</v>
      </c>
      <c r="AE18" s="75" t="str">
        <f t="shared" ref="AE18:AE24" si="30">S18</f>
        <v>계</v>
      </c>
      <c r="AF18" s="75" t="str">
        <f t="shared" ref="AF18:AF24" si="31">Q18&amp;"/"&amp;R18</f>
        <v>4/2</v>
      </c>
      <c r="AH18" s="20" t="str">
        <f t="shared" si="1"/>
        <v>창원경화베스티움</v>
      </c>
      <c r="AI18" s="106">
        <f t="shared" si="0"/>
        <v>30</v>
      </c>
      <c r="AJ18" s="75" t="str">
        <f t="shared" ref="AJ18:AJ24" si="32">IF(AI18="","",$AJ$2)</f>
        <v>A-</v>
      </c>
      <c r="AK18" s="75" t="s">
        <v>14</v>
      </c>
      <c r="AL18" s="75" t="s">
        <v>870</v>
      </c>
      <c r="AM18" s="75" t="s">
        <v>871</v>
      </c>
      <c r="AN18" s="75" t="str">
        <f t="shared" ref="AN18:AN24" si="33">IF(AI18="","",$AN$2)</f>
        <v>C</v>
      </c>
      <c r="AO18" s="75" t="str">
        <f t="shared" ref="AO18:AO24" si="34">IF(N18="","",IF(N18&gt;=$AO$1/100,"O","X"))</f>
        <v/>
      </c>
      <c r="AP18" s="75" t="str">
        <f t="shared" ref="AP18:AP24" si="35">IF(I18="","",IF(I18&lt;=$AP$1,"O","X"))</f>
        <v/>
      </c>
      <c r="AQ18" s="75" t="str">
        <f t="shared" ref="AQ18:AQ24" si="36">IF(O18="","",IF(O18&lt;=$AQ$1,"O","X"))</f>
        <v>O</v>
      </c>
      <c r="AR18" s="75" t="str">
        <f t="shared" ref="AR18:AR24" si="37">IF(M18="","",IF(M18&lt;=$AR$1,"O","X"))</f>
        <v>O</v>
      </c>
      <c r="AS18" s="75" t="s">
        <v>2</v>
      </c>
      <c r="AT18" s="75" t="str">
        <f t="shared" ref="AT18:AT24" si="38">IF(OR(F18="",AI18=""),"",IF(AND((F18&lt;=85),(AI18&gt;=15)),"O","X"))</f>
        <v>O</v>
      </c>
      <c r="AU18" s="75" t="str">
        <f t="shared" ref="AU18:AU24" si="39">IF(C18="","",IF(C18&gt;=$AU$1,"O","X"))</f>
        <v>X</v>
      </c>
      <c r="AV18" s="75" t="str">
        <f t="shared" ref="AV18:AV24" si="40">IF(AO18="","",IF(AND(AO18="O",AP18="O",AR18="O",AT18="O",AU18="O"),"후보","X"))</f>
        <v/>
      </c>
    </row>
    <row r="19" spans="1:48" x14ac:dyDescent="0.3">
      <c r="A19" s="9" t="s">
        <v>146</v>
      </c>
      <c r="B19" s="10" t="s">
        <v>875</v>
      </c>
      <c r="C19" s="107">
        <v>285</v>
      </c>
      <c r="D19" s="104">
        <v>100.1</v>
      </c>
      <c r="E19" s="106">
        <v>30</v>
      </c>
      <c r="F19" s="104">
        <v>76.099999999999994</v>
      </c>
      <c r="G19" s="17">
        <v>23</v>
      </c>
      <c r="H19" s="107">
        <v>5</v>
      </c>
      <c r="I19" s="108"/>
      <c r="J19" s="108"/>
      <c r="K19" s="108"/>
      <c r="L19" s="108"/>
      <c r="M19" s="109">
        <f t="shared" si="22"/>
        <v>0</v>
      </c>
      <c r="N19" s="4" t="str">
        <f t="shared" si="23"/>
        <v/>
      </c>
      <c r="O19" s="105">
        <f t="shared" si="24"/>
        <v>0</v>
      </c>
      <c r="P19" s="105">
        <f t="shared" si="25"/>
        <v>0</v>
      </c>
      <c r="Q19" s="75">
        <v>3</v>
      </c>
      <c r="R19" s="75">
        <v>2</v>
      </c>
      <c r="S19" s="75" t="s">
        <v>869</v>
      </c>
      <c r="T19" s="5" t="s">
        <v>131</v>
      </c>
      <c r="U19" s="9"/>
      <c r="W19" s="104">
        <f t="shared" si="26"/>
        <v>100.1</v>
      </c>
      <c r="X19" s="106">
        <f t="shared" si="26"/>
        <v>30</v>
      </c>
      <c r="Y19" s="102">
        <f t="shared" si="27"/>
        <v>5</v>
      </c>
      <c r="Z19" s="109">
        <f t="shared" si="27"/>
        <v>0</v>
      </c>
      <c r="AA19" s="109">
        <f t="shared" si="28"/>
        <v>0</v>
      </c>
      <c r="AB19" s="109">
        <f t="shared" si="29"/>
        <v>0</v>
      </c>
      <c r="AC19" s="4" t="str">
        <f t="shared" si="29"/>
        <v/>
      </c>
      <c r="AD19" s="105">
        <f t="shared" si="29"/>
        <v>0</v>
      </c>
      <c r="AE19" s="75" t="str">
        <f t="shared" si="30"/>
        <v>계</v>
      </c>
      <c r="AF19" s="75" t="str">
        <f t="shared" si="31"/>
        <v>3/2</v>
      </c>
      <c r="AH19" s="20" t="str">
        <f t="shared" si="1"/>
        <v>창원경화베스티움</v>
      </c>
      <c r="AI19" s="106">
        <f t="shared" si="0"/>
        <v>30</v>
      </c>
      <c r="AJ19" s="75" t="str">
        <f t="shared" si="32"/>
        <v>A-</v>
      </c>
      <c r="AK19" s="75" t="s">
        <v>14</v>
      </c>
      <c r="AL19" s="75" t="s">
        <v>870</v>
      </c>
      <c r="AM19" s="75" t="s">
        <v>871</v>
      </c>
      <c r="AN19" s="75" t="str">
        <f t="shared" si="33"/>
        <v>C</v>
      </c>
      <c r="AO19" s="75" t="str">
        <f t="shared" si="34"/>
        <v/>
      </c>
      <c r="AP19" s="75" t="str">
        <f t="shared" si="35"/>
        <v/>
      </c>
      <c r="AQ19" s="75" t="str">
        <f t="shared" si="36"/>
        <v>O</v>
      </c>
      <c r="AR19" s="75" t="str">
        <f t="shared" si="37"/>
        <v>O</v>
      </c>
      <c r="AS19" s="75" t="s">
        <v>2</v>
      </c>
      <c r="AT19" s="75" t="str">
        <f t="shared" si="38"/>
        <v>O</v>
      </c>
      <c r="AU19" s="75" t="str">
        <f t="shared" si="39"/>
        <v>X</v>
      </c>
      <c r="AV19" s="75" t="str">
        <f t="shared" si="40"/>
        <v/>
      </c>
    </row>
    <row r="20" spans="1:48" x14ac:dyDescent="0.3">
      <c r="A20" s="9" t="s">
        <v>146</v>
      </c>
      <c r="B20" s="10" t="s">
        <v>875</v>
      </c>
      <c r="C20" s="107">
        <v>285</v>
      </c>
      <c r="D20" s="104">
        <v>110.9</v>
      </c>
      <c r="E20" s="106">
        <v>34</v>
      </c>
      <c r="F20" s="104">
        <v>84.5</v>
      </c>
      <c r="G20" s="17">
        <v>26</v>
      </c>
      <c r="H20" s="107">
        <v>45</v>
      </c>
      <c r="I20" s="108"/>
      <c r="J20" s="108"/>
      <c r="K20" s="108"/>
      <c r="L20" s="108"/>
      <c r="M20" s="109">
        <f t="shared" si="22"/>
        <v>0</v>
      </c>
      <c r="N20" s="4" t="str">
        <f t="shared" si="23"/>
        <v/>
      </c>
      <c r="O20" s="105">
        <f t="shared" si="24"/>
        <v>0</v>
      </c>
      <c r="P20" s="105">
        <f t="shared" si="25"/>
        <v>0</v>
      </c>
      <c r="Q20" s="75">
        <v>3</v>
      </c>
      <c r="R20" s="75">
        <v>2</v>
      </c>
      <c r="S20" s="75" t="s">
        <v>869</v>
      </c>
      <c r="T20" s="5" t="s">
        <v>152</v>
      </c>
      <c r="U20" s="9"/>
      <c r="W20" s="104">
        <f t="shared" si="26"/>
        <v>110.9</v>
      </c>
      <c r="X20" s="106">
        <f t="shared" si="26"/>
        <v>34</v>
      </c>
      <c r="Y20" s="102">
        <f t="shared" si="27"/>
        <v>45</v>
      </c>
      <c r="Z20" s="109">
        <f t="shared" si="27"/>
        <v>0</v>
      </c>
      <c r="AA20" s="109">
        <f t="shared" si="28"/>
        <v>0</v>
      </c>
      <c r="AB20" s="109">
        <f t="shared" si="29"/>
        <v>0</v>
      </c>
      <c r="AC20" s="4" t="str">
        <f t="shared" si="29"/>
        <v/>
      </c>
      <c r="AD20" s="105">
        <f t="shared" si="29"/>
        <v>0</v>
      </c>
      <c r="AE20" s="75" t="str">
        <f t="shared" si="30"/>
        <v>계</v>
      </c>
      <c r="AF20" s="75" t="str">
        <f t="shared" si="31"/>
        <v>3/2</v>
      </c>
      <c r="AH20" s="20" t="str">
        <f t="shared" si="1"/>
        <v>창원경화베스티움</v>
      </c>
      <c r="AI20" s="106">
        <f t="shared" si="0"/>
        <v>34</v>
      </c>
      <c r="AJ20" s="75" t="str">
        <f t="shared" si="32"/>
        <v>A-</v>
      </c>
      <c r="AK20" s="75" t="s">
        <v>14</v>
      </c>
      <c r="AL20" s="75" t="s">
        <v>870</v>
      </c>
      <c r="AM20" s="75" t="s">
        <v>871</v>
      </c>
      <c r="AN20" s="75" t="str">
        <f t="shared" si="33"/>
        <v>C</v>
      </c>
      <c r="AO20" s="75" t="str">
        <f t="shared" si="34"/>
        <v/>
      </c>
      <c r="AP20" s="75" t="str">
        <f t="shared" si="35"/>
        <v/>
      </c>
      <c r="AQ20" s="75" t="str">
        <f t="shared" si="36"/>
        <v>O</v>
      </c>
      <c r="AR20" s="75" t="str">
        <f t="shared" si="37"/>
        <v>O</v>
      </c>
      <c r="AS20" s="75" t="s">
        <v>2</v>
      </c>
      <c r="AT20" s="75" t="str">
        <f t="shared" si="38"/>
        <v>O</v>
      </c>
      <c r="AU20" s="75" t="str">
        <f t="shared" si="39"/>
        <v>X</v>
      </c>
      <c r="AV20" s="75" t="str">
        <f t="shared" si="40"/>
        <v/>
      </c>
    </row>
    <row r="21" spans="1:48" x14ac:dyDescent="0.3">
      <c r="A21" s="9" t="s">
        <v>146</v>
      </c>
      <c r="B21" s="10" t="s">
        <v>875</v>
      </c>
      <c r="C21" s="107">
        <v>285</v>
      </c>
      <c r="D21" s="104">
        <v>111.3</v>
      </c>
      <c r="E21" s="106">
        <v>34</v>
      </c>
      <c r="F21" s="104">
        <v>85</v>
      </c>
      <c r="G21" s="17">
        <v>26</v>
      </c>
      <c r="H21" s="107">
        <v>90</v>
      </c>
      <c r="I21" s="108"/>
      <c r="J21" s="108"/>
      <c r="K21" s="108"/>
      <c r="L21" s="108"/>
      <c r="M21" s="109">
        <f t="shared" si="22"/>
        <v>0</v>
      </c>
      <c r="N21" s="4" t="str">
        <f t="shared" si="23"/>
        <v/>
      </c>
      <c r="O21" s="105">
        <f t="shared" si="24"/>
        <v>0</v>
      </c>
      <c r="P21" s="105">
        <f t="shared" si="25"/>
        <v>0</v>
      </c>
      <c r="Q21" s="75">
        <v>4</v>
      </c>
      <c r="R21" s="75">
        <v>2</v>
      </c>
      <c r="S21" s="75" t="s">
        <v>869</v>
      </c>
      <c r="T21" s="5" t="s">
        <v>153</v>
      </c>
      <c r="U21" s="9"/>
      <c r="W21" s="104">
        <f t="shared" si="26"/>
        <v>111.3</v>
      </c>
      <c r="X21" s="106">
        <f t="shared" si="26"/>
        <v>34</v>
      </c>
      <c r="Y21" s="102">
        <f t="shared" si="27"/>
        <v>90</v>
      </c>
      <c r="Z21" s="109">
        <f t="shared" si="27"/>
        <v>0</v>
      </c>
      <c r="AA21" s="109">
        <f t="shared" si="28"/>
        <v>0</v>
      </c>
      <c r="AB21" s="109">
        <f t="shared" si="29"/>
        <v>0</v>
      </c>
      <c r="AC21" s="4" t="str">
        <f t="shared" si="29"/>
        <v/>
      </c>
      <c r="AD21" s="105">
        <f t="shared" si="29"/>
        <v>0</v>
      </c>
      <c r="AE21" s="75" t="str">
        <f t="shared" si="30"/>
        <v>계</v>
      </c>
      <c r="AF21" s="75" t="str">
        <f t="shared" si="31"/>
        <v>4/2</v>
      </c>
      <c r="AH21" s="20" t="str">
        <f t="shared" si="1"/>
        <v>창원경화베스티움</v>
      </c>
      <c r="AI21" s="106">
        <f t="shared" si="0"/>
        <v>34</v>
      </c>
      <c r="AJ21" s="75" t="str">
        <f t="shared" si="32"/>
        <v>A-</v>
      </c>
      <c r="AK21" s="75" t="s">
        <v>14</v>
      </c>
      <c r="AL21" s="75" t="s">
        <v>870</v>
      </c>
      <c r="AM21" s="75" t="s">
        <v>871</v>
      </c>
      <c r="AN21" s="75" t="str">
        <f t="shared" si="33"/>
        <v>C</v>
      </c>
      <c r="AO21" s="75" t="str">
        <f t="shared" si="34"/>
        <v/>
      </c>
      <c r="AP21" s="75" t="str">
        <f t="shared" si="35"/>
        <v/>
      </c>
      <c r="AQ21" s="75" t="str">
        <f t="shared" si="36"/>
        <v>O</v>
      </c>
      <c r="AR21" s="75" t="str">
        <f t="shared" si="37"/>
        <v>O</v>
      </c>
      <c r="AS21" s="75" t="s">
        <v>2</v>
      </c>
      <c r="AT21" s="75" t="str">
        <f t="shared" si="38"/>
        <v>O</v>
      </c>
      <c r="AU21" s="75" t="str">
        <f t="shared" si="39"/>
        <v>X</v>
      </c>
      <c r="AV21" s="75" t="str">
        <f t="shared" si="40"/>
        <v/>
      </c>
    </row>
    <row r="22" spans="1:48" x14ac:dyDescent="0.3">
      <c r="A22" s="9" t="s">
        <v>146</v>
      </c>
      <c r="B22" s="10" t="s">
        <v>875</v>
      </c>
      <c r="C22" s="107">
        <v>285</v>
      </c>
      <c r="D22" s="104">
        <v>111.6</v>
      </c>
      <c r="E22" s="106">
        <v>34</v>
      </c>
      <c r="F22" s="104">
        <v>84.9</v>
      </c>
      <c r="G22" s="17">
        <v>26</v>
      </c>
      <c r="H22" s="107">
        <v>78</v>
      </c>
      <c r="I22" s="108"/>
      <c r="J22" s="108"/>
      <c r="K22" s="108"/>
      <c r="L22" s="108"/>
      <c r="M22" s="109">
        <f t="shared" si="22"/>
        <v>0</v>
      </c>
      <c r="N22" s="4" t="str">
        <f t="shared" si="23"/>
        <v/>
      </c>
      <c r="O22" s="105">
        <f t="shared" si="24"/>
        <v>0</v>
      </c>
      <c r="P22" s="105">
        <f t="shared" si="25"/>
        <v>0</v>
      </c>
      <c r="Q22" s="75">
        <v>3</v>
      </c>
      <c r="R22" s="75">
        <v>2</v>
      </c>
      <c r="S22" s="75" t="s">
        <v>869</v>
      </c>
      <c r="T22" s="5" t="s">
        <v>154</v>
      </c>
      <c r="U22" s="9"/>
      <c r="W22" s="104">
        <f t="shared" si="26"/>
        <v>111.6</v>
      </c>
      <c r="X22" s="106">
        <f t="shared" si="26"/>
        <v>34</v>
      </c>
      <c r="Y22" s="102">
        <f t="shared" si="27"/>
        <v>78</v>
      </c>
      <c r="Z22" s="109">
        <f t="shared" si="27"/>
        <v>0</v>
      </c>
      <c r="AA22" s="109">
        <f t="shared" si="28"/>
        <v>0</v>
      </c>
      <c r="AB22" s="109">
        <f t="shared" si="29"/>
        <v>0</v>
      </c>
      <c r="AC22" s="4" t="str">
        <f t="shared" si="29"/>
        <v/>
      </c>
      <c r="AD22" s="105">
        <f t="shared" si="29"/>
        <v>0</v>
      </c>
      <c r="AE22" s="75" t="str">
        <f t="shared" si="30"/>
        <v>계</v>
      </c>
      <c r="AF22" s="75" t="str">
        <f t="shared" si="31"/>
        <v>3/2</v>
      </c>
      <c r="AH22" s="20" t="str">
        <f t="shared" si="1"/>
        <v>창원경화베스티움</v>
      </c>
      <c r="AI22" s="106">
        <f t="shared" si="0"/>
        <v>34</v>
      </c>
      <c r="AJ22" s="75" t="str">
        <f t="shared" si="32"/>
        <v>A-</v>
      </c>
      <c r="AK22" s="75" t="s">
        <v>14</v>
      </c>
      <c r="AL22" s="75" t="s">
        <v>870</v>
      </c>
      <c r="AM22" s="75" t="s">
        <v>871</v>
      </c>
      <c r="AN22" s="75" t="str">
        <f t="shared" si="33"/>
        <v>C</v>
      </c>
      <c r="AO22" s="75" t="str">
        <f t="shared" si="34"/>
        <v/>
      </c>
      <c r="AP22" s="75" t="str">
        <f t="shared" si="35"/>
        <v/>
      </c>
      <c r="AQ22" s="75" t="str">
        <f t="shared" si="36"/>
        <v>O</v>
      </c>
      <c r="AR22" s="75" t="str">
        <f t="shared" si="37"/>
        <v>O</v>
      </c>
      <c r="AS22" s="75" t="s">
        <v>2</v>
      </c>
      <c r="AT22" s="75" t="str">
        <f t="shared" si="38"/>
        <v>O</v>
      </c>
      <c r="AU22" s="75" t="str">
        <f t="shared" si="39"/>
        <v>X</v>
      </c>
      <c r="AV22" s="75" t="str">
        <f t="shared" si="40"/>
        <v/>
      </c>
    </row>
    <row r="23" spans="1:48" x14ac:dyDescent="0.3">
      <c r="A23" s="9" t="s">
        <v>146</v>
      </c>
      <c r="B23" s="10" t="s">
        <v>875</v>
      </c>
      <c r="C23" s="107">
        <v>285</v>
      </c>
      <c r="D23" s="104">
        <v>111.1</v>
      </c>
      <c r="E23" s="106">
        <v>34</v>
      </c>
      <c r="F23" s="104">
        <v>84.7</v>
      </c>
      <c r="G23" s="17">
        <v>26</v>
      </c>
      <c r="H23" s="107">
        <v>14</v>
      </c>
      <c r="I23" s="108"/>
      <c r="J23" s="108"/>
      <c r="K23" s="108"/>
      <c r="L23" s="108"/>
      <c r="M23" s="109">
        <f t="shared" si="22"/>
        <v>0</v>
      </c>
      <c r="N23" s="4" t="str">
        <f t="shared" si="23"/>
        <v/>
      </c>
      <c r="O23" s="105">
        <f t="shared" si="24"/>
        <v>0</v>
      </c>
      <c r="P23" s="105">
        <f t="shared" si="25"/>
        <v>0</v>
      </c>
      <c r="Q23" s="75">
        <v>3</v>
      </c>
      <c r="R23" s="75">
        <v>2</v>
      </c>
      <c r="S23" s="75" t="s">
        <v>869</v>
      </c>
      <c r="T23" s="5" t="s">
        <v>155</v>
      </c>
      <c r="U23" s="9"/>
      <c r="W23" s="104">
        <f t="shared" si="26"/>
        <v>111.1</v>
      </c>
      <c r="X23" s="106">
        <f t="shared" si="26"/>
        <v>34</v>
      </c>
      <c r="Y23" s="102">
        <f t="shared" si="27"/>
        <v>14</v>
      </c>
      <c r="Z23" s="109">
        <f t="shared" si="27"/>
        <v>0</v>
      </c>
      <c r="AA23" s="109">
        <f t="shared" si="28"/>
        <v>0</v>
      </c>
      <c r="AB23" s="109">
        <f t="shared" si="29"/>
        <v>0</v>
      </c>
      <c r="AC23" s="4" t="str">
        <f t="shared" si="29"/>
        <v/>
      </c>
      <c r="AD23" s="105">
        <f t="shared" si="29"/>
        <v>0</v>
      </c>
      <c r="AE23" s="75" t="str">
        <f t="shared" si="30"/>
        <v>계</v>
      </c>
      <c r="AF23" s="75" t="str">
        <f t="shared" si="31"/>
        <v>3/2</v>
      </c>
      <c r="AH23" s="20" t="str">
        <f t="shared" si="1"/>
        <v>창원경화베스티움</v>
      </c>
      <c r="AI23" s="106">
        <f t="shared" si="0"/>
        <v>34</v>
      </c>
      <c r="AJ23" s="75" t="str">
        <f t="shared" si="32"/>
        <v>A-</v>
      </c>
      <c r="AK23" s="75" t="s">
        <v>14</v>
      </c>
      <c r="AL23" s="75" t="s">
        <v>870</v>
      </c>
      <c r="AM23" s="75" t="s">
        <v>871</v>
      </c>
      <c r="AN23" s="75" t="str">
        <f t="shared" si="33"/>
        <v>C</v>
      </c>
      <c r="AO23" s="75" t="str">
        <f t="shared" si="34"/>
        <v/>
      </c>
      <c r="AP23" s="75" t="str">
        <f t="shared" si="35"/>
        <v/>
      </c>
      <c r="AQ23" s="75" t="str">
        <f t="shared" si="36"/>
        <v>O</v>
      </c>
      <c r="AR23" s="75" t="str">
        <f t="shared" si="37"/>
        <v>O</v>
      </c>
      <c r="AS23" s="75" t="s">
        <v>2</v>
      </c>
      <c r="AT23" s="75" t="str">
        <f t="shared" si="38"/>
        <v>O</v>
      </c>
      <c r="AU23" s="75" t="str">
        <f t="shared" si="39"/>
        <v>X</v>
      </c>
      <c r="AV23" s="75" t="str">
        <f t="shared" si="40"/>
        <v/>
      </c>
    </row>
    <row r="24" spans="1:48" x14ac:dyDescent="0.3">
      <c r="A24" s="9" t="s">
        <v>146</v>
      </c>
      <c r="B24" s="10" t="s">
        <v>875</v>
      </c>
      <c r="C24" s="107">
        <v>285</v>
      </c>
      <c r="D24" s="104">
        <v>192.5</v>
      </c>
      <c r="E24" s="106">
        <v>58</v>
      </c>
      <c r="F24" s="104">
        <v>145.6</v>
      </c>
      <c r="G24" s="17">
        <v>44</v>
      </c>
      <c r="H24" s="107">
        <v>6</v>
      </c>
      <c r="I24" s="108"/>
      <c r="J24" s="108"/>
      <c r="K24" s="108"/>
      <c r="L24" s="108"/>
      <c r="M24" s="109">
        <f t="shared" si="22"/>
        <v>0</v>
      </c>
      <c r="N24" s="4" t="str">
        <f t="shared" si="23"/>
        <v/>
      </c>
      <c r="O24" s="105">
        <f t="shared" si="24"/>
        <v>0</v>
      </c>
      <c r="P24" s="105">
        <f t="shared" si="25"/>
        <v>0</v>
      </c>
      <c r="Q24" s="75">
        <v>5</v>
      </c>
      <c r="R24" s="75">
        <v>3</v>
      </c>
      <c r="S24" s="75" t="s">
        <v>869</v>
      </c>
      <c r="T24" s="5" t="s">
        <v>156</v>
      </c>
      <c r="U24" s="9"/>
      <c r="W24" s="104">
        <f t="shared" si="26"/>
        <v>192.5</v>
      </c>
      <c r="X24" s="106">
        <f t="shared" si="26"/>
        <v>58</v>
      </c>
      <c r="Y24" s="102">
        <f t="shared" si="27"/>
        <v>6</v>
      </c>
      <c r="Z24" s="109">
        <f t="shared" si="27"/>
        <v>0</v>
      </c>
      <c r="AA24" s="109">
        <f t="shared" si="28"/>
        <v>0</v>
      </c>
      <c r="AB24" s="109">
        <f t="shared" si="29"/>
        <v>0</v>
      </c>
      <c r="AC24" s="4" t="str">
        <f t="shared" si="29"/>
        <v/>
      </c>
      <c r="AD24" s="105">
        <f t="shared" si="29"/>
        <v>0</v>
      </c>
      <c r="AE24" s="75" t="str">
        <f t="shared" si="30"/>
        <v>계</v>
      </c>
      <c r="AF24" s="75" t="str">
        <f t="shared" si="31"/>
        <v>5/3</v>
      </c>
      <c r="AH24" s="20" t="str">
        <f t="shared" si="1"/>
        <v>창원경화베스티움</v>
      </c>
      <c r="AI24" s="106">
        <f t="shared" si="0"/>
        <v>58</v>
      </c>
      <c r="AJ24" s="75" t="str">
        <f t="shared" si="32"/>
        <v>A-</v>
      </c>
      <c r="AK24" s="75" t="s">
        <v>14</v>
      </c>
      <c r="AL24" s="75" t="s">
        <v>870</v>
      </c>
      <c r="AM24" s="75" t="s">
        <v>871</v>
      </c>
      <c r="AN24" s="75" t="str">
        <f t="shared" si="33"/>
        <v>C</v>
      </c>
      <c r="AO24" s="75" t="str">
        <f t="shared" si="34"/>
        <v/>
      </c>
      <c r="AP24" s="75" t="str">
        <f t="shared" si="35"/>
        <v/>
      </c>
      <c r="AQ24" s="75" t="str">
        <f t="shared" si="36"/>
        <v>O</v>
      </c>
      <c r="AR24" s="75" t="str">
        <f t="shared" si="37"/>
        <v>O</v>
      </c>
      <c r="AS24" s="75" t="s">
        <v>2</v>
      </c>
      <c r="AT24" s="75" t="str">
        <f t="shared" si="38"/>
        <v>X</v>
      </c>
      <c r="AU24" s="75" t="str">
        <f t="shared" si="39"/>
        <v>X</v>
      </c>
      <c r="AV24" s="75" t="str">
        <f t="shared" si="40"/>
        <v/>
      </c>
    </row>
    <row r="25" spans="1:48" x14ac:dyDescent="0.3">
      <c r="A25" s="9"/>
      <c r="B25" s="75"/>
      <c r="C25" s="6"/>
      <c r="D25" s="9"/>
      <c r="E25" s="14"/>
      <c r="F25" s="104"/>
      <c r="G25" s="9"/>
      <c r="H25" s="9"/>
      <c r="I25" s="9"/>
      <c r="J25" s="9"/>
      <c r="K25" s="9"/>
      <c r="L25" s="9"/>
      <c r="M25" s="9"/>
      <c r="N25" s="9"/>
      <c r="O25" s="105"/>
      <c r="P25" s="105"/>
      <c r="Q25" s="106"/>
      <c r="R25" s="106"/>
      <c r="S25" s="9"/>
      <c r="T25" s="48"/>
      <c r="U25" s="9"/>
      <c r="W25" s="70" t="str">
        <f>$A$4&amp;" "&amp;A26&amp;"("&amp;B26&amp;","&amp;C26&amp;"^)"</f>
        <v>경화동 경화삼정그린코아1단지('05.08.,202^)</v>
      </c>
      <c r="X25" s="71"/>
      <c r="Y25" s="71"/>
      <c r="Z25" s="71"/>
      <c r="AA25" s="71"/>
      <c r="AB25" s="71"/>
      <c r="AC25" s="71"/>
      <c r="AD25" s="71"/>
      <c r="AE25" s="71"/>
      <c r="AF25" s="72"/>
      <c r="AH25" s="20" t="str">
        <f t="shared" si="1"/>
        <v/>
      </c>
      <c r="AI25" s="103" t="str">
        <f t="shared" si="0"/>
        <v/>
      </c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</row>
    <row r="26" spans="1:48" x14ac:dyDescent="0.3">
      <c r="A26" s="9" t="s">
        <v>179</v>
      </c>
      <c r="B26" s="10" t="s">
        <v>876</v>
      </c>
      <c r="C26" s="107">
        <v>202</v>
      </c>
      <c r="D26" s="104">
        <v>111.2</v>
      </c>
      <c r="E26" s="106">
        <v>34</v>
      </c>
      <c r="F26" s="104">
        <v>84.9</v>
      </c>
      <c r="G26" s="17">
        <v>26</v>
      </c>
      <c r="H26" s="107">
        <v>202</v>
      </c>
      <c r="I26" s="108"/>
      <c r="J26" s="108"/>
      <c r="K26" s="108"/>
      <c r="L26" s="108"/>
      <c r="M26" s="109">
        <f>I26-K26</f>
        <v>0</v>
      </c>
      <c r="N26" s="4" t="str">
        <f>IF(ISERROR(K26/I26),"",K26/I26)</f>
        <v/>
      </c>
      <c r="O26" s="105">
        <f>I26/E26</f>
        <v>0</v>
      </c>
      <c r="P26" s="105">
        <f>K26/E26</f>
        <v>0</v>
      </c>
      <c r="Q26" s="75">
        <v>3</v>
      </c>
      <c r="R26" s="75">
        <v>2</v>
      </c>
      <c r="S26" s="75" t="s">
        <v>869</v>
      </c>
      <c r="T26" s="5">
        <v>111</v>
      </c>
      <c r="U26" s="9"/>
      <c r="W26" s="104">
        <f>D26</f>
        <v>111.2</v>
      </c>
      <c r="X26" s="106">
        <f>E26</f>
        <v>34</v>
      </c>
      <c r="Y26" s="102">
        <f>H26</f>
        <v>202</v>
      </c>
      <c r="Z26" s="109">
        <f>I26</f>
        <v>0</v>
      </c>
      <c r="AA26" s="109">
        <f>K26</f>
        <v>0</v>
      </c>
      <c r="AB26" s="109">
        <f>M26</f>
        <v>0</v>
      </c>
      <c r="AC26" s="4" t="str">
        <f>N26</f>
        <v/>
      </c>
      <c r="AD26" s="105">
        <f>O26</f>
        <v>0</v>
      </c>
      <c r="AE26" s="75" t="str">
        <f>S26</f>
        <v>계</v>
      </c>
      <c r="AF26" s="75" t="str">
        <f>Q26&amp;"/"&amp;R26</f>
        <v>3/2</v>
      </c>
      <c r="AH26" s="20" t="str">
        <f t="shared" si="1"/>
        <v>경화삼정그린코아1단지</v>
      </c>
      <c r="AI26" s="106">
        <f t="shared" si="0"/>
        <v>34</v>
      </c>
      <c r="AJ26" s="75" t="str">
        <f>IF(AI26="","",$AJ$2)</f>
        <v>A-</v>
      </c>
      <c r="AK26" s="75" t="s">
        <v>14</v>
      </c>
      <c r="AL26" s="75" t="s">
        <v>870</v>
      </c>
      <c r="AM26" s="75" t="s">
        <v>871</v>
      </c>
      <c r="AN26" s="75" t="str">
        <f>IF(AI26="","",$AN$2)</f>
        <v>C</v>
      </c>
      <c r="AO26" s="75" t="str">
        <f>IF(N26="","",IF(N26&gt;=$AO$1/100,"O","X"))</f>
        <v/>
      </c>
      <c r="AP26" s="75" t="str">
        <f>IF(I26="","",IF(I26&lt;=$AP$1,"O","X"))</f>
        <v/>
      </c>
      <c r="AQ26" s="75" t="str">
        <f>IF(O26="","",IF(O26&lt;=$AQ$1,"O","X"))</f>
        <v>O</v>
      </c>
      <c r="AR26" s="75" t="str">
        <f>IF(M26="","",IF(M26&lt;=$AR$1,"O","X"))</f>
        <v>O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X</v>
      </c>
      <c r="AV26" s="75" t="str">
        <f>IF(AO26="","",IF(AND(AO26="O",AP26="O",AR26="O",AT26="O",AU26="O"),"후보","X"))</f>
        <v/>
      </c>
    </row>
    <row r="27" spans="1:48" x14ac:dyDescent="0.3">
      <c r="A27" s="9"/>
      <c r="B27" s="75"/>
      <c r="C27" s="6"/>
      <c r="D27" s="9"/>
      <c r="E27" s="14"/>
      <c r="F27" s="104"/>
      <c r="G27" s="9"/>
      <c r="H27" s="9"/>
      <c r="I27" s="9"/>
      <c r="J27" s="9"/>
      <c r="K27" s="9"/>
      <c r="L27" s="9"/>
      <c r="M27" s="9"/>
      <c r="N27" s="9"/>
      <c r="O27" s="105"/>
      <c r="P27" s="105"/>
      <c r="Q27" s="106"/>
      <c r="R27" s="106"/>
      <c r="S27" s="9"/>
      <c r="T27" s="48"/>
      <c r="U27" s="9"/>
      <c r="W27" s="70" t="str">
        <f>$A$4&amp;" "&amp;A28&amp;"("&amp;B28&amp;","&amp;C28&amp;"^)"</f>
        <v>경화동 경화주공('86.11.,420^)</v>
      </c>
      <c r="X27" s="71"/>
      <c r="Y27" s="71"/>
      <c r="Z27" s="71"/>
      <c r="AA27" s="71"/>
      <c r="AB27" s="71"/>
      <c r="AC27" s="71"/>
      <c r="AD27" s="71"/>
      <c r="AE27" s="71"/>
      <c r="AF27" s="72"/>
      <c r="AH27" s="20" t="str">
        <f t="shared" si="1"/>
        <v/>
      </c>
      <c r="AI27" s="103" t="str">
        <f t="shared" si="0"/>
        <v/>
      </c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</row>
    <row r="28" spans="1:48" x14ac:dyDescent="0.3">
      <c r="A28" s="9" t="s">
        <v>193</v>
      </c>
      <c r="B28" s="10" t="s">
        <v>877</v>
      </c>
      <c r="C28" s="107">
        <v>420</v>
      </c>
      <c r="D28" s="104">
        <v>37.4</v>
      </c>
      <c r="E28" s="106">
        <v>11</v>
      </c>
      <c r="F28" s="104">
        <v>32</v>
      </c>
      <c r="G28" s="17">
        <v>10</v>
      </c>
      <c r="H28" s="107">
        <v>220</v>
      </c>
      <c r="I28" s="108">
        <v>9000</v>
      </c>
      <c r="J28" s="108" t="s">
        <v>873</v>
      </c>
      <c r="K28" s="108">
        <v>3500</v>
      </c>
      <c r="L28" s="108" t="s">
        <v>878</v>
      </c>
      <c r="M28" s="109">
        <f>I28-K28</f>
        <v>5500</v>
      </c>
      <c r="N28" s="4">
        <f>IF(ISERROR(K28/I28),"",K28/I28)</f>
        <v>0.3888888888888889</v>
      </c>
      <c r="O28" s="105">
        <f>I28/E28</f>
        <v>818.18181818181813</v>
      </c>
      <c r="P28" s="105">
        <f>K28/E28</f>
        <v>318.18181818181819</v>
      </c>
      <c r="Q28" s="75">
        <v>2</v>
      </c>
      <c r="R28" s="75">
        <v>1</v>
      </c>
      <c r="S28" s="75" t="s">
        <v>869</v>
      </c>
      <c r="T28" s="5">
        <v>37</v>
      </c>
      <c r="U28" s="9"/>
      <c r="W28" s="104">
        <f>D28</f>
        <v>37.4</v>
      </c>
      <c r="X28" s="106">
        <f>E28</f>
        <v>11</v>
      </c>
      <c r="Y28" s="102">
        <f>H28</f>
        <v>220</v>
      </c>
      <c r="Z28" s="109">
        <f>I28</f>
        <v>9000</v>
      </c>
      <c r="AA28" s="109">
        <f>K28</f>
        <v>3500</v>
      </c>
      <c r="AB28" s="109">
        <f t="shared" ref="AB28:AD29" si="41">M28</f>
        <v>5500</v>
      </c>
      <c r="AC28" s="4">
        <f t="shared" si="41"/>
        <v>0.3888888888888889</v>
      </c>
      <c r="AD28" s="105">
        <f t="shared" si="41"/>
        <v>818.18181818181813</v>
      </c>
      <c r="AE28" s="75" t="str">
        <f>S28</f>
        <v>계</v>
      </c>
      <c r="AF28" s="75" t="str">
        <f>Q28&amp;"/"&amp;R28</f>
        <v>2/1</v>
      </c>
      <c r="AH28" s="20" t="str">
        <f t="shared" si="1"/>
        <v>경화주공</v>
      </c>
      <c r="AI28" s="106">
        <f t="shared" si="0"/>
        <v>11</v>
      </c>
      <c r="AJ28" s="75" t="str">
        <f>IF(AI28="","",$AJ$2)</f>
        <v>A-</v>
      </c>
      <c r="AK28" s="75" t="s">
        <v>14</v>
      </c>
      <c r="AL28" s="75" t="s">
        <v>870</v>
      </c>
      <c r="AM28" s="75" t="s">
        <v>871</v>
      </c>
      <c r="AN28" s="75" t="str">
        <f>IF(AI28="","",$AN$2)</f>
        <v>C</v>
      </c>
      <c r="AO28" s="75" t="str">
        <f>IF(N28="","",IF(N28&gt;=$AO$1/100,"O","X"))</f>
        <v>X</v>
      </c>
      <c r="AP28" s="75" t="str">
        <f>IF(I28="","",IF(I28&lt;=$AP$1,"O","X"))</f>
        <v>O</v>
      </c>
      <c r="AQ28" s="75" t="str">
        <f>IF(O28="","",IF(O28&lt;=$AQ$1,"O","X"))</f>
        <v>O</v>
      </c>
      <c r="AR28" s="75" t="str">
        <f>IF(M28="","",IF(M28&lt;=$AR$1,"O","X"))</f>
        <v>O</v>
      </c>
      <c r="AS28" s="75" t="s">
        <v>2</v>
      </c>
      <c r="AT28" s="75" t="str">
        <f>IF(OR(F28="",AI28=""),"",IF(AND((F28&lt;=85),(AI28&gt;=15)),"O","X"))</f>
        <v>X</v>
      </c>
      <c r="AU28" s="75" t="str">
        <f>IF(C28="","",IF(C28&gt;=$AU$1,"O","X"))</f>
        <v>O</v>
      </c>
      <c r="AV28" s="75" t="str">
        <f>IF(AO28="","",IF(AND(AO28="O",AP28="O",AR28="O",AT28="O",AU28="O"),"후보","X"))</f>
        <v>X</v>
      </c>
    </row>
    <row r="29" spans="1:48" x14ac:dyDescent="0.3">
      <c r="A29" s="9" t="s">
        <v>193</v>
      </c>
      <c r="B29" s="10" t="s">
        <v>877</v>
      </c>
      <c r="C29" s="107">
        <v>420</v>
      </c>
      <c r="D29" s="104">
        <v>45.1</v>
      </c>
      <c r="E29" s="106">
        <v>14</v>
      </c>
      <c r="F29" s="104">
        <v>39.700000000000003</v>
      </c>
      <c r="G29" s="17">
        <v>12</v>
      </c>
      <c r="H29" s="107">
        <v>200</v>
      </c>
      <c r="I29" s="108">
        <v>10700</v>
      </c>
      <c r="J29" s="108" t="s">
        <v>873</v>
      </c>
      <c r="K29" s="108">
        <v>7500</v>
      </c>
      <c r="L29" s="108" t="s">
        <v>878</v>
      </c>
      <c r="M29" s="109">
        <f>I29-K29</f>
        <v>3200</v>
      </c>
      <c r="N29" s="4">
        <f>IF(ISERROR(K29/I29),"",K29/I29)</f>
        <v>0.7009345794392523</v>
      </c>
      <c r="O29" s="105">
        <f>I29/E29</f>
        <v>764.28571428571433</v>
      </c>
      <c r="P29" s="105">
        <f>K29/E29</f>
        <v>535.71428571428567</v>
      </c>
      <c r="Q29" s="75">
        <v>2</v>
      </c>
      <c r="R29" s="75">
        <v>1</v>
      </c>
      <c r="S29" s="75" t="s">
        <v>869</v>
      </c>
      <c r="T29" s="5">
        <v>45</v>
      </c>
      <c r="U29" s="9"/>
      <c r="W29" s="104">
        <f>D29</f>
        <v>45.1</v>
      </c>
      <c r="X29" s="106">
        <f>E29</f>
        <v>14</v>
      </c>
      <c r="Y29" s="102">
        <f>H29</f>
        <v>200</v>
      </c>
      <c r="Z29" s="109">
        <f>I29</f>
        <v>10700</v>
      </c>
      <c r="AA29" s="109">
        <f>K29</f>
        <v>7500</v>
      </c>
      <c r="AB29" s="109">
        <f t="shared" si="41"/>
        <v>3200</v>
      </c>
      <c r="AC29" s="4">
        <f t="shared" si="41"/>
        <v>0.7009345794392523</v>
      </c>
      <c r="AD29" s="105">
        <f t="shared" si="41"/>
        <v>764.28571428571433</v>
      </c>
      <c r="AE29" s="75" t="str">
        <f>S29</f>
        <v>계</v>
      </c>
      <c r="AF29" s="75" t="str">
        <f>Q29&amp;"/"&amp;R29</f>
        <v>2/1</v>
      </c>
      <c r="AH29" s="20" t="str">
        <f t="shared" si="1"/>
        <v>경화주공</v>
      </c>
      <c r="AI29" s="106">
        <f t="shared" si="0"/>
        <v>14</v>
      </c>
      <c r="AJ29" s="75" t="str">
        <f>IF(AI29="","",$AJ$2)</f>
        <v>A-</v>
      </c>
      <c r="AK29" s="75" t="s">
        <v>14</v>
      </c>
      <c r="AL29" s="75" t="s">
        <v>870</v>
      </c>
      <c r="AM29" s="75" t="s">
        <v>871</v>
      </c>
      <c r="AN29" s="75" t="str">
        <f>IF(AI29="","",$AN$2)</f>
        <v>C</v>
      </c>
      <c r="AO29" s="75" t="str">
        <f>IF(N29="","",IF(N29&gt;=$AO$1/100,"O","X"))</f>
        <v>X</v>
      </c>
      <c r="AP29" s="75" t="str">
        <f>IF(I29="","",IF(I29&lt;=$AP$1,"O","X"))</f>
        <v>O</v>
      </c>
      <c r="AQ29" s="75" t="str">
        <f>IF(O29="","",IF(O29&lt;=$AQ$1,"O","X"))</f>
        <v>O</v>
      </c>
      <c r="AR29" s="75" t="str">
        <f>IF(M29="","",IF(M29&lt;=$AR$1,"O","X"))</f>
        <v>O</v>
      </c>
      <c r="AS29" s="75" t="s">
        <v>2</v>
      </c>
      <c r="AT29" s="75" t="str">
        <f>IF(OR(F29="",AI29=""),"",IF(AND((F29&lt;=85),(AI29&gt;=15)),"O","X"))</f>
        <v>X</v>
      </c>
      <c r="AU29" s="75" t="str">
        <f>IF(C29="","",IF(C29&gt;=$AU$1,"O","X"))</f>
        <v>O</v>
      </c>
      <c r="AV29" s="75" t="str">
        <f>IF(AO29="","",IF(AND(AO29="O",AP29="O",AR29="O",AT29="O",AU29="O"),"후보","X"))</f>
        <v>X</v>
      </c>
    </row>
    <row r="30" spans="1:48" x14ac:dyDescent="0.3">
      <c r="A30" s="9"/>
      <c r="B30" s="75"/>
      <c r="C30" s="6"/>
      <c r="D30" s="9"/>
      <c r="E30" s="14"/>
      <c r="F30" s="104"/>
      <c r="G30" s="9"/>
      <c r="H30" s="9"/>
      <c r="I30" s="9"/>
      <c r="J30" s="9"/>
      <c r="K30" s="9"/>
      <c r="L30" s="9"/>
      <c r="M30" s="9"/>
      <c r="N30" s="9"/>
      <c r="O30" s="105"/>
      <c r="P30" s="105"/>
      <c r="Q30" s="106"/>
      <c r="R30" s="106"/>
      <c r="S30" s="9"/>
      <c r="T30" s="48"/>
      <c r="U30" s="9"/>
      <c r="W30" s="70" t="str">
        <f>$A$4&amp;" "&amp;A31&amp;"("&amp;B31&amp;","&amp;C31&amp;"^)"</f>
        <v>경화동 포스코더샵('05.11.,441^)</v>
      </c>
      <c r="X30" s="71"/>
      <c r="Y30" s="71"/>
      <c r="Z30" s="71"/>
      <c r="AA30" s="71"/>
      <c r="AB30" s="71"/>
      <c r="AC30" s="71"/>
      <c r="AD30" s="71"/>
      <c r="AE30" s="71"/>
      <c r="AF30" s="72"/>
      <c r="AH30" s="20" t="str">
        <f t="shared" si="1"/>
        <v/>
      </c>
      <c r="AI30" s="103" t="str">
        <f t="shared" si="0"/>
        <v/>
      </c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</row>
    <row r="31" spans="1:48" x14ac:dyDescent="0.3">
      <c r="A31" s="9" t="s">
        <v>202</v>
      </c>
      <c r="B31" s="10" t="s">
        <v>879</v>
      </c>
      <c r="C31" s="107">
        <v>441</v>
      </c>
      <c r="D31" s="104">
        <v>111.5</v>
      </c>
      <c r="E31" s="106">
        <v>34</v>
      </c>
      <c r="F31" s="104">
        <v>84.9</v>
      </c>
      <c r="G31" s="17">
        <v>26</v>
      </c>
      <c r="H31" s="107">
        <v>351</v>
      </c>
      <c r="I31" s="108">
        <v>24000</v>
      </c>
      <c r="J31" s="108" t="s">
        <v>873</v>
      </c>
      <c r="K31" s="108"/>
      <c r="L31" s="108"/>
      <c r="M31" s="109">
        <f>I31-K31</f>
        <v>24000</v>
      </c>
      <c r="N31" s="4">
        <f>IF(ISERROR(K31/I31),"",K31/I31)</f>
        <v>0</v>
      </c>
      <c r="O31" s="105">
        <f>I31/E31</f>
        <v>705.88235294117646</v>
      </c>
      <c r="P31" s="105">
        <f>K31/E31</f>
        <v>0</v>
      </c>
      <c r="Q31" s="75">
        <v>3</v>
      </c>
      <c r="R31" s="75">
        <v>2</v>
      </c>
      <c r="S31" s="75" t="s">
        <v>869</v>
      </c>
      <c r="T31" s="5">
        <v>111</v>
      </c>
      <c r="U31" s="9"/>
      <c r="W31" s="104">
        <f>D31</f>
        <v>111.5</v>
      </c>
      <c r="X31" s="106">
        <f>E31</f>
        <v>34</v>
      </c>
      <c r="Y31" s="102">
        <f>H31</f>
        <v>351</v>
      </c>
      <c r="Z31" s="109">
        <f>I31</f>
        <v>24000</v>
      </c>
      <c r="AA31" s="109">
        <f>K31</f>
        <v>0</v>
      </c>
      <c r="AB31" s="109">
        <f t="shared" ref="AB31:AD32" si="42">M31</f>
        <v>24000</v>
      </c>
      <c r="AC31" s="4">
        <f t="shared" si="42"/>
        <v>0</v>
      </c>
      <c r="AD31" s="105">
        <f t="shared" si="42"/>
        <v>705.88235294117646</v>
      </c>
      <c r="AE31" s="75" t="str">
        <f>S31</f>
        <v>계</v>
      </c>
      <c r="AF31" s="75" t="str">
        <f>Q31&amp;"/"&amp;R31</f>
        <v>3/2</v>
      </c>
      <c r="AH31" s="20" t="str">
        <f t="shared" si="1"/>
        <v>포스코더샵</v>
      </c>
      <c r="AI31" s="106">
        <f t="shared" si="0"/>
        <v>34</v>
      </c>
      <c r="AJ31" s="75" t="str">
        <f>IF(AI31="","",$AJ$2)</f>
        <v>A-</v>
      </c>
      <c r="AK31" s="75" t="s">
        <v>14</v>
      </c>
      <c r="AL31" s="75" t="s">
        <v>870</v>
      </c>
      <c r="AM31" s="75" t="s">
        <v>871</v>
      </c>
      <c r="AN31" s="75" t="str">
        <f>IF(AI31="","",$AN$2)</f>
        <v>C</v>
      </c>
      <c r="AO31" s="75" t="str">
        <f>IF(N31="","",IF(N31&gt;=$AO$1/100,"O","X"))</f>
        <v>X</v>
      </c>
      <c r="AP31" s="75" t="str">
        <f>IF(I31="","",IF(I31&lt;=$AP$1,"O","X"))</f>
        <v>O</v>
      </c>
      <c r="AQ31" s="75" t="str">
        <f>IF(O31="","",IF(O31&lt;=$AQ$1,"O","X"))</f>
        <v>O</v>
      </c>
      <c r="AR31" s="75" t="str">
        <f>IF(M31="","",IF(M31&lt;=$AR$1,"O","X"))</f>
        <v>X</v>
      </c>
      <c r="AS31" s="75" t="s">
        <v>2</v>
      </c>
      <c r="AT31" s="75" t="str">
        <f>IF(OR(F31="",AI31=""),"",IF(AND((F31&lt;=85),(AI31&gt;=15)),"O","X"))</f>
        <v>O</v>
      </c>
      <c r="AU31" s="75" t="str">
        <f>IF(C31="","",IF(C31&gt;=$AU$1,"O","X"))</f>
        <v>O</v>
      </c>
      <c r="AV31" s="75" t="str">
        <f>IF(AO31="","",IF(AND(AO31="O",AP31="O",AR31="O",AT31="O",AU31="O"),"후보","X"))</f>
        <v>X</v>
      </c>
    </row>
    <row r="32" spans="1:48" x14ac:dyDescent="0.3">
      <c r="A32" s="9" t="s">
        <v>202</v>
      </c>
      <c r="B32" s="10" t="s">
        <v>879</v>
      </c>
      <c r="C32" s="107">
        <v>441</v>
      </c>
      <c r="D32" s="104">
        <v>113.6</v>
      </c>
      <c r="E32" s="106">
        <v>34</v>
      </c>
      <c r="F32" s="104">
        <v>84.9</v>
      </c>
      <c r="G32" s="17">
        <v>26</v>
      </c>
      <c r="H32" s="107">
        <v>90</v>
      </c>
      <c r="I32" s="108">
        <v>24000</v>
      </c>
      <c r="J32" s="108" t="s">
        <v>868</v>
      </c>
      <c r="K32" s="108"/>
      <c r="L32" s="108"/>
      <c r="M32" s="109">
        <f>I32-K32</f>
        <v>24000</v>
      </c>
      <c r="N32" s="4">
        <f>IF(ISERROR(K32/I32),"",K32/I32)</f>
        <v>0</v>
      </c>
      <c r="O32" s="105">
        <f>I32/E32</f>
        <v>705.88235294117646</v>
      </c>
      <c r="P32" s="105">
        <f>K32/E32</f>
        <v>0</v>
      </c>
      <c r="Q32" s="75">
        <v>3</v>
      </c>
      <c r="R32" s="75">
        <v>2</v>
      </c>
      <c r="S32" s="75" t="s">
        <v>869</v>
      </c>
      <c r="T32" s="5">
        <v>113</v>
      </c>
      <c r="U32" s="9"/>
      <c r="W32" s="104">
        <f>D32</f>
        <v>113.6</v>
      </c>
      <c r="X32" s="106">
        <f>E32</f>
        <v>34</v>
      </c>
      <c r="Y32" s="102">
        <f>H32</f>
        <v>90</v>
      </c>
      <c r="Z32" s="109">
        <f>I32</f>
        <v>24000</v>
      </c>
      <c r="AA32" s="109">
        <f>K32</f>
        <v>0</v>
      </c>
      <c r="AB32" s="109">
        <f t="shared" si="42"/>
        <v>24000</v>
      </c>
      <c r="AC32" s="4">
        <f t="shared" si="42"/>
        <v>0</v>
      </c>
      <c r="AD32" s="105">
        <f t="shared" si="42"/>
        <v>705.88235294117646</v>
      </c>
      <c r="AE32" s="75" t="str">
        <f>S32</f>
        <v>계</v>
      </c>
      <c r="AF32" s="75" t="str">
        <f>Q32&amp;"/"&amp;R32</f>
        <v>3/2</v>
      </c>
      <c r="AH32" s="20" t="str">
        <f t="shared" si="1"/>
        <v>포스코더샵</v>
      </c>
      <c r="AI32" s="106">
        <f t="shared" si="0"/>
        <v>34</v>
      </c>
      <c r="AJ32" s="75" t="str">
        <f>IF(AI32="","",$AJ$2)</f>
        <v>A-</v>
      </c>
      <c r="AK32" s="75" t="s">
        <v>14</v>
      </c>
      <c r="AL32" s="75" t="s">
        <v>870</v>
      </c>
      <c r="AM32" s="75" t="s">
        <v>871</v>
      </c>
      <c r="AN32" s="75" t="str">
        <f>IF(AI32="","",$AN$2)</f>
        <v>C</v>
      </c>
      <c r="AO32" s="75" t="str">
        <f>IF(N32="","",IF(N32&gt;=$AO$1/100,"O","X"))</f>
        <v>X</v>
      </c>
      <c r="AP32" s="75" t="str">
        <f>IF(I32="","",IF(I32&lt;=$AP$1,"O","X"))</f>
        <v>O</v>
      </c>
      <c r="AQ32" s="75" t="str">
        <f>IF(O32="","",IF(O32&lt;=$AQ$1,"O","X"))</f>
        <v>O</v>
      </c>
      <c r="AR32" s="75" t="str">
        <f>IF(M32="","",IF(M32&lt;=$AR$1,"O","X"))</f>
        <v>X</v>
      </c>
      <c r="AS32" s="75" t="s">
        <v>2</v>
      </c>
      <c r="AT32" s="75" t="str">
        <f>IF(OR(F32="",AI32=""),"",IF(AND((F32&lt;=85),(AI32&gt;=15)),"O","X"))</f>
        <v>O</v>
      </c>
      <c r="AU32" s="75" t="str">
        <f>IF(C32="","",IF(C32&gt;=$AU$1,"O","X"))</f>
        <v>O</v>
      </c>
      <c r="AV32" s="75" t="str">
        <f>IF(AO32="","",IF(AND(AO32="O",AP32="O",AR32="O",AT32="O",AU32="O"),"후보","X"))</f>
        <v>X</v>
      </c>
    </row>
  </sheetData>
  <mergeCells count="1">
    <mergeCell ref="AJ1:AN1"/>
  </mergeCells>
  <phoneticPr fontId="2" type="noConversion"/>
  <conditionalFormatting sqref="AV4:AV6">
    <cfRule type="expression" dxfId="4155" priority="444">
      <formula>AV4="X"</formula>
    </cfRule>
    <cfRule type="expression" dxfId="4154" priority="445">
      <formula>AV4="후보"</formula>
    </cfRule>
  </conditionalFormatting>
  <conditionalFormatting sqref="AC1:AC2 AC4:AC6 N4:N5">
    <cfRule type="cellIs" dxfId="4153" priority="441" operator="greaterThan">
      <formula>0.9</formula>
    </cfRule>
    <cfRule type="cellIs" dxfId="4152" priority="442" operator="greaterThan">
      <formula>0.85</formula>
    </cfRule>
  </conditionalFormatting>
  <conditionalFormatting sqref="N1:N2">
    <cfRule type="cellIs" dxfId="4151" priority="439" operator="greaterThan">
      <formula>0.9</formula>
    </cfRule>
    <cfRule type="cellIs" dxfId="4150" priority="440" operator="greaterThan">
      <formula>0.85</formula>
    </cfRule>
  </conditionalFormatting>
  <conditionalFormatting sqref="N6">
    <cfRule type="cellIs" dxfId="4149" priority="437" operator="greaterThan">
      <formula>0.9</formula>
    </cfRule>
    <cfRule type="cellIs" dxfId="4148" priority="438" operator="greaterThan">
      <formula>0.85</formula>
    </cfRule>
  </conditionalFormatting>
  <conditionalFormatting sqref="E6">
    <cfRule type="expression" dxfId="4147" priority="433">
      <formula>AND(IF(OR($Q6=1,$Q6=2),1,0),IF($X6&lt;=20,1,0))</formula>
    </cfRule>
    <cfRule type="expression" dxfId="4146" priority="434">
      <formula>AND(IF($Q6=2,1,0),IF($X6&lt;30,1,0))</formula>
    </cfRule>
    <cfRule type="expression" dxfId="4145" priority="435">
      <formula>AND(IF($Q6=3,1,0),IF($X6&lt;30,1,0))</formula>
    </cfRule>
    <cfRule type="expression" dxfId="4144" priority="436">
      <formula>AND(IF($Q6=3,1,IF($Q6=4,1,0)),IF($F6&lt;=85,1,0))</formula>
    </cfRule>
  </conditionalFormatting>
  <conditionalFormatting sqref="X6">
    <cfRule type="expression" dxfId="4143" priority="429">
      <formula>AND(IF(OR($Q6=1,$Q6=2),1,0),IF($X6&lt;=20,1,0))</formula>
    </cfRule>
    <cfRule type="expression" dxfId="4142" priority="430">
      <formula>AND(IF($Q6=2,1,0),IF($X6&lt;30,1,0))</formula>
    </cfRule>
    <cfRule type="expression" dxfId="4141" priority="431">
      <formula>AND(IF($Q6=3,1,0),IF($X6&lt;30,1,0))</formula>
    </cfRule>
    <cfRule type="expression" dxfId="4140" priority="432">
      <formula>AND(IF($Q6=3,1,IF($Q6=4,1,0)),IF($F6&lt;=85,1,0))</formula>
    </cfRule>
  </conditionalFormatting>
  <conditionalFormatting sqref="AI6">
    <cfRule type="expression" dxfId="4139" priority="425">
      <formula>AND(IF(OR($Q6=1,$Q6=2),1,0),IF($X6&lt;=20,1,0))</formula>
    </cfRule>
    <cfRule type="expression" dxfId="4138" priority="426">
      <formula>AND(IF($Q6=2,1,0),IF($X6&lt;30,1,0))</formula>
    </cfRule>
    <cfRule type="expression" dxfId="4137" priority="427">
      <formula>AND(IF($Q6=3,1,0),IF($X6&lt;30,1,0))</formula>
    </cfRule>
    <cfRule type="expression" dxfId="4136" priority="428">
      <formula>AND(IF($Q6=3,1,IF($Q6=4,1,0)),IF($F6&lt;=85,1,0))</formula>
    </cfRule>
  </conditionalFormatting>
  <conditionalFormatting sqref="AV7">
    <cfRule type="expression" dxfId="4135" priority="423">
      <formula>AV7="X"</formula>
    </cfRule>
    <cfRule type="expression" dxfId="4134" priority="424">
      <formula>AV7="후보"</formula>
    </cfRule>
  </conditionalFormatting>
  <conditionalFormatting sqref="AC7">
    <cfRule type="cellIs" dxfId="4133" priority="420" operator="greaterThan">
      <formula>0.9</formula>
    </cfRule>
    <cfRule type="cellIs" dxfId="4132" priority="421" operator="greaterThan">
      <formula>0.85</formula>
    </cfRule>
  </conditionalFormatting>
  <conditionalFormatting sqref="N7">
    <cfRule type="cellIs" dxfId="4131" priority="418" operator="greaterThan">
      <formula>0.9</formula>
    </cfRule>
    <cfRule type="cellIs" dxfId="4130" priority="419" operator="greaterThan">
      <formula>0.85</formula>
    </cfRule>
  </conditionalFormatting>
  <conditionalFormatting sqref="E7">
    <cfRule type="expression" dxfId="4129" priority="414">
      <formula>AND(IF(OR($Q7=1,$Q7=2),1,0),IF($X7&lt;=20,1,0))</formula>
    </cfRule>
    <cfRule type="expression" dxfId="4128" priority="415">
      <formula>AND(IF($Q7=2,1,0),IF($X7&lt;30,1,0))</formula>
    </cfRule>
    <cfRule type="expression" dxfId="4127" priority="416">
      <formula>AND(IF($Q7=3,1,0),IF($X7&lt;30,1,0))</formula>
    </cfRule>
    <cfRule type="expression" dxfId="4126" priority="417">
      <formula>AND(IF($Q7=3,1,IF($Q7=4,1,0)),IF($F7&lt;=85,1,0))</formula>
    </cfRule>
  </conditionalFormatting>
  <conditionalFormatting sqref="X7">
    <cfRule type="expression" dxfId="4125" priority="410">
      <formula>AND(IF(OR($Q7=1,$Q7=2),1,0),IF($X7&lt;=20,1,0))</formula>
    </cfRule>
    <cfRule type="expression" dxfId="4124" priority="411">
      <formula>AND(IF($Q7=2,1,0),IF($X7&lt;30,1,0))</formula>
    </cfRule>
    <cfRule type="expression" dxfId="4123" priority="412">
      <formula>AND(IF($Q7=3,1,0),IF($X7&lt;30,1,0))</formula>
    </cfRule>
    <cfRule type="expression" dxfId="4122" priority="413">
      <formula>AND(IF($Q7=3,1,IF($Q7=4,1,0)),IF($F7&lt;=85,1,0))</formula>
    </cfRule>
  </conditionalFormatting>
  <conditionalFormatting sqref="AI7">
    <cfRule type="expression" dxfId="4121" priority="406">
      <formula>AND(IF(OR($Q7=1,$Q7=2),1,0),IF($X7&lt;=20,1,0))</formula>
    </cfRule>
    <cfRule type="expression" dxfId="4120" priority="407">
      <formula>AND(IF($Q7=2,1,0),IF($X7&lt;30,1,0))</formula>
    </cfRule>
    <cfRule type="expression" dxfId="4119" priority="408">
      <formula>AND(IF($Q7=3,1,0),IF($X7&lt;30,1,0))</formula>
    </cfRule>
    <cfRule type="expression" dxfId="4118" priority="409">
      <formula>AND(IF($Q7=3,1,IF($Q7=4,1,0)),IF($F7&lt;=85,1,0))</formula>
    </cfRule>
  </conditionalFormatting>
  <conditionalFormatting sqref="AV8">
    <cfRule type="expression" dxfId="4117" priority="404">
      <formula>AV8="X"</formula>
    </cfRule>
    <cfRule type="expression" dxfId="4116" priority="405">
      <formula>AV8="후보"</formula>
    </cfRule>
  </conditionalFormatting>
  <conditionalFormatting sqref="AC8">
    <cfRule type="cellIs" dxfId="4115" priority="401" operator="greaterThan">
      <formula>0.9</formula>
    </cfRule>
    <cfRule type="cellIs" dxfId="4114" priority="402" operator="greaterThan">
      <formula>0.85</formula>
    </cfRule>
  </conditionalFormatting>
  <conditionalFormatting sqref="N8">
    <cfRule type="cellIs" dxfId="4113" priority="399" operator="greaterThan">
      <formula>0.9</formula>
    </cfRule>
    <cfRule type="cellIs" dxfId="4112" priority="400" operator="greaterThan">
      <formula>0.85</formula>
    </cfRule>
  </conditionalFormatting>
  <conditionalFormatting sqref="E8">
    <cfRule type="expression" dxfId="4111" priority="395">
      <formula>AND(IF(OR($Q8=1,$Q8=2),1,0),IF($X8&lt;=20,1,0))</formula>
    </cfRule>
    <cfRule type="expression" dxfId="4110" priority="396">
      <formula>AND(IF($Q8=2,1,0),IF($X8&lt;30,1,0))</formula>
    </cfRule>
    <cfRule type="expression" dxfId="4109" priority="397">
      <formula>AND(IF($Q8=3,1,0),IF($X8&lt;30,1,0))</formula>
    </cfRule>
    <cfRule type="expression" dxfId="4108" priority="398">
      <formula>AND(IF($Q8=3,1,IF($Q8=4,1,0)),IF($F8&lt;=85,1,0))</formula>
    </cfRule>
  </conditionalFormatting>
  <conditionalFormatting sqref="X8">
    <cfRule type="expression" dxfId="4107" priority="391">
      <formula>AND(IF(OR($Q8=1,$Q8=2),1,0),IF($X8&lt;=20,1,0))</formula>
    </cfRule>
    <cfRule type="expression" dxfId="4106" priority="392">
      <formula>AND(IF($Q8=2,1,0),IF($X8&lt;30,1,0))</formula>
    </cfRule>
    <cfRule type="expression" dxfId="4105" priority="393">
      <formula>AND(IF($Q8=3,1,0),IF($X8&lt;30,1,0))</formula>
    </cfRule>
    <cfRule type="expression" dxfId="4104" priority="394">
      <formula>AND(IF($Q8=3,1,IF($Q8=4,1,0)),IF($F8&lt;=85,1,0))</formula>
    </cfRule>
  </conditionalFormatting>
  <conditionalFormatting sqref="AI8">
    <cfRule type="expression" dxfId="4103" priority="387">
      <formula>AND(IF(OR($Q8=1,$Q8=2),1,0),IF($X8&lt;=20,1,0))</formula>
    </cfRule>
    <cfRule type="expression" dxfId="4102" priority="388">
      <formula>AND(IF($Q8=2,1,0),IF($X8&lt;30,1,0))</formula>
    </cfRule>
    <cfRule type="expression" dxfId="4101" priority="389">
      <formula>AND(IF($Q8=3,1,0),IF($X8&lt;30,1,0))</formula>
    </cfRule>
    <cfRule type="expression" dxfId="4100" priority="390">
      <formula>AND(IF($Q8=3,1,IF($Q8=4,1,0)),IF($F8&lt;=85,1,0))</formula>
    </cfRule>
  </conditionalFormatting>
  <conditionalFormatting sqref="AV9">
    <cfRule type="expression" dxfId="4099" priority="385">
      <formula>AV9="X"</formula>
    </cfRule>
    <cfRule type="expression" dxfId="4098" priority="386">
      <formula>AV9="후보"</formula>
    </cfRule>
  </conditionalFormatting>
  <conditionalFormatting sqref="AC9">
    <cfRule type="cellIs" dxfId="4097" priority="382" operator="greaterThan">
      <formula>0.9</formula>
    </cfRule>
    <cfRule type="cellIs" dxfId="4096" priority="383" operator="greaterThan">
      <formula>0.85</formula>
    </cfRule>
  </conditionalFormatting>
  <conditionalFormatting sqref="N9">
    <cfRule type="cellIs" dxfId="4095" priority="380" operator="greaterThan">
      <formula>0.9</formula>
    </cfRule>
    <cfRule type="cellIs" dxfId="4094" priority="381" operator="greaterThan">
      <formula>0.85</formula>
    </cfRule>
  </conditionalFormatting>
  <conditionalFormatting sqref="E9">
    <cfRule type="expression" dxfId="4093" priority="376">
      <formula>AND(IF(OR($Q9=1,$Q9=2),1,0),IF($X9&lt;=20,1,0))</formula>
    </cfRule>
    <cfRule type="expression" dxfId="4092" priority="377">
      <formula>AND(IF($Q9=2,1,0),IF($X9&lt;30,1,0))</formula>
    </cfRule>
    <cfRule type="expression" dxfId="4091" priority="378">
      <formula>AND(IF($Q9=3,1,0),IF($X9&lt;30,1,0))</formula>
    </cfRule>
    <cfRule type="expression" dxfId="4090" priority="379">
      <formula>AND(IF($Q9=3,1,IF($Q9=4,1,0)),IF($F9&lt;=85,1,0))</formula>
    </cfRule>
  </conditionalFormatting>
  <conditionalFormatting sqref="X9">
    <cfRule type="expression" dxfId="4089" priority="372">
      <formula>AND(IF(OR($Q9=1,$Q9=2),1,0),IF($X9&lt;=20,1,0))</formula>
    </cfRule>
    <cfRule type="expression" dxfId="4088" priority="373">
      <formula>AND(IF($Q9=2,1,0),IF($X9&lt;30,1,0))</formula>
    </cfRule>
    <cfRule type="expression" dxfId="4087" priority="374">
      <formula>AND(IF($Q9=3,1,0),IF($X9&lt;30,1,0))</formula>
    </cfRule>
    <cfRule type="expression" dxfId="4086" priority="375">
      <formula>AND(IF($Q9=3,1,IF($Q9=4,1,0)),IF($F9&lt;=85,1,0))</formula>
    </cfRule>
  </conditionalFormatting>
  <conditionalFormatting sqref="AI9">
    <cfRule type="expression" dxfId="4085" priority="368">
      <formula>AND(IF(OR($Q9=1,$Q9=2),1,0),IF($X9&lt;=20,1,0))</formula>
    </cfRule>
    <cfRule type="expression" dxfId="4084" priority="369">
      <formula>AND(IF($Q9=2,1,0),IF($X9&lt;30,1,0))</formula>
    </cfRule>
    <cfRule type="expression" dxfId="4083" priority="370">
      <formula>AND(IF($Q9=3,1,0),IF($X9&lt;30,1,0))</formula>
    </cfRule>
    <cfRule type="expression" dxfId="4082" priority="371">
      <formula>AND(IF($Q9=3,1,IF($Q9=4,1,0)),IF($F9&lt;=85,1,0))</formula>
    </cfRule>
  </conditionalFormatting>
  <conditionalFormatting sqref="AV10">
    <cfRule type="expression" dxfId="4081" priority="366">
      <formula>AV10="X"</formula>
    </cfRule>
    <cfRule type="expression" dxfId="4080" priority="367">
      <formula>AV10="후보"</formula>
    </cfRule>
  </conditionalFormatting>
  <conditionalFormatting sqref="AC10">
    <cfRule type="cellIs" dxfId="4079" priority="363" operator="greaterThan">
      <formula>0.9</formula>
    </cfRule>
    <cfRule type="cellIs" dxfId="4078" priority="364" operator="greaterThan">
      <formula>0.85</formula>
    </cfRule>
  </conditionalFormatting>
  <conditionalFormatting sqref="N10">
    <cfRule type="cellIs" dxfId="4077" priority="361" operator="greaterThan">
      <formula>0.9</formula>
    </cfRule>
    <cfRule type="cellIs" dxfId="4076" priority="362" operator="greaterThan">
      <formula>0.85</formula>
    </cfRule>
  </conditionalFormatting>
  <conditionalFormatting sqref="E10">
    <cfRule type="expression" dxfId="4075" priority="357">
      <formula>AND(IF(OR($Q10=1,$Q10=2),1,0),IF($X10&lt;=20,1,0))</formula>
    </cfRule>
    <cfRule type="expression" dxfId="4074" priority="358">
      <formula>AND(IF($Q10=2,1,0),IF($X10&lt;30,1,0))</formula>
    </cfRule>
    <cfRule type="expression" dxfId="4073" priority="359">
      <formula>AND(IF($Q10=3,1,0),IF($X10&lt;30,1,0))</formula>
    </cfRule>
    <cfRule type="expression" dxfId="4072" priority="360">
      <formula>AND(IF($Q10=3,1,IF($Q10=4,1,0)),IF($F10&lt;=85,1,0))</formula>
    </cfRule>
  </conditionalFormatting>
  <conditionalFormatting sqref="X10">
    <cfRule type="expression" dxfId="4071" priority="353">
      <formula>AND(IF(OR($Q10=1,$Q10=2),1,0),IF($X10&lt;=20,1,0))</formula>
    </cfRule>
    <cfRule type="expression" dxfId="4070" priority="354">
      <formula>AND(IF($Q10=2,1,0),IF($X10&lt;30,1,0))</formula>
    </cfRule>
    <cfRule type="expression" dxfId="4069" priority="355">
      <formula>AND(IF($Q10=3,1,0),IF($X10&lt;30,1,0))</formula>
    </cfRule>
    <cfRule type="expression" dxfId="4068" priority="356">
      <formula>AND(IF($Q10=3,1,IF($Q10=4,1,0)),IF($F10&lt;=85,1,0))</formula>
    </cfRule>
  </conditionalFormatting>
  <conditionalFormatting sqref="AI10">
    <cfRule type="expression" dxfId="4067" priority="349">
      <formula>AND(IF(OR($Q10=1,$Q10=2),1,0),IF($X10&lt;=20,1,0))</formula>
    </cfRule>
    <cfRule type="expression" dxfId="4066" priority="350">
      <formula>AND(IF($Q10=2,1,0),IF($X10&lt;30,1,0))</formula>
    </cfRule>
    <cfRule type="expression" dxfId="4065" priority="351">
      <formula>AND(IF($Q10=3,1,0),IF($X10&lt;30,1,0))</formula>
    </cfRule>
    <cfRule type="expression" dxfId="4064" priority="352">
      <formula>AND(IF($Q10=3,1,IF($Q10=4,1,0)),IF($F10&lt;=85,1,0))</formula>
    </cfRule>
  </conditionalFormatting>
  <conditionalFormatting sqref="AV11">
    <cfRule type="expression" dxfId="4063" priority="347">
      <formula>AV11="X"</formula>
    </cfRule>
    <cfRule type="expression" dxfId="4062" priority="348">
      <formula>AV11="후보"</formula>
    </cfRule>
  </conditionalFormatting>
  <conditionalFormatting sqref="AC11">
    <cfRule type="cellIs" dxfId="4061" priority="344" operator="greaterThan">
      <formula>0.9</formula>
    </cfRule>
    <cfRule type="cellIs" dxfId="4060" priority="345" operator="greaterThan">
      <formula>0.85</formula>
    </cfRule>
  </conditionalFormatting>
  <conditionalFormatting sqref="N11">
    <cfRule type="cellIs" dxfId="4059" priority="342" operator="greaterThan">
      <formula>0.9</formula>
    </cfRule>
    <cfRule type="cellIs" dxfId="4058" priority="343" operator="greaterThan">
      <formula>0.85</formula>
    </cfRule>
  </conditionalFormatting>
  <conditionalFormatting sqref="E11">
    <cfRule type="expression" dxfId="4057" priority="338">
      <formula>AND(IF(OR($Q11=1,$Q11=2),1,0),IF($X11&lt;=20,1,0))</formula>
    </cfRule>
    <cfRule type="expression" dxfId="4056" priority="339">
      <formula>AND(IF($Q11=2,1,0),IF($X11&lt;30,1,0))</formula>
    </cfRule>
    <cfRule type="expression" dxfId="4055" priority="340">
      <formula>AND(IF($Q11=3,1,0),IF($X11&lt;30,1,0))</formula>
    </cfRule>
    <cfRule type="expression" dxfId="4054" priority="341">
      <formula>AND(IF($Q11=3,1,IF($Q11=4,1,0)),IF($F11&lt;=85,1,0))</formula>
    </cfRule>
  </conditionalFormatting>
  <conditionalFormatting sqref="X11">
    <cfRule type="expression" dxfId="4053" priority="334">
      <formula>AND(IF(OR($Q11=1,$Q11=2),1,0),IF($X11&lt;=20,1,0))</formula>
    </cfRule>
    <cfRule type="expression" dxfId="4052" priority="335">
      <formula>AND(IF($Q11=2,1,0),IF($X11&lt;30,1,0))</formula>
    </cfRule>
    <cfRule type="expression" dxfId="4051" priority="336">
      <formula>AND(IF($Q11=3,1,0),IF($X11&lt;30,1,0))</formula>
    </cfRule>
    <cfRule type="expression" dxfId="4050" priority="337">
      <formula>AND(IF($Q11=3,1,IF($Q11=4,1,0)),IF($F11&lt;=85,1,0))</formula>
    </cfRule>
  </conditionalFormatting>
  <conditionalFormatting sqref="AI11">
    <cfRule type="expression" dxfId="4049" priority="330">
      <formula>AND(IF(OR($Q11=1,$Q11=2),1,0),IF($X11&lt;=20,1,0))</formula>
    </cfRule>
    <cfRule type="expression" dxfId="4048" priority="331">
      <formula>AND(IF($Q11=2,1,0),IF($X11&lt;30,1,0))</formula>
    </cfRule>
    <cfRule type="expression" dxfId="4047" priority="332">
      <formula>AND(IF($Q11=3,1,0),IF($X11&lt;30,1,0))</formula>
    </cfRule>
    <cfRule type="expression" dxfId="4046" priority="333">
      <formula>AND(IF($Q11=3,1,IF($Q11=4,1,0)),IF($F11&lt;=85,1,0))</formula>
    </cfRule>
  </conditionalFormatting>
  <conditionalFormatting sqref="AV12">
    <cfRule type="expression" dxfId="4045" priority="328">
      <formula>AV12="X"</formula>
    </cfRule>
    <cfRule type="expression" dxfId="4044" priority="329">
      <formula>AV12="후보"</formula>
    </cfRule>
  </conditionalFormatting>
  <conditionalFormatting sqref="AC12">
    <cfRule type="cellIs" dxfId="4043" priority="325" operator="greaterThan">
      <formula>0.9</formula>
    </cfRule>
    <cfRule type="cellIs" dxfId="4042" priority="326" operator="greaterThan">
      <formula>0.85</formula>
    </cfRule>
  </conditionalFormatting>
  <conditionalFormatting sqref="N12">
    <cfRule type="cellIs" dxfId="4041" priority="323" operator="greaterThan">
      <formula>0.9</formula>
    </cfRule>
    <cfRule type="cellIs" dxfId="4040" priority="324" operator="greaterThan">
      <formula>0.85</formula>
    </cfRule>
  </conditionalFormatting>
  <conditionalFormatting sqref="E12">
    <cfRule type="expression" dxfId="4039" priority="319">
      <formula>AND(IF(OR($Q12=1,$Q12=2),1,0),IF($X12&lt;=20,1,0))</formula>
    </cfRule>
    <cfRule type="expression" dxfId="4038" priority="320">
      <formula>AND(IF($Q12=2,1,0),IF($X12&lt;30,1,0))</formula>
    </cfRule>
    <cfRule type="expression" dxfId="4037" priority="321">
      <formula>AND(IF($Q12=3,1,0),IF($X12&lt;30,1,0))</formula>
    </cfRule>
    <cfRule type="expression" dxfId="4036" priority="322">
      <formula>AND(IF($Q12=3,1,IF($Q12=4,1,0)),IF($F12&lt;=85,1,0))</formula>
    </cfRule>
  </conditionalFormatting>
  <conditionalFormatting sqref="X12">
    <cfRule type="expression" dxfId="4035" priority="315">
      <formula>AND(IF(OR($Q12=1,$Q12=2),1,0),IF($X12&lt;=20,1,0))</formula>
    </cfRule>
    <cfRule type="expression" dxfId="4034" priority="316">
      <formula>AND(IF($Q12=2,1,0),IF($X12&lt;30,1,0))</formula>
    </cfRule>
    <cfRule type="expression" dxfId="4033" priority="317">
      <formula>AND(IF($Q12=3,1,0),IF($X12&lt;30,1,0))</formula>
    </cfRule>
    <cfRule type="expression" dxfId="4032" priority="318">
      <formula>AND(IF($Q12=3,1,IF($Q12=4,1,0)),IF($F12&lt;=85,1,0))</formula>
    </cfRule>
  </conditionalFormatting>
  <conditionalFormatting sqref="AI12">
    <cfRule type="expression" dxfId="4031" priority="311">
      <formula>AND(IF(OR($Q12=1,$Q12=2),1,0),IF($X12&lt;=20,1,0))</formula>
    </cfRule>
    <cfRule type="expression" dxfId="4030" priority="312">
      <formula>AND(IF($Q12=2,1,0),IF($X12&lt;30,1,0))</formula>
    </cfRule>
    <cfRule type="expression" dxfId="4029" priority="313">
      <formula>AND(IF($Q12=3,1,0),IF($X12&lt;30,1,0))</formula>
    </cfRule>
    <cfRule type="expression" dxfId="4028" priority="314">
      <formula>AND(IF($Q12=3,1,IF($Q12=4,1,0)),IF($F12&lt;=85,1,0))</formula>
    </cfRule>
  </conditionalFormatting>
  <conditionalFormatting sqref="AV13">
    <cfRule type="expression" dxfId="4027" priority="309">
      <formula>AV13="X"</formula>
    </cfRule>
    <cfRule type="expression" dxfId="4026" priority="310">
      <formula>AV13="후보"</formula>
    </cfRule>
  </conditionalFormatting>
  <conditionalFormatting sqref="AC13">
    <cfRule type="cellIs" dxfId="4025" priority="306" operator="greaterThan">
      <formula>0.9</formula>
    </cfRule>
    <cfRule type="cellIs" dxfId="4024" priority="307" operator="greaterThan">
      <formula>0.85</formula>
    </cfRule>
  </conditionalFormatting>
  <conditionalFormatting sqref="N13">
    <cfRule type="cellIs" dxfId="4023" priority="304" operator="greaterThan">
      <formula>0.9</formula>
    </cfRule>
    <cfRule type="cellIs" dxfId="4022" priority="305" operator="greaterThan">
      <formula>0.85</formula>
    </cfRule>
  </conditionalFormatting>
  <conditionalFormatting sqref="E13">
    <cfRule type="expression" dxfId="4021" priority="300">
      <formula>AND(IF(OR($Q13=1,$Q13=2),1,0),IF($X13&lt;=20,1,0))</formula>
    </cfRule>
    <cfRule type="expression" dxfId="4020" priority="301">
      <formula>AND(IF($Q13=2,1,0),IF($X13&lt;30,1,0))</formula>
    </cfRule>
    <cfRule type="expression" dxfId="4019" priority="302">
      <formula>AND(IF($Q13=3,1,0),IF($X13&lt;30,1,0))</formula>
    </cfRule>
    <cfRule type="expression" dxfId="4018" priority="303">
      <formula>AND(IF($Q13=3,1,IF($Q13=4,1,0)),IF($F13&lt;=85,1,0))</formula>
    </cfRule>
  </conditionalFormatting>
  <conditionalFormatting sqref="X13">
    <cfRule type="expression" dxfId="4017" priority="296">
      <formula>AND(IF(OR($Q13=1,$Q13=2),1,0),IF($X13&lt;=20,1,0))</formula>
    </cfRule>
    <cfRule type="expression" dxfId="4016" priority="297">
      <formula>AND(IF($Q13=2,1,0),IF($X13&lt;30,1,0))</formula>
    </cfRule>
    <cfRule type="expression" dxfId="4015" priority="298">
      <formula>AND(IF($Q13=3,1,0),IF($X13&lt;30,1,0))</formula>
    </cfRule>
    <cfRule type="expression" dxfId="4014" priority="299">
      <formula>AND(IF($Q13=3,1,IF($Q13=4,1,0)),IF($F13&lt;=85,1,0))</formula>
    </cfRule>
  </conditionalFormatting>
  <conditionalFormatting sqref="AI13">
    <cfRule type="expression" dxfId="4013" priority="292">
      <formula>AND(IF(OR($Q13=1,$Q13=2),1,0),IF($X13&lt;=20,1,0))</formula>
    </cfRule>
    <cfRule type="expression" dxfId="4012" priority="293">
      <formula>AND(IF($Q13=2,1,0),IF($X13&lt;30,1,0))</formula>
    </cfRule>
    <cfRule type="expression" dxfId="4011" priority="294">
      <formula>AND(IF($Q13=3,1,0),IF($X13&lt;30,1,0))</formula>
    </cfRule>
    <cfRule type="expression" dxfId="4010" priority="295">
      <formula>AND(IF($Q13=3,1,IF($Q13=4,1,0)),IF($F13&lt;=85,1,0))</formula>
    </cfRule>
  </conditionalFormatting>
  <conditionalFormatting sqref="AV14">
    <cfRule type="expression" dxfId="4009" priority="290">
      <formula>AV14="X"</formula>
    </cfRule>
    <cfRule type="expression" dxfId="4008" priority="291">
      <formula>AV14="후보"</formula>
    </cfRule>
  </conditionalFormatting>
  <conditionalFormatting sqref="AC14 N14">
    <cfRule type="cellIs" dxfId="4007" priority="287" operator="greaterThan">
      <formula>0.9</formula>
    </cfRule>
    <cfRule type="cellIs" dxfId="4006" priority="288" operator="greaterThan">
      <formula>0.85</formula>
    </cfRule>
  </conditionalFormatting>
  <conditionalFormatting sqref="AV15">
    <cfRule type="expression" dxfId="4005" priority="285">
      <formula>AV15="X"</formula>
    </cfRule>
    <cfRule type="expression" dxfId="4004" priority="286">
      <formula>AV15="후보"</formula>
    </cfRule>
  </conditionalFormatting>
  <conditionalFormatting sqref="AC15">
    <cfRule type="cellIs" dxfId="4003" priority="282" operator="greaterThan">
      <formula>0.9</formula>
    </cfRule>
    <cfRule type="cellIs" dxfId="4002" priority="283" operator="greaterThan">
      <formula>0.85</formula>
    </cfRule>
  </conditionalFormatting>
  <conditionalFormatting sqref="N15">
    <cfRule type="cellIs" dxfId="4001" priority="280" operator="greaterThan">
      <formula>0.9</formula>
    </cfRule>
    <cfRule type="cellIs" dxfId="4000" priority="281" operator="greaterThan">
      <formula>0.85</formula>
    </cfRule>
  </conditionalFormatting>
  <conditionalFormatting sqref="E15">
    <cfRule type="expression" dxfId="3999" priority="276">
      <formula>AND(IF(OR($Q15=1,$Q15=2),1,0),IF($X15&lt;=20,1,0))</formula>
    </cfRule>
    <cfRule type="expression" dxfId="3998" priority="277">
      <formula>AND(IF($Q15=2,1,0),IF($X15&lt;30,1,0))</formula>
    </cfRule>
    <cfRule type="expression" dxfId="3997" priority="278">
      <formula>AND(IF($Q15=3,1,0),IF($X15&lt;30,1,0))</formula>
    </cfRule>
    <cfRule type="expression" dxfId="3996" priority="279">
      <formula>AND(IF($Q15=3,1,IF($Q15=4,1,0)),IF($F15&lt;=85,1,0))</formula>
    </cfRule>
  </conditionalFormatting>
  <conditionalFormatting sqref="X15">
    <cfRule type="expression" dxfId="3995" priority="272">
      <formula>AND(IF(OR($Q15=1,$Q15=2),1,0),IF($X15&lt;=20,1,0))</formula>
    </cfRule>
    <cfRule type="expression" dxfId="3994" priority="273">
      <formula>AND(IF($Q15=2,1,0),IF($X15&lt;30,1,0))</formula>
    </cfRule>
    <cfRule type="expression" dxfId="3993" priority="274">
      <formula>AND(IF($Q15=3,1,0),IF($X15&lt;30,1,0))</formula>
    </cfRule>
    <cfRule type="expression" dxfId="3992" priority="275">
      <formula>AND(IF($Q15=3,1,IF($Q15=4,1,0)),IF($F15&lt;=85,1,0))</formula>
    </cfRule>
  </conditionalFormatting>
  <conditionalFormatting sqref="AI15">
    <cfRule type="expression" dxfId="3991" priority="268">
      <formula>AND(IF(OR($Q15=1,$Q15=2),1,0),IF($X15&lt;=20,1,0))</formula>
    </cfRule>
    <cfRule type="expression" dxfId="3990" priority="269">
      <formula>AND(IF($Q15=2,1,0),IF($X15&lt;30,1,0))</formula>
    </cfRule>
    <cfRule type="expression" dxfId="3989" priority="270">
      <formula>AND(IF($Q15=3,1,0),IF($X15&lt;30,1,0))</formula>
    </cfRule>
    <cfRule type="expression" dxfId="3988" priority="271">
      <formula>AND(IF($Q15=3,1,IF($Q15=4,1,0)),IF($F15&lt;=85,1,0))</formula>
    </cfRule>
  </conditionalFormatting>
  <conditionalFormatting sqref="AV16">
    <cfRule type="expression" dxfId="3987" priority="266">
      <formula>AV16="X"</formula>
    </cfRule>
    <cfRule type="expression" dxfId="3986" priority="267">
      <formula>AV16="후보"</formula>
    </cfRule>
  </conditionalFormatting>
  <conditionalFormatting sqref="AC16">
    <cfRule type="cellIs" dxfId="3985" priority="263" operator="greaterThan">
      <formula>0.9</formula>
    </cfRule>
    <cfRule type="cellIs" dxfId="3984" priority="264" operator="greaterThan">
      <formula>0.85</formula>
    </cfRule>
  </conditionalFormatting>
  <conditionalFormatting sqref="N16">
    <cfRule type="cellIs" dxfId="3983" priority="261" operator="greaterThan">
      <formula>0.9</formula>
    </cfRule>
    <cfRule type="cellIs" dxfId="3982" priority="262" operator="greaterThan">
      <formula>0.85</formula>
    </cfRule>
  </conditionalFormatting>
  <conditionalFormatting sqref="E16">
    <cfRule type="expression" dxfId="3981" priority="257">
      <formula>AND(IF(OR($Q16=1,$Q16=2),1,0),IF($X16&lt;=20,1,0))</formula>
    </cfRule>
    <cfRule type="expression" dxfId="3980" priority="258">
      <formula>AND(IF($Q16=2,1,0),IF($X16&lt;30,1,0))</formula>
    </cfRule>
    <cfRule type="expression" dxfId="3979" priority="259">
      <formula>AND(IF($Q16=3,1,0),IF($X16&lt;30,1,0))</formula>
    </cfRule>
    <cfRule type="expression" dxfId="3978" priority="260">
      <formula>AND(IF($Q16=3,1,IF($Q16=4,1,0)),IF($F16&lt;=85,1,0))</formula>
    </cfRule>
  </conditionalFormatting>
  <conditionalFormatting sqref="X16">
    <cfRule type="expression" dxfId="3977" priority="253">
      <formula>AND(IF(OR($Q16=1,$Q16=2),1,0),IF($X16&lt;=20,1,0))</formula>
    </cfRule>
    <cfRule type="expression" dxfId="3976" priority="254">
      <formula>AND(IF($Q16=2,1,0),IF($X16&lt;30,1,0))</formula>
    </cfRule>
    <cfRule type="expression" dxfId="3975" priority="255">
      <formula>AND(IF($Q16=3,1,0),IF($X16&lt;30,1,0))</formula>
    </cfRule>
    <cfRule type="expression" dxfId="3974" priority="256">
      <formula>AND(IF($Q16=3,1,IF($Q16=4,1,0)),IF($F16&lt;=85,1,0))</formula>
    </cfRule>
  </conditionalFormatting>
  <conditionalFormatting sqref="AI16">
    <cfRule type="expression" dxfId="3973" priority="249">
      <formula>AND(IF(OR($Q16=1,$Q16=2),1,0),IF($X16&lt;=20,1,0))</formula>
    </cfRule>
    <cfRule type="expression" dxfId="3972" priority="250">
      <formula>AND(IF($Q16=2,1,0),IF($X16&lt;30,1,0))</formula>
    </cfRule>
    <cfRule type="expression" dxfId="3971" priority="251">
      <formula>AND(IF($Q16=3,1,0),IF($X16&lt;30,1,0))</formula>
    </cfRule>
    <cfRule type="expression" dxfId="3970" priority="252">
      <formula>AND(IF($Q16=3,1,IF($Q16=4,1,0)),IF($F16&lt;=85,1,0))</formula>
    </cfRule>
  </conditionalFormatting>
  <conditionalFormatting sqref="AV17">
    <cfRule type="expression" dxfId="3969" priority="247">
      <formula>AV17="X"</formula>
    </cfRule>
    <cfRule type="expression" dxfId="3968" priority="248">
      <formula>AV17="후보"</formula>
    </cfRule>
  </conditionalFormatting>
  <conditionalFormatting sqref="AC17 N17">
    <cfRule type="cellIs" dxfId="3967" priority="244" operator="greaterThan">
      <formula>0.9</formula>
    </cfRule>
    <cfRule type="cellIs" dxfId="3966" priority="245" operator="greaterThan">
      <formula>0.85</formula>
    </cfRule>
  </conditionalFormatting>
  <conditionalFormatting sqref="AV18">
    <cfRule type="expression" dxfId="3965" priority="242">
      <formula>AV18="X"</formula>
    </cfRule>
    <cfRule type="expression" dxfId="3964" priority="243">
      <formula>AV18="후보"</formula>
    </cfRule>
  </conditionalFormatting>
  <conditionalFormatting sqref="AC18">
    <cfRule type="cellIs" dxfId="3963" priority="239" operator="greaterThan">
      <formula>0.9</formula>
    </cfRule>
    <cfRule type="cellIs" dxfId="3962" priority="240" operator="greaterThan">
      <formula>0.85</formula>
    </cfRule>
  </conditionalFormatting>
  <conditionalFormatting sqref="N18">
    <cfRule type="cellIs" dxfId="3961" priority="237" operator="greaterThan">
      <formula>0.9</formula>
    </cfRule>
    <cfRule type="cellIs" dxfId="3960" priority="238" operator="greaterThan">
      <formula>0.85</formula>
    </cfRule>
  </conditionalFormatting>
  <conditionalFormatting sqref="E18">
    <cfRule type="expression" dxfId="3959" priority="233">
      <formula>AND(IF(OR($Q18=1,$Q18=2),1,0),IF($X18&lt;=20,1,0))</formula>
    </cfRule>
    <cfRule type="expression" dxfId="3958" priority="234">
      <formula>AND(IF($Q18=2,1,0),IF($X18&lt;30,1,0))</formula>
    </cfRule>
    <cfRule type="expression" dxfId="3957" priority="235">
      <formula>AND(IF($Q18=3,1,0),IF($X18&lt;30,1,0))</formula>
    </cfRule>
    <cfRule type="expression" dxfId="3956" priority="236">
      <formula>AND(IF($Q18=3,1,IF($Q18=4,1,0)),IF($F18&lt;=85,1,0))</formula>
    </cfRule>
  </conditionalFormatting>
  <conditionalFormatting sqref="X18">
    <cfRule type="expression" dxfId="3955" priority="229">
      <formula>AND(IF(OR($Q18=1,$Q18=2),1,0),IF($X18&lt;=20,1,0))</formula>
    </cfRule>
    <cfRule type="expression" dxfId="3954" priority="230">
      <formula>AND(IF($Q18=2,1,0),IF($X18&lt;30,1,0))</formula>
    </cfRule>
    <cfRule type="expression" dxfId="3953" priority="231">
      <formula>AND(IF($Q18=3,1,0),IF($X18&lt;30,1,0))</formula>
    </cfRule>
    <cfRule type="expression" dxfId="3952" priority="232">
      <formula>AND(IF($Q18=3,1,IF($Q18=4,1,0)),IF($F18&lt;=85,1,0))</formula>
    </cfRule>
  </conditionalFormatting>
  <conditionalFormatting sqref="AI18">
    <cfRule type="expression" dxfId="3951" priority="225">
      <formula>AND(IF(OR($Q18=1,$Q18=2),1,0),IF($X18&lt;=20,1,0))</formula>
    </cfRule>
    <cfRule type="expression" dxfId="3950" priority="226">
      <formula>AND(IF($Q18=2,1,0),IF($X18&lt;30,1,0))</formula>
    </cfRule>
    <cfRule type="expression" dxfId="3949" priority="227">
      <formula>AND(IF($Q18=3,1,0),IF($X18&lt;30,1,0))</formula>
    </cfRule>
    <cfRule type="expression" dxfId="3948" priority="228">
      <formula>AND(IF($Q18=3,1,IF($Q18=4,1,0)),IF($F18&lt;=85,1,0))</formula>
    </cfRule>
  </conditionalFormatting>
  <conditionalFormatting sqref="AV19">
    <cfRule type="expression" dxfId="3947" priority="223">
      <formula>AV19="X"</formula>
    </cfRule>
    <cfRule type="expression" dxfId="3946" priority="224">
      <formula>AV19="후보"</formula>
    </cfRule>
  </conditionalFormatting>
  <conditionalFormatting sqref="AC19">
    <cfRule type="cellIs" dxfId="3945" priority="220" operator="greaterThan">
      <formula>0.9</formula>
    </cfRule>
    <cfRule type="cellIs" dxfId="3944" priority="221" operator="greaterThan">
      <formula>0.85</formula>
    </cfRule>
  </conditionalFormatting>
  <conditionalFormatting sqref="N19">
    <cfRule type="cellIs" dxfId="3943" priority="218" operator="greaterThan">
      <formula>0.9</formula>
    </cfRule>
    <cfRule type="cellIs" dxfId="3942" priority="219" operator="greaterThan">
      <formula>0.85</formula>
    </cfRule>
  </conditionalFormatting>
  <conditionalFormatting sqref="E19">
    <cfRule type="expression" dxfId="3941" priority="214">
      <formula>AND(IF(OR($Q19=1,$Q19=2),1,0),IF($X19&lt;=20,1,0))</formula>
    </cfRule>
    <cfRule type="expression" dxfId="3940" priority="215">
      <formula>AND(IF($Q19=2,1,0),IF($X19&lt;30,1,0))</formula>
    </cfRule>
    <cfRule type="expression" dxfId="3939" priority="216">
      <formula>AND(IF($Q19=3,1,0),IF($X19&lt;30,1,0))</formula>
    </cfRule>
    <cfRule type="expression" dxfId="3938" priority="217">
      <formula>AND(IF($Q19=3,1,IF($Q19=4,1,0)),IF($F19&lt;=85,1,0))</formula>
    </cfRule>
  </conditionalFormatting>
  <conditionalFormatting sqref="X19">
    <cfRule type="expression" dxfId="3937" priority="210">
      <formula>AND(IF(OR($Q19=1,$Q19=2),1,0),IF($X19&lt;=20,1,0))</formula>
    </cfRule>
    <cfRule type="expression" dxfId="3936" priority="211">
      <formula>AND(IF($Q19=2,1,0),IF($X19&lt;30,1,0))</formula>
    </cfRule>
    <cfRule type="expression" dxfId="3935" priority="212">
      <formula>AND(IF($Q19=3,1,0),IF($X19&lt;30,1,0))</formula>
    </cfRule>
    <cfRule type="expression" dxfId="3934" priority="213">
      <formula>AND(IF($Q19=3,1,IF($Q19=4,1,0)),IF($F19&lt;=85,1,0))</formula>
    </cfRule>
  </conditionalFormatting>
  <conditionalFormatting sqref="AI19">
    <cfRule type="expression" dxfId="3933" priority="206">
      <formula>AND(IF(OR($Q19=1,$Q19=2),1,0),IF($X19&lt;=20,1,0))</formula>
    </cfRule>
    <cfRule type="expression" dxfId="3932" priority="207">
      <formula>AND(IF($Q19=2,1,0),IF($X19&lt;30,1,0))</formula>
    </cfRule>
    <cfRule type="expression" dxfId="3931" priority="208">
      <formula>AND(IF($Q19=3,1,0),IF($X19&lt;30,1,0))</formula>
    </cfRule>
    <cfRule type="expression" dxfId="3930" priority="209">
      <formula>AND(IF($Q19=3,1,IF($Q19=4,1,0)),IF($F19&lt;=85,1,0))</formula>
    </cfRule>
  </conditionalFormatting>
  <conditionalFormatting sqref="AV20">
    <cfRule type="expression" dxfId="3929" priority="204">
      <formula>AV20="X"</formula>
    </cfRule>
    <cfRule type="expression" dxfId="3928" priority="205">
      <formula>AV20="후보"</formula>
    </cfRule>
  </conditionalFormatting>
  <conditionalFormatting sqref="AC20">
    <cfRule type="cellIs" dxfId="3927" priority="201" operator="greaterThan">
      <formula>0.9</formula>
    </cfRule>
    <cfRule type="cellIs" dxfId="3926" priority="202" operator="greaterThan">
      <formula>0.85</formula>
    </cfRule>
  </conditionalFormatting>
  <conditionalFormatting sqref="N20">
    <cfRule type="cellIs" dxfId="3925" priority="199" operator="greaterThan">
      <formula>0.9</formula>
    </cfRule>
    <cfRule type="cellIs" dxfId="3924" priority="200" operator="greaterThan">
      <formula>0.85</formula>
    </cfRule>
  </conditionalFormatting>
  <conditionalFormatting sqref="E20">
    <cfRule type="expression" dxfId="3923" priority="195">
      <formula>AND(IF(OR($Q20=1,$Q20=2),1,0),IF($X20&lt;=20,1,0))</formula>
    </cfRule>
    <cfRule type="expression" dxfId="3922" priority="196">
      <formula>AND(IF($Q20=2,1,0),IF($X20&lt;30,1,0))</formula>
    </cfRule>
    <cfRule type="expression" dxfId="3921" priority="197">
      <formula>AND(IF($Q20=3,1,0),IF($X20&lt;30,1,0))</formula>
    </cfRule>
    <cfRule type="expression" dxfId="3920" priority="198">
      <formula>AND(IF($Q20=3,1,IF($Q20=4,1,0)),IF($F20&lt;=85,1,0))</formula>
    </cfRule>
  </conditionalFormatting>
  <conditionalFormatting sqref="X20">
    <cfRule type="expression" dxfId="3919" priority="191">
      <formula>AND(IF(OR($Q20=1,$Q20=2),1,0),IF($X20&lt;=20,1,0))</formula>
    </cfRule>
    <cfRule type="expression" dxfId="3918" priority="192">
      <formula>AND(IF($Q20=2,1,0),IF($X20&lt;30,1,0))</formula>
    </cfRule>
    <cfRule type="expression" dxfId="3917" priority="193">
      <formula>AND(IF($Q20=3,1,0),IF($X20&lt;30,1,0))</formula>
    </cfRule>
    <cfRule type="expression" dxfId="3916" priority="194">
      <formula>AND(IF($Q20=3,1,IF($Q20=4,1,0)),IF($F20&lt;=85,1,0))</formula>
    </cfRule>
  </conditionalFormatting>
  <conditionalFormatting sqref="AI20">
    <cfRule type="expression" dxfId="3915" priority="187">
      <formula>AND(IF(OR($Q20=1,$Q20=2),1,0),IF($X20&lt;=20,1,0))</formula>
    </cfRule>
    <cfRule type="expression" dxfId="3914" priority="188">
      <formula>AND(IF($Q20=2,1,0),IF($X20&lt;30,1,0))</formula>
    </cfRule>
    <cfRule type="expression" dxfId="3913" priority="189">
      <formula>AND(IF($Q20=3,1,0),IF($X20&lt;30,1,0))</formula>
    </cfRule>
    <cfRule type="expression" dxfId="3912" priority="190">
      <formula>AND(IF($Q20=3,1,IF($Q20=4,1,0)),IF($F20&lt;=85,1,0))</formula>
    </cfRule>
  </conditionalFormatting>
  <conditionalFormatting sqref="AV21">
    <cfRule type="expression" dxfId="3911" priority="185">
      <formula>AV21="X"</formula>
    </cfRule>
    <cfRule type="expression" dxfId="3910" priority="186">
      <formula>AV21="후보"</formula>
    </cfRule>
  </conditionalFormatting>
  <conditionalFormatting sqref="AC21">
    <cfRule type="cellIs" dxfId="3909" priority="182" operator="greaterThan">
      <formula>0.9</formula>
    </cfRule>
    <cfRule type="cellIs" dxfId="3908" priority="183" operator="greaterThan">
      <formula>0.85</formula>
    </cfRule>
  </conditionalFormatting>
  <conditionalFormatting sqref="N21">
    <cfRule type="cellIs" dxfId="3907" priority="180" operator="greaterThan">
      <formula>0.9</formula>
    </cfRule>
    <cfRule type="cellIs" dxfId="3906" priority="181" operator="greaterThan">
      <formula>0.85</formula>
    </cfRule>
  </conditionalFormatting>
  <conditionalFormatting sqref="E21">
    <cfRule type="expression" dxfId="3905" priority="176">
      <formula>AND(IF(OR($Q21=1,$Q21=2),1,0),IF($X21&lt;=20,1,0))</formula>
    </cfRule>
    <cfRule type="expression" dxfId="3904" priority="177">
      <formula>AND(IF($Q21=2,1,0),IF($X21&lt;30,1,0))</formula>
    </cfRule>
    <cfRule type="expression" dxfId="3903" priority="178">
      <formula>AND(IF($Q21=3,1,0),IF($X21&lt;30,1,0))</formula>
    </cfRule>
    <cfRule type="expression" dxfId="3902" priority="179">
      <formula>AND(IF($Q21=3,1,IF($Q21=4,1,0)),IF($F21&lt;=85,1,0))</formula>
    </cfRule>
  </conditionalFormatting>
  <conditionalFormatting sqref="X21">
    <cfRule type="expression" dxfId="3901" priority="172">
      <formula>AND(IF(OR($Q21=1,$Q21=2),1,0),IF($X21&lt;=20,1,0))</formula>
    </cfRule>
    <cfRule type="expression" dxfId="3900" priority="173">
      <formula>AND(IF($Q21=2,1,0),IF($X21&lt;30,1,0))</formula>
    </cfRule>
    <cfRule type="expression" dxfId="3899" priority="174">
      <formula>AND(IF($Q21=3,1,0),IF($X21&lt;30,1,0))</formula>
    </cfRule>
    <cfRule type="expression" dxfId="3898" priority="175">
      <formula>AND(IF($Q21=3,1,IF($Q21=4,1,0)),IF($F21&lt;=85,1,0))</formula>
    </cfRule>
  </conditionalFormatting>
  <conditionalFormatting sqref="AI21">
    <cfRule type="expression" dxfId="3897" priority="168">
      <formula>AND(IF(OR($Q21=1,$Q21=2),1,0),IF($X21&lt;=20,1,0))</formula>
    </cfRule>
    <cfRule type="expression" dxfId="3896" priority="169">
      <formula>AND(IF($Q21=2,1,0),IF($X21&lt;30,1,0))</formula>
    </cfRule>
    <cfRule type="expression" dxfId="3895" priority="170">
      <formula>AND(IF($Q21=3,1,0),IF($X21&lt;30,1,0))</formula>
    </cfRule>
    <cfRule type="expression" dxfId="3894" priority="171">
      <formula>AND(IF($Q21=3,1,IF($Q21=4,1,0)),IF($F21&lt;=85,1,0))</formula>
    </cfRule>
  </conditionalFormatting>
  <conditionalFormatting sqref="AV22">
    <cfRule type="expression" dxfId="3893" priority="166">
      <formula>AV22="X"</formula>
    </cfRule>
    <cfRule type="expression" dxfId="3892" priority="167">
      <formula>AV22="후보"</formula>
    </cfRule>
  </conditionalFormatting>
  <conditionalFormatting sqref="AC22">
    <cfRule type="cellIs" dxfId="3891" priority="163" operator="greaterThan">
      <formula>0.9</formula>
    </cfRule>
    <cfRule type="cellIs" dxfId="3890" priority="164" operator="greaterThan">
      <formula>0.85</formula>
    </cfRule>
  </conditionalFormatting>
  <conditionalFormatting sqref="N22">
    <cfRule type="cellIs" dxfId="3889" priority="161" operator="greaterThan">
      <formula>0.9</formula>
    </cfRule>
    <cfRule type="cellIs" dxfId="3888" priority="162" operator="greaterThan">
      <formula>0.85</formula>
    </cfRule>
  </conditionalFormatting>
  <conditionalFormatting sqref="E22">
    <cfRule type="expression" dxfId="3887" priority="157">
      <formula>AND(IF(OR($Q22=1,$Q22=2),1,0),IF($X22&lt;=20,1,0))</formula>
    </cfRule>
    <cfRule type="expression" dxfId="3886" priority="158">
      <formula>AND(IF($Q22=2,1,0),IF($X22&lt;30,1,0))</formula>
    </cfRule>
    <cfRule type="expression" dxfId="3885" priority="159">
      <formula>AND(IF($Q22=3,1,0),IF($X22&lt;30,1,0))</formula>
    </cfRule>
    <cfRule type="expression" dxfId="3884" priority="160">
      <formula>AND(IF($Q22=3,1,IF($Q22=4,1,0)),IF($F22&lt;=85,1,0))</formula>
    </cfRule>
  </conditionalFormatting>
  <conditionalFormatting sqref="X22">
    <cfRule type="expression" dxfId="3883" priority="153">
      <formula>AND(IF(OR($Q22=1,$Q22=2),1,0),IF($X22&lt;=20,1,0))</formula>
    </cfRule>
    <cfRule type="expression" dxfId="3882" priority="154">
      <formula>AND(IF($Q22=2,1,0),IF($X22&lt;30,1,0))</formula>
    </cfRule>
    <cfRule type="expression" dxfId="3881" priority="155">
      <formula>AND(IF($Q22=3,1,0),IF($X22&lt;30,1,0))</formula>
    </cfRule>
    <cfRule type="expression" dxfId="3880" priority="156">
      <formula>AND(IF($Q22=3,1,IF($Q22=4,1,0)),IF($F22&lt;=85,1,0))</formula>
    </cfRule>
  </conditionalFormatting>
  <conditionalFormatting sqref="AI22">
    <cfRule type="expression" dxfId="3879" priority="149">
      <formula>AND(IF(OR($Q22=1,$Q22=2),1,0),IF($X22&lt;=20,1,0))</formula>
    </cfRule>
    <cfRule type="expression" dxfId="3878" priority="150">
      <formula>AND(IF($Q22=2,1,0),IF($X22&lt;30,1,0))</formula>
    </cfRule>
    <cfRule type="expression" dxfId="3877" priority="151">
      <formula>AND(IF($Q22=3,1,0),IF($X22&lt;30,1,0))</formula>
    </cfRule>
    <cfRule type="expression" dxfId="3876" priority="152">
      <formula>AND(IF($Q22=3,1,IF($Q22=4,1,0)),IF($F22&lt;=85,1,0))</formula>
    </cfRule>
  </conditionalFormatting>
  <conditionalFormatting sqref="AV23">
    <cfRule type="expression" dxfId="3875" priority="147">
      <formula>AV23="X"</formula>
    </cfRule>
    <cfRule type="expression" dxfId="3874" priority="148">
      <formula>AV23="후보"</formula>
    </cfRule>
  </conditionalFormatting>
  <conditionalFormatting sqref="AC23">
    <cfRule type="cellIs" dxfId="3873" priority="144" operator="greaterThan">
      <formula>0.9</formula>
    </cfRule>
    <cfRule type="cellIs" dxfId="3872" priority="145" operator="greaterThan">
      <formula>0.85</formula>
    </cfRule>
  </conditionalFormatting>
  <conditionalFormatting sqref="N23">
    <cfRule type="cellIs" dxfId="3871" priority="142" operator="greaterThan">
      <formula>0.9</formula>
    </cfRule>
    <cfRule type="cellIs" dxfId="3870" priority="143" operator="greaterThan">
      <formula>0.85</formula>
    </cfRule>
  </conditionalFormatting>
  <conditionalFormatting sqref="E23">
    <cfRule type="expression" dxfId="3869" priority="138">
      <formula>AND(IF(OR($Q23=1,$Q23=2),1,0),IF($X23&lt;=20,1,0))</formula>
    </cfRule>
    <cfRule type="expression" dxfId="3868" priority="139">
      <formula>AND(IF($Q23=2,1,0),IF($X23&lt;30,1,0))</formula>
    </cfRule>
    <cfRule type="expression" dxfId="3867" priority="140">
      <formula>AND(IF($Q23=3,1,0),IF($X23&lt;30,1,0))</formula>
    </cfRule>
    <cfRule type="expression" dxfId="3866" priority="141">
      <formula>AND(IF($Q23=3,1,IF($Q23=4,1,0)),IF($F23&lt;=85,1,0))</formula>
    </cfRule>
  </conditionalFormatting>
  <conditionalFormatting sqref="X23">
    <cfRule type="expression" dxfId="3865" priority="134">
      <formula>AND(IF(OR($Q23=1,$Q23=2),1,0),IF($X23&lt;=20,1,0))</formula>
    </cfRule>
    <cfRule type="expression" dxfId="3864" priority="135">
      <formula>AND(IF($Q23=2,1,0),IF($X23&lt;30,1,0))</formula>
    </cfRule>
    <cfRule type="expression" dxfId="3863" priority="136">
      <formula>AND(IF($Q23=3,1,0),IF($X23&lt;30,1,0))</formula>
    </cfRule>
    <cfRule type="expression" dxfId="3862" priority="137">
      <formula>AND(IF($Q23=3,1,IF($Q23=4,1,0)),IF($F23&lt;=85,1,0))</formula>
    </cfRule>
  </conditionalFormatting>
  <conditionalFormatting sqref="AI23">
    <cfRule type="expression" dxfId="3861" priority="130">
      <formula>AND(IF(OR($Q23=1,$Q23=2),1,0),IF($X23&lt;=20,1,0))</formula>
    </cfRule>
    <cfRule type="expression" dxfId="3860" priority="131">
      <formula>AND(IF($Q23=2,1,0),IF($X23&lt;30,1,0))</formula>
    </cfRule>
    <cfRule type="expression" dxfId="3859" priority="132">
      <formula>AND(IF($Q23=3,1,0),IF($X23&lt;30,1,0))</formula>
    </cfRule>
    <cfRule type="expression" dxfId="3858" priority="133">
      <formula>AND(IF($Q23=3,1,IF($Q23=4,1,0)),IF($F23&lt;=85,1,0))</formula>
    </cfRule>
  </conditionalFormatting>
  <conditionalFormatting sqref="AV24">
    <cfRule type="expression" dxfId="3857" priority="128">
      <formula>AV24="X"</formula>
    </cfRule>
    <cfRule type="expression" dxfId="3856" priority="129">
      <formula>AV24="후보"</formula>
    </cfRule>
  </conditionalFormatting>
  <conditionalFormatting sqref="AC24">
    <cfRule type="cellIs" dxfId="3855" priority="125" operator="greaterThan">
      <formula>0.9</formula>
    </cfRule>
    <cfRule type="cellIs" dxfId="3854" priority="126" operator="greaterThan">
      <formula>0.85</formula>
    </cfRule>
  </conditionalFormatting>
  <conditionalFormatting sqref="N24">
    <cfRule type="cellIs" dxfId="3853" priority="123" operator="greaterThan">
      <formula>0.9</formula>
    </cfRule>
    <cfRule type="cellIs" dxfId="3852" priority="124" operator="greaterThan">
      <formula>0.85</formula>
    </cfRule>
  </conditionalFormatting>
  <conditionalFormatting sqref="E24">
    <cfRule type="expression" dxfId="3851" priority="119">
      <formula>AND(IF(OR($Q24=1,$Q24=2),1,0),IF($X24&lt;=20,1,0))</formula>
    </cfRule>
    <cfRule type="expression" dxfId="3850" priority="120">
      <formula>AND(IF($Q24=2,1,0),IF($X24&lt;30,1,0))</formula>
    </cfRule>
    <cfRule type="expression" dxfId="3849" priority="121">
      <formula>AND(IF($Q24=3,1,0),IF($X24&lt;30,1,0))</formula>
    </cfRule>
    <cfRule type="expression" dxfId="3848" priority="122">
      <formula>AND(IF($Q24=3,1,IF($Q24=4,1,0)),IF($F24&lt;=85,1,0))</formula>
    </cfRule>
  </conditionalFormatting>
  <conditionalFormatting sqref="X24">
    <cfRule type="expression" dxfId="3847" priority="115">
      <formula>AND(IF(OR($Q24=1,$Q24=2),1,0),IF($X24&lt;=20,1,0))</formula>
    </cfRule>
    <cfRule type="expression" dxfId="3846" priority="116">
      <formula>AND(IF($Q24=2,1,0),IF($X24&lt;30,1,0))</formula>
    </cfRule>
    <cfRule type="expression" dxfId="3845" priority="117">
      <formula>AND(IF($Q24=3,1,0),IF($X24&lt;30,1,0))</formula>
    </cfRule>
    <cfRule type="expression" dxfId="3844" priority="118">
      <formula>AND(IF($Q24=3,1,IF($Q24=4,1,0)),IF($F24&lt;=85,1,0))</formula>
    </cfRule>
  </conditionalFormatting>
  <conditionalFormatting sqref="AI24">
    <cfRule type="expression" dxfId="3843" priority="111">
      <formula>AND(IF(OR($Q24=1,$Q24=2),1,0),IF($X24&lt;=20,1,0))</formula>
    </cfRule>
    <cfRule type="expression" dxfId="3842" priority="112">
      <formula>AND(IF($Q24=2,1,0),IF($X24&lt;30,1,0))</formula>
    </cfRule>
    <cfRule type="expression" dxfId="3841" priority="113">
      <formula>AND(IF($Q24=3,1,0),IF($X24&lt;30,1,0))</formula>
    </cfRule>
    <cfRule type="expression" dxfId="3840" priority="114">
      <formula>AND(IF($Q24=3,1,IF($Q24=4,1,0)),IF($F24&lt;=85,1,0))</formula>
    </cfRule>
  </conditionalFormatting>
  <conditionalFormatting sqref="AV25">
    <cfRule type="expression" dxfId="3839" priority="109">
      <formula>AV25="X"</formula>
    </cfRule>
    <cfRule type="expression" dxfId="3838" priority="110">
      <formula>AV25="후보"</formula>
    </cfRule>
  </conditionalFormatting>
  <conditionalFormatting sqref="AC25 N25">
    <cfRule type="cellIs" dxfId="3837" priority="106" operator="greaterThan">
      <formula>0.9</formula>
    </cfRule>
    <cfRule type="cellIs" dxfId="3836" priority="107" operator="greaterThan">
      <formula>0.85</formula>
    </cfRule>
  </conditionalFormatting>
  <conditionalFormatting sqref="AV26">
    <cfRule type="expression" dxfId="3835" priority="104">
      <formula>AV26="X"</formula>
    </cfRule>
    <cfRule type="expression" dxfId="3834" priority="105">
      <formula>AV26="후보"</formula>
    </cfRule>
  </conditionalFormatting>
  <conditionalFormatting sqref="AC26">
    <cfRule type="cellIs" dxfId="3833" priority="101" operator="greaterThan">
      <formula>0.9</formula>
    </cfRule>
    <cfRule type="cellIs" dxfId="3832" priority="102" operator="greaterThan">
      <formula>0.85</formula>
    </cfRule>
  </conditionalFormatting>
  <conditionalFormatting sqref="N26">
    <cfRule type="cellIs" dxfId="3831" priority="99" operator="greaterThan">
      <formula>0.9</formula>
    </cfRule>
    <cfRule type="cellIs" dxfId="3830" priority="100" operator="greaterThan">
      <formula>0.85</formula>
    </cfRule>
  </conditionalFormatting>
  <conditionalFormatting sqref="E26">
    <cfRule type="expression" dxfId="3829" priority="95">
      <formula>AND(IF(OR($Q26=1,$Q26=2),1,0),IF($X26&lt;=20,1,0))</formula>
    </cfRule>
    <cfRule type="expression" dxfId="3828" priority="96">
      <formula>AND(IF($Q26=2,1,0),IF($X26&lt;30,1,0))</formula>
    </cfRule>
    <cfRule type="expression" dxfId="3827" priority="97">
      <formula>AND(IF($Q26=3,1,0),IF($X26&lt;30,1,0))</formula>
    </cfRule>
    <cfRule type="expression" dxfId="3826" priority="98">
      <formula>AND(IF($Q26=3,1,IF($Q26=4,1,0)),IF($F26&lt;=85,1,0))</formula>
    </cfRule>
  </conditionalFormatting>
  <conditionalFormatting sqref="X26">
    <cfRule type="expression" dxfId="3825" priority="91">
      <formula>AND(IF(OR($Q26=1,$Q26=2),1,0),IF($X26&lt;=20,1,0))</formula>
    </cfRule>
    <cfRule type="expression" dxfId="3824" priority="92">
      <formula>AND(IF($Q26=2,1,0),IF($X26&lt;30,1,0))</formula>
    </cfRule>
    <cfRule type="expression" dxfId="3823" priority="93">
      <formula>AND(IF($Q26=3,1,0),IF($X26&lt;30,1,0))</formula>
    </cfRule>
    <cfRule type="expression" dxfId="3822" priority="94">
      <formula>AND(IF($Q26=3,1,IF($Q26=4,1,0)),IF($F26&lt;=85,1,0))</formula>
    </cfRule>
  </conditionalFormatting>
  <conditionalFormatting sqref="AI26">
    <cfRule type="expression" dxfId="3821" priority="87">
      <formula>AND(IF(OR($Q26=1,$Q26=2),1,0),IF($X26&lt;=20,1,0))</formula>
    </cfRule>
    <cfRule type="expression" dxfId="3820" priority="88">
      <formula>AND(IF($Q26=2,1,0),IF($X26&lt;30,1,0))</formula>
    </cfRule>
    <cfRule type="expression" dxfId="3819" priority="89">
      <formula>AND(IF($Q26=3,1,0),IF($X26&lt;30,1,0))</formula>
    </cfRule>
    <cfRule type="expression" dxfId="3818" priority="90">
      <formula>AND(IF($Q26=3,1,IF($Q26=4,1,0)),IF($F26&lt;=85,1,0))</formula>
    </cfRule>
  </conditionalFormatting>
  <conditionalFormatting sqref="AV27">
    <cfRule type="expression" dxfId="3817" priority="85">
      <formula>AV27="X"</formula>
    </cfRule>
    <cfRule type="expression" dxfId="3816" priority="86">
      <formula>AV27="후보"</formula>
    </cfRule>
  </conditionalFormatting>
  <conditionalFormatting sqref="AC27 N27">
    <cfRule type="cellIs" dxfId="3815" priority="82" operator="greaterThan">
      <formula>0.9</formula>
    </cfRule>
    <cfRule type="cellIs" dxfId="3814" priority="83" operator="greaterThan">
      <formula>0.85</formula>
    </cfRule>
  </conditionalFormatting>
  <conditionalFormatting sqref="AV28">
    <cfRule type="expression" dxfId="3813" priority="80">
      <formula>AV28="X"</formula>
    </cfRule>
    <cfRule type="expression" dxfId="3812" priority="81">
      <formula>AV28="후보"</formula>
    </cfRule>
  </conditionalFormatting>
  <conditionalFormatting sqref="AC28">
    <cfRule type="cellIs" dxfId="3811" priority="77" operator="greaterThan">
      <formula>0.9</formula>
    </cfRule>
    <cfRule type="cellIs" dxfId="3810" priority="78" operator="greaterThan">
      <formula>0.85</formula>
    </cfRule>
  </conditionalFormatting>
  <conditionalFormatting sqref="N28">
    <cfRule type="cellIs" dxfId="3809" priority="75" operator="greaterThan">
      <formula>0.9</formula>
    </cfRule>
    <cfRule type="cellIs" dxfId="3808" priority="76" operator="greaterThan">
      <formula>0.85</formula>
    </cfRule>
  </conditionalFormatting>
  <conditionalFormatting sqref="E28">
    <cfRule type="expression" dxfId="3807" priority="71">
      <formula>AND(IF(OR($Q28=1,$Q28=2),1,0),IF($X28&lt;=20,1,0))</formula>
    </cfRule>
    <cfRule type="expression" dxfId="3806" priority="72">
      <formula>AND(IF($Q28=2,1,0),IF($X28&lt;30,1,0))</formula>
    </cfRule>
    <cfRule type="expression" dxfId="3805" priority="73">
      <formula>AND(IF($Q28=3,1,0),IF($X28&lt;30,1,0))</formula>
    </cfRule>
    <cfRule type="expression" dxfId="3804" priority="74">
      <formula>AND(IF($Q28=3,1,IF($Q28=4,1,0)),IF($F28&lt;=85,1,0))</formula>
    </cfRule>
  </conditionalFormatting>
  <conditionalFormatting sqref="X28">
    <cfRule type="expression" dxfId="3803" priority="67">
      <formula>AND(IF(OR($Q28=1,$Q28=2),1,0),IF($X28&lt;=20,1,0))</formula>
    </cfRule>
    <cfRule type="expression" dxfId="3802" priority="68">
      <formula>AND(IF($Q28=2,1,0),IF($X28&lt;30,1,0))</formula>
    </cfRule>
    <cfRule type="expression" dxfId="3801" priority="69">
      <formula>AND(IF($Q28=3,1,0),IF($X28&lt;30,1,0))</formula>
    </cfRule>
    <cfRule type="expression" dxfId="3800" priority="70">
      <formula>AND(IF($Q28=3,1,IF($Q28=4,1,0)),IF($F28&lt;=85,1,0))</formula>
    </cfRule>
  </conditionalFormatting>
  <conditionalFormatting sqref="AI28">
    <cfRule type="expression" dxfId="3799" priority="63">
      <formula>AND(IF(OR($Q28=1,$Q28=2),1,0),IF($X28&lt;=20,1,0))</formula>
    </cfRule>
    <cfRule type="expression" dxfId="3798" priority="64">
      <formula>AND(IF($Q28=2,1,0),IF($X28&lt;30,1,0))</formula>
    </cfRule>
    <cfRule type="expression" dxfId="3797" priority="65">
      <formula>AND(IF($Q28=3,1,0),IF($X28&lt;30,1,0))</formula>
    </cfRule>
    <cfRule type="expression" dxfId="3796" priority="66">
      <formula>AND(IF($Q28=3,1,IF($Q28=4,1,0)),IF($F28&lt;=85,1,0))</formula>
    </cfRule>
  </conditionalFormatting>
  <conditionalFormatting sqref="AV29">
    <cfRule type="expression" dxfId="3795" priority="61">
      <formula>AV29="X"</formula>
    </cfRule>
    <cfRule type="expression" dxfId="3794" priority="62">
      <formula>AV29="후보"</formula>
    </cfRule>
  </conditionalFormatting>
  <conditionalFormatting sqref="AC29">
    <cfRule type="cellIs" dxfId="3793" priority="58" operator="greaterThan">
      <formula>0.9</formula>
    </cfRule>
    <cfRule type="cellIs" dxfId="3792" priority="59" operator="greaterThan">
      <formula>0.85</formula>
    </cfRule>
  </conditionalFormatting>
  <conditionalFormatting sqref="N29">
    <cfRule type="cellIs" dxfId="3791" priority="56" operator="greaterThan">
      <formula>0.9</formula>
    </cfRule>
    <cfRule type="cellIs" dxfId="3790" priority="57" operator="greaterThan">
      <formula>0.85</formula>
    </cfRule>
  </conditionalFormatting>
  <conditionalFormatting sqref="E29">
    <cfRule type="expression" dxfId="3789" priority="52">
      <formula>AND(IF(OR($Q29=1,$Q29=2),1,0),IF($X29&lt;=20,1,0))</formula>
    </cfRule>
    <cfRule type="expression" dxfId="3788" priority="53">
      <formula>AND(IF($Q29=2,1,0),IF($X29&lt;30,1,0))</formula>
    </cfRule>
    <cfRule type="expression" dxfId="3787" priority="54">
      <formula>AND(IF($Q29=3,1,0),IF($X29&lt;30,1,0))</formula>
    </cfRule>
    <cfRule type="expression" dxfId="3786" priority="55">
      <formula>AND(IF($Q29=3,1,IF($Q29=4,1,0)),IF($F29&lt;=85,1,0))</formula>
    </cfRule>
  </conditionalFormatting>
  <conditionalFormatting sqref="X29">
    <cfRule type="expression" dxfId="3785" priority="48">
      <formula>AND(IF(OR($Q29=1,$Q29=2),1,0),IF($X29&lt;=20,1,0))</formula>
    </cfRule>
    <cfRule type="expression" dxfId="3784" priority="49">
      <formula>AND(IF($Q29=2,1,0),IF($X29&lt;30,1,0))</formula>
    </cfRule>
    <cfRule type="expression" dxfId="3783" priority="50">
      <formula>AND(IF($Q29=3,1,0),IF($X29&lt;30,1,0))</formula>
    </cfRule>
    <cfRule type="expression" dxfId="3782" priority="51">
      <formula>AND(IF($Q29=3,1,IF($Q29=4,1,0)),IF($F29&lt;=85,1,0))</formula>
    </cfRule>
  </conditionalFormatting>
  <conditionalFormatting sqref="AI29">
    <cfRule type="expression" dxfId="3781" priority="44">
      <formula>AND(IF(OR($Q29=1,$Q29=2),1,0),IF($X29&lt;=20,1,0))</formula>
    </cfRule>
    <cfRule type="expression" dxfId="3780" priority="45">
      <formula>AND(IF($Q29=2,1,0),IF($X29&lt;30,1,0))</formula>
    </cfRule>
    <cfRule type="expression" dxfId="3779" priority="46">
      <formula>AND(IF($Q29=3,1,0),IF($X29&lt;30,1,0))</formula>
    </cfRule>
    <cfRule type="expression" dxfId="3778" priority="47">
      <formula>AND(IF($Q29=3,1,IF($Q29=4,1,0)),IF($F29&lt;=85,1,0))</formula>
    </cfRule>
  </conditionalFormatting>
  <conditionalFormatting sqref="AV30">
    <cfRule type="expression" dxfId="3777" priority="42">
      <formula>AV30="X"</formula>
    </cfRule>
    <cfRule type="expression" dxfId="3776" priority="43">
      <formula>AV30="후보"</formula>
    </cfRule>
  </conditionalFormatting>
  <conditionalFormatting sqref="AC30 N30">
    <cfRule type="cellIs" dxfId="3775" priority="39" operator="greaterThan">
      <formula>0.9</formula>
    </cfRule>
    <cfRule type="cellIs" dxfId="3774" priority="40" operator="greaterThan">
      <formula>0.85</formula>
    </cfRule>
  </conditionalFormatting>
  <conditionalFormatting sqref="AV31">
    <cfRule type="expression" dxfId="3773" priority="37">
      <formula>AV31="X"</formula>
    </cfRule>
    <cfRule type="expression" dxfId="3772" priority="38">
      <formula>AV31="후보"</formula>
    </cfRule>
  </conditionalFormatting>
  <conditionalFormatting sqref="AC31">
    <cfRule type="cellIs" dxfId="3771" priority="34" operator="greaterThan">
      <formula>0.9</formula>
    </cfRule>
    <cfRule type="cellIs" dxfId="3770" priority="35" operator="greaterThan">
      <formula>0.85</formula>
    </cfRule>
  </conditionalFormatting>
  <conditionalFormatting sqref="N31">
    <cfRule type="cellIs" dxfId="3769" priority="32" operator="greaterThan">
      <formula>0.9</formula>
    </cfRule>
    <cfRule type="cellIs" dxfId="3768" priority="33" operator="greaterThan">
      <formula>0.85</formula>
    </cfRule>
  </conditionalFormatting>
  <conditionalFormatting sqref="E31">
    <cfRule type="expression" dxfId="3767" priority="28">
      <formula>AND(IF(OR($Q31=1,$Q31=2),1,0),IF($X31&lt;=20,1,0))</formula>
    </cfRule>
    <cfRule type="expression" dxfId="3766" priority="29">
      <formula>AND(IF($Q31=2,1,0),IF($X31&lt;30,1,0))</formula>
    </cfRule>
    <cfRule type="expression" dxfId="3765" priority="30">
      <formula>AND(IF($Q31=3,1,0),IF($X31&lt;30,1,0))</formula>
    </cfRule>
    <cfRule type="expression" dxfId="3764" priority="31">
      <formula>AND(IF($Q31=3,1,IF($Q31=4,1,0)),IF($F31&lt;=85,1,0))</formula>
    </cfRule>
  </conditionalFormatting>
  <conditionalFormatting sqref="X31">
    <cfRule type="expression" dxfId="3763" priority="24">
      <formula>AND(IF(OR($Q31=1,$Q31=2),1,0),IF($X31&lt;=20,1,0))</formula>
    </cfRule>
    <cfRule type="expression" dxfId="3762" priority="25">
      <formula>AND(IF($Q31=2,1,0),IF($X31&lt;30,1,0))</formula>
    </cfRule>
    <cfRule type="expression" dxfId="3761" priority="26">
      <formula>AND(IF($Q31=3,1,0),IF($X31&lt;30,1,0))</formula>
    </cfRule>
    <cfRule type="expression" dxfId="3760" priority="27">
      <formula>AND(IF($Q31=3,1,IF($Q31=4,1,0)),IF($F31&lt;=85,1,0))</formula>
    </cfRule>
  </conditionalFormatting>
  <conditionalFormatting sqref="AI31">
    <cfRule type="expression" dxfId="3759" priority="20">
      <formula>AND(IF(OR($Q31=1,$Q31=2),1,0),IF($X31&lt;=20,1,0))</formula>
    </cfRule>
    <cfRule type="expression" dxfId="3758" priority="21">
      <formula>AND(IF($Q31=2,1,0),IF($X31&lt;30,1,0))</formula>
    </cfRule>
    <cfRule type="expression" dxfId="3757" priority="22">
      <formula>AND(IF($Q31=3,1,0),IF($X31&lt;30,1,0))</formula>
    </cfRule>
    <cfRule type="expression" dxfId="3756" priority="23">
      <formula>AND(IF($Q31=3,1,IF($Q31=4,1,0)),IF($F31&lt;=85,1,0))</formula>
    </cfRule>
  </conditionalFormatting>
  <conditionalFormatting sqref="AV32">
    <cfRule type="expression" dxfId="3755" priority="18">
      <formula>AV32="X"</formula>
    </cfRule>
    <cfRule type="expression" dxfId="3754" priority="19">
      <formula>AV32="후보"</formula>
    </cfRule>
  </conditionalFormatting>
  <conditionalFormatting sqref="AC32">
    <cfRule type="cellIs" dxfId="3753" priority="15" operator="greaterThan">
      <formula>0.9</formula>
    </cfRule>
    <cfRule type="cellIs" dxfId="3752" priority="16" operator="greaterThan">
      <formula>0.85</formula>
    </cfRule>
  </conditionalFormatting>
  <conditionalFormatting sqref="N32">
    <cfRule type="cellIs" dxfId="3751" priority="13" operator="greaterThan">
      <formula>0.9</formula>
    </cfRule>
    <cfRule type="cellIs" dxfId="3750" priority="14" operator="greaterThan">
      <formula>0.85</formula>
    </cfRule>
  </conditionalFormatting>
  <conditionalFormatting sqref="E32">
    <cfRule type="expression" dxfId="3749" priority="9">
      <formula>AND(IF(OR($Q32=1,$Q32=2),1,0),IF($X32&lt;=20,1,0))</formula>
    </cfRule>
    <cfRule type="expression" dxfId="3748" priority="10">
      <formula>AND(IF($Q32=2,1,0),IF($X32&lt;30,1,0))</formula>
    </cfRule>
    <cfRule type="expression" dxfId="3747" priority="11">
      <formula>AND(IF($Q32=3,1,0),IF($X32&lt;30,1,0))</formula>
    </cfRule>
    <cfRule type="expression" dxfId="3746" priority="12">
      <formula>AND(IF($Q32=3,1,IF($Q32=4,1,0)),IF($F32&lt;=85,1,0))</formula>
    </cfRule>
  </conditionalFormatting>
  <conditionalFormatting sqref="X32">
    <cfRule type="expression" dxfId="3745" priority="5">
      <formula>AND(IF(OR($Q32=1,$Q32=2),1,0),IF($X32&lt;=20,1,0))</formula>
    </cfRule>
    <cfRule type="expression" dxfId="3744" priority="6">
      <formula>AND(IF($Q32=2,1,0),IF($X32&lt;30,1,0))</formula>
    </cfRule>
    <cfRule type="expression" dxfId="3743" priority="7">
      <formula>AND(IF($Q32=3,1,0),IF($X32&lt;30,1,0))</formula>
    </cfRule>
    <cfRule type="expression" dxfId="3742" priority="8">
      <formula>AND(IF($Q32=3,1,IF($Q32=4,1,0)),IF($F32&lt;=85,1,0))</formula>
    </cfRule>
  </conditionalFormatting>
  <conditionalFormatting sqref="AI32">
    <cfRule type="expression" dxfId="3741" priority="1">
      <formula>AND(IF(OR($Q32=1,$Q32=2),1,0),IF($X32&lt;=20,1,0))</formula>
    </cfRule>
    <cfRule type="expression" dxfId="3740" priority="2">
      <formula>AND(IF($Q32=2,1,0),IF($X32&lt;30,1,0))</formula>
    </cfRule>
    <cfRule type="expression" dxfId="3739" priority="3">
      <formula>AND(IF($Q32=3,1,0),IF($X32&lt;30,1,0))</formula>
    </cfRule>
    <cfRule type="expression" dxfId="3738" priority="4">
      <formula>AND(IF($Q32=3,1,IF($Q32=4,1,0)),IF($F32&lt;=85,1,0))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AV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8" sqref="A28:XFD28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남문동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242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남문동 진해남문리젠시빌란트더웰('24.03.,458^)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28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238</v>
      </c>
      <c r="B6" s="10" t="s">
        <v>880</v>
      </c>
      <c r="C6" s="107">
        <v>458</v>
      </c>
      <c r="D6" s="104">
        <v>100.4</v>
      </c>
      <c r="E6" s="106">
        <v>30</v>
      </c>
      <c r="F6" s="104">
        <v>74.400000000000006</v>
      </c>
      <c r="G6" s="17">
        <v>23</v>
      </c>
      <c r="H6" s="107">
        <v>120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4</v>
      </c>
      <c r="R6" s="75">
        <v>2</v>
      </c>
      <c r="S6" s="75" t="s">
        <v>869</v>
      </c>
      <c r="T6" s="5" t="s">
        <v>148</v>
      </c>
      <c r="U6" s="9"/>
      <c r="W6" s="104">
        <f t="shared" ref="W6:X8" si="2">D6</f>
        <v>100.4</v>
      </c>
      <c r="X6" s="106">
        <f t="shared" si="2"/>
        <v>30</v>
      </c>
      <c r="Y6" s="102">
        <f t="shared" ref="Y6:Z8" si="3">H6</f>
        <v>120</v>
      </c>
      <c r="Z6" s="109">
        <f t="shared" si="3"/>
        <v>0</v>
      </c>
      <c r="AA6" s="109">
        <f>K6</f>
        <v>0</v>
      </c>
      <c r="AB6" s="109">
        <f t="shared" ref="AB6:AD8" si="4">M6</f>
        <v>0</v>
      </c>
      <c r="AC6" s="4" t="str">
        <f t="shared" si="4"/>
        <v/>
      </c>
      <c r="AD6" s="105">
        <f t="shared" si="4"/>
        <v>0</v>
      </c>
      <c r="AE6" s="75" t="str">
        <f>S6</f>
        <v>계</v>
      </c>
      <c r="AF6" s="75" t="str">
        <f>Q6&amp;"/"&amp;R6</f>
        <v>4/2</v>
      </c>
      <c r="AH6" s="20" t="str">
        <f t="shared" si="1"/>
        <v>진해남문리젠시빌란트더웰</v>
      </c>
      <c r="AI6" s="106">
        <f t="shared" si="0"/>
        <v>30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  <row r="7" spans="1:48" x14ac:dyDescent="0.3">
      <c r="A7" s="9" t="s">
        <v>238</v>
      </c>
      <c r="B7" s="10" t="s">
        <v>880</v>
      </c>
      <c r="C7" s="107">
        <v>458</v>
      </c>
      <c r="D7" s="104">
        <v>101.4</v>
      </c>
      <c r="E7" s="106">
        <v>31</v>
      </c>
      <c r="F7" s="104">
        <v>74.900000000000006</v>
      </c>
      <c r="G7" s="17">
        <v>23</v>
      </c>
      <c r="H7" s="107">
        <v>24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3</v>
      </c>
      <c r="R7" s="75">
        <v>2</v>
      </c>
      <c r="S7" s="75" t="s">
        <v>869</v>
      </c>
      <c r="T7" s="5" t="s">
        <v>244</v>
      </c>
      <c r="U7" s="9"/>
      <c r="W7" s="104">
        <f t="shared" si="2"/>
        <v>101.4</v>
      </c>
      <c r="X7" s="106">
        <f t="shared" si="2"/>
        <v>31</v>
      </c>
      <c r="Y7" s="102">
        <f t="shared" si="3"/>
        <v>24</v>
      </c>
      <c r="Z7" s="109">
        <f t="shared" si="3"/>
        <v>0</v>
      </c>
      <c r="AA7" s="109">
        <f>K7</f>
        <v>0</v>
      </c>
      <c r="AB7" s="109">
        <f t="shared" si="4"/>
        <v>0</v>
      </c>
      <c r="AC7" s="4" t="str">
        <f t="shared" si="4"/>
        <v/>
      </c>
      <c r="AD7" s="105">
        <f t="shared" si="4"/>
        <v>0</v>
      </c>
      <c r="AE7" s="75" t="str">
        <f>S7</f>
        <v>계</v>
      </c>
      <c r="AF7" s="75" t="str">
        <f>Q7&amp;"/"&amp;R7</f>
        <v>3/2</v>
      </c>
      <c r="AH7" s="20" t="str">
        <f t="shared" si="1"/>
        <v>진해남문리젠시빌란트더웰</v>
      </c>
      <c r="AI7" s="106">
        <f t="shared" si="0"/>
        <v>31</v>
      </c>
      <c r="AJ7" s="75" t="str">
        <f>IF(AI7="","",$AJ$2)</f>
        <v>A-</v>
      </c>
      <c r="AK7" s="75" t="s">
        <v>14</v>
      </c>
      <c r="AL7" s="75" t="s">
        <v>870</v>
      </c>
      <c r="AM7" s="75" t="s">
        <v>871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/>
      </c>
    </row>
    <row r="8" spans="1:48" x14ac:dyDescent="0.3">
      <c r="A8" s="9" t="s">
        <v>238</v>
      </c>
      <c r="B8" s="10" t="s">
        <v>880</v>
      </c>
      <c r="C8" s="107">
        <v>458</v>
      </c>
      <c r="D8" s="104">
        <v>112.9</v>
      </c>
      <c r="E8" s="106">
        <v>34</v>
      </c>
      <c r="F8" s="104">
        <v>84.9</v>
      </c>
      <c r="G8" s="17">
        <v>26</v>
      </c>
      <c r="H8" s="107">
        <v>314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5">
        <v>4</v>
      </c>
      <c r="R8" s="75">
        <v>2</v>
      </c>
      <c r="S8" s="75" t="s">
        <v>869</v>
      </c>
      <c r="T8" s="5">
        <v>112</v>
      </c>
      <c r="U8" s="9"/>
      <c r="W8" s="104">
        <f t="shared" si="2"/>
        <v>112.9</v>
      </c>
      <c r="X8" s="106">
        <f t="shared" si="2"/>
        <v>34</v>
      </c>
      <c r="Y8" s="102">
        <f t="shared" si="3"/>
        <v>314</v>
      </c>
      <c r="Z8" s="109">
        <f t="shared" si="3"/>
        <v>0</v>
      </c>
      <c r="AA8" s="109">
        <f>K8</f>
        <v>0</v>
      </c>
      <c r="AB8" s="109">
        <f t="shared" si="4"/>
        <v>0</v>
      </c>
      <c r="AC8" s="4" t="str">
        <f t="shared" si="4"/>
        <v/>
      </c>
      <c r="AD8" s="105">
        <f t="shared" si="4"/>
        <v>0</v>
      </c>
      <c r="AE8" s="75" t="str">
        <f>S8</f>
        <v>계</v>
      </c>
      <c r="AF8" s="75" t="str">
        <f>Q8&amp;"/"&amp;R8</f>
        <v>4/2</v>
      </c>
      <c r="AH8" s="20" t="str">
        <f t="shared" si="1"/>
        <v>진해남문리젠시빌란트더웰</v>
      </c>
      <c r="AI8" s="106">
        <f t="shared" si="0"/>
        <v>34</v>
      </c>
      <c r="AJ8" s="75" t="str">
        <f>IF(AI8="","",$AJ$2)</f>
        <v>A-</v>
      </c>
      <c r="AK8" s="75" t="s">
        <v>14</v>
      </c>
      <c r="AL8" s="75" t="s">
        <v>870</v>
      </c>
      <c r="AM8" s="75" t="s">
        <v>871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/>
      </c>
    </row>
    <row r="9" spans="1:48" x14ac:dyDescent="0.3">
      <c r="A9" s="9"/>
      <c r="B9" s="75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8"/>
      <c r="U9" s="9"/>
      <c r="W9" s="70" t="str">
        <f>$A$4&amp;" "&amp;A10&amp;"("&amp;B10&amp;","&amp;C10&amp;"^)"</f>
        <v>남문동 진해남문하우스디('19.01.,299^)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3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245</v>
      </c>
      <c r="B10" s="10" t="s">
        <v>881</v>
      </c>
      <c r="C10" s="107">
        <v>299</v>
      </c>
      <c r="D10" s="104">
        <v>95.2</v>
      </c>
      <c r="E10" s="106">
        <v>29</v>
      </c>
      <c r="F10" s="104">
        <v>73</v>
      </c>
      <c r="G10" s="17">
        <v>22</v>
      </c>
      <c r="H10" s="107">
        <v>40</v>
      </c>
      <c r="I10" s="108"/>
      <c r="J10" s="108"/>
      <c r="K10" s="108"/>
      <c r="L10" s="108"/>
      <c r="M10" s="109">
        <f t="shared" ref="M10:M15" si="5">I10-K10</f>
        <v>0</v>
      </c>
      <c r="N10" s="4" t="str">
        <f t="shared" ref="N10:N15" si="6">IF(ISERROR(K10/I10),"",K10/I10)</f>
        <v/>
      </c>
      <c r="O10" s="105">
        <f t="shared" ref="O10:O15" si="7">I10/E10</f>
        <v>0</v>
      </c>
      <c r="P10" s="105">
        <f t="shared" ref="P10:P15" si="8">K10/E10</f>
        <v>0</v>
      </c>
      <c r="Q10" s="75">
        <v>3</v>
      </c>
      <c r="R10" s="75">
        <v>2</v>
      </c>
      <c r="S10" s="75" t="s">
        <v>869</v>
      </c>
      <c r="T10" s="5" t="s">
        <v>247</v>
      </c>
      <c r="U10" s="9"/>
      <c r="W10" s="104">
        <f t="shared" ref="W10:X15" si="9">D10</f>
        <v>95.2</v>
      </c>
      <c r="X10" s="106">
        <f t="shared" si="9"/>
        <v>29</v>
      </c>
      <c r="Y10" s="102">
        <f t="shared" ref="Y10:Z15" si="10">H10</f>
        <v>40</v>
      </c>
      <c r="Z10" s="109">
        <f t="shared" si="10"/>
        <v>0</v>
      </c>
      <c r="AA10" s="109">
        <f t="shared" ref="AA10:AA15" si="11">K10</f>
        <v>0</v>
      </c>
      <c r="AB10" s="109">
        <f t="shared" ref="AB10:AD15" si="12">M10</f>
        <v>0</v>
      </c>
      <c r="AC10" s="4" t="str">
        <f t="shared" si="12"/>
        <v/>
      </c>
      <c r="AD10" s="105">
        <f t="shared" si="12"/>
        <v>0</v>
      </c>
      <c r="AE10" s="75" t="str">
        <f t="shared" ref="AE10:AE15" si="13">S10</f>
        <v>계</v>
      </c>
      <c r="AF10" s="75" t="str">
        <f t="shared" ref="AF10:AF15" si="14">Q10&amp;"/"&amp;R10</f>
        <v>3/2</v>
      </c>
      <c r="AH10" s="20" t="str">
        <f t="shared" si="1"/>
        <v>진해남문하우스디</v>
      </c>
      <c r="AI10" s="106">
        <f t="shared" si="0"/>
        <v>29</v>
      </c>
      <c r="AJ10" s="75" t="str">
        <f t="shared" ref="AJ10:AJ15" si="15">IF(AI10="","",$AJ$2)</f>
        <v>A-</v>
      </c>
      <c r="AK10" s="75" t="s">
        <v>14</v>
      </c>
      <c r="AL10" s="75" t="s">
        <v>870</v>
      </c>
      <c r="AM10" s="75" t="s">
        <v>871</v>
      </c>
      <c r="AN10" s="75" t="str">
        <f t="shared" ref="AN10:AN15" si="16">IF(AI10="","",$AN$2)</f>
        <v>C</v>
      </c>
      <c r="AO10" s="75" t="str">
        <f t="shared" ref="AO10:AO15" si="17">IF(N10="","",IF(N10&gt;=$AO$1/100,"O","X"))</f>
        <v/>
      </c>
      <c r="AP10" s="75" t="str">
        <f t="shared" ref="AP10:AP15" si="18">IF(I10="","",IF(I10&lt;=$AP$1,"O","X"))</f>
        <v/>
      </c>
      <c r="AQ10" s="75" t="str">
        <f t="shared" ref="AQ10:AQ15" si="19">IF(O10="","",IF(O10&lt;=$AQ$1,"O","X"))</f>
        <v>O</v>
      </c>
      <c r="AR10" s="75" t="str">
        <f t="shared" ref="AR10:AR15" si="20">IF(M10="","",IF(M10&lt;=$AR$1,"O","X"))</f>
        <v>O</v>
      </c>
      <c r="AS10" s="75" t="s">
        <v>2</v>
      </c>
      <c r="AT10" s="75" t="str">
        <f t="shared" ref="AT10:AT15" si="21">IF(OR(F10="",AI10=""),"",IF(AND((F10&lt;=85),(AI10&gt;=15)),"O","X"))</f>
        <v>O</v>
      </c>
      <c r="AU10" s="75" t="str">
        <f t="shared" ref="AU10:AU15" si="22">IF(C10="","",IF(C10&gt;=$AU$1,"O","X"))</f>
        <v>X</v>
      </c>
      <c r="AV10" s="75" t="str">
        <f t="shared" ref="AV10:AV15" si="23">IF(AO10="","",IF(AND(AO10="O",AP10="O",AR10="O",AT10="O",AU10="O"),"후보","X"))</f>
        <v/>
      </c>
    </row>
    <row r="11" spans="1:48" x14ac:dyDescent="0.3">
      <c r="A11" s="9" t="s">
        <v>245</v>
      </c>
      <c r="B11" s="10" t="s">
        <v>881</v>
      </c>
      <c r="C11" s="107">
        <v>299</v>
      </c>
      <c r="D11" s="104">
        <v>95.2</v>
      </c>
      <c r="E11" s="106">
        <v>29</v>
      </c>
      <c r="F11" s="104">
        <v>73</v>
      </c>
      <c r="G11" s="17">
        <v>22</v>
      </c>
      <c r="H11" s="107">
        <v>31</v>
      </c>
      <c r="I11" s="108"/>
      <c r="J11" s="108"/>
      <c r="K11" s="108"/>
      <c r="L11" s="108"/>
      <c r="M11" s="109">
        <f t="shared" si="5"/>
        <v>0</v>
      </c>
      <c r="N11" s="4" t="str">
        <f t="shared" si="6"/>
        <v/>
      </c>
      <c r="O11" s="105">
        <f t="shared" si="7"/>
        <v>0</v>
      </c>
      <c r="P11" s="105">
        <f t="shared" si="8"/>
        <v>0</v>
      </c>
      <c r="Q11" s="75">
        <v>3</v>
      </c>
      <c r="R11" s="75">
        <v>2</v>
      </c>
      <c r="S11" s="75" t="s">
        <v>869</v>
      </c>
      <c r="T11" s="5" t="s">
        <v>251</v>
      </c>
      <c r="U11" s="9"/>
      <c r="W11" s="104">
        <f t="shared" si="9"/>
        <v>95.2</v>
      </c>
      <c r="X11" s="106">
        <f t="shared" si="9"/>
        <v>29</v>
      </c>
      <c r="Y11" s="102">
        <f t="shared" si="10"/>
        <v>31</v>
      </c>
      <c r="Z11" s="109">
        <f t="shared" si="10"/>
        <v>0</v>
      </c>
      <c r="AA11" s="109">
        <f t="shared" si="11"/>
        <v>0</v>
      </c>
      <c r="AB11" s="109">
        <f t="shared" si="12"/>
        <v>0</v>
      </c>
      <c r="AC11" s="4" t="str">
        <f t="shared" si="12"/>
        <v/>
      </c>
      <c r="AD11" s="105">
        <f t="shared" si="12"/>
        <v>0</v>
      </c>
      <c r="AE11" s="75" t="str">
        <f t="shared" si="13"/>
        <v>계</v>
      </c>
      <c r="AF11" s="75" t="str">
        <f t="shared" si="14"/>
        <v>3/2</v>
      </c>
      <c r="AH11" s="20" t="str">
        <f t="shared" si="1"/>
        <v>진해남문하우스디</v>
      </c>
      <c r="AI11" s="106">
        <f t="shared" si="0"/>
        <v>29</v>
      </c>
      <c r="AJ11" s="75" t="str">
        <f t="shared" si="15"/>
        <v>A-</v>
      </c>
      <c r="AK11" s="75" t="s">
        <v>14</v>
      </c>
      <c r="AL11" s="75" t="s">
        <v>870</v>
      </c>
      <c r="AM11" s="75" t="s">
        <v>871</v>
      </c>
      <c r="AN11" s="75" t="str">
        <f t="shared" si="16"/>
        <v>C</v>
      </c>
      <c r="AO11" s="75" t="str">
        <f t="shared" si="17"/>
        <v/>
      </c>
      <c r="AP11" s="75" t="str">
        <f t="shared" si="18"/>
        <v/>
      </c>
      <c r="AQ11" s="75" t="str">
        <f t="shared" si="19"/>
        <v>O</v>
      </c>
      <c r="AR11" s="75" t="str">
        <f t="shared" si="20"/>
        <v>O</v>
      </c>
      <c r="AS11" s="75" t="s">
        <v>2</v>
      </c>
      <c r="AT11" s="75" t="str">
        <f t="shared" si="21"/>
        <v>O</v>
      </c>
      <c r="AU11" s="75" t="str">
        <f t="shared" si="22"/>
        <v>X</v>
      </c>
      <c r="AV11" s="75" t="str">
        <f t="shared" si="23"/>
        <v/>
      </c>
    </row>
    <row r="12" spans="1:48" x14ac:dyDescent="0.3">
      <c r="A12" s="9" t="s">
        <v>245</v>
      </c>
      <c r="B12" s="10" t="s">
        <v>881</v>
      </c>
      <c r="C12" s="107">
        <v>299</v>
      </c>
      <c r="D12" s="104">
        <v>110</v>
      </c>
      <c r="E12" s="106">
        <v>33</v>
      </c>
      <c r="F12" s="104">
        <v>84.9</v>
      </c>
      <c r="G12" s="17">
        <v>26</v>
      </c>
      <c r="H12" s="107">
        <v>96</v>
      </c>
      <c r="I12" s="108"/>
      <c r="J12" s="108"/>
      <c r="K12" s="108"/>
      <c r="L12" s="108"/>
      <c r="M12" s="109">
        <f t="shared" si="5"/>
        <v>0</v>
      </c>
      <c r="N12" s="4" t="str">
        <f t="shared" si="6"/>
        <v/>
      </c>
      <c r="O12" s="105">
        <f t="shared" si="7"/>
        <v>0</v>
      </c>
      <c r="P12" s="105">
        <f t="shared" si="8"/>
        <v>0</v>
      </c>
      <c r="Q12" s="75">
        <v>3</v>
      </c>
      <c r="R12" s="75">
        <v>2</v>
      </c>
      <c r="S12" s="75" t="s">
        <v>869</v>
      </c>
      <c r="T12" s="5" t="s">
        <v>252</v>
      </c>
      <c r="U12" s="9"/>
      <c r="W12" s="104">
        <f t="shared" si="9"/>
        <v>110</v>
      </c>
      <c r="X12" s="106">
        <f t="shared" si="9"/>
        <v>33</v>
      </c>
      <c r="Y12" s="102">
        <f t="shared" si="10"/>
        <v>96</v>
      </c>
      <c r="Z12" s="109">
        <f t="shared" si="10"/>
        <v>0</v>
      </c>
      <c r="AA12" s="109">
        <f t="shared" si="11"/>
        <v>0</v>
      </c>
      <c r="AB12" s="109">
        <f t="shared" si="12"/>
        <v>0</v>
      </c>
      <c r="AC12" s="4" t="str">
        <f t="shared" si="12"/>
        <v/>
      </c>
      <c r="AD12" s="105">
        <f t="shared" si="12"/>
        <v>0</v>
      </c>
      <c r="AE12" s="75" t="str">
        <f t="shared" si="13"/>
        <v>계</v>
      </c>
      <c r="AF12" s="75" t="str">
        <f t="shared" si="14"/>
        <v>3/2</v>
      </c>
      <c r="AH12" s="20" t="str">
        <f t="shared" si="1"/>
        <v>진해남문하우스디</v>
      </c>
      <c r="AI12" s="106">
        <f t="shared" si="0"/>
        <v>33</v>
      </c>
      <c r="AJ12" s="75" t="str">
        <f t="shared" si="15"/>
        <v>A-</v>
      </c>
      <c r="AK12" s="75" t="s">
        <v>14</v>
      </c>
      <c r="AL12" s="75" t="s">
        <v>870</v>
      </c>
      <c r="AM12" s="75" t="s">
        <v>871</v>
      </c>
      <c r="AN12" s="75" t="str">
        <f t="shared" si="16"/>
        <v>C</v>
      </c>
      <c r="AO12" s="75" t="str">
        <f t="shared" si="17"/>
        <v/>
      </c>
      <c r="AP12" s="75" t="str">
        <f t="shared" si="18"/>
        <v/>
      </c>
      <c r="AQ12" s="75" t="str">
        <f t="shared" si="19"/>
        <v>O</v>
      </c>
      <c r="AR12" s="75" t="str">
        <f t="shared" si="20"/>
        <v>O</v>
      </c>
      <c r="AS12" s="75" t="s">
        <v>2</v>
      </c>
      <c r="AT12" s="75" t="str">
        <f t="shared" si="21"/>
        <v>O</v>
      </c>
      <c r="AU12" s="75" t="str">
        <f t="shared" si="22"/>
        <v>X</v>
      </c>
      <c r="AV12" s="75" t="str">
        <f t="shared" si="23"/>
        <v/>
      </c>
    </row>
    <row r="13" spans="1:48" x14ac:dyDescent="0.3">
      <c r="A13" s="9" t="s">
        <v>245</v>
      </c>
      <c r="B13" s="10" t="s">
        <v>881</v>
      </c>
      <c r="C13" s="107">
        <v>299</v>
      </c>
      <c r="D13" s="104">
        <v>110.2</v>
      </c>
      <c r="E13" s="106">
        <v>33</v>
      </c>
      <c r="F13" s="104">
        <v>84.9</v>
      </c>
      <c r="G13" s="17">
        <v>26</v>
      </c>
      <c r="H13" s="107">
        <v>48</v>
      </c>
      <c r="I13" s="108"/>
      <c r="J13" s="108"/>
      <c r="K13" s="108"/>
      <c r="L13" s="108"/>
      <c r="M13" s="109">
        <f t="shared" si="5"/>
        <v>0</v>
      </c>
      <c r="N13" s="4" t="str">
        <f t="shared" si="6"/>
        <v/>
      </c>
      <c r="O13" s="105">
        <f t="shared" si="7"/>
        <v>0</v>
      </c>
      <c r="P13" s="105">
        <f t="shared" si="8"/>
        <v>0</v>
      </c>
      <c r="Q13" s="75">
        <v>3</v>
      </c>
      <c r="R13" s="75">
        <v>2</v>
      </c>
      <c r="S13" s="75" t="s">
        <v>869</v>
      </c>
      <c r="T13" s="5" t="s">
        <v>253</v>
      </c>
      <c r="U13" s="9"/>
      <c r="W13" s="104">
        <f t="shared" si="9"/>
        <v>110.2</v>
      </c>
      <c r="X13" s="106">
        <f t="shared" si="9"/>
        <v>33</v>
      </c>
      <c r="Y13" s="102">
        <f t="shared" si="10"/>
        <v>48</v>
      </c>
      <c r="Z13" s="109">
        <f t="shared" si="10"/>
        <v>0</v>
      </c>
      <c r="AA13" s="109">
        <f t="shared" si="11"/>
        <v>0</v>
      </c>
      <c r="AB13" s="109">
        <f t="shared" si="12"/>
        <v>0</v>
      </c>
      <c r="AC13" s="4" t="str">
        <f t="shared" si="12"/>
        <v/>
      </c>
      <c r="AD13" s="105">
        <f t="shared" si="12"/>
        <v>0</v>
      </c>
      <c r="AE13" s="75" t="str">
        <f t="shared" si="13"/>
        <v>계</v>
      </c>
      <c r="AF13" s="75" t="str">
        <f t="shared" si="14"/>
        <v>3/2</v>
      </c>
      <c r="AH13" s="20" t="str">
        <f t="shared" si="1"/>
        <v>진해남문하우스디</v>
      </c>
      <c r="AI13" s="106">
        <f t="shared" si="0"/>
        <v>33</v>
      </c>
      <c r="AJ13" s="75" t="str">
        <f t="shared" si="15"/>
        <v>A-</v>
      </c>
      <c r="AK13" s="75" t="s">
        <v>14</v>
      </c>
      <c r="AL13" s="75" t="s">
        <v>870</v>
      </c>
      <c r="AM13" s="75" t="s">
        <v>871</v>
      </c>
      <c r="AN13" s="75" t="str">
        <f t="shared" si="16"/>
        <v>C</v>
      </c>
      <c r="AO13" s="75" t="str">
        <f t="shared" si="17"/>
        <v/>
      </c>
      <c r="AP13" s="75" t="str">
        <f t="shared" si="18"/>
        <v/>
      </c>
      <c r="AQ13" s="75" t="str">
        <f t="shared" si="19"/>
        <v>O</v>
      </c>
      <c r="AR13" s="75" t="str">
        <f t="shared" si="20"/>
        <v>O</v>
      </c>
      <c r="AS13" s="75" t="s">
        <v>2</v>
      </c>
      <c r="AT13" s="75" t="str">
        <f t="shared" si="21"/>
        <v>O</v>
      </c>
      <c r="AU13" s="75" t="str">
        <f t="shared" si="22"/>
        <v>X</v>
      </c>
      <c r="AV13" s="75" t="str">
        <f t="shared" si="23"/>
        <v/>
      </c>
    </row>
    <row r="14" spans="1:48" x14ac:dyDescent="0.3">
      <c r="A14" s="9" t="s">
        <v>245</v>
      </c>
      <c r="B14" s="10" t="s">
        <v>881</v>
      </c>
      <c r="C14" s="107">
        <v>299</v>
      </c>
      <c r="D14" s="104">
        <v>110.2</v>
      </c>
      <c r="E14" s="106">
        <v>33</v>
      </c>
      <c r="F14" s="104">
        <v>84.9</v>
      </c>
      <c r="G14" s="17">
        <v>26</v>
      </c>
      <c r="H14" s="107">
        <v>42</v>
      </c>
      <c r="I14" s="108"/>
      <c r="J14" s="108"/>
      <c r="K14" s="108"/>
      <c r="L14" s="108"/>
      <c r="M14" s="109">
        <f t="shared" si="5"/>
        <v>0</v>
      </c>
      <c r="N14" s="4" t="str">
        <f t="shared" si="6"/>
        <v/>
      </c>
      <c r="O14" s="105">
        <f t="shared" si="7"/>
        <v>0</v>
      </c>
      <c r="P14" s="105">
        <f t="shared" si="8"/>
        <v>0</v>
      </c>
      <c r="Q14" s="75">
        <v>3</v>
      </c>
      <c r="R14" s="75">
        <v>2</v>
      </c>
      <c r="S14" s="75" t="s">
        <v>869</v>
      </c>
      <c r="T14" s="5" t="s">
        <v>254</v>
      </c>
      <c r="U14" s="9"/>
      <c r="W14" s="104">
        <f t="shared" si="9"/>
        <v>110.2</v>
      </c>
      <c r="X14" s="106">
        <f t="shared" si="9"/>
        <v>33</v>
      </c>
      <c r="Y14" s="102">
        <f t="shared" si="10"/>
        <v>42</v>
      </c>
      <c r="Z14" s="109">
        <f t="shared" si="10"/>
        <v>0</v>
      </c>
      <c r="AA14" s="109">
        <f t="shared" si="11"/>
        <v>0</v>
      </c>
      <c r="AB14" s="109">
        <f t="shared" si="12"/>
        <v>0</v>
      </c>
      <c r="AC14" s="4" t="str">
        <f t="shared" si="12"/>
        <v/>
      </c>
      <c r="AD14" s="105">
        <f t="shared" si="12"/>
        <v>0</v>
      </c>
      <c r="AE14" s="75" t="str">
        <f t="shared" si="13"/>
        <v>계</v>
      </c>
      <c r="AF14" s="75" t="str">
        <f t="shared" si="14"/>
        <v>3/2</v>
      </c>
      <c r="AH14" s="20" t="str">
        <f t="shared" si="1"/>
        <v>진해남문하우스디</v>
      </c>
      <c r="AI14" s="106">
        <f t="shared" si="0"/>
        <v>33</v>
      </c>
      <c r="AJ14" s="75" t="str">
        <f t="shared" si="15"/>
        <v>A-</v>
      </c>
      <c r="AK14" s="75" t="s">
        <v>14</v>
      </c>
      <c r="AL14" s="75" t="s">
        <v>870</v>
      </c>
      <c r="AM14" s="75" t="s">
        <v>871</v>
      </c>
      <c r="AN14" s="75" t="str">
        <f t="shared" si="16"/>
        <v>C</v>
      </c>
      <c r="AO14" s="75" t="str">
        <f t="shared" si="17"/>
        <v/>
      </c>
      <c r="AP14" s="75" t="str">
        <f t="shared" si="18"/>
        <v/>
      </c>
      <c r="AQ14" s="75" t="str">
        <f t="shared" si="19"/>
        <v>O</v>
      </c>
      <c r="AR14" s="75" t="str">
        <f t="shared" si="20"/>
        <v>O</v>
      </c>
      <c r="AS14" s="75" t="s">
        <v>2</v>
      </c>
      <c r="AT14" s="75" t="str">
        <f t="shared" si="21"/>
        <v>O</v>
      </c>
      <c r="AU14" s="75" t="str">
        <f t="shared" si="22"/>
        <v>X</v>
      </c>
      <c r="AV14" s="75" t="str">
        <f t="shared" si="23"/>
        <v/>
      </c>
    </row>
    <row r="15" spans="1:48" x14ac:dyDescent="0.3">
      <c r="A15" s="9" t="s">
        <v>245</v>
      </c>
      <c r="B15" s="10" t="s">
        <v>881</v>
      </c>
      <c r="C15" s="107">
        <v>299</v>
      </c>
      <c r="D15" s="104">
        <v>110.9</v>
      </c>
      <c r="E15" s="106">
        <v>34</v>
      </c>
      <c r="F15" s="104">
        <v>84.9</v>
      </c>
      <c r="G15" s="17">
        <v>26</v>
      </c>
      <c r="H15" s="107">
        <v>42</v>
      </c>
      <c r="I15" s="108"/>
      <c r="J15" s="108"/>
      <c r="K15" s="108"/>
      <c r="L15" s="108"/>
      <c r="M15" s="109">
        <f t="shared" si="5"/>
        <v>0</v>
      </c>
      <c r="N15" s="4" t="str">
        <f t="shared" si="6"/>
        <v/>
      </c>
      <c r="O15" s="105">
        <f t="shared" si="7"/>
        <v>0</v>
      </c>
      <c r="P15" s="105">
        <f t="shared" si="8"/>
        <v>0</v>
      </c>
      <c r="Q15" s="75">
        <v>3</v>
      </c>
      <c r="R15" s="75">
        <v>2</v>
      </c>
      <c r="S15" s="75" t="s">
        <v>869</v>
      </c>
      <c r="T15" s="5" t="s">
        <v>152</v>
      </c>
      <c r="U15" s="9"/>
      <c r="W15" s="104">
        <f t="shared" si="9"/>
        <v>110.9</v>
      </c>
      <c r="X15" s="106">
        <f t="shared" si="9"/>
        <v>34</v>
      </c>
      <c r="Y15" s="102">
        <f t="shared" si="10"/>
        <v>42</v>
      </c>
      <c r="Z15" s="109">
        <f t="shared" si="10"/>
        <v>0</v>
      </c>
      <c r="AA15" s="109">
        <f t="shared" si="11"/>
        <v>0</v>
      </c>
      <c r="AB15" s="109">
        <f t="shared" si="12"/>
        <v>0</v>
      </c>
      <c r="AC15" s="4" t="str">
        <f t="shared" si="12"/>
        <v/>
      </c>
      <c r="AD15" s="105">
        <f t="shared" si="12"/>
        <v>0</v>
      </c>
      <c r="AE15" s="75" t="str">
        <f t="shared" si="13"/>
        <v>계</v>
      </c>
      <c r="AF15" s="75" t="str">
        <f t="shared" si="14"/>
        <v>3/2</v>
      </c>
      <c r="AH15" s="20" t="str">
        <f t="shared" si="1"/>
        <v>진해남문하우스디</v>
      </c>
      <c r="AI15" s="106">
        <f t="shared" si="0"/>
        <v>34</v>
      </c>
      <c r="AJ15" s="75" t="str">
        <f t="shared" si="15"/>
        <v>A-</v>
      </c>
      <c r="AK15" s="75" t="s">
        <v>14</v>
      </c>
      <c r="AL15" s="75" t="s">
        <v>870</v>
      </c>
      <c r="AM15" s="75" t="s">
        <v>871</v>
      </c>
      <c r="AN15" s="75" t="str">
        <f t="shared" si="16"/>
        <v>C</v>
      </c>
      <c r="AO15" s="75" t="str">
        <f t="shared" si="17"/>
        <v/>
      </c>
      <c r="AP15" s="75" t="str">
        <f t="shared" si="18"/>
        <v/>
      </c>
      <c r="AQ15" s="75" t="str">
        <f t="shared" si="19"/>
        <v>O</v>
      </c>
      <c r="AR15" s="75" t="str">
        <f t="shared" si="20"/>
        <v>O</v>
      </c>
      <c r="AS15" s="75" t="s">
        <v>2</v>
      </c>
      <c r="AT15" s="75" t="str">
        <f t="shared" si="21"/>
        <v>O</v>
      </c>
      <c r="AU15" s="75" t="str">
        <f t="shared" si="22"/>
        <v>X</v>
      </c>
      <c r="AV15" s="75" t="str">
        <f t="shared" si="23"/>
        <v/>
      </c>
    </row>
    <row r="16" spans="1:48" x14ac:dyDescent="0.3">
      <c r="A16" s="9"/>
      <c r="B16" s="75"/>
      <c r="C16" s="6"/>
      <c r="D16" s="9"/>
      <c r="E16" s="14"/>
      <c r="F16" s="104"/>
      <c r="G16" s="9"/>
      <c r="H16" s="9"/>
      <c r="I16" s="9"/>
      <c r="J16" s="9"/>
      <c r="K16" s="9"/>
      <c r="L16" s="9"/>
      <c r="M16" s="9"/>
      <c r="N16" s="9"/>
      <c r="O16" s="105"/>
      <c r="P16" s="105"/>
      <c r="Q16" s="106"/>
      <c r="R16" s="106"/>
      <c r="S16" s="9"/>
      <c r="T16" s="48"/>
      <c r="U16" s="9"/>
      <c r="W16" s="70" t="str">
        <f>$A$4&amp;" "&amp;A17&amp;"("&amp;B17&amp;","&amp;C17&amp;"^)"</f>
        <v>남문동 남문호반베르디움('18.06.,944^)</v>
      </c>
      <c r="X16" s="71"/>
      <c r="Y16" s="71"/>
      <c r="Z16" s="71"/>
      <c r="AA16" s="71"/>
      <c r="AB16" s="71"/>
      <c r="AC16" s="71"/>
      <c r="AD16" s="71"/>
      <c r="AE16" s="71"/>
      <c r="AF16" s="72"/>
      <c r="AH16" s="20" t="str">
        <f t="shared" si="1"/>
        <v/>
      </c>
      <c r="AI16" s="103" t="str">
        <f t="shared" si="0"/>
        <v/>
      </c>
      <c r="AJ16" s="75"/>
      <c r="AK16" s="75"/>
      <c r="AL16" s="75"/>
      <c r="AM16" s="75"/>
      <c r="AN16" s="75"/>
      <c r="AO16" s="75"/>
      <c r="AP16" s="75"/>
      <c r="AQ16" s="75"/>
      <c r="AR16" s="75"/>
      <c r="AS16" s="75"/>
      <c r="AT16" s="75"/>
      <c r="AU16" s="75"/>
      <c r="AV16" s="75"/>
    </row>
    <row r="17" spans="1:48" x14ac:dyDescent="0.3">
      <c r="A17" s="9" t="s">
        <v>255</v>
      </c>
      <c r="B17" s="10" t="s">
        <v>882</v>
      </c>
      <c r="C17" s="107">
        <v>944</v>
      </c>
      <c r="D17" s="104">
        <v>97.2</v>
      </c>
      <c r="E17" s="106">
        <v>29</v>
      </c>
      <c r="F17" s="104">
        <v>72</v>
      </c>
      <c r="G17" s="17">
        <v>22</v>
      </c>
      <c r="H17" s="107">
        <v>371</v>
      </c>
      <c r="I17" s="108">
        <v>27000</v>
      </c>
      <c r="J17" s="108" t="s">
        <v>873</v>
      </c>
      <c r="K17" s="108">
        <v>21000</v>
      </c>
      <c r="L17" s="108" t="s">
        <v>883</v>
      </c>
      <c r="M17" s="109">
        <f>I17-K17</f>
        <v>6000</v>
      </c>
      <c r="N17" s="4">
        <f>IF(ISERROR(K17/I17),"",K17/I17)</f>
        <v>0.77777777777777779</v>
      </c>
      <c r="O17" s="105">
        <f>I17/E17</f>
        <v>931.0344827586207</v>
      </c>
      <c r="P17" s="105">
        <f>K17/E17</f>
        <v>724.13793103448279</v>
      </c>
      <c r="Q17" s="75">
        <v>3</v>
      </c>
      <c r="R17" s="75">
        <v>2</v>
      </c>
      <c r="S17" s="75" t="s">
        <v>869</v>
      </c>
      <c r="T17" s="5" t="s">
        <v>257</v>
      </c>
      <c r="U17" s="9"/>
      <c r="W17" s="104">
        <f t="shared" ref="W17:X19" si="24">D17</f>
        <v>97.2</v>
      </c>
      <c r="X17" s="106">
        <f t="shared" si="24"/>
        <v>29</v>
      </c>
      <c r="Y17" s="102">
        <f t="shared" ref="Y17:Z19" si="25">H17</f>
        <v>371</v>
      </c>
      <c r="Z17" s="109">
        <f t="shared" si="25"/>
        <v>27000</v>
      </c>
      <c r="AA17" s="109">
        <f>K17</f>
        <v>21000</v>
      </c>
      <c r="AB17" s="109">
        <f t="shared" ref="AB17:AD19" si="26">M17</f>
        <v>6000</v>
      </c>
      <c r="AC17" s="4">
        <f t="shared" si="26"/>
        <v>0.77777777777777779</v>
      </c>
      <c r="AD17" s="105">
        <f t="shared" si="26"/>
        <v>931.0344827586207</v>
      </c>
      <c r="AE17" s="75" t="str">
        <f>S17</f>
        <v>계</v>
      </c>
      <c r="AF17" s="75" t="str">
        <f>Q17&amp;"/"&amp;R17</f>
        <v>3/2</v>
      </c>
      <c r="AH17" s="20" t="str">
        <f t="shared" si="1"/>
        <v>남문호반베르디움</v>
      </c>
      <c r="AI17" s="106">
        <f t="shared" si="0"/>
        <v>29</v>
      </c>
      <c r="AJ17" s="75" t="str">
        <f>IF(AI17="","",$AJ$2)</f>
        <v>A-</v>
      </c>
      <c r="AK17" s="75" t="s">
        <v>14</v>
      </c>
      <c r="AL17" s="75" t="s">
        <v>870</v>
      </c>
      <c r="AM17" s="75" t="s">
        <v>871</v>
      </c>
      <c r="AN17" s="75" t="str">
        <f>IF(AI17="","",$AN$2)</f>
        <v>C</v>
      </c>
      <c r="AO17" s="75" t="str">
        <f>IF(N17="","",IF(N17&gt;=$AO$1/100,"O","X"))</f>
        <v>X</v>
      </c>
      <c r="AP17" s="75" t="str">
        <f>IF(I17="","",IF(I17&lt;=$AP$1,"O","X"))</f>
        <v>O</v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O</v>
      </c>
      <c r="AU17" s="75" t="str">
        <f>IF(C17="","",IF(C17&gt;=$AU$1,"O","X"))</f>
        <v>O</v>
      </c>
      <c r="AV17" s="75" t="str">
        <f>IF(AO17="","",IF(AND(AO17="O",AP17="O",AR17="O",AT17="O",AU17="O"),"후보","X"))</f>
        <v>X</v>
      </c>
    </row>
    <row r="18" spans="1:48" x14ac:dyDescent="0.3">
      <c r="A18" s="9" t="s">
        <v>255</v>
      </c>
      <c r="B18" s="10" t="s">
        <v>882</v>
      </c>
      <c r="C18" s="107">
        <v>944</v>
      </c>
      <c r="D18" s="104">
        <v>97.3</v>
      </c>
      <c r="E18" s="106">
        <v>29</v>
      </c>
      <c r="F18" s="104">
        <v>72</v>
      </c>
      <c r="G18" s="17">
        <v>22</v>
      </c>
      <c r="H18" s="107">
        <v>125</v>
      </c>
      <c r="I18" s="108">
        <v>27000</v>
      </c>
      <c r="J18" s="108" t="s">
        <v>884</v>
      </c>
      <c r="K18" s="108">
        <v>20000</v>
      </c>
      <c r="L18" s="108" t="s">
        <v>868</v>
      </c>
      <c r="M18" s="109">
        <f>I18-K18</f>
        <v>7000</v>
      </c>
      <c r="N18" s="4">
        <f>IF(ISERROR(K18/I18),"",K18/I18)</f>
        <v>0.7407407407407407</v>
      </c>
      <c r="O18" s="105">
        <f>I18/E18</f>
        <v>931.0344827586207</v>
      </c>
      <c r="P18" s="105">
        <f>K18/E18</f>
        <v>689.65517241379314</v>
      </c>
      <c r="Q18" s="75">
        <v>3</v>
      </c>
      <c r="R18" s="75">
        <v>2</v>
      </c>
      <c r="S18" s="75" t="s">
        <v>869</v>
      </c>
      <c r="T18" s="5" t="s">
        <v>261</v>
      </c>
      <c r="U18" s="9"/>
      <c r="W18" s="104">
        <f t="shared" si="24"/>
        <v>97.3</v>
      </c>
      <c r="X18" s="106">
        <f t="shared" si="24"/>
        <v>29</v>
      </c>
      <c r="Y18" s="102">
        <f t="shared" si="25"/>
        <v>125</v>
      </c>
      <c r="Z18" s="109">
        <f t="shared" si="25"/>
        <v>27000</v>
      </c>
      <c r="AA18" s="109">
        <f>K18</f>
        <v>20000</v>
      </c>
      <c r="AB18" s="109">
        <f t="shared" si="26"/>
        <v>7000</v>
      </c>
      <c r="AC18" s="4">
        <f t="shared" si="26"/>
        <v>0.7407407407407407</v>
      </c>
      <c r="AD18" s="105">
        <f t="shared" si="26"/>
        <v>931.0344827586207</v>
      </c>
      <c r="AE18" s="75" t="str">
        <f>S18</f>
        <v>계</v>
      </c>
      <c r="AF18" s="75" t="str">
        <f>Q18&amp;"/"&amp;R18</f>
        <v>3/2</v>
      </c>
      <c r="AH18" s="20" t="str">
        <f t="shared" si="1"/>
        <v>남문호반베르디움</v>
      </c>
      <c r="AI18" s="106">
        <f t="shared" si="0"/>
        <v>29</v>
      </c>
      <c r="AJ18" s="75" t="str">
        <f>IF(AI18="","",$AJ$2)</f>
        <v>A-</v>
      </c>
      <c r="AK18" s="75" t="s">
        <v>14</v>
      </c>
      <c r="AL18" s="75" t="s">
        <v>870</v>
      </c>
      <c r="AM18" s="75" t="s">
        <v>871</v>
      </c>
      <c r="AN18" s="75" t="str">
        <f>IF(AI18="","",$AN$2)</f>
        <v>C</v>
      </c>
      <c r="AO18" s="75" t="str">
        <f>IF(N18="","",IF(N18&gt;=$AO$1/100,"O","X"))</f>
        <v>X</v>
      </c>
      <c r="AP18" s="75" t="str">
        <f>IF(I18="","",IF(I18&lt;=$AP$1,"O","X"))</f>
        <v>O</v>
      </c>
      <c r="AQ18" s="75" t="str">
        <f>IF(O18="","",IF(O18&lt;=$AQ$1,"O","X"))</f>
        <v>O</v>
      </c>
      <c r="AR18" s="75" t="str">
        <f>IF(M18="","",IF(M18&lt;=$AR$1,"O","X"))</f>
        <v>X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>X</v>
      </c>
    </row>
    <row r="19" spans="1:48" x14ac:dyDescent="0.3">
      <c r="A19" s="9" t="s">
        <v>255</v>
      </c>
      <c r="B19" s="10" t="s">
        <v>882</v>
      </c>
      <c r="C19" s="107">
        <v>944</v>
      </c>
      <c r="D19" s="104">
        <v>110.2</v>
      </c>
      <c r="E19" s="106">
        <v>33</v>
      </c>
      <c r="F19" s="104">
        <v>85</v>
      </c>
      <c r="G19" s="17">
        <v>26</v>
      </c>
      <c r="H19" s="107">
        <v>448</v>
      </c>
      <c r="I19" s="108">
        <v>31000</v>
      </c>
      <c r="J19" s="108" t="s">
        <v>878</v>
      </c>
      <c r="K19" s="108">
        <v>24000</v>
      </c>
      <c r="L19" s="108" t="s">
        <v>885</v>
      </c>
      <c r="M19" s="109">
        <f>I19-K19</f>
        <v>7000</v>
      </c>
      <c r="N19" s="4">
        <f>IF(ISERROR(K19/I19),"",K19/I19)</f>
        <v>0.77419354838709675</v>
      </c>
      <c r="O19" s="105">
        <f>I19/E19</f>
        <v>939.39393939393938</v>
      </c>
      <c r="P19" s="105">
        <f>K19/E19</f>
        <v>727.27272727272725</v>
      </c>
      <c r="Q19" s="75">
        <v>4</v>
      </c>
      <c r="R19" s="75">
        <v>2</v>
      </c>
      <c r="S19" s="75" t="s">
        <v>869</v>
      </c>
      <c r="T19" s="5">
        <v>110</v>
      </c>
      <c r="U19" s="9"/>
      <c r="W19" s="104">
        <f t="shared" si="24"/>
        <v>110.2</v>
      </c>
      <c r="X19" s="106">
        <f t="shared" si="24"/>
        <v>33</v>
      </c>
      <c r="Y19" s="102">
        <f t="shared" si="25"/>
        <v>448</v>
      </c>
      <c r="Z19" s="109">
        <f t="shared" si="25"/>
        <v>31000</v>
      </c>
      <c r="AA19" s="109">
        <f>K19</f>
        <v>24000</v>
      </c>
      <c r="AB19" s="109">
        <f t="shared" si="26"/>
        <v>7000</v>
      </c>
      <c r="AC19" s="4">
        <f t="shared" si="26"/>
        <v>0.77419354838709675</v>
      </c>
      <c r="AD19" s="105">
        <f t="shared" si="26"/>
        <v>939.39393939393938</v>
      </c>
      <c r="AE19" s="75" t="str">
        <f>S19</f>
        <v>계</v>
      </c>
      <c r="AF19" s="75" t="str">
        <f>Q19&amp;"/"&amp;R19</f>
        <v>4/2</v>
      </c>
      <c r="AH19" s="20" t="str">
        <f t="shared" si="1"/>
        <v>남문호반베르디움</v>
      </c>
      <c r="AI19" s="106">
        <f t="shared" si="0"/>
        <v>33</v>
      </c>
      <c r="AJ19" s="75" t="str">
        <f>IF(AI19="","",$AJ$2)</f>
        <v>A-</v>
      </c>
      <c r="AK19" s="75" t="s">
        <v>14</v>
      </c>
      <c r="AL19" s="75" t="s">
        <v>870</v>
      </c>
      <c r="AM19" s="75" t="s">
        <v>871</v>
      </c>
      <c r="AN19" s="75" t="str">
        <f>IF(AI19="","",$AN$2)</f>
        <v>C</v>
      </c>
      <c r="AO19" s="75" t="str">
        <f>IF(N19="","",IF(N19&gt;=$AO$1/100,"O","X"))</f>
        <v>X</v>
      </c>
      <c r="AP19" s="75" t="str">
        <f>IF(I19="","",IF(I19&lt;=$AP$1,"O","X"))</f>
        <v>O</v>
      </c>
      <c r="AQ19" s="75" t="str">
        <f>IF(O19="","",IF(O19&lt;=$AQ$1,"O","X"))</f>
        <v>O</v>
      </c>
      <c r="AR19" s="75" t="str">
        <f>IF(M19="","",IF(M19&lt;=$AR$1,"O","X"))</f>
        <v>X</v>
      </c>
      <c r="AS19" s="75" t="s">
        <v>2</v>
      </c>
      <c r="AT19" s="75" t="str">
        <f>IF(OR(F19="",AI19=""),"",IF(AND((F19&lt;=85),(AI19&gt;=15)),"O","X"))</f>
        <v>O</v>
      </c>
      <c r="AU19" s="75" t="str">
        <f>IF(C19="","",IF(C19&gt;=$AU$1,"O","X"))</f>
        <v>O</v>
      </c>
      <c r="AV19" s="75" t="str">
        <f>IF(AO19="","",IF(AND(AO19="O",AP19="O",AR19="O",AT19="O",AU19="O"),"후보","X"))</f>
        <v>X</v>
      </c>
    </row>
    <row r="20" spans="1:48" x14ac:dyDescent="0.3">
      <c r="A20" s="9"/>
      <c r="B20" s="75"/>
      <c r="C20" s="6"/>
      <c r="D20" s="9"/>
      <c r="E20" s="14"/>
      <c r="F20" s="104"/>
      <c r="G20" s="9"/>
      <c r="H20" s="9"/>
      <c r="I20" s="9"/>
      <c r="J20" s="9"/>
      <c r="K20" s="9"/>
      <c r="L20" s="9"/>
      <c r="M20" s="9"/>
      <c r="N20" s="9"/>
      <c r="O20" s="105"/>
      <c r="P20" s="105"/>
      <c r="Q20" s="106"/>
      <c r="R20" s="106"/>
      <c r="S20" s="9"/>
      <c r="T20" s="48"/>
      <c r="U20" s="9"/>
      <c r="W20" s="70" t="str">
        <f>$A$4&amp;" "&amp;A21&amp;"("&amp;B21&amp;","&amp;C21&amp;"^)"</f>
        <v>남문동 진해남문시티프라디움2차('17.12.,876^)</v>
      </c>
      <c r="X20" s="71"/>
      <c r="Y20" s="71"/>
      <c r="Z20" s="71"/>
      <c r="AA20" s="71"/>
      <c r="AB20" s="71"/>
      <c r="AC20" s="71"/>
      <c r="AD20" s="71"/>
      <c r="AE20" s="71"/>
      <c r="AF20" s="72"/>
      <c r="AH20" s="20" t="str">
        <f t="shared" si="1"/>
        <v/>
      </c>
      <c r="AI20" s="103" t="str">
        <f t="shared" si="0"/>
        <v/>
      </c>
      <c r="AJ20" s="75"/>
      <c r="AK20" s="75"/>
      <c r="AL20" s="75"/>
      <c r="AM20" s="75"/>
      <c r="AN20" s="75"/>
      <c r="AO20" s="75"/>
      <c r="AP20" s="75"/>
      <c r="AQ20" s="75"/>
      <c r="AR20" s="75"/>
      <c r="AS20" s="75"/>
      <c r="AT20" s="75"/>
      <c r="AU20" s="75"/>
      <c r="AV20" s="75"/>
    </row>
    <row r="21" spans="1:48" x14ac:dyDescent="0.3">
      <c r="A21" s="9" t="s">
        <v>262</v>
      </c>
      <c r="B21" s="10" t="s">
        <v>886</v>
      </c>
      <c r="C21" s="107">
        <v>876</v>
      </c>
      <c r="D21" s="104">
        <v>96.5</v>
      </c>
      <c r="E21" s="106">
        <v>29</v>
      </c>
      <c r="F21" s="104">
        <v>74.099999999999994</v>
      </c>
      <c r="G21" s="17">
        <v>22</v>
      </c>
      <c r="H21" s="107">
        <v>115</v>
      </c>
      <c r="I21" s="108">
        <v>27000</v>
      </c>
      <c r="J21" s="108" t="s">
        <v>868</v>
      </c>
      <c r="K21" s="108"/>
      <c r="L21" s="108"/>
      <c r="M21" s="109">
        <f>I21-K21</f>
        <v>27000</v>
      </c>
      <c r="N21" s="4">
        <f>IF(ISERROR(K21/I21),"",K21/I21)</f>
        <v>0</v>
      </c>
      <c r="O21" s="105">
        <f>I21/E21</f>
        <v>931.0344827586207</v>
      </c>
      <c r="P21" s="105">
        <f>K21/E21</f>
        <v>0</v>
      </c>
      <c r="Q21" s="75">
        <v>3</v>
      </c>
      <c r="R21" s="75">
        <v>2</v>
      </c>
      <c r="S21" s="75" t="s">
        <v>869</v>
      </c>
      <c r="T21" s="5" t="s">
        <v>264</v>
      </c>
      <c r="U21" s="9"/>
      <c r="W21" s="104">
        <f t="shared" ref="W21:X24" si="27">D21</f>
        <v>96.5</v>
      </c>
      <c r="X21" s="106">
        <f t="shared" si="27"/>
        <v>29</v>
      </c>
      <c r="Y21" s="102">
        <f t="shared" ref="Y21:Z24" si="28">H21</f>
        <v>115</v>
      </c>
      <c r="Z21" s="109">
        <f t="shared" si="28"/>
        <v>27000</v>
      </c>
      <c r="AA21" s="109">
        <f>K21</f>
        <v>0</v>
      </c>
      <c r="AB21" s="109">
        <f t="shared" ref="AB21:AD24" si="29">M21</f>
        <v>27000</v>
      </c>
      <c r="AC21" s="4">
        <f t="shared" si="29"/>
        <v>0</v>
      </c>
      <c r="AD21" s="105">
        <f t="shared" si="29"/>
        <v>931.0344827586207</v>
      </c>
      <c r="AE21" s="75" t="str">
        <f>S21</f>
        <v>계</v>
      </c>
      <c r="AF21" s="75" t="str">
        <f>Q21&amp;"/"&amp;R21</f>
        <v>3/2</v>
      </c>
      <c r="AH21" s="20" t="str">
        <f t="shared" si="1"/>
        <v>진해남문시티프라디움2차</v>
      </c>
      <c r="AI21" s="106">
        <f t="shared" si="0"/>
        <v>29</v>
      </c>
      <c r="AJ21" s="75" t="str">
        <f>IF(AI21="","",$AJ$2)</f>
        <v>A-</v>
      </c>
      <c r="AK21" s="75" t="s">
        <v>14</v>
      </c>
      <c r="AL21" s="75" t="s">
        <v>870</v>
      </c>
      <c r="AM21" s="75" t="s">
        <v>871</v>
      </c>
      <c r="AN21" s="75" t="str">
        <f>IF(AI21="","",$AN$2)</f>
        <v>C</v>
      </c>
      <c r="AO21" s="75" t="str">
        <f>IF(N21="","",IF(N21&gt;=$AO$1/100,"O","X"))</f>
        <v>X</v>
      </c>
      <c r="AP21" s="75" t="str">
        <f>IF(I21="","",IF(I21&lt;=$AP$1,"O","X"))</f>
        <v>O</v>
      </c>
      <c r="AQ21" s="75" t="str">
        <f>IF(O21="","",IF(O21&lt;=$AQ$1,"O","X"))</f>
        <v>O</v>
      </c>
      <c r="AR21" s="75" t="str">
        <f>IF(M21="","",IF(M21&lt;=$AR$1,"O","X"))</f>
        <v>X</v>
      </c>
      <c r="AS21" s="75" t="s">
        <v>2</v>
      </c>
      <c r="AT21" s="75" t="str">
        <f>IF(OR(F21="",AI21=""),"",IF(AND((F21&lt;=85),(AI21&gt;=15)),"O","X"))</f>
        <v>O</v>
      </c>
      <c r="AU21" s="75" t="str">
        <f>IF(C21="","",IF(C21&gt;=$AU$1,"O","X"))</f>
        <v>O</v>
      </c>
      <c r="AV21" s="75" t="str">
        <f>IF(AO21="","",IF(AND(AO21="O",AP21="O",AR21="O",AT21="O",AU21="O"),"후보","X"))</f>
        <v>X</v>
      </c>
    </row>
    <row r="22" spans="1:48" x14ac:dyDescent="0.3">
      <c r="A22" s="9" t="s">
        <v>262</v>
      </c>
      <c r="B22" s="10" t="s">
        <v>886</v>
      </c>
      <c r="C22" s="107">
        <v>876</v>
      </c>
      <c r="D22" s="104">
        <v>96.5</v>
      </c>
      <c r="E22" s="106">
        <v>29</v>
      </c>
      <c r="F22" s="104">
        <v>74.3</v>
      </c>
      <c r="G22" s="17">
        <v>22</v>
      </c>
      <c r="H22" s="107">
        <v>113</v>
      </c>
      <c r="I22" s="108">
        <v>28000</v>
      </c>
      <c r="J22" s="108" t="s">
        <v>887</v>
      </c>
      <c r="K22" s="108"/>
      <c r="L22" s="108"/>
      <c r="M22" s="109">
        <f>I22-K22</f>
        <v>28000</v>
      </c>
      <c r="N22" s="4">
        <f>IF(ISERROR(K22/I22),"",K22/I22)</f>
        <v>0</v>
      </c>
      <c r="O22" s="105">
        <f>I22/E22</f>
        <v>965.51724137931035</v>
      </c>
      <c r="P22" s="105">
        <f>K22/E22</f>
        <v>0</v>
      </c>
      <c r="Q22" s="75">
        <v>3</v>
      </c>
      <c r="R22" s="75">
        <v>2</v>
      </c>
      <c r="S22" s="75" t="s">
        <v>869</v>
      </c>
      <c r="T22" s="5" t="s">
        <v>268</v>
      </c>
      <c r="U22" s="9"/>
      <c r="W22" s="104">
        <f t="shared" si="27"/>
        <v>96.5</v>
      </c>
      <c r="X22" s="106">
        <f t="shared" si="27"/>
        <v>29</v>
      </c>
      <c r="Y22" s="102">
        <f t="shared" si="28"/>
        <v>113</v>
      </c>
      <c r="Z22" s="109">
        <f t="shared" si="28"/>
        <v>28000</v>
      </c>
      <c r="AA22" s="109">
        <f>K22</f>
        <v>0</v>
      </c>
      <c r="AB22" s="109">
        <f t="shared" si="29"/>
        <v>28000</v>
      </c>
      <c r="AC22" s="4">
        <f t="shared" si="29"/>
        <v>0</v>
      </c>
      <c r="AD22" s="105">
        <f t="shared" si="29"/>
        <v>965.51724137931035</v>
      </c>
      <c r="AE22" s="75" t="str">
        <f>S22</f>
        <v>계</v>
      </c>
      <c r="AF22" s="75" t="str">
        <f>Q22&amp;"/"&amp;R22</f>
        <v>3/2</v>
      </c>
      <c r="AH22" s="20" t="str">
        <f t="shared" si="1"/>
        <v>진해남문시티프라디움2차</v>
      </c>
      <c r="AI22" s="106">
        <f t="shared" si="0"/>
        <v>29</v>
      </c>
      <c r="AJ22" s="75" t="str">
        <f>IF(AI22="","",$AJ$2)</f>
        <v>A-</v>
      </c>
      <c r="AK22" s="75" t="s">
        <v>14</v>
      </c>
      <c r="AL22" s="75" t="s">
        <v>870</v>
      </c>
      <c r="AM22" s="75" t="s">
        <v>871</v>
      </c>
      <c r="AN22" s="75" t="str">
        <f>IF(AI22="","",$AN$2)</f>
        <v>C</v>
      </c>
      <c r="AO22" s="75" t="str">
        <f>IF(N22="","",IF(N22&gt;=$AO$1/100,"O","X"))</f>
        <v>X</v>
      </c>
      <c r="AP22" s="75" t="str">
        <f>IF(I22="","",IF(I22&lt;=$AP$1,"O","X"))</f>
        <v>O</v>
      </c>
      <c r="AQ22" s="75" t="str">
        <f>IF(O22="","",IF(O22&lt;=$AQ$1,"O","X"))</f>
        <v>O</v>
      </c>
      <c r="AR22" s="75" t="str">
        <f>IF(M22="","",IF(M22&lt;=$AR$1,"O","X"))</f>
        <v>X</v>
      </c>
      <c r="AS22" s="75" t="s">
        <v>2</v>
      </c>
      <c r="AT22" s="75" t="str">
        <f>IF(OR(F22="",AI22=""),"",IF(AND((F22&lt;=85),(AI22&gt;=15)),"O","X"))</f>
        <v>O</v>
      </c>
      <c r="AU22" s="75" t="str">
        <f>IF(C22="","",IF(C22&gt;=$AU$1,"O","X"))</f>
        <v>O</v>
      </c>
      <c r="AV22" s="75" t="str">
        <f>IF(AO22="","",IF(AND(AO22="O",AP22="O",AR22="O",AT22="O",AU22="O"),"후보","X"))</f>
        <v>X</v>
      </c>
    </row>
    <row r="23" spans="1:48" x14ac:dyDescent="0.3">
      <c r="A23" s="9" t="s">
        <v>262</v>
      </c>
      <c r="B23" s="10" t="s">
        <v>886</v>
      </c>
      <c r="C23" s="107">
        <v>876</v>
      </c>
      <c r="D23" s="104">
        <v>96.9</v>
      </c>
      <c r="E23" s="106">
        <v>29</v>
      </c>
      <c r="F23" s="104">
        <v>74.5</v>
      </c>
      <c r="G23" s="17">
        <v>23</v>
      </c>
      <c r="H23" s="107">
        <v>64</v>
      </c>
      <c r="I23" s="108"/>
      <c r="J23" s="108"/>
      <c r="K23" s="108">
        <v>21000</v>
      </c>
      <c r="L23" s="108" t="s">
        <v>873</v>
      </c>
      <c r="M23" s="109">
        <f>I23-K23</f>
        <v>-21000</v>
      </c>
      <c r="N23" s="4" t="str">
        <f>IF(ISERROR(K23/I23),"",K23/I23)</f>
        <v/>
      </c>
      <c r="O23" s="105">
        <f>I23/E23</f>
        <v>0</v>
      </c>
      <c r="P23" s="105">
        <f>K23/E23</f>
        <v>724.13793103448279</v>
      </c>
      <c r="Q23" s="75">
        <v>3</v>
      </c>
      <c r="R23" s="75">
        <v>2</v>
      </c>
      <c r="S23" s="75" t="s">
        <v>869</v>
      </c>
      <c r="T23" s="5" t="s">
        <v>269</v>
      </c>
      <c r="U23" s="9"/>
      <c r="W23" s="104">
        <f t="shared" si="27"/>
        <v>96.9</v>
      </c>
      <c r="X23" s="106">
        <f t="shared" si="27"/>
        <v>29</v>
      </c>
      <c r="Y23" s="102">
        <f t="shared" si="28"/>
        <v>64</v>
      </c>
      <c r="Z23" s="109">
        <f t="shared" si="28"/>
        <v>0</v>
      </c>
      <c r="AA23" s="109">
        <f>K23</f>
        <v>21000</v>
      </c>
      <c r="AB23" s="109">
        <f t="shared" si="29"/>
        <v>-21000</v>
      </c>
      <c r="AC23" s="4" t="str">
        <f t="shared" si="29"/>
        <v/>
      </c>
      <c r="AD23" s="105">
        <f t="shared" si="29"/>
        <v>0</v>
      </c>
      <c r="AE23" s="75" t="str">
        <f>S23</f>
        <v>계</v>
      </c>
      <c r="AF23" s="75" t="str">
        <f>Q23&amp;"/"&amp;R23</f>
        <v>3/2</v>
      </c>
      <c r="AH23" s="20" t="str">
        <f t="shared" si="1"/>
        <v>진해남문시티프라디움2차</v>
      </c>
      <c r="AI23" s="106">
        <f t="shared" si="0"/>
        <v>29</v>
      </c>
      <c r="AJ23" s="75" t="str">
        <f>IF(AI23="","",$AJ$2)</f>
        <v>A-</v>
      </c>
      <c r="AK23" s="75" t="s">
        <v>14</v>
      </c>
      <c r="AL23" s="75" t="s">
        <v>870</v>
      </c>
      <c r="AM23" s="75" t="s">
        <v>871</v>
      </c>
      <c r="AN23" s="75" t="str">
        <f>IF(AI23="","",$AN$2)</f>
        <v>C</v>
      </c>
      <c r="AO23" s="75" t="str">
        <f>IF(N23="","",IF(N23&gt;=$AO$1/100,"O","X"))</f>
        <v/>
      </c>
      <c r="AP23" s="75" t="str">
        <f>IF(I23="","",IF(I23&lt;=$AP$1,"O","X"))</f>
        <v/>
      </c>
      <c r="AQ23" s="75" t="str">
        <f>IF(O23="","",IF(O23&lt;=$AQ$1,"O","X"))</f>
        <v>O</v>
      </c>
      <c r="AR23" s="75" t="str">
        <f>IF(M23="","",IF(M23&lt;=$AR$1,"O","X"))</f>
        <v>O</v>
      </c>
      <c r="AS23" s="75" t="s">
        <v>2</v>
      </c>
      <c r="AT23" s="75" t="str">
        <f>IF(OR(F23="",AI23=""),"",IF(AND((F23&lt;=85),(AI23&gt;=15)),"O","X"))</f>
        <v>O</v>
      </c>
      <c r="AU23" s="75" t="str">
        <f>IF(C23="","",IF(C23&gt;=$AU$1,"O","X"))</f>
        <v>O</v>
      </c>
      <c r="AV23" s="75" t="str">
        <f>IF(AO23="","",IF(AND(AO23="O",AP23="O",AR23="O",AT23="O",AU23="O"),"후보","X"))</f>
        <v/>
      </c>
    </row>
    <row r="24" spans="1:48" x14ac:dyDescent="0.3">
      <c r="A24" s="9" t="s">
        <v>262</v>
      </c>
      <c r="B24" s="10" t="s">
        <v>886</v>
      </c>
      <c r="C24" s="107">
        <v>876</v>
      </c>
      <c r="D24" s="104">
        <v>109.3</v>
      </c>
      <c r="E24" s="106">
        <v>33</v>
      </c>
      <c r="F24" s="104">
        <v>85</v>
      </c>
      <c r="G24" s="17">
        <v>26</v>
      </c>
      <c r="H24" s="107">
        <v>584</v>
      </c>
      <c r="I24" s="108">
        <v>30000</v>
      </c>
      <c r="J24" s="108" t="s">
        <v>888</v>
      </c>
      <c r="K24" s="108">
        <v>22000</v>
      </c>
      <c r="L24" s="108" t="s">
        <v>888</v>
      </c>
      <c r="M24" s="109">
        <f>I24-K24</f>
        <v>8000</v>
      </c>
      <c r="N24" s="4">
        <f>IF(ISERROR(K24/I24),"",K24/I24)</f>
        <v>0.73333333333333328</v>
      </c>
      <c r="O24" s="105">
        <f>I24/E24</f>
        <v>909.09090909090912</v>
      </c>
      <c r="P24" s="105">
        <f>K24/E24</f>
        <v>666.66666666666663</v>
      </c>
      <c r="Q24" s="75">
        <v>3</v>
      </c>
      <c r="R24" s="75">
        <v>2</v>
      </c>
      <c r="S24" s="75" t="s">
        <v>869</v>
      </c>
      <c r="T24" s="5">
        <v>109</v>
      </c>
      <c r="U24" s="9"/>
      <c r="W24" s="104">
        <f t="shared" si="27"/>
        <v>109.3</v>
      </c>
      <c r="X24" s="106">
        <f t="shared" si="27"/>
        <v>33</v>
      </c>
      <c r="Y24" s="102">
        <f t="shared" si="28"/>
        <v>584</v>
      </c>
      <c r="Z24" s="109">
        <f t="shared" si="28"/>
        <v>30000</v>
      </c>
      <c r="AA24" s="109">
        <f>K24</f>
        <v>22000</v>
      </c>
      <c r="AB24" s="109">
        <f t="shared" si="29"/>
        <v>8000</v>
      </c>
      <c r="AC24" s="4">
        <f t="shared" si="29"/>
        <v>0.73333333333333328</v>
      </c>
      <c r="AD24" s="105">
        <f t="shared" si="29"/>
        <v>909.09090909090912</v>
      </c>
      <c r="AE24" s="75" t="str">
        <f>S24</f>
        <v>계</v>
      </c>
      <c r="AF24" s="75" t="str">
        <f>Q24&amp;"/"&amp;R24</f>
        <v>3/2</v>
      </c>
      <c r="AH24" s="20" t="str">
        <f t="shared" si="1"/>
        <v>진해남문시티프라디움2차</v>
      </c>
      <c r="AI24" s="106">
        <f t="shared" si="0"/>
        <v>33</v>
      </c>
      <c r="AJ24" s="75" t="str">
        <f>IF(AI24="","",$AJ$2)</f>
        <v>A-</v>
      </c>
      <c r="AK24" s="75" t="s">
        <v>14</v>
      </c>
      <c r="AL24" s="75" t="s">
        <v>870</v>
      </c>
      <c r="AM24" s="75" t="s">
        <v>871</v>
      </c>
      <c r="AN24" s="75" t="str">
        <f>IF(AI24="","",$AN$2)</f>
        <v>C</v>
      </c>
      <c r="AO24" s="75" t="str">
        <f>IF(N24="","",IF(N24&gt;=$AO$1/100,"O","X"))</f>
        <v>X</v>
      </c>
      <c r="AP24" s="75" t="str">
        <f>IF(I24="","",IF(I24&lt;=$AP$1,"O","X"))</f>
        <v>O</v>
      </c>
      <c r="AQ24" s="75" t="str">
        <f>IF(O24="","",IF(O24&lt;=$AQ$1,"O","X"))</f>
        <v>O</v>
      </c>
      <c r="AR24" s="75" t="str">
        <f>IF(M24="","",IF(M24&lt;=$AR$1,"O","X"))</f>
        <v>X</v>
      </c>
      <c r="AS24" s="75" t="s">
        <v>2</v>
      </c>
      <c r="AT24" s="75" t="str">
        <f>IF(OR(F24="",AI24=""),"",IF(AND((F24&lt;=85),(AI24&gt;=15)),"O","X"))</f>
        <v>O</v>
      </c>
      <c r="AU24" s="75" t="str">
        <f>IF(C24="","",IF(C24&gt;=$AU$1,"O","X"))</f>
        <v>O</v>
      </c>
      <c r="AV24" s="75" t="str">
        <f>IF(AO24="","",IF(AND(AO24="O",AP24="O",AR24="O",AT24="O",AU24="O"),"후보","X"))</f>
        <v>X</v>
      </c>
    </row>
    <row r="25" spans="1:48" x14ac:dyDescent="0.3">
      <c r="A25" s="9"/>
      <c r="B25" s="75"/>
      <c r="C25" s="6"/>
      <c r="D25" s="9"/>
      <c r="E25" s="14"/>
      <c r="F25" s="104"/>
      <c r="G25" s="9"/>
      <c r="H25" s="9"/>
      <c r="I25" s="9"/>
      <c r="J25" s="9"/>
      <c r="K25" s="9"/>
      <c r="L25" s="9"/>
      <c r="M25" s="9"/>
      <c r="N25" s="9"/>
      <c r="O25" s="105"/>
      <c r="P25" s="105"/>
      <c r="Q25" s="106"/>
      <c r="R25" s="106"/>
      <c r="S25" s="9"/>
      <c r="T25" s="48"/>
      <c r="U25" s="9"/>
      <c r="W25" s="70" t="str">
        <f>$A$4&amp;" "&amp;A26&amp;"("&amp;B26&amp;","&amp;C26&amp;"^)"</f>
        <v>남문동 시티프라디움1차('17.04.,1103^)</v>
      </c>
      <c r="X25" s="71"/>
      <c r="Y25" s="71"/>
      <c r="Z25" s="71"/>
      <c r="AA25" s="71"/>
      <c r="AB25" s="71"/>
      <c r="AC25" s="71"/>
      <c r="AD25" s="71"/>
      <c r="AE25" s="71"/>
      <c r="AF25" s="72"/>
      <c r="AH25" s="20" t="str">
        <f t="shared" si="1"/>
        <v/>
      </c>
      <c r="AI25" s="103" t="str">
        <f t="shared" si="0"/>
        <v/>
      </c>
      <c r="AJ25" s="75"/>
      <c r="AK25" s="75"/>
      <c r="AL25" s="75"/>
      <c r="AM25" s="75"/>
      <c r="AN25" s="75"/>
      <c r="AO25" s="75"/>
      <c r="AP25" s="75"/>
      <c r="AQ25" s="75"/>
      <c r="AR25" s="75"/>
      <c r="AS25" s="75"/>
      <c r="AT25" s="75"/>
      <c r="AU25" s="75"/>
      <c r="AV25" s="75"/>
    </row>
    <row r="26" spans="1:48" x14ac:dyDescent="0.3">
      <c r="A26" s="9" t="s">
        <v>270</v>
      </c>
      <c r="B26" s="10" t="s">
        <v>889</v>
      </c>
      <c r="C26" s="107">
        <v>1103</v>
      </c>
      <c r="D26" s="104">
        <v>83.9</v>
      </c>
      <c r="E26" s="106">
        <v>25</v>
      </c>
      <c r="F26" s="104">
        <v>60</v>
      </c>
      <c r="G26" s="17">
        <v>18</v>
      </c>
      <c r="H26" s="107">
        <v>430</v>
      </c>
      <c r="I26" s="108">
        <v>20500</v>
      </c>
      <c r="J26" s="108" t="s">
        <v>873</v>
      </c>
      <c r="K26" s="108">
        <v>17000</v>
      </c>
      <c r="L26" s="108" t="s">
        <v>868</v>
      </c>
      <c r="M26" s="109">
        <f>I26-K26</f>
        <v>3500</v>
      </c>
      <c r="N26" s="4">
        <f>IF(ISERROR(K26/I26),"",K26/I26)</f>
        <v>0.82926829268292679</v>
      </c>
      <c r="O26" s="105">
        <f>I26/E26</f>
        <v>820</v>
      </c>
      <c r="P26" s="105">
        <f>K26/E26</f>
        <v>680</v>
      </c>
      <c r="Q26" s="75">
        <v>3</v>
      </c>
      <c r="R26" s="75">
        <v>2</v>
      </c>
      <c r="S26" s="75" t="s">
        <v>869</v>
      </c>
      <c r="T26" s="5" t="s">
        <v>272</v>
      </c>
      <c r="U26" s="9"/>
      <c r="W26" s="104">
        <f t="shared" ref="W26:X28" si="30">D26</f>
        <v>83.9</v>
      </c>
      <c r="X26" s="106">
        <f t="shared" si="30"/>
        <v>25</v>
      </c>
      <c r="Y26" s="102">
        <f t="shared" ref="Y26:Z28" si="31">H26</f>
        <v>430</v>
      </c>
      <c r="Z26" s="109">
        <f t="shared" si="31"/>
        <v>20500</v>
      </c>
      <c r="AA26" s="109">
        <f>K26</f>
        <v>17000</v>
      </c>
      <c r="AB26" s="109">
        <f t="shared" ref="AB26:AD28" si="32">M26</f>
        <v>3500</v>
      </c>
      <c r="AC26" s="4">
        <f t="shared" si="32"/>
        <v>0.82926829268292679</v>
      </c>
      <c r="AD26" s="105">
        <f t="shared" si="32"/>
        <v>820</v>
      </c>
      <c r="AE26" s="75" t="str">
        <f>S26</f>
        <v>계</v>
      </c>
      <c r="AF26" s="75" t="str">
        <f>Q26&amp;"/"&amp;R26</f>
        <v>3/2</v>
      </c>
      <c r="AH26" s="20" t="str">
        <f t="shared" si="1"/>
        <v>시티프라디움1차</v>
      </c>
      <c r="AI26" s="106">
        <f t="shared" si="0"/>
        <v>25</v>
      </c>
      <c r="AJ26" s="75" t="str">
        <f>IF(AI26="","",$AJ$2)</f>
        <v>A-</v>
      </c>
      <c r="AK26" s="75" t="s">
        <v>14</v>
      </c>
      <c r="AL26" s="75" t="s">
        <v>870</v>
      </c>
      <c r="AM26" s="75" t="s">
        <v>871</v>
      </c>
      <c r="AN26" s="75" t="str">
        <f>IF(AI26="","",$AN$2)</f>
        <v>C</v>
      </c>
      <c r="AO26" s="75" t="str">
        <f>IF(N26="","",IF(N26&gt;=$AO$1/100,"O","X"))</f>
        <v>O</v>
      </c>
      <c r="AP26" s="75" t="str">
        <f>IF(I26="","",IF(I26&lt;=$AP$1,"O","X"))</f>
        <v>O</v>
      </c>
      <c r="AQ26" s="75" t="str">
        <f>IF(O26="","",IF(O26&lt;=$AQ$1,"O","X"))</f>
        <v>O</v>
      </c>
      <c r="AR26" s="75" t="str">
        <f>IF(M26="","",IF(M26&lt;=$AR$1,"O","X"))</f>
        <v>O</v>
      </c>
      <c r="AS26" s="75" t="s">
        <v>2</v>
      </c>
      <c r="AT26" s="75" t="str">
        <f>IF(OR(F26="",AI26=""),"",IF(AND((F26&lt;=85),(AI26&gt;=15)),"O","X"))</f>
        <v>O</v>
      </c>
      <c r="AU26" s="75" t="str">
        <f>IF(C26="","",IF(C26&gt;=$AU$1,"O","X"))</f>
        <v>O</v>
      </c>
      <c r="AV26" s="75" t="str">
        <f>IF(AO26="","",IF(AND(AO26="O",AP26="O",AR26="O",AT26="O",AU26="O"),"후보","X"))</f>
        <v>후보</v>
      </c>
    </row>
    <row r="27" spans="1:48" x14ac:dyDescent="0.3">
      <c r="A27" s="9" t="s">
        <v>270</v>
      </c>
      <c r="B27" s="10" t="s">
        <v>889</v>
      </c>
      <c r="C27" s="107">
        <v>1103</v>
      </c>
      <c r="D27" s="104">
        <v>83.3</v>
      </c>
      <c r="E27" s="106">
        <v>25</v>
      </c>
      <c r="F27" s="104">
        <v>60</v>
      </c>
      <c r="G27" s="17">
        <v>18</v>
      </c>
      <c r="H27" s="107">
        <v>374</v>
      </c>
      <c r="I27" s="108">
        <v>19500</v>
      </c>
      <c r="J27" s="108" t="s">
        <v>878</v>
      </c>
      <c r="K27" s="108">
        <v>22000</v>
      </c>
      <c r="L27" s="108" t="s">
        <v>873</v>
      </c>
      <c r="M27" s="109">
        <f>I27-K27</f>
        <v>-2500</v>
      </c>
      <c r="N27" s="4">
        <f>IF(ISERROR(K27/I27),"",K27/I27)</f>
        <v>1.1282051282051282</v>
      </c>
      <c r="O27" s="105">
        <f>I27/E27</f>
        <v>780</v>
      </c>
      <c r="P27" s="105">
        <f>K27/E27</f>
        <v>880</v>
      </c>
      <c r="Q27" s="75">
        <v>3</v>
      </c>
      <c r="R27" s="75">
        <v>2</v>
      </c>
      <c r="S27" s="75" t="s">
        <v>869</v>
      </c>
      <c r="T27" s="5" t="s">
        <v>276</v>
      </c>
      <c r="U27" s="9"/>
      <c r="W27" s="104">
        <f t="shared" si="30"/>
        <v>83.3</v>
      </c>
      <c r="X27" s="106">
        <f t="shared" si="30"/>
        <v>25</v>
      </c>
      <c r="Y27" s="102">
        <f t="shared" si="31"/>
        <v>374</v>
      </c>
      <c r="Z27" s="109">
        <f t="shared" si="31"/>
        <v>19500</v>
      </c>
      <c r="AA27" s="109">
        <f>K27</f>
        <v>22000</v>
      </c>
      <c r="AB27" s="109">
        <f t="shared" si="32"/>
        <v>-2500</v>
      </c>
      <c r="AC27" s="4">
        <f t="shared" si="32"/>
        <v>1.1282051282051282</v>
      </c>
      <c r="AD27" s="105">
        <f t="shared" si="32"/>
        <v>780</v>
      </c>
      <c r="AE27" s="75" t="str">
        <f>S27</f>
        <v>계</v>
      </c>
      <c r="AF27" s="75" t="str">
        <f>Q27&amp;"/"&amp;R27</f>
        <v>3/2</v>
      </c>
      <c r="AH27" s="20" t="str">
        <f t="shared" si="1"/>
        <v>시티프라디움1차</v>
      </c>
      <c r="AI27" s="106">
        <f t="shared" si="0"/>
        <v>25</v>
      </c>
      <c r="AJ27" s="75" t="str">
        <f>IF(AI27="","",$AJ$2)</f>
        <v>A-</v>
      </c>
      <c r="AK27" s="75" t="s">
        <v>14</v>
      </c>
      <c r="AL27" s="75" t="s">
        <v>870</v>
      </c>
      <c r="AM27" s="75" t="s">
        <v>871</v>
      </c>
      <c r="AN27" s="75" t="str">
        <f>IF(AI27="","",$AN$2)</f>
        <v>C</v>
      </c>
      <c r="AO27" s="75" t="str">
        <f>IF(N27="","",IF(N27&gt;=$AO$1/100,"O","X"))</f>
        <v>O</v>
      </c>
      <c r="AP27" s="75" t="str">
        <f>IF(I27="","",IF(I27&lt;=$AP$1,"O","X"))</f>
        <v>O</v>
      </c>
      <c r="AQ27" s="75" t="str">
        <f>IF(O27="","",IF(O27&lt;=$AQ$1,"O","X"))</f>
        <v>O</v>
      </c>
      <c r="AR27" s="75" t="str">
        <f>IF(M27="","",IF(M27&lt;=$AR$1,"O","X"))</f>
        <v>O</v>
      </c>
      <c r="AS27" s="75" t="s">
        <v>2</v>
      </c>
      <c r="AT27" s="75" t="str">
        <f>IF(OR(F27="",AI27=""),"",IF(AND((F27&lt;=85),(AI27&gt;=15)),"O","X"))</f>
        <v>O</v>
      </c>
      <c r="AU27" s="75" t="str">
        <f>IF(C27="","",IF(C27&gt;=$AU$1,"O","X"))</f>
        <v>O</v>
      </c>
      <c r="AV27" s="75" t="str">
        <f>IF(AO27="","",IF(AND(AO27="O",AP27="O",AR27="O",AT27="O",AU27="O"),"후보","X"))</f>
        <v>후보</v>
      </c>
    </row>
    <row r="28" spans="1:48" x14ac:dyDescent="0.3">
      <c r="A28" s="9" t="s">
        <v>270</v>
      </c>
      <c r="B28" s="10" t="s">
        <v>889</v>
      </c>
      <c r="C28" s="107">
        <v>1103</v>
      </c>
      <c r="D28" s="104">
        <v>83.8</v>
      </c>
      <c r="E28" s="106">
        <v>25</v>
      </c>
      <c r="F28" s="104">
        <v>60</v>
      </c>
      <c r="G28" s="17">
        <v>18</v>
      </c>
      <c r="H28" s="107">
        <v>299</v>
      </c>
      <c r="I28" s="108">
        <v>20000</v>
      </c>
      <c r="J28" s="108" t="s">
        <v>873</v>
      </c>
      <c r="K28" s="108">
        <v>18500</v>
      </c>
      <c r="L28" s="108" t="s">
        <v>884</v>
      </c>
      <c r="M28" s="109">
        <f>I28-K28</f>
        <v>1500</v>
      </c>
      <c r="N28" s="4">
        <f>IF(ISERROR(K28/I28),"",K28/I28)</f>
        <v>0.92500000000000004</v>
      </c>
      <c r="O28" s="105">
        <f>I28/E28</f>
        <v>800</v>
      </c>
      <c r="P28" s="105">
        <f>K28/E28</f>
        <v>740</v>
      </c>
      <c r="Q28" s="75">
        <v>3</v>
      </c>
      <c r="R28" s="75">
        <v>2</v>
      </c>
      <c r="S28" s="75" t="s">
        <v>869</v>
      </c>
      <c r="T28" s="5" t="s">
        <v>277</v>
      </c>
      <c r="U28" s="9"/>
      <c r="W28" s="104">
        <f t="shared" si="30"/>
        <v>83.8</v>
      </c>
      <c r="X28" s="106">
        <f t="shared" si="30"/>
        <v>25</v>
      </c>
      <c r="Y28" s="102">
        <f t="shared" si="31"/>
        <v>299</v>
      </c>
      <c r="Z28" s="109">
        <f t="shared" si="31"/>
        <v>20000</v>
      </c>
      <c r="AA28" s="109">
        <f>K28</f>
        <v>18500</v>
      </c>
      <c r="AB28" s="109">
        <f t="shared" si="32"/>
        <v>1500</v>
      </c>
      <c r="AC28" s="4">
        <f t="shared" si="32"/>
        <v>0.92500000000000004</v>
      </c>
      <c r="AD28" s="105">
        <f t="shared" si="32"/>
        <v>800</v>
      </c>
      <c r="AE28" s="75" t="str">
        <f>S28</f>
        <v>계</v>
      </c>
      <c r="AF28" s="75" t="str">
        <f>Q28&amp;"/"&amp;R28</f>
        <v>3/2</v>
      </c>
      <c r="AH28" s="20" t="str">
        <f t="shared" si="1"/>
        <v>시티프라디움1차</v>
      </c>
      <c r="AI28" s="106">
        <f t="shared" si="0"/>
        <v>25</v>
      </c>
      <c r="AJ28" s="75" t="str">
        <f>IF(AI28="","",$AJ$2)</f>
        <v>A-</v>
      </c>
      <c r="AK28" s="75" t="s">
        <v>14</v>
      </c>
      <c r="AL28" s="75" t="s">
        <v>870</v>
      </c>
      <c r="AM28" s="75" t="s">
        <v>871</v>
      </c>
      <c r="AN28" s="75" t="str">
        <f>IF(AI28="","",$AN$2)</f>
        <v>C</v>
      </c>
      <c r="AO28" s="75" t="str">
        <f>IF(N28="","",IF(N28&gt;=$AO$1/100,"O","X"))</f>
        <v>O</v>
      </c>
      <c r="AP28" s="75" t="str">
        <f>IF(I28="","",IF(I28&lt;=$AP$1,"O","X"))</f>
        <v>O</v>
      </c>
      <c r="AQ28" s="75" t="str">
        <f>IF(O28="","",IF(O28&lt;=$AQ$1,"O","X"))</f>
        <v>O</v>
      </c>
      <c r="AR28" s="75" t="str">
        <f>IF(M28="","",IF(M28&lt;=$AR$1,"O","X"))</f>
        <v>O</v>
      </c>
      <c r="AS28" s="75" t="s">
        <v>2</v>
      </c>
      <c r="AT28" s="75" t="str">
        <f>IF(OR(F28="",AI28=""),"",IF(AND((F28&lt;=85),(AI28&gt;=15)),"O","X"))</f>
        <v>O</v>
      </c>
      <c r="AU28" s="75" t="str">
        <f>IF(C28="","",IF(C28&gt;=$AU$1,"O","X"))</f>
        <v>O</v>
      </c>
      <c r="AV28" s="75" t="str">
        <f>IF(AO28="","",IF(AND(AO28="O",AP28="O",AR28="O",AT28="O",AU28="O"),"후보","X"))</f>
        <v>후보</v>
      </c>
    </row>
  </sheetData>
  <mergeCells count="1">
    <mergeCell ref="AJ1:AN1"/>
  </mergeCells>
  <phoneticPr fontId="2" type="noConversion"/>
  <conditionalFormatting sqref="AV4:AV6">
    <cfRule type="expression" dxfId="3737" priority="382">
      <formula>AV4="X"</formula>
    </cfRule>
    <cfRule type="expression" dxfId="3736" priority="383">
      <formula>AV4="후보"</formula>
    </cfRule>
  </conditionalFormatting>
  <conditionalFormatting sqref="AC1:AC2 AC4:AC6 N4:N5">
    <cfRule type="cellIs" dxfId="3735" priority="379" operator="greaterThan">
      <formula>0.9</formula>
    </cfRule>
    <cfRule type="cellIs" dxfId="3734" priority="380" operator="greaterThan">
      <formula>0.85</formula>
    </cfRule>
  </conditionalFormatting>
  <conditionalFormatting sqref="N1:N2">
    <cfRule type="cellIs" dxfId="3733" priority="377" operator="greaterThan">
      <formula>0.9</formula>
    </cfRule>
    <cfRule type="cellIs" dxfId="3732" priority="378" operator="greaterThan">
      <formula>0.85</formula>
    </cfRule>
  </conditionalFormatting>
  <conditionalFormatting sqref="N6">
    <cfRule type="cellIs" dxfId="3731" priority="375" operator="greaterThan">
      <formula>0.9</formula>
    </cfRule>
    <cfRule type="cellIs" dxfId="3730" priority="376" operator="greaterThan">
      <formula>0.85</formula>
    </cfRule>
  </conditionalFormatting>
  <conditionalFormatting sqref="E6">
    <cfRule type="expression" dxfId="3729" priority="371">
      <formula>AND(IF(OR($Q6=1,$Q6=2),1,0),IF($X6&lt;=20,1,0))</formula>
    </cfRule>
    <cfRule type="expression" dxfId="3728" priority="372">
      <formula>AND(IF($Q6=2,1,0),IF($X6&lt;30,1,0))</formula>
    </cfRule>
    <cfRule type="expression" dxfId="3727" priority="373">
      <formula>AND(IF($Q6=3,1,0),IF($X6&lt;30,1,0))</formula>
    </cfRule>
    <cfRule type="expression" dxfId="3726" priority="374">
      <formula>AND(IF($Q6=3,1,IF($Q6=4,1,0)),IF($F6&lt;=85,1,0))</formula>
    </cfRule>
  </conditionalFormatting>
  <conditionalFormatting sqref="X6">
    <cfRule type="expression" dxfId="3725" priority="367">
      <formula>AND(IF(OR($Q6=1,$Q6=2),1,0),IF($X6&lt;=20,1,0))</formula>
    </cfRule>
    <cfRule type="expression" dxfId="3724" priority="368">
      <formula>AND(IF($Q6=2,1,0),IF($X6&lt;30,1,0))</formula>
    </cfRule>
    <cfRule type="expression" dxfId="3723" priority="369">
      <formula>AND(IF($Q6=3,1,0),IF($X6&lt;30,1,0))</formula>
    </cfRule>
    <cfRule type="expression" dxfId="3722" priority="370">
      <formula>AND(IF($Q6=3,1,IF($Q6=4,1,0)),IF($F6&lt;=85,1,0))</formula>
    </cfRule>
  </conditionalFormatting>
  <conditionalFormatting sqref="AI6">
    <cfRule type="expression" dxfId="3721" priority="363">
      <formula>AND(IF(OR($Q6=1,$Q6=2),1,0),IF($X6&lt;=20,1,0))</formula>
    </cfRule>
    <cfRule type="expression" dxfId="3720" priority="364">
      <formula>AND(IF($Q6=2,1,0),IF($X6&lt;30,1,0))</formula>
    </cfRule>
    <cfRule type="expression" dxfId="3719" priority="365">
      <formula>AND(IF($Q6=3,1,0),IF($X6&lt;30,1,0))</formula>
    </cfRule>
    <cfRule type="expression" dxfId="3718" priority="366">
      <formula>AND(IF($Q6=3,1,IF($Q6=4,1,0)),IF($F6&lt;=85,1,0))</formula>
    </cfRule>
  </conditionalFormatting>
  <conditionalFormatting sqref="AV7">
    <cfRule type="expression" dxfId="3717" priority="361">
      <formula>AV7="X"</formula>
    </cfRule>
    <cfRule type="expression" dxfId="3716" priority="362">
      <formula>AV7="후보"</formula>
    </cfRule>
  </conditionalFormatting>
  <conditionalFormatting sqref="AC7">
    <cfRule type="cellIs" dxfId="3715" priority="358" operator="greaterThan">
      <formula>0.9</formula>
    </cfRule>
    <cfRule type="cellIs" dxfId="3714" priority="359" operator="greaterThan">
      <formula>0.85</formula>
    </cfRule>
  </conditionalFormatting>
  <conditionalFormatting sqref="N7">
    <cfRule type="cellIs" dxfId="3713" priority="356" operator="greaterThan">
      <formula>0.9</formula>
    </cfRule>
    <cfRule type="cellIs" dxfId="3712" priority="357" operator="greaterThan">
      <formula>0.85</formula>
    </cfRule>
  </conditionalFormatting>
  <conditionalFormatting sqref="E7">
    <cfRule type="expression" dxfId="3711" priority="352">
      <formula>AND(IF(OR($Q7=1,$Q7=2),1,0),IF($X7&lt;=20,1,0))</formula>
    </cfRule>
    <cfRule type="expression" dxfId="3710" priority="353">
      <formula>AND(IF($Q7=2,1,0),IF($X7&lt;30,1,0))</formula>
    </cfRule>
    <cfRule type="expression" dxfId="3709" priority="354">
      <formula>AND(IF($Q7=3,1,0),IF($X7&lt;30,1,0))</formula>
    </cfRule>
    <cfRule type="expression" dxfId="3708" priority="355">
      <formula>AND(IF($Q7=3,1,IF($Q7=4,1,0)),IF($F7&lt;=85,1,0))</formula>
    </cfRule>
  </conditionalFormatting>
  <conditionalFormatting sqref="X7">
    <cfRule type="expression" dxfId="3707" priority="348">
      <formula>AND(IF(OR($Q7=1,$Q7=2),1,0),IF($X7&lt;=20,1,0))</formula>
    </cfRule>
    <cfRule type="expression" dxfId="3706" priority="349">
      <formula>AND(IF($Q7=2,1,0),IF($X7&lt;30,1,0))</formula>
    </cfRule>
    <cfRule type="expression" dxfId="3705" priority="350">
      <formula>AND(IF($Q7=3,1,0),IF($X7&lt;30,1,0))</formula>
    </cfRule>
    <cfRule type="expression" dxfId="3704" priority="351">
      <formula>AND(IF($Q7=3,1,IF($Q7=4,1,0)),IF($F7&lt;=85,1,0))</formula>
    </cfRule>
  </conditionalFormatting>
  <conditionalFormatting sqref="AI7">
    <cfRule type="expression" dxfId="3703" priority="344">
      <formula>AND(IF(OR($Q7=1,$Q7=2),1,0),IF($X7&lt;=20,1,0))</formula>
    </cfRule>
    <cfRule type="expression" dxfId="3702" priority="345">
      <formula>AND(IF($Q7=2,1,0),IF($X7&lt;30,1,0))</formula>
    </cfRule>
    <cfRule type="expression" dxfId="3701" priority="346">
      <formula>AND(IF($Q7=3,1,0),IF($X7&lt;30,1,0))</formula>
    </cfRule>
    <cfRule type="expression" dxfId="3700" priority="347">
      <formula>AND(IF($Q7=3,1,IF($Q7=4,1,0)),IF($F7&lt;=85,1,0))</formula>
    </cfRule>
  </conditionalFormatting>
  <conditionalFormatting sqref="AV8">
    <cfRule type="expression" dxfId="3699" priority="342">
      <formula>AV8="X"</formula>
    </cfRule>
    <cfRule type="expression" dxfId="3698" priority="343">
      <formula>AV8="후보"</formula>
    </cfRule>
  </conditionalFormatting>
  <conditionalFormatting sqref="AC8">
    <cfRule type="cellIs" dxfId="3697" priority="339" operator="greaterThan">
      <formula>0.9</formula>
    </cfRule>
    <cfRule type="cellIs" dxfId="3696" priority="340" operator="greaterThan">
      <formula>0.85</formula>
    </cfRule>
  </conditionalFormatting>
  <conditionalFormatting sqref="N8">
    <cfRule type="cellIs" dxfId="3695" priority="337" operator="greaterThan">
      <formula>0.9</formula>
    </cfRule>
    <cfRule type="cellIs" dxfId="3694" priority="338" operator="greaterThan">
      <formula>0.85</formula>
    </cfRule>
  </conditionalFormatting>
  <conditionalFormatting sqref="E8">
    <cfRule type="expression" dxfId="3693" priority="333">
      <formula>AND(IF(OR($Q8=1,$Q8=2),1,0),IF($X8&lt;=20,1,0))</formula>
    </cfRule>
    <cfRule type="expression" dxfId="3692" priority="334">
      <formula>AND(IF($Q8=2,1,0),IF($X8&lt;30,1,0))</formula>
    </cfRule>
    <cfRule type="expression" dxfId="3691" priority="335">
      <formula>AND(IF($Q8=3,1,0),IF($X8&lt;30,1,0))</formula>
    </cfRule>
    <cfRule type="expression" dxfId="3690" priority="336">
      <formula>AND(IF($Q8=3,1,IF($Q8=4,1,0)),IF($F8&lt;=85,1,0))</formula>
    </cfRule>
  </conditionalFormatting>
  <conditionalFormatting sqref="X8">
    <cfRule type="expression" dxfId="3689" priority="329">
      <formula>AND(IF(OR($Q8=1,$Q8=2),1,0),IF($X8&lt;=20,1,0))</formula>
    </cfRule>
    <cfRule type="expression" dxfId="3688" priority="330">
      <formula>AND(IF($Q8=2,1,0),IF($X8&lt;30,1,0))</formula>
    </cfRule>
    <cfRule type="expression" dxfId="3687" priority="331">
      <formula>AND(IF($Q8=3,1,0),IF($X8&lt;30,1,0))</formula>
    </cfRule>
    <cfRule type="expression" dxfId="3686" priority="332">
      <formula>AND(IF($Q8=3,1,IF($Q8=4,1,0)),IF($F8&lt;=85,1,0))</formula>
    </cfRule>
  </conditionalFormatting>
  <conditionalFormatting sqref="AI8">
    <cfRule type="expression" dxfId="3685" priority="325">
      <formula>AND(IF(OR($Q8=1,$Q8=2),1,0),IF($X8&lt;=20,1,0))</formula>
    </cfRule>
    <cfRule type="expression" dxfId="3684" priority="326">
      <formula>AND(IF($Q8=2,1,0),IF($X8&lt;30,1,0))</formula>
    </cfRule>
    <cfRule type="expression" dxfId="3683" priority="327">
      <formula>AND(IF($Q8=3,1,0),IF($X8&lt;30,1,0))</formula>
    </cfRule>
    <cfRule type="expression" dxfId="3682" priority="328">
      <formula>AND(IF($Q8=3,1,IF($Q8=4,1,0)),IF($F8&lt;=85,1,0))</formula>
    </cfRule>
  </conditionalFormatting>
  <conditionalFormatting sqref="AV9">
    <cfRule type="expression" dxfId="3681" priority="323">
      <formula>AV9="X"</formula>
    </cfRule>
    <cfRule type="expression" dxfId="3680" priority="324">
      <formula>AV9="후보"</formula>
    </cfRule>
  </conditionalFormatting>
  <conditionalFormatting sqref="AC9 N9">
    <cfRule type="cellIs" dxfId="3679" priority="320" operator="greaterThan">
      <formula>0.9</formula>
    </cfRule>
    <cfRule type="cellIs" dxfId="3678" priority="321" operator="greaterThan">
      <formula>0.85</formula>
    </cfRule>
  </conditionalFormatting>
  <conditionalFormatting sqref="AV10">
    <cfRule type="expression" dxfId="3677" priority="318">
      <formula>AV10="X"</formula>
    </cfRule>
    <cfRule type="expression" dxfId="3676" priority="319">
      <formula>AV10="후보"</formula>
    </cfRule>
  </conditionalFormatting>
  <conditionalFormatting sqref="AC10">
    <cfRule type="cellIs" dxfId="3675" priority="315" operator="greaterThan">
      <formula>0.9</formula>
    </cfRule>
    <cfRule type="cellIs" dxfId="3674" priority="316" operator="greaterThan">
      <formula>0.85</formula>
    </cfRule>
  </conditionalFormatting>
  <conditionalFormatting sqref="N10">
    <cfRule type="cellIs" dxfId="3673" priority="313" operator="greaterThan">
      <formula>0.9</formula>
    </cfRule>
    <cfRule type="cellIs" dxfId="3672" priority="314" operator="greaterThan">
      <formula>0.85</formula>
    </cfRule>
  </conditionalFormatting>
  <conditionalFormatting sqref="E10">
    <cfRule type="expression" dxfId="3671" priority="309">
      <formula>AND(IF(OR($Q10=1,$Q10=2),1,0),IF($X10&lt;=20,1,0))</formula>
    </cfRule>
    <cfRule type="expression" dxfId="3670" priority="310">
      <formula>AND(IF($Q10=2,1,0),IF($X10&lt;30,1,0))</formula>
    </cfRule>
    <cfRule type="expression" dxfId="3669" priority="311">
      <formula>AND(IF($Q10=3,1,0),IF($X10&lt;30,1,0))</formula>
    </cfRule>
    <cfRule type="expression" dxfId="3668" priority="312">
      <formula>AND(IF($Q10=3,1,IF($Q10=4,1,0)),IF($F10&lt;=85,1,0))</formula>
    </cfRule>
  </conditionalFormatting>
  <conditionalFormatting sqref="X10">
    <cfRule type="expression" dxfId="3667" priority="305">
      <formula>AND(IF(OR($Q10=1,$Q10=2),1,0),IF($X10&lt;=20,1,0))</formula>
    </cfRule>
    <cfRule type="expression" dxfId="3666" priority="306">
      <formula>AND(IF($Q10=2,1,0),IF($X10&lt;30,1,0))</formula>
    </cfRule>
    <cfRule type="expression" dxfId="3665" priority="307">
      <formula>AND(IF($Q10=3,1,0),IF($X10&lt;30,1,0))</formula>
    </cfRule>
    <cfRule type="expression" dxfId="3664" priority="308">
      <formula>AND(IF($Q10=3,1,IF($Q10=4,1,0)),IF($F10&lt;=85,1,0))</formula>
    </cfRule>
  </conditionalFormatting>
  <conditionalFormatting sqref="AI10">
    <cfRule type="expression" dxfId="3663" priority="301">
      <formula>AND(IF(OR($Q10=1,$Q10=2),1,0),IF($X10&lt;=20,1,0))</formula>
    </cfRule>
    <cfRule type="expression" dxfId="3662" priority="302">
      <formula>AND(IF($Q10=2,1,0),IF($X10&lt;30,1,0))</formula>
    </cfRule>
    <cfRule type="expression" dxfId="3661" priority="303">
      <formula>AND(IF($Q10=3,1,0),IF($X10&lt;30,1,0))</formula>
    </cfRule>
    <cfRule type="expression" dxfId="3660" priority="304">
      <formula>AND(IF($Q10=3,1,IF($Q10=4,1,0)),IF($F10&lt;=85,1,0))</formula>
    </cfRule>
  </conditionalFormatting>
  <conditionalFormatting sqref="AV11">
    <cfRule type="expression" dxfId="3659" priority="299">
      <formula>AV11="X"</formula>
    </cfRule>
    <cfRule type="expression" dxfId="3658" priority="300">
      <formula>AV11="후보"</formula>
    </cfRule>
  </conditionalFormatting>
  <conditionalFormatting sqref="AC11">
    <cfRule type="cellIs" dxfId="3657" priority="296" operator="greaterThan">
      <formula>0.9</formula>
    </cfRule>
    <cfRule type="cellIs" dxfId="3656" priority="297" operator="greaterThan">
      <formula>0.85</formula>
    </cfRule>
  </conditionalFormatting>
  <conditionalFormatting sqref="N11">
    <cfRule type="cellIs" dxfId="3655" priority="294" operator="greaterThan">
      <formula>0.9</formula>
    </cfRule>
    <cfRule type="cellIs" dxfId="3654" priority="295" operator="greaterThan">
      <formula>0.85</formula>
    </cfRule>
  </conditionalFormatting>
  <conditionalFormatting sqref="E11">
    <cfRule type="expression" dxfId="3653" priority="290">
      <formula>AND(IF(OR($Q11=1,$Q11=2),1,0),IF($X11&lt;=20,1,0))</formula>
    </cfRule>
    <cfRule type="expression" dxfId="3652" priority="291">
      <formula>AND(IF($Q11=2,1,0),IF($X11&lt;30,1,0))</formula>
    </cfRule>
    <cfRule type="expression" dxfId="3651" priority="292">
      <formula>AND(IF($Q11=3,1,0),IF($X11&lt;30,1,0))</formula>
    </cfRule>
    <cfRule type="expression" dxfId="3650" priority="293">
      <formula>AND(IF($Q11=3,1,IF($Q11=4,1,0)),IF($F11&lt;=85,1,0))</formula>
    </cfRule>
  </conditionalFormatting>
  <conditionalFormatting sqref="X11">
    <cfRule type="expression" dxfId="3649" priority="286">
      <formula>AND(IF(OR($Q11=1,$Q11=2),1,0),IF($X11&lt;=20,1,0))</formula>
    </cfRule>
    <cfRule type="expression" dxfId="3648" priority="287">
      <formula>AND(IF($Q11=2,1,0),IF($X11&lt;30,1,0))</formula>
    </cfRule>
    <cfRule type="expression" dxfId="3647" priority="288">
      <formula>AND(IF($Q11=3,1,0),IF($X11&lt;30,1,0))</formula>
    </cfRule>
    <cfRule type="expression" dxfId="3646" priority="289">
      <formula>AND(IF($Q11=3,1,IF($Q11=4,1,0)),IF($F11&lt;=85,1,0))</formula>
    </cfRule>
  </conditionalFormatting>
  <conditionalFormatting sqref="AI11">
    <cfRule type="expression" dxfId="3645" priority="282">
      <formula>AND(IF(OR($Q11=1,$Q11=2),1,0),IF($X11&lt;=20,1,0))</formula>
    </cfRule>
    <cfRule type="expression" dxfId="3644" priority="283">
      <formula>AND(IF($Q11=2,1,0),IF($X11&lt;30,1,0))</formula>
    </cfRule>
    <cfRule type="expression" dxfId="3643" priority="284">
      <formula>AND(IF($Q11=3,1,0),IF($X11&lt;30,1,0))</formula>
    </cfRule>
    <cfRule type="expression" dxfId="3642" priority="285">
      <formula>AND(IF($Q11=3,1,IF($Q11=4,1,0)),IF($F11&lt;=85,1,0))</formula>
    </cfRule>
  </conditionalFormatting>
  <conditionalFormatting sqref="AV12">
    <cfRule type="expression" dxfId="3641" priority="280">
      <formula>AV12="X"</formula>
    </cfRule>
    <cfRule type="expression" dxfId="3640" priority="281">
      <formula>AV12="후보"</formula>
    </cfRule>
  </conditionalFormatting>
  <conditionalFormatting sqref="AC12">
    <cfRule type="cellIs" dxfId="3639" priority="277" operator="greaterThan">
      <formula>0.9</formula>
    </cfRule>
    <cfRule type="cellIs" dxfId="3638" priority="278" operator="greaterThan">
      <formula>0.85</formula>
    </cfRule>
  </conditionalFormatting>
  <conditionalFormatting sqref="N12">
    <cfRule type="cellIs" dxfId="3637" priority="275" operator="greaterThan">
      <formula>0.9</formula>
    </cfRule>
    <cfRule type="cellIs" dxfId="3636" priority="276" operator="greaterThan">
      <formula>0.85</formula>
    </cfRule>
  </conditionalFormatting>
  <conditionalFormatting sqref="E12">
    <cfRule type="expression" dxfId="3635" priority="271">
      <formula>AND(IF(OR($Q12=1,$Q12=2),1,0),IF($X12&lt;=20,1,0))</formula>
    </cfRule>
    <cfRule type="expression" dxfId="3634" priority="272">
      <formula>AND(IF($Q12=2,1,0),IF($X12&lt;30,1,0))</formula>
    </cfRule>
    <cfRule type="expression" dxfId="3633" priority="273">
      <formula>AND(IF($Q12=3,1,0),IF($X12&lt;30,1,0))</formula>
    </cfRule>
    <cfRule type="expression" dxfId="3632" priority="274">
      <formula>AND(IF($Q12=3,1,IF($Q12=4,1,0)),IF($F12&lt;=85,1,0))</formula>
    </cfRule>
  </conditionalFormatting>
  <conditionalFormatting sqref="X12">
    <cfRule type="expression" dxfId="3631" priority="267">
      <formula>AND(IF(OR($Q12=1,$Q12=2),1,0),IF($X12&lt;=20,1,0))</formula>
    </cfRule>
    <cfRule type="expression" dxfId="3630" priority="268">
      <formula>AND(IF($Q12=2,1,0),IF($X12&lt;30,1,0))</formula>
    </cfRule>
    <cfRule type="expression" dxfId="3629" priority="269">
      <formula>AND(IF($Q12=3,1,0),IF($X12&lt;30,1,0))</formula>
    </cfRule>
    <cfRule type="expression" dxfId="3628" priority="270">
      <formula>AND(IF($Q12=3,1,IF($Q12=4,1,0)),IF($F12&lt;=85,1,0))</formula>
    </cfRule>
  </conditionalFormatting>
  <conditionalFormatting sqref="AI12">
    <cfRule type="expression" dxfId="3627" priority="263">
      <formula>AND(IF(OR($Q12=1,$Q12=2),1,0),IF($X12&lt;=20,1,0))</formula>
    </cfRule>
    <cfRule type="expression" dxfId="3626" priority="264">
      <formula>AND(IF($Q12=2,1,0),IF($X12&lt;30,1,0))</formula>
    </cfRule>
    <cfRule type="expression" dxfId="3625" priority="265">
      <formula>AND(IF($Q12=3,1,0),IF($X12&lt;30,1,0))</formula>
    </cfRule>
    <cfRule type="expression" dxfId="3624" priority="266">
      <formula>AND(IF($Q12=3,1,IF($Q12=4,1,0)),IF($F12&lt;=85,1,0))</formula>
    </cfRule>
  </conditionalFormatting>
  <conditionalFormatting sqref="AV13">
    <cfRule type="expression" dxfId="3623" priority="261">
      <formula>AV13="X"</formula>
    </cfRule>
    <cfRule type="expression" dxfId="3622" priority="262">
      <formula>AV13="후보"</formula>
    </cfRule>
  </conditionalFormatting>
  <conditionalFormatting sqref="AC13">
    <cfRule type="cellIs" dxfId="3621" priority="258" operator="greaterThan">
      <formula>0.9</formula>
    </cfRule>
    <cfRule type="cellIs" dxfId="3620" priority="259" operator="greaterThan">
      <formula>0.85</formula>
    </cfRule>
  </conditionalFormatting>
  <conditionalFormatting sqref="N13">
    <cfRule type="cellIs" dxfId="3619" priority="256" operator="greaterThan">
      <formula>0.9</formula>
    </cfRule>
    <cfRule type="cellIs" dxfId="3618" priority="257" operator="greaterThan">
      <formula>0.85</formula>
    </cfRule>
  </conditionalFormatting>
  <conditionalFormatting sqref="E13">
    <cfRule type="expression" dxfId="3617" priority="252">
      <formula>AND(IF(OR($Q13=1,$Q13=2),1,0),IF($X13&lt;=20,1,0))</formula>
    </cfRule>
    <cfRule type="expression" dxfId="3616" priority="253">
      <formula>AND(IF($Q13=2,1,0),IF($X13&lt;30,1,0))</formula>
    </cfRule>
    <cfRule type="expression" dxfId="3615" priority="254">
      <formula>AND(IF($Q13=3,1,0),IF($X13&lt;30,1,0))</formula>
    </cfRule>
    <cfRule type="expression" dxfId="3614" priority="255">
      <formula>AND(IF($Q13=3,1,IF($Q13=4,1,0)),IF($F13&lt;=85,1,0))</formula>
    </cfRule>
  </conditionalFormatting>
  <conditionalFormatting sqref="X13">
    <cfRule type="expression" dxfId="3613" priority="248">
      <formula>AND(IF(OR($Q13=1,$Q13=2),1,0),IF($X13&lt;=20,1,0))</formula>
    </cfRule>
    <cfRule type="expression" dxfId="3612" priority="249">
      <formula>AND(IF($Q13=2,1,0),IF($X13&lt;30,1,0))</formula>
    </cfRule>
    <cfRule type="expression" dxfId="3611" priority="250">
      <formula>AND(IF($Q13=3,1,0),IF($X13&lt;30,1,0))</formula>
    </cfRule>
    <cfRule type="expression" dxfId="3610" priority="251">
      <formula>AND(IF($Q13=3,1,IF($Q13=4,1,0)),IF($F13&lt;=85,1,0))</formula>
    </cfRule>
  </conditionalFormatting>
  <conditionalFormatting sqref="AI13">
    <cfRule type="expression" dxfId="3609" priority="244">
      <formula>AND(IF(OR($Q13=1,$Q13=2),1,0),IF($X13&lt;=20,1,0))</formula>
    </cfRule>
    <cfRule type="expression" dxfId="3608" priority="245">
      <formula>AND(IF($Q13=2,1,0),IF($X13&lt;30,1,0))</formula>
    </cfRule>
    <cfRule type="expression" dxfId="3607" priority="246">
      <formula>AND(IF($Q13=3,1,0),IF($X13&lt;30,1,0))</formula>
    </cfRule>
    <cfRule type="expression" dxfId="3606" priority="247">
      <formula>AND(IF($Q13=3,1,IF($Q13=4,1,0)),IF($F13&lt;=85,1,0))</formula>
    </cfRule>
  </conditionalFormatting>
  <conditionalFormatting sqref="AV14">
    <cfRule type="expression" dxfId="3605" priority="242">
      <formula>AV14="X"</formula>
    </cfRule>
    <cfRule type="expression" dxfId="3604" priority="243">
      <formula>AV14="후보"</formula>
    </cfRule>
  </conditionalFormatting>
  <conditionalFormatting sqref="AC14">
    <cfRule type="cellIs" dxfId="3603" priority="239" operator="greaterThan">
      <formula>0.9</formula>
    </cfRule>
    <cfRule type="cellIs" dxfId="3602" priority="240" operator="greaterThan">
      <formula>0.85</formula>
    </cfRule>
  </conditionalFormatting>
  <conditionalFormatting sqref="N14">
    <cfRule type="cellIs" dxfId="3601" priority="237" operator="greaterThan">
      <formula>0.9</formula>
    </cfRule>
    <cfRule type="cellIs" dxfId="3600" priority="238" operator="greaterThan">
      <formula>0.85</formula>
    </cfRule>
  </conditionalFormatting>
  <conditionalFormatting sqref="E14">
    <cfRule type="expression" dxfId="3599" priority="233">
      <formula>AND(IF(OR($Q14=1,$Q14=2),1,0),IF($X14&lt;=20,1,0))</formula>
    </cfRule>
    <cfRule type="expression" dxfId="3598" priority="234">
      <formula>AND(IF($Q14=2,1,0),IF($X14&lt;30,1,0))</formula>
    </cfRule>
    <cfRule type="expression" dxfId="3597" priority="235">
      <formula>AND(IF($Q14=3,1,0),IF($X14&lt;30,1,0))</formula>
    </cfRule>
    <cfRule type="expression" dxfId="3596" priority="236">
      <formula>AND(IF($Q14=3,1,IF($Q14=4,1,0)),IF($F14&lt;=85,1,0))</formula>
    </cfRule>
  </conditionalFormatting>
  <conditionalFormatting sqref="X14">
    <cfRule type="expression" dxfId="3595" priority="229">
      <formula>AND(IF(OR($Q14=1,$Q14=2),1,0),IF($X14&lt;=20,1,0))</formula>
    </cfRule>
    <cfRule type="expression" dxfId="3594" priority="230">
      <formula>AND(IF($Q14=2,1,0),IF($X14&lt;30,1,0))</formula>
    </cfRule>
    <cfRule type="expression" dxfId="3593" priority="231">
      <formula>AND(IF($Q14=3,1,0),IF($X14&lt;30,1,0))</formula>
    </cfRule>
    <cfRule type="expression" dxfId="3592" priority="232">
      <formula>AND(IF($Q14=3,1,IF($Q14=4,1,0)),IF($F14&lt;=85,1,0))</formula>
    </cfRule>
  </conditionalFormatting>
  <conditionalFormatting sqref="AI14">
    <cfRule type="expression" dxfId="3591" priority="225">
      <formula>AND(IF(OR($Q14=1,$Q14=2),1,0),IF($X14&lt;=20,1,0))</formula>
    </cfRule>
    <cfRule type="expression" dxfId="3590" priority="226">
      <formula>AND(IF($Q14=2,1,0),IF($X14&lt;30,1,0))</formula>
    </cfRule>
    <cfRule type="expression" dxfId="3589" priority="227">
      <formula>AND(IF($Q14=3,1,0),IF($X14&lt;30,1,0))</formula>
    </cfRule>
    <cfRule type="expression" dxfId="3588" priority="228">
      <formula>AND(IF($Q14=3,1,IF($Q14=4,1,0)),IF($F14&lt;=85,1,0))</formula>
    </cfRule>
  </conditionalFormatting>
  <conditionalFormatting sqref="AV15">
    <cfRule type="expression" dxfId="3587" priority="223">
      <formula>AV15="X"</formula>
    </cfRule>
    <cfRule type="expression" dxfId="3586" priority="224">
      <formula>AV15="후보"</formula>
    </cfRule>
  </conditionalFormatting>
  <conditionalFormatting sqref="AC15">
    <cfRule type="cellIs" dxfId="3585" priority="220" operator="greaterThan">
      <formula>0.9</formula>
    </cfRule>
    <cfRule type="cellIs" dxfId="3584" priority="221" operator="greaterThan">
      <formula>0.85</formula>
    </cfRule>
  </conditionalFormatting>
  <conditionalFormatting sqref="N15">
    <cfRule type="cellIs" dxfId="3583" priority="218" operator="greaterThan">
      <formula>0.9</formula>
    </cfRule>
    <cfRule type="cellIs" dxfId="3582" priority="219" operator="greaterThan">
      <formula>0.85</formula>
    </cfRule>
  </conditionalFormatting>
  <conditionalFormatting sqref="E15">
    <cfRule type="expression" dxfId="3581" priority="214">
      <formula>AND(IF(OR($Q15=1,$Q15=2),1,0),IF($X15&lt;=20,1,0))</formula>
    </cfRule>
    <cfRule type="expression" dxfId="3580" priority="215">
      <formula>AND(IF($Q15=2,1,0),IF($X15&lt;30,1,0))</formula>
    </cfRule>
    <cfRule type="expression" dxfId="3579" priority="216">
      <formula>AND(IF($Q15=3,1,0),IF($X15&lt;30,1,0))</formula>
    </cfRule>
    <cfRule type="expression" dxfId="3578" priority="217">
      <formula>AND(IF($Q15=3,1,IF($Q15=4,1,0)),IF($F15&lt;=85,1,0))</formula>
    </cfRule>
  </conditionalFormatting>
  <conditionalFormatting sqref="X15">
    <cfRule type="expression" dxfId="3577" priority="210">
      <formula>AND(IF(OR($Q15=1,$Q15=2),1,0),IF($X15&lt;=20,1,0))</formula>
    </cfRule>
    <cfRule type="expression" dxfId="3576" priority="211">
      <formula>AND(IF($Q15=2,1,0),IF($X15&lt;30,1,0))</formula>
    </cfRule>
    <cfRule type="expression" dxfId="3575" priority="212">
      <formula>AND(IF($Q15=3,1,0),IF($X15&lt;30,1,0))</formula>
    </cfRule>
    <cfRule type="expression" dxfId="3574" priority="213">
      <formula>AND(IF($Q15=3,1,IF($Q15=4,1,0)),IF($F15&lt;=85,1,0))</formula>
    </cfRule>
  </conditionalFormatting>
  <conditionalFormatting sqref="AI15">
    <cfRule type="expression" dxfId="3573" priority="206">
      <formula>AND(IF(OR($Q15=1,$Q15=2),1,0),IF($X15&lt;=20,1,0))</formula>
    </cfRule>
    <cfRule type="expression" dxfId="3572" priority="207">
      <formula>AND(IF($Q15=2,1,0),IF($X15&lt;30,1,0))</formula>
    </cfRule>
    <cfRule type="expression" dxfId="3571" priority="208">
      <formula>AND(IF($Q15=3,1,0),IF($X15&lt;30,1,0))</formula>
    </cfRule>
    <cfRule type="expression" dxfId="3570" priority="209">
      <formula>AND(IF($Q15=3,1,IF($Q15=4,1,0)),IF($F15&lt;=85,1,0))</formula>
    </cfRule>
  </conditionalFormatting>
  <conditionalFormatting sqref="AV16">
    <cfRule type="expression" dxfId="3569" priority="204">
      <formula>AV16="X"</formula>
    </cfRule>
    <cfRule type="expression" dxfId="3568" priority="205">
      <formula>AV16="후보"</formula>
    </cfRule>
  </conditionalFormatting>
  <conditionalFormatting sqref="AC16 N16">
    <cfRule type="cellIs" dxfId="3567" priority="201" operator="greaterThan">
      <formula>0.9</formula>
    </cfRule>
    <cfRule type="cellIs" dxfId="3566" priority="202" operator="greaterThan">
      <formula>0.85</formula>
    </cfRule>
  </conditionalFormatting>
  <conditionalFormatting sqref="AV17">
    <cfRule type="expression" dxfId="3565" priority="199">
      <formula>AV17="X"</formula>
    </cfRule>
    <cfRule type="expression" dxfId="3564" priority="200">
      <formula>AV17="후보"</formula>
    </cfRule>
  </conditionalFormatting>
  <conditionalFormatting sqref="AC17">
    <cfRule type="cellIs" dxfId="3563" priority="196" operator="greaterThan">
      <formula>0.9</formula>
    </cfRule>
    <cfRule type="cellIs" dxfId="3562" priority="197" operator="greaterThan">
      <formula>0.85</formula>
    </cfRule>
  </conditionalFormatting>
  <conditionalFormatting sqref="N17">
    <cfRule type="cellIs" dxfId="3561" priority="194" operator="greaterThan">
      <formula>0.9</formula>
    </cfRule>
    <cfRule type="cellIs" dxfId="3560" priority="195" operator="greaterThan">
      <formula>0.85</formula>
    </cfRule>
  </conditionalFormatting>
  <conditionalFormatting sqref="E17">
    <cfRule type="expression" dxfId="3559" priority="190">
      <formula>AND(IF(OR($Q17=1,$Q17=2),1,0),IF($X17&lt;=20,1,0))</formula>
    </cfRule>
    <cfRule type="expression" dxfId="3558" priority="191">
      <formula>AND(IF($Q17=2,1,0),IF($X17&lt;30,1,0))</formula>
    </cfRule>
    <cfRule type="expression" dxfId="3557" priority="192">
      <formula>AND(IF($Q17=3,1,0),IF($X17&lt;30,1,0))</formula>
    </cfRule>
    <cfRule type="expression" dxfId="3556" priority="193">
      <formula>AND(IF($Q17=3,1,IF($Q17=4,1,0)),IF($F17&lt;=85,1,0))</formula>
    </cfRule>
  </conditionalFormatting>
  <conditionalFormatting sqref="X17">
    <cfRule type="expression" dxfId="3555" priority="186">
      <formula>AND(IF(OR($Q17=1,$Q17=2),1,0),IF($X17&lt;=20,1,0))</formula>
    </cfRule>
    <cfRule type="expression" dxfId="3554" priority="187">
      <formula>AND(IF($Q17=2,1,0),IF($X17&lt;30,1,0))</formula>
    </cfRule>
    <cfRule type="expression" dxfId="3553" priority="188">
      <formula>AND(IF($Q17=3,1,0),IF($X17&lt;30,1,0))</formula>
    </cfRule>
    <cfRule type="expression" dxfId="3552" priority="189">
      <formula>AND(IF($Q17=3,1,IF($Q17=4,1,0)),IF($F17&lt;=85,1,0))</formula>
    </cfRule>
  </conditionalFormatting>
  <conditionalFormatting sqref="AI17">
    <cfRule type="expression" dxfId="3551" priority="182">
      <formula>AND(IF(OR($Q17=1,$Q17=2),1,0),IF($X17&lt;=20,1,0))</formula>
    </cfRule>
    <cfRule type="expression" dxfId="3550" priority="183">
      <formula>AND(IF($Q17=2,1,0),IF($X17&lt;30,1,0))</formula>
    </cfRule>
    <cfRule type="expression" dxfId="3549" priority="184">
      <formula>AND(IF($Q17=3,1,0),IF($X17&lt;30,1,0))</formula>
    </cfRule>
    <cfRule type="expression" dxfId="3548" priority="185">
      <formula>AND(IF($Q17=3,1,IF($Q17=4,1,0)),IF($F17&lt;=85,1,0))</formula>
    </cfRule>
  </conditionalFormatting>
  <conditionalFormatting sqref="AV18">
    <cfRule type="expression" dxfId="3547" priority="180">
      <formula>AV18="X"</formula>
    </cfRule>
    <cfRule type="expression" dxfId="3546" priority="181">
      <formula>AV18="후보"</formula>
    </cfRule>
  </conditionalFormatting>
  <conditionalFormatting sqref="AC18">
    <cfRule type="cellIs" dxfId="3545" priority="177" operator="greaterThan">
      <formula>0.9</formula>
    </cfRule>
    <cfRule type="cellIs" dxfId="3544" priority="178" operator="greaterThan">
      <formula>0.85</formula>
    </cfRule>
  </conditionalFormatting>
  <conditionalFormatting sqref="N18">
    <cfRule type="cellIs" dxfId="3543" priority="175" operator="greaterThan">
      <formula>0.9</formula>
    </cfRule>
    <cfRule type="cellIs" dxfId="3542" priority="176" operator="greaterThan">
      <formula>0.85</formula>
    </cfRule>
  </conditionalFormatting>
  <conditionalFormatting sqref="E18">
    <cfRule type="expression" dxfId="3541" priority="171">
      <formula>AND(IF(OR($Q18=1,$Q18=2),1,0),IF($X18&lt;=20,1,0))</formula>
    </cfRule>
    <cfRule type="expression" dxfId="3540" priority="172">
      <formula>AND(IF($Q18=2,1,0),IF($X18&lt;30,1,0))</formula>
    </cfRule>
    <cfRule type="expression" dxfId="3539" priority="173">
      <formula>AND(IF($Q18=3,1,0),IF($X18&lt;30,1,0))</formula>
    </cfRule>
    <cfRule type="expression" dxfId="3538" priority="174">
      <formula>AND(IF($Q18=3,1,IF($Q18=4,1,0)),IF($F18&lt;=85,1,0))</formula>
    </cfRule>
  </conditionalFormatting>
  <conditionalFormatting sqref="X18">
    <cfRule type="expression" dxfId="3537" priority="167">
      <formula>AND(IF(OR($Q18=1,$Q18=2),1,0),IF($X18&lt;=20,1,0))</formula>
    </cfRule>
    <cfRule type="expression" dxfId="3536" priority="168">
      <formula>AND(IF($Q18=2,1,0),IF($X18&lt;30,1,0))</formula>
    </cfRule>
    <cfRule type="expression" dxfId="3535" priority="169">
      <formula>AND(IF($Q18=3,1,0),IF($X18&lt;30,1,0))</formula>
    </cfRule>
    <cfRule type="expression" dxfId="3534" priority="170">
      <formula>AND(IF($Q18=3,1,IF($Q18=4,1,0)),IF($F18&lt;=85,1,0))</formula>
    </cfRule>
  </conditionalFormatting>
  <conditionalFormatting sqref="AI18">
    <cfRule type="expression" dxfId="3533" priority="163">
      <formula>AND(IF(OR($Q18=1,$Q18=2),1,0),IF($X18&lt;=20,1,0))</formula>
    </cfRule>
    <cfRule type="expression" dxfId="3532" priority="164">
      <formula>AND(IF($Q18=2,1,0),IF($X18&lt;30,1,0))</formula>
    </cfRule>
    <cfRule type="expression" dxfId="3531" priority="165">
      <formula>AND(IF($Q18=3,1,0),IF($X18&lt;30,1,0))</formula>
    </cfRule>
    <cfRule type="expression" dxfId="3530" priority="166">
      <formula>AND(IF($Q18=3,1,IF($Q18=4,1,0)),IF($F18&lt;=85,1,0))</formula>
    </cfRule>
  </conditionalFormatting>
  <conditionalFormatting sqref="AV19">
    <cfRule type="expression" dxfId="3529" priority="161">
      <formula>AV19="X"</formula>
    </cfRule>
    <cfRule type="expression" dxfId="3528" priority="162">
      <formula>AV19="후보"</formula>
    </cfRule>
  </conditionalFormatting>
  <conditionalFormatting sqref="AC19">
    <cfRule type="cellIs" dxfId="3527" priority="158" operator="greaterThan">
      <formula>0.9</formula>
    </cfRule>
    <cfRule type="cellIs" dxfId="3526" priority="159" operator="greaterThan">
      <formula>0.85</formula>
    </cfRule>
  </conditionalFormatting>
  <conditionalFormatting sqref="N19">
    <cfRule type="cellIs" dxfId="3525" priority="156" operator="greaterThan">
      <formula>0.9</formula>
    </cfRule>
    <cfRule type="cellIs" dxfId="3524" priority="157" operator="greaterThan">
      <formula>0.85</formula>
    </cfRule>
  </conditionalFormatting>
  <conditionalFormatting sqref="E19">
    <cfRule type="expression" dxfId="3523" priority="152">
      <formula>AND(IF(OR($Q19=1,$Q19=2),1,0),IF($X19&lt;=20,1,0))</formula>
    </cfRule>
    <cfRule type="expression" dxfId="3522" priority="153">
      <formula>AND(IF($Q19=2,1,0),IF($X19&lt;30,1,0))</formula>
    </cfRule>
    <cfRule type="expression" dxfId="3521" priority="154">
      <formula>AND(IF($Q19=3,1,0),IF($X19&lt;30,1,0))</formula>
    </cfRule>
    <cfRule type="expression" dxfId="3520" priority="155">
      <formula>AND(IF($Q19=3,1,IF($Q19=4,1,0)),IF($F19&lt;=85,1,0))</formula>
    </cfRule>
  </conditionalFormatting>
  <conditionalFormatting sqref="X19">
    <cfRule type="expression" dxfId="3519" priority="148">
      <formula>AND(IF(OR($Q19=1,$Q19=2),1,0),IF($X19&lt;=20,1,0))</formula>
    </cfRule>
    <cfRule type="expression" dxfId="3518" priority="149">
      <formula>AND(IF($Q19=2,1,0),IF($X19&lt;30,1,0))</formula>
    </cfRule>
    <cfRule type="expression" dxfId="3517" priority="150">
      <formula>AND(IF($Q19=3,1,0),IF($X19&lt;30,1,0))</formula>
    </cfRule>
    <cfRule type="expression" dxfId="3516" priority="151">
      <formula>AND(IF($Q19=3,1,IF($Q19=4,1,0)),IF($F19&lt;=85,1,0))</formula>
    </cfRule>
  </conditionalFormatting>
  <conditionalFormatting sqref="AI19">
    <cfRule type="expression" dxfId="3515" priority="144">
      <formula>AND(IF(OR($Q19=1,$Q19=2),1,0),IF($X19&lt;=20,1,0))</formula>
    </cfRule>
    <cfRule type="expression" dxfId="3514" priority="145">
      <formula>AND(IF($Q19=2,1,0),IF($X19&lt;30,1,0))</formula>
    </cfRule>
    <cfRule type="expression" dxfId="3513" priority="146">
      <formula>AND(IF($Q19=3,1,0),IF($X19&lt;30,1,0))</formula>
    </cfRule>
    <cfRule type="expression" dxfId="3512" priority="147">
      <formula>AND(IF($Q19=3,1,IF($Q19=4,1,0)),IF($F19&lt;=85,1,0))</formula>
    </cfRule>
  </conditionalFormatting>
  <conditionalFormatting sqref="AV20">
    <cfRule type="expression" dxfId="3511" priority="142">
      <formula>AV20="X"</formula>
    </cfRule>
    <cfRule type="expression" dxfId="3510" priority="143">
      <formula>AV20="후보"</formula>
    </cfRule>
  </conditionalFormatting>
  <conditionalFormatting sqref="AC20 N20">
    <cfRule type="cellIs" dxfId="3509" priority="139" operator="greaterThan">
      <formula>0.9</formula>
    </cfRule>
    <cfRule type="cellIs" dxfId="3508" priority="140" operator="greaterThan">
      <formula>0.85</formula>
    </cfRule>
  </conditionalFormatting>
  <conditionalFormatting sqref="AV21">
    <cfRule type="expression" dxfId="3507" priority="137">
      <formula>AV21="X"</formula>
    </cfRule>
    <cfRule type="expression" dxfId="3506" priority="138">
      <formula>AV21="후보"</formula>
    </cfRule>
  </conditionalFormatting>
  <conditionalFormatting sqref="AC21">
    <cfRule type="cellIs" dxfId="3505" priority="134" operator="greaterThan">
      <formula>0.9</formula>
    </cfRule>
    <cfRule type="cellIs" dxfId="3504" priority="135" operator="greaterThan">
      <formula>0.85</formula>
    </cfRule>
  </conditionalFormatting>
  <conditionalFormatting sqref="N21">
    <cfRule type="cellIs" dxfId="3503" priority="132" operator="greaterThan">
      <formula>0.9</formula>
    </cfRule>
    <cfRule type="cellIs" dxfId="3502" priority="133" operator="greaterThan">
      <formula>0.85</formula>
    </cfRule>
  </conditionalFormatting>
  <conditionalFormatting sqref="E21">
    <cfRule type="expression" dxfId="3501" priority="128">
      <formula>AND(IF(OR($Q21=1,$Q21=2),1,0),IF($X21&lt;=20,1,0))</formula>
    </cfRule>
    <cfRule type="expression" dxfId="3500" priority="129">
      <formula>AND(IF($Q21=2,1,0),IF($X21&lt;30,1,0))</formula>
    </cfRule>
    <cfRule type="expression" dxfId="3499" priority="130">
      <formula>AND(IF($Q21=3,1,0),IF($X21&lt;30,1,0))</formula>
    </cfRule>
    <cfRule type="expression" dxfId="3498" priority="131">
      <formula>AND(IF($Q21=3,1,IF($Q21=4,1,0)),IF($F21&lt;=85,1,0))</formula>
    </cfRule>
  </conditionalFormatting>
  <conditionalFormatting sqref="X21">
    <cfRule type="expression" dxfId="3497" priority="124">
      <formula>AND(IF(OR($Q21=1,$Q21=2),1,0),IF($X21&lt;=20,1,0))</formula>
    </cfRule>
    <cfRule type="expression" dxfId="3496" priority="125">
      <formula>AND(IF($Q21=2,1,0),IF($X21&lt;30,1,0))</formula>
    </cfRule>
    <cfRule type="expression" dxfId="3495" priority="126">
      <formula>AND(IF($Q21=3,1,0),IF($X21&lt;30,1,0))</formula>
    </cfRule>
    <cfRule type="expression" dxfId="3494" priority="127">
      <formula>AND(IF($Q21=3,1,IF($Q21=4,1,0)),IF($F21&lt;=85,1,0))</formula>
    </cfRule>
  </conditionalFormatting>
  <conditionalFormatting sqref="AI21">
    <cfRule type="expression" dxfId="3493" priority="120">
      <formula>AND(IF(OR($Q21=1,$Q21=2),1,0),IF($X21&lt;=20,1,0))</formula>
    </cfRule>
    <cfRule type="expression" dxfId="3492" priority="121">
      <formula>AND(IF($Q21=2,1,0),IF($X21&lt;30,1,0))</formula>
    </cfRule>
    <cfRule type="expression" dxfId="3491" priority="122">
      <formula>AND(IF($Q21=3,1,0),IF($X21&lt;30,1,0))</formula>
    </cfRule>
    <cfRule type="expression" dxfId="3490" priority="123">
      <formula>AND(IF($Q21=3,1,IF($Q21=4,1,0)),IF($F21&lt;=85,1,0))</formula>
    </cfRule>
  </conditionalFormatting>
  <conditionalFormatting sqref="AV22">
    <cfRule type="expression" dxfId="3489" priority="118">
      <formula>AV22="X"</formula>
    </cfRule>
    <cfRule type="expression" dxfId="3488" priority="119">
      <formula>AV22="후보"</formula>
    </cfRule>
  </conditionalFormatting>
  <conditionalFormatting sqref="AC22">
    <cfRule type="cellIs" dxfId="3487" priority="115" operator="greaterThan">
      <formula>0.9</formula>
    </cfRule>
    <cfRule type="cellIs" dxfId="3486" priority="116" operator="greaterThan">
      <formula>0.85</formula>
    </cfRule>
  </conditionalFormatting>
  <conditionalFormatting sqref="N22">
    <cfRule type="cellIs" dxfId="3485" priority="113" operator="greaterThan">
      <formula>0.9</formula>
    </cfRule>
    <cfRule type="cellIs" dxfId="3484" priority="114" operator="greaterThan">
      <formula>0.85</formula>
    </cfRule>
  </conditionalFormatting>
  <conditionalFormatting sqref="E22">
    <cfRule type="expression" dxfId="3483" priority="109">
      <formula>AND(IF(OR($Q22=1,$Q22=2),1,0),IF($X22&lt;=20,1,0))</formula>
    </cfRule>
    <cfRule type="expression" dxfId="3482" priority="110">
      <formula>AND(IF($Q22=2,1,0),IF($X22&lt;30,1,0))</formula>
    </cfRule>
    <cfRule type="expression" dxfId="3481" priority="111">
      <formula>AND(IF($Q22=3,1,0),IF($X22&lt;30,1,0))</formula>
    </cfRule>
    <cfRule type="expression" dxfId="3480" priority="112">
      <formula>AND(IF($Q22=3,1,IF($Q22=4,1,0)),IF($F22&lt;=85,1,0))</formula>
    </cfRule>
  </conditionalFormatting>
  <conditionalFormatting sqref="X22">
    <cfRule type="expression" dxfId="3479" priority="105">
      <formula>AND(IF(OR($Q22=1,$Q22=2),1,0),IF($X22&lt;=20,1,0))</formula>
    </cfRule>
    <cfRule type="expression" dxfId="3478" priority="106">
      <formula>AND(IF($Q22=2,1,0),IF($X22&lt;30,1,0))</formula>
    </cfRule>
    <cfRule type="expression" dxfId="3477" priority="107">
      <formula>AND(IF($Q22=3,1,0),IF($X22&lt;30,1,0))</formula>
    </cfRule>
    <cfRule type="expression" dxfId="3476" priority="108">
      <formula>AND(IF($Q22=3,1,IF($Q22=4,1,0)),IF($F22&lt;=85,1,0))</formula>
    </cfRule>
  </conditionalFormatting>
  <conditionalFormatting sqref="AI22">
    <cfRule type="expression" dxfId="3475" priority="101">
      <formula>AND(IF(OR($Q22=1,$Q22=2),1,0),IF($X22&lt;=20,1,0))</formula>
    </cfRule>
    <cfRule type="expression" dxfId="3474" priority="102">
      <formula>AND(IF($Q22=2,1,0),IF($X22&lt;30,1,0))</formula>
    </cfRule>
    <cfRule type="expression" dxfId="3473" priority="103">
      <formula>AND(IF($Q22=3,1,0),IF($X22&lt;30,1,0))</formula>
    </cfRule>
    <cfRule type="expression" dxfId="3472" priority="104">
      <formula>AND(IF($Q22=3,1,IF($Q22=4,1,0)),IF($F22&lt;=85,1,0))</formula>
    </cfRule>
  </conditionalFormatting>
  <conditionalFormatting sqref="AV23">
    <cfRule type="expression" dxfId="3471" priority="99">
      <formula>AV23="X"</formula>
    </cfRule>
    <cfRule type="expression" dxfId="3470" priority="100">
      <formula>AV23="후보"</formula>
    </cfRule>
  </conditionalFormatting>
  <conditionalFormatting sqref="AC23">
    <cfRule type="cellIs" dxfId="3469" priority="96" operator="greaterThan">
      <formula>0.9</formula>
    </cfRule>
    <cfRule type="cellIs" dxfId="3468" priority="97" operator="greaterThan">
      <formula>0.85</formula>
    </cfRule>
  </conditionalFormatting>
  <conditionalFormatting sqref="N23">
    <cfRule type="cellIs" dxfId="3467" priority="94" operator="greaterThan">
      <formula>0.9</formula>
    </cfRule>
    <cfRule type="cellIs" dxfId="3466" priority="95" operator="greaterThan">
      <formula>0.85</formula>
    </cfRule>
  </conditionalFormatting>
  <conditionalFormatting sqref="E23">
    <cfRule type="expression" dxfId="3465" priority="90">
      <formula>AND(IF(OR($Q23=1,$Q23=2),1,0),IF($X23&lt;=20,1,0))</formula>
    </cfRule>
    <cfRule type="expression" dxfId="3464" priority="91">
      <formula>AND(IF($Q23=2,1,0),IF($X23&lt;30,1,0))</formula>
    </cfRule>
    <cfRule type="expression" dxfId="3463" priority="92">
      <formula>AND(IF($Q23=3,1,0),IF($X23&lt;30,1,0))</formula>
    </cfRule>
    <cfRule type="expression" dxfId="3462" priority="93">
      <formula>AND(IF($Q23=3,1,IF($Q23=4,1,0)),IF($F23&lt;=85,1,0))</formula>
    </cfRule>
  </conditionalFormatting>
  <conditionalFormatting sqref="X23">
    <cfRule type="expression" dxfId="3461" priority="86">
      <formula>AND(IF(OR($Q23=1,$Q23=2),1,0),IF($X23&lt;=20,1,0))</formula>
    </cfRule>
    <cfRule type="expression" dxfId="3460" priority="87">
      <formula>AND(IF($Q23=2,1,0),IF($X23&lt;30,1,0))</formula>
    </cfRule>
    <cfRule type="expression" dxfId="3459" priority="88">
      <formula>AND(IF($Q23=3,1,0),IF($X23&lt;30,1,0))</formula>
    </cfRule>
    <cfRule type="expression" dxfId="3458" priority="89">
      <formula>AND(IF($Q23=3,1,IF($Q23=4,1,0)),IF($F23&lt;=85,1,0))</formula>
    </cfRule>
  </conditionalFormatting>
  <conditionalFormatting sqref="AI23">
    <cfRule type="expression" dxfId="3457" priority="82">
      <formula>AND(IF(OR($Q23=1,$Q23=2),1,0),IF($X23&lt;=20,1,0))</formula>
    </cfRule>
    <cfRule type="expression" dxfId="3456" priority="83">
      <formula>AND(IF($Q23=2,1,0),IF($X23&lt;30,1,0))</formula>
    </cfRule>
    <cfRule type="expression" dxfId="3455" priority="84">
      <formula>AND(IF($Q23=3,1,0),IF($X23&lt;30,1,0))</formula>
    </cfRule>
    <cfRule type="expression" dxfId="3454" priority="85">
      <formula>AND(IF($Q23=3,1,IF($Q23=4,1,0)),IF($F23&lt;=85,1,0))</formula>
    </cfRule>
  </conditionalFormatting>
  <conditionalFormatting sqref="AV24">
    <cfRule type="expression" dxfId="3453" priority="80">
      <formula>AV24="X"</formula>
    </cfRule>
    <cfRule type="expression" dxfId="3452" priority="81">
      <formula>AV24="후보"</formula>
    </cfRule>
  </conditionalFormatting>
  <conditionalFormatting sqref="AC24">
    <cfRule type="cellIs" dxfId="3451" priority="77" operator="greaterThan">
      <formula>0.9</formula>
    </cfRule>
    <cfRule type="cellIs" dxfId="3450" priority="78" operator="greaterThan">
      <formula>0.85</formula>
    </cfRule>
  </conditionalFormatting>
  <conditionalFormatting sqref="N24">
    <cfRule type="cellIs" dxfId="3449" priority="75" operator="greaterThan">
      <formula>0.9</formula>
    </cfRule>
    <cfRule type="cellIs" dxfId="3448" priority="76" operator="greaterThan">
      <formula>0.85</formula>
    </cfRule>
  </conditionalFormatting>
  <conditionalFormatting sqref="E24">
    <cfRule type="expression" dxfId="3447" priority="71">
      <formula>AND(IF(OR($Q24=1,$Q24=2),1,0),IF($X24&lt;=20,1,0))</formula>
    </cfRule>
    <cfRule type="expression" dxfId="3446" priority="72">
      <formula>AND(IF($Q24=2,1,0),IF($X24&lt;30,1,0))</formula>
    </cfRule>
    <cfRule type="expression" dxfId="3445" priority="73">
      <formula>AND(IF($Q24=3,1,0),IF($X24&lt;30,1,0))</formula>
    </cfRule>
    <cfRule type="expression" dxfId="3444" priority="74">
      <formula>AND(IF($Q24=3,1,IF($Q24=4,1,0)),IF($F24&lt;=85,1,0))</formula>
    </cfRule>
  </conditionalFormatting>
  <conditionalFormatting sqref="X24">
    <cfRule type="expression" dxfId="3443" priority="67">
      <formula>AND(IF(OR($Q24=1,$Q24=2),1,0),IF($X24&lt;=20,1,0))</formula>
    </cfRule>
    <cfRule type="expression" dxfId="3442" priority="68">
      <formula>AND(IF($Q24=2,1,0),IF($X24&lt;30,1,0))</formula>
    </cfRule>
    <cfRule type="expression" dxfId="3441" priority="69">
      <formula>AND(IF($Q24=3,1,0),IF($X24&lt;30,1,0))</formula>
    </cfRule>
    <cfRule type="expression" dxfId="3440" priority="70">
      <formula>AND(IF($Q24=3,1,IF($Q24=4,1,0)),IF($F24&lt;=85,1,0))</formula>
    </cfRule>
  </conditionalFormatting>
  <conditionalFormatting sqref="AI24">
    <cfRule type="expression" dxfId="3439" priority="63">
      <formula>AND(IF(OR($Q24=1,$Q24=2),1,0),IF($X24&lt;=20,1,0))</formula>
    </cfRule>
    <cfRule type="expression" dxfId="3438" priority="64">
      <formula>AND(IF($Q24=2,1,0),IF($X24&lt;30,1,0))</formula>
    </cfRule>
    <cfRule type="expression" dxfId="3437" priority="65">
      <formula>AND(IF($Q24=3,1,0),IF($X24&lt;30,1,0))</formula>
    </cfRule>
    <cfRule type="expression" dxfId="3436" priority="66">
      <formula>AND(IF($Q24=3,1,IF($Q24=4,1,0)),IF($F24&lt;=85,1,0))</formula>
    </cfRule>
  </conditionalFormatting>
  <conditionalFormatting sqref="AV25">
    <cfRule type="expression" dxfId="3435" priority="61">
      <formula>AV25="X"</formula>
    </cfRule>
    <cfRule type="expression" dxfId="3434" priority="62">
      <formula>AV25="후보"</formula>
    </cfRule>
  </conditionalFormatting>
  <conditionalFormatting sqref="AC25 N25">
    <cfRule type="cellIs" dxfId="3433" priority="58" operator="greaterThan">
      <formula>0.9</formula>
    </cfRule>
    <cfRule type="cellIs" dxfId="3432" priority="59" operator="greaterThan">
      <formula>0.85</formula>
    </cfRule>
  </conditionalFormatting>
  <conditionalFormatting sqref="AV26">
    <cfRule type="expression" dxfId="3431" priority="56">
      <formula>AV26="X"</formula>
    </cfRule>
    <cfRule type="expression" dxfId="3430" priority="57">
      <formula>AV26="후보"</formula>
    </cfRule>
  </conditionalFormatting>
  <conditionalFormatting sqref="AC26">
    <cfRule type="cellIs" dxfId="3429" priority="53" operator="greaterThan">
      <formula>0.9</formula>
    </cfRule>
    <cfRule type="cellIs" dxfId="3428" priority="54" operator="greaterThan">
      <formula>0.85</formula>
    </cfRule>
  </conditionalFormatting>
  <conditionalFormatting sqref="N26">
    <cfRule type="cellIs" dxfId="3427" priority="51" operator="greaterThan">
      <formula>0.9</formula>
    </cfRule>
    <cfRule type="cellIs" dxfId="3426" priority="52" operator="greaterThan">
      <formula>0.85</formula>
    </cfRule>
  </conditionalFormatting>
  <conditionalFormatting sqref="E26">
    <cfRule type="expression" dxfId="3425" priority="47">
      <formula>AND(IF(OR($Q26=1,$Q26=2),1,0),IF($X26&lt;=20,1,0))</formula>
    </cfRule>
    <cfRule type="expression" dxfId="3424" priority="48">
      <formula>AND(IF($Q26=2,1,0),IF($X26&lt;30,1,0))</formula>
    </cfRule>
    <cfRule type="expression" dxfId="3423" priority="49">
      <formula>AND(IF($Q26=3,1,0),IF($X26&lt;30,1,0))</formula>
    </cfRule>
    <cfRule type="expression" dxfId="3422" priority="50">
      <formula>AND(IF($Q26=3,1,IF($Q26=4,1,0)),IF($F26&lt;=85,1,0))</formula>
    </cfRule>
  </conditionalFormatting>
  <conditionalFormatting sqref="X26">
    <cfRule type="expression" dxfId="3421" priority="43">
      <formula>AND(IF(OR($Q26=1,$Q26=2),1,0),IF($X26&lt;=20,1,0))</formula>
    </cfRule>
    <cfRule type="expression" dxfId="3420" priority="44">
      <formula>AND(IF($Q26=2,1,0),IF($X26&lt;30,1,0))</formula>
    </cfRule>
    <cfRule type="expression" dxfId="3419" priority="45">
      <formula>AND(IF($Q26=3,1,0),IF($X26&lt;30,1,0))</formula>
    </cfRule>
    <cfRule type="expression" dxfId="3418" priority="46">
      <formula>AND(IF($Q26=3,1,IF($Q26=4,1,0)),IF($F26&lt;=85,1,0))</formula>
    </cfRule>
  </conditionalFormatting>
  <conditionalFormatting sqref="AI26">
    <cfRule type="expression" dxfId="3417" priority="39">
      <formula>AND(IF(OR($Q26=1,$Q26=2),1,0),IF($X26&lt;=20,1,0))</formula>
    </cfRule>
    <cfRule type="expression" dxfId="3416" priority="40">
      <formula>AND(IF($Q26=2,1,0),IF($X26&lt;30,1,0))</formula>
    </cfRule>
    <cfRule type="expression" dxfId="3415" priority="41">
      <formula>AND(IF($Q26=3,1,0),IF($X26&lt;30,1,0))</formula>
    </cfRule>
    <cfRule type="expression" dxfId="3414" priority="42">
      <formula>AND(IF($Q26=3,1,IF($Q26=4,1,0)),IF($F26&lt;=85,1,0))</formula>
    </cfRule>
  </conditionalFormatting>
  <conditionalFormatting sqref="AV27">
    <cfRule type="expression" dxfId="3413" priority="37">
      <formula>AV27="X"</formula>
    </cfRule>
    <cfRule type="expression" dxfId="3412" priority="38">
      <formula>AV27="후보"</formula>
    </cfRule>
  </conditionalFormatting>
  <conditionalFormatting sqref="AC27">
    <cfRule type="cellIs" dxfId="3411" priority="34" operator="greaterThan">
      <formula>0.9</formula>
    </cfRule>
    <cfRule type="cellIs" dxfId="3410" priority="35" operator="greaterThan">
      <formula>0.85</formula>
    </cfRule>
  </conditionalFormatting>
  <conditionalFormatting sqref="N27">
    <cfRule type="cellIs" dxfId="3409" priority="32" operator="greaterThan">
      <formula>0.9</formula>
    </cfRule>
    <cfRule type="cellIs" dxfId="3408" priority="33" operator="greaterThan">
      <formula>0.85</formula>
    </cfRule>
  </conditionalFormatting>
  <conditionalFormatting sqref="E27">
    <cfRule type="expression" dxfId="3407" priority="28">
      <formula>AND(IF(OR($Q27=1,$Q27=2),1,0),IF($X27&lt;=20,1,0))</formula>
    </cfRule>
    <cfRule type="expression" dxfId="3406" priority="29">
      <formula>AND(IF($Q27=2,1,0),IF($X27&lt;30,1,0))</formula>
    </cfRule>
    <cfRule type="expression" dxfId="3405" priority="30">
      <formula>AND(IF($Q27=3,1,0),IF($X27&lt;30,1,0))</formula>
    </cfRule>
    <cfRule type="expression" dxfId="3404" priority="31">
      <formula>AND(IF($Q27=3,1,IF($Q27=4,1,0)),IF($F27&lt;=85,1,0))</formula>
    </cfRule>
  </conditionalFormatting>
  <conditionalFormatting sqref="X27">
    <cfRule type="expression" dxfId="3403" priority="24">
      <formula>AND(IF(OR($Q27=1,$Q27=2),1,0),IF($X27&lt;=20,1,0))</formula>
    </cfRule>
    <cfRule type="expression" dxfId="3402" priority="25">
      <formula>AND(IF($Q27=2,1,0),IF($X27&lt;30,1,0))</formula>
    </cfRule>
    <cfRule type="expression" dxfId="3401" priority="26">
      <formula>AND(IF($Q27=3,1,0),IF($X27&lt;30,1,0))</formula>
    </cfRule>
    <cfRule type="expression" dxfId="3400" priority="27">
      <formula>AND(IF($Q27=3,1,IF($Q27=4,1,0)),IF($F27&lt;=85,1,0))</formula>
    </cfRule>
  </conditionalFormatting>
  <conditionalFormatting sqref="AI27">
    <cfRule type="expression" dxfId="3399" priority="20">
      <formula>AND(IF(OR($Q27=1,$Q27=2),1,0),IF($X27&lt;=20,1,0))</formula>
    </cfRule>
    <cfRule type="expression" dxfId="3398" priority="21">
      <formula>AND(IF($Q27=2,1,0),IF($X27&lt;30,1,0))</formula>
    </cfRule>
    <cfRule type="expression" dxfId="3397" priority="22">
      <formula>AND(IF($Q27=3,1,0),IF($X27&lt;30,1,0))</formula>
    </cfRule>
    <cfRule type="expression" dxfId="3396" priority="23">
      <formula>AND(IF($Q27=3,1,IF($Q27=4,1,0)),IF($F27&lt;=85,1,0))</formula>
    </cfRule>
  </conditionalFormatting>
  <conditionalFormatting sqref="AV28">
    <cfRule type="expression" dxfId="3395" priority="18">
      <formula>AV28="X"</formula>
    </cfRule>
    <cfRule type="expression" dxfId="3394" priority="19">
      <formula>AV28="후보"</formula>
    </cfRule>
  </conditionalFormatting>
  <conditionalFormatting sqref="AC28">
    <cfRule type="cellIs" dxfId="3393" priority="15" operator="greaterThan">
      <formula>0.9</formula>
    </cfRule>
    <cfRule type="cellIs" dxfId="3392" priority="16" operator="greaterThan">
      <formula>0.85</formula>
    </cfRule>
  </conditionalFormatting>
  <conditionalFormatting sqref="N28">
    <cfRule type="cellIs" dxfId="3391" priority="13" operator="greaterThan">
      <formula>0.9</formula>
    </cfRule>
    <cfRule type="cellIs" dxfId="3390" priority="14" operator="greaterThan">
      <formula>0.85</formula>
    </cfRule>
  </conditionalFormatting>
  <conditionalFormatting sqref="E28">
    <cfRule type="expression" dxfId="3389" priority="9">
      <formula>AND(IF(OR($Q28=1,$Q28=2),1,0),IF($X28&lt;=20,1,0))</formula>
    </cfRule>
    <cfRule type="expression" dxfId="3388" priority="10">
      <formula>AND(IF($Q28=2,1,0),IF($X28&lt;30,1,0))</formula>
    </cfRule>
    <cfRule type="expression" dxfId="3387" priority="11">
      <formula>AND(IF($Q28=3,1,0),IF($X28&lt;30,1,0))</formula>
    </cfRule>
    <cfRule type="expression" dxfId="3386" priority="12">
      <formula>AND(IF($Q28=3,1,IF($Q28=4,1,0)),IF($F28&lt;=85,1,0))</formula>
    </cfRule>
  </conditionalFormatting>
  <conditionalFormatting sqref="X28">
    <cfRule type="expression" dxfId="3385" priority="5">
      <formula>AND(IF(OR($Q28=1,$Q28=2),1,0),IF($X28&lt;=20,1,0))</formula>
    </cfRule>
    <cfRule type="expression" dxfId="3384" priority="6">
      <formula>AND(IF($Q28=2,1,0),IF($X28&lt;30,1,0))</formula>
    </cfRule>
    <cfRule type="expression" dxfId="3383" priority="7">
      <formula>AND(IF($Q28=3,1,0),IF($X28&lt;30,1,0))</formula>
    </cfRule>
    <cfRule type="expression" dxfId="3382" priority="8">
      <formula>AND(IF($Q28=3,1,IF($Q28=4,1,0)),IF($F28&lt;=85,1,0))</formula>
    </cfRule>
  </conditionalFormatting>
  <conditionalFormatting sqref="AI28">
    <cfRule type="expression" dxfId="3381" priority="1">
      <formula>AND(IF(OR($Q28=1,$Q28=2),1,0),IF($X28&lt;=20,1,0))</formula>
    </cfRule>
    <cfRule type="expression" dxfId="3380" priority="2">
      <formula>AND(IF($Q28=2,1,0),IF($X28&lt;30,1,0))</formula>
    </cfRule>
    <cfRule type="expression" dxfId="3379" priority="3">
      <formula>AND(IF($Q28=3,1,0),IF($X28&lt;30,1,0))</formula>
    </cfRule>
    <cfRule type="expression" dxfId="3378" priority="4">
      <formula>AND(IF($Q28=3,1,IF($Q28=4,1,0)),IF($F28&lt;=85,1,0))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남양동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284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남양동 창원진해비전시티우방아이유쉘('21.08.,564^)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1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279</v>
      </c>
      <c r="B6" s="10" t="s">
        <v>890</v>
      </c>
      <c r="C6" s="107">
        <v>564</v>
      </c>
      <c r="D6" s="104">
        <v>101.8</v>
      </c>
      <c r="E6" s="106">
        <v>31</v>
      </c>
      <c r="F6" s="104">
        <v>76.599999999999994</v>
      </c>
      <c r="G6" s="17">
        <v>23</v>
      </c>
      <c r="H6" s="107">
        <v>564</v>
      </c>
      <c r="I6" s="108">
        <v>23250</v>
      </c>
      <c r="J6" s="108" t="s">
        <v>873</v>
      </c>
      <c r="K6" s="108">
        <v>16500</v>
      </c>
      <c r="L6" s="108" t="s">
        <v>872</v>
      </c>
      <c r="M6" s="109">
        <f>I6-K6</f>
        <v>6750</v>
      </c>
      <c r="N6" s="4">
        <f>IF(ISERROR(K6/I6),"",K6/I6)</f>
        <v>0.70967741935483875</v>
      </c>
      <c r="O6" s="105">
        <f>I6/E6</f>
        <v>750</v>
      </c>
      <c r="P6" s="105">
        <f>K6/E6</f>
        <v>532.25806451612902</v>
      </c>
      <c r="Q6" s="75">
        <v>3</v>
      </c>
      <c r="R6" s="75">
        <v>2</v>
      </c>
      <c r="S6" s="75" t="s">
        <v>869</v>
      </c>
      <c r="T6" s="5" t="s">
        <v>281</v>
      </c>
      <c r="U6" s="9"/>
      <c r="W6" s="104">
        <f>D6</f>
        <v>101.8</v>
      </c>
      <c r="X6" s="106">
        <f>E6</f>
        <v>31</v>
      </c>
      <c r="Y6" s="102">
        <f>H6</f>
        <v>564</v>
      </c>
      <c r="Z6" s="109">
        <f>I6</f>
        <v>23250</v>
      </c>
      <c r="AA6" s="109">
        <f>K6</f>
        <v>16500</v>
      </c>
      <c r="AB6" s="109">
        <f>M6</f>
        <v>6750</v>
      </c>
      <c r="AC6" s="4">
        <f>N6</f>
        <v>0.70967741935483875</v>
      </c>
      <c r="AD6" s="105">
        <f>O6</f>
        <v>750</v>
      </c>
      <c r="AE6" s="75" t="str">
        <f>S6</f>
        <v>계</v>
      </c>
      <c r="AF6" s="75" t="str">
        <f>Q6&amp;"/"&amp;R6</f>
        <v>3/2</v>
      </c>
      <c r="AH6" s="20" t="str">
        <f t="shared" si="1"/>
        <v>창원진해비전시티우방아이유쉘</v>
      </c>
      <c r="AI6" s="106">
        <f t="shared" si="0"/>
        <v>31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/>
      <c r="B7" s="75"/>
      <c r="C7" s="6"/>
      <c r="D7" s="9"/>
      <c r="E7" s="14"/>
      <c r="F7" s="104"/>
      <c r="G7" s="9"/>
      <c r="H7" s="9"/>
      <c r="I7" s="9"/>
      <c r="J7" s="9"/>
      <c r="K7" s="9"/>
      <c r="L7" s="9"/>
      <c r="M7" s="9"/>
      <c r="N7" s="9"/>
      <c r="O7" s="105"/>
      <c r="P7" s="105"/>
      <c r="Q7" s="106"/>
      <c r="R7" s="106"/>
      <c r="S7" s="9"/>
      <c r="T7" s="48"/>
      <c r="U7" s="9"/>
      <c r="W7" s="70" t="str">
        <f>$A$4&amp;" "&amp;A8&amp;"("&amp;B8&amp;","&amp;C8&amp;"^)"</f>
        <v>남양동 남양에스티엑스칸('09.02.,385^)</v>
      </c>
      <c r="X7" s="71"/>
      <c r="Y7" s="71"/>
      <c r="Z7" s="71"/>
      <c r="AA7" s="71"/>
      <c r="AB7" s="71"/>
      <c r="AC7" s="71"/>
      <c r="AD7" s="71"/>
      <c r="AE7" s="71"/>
      <c r="AF7" s="72"/>
      <c r="AH7" s="20" t="str">
        <f t="shared" si="1"/>
        <v/>
      </c>
      <c r="AI7" s="103" t="str">
        <f t="shared" si="0"/>
        <v/>
      </c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</row>
    <row r="8" spans="1:48" x14ac:dyDescent="0.3">
      <c r="A8" s="9" t="s">
        <v>285</v>
      </c>
      <c r="B8" s="10" t="s">
        <v>891</v>
      </c>
      <c r="C8" s="107">
        <v>385</v>
      </c>
      <c r="D8" s="104">
        <v>110.4</v>
      </c>
      <c r="E8" s="106">
        <v>33</v>
      </c>
      <c r="F8" s="104">
        <v>85</v>
      </c>
      <c r="G8" s="17">
        <v>26</v>
      </c>
      <c r="H8" s="107">
        <v>24</v>
      </c>
      <c r="I8" s="108"/>
      <c r="J8" s="108"/>
      <c r="K8" s="108">
        <v>13500</v>
      </c>
      <c r="L8" s="108" t="s">
        <v>883</v>
      </c>
      <c r="M8" s="109">
        <f>I8-K8</f>
        <v>-13500</v>
      </c>
      <c r="N8" s="4" t="str">
        <f>IF(ISERROR(K8/I8),"",K8/I8)</f>
        <v/>
      </c>
      <c r="O8" s="105">
        <f>I8/E8</f>
        <v>0</v>
      </c>
      <c r="P8" s="105">
        <f>K8/E8</f>
        <v>409.09090909090907</v>
      </c>
      <c r="Q8" s="75">
        <v>3</v>
      </c>
      <c r="R8" s="75">
        <v>2</v>
      </c>
      <c r="S8" s="75" t="s">
        <v>869</v>
      </c>
      <c r="T8" s="5" t="s">
        <v>287</v>
      </c>
      <c r="U8" s="9"/>
      <c r="W8" s="104">
        <f t="shared" ref="W8:X11" si="2">D8</f>
        <v>110.4</v>
      </c>
      <c r="X8" s="106">
        <f t="shared" si="2"/>
        <v>33</v>
      </c>
      <c r="Y8" s="102">
        <f t="shared" ref="Y8:Z11" si="3">H8</f>
        <v>24</v>
      </c>
      <c r="Z8" s="109">
        <f t="shared" si="3"/>
        <v>0</v>
      </c>
      <c r="AA8" s="109">
        <f>K8</f>
        <v>13500</v>
      </c>
      <c r="AB8" s="109">
        <f t="shared" ref="AB8:AD11" si="4">M8</f>
        <v>-13500</v>
      </c>
      <c r="AC8" s="4" t="str">
        <f t="shared" si="4"/>
        <v/>
      </c>
      <c r="AD8" s="105">
        <f t="shared" si="4"/>
        <v>0</v>
      </c>
      <c r="AE8" s="75" t="str">
        <f>S8</f>
        <v>계</v>
      </c>
      <c r="AF8" s="75" t="str">
        <f>Q8&amp;"/"&amp;R8</f>
        <v>3/2</v>
      </c>
      <c r="AH8" s="20" t="str">
        <f t="shared" si="1"/>
        <v>남양에스티엑스칸</v>
      </c>
      <c r="AI8" s="106">
        <f t="shared" si="0"/>
        <v>33</v>
      </c>
      <c r="AJ8" s="75" t="str">
        <f>IF(AI8="","",$AJ$2)</f>
        <v>A-</v>
      </c>
      <c r="AK8" s="75" t="s">
        <v>14</v>
      </c>
      <c r="AL8" s="75" t="s">
        <v>870</v>
      </c>
      <c r="AM8" s="75" t="s">
        <v>871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/>
      </c>
    </row>
    <row r="9" spans="1:48" x14ac:dyDescent="0.3">
      <c r="A9" s="9" t="s">
        <v>285</v>
      </c>
      <c r="B9" s="10" t="s">
        <v>891</v>
      </c>
      <c r="C9" s="107">
        <v>385</v>
      </c>
      <c r="D9" s="104">
        <v>110.7</v>
      </c>
      <c r="E9" s="106">
        <v>33</v>
      </c>
      <c r="F9" s="104">
        <v>85</v>
      </c>
      <c r="G9" s="17">
        <v>26</v>
      </c>
      <c r="H9" s="107">
        <v>13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5">
        <v>3</v>
      </c>
      <c r="R9" s="75">
        <v>2</v>
      </c>
      <c r="S9" s="75" t="s">
        <v>869</v>
      </c>
      <c r="T9" s="5" t="s">
        <v>252</v>
      </c>
      <c r="U9" s="9"/>
      <c r="W9" s="104">
        <f t="shared" si="2"/>
        <v>110.7</v>
      </c>
      <c r="X9" s="106">
        <f t="shared" si="2"/>
        <v>33</v>
      </c>
      <c r="Y9" s="102">
        <f t="shared" si="3"/>
        <v>13</v>
      </c>
      <c r="Z9" s="109">
        <f t="shared" si="3"/>
        <v>0</v>
      </c>
      <c r="AA9" s="109">
        <f>K9</f>
        <v>0</v>
      </c>
      <c r="AB9" s="109">
        <f t="shared" si="4"/>
        <v>0</v>
      </c>
      <c r="AC9" s="4" t="str">
        <f t="shared" si="4"/>
        <v/>
      </c>
      <c r="AD9" s="105">
        <f t="shared" si="4"/>
        <v>0</v>
      </c>
      <c r="AE9" s="75" t="str">
        <f>S9</f>
        <v>계</v>
      </c>
      <c r="AF9" s="75" t="str">
        <f>Q9&amp;"/"&amp;R9</f>
        <v>3/2</v>
      </c>
      <c r="AH9" s="20" t="str">
        <f t="shared" si="1"/>
        <v>남양에스티엑스칸</v>
      </c>
      <c r="AI9" s="106">
        <f t="shared" si="0"/>
        <v>33</v>
      </c>
      <c r="AJ9" s="75" t="str">
        <f>IF(AI9="","",$AJ$2)</f>
        <v>A-</v>
      </c>
      <c r="AK9" s="75" t="s">
        <v>14</v>
      </c>
      <c r="AL9" s="75" t="s">
        <v>870</v>
      </c>
      <c r="AM9" s="75" t="s">
        <v>871</v>
      </c>
      <c r="AN9" s="75" t="str">
        <f>IF(AI9="","",$AN$2)</f>
        <v>C</v>
      </c>
      <c r="AO9" s="75" t="str">
        <f>IF(N9="","",IF(N9&gt;=$AO$1/100,"O","X"))</f>
        <v/>
      </c>
      <c r="AP9" s="75" t="str">
        <f>IF(I9="","",IF(I9&lt;=$AP$1,"O","X"))</f>
        <v/>
      </c>
      <c r="AQ9" s="75" t="str">
        <f>IF(O9="","",IF(O9&lt;=$AQ$1,"O","X"))</f>
        <v>O</v>
      </c>
      <c r="AR9" s="75" t="str">
        <f>IF(M9="","",IF(M9&lt;=$AR$1,"O","X"))</f>
        <v>O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/>
      </c>
    </row>
    <row r="10" spans="1:48" x14ac:dyDescent="0.3">
      <c r="A10" s="9" t="s">
        <v>285</v>
      </c>
      <c r="B10" s="10" t="s">
        <v>891</v>
      </c>
      <c r="C10" s="107">
        <v>385</v>
      </c>
      <c r="D10" s="104">
        <v>111.4</v>
      </c>
      <c r="E10" s="106">
        <v>34</v>
      </c>
      <c r="F10" s="104">
        <v>85</v>
      </c>
      <c r="G10" s="17">
        <v>26</v>
      </c>
      <c r="H10" s="107">
        <v>347</v>
      </c>
      <c r="I10" s="108">
        <v>18300</v>
      </c>
      <c r="J10" s="108" t="s">
        <v>873</v>
      </c>
      <c r="K10" s="108">
        <v>13500</v>
      </c>
      <c r="L10" s="108" t="s">
        <v>868</v>
      </c>
      <c r="M10" s="109">
        <f>I10-K10</f>
        <v>4800</v>
      </c>
      <c r="N10" s="4">
        <f>IF(ISERROR(K10/I10),"",K10/I10)</f>
        <v>0.73770491803278693</v>
      </c>
      <c r="O10" s="105">
        <f>I10/E10</f>
        <v>538.23529411764707</v>
      </c>
      <c r="P10" s="105">
        <f>K10/E10</f>
        <v>397.05882352941177</v>
      </c>
      <c r="Q10" s="75">
        <v>3</v>
      </c>
      <c r="R10" s="75">
        <v>2</v>
      </c>
      <c r="S10" s="75" t="s">
        <v>869</v>
      </c>
      <c r="T10" s="5" t="s">
        <v>153</v>
      </c>
      <c r="U10" s="9"/>
      <c r="W10" s="104">
        <f t="shared" si="2"/>
        <v>111.4</v>
      </c>
      <c r="X10" s="106">
        <f t="shared" si="2"/>
        <v>34</v>
      </c>
      <c r="Y10" s="102">
        <f t="shared" si="3"/>
        <v>347</v>
      </c>
      <c r="Z10" s="109">
        <f t="shared" si="3"/>
        <v>18300</v>
      </c>
      <c r="AA10" s="109">
        <f>K10</f>
        <v>13500</v>
      </c>
      <c r="AB10" s="109">
        <f t="shared" si="4"/>
        <v>4800</v>
      </c>
      <c r="AC10" s="4">
        <f t="shared" si="4"/>
        <v>0.73770491803278693</v>
      </c>
      <c r="AD10" s="105">
        <f t="shared" si="4"/>
        <v>538.23529411764707</v>
      </c>
      <c r="AE10" s="75" t="str">
        <f>S10</f>
        <v>계</v>
      </c>
      <c r="AF10" s="75" t="str">
        <f>Q10&amp;"/"&amp;R10</f>
        <v>3/2</v>
      </c>
      <c r="AH10" s="20" t="str">
        <f t="shared" si="1"/>
        <v>남양에스티엑스칸</v>
      </c>
      <c r="AI10" s="106">
        <f t="shared" si="0"/>
        <v>34</v>
      </c>
      <c r="AJ10" s="75" t="str">
        <f>IF(AI10="","",$AJ$2)</f>
        <v>A-</v>
      </c>
      <c r="AK10" s="75" t="s">
        <v>14</v>
      </c>
      <c r="AL10" s="75" t="s">
        <v>870</v>
      </c>
      <c r="AM10" s="75" t="s">
        <v>871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O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48" x14ac:dyDescent="0.3">
      <c r="A11" s="9" t="s">
        <v>285</v>
      </c>
      <c r="B11" s="10" t="s">
        <v>891</v>
      </c>
      <c r="C11" s="107">
        <v>385</v>
      </c>
      <c r="D11" s="104">
        <v>111.4</v>
      </c>
      <c r="E11" s="106">
        <v>34</v>
      </c>
      <c r="F11" s="104">
        <v>85</v>
      </c>
      <c r="G11" s="17">
        <v>26</v>
      </c>
      <c r="H11" s="107">
        <v>1</v>
      </c>
      <c r="I11" s="108">
        <v>18300</v>
      </c>
      <c r="J11" s="108" t="s">
        <v>873</v>
      </c>
      <c r="K11" s="108">
        <v>13500</v>
      </c>
      <c r="L11" s="108" t="s">
        <v>868</v>
      </c>
      <c r="M11" s="109">
        <f>I11-K11</f>
        <v>4800</v>
      </c>
      <c r="N11" s="4">
        <f>IF(ISERROR(K11/I11),"",K11/I11)</f>
        <v>0.73770491803278693</v>
      </c>
      <c r="O11" s="105">
        <f>I11/E11</f>
        <v>538.23529411764707</v>
      </c>
      <c r="P11" s="105">
        <f>K11/E11</f>
        <v>397.05882352941177</v>
      </c>
      <c r="Q11" s="75">
        <v>3</v>
      </c>
      <c r="R11" s="75">
        <v>2</v>
      </c>
      <c r="S11" s="75" t="s">
        <v>869</v>
      </c>
      <c r="T11" s="5" t="s">
        <v>154</v>
      </c>
      <c r="U11" s="9"/>
      <c r="W11" s="104">
        <f t="shared" si="2"/>
        <v>111.4</v>
      </c>
      <c r="X11" s="106">
        <f t="shared" si="2"/>
        <v>34</v>
      </c>
      <c r="Y11" s="102">
        <f t="shared" si="3"/>
        <v>1</v>
      </c>
      <c r="Z11" s="109">
        <f t="shared" si="3"/>
        <v>18300</v>
      </c>
      <c r="AA11" s="109">
        <f>K11</f>
        <v>13500</v>
      </c>
      <c r="AB11" s="109">
        <f t="shared" si="4"/>
        <v>4800</v>
      </c>
      <c r="AC11" s="4">
        <f t="shared" si="4"/>
        <v>0.73770491803278693</v>
      </c>
      <c r="AD11" s="105">
        <f t="shared" si="4"/>
        <v>538.23529411764707</v>
      </c>
      <c r="AE11" s="75" t="str">
        <f>S11</f>
        <v>계</v>
      </c>
      <c r="AF11" s="75" t="str">
        <f>Q11&amp;"/"&amp;R11</f>
        <v>3/2</v>
      </c>
      <c r="AH11" s="20" t="str">
        <f t="shared" si="1"/>
        <v>남양에스티엑스칸</v>
      </c>
      <c r="AI11" s="106">
        <f t="shared" si="0"/>
        <v>34</v>
      </c>
      <c r="AJ11" s="75" t="str">
        <f>IF(AI11="","",$AJ$2)</f>
        <v>A-</v>
      </c>
      <c r="AK11" s="75" t="s">
        <v>14</v>
      </c>
      <c r="AL11" s="75" t="s">
        <v>870</v>
      </c>
      <c r="AM11" s="75" t="s">
        <v>871</v>
      </c>
      <c r="AN11" s="75" t="str">
        <f>IF(AI11="","",$AN$2)</f>
        <v>C</v>
      </c>
      <c r="AO11" s="75" t="str">
        <f>IF(N11="","",IF(N11&gt;=$AO$1/100,"O","X"))</f>
        <v>X</v>
      </c>
      <c r="AP11" s="75" t="str">
        <f>IF(I11="","",IF(I11&lt;=$AP$1,"O","X"))</f>
        <v>O</v>
      </c>
      <c r="AQ11" s="75" t="str">
        <f>IF(O11="","",IF(O11&lt;=$AQ$1,"O","X"))</f>
        <v>O</v>
      </c>
      <c r="AR11" s="75" t="str">
        <f>IF(M11="","",IF(M11&lt;=$AR$1,"O","X"))</f>
        <v>O</v>
      </c>
      <c r="AS11" s="75" t="s">
        <v>2</v>
      </c>
      <c r="AT11" s="75" t="str">
        <f>IF(OR(F11="",AI11=""),"",IF(AND((F11&lt;=85),(AI11&gt;=15)),"O","X"))</f>
        <v>O</v>
      </c>
      <c r="AU11" s="75" t="str">
        <f>IF(C11="","",IF(C11&gt;=$AU$1,"O","X"))</f>
        <v>O</v>
      </c>
      <c r="AV11" s="75" t="str">
        <f>IF(AO11="","",IF(AND(AO11="O",AP11="O",AR11="O",AT11="O",AU11="O"),"후보","X"))</f>
        <v>X</v>
      </c>
    </row>
  </sheetData>
  <mergeCells count="1">
    <mergeCell ref="AJ1:AN1"/>
  </mergeCells>
  <phoneticPr fontId="2" type="noConversion"/>
  <conditionalFormatting sqref="AV4:AV6">
    <cfRule type="expression" dxfId="3377" priority="101">
      <formula>AV4="X"</formula>
    </cfRule>
    <cfRule type="expression" dxfId="3376" priority="102">
      <formula>AV4="후보"</formula>
    </cfRule>
  </conditionalFormatting>
  <conditionalFormatting sqref="AC1:AC2 AC4:AC6 N4:N5">
    <cfRule type="cellIs" dxfId="3375" priority="98" operator="greaterThan">
      <formula>0.9</formula>
    </cfRule>
    <cfRule type="cellIs" dxfId="3374" priority="99" operator="greaterThan">
      <formula>0.85</formula>
    </cfRule>
  </conditionalFormatting>
  <conditionalFormatting sqref="N1:N2">
    <cfRule type="cellIs" dxfId="3373" priority="96" operator="greaterThan">
      <formula>0.9</formula>
    </cfRule>
    <cfRule type="cellIs" dxfId="3372" priority="97" operator="greaterThan">
      <formula>0.85</formula>
    </cfRule>
  </conditionalFormatting>
  <conditionalFormatting sqref="N6">
    <cfRule type="cellIs" dxfId="3371" priority="94" operator="greaterThan">
      <formula>0.9</formula>
    </cfRule>
    <cfRule type="cellIs" dxfId="3370" priority="95" operator="greaterThan">
      <formula>0.85</formula>
    </cfRule>
  </conditionalFormatting>
  <conditionalFormatting sqref="E6">
    <cfRule type="expression" dxfId="3369" priority="90">
      <formula>AND(IF(OR($Q6=1,$Q6=2),1,0),IF($X6&lt;=20,1,0))</formula>
    </cfRule>
    <cfRule type="expression" dxfId="3368" priority="91">
      <formula>AND(IF($Q6=2,1,0),IF($X6&lt;30,1,0))</formula>
    </cfRule>
    <cfRule type="expression" dxfId="3367" priority="92">
      <formula>AND(IF($Q6=3,1,0),IF($X6&lt;30,1,0))</formula>
    </cfRule>
    <cfRule type="expression" dxfId="3366" priority="93">
      <formula>AND(IF($Q6=3,1,IF($Q6=4,1,0)),IF($F6&lt;=85,1,0))</formula>
    </cfRule>
  </conditionalFormatting>
  <conditionalFormatting sqref="X6">
    <cfRule type="expression" dxfId="3365" priority="86">
      <formula>AND(IF(OR($Q6=1,$Q6=2),1,0),IF($X6&lt;=20,1,0))</formula>
    </cfRule>
    <cfRule type="expression" dxfId="3364" priority="87">
      <formula>AND(IF($Q6=2,1,0),IF($X6&lt;30,1,0))</formula>
    </cfRule>
    <cfRule type="expression" dxfId="3363" priority="88">
      <formula>AND(IF($Q6=3,1,0),IF($X6&lt;30,1,0))</formula>
    </cfRule>
    <cfRule type="expression" dxfId="3362" priority="89">
      <formula>AND(IF($Q6=3,1,IF($Q6=4,1,0)),IF($F6&lt;=85,1,0))</formula>
    </cfRule>
  </conditionalFormatting>
  <conditionalFormatting sqref="AI6">
    <cfRule type="expression" dxfId="3361" priority="82">
      <formula>AND(IF(OR($Q6=1,$Q6=2),1,0),IF($X6&lt;=20,1,0))</formula>
    </cfRule>
    <cfRule type="expression" dxfId="3360" priority="83">
      <formula>AND(IF($Q6=2,1,0),IF($X6&lt;30,1,0))</formula>
    </cfRule>
    <cfRule type="expression" dxfId="3359" priority="84">
      <formula>AND(IF($Q6=3,1,0),IF($X6&lt;30,1,0))</formula>
    </cfRule>
    <cfRule type="expression" dxfId="3358" priority="85">
      <formula>AND(IF($Q6=3,1,IF($Q6=4,1,0)),IF($F6&lt;=85,1,0))</formula>
    </cfRule>
  </conditionalFormatting>
  <conditionalFormatting sqref="AV7">
    <cfRule type="expression" dxfId="3357" priority="80">
      <formula>AV7="X"</formula>
    </cfRule>
    <cfRule type="expression" dxfId="3356" priority="81">
      <formula>AV7="후보"</formula>
    </cfRule>
  </conditionalFormatting>
  <conditionalFormatting sqref="AC7 N7">
    <cfRule type="cellIs" dxfId="3355" priority="77" operator="greaterThan">
      <formula>0.9</formula>
    </cfRule>
    <cfRule type="cellIs" dxfId="3354" priority="78" operator="greaterThan">
      <formula>0.85</formula>
    </cfRule>
  </conditionalFormatting>
  <conditionalFormatting sqref="AV8">
    <cfRule type="expression" dxfId="3353" priority="75">
      <formula>AV8="X"</formula>
    </cfRule>
    <cfRule type="expression" dxfId="3352" priority="76">
      <formula>AV8="후보"</formula>
    </cfRule>
  </conditionalFormatting>
  <conditionalFormatting sqref="AC8">
    <cfRule type="cellIs" dxfId="3351" priority="72" operator="greaterThan">
      <formula>0.9</formula>
    </cfRule>
    <cfRule type="cellIs" dxfId="3350" priority="73" operator="greaterThan">
      <formula>0.85</formula>
    </cfRule>
  </conditionalFormatting>
  <conditionalFormatting sqref="N8">
    <cfRule type="cellIs" dxfId="3349" priority="70" operator="greaterThan">
      <formula>0.9</formula>
    </cfRule>
    <cfRule type="cellIs" dxfId="3348" priority="71" operator="greaterThan">
      <formula>0.85</formula>
    </cfRule>
  </conditionalFormatting>
  <conditionalFormatting sqref="E8">
    <cfRule type="expression" dxfId="3347" priority="66">
      <formula>AND(IF(OR($Q8=1,$Q8=2),1,0),IF($X8&lt;=20,1,0))</formula>
    </cfRule>
    <cfRule type="expression" dxfId="3346" priority="67">
      <formula>AND(IF($Q8=2,1,0),IF($X8&lt;30,1,0))</formula>
    </cfRule>
    <cfRule type="expression" dxfId="3345" priority="68">
      <formula>AND(IF($Q8=3,1,0),IF($X8&lt;30,1,0))</formula>
    </cfRule>
    <cfRule type="expression" dxfId="3344" priority="69">
      <formula>AND(IF($Q8=3,1,IF($Q8=4,1,0)),IF($F8&lt;=85,1,0))</formula>
    </cfRule>
  </conditionalFormatting>
  <conditionalFormatting sqref="X8">
    <cfRule type="expression" dxfId="3343" priority="62">
      <formula>AND(IF(OR($Q8=1,$Q8=2),1,0),IF($X8&lt;=20,1,0))</formula>
    </cfRule>
    <cfRule type="expression" dxfId="3342" priority="63">
      <formula>AND(IF($Q8=2,1,0),IF($X8&lt;30,1,0))</formula>
    </cfRule>
    <cfRule type="expression" dxfId="3341" priority="64">
      <formula>AND(IF($Q8=3,1,0),IF($X8&lt;30,1,0))</formula>
    </cfRule>
    <cfRule type="expression" dxfId="3340" priority="65">
      <formula>AND(IF($Q8=3,1,IF($Q8=4,1,0)),IF($F8&lt;=85,1,0))</formula>
    </cfRule>
  </conditionalFormatting>
  <conditionalFormatting sqref="AI8">
    <cfRule type="expression" dxfId="3339" priority="58">
      <formula>AND(IF(OR($Q8=1,$Q8=2),1,0),IF($X8&lt;=20,1,0))</formula>
    </cfRule>
    <cfRule type="expression" dxfId="3338" priority="59">
      <formula>AND(IF($Q8=2,1,0),IF($X8&lt;30,1,0))</formula>
    </cfRule>
    <cfRule type="expression" dxfId="3337" priority="60">
      <formula>AND(IF($Q8=3,1,0),IF($X8&lt;30,1,0))</formula>
    </cfRule>
    <cfRule type="expression" dxfId="3336" priority="61">
      <formula>AND(IF($Q8=3,1,IF($Q8=4,1,0)),IF($F8&lt;=85,1,0))</formula>
    </cfRule>
  </conditionalFormatting>
  <conditionalFormatting sqref="AV9">
    <cfRule type="expression" dxfId="3335" priority="56">
      <formula>AV9="X"</formula>
    </cfRule>
    <cfRule type="expression" dxfId="3334" priority="57">
      <formula>AV9="후보"</formula>
    </cfRule>
  </conditionalFormatting>
  <conditionalFormatting sqref="AC9">
    <cfRule type="cellIs" dxfId="3333" priority="53" operator="greaterThan">
      <formula>0.9</formula>
    </cfRule>
    <cfRule type="cellIs" dxfId="3332" priority="54" operator="greaterThan">
      <formula>0.85</formula>
    </cfRule>
  </conditionalFormatting>
  <conditionalFormatting sqref="N9">
    <cfRule type="cellIs" dxfId="3331" priority="51" operator="greaterThan">
      <formula>0.9</formula>
    </cfRule>
    <cfRule type="cellIs" dxfId="3330" priority="52" operator="greaterThan">
      <formula>0.85</formula>
    </cfRule>
  </conditionalFormatting>
  <conditionalFormatting sqref="E9">
    <cfRule type="expression" dxfId="3329" priority="47">
      <formula>AND(IF(OR($Q9=1,$Q9=2),1,0),IF($X9&lt;=20,1,0))</formula>
    </cfRule>
    <cfRule type="expression" dxfId="3328" priority="48">
      <formula>AND(IF($Q9=2,1,0),IF($X9&lt;30,1,0))</formula>
    </cfRule>
    <cfRule type="expression" dxfId="3327" priority="49">
      <formula>AND(IF($Q9=3,1,0),IF($X9&lt;30,1,0))</formula>
    </cfRule>
    <cfRule type="expression" dxfId="3326" priority="50">
      <formula>AND(IF($Q9=3,1,IF($Q9=4,1,0)),IF($F9&lt;=85,1,0))</formula>
    </cfRule>
  </conditionalFormatting>
  <conditionalFormatting sqref="X9">
    <cfRule type="expression" dxfId="3325" priority="43">
      <formula>AND(IF(OR($Q9=1,$Q9=2),1,0),IF($X9&lt;=20,1,0))</formula>
    </cfRule>
    <cfRule type="expression" dxfId="3324" priority="44">
      <formula>AND(IF($Q9=2,1,0),IF($X9&lt;30,1,0))</formula>
    </cfRule>
    <cfRule type="expression" dxfId="3323" priority="45">
      <formula>AND(IF($Q9=3,1,0),IF($X9&lt;30,1,0))</formula>
    </cfRule>
    <cfRule type="expression" dxfId="3322" priority="46">
      <formula>AND(IF($Q9=3,1,IF($Q9=4,1,0)),IF($F9&lt;=85,1,0))</formula>
    </cfRule>
  </conditionalFormatting>
  <conditionalFormatting sqref="AI9">
    <cfRule type="expression" dxfId="3321" priority="39">
      <formula>AND(IF(OR($Q9=1,$Q9=2),1,0),IF($X9&lt;=20,1,0))</formula>
    </cfRule>
    <cfRule type="expression" dxfId="3320" priority="40">
      <formula>AND(IF($Q9=2,1,0),IF($X9&lt;30,1,0))</formula>
    </cfRule>
    <cfRule type="expression" dxfId="3319" priority="41">
      <formula>AND(IF($Q9=3,1,0),IF($X9&lt;30,1,0))</formula>
    </cfRule>
    <cfRule type="expression" dxfId="3318" priority="42">
      <formula>AND(IF($Q9=3,1,IF($Q9=4,1,0)),IF($F9&lt;=85,1,0))</formula>
    </cfRule>
  </conditionalFormatting>
  <conditionalFormatting sqref="AV10">
    <cfRule type="expression" dxfId="3317" priority="37">
      <formula>AV10="X"</formula>
    </cfRule>
    <cfRule type="expression" dxfId="3316" priority="38">
      <formula>AV10="후보"</formula>
    </cfRule>
  </conditionalFormatting>
  <conditionalFormatting sqref="AC10">
    <cfRule type="cellIs" dxfId="3315" priority="34" operator="greaterThan">
      <formula>0.9</formula>
    </cfRule>
    <cfRule type="cellIs" dxfId="3314" priority="35" operator="greaterThan">
      <formula>0.85</formula>
    </cfRule>
  </conditionalFormatting>
  <conditionalFormatting sqref="N10">
    <cfRule type="cellIs" dxfId="3313" priority="32" operator="greaterThan">
      <formula>0.9</formula>
    </cfRule>
    <cfRule type="cellIs" dxfId="3312" priority="33" operator="greaterThan">
      <formula>0.85</formula>
    </cfRule>
  </conditionalFormatting>
  <conditionalFormatting sqref="E10">
    <cfRule type="expression" dxfId="3311" priority="28">
      <formula>AND(IF(OR($Q10=1,$Q10=2),1,0),IF($X10&lt;=20,1,0))</formula>
    </cfRule>
    <cfRule type="expression" dxfId="3310" priority="29">
      <formula>AND(IF($Q10=2,1,0),IF($X10&lt;30,1,0))</formula>
    </cfRule>
    <cfRule type="expression" dxfId="3309" priority="30">
      <formula>AND(IF($Q10=3,1,0),IF($X10&lt;30,1,0))</formula>
    </cfRule>
    <cfRule type="expression" dxfId="3308" priority="31">
      <formula>AND(IF($Q10=3,1,IF($Q10=4,1,0)),IF($F10&lt;=85,1,0))</formula>
    </cfRule>
  </conditionalFormatting>
  <conditionalFormatting sqref="X10">
    <cfRule type="expression" dxfId="3307" priority="24">
      <formula>AND(IF(OR($Q10=1,$Q10=2),1,0),IF($X10&lt;=20,1,0))</formula>
    </cfRule>
    <cfRule type="expression" dxfId="3306" priority="25">
      <formula>AND(IF($Q10=2,1,0),IF($X10&lt;30,1,0))</formula>
    </cfRule>
    <cfRule type="expression" dxfId="3305" priority="26">
      <formula>AND(IF($Q10=3,1,0),IF($X10&lt;30,1,0))</formula>
    </cfRule>
    <cfRule type="expression" dxfId="3304" priority="27">
      <formula>AND(IF($Q10=3,1,IF($Q10=4,1,0)),IF($F10&lt;=85,1,0))</formula>
    </cfRule>
  </conditionalFormatting>
  <conditionalFormatting sqref="AI10">
    <cfRule type="expression" dxfId="3303" priority="20">
      <formula>AND(IF(OR($Q10=1,$Q10=2),1,0),IF($X10&lt;=20,1,0))</formula>
    </cfRule>
    <cfRule type="expression" dxfId="3302" priority="21">
      <formula>AND(IF($Q10=2,1,0),IF($X10&lt;30,1,0))</formula>
    </cfRule>
    <cfRule type="expression" dxfId="3301" priority="22">
      <formula>AND(IF($Q10=3,1,0),IF($X10&lt;30,1,0))</formula>
    </cfRule>
    <cfRule type="expression" dxfId="3300" priority="23">
      <formula>AND(IF($Q10=3,1,IF($Q10=4,1,0)),IF($F10&lt;=85,1,0))</formula>
    </cfRule>
  </conditionalFormatting>
  <conditionalFormatting sqref="AV11">
    <cfRule type="expression" dxfId="3299" priority="18">
      <formula>AV11="X"</formula>
    </cfRule>
    <cfRule type="expression" dxfId="3298" priority="19">
      <formula>AV11="후보"</formula>
    </cfRule>
  </conditionalFormatting>
  <conditionalFormatting sqref="AC11">
    <cfRule type="cellIs" dxfId="3297" priority="15" operator="greaterThan">
      <formula>0.9</formula>
    </cfRule>
    <cfRule type="cellIs" dxfId="3296" priority="16" operator="greaterThan">
      <formula>0.85</formula>
    </cfRule>
  </conditionalFormatting>
  <conditionalFormatting sqref="N11">
    <cfRule type="cellIs" dxfId="3295" priority="13" operator="greaterThan">
      <formula>0.9</formula>
    </cfRule>
    <cfRule type="cellIs" dxfId="3294" priority="14" operator="greaterThan">
      <formula>0.85</formula>
    </cfRule>
  </conditionalFormatting>
  <conditionalFormatting sqref="E11">
    <cfRule type="expression" dxfId="3293" priority="9">
      <formula>AND(IF(OR($Q11=1,$Q11=2),1,0),IF($X11&lt;=20,1,0))</formula>
    </cfRule>
    <cfRule type="expression" dxfId="3292" priority="10">
      <formula>AND(IF($Q11=2,1,0),IF($X11&lt;30,1,0))</formula>
    </cfRule>
    <cfRule type="expression" dxfId="3291" priority="11">
      <formula>AND(IF($Q11=3,1,0),IF($X11&lt;30,1,0))</formula>
    </cfRule>
    <cfRule type="expression" dxfId="3290" priority="12">
      <formula>AND(IF($Q11=3,1,IF($Q11=4,1,0)),IF($F11&lt;=85,1,0))</formula>
    </cfRule>
  </conditionalFormatting>
  <conditionalFormatting sqref="X11">
    <cfRule type="expression" dxfId="3289" priority="5">
      <formula>AND(IF(OR($Q11=1,$Q11=2),1,0),IF($X11&lt;=20,1,0))</formula>
    </cfRule>
    <cfRule type="expression" dxfId="3288" priority="6">
      <formula>AND(IF($Q11=2,1,0),IF($X11&lt;30,1,0))</formula>
    </cfRule>
    <cfRule type="expression" dxfId="3287" priority="7">
      <formula>AND(IF($Q11=3,1,0),IF($X11&lt;30,1,0))</formula>
    </cfRule>
    <cfRule type="expression" dxfId="3286" priority="8">
      <formula>AND(IF($Q11=3,1,IF($Q11=4,1,0)),IF($F11&lt;=85,1,0))</formula>
    </cfRule>
  </conditionalFormatting>
  <conditionalFormatting sqref="AI11">
    <cfRule type="expression" dxfId="3285" priority="1">
      <formula>AND(IF(OR($Q11=1,$Q11=2),1,0),IF($X11&lt;=20,1,0))</formula>
    </cfRule>
    <cfRule type="expression" dxfId="3284" priority="2">
      <formula>AND(IF($Q11=2,1,0),IF($X11&lt;30,1,0))</formula>
    </cfRule>
    <cfRule type="expression" dxfId="3283" priority="3">
      <formula>AND(IF($Q11=3,1,0),IF($X11&lt;30,1,0))</formula>
    </cfRule>
    <cfRule type="expression" dxfId="3282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317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두동 청안해오름('04.03.,274^)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324</v>
      </c>
      <c r="B6" s="10" t="s">
        <v>892</v>
      </c>
      <c r="C6" s="107">
        <v>274</v>
      </c>
      <c r="D6" s="104">
        <v>113</v>
      </c>
      <c r="E6" s="106">
        <v>34</v>
      </c>
      <c r="F6" s="104">
        <v>84.9</v>
      </c>
      <c r="G6" s="17">
        <v>26</v>
      </c>
      <c r="H6" s="107">
        <v>18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869</v>
      </c>
      <c r="T6" s="5">
        <v>112</v>
      </c>
      <c r="U6" s="9"/>
      <c r="W6" s="104">
        <f>D6</f>
        <v>113</v>
      </c>
      <c r="X6" s="106">
        <f>E6</f>
        <v>34</v>
      </c>
      <c r="Y6" s="102">
        <f>H6</f>
        <v>18</v>
      </c>
      <c r="Z6" s="109">
        <f>I6</f>
        <v>0</v>
      </c>
      <c r="AA6" s="109">
        <f>K6</f>
        <v>0</v>
      </c>
      <c r="AB6" s="109">
        <f>M6</f>
        <v>0</v>
      </c>
      <c r="AC6" s="4" t="str">
        <f>N6</f>
        <v/>
      </c>
      <c r="AD6" s="105">
        <f>O6</f>
        <v>0</v>
      </c>
      <c r="AE6" s="75" t="str">
        <f>S6</f>
        <v>계</v>
      </c>
      <c r="AF6" s="75" t="str">
        <f>Q6&amp;"/"&amp;R6</f>
        <v>3/2</v>
      </c>
      <c r="AH6" s="20" t="str">
        <f>IF(A6="","",A6)</f>
        <v>청안해오름</v>
      </c>
      <c r="AI6" s="106">
        <f>IF(E6="","",E6)</f>
        <v>34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X</v>
      </c>
      <c r="AV6" s="75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3281" priority="20">
      <formula>AV4="X"</formula>
    </cfRule>
    <cfRule type="expression" dxfId="3280" priority="21">
      <formula>AV4="후보"</formula>
    </cfRule>
  </conditionalFormatting>
  <conditionalFormatting sqref="AC1:AC2 AC4:AC6 N4:N5">
    <cfRule type="cellIs" dxfId="3279" priority="17" operator="greaterThan">
      <formula>0.9</formula>
    </cfRule>
    <cfRule type="cellIs" dxfId="3278" priority="18" operator="greaterThan">
      <formula>0.85</formula>
    </cfRule>
  </conditionalFormatting>
  <conditionalFormatting sqref="N1:N2">
    <cfRule type="cellIs" dxfId="3277" priority="15" operator="greaterThan">
      <formula>0.9</formula>
    </cfRule>
    <cfRule type="cellIs" dxfId="3276" priority="16" operator="greaterThan">
      <formula>0.85</formula>
    </cfRule>
  </conditionalFormatting>
  <conditionalFormatting sqref="N6">
    <cfRule type="cellIs" dxfId="3275" priority="13" operator="greaterThan">
      <formula>0.9</formula>
    </cfRule>
    <cfRule type="cellIs" dxfId="3274" priority="14" operator="greaterThan">
      <formula>0.85</formula>
    </cfRule>
  </conditionalFormatting>
  <conditionalFormatting sqref="E6">
    <cfRule type="expression" dxfId="3273" priority="9">
      <formula>AND(IF(OR($Q6=1,$Q6=2),1,0),IF($X6&lt;=20,1,0))</formula>
    </cfRule>
    <cfRule type="expression" dxfId="3272" priority="10">
      <formula>AND(IF($Q6=2,1,0),IF($X6&lt;30,1,0))</formula>
    </cfRule>
    <cfRule type="expression" dxfId="3271" priority="11">
      <formula>AND(IF($Q6=3,1,0),IF($X6&lt;30,1,0))</formula>
    </cfRule>
    <cfRule type="expression" dxfId="3270" priority="12">
      <formula>AND(IF($Q6=3,1,IF($Q6=4,1,0)),IF($F6&lt;=85,1,0))</formula>
    </cfRule>
  </conditionalFormatting>
  <conditionalFormatting sqref="X6">
    <cfRule type="expression" dxfId="3269" priority="5">
      <formula>AND(IF(OR($Q6=1,$Q6=2),1,0),IF($X6&lt;=20,1,0))</formula>
    </cfRule>
    <cfRule type="expression" dxfId="3268" priority="6">
      <formula>AND(IF($Q6=2,1,0),IF($X6&lt;30,1,0))</formula>
    </cfRule>
    <cfRule type="expression" dxfId="3267" priority="7">
      <formula>AND(IF($Q6=3,1,0),IF($X6&lt;30,1,0))</formula>
    </cfRule>
    <cfRule type="expression" dxfId="3266" priority="8">
      <formula>AND(IF($Q6=3,1,IF($Q6=4,1,0)),IF($F6&lt;=85,1,0))</formula>
    </cfRule>
  </conditionalFormatting>
  <conditionalFormatting sqref="AI6">
    <cfRule type="expression" dxfId="3265" priority="1">
      <formula>AND(IF(OR($Q6=1,$Q6=2),1,0),IF($X6&lt;=20,1,0))</formula>
    </cfRule>
    <cfRule type="expression" dxfId="3264" priority="2">
      <formula>AND(IF($Q6=2,1,0),IF($X6&lt;30,1,0))</formula>
    </cfRule>
    <cfRule type="expression" dxfId="3263" priority="3">
      <formula>AND(IF($Q6=3,1,0),IF($X6&lt;30,1,0))</formula>
    </cfRule>
    <cfRule type="expression" dxfId="3262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마천동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334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마천동 진해신항만경남아너스빌('08.08.,468^)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0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330</v>
      </c>
      <c r="B6" s="10" t="s">
        <v>893</v>
      </c>
      <c r="C6" s="107">
        <v>468</v>
      </c>
      <c r="D6" s="104">
        <v>84.3</v>
      </c>
      <c r="E6" s="106">
        <v>25</v>
      </c>
      <c r="F6" s="104">
        <v>59.7</v>
      </c>
      <c r="G6" s="17">
        <v>18</v>
      </c>
      <c r="H6" s="107">
        <v>180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869</v>
      </c>
      <c r="T6" s="5">
        <v>84</v>
      </c>
      <c r="U6" s="9"/>
      <c r="W6" s="104">
        <f>D6</f>
        <v>84.3</v>
      </c>
      <c r="X6" s="106">
        <f>E6</f>
        <v>25</v>
      </c>
      <c r="Y6" s="102">
        <f>H6</f>
        <v>180</v>
      </c>
      <c r="Z6" s="109">
        <f>I6</f>
        <v>0</v>
      </c>
      <c r="AA6" s="109">
        <f>K6</f>
        <v>0</v>
      </c>
      <c r="AB6" s="109">
        <f t="shared" ref="AB6:AD7" si="2">M6</f>
        <v>0</v>
      </c>
      <c r="AC6" s="4" t="str">
        <f t="shared" si="2"/>
        <v/>
      </c>
      <c r="AD6" s="105">
        <f t="shared" si="2"/>
        <v>0</v>
      </c>
      <c r="AE6" s="75" t="str">
        <f>S6</f>
        <v>계</v>
      </c>
      <c r="AF6" s="75" t="str">
        <f>Q6&amp;"/"&amp;R6</f>
        <v>3/2</v>
      </c>
      <c r="AH6" s="20" t="str">
        <f t="shared" si="1"/>
        <v>진해신항만경남아너스빌</v>
      </c>
      <c r="AI6" s="106">
        <f t="shared" si="0"/>
        <v>25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  <row r="7" spans="1:48" x14ac:dyDescent="0.3">
      <c r="A7" s="9" t="s">
        <v>330</v>
      </c>
      <c r="B7" s="10" t="s">
        <v>893</v>
      </c>
      <c r="C7" s="107">
        <v>468</v>
      </c>
      <c r="D7" s="104">
        <v>114.4</v>
      </c>
      <c r="E7" s="106">
        <v>35</v>
      </c>
      <c r="F7" s="104">
        <v>84.8</v>
      </c>
      <c r="G7" s="17">
        <v>26</v>
      </c>
      <c r="H7" s="107">
        <v>288</v>
      </c>
      <c r="I7" s="108">
        <v>19500</v>
      </c>
      <c r="J7" s="108" t="s">
        <v>868</v>
      </c>
      <c r="K7" s="108"/>
      <c r="L7" s="108"/>
      <c r="M7" s="109">
        <f>I7-K7</f>
        <v>19500</v>
      </c>
      <c r="N7" s="4">
        <f>IF(ISERROR(K7/I7),"",K7/I7)</f>
        <v>0</v>
      </c>
      <c r="O7" s="105">
        <f>I7/E7</f>
        <v>557.14285714285711</v>
      </c>
      <c r="P7" s="105">
        <f>K7/E7</f>
        <v>0</v>
      </c>
      <c r="Q7" s="75">
        <v>3</v>
      </c>
      <c r="R7" s="75">
        <v>2</v>
      </c>
      <c r="S7" s="75" t="s">
        <v>869</v>
      </c>
      <c r="T7" s="5">
        <v>114</v>
      </c>
      <c r="U7" s="9"/>
      <c r="W7" s="104">
        <f>D7</f>
        <v>114.4</v>
      </c>
      <c r="X7" s="106">
        <f>E7</f>
        <v>35</v>
      </c>
      <c r="Y7" s="102">
        <f>H7</f>
        <v>288</v>
      </c>
      <c r="Z7" s="109">
        <f>I7</f>
        <v>19500</v>
      </c>
      <c r="AA7" s="109">
        <f>K7</f>
        <v>0</v>
      </c>
      <c r="AB7" s="109">
        <f t="shared" si="2"/>
        <v>19500</v>
      </c>
      <c r="AC7" s="4">
        <f t="shared" si="2"/>
        <v>0</v>
      </c>
      <c r="AD7" s="105">
        <f t="shared" si="2"/>
        <v>557.14285714285711</v>
      </c>
      <c r="AE7" s="75" t="str">
        <f>S7</f>
        <v>계</v>
      </c>
      <c r="AF7" s="75" t="str">
        <f>Q7&amp;"/"&amp;R7</f>
        <v>3/2</v>
      </c>
      <c r="AH7" s="20" t="str">
        <f t="shared" si="1"/>
        <v>진해신항만경남아너스빌</v>
      </c>
      <c r="AI7" s="106">
        <f t="shared" si="0"/>
        <v>35</v>
      </c>
      <c r="AJ7" s="75" t="str">
        <f>IF(AI7="","",$AJ$2)</f>
        <v>A-</v>
      </c>
      <c r="AK7" s="75" t="s">
        <v>14</v>
      </c>
      <c r="AL7" s="75" t="s">
        <v>870</v>
      </c>
      <c r="AM7" s="75" t="s">
        <v>871</v>
      </c>
      <c r="AN7" s="75" t="str">
        <f>IF(AI7="","",$AN$2)</f>
        <v>C</v>
      </c>
      <c r="AO7" s="75" t="str">
        <f>IF(N7="","",IF(N7&gt;=$AO$1/100,"O","X"))</f>
        <v>X</v>
      </c>
      <c r="AP7" s="75" t="str">
        <f>IF(I7="","",IF(I7&lt;=$AP$1,"O","X"))</f>
        <v>O</v>
      </c>
      <c r="AQ7" s="75" t="str">
        <f>IF(O7="","",IF(O7&lt;=$AQ$1,"O","X"))</f>
        <v>O</v>
      </c>
      <c r="AR7" s="75" t="str">
        <f>IF(M7="","",IF(M7&lt;=$AR$1,"O","X"))</f>
        <v>X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>X</v>
      </c>
    </row>
    <row r="8" spans="1:48" x14ac:dyDescent="0.3">
      <c r="A8" s="9"/>
      <c r="B8" s="75"/>
      <c r="C8" s="6"/>
      <c r="D8" s="9"/>
      <c r="E8" s="14"/>
      <c r="F8" s="104"/>
      <c r="G8" s="9"/>
      <c r="H8" s="9"/>
      <c r="I8" s="9"/>
      <c r="J8" s="9"/>
      <c r="K8" s="9"/>
      <c r="L8" s="9"/>
      <c r="M8" s="9"/>
      <c r="N8" s="9"/>
      <c r="O8" s="105"/>
      <c r="P8" s="105"/>
      <c r="Q8" s="106"/>
      <c r="R8" s="106"/>
      <c r="S8" s="9"/>
      <c r="T8" s="48"/>
      <c r="U8" s="9"/>
      <c r="W8" s="70" t="str">
        <f>$A$4&amp;" "&amp;A9&amp;"("&amp;B9&amp;","&amp;C9&amp;"^)"</f>
        <v>마천동 남명플럼빌리지('04.03.,498^)</v>
      </c>
      <c r="X8" s="71"/>
      <c r="Y8" s="71"/>
      <c r="Z8" s="71"/>
      <c r="AA8" s="71"/>
      <c r="AB8" s="71"/>
      <c r="AC8" s="71"/>
      <c r="AD8" s="71"/>
      <c r="AE8" s="71"/>
      <c r="AF8" s="72"/>
      <c r="AH8" s="20" t="str">
        <f t="shared" si="1"/>
        <v/>
      </c>
      <c r="AI8" s="103" t="str">
        <f t="shared" si="0"/>
        <v/>
      </c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</row>
    <row r="9" spans="1:48" x14ac:dyDescent="0.3">
      <c r="A9" s="9" t="s">
        <v>342</v>
      </c>
      <c r="B9" s="10" t="s">
        <v>892</v>
      </c>
      <c r="C9" s="107">
        <v>498</v>
      </c>
      <c r="D9" s="104">
        <v>79.400000000000006</v>
      </c>
      <c r="E9" s="106">
        <v>24</v>
      </c>
      <c r="F9" s="104">
        <v>59.9</v>
      </c>
      <c r="G9" s="17">
        <v>18</v>
      </c>
      <c r="H9" s="107">
        <v>390</v>
      </c>
      <c r="I9" s="108">
        <v>10500</v>
      </c>
      <c r="J9" s="108" t="s">
        <v>878</v>
      </c>
      <c r="K9" s="108"/>
      <c r="L9" s="108"/>
      <c r="M9" s="109">
        <f>I9-K9</f>
        <v>10500</v>
      </c>
      <c r="N9" s="4">
        <f>IF(ISERROR(K9/I9),"",K9/I9)</f>
        <v>0</v>
      </c>
      <c r="O9" s="105">
        <f>I9/E9</f>
        <v>437.5</v>
      </c>
      <c r="P9" s="105">
        <f>K9/E9</f>
        <v>0</v>
      </c>
      <c r="Q9" s="75">
        <v>3</v>
      </c>
      <c r="R9" s="75">
        <v>1</v>
      </c>
      <c r="S9" s="75" t="s">
        <v>869</v>
      </c>
      <c r="T9" s="5">
        <v>79</v>
      </c>
      <c r="U9" s="9"/>
      <c r="W9" s="104">
        <f>D9</f>
        <v>79.400000000000006</v>
      </c>
      <c r="X9" s="106">
        <f>E9</f>
        <v>24</v>
      </c>
      <c r="Y9" s="102">
        <f>H9</f>
        <v>390</v>
      </c>
      <c r="Z9" s="109">
        <f>I9</f>
        <v>10500</v>
      </c>
      <c r="AA9" s="109">
        <f>K9</f>
        <v>0</v>
      </c>
      <c r="AB9" s="109">
        <f t="shared" ref="AB9:AD10" si="3">M9</f>
        <v>10500</v>
      </c>
      <c r="AC9" s="4">
        <f t="shared" si="3"/>
        <v>0</v>
      </c>
      <c r="AD9" s="105">
        <f t="shared" si="3"/>
        <v>437.5</v>
      </c>
      <c r="AE9" s="75" t="str">
        <f>S9</f>
        <v>계</v>
      </c>
      <c r="AF9" s="75" t="str">
        <f>Q9&amp;"/"&amp;R9</f>
        <v>3/1</v>
      </c>
      <c r="AH9" s="20" t="str">
        <f t="shared" si="1"/>
        <v>남명플럼빌리지</v>
      </c>
      <c r="AI9" s="106">
        <f t="shared" si="0"/>
        <v>24</v>
      </c>
      <c r="AJ9" s="75" t="str">
        <f>IF(AI9="","",$AJ$2)</f>
        <v>A-</v>
      </c>
      <c r="AK9" s="75" t="s">
        <v>14</v>
      </c>
      <c r="AL9" s="75" t="s">
        <v>870</v>
      </c>
      <c r="AM9" s="75" t="s">
        <v>871</v>
      </c>
      <c r="AN9" s="75" t="str">
        <f>IF(AI9="","",$AN$2)</f>
        <v>C</v>
      </c>
      <c r="AO9" s="75" t="str">
        <f>IF(N9="","",IF(N9&gt;=$AO$1/100,"O","X"))</f>
        <v>X</v>
      </c>
      <c r="AP9" s="75" t="str">
        <f>IF(I9="","",IF(I9&lt;=$AP$1,"O","X"))</f>
        <v>O</v>
      </c>
      <c r="AQ9" s="75" t="str">
        <f>IF(O9="","",IF(O9&lt;=$AQ$1,"O","X"))</f>
        <v>O</v>
      </c>
      <c r="AR9" s="75" t="str">
        <f>IF(M9="","",IF(M9&lt;=$AR$1,"O","X"))</f>
        <v>X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>X</v>
      </c>
    </row>
    <row r="10" spans="1:48" x14ac:dyDescent="0.3">
      <c r="A10" s="9" t="s">
        <v>342</v>
      </c>
      <c r="B10" s="10" t="s">
        <v>892</v>
      </c>
      <c r="C10" s="107">
        <v>498</v>
      </c>
      <c r="D10" s="104">
        <v>106.6</v>
      </c>
      <c r="E10" s="106">
        <v>32</v>
      </c>
      <c r="F10" s="104">
        <v>85</v>
      </c>
      <c r="G10" s="17">
        <v>26</v>
      </c>
      <c r="H10" s="107">
        <v>108</v>
      </c>
      <c r="I10" s="108"/>
      <c r="J10" s="108"/>
      <c r="K10" s="108"/>
      <c r="L10" s="108"/>
      <c r="M10" s="109">
        <f>I10-K10</f>
        <v>0</v>
      </c>
      <c r="N10" s="4" t="str">
        <f>IF(ISERROR(K10/I10),"",K10/I10)</f>
        <v/>
      </c>
      <c r="O10" s="105">
        <f>I10/E10</f>
        <v>0</v>
      </c>
      <c r="P10" s="105">
        <f>K10/E10</f>
        <v>0</v>
      </c>
      <c r="Q10" s="75">
        <v>3</v>
      </c>
      <c r="R10" s="75">
        <v>2</v>
      </c>
      <c r="S10" s="75" t="s">
        <v>869</v>
      </c>
      <c r="T10" s="5">
        <v>106</v>
      </c>
      <c r="U10" s="9"/>
      <c r="W10" s="104">
        <f>D10</f>
        <v>106.6</v>
      </c>
      <c r="X10" s="106">
        <f>E10</f>
        <v>32</v>
      </c>
      <c r="Y10" s="102">
        <f>H10</f>
        <v>108</v>
      </c>
      <c r="Z10" s="109">
        <f>I10</f>
        <v>0</v>
      </c>
      <c r="AA10" s="109">
        <f>K10</f>
        <v>0</v>
      </c>
      <c r="AB10" s="109">
        <f t="shared" si="3"/>
        <v>0</v>
      </c>
      <c r="AC10" s="4" t="str">
        <f t="shared" si="3"/>
        <v/>
      </c>
      <c r="AD10" s="105">
        <f t="shared" si="3"/>
        <v>0</v>
      </c>
      <c r="AE10" s="75" t="str">
        <f>S10</f>
        <v>계</v>
      </c>
      <c r="AF10" s="75" t="str">
        <f>Q10&amp;"/"&amp;R10</f>
        <v>3/2</v>
      </c>
      <c r="AH10" s="20" t="str">
        <f t="shared" si="1"/>
        <v>남명플럼빌리지</v>
      </c>
      <c r="AI10" s="106">
        <f t="shared" si="0"/>
        <v>32</v>
      </c>
      <c r="AJ10" s="75" t="str">
        <f>IF(AI10="","",$AJ$2)</f>
        <v>A-</v>
      </c>
      <c r="AK10" s="75" t="s">
        <v>14</v>
      </c>
      <c r="AL10" s="75" t="s">
        <v>870</v>
      </c>
      <c r="AM10" s="75" t="s">
        <v>871</v>
      </c>
      <c r="AN10" s="75" t="str">
        <f>IF(AI10="","",$AN$2)</f>
        <v>C</v>
      </c>
      <c r="AO10" s="75" t="str">
        <f>IF(N10="","",IF(N10&gt;=$AO$1/100,"O","X"))</f>
        <v/>
      </c>
      <c r="AP10" s="75" t="str">
        <f>IF(I10="","",IF(I10&lt;=$AP$1,"O","X"))</f>
        <v/>
      </c>
      <c r="AQ10" s="75" t="str">
        <f>IF(O10="","",IF(O10&lt;=$AQ$1,"O","X"))</f>
        <v>O</v>
      </c>
      <c r="AR10" s="75" t="str">
        <f>IF(M10="","",IF(M10&lt;=$AR$1,"O","X"))</f>
        <v>O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/>
      </c>
    </row>
  </sheetData>
  <mergeCells count="1">
    <mergeCell ref="AJ1:AN1"/>
  </mergeCells>
  <phoneticPr fontId="2" type="noConversion"/>
  <conditionalFormatting sqref="AV4:AV6">
    <cfRule type="expression" dxfId="3261" priority="82">
      <formula>AV4="X"</formula>
    </cfRule>
    <cfRule type="expression" dxfId="3260" priority="83">
      <formula>AV4="후보"</formula>
    </cfRule>
  </conditionalFormatting>
  <conditionalFormatting sqref="AC1:AC2 AC4:AC6 N4:N5">
    <cfRule type="cellIs" dxfId="3259" priority="79" operator="greaterThan">
      <formula>0.9</formula>
    </cfRule>
    <cfRule type="cellIs" dxfId="3258" priority="80" operator="greaterThan">
      <formula>0.85</formula>
    </cfRule>
  </conditionalFormatting>
  <conditionalFormatting sqref="N1:N2">
    <cfRule type="cellIs" dxfId="3257" priority="77" operator="greaterThan">
      <formula>0.9</formula>
    </cfRule>
    <cfRule type="cellIs" dxfId="3256" priority="78" operator="greaterThan">
      <formula>0.85</formula>
    </cfRule>
  </conditionalFormatting>
  <conditionalFormatting sqref="N6">
    <cfRule type="cellIs" dxfId="3255" priority="75" operator="greaterThan">
      <formula>0.9</formula>
    </cfRule>
    <cfRule type="cellIs" dxfId="3254" priority="76" operator="greaterThan">
      <formula>0.85</formula>
    </cfRule>
  </conditionalFormatting>
  <conditionalFormatting sqref="E6">
    <cfRule type="expression" dxfId="3253" priority="71">
      <formula>AND(IF(OR($Q6=1,$Q6=2),1,0),IF($X6&lt;=20,1,0))</formula>
    </cfRule>
    <cfRule type="expression" dxfId="3252" priority="72">
      <formula>AND(IF($Q6=2,1,0),IF($X6&lt;30,1,0))</formula>
    </cfRule>
    <cfRule type="expression" dxfId="3251" priority="73">
      <formula>AND(IF($Q6=3,1,0),IF($X6&lt;30,1,0))</formula>
    </cfRule>
    <cfRule type="expression" dxfId="3250" priority="74">
      <formula>AND(IF($Q6=3,1,IF($Q6=4,1,0)),IF($F6&lt;=85,1,0))</formula>
    </cfRule>
  </conditionalFormatting>
  <conditionalFormatting sqref="X6">
    <cfRule type="expression" dxfId="3249" priority="67">
      <formula>AND(IF(OR($Q6=1,$Q6=2),1,0),IF($X6&lt;=20,1,0))</formula>
    </cfRule>
    <cfRule type="expression" dxfId="3248" priority="68">
      <formula>AND(IF($Q6=2,1,0),IF($X6&lt;30,1,0))</formula>
    </cfRule>
    <cfRule type="expression" dxfId="3247" priority="69">
      <formula>AND(IF($Q6=3,1,0),IF($X6&lt;30,1,0))</formula>
    </cfRule>
    <cfRule type="expression" dxfId="3246" priority="70">
      <formula>AND(IF($Q6=3,1,IF($Q6=4,1,0)),IF($F6&lt;=85,1,0))</formula>
    </cfRule>
  </conditionalFormatting>
  <conditionalFormatting sqref="AI6">
    <cfRule type="expression" dxfId="3245" priority="63">
      <formula>AND(IF(OR($Q6=1,$Q6=2),1,0),IF($X6&lt;=20,1,0))</formula>
    </cfRule>
    <cfRule type="expression" dxfId="3244" priority="64">
      <formula>AND(IF($Q6=2,1,0),IF($X6&lt;30,1,0))</formula>
    </cfRule>
    <cfRule type="expression" dxfId="3243" priority="65">
      <formula>AND(IF($Q6=3,1,0),IF($X6&lt;30,1,0))</formula>
    </cfRule>
    <cfRule type="expression" dxfId="3242" priority="66">
      <formula>AND(IF($Q6=3,1,IF($Q6=4,1,0)),IF($F6&lt;=85,1,0))</formula>
    </cfRule>
  </conditionalFormatting>
  <conditionalFormatting sqref="AV7">
    <cfRule type="expression" dxfId="3241" priority="61">
      <formula>AV7="X"</formula>
    </cfRule>
    <cfRule type="expression" dxfId="3240" priority="62">
      <formula>AV7="후보"</formula>
    </cfRule>
  </conditionalFormatting>
  <conditionalFormatting sqref="AC7">
    <cfRule type="cellIs" dxfId="3239" priority="58" operator="greaterThan">
      <formula>0.9</formula>
    </cfRule>
    <cfRule type="cellIs" dxfId="3238" priority="59" operator="greaterThan">
      <formula>0.85</formula>
    </cfRule>
  </conditionalFormatting>
  <conditionalFormatting sqref="N7">
    <cfRule type="cellIs" dxfId="3237" priority="56" operator="greaterThan">
      <formula>0.9</formula>
    </cfRule>
    <cfRule type="cellIs" dxfId="3236" priority="57" operator="greaterThan">
      <formula>0.85</formula>
    </cfRule>
  </conditionalFormatting>
  <conditionalFormatting sqref="E7">
    <cfRule type="expression" dxfId="3235" priority="52">
      <formula>AND(IF(OR($Q7=1,$Q7=2),1,0),IF($X7&lt;=20,1,0))</formula>
    </cfRule>
    <cfRule type="expression" dxfId="3234" priority="53">
      <formula>AND(IF($Q7=2,1,0),IF($X7&lt;30,1,0))</formula>
    </cfRule>
    <cfRule type="expression" dxfId="3233" priority="54">
      <formula>AND(IF($Q7=3,1,0),IF($X7&lt;30,1,0))</formula>
    </cfRule>
    <cfRule type="expression" dxfId="3232" priority="55">
      <formula>AND(IF($Q7=3,1,IF($Q7=4,1,0)),IF($F7&lt;=85,1,0))</formula>
    </cfRule>
  </conditionalFormatting>
  <conditionalFormatting sqref="X7">
    <cfRule type="expression" dxfId="3231" priority="48">
      <formula>AND(IF(OR($Q7=1,$Q7=2),1,0),IF($X7&lt;=20,1,0))</formula>
    </cfRule>
    <cfRule type="expression" dxfId="3230" priority="49">
      <formula>AND(IF($Q7=2,1,0),IF($X7&lt;30,1,0))</formula>
    </cfRule>
    <cfRule type="expression" dxfId="3229" priority="50">
      <formula>AND(IF($Q7=3,1,0),IF($X7&lt;30,1,0))</formula>
    </cfRule>
    <cfRule type="expression" dxfId="3228" priority="51">
      <formula>AND(IF($Q7=3,1,IF($Q7=4,1,0)),IF($F7&lt;=85,1,0))</formula>
    </cfRule>
  </conditionalFormatting>
  <conditionalFormatting sqref="AI7">
    <cfRule type="expression" dxfId="3227" priority="44">
      <formula>AND(IF(OR($Q7=1,$Q7=2),1,0),IF($X7&lt;=20,1,0))</formula>
    </cfRule>
    <cfRule type="expression" dxfId="3226" priority="45">
      <formula>AND(IF($Q7=2,1,0),IF($X7&lt;30,1,0))</formula>
    </cfRule>
    <cfRule type="expression" dxfId="3225" priority="46">
      <formula>AND(IF($Q7=3,1,0),IF($X7&lt;30,1,0))</formula>
    </cfRule>
    <cfRule type="expression" dxfId="3224" priority="47">
      <formula>AND(IF($Q7=3,1,IF($Q7=4,1,0)),IF($F7&lt;=85,1,0))</formula>
    </cfRule>
  </conditionalFormatting>
  <conditionalFormatting sqref="AV8">
    <cfRule type="expression" dxfId="3223" priority="42">
      <formula>AV8="X"</formula>
    </cfRule>
    <cfRule type="expression" dxfId="3222" priority="43">
      <formula>AV8="후보"</formula>
    </cfRule>
  </conditionalFormatting>
  <conditionalFormatting sqref="AC8 N8">
    <cfRule type="cellIs" dxfId="3221" priority="39" operator="greaterThan">
      <formula>0.9</formula>
    </cfRule>
    <cfRule type="cellIs" dxfId="3220" priority="40" operator="greaterThan">
      <formula>0.85</formula>
    </cfRule>
  </conditionalFormatting>
  <conditionalFormatting sqref="AV9">
    <cfRule type="expression" dxfId="3219" priority="37">
      <formula>AV9="X"</formula>
    </cfRule>
    <cfRule type="expression" dxfId="3218" priority="38">
      <formula>AV9="후보"</formula>
    </cfRule>
  </conditionalFormatting>
  <conditionalFormatting sqref="AC9">
    <cfRule type="cellIs" dxfId="3217" priority="34" operator="greaterThan">
      <formula>0.9</formula>
    </cfRule>
    <cfRule type="cellIs" dxfId="3216" priority="35" operator="greaterThan">
      <formula>0.85</formula>
    </cfRule>
  </conditionalFormatting>
  <conditionalFormatting sqref="N9">
    <cfRule type="cellIs" dxfId="3215" priority="32" operator="greaterThan">
      <formula>0.9</formula>
    </cfRule>
    <cfRule type="cellIs" dxfId="3214" priority="33" operator="greaterThan">
      <formula>0.85</formula>
    </cfRule>
  </conditionalFormatting>
  <conditionalFormatting sqref="E9">
    <cfRule type="expression" dxfId="3213" priority="28">
      <formula>AND(IF(OR($Q9=1,$Q9=2),1,0),IF($X9&lt;=20,1,0))</formula>
    </cfRule>
    <cfRule type="expression" dxfId="3212" priority="29">
      <formula>AND(IF($Q9=2,1,0),IF($X9&lt;30,1,0))</formula>
    </cfRule>
    <cfRule type="expression" dxfId="3211" priority="30">
      <formula>AND(IF($Q9=3,1,0),IF($X9&lt;30,1,0))</formula>
    </cfRule>
    <cfRule type="expression" dxfId="3210" priority="31">
      <formula>AND(IF($Q9=3,1,IF($Q9=4,1,0)),IF($F9&lt;=85,1,0))</formula>
    </cfRule>
  </conditionalFormatting>
  <conditionalFormatting sqref="X9">
    <cfRule type="expression" dxfId="3209" priority="24">
      <formula>AND(IF(OR($Q9=1,$Q9=2),1,0),IF($X9&lt;=20,1,0))</formula>
    </cfRule>
    <cfRule type="expression" dxfId="3208" priority="25">
      <formula>AND(IF($Q9=2,1,0),IF($X9&lt;30,1,0))</formula>
    </cfRule>
    <cfRule type="expression" dxfId="3207" priority="26">
      <formula>AND(IF($Q9=3,1,0),IF($X9&lt;30,1,0))</formula>
    </cfRule>
    <cfRule type="expression" dxfId="3206" priority="27">
      <formula>AND(IF($Q9=3,1,IF($Q9=4,1,0)),IF($F9&lt;=85,1,0))</formula>
    </cfRule>
  </conditionalFormatting>
  <conditionalFormatting sqref="AI9">
    <cfRule type="expression" dxfId="3205" priority="20">
      <formula>AND(IF(OR($Q9=1,$Q9=2),1,0),IF($X9&lt;=20,1,0))</formula>
    </cfRule>
    <cfRule type="expression" dxfId="3204" priority="21">
      <formula>AND(IF($Q9=2,1,0),IF($X9&lt;30,1,0))</formula>
    </cfRule>
    <cfRule type="expression" dxfId="3203" priority="22">
      <formula>AND(IF($Q9=3,1,0),IF($X9&lt;30,1,0))</formula>
    </cfRule>
    <cfRule type="expression" dxfId="3202" priority="23">
      <formula>AND(IF($Q9=3,1,IF($Q9=4,1,0)),IF($F9&lt;=85,1,0))</formula>
    </cfRule>
  </conditionalFormatting>
  <conditionalFormatting sqref="AV10">
    <cfRule type="expression" dxfId="3201" priority="18">
      <formula>AV10="X"</formula>
    </cfRule>
    <cfRule type="expression" dxfId="3200" priority="19">
      <formula>AV10="후보"</formula>
    </cfRule>
  </conditionalFormatting>
  <conditionalFormatting sqref="AC10">
    <cfRule type="cellIs" dxfId="3199" priority="15" operator="greaterThan">
      <formula>0.9</formula>
    </cfRule>
    <cfRule type="cellIs" dxfId="3198" priority="16" operator="greaterThan">
      <formula>0.85</formula>
    </cfRule>
  </conditionalFormatting>
  <conditionalFormatting sqref="N10">
    <cfRule type="cellIs" dxfId="3197" priority="13" operator="greaterThan">
      <formula>0.9</formula>
    </cfRule>
    <cfRule type="cellIs" dxfId="3196" priority="14" operator="greaterThan">
      <formula>0.85</formula>
    </cfRule>
  </conditionalFormatting>
  <conditionalFormatting sqref="E10">
    <cfRule type="expression" dxfId="3195" priority="9">
      <formula>AND(IF(OR($Q10=1,$Q10=2),1,0),IF($X10&lt;=20,1,0))</formula>
    </cfRule>
    <cfRule type="expression" dxfId="3194" priority="10">
      <formula>AND(IF($Q10=2,1,0),IF($X10&lt;30,1,0))</formula>
    </cfRule>
    <cfRule type="expression" dxfId="3193" priority="11">
      <formula>AND(IF($Q10=3,1,0),IF($X10&lt;30,1,0))</formula>
    </cfRule>
    <cfRule type="expression" dxfId="3192" priority="12">
      <formula>AND(IF($Q10=3,1,IF($Q10=4,1,0)),IF($F10&lt;=85,1,0))</formula>
    </cfRule>
  </conditionalFormatting>
  <conditionalFormatting sqref="X10">
    <cfRule type="expression" dxfId="3191" priority="5">
      <formula>AND(IF(OR($Q10=1,$Q10=2),1,0),IF($X10&lt;=20,1,0))</formula>
    </cfRule>
    <cfRule type="expression" dxfId="3190" priority="6">
      <formula>AND(IF($Q10=2,1,0),IF($X10&lt;30,1,0))</formula>
    </cfRule>
    <cfRule type="expression" dxfId="3189" priority="7">
      <formula>AND(IF($Q10=3,1,0),IF($X10&lt;30,1,0))</formula>
    </cfRule>
    <cfRule type="expression" dxfId="3188" priority="8">
      <formula>AND(IF($Q10=3,1,IF($Q10=4,1,0)),IF($F10&lt;=85,1,0))</formula>
    </cfRule>
  </conditionalFormatting>
  <conditionalFormatting sqref="AI10">
    <cfRule type="expression" dxfId="3187" priority="1">
      <formula>AND(IF(OR($Q10=1,$Q10=2),1,0),IF($X10&lt;=20,1,0))</formula>
    </cfRule>
    <cfRule type="expression" dxfId="3186" priority="2">
      <formula>AND(IF($Q10=2,1,0),IF($X10&lt;30,1,0))</formula>
    </cfRule>
    <cfRule type="expression" dxfId="3185" priority="3">
      <formula>AND(IF($Q10=3,1,0),IF($X10&lt;30,1,0))</formula>
    </cfRule>
    <cfRule type="expression" dxfId="3184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부흥동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358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부흥동 태영데시앙('07.01.,204^)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354</v>
      </c>
      <c r="B6" s="10" t="s">
        <v>894</v>
      </c>
      <c r="C6" s="107">
        <v>204</v>
      </c>
      <c r="D6" s="104">
        <v>109.9</v>
      </c>
      <c r="E6" s="106">
        <v>33</v>
      </c>
      <c r="F6" s="104">
        <v>85</v>
      </c>
      <c r="G6" s="17">
        <v>26</v>
      </c>
      <c r="H6" s="107">
        <v>156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869</v>
      </c>
      <c r="T6" s="5">
        <v>109</v>
      </c>
      <c r="U6" s="9"/>
      <c r="W6" s="104">
        <f>D6</f>
        <v>109.9</v>
      </c>
      <c r="X6" s="106">
        <f>E6</f>
        <v>33</v>
      </c>
      <c r="Y6" s="102">
        <f>H6</f>
        <v>156</v>
      </c>
      <c r="Z6" s="109">
        <f>I6</f>
        <v>0</v>
      </c>
      <c r="AA6" s="109">
        <f>K6</f>
        <v>0</v>
      </c>
      <c r="AB6" s="109">
        <f t="shared" ref="AB6:AD7" si="0">M6</f>
        <v>0</v>
      </c>
      <c r="AC6" s="4" t="str">
        <f t="shared" si="0"/>
        <v/>
      </c>
      <c r="AD6" s="105">
        <f t="shared" si="0"/>
        <v>0</v>
      </c>
      <c r="AE6" s="75" t="str">
        <f>S6</f>
        <v>계</v>
      </c>
      <c r="AF6" s="75" t="str">
        <f>Q6&amp;"/"&amp;R6</f>
        <v>3/2</v>
      </c>
      <c r="AH6" s="20" t="str">
        <f>IF(A6="","",A6)</f>
        <v>태영데시앙</v>
      </c>
      <c r="AI6" s="106">
        <f>IF(E6="","",E6)</f>
        <v>33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X</v>
      </c>
      <c r="AV6" s="75" t="str">
        <f>IF(AO6="","",IF(AND(AO6="O",AP6="O",AR6="O",AT6="O",AU6="O"),"후보","X"))</f>
        <v/>
      </c>
    </row>
    <row r="7" spans="1:48" x14ac:dyDescent="0.3">
      <c r="A7" s="9" t="s">
        <v>354</v>
      </c>
      <c r="B7" s="10" t="s">
        <v>894</v>
      </c>
      <c r="C7" s="107">
        <v>204</v>
      </c>
      <c r="D7" s="104">
        <v>151.9</v>
      </c>
      <c r="E7" s="106">
        <v>46</v>
      </c>
      <c r="F7" s="104">
        <v>126.6</v>
      </c>
      <c r="G7" s="17">
        <v>38</v>
      </c>
      <c r="H7" s="107">
        <v>48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4</v>
      </c>
      <c r="R7" s="75">
        <v>2</v>
      </c>
      <c r="S7" s="75" t="s">
        <v>869</v>
      </c>
      <c r="T7" s="5">
        <v>151</v>
      </c>
      <c r="U7" s="9"/>
      <c r="W7" s="104">
        <f>D7</f>
        <v>151.9</v>
      </c>
      <c r="X7" s="106">
        <f>E7</f>
        <v>46</v>
      </c>
      <c r="Y7" s="102">
        <f>H7</f>
        <v>48</v>
      </c>
      <c r="Z7" s="109">
        <f>I7</f>
        <v>0</v>
      </c>
      <c r="AA7" s="109">
        <f>K7</f>
        <v>0</v>
      </c>
      <c r="AB7" s="109">
        <f t="shared" si="0"/>
        <v>0</v>
      </c>
      <c r="AC7" s="4" t="str">
        <f t="shared" si="0"/>
        <v/>
      </c>
      <c r="AD7" s="105">
        <f t="shared" si="0"/>
        <v>0</v>
      </c>
      <c r="AE7" s="75" t="str">
        <f>S7</f>
        <v>계</v>
      </c>
      <c r="AF7" s="75" t="str">
        <f>Q7&amp;"/"&amp;R7</f>
        <v>4/2</v>
      </c>
      <c r="AH7" s="20" t="str">
        <f>IF(A7="","",A7)</f>
        <v>태영데시앙</v>
      </c>
      <c r="AI7" s="106">
        <f>IF(E7="","",E7)</f>
        <v>46</v>
      </c>
      <c r="AJ7" s="75" t="str">
        <f>IF(AI7="","",$AJ$2)</f>
        <v>A-</v>
      </c>
      <c r="AK7" s="75" t="s">
        <v>14</v>
      </c>
      <c r="AL7" s="75" t="s">
        <v>870</v>
      </c>
      <c r="AM7" s="75" t="s">
        <v>871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X</v>
      </c>
      <c r="AU7" s="75" t="str">
        <f>IF(C7="","",IF(C7&gt;=$AU$1,"O","X"))</f>
        <v>X</v>
      </c>
      <c r="AV7" s="75" t="str">
        <f>IF(AO7="","",IF(AND(AO7="O",AP7="O",AR7="O",AT7="O",AU7="O"),"후보","X"))</f>
        <v/>
      </c>
    </row>
  </sheetData>
  <mergeCells count="1">
    <mergeCell ref="AJ1:AN1"/>
  </mergeCells>
  <phoneticPr fontId="2" type="noConversion"/>
  <conditionalFormatting sqref="AV4:AV6">
    <cfRule type="expression" dxfId="3183" priority="39">
      <formula>AV4="X"</formula>
    </cfRule>
    <cfRule type="expression" dxfId="3182" priority="40">
      <formula>AV4="후보"</formula>
    </cfRule>
  </conditionalFormatting>
  <conditionalFormatting sqref="AC1:AC2 AC4:AC6 N4:N5">
    <cfRule type="cellIs" dxfId="3181" priority="36" operator="greaterThan">
      <formula>0.9</formula>
    </cfRule>
    <cfRule type="cellIs" dxfId="3180" priority="37" operator="greaterThan">
      <formula>0.85</formula>
    </cfRule>
  </conditionalFormatting>
  <conditionalFormatting sqref="N1:N2">
    <cfRule type="cellIs" dxfId="3179" priority="34" operator="greaterThan">
      <formula>0.9</formula>
    </cfRule>
    <cfRule type="cellIs" dxfId="3178" priority="35" operator="greaterThan">
      <formula>0.85</formula>
    </cfRule>
  </conditionalFormatting>
  <conditionalFormatting sqref="N6">
    <cfRule type="cellIs" dxfId="3177" priority="32" operator="greaterThan">
      <formula>0.9</formula>
    </cfRule>
    <cfRule type="cellIs" dxfId="3176" priority="33" operator="greaterThan">
      <formula>0.85</formula>
    </cfRule>
  </conditionalFormatting>
  <conditionalFormatting sqref="E6">
    <cfRule type="expression" dxfId="3175" priority="28">
      <formula>AND(IF(OR($Q6=1,$Q6=2),1,0),IF($X6&lt;=20,1,0))</formula>
    </cfRule>
    <cfRule type="expression" dxfId="3174" priority="29">
      <formula>AND(IF($Q6=2,1,0),IF($X6&lt;30,1,0))</formula>
    </cfRule>
    <cfRule type="expression" dxfId="3173" priority="30">
      <formula>AND(IF($Q6=3,1,0),IF($X6&lt;30,1,0))</formula>
    </cfRule>
    <cfRule type="expression" dxfId="3172" priority="31">
      <formula>AND(IF($Q6=3,1,IF($Q6=4,1,0)),IF($F6&lt;=85,1,0))</formula>
    </cfRule>
  </conditionalFormatting>
  <conditionalFormatting sqref="X6">
    <cfRule type="expression" dxfId="3171" priority="24">
      <formula>AND(IF(OR($Q6=1,$Q6=2),1,0),IF($X6&lt;=20,1,0))</formula>
    </cfRule>
    <cfRule type="expression" dxfId="3170" priority="25">
      <formula>AND(IF($Q6=2,1,0),IF($X6&lt;30,1,0))</formula>
    </cfRule>
    <cfRule type="expression" dxfId="3169" priority="26">
      <formula>AND(IF($Q6=3,1,0),IF($X6&lt;30,1,0))</formula>
    </cfRule>
    <cfRule type="expression" dxfId="3168" priority="27">
      <formula>AND(IF($Q6=3,1,IF($Q6=4,1,0)),IF($F6&lt;=85,1,0))</formula>
    </cfRule>
  </conditionalFormatting>
  <conditionalFormatting sqref="AI6">
    <cfRule type="expression" dxfId="3167" priority="20">
      <formula>AND(IF(OR($Q6=1,$Q6=2),1,0),IF($X6&lt;=20,1,0))</formula>
    </cfRule>
    <cfRule type="expression" dxfId="3166" priority="21">
      <formula>AND(IF($Q6=2,1,0),IF($X6&lt;30,1,0))</formula>
    </cfRule>
    <cfRule type="expression" dxfId="3165" priority="22">
      <formula>AND(IF($Q6=3,1,0),IF($X6&lt;30,1,0))</formula>
    </cfRule>
    <cfRule type="expression" dxfId="3164" priority="23">
      <formula>AND(IF($Q6=3,1,IF($Q6=4,1,0)),IF($F6&lt;=85,1,0))</formula>
    </cfRule>
  </conditionalFormatting>
  <conditionalFormatting sqref="AV7">
    <cfRule type="expression" dxfId="3163" priority="18">
      <formula>AV7="X"</formula>
    </cfRule>
    <cfRule type="expression" dxfId="3162" priority="19">
      <formula>AV7="후보"</formula>
    </cfRule>
  </conditionalFormatting>
  <conditionalFormatting sqref="AC7">
    <cfRule type="cellIs" dxfId="3161" priority="15" operator="greaterThan">
      <formula>0.9</formula>
    </cfRule>
    <cfRule type="cellIs" dxfId="3160" priority="16" operator="greaterThan">
      <formula>0.85</formula>
    </cfRule>
  </conditionalFormatting>
  <conditionalFormatting sqref="N7">
    <cfRule type="cellIs" dxfId="3159" priority="13" operator="greaterThan">
      <formula>0.9</formula>
    </cfRule>
    <cfRule type="cellIs" dxfId="3158" priority="14" operator="greaterThan">
      <formula>0.85</formula>
    </cfRule>
  </conditionalFormatting>
  <conditionalFormatting sqref="E7">
    <cfRule type="expression" dxfId="3157" priority="9">
      <formula>AND(IF(OR($Q7=1,$Q7=2),1,0),IF($X7&lt;=20,1,0))</formula>
    </cfRule>
    <cfRule type="expression" dxfId="3156" priority="10">
      <formula>AND(IF($Q7=2,1,0),IF($X7&lt;30,1,0))</formula>
    </cfRule>
    <cfRule type="expression" dxfId="3155" priority="11">
      <formula>AND(IF($Q7=3,1,0),IF($X7&lt;30,1,0))</formula>
    </cfRule>
    <cfRule type="expression" dxfId="3154" priority="12">
      <formula>AND(IF($Q7=3,1,IF($Q7=4,1,0)),IF($F7&lt;=85,1,0))</formula>
    </cfRule>
  </conditionalFormatting>
  <conditionalFormatting sqref="X7">
    <cfRule type="expression" dxfId="3153" priority="5">
      <formula>AND(IF(OR($Q7=1,$Q7=2),1,0),IF($X7&lt;=20,1,0))</formula>
    </cfRule>
    <cfRule type="expression" dxfId="3152" priority="6">
      <formula>AND(IF($Q7=2,1,0),IF($X7&lt;30,1,0))</formula>
    </cfRule>
    <cfRule type="expression" dxfId="3151" priority="7">
      <formula>AND(IF($Q7=3,1,0),IF($X7&lt;30,1,0))</formula>
    </cfRule>
    <cfRule type="expression" dxfId="3150" priority="8">
      <formula>AND(IF($Q7=3,1,IF($Q7=4,1,0)),IF($F7&lt;=85,1,0))</formula>
    </cfRule>
  </conditionalFormatting>
  <conditionalFormatting sqref="AI7">
    <cfRule type="expression" dxfId="3149" priority="1">
      <formula>AND(IF(OR($Q7=1,$Q7=2),1,0),IF($X7&lt;=20,1,0))</formula>
    </cfRule>
    <cfRule type="expression" dxfId="3148" priority="2">
      <formula>AND(IF($Q7=2,1,0),IF($X7&lt;30,1,0))</formula>
    </cfRule>
    <cfRule type="expression" dxfId="3147" priority="3">
      <formula>AND(IF($Q7=3,1,0),IF($X7&lt;30,1,0))</formula>
    </cfRule>
    <cfRule type="expression" dxfId="3146" priority="4">
      <formula>AND(IF($Q7=3,1,IF($Q7=4,1,0)),IF($F7&lt;=85,1,0))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석동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9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374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석동 진해GS자이('06.04.,516^)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49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370</v>
      </c>
      <c r="B6" s="10" t="s">
        <v>895</v>
      </c>
      <c r="C6" s="107">
        <v>516</v>
      </c>
      <c r="D6" s="104">
        <v>115.4</v>
      </c>
      <c r="E6" s="106">
        <v>35</v>
      </c>
      <c r="F6" s="104">
        <v>84.9</v>
      </c>
      <c r="G6" s="17">
        <v>26</v>
      </c>
      <c r="H6" s="107">
        <v>404</v>
      </c>
      <c r="I6" s="108">
        <v>34700</v>
      </c>
      <c r="J6" s="108" t="s">
        <v>896</v>
      </c>
      <c r="K6" s="108">
        <v>30000</v>
      </c>
      <c r="L6" s="108" t="s">
        <v>897</v>
      </c>
      <c r="M6" s="109">
        <f>I6-K6</f>
        <v>4700</v>
      </c>
      <c r="N6" s="4">
        <f>IF(ISERROR(K6/I6),"",K6/I6)</f>
        <v>0.86455331412103742</v>
      </c>
      <c r="O6" s="105">
        <f>I6/E6</f>
        <v>991.42857142857144</v>
      </c>
      <c r="P6" s="105">
        <f>K6/E6</f>
        <v>857.14285714285711</v>
      </c>
      <c r="Q6" s="75">
        <v>3</v>
      </c>
      <c r="R6" s="75">
        <v>2</v>
      </c>
      <c r="S6" s="75" t="s">
        <v>869</v>
      </c>
      <c r="T6" s="5">
        <v>115</v>
      </c>
      <c r="U6" s="9"/>
      <c r="W6" s="104">
        <f t="shared" ref="W6:X8" si="2">D6</f>
        <v>115.4</v>
      </c>
      <c r="X6" s="106">
        <f t="shared" si="2"/>
        <v>35</v>
      </c>
      <c r="Y6" s="102">
        <f t="shared" ref="Y6:Z8" si="3">H6</f>
        <v>404</v>
      </c>
      <c r="Z6" s="109">
        <f t="shared" si="3"/>
        <v>34700</v>
      </c>
      <c r="AA6" s="109">
        <f>K6</f>
        <v>30000</v>
      </c>
      <c r="AB6" s="109">
        <f t="shared" ref="AB6:AD8" si="4">M6</f>
        <v>4700</v>
      </c>
      <c r="AC6" s="4">
        <f t="shared" si="4"/>
        <v>0.86455331412103742</v>
      </c>
      <c r="AD6" s="105">
        <f t="shared" si="4"/>
        <v>991.42857142857144</v>
      </c>
      <c r="AE6" s="75" t="str">
        <f>S6</f>
        <v>계</v>
      </c>
      <c r="AF6" s="75" t="str">
        <f>Q6&amp;"/"&amp;R6</f>
        <v>3/2</v>
      </c>
      <c r="AH6" s="20" t="str">
        <f t="shared" si="1"/>
        <v>진해GS자이</v>
      </c>
      <c r="AI6" s="106">
        <f t="shared" si="0"/>
        <v>35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>O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후보</v>
      </c>
    </row>
    <row r="7" spans="1:48" x14ac:dyDescent="0.3">
      <c r="A7" s="9" t="s">
        <v>370</v>
      </c>
      <c r="B7" s="10" t="s">
        <v>895</v>
      </c>
      <c r="C7" s="107">
        <v>516</v>
      </c>
      <c r="D7" s="104">
        <v>158</v>
      </c>
      <c r="E7" s="106">
        <v>48</v>
      </c>
      <c r="F7" s="104">
        <v>125.3</v>
      </c>
      <c r="G7" s="17">
        <v>38</v>
      </c>
      <c r="H7" s="107">
        <v>84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4</v>
      </c>
      <c r="R7" s="75">
        <v>2</v>
      </c>
      <c r="S7" s="75" t="s">
        <v>869</v>
      </c>
      <c r="T7" s="5">
        <v>158</v>
      </c>
      <c r="U7" s="9"/>
      <c r="W7" s="104">
        <f t="shared" si="2"/>
        <v>158</v>
      </c>
      <c r="X7" s="106">
        <f t="shared" si="2"/>
        <v>48</v>
      </c>
      <c r="Y7" s="102">
        <f t="shared" si="3"/>
        <v>84</v>
      </c>
      <c r="Z7" s="109">
        <f t="shared" si="3"/>
        <v>0</v>
      </c>
      <c r="AA7" s="109">
        <f>K7</f>
        <v>0</v>
      </c>
      <c r="AB7" s="109">
        <f t="shared" si="4"/>
        <v>0</v>
      </c>
      <c r="AC7" s="4" t="str">
        <f t="shared" si="4"/>
        <v/>
      </c>
      <c r="AD7" s="105">
        <f t="shared" si="4"/>
        <v>0</v>
      </c>
      <c r="AE7" s="75" t="str">
        <f>S7</f>
        <v>계</v>
      </c>
      <c r="AF7" s="75" t="str">
        <f>Q7&amp;"/"&amp;R7</f>
        <v>4/2</v>
      </c>
      <c r="AH7" s="20" t="str">
        <f t="shared" si="1"/>
        <v>진해GS자이</v>
      </c>
      <c r="AI7" s="106">
        <f t="shared" si="0"/>
        <v>48</v>
      </c>
      <c r="AJ7" s="75" t="str">
        <f>IF(AI7="","",$AJ$2)</f>
        <v>A-</v>
      </c>
      <c r="AK7" s="75" t="s">
        <v>14</v>
      </c>
      <c r="AL7" s="75" t="s">
        <v>870</v>
      </c>
      <c r="AM7" s="75" t="s">
        <v>871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X</v>
      </c>
      <c r="AU7" s="75" t="str">
        <f>IF(C7="","",IF(C7&gt;=$AU$1,"O","X"))</f>
        <v>O</v>
      </c>
      <c r="AV7" s="75" t="str">
        <f>IF(AO7="","",IF(AND(AO7="O",AP7="O",AR7="O",AT7="O",AU7="O"),"후보","X"))</f>
        <v/>
      </c>
    </row>
    <row r="8" spans="1:48" x14ac:dyDescent="0.3">
      <c r="A8" s="9" t="s">
        <v>370</v>
      </c>
      <c r="B8" s="10" t="s">
        <v>895</v>
      </c>
      <c r="C8" s="107">
        <v>516</v>
      </c>
      <c r="D8" s="104">
        <v>196.2</v>
      </c>
      <c r="E8" s="106">
        <v>59</v>
      </c>
      <c r="F8" s="104">
        <v>155.69999999999999</v>
      </c>
      <c r="G8" s="17">
        <v>47</v>
      </c>
      <c r="H8" s="107">
        <v>28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5">
        <v>5</v>
      </c>
      <c r="R8" s="75">
        <v>2</v>
      </c>
      <c r="S8" s="75" t="s">
        <v>869</v>
      </c>
      <c r="T8" s="5">
        <v>196</v>
      </c>
      <c r="U8" s="9"/>
      <c r="W8" s="104">
        <f t="shared" si="2"/>
        <v>196.2</v>
      </c>
      <c r="X8" s="106">
        <f t="shared" si="2"/>
        <v>59</v>
      </c>
      <c r="Y8" s="102">
        <f t="shared" si="3"/>
        <v>28</v>
      </c>
      <c r="Z8" s="109">
        <f t="shared" si="3"/>
        <v>0</v>
      </c>
      <c r="AA8" s="109">
        <f>K8</f>
        <v>0</v>
      </c>
      <c r="AB8" s="109">
        <f t="shared" si="4"/>
        <v>0</v>
      </c>
      <c r="AC8" s="4" t="str">
        <f t="shared" si="4"/>
        <v/>
      </c>
      <c r="AD8" s="105">
        <f t="shared" si="4"/>
        <v>0</v>
      </c>
      <c r="AE8" s="75" t="str">
        <f>S8</f>
        <v>계</v>
      </c>
      <c r="AF8" s="75" t="str">
        <f>Q8&amp;"/"&amp;R8</f>
        <v>5/2</v>
      </c>
      <c r="AH8" s="20" t="str">
        <f t="shared" si="1"/>
        <v>진해GS자이</v>
      </c>
      <c r="AI8" s="106">
        <f t="shared" si="0"/>
        <v>59</v>
      </c>
      <c r="AJ8" s="75" t="str">
        <f>IF(AI8="","",$AJ$2)</f>
        <v>A-</v>
      </c>
      <c r="AK8" s="75" t="s">
        <v>14</v>
      </c>
      <c r="AL8" s="75" t="s">
        <v>870</v>
      </c>
      <c r="AM8" s="75" t="s">
        <v>871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X</v>
      </c>
      <c r="AU8" s="75" t="str">
        <f>IF(C8="","",IF(C8&gt;=$AU$1,"O","X"))</f>
        <v>O</v>
      </c>
      <c r="AV8" s="75" t="str">
        <f>IF(AO8="","",IF(AND(AO8="O",AP8="O",AR8="O",AT8="O",AU8="O"),"후보","X"))</f>
        <v/>
      </c>
    </row>
    <row r="9" spans="1:48" x14ac:dyDescent="0.3">
      <c r="A9" s="9"/>
      <c r="B9" s="75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8"/>
      <c r="U9" s="9"/>
      <c r="W9" s="70" t="str">
        <f>$A$4&amp;" "&amp;A10&amp;"("&amp;B10&amp;","&amp;C10&amp;"^)"</f>
        <v>석동 진해석동푸르지오('06.08.,647^)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3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381</v>
      </c>
      <c r="B10" s="10" t="s">
        <v>874</v>
      </c>
      <c r="C10" s="107">
        <v>647</v>
      </c>
      <c r="D10" s="104">
        <v>116.9</v>
      </c>
      <c r="E10" s="106">
        <v>35</v>
      </c>
      <c r="F10" s="104">
        <v>85</v>
      </c>
      <c r="G10" s="17">
        <v>26</v>
      </c>
      <c r="H10" s="107">
        <v>343</v>
      </c>
      <c r="I10" s="108">
        <v>31000</v>
      </c>
      <c r="J10" s="108" t="s">
        <v>868</v>
      </c>
      <c r="K10" s="108">
        <v>27000</v>
      </c>
      <c r="L10" s="108" t="s">
        <v>898</v>
      </c>
      <c r="M10" s="109">
        <f>I10-K10</f>
        <v>4000</v>
      </c>
      <c r="N10" s="4">
        <f>IF(ISERROR(K10/I10),"",K10/I10)</f>
        <v>0.87096774193548387</v>
      </c>
      <c r="O10" s="105">
        <f>I10/E10</f>
        <v>885.71428571428567</v>
      </c>
      <c r="P10" s="105">
        <f>K10/E10</f>
        <v>771.42857142857144</v>
      </c>
      <c r="Q10" s="75">
        <v>3</v>
      </c>
      <c r="R10" s="75">
        <v>2</v>
      </c>
      <c r="S10" s="75" t="s">
        <v>869</v>
      </c>
      <c r="T10" s="5" t="s">
        <v>382</v>
      </c>
      <c r="U10" s="9"/>
      <c r="W10" s="104">
        <f t="shared" ref="W10:X13" si="5">D10</f>
        <v>116.9</v>
      </c>
      <c r="X10" s="106">
        <f t="shared" si="5"/>
        <v>35</v>
      </c>
      <c r="Y10" s="102">
        <f t="shared" ref="Y10:Z13" si="6">H10</f>
        <v>343</v>
      </c>
      <c r="Z10" s="109">
        <f t="shared" si="6"/>
        <v>31000</v>
      </c>
      <c r="AA10" s="109">
        <f>K10</f>
        <v>27000</v>
      </c>
      <c r="AB10" s="109">
        <f t="shared" ref="AB10:AD13" si="7">M10</f>
        <v>4000</v>
      </c>
      <c r="AC10" s="4">
        <f t="shared" si="7"/>
        <v>0.87096774193548387</v>
      </c>
      <c r="AD10" s="105">
        <f t="shared" si="7"/>
        <v>885.71428571428567</v>
      </c>
      <c r="AE10" s="75" t="str">
        <f>S10</f>
        <v>계</v>
      </c>
      <c r="AF10" s="75" t="str">
        <f>Q10&amp;"/"&amp;R10</f>
        <v>3/2</v>
      </c>
      <c r="AH10" s="20" t="str">
        <f t="shared" si="1"/>
        <v>진해석동푸르지오</v>
      </c>
      <c r="AI10" s="106">
        <f t="shared" si="0"/>
        <v>35</v>
      </c>
      <c r="AJ10" s="75" t="str">
        <f>IF(AI10="","",$AJ$2)</f>
        <v>A-</v>
      </c>
      <c r="AK10" s="75" t="s">
        <v>14</v>
      </c>
      <c r="AL10" s="75" t="s">
        <v>870</v>
      </c>
      <c r="AM10" s="75" t="s">
        <v>871</v>
      </c>
      <c r="AN10" s="75" t="str">
        <f>IF(AI10="","",$AN$2)</f>
        <v>C</v>
      </c>
      <c r="AO10" s="75" t="str">
        <f>IF(N10="","",IF(N10&gt;=$AO$1/100,"O","X"))</f>
        <v>O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O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후보</v>
      </c>
    </row>
    <row r="11" spans="1:48" x14ac:dyDescent="0.3">
      <c r="A11" s="9" t="s">
        <v>381</v>
      </c>
      <c r="B11" s="10" t="s">
        <v>874</v>
      </c>
      <c r="C11" s="107">
        <v>647</v>
      </c>
      <c r="D11" s="104">
        <v>116.9</v>
      </c>
      <c r="E11" s="106">
        <v>35</v>
      </c>
      <c r="F11" s="104">
        <v>85</v>
      </c>
      <c r="G11" s="17">
        <v>26</v>
      </c>
      <c r="H11" s="107">
        <v>90</v>
      </c>
      <c r="I11" s="108">
        <v>31000</v>
      </c>
      <c r="J11" s="108" t="s">
        <v>868</v>
      </c>
      <c r="K11" s="108">
        <v>27000</v>
      </c>
      <c r="L11" s="108" t="s">
        <v>898</v>
      </c>
      <c r="M11" s="109">
        <f>I11-K11</f>
        <v>4000</v>
      </c>
      <c r="N11" s="4">
        <f>IF(ISERROR(K11/I11),"",K11/I11)</f>
        <v>0.87096774193548387</v>
      </c>
      <c r="O11" s="105">
        <f>I11/E11</f>
        <v>885.71428571428567</v>
      </c>
      <c r="P11" s="105">
        <f>K11/E11</f>
        <v>771.42857142857144</v>
      </c>
      <c r="Q11" s="75">
        <v>3</v>
      </c>
      <c r="R11" s="75">
        <v>2</v>
      </c>
      <c r="S11" s="75" t="s">
        <v>869</v>
      </c>
      <c r="T11" s="5" t="s">
        <v>386</v>
      </c>
      <c r="U11" s="9"/>
      <c r="W11" s="104">
        <f t="shared" si="5"/>
        <v>116.9</v>
      </c>
      <c r="X11" s="106">
        <f t="shared" si="5"/>
        <v>35</v>
      </c>
      <c r="Y11" s="102">
        <f t="shared" si="6"/>
        <v>90</v>
      </c>
      <c r="Z11" s="109">
        <f t="shared" si="6"/>
        <v>31000</v>
      </c>
      <c r="AA11" s="109">
        <f>K11</f>
        <v>27000</v>
      </c>
      <c r="AB11" s="109">
        <f t="shared" si="7"/>
        <v>4000</v>
      </c>
      <c r="AC11" s="4">
        <f t="shared" si="7"/>
        <v>0.87096774193548387</v>
      </c>
      <c r="AD11" s="105">
        <f t="shared" si="7"/>
        <v>885.71428571428567</v>
      </c>
      <c r="AE11" s="75" t="str">
        <f>S11</f>
        <v>계</v>
      </c>
      <c r="AF11" s="75" t="str">
        <f>Q11&amp;"/"&amp;R11</f>
        <v>3/2</v>
      </c>
      <c r="AH11" s="20" t="str">
        <f t="shared" si="1"/>
        <v>진해석동푸르지오</v>
      </c>
      <c r="AI11" s="106">
        <f t="shared" si="0"/>
        <v>35</v>
      </c>
      <c r="AJ11" s="75" t="str">
        <f>IF(AI11="","",$AJ$2)</f>
        <v>A-</v>
      </c>
      <c r="AK11" s="75" t="s">
        <v>14</v>
      </c>
      <c r="AL11" s="75" t="s">
        <v>870</v>
      </c>
      <c r="AM11" s="75" t="s">
        <v>871</v>
      </c>
      <c r="AN11" s="75" t="str">
        <f>IF(AI11="","",$AN$2)</f>
        <v>C</v>
      </c>
      <c r="AO11" s="75" t="str">
        <f>IF(N11="","",IF(N11&gt;=$AO$1/100,"O","X"))</f>
        <v>O</v>
      </c>
      <c r="AP11" s="75" t="str">
        <f>IF(I11="","",IF(I11&lt;=$AP$1,"O","X"))</f>
        <v>O</v>
      </c>
      <c r="AQ11" s="75" t="str">
        <f>IF(O11="","",IF(O11&lt;=$AQ$1,"O","X"))</f>
        <v>O</v>
      </c>
      <c r="AR11" s="75" t="str">
        <f>IF(M11="","",IF(M11&lt;=$AR$1,"O","X"))</f>
        <v>O</v>
      </c>
      <c r="AS11" s="75" t="s">
        <v>2</v>
      </c>
      <c r="AT11" s="75" t="str">
        <f>IF(OR(F11="",AI11=""),"",IF(AND((F11&lt;=85),(AI11&gt;=15)),"O","X"))</f>
        <v>O</v>
      </c>
      <c r="AU11" s="75" t="str">
        <f>IF(C11="","",IF(C11&gt;=$AU$1,"O","X"))</f>
        <v>O</v>
      </c>
      <c r="AV11" s="75" t="str">
        <f>IF(AO11="","",IF(AND(AO11="O",AP11="O",AR11="O",AT11="O",AU11="O"),"후보","X"))</f>
        <v>후보</v>
      </c>
    </row>
    <row r="12" spans="1:48" x14ac:dyDescent="0.3">
      <c r="A12" s="9" t="s">
        <v>381</v>
      </c>
      <c r="B12" s="10" t="s">
        <v>874</v>
      </c>
      <c r="C12" s="107">
        <v>647</v>
      </c>
      <c r="D12" s="104">
        <v>149.1</v>
      </c>
      <c r="E12" s="106">
        <v>45</v>
      </c>
      <c r="F12" s="104">
        <v>116.5</v>
      </c>
      <c r="G12" s="17">
        <v>35</v>
      </c>
      <c r="H12" s="107">
        <v>134</v>
      </c>
      <c r="I12" s="108">
        <v>38000</v>
      </c>
      <c r="J12" s="108" t="s">
        <v>868</v>
      </c>
      <c r="K12" s="108">
        <v>32000</v>
      </c>
      <c r="L12" s="108" t="s">
        <v>872</v>
      </c>
      <c r="M12" s="109">
        <f>I12-K12</f>
        <v>6000</v>
      </c>
      <c r="N12" s="4">
        <f>IF(ISERROR(K12/I12),"",K12/I12)</f>
        <v>0.84210526315789469</v>
      </c>
      <c r="O12" s="105">
        <f>I12/E12</f>
        <v>844.44444444444446</v>
      </c>
      <c r="P12" s="105">
        <f>K12/E12</f>
        <v>711.11111111111109</v>
      </c>
      <c r="Q12" s="75">
        <v>4</v>
      </c>
      <c r="R12" s="75">
        <v>2</v>
      </c>
      <c r="S12" s="75" t="s">
        <v>869</v>
      </c>
      <c r="T12" s="5">
        <v>149</v>
      </c>
      <c r="U12" s="9"/>
      <c r="W12" s="104">
        <f t="shared" si="5"/>
        <v>149.1</v>
      </c>
      <c r="X12" s="106">
        <f t="shared" si="5"/>
        <v>45</v>
      </c>
      <c r="Y12" s="102">
        <f t="shared" si="6"/>
        <v>134</v>
      </c>
      <c r="Z12" s="109">
        <f t="shared" si="6"/>
        <v>38000</v>
      </c>
      <c r="AA12" s="109">
        <f>K12</f>
        <v>32000</v>
      </c>
      <c r="AB12" s="109">
        <f t="shared" si="7"/>
        <v>6000</v>
      </c>
      <c r="AC12" s="4">
        <f t="shared" si="7"/>
        <v>0.84210526315789469</v>
      </c>
      <c r="AD12" s="105">
        <f t="shared" si="7"/>
        <v>844.44444444444446</v>
      </c>
      <c r="AE12" s="75" t="str">
        <f>S12</f>
        <v>계</v>
      </c>
      <c r="AF12" s="75" t="str">
        <f>Q12&amp;"/"&amp;R12</f>
        <v>4/2</v>
      </c>
      <c r="AH12" s="20" t="str">
        <f t="shared" si="1"/>
        <v>진해석동푸르지오</v>
      </c>
      <c r="AI12" s="106">
        <f t="shared" si="0"/>
        <v>45</v>
      </c>
      <c r="AJ12" s="75" t="str">
        <f>IF(AI12="","",$AJ$2)</f>
        <v>A-</v>
      </c>
      <c r="AK12" s="75" t="s">
        <v>14</v>
      </c>
      <c r="AL12" s="75" t="s">
        <v>870</v>
      </c>
      <c r="AM12" s="75" t="s">
        <v>871</v>
      </c>
      <c r="AN12" s="75" t="str">
        <f>IF(AI12="","",$AN$2)</f>
        <v>C</v>
      </c>
      <c r="AO12" s="75" t="str">
        <f>IF(N12="","",IF(N12&gt;=$AO$1/100,"O","X"))</f>
        <v>O</v>
      </c>
      <c r="AP12" s="75" t="str">
        <f>IF(I12="","",IF(I12&lt;=$AP$1,"O","X"))</f>
        <v>O</v>
      </c>
      <c r="AQ12" s="75" t="str">
        <f>IF(O12="","",IF(O12&lt;=$AQ$1,"O","X"))</f>
        <v>O</v>
      </c>
      <c r="AR12" s="75" t="str">
        <f>IF(M12="","",IF(M12&lt;=$AR$1,"O","X"))</f>
        <v>O</v>
      </c>
      <c r="AS12" s="75" t="s">
        <v>2</v>
      </c>
      <c r="AT12" s="75" t="str">
        <f>IF(OR(F12="",AI12=""),"",IF(AND((F12&lt;=85),(AI12&gt;=15)),"O","X"))</f>
        <v>X</v>
      </c>
      <c r="AU12" s="75" t="str">
        <f>IF(C12="","",IF(C12&gt;=$AU$1,"O","X"))</f>
        <v>O</v>
      </c>
      <c r="AV12" s="75" t="str">
        <f>IF(AO12="","",IF(AND(AO12="O",AP12="O",AR12="O",AT12="O",AU12="O"),"후보","X"))</f>
        <v>X</v>
      </c>
    </row>
    <row r="13" spans="1:48" x14ac:dyDescent="0.3">
      <c r="A13" s="9" t="s">
        <v>381</v>
      </c>
      <c r="B13" s="10" t="s">
        <v>874</v>
      </c>
      <c r="C13" s="107">
        <v>647</v>
      </c>
      <c r="D13" s="104">
        <v>172.1</v>
      </c>
      <c r="E13" s="106">
        <v>52</v>
      </c>
      <c r="F13" s="104">
        <v>138</v>
      </c>
      <c r="G13" s="17">
        <v>42</v>
      </c>
      <c r="H13" s="107">
        <v>80</v>
      </c>
      <c r="I13" s="108">
        <v>45000</v>
      </c>
      <c r="J13" s="108" t="s">
        <v>898</v>
      </c>
      <c r="K13" s="108"/>
      <c r="L13" s="108"/>
      <c r="M13" s="109">
        <f>I13-K13</f>
        <v>45000</v>
      </c>
      <c r="N13" s="4">
        <f>IF(ISERROR(K13/I13),"",K13/I13)</f>
        <v>0</v>
      </c>
      <c r="O13" s="105">
        <f>I13/E13</f>
        <v>865.38461538461536</v>
      </c>
      <c r="P13" s="105">
        <f>K13/E13</f>
        <v>0</v>
      </c>
      <c r="Q13" s="75">
        <v>4</v>
      </c>
      <c r="R13" s="75">
        <v>2</v>
      </c>
      <c r="S13" s="75" t="s">
        <v>869</v>
      </c>
      <c r="T13" s="5">
        <v>172</v>
      </c>
      <c r="U13" s="9"/>
      <c r="W13" s="104">
        <f t="shared" si="5"/>
        <v>172.1</v>
      </c>
      <c r="X13" s="106">
        <f t="shared" si="5"/>
        <v>52</v>
      </c>
      <c r="Y13" s="102">
        <f t="shared" si="6"/>
        <v>80</v>
      </c>
      <c r="Z13" s="109">
        <f t="shared" si="6"/>
        <v>45000</v>
      </c>
      <c r="AA13" s="109">
        <f>K13</f>
        <v>0</v>
      </c>
      <c r="AB13" s="109">
        <f t="shared" si="7"/>
        <v>45000</v>
      </c>
      <c r="AC13" s="4">
        <f t="shared" si="7"/>
        <v>0</v>
      </c>
      <c r="AD13" s="105">
        <f t="shared" si="7"/>
        <v>865.38461538461536</v>
      </c>
      <c r="AE13" s="75" t="str">
        <f>S13</f>
        <v>계</v>
      </c>
      <c r="AF13" s="75" t="str">
        <f>Q13&amp;"/"&amp;R13</f>
        <v>4/2</v>
      </c>
      <c r="AH13" s="20" t="str">
        <f t="shared" si="1"/>
        <v>진해석동푸르지오</v>
      </c>
      <c r="AI13" s="106">
        <f t="shared" si="0"/>
        <v>52</v>
      </c>
      <c r="AJ13" s="75" t="str">
        <f>IF(AI13="","",$AJ$2)</f>
        <v>A-</v>
      </c>
      <c r="AK13" s="75" t="s">
        <v>14</v>
      </c>
      <c r="AL13" s="75" t="s">
        <v>870</v>
      </c>
      <c r="AM13" s="75" t="s">
        <v>871</v>
      </c>
      <c r="AN13" s="75" t="str">
        <f>IF(AI13="","",$AN$2)</f>
        <v>C</v>
      </c>
      <c r="AO13" s="75" t="str">
        <f>IF(N13="","",IF(N13&gt;=$AO$1/100,"O","X"))</f>
        <v>X</v>
      </c>
      <c r="AP13" s="75" t="str">
        <f>IF(I13="","",IF(I13&lt;=$AP$1,"O","X"))</f>
        <v>O</v>
      </c>
      <c r="AQ13" s="75" t="str">
        <f>IF(O13="","",IF(O13&lt;=$AQ$1,"O","X"))</f>
        <v>O</v>
      </c>
      <c r="AR13" s="75" t="str">
        <f>IF(M13="","",IF(M13&lt;=$AR$1,"O","X"))</f>
        <v>X</v>
      </c>
      <c r="AS13" s="75" t="s">
        <v>2</v>
      </c>
      <c r="AT13" s="75" t="str">
        <f>IF(OR(F13="",AI13=""),"",IF(AND((F13&lt;=85),(AI13&gt;=15)),"O","X"))</f>
        <v>X</v>
      </c>
      <c r="AU13" s="75" t="str">
        <f>IF(C13="","",IF(C13&gt;=$AU$1,"O","X"))</f>
        <v>O</v>
      </c>
      <c r="AV13" s="75" t="str">
        <f>IF(AO13="","",IF(AND(AO13="O",AP13="O",AR13="O",AT13="O",AU13="O"),"후보","X"))</f>
        <v>X</v>
      </c>
    </row>
    <row r="14" spans="1:48" x14ac:dyDescent="0.3">
      <c r="A14" s="9"/>
      <c r="B14" s="75"/>
      <c r="C14" s="6"/>
      <c r="D14" s="9"/>
      <c r="E14" s="14"/>
      <c r="F14" s="104"/>
      <c r="G14" s="9"/>
      <c r="H14" s="9"/>
      <c r="I14" s="9"/>
      <c r="J14" s="9"/>
      <c r="K14" s="9"/>
      <c r="L14" s="9"/>
      <c r="M14" s="9"/>
      <c r="N14" s="9"/>
      <c r="O14" s="105"/>
      <c r="P14" s="105"/>
      <c r="Q14" s="106"/>
      <c r="R14" s="106"/>
      <c r="S14" s="9"/>
      <c r="T14" s="48"/>
      <c r="U14" s="9"/>
      <c r="W14" s="70" t="str">
        <f>$A$4&amp;" "&amp;A15&amp;"("&amp;B15&amp;","&amp;C15&amp;"^)"</f>
        <v>석동 진해석동한솔솔파크1단지('09.02.,264^)</v>
      </c>
      <c r="X14" s="71"/>
      <c r="Y14" s="71"/>
      <c r="Z14" s="71"/>
      <c r="AA14" s="71"/>
      <c r="AB14" s="71"/>
      <c r="AC14" s="71"/>
      <c r="AD14" s="71"/>
      <c r="AE14" s="71"/>
      <c r="AF14" s="72"/>
      <c r="AH14" s="20" t="str">
        <f t="shared" si="1"/>
        <v/>
      </c>
      <c r="AI14" s="103" t="str">
        <f t="shared" si="0"/>
        <v/>
      </c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</row>
    <row r="15" spans="1:48" x14ac:dyDescent="0.3">
      <c r="A15" s="9" t="s">
        <v>387</v>
      </c>
      <c r="B15" s="10" t="s">
        <v>891</v>
      </c>
      <c r="C15" s="107">
        <v>264</v>
      </c>
      <c r="D15" s="104">
        <v>143.6</v>
      </c>
      <c r="E15" s="106">
        <v>43</v>
      </c>
      <c r="F15" s="104">
        <v>119.6</v>
      </c>
      <c r="G15" s="17">
        <v>36</v>
      </c>
      <c r="H15" s="107">
        <v>44</v>
      </c>
      <c r="I15" s="108"/>
      <c r="J15" s="108"/>
      <c r="K15" s="108"/>
      <c r="L15" s="108"/>
      <c r="M15" s="109">
        <f>I15-K15</f>
        <v>0</v>
      </c>
      <c r="N15" s="4" t="str">
        <f>IF(ISERROR(K15/I15),"",K15/I15)</f>
        <v/>
      </c>
      <c r="O15" s="105">
        <f>I15/E15</f>
        <v>0</v>
      </c>
      <c r="P15" s="105">
        <f>K15/E15</f>
        <v>0</v>
      </c>
      <c r="Q15" s="75">
        <v>4</v>
      </c>
      <c r="R15" s="75">
        <v>2</v>
      </c>
      <c r="S15" s="75" t="s">
        <v>869</v>
      </c>
      <c r="T15" s="5">
        <v>143</v>
      </c>
      <c r="U15" s="9"/>
      <c r="W15" s="104">
        <f t="shared" ref="W15:X17" si="8">D15</f>
        <v>143.6</v>
      </c>
      <c r="X15" s="106">
        <f t="shared" si="8"/>
        <v>43</v>
      </c>
      <c r="Y15" s="102">
        <f t="shared" ref="Y15:Z17" si="9">H15</f>
        <v>44</v>
      </c>
      <c r="Z15" s="109">
        <f t="shared" si="9"/>
        <v>0</v>
      </c>
      <c r="AA15" s="109">
        <f>K15</f>
        <v>0</v>
      </c>
      <c r="AB15" s="109">
        <f t="shared" ref="AB15:AD17" si="10">M15</f>
        <v>0</v>
      </c>
      <c r="AC15" s="4" t="str">
        <f t="shared" si="10"/>
        <v/>
      </c>
      <c r="AD15" s="105">
        <f t="shared" si="10"/>
        <v>0</v>
      </c>
      <c r="AE15" s="75" t="str">
        <f>S15</f>
        <v>계</v>
      </c>
      <c r="AF15" s="75" t="str">
        <f>Q15&amp;"/"&amp;R15</f>
        <v>4/2</v>
      </c>
      <c r="AH15" s="20" t="str">
        <f t="shared" si="1"/>
        <v>진해석동한솔솔파크1단지</v>
      </c>
      <c r="AI15" s="106">
        <f t="shared" si="0"/>
        <v>43</v>
      </c>
      <c r="AJ15" s="75" t="str">
        <f>IF(AI15="","",$AJ$2)</f>
        <v>A-</v>
      </c>
      <c r="AK15" s="75" t="s">
        <v>14</v>
      </c>
      <c r="AL15" s="75" t="s">
        <v>870</v>
      </c>
      <c r="AM15" s="75" t="s">
        <v>871</v>
      </c>
      <c r="AN15" s="75" t="str">
        <f>IF(AI15="","",$AN$2)</f>
        <v>C</v>
      </c>
      <c r="AO15" s="75" t="str">
        <f>IF(N15="","",IF(N15&gt;=$AO$1/100,"O","X"))</f>
        <v/>
      </c>
      <c r="AP15" s="75" t="str">
        <f>IF(I15="","",IF(I15&lt;=$AP$1,"O","X"))</f>
        <v/>
      </c>
      <c r="AQ15" s="75" t="str">
        <f>IF(O15="","",IF(O15&lt;=$AQ$1,"O","X"))</f>
        <v>O</v>
      </c>
      <c r="AR15" s="75" t="str">
        <f>IF(M15="","",IF(M15&lt;=$AR$1,"O","X"))</f>
        <v>O</v>
      </c>
      <c r="AS15" s="75" t="s">
        <v>2</v>
      </c>
      <c r="AT15" s="75" t="str">
        <f>IF(OR(F15="",AI15=""),"",IF(AND((F15&lt;=85),(AI15&gt;=15)),"O","X"))</f>
        <v>X</v>
      </c>
      <c r="AU15" s="75" t="str">
        <f>IF(C15="","",IF(C15&gt;=$AU$1,"O","X"))</f>
        <v>X</v>
      </c>
      <c r="AV15" s="75" t="str">
        <f>IF(AO15="","",IF(AND(AO15="O",AP15="O",AR15="O",AT15="O",AU15="O"),"후보","X"))</f>
        <v/>
      </c>
    </row>
    <row r="16" spans="1:48" x14ac:dyDescent="0.3">
      <c r="A16" s="9" t="s">
        <v>387</v>
      </c>
      <c r="B16" s="10" t="s">
        <v>891</v>
      </c>
      <c r="C16" s="107">
        <v>264</v>
      </c>
      <c r="D16" s="104">
        <v>160.1</v>
      </c>
      <c r="E16" s="106">
        <v>48</v>
      </c>
      <c r="F16" s="104">
        <v>131.5</v>
      </c>
      <c r="G16" s="17">
        <v>40</v>
      </c>
      <c r="H16" s="107">
        <v>132</v>
      </c>
      <c r="I16" s="108"/>
      <c r="J16" s="108"/>
      <c r="K16" s="108"/>
      <c r="L16" s="108"/>
      <c r="M16" s="109">
        <f>I16-K16</f>
        <v>0</v>
      </c>
      <c r="N16" s="4" t="str">
        <f>IF(ISERROR(K16/I16),"",K16/I16)</f>
        <v/>
      </c>
      <c r="O16" s="105">
        <f>I16/E16</f>
        <v>0</v>
      </c>
      <c r="P16" s="105">
        <f>K16/E16</f>
        <v>0</v>
      </c>
      <c r="Q16" s="75">
        <v>4</v>
      </c>
      <c r="R16" s="75">
        <v>2</v>
      </c>
      <c r="S16" s="75" t="s">
        <v>869</v>
      </c>
      <c r="T16" s="5">
        <v>160</v>
      </c>
      <c r="U16" s="9"/>
      <c r="W16" s="104">
        <f t="shared" si="8"/>
        <v>160.1</v>
      </c>
      <c r="X16" s="106">
        <f t="shared" si="8"/>
        <v>48</v>
      </c>
      <c r="Y16" s="102">
        <f t="shared" si="9"/>
        <v>132</v>
      </c>
      <c r="Z16" s="109">
        <f t="shared" si="9"/>
        <v>0</v>
      </c>
      <c r="AA16" s="109">
        <f>K16</f>
        <v>0</v>
      </c>
      <c r="AB16" s="109">
        <f t="shared" si="10"/>
        <v>0</v>
      </c>
      <c r="AC16" s="4" t="str">
        <f t="shared" si="10"/>
        <v/>
      </c>
      <c r="AD16" s="105">
        <f t="shared" si="10"/>
        <v>0</v>
      </c>
      <c r="AE16" s="75" t="str">
        <f>S16</f>
        <v>계</v>
      </c>
      <c r="AF16" s="75" t="str">
        <f>Q16&amp;"/"&amp;R16</f>
        <v>4/2</v>
      </c>
      <c r="AH16" s="20" t="str">
        <f t="shared" si="1"/>
        <v>진해석동한솔솔파크1단지</v>
      </c>
      <c r="AI16" s="106">
        <f t="shared" si="0"/>
        <v>48</v>
      </c>
      <c r="AJ16" s="75" t="str">
        <f>IF(AI16="","",$AJ$2)</f>
        <v>A-</v>
      </c>
      <c r="AK16" s="75" t="s">
        <v>14</v>
      </c>
      <c r="AL16" s="75" t="s">
        <v>870</v>
      </c>
      <c r="AM16" s="75" t="s">
        <v>871</v>
      </c>
      <c r="AN16" s="75" t="str">
        <f>IF(AI16="","",$AN$2)</f>
        <v>C</v>
      </c>
      <c r="AO16" s="75" t="str">
        <f>IF(N16="","",IF(N16&gt;=$AO$1/100,"O","X"))</f>
        <v/>
      </c>
      <c r="AP16" s="75" t="str">
        <f>IF(I16="","",IF(I16&lt;=$AP$1,"O","X"))</f>
        <v/>
      </c>
      <c r="AQ16" s="75" t="str">
        <f>IF(O16="","",IF(O16&lt;=$AQ$1,"O","X"))</f>
        <v>O</v>
      </c>
      <c r="AR16" s="75" t="str">
        <f>IF(M16="","",IF(M16&lt;=$AR$1,"O","X"))</f>
        <v>O</v>
      </c>
      <c r="AS16" s="75" t="s">
        <v>2</v>
      </c>
      <c r="AT16" s="75" t="str">
        <f>IF(OR(F16="",AI16=""),"",IF(AND((F16&lt;=85),(AI16&gt;=15)),"O","X"))</f>
        <v>X</v>
      </c>
      <c r="AU16" s="75" t="str">
        <f>IF(C16="","",IF(C16&gt;=$AU$1,"O","X"))</f>
        <v>X</v>
      </c>
      <c r="AV16" s="75" t="str">
        <f>IF(AO16="","",IF(AND(AO16="O",AP16="O",AR16="O",AT16="O",AU16="O"),"후보","X"))</f>
        <v/>
      </c>
    </row>
    <row r="17" spans="1:48" x14ac:dyDescent="0.3">
      <c r="A17" s="9" t="s">
        <v>387</v>
      </c>
      <c r="B17" s="10" t="s">
        <v>891</v>
      </c>
      <c r="C17" s="107">
        <v>264</v>
      </c>
      <c r="D17" s="104">
        <v>183.9</v>
      </c>
      <c r="E17" s="106">
        <v>56</v>
      </c>
      <c r="F17" s="104">
        <v>153.30000000000001</v>
      </c>
      <c r="G17" s="17">
        <v>46</v>
      </c>
      <c r="H17" s="107">
        <v>88</v>
      </c>
      <c r="I17" s="108"/>
      <c r="J17" s="108"/>
      <c r="K17" s="108"/>
      <c r="L17" s="108"/>
      <c r="M17" s="109">
        <f>I17-K17</f>
        <v>0</v>
      </c>
      <c r="N17" s="4" t="str">
        <f>IF(ISERROR(K17/I17),"",K17/I17)</f>
        <v/>
      </c>
      <c r="O17" s="105">
        <f>I17/E17</f>
        <v>0</v>
      </c>
      <c r="P17" s="105">
        <f>K17/E17</f>
        <v>0</v>
      </c>
      <c r="Q17" s="75">
        <v>4</v>
      </c>
      <c r="R17" s="75">
        <v>2</v>
      </c>
      <c r="S17" s="75" t="s">
        <v>869</v>
      </c>
      <c r="T17" s="5">
        <v>183</v>
      </c>
      <c r="U17" s="9"/>
      <c r="W17" s="104">
        <f t="shared" si="8"/>
        <v>183.9</v>
      </c>
      <c r="X17" s="106">
        <f t="shared" si="8"/>
        <v>56</v>
      </c>
      <c r="Y17" s="102">
        <f t="shared" si="9"/>
        <v>88</v>
      </c>
      <c r="Z17" s="109">
        <f t="shared" si="9"/>
        <v>0</v>
      </c>
      <c r="AA17" s="109">
        <f>K17</f>
        <v>0</v>
      </c>
      <c r="AB17" s="109">
        <f t="shared" si="10"/>
        <v>0</v>
      </c>
      <c r="AC17" s="4" t="str">
        <f t="shared" si="10"/>
        <v/>
      </c>
      <c r="AD17" s="105">
        <f t="shared" si="10"/>
        <v>0</v>
      </c>
      <c r="AE17" s="75" t="str">
        <f>S17</f>
        <v>계</v>
      </c>
      <c r="AF17" s="75" t="str">
        <f>Q17&amp;"/"&amp;R17</f>
        <v>4/2</v>
      </c>
      <c r="AH17" s="20" t="str">
        <f t="shared" si="1"/>
        <v>진해석동한솔솔파크1단지</v>
      </c>
      <c r="AI17" s="106">
        <f t="shared" si="0"/>
        <v>56</v>
      </c>
      <c r="AJ17" s="75" t="str">
        <f>IF(AI17="","",$AJ$2)</f>
        <v>A-</v>
      </c>
      <c r="AK17" s="75" t="s">
        <v>14</v>
      </c>
      <c r="AL17" s="75" t="s">
        <v>870</v>
      </c>
      <c r="AM17" s="75" t="s">
        <v>871</v>
      </c>
      <c r="AN17" s="75" t="str">
        <f>IF(AI17="","",$AN$2)</f>
        <v>C</v>
      </c>
      <c r="AO17" s="75" t="str">
        <f>IF(N17="","",IF(N17&gt;=$AO$1/100,"O","X"))</f>
        <v/>
      </c>
      <c r="AP17" s="75" t="str">
        <f>IF(I17="","",IF(I17&lt;=$AP$1,"O","X"))</f>
        <v/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X</v>
      </c>
      <c r="AU17" s="75" t="str">
        <f>IF(C17="","",IF(C17&gt;=$AU$1,"O","X"))</f>
        <v>X</v>
      </c>
      <c r="AV17" s="75" t="str">
        <f>IF(AO17="","",IF(AND(AO17="O",AP17="O",AR17="O",AT17="O",AU17="O"),"후보","X"))</f>
        <v/>
      </c>
    </row>
    <row r="18" spans="1:48" x14ac:dyDescent="0.3">
      <c r="A18" s="9"/>
      <c r="B18" s="75"/>
      <c r="C18" s="6"/>
      <c r="D18" s="9"/>
      <c r="E18" s="14"/>
      <c r="F18" s="104"/>
      <c r="G18" s="9"/>
      <c r="H18" s="9"/>
      <c r="I18" s="9"/>
      <c r="J18" s="9"/>
      <c r="K18" s="9"/>
      <c r="L18" s="9"/>
      <c r="M18" s="9"/>
      <c r="N18" s="9"/>
      <c r="O18" s="105"/>
      <c r="P18" s="105"/>
      <c r="Q18" s="106"/>
      <c r="R18" s="106"/>
      <c r="S18" s="9"/>
      <c r="T18" s="48"/>
      <c r="U18" s="9"/>
      <c r="W18" s="70" t="str">
        <f>$A$4&amp;" "&amp;A19&amp;"("&amp;B19&amp;","&amp;C19&amp;"^)"</f>
        <v>석동 벚꽃그린빌주공3단지('03.03.,613^)</v>
      </c>
      <c r="X18" s="71"/>
      <c r="Y18" s="71"/>
      <c r="Z18" s="71"/>
      <c r="AA18" s="71"/>
      <c r="AB18" s="71"/>
      <c r="AC18" s="71"/>
      <c r="AD18" s="71"/>
      <c r="AE18" s="71"/>
      <c r="AF18" s="72"/>
      <c r="AH18" s="20" t="str">
        <f t="shared" si="1"/>
        <v/>
      </c>
      <c r="AI18" s="103" t="str">
        <f t="shared" si="0"/>
        <v/>
      </c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</row>
    <row r="19" spans="1:48" x14ac:dyDescent="0.3">
      <c r="A19" s="9" t="s">
        <v>400</v>
      </c>
      <c r="B19" s="10" t="s">
        <v>899</v>
      </c>
      <c r="C19" s="107">
        <v>613</v>
      </c>
      <c r="D19" s="104">
        <v>82.8</v>
      </c>
      <c r="E19" s="106">
        <v>25</v>
      </c>
      <c r="F19" s="104">
        <v>66.7</v>
      </c>
      <c r="G19" s="17">
        <v>20</v>
      </c>
      <c r="H19" s="107">
        <v>20</v>
      </c>
      <c r="I19" s="108"/>
      <c r="J19" s="108"/>
      <c r="K19" s="108"/>
      <c r="L19" s="108"/>
      <c r="M19" s="109">
        <f>I19-K19</f>
        <v>0</v>
      </c>
      <c r="N19" s="4" t="str">
        <f>IF(ISERROR(K19/I19),"",K19/I19)</f>
        <v/>
      </c>
      <c r="O19" s="105">
        <f>I19/E19</f>
        <v>0</v>
      </c>
      <c r="P19" s="105">
        <f>K19/E19</f>
        <v>0</v>
      </c>
      <c r="Q19" s="75">
        <v>3</v>
      </c>
      <c r="R19" s="75">
        <v>2</v>
      </c>
      <c r="S19" s="75" t="s">
        <v>869</v>
      </c>
      <c r="T19" s="5">
        <v>82</v>
      </c>
      <c r="U19" s="9"/>
      <c r="W19" s="104">
        <f t="shared" ref="W19:X21" si="11">D19</f>
        <v>82.8</v>
      </c>
      <c r="X19" s="106">
        <f t="shared" si="11"/>
        <v>25</v>
      </c>
      <c r="Y19" s="102">
        <f t="shared" ref="Y19:Z21" si="12">H19</f>
        <v>20</v>
      </c>
      <c r="Z19" s="109">
        <f t="shared" si="12"/>
        <v>0</v>
      </c>
      <c r="AA19" s="109">
        <f>K19</f>
        <v>0</v>
      </c>
      <c r="AB19" s="109">
        <f t="shared" ref="AB19:AD21" si="13">M19</f>
        <v>0</v>
      </c>
      <c r="AC19" s="4" t="str">
        <f t="shared" si="13"/>
        <v/>
      </c>
      <c r="AD19" s="105">
        <f t="shared" si="13"/>
        <v>0</v>
      </c>
      <c r="AE19" s="75" t="str">
        <f>S19</f>
        <v>계</v>
      </c>
      <c r="AF19" s="75" t="str">
        <f>Q19&amp;"/"&amp;R19</f>
        <v>3/2</v>
      </c>
      <c r="AH19" s="20" t="str">
        <f t="shared" si="1"/>
        <v>벚꽃그린빌주공3단지</v>
      </c>
      <c r="AI19" s="106">
        <f t="shared" si="0"/>
        <v>25</v>
      </c>
      <c r="AJ19" s="75" t="str">
        <f>IF(AI19="","",$AJ$2)</f>
        <v>A-</v>
      </c>
      <c r="AK19" s="75" t="s">
        <v>14</v>
      </c>
      <c r="AL19" s="75" t="s">
        <v>870</v>
      </c>
      <c r="AM19" s="75" t="s">
        <v>871</v>
      </c>
      <c r="AN19" s="75" t="str">
        <f>IF(AI19="","",$AN$2)</f>
        <v>C</v>
      </c>
      <c r="AO19" s="75" t="str">
        <f>IF(N19="","",IF(N19&gt;=$AO$1/100,"O","X"))</f>
        <v/>
      </c>
      <c r="AP19" s="75" t="str">
        <f>IF(I19="","",IF(I19&lt;=$AP$1,"O","X"))</f>
        <v/>
      </c>
      <c r="AQ19" s="75" t="str">
        <f>IF(O19="","",IF(O19&lt;=$AQ$1,"O","X"))</f>
        <v>O</v>
      </c>
      <c r="AR19" s="75" t="str">
        <f>IF(M19="","",IF(M19&lt;=$AR$1,"O","X"))</f>
        <v>O</v>
      </c>
      <c r="AS19" s="75" t="s">
        <v>2</v>
      </c>
      <c r="AT19" s="75" t="str">
        <f>IF(OR(F19="",AI19=""),"",IF(AND((F19&lt;=85),(AI19&gt;=15)),"O","X"))</f>
        <v>O</v>
      </c>
      <c r="AU19" s="75" t="str">
        <f>IF(C19="","",IF(C19&gt;=$AU$1,"O","X"))</f>
        <v>O</v>
      </c>
      <c r="AV19" s="75" t="str">
        <f>IF(AO19="","",IF(AND(AO19="O",AP19="O",AR19="O",AT19="O",AU19="O"),"후보","X"))</f>
        <v/>
      </c>
    </row>
    <row r="20" spans="1:48" x14ac:dyDescent="0.3">
      <c r="A20" s="9" t="s">
        <v>400</v>
      </c>
      <c r="B20" s="10" t="s">
        <v>899</v>
      </c>
      <c r="C20" s="107">
        <v>613</v>
      </c>
      <c r="D20" s="104">
        <v>105.5</v>
      </c>
      <c r="E20" s="106">
        <v>32</v>
      </c>
      <c r="F20" s="104">
        <v>85</v>
      </c>
      <c r="G20" s="17">
        <v>26</v>
      </c>
      <c r="H20" s="107">
        <v>413</v>
      </c>
      <c r="I20" s="108">
        <v>34000</v>
      </c>
      <c r="J20" s="108" t="s">
        <v>878</v>
      </c>
      <c r="K20" s="108"/>
      <c r="L20" s="108"/>
      <c r="M20" s="109">
        <f>I20-K20</f>
        <v>34000</v>
      </c>
      <c r="N20" s="4">
        <f>IF(ISERROR(K20/I20),"",K20/I20)</f>
        <v>0</v>
      </c>
      <c r="O20" s="105">
        <f>I20/E20</f>
        <v>1062.5</v>
      </c>
      <c r="P20" s="105">
        <f>K20/E20</f>
        <v>0</v>
      </c>
      <c r="Q20" s="75">
        <v>3</v>
      </c>
      <c r="R20" s="75">
        <v>2</v>
      </c>
      <c r="S20" s="75" t="s">
        <v>869</v>
      </c>
      <c r="T20" s="5" t="s">
        <v>405</v>
      </c>
      <c r="U20" s="9"/>
      <c r="W20" s="104">
        <f t="shared" si="11"/>
        <v>105.5</v>
      </c>
      <c r="X20" s="106">
        <f t="shared" si="11"/>
        <v>32</v>
      </c>
      <c r="Y20" s="102">
        <f t="shared" si="12"/>
        <v>413</v>
      </c>
      <c r="Z20" s="109">
        <f t="shared" si="12"/>
        <v>34000</v>
      </c>
      <c r="AA20" s="109">
        <f>K20</f>
        <v>0</v>
      </c>
      <c r="AB20" s="109">
        <f t="shared" si="13"/>
        <v>34000</v>
      </c>
      <c r="AC20" s="4">
        <f t="shared" si="13"/>
        <v>0</v>
      </c>
      <c r="AD20" s="105">
        <f t="shared" si="13"/>
        <v>1062.5</v>
      </c>
      <c r="AE20" s="75" t="str">
        <f>S20</f>
        <v>계</v>
      </c>
      <c r="AF20" s="75" t="str">
        <f>Q20&amp;"/"&amp;R20</f>
        <v>3/2</v>
      </c>
      <c r="AH20" s="20" t="str">
        <f t="shared" si="1"/>
        <v>벚꽃그린빌주공3단지</v>
      </c>
      <c r="AI20" s="106">
        <f t="shared" si="0"/>
        <v>32</v>
      </c>
      <c r="AJ20" s="75" t="str">
        <f>IF(AI20="","",$AJ$2)</f>
        <v>A-</v>
      </c>
      <c r="AK20" s="75" t="s">
        <v>14</v>
      </c>
      <c r="AL20" s="75" t="s">
        <v>870</v>
      </c>
      <c r="AM20" s="75" t="s">
        <v>871</v>
      </c>
      <c r="AN20" s="75" t="str">
        <f>IF(AI20="","",$AN$2)</f>
        <v>C</v>
      </c>
      <c r="AO20" s="75" t="str">
        <f>IF(N20="","",IF(N20&gt;=$AO$1/100,"O","X"))</f>
        <v>X</v>
      </c>
      <c r="AP20" s="75" t="str">
        <f>IF(I20="","",IF(I20&lt;=$AP$1,"O","X"))</f>
        <v>O</v>
      </c>
      <c r="AQ20" s="75" t="str">
        <f>IF(O20="","",IF(O20&lt;=$AQ$1,"O","X"))</f>
        <v>X</v>
      </c>
      <c r="AR20" s="75" t="str">
        <f>IF(M20="","",IF(M20&lt;=$AR$1,"O","X"))</f>
        <v>X</v>
      </c>
      <c r="AS20" s="75" t="s">
        <v>2</v>
      </c>
      <c r="AT20" s="75" t="str">
        <f>IF(OR(F20="",AI20=""),"",IF(AND((F20&lt;=85),(AI20&gt;=15)),"O","X"))</f>
        <v>O</v>
      </c>
      <c r="AU20" s="75" t="str">
        <f>IF(C20="","",IF(C20&gt;=$AU$1,"O","X"))</f>
        <v>O</v>
      </c>
      <c r="AV20" s="75" t="str">
        <f>IF(AO20="","",IF(AND(AO20="O",AP20="O",AR20="O",AT20="O",AU20="O"),"후보","X"))</f>
        <v>X</v>
      </c>
    </row>
    <row r="21" spans="1:48" x14ac:dyDescent="0.3">
      <c r="A21" s="9" t="s">
        <v>400</v>
      </c>
      <c r="B21" s="10" t="s">
        <v>899</v>
      </c>
      <c r="C21" s="107">
        <v>613</v>
      </c>
      <c r="D21" s="104">
        <v>105.5</v>
      </c>
      <c r="E21" s="106">
        <v>32</v>
      </c>
      <c r="F21" s="104">
        <v>85</v>
      </c>
      <c r="G21" s="17">
        <v>26</v>
      </c>
      <c r="H21" s="107">
        <v>180</v>
      </c>
      <c r="I21" s="108">
        <v>34000</v>
      </c>
      <c r="J21" s="108" t="s">
        <v>878</v>
      </c>
      <c r="K21" s="108"/>
      <c r="L21" s="108"/>
      <c r="M21" s="109">
        <f>I21-K21</f>
        <v>34000</v>
      </c>
      <c r="N21" s="4">
        <f>IF(ISERROR(K21/I21),"",K21/I21)</f>
        <v>0</v>
      </c>
      <c r="O21" s="105">
        <f>I21/E21</f>
        <v>1062.5</v>
      </c>
      <c r="P21" s="105">
        <f>K21/E21</f>
        <v>0</v>
      </c>
      <c r="Q21" s="75">
        <v>3</v>
      </c>
      <c r="R21" s="75">
        <v>2</v>
      </c>
      <c r="S21" s="75" t="s">
        <v>869</v>
      </c>
      <c r="T21" s="5" t="s">
        <v>310</v>
      </c>
      <c r="U21" s="9"/>
      <c r="W21" s="104">
        <f t="shared" si="11"/>
        <v>105.5</v>
      </c>
      <c r="X21" s="106">
        <f t="shared" si="11"/>
        <v>32</v>
      </c>
      <c r="Y21" s="102">
        <f t="shared" si="12"/>
        <v>180</v>
      </c>
      <c r="Z21" s="109">
        <f t="shared" si="12"/>
        <v>34000</v>
      </c>
      <c r="AA21" s="109">
        <f>K21</f>
        <v>0</v>
      </c>
      <c r="AB21" s="109">
        <f t="shared" si="13"/>
        <v>34000</v>
      </c>
      <c r="AC21" s="4">
        <f t="shared" si="13"/>
        <v>0</v>
      </c>
      <c r="AD21" s="105">
        <f t="shared" si="13"/>
        <v>1062.5</v>
      </c>
      <c r="AE21" s="75" t="str">
        <f>S21</f>
        <v>계</v>
      </c>
      <c r="AF21" s="75" t="str">
        <f>Q21&amp;"/"&amp;R21</f>
        <v>3/2</v>
      </c>
      <c r="AH21" s="20" t="str">
        <f t="shared" si="1"/>
        <v>벚꽃그린빌주공3단지</v>
      </c>
      <c r="AI21" s="106">
        <f t="shared" si="0"/>
        <v>32</v>
      </c>
      <c r="AJ21" s="75" t="str">
        <f>IF(AI21="","",$AJ$2)</f>
        <v>A-</v>
      </c>
      <c r="AK21" s="75" t="s">
        <v>14</v>
      </c>
      <c r="AL21" s="75" t="s">
        <v>870</v>
      </c>
      <c r="AM21" s="75" t="s">
        <v>871</v>
      </c>
      <c r="AN21" s="75" t="str">
        <f>IF(AI21="","",$AN$2)</f>
        <v>C</v>
      </c>
      <c r="AO21" s="75" t="str">
        <f>IF(N21="","",IF(N21&gt;=$AO$1/100,"O","X"))</f>
        <v>X</v>
      </c>
      <c r="AP21" s="75" t="str">
        <f>IF(I21="","",IF(I21&lt;=$AP$1,"O","X"))</f>
        <v>O</v>
      </c>
      <c r="AQ21" s="75" t="str">
        <f>IF(O21="","",IF(O21&lt;=$AQ$1,"O","X"))</f>
        <v>X</v>
      </c>
      <c r="AR21" s="75" t="str">
        <f>IF(M21="","",IF(M21&lt;=$AR$1,"O","X"))</f>
        <v>X</v>
      </c>
      <c r="AS21" s="75" t="s">
        <v>2</v>
      </c>
      <c r="AT21" s="75" t="str">
        <f>IF(OR(F21="",AI21=""),"",IF(AND((F21&lt;=85),(AI21&gt;=15)),"O","X"))</f>
        <v>O</v>
      </c>
      <c r="AU21" s="75" t="str">
        <f>IF(C21="","",IF(C21&gt;=$AU$1,"O","X"))</f>
        <v>O</v>
      </c>
      <c r="AV21" s="75" t="str">
        <f>IF(AO21="","",IF(AND(AO21="O",AP21="O",AR21="O",AT21="O",AU21="O"),"후보","X"))</f>
        <v>X</v>
      </c>
    </row>
    <row r="22" spans="1:48" x14ac:dyDescent="0.3">
      <c r="A22" s="9"/>
      <c r="B22" s="75"/>
      <c r="C22" s="6"/>
      <c r="D22" s="9"/>
      <c r="E22" s="14"/>
      <c r="F22" s="104"/>
      <c r="G22" s="9"/>
      <c r="H22" s="9"/>
      <c r="I22" s="9"/>
      <c r="J22" s="9"/>
      <c r="K22" s="9"/>
      <c r="L22" s="9"/>
      <c r="M22" s="9"/>
      <c r="N22" s="9"/>
      <c r="O22" s="105"/>
      <c r="P22" s="105"/>
      <c r="Q22" s="106"/>
      <c r="R22" s="106"/>
      <c r="S22" s="9"/>
      <c r="T22" s="48"/>
      <c r="U22" s="9"/>
      <c r="W22" s="70" t="str">
        <f>$A$4&amp;" "&amp;A23&amp;"("&amp;B23&amp;","&amp;C23&amp;"^)"</f>
        <v>석동 진해석동우림필유('08.03.,1192^)</v>
      </c>
      <c r="X22" s="71"/>
      <c r="Y22" s="71"/>
      <c r="Z22" s="71"/>
      <c r="AA22" s="71"/>
      <c r="AB22" s="71"/>
      <c r="AC22" s="71"/>
      <c r="AD22" s="71"/>
      <c r="AE22" s="71"/>
      <c r="AF22" s="72"/>
      <c r="AH22" s="20" t="str">
        <f t="shared" si="1"/>
        <v/>
      </c>
      <c r="AI22" s="103" t="str">
        <f t="shared" si="0"/>
        <v/>
      </c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</row>
    <row r="23" spans="1:48" x14ac:dyDescent="0.3">
      <c r="A23" s="9" t="s">
        <v>410</v>
      </c>
      <c r="B23" s="10" t="s">
        <v>900</v>
      </c>
      <c r="C23" s="107">
        <v>1192</v>
      </c>
      <c r="D23" s="104">
        <v>111.6</v>
      </c>
      <c r="E23" s="106">
        <v>34</v>
      </c>
      <c r="F23" s="104">
        <v>84.9</v>
      </c>
      <c r="G23" s="17">
        <v>26</v>
      </c>
      <c r="H23" s="107">
        <v>398</v>
      </c>
      <c r="I23" s="108">
        <v>43000</v>
      </c>
      <c r="J23" s="108" t="s">
        <v>885</v>
      </c>
      <c r="K23" s="108"/>
      <c r="L23" s="108"/>
      <c r="M23" s="109">
        <f t="shared" ref="M23:M33" si="14">I23-K23</f>
        <v>43000</v>
      </c>
      <c r="N23" s="4">
        <f t="shared" ref="N23:N33" si="15">IF(ISERROR(K23/I23),"",K23/I23)</f>
        <v>0</v>
      </c>
      <c r="O23" s="105">
        <f t="shared" ref="O23:O33" si="16">I23/E23</f>
        <v>1264.7058823529412</v>
      </c>
      <c r="P23" s="105">
        <f t="shared" ref="P23:P33" si="17">K23/E23</f>
        <v>0</v>
      </c>
      <c r="Q23" s="75">
        <v>3</v>
      </c>
      <c r="R23" s="75">
        <v>2</v>
      </c>
      <c r="S23" s="75" t="s">
        <v>869</v>
      </c>
      <c r="T23" s="5">
        <v>111</v>
      </c>
      <c r="U23" s="9"/>
      <c r="W23" s="104">
        <f t="shared" ref="W23:W33" si="18">D23</f>
        <v>111.6</v>
      </c>
      <c r="X23" s="106">
        <f t="shared" ref="X23:X33" si="19">E23</f>
        <v>34</v>
      </c>
      <c r="Y23" s="102">
        <f t="shared" ref="Y23:Y33" si="20">H23</f>
        <v>398</v>
      </c>
      <c r="Z23" s="109">
        <f t="shared" ref="Z23:Z33" si="21">I23</f>
        <v>43000</v>
      </c>
      <c r="AA23" s="109">
        <f t="shared" ref="AA23:AA33" si="22">K23</f>
        <v>0</v>
      </c>
      <c r="AB23" s="109">
        <f t="shared" ref="AB23:AB33" si="23">M23</f>
        <v>43000</v>
      </c>
      <c r="AC23" s="4">
        <f t="shared" ref="AC23:AC33" si="24">N23</f>
        <v>0</v>
      </c>
      <c r="AD23" s="105">
        <f t="shared" ref="AD23:AD33" si="25">O23</f>
        <v>1264.7058823529412</v>
      </c>
      <c r="AE23" s="75" t="str">
        <f t="shared" ref="AE23:AE33" si="26">S23</f>
        <v>계</v>
      </c>
      <c r="AF23" s="75" t="str">
        <f t="shared" ref="AF23:AF33" si="27">Q23&amp;"/"&amp;R23</f>
        <v>3/2</v>
      </c>
      <c r="AH23" s="20" t="str">
        <f t="shared" si="1"/>
        <v>진해석동우림필유</v>
      </c>
      <c r="AI23" s="106">
        <f t="shared" si="0"/>
        <v>34</v>
      </c>
      <c r="AJ23" s="75" t="str">
        <f t="shared" ref="AJ23:AJ33" si="28">IF(AI23="","",$AJ$2)</f>
        <v>A-</v>
      </c>
      <c r="AK23" s="75" t="s">
        <v>14</v>
      </c>
      <c r="AL23" s="75" t="s">
        <v>870</v>
      </c>
      <c r="AM23" s="75" t="s">
        <v>871</v>
      </c>
      <c r="AN23" s="75" t="str">
        <f t="shared" ref="AN23:AN33" si="29">IF(AI23="","",$AN$2)</f>
        <v>C</v>
      </c>
      <c r="AO23" s="75" t="str">
        <f t="shared" ref="AO23:AO33" si="30">IF(N23="","",IF(N23&gt;=$AO$1/100,"O","X"))</f>
        <v>X</v>
      </c>
      <c r="AP23" s="75" t="str">
        <f t="shared" ref="AP23:AP33" si="31">IF(I23="","",IF(I23&lt;=$AP$1,"O","X"))</f>
        <v>O</v>
      </c>
      <c r="AQ23" s="75" t="str">
        <f t="shared" ref="AQ23:AQ33" si="32">IF(O23="","",IF(O23&lt;=$AQ$1,"O","X"))</f>
        <v>X</v>
      </c>
      <c r="AR23" s="75" t="str">
        <f t="shared" ref="AR23:AR33" si="33">IF(M23="","",IF(M23&lt;=$AR$1,"O","X"))</f>
        <v>X</v>
      </c>
      <c r="AS23" s="75" t="s">
        <v>2</v>
      </c>
      <c r="AT23" s="75" t="str">
        <f t="shared" ref="AT23:AT33" si="34">IF(OR(F23="",AI23=""),"",IF(AND((F23&lt;=85),(AI23&gt;=15)),"O","X"))</f>
        <v>O</v>
      </c>
      <c r="AU23" s="75" t="str">
        <f t="shared" ref="AU23:AU33" si="35">IF(C23="","",IF(C23&gt;=$AU$1,"O","X"))</f>
        <v>O</v>
      </c>
      <c r="AV23" s="75" t="str">
        <f t="shared" ref="AV23:AV33" si="36">IF(AO23="","",IF(AND(AO23="O",AP23="O",AR23="O",AT23="O",AU23="O"),"후보","X"))</f>
        <v>X</v>
      </c>
    </row>
    <row r="24" spans="1:48" x14ac:dyDescent="0.3">
      <c r="A24" s="9" t="s">
        <v>410</v>
      </c>
      <c r="B24" s="10" t="s">
        <v>900</v>
      </c>
      <c r="C24" s="107">
        <v>1192</v>
      </c>
      <c r="D24" s="104">
        <v>112.5</v>
      </c>
      <c r="E24" s="106">
        <v>34</v>
      </c>
      <c r="F24" s="104">
        <v>85</v>
      </c>
      <c r="G24" s="17">
        <v>26</v>
      </c>
      <c r="H24" s="107">
        <v>238</v>
      </c>
      <c r="I24" s="108">
        <v>44000</v>
      </c>
      <c r="J24" s="108" t="s">
        <v>873</v>
      </c>
      <c r="K24" s="108"/>
      <c r="L24" s="108"/>
      <c r="M24" s="109">
        <f t="shared" si="14"/>
        <v>44000</v>
      </c>
      <c r="N24" s="4">
        <f t="shared" si="15"/>
        <v>0</v>
      </c>
      <c r="O24" s="105">
        <f t="shared" si="16"/>
        <v>1294.1176470588234</v>
      </c>
      <c r="P24" s="105">
        <f t="shared" si="17"/>
        <v>0</v>
      </c>
      <c r="Q24" s="75">
        <v>3</v>
      </c>
      <c r="R24" s="75">
        <v>2</v>
      </c>
      <c r="S24" s="75" t="s">
        <v>869</v>
      </c>
      <c r="T24" s="5" t="s">
        <v>122</v>
      </c>
      <c r="U24" s="9"/>
      <c r="W24" s="104">
        <f t="shared" si="18"/>
        <v>112.5</v>
      </c>
      <c r="X24" s="106">
        <f t="shared" si="19"/>
        <v>34</v>
      </c>
      <c r="Y24" s="102">
        <f t="shared" si="20"/>
        <v>238</v>
      </c>
      <c r="Z24" s="109">
        <f t="shared" si="21"/>
        <v>44000</v>
      </c>
      <c r="AA24" s="109">
        <f t="shared" si="22"/>
        <v>0</v>
      </c>
      <c r="AB24" s="109">
        <f t="shared" si="23"/>
        <v>44000</v>
      </c>
      <c r="AC24" s="4">
        <f t="shared" si="24"/>
        <v>0</v>
      </c>
      <c r="AD24" s="105">
        <f t="shared" si="25"/>
        <v>1294.1176470588234</v>
      </c>
      <c r="AE24" s="75" t="str">
        <f t="shared" si="26"/>
        <v>계</v>
      </c>
      <c r="AF24" s="75" t="str">
        <f t="shared" si="27"/>
        <v>3/2</v>
      </c>
      <c r="AH24" s="20" t="str">
        <f t="shared" si="1"/>
        <v>진해석동우림필유</v>
      </c>
      <c r="AI24" s="106">
        <f t="shared" si="0"/>
        <v>34</v>
      </c>
      <c r="AJ24" s="75" t="str">
        <f t="shared" si="28"/>
        <v>A-</v>
      </c>
      <c r="AK24" s="75" t="s">
        <v>14</v>
      </c>
      <c r="AL24" s="75" t="s">
        <v>870</v>
      </c>
      <c r="AM24" s="75" t="s">
        <v>871</v>
      </c>
      <c r="AN24" s="75" t="str">
        <f t="shared" si="29"/>
        <v>C</v>
      </c>
      <c r="AO24" s="75" t="str">
        <f t="shared" si="30"/>
        <v>X</v>
      </c>
      <c r="AP24" s="75" t="str">
        <f t="shared" si="31"/>
        <v>O</v>
      </c>
      <c r="AQ24" s="75" t="str">
        <f t="shared" si="32"/>
        <v>X</v>
      </c>
      <c r="AR24" s="75" t="str">
        <f t="shared" si="33"/>
        <v>X</v>
      </c>
      <c r="AS24" s="75" t="s">
        <v>2</v>
      </c>
      <c r="AT24" s="75" t="str">
        <f t="shared" si="34"/>
        <v>O</v>
      </c>
      <c r="AU24" s="75" t="str">
        <f t="shared" si="35"/>
        <v>O</v>
      </c>
      <c r="AV24" s="75" t="str">
        <f t="shared" si="36"/>
        <v>X</v>
      </c>
    </row>
    <row r="25" spans="1:48" x14ac:dyDescent="0.3">
      <c r="A25" s="9" t="s">
        <v>410</v>
      </c>
      <c r="B25" s="10" t="s">
        <v>900</v>
      </c>
      <c r="C25" s="107">
        <v>1192</v>
      </c>
      <c r="D25" s="104">
        <v>113.5</v>
      </c>
      <c r="E25" s="106">
        <v>34</v>
      </c>
      <c r="F25" s="104">
        <v>85</v>
      </c>
      <c r="G25" s="17">
        <v>26</v>
      </c>
      <c r="H25" s="107">
        <v>238</v>
      </c>
      <c r="I25" s="108">
        <v>41000</v>
      </c>
      <c r="J25" s="108" t="s">
        <v>868</v>
      </c>
      <c r="K25" s="108">
        <v>31000</v>
      </c>
      <c r="L25" s="108" t="s">
        <v>873</v>
      </c>
      <c r="M25" s="109">
        <f t="shared" si="14"/>
        <v>10000</v>
      </c>
      <c r="N25" s="4">
        <f t="shared" si="15"/>
        <v>0.75609756097560976</v>
      </c>
      <c r="O25" s="105">
        <f t="shared" si="16"/>
        <v>1205.8823529411766</v>
      </c>
      <c r="P25" s="105">
        <f t="shared" si="17"/>
        <v>911.76470588235293</v>
      </c>
      <c r="Q25" s="75">
        <v>3</v>
      </c>
      <c r="R25" s="75">
        <v>2</v>
      </c>
      <c r="S25" s="75" t="s">
        <v>869</v>
      </c>
      <c r="T25" s="5" t="s">
        <v>123</v>
      </c>
      <c r="U25" s="9"/>
      <c r="W25" s="104">
        <f t="shared" si="18"/>
        <v>113.5</v>
      </c>
      <c r="X25" s="106">
        <f t="shared" si="19"/>
        <v>34</v>
      </c>
      <c r="Y25" s="102">
        <f t="shared" si="20"/>
        <v>238</v>
      </c>
      <c r="Z25" s="109">
        <f t="shared" si="21"/>
        <v>41000</v>
      </c>
      <c r="AA25" s="109">
        <f t="shared" si="22"/>
        <v>31000</v>
      </c>
      <c r="AB25" s="109">
        <f t="shared" si="23"/>
        <v>10000</v>
      </c>
      <c r="AC25" s="4">
        <f t="shared" si="24"/>
        <v>0.75609756097560976</v>
      </c>
      <c r="AD25" s="105">
        <f t="shared" si="25"/>
        <v>1205.8823529411766</v>
      </c>
      <c r="AE25" s="75" t="str">
        <f t="shared" si="26"/>
        <v>계</v>
      </c>
      <c r="AF25" s="75" t="str">
        <f t="shared" si="27"/>
        <v>3/2</v>
      </c>
      <c r="AH25" s="20" t="str">
        <f t="shared" si="1"/>
        <v>진해석동우림필유</v>
      </c>
      <c r="AI25" s="106">
        <f t="shared" si="0"/>
        <v>34</v>
      </c>
      <c r="AJ25" s="75" t="str">
        <f t="shared" si="28"/>
        <v>A-</v>
      </c>
      <c r="AK25" s="75" t="s">
        <v>14</v>
      </c>
      <c r="AL25" s="75" t="s">
        <v>870</v>
      </c>
      <c r="AM25" s="75" t="s">
        <v>871</v>
      </c>
      <c r="AN25" s="75" t="str">
        <f t="shared" si="29"/>
        <v>C</v>
      </c>
      <c r="AO25" s="75" t="str">
        <f t="shared" si="30"/>
        <v>X</v>
      </c>
      <c r="AP25" s="75" t="str">
        <f t="shared" si="31"/>
        <v>O</v>
      </c>
      <c r="AQ25" s="75" t="str">
        <f t="shared" si="32"/>
        <v>X</v>
      </c>
      <c r="AR25" s="75" t="str">
        <f t="shared" si="33"/>
        <v>X</v>
      </c>
      <c r="AS25" s="75" t="s">
        <v>2</v>
      </c>
      <c r="AT25" s="75" t="str">
        <f t="shared" si="34"/>
        <v>O</v>
      </c>
      <c r="AU25" s="75" t="str">
        <f t="shared" si="35"/>
        <v>O</v>
      </c>
      <c r="AV25" s="75" t="str">
        <f t="shared" si="36"/>
        <v>X</v>
      </c>
    </row>
    <row r="26" spans="1:48" x14ac:dyDescent="0.3">
      <c r="A26" s="9" t="s">
        <v>410</v>
      </c>
      <c r="B26" s="10" t="s">
        <v>900</v>
      </c>
      <c r="C26" s="107">
        <v>1192</v>
      </c>
      <c r="D26" s="104">
        <v>163.69999999999999</v>
      </c>
      <c r="E26" s="106">
        <v>50</v>
      </c>
      <c r="F26" s="104">
        <v>133.4</v>
      </c>
      <c r="G26" s="17">
        <v>40</v>
      </c>
      <c r="H26" s="107">
        <v>146</v>
      </c>
      <c r="I26" s="108"/>
      <c r="J26" s="108"/>
      <c r="K26" s="108"/>
      <c r="L26" s="108"/>
      <c r="M26" s="109">
        <f t="shared" si="14"/>
        <v>0</v>
      </c>
      <c r="N26" s="4" t="str">
        <f t="shared" si="15"/>
        <v/>
      </c>
      <c r="O26" s="105">
        <f t="shared" si="16"/>
        <v>0</v>
      </c>
      <c r="P26" s="105">
        <f t="shared" si="17"/>
        <v>0</v>
      </c>
      <c r="Q26" s="75">
        <v>4</v>
      </c>
      <c r="R26" s="75">
        <v>2</v>
      </c>
      <c r="S26" s="75" t="s">
        <v>869</v>
      </c>
      <c r="T26" s="5">
        <v>163</v>
      </c>
      <c r="U26" s="9"/>
      <c r="W26" s="104">
        <f t="shared" si="18"/>
        <v>163.69999999999999</v>
      </c>
      <c r="X26" s="106">
        <f t="shared" si="19"/>
        <v>50</v>
      </c>
      <c r="Y26" s="102">
        <f t="shared" si="20"/>
        <v>146</v>
      </c>
      <c r="Z26" s="109">
        <f t="shared" si="21"/>
        <v>0</v>
      </c>
      <c r="AA26" s="109">
        <f t="shared" si="22"/>
        <v>0</v>
      </c>
      <c r="AB26" s="109">
        <f t="shared" si="23"/>
        <v>0</v>
      </c>
      <c r="AC26" s="4" t="str">
        <f t="shared" si="24"/>
        <v/>
      </c>
      <c r="AD26" s="105">
        <f t="shared" si="25"/>
        <v>0</v>
      </c>
      <c r="AE26" s="75" t="str">
        <f t="shared" si="26"/>
        <v>계</v>
      </c>
      <c r="AF26" s="75" t="str">
        <f t="shared" si="27"/>
        <v>4/2</v>
      </c>
      <c r="AH26" s="20" t="str">
        <f t="shared" si="1"/>
        <v>진해석동우림필유</v>
      </c>
      <c r="AI26" s="106">
        <f t="shared" si="0"/>
        <v>50</v>
      </c>
      <c r="AJ26" s="75" t="str">
        <f t="shared" si="28"/>
        <v>A-</v>
      </c>
      <c r="AK26" s="75" t="s">
        <v>14</v>
      </c>
      <c r="AL26" s="75" t="s">
        <v>870</v>
      </c>
      <c r="AM26" s="75" t="s">
        <v>871</v>
      </c>
      <c r="AN26" s="75" t="str">
        <f t="shared" si="29"/>
        <v>C</v>
      </c>
      <c r="AO26" s="75" t="str">
        <f t="shared" si="30"/>
        <v/>
      </c>
      <c r="AP26" s="75" t="str">
        <f t="shared" si="31"/>
        <v/>
      </c>
      <c r="AQ26" s="75" t="str">
        <f t="shared" si="32"/>
        <v>O</v>
      </c>
      <c r="AR26" s="75" t="str">
        <f t="shared" si="33"/>
        <v>O</v>
      </c>
      <c r="AS26" s="75" t="s">
        <v>2</v>
      </c>
      <c r="AT26" s="75" t="str">
        <f t="shared" si="34"/>
        <v>X</v>
      </c>
      <c r="AU26" s="75" t="str">
        <f t="shared" si="35"/>
        <v>O</v>
      </c>
      <c r="AV26" s="75" t="str">
        <f t="shared" si="36"/>
        <v/>
      </c>
    </row>
    <row r="27" spans="1:48" x14ac:dyDescent="0.3">
      <c r="A27" s="9" t="s">
        <v>410</v>
      </c>
      <c r="B27" s="10" t="s">
        <v>900</v>
      </c>
      <c r="C27" s="107">
        <v>1192</v>
      </c>
      <c r="D27" s="104">
        <v>175.8</v>
      </c>
      <c r="E27" s="106">
        <v>53</v>
      </c>
      <c r="F27" s="104">
        <v>133.80000000000001</v>
      </c>
      <c r="G27" s="17">
        <v>40</v>
      </c>
      <c r="H27" s="107">
        <v>4</v>
      </c>
      <c r="I27" s="108"/>
      <c r="J27" s="108"/>
      <c r="K27" s="108"/>
      <c r="L27" s="108"/>
      <c r="M27" s="109">
        <f t="shared" si="14"/>
        <v>0</v>
      </c>
      <c r="N27" s="4" t="str">
        <f t="shared" si="15"/>
        <v/>
      </c>
      <c r="O27" s="105">
        <f t="shared" si="16"/>
        <v>0</v>
      </c>
      <c r="P27" s="105">
        <f t="shared" si="17"/>
        <v>0</v>
      </c>
      <c r="Q27" s="75">
        <v>4</v>
      </c>
      <c r="R27" s="75">
        <v>3</v>
      </c>
      <c r="S27" s="75" t="s">
        <v>869</v>
      </c>
      <c r="T27" s="5" t="s">
        <v>415</v>
      </c>
      <c r="U27" s="9"/>
      <c r="W27" s="104">
        <f t="shared" si="18"/>
        <v>175.8</v>
      </c>
      <c r="X27" s="106">
        <f t="shared" si="19"/>
        <v>53</v>
      </c>
      <c r="Y27" s="102">
        <f t="shared" si="20"/>
        <v>4</v>
      </c>
      <c r="Z27" s="109">
        <f t="shared" si="21"/>
        <v>0</v>
      </c>
      <c r="AA27" s="109">
        <f t="shared" si="22"/>
        <v>0</v>
      </c>
      <c r="AB27" s="109">
        <f t="shared" si="23"/>
        <v>0</v>
      </c>
      <c r="AC27" s="4" t="str">
        <f t="shared" si="24"/>
        <v/>
      </c>
      <c r="AD27" s="105">
        <f t="shared" si="25"/>
        <v>0</v>
      </c>
      <c r="AE27" s="75" t="str">
        <f t="shared" si="26"/>
        <v>계</v>
      </c>
      <c r="AF27" s="75" t="str">
        <f t="shared" si="27"/>
        <v>4/3</v>
      </c>
      <c r="AH27" s="20" t="str">
        <f t="shared" si="1"/>
        <v>진해석동우림필유</v>
      </c>
      <c r="AI27" s="106">
        <f t="shared" si="0"/>
        <v>53</v>
      </c>
      <c r="AJ27" s="75" t="str">
        <f t="shared" si="28"/>
        <v>A-</v>
      </c>
      <c r="AK27" s="75" t="s">
        <v>14</v>
      </c>
      <c r="AL27" s="75" t="s">
        <v>870</v>
      </c>
      <c r="AM27" s="75" t="s">
        <v>871</v>
      </c>
      <c r="AN27" s="75" t="str">
        <f t="shared" si="29"/>
        <v>C</v>
      </c>
      <c r="AO27" s="75" t="str">
        <f t="shared" si="30"/>
        <v/>
      </c>
      <c r="AP27" s="75" t="str">
        <f t="shared" si="31"/>
        <v/>
      </c>
      <c r="AQ27" s="75" t="str">
        <f t="shared" si="32"/>
        <v>O</v>
      </c>
      <c r="AR27" s="75" t="str">
        <f t="shared" si="33"/>
        <v>O</v>
      </c>
      <c r="AS27" s="75" t="s">
        <v>2</v>
      </c>
      <c r="AT27" s="75" t="str">
        <f t="shared" si="34"/>
        <v>X</v>
      </c>
      <c r="AU27" s="75" t="str">
        <f t="shared" si="35"/>
        <v>O</v>
      </c>
      <c r="AV27" s="75" t="str">
        <f t="shared" si="36"/>
        <v/>
      </c>
    </row>
    <row r="28" spans="1:48" x14ac:dyDescent="0.3">
      <c r="A28" s="9" t="s">
        <v>410</v>
      </c>
      <c r="B28" s="10" t="s">
        <v>900</v>
      </c>
      <c r="C28" s="107">
        <v>1192</v>
      </c>
      <c r="D28" s="104">
        <v>177.3</v>
      </c>
      <c r="E28" s="106">
        <v>54</v>
      </c>
      <c r="F28" s="104">
        <v>132.1</v>
      </c>
      <c r="G28" s="17">
        <v>40</v>
      </c>
      <c r="H28" s="107">
        <v>4</v>
      </c>
      <c r="I28" s="108"/>
      <c r="J28" s="108"/>
      <c r="K28" s="108"/>
      <c r="L28" s="108"/>
      <c r="M28" s="109">
        <f t="shared" si="14"/>
        <v>0</v>
      </c>
      <c r="N28" s="4" t="str">
        <f t="shared" si="15"/>
        <v/>
      </c>
      <c r="O28" s="105">
        <f t="shared" si="16"/>
        <v>0</v>
      </c>
      <c r="P28" s="105">
        <f t="shared" si="17"/>
        <v>0</v>
      </c>
      <c r="Q28" s="75">
        <v>4</v>
      </c>
      <c r="R28" s="75">
        <v>3</v>
      </c>
      <c r="S28" s="75" t="s">
        <v>869</v>
      </c>
      <c r="T28" s="5" t="s">
        <v>416</v>
      </c>
      <c r="U28" s="9"/>
      <c r="W28" s="104">
        <f t="shared" si="18"/>
        <v>177.3</v>
      </c>
      <c r="X28" s="106">
        <f t="shared" si="19"/>
        <v>54</v>
      </c>
      <c r="Y28" s="102">
        <f t="shared" si="20"/>
        <v>4</v>
      </c>
      <c r="Z28" s="109">
        <f t="shared" si="21"/>
        <v>0</v>
      </c>
      <c r="AA28" s="109">
        <f t="shared" si="22"/>
        <v>0</v>
      </c>
      <c r="AB28" s="109">
        <f t="shared" si="23"/>
        <v>0</v>
      </c>
      <c r="AC28" s="4" t="str">
        <f t="shared" si="24"/>
        <v/>
      </c>
      <c r="AD28" s="105">
        <f t="shared" si="25"/>
        <v>0</v>
      </c>
      <c r="AE28" s="75" t="str">
        <f t="shared" si="26"/>
        <v>계</v>
      </c>
      <c r="AF28" s="75" t="str">
        <f t="shared" si="27"/>
        <v>4/3</v>
      </c>
      <c r="AH28" s="20" t="str">
        <f t="shared" si="1"/>
        <v>진해석동우림필유</v>
      </c>
      <c r="AI28" s="106">
        <f t="shared" si="0"/>
        <v>54</v>
      </c>
      <c r="AJ28" s="75" t="str">
        <f t="shared" si="28"/>
        <v>A-</v>
      </c>
      <c r="AK28" s="75" t="s">
        <v>14</v>
      </c>
      <c r="AL28" s="75" t="s">
        <v>870</v>
      </c>
      <c r="AM28" s="75" t="s">
        <v>871</v>
      </c>
      <c r="AN28" s="75" t="str">
        <f t="shared" si="29"/>
        <v>C</v>
      </c>
      <c r="AO28" s="75" t="str">
        <f t="shared" si="30"/>
        <v/>
      </c>
      <c r="AP28" s="75" t="str">
        <f t="shared" si="31"/>
        <v/>
      </c>
      <c r="AQ28" s="75" t="str">
        <f t="shared" si="32"/>
        <v>O</v>
      </c>
      <c r="AR28" s="75" t="str">
        <f t="shared" si="33"/>
        <v>O</v>
      </c>
      <c r="AS28" s="75" t="s">
        <v>2</v>
      </c>
      <c r="AT28" s="75" t="str">
        <f t="shared" si="34"/>
        <v>X</v>
      </c>
      <c r="AU28" s="75" t="str">
        <f t="shared" si="35"/>
        <v>O</v>
      </c>
      <c r="AV28" s="75" t="str">
        <f t="shared" si="36"/>
        <v/>
      </c>
    </row>
    <row r="29" spans="1:48" x14ac:dyDescent="0.3">
      <c r="A29" s="9" t="s">
        <v>410</v>
      </c>
      <c r="B29" s="10" t="s">
        <v>900</v>
      </c>
      <c r="C29" s="107">
        <v>1192</v>
      </c>
      <c r="D29" s="104">
        <v>195.5</v>
      </c>
      <c r="E29" s="106">
        <v>59</v>
      </c>
      <c r="F29" s="104">
        <v>161.80000000000001</v>
      </c>
      <c r="G29" s="17">
        <v>49</v>
      </c>
      <c r="H29" s="107">
        <v>52</v>
      </c>
      <c r="I29" s="108">
        <v>59500</v>
      </c>
      <c r="J29" s="108" t="s">
        <v>873</v>
      </c>
      <c r="K29" s="108">
        <v>55000</v>
      </c>
      <c r="L29" s="108" t="s">
        <v>901</v>
      </c>
      <c r="M29" s="109">
        <f t="shared" si="14"/>
        <v>4500</v>
      </c>
      <c r="N29" s="4">
        <f t="shared" si="15"/>
        <v>0.92436974789915971</v>
      </c>
      <c r="O29" s="105">
        <f t="shared" si="16"/>
        <v>1008.4745762711865</v>
      </c>
      <c r="P29" s="105">
        <f t="shared" si="17"/>
        <v>932.20338983050851</v>
      </c>
      <c r="Q29" s="75">
        <v>4</v>
      </c>
      <c r="R29" s="75">
        <v>3</v>
      </c>
      <c r="S29" s="75" t="s">
        <v>869</v>
      </c>
      <c r="T29" s="5" t="s">
        <v>417</v>
      </c>
      <c r="U29" s="9"/>
      <c r="W29" s="104">
        <f t="shared" si="18"/>
        <v>195.5</v>
      </c>
      <c r="X29" s="106">
        <f t="shared" si="19"/>
        <v>59</v>
      </c>
      <c r="Y29" s="102">
        <f t="shared" si="20"/>
        <v>52</v>
      </c>
      <c r="Z29" s="109">
        <f t="shared" si="21"/>
        <v>59500</v>
      </c>
      <c r="AA29" s="109">
        <f t="shared" si="22"/>
        <v>55000</v>
      </c>
      <c r="AB29" s="109">
        <f t="shared" si="23"/>
        <v>4500</v>
      </c>
      <c r="AC29" s="4">
        <f t="shared" si="24"/>
        <v>0.92436974789915971</v>
      </c>
      <c r="AD29" s="105">
        <f t="shared" si="25"/>
        <v>1008.4745762711865</v>
      </c>
      <c r="AE29" s="75" t="str">
        <f t="shared" si="26"/>
        <v>계</v>
      </c>
      <c r="AF29" s="75" t="str">
        <f t="shared" si="27"/>
        <v>4/3</v>
      </c>
      <c r="AH29" s="20" t="str">
        <f t="shared" si="1"/>
        <v>진해석동우림필유</v>
      </c>
      <c r="AI29" s="106">
        <f t="shared" si="0"/>
        <v>59</v>
      </c>
      <c r="AJ29" s="75" t="str">
        <f t="shared" si="28"/>
        <v>A-</v>
      </c>
      <c r="AK29" s="75" t="s">
        <v>14</v>
      </c>
      <c r="AL29" s="75" t="s">
        <v>870</v>
      </c>
      <c r="AM29" s="75" t="s">
        <v>871</v>
      </c>
      <c r="AN29" s="75" t="str">
        <f t="shared" si="29"/>
        <v>C</v>
      </c>
      <c r="AO29" s="75" t="str">
        <f t="shared" si="30"/>
        <v>O</v>
      </c>
      <c r="AP29" s="75" t="str">
        <f t="shared" si="31"/>
        <v>X</v>
      </c>
      <c r="AQ29" s="75" t="str">
        <f t="shared" si="32"/>
        <v>X</v>
      </c>
      <c r="AR29" s="75" t="str">
        <f t="shared" si="33"/>
        <v>O</v>
      </c>
      <c r="AS29" s="75" t="s">
        <v>2</v>
      </c>
      <c r="AT29" s="75" t="str">
        <f t="shared" si="34"/>
        <v>X</v>
      </c>
      <c r="AU29" s="75" t="str">
        <f t="shared" si="35"/>
        <v>O</v>
      </c>
      <c r="AV29" s="75" t="str">
        <f t="shared" si="36"/>
        <v>X</v>
      </c>
    </row>
    <row r="30" spans="1:48" x14ac:dyDescent="0.3">
      <c r="A30" s="9" t="s">
        <v>410</v>
      </c>
      <c r="B30" s="10" t="s">
        <v>900</v>
      </c>
      <c r="C30" s="107">
        <v>1192</v>
      </c>
      <c r="D30" s="104">
        <v>196.4</v>
      </c>
      <c r="E30" s="106">
        <v>59</v>
      </c>
      <c r="F30" s="104">
        <v>159.69999999999999</v>
      </c>
      <c r="G30" s="17">
        <v>48</v>
      </c>
      <c r="H30" s="107">
        <v>51</v>
      </c>
      <c r="I30" s="108">
        <v>58000</v>
      </c>
      <c r="J30" s="108" t="s">
        <v>868</v>
      </c>
      <c r="K30" s="108"/>
      <c r="L30" s="108"/>
      <c r="M30" s="109">
        <f t="shared" si="14"/>
        <v>58000</v>
      </c>
      <c r="N30" s="4">
        <f t="shared" si="15"/>
        <v>0</v>
      </c>
      <c r="O30" s="105">
        <f t="shared" si="16"/>
        <v>983.05084745762713</v>
      </c>
      <c r="P30" s="105">
        <f t="shared" si="17"/>
        <v>0</v>
      </c>
      <c r="Q30" s="75">
        <v>4</v>
      </c>
      <c r="R30" s="75">
        <v>2</v>
      </c>
      <c r="S30" s="75" t="s">
        <v>869</v>
      </c>
      <c r="T30" s="5" t="s">
        <v>418</v>
      </c>
      <c r="U30" s="9"/>
      <c r="W30" s="104">
        <f t="shared" si="18"/>
        <v>196.4</v>
      </c>
      <c r="X30" s="106">
        <f t="shared" si="19"/>
        <v>59</v>
      </c>
      <c r="Y30" s="102">
        <f t="shared" si="20"/>
        <v>51</v>
      </c>
      <c r="Z30" s="109">
        <f t="shared" si="21"/>
        <v>58000</v>
      </c>
      <c r="AA30" s="109">
        <f t="shared" si="22"/>
        <v>0</v>
      </c>
      <c r="AB30" s="109">
        <f t="shared" si="23"/>
        <v>58000</v>
      </c>
      <c r="AC30" s="4">
        <f t="shared" si="24"/>
        <v>0</v>
      </c>
      <c r="AD30" s="105">
        <f t="shared" si="25"/>
        <v>983.05084745762713</v>
      </c>
      <c r="AE30" s="75" t="str">
        <f t="shared" si="26"/>
        <v>계</v>
      </c>
      <c r="AF30" s="75" t="str">
        <f t="shared" si="27"/>
        <v>4/2</v>
      </c>
      <c r="AH30" s="20" t="str">
        <f t="shared" si="1"/>
        <v>진해석동우림필유</v>
      </c>
      <c r="AI30" s="106">
        <f t="shared" si="0"/>
        <v>59</v>
      </c>
      <c r="AJ30" s="75" t="str">
        <f t="shared" si="28"/>
        <v>A-</v>
      </c>
      <c r="AK30" s="75" t="s">
        <v>14</v>
      </c>
      <c r="AL30" s="75" t="s">
        <v>870</v>
      </c>
      <c r="AM30" s="75" t="s">
        <v>871</v>
      </c>
      <c r="AN30" s="75" t="str">
        <f t="shared" si="29"/>
        <v>C</v>
      </c>
      <c r="AO30" s="75" t="str">
        <f t="shared" si="30"/>
        <v>X</v>
      </c>
      <c r="AP30" s="75" t="str">
        <f t="shared" si="31"/>
        <v>X</v>
      </c>
      <c r="AQ30" s="75" t="str">
        <f t="shared" si="32"/>
        <v>O</v>
      </c>
      <c r="AR30" s="75" t="str">
        <f t="shared" si="33"/>
        <v>X</v>
      </c>
      <c r="AS30" s="75" t="s">
        <v>2</v>
      </c>
      <c r="AT30" s="75" t="str">
        <f t="shared" si="34"/>
        <v>X</v>
      </c>
      <c r="AU30" s="75" t="str">
        <f t="shared" si="35"/>
        <v>O</v>
      </c>
      <c r="AV30" s="75" t="str">
        <f t="shared" si="36"/>
        <v>X</v>
      </c>
    </row>
    <row r="31" spans="1:48" x14ac:dyDescent="0.3">
      <c r="A31" s="9" t="s">
        <v>410</v>
      </c>
      <c r="B31" s="10" t="s">
        <v>900</v>
      </c>
      <c r="C31" s="107">
        <v>1192</v>
      </c>
      <c r="D31" s="104">
        <v>228.9</v>
      </c>
      <c r="E31" s="106">
        <v>69</v>
      </c>
      <c r="F31" s="104">
        <v>190</v>
      </c>
      <c r="G31" s="17">
        <v>57</v>
      </c>
      <c r="H31" s="107">
        <v>56</v>
      </c>
      <c r="I31" s="108">
        <v>75000</v>
      </c>
      <c r="J31" s="108" t="s">
        <v>868</v>
      </c>
      <c r="K31" s="108">
        <v>50000</v>
      </c>
      <c r="L31" s="108" t="s">
        <v>873</v>
      </c>
      <c r="M31" s="109">
        <f t="shared" si="14"/>
        <v>25000</v>
      </c>
      <c r="N31" s="4">
        <f t="shared" si="15"/>
        <v>0.66666666666666663</v>
      </c>
      <c r="O31" s="105">
        <f t="shared" si="16"/>
        <v>1086.9565217391305</v>
      </c>
      <c r="P31" s="105">
        <f t="shared" si="17"/>
        <v>724.63768115942025</v>
      </c>
      <c r="Q31" s="75">
        <v>4</v>
      </c>
      <c r="R31" s="75">
        <v>3</v>
      </c>
      <c r="S31" s="75" t="s">
        <v>869</v>
      </c>
      <c r="T31" s="5">
        <v>228</v>
      </c>
      <c r="U31" s="9"/>
      <c r="W31" s="104">
        <f t="shared" si="18"/>
        <v>228.9</v>
      </c>
      <c r="X31" s="106">
        <f t="shared" si="19"/>
        <v>69</v>
      </c>
      <c r="Y31" s="102">
        <f t="shared" si="20"/>
        <v>56</v>
      </c>
      <c r="Z31" s="109">
        <f t="shared" si="21"/>
        <v>75000</v>
      </c>
      <c r="AA31" s="109">
        <f t="shared" si="22"/>
        <v>50000</v>
      </c>
      <c r="AB31" s="109">
        <f t="shared" si="23"/>
        <v>25000</v>
      </c>
      <c r="AC31" s="4">
        <f t="shared" si="24"/>
        <v>0.66666666666666663</v>
      </c>
      <c r="AD31" s="105">
        <f t="shared" si="25"/>
        <v>1086.9565217391305</v>
      </c>
      <c r="AE31" s="75" t="str">
        <f t="shared" si="26"/>
        <v>계</v>
      </c>
      <c r="AF31" s="75" t="str">
        <f t="shared" si="27"/>
        <v>4/3</v>
      </c>
      <c r="AH31" s="20" t="str">
        <f t="shared" si="1"/>
        <v>진해석동우림필유</v>
      </c>
      <c r="AI31" s="106">
        <f t="shared" si="0"/>
        <v>69</v>
      </c>
      <c r="AJ31" s="75" t="str">
        <f t="shared" si="28"/>
        <v>A-</v>
      </c>
      <c r="AK31" s="75" t="s">
        <v>14</v>
      </c>
      <c r="AL31" s="75" t="s">
        <v>870</v>
      </c>
      <c r="AM31" s="75" t="s">
        <v>871</v>
      </c>
      <c r="AN31" s="75" t="str">
        <f t="shared" si="29"/>
        <v>C</v>
      </c>
      <c r="AO31" s="75" t="str">
        <f t="shared" si="30"/>
        <v>X</v>
      </c>
      <c r="AP31" s="75" t="str">
        <f t="shared" si="31"/>
        <v>X</v>
      </c>
      <c r="AQ31" s="75" t="str">
        <f t="shared" si="32"/>
        <v>X</v>
      </c>
      <c r="AR31" s="75" t="str">
        <f t="shared" si="33"/>
        <v>X</v>
      </c>
      <c r="AS31" s="75" t="s">
        <v>2</v>
      </c>
      <c r="AT31" s="75" t="str">
        <f t="shared" si="34"/>
        <v>X</v>
      </c>
      <c r="AU31" s="75" t="str">
        <f t="shared" si="35"/>
        <v>O</v>
      </c>
      <c r="AV31" s="75" t="str">
        <f t="shared" si="36"/>
        <v>X</v>
      </c>
    </row>
    <row r="32" spans="1:48" x14ac:dyDescent="0.3">
      <c r="A32" s="9" t="s">
        <v>410</v>
      </c>
      <c r="B32" s="10" t="s">
        <v>900</v>
      </c>
      <c r="C32" s="107">
        <v>1192</v>
      </c>
      <c r="D32" s="104">
        <v>307.5</v>
      </c>
      <c r="E32" s="106">
        <v>93</v>
      </c>
      <c r="F32" s="104">
        <v>258.7</v>
      </c>
      <c r="G32" s="17">
        <v>78</v>
      </c>
      <c r="H32" s="107">
        <v>3</v>
      </c>
      <c r="I32" s="108">
        <v>80000</v>
      </c>
      <c r="J32" s="108" t="s">
        <v>873</v>
      </c>
      <c r="K32" s="108"/>
      <c r="L32" s="108"/>
      <c r="M32" s="109">
        <f t="shared" si="14"/>
        <v>80000</v>
      </c>
      <c r="N32" s="4">
        <f t="shared" si="15"/>
        <v>0</v>
      </c>
      <c r="O32" s="105">
        <f t="shared" si="16"/>
        <v>860.21505376344089</v>
      </c>
      <c r="P32" s="105">
        <f t="shared" si="17"/>
        <v>0</v>
      </c>
      <c r="Q32" s="75">
        <v>5</v>
      </c>
      <c r="R32" s="75">
        <v>3</v>
      </c>
      <c r="S32" s="75" t="s">
        <v>869</v>
      </c>
      <c r="T32" s="5">
        <v>307</v>
      </c>
      <c r="U32" s="9"/>
      <c r="W32" s="104">
        <f t="shared" si="18"/>
        <v>307.5</v>
      </c>
      <c r="X32" s="106">
        <f t="shared" si="19"/>
        <v>93</v>
      </c>
      <c r="Y32" s="102">
        <f t="shared" si="20"/>
        <v>3</v>
      </c>
      <c r="Z32" s="109">
        <f t="shared" si="21"/>
        <v>80000</v>
      </c>
      <c r="AA32" s="109">
        <f t="shared" si="22"/>
        <v>0</v>
      </c>
      <c r="AB32" s="109">
        <f t="shared" si="23"/>
        <v>80000</v>
      </c>
      <c r="AC32" s="4">
        <f t="shared" si="24"/>
        <v>0</v>
      </c>
      <c r="AD32" s="105">
        <f t="shared" si="25"/>
        <v>860.21505376344089</v>
      </c>
      <c r="AE32" s="75" t="str">
        <f t="shared" si="26"/>
        <v>계</v>
      </c>
      <c r="AF32" s="75" t="str">
        <f t="shared" si="27"/>
        <v>5/3</v>
      </c>
      <c r="AH32" s="20" t="str">
        <f t="shared" si="1"/>
        <v>진해석동우림필유</v>
      </c>
      <c r="AI32" s="106">
        <f t="shared" si="0"/>
        <v>93</v>
      </c>
      <c r="AJ32" s="75" t="str">
        <f t="shared" si="28"/>
        <v>A-</v>
      </c>
      <c r="AK32" s="75" t="s">
        <v>14</v>
      </c>
      <c r="AL32" s="75" t="s">
        <v>870</v>
      </c>
      <c r="AM32" s="75" t="s">
        <v>871</v>
      </c>
      <c r="AN32" s="75" t="str">
        <f t="shared" si="29"/>
        <v>C</v>
      </c>
      <c r="AO32" s="75" t="str">
        <f t="shared" si="30"/>
        <v>X</v>
      </c>
      <c r="AP32" s="75" t="str">
        <f t="shared" si="31"/>
        <v>X</v>
      </c>
      <c r="AQ32" s="75" t="str">
        <f t="shared" si="32"/>
        <v>O</v>
      </c>
      <c r="AR32" s="75" t="str">
        <f t="shared" si="33"/>
        <v>X</v>
      </c>
      <c r="AS32" s="75" t="s">
        <v>2</v>
      </c>
      <c r="AT32" s="75" t="str">
        <f t="shared" si="34"/>
        <v>X</v>
      </c>
      <c r="AU32" s="75" t="str">
        <f t="shared" si="35"/>
        <v>O</v>
      </c>
      <c r="AV32" s="75" t="str">
        <f t="shared" si="36"/>
        <v>X</v>
      </c>
    </row>
    <row r="33" spans="1:48" x14ac:dyDescent="0.3">
      <c r="A33" s="9" t="s">
        <v>410</v>
      </c>
      <c r="B33" s="10" t="s">
        <v>900</v>
      </c>
      <c r="C33" s="107">
        <v>1192</v>
      </c>
      <c r="D33" s="104">
        <v>313.8</v>
      </c>
      <c r="E33" s="106">
        <v>95</v>
      </c>
      <c r="F33" s="104">
        <v>266.2</v>
      </c>
      <c r="G33" s="17">
        <v>81</v>
      </c>
      <c r="H33" s="107">
        <v>2</v>
      </c>
      <c r="I33" s="108"/>
      <c r="J33" s="108"/>
      <c r="K33" s="108"/>
      <c r="L33" s="108"/>
      <c r="M33" s="109">
        <f t="shared" si="14"/>
        <v>0</v>
      </c>
      <c r="N33" s="4" t="str">
        <f t="shared" si="15"/>
        <v/>
      </c>
      <c r="O33" s="105">
        <f t="shared" si="16"/>
        <v>0</v>
      </c>
      <c r="P33" s="105">
        <f t="shared" si="17"/>
        <v>0</v>
      </c>
      <c r="Q33" s="75">
        <v>5</v>
      </c>
      <c r="R33" s="75">
        <v>3</v>
      </c>
      <c r="S33" s="75" t="s">
        <v>869</v>
      </c>
      <c r="T33" s="5">
        <v>313</v>
      </c>
      <c r="U33" s="9"/>
      <c r="W33" s="104">
        <f t="shared" si="18"/>
        <v>313.8</v>
      </c>
      <c r="X33" s="106">
        <f t="shared" si="19"/>
        <v>95</v>
      </c>
      <c r="Y33" s="102">
        <f t="shared" si="20"/>
        <v>2</v>
      </c>
      <c r="Z33" s="109">
        <f t="shared" si="21"/>
        <v>0</v>
      </c>
      <c r="AA33" s="109">
        <f t="shared" si="22"/>
        <v>0</v>
      </c>
      <c r="AB33" s="109">
        <f t="shared" si="23"/>
        <v>0</v>
      </c>
      <c r="AC33" s="4" t="str">
        <f t="shared" si="24"/>
        <v/>
      </c>
      <c r="AD33" s="105">
        <f t="shared" si="25"/>
        <v>0</v>
      </c>
      <c r="AE33" s="75" t="str">
        <f t="shared" si="26"/>
        <v>계</v>
      </c>
      <c r="AF33" s="75" t="str">
        <f t="shared" si="27"/>
        <v>5/3</v>
      </c>
      <c r="AH33" s="20" t="str">
        <f t="shared" si="1"/>
        <v>진해석동우림필유</v>
      </c>
      <c r="AI33" s="106">
        <f t="shared" si="0"/>
        <v>95</v>
      </c>
      <c r="AJ33" s="75" t="str">
        <f t="shared" si="28"/>
        <v>A-</v>
      </c>
      <c r="AK33" s="75" t="s">
        <v>14</v>
      </c>
      <c r="AL33" s="75" t="s">
        <v>870</v>
      </c>
      <c r="AM33" s="75" t="s">
        <v>871</v>
      </c>
      <c r="AN33" s="75" t="str">
        <f t="shared" si="29"/>
        <v>C</v>
      </c>
      <c r="AO33" s="75" t="str">
        <f t="shared" si="30"/>
        <v/>
      </c>
      <c r="AP33" s="75" t="str">
        <f t="shared" si="31"/>
        <v/>
      </c>
      <c r="AQ33" s="75" t="str">
        <f t="shared" si="32"/>
        <v>O</v>
      </c>
      <c r="AR33" s="75" t="str">
        <f t="shared" si="33"/>
        <v>O</v>
      </c>
      <c r="AS33" s="75" t="s">
        <v>2</v>
      </c>
      <c r="AT33" s="75" t="str">
        <f t="shared" si="34"/>
        <v>X</v>
      </c>
      <c r="AU33" s="75" t="str">
        <f t="shared" si="35"/>
        <v>O</v>
      </c>
      <c r="AV33" s="75" t="str">
        <f t="shared" si="36"/>
        <v/>
      </c>
    </row>
    <row r="34" spans="1:48" x14ac:dyDescent="0.3">
      <c r="A34" s="9"/>
      <c r="B34" s="75"/>
      <c r="C34" s="6"/>
      <c r="D34" s="9"/>
      <c r="E34" s="14"/>
      <c r="F34" s="104"/>
      <c r="G34" s="9"/>
      <c r="H34" s="9"/>
      <c r="I34" s="9"/>
      <c r="J34" s="9"/>
      <c r="K34" s="9"/>
      <c r="L34" s="9"/>
      <c r="M34" s="9"/>
      <c r="N34" s="9"/>
      <c r="O34" s="105"/>
      <c r="P34" s="105"/>
      <c r="Q34" s="106"/>
      <c r="R34" s="106"/>
      <c r="S34" s="9"/>
      <c r="T34" s="48"/>
      <c r="U34" s="9"/>
      <c r="W34" s="70" t="str">
        <f>$A$4&amp;" "&amp;A35&amp;"("&amp;B35&amp;","&amp;C35&amp;"^)"</f>
        <v>석동 벚꽃그린빌주공4단지('03.07.,397^)</v>
      </c>
      <c r="X34" s="71"/>
      <c r="Y34" s="71"/>
      <c r="Z34" s="71"/>
      <c r="AA34" s="71"/>
      <c r="AB34" s="71"/>
      <c r="AC34" s="71"/>
      <c r="AD34" s="71"/>
      <c r="AE34" s="71"/>
      <c r="AF34" s="72"/>
      <c r="AH34" s="20" t="str">
        <f t="shared" si="1"/>
        <v/>
      </c>
      <c r="AI34" s="103" t="str">
        <f t="shared" si="0"/>
        <v/>
      </c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</row>
    <row r="35" spans="1:48" x14ac:dyDescent="0.3">
      <c r="A35" s="9" t="s">
        <v>419</v>
      </c>
      <c r="B35" s="10" t="s">
        <v>902</v>
      </c>
      <c r="C35" s="107">
        <v>397</v>
      </c>
      <c r="D35" s="104">
        <v>70.2</v>
      </c>
      <c r="E35" s="106">
        <v>21</v>
      </c>
      <c r="F35" s="104">
        <v>59.8</v>
      </c>
      <c r="G35" s="17">
        <v>18</v>
      </c>
      <c r="H35" s="107">
        <v>43</v>
      </c>
      <c r="I35" s="108"/>
      <c r="J35" s="108"/>
      <c r="K35" s="108"/>
      <c r="L35" s="108"/>
      <c r="M35" s="109">
        <f t="shared" ref="M35:M40" si="37">I35-K35</f>
        <v>0</v>
      </c>
      <c r="N35" s="4" t="str">
        <f t="shared" ref="N35:N40" si="38">IF(ISERROR(K35/I35),"",K35/I35)</f>
        <v/>
      </c>
      <c r="O35" s="105">
        <f t="shared" ref="O35:O40" si="39">I35/E35</f>
        <v>0</v>
      </c>
      <c r="P35" s="105">
        <f t="shared" ref="P35:P40" si="40">K35/E35</f>
        <v>0</v>
      </c>
      <c r="Q35" s="75">
        <v>3</v>
      </c>
      <c r="R35" s="75">
        <v>1</v>
      </c>
      <c r="S35" s="75" t="s">
        <v>903</v>
      </c>
      <c r="T35" s="5">
        <v>70</v>
      </c>
      <c r="U35" s="9"/>
      <c r="W35" s="104">
        <f t="shared" ref="W35:X40" si="41">D35</f>
        <v>70.2</v>
      </c>
      <c r="X35" s="106">
        <f t="shared" si="41"/>
        <v>21</v>
      </c>
      <c r="Y35" s="102">
        <f t="shared" ref="Y35:Z40" si="42">H35</f>
        <v>43</v>
      </c>
      <c r="Z35" s="109">
        <f t="shared" si="42"/>
        <v>0</v>
      </c>
      <c r="AA35" s="109">
        <f t="shared" ref="AA35:AA40" si="43">K35</f>
        <v>0</v>
      </c>
      <c r="AB35" s="109">
        <f t="shared" ref="AB35:AD40" si="44">M35</f>
        <v>0</v>
      </c>
      <c r="AC35" s="4" t="str">
        <f t="shared" si="44"/>
        <v/>
      </c>
      <c r="AD35" s="105">
        <f t="shared" si="44"/>
        <v>0</v>
      </c>
      <c r="AE35" s="75" t="str">
        <f t="shared" ref="AE35:AE40" si="45">S35</f>
        <v>복</v>
      </c>
      <c r="AF35" s="75" t="str">
        <f t="shared" ref="AF35:AF40" si="46">Q35&amp;"/"&amp;R35</f>
        <v>3/1</v>
      </c>
      <c r="AH35" s="20" t="str">
        <f t="shared" si="1"/>
        <v>벚꽃그린빌주공4단지</v>
      </c>
      <c r="AI35" s="106">
        <f t="shared" si="0"/>
        <v>21</v>
      </c>
      <c r="AJ35" s="75" t="str">
        <f t="shared" ref="AJ35:AJ40" si="47">IF(AI35="","",$AJ$2)</f>
        <v>A-</v>
      </c>
      <c r="AK35" s="75" t="s">
        <v>14</v>
      </c>
      <c r="AL35" s="75" t="s">
        <v>870</v>
      </c>
      <c r="AM35" s="75" t="s">
        <v>871</v>
      </c>
      <c r="AN35" s="75" t="str">
        <f t="shared" ref="AN35:AN40" si="48">IF(AI35="","",$AN$2)</f>
        <v>C</v>
      </c>
      <c r="AO35" s="75" t="str">
        <f t="shared" ref="AO35:AO40" si="49">IF(N35="","",IF(N35&gt;=$AO$1/100,"O","X"))</f>
        <v/>
      </c>
      <c r="AP35" s="75" t="str">
        <f t="shared" ref="AP35:AP40" si="50">IF(I35="","",IF(I35&lt;=$AP$1,"O","X"))</f>
        <v/>
      </c>
      <c r="AQ35" s="75" t="str">
        <f t="shared" ref="AQ35:AQ40" si="51">IF(O35="","",IF(O35&lt;=$AQ$1,"O","X"))</f>
        <v>O</v>
      </c>
      <c r="AR35" s="75" t="str">
        <f t="shared" ref="AR35:AR40" si="52">IF(M35="","",IF(M35&lt;=$AR$1,"O","X"))</f>
        <v>O</v>
      </c>
      <c r="AS35" s="75" t="s">
        <v>2</v>
      </c>
      <c r="AT35" s="75" t="str">
        <f t="shared" ref="AT35:AT40" si="53">IF(OR(F35="",AI35=""),"",IF(AND((F35&lt;=85),(AI35&gt;=15)),"O","X"))</f>
        <v>O</v>
      </c>
      <c r="AU35" s="75" t="str">
        <f t="shared" ref="AU35:AU40" si="54">IF(C35="","",IF(C35&gt;=$AU$1,"O","X"))</f>
        <v>O</v>
      </c>
      <c r="AV35" s="75" t="str">
        <f t="shared" ref="AV35:AV40" si="55">IF(AO35="","",IF(AND(AO35="O",AP35="O",AR35="O",AT35="O",AU35="O"),"후보","X"))</f>
        <v/>
      </c>
    </row>
    <row r="36" spans="1:48" x14ac:dyDescent="0.3">
      <c r="A36" s="9" t="s">
        <v>419</v>
      </c>
      <c r="B36" s="10" t="s">
        <v>902</v>
      </c>
      <c r="C36" s="107">
        <v>397</v>
      </c>
      <c r="D36" s="104">
        <v>75.900000000000006</v>
      </c>
      <c r="E36" s="106">
        <v>23</v>
      </c>
      <c r="F36" s="104">
        <v>59.8</v>
      </c>
      <c r="G36" s="17">
        <v>18</v>
      </c>
      <c r="H36" s="107">
        <v>132</v>
      </c>
      <c r="I36" s="108">
        <v>21700</v>
      </c>
      <c r="J36" s="108" t="s">
        <v>873</v>
      </c>
      <c r="K36" s="108"/>
      <c r="L36" s="108"/>
      <c r="M36" s="109">
        <f t="shared" si="37"/>
        <v>21700</v>
      </c>
      <c r="N36" s="4">
        <f t="shared" si="38"/>
        <v>0</v>
      </c>
      <c r="O36" s="105">
        <f t="shared" si="39"/>
        <v>943.47826086956525</v>
      </c>
      <c r="P36" s="105">
        <f t="shared" si="40"/>
        <v>0</v>
      </c>
      <c r="Q36" s="75">
        <v>3</v>
      </c>
      <c r="R36" s="75">
        <v>1</v>
      </c>
      <c r="S36" s="75" t="s">
        <v>869</v>
      </c>
      <c r="T36" s="5">
        <v>75</v>
      </c>
      <c r="U36" s="9"/>
      <c r="W36" s="104">
        <f t="shared" si="41"/>
        <v>75.900000000000006</v>
      </c>
      <c r="X36" s="106">
        <f t="shared" si="41"/>
        <v>23</v>
      </c>
      <c r="Y36" s="102">
        <f t="shared" si="42"/>
        <v>132</v>
      </c>
      <c r="Z36" s="109">
        <f t="shared" si="42"/>
        <v>21700</v>
      </c>
      <c r="AA36" s="109">
        <f t="shared" si="43"/>
        <v>0</v>
      </c>
      <c r="AB36" s="109">
        <f t="shared" si="44"/>
        <v>21700</v>
      </c>
      <c r="AC36" s="4">
        <f t="shared" si="44"/>
        <v>0</v>
      </c>
      <c r="AD36" s="105">
        <f t="shared" si="44"/>
        <v>943.47826086956525</v>
      </c>
      <c r="AE36" s="75" t="str">
        <f t="shared" si="45"/>
        <v>계</v>
      </c>
      <c r="AF36" s="75" t="str">
        <f t="shared" si="46"/>
        <v>3/1</v>
      </c>
      <c r="AH36" s="20" t="str">
        <f t="shared" si="1"/>
        <v>벚꽃그린빌주공4단지</v>
      </c>
      <c r="AI36" s="106">
        <f t="shared" si="0"/>
        <v>23</v>
      </c>
      <c r="AJ36" s="75" t="str">
        <f t="shared" si="47"/>
        <v>A-</v>
      </c>
      <c r="AK36" s="75" t="s">
        <v>14</v>
      </c>
      <c r="AL36" s="75" t="s">
        <v>870</v>
      </c>
      <c r="AM36" s="75" t="s">
        <v>871</v>
      </c>
      <c r="AN36" s="75" t="str">
        <f t="shared" si="48"/>
        <v>C</v>
      </c>
      <c r="AO36" s="75" t="str">
        <f t="shared" si="49"/>
        <v>X</v>
      </c>
      <c r="AP36" s="75" t="str">
        <f t="shared" si="50"/>
        <v>O</v>
      </c>
      <c r="AQ36" s="75" t="str">
        <f t="shared" si="51"/>
        <v>O</v>
      </c>
      <c r="AR36" s="75" t="str">
        <f t="shared" si="52"/>
        <v>X</v>
      </c>
      <c r="AS36" s="75" t="s">
        <v>2</v>
      </c>
      <c r="AT36" s="75" t="str">
        <f t="shared" si="53"/>
        <v>O</v>
      </c>
      <c r="AU36" s="75" t="str">
        <f t="shared" si="54"/>
        <v>O</v>
      </c>
      <c r="AV36" s="75" t="str">
        <f t="shared" si="55"/>
        <v>X</v>
      </c>
    </row>
    <row r="37" spans="1:48" x14ac:dyDescent="0.3">
      <c r="A37" s="9" t="s">
        <v>419</v>
      </c>
      <c r="B37" s="10" t="s">
        <v>902</v>
      </c>
      <c r="C37" s="107">
        <v>397</v>
      </c>
      <c r="D37" s="104">
        <v>87.9</v>
      </c>
      <c r="E37" s="106">
        <v>27</v>
      </c>
      <c r="F37" s="104">
        <v>75</v>
      </c>
      <c r="G37" s="17">
        <v>23</v>
      </c>
      <c r="H37" s="107">
        <v>34</v>
      </c>
      <c r="I37" s="108"/>
      <c r="J37" s="108"/>
      <c r="K37" s="108"/>
      <c r="L37" s="108"/>
      <c r="M37" s="109">
        <f t="shared" si="37"/>
        <v>0</v>
      </c>
      <c r="N37" s="4" t="str">
        <f t="shared" si="38"/>
        <v/>
      </c>
      <c r="O37" s="105">
        <f t="shared" si="39"/>
        <v>0</v>
      </c>
      <c r="P37" s="105">
        <f t="shared" si="40"/>
        <v>0</v>
      </c>
      <c r="Q37" s="75">
        <v>3</v>
      </c>
      <c r="R37" s="75">
        <v>2</v>
      </c>
      <c r="S37" s="75" t="s">
        <v>903</v>
      </c>
      <c r="T37" s="5">
        <v>87</v>
      </c>
      <c r="U37" s="9"/>
      <c r="W37" s="104">
        <f t="shared" si="41"/>
        <v>87.9</v>
      </c>
      <c r="X37" s="106">
        <f t="shared" si="41"/>
        <v>27</v>
      </c>
      <c r="Y37" s="102">
        <f t="shared" si="42"/>
        <v>34</v>
      </c>
      <c r="Z37" s="109">
        <f t="shared" si="42"/>
        <v>0</v>
      </c>
      <c r="AA37" s="109">
        <f t="shared" si="43"/>
        <v>0</v>
      </c>
      <c r="AB37" s="109">
        <f t="shared" si="44"/>
        <v>0</v>
      </c>
      <c r="AC37" s="4" t="str">
        <f t="shared" si="44"/>
        <v/>
      </c>
      <c r="AD37" s="105">
        <f t="shared" si="44"/>
        <v>0</v>
      </c>
      <c r="AE37" s="75" t="str">
        <f t="shared" si="45"/>
        <v>복</v>
      </c>
      <c r="AF37" s="75" t="str">
        <f t="shared" si="46"/>
        <v>3/2</v>
      </c>
      <c r="AH37" s="20" t="str">
        <f t="shared" si="1"/>
        <v>벚꽃그린빌주공4단지</v>
      </c>
      <c r="AI37" s="106">
        <f t="shared" si="0"/>
        <v>27</v>
      </c>
      <c r="AJ37" s="75" t="str">
        <f t="shared" si="47"/>
        <v>A-</v>
      </c>
      <c r="AK37" s="75" t="s">
        <v>14</v>
      </c>
      <c r="AL37" s="75" t="s">
        <v>870</v>
      </c>
      <c r="AM37" s="75" t="s">
        <v>871</v>
      </c>
      <c r="AN37" s="75" t="str">
        <f t="shared" si="48"/>
        <v>C</v>
      </c>
      <c r="AO37" s="75" t="str">
        <f t="shared" si="49"/>
        <v/>
      </c>
      <c r="AP37" s="75" t="str">
        <f t="shared" si="50"/>
        <v/>
      </c>
      <c r="AQ37" s="75" t="str">
        <f t="shared" si="51"/>
        <v>O</v>
      </c>
      <c r="AR37" s="75" t="str">
        <f t="shared" si="52"/>
        <v>O</v>
      </c>
      <c r="AS37" s="75" t="s">
        <v>2</v>
      </c>
      <c r="AT37" s="75" t="str">
        <f t="shared" si="53"/>
        <v>O</v>
      </c>
      <c r="AU37" s="75" t="str">
        <f t="shared" si="54"/>
        <v>O</v>
      </c>
      <c r="AV37" s="75" t="str">
        <f t="shared" si="55"/>
        <v/>
      </c>
    </row>
    <row r="38" spans="1:48" x14ac:dyDescent="0.3">
      <c r="A38" s="9" t="s">
        <v>419</v>
      </c>
      <c r="B38" s="10" t="s">
        <v>902</v>
      </c>
      <c r="C38" s="107">
        <v>397</v>
      </c>
      <c r="D38" s="104">
        <v>94.6</v>
      </c>
      <c r="E38" s="106">
        <v>29</v>
      </c>
      <c r="F38" s="104">
        <v>75</v>
      </c>
      <c r="G38" s="17">
        <v>23</v>
      </c>
      <c r="H38" s="107">
        <v>108</v>
      </c>
      <c r="I38" s="108"/>
      <c r="J38" s="108"/>
      <c r="K38" s="108"/>
      <c r="L38" s="108"/>
      <c r="M38" s="109">
        <f t="shared" si="37"/>
        <v>0</v>
      </c>
      <c r="N38" s="4" t="str">
        <f t="shared" si="38"/>
        <v/>
      </c>
      <c r="O38" s="105">
        <f t="shared" si="39"/>
        <v>0</v>
      </c>
      <c r="P38" s="105">
        <f t="shared" si="40"/>
        <v>0</v>
      </c>
      <c r="Q38" s="75">
        <v>3</v>
      </c>
      <c r="R38" s="75">
        <v>2</v>
      </c>
      <c r="S38" s="75" t="s">
        <v>869</v>
      </c>
      <c r="T38" s="5">
        <v>94</v>
      </c>
      <c r="U38" s="9"/>
      <c r="W38" s="104">
        <f t="shared" si="41"/>
        <v>94.6</v>
      </c>
      <c r="X38" s="106">
        <f t="shared" si="41"/>
        <v>29</v>
      </c>
      <c r="Y38" s="102">
        <f t="shared" si="42"/>
        <v>108</v>
      </c>
      <c r="Z38" s="109">
        <f t="shared" si="42"/>
        <v>0</v>
      </c>
      <c r="AA38" s="109">
        <f t="shared" si="43"/>
        <v>0</v>
      </c>
      <c r="AB38" s="109">
        <f t="shared" si="44"/>
        <v>0</v>
      </c>
      <c r="AC38" s="4" t="str">
        <f t="shared" si="44"/>
        <v/>
      </c>
      <c r="AD38" s="105">
        <f t="shared" si="44"/>
        <v>0</v>
      </c>
      <c r="AE38" s="75" t="str">
        <f t="shared" si="45"/>
        <v>계</v>
      </c>
      <c r="AF38" s="75" t="str">
        <f t="shared" si="46"/>
        <v>3/2</v>
      </c>
      <c r="AH38" s="20" t="str">
        <f t="shared" si="1"/>
        <v>벚꽃그린빌주공4단지</v>
      </c>
      <c r="AI38" s="106">
        <f t="shared" si="0"/>
        <v>29</v>
      </c>
      <c r="AJ38" s="75" t="str">
        <f t="shared" si="47"/>
        <v>A-</v>
      </c>
      <c r="AK38" s="75" t="s">
        <v>14</v>
      </c>
      <c r="AL38" s="75" t="s">
        <v>870</v>
      </c>
      <c r="AM38" s="75" t="s">
        <v>871</v>
      </c>
      <c r="AN38" s="75" t="str">
        <f t="shared" si="48"/>
        <v>C</v>
      </c>
      <c r="AO38" s="75" t="str">
        <f t="shared" si="49"/>
        <v/>
      </c>
      <c r="AP38" s="75" t="str">
        <f t="shared" si="50"/>
        <v/>
      </c>
      <c r="AQ38" s="75" t="str">
        <f t="shared" si="51"/>
        <v>O</v>
      </c>
      <c r="AR38" s="75" t="str">
        <f t="shared" si="52"/>
        <v>O</v>
      </c>
      <c r="AS38" s="75" t="s">
        <v>2</v>
      </c>
      <c r="AT38" s="75" t="str">
        <f t="shared" si="53"/>
        <v>O</v>
      </c>
      <c r="AU38" s="75" t="str">
        <f t="shared" si="54"/>
        <v>O</v>
      </c>
      <c r="AV38" s="75" t="str">
        <f t="shared" si="55"/>
        <v/>
      </c>
    </row>
    <row r="39" spans="1:48" x14ac:dyDescent="0.3">
      <c r="A39" s="9" t="s">
        <v>419</v>
      </c>
      <c r="B39" s="10" t="s">
        <v>902</v>
      </c>
      <c r="C39" s="107">
        <v>397</v>
      </c>
      <c r="D39" s="104">
        <v>99.6</v>
      </c>
      <c r="E39" s="106">
        <v>30</v>
      </c>
      <c r="F39" s="104">
        <v>85</v>
      </c>
      <c r="G39" s="17">
        <v>26</v>
      </c>
      <c r="H39" s="107">
        <v>20</v>
      </c>
      <c r="I39" s="108"/>
      <c r="J39" s="108"/>
      <c r="K39" s="108"/>
      <c r="L39" s="108"/>
      <c r="M39" s="109">
        <f t="shared" si="37"/>
        <v>0</v>
      </c>
      <c r="N39" s="4" t="str">
        <f t="shared" si="38"/>
        <v/>
      </c>
      <c r="O39" s="105">
        <f t="shared" si="39"/>
        <v>0</v>
      </c>
      <c r="P39" s="105">
        <f t="shared" si="40"/>
        <v>0</v>
      </c>
      <c r="Q39" s="75">
        <v>3</v>
      </c>
      <c r="R39" s="75">
        <v>2</v>
      </c>
      <c r="S39" s="75" t="s">
        <v>903</v>
      </c>
      <c r="T39" s="5">
        <v>99</v>
      </c>
      <c r="U39" s="9"/>
      <c r="W39" s="104">
        <f t="shared" si="41"/>
        <v>99.6</v>
      </c>
      <c r="X39" s="106">
        <f t="shared" si="41"/>
        <v>30</v>
      </c>
      <c r="Y39" s="102">
        <f t="shared" si="42"/>
        <v>20</v>
      </c>
      <c r="Z39" s="109">
        <f t="shared" si="42"/>
        <v>0</v>
      </c>
      <c r="AA39" s="109">
        <f t="shared" si="43"/>
        <v>0</v>
      </c>
      <c r="AB39" s="109">
        <f t="shared" si="44"/>
        <v>0</v>
      </c>
      <c r="AC39" s="4" t="str">
        <f t="shared" si="44"/>
        <v/>
      </c>
      <c r="AD39" s="105">
        <f t="shared" si="44"/>
        <v>0</v>
      </c>
      <c r="AE39" s="75" t="str">
        <f t="shared" si="45"/>
        <v>복</v>
      </c>
      <c r="AF39" s="75" t="str">
        <f t="shared" si="46"/>
        <v>3/2</v>
      </c>
      <c r="AH39" s="20" t="str">
        <f t="shared" si="1"/>
        <v>벚꽃그린빌주공4단지</v>
      </c>
      <c r="AI39" s="106">
        <f t="shared" si="0"/>
        <v>30</v>
      </c>
      <c r="AJ39" s="75" t="str">
        <f t="shared" si="47"/>
        <v>A-</v>
      </c>
      <c r="AK39" s="75" t="s">
        <v>14</v>
      </c>
      <c r="AL39" s="75" t="s">
        <v>870</v>
      </c>
      <c r="AM39" s="75" t="s">
        <v>871</v>
      </c>
      <c r="AN39" s="75" t="str">
        <f t="shared" si="48"/>
        <v>C</v>
      </c>
      <c r="AO39" s="75" t="str">
        <f t="shared" si="49"/>
        <v/>
      </c>
      <c r="AP39" s="75" t="str">
        <f t="shared" si="50"/>
        <v/>
      </c>
      <c r="AQ39" s="75" t="str">
        <f t="shared" si="51"/>
        <v>O</v>
      </c>
      <c r="AR39" s="75" t="str">
        <f t="shared" si="52"/>
        <v>O</v>
      </c>
      <c r="AS39" s="75" t="s">
        <v>2</v>
      </c>
      <c r="AT39" s="75" t="str">
        <f t="shared" si="53"/>
        <v>O</v>
      </c>
      <c r="AU39" s="75" t="str">
        <f t="shared" si="54"/>
        <v>O</v>
      </c>
      <c r="AV39" s="75" t="str">
        <f t="shared" si="55"/>
        <v/>
      </c>
    </row>
    <row r="40" spans="1:48" x14ac:dyDescent="0.3">
      <c r="A40" s="9" t="s">
        <v>419</v>
      </c>
      <c r="B40" s="10" t="s">
        <v>902</v>
      </c>
      <c r="C40" s="107">
        <v>397</v>
      </c>
      <c r="D40" s="104">
        <v>107</v>
      </c>
      <c r="E40" s="106">
        <v>32</v>
      </c>
      <c r="F40" s="104">
        <v>85</v>
      </c>
      <c r="G40" s="17">
        <v>26</v>
      </c>
      <c r="H40" s="107">
        <v>60</v>
      </c>
      <c r="I40" s="108"/>
      <c r="J40" s="108"/>
      <c r="K40" s="108"/>
      <c r="L40" s="108"/>
      <c r="M40" s="109">
        <f t="shared" si="37"/>
        <v>0</v>
      </c>
      <c r="N40" s="4" t="str">
        <f t="shared" si="38"/>
        <v/>
      </c>
      <c r="O40" s="105">
        <f t="shared" si="39"/>
        <v>0</v>
      </c>
      <c r="P40" s="105">
        <f t="shared" si="40"/>
        <v>0</v>
      </c>
      <c r="Q40" s="75">
        <v>3</v>
      </c>
      <c r="R40" s="75">
        <v>2</v>
      </c>
      <c r="S40" s="75" t="s">
        <v>869</v>
      </c>
      <c r="T40" s="5">
        <v>107</v>
      </c>
      <c r="U40" s="9"/>
      <c r="W40" s="104">
        <f t="shared" si="41"/>
        <v>107</v>
      </c>
      <c r="X40" s="106">
        <f t="shared" si="41"/>
        <v>32</v>
      </c>
      <c r="Y40" s="102">
        <f t="shared" si="42"/>
        <v>60</v>
      </c>
      <c r="Z40" s="109">
        <f t="shared" si="42"/>
        <v>0</v>
      </c>
      <c r="AA40" s="109">
        <f t="shared" si="43"/>
        <v>0</v>
      </c>
      <c r="AB40" s="109">
        <f t="shared" si="44"/>
        <v>0</v>
      </c>
      <c r="AC40" s="4" t="str">
        <f t="shared" si="44"/>
        <v/>
      </c>
      <c r="AD40" s="105">
        <f t="shared" si="44"/>
        <v>0</v>
      </c>
      <c r="AE40" s="75" t="str">
        <f t="shared" si="45"/>
        <v>계</v>
      </c>
      <c r="AF40" s="75" t="str">
        <f t="shared" si="46"/>
        <v>3/2</v>
      </c>
      <c r="AH40" s="20" t="str">
        <f t="shared" si="1"/>
        <v>벚꽃그린빌주공4단지</v>
      </c>
      <c r="AI40" s="106">
        <f t="shared" si="0"/>
        <v>32</v>
      </c>
      <c r="AJ40" s="75" t="str">
        <f t="shared" si="47"/>
        <v>A-</v>
      </c>
      <c r="AK40" s="75" t="s">
        <v>14</v>
      </c>
      <c r="AL40" s="75" t="s">
        <v>870</v>
      </c>
      <c r="AM40" s="75" t="s">
        <v>871</v>
      </c>
      <c r="AN40" s="75" t="str">
        <f t="shared" si="48"/>
        <v>C</v>
      </c>
      <c r="AO40" s="75" t="str">
        <f t="shared" si="49"/>
        <v/>
      </c>
      <c r="AP40" s="75" t="str">
        <f t="shared" si="50"/>
        <v/>
      </c>
      <c r="AQ40" s="75" t="str">
        <f t="shared" si="51"/>
        <v>O</v>
      </c>
      <c r="AR40" s="75" t="str">
        <f t="shared" si="52"/>
        <v>O</v>
      </c>
      <c r="AS40" s="75" t="s">
        <v>2</v>
      </c>
      <c r="AT40" s="75" t="str">
        <f t="shared" si="53"/>
        <v>O</v>
      </c>
      <c r="AU40" s="75" t="str">
        <f t="shared" si="54"/>
        <v>O</v>
      </c>
      <c r="AV40" s="75" t="str">
        <f t="shared" si="55"/>
        <v/>
      </c>
    </row>
    <row r="41" spans="1:48" x14ac:dyDescent="0.3">
      <c r="A41" s="9"/>
      <c r="B41" s="75"/>
      <c r="C41" s="6"/>
      <c r="D41" s="9"/>
      <c r="E41" s="14"/>
      <c r="F41" s="104"/>
      <c r="G41" s="9"/>
      <c r="H41" s="9"/>
      <c r="I41" s="9"/>
      <c r="J41" s="9"/>
      <c r="K41" s="9"/>
      <c r="L41" s="9"/>
      <c r="M41" s="9"/>
      <c r="N41" s="9"/>
      <c r="O41" s="105"/>
      <c r="P41" s="105"/>
      <c r="Q41" s="106"/>
      <c r="R41" s="106"/>
      <c r="S41" s="9"/>
      <c r="T41" s="48"/>
      <c r="U41" s="9"/>
      <c r="W41" s="70" t="str">
        <f>$A$4&amp;" "&amp;A42&amp;"("&amp;B42&amp;","&amp;C42&amp;"^)"</f>
        <v>석동 벚꽃그린빌주공2단지('03.07.,266^)</v>
      </c>
      <c r="X41" s="71"/>
      <c r="Y41" s="71"/>
      <c r="Z41" s="71"/>
      <c r="AA41" s="71"/>
      <c r="AB41" s="71"/>
      <c r="AC41" s="71"/>
      <c r="AD41" s="71"/>
      <c r="AE41" s="71"/>
      <c r="AF41" s="72"/>
      <c r="AH41" s="20" t="str">
        <f t="shared" si="1"/>
        <v/>
      </c>
      <c r="AI41" s="103" t="str">
        <f t="shared" si="0"/>
        <v/>
      </c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</row>
    <row r="42" spans="1:48" x14ac:dyDescent="0.3">
      <c r="A42" s="9" t="s">
        <v>428</v>
      </c>
      <c r="B42" s="10" t="s">
        <v>902</v>
      </c>
      <c r="C42" s="107">
        <v>266</v>
      </c>
      <c r="D42" s="104">
        <v>63.3</v>
      </c>
      <c r="E42" s="106">
        <v>19</v>
      </c>
      <c r="F42" s="104">
        <v>51.7</v>
      </c>
      <c r="G42" s="17">
        <v>16</v>
      </c>
      <c r="H42" s="107">
        <v>80</v>
      </c>
      <c r="I42" s="108"/>
      <c r="J42" s="108"/>
      <c r="K42" s="108"/>
      <c r="L42" s="108"/>
      <c r="M42" s="109">
        <f>I42-K42</f>
        <v>0</v>
      </c>
      <c r="N42" s="4" t="str">
        <f>IF(ISERROR(K42/I42),"",K42/I42)</f>
        <v/>
      </c>
      <c r="O42" s="105">
        <f>I42/E42</f>
        <v>0</v>
      </c>
      <c r="P42" s="105">
        <f>K42/E42</f>
        <v>0</v>
      </c>
      <c r="Q42" s="75">
        <v>3</v>
      </c>
      <c r="R42" s="75">
        <v>1</v>
      </c>
      <c r="S42" s="75" t="s">
        <v>869</v>
      </c>
      <c r="T42" s="5">
        <v>63</v>
      </c>
      <c r="U42" s="9"/>
      <c r="W42" s="104">
        <f>D42</f>
        <v>63.3</v>
      </c>
      <c r="X42" s="106">
        <f>E42</f>
        <v>19</v>
      </c>
      <c r="Y42" s="102">
        <f>H42</f>
        <v>80</v>
      </c>
      <c r="Z42" s="109">
        <f>I42</f>
        <v>0</v>
      </c>
      <c r="AA42" s="109">
        <f>K42</f>
        <v>0</v>
      </c>
      <c r="AB42" s="109">
        <f t="shared" ref="AB42:AD43" si="56">M42</f>
        <v>0</v>
      </c>
      <c r="AC42" s="4" t="str">
        <f t="shared" si="56"/>
        <v/>
      </c>
      <c r="AD42" s="105">
        <f t="shared" si="56"/>
        <v>0</v>
      </c>
      <c r="AE42" s="75" t="str">
        <f>S42</f>
        <v>계</v>
      </c>
      <c r="AF42" s="75" t="str">
        <f>Q42&amp;"/"&amp;R42</f>
        <v>3/1</v>
      </c>
      <c r="AH42" s="20" t="str">
        <f t="shared" si="1"/>
        <v>벚꽃그린빌주공2단지</v>
      </c>
      <c r="AI42" s="106">
        <f t="shared" si="0"/>
        <v>19</v>
      </c>
      <c r="AJ42" s="75" t="str">
        <f>IF(AI42="","",$AJ$2)</f>
        <v>A-</v>
      </c>
      <c r="AK42" s="75" t="s">
        <v>14</v>
      </c>
      <c r="AL42" s="75" t="s">
        <v>870</v>
      </c>
      <c r="AM42" s="75" t="s">
        <v>871</v>
      </c>
      <c r="AN42" s="75" t="str">
        <f>IF(AI42="","",$AN$2)</f>
        <v>C</v>
      </c>
      <c r="AO42" s="75" t="str">
        <f>IF(N42="","",IF(N42&gt;=$AO$1/100,"O","X"))</f>
        <v/>
      </c>
      <c r="AP42" s="75" t="str">
        <f>IF(I42="","",IF(I42&lt;=$AP$1,"O","X"))</f>
        <v/>
      </c>
      <c r="AQ42" s="75" t="str">
        <f>IF(O42="","",IF(O42&lt;=$AQ$1,"O","X"))</f>
        <v>O</v>
      </c>
      <c r="AR42" s="75" t="str">
        <f>IF(M42="","",IF(M42&lt;=$AR$1,"O","X"))</f>
        <v>O</v>
      </c>
      <c r="AS42" s="75" t="s">
        <v>2</v>
      </c>
      <c r="AT42" s="75" t="str">
        <f>IF(OR(F42="",AI42=""),"",IF(AND((F42&lt;=85),(AI42&gt;=15)),"O","X"))</f>
        <v>O</v>
      </c>
      <c r="AU42" s="75" t="str">
        <f>IF(C42="","",IF(C42&gt;=$AU$1,"O","X"))</f>
        <v>X</v>
      </c>
      <c r="AV42" s="75" t="str">
        <f>IF(AO42="","",IF(AND(AO42="O",AP42="O",AR42="O",AT42="O",AU42="O"),"후보","X"))</f>
        <v/>
      </c>
    </row>
    <row r="43" spans="1:48" x14ac:dyDescent="0.3">
      <c r="A43" s="9" t="s">
        <v>428</v>
      </c>
      <c r="B43" s="10" t="s">
        <v>902</v>
      </c>
      <c r="C43" s="107">
        <v>266</v>
      </c>
      <c r="D43" s="104">
        <v>84.3</v>
      </c>
      <c r="E43" s="106">
        <v>26</v>
      </c>
      <c r="F43" s="104">
        <v>59.8</v>
      </c>
      <c r="G43" s="17">
        <v>18</v>
      </c>
      <c r="H43" s="107">
        <v>186</v>
      </c>
      <c r="I43" s="108"/>
      <c r="J43" s="108"/>
      <c r="K43" s="108"/>
      <c r="L43" s="108"/>
      <c r="M43" s="109">
        <f>I43-K43</f>
        <v>0</v>
      </c>
      <c r="N43" s="4" t="str">
        <f>IF(ISERROR(K43/I43),"",K43/I43)</f>
        <v/>
      </c>
      <c r="O43" s="105">
        <f>I43/E43</f>
        <v>0</v>
      </c>
      <c r="P43" s="105">
        <f>K43/E43</f>
        <v>0</v>
      </c>
      <c r="Q43" s="75">
        <v>3</v>
      </c>
      <c r="R43" s="75">
        <v>1</v>
      </c>
      <c r="S43" s="75" t="s">
        <v>869</v>
      </c>
      <c r="T43" s="5">
        <v>84</v>
      </c>
      <c r="U43" s="9"/>
      <c r="W43" s="104">
        <f>D43</f>
        <v>84.3</v>
      </c>
      <c r="X43" s="106">
        <f>E43</f>
        <v>26</v>
      </c>
      <c r="Y43" s="102">
        <f>H43</f>
        <v>186</v>
      </c>
      <c r="Z43" s="109">
        <f>I43</f>
        <v>0</v>
      </c>
      <c r="AA43" s="109">
        <f>K43</f>
        <v>0</v>
      </c>
      <c r="AB43" s="109">
        <f t="shared" si="56"/>
        <v>0</v>
      </c>
      <c r="AC43" s="4" t="str">
        <f t="shared" si="56"/>
        <v/>
      </c>
      <c r="AD43" s="105">
        <f t="shared" si="56"/>
        <v>0</v>
      </c>
      <c r="AE43" s="75" t="str">
        <f>S43</f>
        <v>계</v>
      </c>
      <c r="AF43" s="75" t="str">
        <f>Q43&amp;"/"&amp;R43</f>
        <v>3/1</v>
      </c>
      <c r="AH43" s="20" t="str">
        <f t="shared" si="1"/>
        <v>벚꽃그린빌주공2단지</v>
      </c>
      <c r="AI43" s="106">
        <f t="shared" si="0"/>
        <v>26</v>
      </c>
      <c r="AJ43" s="75" t="str">
        <f>IF(AI43="","",$AJ$2)</f>
        <v>A-</v>
      </c>
      <c r="AK43" s="75" t="s">
        <v>14</v>
      </c>
      <c r="AL43" s="75" t="s">
        <v>870</v>
      </c>
      <c r="AM43" s="75" t="s">
        <v>871</v>
      </c>
      <c r="AN43" s="75" t="str">
        <f>IF(AI43="","",$AN$2)</f>
        <v>C</v>
      </c>
      <c r="AO43" s="75" t="str">
        <f>IF(N43="","",IF(N43&gt;=$AO$1/100,"O","X"))</f>
        <v/>
      </c>
      <c r="AP43" s="75" t="str">
        <f>IF(I43="","",IF(I43&lt;=$AP$1,"O","X"))</f>
        <v/>
      </c>
      <c r="AQ43" s="75" t="str">
        <f>IF(O43="","",IF(O43&lt;=$AQ$1,"O","X"))</f>
        <v>O</v>
      </c>
      <c r="AR43" s="75" t="str">
        <f>IF(M43="","",IF(M43&lt;=$AR$1,"O","X"))</f>
        <v>O</v>
      </c>
      <c r="AS43" s="75" t="s">
        <v>2</v>
      </c>
      <c r="AT43" s="75" t="str">
        <f>IF(OR(F43="",AI43=""),"",IF(AND((F43&lt;=85),(AI43&gt;=15)),"O","X"))</f>
        <v>O</v>
      </c>
      <c r="AU43" s="75" t="str">
        <f>IF(C43="","",IF(C43&gt;=$AU$1,"O","X"))</f>
        <v>X</v>
      </c>
      <c r="AV43" s="75" t="str">
        <f>IF(AO43="","",IF(AND(AO43="O",AP43="O",AR43="O",AT43="O",AU43="O"),"후보","X"))</f>
        <v/>
      </c>
    </row>
    <row r="44" spans="1:48" x14ac:dyDescent="0.3">
      <c r="A44" s="9"/>
      <c r="B44" s="75"/>
      <c r="C44" s="6"/>
      <c r="D44" s="9"/>
      <c r="E44" s="14"/>
      <c r="F44" s="104"/>
      <c r="G44" s="9"/>
      <c r="H44" s="9"/>
      <c r="I44" s="9"/>
      <c r="J44" s="9"/>
      <c r="K44" s="9"/>
      <c r="L44" s="9"/>
      <c r="M44" s="9"/>
      <c r="N44" s="9"/>
      <c r="O44" s="105"/>
      <c r="P44" s="105"/>
      <c r="Q44" s="106"/>
      <c r="R44" s="106"/>
      <c r="S44" s="9"/>
      <c r="T44" s="48"/>
      <c r="U44" s="9"/>
      <c r="W44" s="70" t="str">
        <f>$A$4&amp;" "&amp;A45&amp;"("&amp;B45&amp;","&amp;C45&amp;"^)"</f>
        <v>석동 주공('91.11.,750^)</v>
      </c>
      <c r="X44" s="71"/>
      <c r="Y44" s="71"/>
      <c r="Z44" s="71"/>
      <c r="AA44" s="71"/>
      <c r="AB44" s="71"/>
      <c r="AC44" s="71"/>
      <c r="AD44" s="71"/>
      <c r="AE44" s="71"/>
      <c r="AF44" s="72"/>
      <c r="AH44" s="20" t="str">
        <f t="shared" si="1"/>
        <v/>
      </c>
      <c r="AI44" s="103" t="str">
        <f t="shared" si="0"/>
        <v/>
      </c>
      <c r="AJ44" s="75"/>
      <c r="AK44" s="75"/>
      <c r="AL44" s="75"/>
      <c r="AM44" s="75"/>
      <c r="AN44" s="75"/>
      <c r="AO44" s="75"/>
      <c r="AP44" s="75"/>
      <c r="AQ44" s="75"/>
      <c r="AR44" s="75"/>
      <c r="AS44" s="75"/>
      <c r="AT44" s="75"/>
      <c r="AU44" s="75"/>
      <c r="AV44" s="75"/>
    </row>
    <row r="45" spans="1:48" x14ac:dyDescent="0.3">
      <c r="A45" s="9" t="s">
        <v>432</v>
      </c>
      <c r="B45" s="10" t="s">
        <v>904</v>
      </c>
      <c r="C45" s="107">
        <v>750</v>
      </c>
      <c r="D45" s="104">
        <v>42.4</v>
      </c>
      <c r="E45" s="106">
        <v>13</v>
      </c>
      <c r="F45" s="104">
        <v>32.799999999999997</v>
      </c>
      <c r="G45" s="17">
        <v>10</v>
      </c>
      <c r="H45" s="107">
        <v>327</v>
      </c>
      <c r="I45" s="108">
        <v>9500</v>
      </c>
      <c r="J45" s="108" t="s">
        <v>878</v>
      </c>
      <c r="K45" s="108"/>
      <c r="L45" s="108"/>
      <c r="M45" s="109">
        <f>I45-K45</f>
        <v>9500</v>
      </c>
      <c r="N45" s="4">
        <f>IF(ISERROR(K45/I45),"",K45/I45)</f>
        <v>0</v>
      </c>
      <c r="O45" s="105">
        <f>I45/E45</f>
        <v>730.76923076923072</v>
      </c>
      <c r="P45" s="105">
        <f>K45/E45</f>
        <v>0</v>
      </c>
      <c r="Q45" s="75">
        <v>2</v>
      </c>
      <c r="R45" s="75">
        <v>1</v>
      </c>
      <c r="S45" s="75" t="s">
        <v>869</v>
      </c>
      <c r="T45" s="5">
        <v>42</v>
      </c>
      <c r="U45" s="9"/>
      <c r="W45" s="104">
        <f t="shared" ref="W45:X49" si="57">D45</f>
        <v>42.4</v>
      </c>
      <c r="X45" s="106">
        <f t="shared" si="57"/>
        <v>13</v>
      </c>
      <c r="Y45" s="102">
        <f t="shared" ref="Y45:Z49" si="58">H45</f>
        <v>327</v>
      </c>
      <c r="Z45" s="109">
        <f t="shared" si="58"/>
        <v>9500</v>
      </c>
      <c r="AA45" s="109">
        <f>K45</f>
        <v>0</v>
      </c>
      <c r="AB45" s="109">
        <f t="shared" ref="AB45:AD49" si="59">M45</f>
        <v>9500</v>
      </c>
      <c r="AC45" s="4">
        <f t="shared" si="59"/>
        <v>0</v>
      </c>
      <c r="AD45" s="105">
        <f t="shared" si="59"/>
        <v>730.76923076923072</v>
      </c>
      <c r="AE45" s="75" t="str">
        <f>S45</f>
        <v>계</v>
      </c>
      <c r="AF45" s="75" t="str">
        <f>Q45&amp;"/"&amp;R45</f>
        <v>2/1</v>
      </c>
      <c r="AH45" s="20" t="str">
        <f t="shared" si="1"/>
        <v>주공</v>
      </c>
      <c r="AI45" s="106">
        <f t="shared" si="0"/>
        <v>13</v>
      </c>
      <c r="AJ45" s="75" t="str">
        <f>IF(AI45="","",$AJ$2)</f>
        <v>A-</v>
      </c>
      <c r="AK45" s="75" t="s">
        <v>14</v>
      </c>
      <c r="AL45" s="75" t="s">
        <v>870</v>
      </c>
      <c r="AM45" s="75" t="s">
        <v>871</v>
      </c>
      <c r="AN45" s="75" t="str">
        <f>IF(AI45="","",$AN$2)</f>
        <v>C</v>
      </c>
      <c r="AO45" s="75" t="str">
        <f>IF(N45="","",IF(N45&gt;=$AO$1/100,"O","X"))</f>
        <v>X</v>
      </c>
      <c r="AP45" s="75" t="str">
        <f>IF(I45="","",IF(I45&lt;=$AP$1,"O","X"))</f>
        <v>O</v>
      </c>
      <c r="AQ45" s="75" t="str">
        <f>IF(O45="","",IF(O45&lt;=$AQ$1,"O","X"))</f>
        <v>O</v>
      </c>
      <c r="AR45" s="75" t="str">
        <f>IF(M45="","",IF(M45&lt;=$AR$1,"O","X"))</f>
        <v>X</v>
      </c>
      <c r="AS45" s="75" t="s">
        <v>2</v>
      </c>
      <c r="AT45" s="75" t="str">
        <f>IF(OR(F45="",AI45=""),"",IF(AND((F45&lt;=85),(AI45&gt;=15)),"O","X"))</f>
        <v>X</v>
      </c>
      <c r="AU45" s="75" t="str">
        <f>IF(C45="","",IF(C45&gt;=$AU$1,"O","X"))</f>
        <v>O</v>
      </c>
      <c r="AV45" s="75" t="str">
        <f>IF(AO45="","",IF(AND(AO45="O",AP45="O",AR45="O",AT45="O",AU45="O"),"후보","X"))</f>
        <v>X</v>
      </c>
    </row>
    <row r="46" spans="1:48" x14ac:dyDescent="0.3">
      <c r="A46" s="9" t="s">
        <v>432</v>
      </c>
      <c r="B46" s="10" t="s">
        <v>904</v>
      </c>
      <c r="C46" s="107">
        <v>750</v>
      </c>
      <c r="D46" s="104">
        <v>54.8</v>
      </c>
      <c r="E46" s="106">
        <v>17</v>
      </c>
      <c r="F46" s="104">
        <v>42.5</v>
      </c>
      <c r="G46" s="17">
        <v>13</v>
      </c>
      <c r="H46" s="107">
        <v>302</v>
      </c>
      <c r="I46" s="108">
        <v>13000</v>
      </c>
      <c r="J46" s="108" t="s">
        <v>873</v>
      </c>
      <c r="K46" s="108">
        <v>8200</v>
      </c>
      <c r="L46" s="108" t="s">
        <v>878</v>
      </c>
      <c r="M46" s="109">
        <f>I46-K46</f>
        <v>4800</v>
      </c>
      <c r="N46" s="4">
        <f>IF(ISERROR(K46/I46),"",K46/I46)</f>
        <v>0.63076923076923075</v>
      </c>
      <c r="O46" s="105">
        <f>I46/E46</f>
        <v>764.70588235294122</v>
      </c>
      <c r="P46" s="105">
        <f>K46/E46</f>
        <v>482.35294117647061</v>
      </c>
      <c r="Q46" s="75">
        <v>2</v>
      </c>
      <c r="R46" s="75">
        <v>1</v>
      </c>
      <c r="S46" s="75" t="s">
        <v>869</v>
      </c>
      <c r="T46" s="5" t="s">
        <v>437</v>
      </c>
      <c r="U46" s="9"/>
      <c r="W46" s="104">
        <f t="shared" si="57"/>
        <v>54.8</v>
      </c>
      <c r="X46" s="106">
        <f t="shared" si="57"/>
        <v>17</v>
      </c>
      <c r="Y46" s="102">
        <f t="shared" si="58"/>
        <v>302</v>
      </c>
      <c r="Z46" s="109">
        <f t="shared" si="58"/>
        <v>13000</v>
      </c>
      <c r="AA46" s="109">
        <f>K46</f>
        <v>8200</v>
      </c>
      <c r="AB46" s="109">
        <f t="shared" si="59"/>
        <v>4800</v>
      </c>
      <c r="AC46" s="4">
        <f t="shared" si="59"/>
        <v>0.63076923076923075</v>
      </c>
      <c r="AD46" s="105">
        <f t="shared" si="59"/>
        <v>764.70588235294122</v>
      </c>
      <c r="AE46" s="75" t="str">
        <f>S46</f>
        <v>계</v>
      </c>
      <c r="AF46" s="75" t="str">
        <f>Q46&amp;"/"&amp;R46</f>
        <v>2/1</v>
      </c>
      <c r="AH46" s="20" t="str">
        <f t="shared" si="1"/>
        <v>주공</v>
      </c>
      <c r="AI46" s="106">
        <f t="shared" si="0"/>
        <v>17</v>
      </c>
      <c r="AJ46" s="75" t="str">
        <f>IF(AI46="","",$AJ$2)</f>
        <v>A-</v>
      </c>
      <c r="AK46" s="75" t="s">
        <v>14</v>
      </c>
      <c r="AL46" s="75" t="s">
        <v>870</v>
      </c>
      <c r="AM46" s="75" t="s">
        <v>871</v>
      </c>
      <c r="AN46" s="75" t="str">
        <f>IF(AI46="","",$AN$2)</f>
        <v>C</v>
      </c>
      <c r="AO46" s="75" t="str">
        <f>IF(N46="","",IF(N46&gt;=$AO$1/100,"O","X"))</f>
        <v>X</v>
      </c>
      <c r="AP46" s="75" t="str">
        <f>IF(I46="","",IF(I46&lt;=$AP$1,"O","X"))</f>
        <v>O</v>
      </c>
      <c r="AQ46" s="75" t="str">
        <f>IF(O46="","",IF(O46&lt;=$AQ$1,"O","X"))</f>
        <v>O</v>
      </c>
      <c r="AR46" s="75" t="str">
        <f>IF(M46="","",IF(M46&lt;=$AR$1,"O","X"))</f>
        <v>O</v>
      </c>
      <c r="AS46" s="75" t="s">
        <v>2</v>
      </c>
      <c r="AT46" s="75" t="str">
        <f>IF(OR(F46="",AI46=""),"",IF(AND((F46&lt;=85),(AI46&gt;=15)),"O","X"))</f>
        <v>O</v>
      </c>
      <c r="AU46" s="75" t="str">
        <f>IF(C46="","",IF(C46&gt;=$AU$1,"O","X"))</f>
        <v>O</v>
      </c>
      <c r="AV46" s="75" t="str">
        <f>IF(AO46="","",IF(AND(AO46="O",AP46="O",AR46="O",AT46="O",AU46="O"),"후보","X"))</f>
        <v>X</v>
      </c>
    </row>
    <row r="47" spans="1:48" x14ac:dyDescent="0.3">
      <c r="A47" s="9" t="s">
        <v>432</v>
      </c>
      <c r="B47" s="10" t="s">
        <v>904</v>
      </c>
      <c r="C47" s="107">
        <v>750</v>
      </c>
      <c r="D47" s="104">
        <v>55.4</v>
      </c>
      <c r="E47" s="106">
        <v>17</v>
      </c>
      <c r="F47" s="104">
        <v>42.8</v>
      </c>
      <c r="G47" s="17">
        <v>13</v>
      </c>
      <c r="H47" s="107">
        <v>1</v>
      </c>
      <c r="I47" s="108"/>
      <c r="J47" s="108"/>
      <c r="K47" s="108"/>
      <c r="L47" s="108"/>
      <c r="M47" s="109">
        <f>I47-K47</f>
        <v>0</v>
      </c>
      <c r="N47" s="4" t="str">
        <f>IF(ISERROR(K47/I47),"",K47/I47)</f>
        <v/>
      </c>
      <c r="O47" s="105">
        <f>I47/E47</f>
        <v>0</v>
      </c>
      <c r="P47" s="105">
        <f>K47/E47</f>
        <v>0</v>
      </c>
      <c r="Q47" s="75">
        <v>2</v>
      </c>
      <c r="R47" s="75">
        <v>1</v>
      </c>
      <c r="S47" s="75" t="s">
        <v>869</v>
      </c>
      <c r="T47" s="5" t="s">
        <v>438</v>
      </c>
      <c r="U47" s="9"/>
      <c r="W47" s="104">
        <f t="shared" si="57"/>
        <v>55.4</v>
      </c>
      <c r="X47" s="106">
        <f t="shared" si="57"/>
        <v>17</v>
      </c>
      <c r="Y47" s="102">
        <f t="shared" si="58"/>
        <v>1</v>
      </c>
      <c r="Z47" s="109">
        <f t="shared" si="58"/>
        <v>0</v>
      </c>
      <c r="AA47" s="109">
        <f>K47</f>
        <v>0</v>
      </c>
      <c r="AB47" s="109">
        <f t="shared" si="59"/>
        <v>0</v>
      </c>
      <c r="AC47" s="4" t="str">
        <f t="shared" si="59"/>
        <v/>
      </c>
      <c r="AD47" s="105">
        <f t="shared" si="59"/>
        <v>0</v>
      </c>
      <c r="AE47" s="75" t="str">
        <f>S47</f>
        <v>계</v>
      </c>
      <c r="AF47" s="75" t="str">
        <f>Q47&amp;"/"&amp;R47</f>
        <v>2/1</v>
      </c>
      <c r="AH47" s="20" t="str">
        <f t="shared" si="1"/>
        <v>주공</v>
      </c>
      <c r="AI47" s="106">
        <f t="shared" si="0"/>
        <v>17</v>
      </c>
      <c r="AJ47" s="75" t="str">
        <f>IF(AI47="","",$AJ$2)</f>
        <v>A-</v>
      </c>
      <c r="AK47" s="75" t="s">
        <v>14</v>
      </c>
      <c r="AL47" s="75" t="s">
        <v>870</v>
      </c>
      <c r="AM47" s="75" t="s">
        <v>871</v>
      </c>
      <c r="AN47" s="75" t="str">
        <f>IF(AI47="","",$AN$2)</f>
        <v>C</v>
      </c>
      <c r="AO47" s="75" t="str">
        <f>IF(N47="","",IF(N47&gt;=$AO$1/100,"O","X"))</f>
        <v/>
      </c>
      <c r="AP47" s="75" t="str">
        <f>IF(I47="","",IF(I47&lt;=$AP$1,"O","X"))</f>
        <v/>
      </c>
      <c r="AQ47" s="75" t="str">
        <f>IF(O47="","",IF(O47&lt;=$AQ$1,"O","X"))</f>
        <v>O</v>
      </c>
      <c r="AR47" s="75" t="str">
        <f>IF(M47="","",IF(M47&lt;=$AR$1,"O","X"))</f>
        <v>O</v>
      </c>
      <c r="AS47" s="75" t="s">
        <v>2</v>
      </c>
      <c r="AT47" s="75" t="str">
        <f>IF(OR(F47="",AI47=""),"",IF(AND((F47&lt;=85),(AI47&gt;=15)),"O","X"))</f>
        <v>O</v>
      </c>
      <c r="AU47" s="75" t="str">
        <f>IF(C47="","",IF(C47&gt;=$AU$1,"O","X"))</f>
        <v>O</v>
      </c>
      <c r="AV47" s="75" t="str">
        <f>IF(AO47="","",IF(AND(AO47="O",AP47="O",AR47="O",AT47="O",AU47="O"),"후보","X"))</f>
        <v/>
      </c>
    </row>
    <row r="48" spans="1:48" x14ac:dyDescent="0.3">
      <c r="A48" s="9" t="s">
        <v>432</v>
      </c>
      <c r="B48" s="10" t="s">
        <v>904</v>
      </c>
      <c r="C48" s="107">
        <v>750</v>
      </c>
      <c r="D48" s="104">
        <v>57.9</v>
      </c>
      <c r="E48" s="106">
        <v>18</v>
      </c>
      <c r="F48" s="104">
        <v>47</v>
      </c>
      <c r="G48" s="17">
        <v>14</v>
      </c>
      <c r="H48" s="107">
        <v>60</v>
      </c>
      <c r="I48" s="108"/>
      <c r="J48" s="108"/>
      <c r="K48" s="108"/>
      <c r="L48" s="108"/>
      <c r="M48" s="109">
        <f>I48-K48</f>
        <v>0</v>
      </c>
      <c r="N48" s="4" t="str">
        <f>IF(ISERROR(K48/I48),"",K48/I48)</f>
        <v/>
      </c>
      <c r="O48" s="105">
        <f>I48/E48</f>
        <v>0</v>
      </c>
      <c r="P48" s="105">
        <f>K48/E48</f>
        <v>0</v>
      </c>
      <c r="Q48" s="75">
        <v>3</v>
      </c>
      <c r="R48" s="75">
        <v>1</v>
      </c>
      <c r="S48" s="75" t="s">
        <v>869</v>
      </c>
      <c r="T48" s="5" t="s">
        <v>439</v>
      </c>
      <c r="U48" s="9"/>
      <c r="W48" s="104">
        <f t="shared" si="57"/>
        <v>57.9</v>
      </c>
      <c r="X48" s="106">
        <f t="shared" si="57"/>
        <v>18</v>
      </c>
      <c r="Y48" s="102">
        <f t="shared" si="58"/>
        <v>60</v>
      </c>
      <c r="Z48" s="109">
        <f t="shared" si="58"/>
        <v>0</v>
      </c>
      <c r="AA48" s="109">
        <f>K48</f>
        <v>0</v>
      </c>
      <c r="AB48" s="109">
        <f t="shared" si="59"/>
        <v>0</v>
      </c>
      <c r="AC48" s="4" t="str">
        <f t="shared" si="59"/>
        <v/>
      </c>
      <c r="AD48" s="105">
        <f t="shared" si="59"/>
        <v>0</v>
      </c>
      <c r="AE48" s="75" t="str">
        <f>S48</f>
        <v>계</v>
      </c>
      <c r="AF48" s="75" t="str">
        <f>Q48&amp;"/"&amp;R48</f>
        <v>3/1</v>
      </c>
      <c r="AH48" s="20" t="str">
        <f t="shared" si="1"/>
        <v>주공</v>
      </c>
      <c r="AI48" s="106">
        <f t="shared" si="0"/>
        <v>18</v>
      </c>
      <c r="AJ48" s="75" t="str">
        <f>IF(AI48="","",$AJ$2)</f>
        <v>A-</v>
      </c>
      <c r="AK48" s="75" t="s">
        <v>14</v>
      </c>
      <c r="AL48" s="75" t="s">
        <v>870</v>
      </c>
      <c r="AM48" s="75" t="s">
        <v>871</v>
      </c>
      <c r="AN48" s="75" t="str">
        <f>IF(AI48="","",$AN$2)</f>
        <v>C</v>
      </c>
      <c r="AO48" s="75" t="str">
        <f>IF(N48="","",IF(N48&gt;=$AO$1/100,"O","X"))</f>
        <v/>
      </c>
      <c r="AP48" s="75" t="str">
        <f>IF(I48="","",IF(I48&lt;=$AP$1,"O","X"))</f>
        <v/>
      </c>
      <c r="AQ48" s="75" t="str">
        <f>IF(O48="","",IF(O48&lt;=$AQ$1,"O","X"))</f>
        <v>O</v>
      </c>
      <c r="AR48" s="75" t="str">
        <f>IF(M48="","",IF(M48&lt;=$AR$1,"O","X"))</f>
        <v>O</v>
      </c>
      <c r="AS48" s="75" t="s">
        <v>2</v>
      </c>
      <c r="AT48" s="75" t="str">
        <f>IF(OR(F48="",AI48=""),"",IF(AND((F48&lt;=85),(AI48&gt;=15)),"O","X"))</f>
        <v>O</v>
      </c>
      <c r="AU48" s="75" t="str">
        <f>IF(C48="","",IF(C48&gt;=$AU$1,"O","X"))</f>
        <v>O</v>
      </c>
      <c r="AV48" s="75" t="str">
        <f>IF(AO48="","",IF(AND(AO48="O",AP48="O",AR48="O",AT48="O",AU48="O"),"후보","X"))</f>
        <v/>
      </c>
    </row>
    <row r="49" spans="1:48" x14ac:dyDescent="0.3">
      <c r="A49" s="9" t="s">
        <v>432</v>
      </c>
      <c r="B49" s="10" t="s">
        <v>904</v>
      </c>
      <c r="C49" s="107">
        <v>750</v>
      </c>
      <c r="D49" s="104">
        <v>58.2</v>
      </c>
      <c r="E49" s="106">
        <v>18</v>
      </c>
      <c r="F49" s="104">
        <v>47.3</v>
      </c>
      <c r="G49" s="17">
        <v>14</v>
      </c>
      <c r="H49" s="107">
        <v>60</v>
      </c>
      <c r="I49" s="108"/>
      <c r="J49" s="108"/>
      <c r="K49" s="108"/>
      <c r="L49" s="108"/>
      <c r="M49" s="109">
        <f>I49-K49</f>
        <v>0</v>
      </c>
      <c r="N49" s="4" t="str">
        <f>IF(ISERROR(K49/I49),"",K49/I49)</f>
        <v/>
      </c>
      <c r="O49" s="105">
        <f>I49/E49</f>
        <v>0</v>
      </c>
      <c r="P49" s="105">
        <f>K49/E49</f>
        <v>0</v>
      </c>
      <c r="Q49" s="75">
        <v>3</v>
      </c>
      <c r="R49" s="75">
        <v>1</v>
      </c>
      <c r="S49" s="75" t="s">
        <v>869</v>
      </c>
      <c r="T49" s="5" t="s">
        <v>440</v>
      </c>
      <c r="U49" s="9"/>
      <c r="W49" s="104">
        <f t="shared" si="57"/>
        <v>58.2</v>
      </c>
      <c r="X49" s="106">
        <f t="shared" si="57"/>
        <v>18</v>
      </c>
      <c r="Y49" s="102">
        <f t="shared" si="58"/>
        <v>60</v>
      </c>
      <c r="Z49" s="109">
        <f t="shared" si="58"/>
        <v>0</v>
      </c>
      <c r="AA49" s="109">
        <f>K49</f>
        <v>0</v>
      </c>
      <c r="AB49" s="109">
        <f t="shared" si="59"/>
        <v>0</v>
      </c>
      <c r="AC49" s="4" t="str">
        <f t="shared" si="59"/>
        <v/>
      </c>
      <c r="AD49" s="105">
        <f t="shared" si="59"/>
        <v>0</v>
      </c>
      <c r="AE49" s="75" t="str">
        <f>S49</f>
        <v>계</v>
      </c>
      <c r="AF49" s="75" t="str">
        <f>Q49&amp;"/"&amp;R49</f>
        <v>3/1</v>
      </c>
      <c r="AH49" s="20" t="str">
        <f t="shared" si="1"/>
        <v>주공</v>
      </c>
      <c r="AI49" s="106">
        <f t="shared" si="0"/>
        <v>18</v>
      </c>
      <c r="AJ49" s="75" t="str">
        <f>IF(AI49="","",$AJ$2)</f>
        <v>A-</v>
      </c>
      <c r="AK49" s="75" t="s">
        <v>14</v>
      </c>
      <c r="AL49" s="75" t="s">
        <v>870</v>
      </c>
      <c r="AM49" s="75" t="s">
        <v>871</v>
      </c>
      <c r="AN49" s="75" t="str">
        <f>IF(AI49="","",$AN$2)</f>
        <v>C</v>
      </c>
      <c r="AO49" s="75" t="str">
        <f>IF(N49="","",IF(N49&gt;=$AO$1/100,"O","X"))</f>
        <v/>
      </c>
      <c r="AP49" s="75" t="str">
        <f>IF(I49="","",IF(I49&lt;=$AP$1,"O","X"))</f>
        <v/>
      </c>
      <c r="AQ49" s="75" t="str">
        <f>IF(O49="","",IF(O49&lt;=$AQ$1,"O","X"))</f>
        <v>O</v>
      </c>
      <c r="AR49" s="75" t="str">
        <f>IF(M49="","",IF(M49&lt;=$AR$1,"O","X"))</f>
        <v>O</v>
      </c>
      <c r="AS49" s="75" t="s">
        <v>2</v>
      </c>
      <c r="AT49" s="75" t="str">
        <f>IF(OR(F49="",AI49=""),"",IF(AND((F49&lt;=85),(AI49&gt;=15)),"O","X"))</f>
        <v>O</v>
      </c>
      <c r="AU49" s="75" t="str">
        <f>IF(C49="","",IF(C49&gt;=$AU$1,"O","X"))</f>
        <v>O</v>
      </c>
      <c r="AV49" s="75" t="str">
        <f>IF(AO49="","",IF(AND(AO49="O",AP49="O",AR49="O",AT49="O",AU49="O"),"후보","X"))</f>
        <v/>
      </c>
    </row>
  </sheetData>
  <mergeCells count="1">
    <mergeCell ref="AJ1:AN1"/>
  </mergeCells>
  <phoneticPr fontId="2" type="noConversion"/>
  <conditionalFormatting sqref="AV4:AV6">
    <cfRule type="expression" dxfId="3145" priority="739">
      <formula>AV4="X"</formula>
    </cfRule>
    <cfRule type="expression" dxfId="3144" priority="740">
      <formula>AV4="후보"</formula>
    </cfRule>
  </conditionalFormatting>
  <conditionalFormatting sqref="AC1:AC2 AC4:AC6 N4:N5">
    <cfRule type="cellIs" dxfId="3143" priority="736" operator="greaterThan">
      <formula>0.9</formula>
    </cfRule>
    <cfRule type="cellIs" dxfId="3142" priority="737" operator="greaterThan">
      <formula>0.85</formula>
    </cfRule>
  </conditionalFormatting>
  <conditionalFormatting sqref="N1:N2">
    <cfRule type="cellIs" dxfId="3141" priority="734" operator="greaterThan">
      <formula>0.9</formula>
    </cfRule>
    <cfRule type="cellIs" dxfId="3140" priority="735" operator="greaterThan">
      <formula>0.85</formula>
    </cfRule>
  </conditionalFormatting>
  <conditionalFormatting sqref="N6">
    <cfRule type="cellIs" dxfId="3139" priority="732" operator="greaterThan">
      <formula>0.9</formula>
    </cfRule>
    <cfRule type="cellIs" dxfId="3138" priority="733" operator="greaterThan">
      <formula>0.85</formula>
    </cfRule>
  </conditionalFormatting>
  <conditionalFormatting sqref="E6">
    <cfRule type="expression" dxfId="3137" priority="728">
      <formula>AND(IF(OR($Q6=1,$Q6=2),1,0),IF($X6&lt;=20,1,0))</formula>
    </cfRule>
    <cfRule type="expression" dxfId="3136" priority="729">
      <formula>AND(IF($Q6=2,1,0),IF($X6&lt;30,1,0))</formula>
    </cfRule>
    <cfRule type="expression" dxfId="3135" priority="730">
      <formula>AND(IF($Q6=3,1,0),IF($X6&lt;30,1,0))</formula>
    </cfRule>
    <cfRule type="expression" dxfId="3134" priority="731">
      <formula>AND(IF($Q6=3,1,IF($Q6=4,1,0)),IF($F6&lt;=85,1,0))</formula>
    </cfRule>
  </conditionalFormatting>
  <conditionalFormatting sqref="X6">
    <cfRule type="expression" dxfId="3133" priority="724">
      <formula>AND(IF(OR($Q6=1,$Q6=2),1,0),IF($X6&lt;=20,1,0))</formula>
    </cfRule>
    <cfRule type="expression" dxfId="3132" priority="725">
      <formula>AND(IF($Q6=2,1,0),IF($X6&lt;30,1,0))</formula>
    </cfRule>
    <cfRule type="expression" dxfId="3131" priority="726">
      <formula>AND(IF($Q6=3,1,0),IF($X6&lt;30,1,0))</formula>
    </cfRule>
    <cfRule type="expression" dxfId="3130" priority="727">
      <formula>AND(IF($Q6=3,1,IF($Q6=4,1,0)),IF($F6&lt;=85,1,0))</formula>
    </cfRule>
  </conditionalFormatting>
  <conditionalFormatting sqref="AI6">
    <cfRule type="expression" dxfId="3129" priority="720">
      <formula>AND(IF(OR($Q6=1,$Q6=2),1,0),IF($X6&lt;=20,1,0))</formula>
    </cfRule>
    <cfRule type="expression" dxfId="3128" priority="721">
      <formula>AND(IF($Q6=2,1,0),IF($X6&lt;30,1,0))</formula>
    </cfRule>
    <cfRule type="expression" dxfId="3127" priority="722">
      <formula>AND(IF($Q6=3,1,0),IF($X6&lt;30,1,0))</formula>
    </cfRule>
    <cfRule type="expression" dxfId="3126" priority="723">
      <formula>AND(IF($Q6=3,1,IF($Q6=4,1,0)),IF($F6&lt;=85,1,0))</formula>
    </cfRule>
  </conditionalFormatting>
  <conditionalFormatting sqref="AV7">
    <cfRule type="expression" dxfId="3125" priority="718">
      <formula>AV7="X"</formula>
    </cfRule>
    <cfRule type="expression" dxfId="3124" priority="719">
      <formula>AV7="후보"</formula>
    </cfRule>
  </conditionalFormatting>
  <conditionalFormatting sqref="AC7">
    <cfRule type="cellIs" dxfId="3123" priority="715" operator="greaterThan">
      <formula>0.9</formula>
    </cfRule>
    <cfRule type="cellIs" dxfId="3122" priority="716" operator="greaterThan">
      <formula>0.85</formula>
    </cfRule>
  </conditionalFormatting>
  <conditionalFormatting sqref="N7">
    <cfRule type="cellIs" dxfId="3121" priority="713" operator="greaterThan">
      <formula>0.9</formula>
    </cfRule>
    <cfRule type="cellIs" dxfId="3120" priority="714" operator="greaterThan">
      <formula>0.85</formula>
    </cfRule>
  </conditionalFormatting>
  <conditionalFormatting sqref="E7">
    <cfRule type="expression" dxfId="3119" priority="709">
      <formula>AND(IF(OR($Q7=1,$Q7=2),1,0),IF($X7&lt;=20,1,0))</formula>
    </cfRule>
    <cfRule type="expression" dxfId="3118" priority="710">
      <formula>AND(IF($Q7=2,1,0),IF($X7&lt;30,1,0))</formula>
    </cfRule>
    <cfRule type="expression" dxfId="3117" priority="711">
      <formula>AND(IF($Q7=3,1,0),IF($X7&lt;30,1,0))</formula>
    </cfRule>
    <cfRule type="expression" dxfId="3116" priority="712">
      <formula>AND(IF($Q7=3,1,IF($Q7=4,1,0)),IF($F7&lt;=85,1,0))</formula>
    </cfRule>
  </conditionalFormatting>
  <conditionalFormatting sqref="X7">
    <cfRule type="expression" dxfId="3115" priority="705">
      <formula>AND(IF(OR($Q7=1,$Q7=2),1,0),IF($X7&lt;=20,1,0))</formula>
    </cfRule>
    <cfRule type="expression" dxfId="3114" priority="706">
      <formula>AND(IF($Q7=2,1,0),IF($X7&lt;30,1,0))</formula>
    </cfRule>
    <cfRule type="expression" dxfId="3113" priority="707">
      <formula>AND(IF($Q7=3,1,0),IF($X7&lt;30,1,0))</formula>
    </cfRule>
    <cfRule type="expression" dxfId="3112" priority="708">
      <formula>AND(IF($Q7=3,1,IF($Q7=4,1,0)),IF($F7&lt;=85,1,0))</formula>
    </cfRule>
  </conditionalFormatting>
  <conditionalFormatting sqref="AI7">
    <cfRule type="expression" dxfId="3111" priority="701">
      <formula>AND(IF(OR($Q7=1,$Q7=2),1,0),IF($X7&lt;=20,1,0))</formula>
    </cfRule>
    <cfRule type="expression" dxfId="3110" priority="702">
      <formula>AND(IF($Q7=2,1,0),IF($X7&lt;30,1,0))</formula>
    </cfRule>
    <cfRule type="expression" dxfId="3109" priority="703">
      <formula>AND(IF($Q7=3,1,0),IF($X7&lt;30,1,0))</formula>
    </cfRule>
    <cfRule type="expression" dxfId="3108" priority="704">
      <formula>AND(IF($Q7=3,1,IF($Q7=4,1,0)),IF($F7&lt;=85,1,0))</formula>
    </cfRule>
  </conditionalFormatting>
  <conditionalFormatting sqref="AV8">
    <cfRule type="expression" dxfId="3107" priority="699">
      <formula>AV8="X"</formula>
    </cfRule>
    <cfRule type="expression" dxfId="3106" priority="700">
      <formula>AV8="후보"</formula>
    </cfRule>
  </conditionalFormatting>
  <conditionalFormatting sqref="AC8">
    <cfRule type="cellIs" dxfId="3105" priority="696" operator="greaterThan">
      <formula>0.9</formula>
    </cfRule>
    <cfRule type="cellIs" dxfId="3104" priority="697" operator="greaterThan">
      <formula>0.85</formula>
    </cfRule>
  </conditionalFormatting>
  <conditionalFormatting sqref="N8">
    <cfRule type="cellIs" dxfId="3103" priority="694" operator="greaterThan">
      <formula>0.9</formula>
    </cfRule>
    <cfRule type="cellIs" dxfId="3102" priority="695" operator="greaterThan">
      <formula>0.85</formula>
    </cfRule>
  </conditionalFormatting>
  <conditionalFormatting sqref="E8">
    <cfRule type="expression" dxfId="3101" priority="690">
      <formula>AND(IF(OR($Q8=1,$Q8=2),1,0),IF($X8&lt;=20,1,0))</formula>
    </cfRule>
    <cfRule type="expression" dxfId="3100" priority="691">
      <formula>AND(IF($Q8=2,1,0),IF($X8&lt;30,1,0))</formula>
    </cfRule>
    <cfRule type="expression" dxfId="3099" priority="692">
      <formula>AND(IF($Q8=3,1,0),IF($X8&lt;30,1,0))</formula>
    </cfRule>
    <cfRule type="expression" dxfId="3098" priority="693">
      <formula>AND(IF($Q8=3,1,IF($Q8=4,1,0)),IF($F8&lt;=85,1,0))</formula>
    </cfRule>
  </conditionalFormatting>
  <conditionalFormatting sqref="X8">
    <cfRule type="expression" dxfId="3097" priority="686">
      <formula>AND(IF(OR($Q8=1,$Q8=2),1,0),IF($X8&lt;=20,1,0))</formula>
    </cfRule>
    <cfRule type="expression" dxfId="3096" priority="687">
      <formula>AND(IF($Q8=2,1,0),IF($X8&lt;30,1,0))</formula>
    </cfRule>
    <cfRule type="expression" dxfId="3095" priority="688">
      <formula>AND(IF($Q8=3,1,0),IF($X8&lt;30,1,0))</formula>
    </cfRule>
    <cfRule type="expression" dxfId="3094" priority="689">
      <formula>AND(IF($Q8=3,1,IF($Q8=4,1,0)),IF($F8&lt;=85,1,0))</formula>
    </cfRule>
  </conditionalFormatting>
  <conditionalFormatting sqref="AI8">
    <cfRule type="expression" dxfId="3093" priority="682">
      <formula>AND(IF(OR($Q8=1,$Q8=2),1,0),IF($X8&lt;=20,1,0))</formula>
    </cfRule>
    <cfRule type="expression" dxfId="3092" priority="683">
      <formula>AND(IF($Q8=2,1,0),IF($X8&lt;30,1,0))</formula>
    </cfRule>
    <cfRule type="expression" dxfId="3091" priority="684">
      <formula>AND(IF($Q8=3,1,0),IF($X8&lt;30,1,0))</formula>
    </cfRule>
    <cfRule type="expression" dxfId="3090" priority="685">
      <formula>AND(IF($Q8=3,1,IF($Q8=4,1,0)),IF($F8&lt;=85,1,0))</formula>
    </cfRule>
  </conditionalFormatting>
  <conditionalFormatting sqref="AV9">
    <cfRule type="expression" dxfId="3089" priority="680">
      <formula>AV9="X"</formula>
    </cfRule>
    <cfRule type="expression" dxfId="3088" priority="681">
      <formula>AV9="후보"</formula>
    </cfRule>
  </conditionalFormatting>
  <conditionalFormatting sqref="AC9 N9">
    <cfRule type="cellIs" dxfId="3087" priority="677" operator="greaterThan">
      <formula>0.9</formula>
    </cfRule>
    <cfRule type="cellIs" dxfId="3086" priority="678" operator="greaterThan">
      <formula>0.85</formula>
    </cfRule>
  </conditionalFormatting>
  <conditionalFormatting sqref="AV10">
    <cfRule type="expression" dxfId="3085" priority="675">
      <formula>AV10="X"</formula>
    </cfRule>
    <cfRule type="expression" dxfId="3084" priority="676">
      <formula>AV10="후보"</formula>
    </cfRule>
  </conditionalFormatting>
  <conditionalFormatting sqref="AC10">
    <cfRule type="cellIs" dxfId="3083" priority="672" operator="greaterThan">
      <formula>0.9</formula>
    </cfRule>
    <cfRule type="cellIs" dxfId="3082" priority="673" operator="greaterThan">
      <formula>0.85</formula>
    </cfRule>
  </conditionalFormatting>
  <conditionalFormatting sqref="N10">
    <cfRule type="cellIs" dxfId="3081" priority="670" operator="greaterThan">
      <formula>0.9</formula>
    </cfRule>
    <cfRule type="cellIs" dxfId="3080" priority="671" operator="greaterThan">
      <formula>0.85</formula>
    </cfRule>
  </conditionalFormatting>
  <conditionalFormatting sqref="E10">
    <cfRule type="expression" dxfId="3079" priority="666">
      <formula>AND(IF(OR($Q10=1,$Q10=2),1,0),IF($X10&lt;=20,1,0))</formula>
    </cfRule>
    <cfRule type="expression" dxfId="3078" priority="667">
      <formula>AND(IF($Q10=2,1,0),IF($X10&lt;30,1,0))</formula>
    </cfRule>
    <cfRule type="expression" dxfId="3077" priority="668">
      <formula>AND(IF($Q10=3,1,0),IF($X10&lt;30,1,0))</formula>
    </cfRule>
    <cfRule type="expression" dxfId="3076" priority="669">
      <formula>AND(IF($Q10=3,1,IF($Q10=4,1,0)),IF($F10&lt;=85,1,0))</formula>
    </cfRule>
  </conditionalFormatting>
  <conditionalFormatting sqref="X10">
    <cfRule type="expression" dxfId="3075" priority="662">
      <formula>AND(IF(OR($Q10=1,$Q10=2),1,0),IF($X10&lt;=20,1,0))</formula>
    </cfRule>
    <cfRule type="expression" dxfId="3074" priority="663">
      <formula>AND(IF($Q10=2,1,0),IF($X10&lt;30,1,0))</formula>
    </cfRule>
    <cfRule type="expression" dxfId="3073" priority="664">
      <formula>AND(IF($Q10=3,1,0),IF($X10&lt;30,1,0))</formula>
    </cfRule>
    <cfRule type="expression" dxfId="3072" priority="665">
      <formula>AND(IF($Q10=3,1,IF($Q10=4,1,0)),IF($F10&lt;=85,1,0))</formula>
    </cfRule>
  </conditionalFormatting>
  <conditionalFormatting sqref="AI10">
    <cfRule type="expression" dxfId="3071" priority="658">
      <formula>AND(IF(OR($Q10=1,$Q10=2),1,0),IF($X10&lt;=20,1,0))</formula>
    </cfRule>
    <cfRule type="expression" dxfId="3070" priority="659">
      <formula>AND(IF($Q10=2,1,0),IF($X10&lt;30,1,0))</formula>
    </cfRule>
    <cfRule type="expression" dxfId="3069" priority="660">
      <formula>AND(IF($Q10=3,1,0),IF($X10&lt;30,1,0))</formula>
    </cfRule>
    <cfRule type="expression" dxfId="3068" priority="661">
      <formula>AND(IF($Q10=3,1,IF($Q10=4,1,0)),IF($F10&lt;=85,1,0))</formula>
    </cfRule>
  </conditionalFormatting>
  <conditionalFormatting sqref="AV11">
    <cfRule type="expression" dxfId="3067" priority="656">
      <formula>AV11="X"</formula>
    </cfRule>
    <cfRule type="expression" dxfId="3066" priority="657">
      <formula>AV11="후보"</formula>
    </cfRule>
  </conditionalFormatting>
  <conditionalFormatting sqref="AC11">
    <cfRule type="cellIs" dxfId="3065" priority="653" operator="greaterThan">
      <formula>0.9</formula>
    </cfRule>
    <cfRule type="cellIs" dxfId="3064" priority="654" operator="greaterThan">
      <formula>0.85</formula>
    </cfRule>
  </conditionalFormatting>
  <conditionalFormatting sqref="N11">
    <cfRule type="cellIs" dxfId="3063" priority="651" operator="greaterThan">
      <formula>0.9</formula>
    </cfRule>
    <cfRule type="cellIs" dxfId="3062" priority="652" operator="greaterThan">
      <formula>0.85</formula>
    </cfRule>
  </conditionalFormatting>
  <conditionalFormatting sqref="E11">
    <cfRule type="expression" dxfId="3061" priority="647">
      <formula>AND(IF(OR($Q11=1,$Q11=2),1,0),IF($X11&lt;=20,1,0))</formula>
    </cfRule>
    <cfRule type="expression" dxfId="3060" priority="648">
      <formula>AND(IF($Q11=2,1,0),IF($X11&lt;30,1,0))</formula>
    </cfRule>
    <cfRule type="expression" dxfId="3059" priority="649">
      <formula>AND(IF($Q11=3,1,0),IF($X11&lt;30,1,0))</formula>
    </cfRule>
    <cfRule type="expression" dxfId="3058" priority="650">
      <formula>AND(IF($Q11=3,1,IF($Q11=4,1,0)),IF($F11&lt;=85,1,0))</formula>
    </cfRule>
  </conditionalFormatting>
  <conditionalFormatting sqref="X11">
    <cfRule type="expression" dxfId="3057" priority="643">
      <formula>AND(IF(OR($Q11=1,$Q11=2),1,0),IF($X11&lt;=20,1,0))</formula>
    </cfRule>
    <cfRule type="expression" dxfId="3056" priority="644">
      <formula>AND(IF($Q11=2,1,0),IF($X11&lt;30,1,0))</formula>
    </cfRule>
    <cfRule type="expression" dxfId="3055" priority="645">
      <formula>AND(IF($Q11=3,1,0),IF($X11&lt;30,1,0))</formula>
    </cfRule>
    <cfRule type="expression" dxfId="3054" priority="646">
      <formula>AND(IF($Q11=3,1,IF($Q11=4,1,0)),IF($F11&lt;=85,1,0))</formula>
    </cfRule>
  </conditionalFormatting>
  <conditionalFormatting sqref="AI11">
    <cfRule type="expression" dxfId="3053" priority="639">
      <formula>AND(IF(OR($Q11=1,$Q11=2),1,0),IF($X11&lt;=20,1,0))</formula>
    </cfRule>
    <cfRule type="expression" dxfId="3052" priority="640">
      <formula>AND(IF($Q11=2,1,0),IF($X11&lt;30,1,0))</formula>
    </cfRule>
    <cfRule type="expression" dxfId="3051" priority="641">
      <formula>AND(IF($Q11=3,1,0),IF($X11&lt;30,1,0))</formula>
    </cfRule>
    <cfRule type="expression" dxfId="3050" priority="642">
      <formula>AND(IF($Q11=3,1,IF($Q11=4,1,0)),IF($F11&lt;=85,1,0))</formula>
    </cfRule>
  </conditionalFormatting>
  <conditionalFormatting sqref="AV12">
    <cfRule type="expression" dxfId="3049" priority="637">
      <formula>AV12="X"</formula>
    </cfRule>
    <cfRule type="expression" dxfId="3048" priority="638">
      <formula>AV12="후보"</formula>
    </cfRule>
  </conditionalFormatting>
  <conditionalFormatting sqref="AC12">
    <cfRule type="cellIs" dxfId="3047" priority="634" operator="greaterThan">
      <formula>0.9</formula>
    </cfRule>
    <cfRule type="cellIs" dxfId="3046" priority="635" operator="greaterThan">
      <formula>0.85</formula>
    </cfRule>
  </conditionalFormatting>
  <conditionalFormatting sqref="N12">
    <cfRule type="cellIs" dxfId="3045" priority="632" operator="greaterThan">
      <formula>0.9</formula>
    </cfRule>
    <cfRule type="cellIs" dxfId="3044" priority="633" operator="greaterThan">
      <formula>0.85</formula>
    </cfRule>
  </conditionalFormatting>
  <conditionalFormatting sqref="E12">
    <cfRule type="expression" dxfId="3043" priority="628">
      <formula>AND(IF(OR($Q12=1,$Q12=2),1,0),IF($X12&lt;=20,1,0))</formula>
    </cfRule>
    <cfRule type="expression" dxfId="3042" priority="629">
      <formula>AND(IF($Q12=2,1,0),IF($X12&lt;30,1,0))</formula>
    </cfRule>
    <cfRule type="expression" dxfId="3041" priority="630">
      <formula>AND(IF($Q12=3,1,0),IF($X12&lt;30,1,0))</formula>
    </cfRule>
    <cfRule type="expression" dxfId="3040" priority="631">
      <formula>AND(IF($Q12=3,1,IF($Q12=4,1,0)),IF($F12&lt;=85,1,0))</formula>
    </cfRule>
  </conditionalFormatting>
  <conditionalFormatting sqref="X12">
    <cfRule type="expression" dxfId="3039" priority="624">
      <formula>AND(IF(OR($Q12=1,$Q12=2),1,0),IF($X12&lt;=20,1,0))</formula>
    </cfRule>
    <cfRule type="expression" dxfId="3038" priority="625">
      <formula>AND(IF($Q12=2,1,0),IF($X12&lt;30,1,0))</formula>
    </cfRule>
    <cfRule type="expression" dxfId="3037" priority="626">
      <formula>AND(IF($Q12=3,1,0),IF($X12&lt;30,1,0))</formula>
    </cfRule>
    <cfRule type="expression" dxfId="3036" priority="627">
      <formula>AND(IF($Q12=3,1,IF($Q12=4,1,0)),IF($F12&lt;=85,1,0))</formula>
    </cfRule>
  </conditionalFormatting>
  <conditionalFormatting sqref="AI12">
    <cfRule type="expression" dxfId="3035" priority="620">
      <formula>AND(IF(OR($Q12=1,$Q12=2),1,0),IF($X12&lt;=20,1,0))</formula>
    </cfRule>
    <cfRule type="expression" dxfId="3034" priority="621">
      <formula>AND(IF($Q12=2,1,0),IF($X12&lt;30,1,0))</formula>
    </cfRule>
    <cfRule type="expression" dxfId="3033" priority="622">
      <formula>AND(IF($Q12=3,1,0),IF($X12&lt;30,1,0))</formula>
    </cfRule>
    <cfRule type="expression" dxfId="3032" priority="623">
      <formula>AND(IF($Q12=3,1,IF($Q12=4,1,0)),IF($F12&lt;=85,1,0))</formula>
    </cfRule>
  </conditionalFormatting>
  <conditionalFormatting sqref="AV13">
    <cfRule type="expression" dxfId="3031" priority="618">
      <formula>AV13="X"</formula>
    </cfRule>
    <cfRule type="expression" dxfId="3030" priority="619">
      <formula>AV13="후보"</formula>
    </cfRule>
  </conditionalFormatting>
  <conditionalFormatting sqref="AC13">
    <cfRule type="cellIs" dxfId="3029" priority="615" operator="greaterThan">
      <formula>0.9</formula>
    </cfRule>
    <cfRule type="cellIs" dxfId="3028" priority="616" operator="greaterThan">
      <formula>0.85</formula>
    </cfRule>
  </conditionalFormatting>
  <conditionalFormatting sqref="N13">
    <cfRule type="cellIs" dxfId="3027" priority="613" operator="greaterThan">
      <formula>0.9</formula>
    </cfRule>
    <cfRule type="cellIs" dxfId="3026" priority="614" operator="greaterThan">
      <formula>0.85</formula>
    </cfRule>
  </conditionalFormatting>
  <conditionalFormatting sqref="E13">
    <cfRule type="expression" dxfId="3025" priority="609">
      <formula>AND(IF(OR($Q13=1,$Q13=2),1,0),IF($X13&lt;=20,1,0))</formula>
    </cfRule>
    <cfRule type="expression" dxfId="3024" priority="610">
      <formula>AND(IF($Q13=2,1,0),IF($X13&lt;30,1,0))</formula>
    </cfRule>
    <cfRule type="expression" dxfId="3023" priority="611">
      <formula>AND(IF($Q13=3,1,0),IF($X13&lt;30,1,0))</formula>
    </cfRule>
    <cfRule type="expression" dxfId="3022" priority="612">
      <formula>AND(IF($Q13=3,1,IF($Q13=4,1,0)),IF($F13&lt;=85,1,0))</formula>
    </cfRule>
  </conditionalFormatting>
  <conditionalFormatting sqref="X13">
    <cfRule type="expression" dxfId="3021" priority="605">
      <formula>AND(IF(OR($Q13=1,$Q13=2),1,0),IF($X13&lt;=20,1,0))</formula>
    </cfRule>
    <cfRule type="expression" dxfId="3020" priority="606">
      <formula>AND(IF($Q13=2,1,0),IF($X13&lt;30,1,0))</formula>
    </cfRule>
    <cfRule type="expression" dxfId="3019" priority="607">
      <formula>AND(IF($Q13=3,1,0),IF($X13&lt;30,1,0))</formula>
    </cfRule>
    <cfRule type="expression" dxfId="3018" priority="608">
      <formula>AND(IF($Q13=3,1,IF($Q13=4,1,0)),IF($F13&lt;=85,1,0))</formula>
    </cfRule>
  </conditionalFormatting>
  <conditionalFormatting sqref="AI13">
    <cfRule type="expression" dxfId="3017" priority="601">
      <formula>AND(IF(OR($Q13=1,$Q13=2),1,0),IF($X13&lt;=20,1,0))</formula>
    </cfRule>
    <cfRule type="expression" dxfId="3016" priority="602">
      <formula>AND(IF($Q13=2,1,0),IF($X13&lt;30,1,0))</formula>
    </cfRule>
    <cfRule type="expression" dxfId="3015" priority="603">
      <formula>AND(IF($Q13=3,1,0),IF($X13&lt;30,1,0))</formula>
    </cfRule>
    <cfRule type="expression" dxfId="3014" priority="604">
      <formula>AND(IF($Q13=3,1,IF($Q13=4,1,0)),IF($F13&lt;=85,1,0))</formula>
    </cfRule>
  </conditionalFormatting>
  <conditionalFormatting sqref="AV14">
    <cfRule type="expression" dxfId="3013" priority="599">
      <formula>AV14="X"</formula>
    </cfRule>
    <cfRule type="expression" dxfId="3012" priority="600">
      <formula>AV14="후보"</formula>
    </cfRule>
  </conditionalFormatting>
  <conditionalFormatting sqref="AC14 N14">
    <cfRule type="cellIs" dxfId="3011" priority="596" operator="greaterThan">
      <formula>0.9</formula>
    </cfRule>
    <cfRule type="cellIs" dxfId="3010" priority="597" operator="greaterThan">
      <formula>0.85</formula>
    </cfRule>
  </conditionalFormatting>
  <conditionalFormatting sqref="AV15">
    <cfRule type="expression" dxfId="3009" priority="594">
      <formula>AV15="X"</formula>
    </cfRule>
    <cfRule type="expression" dxfId="3008" priority="595">
      <formula>AV15="후보"</formula>
    </cfRule>
  </conditionalFormatting>
  <conditionalFormatting sqref="AC15">
    <cfRule type="cellIs" dxfId="3007" priority="591" operator="greaterThan">
      <formula>0.9</formula>
    </cfRule>
    <cfRule type="cellIs" dxfId="3006" priority="592" operator="greaterThan">
      <formula>0.85</formula>
    </cfRule>
  </conditionalFormatting>
  <conditionalFormatting sqref="N15">
    <cfRule type="cellIs" dxfId="3005" priority="589" operator="greaterThan">
      <formula>0.9</formula>
    </cfRule>
    <cfRule type="cellIs" dxfId="3004" priority="590" operator="greaterThan">
      <formula>0.85</formula>
    </cfRule>
  </conditionalFormatting>
  <conditionalFormatting sqref="E15">
    <cfRule type="expression" dxfId="3003" priority="585">
      <formula>AND(IF(OR($Q15=1,$Q15=2),1,0),IF($X15&lt;=20,1,0))</formula>
    </cfRule>
    <cfRule type="expression" dxfId="3002" priority="586">
      <formula>AND(IF($Q15=2,1,0),IF($X15&lt;30,1,0))</formula>
    </cfRule>
    <cfRule type="expression" dxfId="3001" priority="587">
      <formula>AND(IF($Q15=3,1,0),IF($X15&lt;30,1,0))</formula>
    </cfRule>
    <cfRule type="expression" dxfId="3000" priority="588">
      <formula>AND(IF($Q15=3,1,IF($Q15=4,1,0)),IF($F15&lt;=85,1,0))</formula>
    </cfRule>
  </conditionalFormatting>
  <conditionalFormatting sqref="X15">
    <cfRule type="expression" dxfId="2999" priority="581">
      <formula>AND(IF(OR($Q15=1,$Q15=2),1,0),IF($X15&lt;=20,1,0))</formula>
    </cfRule>
    <cfRule type="expression" dxfId="2998" priority="582">
      <formula>AND(IF($Q15=2,1,0),IF($X15&lt;30,1,0))</formula>
    </cfRule>
    <cfRule type="expression" dxfId="2997" priority="583">
      <formula>AND(IF($Q15=3,1,0),IF($X15&lt;30,1,0))</formula>
    </cfRule>
    <cfRule type="expression" dxfId="2996" priority="584">
      <formula>AND(IF($Q15=3,1,IF($Q15=4,1,0)),IF($F15&lt;=85,1,0))</formula>
    </cfRule>
  </conditionalFormatting>
  <conditionalFormatting sqref="AI15">
    <cfRule type="expression" dxfId="2995" priority="577">
      <formula>AND(IF(OR($Q15=1,$Q15=2),1,0),IF($X15&lt;=20,1,0))</formula>
    </cfRule>
    <cfRule type="expression" dxfId="2994" priority="578">
      <formula>AND(IF($Q15=2,1,0),IF($X15&lt;30,1,0))</formula>
    </cfRule>
    <cfRule type="expression" dxfId="2993" priority="579">
      <formula>AND(IF($Q15=3,1,0),IF($X15&lt;30,1,0))</formula>
    </cfRule>
    <cfRule type="expression" dxfId="2992" priority="580">
      <formula>AND(IF($Q15=3,1,IF($Q15=4,1,0)),IF($F15&lt;=85,1,0))</formula>
    </cfRule>
  </conditionalFormatting>
  <conditionalFormatting sqref="AV16">
    <cfRule type="expression" dxfId="2991" priority="575">
      <formula>AV16="X"</formula>
    </cfRule>
    <cfRule type="expression" dxfId="2990" priority="576">
      <formula>AV16="후보"</formula>
    </cfRule>
  </conditionalFormatting>
  <conditionalFormatting sqref="AC16">
    <cfRule type="cellIs" dxfId="2989" priority="572" operator="greaterThan">
      <formula>0.9</formula>
    </cfRule>
    <cfRule type="cellIs" dxfId="2988" priority="573" operator="greaterThan">
      <formula>0.85</formula>
    </cfRule>
  </conditionalFormatting>
  <conditionalFormatting sqref="N16">
    <cfRule type="cellIs" dxfId="2987" priority="570" operator="greaterThan">
      <formula>0.9</formula>
    </cfRule>
    <cfRule type="cellIs" dxfId="2986" priority="571" operator="greaterThan">
      <formula>0.85</formula>
    </cfRule>
  </conditionalFormatting>
  <conditionalFormatting sqref="E16">
    <cfRule type="expression" dxfId="2985" priority="566">
      <formula>AND(IF(OR($Q16=1,$Q16=2),1,0),IF($X16&lt;=20,1,0))</formula>
    </cfRule>
    <cfRule type="expression" dxfId="2984" priority="567">
      <formula>AND(IF($Q16=2,1,0),IF($X16&lt;30,1,0))</formula>
    </cfRule>
    <cfRule type="expression" dxfId="2983" priority="568">
      <formula>AND(IF($Q16=3,1,0),IF($X16&lt;30,1,0))</formula>
    </cfRule>
    <cfRule type="expression" dxfId="2982" priority="569">
      <formula>AND(IF($Q16=3,1,IF($Q16=4,1,0)),IF($F16&lt;=85,1,0))</formula>
    </cfRule>
  </conditionalFormatting>
  <conditionalFormatting sqref="X16">
    <cfRule type="expression" dxfId="2981" priority="562">
      <formula>AND(IF(OR($Q16=1,$Q16=2),1,0),IF($X16&lt;=20,1,0))</formula>
    </cfRule>
    <cfRule type="expression" dxfId="2980" priority="563">
      <formula>AND(IF($Q16=2,1,0),IF($X16&lt;30,1,0))</formula>
    </cfRule>
    <cfRule type="expression" dxfId="2979" priority="564">
      <formula>AND(IF($Q16=3,1,0),IF($X16&lt;30,1,0))</formula>
    </cfRule>
    <cfRule type="expression" dxfId="2978" priority="565">
      <formula>AND(IF($Q16=3,1,IF($Q16=4,1,0)),IF($F16&lt;=85,1,0))</formula>
    </cfRule>
  </conditionalFormatting>
  <conditionalFormatting sqref="AI16">
    <cfRule type="expression" dxfId="2977" priority="558">
      <formula>AND(IF(OR($Q16=1,$Q16=2),1,0),IF($X16&lt;=20,1,0))</formula>
    </cfRule>
    <cfRule type="expression" dxfId="2976" priority="559">
      <formula>AND(IF($Q16=2,1,0),IF($X16&lt;30,1,0))</formula>
    </cfRule>
    <cfRule type="expression" dxfId="2975" priority="560">
      <formula>AND(IF($Q16=3,1,0),IF($X16&lt;30,1,0))</formula>
    </cfRule>
    <cfRule type="expression" dxfId="2974" priority="561">
      <formula>AND(IF($Q16=3,1,IF($Q16=4,1,0)),IF($F16&lt;=85,1,0))</formula>
    </cfRule>
  </conditionalFormatting>
  <conditionalFormatting sqref="AV17">
    <cfRule type="expression" dxfId="2973" priority="556">
      <formula>AV17="X"</formula>
    </cfRule>
    <cfRule type="expression" dxfId="2972" priority="557">
      <formula>AV17="후보"</formula>
    </cfRule>
  </conditionalFormatting>
  <conditionalFormatting sqref="AC17">
    <cfRule type="cellIs" dxfId="2971" priority="553" operator="greaterThan">
      <formula>0.9</formula>
    </cfRule>
    <cfRule type="cellIs" dxfId="2970" priority="554" operator="greaterThan">
      <formula>0.85</formula>
    </cfRule>
  </conditionalFormatting>
  <conditionalFormatting sqref="N17">
    <cfRule type="cellIs" dxfId="2969" priority="551" operator="greaterThan">
      <formula>0.9</formula>
    </cfRule>
    <cfRule type="cellIs" dxfId="2968" priority="552" operator="greaterThan">
      <formula>0.85</formula>
    </cfRule>
  </conditionalFormatting>
  <conditionalFormatting sqref="E17">
    <cfRule type="expression" dxfId="2967" priority="547">
      <formula>AND(IF(OR($Q17=1,$Q17=2),1,0),IF($X17&lt;=20,1,0))</formula>
    </cfRule>
    <cfRule type="expression" dxfId="2966" priority="548">
      <formula>AND(IF($Q17=2,1,0),IF($X17&lt;30,1,0))</formula>
    </cfRule>
    <cfRule type="expression" dxfId="2965" priority="549">
      <formula>AND(IF($Q17=3,1,0),IF($X17&lt;30,1,0))</formula>
    </cfRule>
    <cfRule type="expression" dxfId="2964" priority="550">
      <formula>AND(IF($Q17=3,1,IF($Q17=4,1,0)),IF($F17&lt;=85,1,0))</formula>
    </cfRule>
  </conditionalFormatting>
  <conditionalFormatting sqref="X17">
    <cfRule type="expression" dxfId="2963" priority="543">
      <formula>AND(IF(OR($Q17=1,$Q17=2),1,0),IF($X17&lt;=20,1,0))</formula>
    </cfRule>
    <cfRule type="expression" dxfId="2962" priority="544">
      <formula>AND(IF($Q17=2,1,0),IF($X17&lt;30,1,0))</formula>
    </cfRule>
    <cfRule type="expression" dxfId="2961" priority="545">
      <formula>AND(IF($Q17=3,1,0),IF($X17&lt;30,1,0))</formula>
    </cfRule>
    <cfRule type="expression" dxfId="2960" priority="546">
      <formula>AND(IF($Q17=3,1,IF($Q17=4,1,0)),IF($F17&lt;=85,1,0))</formula>
    </cfRule>
  </conditionalFormatting>
  <conditionalFormatting sqref="AI17">
    <cfRule type="expression" dxfId="2959" priority="539">
      <formula>AND(IF(OR($Q17=1,$Q17=2),1,0),IF($X17&lt;=20,1,0))</formula>
    </cfRule>
    <cfRule type="expression" dxfId="2958" priority="540">
      <formula>AND(IF($Q17=2,1,0),IF($X17&lt;30,1,0))</formula>
    </cfRule>
    <cfRule type="expression" dxfId="2957" priority="541">
      <formula>AND(IF($Q17=3,1,0),IF($X17&lt;30,1,0))</formula>
    </cfRule>
    <cfRule type="expression" dxfId="2956" priority="542">
      <formula>AND(IF($Q17=3,1,IF($Q17=4,1,0)),IF($F17&lt;=85,1,0))</formula>
    </cfRule>
  </conditionalFormatting>
  <conditionalFormatting sqref="AV18">
    <cfRule type="expression" dxfId="2955" priority="537">
      <formula>AV18="X"</formula>
    </cfRule>
    <cfRule type="expression" dxfId="2954" priority="538">
      <formula>AV18="후보"</formula>
    </cfRule>
  </conditionalFormatting>
  <conditionalFormatting sqref="AC18 N18">
    <cfRule type="cellIs" dxfId="2953" priority="534" operator="greaterThan">
      <formula>0.9</formula>
    </cfRule>
    <cfRule type="cellIs" dxfId="2952" priority="535" operator="greaterThan">
      <formula>0.85</formula>
    </cfRule>
  </conditionalFormatting>
  <conditionalFormatting sqref="AV19">
    <cfRule type="expression" dxfId="2951" priority="532">
      <formula>AV19="X"</formula>
    </cfRule>
    <cfRule type="expression" dxfId="2950" priority="533">
      <formula>AV19="후보"</formula>
    </cfRule>
  </conditionalFormatting>
  <conditionalFormatting sqref="AC19">
    <cfRule type="cellIs" dxfId="2949" priority="529" operator="greaterThan">
      <formula>0.9</formula>
    </cfRule>
    <cfRule type="cellIs" dxfId="2948" priority="530" operator="greaterThan">
      <formula>0.85</formula>
    </cfRule>
  </conditionalFormatting>
  <conditionalFormatting sqref="N19">
    <cfRule type="cellIs" dxfId="2947" priority="527" operator="greaterThan">
      <formula>0.9</formula>
    </cfRule>
    <cfRule type="cellIs" dxfId="2946" priority="528" operator="greaterThan">
      <formula>0.85</formula>
    </cfRule>
  </conditionalFormatting>
  <conditionalFormatting sqref="E19">
    <cfRule type="expression" dxfId="2945" priority="523">
      <formula>AND(IF(OR($Q19=1,$Q19=2),1,0),IF($X19&lt;=20,1,0))</formula>
    </cfRule>
    <cfRule type="expression" dxfId="2944" priority="524">
      <formula>AND(IF($Q19=2,1,0),IF($X19&lt;30,1,0))</formula>
    </cfRule>
    <cfRule type="expression" dxfId="2943" priority="525">
      <formula>AND(IF($Q19=3,1,0),IF($X19&lt;30,1,0))</formula>
    </cfRule>
    <cfRule type="expression" dxfId="2942" priority="526">
      <formula>AND(IF($Q19=3,1,IF($Q19=4,1,0)),IF($F19&lt;=85,1,0))</formula>
    </cfRule>
  </conditionalFormatting>
  <conditionalFormatting sqref="X19">
    <cfRule type="expression" dxfId="2941" priority="519">
      <formula>AND(IF(OR($Q19=1,$Q19=2),1,0),IF($X19&lt;=20,1,0))</formula>
    </cfRule>
    <cfRule type="expression" dxfId="2940" priority="520">
      <formula>AND(IF($Q19=2,1,0),IF($X19&lt;30,1,0))</formula>
    </cfRule>
    <cfRule type="expression" dxfId="2939" priority="521">
      <formula>AND(IF($Q19=3,1,0),IF($X19&lt;30,1,0))</formula>
    </cfRule>
    <cfRule type="expression" dxfId="2938" priority="522">
      <formula>AND(IF($Q19=3,1,IF($Q19=4,1,0)),IF($F19&lt;=85,1,0))</formula>
    </cfRule>
  </conditionalFormatting>
  <conditionalFormatting sqref="AI19">
    <cfRule type="expression" dxfId="2937" priority="515">
      <formula>AND(IF(OR($Q19=1,$Q19=2),1,0),IF($X19&lt;=20,1,0))</formula>
    </cfRule>
    <cfRule type="expression" dxfId="2936" priority="516">
      <formula>AND(IF($Q19=2,1,0),IF($X19&lt;30,1,0))</formula>
    </cfRule>
    <cfRule type="expression" dxfId="2935" priority="517">
      <formula>AND(IF($Q19=3,1,0),IF($X19&lt;30,1,0))</formula>
    </cfRule>
    <cfRule type="expression" dxfId="2934" priority="518">
      <formula>AND(IF($Q19=3,1,IF($Q19=4,1,0)),IF($F19&lt;=85,1,0))</formula>
    </cfRule>
  </conditionalFormatting>
  <conditionalFormatting sqref="AV20">
    <cfRule type="expression" dxfId="2933" priority="513">
      <formula>AV20="X"</formula>
    </cfRule>
    <cfRule type="expression" dxfId="2932" priority="514">
      <formula>AV20="후보"</formula>
    </cfRule>
  </conditionalFormatting>
  <conditionalFormatting sqref="AC20">
    <cfRule type="cellIs" dxfId="2931" priority="510" operator="greaterThan">
      <formula>0.9</formula>
    </cfRule>
    <cfRule type="cellIs" dxfId="2930" priority="511" operator="greaterThan">
      <formula>0.85</formula>
    </cfRule>
  </conditionalFormatting>
  <conditionalFormatting sqref="N20">
    <cfRule type="cellIs" dxfId="2929" priority="508" operator="greaterThan">
      <formula>0.9</formula>
    </cfRule>
    <cfRule type="cellIs" dxfId="2928" priority="509" operator="greaterThan">
      <formula>0.85</formula>
    </cfRule>
  </conditionalFormatting>
  <conditionalFormatting sqref="E20">
    <cfRule type="expression" dxfId="2927" priority="504">
      <formula>AND(IF(OR($Q20=1,$Q20=2),1,0),IF($X20&lt;=20,1,0))</formula>
    </cfRule>
    <cfRule type="expression" dxfId="2926" priority="505">
      <formula>AND(IF($Q20=2,1,0),IF($X20&lt;30,1,0))</formula>
    </cfRule>
    <cfRule type="expression" dxfId="2925" priority="506">
      <formula>AND(IF($Q20=3,1,0),IF($X20&lt;30,1,0))</formula>
    </cfRule>
    <cfRule type="expression" dxfId="2924" priority="507">
      <formula>AND(IF($Q20=3,1,IF($Q20=4,1,0)),IF($F20&lt;=85,1,0))</formula>
    </cfRule>
  </conditionalFormatting>
  <conditionalFormatting sqref="X20">
    <cfRule type="expression" dxfId="2923" priority="500">
      <formula>AND(IF(OR($Q20=1,$Q20=2),1,0),IF($X20&lt;=20,1,0))</formula>
    </cfRule>
    <cfRule type="expression" dxfId="2922" priority="501">
      <formula>AND(IF($Q20=2,1,0),IF($X20&lt;30,1,0))</formula>
    </cfRule>
    <cfRule type="expression" dxfId="2921" priority="502">
      <formula>AND(IF($Q20=3,1,0),IF($X20&lt;30,1,0))</formula>
    </cfRule>
    <cfRule type="expression" dxfId="2920" priority="503">
      <formula>AND(IF($Q20=3,1,IF($Q20=4,1,0)),IF($F20&lt;=85,1,0))</formula>
    </cfRule>
  </conditionalFormatting>
  <conditionalFormatting sqref="AI20">
    <cfRule type="expression" dxfId="2919" priority="496">
      <formula>AND(IF(OR($Q20=1,$Q20=2),1,0),IF($X20&lt;=20,1,0))</formula>
    </cfRule>
    <cfRule type="expression" dxfId="2918" priority="497">
      <formula>AND(IF($Q20=2,1,0),IF($X20&lt;30,1,0))</formula>
    </cfRule>
    <cfRule type="expression" dxfId="2917" priority="498">
      <formula>AND(IF($Q20=3,1,0),IF($X20&lt;30,1,0))</formula>
    </cfRule>
    <cfRule type="expression" dxfId="2916" priority="499">
      <formula>AND(IF($Q20=3,1,IF($Q20=4,1,0)),IF($F20&lt;=85,1,0))</formula>
    </cfRule>
  </conditionalFormatting>
  <conditionalFormatting sqref="AV21">
    <cfRule type="expression" dxfId="2915" priority="494">
      <formula>AV21="X"</formula>
    </cfRule>
    <cfRule type="expression" dxfId="2914" priority="495">
      <formula>AV21="후보"</formula>
    </cfRule>
  </conditionalFormatting>
  <conditionalFormatting sqref="AC21">
    <cfRule type="cellIs" dxfId="2913" priority="491" operator="greaterThan">
      <formula>0.9</formula>
    </cfRule>
    <cfRule type="cellIs" dxfId="2912" priority="492" operator="greaterThan">
      <formula>0.85</formula>
    </cfRule>
  </conditionalFormatting>
  <conditionalFormatting sqref="N21">
    <cfRule type="cellIs" dxfId="2911" priority="489" operator="greaterThan">
      <formula>0.9</formula>
    </cfRule>
    <cfRule type="cellIs" dxfId="2910" priority="490" operator="greaterThan">
      <formula>0.85</formula>
    </cfRule>
  </conditionalFormatting>
  <conditionalFormatting sqref="E21">
    <cfRule type="expression" dxfId="2909" priority="485">
      <formula>AND(IF(OR($Q21=1,$Q21=2),1,0),IF($X21&lt;=20,1,0))</formula>
    </cfRule>
    <cfRule type="expression" dxfId="2908" priority="486">
      <formula>AND(IF($Q21=2,1,0),IF($X21&lt;30,1,0))</formula>
    </cfRule>
    <cfRule type="expression" dxfId="2907" priority="487">
      <formula>AND(IF($Q21=3,1,0),IF($X21&lt;30,1,0))</formula>
    </cfRule>
    <cfRule type="expression" dxfId="2906" priority="488">
      <formula>AND(IF($Q21=3,1,IF($Q21=4,1,0)),IF($F21&lt;=85,1,0))</formula>
    </cfRule>
  </conditionalFormatting>
  <conditionalFormatting sqref="X21">
    <cfRule type="expression" dxfId="2905" priority="481">
      <formula>AND(IF(OR($Q21=1,$Q21=2),1,0),IF($X21&lt;=20,1,0))</formula>
    </cfRule>
    <cfRule type="expression" dxfId="2904" priority="482">
      <formula>AND(IF($Q21=2,1,0),IF($X21&lt;30,1,0))</formula>
    </cfRule>
    <cfRule type="expression" dxfId="2903" priority="483">
      <formula>AND(IF($Q21=3,1,0),IF($X21&lt;30,1,0))</formula>
    </cfRule>
    <cfRule type="expression" dxfId="2902" priority="484">
      <formula>AND(IF($Q21=3,1,IF($Q21=4,1,0)),IF($F21&lt;=85,1,0))</formula>
    </cfRule>
  </conditionalFormatting>
  <conditionalFormatting sqref="AI21">
    <cfRule type="expression" dxfId="2901" priority="477">
      <formula>AND(IF(OR($Q21=1,$Q21=2),1,0),IF($X21&lt;=20,1,0))</formula>
    </cfRule>
    <cfRule type="expression" dxfId="2900" priority="478">
      <formula>AND(IF($Q21=2,1,0),IF($X21&lt;30,1,0))</formula>
    </cfRule>
    <cfRule type="expression" dxfId="2899" priority="479">
      <formula>AND(IF($Q21=3,1,0),IF($X21&lt;30,1,0))</formula>
    </cfRule>
    <cfRule type="expression" dxfId="2898" priority="480">
      <formula>AND(IF($Q21=3,1,IF($Q21=4,1,0)),IF($F21&lt;=85,1,0))</formula>
    </cfRule>
  </conditionalFormatting>
  <conditionalFormatting sqref="AV22">
    <cfRule type="expression" dxfId="2897" priority="475">
      <formula>AV22="X"</formula>
    </cfRule>
    <cfRule type="expression" dxfId="2896" priority="476">
      <formula>AV22="후보"</formula>
    </cfRule>
  </conditionalFormatting>
  <conditionalFormatting sqref="AC22 N22">
    <cfRule type="cellIs" dxfId="2895" priority="472" operator="greaterThan">
      <formula>0.9</formula>
    </cfRule>
    <cfRule type="cellIs" dxfId="2894" priority="473" operator="greaterThan">
      <formula>0.85</formula>
    </cfRule>
  </conditionalFormatting>
  <conditionalFormatting sqref="AV23">
    <cfRule type="expression" dxfId="2893" priority="470">
      <formula>AV23="X"</formula>
    </cfRule>
    <cfRule type="expression" dxfId="2892" priority="471">
      <formula>AV23="후보"</formula>
    </cfRule>
  </conditionalFormatting>
  <conditionalFormatting sqref="AC23">
    <cfRule type="cellIs" dxfId="2891" priority="467" operator="greaterThan">
      <formula>0.9</formula>
    </cfRule>
    <cfRule type="cellIs" dxfId="2890" priority="468" operator="greaterThan">
      <formula>0.85</formula>
    </cfRule>
  </conditionalFormatting>
  <conditionalFormatting sqref="N23">
    <cfRule type="cellIs" dxfId="2889" priority="465" operator="greaterThan">
      <formula>0.9</formula>
    </cfRule>
    <cfRule type="cellIs" dxfId="2888" priority="466" operator="greaterThan">
      <formula>0.85</formula>
    </cfRule>
  </conditionalFormatting>
  <conditionalFormatting sqref="E23">
    <cfRule type="expression" dxfId="2887" priority="461">
      <formula>AND(IF(OR($Q23=1,$Q23=2),1,0),IF($X23&lt;=20,1,0))</formula>
    </cfRule>
    <cfRule type="expression" dxfId="2886" priority="462">
      <formula>AND(IF($Q23=2,1,0),IF($X23&lt;30,1,0))</formula>
    </cfRule>
    <cfRule type="expression" dxfId="2885" priority="463">
      <formula>AND(IF($Q23=3,1,0),IF($X23&lt;30,1,0))</formula>
    </cfRule>
    <cfRule type="expression" dxfId="2884" priority="464">
      <formula>AND(IF($Q23=3,1,IF($Q23=4,1,0)),IF($F23&lt;=85,1,0))</formula>
    </cfRule>
  </conditionalFormatting>
  <conditionalFormatting sqref="X23">
    <cfRule type="expression" dxfId="2883" priority="457">
      <formula>AND(IF(OR($Q23=1,$Q23=2),1,0),IF($X23&lt;=20,1,0))</formula>
    </cfRule>
    <cfRule type="expression" dxfId="2882" priority="458">
      <formula>AND(IF($Q23=2,1,0),IF($X23&lt;30,1,0))</formula>
    </cfRule>
    <cfRule type="expression" dxfId="2881" priority="459">
      <formula>AND(IF($Q23=3,1,0),IF($X23&lt;30,1,0))</formula>
    </cfRule>
    <cfRule type="expression" dxfId="2880" priority="460">
      <formula>AND(IF($Q23=3,1,IF($Q23=4,1,0)),IF($F23&lt;=85,1,0))</formula>
    </cfRule>
  </conditionalFormatting>
  <conditionalFormatting sqref="AI23">
    <cfRule type="expression" dxfId="2879" priority="453">
      <formula>AND(IF(OR($Q23=1,$Q23=2),1,0),IF($X23&lt;=20,1,0))</formula>
    </cfRule>
    <cfRule type="expression" dxfId="2878" priority="454">
      <formula>AND(IF($Q23=2,1,0),IF($X23&lt;30,1,0))</formula>
    </cfRule>
    <cfRule type="expression" dxfId="2877" priority="455">
      <formula>AND(IF($Q23=3,1,0),IF($X23&lt;30,1,0))</formula>
    </cfRule>
    <cfRule type="expression" dxfId="2876" priority="456">
      <formula>AND(IF($Q23=3,1,IF($Q23=4,1,0)),IF($F23&lt;=85,1,0))</formula>
    </cfRule>
  </conditionalFormatting>
  <conditionalFormatting sqref="AV24">
    <cfRule type="expression" dxfId="2875" priority="451">
      <formula>AV24="X"</formula>
    </cfRule>
    <cfRule type="expression" dxfId="2874" priority="452">
      <formula>AV24="후보"</formula>
    </cfRule>
  </conditionalFormatting>
  <conditionalFormatting sqref="AC24">
    <cfRule type="cellIs" dxfId="2873" priority="448" operator="greaterThan">
      <formula>0.9</formula>
    </cfRule>
    <cfRule type="cellIs" dxfId="2872" priority="449" operator="greaterThan">
      <formula>0.85</formula>
    </cfRule>
  </conditionalFormatting>
  <conditionalFormatting sqref="N24">
    <cfRule type="cellIs" dxfId="2871" priority="446" operator="greaterThan">
      <formula>0.9</formula>
    </cfRule>
    <cfRule type="cellIs" dxfId="2870" priority="447" operator="greaterThan">
      <formula>0.85</formula>
    </cfRule>
  </conditionalFormatting>
  <conditionalFormatting sqref="E24">
    <cfRule type="expression" dxfId="2869" priority="442">
      <formula>AND(IF(OR($Q24=1,$Q24=2),1,0),IF($X24&lt;=20,1,0))</formula>
    </cfRule>
    <cfRule type="expression" dxfId="2868" priority="443">
      <formula>AND(IF($Q24=2,1,0),IF($X24&lt;30,1,0))</formula>
    </cfRule>
    <cfRule type="expression" dxfId="2867" priority="444">
      <formula>AND(IF($Q24=3,1,0),IF($X24&lt;30,1,0))</formula>
    </cfRule>
    <cfRule type="expression" dxfId="2866" priority="445">
      <formula>AND(IF($Q24=3,1,IF($Q24=4,1,0)),IF($F24&lt;=85,1,0))</formula>
    </cfRule>
  </conditionalFormatting>
  <conditionalFormatting sqref="X24">
    <cfRule type="expression" dxfId="2865" priority="438">
      <formula>AND(IF(OR($Q24=1,$Q24=2),1,0),IF($X24&lt;=20,1,0))</formula>
    </cfRule>
    <cfRule type="expression" dxfId="2864" priority="439">
      <formula>AND(IF($Q24=2,1,0),IF($X24&lt;30,1,0))</formula>
    </cfRule>
    <cfRule type="expression" dxfId="2863" priority="440">
      <formula>AND(IF($Q24=3,1,0),IF($X24&lt;30,1,0))</formula>
    </cfRule>
    <cfRule type="expression" dxfId="2862" priority="441">
      <formula>AND(IF($Q24=3,1,IF($Q24=4,1,0)),IF($F24&lt;=85,1,0))</formula>
    </cfRule>
  </conditionalFormatting>
  <conditionalFormatting sqref="AI24">
    <cfRule type="expression" dxfId="2861" priority="434">
      <formula>AND(IF(OR($Q24=1,$Q24=2),1,0),IF($X24&lt;=20,1,0))</formula>
    </cfRule>
    <cfRule type="expression" dxfId="2860" priority="435">
      <formula>AND(IF($Q24=2,1,0),IF($X24&lt;30,1,0))</formula>
    </cfRule>
    <cfRule type="expression" dxfId="2859" priority="436">
      <formula>AND(IF($Q24=3,1,0),IF($X24&lt;30,1,0))</formula>
    </cfRule>
    <cfRule type="expression" dxfId="2858" priority="437">
      <formula>AND(IF($Q24=3,1,IF($Q24=4,1,0)),IF($F24&lt;=85,1,0))</formula>
    </cfRule>
  </conditionalFormatting>
  <conditionalFormatting sqref="AV25">
    <cfRule type="expression" dxfId="2857" priority="432">
      <formula>AV25="X"</formula>
    </cfRule>
    <cfRule type="expression" dxfId="2856" priority="433">
      <formula>AV25="후보"</formula>
    </cfRule>
  </conditionalFormatting>
  <conditionalFormatting sqref="AC25">
    <cfRule type="cellIs" dxfId="2855" priority="429" operator="greaterThan">
      <formula>0.9</formula>
    </cfRule>
    <cfRule type="cellIs" dxfId="2854" priority="430" operator="greaterThan">
      <formula>0.85</formula>
    </cfRule>
  </conditionalFormatting>
  <conditionalFormatting sqref="N25">
    <cfRule type="cellIs" dxfId="2853" priority="427" operator="greaterThan">
      <formula>0.9</formula>
    </cfRule>
    <cfRule type="cellIs" dxfId="2852" priority="428" operator="greaterThan">
      <formula>0.85</formula>
    </cfRule>
  </conditionalFormatting>
  <conditionalFormatting sqref="E25">
    <cfRule type="expression" dxfId="2851" priority="423">
      <formula>AND(IF(OR($Q25=1,$Q25=2),1,0),IF($X25&lt;=20,1,0))</formula>
    </cfRule>
    <cfRule type="expression" dxfId="2850" priority="424">
      <formula>AND(IF($Q25=2,1,0),IF($X25&lt;30,1,0))</formula>
    </cfRule>
    <cfRule type="expression" dxfId="2849" priority="425">
      <formula>AND(IF($Q25=3,1,0),IF($X25&lt;30,1,0))</formula>
    </cfRule>
    <cfRule type="expression" dxfId="2848" priority="426">
      <formula>AND(IF($Q25=3,1,IF($Q25=4,1,0)),IF($F25&lt;=85,1,0))</formula>
    </cfRule>
  </conditionalFormatting>
  <conditionalFormatting sqref="X25">
    <cfRule type="expression" dxfId="2847" priority="419">
      <formula>AND(IF(OR($Q25=1,$Q25=2),1,0),IF($X25&lt;=20,1,0))</formula>
    </cfRule>
    <cfRule type="expression" dxfId="2846" priority="420">
      <formula>AND(IF($Q25=2,1,0),IF($X25&lt;30,1,0))</formula>
    </cfRule>
    <cfRule type="expression" dxfId="2845" priority="421">
      <formula>AND(IF($Q25=3,1,0),IF($X25&lt;30,1,0))</formula>
    </cfRule>
    <cfRule type="expression" dxfId="2844" priority="422">
      <formula>AND(IF($Q25=3,1,IF($Q25=4,1,0)),IF($F25&lt;=85,1,0))</formula>
    </cfRule>
  </conditionalFormatting>
  <conditionalFormatting sqref="AI25">
    <cfRule type="expression" dxfId="2843" priority="415">
      <formula>AND(IF(OR($Q25=1,$Q25=2),1,0),IF($X25&lt;=20,1,0))</formula>
    </cfRule>
    <cfRule type="expression" dxfId="2842" priority="416">
      <formula>AND(IF($Q25=2,1,0),IF($X25&lt;30,1,0))</formula>
    </cfRule>
    <cfRule type="expression" dxfId="2841" priority="417">
      <formula>AND(IF($Q25=3,1,0),IF($X25&lt;30,1,0))</formula>
    </cfRule>
    <cfRule type="expression" dxfId="2840" priority="418">
      <formula>AND(IF($Q25=3,1,IF($Q25=4,1,0)),IF($F25&lt;=85,1,0))</formula>
    </cfRule>
  </conditionalFormatting>
  <conditionalFormatting sqref="AV26">
    <cfRule type="expression" dxfId="2839" priority="413">
      <formula>AV26="X"</formula>
    </cfRule>
    <cfRule type="expression" dxfId="2838" priority="414">
      <formula>AV26="후보"</formula>
    </cfRule>
  </conditionalFormatting>
  <conditionalFormatting sqref="AC26">
    <cfRule type="cellIs" dxfId="2837" priority="410" operator="greaterThan">
      <formula>0.9</formula>
    </cfRule>
    <cfRule type="cellIs" dxfId="2836" priority="411" operator="greaterThan">
      <formula>0.85</formula>
    </cfRule>
  </conditionalFormatting>
  <conditionalFormatting sqref="N26">
    <cfRule type="cellIs" dxfId="2835" priority="408" operator="greaterThan">
      <formula>0.9</formula>
    </cfRule>
    <cfRule type="cellIs" dxfId="2834" priority="409" operator="greaterThan">
      <formula>0.85</formula>
    </cfRule>
  </conditionalFormatting>
  <conditionalFormatting sqref="E26">
    <cfRule type="expression" dxfId="2833" priority="404">
      <formula>AND(IF(OR($Q26=1,$Q26=2),1,0),IF($X26&lt;=20,1,0))</formula>
    </cfRule>
    <cfRule type="expression" dxfId="2832" priority="405">
      <formula>AND(IF($Q26=2,1,0),IF($X26&lt;30,1,0))</formula>
    </cfRule>
    <cfRule type="expression" dxfId="2831" priority="406">
      <formula>AND(IF($Q26=3,1,0),IF($X26&lt;30,1,0))</formula>
    </cfRule>
    <cfRule type="expression" dxfId="2830" priority="407">
      <formula>AND(IF($Q26=3,1,IF($Q26=4,1,0)),IF($F26&lt;=85,1,0))</formula>
    </cfRule>
  </conditionalFormatting>
  <conditionalFormatting sqref="X26">
    <cfRule type="expression" dxfId="2829" priority="400">
      <formula>AND(IF(OR($Q26=1,$Q26=2),1,0),IF($X26&lt;=20,1,0))</formula>
    </cfRule>
    <cfRule type="expression" dxfId="2828" priority="401">
      <formula>AND(IF($Q26=2,1,0),IF($X26&lt;30,1,0))</formula>
    </cfRule>
    <cfRule type="expression" dxfId="2827" priority="402">
      <formula>AND(IF($Q26=3,1,0),IF($X26&lt;30,1,0))</formula>
    </cfRule>
    <cfRule type="expression" dxfId="2826" priority="403">
      <formula>AND(IF($Q26=3,1,IF($Q26=4,1,0)),IF($F26&lt;=85,1,0))</formula>
    </cfRule>
  </conditionalFormatting>
  <conditionalFormatting sqref="AI26">
    <cfRule type="expression" dxfId="2825" priority="396">
      <formula>AND(IF(OR($Q26=1,$Q26=2),1,0),IF($X26&lt;=20,1,0))</formula>
    </cfRule>
    <cfRule type="expression" dxfId="2824" priority="397">
      <formula>AND(IF($Q26=2,1,0),IF($X26&lt;30,1,0))</formula>
    </cfRule>
    <cfRule type="expression" dxfId="2823" priority="398">
      <formula>AND(IF($Q26=3,1,0),IF($X26&lt;30,1,0))</formula>
    </cfRule>
    <cfRule type="expression" dxfId="2822" priority="399">
      <formula>AND(IF($Q26=3,1,IF($Q26=4,1,0)),IF($F26&lt;=85,1,0))</formula>
    </cfRule>
  </conditionalFormatting>
  <conditionalFormatting sqref="AV27">
    <cfRule type="expression" dxfId="2821" priority="394">
      <formula>AV27="X"</formula>
    </cfRule>
    <cfRule type="expression" dxfId="2820" priority="395">
      <formula>AV27="후보"</formula>
    </cfRule>
  </conditionalFormatting>
  <conditionalFormatting sqref="AC27">
    <cfRule type="cellIs" dxfId="2819" priority="391" operator="greaterThan">
      <formula>0.9</formula>
    </cfRule>
    <cfRule type="cellIs" dxfId="2818" priority="392" operator="greaterThan">
      <formula>0.85</formula>
    </cfRule>
  </conditionalFormatting>
  <conditionalFormatting sqref="N27">
    <cfRule type="cellIs" dxfId="2817" priority="389" operator="greaterThan">
      <formula>0.9</formula>
    </cfRule>
    <cfRule type="cellIs" dxfId="2816" priority="390" operator="greaterThan">
      <formula>0.85</formula>
    </cfRule>
  </conditionalFormatting>
  <conditionalFormatting sqref="E27">
    <cfRule type="expression" dxfId="2815" priority="385">
      <formula>AND(IF(OR($Q27=1,$Q27=2),1,0),IF($X27&lt;=20,1,0))</formula>
    </cfRule>
    <cfRule type="expression" dxfId="2814" priority="386">
      <formula>AND(IF($Q27=2,1,0),IF($X27&lt;30,1,0))</formula>
    </cfRule>
    <cfRule type="expression" dxfId="2813" priority="387">
      <formula>AND(IF($Q27=3,1,0),IF($X27&lt;30,1,0))</formula>
    </cfRule>
    <cfRule type="expression" dxfId="2812" priority="388">
      <formula>AND(IF($Q27=3,1,IF($Q27=4,1,0)),IF($F27&lt;=85,1,0))</formula>
    </cfRule>
  </conditionalFormatting>
  <conditionalFormatting sqref="X27">
    <cfRule type="expression" dxfId="2811" priority="381">
      <formula>AND(IF(OR($Q27=1,$Q27=2),1,0),IF($X27&lt;=20,1,0))</formula>
    </cfRule>
    <cfRule type="expression" dxfId="2810" priority="382">
      <formula>AND(IF($Q27=2,1,0),IF($X27&lt;30,1,0))</formula>
    </cfRule>
    <cfRule type="expression" dxfId="2809" priority="383">
      <formula>AND(IF($Q27=3,1,0),IF($X27&lt;30,1,0))</formula>
    </cfRule>
    <cfRule type="expression" dxfId="2808" priority="384">
      <formula>AND(IF($Q27=3,1,IF($Q27=4,1,0)),IF($F27&lt;=85,1,0))</formula>
    </cfRule>
  </conditionalFormatting>
  <conditionalFormatting sqref="AI27">
    <cfRule type="expression" dxfId="2807" priority="377">
      <formula>AND(IF(OR($Q27=1,$Q27=2),1,0),IF($X27&lt;=20,1,0))</formula>
    </cfRule>
    <cfRule type="expression" dxfId="2806" priority="378">
      <formula>AND(IF($Q27=2,1,0),IF($X27&lt;30,1,0))</formula>
    </cfRule>
    <cfRule type="expression" dxfId="2805" priority="379">
      <formula>AND(IF($Q27=3,1,0),IF($X27&lt;30,1,0))</formula>
    </cfRule>
    <cfRule type="expression" dxfId="2804" priority="380">
      <formula>AND(IF($Q27=3,1,IF($Q27=4,1,0)),IF($F27&lt;=85,1,0))</formula>
    </cfRule>
  </conditionalFormatting>
  <conditionalFormatting sqref="AV28">
    <cfRule type="expression" dxfId="2803" priority="375">
      <formula>AV28="X"</formula>
    </cfRule>
    <cfRule type="expression" dxfId="2802" priority="376">
      <formula>AV28="후보"</formula>
    </cfRule>
  </conditionalFormatting>
  <conditionalFormatting sqref="AC28">
    <cfRule type="cellIs" dxfId="2801" priority="372" operator="greaterThan">
      <formula>0.9</formula>
    </cfRule>
    <cfRule type="cellIs" dxfId="2800" priority="373" operator="greaterThan">
      <formula>0.85</formula>
    </cfRule>
  </conditionalFormatting>
  <conditionalFormatting sqref="N28">
    <cfRule type="cellIs" dxfId="2799" priority="370" operator="greaterThan">
      <formula>0.9</formula>
    </cfRule>
    <cfRule type="cellIs" dxfId="2798" priority="371" operator="greaterThan">
      <formula>0.85</formula>
    </cfRule>
  </conditionalFormatting>
  <conditionalFormatting sqref="E28">
    <cfRule type="expression" dxfId="2797" priority="366">
      <formula>AND(IF(OR($Q28=1,$Q28=2),1,0),IF($X28&lt;=20,1,0))</formula>
    </cfRule>
    <cfRule type="expression" dxfId="2796" priority="367">
      <formula>AND(IF($Q28=2,1,0),IF($X28&lt;30,1,0))</formula>
    </cfRule>
    <cfRule type="expression" dxfId="2795" priority="368">
      <formula>AND(IF($Q28=3,1,0),IF($X28&lt;30,1,0))</formula>
    </cfRule>
    <cfRule type="expression" dxfId="2794" priority="369">
      <formula>AND(IF($Q28=3,1,IF($Q28=4,1,0)),IF($F28&lt;=85,1,0))</formula>
    </cfRule>
  </conditionalFormatting>
  <conditionalFormatting sqref="X28">
    <cfRule type="expression" dxfId="2793" priority="362">
      <formula>AND(IF(OR($Q28=1,$Q28=2),1,0),IF($X28&lt;=20,1,0))</formula>
    </cfRule>
    <cfRule type="expression" dxfId="2792" priority="363">
      <formula>AND(IF($Q28=2,1,0),IF($X28&lt;30,1,0))</formula>
    </cfRule>
    <cfRule type="expression" dxfId="2791" priority="364">
      <formula>AND(IF($Q28=3,1,0),IF($X28&lt;30,1,0))</formula>
    </cfRule>
    <cfRule type="expression" dxfId="2790" priority="365">
      <formula>AND(IF($Q28=3,1,IF($Q28=4,1,0)),IF($F28&lt;=85,1,0))</formula>
    </cfRule>
  </conditionalFormatting>
  <conditionalFormatting sqref="AI28">
    <cfRule type="expression" dxfId="2789" priority="358">
      <formula>AND(IF(OR($Q28=1,$Q28=2),1,0),IF($X28&lt;=20,1,0))</formula>
    </cfRule>
    <cfRule type="expression" dxfId="2788" priority="359">
      <formula>AND(IF($Q28=2,1,0),IF($X28&lt;30,1,0))</formula>
    </cfRule>
    <cfRule type="expression" dxfId="2787" priority="360">
      <formula>AND(IF($Q28=3,1,0),IF($X28&lt;30,1,0))</formula>
    </cfRule>
    <cfRule type="expression" dxfId="2786" priority="361">
      <formula>AND(IF($Q28=3,1,IF($Q28=4,1,0)),IF($F28&lt;=85,1,0))</formula>
    </cfRule>
  </conditionalFormatting>
  <conditionalFormatting sqref="AV29">
    <cfRule type="expression" dxfId="2785" priority="356">
      <formula>AV29="X"</formula>
    </cfRule>
    <cfRule type="expression" dxfId="2784" priority="357">
      <formula>AV29="후보"</formula>
    </cfRule>
  </conditionalFormatting>
  <conditionalFormatting sqref="AC29">
    <cfRule type="cellIs" dxfId="2783" priority="353" operator="greaterThan">
      <formula>0.9</formula>
    </cfRule>
    <cfRule type="cellIs" dxfId="2782" priority="354" operator="greaterThan">
      <formula>0.85</formula>
    </cfRule>
  </conditionalFormatting>
  <conditionalFormatting sqref="N29">
    <cfRule type="cellIs" dxfId="2781" priority="351" operator="greaterThan">
      <formula>0.9</formula>
    </cfRule>
    <cfRule type="cellIs" dxfId="2780" priority="352" operator="greaterThan">
      <formula>0.85</formula>
    </cfRule>
  </conditionalFormatting>
  <conditionalFormatting sqref="E29">
    <cfRule type="expression" dxfId="2779" priority="347">
      <formula>AND(IF(OR($Q29=1,$Q29=2),1,0),IF($X29&lt;=20,1,0))</formula>
    </cfRule>
    <cfRule type="expression" dxfId="2778" priority="348">
      <formula>AND(IF($Q29=2,1,0),IF($X29&lt;30,1,0))</formula>
    </cfRule>
    <cfRule type="expression" dxfId="2777" priority="349">
      <formula>AND(IF($Q29=3,1,0),IF($X29&lt;30,1,0))</formula>
    </cfRule>
    <cfRule type="expression" dxfId="2776" priority="350">
      <formula>AND(IF($Q29=3,1,IF($Q29=4,1,0)),IF($F29&lt;=85,1,0))</formula>
    </cfRule>
  </conditionalFormatting>
  <conditionalFormatting sqref="X29">
    <cfRule type="expression" dxfId="2775" priority="343">
      <formula>AND(IF(OR($Q29=1,$Q29=2),1,0),IF($X29&lt;=20,1,0))</formula>
    </cfRule>
    <cfRule type="expression" dxfId="2774" priority="344">
      <formula>AND(IF($Q29=2,1,0),IF($X29&lt;30,1,0))</formula>
    </cfRule>
    <cfRule type="expression" dxfId="2773" priority="345">
      <formula>AND(IF($Q29=3,1,0),IF($X29&lt;30,1,0))</formula>
    </cfRule>
    <cfRule type="expression" dxfId="2772" priority="346">
      <formula>AND(IF($Q29=3,1,IF($Q29=4,1,0)),IF($F29&lt;=85,1,0))</formula>
    </cfRule>
  </conditionalFormatting>
  <conditionalFormatting sqref="AI29">
    <cfRule type="expression" dxfId="2771" priority="339">
      <formula>AND(IF(OR($Q29=1,$Q29=2),1,0),IF($X29&lt;=20,1,0))</formula>
    </cfRule>
    <cfRule type="expression" dxfId="2770" priority="340">
      <formula>AND(IF($Q29=2,1,0),IF($X29&lt;30,1,0))</formula>
    </cfRule>
    <cfRule type="expression" dxfId="2769" priority="341">
      <formula>AND(IF($Q29=3,1,0),IF($X29&lt;30,1,0))</formula>
    </cfRule>
    <cfRule type="expression" dxfId="2768" priority="342">
      <formula>AND(IF($Q29=3,1,IF($Q29=4,1,0)),IF($F29&lt;=85,1,0))</formula>
    </cfRule>
  </conditionalFormatting>
  <conditionalFormatting sqref="AV30">
    <cfRule type="expression" dxfId="2767" priority="337">
      <formula>AV30="X"</formula>
    </cfRule>
    <cfRule type="expression" dxfId="2766" priority="338">
      <formula>AV30="후보"</formula>
    </cfRule>
  </conditionalFormatting>
  <conditionalFormatting sqref="AC30">
    <cfRule type="cellIs" dxfId="2765" priority="334" operator="greaterThan">
      <formula>0.9</formula>
    </cfRule>
    <cfRule type="cellIs" dxfId="2764" priority="335" operator="greaterThan">
      <formula>0.85</formula>
    </cfRule>
  </conditionalFormatting>
  <conditionalFormatting sqref="N30">
    <cfRule type="cellIs" dxfId="2763" priority="332" operator="greaterThan">
      <formula>0.9</formula>
    </cfRule>
    <cfRule type="cellIs" dxfId="2762" priority="333" operator="greaterThan">
      <formula>0.85</formula>
    </cfRule>
  </conditionalFormatting>
  <conditionalFormatting sqref="E30">
    <cfRule type="expression" dxfId="2761" priority="328">
      <formula>AND(IF(OR($Q30=1,$Q30=2),1,0),IF($X30&lt;=20,1,0))</formula>
    </cfRule>
    <cfRule type="expression" dxfId="2760" priority="329">
      <formula>AND(IF($Q30=2,1,0),IF($X30&lt;30,1,0))</formula>
    </cfRule>
    <cfRule type="expression" dxfId="2759" priority="330">
      <formula>AND(IF($Q30=3,1,0),IF($X30&lt;30,1,0))</formula>
    </cfRule>
    <cfRule type="expression" dxfId="2758" priority="331">
      <formula>AND(IF($Q30=3,1,IF($Q30=4,1,0)),IF($F30&lt;=85,1,0))</formula>
    </cfRule>
  </conditionalFormatting>
  <conditionalFormatting sqref="X30">
    <cfRule type="expression" dxfId="2757" priority="324">
      <formula>AND(IF(OR($Q30=1,$Q30=2),1,0),IF($X30&lt;=20,1,0))</formula>
    </cfRule>
    <cfRule type="expression" dxfId="2756" priority="325">
      <formula>AND(IF($Q30=2,1,0),IF($X30&lt;30,1,0))</formula>
    </cfRule>
    <cfRule type="expression" dxfId="2755" priority="326">
      <formula>AND(IF($Q30=3,1,0),IF($X30&lt;30,1,0))</formula>
    </cfRule>
    <cfRule type="expression" dxfId="2754" priority="327">
      <formula>AND(IF($Q30=3,1,IF($Q30=4,1,0)),IF($F30&lt;=85,1,0))</formula>
    </cfRule>
  </conditionalFormatting>
  <conditionalFormatting sqref="AI30">
    <cfRule type="expression" dxfId="2753" priority="320">
      <formula>AND(IF(OR($Q30=1,$Q30=2),1,0),IF($X30&lt;=20,1,0))</formula>
    </cfRule>
    <cfRule type="expression" dxfId="2752" priority="321">
      <formula>AND(IF($Q30=2,1,0),IF($X30&lt;30,1,0))</formula>
    </cfRule>
    <cfRule type="expression" dxfId="2751" priority="322">
      <formula>AND(IF($Q30=3,1,0),IF($X30&lt;30,1,0))</formula>
    </cfRule>
    <cfRule type="expression" dxfId="2750" priority="323">
      <formula>AND(IF($Q30=3,1,IF($Q30=4,1,0)),IF($F30&lt;=85,1,0))</formula>
    </cfRule>
  </conditionalFormatting>
  <conditionalFormatting sqref="AV31">
    <cfRule type="expression" dxfId="2749" priority="318">
      <formula>AV31="X"</formula>
    </cfRule>
    <cfRule type="expression" dxfId="2748" priority="319">
      <formula>AV31="후보"</formula>
    </cfRule>
  </conditionalFormatting>
  <conditionalFormatting sqref="AC31">
    <cfRule type="cellIs" dxfId="2747" priority="315" operator="greaterThan">
      <formula>0.9</formula>
    </cfRule>
    <cfRule type="cellIs" dxfId="2746" priority="316" operator="greaterThan">
      <formula>0.85</formula>
    </cfRule>
  </conditionalFormatting>
  <conditionalFormatting sqref="N31">
    <cfRule type="cellIs" dxfId="2745" priority="313" operator="greaterThan">
      <formula>0.9</formula>
    </cfRule>
    <cfRule type="cellIs" dxfId="2744" priority="314" operator="greaterThan">
      <formula>0.85</formula>
    </cfRule>
  </conditionalFormatting>
  <conditionalFormatting sqref="E31">
    <cfRule type="expression" dxfId="2743" priority="309">
      <formula>AND(IF(OR($Q31=1,$Q31=2),1,0),IF($X31&lt;=20,1,0))</formula>
    </cfRule>
    <cfRule type="expression" dxfId="2742" priority="310">
      <formula>AND(IF($Q31=2,1,0),IF($X31&lt;30,1,0))</formula>
    </cfRule>
    <cfRule type="expression" dxfId="2741" priority="311">
      <formula>AND(IF($Q31=3,1,0),IF($X31&lt;30,1,0))</formula>
    </cfRule>
    <cfRule type="expression" dxfId="2740" priority="312">
      <formula>AND(IF($Q31=3,1,IF($Q31=4,1,0)),IF($F31&lt;=85,1,0))</formula>
    </cfRule>
  </conditionalFormatting>
  <conditionalFormatting sqref="X31">
    <cfRule type="expression" dxfId="2739" priority="305">
      <formula>AND(IF(OR($Q31=1,$Q31=2),1,0),IF($X31&lt;=20,1,0))</formula>
    </cfRule>
    <cfRule type="expression" dxfId="2738" priority="306">
      <formula>AND(IF($Q31=2,1,0),IF($X31&lt;30,1,0))</formula>
    </cfRule>
    <cfRule type="expression" dxfId="2737" priority="307">
      <formula>AND(IF($Q31=3,1,0),IF($X31&lt;30,1,0))</formula>
    </cfRule>
    <cfRule type="expression" dxfId="2736" priority="308">
      <formula>AND(IF($Q31=3,1,IF($Q31=4,1,0)),IF($F31&lt;=85,1,0))</formula>
    </cfRule>
  </conditionalFormatting>
  <conditionalFormatting sqref="AI31">
    <cfRule type="expression" dxfId="2735" priority="301">
      <formula>AND(IF(OR($Q31=1,$Q31=2),1,0),IF($X31&lt;=20,1,0))</formula>
    </cfRule>
    <cfRule type="expression" dxfId="2734" priority="302">
      <formula>AND(IF($Q31=2,1,0),IF($X31&lt;30,1,0))</formula>
    </cfRule>
    <cfRule type="expression" dxfId="2733" priority="303">
      <formula>AND(IF($Q31=3,1,0),IF($X31&lt;30,1,0))</formula>
    </cfRule>
    <cfRule type="expression" dxfId="2732" priority="304">
      <formula>AND(IF($Q31=3,1,IF($Q31=4,1,0)),IF($F31&lt;=85,1,0))</formula>
    </cfRule>
  </conditionalFormatting>
  <conditionalFormatting sqref="AV32">
    <cfRule type="expression" dxfId="2731" priority="299">
      <formula>AV32="X"</formula>
    </cfRule>
    <cfRule type="expression" dxfId="2730" priority="300">
      <formula>AV32="후보"</formula>
    </cfRule>
  </conditionalFormatting>
  <conditionalFormatting sqref="AC32">
    <cfRule type="cellIs" dxfId="2729" priority="296" operator="greaterThan">
      <formula>0.9</formula>
    </cfRule>
    <cfRule type="cellIs" dxfId="2728" priority="297" operator="greaterThan">
      <formula>0.85</formula>
    </cfRule>
  </conditionalFormatting>
  <conditionalFormatting sqref="N32">
    <cfRule type="cellIs" dxfId="2727" priority="294" operator="greaterThan">
      <formula>0.9</formula>
    </cfRule>
    <cfRule type="cellIs" dxfId="2726" priority="295" operator="greaterThan">
      <formula>0.85</formula>
    </cfRule>
  </conditionalFormatting>
  <conditionalFormatting sqref="E32">
    <cfRule type="expression" dxfId="2725" priority="290">
      <formula>AND(IF(OR($Q32=1,$Q32=2),1,0),IF($X32&lt;=20,1,0))</formula>
    </cfRule>
    <cfRule type="expression" dxfId="2724" priority="291">
      <formula>AND(IF($Q32=2,1,0),IF($X32&lt;30,1,0))</formula>
    </cfRule>
    <cfRule type="expression" dxfId="2723" priority="292">
      <formula>AND(IF($Q32=3,1,0),IF($X32&lt;30,1,0))</formula>
    </cfRule>
    <cfRule type="expression" dxfId="2722" priority="293">
      <formula>AND(IF($Q32=3,1,IF($Q32=4,1,0)),IF($F32&lt;=85,1,0))</formula>
    </cfRule>
  </conditionalFormatting>
  <conditionalFormatting sqref="X32">
    <cfRule type="expression" dxfId="2721" priority="286">
      <formula>AND(IF(OR($Q32=1,$Q32=2),1,0),IF($X32&lt;=20,1,0))</formula>
    </cfRule>
    <cfRule type="expression" dxfId="2720" priority="287">
      <formula>AND(IF($Q32=2,1,0),IF($X32&lt;30,1,0))</formula>
    </cfRule>
    <cfRule type="expression" dxfId="2719" priority="288">
      <formula>AND(IF($Q32=3,1,0),IF($X32&lt;30,1,0))</formula>
    </cfRule>
    <cfRule type="expression" dxfId="2718" priority="289">
      <formula>AND(IF($Q32=3,1,IF($Q32=4,1,0)),IF($F32&lt;=85,1,0))</formula>
    </cfRule>
  </conditionalFormatting>
  <conditionalFormatting sqref="AI32">
    <cfRule type="expression" dxfId="2717" priority="282">
      <formula>AND(IF(OR($Q32=1,$Q32=2),1,0),IF($X32&lt;=20,1,0))</formula>
    </cfRule>
    <cfRule type="expression" dxfId="2716" priority="283">
      <formula>AND(IF($Q32=2,1,0),IF($X32&lt;30,1,0))</formula>
    </cfRule>
    <cfRule type="expression" dxfId="2715" priority="284">
      <formula>AND(IF($Q32=3,1,0),IF($X32&lt;30,1,0))</formula>
    </cfRule>
    <cfRule type="expression" dxfId="2714" priority="285">
      <formula>AND(IF($Q32=3,1,IF($Q32=4,1,0)),IF($F32&lt;=85,1,0))</formula>
    </cfRule>
  </conditionalFormatting>
  <conditionalFormatting sqref="AV33">
    <cfRule type="expression" dxfId="2713" priority="280">
      <formula>AV33="X"</formula>
    </cfRule>
    <cfRule type="expression" dxfId="2712" priority="281">
      <formula>AV33="후보"</formula>
    </cfRule>
  </conditionalFormatting>
  <conditionalFormatting sqref="AC33">
    <cfRule type="cellIs" dxfId="2711" priority="277" operator="greaterThan">
      <formula>0.9</formula>
    </cfRule>
    <cfRule type="cellIs" dxfId="2710" priority="278" operator="greaterThan">
      <formula>0.85</formula>
    </cfRule>
  </conditionalFormatting>
  <conditionalFormatting sqref="N33">
    <cfRule type="cellIs" dxfId="2709" priority="275" operator="greaterThan">
      <formula>0.9</formula>
    </cfRule>
    <cfRule type="cellIs" dxfId="2708" priority="276" operator="greaterThan">
      <formula>0.85</formula>
    </cfRule>
  </conditionalFormatting>
  <conditionalFormatting sqref="E33">
    <cfRule type="expression" dxfId="2707" priority="271">
      <formula>AND(IF(OR($Q33=1,$Q33=2),1,0),IF($X33&lt;=20,1,0))</formula>
    </cfRule>
    <cfRule type="expression" dxfId="2706" priority="272">
      <formula>AND(IF($Q33=2,1,0),IF($X33&lt;30,1,0))</formula>
    </cfRule>
    <cfRule type="expression" dxfId="2705" priority="273">
      <formula>AND(IF($Q33=3,1,0),IF($X33&lt;30,1,0))</formula>
    </cfRule>
    <cfRule type="expression" dxfId="2704" priority="274">
      <formula>AND(IF($Q33=3,1,IF($Q33=4,1,0)),IF($F33&lt;=85,1,0))</formula>
    </cfRule>
  </conditionalFormatting>
  <conditionalFormatting sqref="X33">
    <cfRule type="expression" dxfId="2703" priority="267">
      <formula>AND(IF(OR($Q33=1,$Q33=2),1,0),IF($X33&lt;=20,1,0))</formula>
    </cfRule>
    <cfRule type="expression" dxfId="2702" priority="268">
      <formula>AND(IF($Q33=2,1,0),IF($X33&lt;30,1,0))</formula>
    </cfRule>
    <cfRule type="expression" dxfId="2701" priority="269">
      <formula>AND(IF($Q33=3,1,0),IF($X33&lt;30,1,0))</formula>
    </cfRule>
    <cfRule type="expression" dxfId="2700" priority="270">
      <formula>AND(IF($Q33=3,1,IF($Q33=4,1,0)),IF($F33&lt;=85,1,0))</formula>
    </cfRule>
  </conditionalFormatting>
  <conditionalFormatting sqref="AI33">
    <cfRule type="expression" dxfId="2699" priority="263">
      <formula>AND(IF(OR($Q33=1,$Q33=2),1,0),IF($X33&lt;=20,1,0))</formula>
    </cfRule>
    <cfRule type="expression" dxfId="2698" priority="264">
      <formula>AND(IF($Q33=2,1,0),IF($X33&lt;30,1,0))</formula>
    </cfRule>
    <cfRule type="expression" dxfId="2697" priority="265">
      <formula>AND(IF($Q33=3,1,0),IF($X33&lt;30,1,0))</formula>
    </cfRule>
    <cfRule type="expression" dxfId="2696" priority="266">
      <formula>AND(IF($Q33=3,1,IF($Q33=4,1,0)),IF($F33&lt;=85,1,0))</formula>
    </cfRule>
  </conditionalFormatting>
  <conditionalFormatting sqref="AV34">
    <cfRule type="expression" dxfId="2695" priority="261">
      <formula>AV34="X"</formula>
    </cfRule>
    <cfRule type="expression" dxfId="2694" priority="262">
      <formula>AV34="후보"</formula>
    </cfRule>
  </conditionalFormatting>
  <conditionalFormatting sqref="AC34 N34">
    <cfRule type="cellIs" dxfId="2693" priority="258" operator="greaterThan">
      <formula>0.9</formula>
    </cfRule>
    <cfRule type="cellIs" dxfId="2692" priority="259" operator="greaterThan">
      <formula>0.85</formula>
    </cfRule>
  </conditionalFormatting>
  <conditionalFormatting sqref="AV35">
    <cfRule type="expression" dxfId="2691" priority="256">
      <formula>AV35="X"</formula>
    </cfRule>
    <cfRule type="expression" dxfId="2690" priority="257">
      <formula>AV35="후보"</formula>
    </cfRule>
  </conditionalFormatting>
  <conditionalFormatting sqref="AC35">
    <cfRule type="cellIs" dxfId="2689" priority="253" operator="greaterThan">
      <formula>0.9</formula>
    </cfRule>
    <cfRule type="cellIs" dxfId="2688" priority="254" operator="greaterThan">
      <formula>0.85</formula>
    </cfRule>
  </conditionalFormatting>
  <conditionalFormatting sqref="N35">
    <cfRule type="cellIs" dxfId="2687" priority="251" operator="greaterThan">
      <formula>0.9</formula>
    </cfRule>
    <cfRule type="cellIs" dxfId="2686" priority="252" operator="greaterThan">
      <formula>0.85</formula>
    </cfRule>
  </conditionalFormatting>
  <conditionalFormatting sqref="E35">
    <cfRule type="expression" dxfId="2685" priority="247">
      <formula>AND(IF(OR($Q35=1,$Q35=2),1,0),IF($X35&lt;=20,1,0))</formula>
    </cfRule>
    <cfRule type="expression" dxfId="2684" priority="248">
      <formula>AND(IF($Q35=2,1,0),IF($X35&lt;30,1,0))</formula>
    </cfRule>
    <cfRule type="expression" dxfId="2683" priority="249">
      <formula>AND(IF($Q35=3,1,0),IF($X35&lt;30,1,0))</formula>
    </cfRule>
    <cfRule type="expression" dxfId="2682" priority="250">
      <formula>AND(IF($Q35=3,1,IF($Q35=4,1,0)),IF($F35&lt;=85,1,0))</formula>
    </cfRule>
  </conditionalFormatting>
  <conditionalFormatting sqref="X35">
    <cfRule type="expression" dxfId="2681" priority="243">
      <formula>AND(IF(OR($Q35=1,$Q35=2),1,0),IF($X35&lt;=20,1,0))</formula>
    </cfRule>
    <cfRule type="expression" dxfId="2680" priority="244">
      <formula>AND(IF($Q35=2,1,0),IF($X35&lt;30,1,0))</formula>
    </cfRule>
    <cfRule type="expression" dxfId="2679" priority="245">
      <formula>AND(IF($Q35=3,1,0),IF($X35&lt;30,1,0))</formula>
    </cfRule>
    <cfRule type="expression" dxfId="2678" priority="246">
      <formula>AND(IF($Q35=3,1,IF($Q35=4,1,0)),IF($F35&lt;=85,1,0))</formula>
    </cfRule>
  </conditionalFormatting>
  <conditionalFormatting sqref="AI35">
    <cfRule type="expression" dxfId="2677" priority="239">
      <formula>AND(IF(OR($Q35=1,$Q35=2),1,0),IF($X35&lt;=20,1,0))</formula>
    </cfRule>
    <cfRule type="expression" dxfId="2676" priority="240">
      <formula>AND(IF($Q35=2,1,0),IF($X35&lt;30,1,0))</formula>
    </cfRule>
    <cfRule type="expression" dxfId="2675" priority="241">
      <formula>AND(IF($Q35=3,1,0),IF($X35&lt;30,1,0))</formula>
    </cfRule>
    <cfRule type="expression" dxfId="2674" priority="242">
      <formula>AND(IF($Q35=3,1,IF($Q35=4,1,0)),IF($F35&lt;=85,1,0))</formula>
    </cfRule>
  </conditionalFormatting>
  <conditionalFormatting sqref="AV36">
    <cfRule type="expression" dxfId="2673" priority="237">
      <formula>AV36="X"</formula>
    </cfRule>
    <cfRule type="expression" dxfId="2672" priority="238">
      <formula>AV36="후보"</formula>
    </cfRule>
  </conditionalFormatting>
  <conditionalFormatting sqref="AC36">
    <cfRule type="cellIs" dxfId="2671" priority="234" operator="greaterThan">
      <formula>0.9</formula>
    </cfRule>
    <cfRule type="cellIs" dxfId="2670" priority="235" operator="greaterThan">
      <formula>0.85</formula>
    </cfRule>
  </conditionalFormatting>
  <conditionalFormatting sqref="N36">
    <cfRule type="cellIs" dxfId="2669" priority="232" operator="greaterThan">
      <formula>0.9</formula>
    </cfRule>
    <cfRule type="cellIs" dxfId="2668" priority="233" operator="greaterThan">
      <formula>0.85</formula>
    </cfRule>
  </conditionalFormatting>
  <conditionalFormatting sqref="E36">
    <cfRule type="expression" dxfId="2667" priority="228">
      <formula>AND(IF(OR($Q36=1,$Q36=2),1,0),IF($X36&lt;=20,1,0))</formula>
    </cfRule>
    <cfRule type="expression" dxfId="2666" priority="229">
      <formula>AND(IF($Q36=2,1,0),IF($X36&lt;30,1,0))</formula>
    </cfRule>
    <cfRule type="expression" dxfId="2665" priority="230">
      <formula>AND(IF($Q36=3,1,0),IF($X36&lt;30,1,0))</formula>
    </cfRule>
    <cfRule type="expression" dxfId="2664" priority="231">
      <formula>AND(IF($Q36=3,1,IF($Q36=4,1,0)),IF($F36&lt;=85,1,0))</formula>
    </cfRule>
  </conditionalFormatting>
  <conditionalFormatting sqref="X36">
    <cfRule type="expression" dxfId="2663" priority="224">
      <formula>AND(IF(OR($Q36=1,$Q36=2),1,0),IF($X36&lt;=20,1,0))</formula>
    </cfRule>
    <cfRule type="expression" dxfId="2662" priority="225">
      <formula>AND(IF($Q36=2,1,0),IF($X36&lt;30,1,0))</formula>
    </cfRule>
    <cfRule type="expression" dxfId="2661" priority="226">
      <formula>AND(IF($Q36=3,1,0),IF($X36&lt;30,1,0))</formula>
    </cfRule>
    <cfRule type="expression" dxfId="2660" priority="227">
      <formula>AND(IF($Q36=3,1,IF($Q36=4,1,0)),IF($F36&lt;=85,1,0))</formula>
    </cfRule>
  </conditionalFormatting>
  <conditionalFormatting sqref="AI36">
    <cfRule type="expression" dxfId="2659" priority="220">
      <formula>AND(IF(OR($Q36=1,$Q36=2),1,0),IF($X36&lt;=20,1,0))</formula>
    </cfRule>
    <cfRule type="expression" dxfId="2658" priority="221">
      <formula>AND(IF($Q36=2,1,0),IF($X36&lt;30,1,0))</formula>
    </cfRule>
    <cfRule type="expression" dxfId="2657" priority="222">
      <formula>AND(IF($Q36=3,1,0),IF($X36&lt;30,1,0))</formula>
    </cfRule>
    <cfRule type="expression" dxfId="2656" priority="223">
      <formula>AND(IF($Q36=3,1,IF($Q36=4,1,0)),IF($F36&lt;=85,1,0))</formula>
    </cfRule>
  </conditionalFormatting>
  <conditionalFormatting sqref="AV37">
    <cfRule type="expression" dxfId="2655" priority="218">
      <formula>AV37="X"</formula>
    </cfRule>
    <cfRule type="expression" dxfId="2654" priority="219">
      <formula>AV37="후보"</formula>
    </cfRule>
  </conditionalFormatting>
  <conditionalFormatting sqref="AC37">
    <cfRule type="cellIs" dxfId="2653" priority="215" operator="greaterThan">
      <formula>0.9</formula>
    </cfRule>
    <cfRule type="cellIs" dxfId="2652" priority="216" operator="greaterThan">
      <formula>0.85</formula>
    </cfRule>
  </conditionalFormatting>
  <conditionalFormatting sqref="N37">
    <cfRule type="cellIs" dxfId="2651" priority="213" operator="greaterThan">
      <formula>0.9</formula>
    </cfRule>
    <cfRule type="cellIs" dxfId="2650" priority="214" operator="greaterThan">
      <formula>0.85</formula>
    </cfRule>
  </conditionalFormatting>
  <conditionalFormatting sqref="E37">
    <cfRule type="expression" dxfId="2649" priority="209">
      <formula>AND(IF(OR($Q37=1,$Q37=2),1,0),IF($X37&lt;=20,1,0))</formula>
    </cfRule>
    <cfRule type="expression" dxfId="2648" priority="210">
      <formula>AND(IF($Q37=2,1,0),IF($X37&lt;30,1,0))</formula>
    </cfRule>
    <cfRule type="expression" dxfId="2647" priority="211">
      <formula>AND(IF($Q37=3,1,0),IF($X37&lt;30,1,0))</formula>
    </cfRule>
    <cfRule type="expression" dxfId="2646" priority="212">
      <formula>AND(IF($Q37=3,1,IF($Q37=4,1,0)),IF($F37&lt;=85,1,0))</formula>
    </cfRule>
  </conditionalFormatting>
  <conditionalFormatting sqref="X37">
    <cfRule type="expression" dxfId="2645" priority="205">
      <formula>AND(IF(OR($Q37=1,$Q37=2),1,0),IF($X37&lt;=20,1,0))</formula>
    </cfRule>
    <cfRule type="expression" dxfId="2644" priority="206">
      <formula>AND(IF($Q37=2,1,0),IF($X37&lt;30,1,0))</formula>
    </cfRule>
    <cfRule type="expression" dxfId="2643" priority="207">
      <formula>AND(IF($Q37=3,1,0),IF($X37&lt;30,1,0))</formula>
    </cfRule>
    <cfRule type="expression" dxfId="2642" priority="208">
      <formula>AND(IF($Q37=3,1,IF($Q37=4,1,0)),IF($F37&lt;=85,1,0))</formula>
    </cfRule>
  </conditionalFormatting>
  <conditionalFormatting sqref="AI37">
    <cfRule type="expression" dxfId="2641" priority="201">
      <formula>AND(IF(OR($Q37=1,$Q37=2),1,0),IF($X37&lt;=20,1,0))</formula>
    </cfRule>
    <cfRule type="expression" dxfId="2640" priority="202">
      <formula>AND(IF($Q37=2,1,0),IF($X37&lt;30,1,0))</formula>
    </cfRule>
    <cfRule type="expression" dxfId="2639" priority="203">
      <formula>AND(IF($Q37=3,1,0),IF($X37&lt;30,1,0))</formula>
    </cfRule>
    <cfRule type="expression" dxfId="2638" priority="204">
      <formula>AND(IF($Q37=3,1,IF($Q37=4,1,0)),IF($F37&lt;=85,1,0))</formula>
    </cfRule>
  </conditionalFormatting>
  <conditionalFormatting sqref="AV38">
    <cfRule type="expression" dxfId="2637" priority="199">
      <formula>AV38="X"</formula>
    </cfRule>
    <cfRule type="expression" dxfId="2636" priority="200">
      <formula>AV38="후보"</formula>
    </cfRule>
  </conditionalFormatting>
  <conditionalFormatting sqref="AC38">
    <cfRule type="cellIs" dxfId="2635" priority="196" operator="greaterThan">
      <formula>0.9</formula>
    </cfRule>
    <cfRule type="cellIs" dxfId="2634" priority="197" operator="greaterThan">
      <formula>0.85</formula>
    </cfRule>
  </conditionalFormatting>
  <conditionalFormatting sqref="N38">
    <cfRule type="cellIs" dxfId="2633" priority="194" operator="greaterThan">
      <formula>0.9</formula>
    </cfRule>
    <cfRule type="cellIs" dxfId="2632" priority="195" operator="greaterThan">
      <formula>0.85</formula>
    </cfRule>
  </conditionalFormatting>
  <conditionalFormatting sqref="E38">
    <cfRule type="expression" dxfId="2631" priority="190">
      <formula>AND(IF(OR($Q38=1,$Q38=2),1,0),IF($X38&lt;=20,1,0))</formula>
    </cfRule>
    <cfRule type="expression" dxfId="2630" priority="191">
      <formula>AND(IF($Q38=2,1,0),IF($X38&lt;30,1,0))</formula>
    </cfRule>
    <cfRule type="expression" dxfId="2629" priority="192">
      <formula>AND(IF($Q38=3,1,0),IF($X38&lt;30,1,0))</formula>
    </cfRule>
    <cfRule type="expression" dxfId="2628" priority="193">
      <formula>AND(IF($Q38=3,1,IF($Q38=4,1,0)),IF($F38&lt;=85,1,0))</formula>
    </cfRule>
  </conditionalFormatting>
  <conditionalFormatting sqref="X38">
    <cfRule type="expression" dxfId="2627" priority="186">
      <formula>AND(IF(OR($Q38=1,$Q38=2),1,0),IF($X38&lt;=20,1,0))</formula>
    </cfRule>
    <cfRule type="expression" dxfId="2626" priority="187">
      <formula>AND(IF($Q38=2,1,0),IF($X38&lt;30,1,0))</formula>
    </cfRule>
    <cfRule type="expression" dxfId="2625" priority="188">
      <formula>AND(IF($Q38=3,1,0),IF($X38&lt;30,1,0))</formula>
    </cfRule>
    <cfRule type="expression" dxfId="2624" priority="189">
      <formula>AND(IF($Q38=3,1,IF($Q38=4,1,0)),IF($F38&lt;=85,1,0))</formula>
    </cfRule>
  </conditionalFormatting>
  <conditionalFormatting sqref="AI38">
    <cfRule type="expression" dxfId="2623" priority="182">
      <formula>AND(IF(OR($Q38=1,$Q38=2),1,0),IF($X38&lt;=20,1,0))</formula>
    </cfRule>
    <cfRule type="expression" dxfId="2622" priority="183">
      <formula>AND(IF($Q38=2,1,0),IF($X38&lt;30,1,0))</formula>
    </cfRule>
    <cfRule type="expression" dxfId="2621" priority="184">
      <formula>AND(IF($Q38=3,1,0),IF($X38&lt;30,1,0))</formula>
    </cfRule>
    <cfRule type="expression" dxfId="2620" priority="185">
      <formula>AND(IF($Q38=3,1,IF($Q38=4,1,0)),IF($F38&lt;=85,1,0))</formula>
    </cfRule>
  </conditionalFormatting>
  <conditionalFormatting sqref="AV39">
    <cfRule type="expression" dxfId="2619" priority="180">
      <formula>AV39="X"</formula>
    </cfRule>
    <cfRule type="expression" dxfId="2618" priority="181">
      <formula>AV39="후보"</formula>
    </cfRule>
  </conditionalFormatting>
  <conditionalFormatting sqref="AC39">
    <cfRule type="cellIs" dxfId="2617" priority="177" operator="greaterThan">
      <formula>0.9</formula>
    </cfRule>
    <cfRule type="cellIs" dxfId="2616" priority="178" operator="greaterThan">
      <formula>0.85</formula>
    </cfRule>
  </conditionalFormatting>
  <conditionalFormatting sqref="N39">
    <cfRule type="cellIs" dxfId="2615" priority="175" operator="greaterThan">
      <formula>0.9</formula>
    </cfRule>
    <cfRule type="cellIs" dxfId="2614" priority="176" operator="greaterThan">
      <formula>0.85</formula>
    </cfRule>
  </conditionalFormatting>
  <conditionalFormatting sqref="E39">
    <cfRule type="expression" dxfId="2613" priority="171">
      <formula>AND(IF(OR($Q39=1,$Q39=2),1,0),IF($X39&lt;=20,1,0))</formula>
    </cfRule>
    <cfRule type="expression" dxfId="2612" priority="172">
      <formula>AND(IF($Q39=2,1,0),IF($X39&lt;30,1,0))</formula>
    </cfRule>
    <cfRule type="expression" dxfId="2611" priority="173">
      <formula>AND(IF($Q39=3,1,0),IF($X39&lt;30,1,0))</formula>
    </cfRule>
    <cfRule type="expression" dxfId="2610" priority="174">
      <formula>AND(IF($Q39=3,1,IF($Q39=4,1,0)),IF($F39&lt;=85,1,0))</formula>
    </cfRule>
  </conditionalFormatting>
  <conditionalFormatting sqref="X39">
    <cfRule type="expression" dxfId="2609" priority="167">
      <formula>AND(IF(OR($Q39=1,$Q39=2),1,0),IF($X39&lt;=20,1,0))</formula>
    </cfRule>
    <cfRule type="expression" dxfId="2608" priority="168">
      <formula>AND(IF($Q39=2,1,0),IF($X39&lt;30,1,0))</formula>
    </cfRule>
    <cfRule type="expression" dxfId="2607" priority="169">
      <formula>AND(IF($Q39=3,1,0),IF($X39&lt;30,1,0))</formula>
    </cfRule>
    <cfRule type="expression" dxfId="2606" priority="170">
      <formula>AND(IF($Q39=3,1,IF($Q39=4,1,0)),IF($F39&lt;=85,1,0))</formula>
    </cfRule>
  </conditionalFormatting>
  <conditionalFormatting sqref="AI39">
    <cfRule type="expression" dxfId="2605" priority="163">
      <formula>AND(IF(OR($Q39=1,$Q39=2),1,0),IF($X39&lt;=20,1,0))</formula>
    </cfRule>
    <cfRule type="expression" dxfId="2604" priority="164">
      <formula>AND(IF($Q39=2,1,0),IF($X39&lt;30,1,0))</formula>
    </cfRule>
    <cfRule type="expression" dxfId="2603" priority="165">
      <formula>AND(IF($Q39=3,1,0),IF($X39&lt;30,1,0))</formula>
    </cfRule>
    <cfRule type="expression" dxfId="2602" priority="166">
      <formula>AND(IF($Q39=3,1,IF($Q39=4,1,0)),IF($F39&lt;=85,1,0))</formula>
    </cfRule>
  </conditionalFormatting>
  <conditionalFormatting sqref="AV40">
    <cfRule type="expression" dxfId="2601" priority="161">
      <formula>AV40="X"</formula>
    </cfRule>
    <cfRule type="expression" dxfId="2600" priority="162">
      <formula>AV40="후보"</formula>
    </cfRule>
  </conditionalFormatting>
  <conditionalFormatting sqref="AC40">
    <cfRule type="cellIs" dxfId="2599" priority="158" operator="greaterThan">
      <formula>0.9</formula>
    </cfRule>
    <cfRule type="cellIs" dxfId="2598" priority="159" operator="greaterThan">
      <formula>0.85</formula>
    </cfRule>
  </conditionalFormatting>
  <conditionalFormatting sqref="N40">
    <cfRule type="cellIs" dxfId="2597" priority="156" operator="greaterThan">
      <formula>0.9</formula>
    </cfRule>
    <cfRule type="cellIs" dxfId="2596" priority="157" operator="greaterThan">
      <formula>0.85</formula>
    </cfRule>
  </conditionalFormatting>
  <conditionalFormatting sqref="E40">
    <cfRule type="expression" dxfId="2595" priority="152">
      <formula>AND(IF(OR($Q40=1,$Q40=2),1,0),IF($X40&lt;=20,1,0))</formula>
    </cfRule>
    <cfRule type="expression" dxfId="2594" priority="153">
      <formula>AND(IF($Q40=2,1,0),IF($X40&lt;30,1,0))</formula>
    </cfRule>
    <cfRule type="expression" dxfId="2593" priority="154">
      <formula>AND(IF($Q40=3,1,0),IF($X40&lt;30,1,0))</formula>
    </cfRule>
    <cfRule type="expression" dxfId="2592" priority="155">
      <formula>AND(IF($Q40=3,1,IF($Q40=4,1,0)),IF($F40&lt;=85,1,0))</formula>
    </cfRule>
  </conditionalFormatting>
  <conditionalFormatting sqref="X40">
    <cfRule type="expression" dxfId="2591" priority="148">
      <formula>AND(IF(OR($Q40=1,$Q40=2),1,0),IF($X40&lt;=20,1,0))</formula>
    </cfRule>
    <cfRule type="expression" dxfId="2590" priority="149">
      <formula>AND(IF($Q40=2,1,0),IF($X40&lt;30,1,0))</formula>
    </cfRule>
    <cfRule type="expression" dxfId="2589" priority="150">
      <formula>AND(IF($Q40=3,1,0),IF($X40&lt;30,1,0))</formula>
    </cfRule>
    <cfRule type="expression" dxfId="2588" priority="151">
      <formula>AND(IF($Q40=3,1,IF($Q40=4,1,0)),IF($F40&lt;=85,1,0))</formula>
    </cfRule>
  </conditionalFormatting>
  <conditionalFormatting sqref="AI40">
    <cfRule type="expression" dxfId="2587" priority="144">
      <formula>AND(IF(OR($Q40=1,$Q40=2),1,0),IF($X40&lt;=20,1,0))</formula>
    </cfRule>
    <cfRule type="expression" dxfId="2586" priority="145">
      <formula>AND(IF($Q40=2,1,0),IF($X40&lt;30,1,0))</formula>
    </cfRule>
    <cfRule type="expression" dxfId="2585" priority="146">
      <formula>AND(IF($Q40=3,1,0),IF($X40&lt;30,1,0))</formula>
    </cfRule>
    <cfRule type="expression" dxfId="2584" priority="147">
      <formula>AND(IF($Q40=3,1,IF($Q40=4,1,0)),IF($F40&lt;=85,1,0))</formula>
    </cfRule>
  </conditionalFormatting>
  <conditionalFormatting sqref="AV41">
    <cfRule type="expression" dxfId="2583" priority="142">
      <formula>AV41="X"</formula>
    </cfRule>
    <cfRule type="expression" dxfId="2582" priority="143">
      <formula>AV41="후보"</formula>
    </cfRule>
  </conditionalFormatting>
  <conditionalFormatting sqref="AC41 N41">
    <cfRule type="cellIs" dxfId="2581" priority="139" operator="greaterThan">
      <formula>0.9</formula>
    </cfRule>
    <cfRule type="cellIs" dxfId="2580" priority="140" operator="greaterThan">
      <formula>0.85</formula>
    </cfRule>
  </conditionalFormatting>
  <conditionalFormatting sqref="AV42">
    <cfRule type="expression" dxfId="2579" priority="137">
      <formula>AV42="X"</formula>
    </cfRule>
    <cfRule type="expression" dxfId="2578" priority="138">
      <formula>AV42="후보"</formula>
    </cfRule>
  </conditionalFormatting>
  <conditionalFormatting sqref="AC42">
    <cfRule type="cellIs" dxfId="2577" priority="134" operator="greaterThan">
      <formula>0.9</formula>
    </cfRule>
    <cfRule type="cellIs" dxfId="2576" priority="135" operator="greaterThan">
      <formula>0.85</formula>
    </cfRule>
  </conditionalFormatting>
  <conditionalFormatting sqref="N42">
    <cfRule type="cellIs" dxfId="2575" priority="132" operator="greaterThan">
      <formula>0.9</formula>
    </cfRule>
    <cfRule type="cellIs" dxfId="2574" priority="133" operator="greaterThan">
      <formula>0.85</formula>
    </cfRule>
  </conditionalFormatting>
  <conditionalFormatting sqref="E42">
    <cfRule type="expression" dxfId="2573" priority="128">
      <formula>AND(IF(OR($Q42=1,$Q42=2),1,0),IF($X42&lt;=20,1,0))</formula>
    </cfRule>
    <cfRule type="expression" dxfId="2572" priority="129">
      <formula>AND(IF($Q42=2,1,0),IF($X42&lt;30,1,0))</formula>
    </cfRule>
    <cfRule type="expression" dxfId="2571" priority="130">
      <formula>AND(IF($Q42=3,1,0),IF($X42&lt;30,1,0))</formula>
    </cfRule>
    <cfRule type="expression" dxfId="2570" priority="131">
      <formula>AND(IF($Q42=3,1,IF($Q42=4,1,0)),IF($F42&lt;=85,1,0))</formula>
    </cfRule>
  </conditionalFormatting>
  <conditionalFormatting sqref="X42">
    <cfRule type="expression" dxfId="2569" priority="124">
      <formula>AND(IF(OR($Q42=1,$Q42=2),1,0),IF($X42&lt;=20,1,0))</formula>
    </cfRule>
    <cfRule type="expression" dxfId="2568" priority="125">
      <formula>AND(IF($Q42=2,1,0),IF($X42&lt;30,1,0))</formula>
    </cfRule>
    <cfRule type="expression" dxfId="2567" priority="126">
      <formula>AND(IF($Q42=3,1,0),IF($X42&lt;30,1,0))</formula>
    </cfRule>
    <cfRule type="expression" dxfId="2566" priority="127">
      <formula>AND(IF($Q42=3,1,IF($Q42=4,1,0)),IF($F42&lt;=85,1,0))</formula>
    </cfRule>
  </conditionalFormatting>
  <conditionalFormatting sqref="AI42">
    <cfRule type="expression" dxfId="2565" priority="120">
      <formula>AND(IF(OR($Q42=1,$Q42=2),1,0),IF($X42&lt;=20,1,0))</formula>
    </cfRule>
    <cfRule type="expression" dxfId="2564" priority="121">
      <formula>AND(IF($Q42=2,1,0),IF($X42&lt;30,1,0))</formula>
    </cfRule>
    <cfRule type="expression" dxfId="2563" priority="122">
      <formula>AND(IF($Q42=3,1,0),IF($X42&lt;30,1,0))</formula>
    </cfRule>
    <cfRule type="expression" dxfId="2562" priority="123">
      <formula>AND(IF($Q42=3,1,IF($Q42=4,1,0)),IF($F42&lt;=85,1,0))</formula>
    </cfRule>
  </conditionalFormatting>
  <conditionalFormatting sqref="AV43">
    <cfRule type="expression" dxfId="2561" priority="118">
      <formula>AV43="X"</formula>
    </cfRule>
    <cfRule type="expression" dxfId="2560" priority="119">
      <formula>AV43="후보"</formula>
    </cfRule>
  </conditionalFormatting>
  <conditionalFormatting sqref="AC43">
    <cfRule type="cellIs" dxfId="2559" priority="115" operator="greaterThan">
      <formula>0.9</formula>
    </cfRule>
    <cfRule type="cellIs" dxfId="2558" priority="116" operator="greaterThan">
      <formula>0.85</formula>
    </cfRule>
  </conditionalFormatting>
  <conditionalFormatting sqref="N43">
    <cfRule type="cellIs" dxfId="2557" priority="113" operator="greaterThan">
      <formula>0.9</formula>
    </cfRule>
    <cfRule type="cellIs" dxfId="2556" priority="114" operator="greaterThan">
      <formula>0.85</formula>
    </cfRule>
  </conditionalFormatting>
  <conditionalFormatting sqref="E43">
    <cfRule type="expression" dxfId="2555" priority="109">
      <formula>AND(IF(OR($Q43=1,$Q43=2),1,0),IF($X43&lt;=20,1,0))</formula>
    </cfRule>
    <cfRule type="expression" dxfId="2554" priority="110">
      <formula>AND(IF($Q43=2,1,0),IF($X43&lt;30,1,0))</formula>
    </cfRule>
    <cfRule type="expression" dxfId="2553" priority="111">
      <formula>AND(IF($Q43=3,1,0),IF($X43&lt;30,1,0))</formula>
    </cfRule>
    <cfRule type="expression" dxfId="2552" priority="112">
      <formula>AND(IF($Q43=3,1,IF($Q43=4,1,0)),IF($F43&lt;=85,1,0))</formula>
    </cfRule>
  </conditionalFormatting>
  <conditionalFormatting sqref="X43">
    <cfRule type="expression" dxfId="2551" priority="105">
      <formula>AND(IF(OR($Q43=1,$Q43=2),1,0),IF($X43&lt;=20,1,0))</formula>
    </cfRule>
    <cfRule type="expression" dxfId="2550" priority="106">
      <formula>AND(IF($Q43=2,1,0),IF($X43&lt;30,1,0))</formula>
    </cfRule>
    <cfRule type="expression" dxfId="2549" priority="107">
      <formula>AND(IF($Q43=3,1,0),IF($X43&lt;30,1,0))</formula>
    </cfRule>
    <cfRule type="expression" dxfId="2548" priority="108">
      <formula>AND(IF($Q43=3,1,IF($Q43=4,1,0)),IF($F43&lt;=85,1,0))</formula>
    </cfRule>
  </conditionalFormatting>
  <conditionalFormatting sqref="AI43">
    <cfRule type="expression" dxfId="2547" priority="101">
      <formula>AND(IF(OR($Q43=1,$Q43=2),1,0),IF($X43&lt;=20,1,0))</formula>
    </cfRule>
    <cfRule type="expression" dxfId="2546" priority="102">
      <formula>AND(IF($Q43=2,1,0),IF($X43&lt;30,1,0))</formula>
    </cfRule>
    <cfRule type="expression" dxfId="2545" priority="103">
      <formula>AND(IF($Q43=3,1,0),IF($X43&lt;30,1,0))</formula>
    </cfRule>
    <cfRule type="expression" dxfId="2544" priority="104">
      <formula>AND(IF($Q43=3,1,IF($Q43=4,1,0)),IF($F43&lt;=85,1,0))</formula>
    </cfRule>
  </conditionalFormatting>
  <conditionalFormatting sqref="AV44">
    <cfRule type="expression" dxfId="2543" priority="99">
      <formula>AV44="X"</formula>
    </cfRule>
    <cfRule type="expression" dxfId="2542" priority="100">
      <formula>AV44="후보"</formula>
    </cfRule>
  </conditionalFormatting>
  <conditionalFormatting sqref="AC44 N44">
    <cfRule type="cellIs" dxfId="2541" priority="96" operator="greaterThan">
      <formula>0.9</formula>
    </cfRule>
    <cfRule type="cellIs" dxfId="2540" priority="97" operator="greaterThan">
      <formula>0.85</formula>
    </cfRule>
  </conditionalFormatting>
  <conditionalFormatting sqref="AV45">
    <cfRule type="expression" dxfId="2539" priority="94">
      <formula>AV45="X"</formula>
    </cfRule>
    <cfRule type="expression" dxfId="2538" priority="95">
      <formula>AV45="후보"</formula>
    </cfRule>
  </conditionalFormatting>
  <conditionalFormatting sqref="AC45">
    <cfRule type="cellIs" dxfId="2537" priority="91" operator="greaterThan">
      <formula>0.9</formula>
    </cfRule>
    <cfRule type="cellIs" dxfId="2536" priority="92" operator="greaterThan">
      <formula>0.85</formula>
    </cfRule>
  </conditionalFormatting>
  <conditionalFormatting sqref="N45">
    <cfRule type="cellIs" dxfId="2535" priority="89" operator="greaterThan">
      <formula>0.9</formula>
    </cfRule>
    <cfRule type="cellIs" dxfId="2534" priority="90" operator="greaterThan">
      <formula>0.85</formula>
    </cfRule>
  </conditionalFormatting>
  <conditionalFormatting sqref="E45">
    <cfRule type="expression" dxfId="2533" priority="85">
      <formula>AND(IF(OR($Q45=1,$Q45=2),1,0),IF($X45&lt;=20,1,0))</formula>
    </cfRule>
    <cfRule type="expression" dxfId="2532" priority="86">
      <formula>AND(IF($Q45=2,1,0),IF($X45&lt;30,1,0))</formula>
    </cfRule>
    <cfRule type="expression" dxfId="2531" priority="87">
      <formula>AND(IF($Q45=3,1,0),IF($X45&lt;30,1,0))</formula>
    </cfRule>
    <cfRule type="expression" dxfId="2530" priority="88">
      <formula>AND(IF($Q45=3,1,IF($Q45=4,1,0)),IF($F45&lt;=85,1,0))</formula>
    </cfRule>
  </conditionalFormatting>
  <conditionalFormatting sqref="X45">
    <cfRule type="expression" dxfId="2529" priority="81">
      <formula>AND(IF(OR($Q45=1,$Q45=2),1,0),IF($X45&lt;=20,1,0))</formula>
    </cfRule>
    <cfRule type="expression" dxfId="2528" priority="82">
      <formula>AND(IF($Q45=2,1,0),IF($X45&lt;30,1,0))</formula>
    </cfRule>
    <cfRule type="expression" dxfId="2527" priority="83">
      <formula>AND(IF($Q45=3,1,0),IF($X45&lt;30,1,0))</formula>
    </cfRule>
    <cfRule type="expression" dxfId="2526" priority="84">
      <formula>AND(IF($Q45=3,1,IF($Q45=4,1,0)),IF($F45&lt;=85,1,0))</formula>
    </cfRule>
  </conditionalFormatting>
  <conditionalFormatting sqref="AI45">
    <cfRule type="expression" dxfId="2525" priority="77">
      <formula>AND(IF(OR($Q45=1,$Q45=2),1,0),IF($X45&lt;=20,1,0))</formula>
    </cfRule>
    <cfRule type="expression" dxfId="2524" priority="78">
      <formula>AND(IF($Q45=2,1,0),IF($X45&lt;30,1,0))</formula>
    </cfRule>
    <cfRule type="expression" dxfId="2523" priority="79">
      <formula>AND(IF($Q45=3,1,0),IF($X45&lt;30,1,0))</formula>
    </cfRule>
    <cfRule type="expression" dxfId="2522" priority="80">
      <formula>AND(IF($Q45=3,1,IF($Q45=4,1,0)),IF($F45&lt;=85,1,0))</formula>
    </cfRule>
  </conditionalFormatting>
  <conditionalFormatting sqref="AV46">
    <cfRule type="expression" dxfId="2521" priority="75">
      <formula>AV46="X"</formula>
    </cfRule>
    <cfRule type="expression" dxfId="2520" priority="76">
      <formula>AV46="후보"</formula>
    </cfRule>
  </conditionalFormatting>
  <conditionalFormatting sqref="AC46">
    <cfRule type="cellIs" dxfId="2519" priority="72" operator="greaterThan">
      <formula>0.9</formula>
    </cfRule>
    <cfRule type="cellIs" dxfId="2518" priority="73" operator="greaterThan">
      <formula>0.85</formula>
    </cfRule>
  </conditionalFormatting>
  <conditionalFormatting sqref="N46">
    <cfRule type="cellIs" dxfId="2517" priority="70" operator="greaterThan">
      <formula>0.9</formula>
    </cfRule>
    <cfRule type="cellIs" dxfId="2516" priority="71" operator="greaterThan">
      <formula>0.85</formula>
    </cfRule>
  </conditionalFormatting>
  <conditionalFormatting sqref="E46">
    <cfRule type="expression" dxfId="2515" priority="66">
      <formula>AND(IF(OR($Q46=1,$Q46=2),1,0),IF($X46&lt;=20,1,0))</formula>
    </cfRule>
    <cfRule type="expression" dxfId="2514" priority="67">
      <formula>AND(IF($Q46=2,1,0),IF($X46&lt;30,1,0))</formula>
    </cfRule>
    <cfRule type="expression" dxfId="2513" priority="68">
      <formula>AND(IF($Q46=3,1,0),IF($X46&lt;30,1,0))</formula>
    </cfRule>
    <cfRule type="expression" dxfId="2512" priority="69">
      <formula>AND(IF($Q46=3,1,IF($Q46=4,1,0)),IF($F46&lt;=85,1,0))</formula>
    </cfRule>
  </conditionalFormatting>
  <conditionalFormatting sqref="X46">
    <cfRule type="expression" dxfId="2511" priority="62">
      <formula>AND(IF(OR($Q46=1,$Q46=2),1,0),IF($X46&lt;=20,1,0))</formula>
    </cfRule>
    <cfRule type="expression" dxfId="2510" priority="63">
      <formula>AND(IF($Q46=2,1,0),IF($X46&lt;30,1,0))</formula>
    </cfRule>
    <cfRule type="expression" dxfId="2509" priority="64">
      <formula>AND(IF($Q46=3,1,0),IF($X46&lt;30,1,0))</formula>
    </cfRule>
    <cfRule type="expression" dxfId="2508" priority="65">
      <formula>AND(IF($Q46=3,1,IF($Q46=4,1,0)),IF($F46&lt;=85,1,0))</formula>
    </cfRule>
  </conditionalFormatting>
  <conditionalFormatting sqref="AI46">
    <cfRule type="expression" dxfId="2507" priority="58">
      <formula>AND(IF(OR($Q46=1,$Q46=2),1,0),IF($X46&lt;=20,1,0))</formula>
    </cfRule>
    <cfRule type="expression" dxfId="2506" priority="59">
      <formula>AND(IF($Q46=2,1,0),IF($X46&lt;30,1,0))</formula>
    </cfRule>
    <cfRule type="expression" dxfId="2505" priority="60">
      <formula>AND(IF($Q46=3,1,0),IF($X46&lt;30,1,0))</formula>
    </cfRule>
    <cfRule type="expression" dxfId="2504" priority="61">
      <formula>AND(IF($Q46=3,1,IF($Q46=4,1,0)),IF($F46&lt;=85,1,0))</formula>
    </cfRule>
  </conditionalFormatting>
  <conditionalFormatting sqref="AV47">
    <cfRule type="expression" dxfId="2503" priority="56">
      <formula>AV47="X"</formula>
    </cfRule>
    <cfRule type="expression" dxfId="2502" priority="57">
      <formula>AV47="후보"</formula>
    </cfRule>
  </conditionalFormatting>
  <conditionalFormatting sqref="AC47">
    <cfRule type="cellIs" dxfId="2501" priority="53" operator="greaterThan">
      <formula>0.9</formula>
    </cfRule>
    <cfRule type="cellIs" dxfId="2500" priority="54" operator="greaterThan">
      <formula>0.85</formula>
    </cfRule>
  </conditionalFormatting>
  <conditionalFormatting sqref="N47">
    <cfRule type="cellIs" dxfId="2499" priority="51" operator="greaterThan">
      <formula>0.9</formula>
    </cfRule>
    <cfRule type="cellIs" dxfId="2498" priority="52" operator="greaterThan">
      <formula>0.85</formula>
    </cfRule>
  </conditionalFormatting>
  <conditionalFormatting sqref="E47">
    <cfRule type="expression" dxfId="2497" priority="47">
      <formula>AND(IF(OR($Q47=1,$Q47=2),1,0),IF($X47&lt;=20,1,0))</formula>
    </cfRule>
    <cfRule type="expression" dxfId="2496" priority="48">
      <formula>AND(IF($Q47=2,1,0),IF($X47&lt;30,1,0))</formula>
    </cfRule>
    <cfRule type="expression" dxfId="2495" priority="49">
      <formula>AND(IF($Q47=3,1,0),IF($X47&lt;30,1,0))</formula>
    </cfRule>
    <cfRule type="expression" dxfId="2494" priority="50">
      <formula>AND(IF($Q47=3,1,IF($Q47=4,1,0)),IF($F47&lt;=85,1,0))</formula>
    </cfRule>
  </conditionalFormatting>
  <conditionalFormatting sqref="X47">
    <cfRule type="expression" dxfId="2493" priority="43">
      <formula>AND(IF(OR($Q47=1,$Q47=2),1,0),IF($X47&lt;=20,1,0))</formula>
    </cfRule>
    <cfRule type="expression" dxfId="2492" priority="44">
      <formula>AND(IF($Q47=2,1,0),IF($X47&lt;30,1,0))</formula>
    </cfRule>
    <cfRule type="expression" dxfId="2491" priority="45">
      <formula>AND(IF($Q47=3,1,0),IF($X47&lt;30,1,0))</formula>
    </cfRule>
    <cfRule type="expression" dxfId="2490" priority="46">
      <formula>AND(IF($Q47=3,1,IF($Q47=4,1,0)),IF($F47&lt;=85,1,0))</formula>
    </cfRule>
  </conditionalFormatting>
  <conditionalFormatting sqref="AI47">
    <cfRule type="expression" dxfId="2489" priority="39">
      <formula>AND(IF(OR($Q47=1,$Q47=2),1,0),IF($X47&lt;=20,1,0))</formula>
    </cfRule>
    <cfRule type="expression" dxfId="2488" priority="40">
      <formula>AND(IF($Q47=2,1,0),IF($X47&lt;30,1,0))</formula>
    </cfRule>
    <cfRule type="expression" dxfId="2487" priority="41">
      <formula>AND(IF($Q47=3,1,0),IF($X47&lt;30,1,0))</formula>
    </cfRule>
    <cfRule type="expression" dxfId="2486" priority="42">
      <formula>AND(IF($Q47=3,1,IF($Q47=4,1,0)),IF($F47&lt;=85,1,0))</formula>
    </cfRule>
  </conditionalFormatting>
  <conditionalFormatting sqref="AV48">
    <cfRule type="expression" dxfId="2485" priority="37">
      <formula>AV48="X"</formula>
    </cfRule>
    <cfRule type="expression" dxfId="2484" priority="38">
      <formula>AV48="후보"</formula>
    </cfRule>
  </conditionalFormatting>
  <conditionalFormatting sqref="AC48">
    <cfRule type="cellIs" dxfId="2483" priority="34" operator="greaterThan">
      <formula>0.9</formula>
    </cfRule>
    <cfRule type="cellIs" dxfId="2482" priority="35" operator="greaterThan">
      <formula>0.85</formula>
    </cfRule>
  </conditionalFormatting>
  <conditionalFormatting sqref="N48">
    <cfRule type="cellIs" dxfId="2481" priority="32" operator="greaterThan">
      <formula>0.9</formula>
    </cfRule>
    <cfRule type="cellIs" dxfId="2480" priority="33" operator="greaterThan">
      <formula>0.85</formula>
    </cfRule>
  </conditionalFormatting>
  <conditionalFormatting sqref="E48">
    <cfRule type="expression" dxfId="2479" priority="28">
      <formula>AND(IF(OR($Q48=1,$Q48=2),1,0),IF($X48&lt;=20,1,0))</formula>
    </cfRule>
    <cfRule type="expression" dxfId="2478" priority="29">
      <formula>AND(IF($Q48=2,1,0),IF($X48&lt;30,1,0))</formula>
    </cfRule>
    <cfRule type="expression" dxfId="2477" priority="30">
      <formula>AND(IF($Q48=3,1,0),IF($X48&lt;30,1,0))</formula>
    </cfRule>
    <cfRule type="expression" dxfId="2476" priority="31">
      <formula>AND(IF($Q48=3,1,IF($Q48=4,1,0)),IF($F48&lt;=85,1,0))</formula>
    </cfRule>
  </conditionalFormatting>
  <conditionalFormatting sqref="X48">
    <cfRule type="expression" dxfId="2475" priority="24">
      <formula>AND(IF(OR($Q48=1,$Q48=2),1,0),IF($X48&lt;=20,1,0))</formula>
    </cfRule>
    <cfRule type="expression" dxfId="2474" priority="25">
      <formula>AND(IF($Q48=2,1,0),IF($X48&lt;30,1,0))</formula>
    </cfRule>
    <cfRule type="expression" dxfId="2473" priority="26">
      <formula>AND(IF($Q48=3,1,0),IF($X48&lt;30,1,0))</formula>
    </cfRule>
    <cfRule type="expression" dxfId="2472" priority="27">
      <formula>AND(IF($Q48=3,1,IF($Q48=4,1,0)),IF($F48&lt;=85,1,0))</formula>
    </cfRule>
  </conditionalFormatting>
  <conditionalFormatting sqref="AI48">
    <cfRule type="expression" dxfId="2471" priority="20">
      <formula>AND(IF(OR($Q48=1,$Q48=2),1,0),IF($X48&lt;=20,1,0))</formula>
    </cfRule>
    <cfRule type="expression" dxfId="2470" priority="21">
      <formula>AND(IF($Q48=2,1,0),IF($X48&lt;30,1,0))</formula>
    </cfRule>
    <cfRule type="expression" dxfId="2469" priority="22">
      <formula>AND(IF($Q48=3,1,0),IF($X48&lt;30,1,0))</formula>
    </cfRule>
    <cfRule type="expression" dxfId="2468" priority="23">
      <formula>AND(IF($Q48=3,1,IF($Q48=4,1,0)),IF($F48&lt;=85,1,0))</formula>
    </cfRule>
  </conditionalFormatting>
  <conditionalFormatting sqref="AV49">
    <cfRule type="expression" dxfId="2467" priority="18">
      <formula>AV49="X"</formula>
    </cfRule>
    <cfRule type="expression" dxfId="2466" priority="19">
      <formula>AV49="후보"</formula>
    </cfRule>
  </conditionalFormatting>
  <conditionalFormatting sqref="AC49">
    <cfRule type="cellIs" dxfId="2465" priority="15" operator="greaterThan">
      <formula>0.9</formula>
    </cfRule>
    <cfRule type="cellIs" dxfId="2464" priority="16" operator="greaterThan">
      <formula>0.85</formula>
    </cfRule>
  </conditionalFormatting>
  <conditionalFormatting sqref="N49">
    <cfRule type="cellIs" dxfId="2463" priority="13" operator="greaterThan">
      <formula>0.9</formula>
    </cfRule>
    <cfRule type="cellIs" dxfId="2462" priority="14" operator="greaterThan">
      <formula>0.85</formula>
    </cfRule>
  </conditionalFormatting>
  <conditionalFormatting sqref="E49">
    <cfRule type="expression" dxfId="2461" priority="9">
      <formula>AND(IF(OR($Q49=1,$Q49=2),1,0),IF($X49&lt;=20,1,0))</formula>
    </cfRule>
    <cfRule type="expression" dxfId="2460" priority="10">
      <formula>AND(IF($Q49=2,1,0),IF($X49&lt;30,1,0))</formula>
    </cfRule>
    <cfRule type="expression" dxfId="2459" priority="11">
      <formula>AND(IF($Q49=3,1,0),IF($X49&lt;30,1,0))</formula>
    </cfRule>
    <cfRule type="expression" dxfId="2458" priority="12">
      <formula>AND(IF($Q49=3,1,IF($Q49=4,1,0)),IF($F49&lt;=85,1,0))</formula>
    </cfRule>
  </conditionalFormatting>
  <conditionalFormatting sqref="X49">
    <cfRule type="expression" dxfId="2457" priority="5">
      <formula>AND(IF(OR($Q49=1,$Q49=2),1,0),IF($X49&lt;=20,1,0))</formula>
    </cfRule>
    <cfRule type="expression" dxfId="2456" priority="6">
      <formula>AND(IF($Q49=2,1,0),IF($X49&lt;30,1,0))</formula>
    </cfRule>
    <cfRule type="expression" dxfId="2455" priority="7">
      <formula>AND(IF($Q49=3,1,0),IF($X49&lt;30,1,0))</formula>
    </cfRule>
    <cfRule type="expression" dxfId="2454" priority="8">
      <formula>AND(IF($Q49=3,1,IF($Q49=4,1,0)),IF($F49&lt;=85,1,0))</formula>
    </cfRule>
  </conditionalFormatting>
  <conditionalFormatting sqref="AI49">
    <cfRule type="expression" dxfId="2453" priority="1">
      <formula>AND(IF(OR($Q49=1,$Q49=2),1,0),IF($X49&lt;=20,1,0))</formula>
    </cfRule>
    <cfRule type="expression" dxfId="2452" priority="2">
      <formula>AND(IF($Q49=2,1,0),IF($X49&lt;30,1,0))</formula>
    </cfRule>
    <cfRule type="expression" dxfId="2451" priority="3">
      <formula>AND(IF($Q49=3,1,0),IF($X49&lt;30,1,0))</formula>
    </cfRule>
    <cfRule type="expression" dxfId="2450" priority="4">
      <formula>AND(IF($Q49=3,1,IF($Q49=4,1,0)),IF($F49&lt;=85,1,0))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안골동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0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466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안골동 창원마린푸르지오2차('16.10.,599^)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0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462</v>
      </c>
      <c r="B6" s="10" t="s">
        <v>905</v>
      </c>
      <c r="C6" s="107">
        <v>599</v>
      </c>
      <c r="D6" s="104">
        <v>82.8</v>
      </c>
      <c r="E6" s="106">
        <v>25</v>
      </c>
      <c r="F6" s="104">
        <v>59.9</v>
      </c>
      <c r="G6" s="17">
        <v>18</v>
      </c>
      <c r="H6" s="107">
        <v>63</v>
      </c>
      <c r="I6" s="108">
        <v>23000</v>
      </c>
      <c r="J6" s="108" t="s">
        <v>878</v>
      </c>
      <c r="K6" s="108"/>
      <c r="L6" s="108"/>
      <c r="M6" s="109">
        <f>I6-K6</f>
        <v>23000</v>
      </c>
      <c r="N6" s="4">
        <f>IF(ISERROR(K6/I6),"",K6/I6)</f>
        <v>0</v>
      </c>
      <c r="O6" s="105">
        <f>I6/E6</f>
        <v>920</v>
      </c>
      <c r="P6" s="105">
        <f>K6/E6</f>
        <v>0</v>
      </c>
      <c r="Q6" s="75">
        <v>3</v>
      </c>
      <c r="R6" s="75">
        <v>2</v>
      </c>
      <c r="S6" s="75" t="s">
        <v>869</v>
      </c>
      <c r="T6" s="5">
        <v>82</v>
      </c>
      <c r="U6" s="9"/>
      <c r="W6" s="104">
        <f t="shared" ref="W6:X10" si="2">D6</f>
        <v>82.8</v>
      </c>
      <c r="X6" s="106">
        <f t="shared" si="2"/>
        <v>25</v>
      </c>
      <c r="Y6" s="102">
        <f t="shared" ref="Y6:Z10" si="3">H6</f>
        <v>63</v>
      </c>
      <c r="Z6" s="109">
        <f t="shared" si="3"/>
        <v>23000</v>
      </c>
      <c r="AA6" s="109">
        <f>K6</f>
        <v>0</v>
      </c>
      <c r="AB6" s="109">
        <f t="shared" ref="AB6:AD10" si="4">M6</f>
        <v>23000</v>
      </c>
      <c r="AC6" s="4">
        <f t="shared" si="4"/>
        <v>0</v>
      </c>
      <c r="AD6" s="105">
        <f t="shared" si="4"/>
        <v>920</v>
      </c>
      <c r="AE6" s="75" t="str">
        <f>S6</f>
        <v>계</v>
      </c>
      <c r="AF6" s="75" t="str">
        <f>Q6&amp;"/"&amp;R6</f>
        <v>3/2</v>
      </c>
      <c r="AH6" s="20" t="str">
        <f t="shared" si="1"/>
        <v>창원마린푸르지오2차</v>
      </c>
      <c r="AI6" s="106">
        <f t="shared" si="0"/>
        <v>25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 t="s">
        <v>462</v>
      </c>
      <c r="B7" s="10" t="s">
        <v>905</v>
      </c>
      <c r="C7" s="107">
        <v>599</v>
      </c>
      <c r="D7" s="104">
        <v>99.9</v>
      </c>
      <c r="E7" s="106">
        <v>30</v>
      </c>
      <c r="F7" s="104">
        <v>75</v>
      </c>
      <c r="G7" s="17">
        <v>23</v>
      </c>
      <c r="H7" s="107">
        <v>82</v>
      </c>
      <c r="I7" s="108">
        <v>29000</v>
      </c>
      <c r="J7" s="108" t="s">
        <v>872</v>
      </c>
      <c r="K7" s="108"/>
      <c r="L7" s="108"/>
      <c r="M7" s="109">
        <f>I7-K7</f>
        <v>29000</v>
      </c>
      <c r="N7" s="4">
        <f>IF(ISERROR(K7/I7),"",K7/I7)</f>
        <v>0</v>
      </c>
      <c r="O7" s="105">
        <f>I7/E7</f>
        <v>966.66666666666663</v>
      </c>
      <c r="P7" s="105">
        <f>K7/E7</f>
        <v>0</v>
      </c>
      <c r="Q7" s="75">
        <v>3</v>
      </c>
      <c r="R7" s="75">
        <v>2</v>
      </c>
      <c r="S7" s="75" t="s">
        <v>869</v>
      </c>
      <c r="T7" s="5" t="s">
        <v>468</v>
      </c>
      <c r="U7" s="9"/>
      <c r="W7" s="104">
        <f t="shared" si="2"/>
        <v>99.9</v>
      </c>
      <c r="X7" s="106">
        <f t="shared" si="2"/>
        <v>30</v>
      </c>
      <c r="Y7" s="102">
        <f t="shared" si="3"/>
        <v>82</v>
      </c>
      <c r="Z7" s="109">
        <f t="shared" si="3"/>
        <v>29000</v>
      </c>
      <c r="AA7" s="109">
        <f>K7</f>
        <v>0</v>
      </c>
      <c r="AB7" s="109">
        <f t="shared" si="4"/>
        <v>29000</v>
      </c>
      <c r="AC7" s="4">
        <f t="shared" si="4"/>
        <v>0</v>
      </c>
      <c r="AD7" s="105">
        <f t="shared" si="4"/>
        <v>966.66666666666663</v>
      </c>
      <c r="AE7" s="75" t="str">
        <f>S7</f>
        <v>계</v>
      </c>
      <c r="AF7" s="75" t="str">
        <f>Q7&amp;"/"&amp;R7</f>
        <v>3/2</v>
      </c>
      <c r="AH7" s="20" t="str">
        <f t="shared" si="1"/>
        <v>창원마린푸르지오2차</v>
      </c>
      <c r="AI7" s="106">
        <f t="shared" si="0"/>
        <v>30</v>
      </c>
      <c r="AJ7" s="75" t="str">
        <f>IF(AI7="","",$AJ$2)</f>
        <v>A-</v>
      </c>
      <c r="AK7" s="75" t="s">
        <v>14</v>
      </c>
      <c r="AL7" s="75" t="s">
        <v>870</v>
      </c>
      <c r="AM7" s="75" t="s">
        <v>871</v>
      </c>
      <c r="AN7" s="75" t="str">
        <f>IF(AI7="","",$AN$2)</f>
        <v>C</v>
      </c>
      <c r="AO7" s="75" t="str">
        <f>IF(N7="","",IF(N7&gt;=$AO$1/100,"O","X"))</f>
        <v>X</v>
      </c>
      <c r="AP7" s="75" t="str">
        <f>IF(I7="","",IF(I7&lt;=$AP$1,"O","X"))</f>
        <v>O</v>
      </c>
      <c r="AQ7" s="75" t="str">
        <f>IF(O7="","",IF(O7&lt;=$AQ$1,"O","X"))</f>
        <v>O</v>
      </c>
      <c r="AR7" s="75" t="str">
        <f>IF(M7="","",IF(M7&lt;=$AR$1,"O","X"))</f>
        <v>X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>X</v>
      </c>
    </row>
    <row r="8" spans="1:48" x14ac:dyDescent="0.3">
      <c r="A8" s="9" t="s">
        <v>462</v>
      </c>
      <c r="B8" s="10" t="s">
        <v>905</v>
      </c>
      <c r="C8" s="107">
        <v>599</v>
      </c>
      <c r="D8" s="104">
        <v>99.5</v>
      </c>
      <c r="E8" s="106">
        <v>30</v>
      </c>
      <c r="F8" s="104">
        <v>74.900000000000006</v>
      </c>
      <c r="G8" s="17">
        <v>23</v>
      </c>
      <c r="H8" s="107">
        <v>79</v>
      </c>
      <c r="I8" s="108">
        <v>29000</v>
      </c>
      <c r="J8" s="108" t="s">
        <v>878</v>
      </c>
      <c r="K8" s="108"/>
      <c r="L8" s="108"/>
      <c r="M8" s="109">
        <f>I8-K8</f>
        <v>29000</v>
      </c>
      <c r="N8" s="4">
        <f>IF(ISERROR(K8/I8),"",K8/I8)</f>
        <v>0</v>
      </c>
      <c r="O8" s="105">
        <f>I8/E8</f>
        <v>966.66666666666663</v>
      </c>
      <c r="P8" s="105">
        <f>K8/E8</f>
        <v>0</v>
      </c>
      <c r="Q8" s="75">
        <v>3</v>
      </c>
      <c r="R8" s="75">
        <v>2</v>
      </c>
      <c r="S8" s="75" t="s">
        <v>869</v>
      </c>
      <c r="T8" s="5" t="s">
        <v>130</v>
      </c>
      <c r="U8" s="9"/>
      <c r="W8" s="104">
        <f t="shared" si="2"/>
        <v>99.5</v>
      </c>
      <c r="X8" s="106">
        <f t="shared" si="2"/>
        <v>30</v>
      </c>
      <c r="Y8" s="102">
        <f t="shared" si="3"/>
        <v>79</v>
      </c>
      <c r="Z8" s="109">
        <f t="shared" si="3"/>
        <v>29000</v>
      </c>
      <c r="AA8" s="109">
        <f>K8</f>
        <v>0</v>
      </c>
      <c r="AB8" s="109">
        <f t="shared" si="4"/>
        <v>29000</v>
      </c>
      <c r="AC8" s="4">
        <f t="shared" si="4"/>
        <v>0</v>
      </c>
      <c r="AD8" s="105">
        <f t="shared" si="4"/>
        <v>966.66666666666663</v>
      </c>
      <c r="AE8" s="75" t="str">
        <f>S8</f>
        <v>계</v>
      </c>
      <c r="AF8" s="75" t="str">
        <f>Q8&amp;"/"&amp;R8</f>
        <v>3/2</v>
      </c>
      <c r="AH8" s="20" t="str">
        <f t="shared" si="1"/>
        <v>창원마린푸르지오2차</v>
      </c>
      <c r="AI8" s="106">
        <f t="shared" si="0"/>
        <v>30</v>
      </c>
      <c r="AJ8" s="75" t="str">
        <f>IF(AI8="","",$AJ$2)</f>
        <v>A-</v>
      </c>
      <c r="AK8" s="75" t="s">
        <v>14</v>
      </c>
      <c r="AL8" s="75" t="s">
        <v>870</v>
      </c>
      <c r="AM8" s="75" t="s">
        <v>871</v>
      </c>
      <c r="AN8" s="75" t="str">
        <f>IF(AI8="","",$AN$2)</f>
        <v>C</v>
      </c>
      <c r="AO8" s="75" t="str">
        <f>IF(N8="","",IF(N8&gt;=$AO$1/100,"O","X"))</f>
        <v>X</v>
      </c>
      <c r="AP8" s="75" t="str">
        <f>IF(I8="","",IF(I8&lt;=$AP$1,"O","X"))</f>
        <v>O</v>
      </c>
      <c r="AQ8" s="75" t="str">
        <f>IF(O8="","",IF(O8&lt;=$AQ$1,"O","X"))</f>
        <v>O</v>
      </c>
      <c r="AR8" s="75" t="str">
        <f>IF(M8="","",IF(M8&lt;=$AR$1,"O","X"))</f>
        <v>X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X</v>
      </c>
    </row>
    <row r="9" spans="1:48" x14ac:dyDescent="0.3">
      <c r="A9" s="9" t="s">
        <v>462</v>
      </c>
      <c r="B9" s="10" t="s">
        <v>905</v>
      </c>
      <c r="C9" s="107">
        <v>599</v>
      </c>
      <c r="D9" s="104">
        <v>111.9</v>
      </c>
      <c r="E9" s="106">
        <v>34</v>
      </c>
      <c r="F9" s="104">
        <v>85</v>
      </c>
      <c r="G9" s="17">
        <v>26</v>
      </c>
      <c r="H9" s="107">
        <v>240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5">
        <v>4</v>
      </c>
      <c r="R9" s="75">
        <v>2</v>
      </c>
      <c r="S9" s="75" t="s">
        <v>869</v>
      </c>
      <c r="T9" s="5" t="s">
        <v>153</v>
      </c>
      <c r="U9" s="9"/>
      <c r="W9" s="104">
        <f t="shared" si="2"/>
        <v>111.9</v>
      </c>
      <c r="X9" s="106">
        <f t="shared" si="2"/>
        <v>34</v>
      </c>
      <c r="Y9" s="102">
        <f t="shared" si="3"/>
        <v>240</v>
      </c>
      <c r="Z9" s="109">
        <f t="shared" si="3"/>
        <v>0</v>
      </c>
      <c r="AA9" s="109">
        <f>K9</f>
        <v>0</v>
      </c>
      <c r="AB9" s="109">
        <f t="shared" si="4"/>
        <v>0</v>
      </c>
      <c r="AC9" s="4" t="str">
        <f t="shared" si="4"/>
        <v/>
      </c>
      <c r="AD9" s="105">
        <f t="shared" si="4"/>
        <v>0</v>
      </c>
      <c r="AE9" s="75" t="str">
        <f>S9</f>
        <v>계</v>
      </c>
      <c r="AF9" s="75" t="str">
        <f>Q9&amp;"/"&amp;R9</f>
        <v>4/2</v>
      </c>
      <c r="AH9" s="20" t="str">
        <f t="shared" si="1"/>
        <v>창원마린푸르지오2차</v>
      </c>
      <c r="AI9" s="106">
        <f t="shared" si="0"/>
        <v>34</v>
      </c>
      <c r="AJ9" s="75" t="str">
        <f>IF(AI9="","",$AJ$2)</f>
        <v>A-</v>
      </c>
      <c r="AK9" s="75" t="s">
        <v>14</v>
      </c>
      <c r="AL9" s="75" t="s">
        <v>870</v>
      </c>
      <c r="AM9" s="75" t="s">
        <v>871</v>
      </c>
      <c r="AN9" s="75" t="str">
        <f>IF(AI9="","",$AN$2)</f>
        <v>C</v>
      </c>
      <c r="AO9" s="75" t="str">
        <f>IF(N9="","",IF(N9&gt;=$AO$1/100,"O","X"))</f>
        <v/>
      </c>
      <c r="AP9" s="75" t="str">
        <f>IF(I9="","",IF(I9&lt;=$AP$1,"O","X"))</f>
        <v/>
      </c>
      <c r="AQ9" s="75" t="str">
        <f>IF(O9="","",IF(O9&lt;=$AQ$1,"O","X"))</f>
        <v>O</v>
      </c>
      <c r="AR9" s="75" t="str">
        <f>IF(M9="","",IF(M9&lt;=$AR$1,"O","X"))</f>
        <v>O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/>
      </c>
    </row>
    <row r="10" spans="1:48" x14ac:dyDescent="0.3">
      <c r="A10" s="9" t="s">
        <v>462</v>
      </c>
      <c r="B10" s="10" t="s">
        <v>905</v>
      </c>
      <c r="C10" s="107">
        <v>599</v>
      </c>
      <c r="D10" s="104">
        <v>112.7</v>
      </c>
      <c r="E10" s="106">
        <v>34</v>
      </c>
      <c r="F10" s="104">
        <v>84.9</v>
      </c>
      <c r="G10" s="17">
        <v>26</v>
      </c>
      <c r="H10" s="107">
        <v>135</v>
      </c>
      <c r="I10" s="108">
        <v>33000</v>
      </c>
      <c r="J10" s="108" t="s">
        <v>878</v>
      </c>
      <c r="K10" s="108"/>
      <c r="L10" s="108"/>
      <c r="M10" s="109">
        <f>I10-K10</f>
        <v>33000</v>
      </c>
      <c r="N10" s="4">
        <f>IF(ISERROR(K10/I10),"",K10/I10)</f>
        <v>0</v>
      </c>
      <c r="O10" s="105">
        <f>I10/E10</f>
        <v>970.58823529411768</v>
      </c>
      <c r="P10" s="105">
        <f>K10/E10</f>
        <v>0</v>
      </c>
      <c r="Q10" s="75">
        <v>3</v>
      </c>
      <c r="R10" s="75">
        <v>2</v>
      </c>
      <c r="S10" s="75" t="s">
        <v>869</v>
      </c>
      <c r="T10" s="5" t="s">
        <v>122</v>
      </c>
      <c r="U10" s="9"/>
      <c r="W10" s="104">
        <f t="shared" si="2"/>
        <v>112.7</v>
      </c>
      <c r="X10" s="106">
        <f t="shared" si="2"/>
        <v>34</v>
      </c>
      <c r="Y10" s="102">
        <f t="shared" si="3"/>
        <v>135</v>
      </c>
      <c r="Z10" s="109">
        <f t="shared" si="3"/>
        <v>33000</v>
      </c>
      <c r="AA10" s="109">
        <f>K10</f>
        <v>0</v>
      </c>
      <c r="AB10" s="109">
        <f t="shared" si="4"/>
        <v>33000</v>
      </c>
      <c r="AC10" s="4">
        <f t="shared" si="4"/>
        <v>0</v>
      </c>
      <c r="AD10" s="105">
        <f t="shared" si="4"/>
        <v>970.58823529411768</v>
      </c>
      <c r="AE10" s="75" t="str">
        <f>S10</f>
        <v>계</v>
      </c>
      <c r="AF10" s="75" t="str">
        <f>Q10&amp;"/"&amp;R10</f>
        <v>3/2</v>
      </c>
      <c r="AH10" s="20" t="str">
        <f t="shared" si="1"/>
        <v>창원마린푸르지오2차</v>
      </c>
      <c r="AI10" s="106">
        <f t="shared" si="0"/>
        <v>34</v>
      </c>
      <c r="AJ10" s="75" t="str">
        <f>IF(AI10="","",$AJ$2)</f>
        <v>A-</v>
      </c>
      <c r="AK10" s="75" t="s">
        <v>14</v>
      </c>
      <c r="AL10" s="75" t="s">
        <v>870</v>
      </c>
      <c r="AM10" s="75" t="s">
        <v>871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</sheetData>
  <mergeCells count="1">
    <mergeCell ref="AJ1:AN1"/>
  </mergeCells>
  <phoneticPr fontId="2" type="noConversion"/>
  <conditionalFormatting sqref="AV4:AV6">
    <cfRule type="expression" dxfId="2449" priority="96">
      <formula>AV4="X"</formula>
    </cfRule>
    <cfRule type="expression" dxfId="2448" priority="97">
      <formula>AV4="후보"</formula>
    </cfRule>
  </conditionalFormatting>
  <conditionalFormatting sqref="AC1:AC2 AC4:AC6 N4:N5">
    <cfRule type="cellIs" dxfId="2447" priority="93" operator="greaterThan">
      <formula>0.9</formula>
    </cfRule>
    <cfRule type="cellIs" dxfId="2446" priority="94" operator="greaterThan">
      <formula>0.85</formula>
    </cfRule>
  </conditionalFormatting>
  <conditionalFormatting sqref="N1:N2">
    <cfRule type="cellIs" dxfId="2445" priority="91" operator="greaterThan">
      <formula>0.9</formula>
    </cfRule>
    <cfRule type="cellIs" dxfId="2444" priority="92" operator="greaterThan">
      <formula>0.85</formula>
    </cfRule>
  </conditionalFormatting>
  <conditionalFormatting sqref="N6">
    <cfRule type="cellIs" dxfId="2443" priority="89" operator="greaterThan">
      <formula>0.9</formula>
    </cfRule>
    <cfRule type="cellIs" dxfId="2442" priority="90" operator="greaterThan">
      <formula>0.85</formula>
    </cfRule>
  </conditionalFormatting>
  <conditionalFormatting sqref="E6">
    <cfRule type="expression" dxfId="2441" priority="85">
      <formula>AND(IF(OR($Q6=1,$Q6=2),1,0),IF($X6&lt;=20,1,0))</formula>
    </cfRule>
    <cfRule type="expression" dxfId="2440" priority="86">
      <formula>AND(IF($Q6=2,1,0),IF($X6&lt;30,1,0))</formula>
    </cfRule>
    <cfRule type="expression" dxfId="2439" priority="87">
      <formula>AND(IF($Q6=3,1,0),IF($X6&lt;30,1,0))</formula>
    </cfRule>
    <cfRule type="expression" dxfId="2438" priority="88">
      <formula>AND(IF($Q6=3,1,IF($Q6=4,1,0)),IF($F6&lt;=85,1,0))</formula>
    </cfRule>
  </conditionalFormatting>
  <conditionalFormatting sqref="X6">
    <cfRule type="expression" dxfId="2437" priority="81">
      <formula>AND(IF(OR($Q6=1,$Q6=2),1,0),IF($X6&lt;=20,1,0))</formula>
    </cfRule>
    <cfRule type="expression" dxfId="2436" priority="82">
      <formula>AND(IF($Q6=2,1,0),IF($X6&lt;30,1,0))</formula>
    </cfRule>
    <cfRule type="expression" dxfId="2435" priority="83">
      <formula>AND(IF($Q6=3,1,0),IF($X6&lt;30,1,0))</formula>
    </cfRule>
    <cfRule type="expression" dxfId="2434" priority="84">
      <formula>AND(IF($Q6=3,1,IF($Q6=4,1,0)),IF($F6&lt;=85,1,0))</formula>
    </cfRule>
  </conditionalFormatting>
  <conditionalFormatting sqref="AI6">
    <cfRule type="expression" dxfId="2433" priority="77">
      <formula>AND(IF(OR($Q6=1,$Q6=2),1,0),IF($X6&lt;=20,1,0))</formula>
    </cfRule>
    <cfRule type="expression" dxfId="2432" priority="78">
      <formula>AND(IF($Q6=2,1,0),IF($X6&lt;30,1,0))</formula>
    </cfRule>
    <cfRule type="expression" dxfId="2431" priority="79">
      <formula>AND(IF($Q6=3,1,0),IF($X6&lt;30,1,0))</formula>
    </cfRule>
    <cfRule type="expression" dxfId="2430" priority="80">
      <formula>AND(IF($Q6=3,1,IF($Q6=4,1,0)),IF($F6&lt;=85,1,0))</formula>
    </cfRule>
  </conditionalFormatting>
  <conditionalFormatting sqref="AV7">
    <cfRule type="expression" dxfId="2429" priority="75">
      <formula>AV7="X"</formula>
    </cfRule>
    <cfRule type="expression" dxfId="2428" priority="76">
      <formula>AV7="후보"</formula>
    </cfRule>
  </conditionalFormatting>
  <conditionalFormatting sqref="AC7">
    <cfRule type="cellIs" dxfId="2427" priority="72" operator="greaterThan">
      <formula>0.9</formula>
    </cfRule>
    <cfRule type="cellIs" dxfId="2426" priority="73" operator="greaterThan">
      <formula>0.85</formula>
    </cfRule>
  </conditionalFormatting>
  <conditionalFormatting sqref="N7">
    <cfRule type="cellIs" dxfId="2425" priority="70" operator="greaterThan">
      <formula>0.9</formula>
    </cfRule>
    <cfRule type="cellIs" dxfId="2424" priority="71" operator="greaterThan">
      <formula>0.85</formula>
    </cfRule>
  </conditionalFormatting>
  <conditionalFormatting sqref="E7">
    <cfRule type="expression" dxfId="2423" priority="66">
      <formula>AND(IF(OR($Q7=1,$Q7=2),1,0),IF($X7&lt;=20,1,0))</formula>
    </cfRule>
    <cfRule type="expression" dxfId="2422" priority="67">
      <formula>AND(IF($Q7=2,1,0),IF($X7&lt;30,1,0))</formula>
    </cfRule>
    <cfRule type="expression" dxfId="2421" priority="68">
      <formula>AND(IF($Q7=3,1,0),IF($X7&lt;30,1,0))</formula>
    </cfRule>
    <cfRule type="expression" dxfId="2420" priority="69">
      <formula>AND(IF($Q7=3,1,IF($Q7=4,1,0)),IF($F7&lt;=85,1,0))</formula>
    </cfRule>
  </conditionalFormatting>
  <conditionalFormatting sqref="X7">
    <cfRule type="expression" dxfId="2419" priority="62">
      <formula>AND(IF(OR($Q7=1,$Q7=2),1,0),IF($X7&lt;=20,1,0))</formula>
    </cfRule>
    <cfRule type="expression" dxfId="2418" priority="63">
      <formula>AND(IF($Q7=2,1,0),IF($X7&lt;30,1,0))</formula>
    </cfRule>
    <cfRule type="expression" dxfId="2417" priority="64">
      <formula>AND(IF($Q7=3,1,0),IF($X7&lt;30,1,0))</formula>
    </cfRule>
    <cfRule type="expression" dxfId="2416" priority="65">
      <formula>AND(IF($Q7=3,1,IF($Q7=4,1,0)),IF($F7&lt;=85,1,0))</formula>
    </cfRule>
  </conditionalFormatting>
  <conditionalFormatting sqref="AI7">
    <cfRule type="expression" dxfId="2415" priority="58">
      <formula>AND(IF(OR($Q7=1,$Q7=2),1,0),IF($X7&lt;=20,1,0))</formula>
    </cfRule>
    <cfRule type="expression" dxfId="2414" priority="59">
      <formula>AND(IF($Q7=2,1,0),IF($X7&lt;30,1,0))</formula>
    </cfRule>
    <cfRule type="expression" dxfId="2413" priority="60">
      <formula>AND(IF($Q7=3,1,0),IF($X7&lt;30,1,0))</formula>
    </cfRule>
    <cfRule type="expression" dxfId="2412" priority="61">
      <formula>AND(IF($Q7=3,1,IF($Q7=4,1,0)),IF($F7&lt;=85,1,0))</formula>
    </cfRule>
  </conditionalFormatting>
  <conditionalFormatting sqref="AV8">
    <cfRule type="expression" dxfId="2411" priority="56">
      <formula>AV8="X"</formula>
    </cfRule>
    <cfRule type="expression" dxfId="2410" priority="57">
      <formula>AV8="후보"</formula>
    </cfRule>
  </conditionalFormatting>
  <conditionalFormatting sqref="AC8">
    <cfRule type="cellIs" dxfId="2409" priority="53" operator="greaterThan">
      <formula>0.9</formula>
    </cfRule>
    <cfRule type="cellIs" dxfId="2408" priority="54" operator="greaterThan">
      <formula>0.85</formula>
    </cfRule>
  </conditionalFormatting>
  <conditionalFormatting sqref="N8">
    <cfRule type="cellIs" dxfId="2407" priority="51" operator="greaterThan">
      <formula>0.9</formula>
    </cfRule>
    <cfRule type="cellIs" dxfId="2406" priority="52" operator="greaterThan">
      <formula>0.85</formula>
    </cfRule>
  </conditionalFormatting>
  <conditionalFormatting sqref="E8">
    <cfRule type="expression" dxfId="2405" priority="47">
      <formula>AND(IF(OR($Q8=1,$Q8=2),1,0),IF($X8&lt;=20,1,0))</formula>
    </cfRule>
    <cfRule type="expression" dxfId="2404" priority="48">
      <formula>AND(IF($Q8=2,1,0),IF($X8&lt;30,1,0))</formula>
    </cfRule>
    <cfRule type="expression" dxfId="2403" priority="49">
      <formula>AND(IF($Q8=3,1,0),IF($X8&lt;30,1,0))</formula>
    </cfRule>
    <cfRule type="expression" dxfId="2402" priority="50">
      <formula>AND(IF($Q8=3,1,IF($Q8=4,1,0)),IF($F8&lt;=85,1,0))</formula>
    </cfRule>
  </conditionalFormatting>
  <conditionalFormatting sqref="X8">
    <cfRule type="expression" dxfId="2401" priority="43">
      <formula>AND(IF(OR($Q8=1,$Q8=2),1,0),IF($X8&lt;=20,1,0))</formula>
    </cfRule>
    <cfRule type="expression" dxfId="2400" priority="44">
      <formula>AND(IF($Q8=2,1,0),IF($X8&lt;30,1,0))</formula>
    </cfRule>
    <cfRule type="expression" dxfId="2399" priority="45">
      <formula>AND(IF($Q8=3,1,0),IF($X8&lt;30,1,0))</formula>
    </cfRule>
    <cfRule type="expression" dxfId="2398" priority="46">
      <formula>AND(IF($Q8=3,1,IF($Q8=4,1,0)),IF($F8&lt;=85,1,0))</formula>
    </cfRule>
  </conditionalFormatting>
  <conditionalFormatting sqref="AI8">
    <cfRule type="expression" dxfId="2397" priority="39">
      <formula>AND(IF(OR($Q8=1,$Q8=2),1,0),IF($X8&lt;=20,1,0))</formula>
    </cfRule>
    <cfRule type="expression" dxfId="2396" priority="40">
      <formula>AND(IF($Q8=2,1,0),IF($X8&lt;30,1,0))</formula>
    </cfRule>
    <cfRule type="expression" dxfId="2395" priority="41">
      <formula>AND(IF($Q8=3,1,0),IF($X8&lt;30,1,0))</formula>
    </cfRule>
    <cfRule type="expression" dxfId="2394" priority="42">
      <formula>AND(IF($Q8=3,1,IF($Q8=4,1,0)),IF($F8&lt;=85,1,0))</formula>
    </cfRule>
  </conditionalFormatting>
  <conditionalFormatting sqref="AV9">
    <cfRule type="expression" dxfId="2393" priority="37">
      <formula>AV9="X"</formula>
    </cfRule>
    <cfRule type="expression" dxfId="2392" priority="38">
      <formula>AV9="후보"</formula>
    </cfRule>
  </conditionalFormatting>
  <conditionalFormatting sqref="AC9">
    <cfRule type="cellIs" dxfId="2391" priority="34" operator="greaterThan">
      <formula>0.9</formula>
    </cfRule>
    <cfRule type="cellIs" dxfId="2390" priority="35" operator="greaterThan">
      <formula>0.85</formula>
    </cfRule>
  </conditionalFormatting>
  <conditionalFormatting sqref="N9">
    <cfRule type="cellIs" dxfId="2389" priority="32" operator="greaterThan">
      <formula>0.9</formula>
    </cfRule>
    <cfRule type="cellIs" dxfId="2388" priority="33" operator="greaterThan">
      <formula>0.85</formula>
    </cfRule>
  </conditionalFormatting>
  <conditionalFormatting sqref="E9">
    <cfRule type="expression" dxfId="2387" priority="28">
      <formula>AND(IF(OR($Q9=1,$Q9=2),1,0),IF($X9&lt;=20,1,0))</formula>
    </cfRule>
    <cfRule type="expression" dxfId="2386" priority="29">
      <formula>AND(IF($Q9=2,1,0),IF($X9&lt;30,1,0))</formula>
    </cfRule>
    <cfRule type="expression" dxfId="2385" priority="30">
      <formula>AND(IF($Q9=3,1,0),IF($X9&lt;30,1,0))</formula>
    </cfRule>
    <cfRule type="expression" dxfId="2384" priority="31">
      <formula>AND(IF($Q9=3,1,IF($Q9=4,1,0)),IF($F9&lt;=85,1,0))</formula>
    </cfRule>
  </conditionalFormatting>
  <conditionalFormatting sqref="X9">
    <cfRule type="expression" dxfId="2383" priority="24">
      <formula>AND(IF(OR($Q9=1,$Q9=2),1,0),IF($X9&lt;=20,1,0))</formula>
    </cfRule>
    <cfRule type="expression" dxfId="2382" priority="25">
      <formula>AND(IF($Q9=2,1,0),IF($X9&lt;30,1,0))</formula>
    </cfRule>
    <cfRule type="expression" dxfId="2381" priority="26">
      <formula>AND(IF($Q9=3,1,0),IF($X9&lt;30,1,0))</formula>
    </cfRule>
    <cfRule type="expression" dxfId="2380" priority="27">
      <formula>AND(IF($Q9=3,1,IF($Q9=4,1,0)),IF($F9&lt;=85,1,0))</formula>
    </cfRule>
  </conditionalFormatting>
  <conditionalFormatting sqref="AI9">
    <cfRule type="expression" dxfId="2379" priority="20">
      <formula>AND(IF(OR($Q9=1,$Q9=2),1,0),IF($X9&lt;=20,1,0))</formula>
    </cfRule>
    <cfRule type="expression" dxfId="2378" priority="21">
      <formula>AND(IF($Q9=2,1,0),IF($X9&lt;30,1,0))</formula>
    </cfRule>
    <cfRule type="expression" dxfId="2377" priority="22">
      <formula>AND(IF($Q9=3,1,0),IF($X9&lt;30,1,0))</formula>
    </cfRule>
    <cfRule type="expression" dxfId="2376" priority="23">
      <formula>AND(IF($Q9=3,1,IF($Q9=4,1,0)),IF($F9&lt;=85,1,0))</formula>
    </cfRule>
  </conditionalFormatting>
  <conditionalFormatting sqref="AV10">
    <cfRule type="expression" dxfId="2375" priority="18">
      <formula>AV10="X"</formula>
    </cfRule>
    <cfRule type="expression" dxfId="2374" priority="19">
      <formula>AV10="후보"</formula>
    </cfRule>
  </conditionalFormatting>
  <conditionalFormatting sqref="AC10">
    <cfRule type="cellIs" dxfId="2373" priority="15" operator="greaterThan">
      <formula>0.9</formula>
    </cfRule>
    <cfRule type="cellIs" dxfId="2372" priority="16" operator="greaterThan">
      <formula>0.85</formula>
    </cfRule>
  </conditionalFormatting>
  <conditionalFormatting sqref="N10">
    <cfRule type="cellIs" dxfId="2371" priority="13" operator="greaterThan">
      <formula>0.9</formula>
    </cfRule>
    <cfRule type="cellIs" dxfId="2370" priority="14" operator="greaterThan">
      <formula>0.85</formula>
    </cfRule>
  </conditionalFormatting>
  <conditionalFormatting sqref="E10">
    <cfRule type="expression" dxfId="2369" priority="9">
      <formula>AND(IF(OR($Q10=1,$Q10=2),1,0),IF($X10&lt;=20,1,0))</formula>
    </cfRule>
    <cfRule type="expression" dxfId="2368" priority="10">
      <formula>AND(IF($Q10=2,1,0),IF($X10&lt;30,1,0))</formula>
    </cfRule>
    <cfRule type="expression" dxfId="2367" priority="11">
      <formula>AND(IF($Q10=3,1,0),IF($X10&lt;30,1,0))</formula>
    </cfRule>
    <cfRule type="expression" dxfId="2366" priority="12">
      <formula>AND(IF($Q10=3,1,IF($Q10=4,1,0)),IF($F10&lt;=85,1,0))</formula>
    </cfRule>
  </conditionalFormatting>
  <conditionalFormatting sqref="X10">
    <cfRule type="expression" dxfId="2365" priority="5">
      <formula>AND(IF(OR($Q10=1,$Q10=2),1,0),IF($X10&lt;=20,1,0))</formula>
    </cfRule>
    <cfRule type="expression" dxfId="2364" priority="6">
      <formula>AND(IF($Q10=2,1,0),IF($X10&lt;30,1,0))</formula>
    </cfRule>
    <cfRule type="expression" dxfId="2363" priority="7">
      <formula>AND(IF($Q10=3,1,0),IF($X10&lt;30,1,0))</formula>
    </cfRule>
    <cfRule type="expression" dxfId="2362" priority="8">
      <formula>AND(IF($Q10=3,1,IF($Q10=4,1,0)),IF($F10&lt;=85,1,0))</formula>
    </cfRule>
  </conditionalFormatting>
  <conditionalFormatting sqref="AI10">
    <cfRule type="expression" dxfId="2361" priority="1">
      <formula>AND(IF(OR($Q10=1,$Q10=2),1,0),IF($X10&lt;=20,1,0))</formula>
    </cfRule>
    <cfRule type="expression" dxfId="2360" priority="2">
      <formula>AND(IF($Q10=2,1,0),IF($X10&lt;30,1,0))</formula>
    </cfRule>
    <cfRule type="expression" dxfId="2359" priority="3">
      <formula>AND(IF($Q10=3,1,0),IF($X10&lt;30,1,0))</formula>
    </cfRule>
    <cfRule type="expression" dxfId="2358" priority="4">
      <formula>AND(IF($Q10=3,1,IF($Q10=4,1,0)),IF($F10&lt;=85,1,0))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AV2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4" sqref="A24:XFD24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용원동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497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용원동 부산신항만이지더원1단지('14.10.,340^)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24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494</v>
      </c>
      <c r="B6" s="10" t="s">
        <v>906</v>
      </c>
      <c r="C6" s="107">
        <v>340</v>
      </c>
      <c r="D6" s="104">
        <v>80.400000000000006</v>
      </c>
      <c r="E6" s="106">
        <v>24</v>
      </c>
      <c r="F6" s="104">
        <v>59.9</v>
      </c>
      <c r="G6" s="17">
        <v>18</v>
      </c>
      <c r="H6" s="107">
        <v>56</v>
      </c>
      <c r="I6" s="108">
        <v>20000</v>
      </c>
      <c r="J6" s="108" t="s">
        <v>901</v>
      </c>
      <c r="K6" s="108"/>
      <c r="L6" s="108"/>
      <c r="M6" s="109">
        <f>I6-K6</f>
        <v>20000</v>
      </c>
      <c r="N6" s="4">
        <f>IF(ISERROR(K6/I6),"",K6/I6)</f>
        <v>0</v>
      </c>
      <c r="O6" s="105">
        <f>I6/E6</f>
        <v>833.33333333333337</v>
      </c>
      <c r="P6" s="105">
        <f>K6/E6</f>
        <v>0</v>
      </c>
      <c r="Q6" s="75">
        <v>3</v>
      </c>
      <c r="R6" s="75">
        <v>2</v>
      </c>
      <c r="S6" s="75" t="s">
        <v>869</v>
      </c>
      <c r="T6" s="5">
        <v>80</v>
      </c>
      <c r="U6" s="9"/>
      <c r="W6" s="104">
        <f>D6</f>
        <v>80.400000000000006</v>
      </c>
      <c r="X6" s="106">
        <f>E6</f>
        <v>24</v>
      </c>
      <c r="Y6" s="102">
        <f>H6</f>
        <v>56</v>
      </c>
      <c r="Z6" s="109">
        <f>I6</f>
        <v>20000</v>
      </c>
      <c r="AA6" s="109">
        <f>K6</f>
        <v>0</v>
      </c>
      <c r="AB6" s="109">
        <f t="shared" ref="AB6:AD7" si="2">M6</f>
        <v>20000</v>
      </c>
      <c r="AC6" s="4">
        <f t="shared" si="2"/>
        <v>0</v>
      </c>
      <c r="AD6" s="105">
        <f t="shared" si="2"/>
        <v>833.33333333333337</v>
      </c>
      <c r="AE6" s="75" t="str">
        <f>S6</f>
        <v>계</v>
      </c>
      <c r="AF6" s="75" t="str">
        <f>Q6&amp;"/"&amp;R6</f>
        <v>3/2</v>
      </c>
      <c r="AH6" s="20" t="str">
        <f t="shared" si="1"/>
        <v>부산신항만이지더원1단지</v>
      </c>
      <c r="AI6" s="106">
        <f t="shared" si="0"/>
        <v>24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 t="s">
        <v>494</v>
      </c>
      <c r="B7" s="10" t="s">
        <v>906</v>
      </c>
      <c r="C7" s="107">
        <v>340</v>
      </c>
      <c r="D7" s="104">
        <v>112.3</v>
      </c>
      <c r="E7" s="106">
        <v>34</v>
      </c>
      <c r="F7" s="104">
        <v>84.9</v>
      </c>
      <c r="G7" s="17">
        <v>26</v>
      </c>
      <c r="H7" s="107">
        <v>284</v>
      </c>
      <c r="I7" s="108">
        <v>26000</v>
      </c>
      <c r="J7" s="108" t="s">
        <v>878</v>
      </c>
      <c r="K7" s="108"/>
      <c r="L7" s="108"/>
      <c r="M7" s="109">
        <f>I7-K7</f>
        <v>26000</v>
      </c>
      <c r="N7" s="4">
        <f>IF(ISERROR(K7/I7),"",K7/I7)</f>
        <v>0</v>
      </c>
      <c r="O7" s="105">
        <f>I7/E7</f>
        <v>764.70588235294122</v>
      </c>
      <c r="P7" s="105">
        <f>K7/E7</f>
        <v>0</v>
      </c>
      <c r="Q7" s="75">
        <v>3</v>
      </c>
      <c r="R7" s="75">
        <v>2</v>
      </c>
      <c r="S7" s="75" t="s">
        <v>869</v>
      </c>
      <c r="T7" s="5">
        <v>112</v>
      </c>
      <c r="U7" s="9"/>
      <c r="W7" s="104">
        <f>D7</f>
        <v>112.3</v>
      </c>
      <c r="X7" s="106">
        <f>E7</f>
        <v>34</v>
      </c>
      <c r="Y7" s="102">
        <f>H7</f>
        <v>284</v>
      </c>
      <c r="Z7" s="109">
        <f>I7</f>
        <v>26000</v>
      </c>
      <c r="AA7" s="109">
        <f>K7</f>
        <v>0</v>
      </c>
      <c r="AB7" s="109">
        <f t="shared" si="2"/>
        <v>26000</v>
      </c>
      <c r="AC7" s="4">
        <f t="shared" si="2"/>
        <v>0</v>
      </c>
      <c r="AD7" s="105">
        <f t="shared" si="2"/>
        <v>764.70588235294122</v>
      </c>
      <c r="AE7" s="75" t="str">
        <f>S7</f>
        <v>계</v>
      </c>
      <c r="AF7" s="75" t="str">
        <f>Q7&amp;"/"&amp;R7</f>
        <v>3/2</v>
      </c>
      <c r="AH7" s="20" t="str">
        <f t="shared" si="1"/>
        <v>부산신항만이지더원1단지</v>
      </c>
      <c r="AI7" s="106">
        <f t="shared" si="0"/>
        <v>34</v>
      </c>
      <c r="AJ7" s="75" t="str">
        <f>IF(AI7="","",$AJ$2)</f>
        <v>A-</v>
      </c>
      <c r="AK7" s="75" t="s">
        <v>14</v>
      </c>
      <c r="AL7" s="75" t="s">
        <v>870</v>
      </c>
      <c r="AM7" s="75" t="s">
        <v>871</v>
      </c>
      <c r="AN7" s="75" t="str">
        <f>IF(AI7="","",$AN$2)</f>
        <v>C</v>
      </c>
      <c r="AO7" s="75" t="str">
        <f>IF(N7="","",IF(N7&gt;=$AO$1/100,"O","X"))</f>
        <v>X</v>
      </c>
      <c r="AP7" s="75" t="str">
        <f>IF(I7="","",IF(I7&lt;=$AP$1,"O","X"))</f>
        <v>O</v>
      </c>
      <c r="AQ7" s="75" t="str">
        <f>IF(O7="","",IF(O7&lt;=$AQ$1,"O","X"))</f>
        <v>O</v>
      </c>
      <c r="AR7" s="75" t="str">
        <f>IF(M7="","",IF(M7&lt;=$AR$1,"O","X"))</f>
        <v>X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O</v>
      </c>
      <c r="AV7" s="75" t="str">
        <f>IF(AO7="","",IF(AND(AO7="O",AP7="O",AR7="O",AT7="O",AU7="O"),"후보","X"))</f>
        <v>X</v>
      </c>
    </row>
    <row r="8" spans="1:48" x14ac:dyDescent="0.3">
      <c r="A8" s="9"/>
      <c r="B8" s="75"/>
      <c r="C8" s="6"/>
      <c r="D8" s="9"/>
      <c r="E8" s="14"/>
      <c r="F8" s="104"/>
      <c r="G8" s="9"/>
      <c r="H8" s="9"/>
      <c r="I8" s="9"/>
      <c r="J8" s="9"/>
      <c r="K8" s="9"/>
      <c r="L8" s="9"/>
      <c r="M8" s="9"/>
      <c r="N8" s="9"/>
      <c r="O8" s="105"/>
      <c r="P8" s="105"/>
      <c r="Q8" s="106"/>
      <c r="R8" s="106"/>
      <c r="S8" s="9"/>
      <c r="T8" s="48"/>
      <c r="U8" s="9"/>
      <c r="W8" s="70" t="str">
        <f>$A$4&amp;" "&amp;A9&amp;"("&amp;B9&amp;","&amp;C9&amp;"^)"</f>
        <v>용원동 부산신항만이지더원2단지('14.10.,452^)</v>
      </c>
      <c r="X8" s="71"/>
      <c r="Y8" s="71"/>
      <c r="Z8" s="71"/>
      <c r="AA8" s="71"/>
      <c r="AB8" s="71"/>
      <c r="AC8" s="71"/>
      <c r="AD8" s="71"/>
      <c r="AE8" s="71"/>
      <c r="AF8" s="72"/>
      <c r="AH8" s="20" t="str">
        <f t="shared" si="1"/>
        <v/>
      </c>
      <c r="AI8" s="103" t="str">
        <f t="shared" si="0"/>
        <v/>
      </c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</row>
    <row r="9" spans="1:48" x14ac:dyDescent="0.3">
      <c r="A9" s="9" t="s">
        <v>499</v>
      </c>
      <c r="B9" s="10" t="s">
        <v>906</v>
      </c>
      <c r="C9" s="107">
        <v>452</v>
      </c>
      <c r="D9" s="104">
        <v>80.400000000000006</v>
      </c>
      <c r="E9" s="106">
        <v>24</v>
      </c>
      <c r="F9" s="104">
        <v>59.9</v>
      </c>
      <c r="G9" s="17">
        <v>18</v>
      </c>
      <c r="H9" s="107">
        <v>112</v>
      </c>
      <c r="I9" s="108"/>
      <c r="J9" s="108"/>
      <c r="K9" s="108"/>
      <c r="L9" s="108"/>
      <c r="M9" s="109">
        <f>I9-K9</f>
        <v>0</v>
      </c>
      <c r="N9" s="4" t="str">
        <f>IF(ISERROR(K9/I9),"",K9/I9)</f>
        <v/>
      </c>
      <c r="O9" s="105">
        <f>I9/E9</f>
        <v>0</v>
      </c>
      <c r="P9" s="105">
        <f>K9/E9</f>
        <v>0</v>
      </c>
      <c r="Q9" s="75">
        <v>3</v>
      </c>
      <c r="R9" s="75">
        <v>2</v>
      </c>
      <c r="S9" s="75" t="s">
        <v>869</v>
      </c>
      <c r="T9" s="5">
        <v>80</v>
      </c>
      <c r="U9" s="9"/>
      <c r="W9" s="104">
        <f>D9</f>
        <v>80.400000000000006</v>
      </c>
      <c r="X9" s="106">
        <f>E9</f>
        <v>24</v>
      </c>
      <c r="Y9" s="102">
        <f>H9</f>
        <v>112</v>
      </c>
      <c r="Z9" s="109">
        <f>I9</f>
        <v>0</v>
      </c>
      <c r="AA9" s="109">
        <f>K9</f>
        <v>0</v>
      </c>
      <c r="AB9" s="109">
        <f t="shared" ref="AB9:AD10" si="3">M9</f>
        <v>0</v>
      </c>
      <c r="AC9" s="4" t="str">
        <f t="shared" si="3"/>
        <v/>
      </c>
      <c r="AD9" s="105">
        <f t="shared" si="3"/>
        <v>0</v>
      </c>
      <c r="AE9" s="75" t="str">
        <f>S9</f>
        <v>계</v>
      </c>
      <c r="AF9" s="75" t="str">
        <f>Q9&amp;"/"&amp;R9</f>
        <v>3/2</v>
      </c>
      <c r="AH9" s="20" t="str">
        <f t="shared" si="1"/>
        <v>부산신항만이지더원2단지</v>
      </c>
      <c r="AI9" s="106">
        <f t="shared" si="0"/>
        <v>24</v>
      </c>
      <c r="AJ9" s="75" t="str">
        <f>IF(AI9="","",$AJ$2)</f>
        <v>A-</v>
      </c>
      <c r="AK9" s="75" t="s">
        <v>14</v>
      </c>
      <c r="AL9" s="75" t="s">
        <v>870</v>
      </c>
      <c r="AM9" s="75" t="s">
        <v>871</v>
      </c>
      <c r="AN9" s="75" t="str">
        <f>IF(AI9="","",$AN$2)</f>
        <v>C</v>
      </c>
      <c r="AO9" s="75" t="str">
        <f>IF(N9="","",IF(N9&gt;=$AO$1/100,"O","X"))</f>
        <v/>
      </c>
      <c r="AP9" s="75" t="str">
        <f>IF(I9="","",IF(I9&lt;=$AP$1,"O","X"))</f>
        <v/>
      </c>
      <c r="AQ9" s="75" t="str">
        <f>IF(O9="","",IF(O9&lt;=$AQ$1,"O","X"))</f>
        <v>O</v>
      </c>
      <c r="AR9" s="75" t="str">
        <f>IF(M9="","",IF(M9&lt;=$AR$1,"O","X"))</f>
        <v>O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/>
      </c>
    </row>
    <row r="10" spans="1:48" x14ac:dyDescent="0.3">
      <c r="A10" s="9" t="s">
        <v>499</v>
      </c>
      <c r="B10" s="10" t="s">
        <v>906</v>
      </c>
      <c r="C10" s="107">
        <v>452</v>
      </c>
      <c r="D10" s="104">
        <v>112.3</v>
      </c>
      <c r="E10" s="106">
        <v>34</v>
      </c>
      <c r="F10" s="104">
        <v>84.9</v>
      </c>
      <c r="G10" s="17">
        <v>26</v>
      </c>
      <c r="H10" s="107">
        <v>340</v>
      </c>
      <c r="I10" s="108">
        <v>26500</v>
      </c>
      <c r="J10" s="108" t="s">
        <v>868</v>
      </c>
      <c r="K10" s="108"/>
      <c r="L10" s="108"/>
      <c r="M10" s="109">
        <f>I10-K10</f>
        <v>26500</v>
      </c>
      <c r="N10" s="4">
        <f>IF(ISERROR(K10/I10),"",K10/I10)</f>
        <v>0</v>
      </c>
      <c r="O10" s="105">
        <f>I10/E10</f>
        <v>779.41176470588232</v>
      </c>
      <c r="P10" s="105">
        <f>K10/E10</f>
        <v>0</v>
      </c>
      <c r="Q10" s="75">
        <v>3</v>
      </c>
      <c r="R10" s="75">
        <v>2</v>
      </c>
      <c r="S10" s="75" t="s">
        <v>869</v>
      </c>
      <c r="T10" s="5">
        <v>112</v>
      </c>
      <c r="U10" s="9"/>
      <c r="W10" s="104">
        <f>D10</f>
        <v>112.3</v>
      </c>
      <c r="X10" s="106">
        <f>E10</f>
        <v>34</v>
      </c>
      <c r="Y10" s="102">
        <f>H10</f>
        <v>340</v>
      </c>
      <c r="Z10" s="109">
        <f>I10</f>
        <v>26500</v>
      </c>
      <c r="AA10" s="109">
        <f>K10</f>
        <v>0</v>
      </c>
      <c r="AB10" s="109">
        <f t="shared" si="3"/>
        <v>26500</v>
      </c>
      <c r="AC10" s="4">
        <f t="shared" si="3"/>
        <v>0</v>
      </c>
      <c r="AD10" s="105">
        <f t="shared" si="3"/>
        <v>779.41176470588232</v>
      </c>
      <c r="AE10" s="75" t="str">
        <f>S10</f>
        <v>계</v>
      </c>
      <c r="AF10" s="75" t="str">
        <f>Q10&amp;"/"&amp;R10</f>
        <v>3/2</v>
      </c>
      <c r="AH10" s="20" t="str">
        <f t="shared" si="1"/>
        <v>부산신항만이지더원2단지</v>
      </c>
      <c r="AI10" s="106">
        <f t="shared" si="0"/>
        <v>34</v>
      </c>
      <c r="AJ10" s="75" t="str">
        <f>IF(AI10="","",$AJ$2)</f>
        <v>A-</v>
      </c>
      <c r="AK10" s="75" t="s">
        <v>14</v>
      </c>
      <c r="AL10" s="75" t="s">
        <v>870</v>
      </c>
      <c r="AM10" s="75" t="s">
        <v>871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48" x14ac:dyDescent="0.3">
      <c r="A11" s="9"/>
      <c r="B11" s="75"/>
      <c r="C11" s="6"/>
      <c r="D11" s="9"/>
      <c r="E11" s="14"/>
      <c r="F11" s="104"/>
      <c r="G11" s="9"/>
      <c r="H11" s="9"/>
      <c r="I11" s="9"/>
      <c r="J11" s="9"/>
      <c r="K11" s="9"/>
      <c r="L11" s="9"/>
      <c r="M11" s="9"/>
      <c r="N11" s="9"/>
      <c r="O11" s="105"/>
      <c r="P11" s="105"/>
      <c r="Q11" s="106"/>
      <c r="R11" s="106"/>
      <c r="S11" s="9"/>
      <c r="T11" s="48"/>
      <c r="U11" s="9"/>
      <c r="W11" s="70" t="str">
        <f>$A$4&amp;" "&amp;A12&amp;"("&amp;B12&amp;","&amp;C12&amp;"^)"</f>
        <v>용원동 일신님('05.08.,869^)</v>
      </c>
      <c r="X11" s="71"/>
      <c r="Y11" s="71"/>
      <c r="Z11" s="71"/>
      <c r="AA11" s="71"/>
      <c r="AB11" s="71"/>
      <c r="AC11" s="71"/>
      <c r="AD11" s="71"/>
      <c r="AE11" s="71"/>
      <c r="AF11" s="72"/>
      <c r="AH11" s="20" t="str">
        <f t="shared" si="1"/>
        <v/>
      </c>
      <c r="AI11" s="103" t="str">
        <f t="shared" si="0"/>
        <v/>
      </c>
      <c r="AJ11" s="75"/>
      <c r="AK11" s="75"/>
      <c r="AL11" s="75"/>
      <c r="AM11" s="75"/>
      <c r="AN11" s="75"/>
      <c r="AO11" s="75"/>
      <c r="AP11" s="75"/>
      <c r="AQ11" s="75"/>
      <c r="AR11" s="75"/>
      <c r="AS11" s="75"/>
      <c r="AT11" s="75"/>
      <c r="AU11" s="75"/>
      <c r="AV11" s="75"/>
    </row>
    <row r="12" spans="1:48" x14ac:dyDescent="0.3">
      <c r="A12" s="9" t="s">
        <v>503</v>
      </c>
      <c r="B12" s="10" t="s">
        <v>876</v>
      </c>
      <c r="C12" s="107">
        <v>869</v>
      </c>
      <c r="D12" s="104">
        <v>110.2</v>
      </c>
      <c r="E12" s="106">
        <v>33</v>
      </c>
      <c r="F12" s="104">
        <v>85</v>
      </c>
      <c r="G12" s="17">
        <v>26</v>
      </c>
      <c r="H12" s="107">
        <v>479</v>
      </c>
      <c r="I12" s="108">
        <v>23000</v>
      </c>
      <c r="J12" s="108" t="s">
        <v>878</v>
      </c>
      <c r="K12" s="108">
        <v>22500</v>
      </c>
      <c r="L12" s="108" t="s">
        <v>907</v>
      </c>
      <c r="M12" s="109">
        <f>I12-K12</f>
        <v>500</v>
      </c>
      <c r="N12" s="4">
        <f>IF(ISERROR(K12/I12),"",K12/I12)</f>
        <v>0.97826086956521741</v>
      </c>
      <c r="O12" s="105">
        <f>I12/E12</f>
        <v>696.969696969697</v>
      </c>
      <c r="P12" s="105">
        <f>K12/E12</f>
        <v>681.81818181818187</v>
      </c>
      <c r="Q12" s="75">
        <v>3</v>
      </c>
      <c r="R12" s="75">
        <v>2</v>
      </c>
      <c r="S12" s="75" t="s">
        <v>869</v>
      </c>
      <c r="T12" s="5">
        <v>110</v>
      </c>
      <c r="U12" s="9"/>
      <c r="W12" s="104">
        <f t="shared" ref="W12:X14" si="4">D12</f>
        <v>110.2</v>
      </c>
      <c r="X12" s="106">
        <f t="shared" si="4"/>
        <v>33</v>
      </c>
      <c r="Y12" s="102">
        <f t="shared" ref="Y12:Z14" si="5">H12</f>
        <v>479</v>
      </c>
      <c r="Z12" s="109">
        <f t="shared" si="5"/>
        <v>23000</v>
      </c>
      <c r="AA12" s="109">
        <f>K12</f>
        <v>22500</v>
      </c>
      <c r="AB12" s="109">
        <f t="shared" ref="AB12:AD14" si="6">M12</f>
        <v>500</v>
      </c>
      <c r="AC12" s="4">
        <f t="shared" si="6"/>
        <v>0.97826086956521741</v>
      </c>
      <c r="AD12" s="105">
        <f t="shared" si="6"/>
        <v>696.969696969697</v>
      </c>
      <c r="AE12" s="75" t="str">
        <f>S12</f>
        <v>계</v>
      </c>
      <c r="AF12" s="75" t="str">
        <f>Q12&amp;"/"&amp;R12</f>
        <v>3/2</v>
      </c>
      <c r="AH12" s="20" t="str">
        <f t="shared" si="1"/>
        <v>일신님</v>
      </c>
      <c r="AI12" s="106">
        <f t="shared" si="0"/>
        <v>33</v>
      </c>
      <c r="AJ12" s="75" t="str">
        <f>IF(AI12="","",$AJ$2)</f>
        <v>A-</v>
      </c>
      <c r="AK12" s="75" t="s">
        <v>14</v>
      </c>
      <c r="AL12" s="75" t="s">
        <v>870</v>
      </c>
      <c r="AM12" s="75" t="s">
        <v>871</v>
      </c>
      <c r="AN12" s="75" t="str">
        <f>IF(AI12="","",$AN$2)</f>
        <v>C</v>
      </c>
      <c r="AO12" s="75" t="str">
        <f>IF(N12="","",IF(N12&gt;=$AO$1/100,"O","X"))</f>
        <v>O</v>
      </c>
      <c r="AP12" s="75" t="str">
        <f>IF(I12="","",IF(I12&lt;=$AP$1,"O","X"))</f>
        <v>O</v>
      </c>
      <c r="AQ12" s="75" t="str">
        <f>IF(O12="","",IF(O12&lt;=$AQ$1,"O","X"))</f>
        <v>O</v>
      </c>
      <c r="AR12" s="75" t="str">
        <f>IF(M12="","",IF(M12&lt;=$AR$1,"O","X"))</f>
        <v>O</v>
      </c>
      <c r="AS12" s="75" t="s">
        <v>2</v>
      </c>
      <c r="AT12" s="75" t="str">
        <f>IF(OR(F12="",AI12=""),"",IF(AND((F12&lt;=85),(AI12&gt;=15)),"O","X"))</f>
        <v>O</v>
      </c>
      <c r="AU12" s="75" t="str">
        <f>IF(C12="","",IF(C12&gt;=$AU$1,"O","X"))</f>
        <v>O</v>
      </c>
      <c r="AV12" s="75" t="str">
        <f>IF(AO12="","",IF(AND(AO12="O",AP12="O",AR12="O",AT12="O",AU12="O"),"후보","X"))</f>
        <v>후보</v>
      </c>
    </row>
    <row r="13" spans="1:48" x14ac:dyDescent="0.3">
      <c r="A13" s="9" t="s">
        <v>503</v>
      </c>
      <c r="B13" s="10" t="s">
        <v>876</v>
      </c>
      <c r="C13" s="107">
        <v>869</v>
      </c>
      <c r="D13" s="104">
        <v>134.1</v>
      </c>
      <c r="E13" s="106">
        <v>41</v>
      </c>
      <c r="F13" s="104">
        <v>101.7</v>
      </c>
      <c r="G13" s="17">
        <v>31</v>
      </c>
      <c r="H13" s="107">
        <v>300</v>
      </c>
      <c r="I13" s="108">
        <v>28000</v>
      </c>
      <c r="J13" s="108" t="s">
        <v>907</v>
      </c>
      <c r="K13" s="108"/>
      <c r="L13" s="108"/>
      <c r="M13" s="109">
        <f>I13-K13</f>
        <v>28000</v>
      </c>
      <c r="N13" s="4">
        <f>IF(ISERROR(K13/I13),"",K13/I13)</f>
        <v>0</v>
      </c>
      <c r="O13" s="105">
        <f>I13/E13</f>
        <v>682.92682926829264</v>
      </c>
      <c r="P13" s="105">
        <f>K13/E13</f>
        <v>0</v>
      </c>
      <c r="Q13" s="75">
        <v>3</v>
      </c>
      <c r="R13" s="75">
        <v>2</v>
      </c>
      <c r="S13" s="75" t="s">
        <v>869</v>
      </c>
      <c r="T13" s="5">
        <v>134</v>
      </c>
      <c r="U13" s="9"/>
      <c r="W13" s="104">
        <f t="shared" si="4"/>
        <v>134.1</v>
      </c>
      <c r="X13" s="106">
        <f t="shared" si="4"/>
        <v>41</v>
      </c>
      <c r="Y13" s="102">
        <f t="shared" si="5"/>
        <v>300</v>
      </c>
      <c r="Z13" s="109">
        <f t="shared" si="5"/>
        <v>28000</v>
      </c>
      <c r="AA13" s="109">
        <f>K13</f>
        <v>0</v>
      </c>
      <c r="AB13" s="109">
        <f t="shared" si="6"/>
        <v>28000</v>
      </c>
      <c r="AC13" s="4">
        <f t="shared" si="6"/>
        <v>0</v>
      </c>
      <c r="AD13" s="105">
        <f t="shared" si="6"/>
        <v>682.92682926829264</v>
      </c>
      <c r="AE13" s="75" t="str">
        <f>S13</f>
        <v>계</v>
      </c>
      <c r="AF13" s="75" t="str">
        <f>Q13&amp;"/"&amp;R13</f>
        <v>3/2</v>
      </c>
      <c r="AH13" s="20" t="str">
        <f t="shared" si="1"/>
        <v>일신님</v>
      </c>
      <c r="AI13" s="106">
        <f t="shared" si="0"/>
        <v>41</v>
      </c>
      <c r="AJ13" s="75" t="str">
        <f>IF(AI13="","",$AJ$2)</f>
        <v>A-</v>
      </c>
      <c r="AK13" s="75" t="s">
        <v>14</v>
      </c>
      <c r="AL13" s="75" t="s">
        <v>870</v>
      </c>
      <c r="AM13" s="75" t="s">
        <v>871</v>
      </c>
      <c r="AN13" s="75" t="str">
        <f>IF(AI13="","",$AN$2)</f>
        <v>C</v>
      </c>
      <c r="AO13" s="75" t="str">
        <f>IF(N13="","",IF(N13&gt;=$AO$1/100,"O","X"))</f>
        <v>X</v>
      </c>
      <c r="AP13" s="75" t="str">
        <f>IF(I13="","",IF(I13&lt;=$AP$1,"O","X"))</f>
        <v>O</v>
      </c>
      <c r="AQ13" s="75" t="str">
        <f>IF(O13="","",IF(O13&lt;=$AQ$1,"O","X"))</f>
        <v>O</v>
      </c>
      <c r="AR13" s="75" t="str">
        <f>IF(M13="","",IF(M13&lt;=$AR$1,"O","X"))</f>
        <v>X</v>
      </c>
      <c r="AS13" s="75" t="s">
        <v>2</v>
      </c>
      <c r="AT13" s="75" t="str">
        <f>IF(OR(F13="",AI13=""),"",IF(AND((F13&lt;=85),(AI13&gt;=15)),"O","X"))</f>
        <v>X</v>
      </c>
      <c r="AU13" s="75" t="str">
        <f>IF(C13="","",IF(C13&gt;=$AU$1,"O","X"))</f>
        <v>O</v>
      </c>
      <c r="AV13" s="75" t="str">
        <f>IF(AO13="","",IF(AND(AO13="O",AP13="O",AR13="O",AT13="O",AU13="O"),"후보","X"))</f>
        <v>X</v>
      </c>
    </row>
    <row r="14" spans="1:48" x14ac:dyDescent="0.3">
      <c r="A14" s="9" t="s">
        <v>503</v>
      </c>
      <c r="B14" s="10" t="s">
        <v>876</v>
      </c>
      <c r="C14" s="107">
        <v>869</v>
      </c>
      <c r="D14" s="104">
        <v>158.4</v>
      </c>
      <c r="E14" s="106">
        <v>48</v>
      </c>
      <c r="F14" s="104">
        <v>121.4</v>
      </c>
      <c r="G14" s="17">
        <v>37</v>
      </c>
      <c r="H14" s="107">
        <v>90</v>
      </c>
      <c r="I14" s="108"/>
      <c r="J14" s="108"/>
      <c r="K14" s="108"/>
      <c r="L14" s="108"/>
      <c r="M14" s="109">
        <f>I14-K14</f>
        <v>0</v>
      </c>
      <c r="N14" s="4" t="str">
        <f>IF(ISERROR(K14/I14),"",K14/I14)</f>
        <v/>
      </c>
      <c r="O14" s="105">
        <f>I14/E14</f>
        <v>0</v>
      </c>
      <c r="P14" s="105">
        <f>K14/E14</f>
        <v>0</v>
      </c>
      <c r="Q14" s="75">
        <v>4</v>
      </c>
      <c r="R14" s="75">
        <v>2</v>
      </c>
      <c r="S14" s="75" t="s">
        <v>869</v>
      </c>
      <c r="T14" s="5">
        <v>158</v>
      </c>
      <c r="U14" s="9"/>
      <c r="W14" s="104">
        <f t="shared" si="4"/>
        <v>158.4</v>
      </c>
      <c r="X14" s="106">
        <f t="shared" si="4"/>
        <v>48</v>
      </c>
      <c r="Y14" s="102">
        <f t="shared" si="5"/>
        <v>90</v>
      </c>
      <c r="Z14" s="109">
        <f t="shared" si="5"/>
        <v>0</v>
      </c>
      <c r="AA14" s="109">
        <f>K14</f>
        <v>0</v>
      </c>
      <c r="AB14" s="109">
        <f t="shared" si="6"/>
        <v>0</v>
      </c>
      <c r="AC14" s="4" t="str">
        <f t="shared" si="6"/>
        <v/>
      </c>
      <c r="AD14" s="105">
        <f t="shared" si="6"/>
        <v>0</v>
      </c>
      <c r="AE14" s="75" t="str">
        <f>S14</f>
        <v>계</v>
      </c>
      <c r="AF14" s="75" t="str">
        <f>Q14&amp;"/"&amp;R14</f>
        <v>4/2</v>
      </c>
      <c r="AH14" s="20" t="str">
        <f t="shared" si="1"/>
        <v>일신님</v>
      </c>
      <c r="AI14" s="106">
        <f t="shared" si="0"/>
        <v>48</v>
      </c>
      <c r="AJ14" s="75" t="str">
        <f>IF(AI14="","",$AJ$2)</f>
        <v>A-</v>
      </c>
      <c r="AK14" s="75" t="s">
        <v>14</v>
      </c>
      <c r="AL14" s="75" t="s">
        <v>870</v>
      </c>
      <c r="AM14" s="75" t="s">
        <v>871</v>
      </c>
      <c r="AN14" s="75" t="str">
        <f>IF(AI14="","",$AN$2)</f>
        <v>C</v>
      </c>
      <c r="AO14" s="75" t="str">
        <f>IF(N14="","",IF(N14&gt;=$AO$1/100,"O","X"))</f>
        <v/>
      </c>
      <c r="AP14" s="75" t="str">
        <f>IF(I14="","",IF(I14&lt;=$AP$1,"O","X"))</f>
        <v/>
      </c>
      <c r="AQ14" s="75" t="str">
        <f>IF(O14="","",IF(O14&lt;=$AQ$1,"O","X"))</f>
        <v>O</v>
      </c>
      <c r="AR14" s="75" t="str">
        <f>IF(M14="","",IF(M14&lt;=$AR$1,"O","X"))</f>
        <v>O</v>
      </c>
      <c r="AS14" s="75" t="s">
        <v>2</v>
      </c>
      <c r="AT14" s="75" t="str">
        <f>IF(OR(F14="",AI14=""),"",IF(AND((F14&lt;=85),(AI14&gt;=15)),"O","X"))</f>
        <v>X</v>
      </c>
      <c r="AU14" s="75" t="str">
        <f>IF(C14="","",IF(C14&gt;=$AU$1,"O","X"))</f>
        <v>O</v>
      </c>
      <c r="AV14" s="75" t="str">
        <f>IF(AO14="","",IF(AND(AO14="O",AP14="O",AR14="O",AT14="O",AU14="O"),"후보","X"))</f>
        <v/>
      </c>
    </row>
    <row r="15" spans="1:48" x14ac:dyDescent="0.3">
      <c r="A15" s="9"/>
      <c r="B15" s="75"/>
      <c r="C15" s="6"/>
      <c r="D15" s="9"/>
      <c r="E15" s="14"/>
      <c r="F15" s="104"/>
      <c r="G15" s="9"/>
      <c r="H15" s="9"/>
      <c r="I15" s="9"/>
      <c r="J15" s="9"/>
      <c r="K15" s="9"/>
      <c r="L15" s="9"/>
      <c r="M15" s="9"/>
      <c r="N15" s="9"/>
      <c r="O15" s="105"/>
      <c r="P15" s="105"/>
      <c r="Q15" s="106"/>
      <c r="R15" s="106"/>
      <c r="S15" s="9"/>
      <c r="T15" s="48"/>
      <c r="U15" s="9"/>
      <c r="W15" s="70" t="str">
        <f>$A$4&amp;" "&amp;A16&amp;"("&amp;B16&amp;","&amp;C16&amp;"^)"</f>
        <v>용원동 부산신항사랑으로부영6블럭('19.06.,539^)</v>
      </c>
      <c r="X15" s="71"/>
      <c r="Y15" s="71"/>
      <c r="Z15" s="71"/>
      <c r="AA15" s="71"/>
      <c r="AB15" s="71"/>
      <c r="AC15" s="71"/>
      <c r="AD15" s="71"/>
      <c r="AE15" s="71"/>
      <c r="AF15" s="72"/>
      <c r="AH15" s="20" t="str">
        <f t="shared" si="1"/>
        <v/>
      </c>
      <c r="AI15" s="103" t="str">
        <f t="shared" si="0"/>
        <v/>
      </c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</row>
    <row r="16" spans="1:48" x14ac:dyDescent="0.3">
      <c r="A16" s="9" t="s">
        <v>507</v>
      </c>
      <c r="B16" s="10" t="s">
        <v>908</v>
      </c>
      <c r="C16" s="107">
        <v>539</v>
      </c>
      <c r="D16" s="104">
        <v>112.6</v>
      </c>
      <c r="E16" s="106">
        <v>34</v>
      </c>
      <c r="F16" s="104">
        <v>85</v>
      </c>
      <c r="G16" s="17">
        <v>26</v>
      </c>
      <c r="H16" s="107">
        <v>357</v>
      </c>
      <c r="I16" s="108"/>
      <c r="J16" s="108"/>
      <c r="K16" s="108"/>
      <c r="L16" s="108"/>
      <c r="M16" s="109">
        <f>I16-K16</f>
        <v>0</v>
      </c>
      <c r="N16" s="4" t="str">
        <f>IF(ISERROR(K16/I16),"",K16/I16)</f>
        <v/>
      </c>
      <c r="O16" s="105">
        <f>I16/E16</f>
        <v>0</v>
      </c>
      <c r="P16" s="105">
        <f>K16/E16</f>
        <v>0</v>
      </c>
      <c r="Q16" s="75">
        <v>3</v>
      </c>
      <c r="R16" s="75">
        <v>2</v>
      </c>
      <c r="S16" s="75" t="s">
        <v>869</v>
      </c>
      <c r="T16" s="5" t="s">
        <v>509</v>
      </c>
      <c r="U16" s="9"/>
      <c r="W16" s="104">
        <f t="shared" ref="W16:X18" si="7">D16</f>
        <v>112.6</v>
      </c>
      <c r="X16" s="106">
        <f t="shared" si="7"/>
        <v>34</v>
      </c>
      <c r="Y16" s="102">
        <f t="shared" ref="Y16:Z18" si="8">H16</f>
        <v>357</v>
      </c>
      <c r="Z16" s="109">
        <f t="shared" si="8"/>
        <v>0</v>
      </c>
      <c r="AA16" s="109">
        <f>K16</f>
        <v>0</v>
      </c>
      <c r="AB16" s="109">
        <f t="shared" ref="AB16:AD18" si="9">M16</f>
        <v>0</v>
      </c>
      <c r="AC16" s="4" t="str">
        <f t="shared" si="9"/>
        <v/>
      </c>
      <c r="AD16" s="105">
        <f t="shared" si="9"/>
        <v>0</v>
      </c>
      <c r="AE16" s="75" t="str">
        <f>S16</f>
        <v>계</v>
      </c>
      <c r="AF16" s="75" t="str">
        <f>Q16&amp;"/"&amp;R16</f>
        <v>3/2</v>
      </c>
      <c r="AH16" s="20" t="str">
        <f t="shared" si="1"/>
        <v>부산신항사랑으로부영6블럭</v>
      </c>
      <c r="AI16" s="106">
        <f t="shared" si="0"/>
        <v>34</v>
      </c>
      <c r="AJ16" s="75" t="str">
        <f>IF(AI16="","",$AJ$2)</f>
        <v>A-</v>
      </c>
      <c r="AK16" s="75" t="s">
        <v>14</v>
      </c>
      <c r="AL16" s="75" t="s">
        <v>870</v>
      </c>
      <c r="AM16" s="75" t="s">
        <v>871</v>
      </c>
      <c r="AN16" s="75" t="str">
        <f>IF(AI16="","",$AN$2)</f>
        <v>C</v>
      </c>
      <c r="AO16" s="75" t="str">
        <f>IF(N16="","",IF(N16&gt;=$AO$1/100,"O","X"))</f>
        <v/>
      </c>
      <c r="AP16" s="75" t="str">
        <f>IF(I16="","",IF(I16&lt;=$AP$1,"O","X"))</f>
        <v/>
      </c>
      <c r="AQ16" s="75" t="str">
        <f>IF(O16="","",IF(O16&lt;=$AQ$1,"O","X"))</f>
        <v>O</v>
      </c>
      <c r="AR16" s="75" t="str">
        <f>IF(M16="","",IF(M16&lt;=$AR$1,"O","X"))</f>
        <v>O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/>
      </c>
    </row>
    <row r="17" spans="1:48" x14ac:dyDescent="0.3">
      <c r="A17" s="9" t="s">
        <v>507</v>
      </c>
      <c r="B17" s="10" t="s">
        <v>908</v>
      </c>
      <c r="C17" s="107">
        <v>539</v>
      </c>
      <c r="D17" s="104">
        <v>113.3</v>
      </c>
      <c r="E17" s="106">
        <v>34</v>
      </c>
      <c r="F17" s="104">
        <v>84.9</v>
      </c>
      <c r="G17" s="17">
        <v>26</v>
      </c>
      <c r="H17" s="107">
        <v>95</v>
      </c>
      <c r="I17" s="108"/>
      <c r="J17" s="108"/>
      <c r="K17" s="108"/>
      <c r="L17" s="108"/>
      <c r="M17" s="109">
        <f>I17-K17</f>
        <v>0</v>
      </c>
      <c r="N17" s="4" t="str">
        <f>IF(ISERROR(K17/I17),"",K17/I17)</f>
        <v/>
      </c>
      <c r="O17" s="105">
        <f>I17/E17</f>
        <v>0</v>
      </c>
      <c r="P17" s="105">
        <f>K17/E17</f>
        <v>0</v>
      </c>
      <c r="Q17" s="75">
        <v>3</v>
      </c>
      <c r="R17" s="75">
        <v>2</v>
      </c>
      <c r="S17" s="75" t="s">
        <v>869</v>
      </c>
      <c r="T17" s="5" t="s">
        <v>513</v>
      </c>
      <c r="U17" s="9"/>
      <c r="W17" s="104">
        <f t="shared" si="7"/>
        <v>113.3</v>
      </c>
      <c r="X17" s="106">
        <f t="shared" si="7"/>
        <v>34</v>
      </c>
      <c r="Y17" s="102">
        <f t="shared" si="8"/>
        <v>95</v>
      </c>
      <c r="Z17" s="109">
        <f t="shared" si="8"/>
        <v>0</v>
      </c>
      <c r="AA17" s="109">
        <f>K17</f>
        <v>0</v>
      </c>
      <c r="AB17" s="109">
        <f t="shared" si="9"/>
        <v>0</v>
      </c>
      <c r="AC17" s="4" t="str">
        <f t="shared" si="9"/>
        <v/>
      </c>
      <c r="AD17" s="105">
        <f t="shared" si="9"/>
        <v>0</v>
      </c>
      <c r="AE17" s="75" t="str">
        <f>S17</f>
        <v>계</v>
      </c>
      <c r="AF17" s="75" t="str">
        <f>Q17&amp;"/"&amp;R17</f>
        <v>3/2</v>
      </c>
      <c r="AH17" s="20" t="str">
        <f t="shared" si="1"/>
        <v>부산신항사랑으로부영6블럭</v>
      </c>
      <c r="AI17" s="106">
        <f t="shared" si="0"/>
        <v>34</v>
      </c>
      <c r="AJ17" s="75" t="str">
        <f>IF(AI17="","",$AJ$2)</f>
        <v>A-</v>
      </c>
      <c r="AK17" s="75" t="s">
        <v>14</v>
      </c>
      <c r="AL17" s="75" t="s">
        <v>870</v>
      </c>
      <c r="AM17" s="75" t="s">
        <v>871</v>
      </c>
      <c r="AN17" s="75" t="str">
        <f>IF(AI17="","",$AN$2)</f>
        <v>C</v>
      </c>
      <c r="AO17" s="75" t="str">
        <f>IF(N17="","",IF(N17&gt;=$AO$1/100,"O","X"))</f>
        <v/>
      </c>
      <c r="AP17" s="75" t="str">
        <f>IF(I17="","",IF(I17&lt;=$AP$1,"O","X"))</f>
        <v/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O</v>
      </c>
      <c r="AU17" s="75" t="str">
        <f>IF(C17="","",IF(C17&gt;=$AU$1,"O","X"))</f>
        <v>O</v>
      </c>
      <c r="AV17" s="75" t="str">
        <f>IF(AO17="","",IF(AND(AO17="O",AP17="O",AR17="O",AT17="O",AU17="O"),"후보","X"))</f>
        <v/>
      </c>
    </row>
    <row r="18" spans="1:48" x14ac:dyDescent="0.3">
      <c r="A18" s="9" t="s">
        <v>507</v>
      </c>
      <c r="B18" s="10" t="s">
        <v>908</v>
      </c>
      <c r="C18" s="107">
        <v>539</v>
      </c>
      <c r="D18" s="104">
        <v>113.2</v>
      </c>
      <c r="E18" s="106">
        <v>34</v>
      </c>
      <c r="F18" s="104">
        <v>84.6</v>
      </c>
      <c r="G18" s="17">
        <v>26</v>
      </c>
      <c r="H18" s="107">
        <v>87</v>
      </c>
      <c r="I18" s="108"/>
      <c r="J18" s="108"/>
      <c r="K18" s="108"/>
      <c r="L18" s="108"/>
      <c r="M18" s="109">
        <f>I18-K18</f>
        <v>0</v>
      </c>
      <c r="N18" s="4" t="str">
        <f>IF(ISERROR(K18/I18),"",K18/I18)</f>
        <v/>
      </c>
      <c r="O18" s="105">
        <f>I18/E18</f>
        <v>0</v>
      </c>
      <c r="P18" s="105">
        <f>K18/E18</f>
        <v>0</v>
      </c>
      <c r="Q18" s="75">
        <v>3</v>
      </c>
      <c r="R18" s="75">
        <v>2</v>
      </c>
      <c r="S18" s="75" t="s">
        <v>869</v>
      </c>
      <c r="T18" s="5" t="s">
        <v>514</v>
      </c>
      <c r="U18" s="9"/>
      <c r="W18" s="104">
        <f t="shared" si="7"/>
        <v>113.2</v>
      </c>
      <c r="X18" s="106">
        <f t="shared" si="7"/>
        <v>34</v>
      </c>
      <c r="Y18" s="102">
        <f t="shared" si="8"/>
        <v>87</v>
      </c>
      <c r="Z18" s="109">
        <f t="shared" si="8"/>
        <v>0</v>
      </c>
      <c r="AA18" s="109">
        <f>K18</f>
        <v>0</v>
      </c>
      <c r="AB18" s="109">
        <f t="shared" si="9"/>
        <v>0</v>
      </c>
      <c r="AC18" s="4" t="str">
        <f t="shared" si="9"/>
        <v/>
      </c>
      <c r="AD18" s="105">
        <f t="shared" si="9"/>
        <v>0</v>
      </c>
      <c r="AE18" s="75" t="str">
        <f>S18</f>
        <v>계</v>
      </c>
      <c r="AF18" s="75" t="str">
        <f>Q18&amp;"/"&amp;R18</f>
        <v>3/2</v>
      </c>
      <c r="AH18" s="20" t="str">
        <f t="shared" si="1"/>
        <v>부산신항사랑으로부영6블럭</v>
      </c>
      <c r="AI18" s="106">
        <f t="shared" si="0"/>
        <v>34</v>
      </c>
      <c r="AJ18" s="75" t="str">
        <f>IF(AI18="","",$AJ$2)</f>
        <v>A-</v>
      </c>
      <c r="AK18" s="75" t="s">
        <v>14</v>
      </c>
      <c r="AL18" s="75" t="s">
        <v>870</v>
      </c>
      <c r="AM18" s="75" t="s">
        <v>871</v>
      </c>
      <c r="AN18" s="75" t="str">
        <f>IF(AI18="","",$AN$2)</f>
        <v>C</v>
      </c>
      <c r="AO18" s="75" t="str">
        <f>IF(N18="","",IF(N18&gt;=$AO$1/100,"O","X"))</f>
        <v/>
      </c>
      <c r="AP18" s="75" t="str">
        <f>IF(I18="","",IF(I18&lt;=$AP$1,"O","X"))</f>
        <v/>
      </c>
      <c r="AQ18" s="75" t="str">
        <f>IF(O18="","",IF(O18&lt;=$AQ$1,"O","X"))</f>
        <v>O</v>
      </c>
      <c r="AR18" s="75" t="str">
        <f>IF(M18="","",IF(M18&lt;=$AR$1,"O","X"))</f>
        <v>O</v>
      </c>
      <c r="AS18" s="75" t="s">
        <v>2</v>
      </c>
      <c r="AT18" s="75" t="str">
        <f>IF(OR(F18="",AI18=""),"",IF(AND((F18&lt;=85),(AI18&gt;=15)),"O","X"))</f>
        <v>O</v>
      </c>
      <c r="AU18" s="75" t="str">
        <f>IF(C18="","",IF(C18&gt;=$AU$1,"O","X"))</f>
        <v>O</v>
      </c>
      <c r="AV18" s="75" t="str">
        <f>IF(AO18="","",IF(AND(AO18="O",AP18="O",AR18="O",AT18="O",AU18="O"),"후보","X"))</f>
        <v/>
      </c>
    </row>
    <row r="19" spans="1:48" x14ac:dyDescent="0.3">
      <c r="A19" s="9"/>
      <c r="B19" s="75"/>
      <c r="C19" s="6"/>
      <c r="D19" s="9"/>
      <c r="E19" s="14"/>
      <c r="F19" s="104"/>
      <c r="G19" s="9"/>
      <c r="H19" s="9"/>
      <c r="I19" s="9"/>
      <c r="J19" s="9"/>
      <c r="K19" s="9"/>
      <c r="L19" s="9"/>
      <c r="M19" s="9"/>
      <c r="N19" s="9"/>
      <c r="O19" s="105"/>
      <c r="P19" s="105"/>
      <c r="Q19" s="106"/>
      <c r="R19" s="106"/>
      <c r="S19" s="9"/>
      <c r="T19" s="48"/>
      <c r="U19" s="9"/>
      <c r="W19" s="70" t="str">
        <f>$A$4&amp;" "&amp;A20&amp;"("&amp;B20&amp;","&amp;C20&amp;"^)"</f>
        <v>용원동 코아루('05.09.,897^)</v>
      </c>
      <c r="X19" s="71"/>
      <c r="Y19" s="71"/>
      <c r="Z19" s="71"/>
      <c r="AA19" s="71"/>
      <c r="AB19" s="71"/>
      <c r="AC19" s="71"/>
      <c r="AD19" s="71"/>
      <c r="AE19" s="71"/>
      <c r="AF19" s="72"/>
      <c r="AH19" s="20" t="str">
        <f t="shared" si="1"/>
        <v/>
      </c>
      <c r="AI19" s="103" t="str">
        <f t="shared" si="0"/>
        <v/>
      </c>
      <c r="AJ19" s="75"/>
      <c r="AK19" s="75"/>
      <c r="AL19" s="75"/>
      <c r="AM19" s="75"/>
      <c r="AN19" s="75"/>
      <c r="AO19" s="75"/>
      <c r="AP19" s="75"/>
      <c r="AQ19" s="75"/>
      <c r="AR19" s="75"/>
      <c r="AS19" s="75"/>
      <c r="AT19" s="75"/>
      <c r="AU19" s="75"/>
      <c r="AV19" s="75"/>
    </row>
    <row r="20" spans="1:48" x14ac:dyDescent="0.3">
      <c r="A20" s="9" t="s">
        <v>515</v>
      </c>
      <c r="B20" s="10" t="s">
        <v>909</v>
      </c>
      <c r="C20" s="107">
        <v>897</v>
      </c>
      <c r="D20" s="104">
        <v>112.6</v>
      </c>
      <c r="E20" s="106">
        <v>34</v>
      </c>
      <c r="F20" s="104">
        <v>84.7</v>
      </c>
      <c r="G20" s="17">
        <v>26</v>
      </c>
      <c r="H20" s="107">
        <v>597</v>
      </c>
      <c r="I20" s="108">
        <v>23000</v>
      </c>
      <c r="J20" s="108" t="s">
        <v>901</v>
      </c>
      <c r="K20" s="108"/>
      <c r="L20" s="108"/>
      <c r="M20" s="109">
        <f>I20-K20</f>
        <v>23000</v>
      </c>
      <c r="N20" s="4">
        <f>IF(ISERROR(K20/I20),"",K20/I20)</f>
        <v>0</v>
      </c>
      <c r="O20" s="105">
        <f>I20/E20</f>
        <v>676.47058823529414</v>
      </c>
      <c r="P20" s="105">
        <f>K20/E20</f>
        <v>0</v>
      </c>
      <c r="Q20" s="75">
        <v>3</v>
      </c>
      <c r="R20" s="75">
        <v>2</v>
      </c>
      <c r="S20" s="75" t="s">
        <v>869</v>
      </c>
      <c r="T20" s="5" t="s">
        <v>509</v>
      </c>
      <c r="U20" s="9"/>
      <c r="W20" s="104">
        <f t="shared" ref="W20:X22" si="10">D20</f>
        <v>112.6</v>
      </c>
      <c r="X20" s="106">
        <f t="shared" si="10"/>
        <v>34</v>
      </c>
      <c r="Y20" s="102">
        <f t="shared" ref="Y20:Z22" si="11">H20</f>
        <v>597</v>
      </c>
      <c r="Z20" s="109">
        <f t="shared" si="11"/>
        <v>23000</v>
      </c>
      <c r="AA20" s="109">
        <f>K20</f>
        <v>0</v>
      </c>
      <c r="AB20" s="109">
        <f t="shared" ref="AB20:AD22" si="12">M20</f>
        <v>23000</v>
      </c>
      <c r="AC20" s="4">
        <f t="shared" si="12"/>
        <v>0</v>
      </c>
      <c r="AD20" s="105">
        <f t="shared" si="12"/>
        <v>676.47058823529414</v>
      </c>
      <c r="AE20" s="75" t="str">
        <f>S20</f>
        <v>계</v>
      </c>
      <c r="AF20" s="75" t="str">
        <f>Q20&amp;"/"&amp;R20</f>
        <v>3/2</v>
      </c>
      <c r="AH20" s="20" t="str">
        <f t="shared" si="1"/>
        <v>코아루</v>
      </c>
      <c r="AI20" s="106">
        <f t="shared" si="0"/>
        <v>34</v>
      </c>
      <c r="AJ20" s="75" t="str">
        <f>IF(AI20="","",$AJ$2)</f>
        <v>A-</v>
      </c>
      <c r="AK20" s="75" t="s">
        <v>14</v>
      </c>
      <c r="AL20" s="75" t="s">
        <v>870</v>
      </c>
      <c r="AM20" s="75" t="s">
        <v>871</v>
      </c>
      <c r="AN20" s="75" t="str">
        <f>IF(AI20="","",$AN$2)</f>
        <v>C</v>
      </c>
      <c r="AO20" s="75" t="str">
        <f>IF(N20="","",IF(N20&gt;=$AO$1/100,"O","X"))</f>
        <v>X</v>
      </c>
      <c r="AP20" s="75" t="str">
        <f>IF(I20="","",IF(I20&lt;=$AP$1,"O","X"))</f>
        <v>O</v>
      </c>
      <c r="AQ20" s="75" t="str">
        <f>IF(O20="","",IF(O20&lt;=$AQ$1,"O","X"))</f>
        <v>O</v>
      </c>
      <c r="AR20" s="75" t="str">
        <f>IF(M20="","",IF(M20&lt;=$AR$1,"O","X"))</f>
        <v>X</v>
      </c>
      <c r="AS20" s="75" t="s">
        <v>2</v>
      </c>
      <c r="AT20" s="75" t="str">
        <f>IF(OR(F20="",AI20=""),"",IF(AND((F20&lt;=85),(AI20&gt;=15)),"O","X"))</f>
        <v>O</v>
      </c>
      <c r="AU20" s="75" t="str">
        <f>IF(C20="","",IF(C20&gt;=$AU$1,"O","X"))</f>
        <v>O</v>
      </c>
      <c r="AV20" s="75" t="str">
        <f>IF(AO20="","",IF(AND(AO20="O",AP20="O",AR20="O",AT20="O",AU20="O"),"후보","X"))</f>
        <v>X</v>
      </c>
    </row>
    <row r="21" spans="1:48" x14ac:dyDescent="0.3">
      <c r="A21" s="9" t="s">
        <v>515</v>
      </c>
      <c r="B21" s="10" t="s">
        <v>909</v>
      </c>
      <c r="C21" s="107">
        <v>897</v>
      </c>
      <c r="D21" s="104">
        <v>112.6</v>
      </c>
      <c r="E21" s="106">
        <v>34</v>
      </c>
      <c r="F21" s="104">
        <v>84.7</v>
      </c>
      <c r="G21" s="17">
        <v>26</v>
      </c>
      <c r="H21" s="107">
        <v>180</v>
      </c>
      <c r="I21" s="108">
        <v>23000</v>
      </c>
      <c r="J21" s="108" t="s">
        <v>901</v>
      </c>
      <c r="K21" s="108"/>
      <c r="L21" s="108"/>
      <c r="M21" s="109">
        <f>I21-K21</f>
        <v>23000</v>
      </c>
      <c r="N21" s="4">
        <f>IF(ISERROR(K21/I21),"",K21/I21)</f>
        <v>0</v>
      </c>
      <c r="O21" s="105">
        <f>I21/E21</f>
        <v>676.47058823529414</v>
      </c>
      <c r="P21" s="105">
        <f>K21/E21</f>
        <v>0</v>
      </c>
      <c r="Q21" s="75">
        <v>3</v>
      </c>
      <c r="R21" s="75">
        <v>2</v>
      </c>
      <c r="S21" s="75" t="s">
        <v>869</v>
      </c>
      <c r="T21" s="5" t="s">
        <v>122</v>
      </c>
      <c r="U21" s="9"/>
      <c r="W21" s="104">
        <f t="shared" si="10"/>
        <v>112.6</v>
      </c>
      <c r="X21" s="106">
        <f t="shared" si="10"/>
        <v>34</v>
      </c>
      <c r="Y21" s="102">
        <f t="shared" si="11"/>
        <v>180</v>
      </c>
      <c r="Z21" s="109">
        <f t="shared" si="11"/>
        <v>23000</v>
      </c>
      <c r="AA21" s="109">
        <f>K21</f>
        <v>0</v>
      </c>
      <c r="AB21" s="109">
        <f t="shared" si="12"/>
        <v>23000</v>
      </c>
      <c r="AC21" s="4">
        <f t="shared" si="12"/>
        <v>0</v>
      </c>
      <c r="AD21" s="105">
        <f t="shared" si="12"/>
        <v>676.47058823529414</v>
      </c>
      <c r="AE21" s="75" t="str">
        <f>S21</f>
        <v>계</v>
      </c>
      <c r="AF21" s="75" t="str">
        <f>Q21&amp;"/"&amp;R21</f>
        <v>3/2</v>
      </c>
      <c r="AH21" s="20" t="str">
        <f t="shared" si="1"/>
        <v>코아루</v>
      </c>
      <c r="AI21" s="106">
        <f t="shared" si="0"/>
        <v>34</v>
      </c>
      <c r="AJ21" s="75" t="str">
        <f>IF(AI21="","",$AJ$2)</f>
        <v>A-</v>
      </c>
      <c r="AK21" s="75" t="s">
        <v>14</v>
      </c>
      <c r="AL21" s="75" t="s">
        <v>870</v>
      </c>
      <c r="AM21" s="75" t="s">
        <v>871</v>
      </c>
      <c r="AN21" s="75" t="str">
        <f>IF(AI21="","",$AN$2)</f>
        <v>C</v>
      </c>
      <c r="AO21" s="75" t="str">
        <f>IF(N21="","",IF(N21&gt;=$AO$1/100,"O","X"))</f>
        <v>X</v>
      </c>
      <c r="AP21" s="75" t="str">
        <f>IF(I21="","",IF(I21&lt;=$AP$1,"O","X"))</f>
        <v>O</v>
      </c>
      <c r="AQ21" s="75" t="str">
        <f>IF(O21="","",IF(O21&lt;=$AQ$1,"O","X"))</f>
        <v>O</v>
      </c>
      <c r="AR21" s="75" t="str">
        <f>IF(M21="","",IF(M21&lt;=$AR$1,"O","X"))</f>
        <v>X</v>
      </c>
      <c r="AS21" s="75" t="s">
        <v>2</v>
      </c>
      <c r="AT21" s="75" t="str">
        <f>IF(OR(F21="",AI21=""),"",IF(AND((F21&lt;=85),(AI21&gt;=15)),"O","X"))</f>
        <v>O</v>
      </c>
      <c r="AU21" s="75" t="str">
        <f>IF(C21="","",IF(C21&gt;=$AU$1,"O","X"))</f>
        <v>O</v>
      </c>
      <c r="AV21" s="75" t="str">
        <f>IF(AO21="","",IF(AND(AO21="O",AP21="O",AR21="O",AT21="O",AU21="O"),"후보","X"))</f>
        <v>X</v>
      </c>
    </row>
    <row r="22" spans="1:48" x14ac:dyDescent="0.3">
      <c r="A22" s="9" t="s">
        <v>515</v>
      </c>
      <c r="B22" s="10" t="s">
        <v>909</v>
      </c>
      <c r="C22" s="107">
        <v>897</v>
      </c>
      <c r="D22" s="104">
        <v>149.6</v>
      </c>
      <c r="E22" s="106">
        <v>45</v>
      </c>
      <c r="F22" s="104">
        <v>120.4</v>
      </c>
      <c r="G22" s="17">
        <v>36</v>
      </c>
      <c r="H22" s="107">
        <v>120</v>
      </c>
      <c r="I22" s="108"/>
      <c r="J22" s="108"/>
      <c r="K22" s="108"/>
      <c r="L22" s="108"/>
      <c r="M22" s="109">
        <f>I22-K22</f>
        <v>0</v>
      </c>
      <c r="N22" s="4" t="str">
        <f>IF(ISERROR(K22/I22),"",K22/I22)</f>
        <v/>
      </c>
      <c r="O22" s="105">
        <f>I22/E22</f>
        <v>0</v>
      </c>
      <c r="P22" s="105">
        <f>K22/E22</f>
        <v>0</v>
      </c>
      <c r="Q22" s="75">
        <v>4</v>
      </c>
      <c r="R22" s="75">
        <v>2</v>
      </c>
      <c r="S22" s="75" t="s">
        <v>869</v>
      </c>
      <c r="T22" s="5">
        <v>149</v>
      </c>
      <c r="U22" s="9"/>
      <c r="W22" s="104">
        <f t="shared" si="10"/>
        <v>149.6</v>
      </c>
      <c r="X22" s="106">
        <f t="shared" si="10"/>
        <v>45</v>
      </c>
      <c r="Y22" s="102">
        <f t="shared" si="11"/>
        <v>120</v>
      </c>
      <c r="Z22" s="109">
        <f t="shared" si="11"/>
        <v>0</v>
      </c>
      <c r="AA22" s="109">
        <f>K22</f>
        <v>0</v>
      </c>
      <c r="AB22" s="109">
        <f t="shared" si="12"/>
        <v>0</v>
      </c>
      <c r="AC22" s="4" t="str">
        <f t="shared" si="12"/>
        <v/>
      </c>
      <c r="AD22" s="105">
        <f t="shared" si="12"/>
        <v>0</v>
      </c>
      <c r="AE22" s="75" t="str">
        <f>S22</f>
        <v>계</v>
      </c>
      <c r="AF22" s="75" t="str">
        <f>Q22&amp;"/"&amp;R22</f>
        <v>4/2</v>
      </c>
      <c r="AH22" s="20" t="str">
        <f t="shared" si="1"/>
        <v>코아루</v>
      </c>
      <c r="AI22" s="106">
        <f t="shared" si="0"/>
        <v>45</v>
      </c>
      <c r="AJ22" s="75" t="str">
        <f>IF(AI22="","",$AJ$2)</f>
        <v>A-</v>
      </c>
      <c r="AK22" s="75" t="s">
        <v>14</v>
      </c>
      <c r="AL22" s="75" t="s">
        <v>870</v>
      </c>
      <c r="AM22" s="75" t="s">
        <v>871</v>
      </c>
      <c r="AN22" s="75" t="str">
        <f>IF(AI22="","",$AN$2)</f>
        <v>C</v>
      </c>
      <c r="AO22" s="75" t="str">
        <f>IF(N22="","",IF(N22&gt;=$AO$1/100,"O","X"))</f>
        <v/>
      </c>
      <c r="AP22" s="75" t="str">
        <f>IF(I22="","",IF(I22&lt;=$AP$1,"O","X"))</f>
        <v/>
      </c>
      <c r="AQ22" s="75" t="str">
        <f>IF(O22="","",IF(O22&lt;=$AQ$1,"O","X"))</f>
        <v>O</v>
      </c>
      <c r="AR22" s="75" t="str">
        <f>IF(M22="","",IF(M22&lt;=$AR$1,"O","X"))</f>
        <v>O</v>
      </c>
      <c r="AS22" s="75" t="s">
        <v>2</v>
      </c>
      <c r="AT22" s="75" t="str">
        <f>IF(OR(F22="",AI22=""),"",IF(AND((F22&lt;=85),(AI22&gt;=15)),"O","X"))</f>
        <v>X</v>
      </c>
      <c r="AU22" s="75" t="str">
        <f>IF(C22="","",IF(C22&gt;=$AU$1,"O","X"))</f>
        <v>O</v>
      </c>
      <c r="AV22" s="75" t="str">
        <f>IF(AO22="","",IF(AND(AO22="O",AP22="O",AR22="O",AT22="O",AU22="O"),"후보","X"))</f>
        <v/>
      </c>
    </row>
    <row r="23" spans="1:48" x14ac:dyDescent="0.3">
      <c r="A23" s="9"/>
      <c r="B23" s="75"/>
      <c r="C23" s="6"/>
      <c r="D23" s="9"/>
      <c r="E23" s="14"/>
      <c r="F23" s="104"/>
      <c r="G23" s="9"/>
      <c r="H23" s="9"/>
      <c r="I23" s="9"/>
      <c r="J23" s="9"/>
      <c r="K23" s="9"/>
      <c r="L23" s="9"/>
      <c r="M23" s="9"/>
      <c r="N23" s="9"/>
      <c r="O23" s="105"/>
      <c r="P23" s="105"/>
      <c r="Q23" s="106"/>
      <c r="R23" s="106"/>
      <c r="S23" s="9"/>
      <c r="T23" s="48"/>
      <c r="U23" s="9"/>
      <c r="W23" s="70" t="str">
        <f>$A$4&amp;" "&amp;A24&amp;"("&amp;B24&amp;","&amp;C24&amp;"^)"</f>
        <v>용원동 현대('98.12.,508^)</v>
      </c>
      <c r="X23" s="71"/>
      <c r="Y23" s="71"/>
      <c r="Z23" s="71"/>
      <c r="AA23" s="71"/>
      <c r="AB23" s="71"/>
      <c r="AC23" s="71"/>
      <c r="AD23" s="71"/>
      <c r="AE23" s="71"/>
      <c r="AF23" s="72"/>
      <c r="AH23" s="20" t="str">
        <f t="shared" si="1"/>
        <v/>
      </c>
      <c r="AI23" s="103" t="str">
        <f t="shared" si="0"/>
        <v/>
      </c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</row>
    <row r="24" spans="1:48" x14ac:dyDescent="0.3">
      <c r="A24" s="9" t="s">
        <v>530</v>
      </c>
      <c r="B24" s="10" t="s">
        <v>910</v>
      </c>
      <c r="C24" s="107">
        <v>508</v>
      </c>
      <c r="D24" s="104">
        <v>104.8</v>
      </c>
      <c r="E24" s="106">
        <v>32</v>
      </c>
      <c r="F24" s="104">
        <v>85</v>
      </c>
      <c r="G24" s="17">
        <v>26</v>
      </c>
      <c r="H24" s="107">
        <v>508</v>
      </c>
      <c r="I24" s="108">
        <v>17000</v>
      </c>
      <c r="J24" s="108" t="s">
        <v>873</v>
      </c>
      <c r="K24" s="108"/>
      <c r="L24" s="108"/>
      <c r="M24" s="109">
        <f>I24-K24</f>
        <v>17000</v>
      </c>
      <c r="N24" s="4">
        <f>IF(ISERROR(K24/I24),"",K24/I24)</f>
        <v>0</v>
      </c>
      <c r="O24" s="105">
        <f>I24/E24</f>
        <v>531.25</v>
      </c>
      <c r="P24" s="105">
        <f>K24/E24</f>
        <v>0</v>
      </c>
      <c r="Q24" s="75">
        <v>3</v>
      </c>
      <c r="R24" s="75">
        <v>2</v>
      </c>
      <c r="S24" s="75" t="s">
        <v>869</v>
      </c>
      <c r="T24" s="5">
        <v>104</v>
      </c>
      <c r="U24" s="9"/>
      <c r="W24" s="104">
        <f>D24</f>
        <v>104.8</v>
      </c>
      <c r="X24" s="106">
        <f>E24</f>
        <v>32</v>
      </c>
      <c r="Y24" s="102">
        <f>H24</f>
        <v>508</v>
      </c>
      <c r="Z24" s="109">
        <f>I24</f>
        <v>17000</v>
      </c>
      <c r="AA24" s="109">
        <f>K24</f>
        <v>0</v>
      </c>
      <c r="AB24" s="109">
        <f>M24</f>
        <v>17000</v>
      </c>
      <c r="AC24" s="4">
        <f>N24</f>
        <v>0</v>
      </c>
      <c r="AD24" s="105">
        <f>O24</f>
        <v>531.25</v>
      </c>
      <c r="AE24" s="75" t="str">
        <f>S24</f>
        <v>계</v>
      </c>
      <c r="AF24" s="75" t="str">
        <f>Q24&amp;"/"&amp;R24</f>
        <v>3/2</v>
      </c>
      <c r="AH24" s="20" t="str">
        <f t="shared" si="1"/>
        <v>현대</v>
      </c>
      <c r="AI24" s="106">
        <f t="shared" si="0"/>
        <v>32</v>
      </c>
      <c r="AJ24" s="75" t="str">
        <f>IF(AI24="","",$AJ$2)</f>
        <v>A-</v>
      </c>
      <c r="AK24" s="75" t="s">
        <v>14</v>
      </c>
      <c r="AL24" s="75" t="s">
        <v>870</v>
      </c>
      <c r="AM24" s="75" t="s">
        <v>871</v>
      </c>
      <c r="AN24" s="75" t="str">
        <f>IF(AI24="","",$AN$2)</f>
        <v>C</v>
      </c>
      <c r="AO24" s="75" t="str">
        <f>IF(N24="","",IF(N24&gt;=$AO$1/100,"O","X"))</f>
        <v>X</v>
      </c>
      <c r="AP24" s="75" t="str">
        <f>IF(I24="","",IF(I24&lt;=$AP$1,"O","X"))</f>
        <v>O</v>
      </c>
      <c r="AQ24" s="75" t="str">
        <f>IF(O24="","",IF(O24&lt;=$AQ$1,"O","X"))</f>
        <v>O</v>
      </c>
      <c r="AR24" s="75" t="str">
        <f>IF(M24="","",IF(M24&lt;=$AR$1,"O","X"))</f>
        <v>X</v>
      </c>
      <c r="AS24" s="75" t="s">
        <v>2</v>
      </c>
      <c r="AT24" s="75" t="str">
        <f>IF(OR(F24="",AI24=""),"",IF(AND((F24&lt;=85),(AI24&gt;=15)),"O","X"))</f>
        <v>O</v>
      </c>
      <c r="AU24" s="75" t="str">
        <f>IF(C24="","",IF(C24&gt;=$AU$1,"O","X"))</f>
        <v>O</v>
      </c>
      <c r="AV24" s="75" t="str">
        <f>IF(AO24="","",IF(AND(AO24="O",AP24="O",AR24="O",AT24="O",AU24="O"),"후보","X"))</f>
        <v>X</v>
      </c>
    </row>
  </sheetData>
  <mergeCells count="1">
    <mergeCell ref="AJ1:AN1"/>
  </mergeCells>
  <phoneticPr fontId="2" type="noConversion"/>
  <conditionalFormatting sqref="AV4:AV6">
    <cfRule type="expression" dxfId="2357" priority="292">
      <formula>AV4="X"</formula>
    </cfRule>
    <cfRule type="expression" dxfId="2356" priority="293">
      <formula>AV4="후보"</formula>
    </cfRule>
  </conditionalFormatting>
  <conditionalFormatting sqref="AC1:AC2 AC4:AC6 N4:N5">
    <cfRule type="cellIs" dxfId="2355" priority="289" operator="greaterThan">
      <formula>0.9</formula>
    </cfRule>
    <cfRule type="cellIs" dxfId="2354" priority="290" operator="greaterThan">
      <formula>0.85</formula>
    </cfRule>
  </conditionalFormatting>
  <conditionalFormatting sqref="N1:N2">
    <cfRule type="cellIs" dxfId="2353" priority="287" operator="greaterThan">
      <formula>0.9</formula>
    </cfRule>
    <cfRule type="cellIs" dxfId="2352" priority="288" operator="greaterThan">
      <formula>0.85</formula>
    </cfRule>
  </conditionalFormatting>
  <conditionalFormatting sqref="N6">
    <cfRule type="cellIs" dxfId="2351" priority="285" operator="greaterThan">
      <formula>0.9</formula>
    </cfRule>
    <cfRule type="cellIs" dxfId="2350" priority="286" operator="greaterThan">
      <formula>0.85</formula>
    </cfRule>
  </conditionalFormatting>
  <conditionalFormatting sqref="E6">
    <cfRule type="expression" dxfId="2349" priority="281">
      <formula>AND(IF(OR($Q6=1,$Q6=2),1,0),IF($X6&lt;=20,1,0))</formula>
    </cfRule>
    <cfRule type="expression" dxfId="2348" priority="282">
      <formula>AND(IF($Q6=2,1,0),IF($X6&lt;30,1,0))</formula>
    </cfRule>
    <cfRule type="expression" dxfId="2347" priority="283">
      <formula>AND(IF($Q6=3,1,0),IF($X6&lt;30,1,0))</formula>
    </cfRule>
    <cfRule type="expression" dxfId="2346" priority="284">
      <formula>AND(IF($Q6=3,1,IF($Q6=4,1,0)),IF($F6&lt;=85,1,0))</formula>
    </cfRule>
  </conditionalFormatting>
  <conditionalFormatting sqref="X6">
    <cfRule type="expression" dxfId="2345" priority="277">
      <formula>AND(IF(OR($Q6=1,$Q6=2),1,0),IF($X6&lt;=20,1,0))</formula>
    </cfRule>
    <cfRule type="expression" dxfId="2344" priority="278">
      <formula>AND(IF($Q6=2,1,0),IF($X6&lt;30,1,0))</formula>
    </cfRule>
    <cfRule type="expression" dxfId="2343" priority="279">
      <formula>AND(IF($Q6=3,1,0),IF($X6&lt;30,1,0))</formula>
    </cfRule>
    <cfRule type="expression" dxfId="2342" priority="280">
      <formula>AND(IF($Q6=3,1,IF($Q6=4,1,0)),IF($F6&lt;=85,1,0))</formula>
    </cfRule>
  </conditionalFormatting>
  <conditionalFormatting sqref="AI6">
    <cfRule type="expression" dxfId="2341" priority="273">
      <formula>AND(IF(OR($Q6=1,$Q6=2),1,0),IF($X6&lt;=20,1,0))</formula>
    </cfRule>
    <cfRule type="expression" dxfId="2340" priority="274">
      <formula>AND(IF($Q6=2,1,0),IF($X6&lt;30,1,0))</formula>
    </cfRule>
    <cfRule type="expression" dxfId="2339" priority="275">
      <formula>AND(IF($Q6=3,1,0),IF($X6&lt;30,1,0))</formula>
    </cfRule>
    <cfRule type="expression" dxfId="2338" priority="276">
      <formula>AND(IF($Q6=3,1,IF($Q6=4,1,0)),IF($F6&lt;=85,1,0))</formula>
    </cfRule>
  </conditionalFormatting>
  <conditionalFormatting sqref="AV7">
    <cfRule type="expression" dxfId="2337" priority="271">
      <formula>AV7="X"</formula>
    </cfRule>
    <cfRule type="expression" dxfId="2336" priority="272">
      <formula>AV7="후보"</formula>
    </cfRule>
  </conditionalFormatting>
  <conditionalFormatting sqref="AC7">
    <cfRule type="cellIs" dxfId="2335" priority="268" operator="greaterThan">
      <formula>0.9</formula>
    </cfRule>
    <cfRule type="cellIs" dxfId="2334" priority="269" operator="greaterThan">
      <formula>0.85</formula>
    </cfRule>
  </conditionalFormatting>
  <conditionalFormatting sqref="N7">
    <cfRule type="cellIs" dxfId="2333" priority="266" operator="greaterThan">
      <formula>0.9</formula>
    </cfRule>
    <cfRule type="cellIs" dxfId="2332" priority="267" operator="greaterThan">
      <formula>0.85</formula>
    </cfRule>
  </conditionalFormatting>
  <conditionalFormatting sqref="E7">
    <cfRule type="expression" dxfId="2331" priority="262">
      <formula>AND(IF(OR($Q7=1,$Q7=2),1,0),IF($X7&lt;=20,1,0))</formula>
    </cfRule>
    <cfRule type="expression" dxfId="2330" priority="263">
      <formula>AND(IF($Q7=2,1,0),IF($X7&lt;30,1,0))</formula>
    </cfRule>
    <cfRule type="expression" dxfId="2329" priority="264">
      <formula>AND(IF($Q7=3,1,0),IF($X7&lt;30,1,0))</formula>
    </cfRule>
    <cfRule type="expression" dxfId="2328" priority="265">
      <formula>AND(IF($Q7=3,1,IF($Q7=4,1,0)),IF($F7&lt;=85,1,0))</formula>
    </cfRule>
  </conditionalFormatting>
  <conditionalFormatting sqref="X7">
    <cfRule type="expression" dxfId="2327" priority="258">
      <formula>AND(IF(OR($Q7=1,$Q7=2),1,0),IF($X7&lt;=20,1,0))</formula>
    </cfRule>
    <cfRule type="expression" dxfId="2326" priority="259">
      <formula>AND(IF($Q7=2,1,0),IF($X7&lt;30,1,0))</formula>
    </cfRule>
    <cfRule type="expression" dxfId="2325" priority="260">
      <formula>AND(IF($Q7=3,1,0),IF($X7&lt;30,1,0))</formula>
    </cfRule>
    <cfRule type="expression" dxfId="2324" priority="261">
      <formula>AND(IF($Q7=3,1,IF($Q7=4,1,0)),IF($F7&lt;=85,1,0))</formula>
    </cfRule>
  </conditionalFormatting>
  <conditionalFormatting sqref="AI7">
    <cfRule type="expression" dxfId="2323" priority="254">
      <formula>AND(IF(OR($Q7=1,$Q7=2),1,0),IF($X7&lt;=20,1,0))</formula>
    </cfRule>
    <cfRule type="expression" dxfId="2322" priority="255">
      <formula>AND(IF($Q7=2,1,0),IF($X7&lt;30,1,0))</formula>
    </cfRule>
    <cfRule type="expression" dxfId="2321" priority="256">
      <formula>AND(IF($Q7=3,1,0),IF($X7&lt;30,1,0))</formula>
    </cfRule>
    <cfRule type="expression" dxfId="2320" priority="257">
      <formula>AND(IF($Q7=3,1,IF($Q7=4,1,0)),IF($F7&lt;=85,1,0))</formula>
    </cfRule>
  </conditionalFormatting>
  <conditionalFormatting sqref="AV8">
    <cfRule type="expression" dxfId="2319" priority="252">
      <formula>AV8="X"</formula>
    </cfRule>
    <cfRule type="expression" dxfId="2318" priority="253">
      <formula>AV8="후보"</formula>
    </cfRule>
  </conditionalFormatting>
  <conditionalFormatting sqref="AC8 N8">
    <cfRule type="cellIs" dxfId="2317" priority="249" operator="greaterThan">
      <formula>0.9</formula>
    </cfRule>
    <cfRule type="cellIs" dxfId="2316" priority="250" operator="greaterThan">
      <formula>0.85</formula>
    </cfRule>
  </conditionalFormatting>
  <conditionalFormatting sqref="AV9">
    <cfRule type="expression" dxfId="2315" priority="247">
      <formula>AV9="X"</formula>
    </cfRule>
    <cfRule type="expression" dxfId="2314" priority="248">
      <formula>AV9="후보"</formula>
    </cfRule>
  </conditionalFormatting>
  <conditionalFormatting sqref="AC9">
    <cfRule type="cellIs" dxfId="2313" priority="244" operator="greaterThan">
      <formula>0.9</formula>
    </cfRule>
    <cfRule type="cellIs" dxfId="2312" priority="245" operator="greaterThan">
      <formula>0.85</formula>
    </cfRule>
  </conditionalFormatting>
  <conditionalFormatting sqref="N9">
    <cfRule type="cellIs" dxfId="2311" priority="242" operator="greaterThan">
      <formula>0.9</formula>
    </cfRule>
    <cfRule type="cellIs" dxfId="2310" priority="243" operator="greaterThan">
      <formula>0.85</formula>
    </cfRule>
  </conditionalFormatting>
  <conditionalFormatting sqref="E9">
    <cfRule type="expression" dxfId="2309" priority="238">
      <formula>AND(IF(OR($Q9=1,$Q9=2),1,0),IF($X9&lt;=20,1,0))</formula>
    </cfRule>
    <cfRule type="expression" dxfId="2308" priority="239">
      <formula>AND(IF($Q9=2,1,0),IF($X9&lt;30,1,0))</formula>
    </cfRule>
    <cfRule type="expression" dxfId="2307" priority="240">
      <formula>AND(IF($Q9=3,1,0),IF($X9&lt;30,1,0))</formula>
    </cfRule>
    <cfRule type="expression" dxfId="2306" priority="241">
      <formula>AND(IF($Q9=3,1,IF($Q9=4,1,0)),IF($F9&lt;=85,1,0))</formula>
    </cfRule>
  </conditionalFormatting>
  <conditionalFormatting sqref="X9">
    <cfRule type="expression" dxfId="2305" priority="234">
      <formula>AND(IF(OR($Q9=1,$Q9=2),1,0),IF($X9&lt;=20,1,0))</formula>
    </cfRule>
    <cfRule type="expression" dxfId="2304" priority="235">
      <formula>AND(IF($Q9=2,1,0),IF($X9&lt;30,1,0))</formula>
    </cfRule>
    <cfRule type="expression" dxfId="2303" priority="236">
      <formula>AND(IF($Q9=3,1,0),IF($X9&lt;30,1,0))</formula>
    </cfRule>
    <cfRule type="expression" dxfId="2302" priority="237">
      <formula>AND(IF($Q9=3,1,IF($Q9=4,1,0)),IF($F9&lt;=85,1,0))</formula>
    </cfRule>
  </conditionalFormatting>
  <conditionalFormatting sqref="AI9">
    <cfRule type="expression" dxfId="2301" priority="230">
      <formula>AND(IF(OR($Q9=1,$Q9=2),1,0),IF($X9&lt;=20,1,0))</formula>
    </cfRule>
    <cfRule type="expression" dxfId="2300" priority="231">
      <formula>AND(IF($Q9=2,1,0),IF($X9&lt;30,1,0))</formula>
    </cfRule>
    <cfRule type="expression" dxfId="2299" priority="232">
      <formula>AND(IF($Q9=3,1,0),IF($X9&lt;30,1,0))</formula>
    </cfRule>
    <cfRule type="expression" dxfId="2298" priority="233">
      <formula>AND(IF($Q9=3,1,IF($Q9=4,1,0)),IF($F9&lt;=85,1,0))</formula>
    </cfRule>
  </conditionalFormatting>
  <conditionalFormatting sqref="AV10">
    <cfRule type="expression" dxfId="2297" priority="228">
      <formula>AV10="X"</formula>
    </cfRule>
    <cfRule type="expression" dxfId="2296" priority="229">
      <formula>AV10="후보"</formula>
    </cfRule>
  </conditionalFormatting>
  <conditionalFormatting sqref="AC10">
    <cfRule type="cellIs" dxfId="2295" priority="225" operator="greaterThan">
      <formula>0.9</formula>
    </cfRule>
    <cfRule type="cellIs" dxfId="2294" priority="226" operator="greaterThan">
      <formula>0.85</formula>
    </cfRule>
  </conditionalFormatting>
  <conditionalFormatting sqref="N10">
    <cfRule type="cellIs" dxfId="2293" priority="223" operator="greaterThan">
      <formula>0.9</formula>
    </cfRule>
    <cfRule type="cellIs" dxfId="2292" priority="224" operator="greaterThan">
      <formula>0.85</formula>
    </cfRule>
  </conditionalFormatting>
  <conditionalFormatting sqref="E10">
    <cfRule type="expression" dxfId="2291" priority="219">
      <formula>AND(IF(OR($Q10=1,$Q10=2),1,0),IF($X10&lt;=20,1,0))</formula>
    </cfRule>
    <cfRule type="expression" dxfId="2290" priority="220">
      <formula>AND(IF($Q10=2,1,0),IF($X10&lt;30,1,0))</formula>
    </cfRule>
    <cfRule type="expression" dxfId="2289" priority="221">
      <formula>AND(IF($Q10=3,1,0),IF($X10&lt;30,1,0))</formula>
    </cfRule>
    <cfRule type="expression" dxfId="2288" priority="222">
      <formula>AND(IF($Q10=3,1,IF($Q10=4,1,0)),IF($F10&lt;=85,1,0))</formula>
    </cfRule>
  </conditionalFormatting>
  <conditionalFormatting sqref="X10">
    <cfRule type="expression" dxfId="2287" priority="215">
      <formula>AND(IF(OR($Q10=1,$Q10=2),1,0),IF($X10&lt;=20,1,0))</formula>
    </cfRule>
    <cfRule type="expression" dxfId="2286" priority="216">
      <formula>AND(IF($Q10=2,1,0),IF($X10&lt;30,1,0))</formula>
    </cfRule>
    <cfRule type="expression" dxfId="2285" priority="217">
      <formula>AND(IF($Q10=3,1,0),IF($X10&lt;30,1,0))</formula>
    </cfRule>
    <cfRule type="expression" dxfId="2284" priority="218">
      <formula>AND(IF($Q10=3,1,IF($Q10=4,1,0)),IF($F10&lt;=85,1,0))</formula>
    </cfRule>
  </conditionalFormatting>
  <conditionalFormatting sqref="AI10">
    <cfRule type="expression" dxfId="2283" priority="211">
      <formula>AND(IF(OR($Q10=1,$Q10=2),1,0),IF($X10&lt;=20,1,0))</formula>
    </cfRule>
    <cfRule type="expression" dxfId="2282" priority="212">
      <formula>AND(IF($Q10=2,1,0),IF($X10&lt;30,1,0))</formula>
    </cfRule>
    <cfRule type="expression" dxfId="2281" priority="213">
      <formula>AND(IF($Q10=3,1,0),IF($X10&lt;30,1,0))</formula>
    </cfRule>
    <cfRule type="expression" dxfId="2280" priority="214">
      <formula>AND(IF($Q10=3,1,IF($Q10=4,1,0)),IF($F10&lt;=85,1,0))</formula>
    </cfRule>
  </conditionalFormatting>
  <conditionalFormatting sqref="AV11">
    <cfRule type="expression" dxfId="2279" priority="209">
      <formula>AV11="X"</formula>
    </cfRule>
    <cfRule type="expression" dxfId="2278" priority="210">
      <formula>AV11="후보"</formula>
    </cfRule>
  </conditionalFormatting>
  <conditionalFormatting sqref="AC11 N11">
    <cfRule type="cellIs" dxfId="2277" priority="206" operator="greaterThan">
      <formula>0.9</formula>
    </cfRule>
    <cfRule type="cellIs" dxfId="2276" priority="207" operator="greaterThan">
      <formula>0.85</formula>
    </cfRule>
  </conditionalFormatting>
  <conditionalFormatting sqref="AV12">
    <cfRule type="expression" dxfId="2275" priority="204">
      <formula>AV12="X"</formula>
    </cfRule>
    <cfRule type="expression" dxfId="2274" priority="205">
      <formula>AV12="후보"</formula>
    </cfRule>
  </conditionalFormatting>
  <conditionalFormatting sqref="AC12">
    <cfRule type="cellIs" dxfId="2273" priority="201" operator="greaterThan">
      <formula>0.9</formula>
    </cfRule>
    <cfRule type="cellIs" dxfId="2272" priority="202" operator="greaterThan">
      <formula>0.85</formula>
    </cfRule>
  </conditionalFormatting>
  <conditionalFormatting sqref="N12">
    <cfRule type="cellIs" dxfId="2271" priority="199" operator="greaterThan">
      <formula>0.9</formula>
    </cfRule>
    <cfRule type="cellIs" dxfId="2270" priority="200" operator="greaterThan">
      <formula>0.85</formula>
    </cfRule>
  </conditionalFormatting>
  <conditionalFormatting sqref="E12">
    <cfRule type="expression" dxfId="2269" priority="195">
      <formula>AND(IF(OR($Q12=1,$Q12=2),1,0),IF($X12&lt;=20,1,0))</formula>
    </cfRule>
    <cfRule type="expression" dxfId="2268" priority="196">
      <formula>AND(IF($Q12=2,1,0),IF($X12&lt;30,1,0))</formula>
    </cfRule>
    <cfRule type="expression" dxfId="2267" priority="197">
      <formula>AND(IF($Q12=3,1,0),IF($X12&lt;30,1,0))</formula>
    </cfRule>
    <cfRule type="expression" dxfId="2266" priority="198">
      <formula>AND(IF($Q12=3,1,IF($Q12=4,1,0)),IF($F12&lt;=85,1,0))</formula>
    </cfRule>
  </conditionalFormatting>
  <conditionalFormatting sqref="X12">
    <cfRule type="expression" dxfId="2265" priority="191">
      <formula>AND(IF(OR($Q12=1,$Q12=2),1,0),IF($X12&lt;=20,1,0))</formula>
    </cfRule>
    <cfRule type="expression" dxfId="2264" priority="192">
      <formula>AND(IF($Q12=2,1,0),IF($X12&lt;30,1,0))</formula>
    </cfRule>
    <cfRule type="expression" dxfId="2263" priority="193">
      <formula>AND(IF($Q12=3,1,0),IF($X12&lt;30,1,0))</formula>
    </cfRule>
    <cfRule type="expression" dxfId="2262" priority="194">
      <formula>AND(IF($Q12=3,1,IF($Q12=4,1,0)),IF($F12&lt;=85,1,0))</formula>
    </cfRule>
  </conditionalFormatting>
  <conditionalFormatting sqref="AI12">
    <cfRule type="expression" dxfId="2261" priority="187">
      <formula>AND(IF(OR($Q12=1,$Q12=2),1,0),IF($X12&lt;=20,1,0))</formula>
    </cfRule>
    <cfRule type="expression" dxfId="2260" priority="188">
      <formula>AND(IF($Q12=2,1,0),IF($X12&lt;30,1,0))</formula>
    </cfRule>
    <cfRule type="expression" dxfId="2259" priority="189">
      <formula>AND(IF($Q12=3,1,0),IF($X12&lt;30,1,0))</formula>
    </cfRule>
    <cfRule type="expression" dxfId="2258" priority="190">
      <formula>AND(IF($Q12=3,1,IF($Q12=4,1,0)),IF($F12&lt;=85,1,0))</formula>
    </cfRule>
  </conditionalFormatting>
  <conditionalFormatting sqref="AV13">
    <cfRule type="expression" dxfId="2257" priority="185">
      <formula>AV13="X"</formula>
    </cfRule>
    <cfRule type="expression" dxfId="2256" priority="186">
      <formula>AV13="후보"</formula>
    </cfRule>
  </conditionalFormatting>
  <conditionalFormatting sqref="AC13">
    <cfRule type="cellIs" dxfId="2255" priority="182" operator="greaterThan">
      <formula>0.9</formula>
    </cfRule>
    <cfRule type="cellIs" dxfId="2254" priority="183" operator="greaterThan">
      <formula>0.85</formula>
    </cfRule>
  </conditionalFormatting>
  <conditionalFormatting sqref="N13">
    <cfRule type="cellIs" dxfId="2253" priority="180" operator="greaterThan">
      <formula>0.9</formula>
    </cfRule>
    <cfRule type="cellIs" dxfId="2252" priority="181" operator="greaterThan">
      <formula>0.85</formula>
    </cfRule>
  </conditionalFormatting>
  <conditionalFormatting sqref="E13">
    <cfRule type="expression" dxfId="2251" priority="176">
      <formula>AND(IF(OR($Q13=1,$Q13=2),1,0),IF($X13&lt;=20,1,0))</formula>
    </cfRule>
    <cfRule type="expression" dxfId="2250" priority="177">
      <formula>AND(IF($Q13=2,1,0),IF($X13&lt;30,1,0))</formula>
    </cfRule>
    <cfRule type="expression" dxfId="2249" priority="178">
      <formula>AND(IF($Q13=3,1,0),IF($X13&lt;30,1,0))</formula>
    </cfRule>
    <cfRule type="expression" dxfId="2248" priority="179">
      <formula>AND(IF($Q13=3,1,IF($Q13=4,1,0)),IF($F13&lt;=85,1,0))</formula>
    </cfRule>
  </conditionalFormatting>
  <conditionalFormatting sqref="X13">
    <cfRule type="expression" dxfId="2247" priority="172">
      <formula>AND(IF(OR($Q13=1,$Q13=2),1,0),IF($X13&lt;=20,1,0))</formula>
    </cfRule>
    <cfRule type="expression" dxfId="2246" priority="173">
      <formula>AND(IF($Q13=2,1,0),IF($X13&lt;30,1,0))</formula>
    </cfRule>
    <cfRule type="expression" dxfId="2245" priority="174">
      <formula>AND(IF($Q13=3,1,0),IF($X13&lt;30,1,0))</formula>
    </cfRule>
    <cfRule type="expression" dxfId="2244" priority="175">
      <formula>AND(IF($Q13=3,1,IF($Q13=4,1,0)),IF($F13&lt;=85,1,0))</formula>
    </cfRule>
  </conditionalFormatting>
  <conditionalFormatting sqref="AI13">
    <cfRule type="expression" dxfId="2243" priority="168">
      <formula>AND(IF(OR($Q13=1,$Q13=2),1,0),IF($X13&lt;=20,1,0))</formula>
    </cfRule>
    <cfRule type="expression" dxfId="2242" priority="169">
      <formula>AND(IF($Q13=2,1,0),IF($X13&lt;30,1,0))</formula>
    </cfRule>
    <cfRule type="expression" dxfId="2241" priority="170">
      <formula>AND(IF($Q13=3,1,0),IF($X13&lt;30,1,0))</formula>
    </cfRule>
    <cfRule type="expression" dxfId="2240" priority="171">
      <formula>AND(IF($Q13=3,1,IF($Q13=4,1,0)),IF($F13&lt;=85,1,0))</formula>
    </cfRule>
  </conditionalFormatting>
  <conditionalFormatting sqref="AV14">
    <cfRule type="expression" dxfId="2239" priority="166">
      <formula>AV14="X"</formula>
    </cfRule>
    <cfRule type="expression" dxfId="2238" priority="167">
      <formula>AV14="후보"</formula>
    </cfRule>
  </conditionalFormatting>
  <conditionalFormatting sqref="AC14">
    <cfRule type="cellIs" dxfId="2237" priority="163" operator="greaterThan">
      <formula>0.9</formula>
    </cfRule>
    <cfRule type="cellIs" dxfId="2236" priority="164" operator="greaterThan">
      <formula>0.85</formula>
    </cfRule>
  </conditionalFormatting>
  <conditionalFormatting sqref="N14">
    <cfRule type="cellIs" dxfId="2235" priority="161" operator="greaterThan">
      <formula>0.9</formula>
    </cfRule>
    <cfRule type="cellIs" dxfId="2234" priority="162" operator="greaterThan">
      <formula>0.85</formula>
    </cfRule>
  </conditionalFormatting>
  <conditionalFormatting sqref="E14">
    <cfRule type="expression" dxfId="2233" priority="157">
      <formula>AND(IF(OR($Q14=1,$Q14=2),1,0),IF($X14&lt;=20,1,0))</formula>
    </cfRule>
    <cfRule type="expression" dxfId="2232" priority="158">
      <formula>AND(IF($Q14=2,1,0),IF($X14&lt;30,1,0))</formula>
    </cfRule>
    <cfRule type="expression" dxfId="2231" priority="159">
      <formula>AND(IF($Q14=3,1,0),IF($X14&lt;30,1,0))</formula>
    </cfRule>
    <cfRule type="expression" dxfId="2230" priority="160">
      <formula>AND(IF($Q14=3,1,IF($Q14=4,1,0)),IF($F14&lt;=85,1,0))</formula>
    </cfRule>
  </conditionalFormatting>
  <conditionalFormatting sqref="X14">
    <cfRule type="expression" dxfId="2229" priority="153">
      <formula>AND(IF(OR($Q14=1,$Q14=2),1,0),IF($X14&lt;=20,1,0))</formula>
    </cfRule>
    <cfRule type="expression" dxfId="2228" priority="154">
      <formula>AND(IF($Q14=2,1,0),IF($X14&lt;30,1,0))</formula>
    </cfRule>
    <cfRule type="expression" dxfId="2227" priority="155">
      <formula>AND(IF($Q14=3,1,0),IF($X14&lt;30,1,0))</formula>
    </cfRule>
    <cfRule type="expression" dxfId="2226" priority="156">
      <formula>AND(IF($Q14=3,1,IF($Q14=4,1,0)),IF($F14&lt;=85,1,0))</formula>
    </cfRule>
  </conditionalFormatting>
  <conditionalFormatting sqref="AI14">
    <cfRule type="expression" dxfId="2225" priority="149">
      <formula>AND(IF(OR($Q14=1,$Q14=2),1,0),IF($X14&lt;=20,1,0))</formula>
    </cfRule>
    <cfRule type="expression" dxfId="2224" priority="150">
      <formula>AND(IF($Q14=2,1,0),IF($X14&lt;30,1,0))</formula>
    </cfRule>
    <cfRule type="expression" dxfId="2223" priority="151">
      <formula>AND(IF($Q14=3,1,0),IF($X14&lt;30,1,0))</formula>
    </cfRule>
    <cfRule type="expression" dxfId="2222" priority="152">
      <formula>AND(IF($Q14=3,1,IF($Q14=4,1,0)),IF($F14&lt;=85,1,0))</formula>
    </cfRule>
  </conditionalFormatting>
  <conditionalFormatting sqref="AV15">
    <cfRule type="expression" dxfId="2221" priority="147">
      <formula>AV15="X"</formula>
    </cfRule>
    <cfRule type="expression" dxfId="2220" priority="148">
      <formula>AV15="후보"</formula>
    </cfRule>
  </conditionalFormatting>
  <conditionalFormatting sqref="AC15 N15">
    <cfRule type="cellIs" dxfId="2219" priority="144" operator="greaterThan">
      <formula>0.9</formula>
    </cfRule>
    <cfRule type="cellIs" dxfId="2218" priority="145" operator="greaterThan">
      <formula>0.85</formula>
    </cfRule>
  </conditionalFormatting>
  <conditionalFormatting sqref="AV16">
    <cfRule type="expression" dxfId="2217" priority="142">
      <formula>AV16="X"</formula>
    </cfRule>
    <cfRule type="expression" dxfId="2216" priority="143">
      <formula>AV16="후보"</formula>
    </cfRule>
  </conditionalFormatting>
  <conditionalFormatting sqref="AC16">
    <cfRule type="cellIs" dxfId="2215" priority="139" operator="greaterThan">
      <formula>0.9</formula>
    </cfRule>
    <cfRule type="cellIs" dxfId="2214" priority="140" operator="greaterThan">
      <formula>0.85</formula>
    </cfRule>
  </conditionalFormatting>
  <conditionalFormatting sqref="N16">
    <cfRule type="cellIs" dxfId="2213" priority="137" operator="greaterThan">
      <formula>0.9</formula>
    </cfRule>
    <cfRule type="cellIs" dxfId="2212" priority="138" operator="greaterThan">
      <formula>0.85</formula>
    </cfRule>
  </conditionalFormatting>
  <conditionalFormatting sqref="E16">
    <cfRule type="expression" dxfId="2211" priority="133">
      <formula>AND(IF(OR($Q16=1,$Q16=2),1,0),IF($X16&lt;=20,1,0))</formula>
    </cfRule>
    <cfRule type="expression" dxfId="2210" priority="134">
      <formula>AND(IF($Q16=2,1,0),IF($X16&lt;30,1,0))</formula>
    </cfRule>
    <cfRule type="expression" dxfId="2209" priority="135">
      <formula>AND(IF($Q16=3,1,0),IF($X16&lt;30,1,0))</formula>
    </cfRule>
    <cfRule type="expression" dxfId="2208" priority="136">
      <formula>AND(IF($Q16=3,1,IF($Q16=4,1,0)),IF($F16&lt;=85,1,0))</formula>
    </cfRule>
  </conditionalFormatting>
  <conditionalFormatting sqref="X16">
    <cfRule type="expression" dxfId="2207" priority="129">
      <formula>AND(IF(OR($Q16=1,$Q16=2),1,0),IF($X16&lt;=20,1,0))</formula>
    </cfRule>
    <cfRule type="expression" dxfId="2206" priority="130">
      <formula>AND(IF($Q16=2,1,0),IF($X16&lt;30,1,0))</formula>
    </cfRule>
    <cfRule type="expression" dxfId="2205" priority="131">
      <formula>AND(IF($Q16=3,1,0),IF($X16&lt;30,1,0))</formula>
    </cfRule>
    <cfRule type="expression" dxfId="2204" priority="132">
      <formula>AND(IF($Q16=3,1,IF($Q16=4,1,0)),IF($F16&lt;=85,1,0))</formula>
    </cfRule>
  </conditionalFormatting>
  <conditionalFormatting sqref="AI16">
    <cfRule type="expression" dxfId="2203" priority="125">
      <formula>AND(IF(OR($Q16=1,$Q16=2),1,0),IF($X16&lt;=20,1,0))</formula>
    </cfRule>
    <cfRule type="expression" dxfId="2202" priority="126">
      <formula>AND(IF($Q16=2,1,0),IF($X16&lt;30,1,0))</formula>
    </cfRule>
    <cfRule type="expression" dxfId="2201" priority="127">
      <formula>AND(IF($Q16=3,1,0),IF($X16&lt;30,1,0))</formula>
    </cfRule>
    <cfRule type="expression" dxfId="2200" priority="128">
      <formula>AND(IF($Q16=3,1,IF($Q16=4,1,0)),IF($F16&lt;=85,1,0))</formula>
    </cfRule>
  </conditionalFormatting>
  <conditionalFormatting sqref="AV17">
    <cfRule type="expression" dxfId="2199" priority="123">
      <formula>AV17="X"</formula>
    </cfRule>
    <cfRule type="expression" dxfId="2198" priority="124">
      <formula>AV17="후보"</formula>
    </cfRule>
  </conditionalFormatting>
  <conditionalFormatting sqref="AC17">
    <cfRule type="cellIs" dxfId="2197" priority="120" operator="greaterThan">
      <formula>0.9</formula>
    </cfRule>
    <cfRule type="cellIs" dxfId="2196" priority="121" operator="greaterThan">
      <formula>0.85</formula>
    </cfRule>
  </conditionalFormatting>
  <conditionalFormatting sqref="N17">
    <cfRule type="cellIs" dxfId="2195" priority="118" operator="greaterThan">
      <formula>0.9</formula>
    </cfRule>
    <cfRule type="cellIs" dxfId="2194" priority="119" operator="greaterThan">
      <formula>0.85</formula>
    </cfRule>
  </conditionalFormatting>
  <conditionalFormatting sqref="E17">
    <cfRule type="expression" dxfId="2193" priority="114">
      <formula>AND(IF(OR($Q17=1,$Q17=2),1,0),IF($X17&lt;=20,1,0))</formula>
    </cfRule>
    <cfRule type="expression" dxfId="2192" priority="115">
      <formula>AND(IF($Q17=2,1,0),IF($X17&lt;30,1,0))</formula>
    </cfRule>
    <cfRule type="expression" dxfId="2191" priority="116">
      <formula>AND(IF($Q17=3,1,0),IF($X17&lt;30,1,0))</formula>
    </cfRule>
    <cfRule type="expression" dxfId="2190" priority="117">
      <formula>AND(IF($Q17=3,1,IF($Q17=4,1,0)),IF($F17&lt;=85,1,0))</formula>
    </cfRule>
  </conditionalFormatting>
  <conditionalFormatting sqref="X17">
    <cfRule type="expression" dxfId="2189" priority="110">
      <formula>AND(IF(OR($Q17=1,$Q17=2),1,0),IF($X17&lt;=20,1,0))</formula>
    </cfRule>
    <cfRule type="expression" dxfId="2188" priority="111">
      <formula>AND(IF($Q17=2,1,0),IF($X17&lt;30,1,0))</formula>
    </cfRule>
    <cfRule type="expression" dxfId="2187" priority="112">
      <formula>AND(IF($Q17=3,1,0),IF($X17&lt;30,1,0))</formula>
    </cfRule>
    <cfRule type="expression" dxfId="2186" priority="113">
      <formula>AND(IF($Q17=3,1,IF($Q17=4,1,0)),IF($F17&lt;=85,1,0))</formula>
    </cfRule>
  </conditionalFormatting>
  <conditionalFormatting sqref="AI17">
    <cfRule type="expression" dxfId="2185" priority="106">
      <formula>AND(IF(OR($Q17=1,$Q17=2),1,0),IF($X17&lt;=20,1,0))</formula>
    </cfRule>
    <cfRule type="expression" dxfId="2184" priority="107">
      <formula>AND(IF($Q17=2,1,0),IF($X17&lt;30,1,0))</formula>
    </cfRule>
    <cfRule type="expression" dxfId="2183" priority="108">
      <formula>AND(IF($Q17=3,1,0),IF($X17&lt;30,1,0))</formula>
    </cfRule>
    <cfRule type="expression" dxfId="2182" priority="109">
      <formula>AND(IF($Q17=3,1,IF($Q17=4,1,0)),IF($F17&lt;=85,1,0))</formula>
    </cfRule>
  </conditionalFormatting>
  <conditionalFormatting sqref="AV18">
    <cfRule type="expression" dxfId="2181" priority="104">
      <formula>AV18="X"</formula>
    </cfRule>
    <cfRule type="expression" dxfId="2180" priority="105">
      <formula>AV18="후보"</formula>
    </cfRule>
  </conditionalFormatting>
  <conditionalFormatting sqref="AC18">
    <cfRule type="cellIs" dxfId="2179" priority="101" operator="greaterThan">
      <formula>0.9</formula>
    </cfRule>
    <cfRule type="cellIs" dxfId="2178" priority="102" operator="greaterThan">
      <formula>0.85</formula>
    </cfRule>
  </conditionalFormatting>
  <conditionalFormatting sqref="N18">
    <cfRule type="cellIs" dxfId="2177" priority="99" operator="greaterThan">
      <formula>0.9</formula>
    </cfRule>
    <cfRule type="cellIs" dxfId="2176" priority="100" operator="greaterThan">
      <formula>0.85</formula>
    </cfRule>
  </conditionalFormatting>
  <conditionalFormatting sqref="E18">
    <cfRule type="expression" dxfId="2175" priority="95">
      <formula>AND(IF(OR($Q18=1,$Q18=2),1,0),IF($X18&lt;=20,1,0))</formula>
    </cfRule>
    <cfRule type="expression" dxfId="2174" priority="96">
      <formula>AND(IF($Q18=2,1,0),IF($X18&lt;30,1,0))</formula>
    </cfRule>
    <cfRule type="expression" dxfId="2173" priority="97">
      <formula>AND(IF($Q18=3,1,0),IF($X18&lt;30,1,0))</formula>
    </cfRule>
    <cfRule type="expression" dxfId="2172" priority="98">
      <formula>AND(IF($Q18=3,1,IF($Q18=4,1,0)),IF($F18&lt;=85,1,0))</formula>
    </cfRule>
  </conditionalFormatting>
  <conditionalFormatting sqref="X18">
    <cfRule type="expression" dxfId="2171" priority="91">
      <formula>AND(IF(OR($Q18=1,$Q18=2),1,0),IF($X18&lt;=20,1,0))</formula>
    </cfRule>
    <cfRule type="expression" dxfId="2170" priority="92">
      <formula>AND(IF($Q18=2,1,0),IF($X18&lt;30,1,0))</formula>
    </cfRule>
    <cfRule type="expression" dxfId="2169" priority="93">
      <formula>AND(IF($Q18=3,1,0),IF($X18&lt;30,1,0))</formula>
    </cfRule>
    <cfRule type="expression" dxfId="2168" priority="94">
      <formula>AND(IF($Q18=3,1,IF($Q18=4,1,0)),IF($F18&lt;=85,1,0))</formula>
    </cfRule>
  </conditionalFormatting>
  <conditionalFormatting sqref="AI18">
    <cfRule type="expression" dxfId="2167" priority="87">
      <formula>AND(IF(OR($Q18=1,$Q18=2),1,0),IF($X18&lt;=20,1,0))</formula>
    </cfRule>
    <cfRule type="expression" dxfId="2166" priority="88">
      <formula>AND(IF($Q18=2,1,0),IF($X18&lt;30,1,0))</formula>
    </cfRule>
    <cfRule type="expression" dxfId="2165" priority="89">
      <formula>AND(IF($Q18=3,1,0),IF($X18&lt;30,1,0))</formula>
    </cfRule>
    <cfRule type="expression" dxfId="2164" priority="90">
      <formula>AND(IF($Q18=3,1,IF($Q18=4,1,0)),IF($F18&lt;=85,1,0))</formula>
    </cfRule>
  </conditionalFormatting>
  <conditionalFormatting sqref="AV19">
    <cfRule type="expression" dxfId="2163" priority="85">
      <formula>AV19="X"</formula>
    </cfRule>
    <cfRule type="expression" dxfId="2162" priority="86">
      <formula>AV19="후보"</formula>
    </cfRule>
  </conditionalFormatting>
  <conditionalFormatting sqref="AC19 N19">
    <cfRule type="cellIs" dxfId="2161" priority="82" operator="greaterThan">
      <formula>0.9</formula>
    </cfRule>
    <cfRule type="cellIs" dxfId="2160" priority="83" operator="greaterThan">
      <formula>0.85</formula>
    </cfRule>
  </conditionalFormatting>
  <conditionalFormatting sqref="AV20">
    <cfRule type="expression" dxfId="2159" priority="80">
      <formula>AV20="X"</formula>
    </cfRule>
    <cfRule type="expression" dxfId="2158" priority="81">
      <formula>AV20="후보"</formula>
    </cfRule>
  </conditionalFormatting>
  <conditionalFormatting sqref="AC20">
    <cfRule type="cellIs" dxfId="2157" priority="77" operator="greaterThan">
      <formula>0.9</formula>
    </cfRule>
    <cfRule type="cellIs" dxfId="2156" priority="78" operator="greaterThan">
      <formula>0.85</formula>
    </cfRule>
  </conditionalFormatting>
  <conditionalFormatting sqref="N20">
    <cfRule type="cellIs" dxfId="2155" priority="75" operator="greaterThan">
      <formula>0.9</formula>
    </cfRule>
    <cfRule type="cellIs" dxfId="2154" priority="76" operator="greaterThan">
      <formula>0.85</formula>
    </cfRule>
  </conditionalFormatting>
  <conditionalFormatting sqref="E20">
    <cfRule type="expression" dxfId="2153" priority="71">
      <formula>AND(IF(OR($Q20=1,$Q20=2),1,0),IF($X20&lt;=20,1,0))</formula>
    </cfRule>
    <cfRule type="expression" dxfId="2152" priority="72">
      <formula>AND(IF($Q20=2,1,0),IF($X20&lt;30,1,0))</formula>
    </cfRule>
    <cfRule type="expression" dxfId="2151" priority="73">
      <formula>AND(IF($Q20=3,1,0),IF($X20&lt;30,1,0))</formula>
    </cfRule>
    <cfRule type="expression" dxfId="2150" priority="74">
      <formula>AND(IF($Q20=3,1,IF($Q20=4,1,0)),IF($F20&lt;=85,1,0))</formula>
    </cfRule>
  </conditionalFormatting>
  <conditionalFormatting sqref="X20">
    <cfRule type="expression" dxfId="2149" priority="67">
      <formula>AND(IF(OR($Q20=1,$Q20=2),1,0),IF($X20&lt;=20,1,0))</formula>
    </cfRule>
    <cfRule type="expression" dxfId="2148" priority="68">
      <formula>AND(IF($Q20=2,1,0),IF($X20&lt;30,1,0))</formula>
    </cfRule>
    <cfRule type="expression" dxfId="2147" priority="69">
      <formula>AND(IF($Q20=3,1,0),IF($X20&lt;30,1,0))</formula>
    </cfRule>
    <cfRule type="expression" dxfId="2146" priority="70">
      <formula>AND(IF($Q20=3,1,IF($Q20=4,1,0)),IF($F20&lt;=85,1,0))</formula>
    </cfRule>
  </conditionalFormatting>
  <conditionalFormatting sqref="AI20">
    <cfRule type="expression" dxfId="2145" priority="63">
      <formula>AND(IF(OR($Q20=1,$Q20=2),1,0),IF($X20&lt;=20,1,0))</formula>
    </cfRule>
    <cfRule type="expression" dxfId="2144" priority="64">
      <formula>AND(IF($Q20=2,1,0),IF($X20&lt;30,1,0))</formula>
    </cfRule>
    <cfRule type="expression" dxfId="2143" priority="65">
      <formula>AND(IF($Q20=3,1,0),IF($X20&lt;30,1,0))</formula>
    </cfRule>
    <cfRule type="expression" dxfId="2142" priority="66">
      <formula>AND(IF($Q20=3,1,IF($Q20=4,1,0)),IF($F20&lt;=85,1,0))</formula>
    </cfRule>
  </conditionalFormatting>
  <conditionalFormatting sqref="AV21">
    <cfRule type="expression" dxfId="2141" priority="61">
      <formula>AV21="X"</formula>
    </cfRule>
    <cfRule type="expression" dxfId="2140" priority="62">
      <formula>AV21="후보"</formula>
    </cfRule>
  </conditionalFormatting>
  <conditionalFormatting sqref="AC21">
    <cfRule type="cellIs" dxfId="2139" priority="58" operator="greaterThan">
      <formula>0.9</formula>
    </cfRule>
    <cfRule type="cellIs" dxfId="2138" priority="59" operator="greaterThan">
      <formula>0.85</formula>
    </cfRule>
  </conditionalFormatting>
  <conditionalFormatting sqref="N21">
    <cfRule type="cellIs" dxfId="2137" priority="56" operator="greaterThan">
      <formula>0.9</formula>
    </cfRule>
    <cfRule type="cellIs" dxfId="2136" priority="57" operator="greaterThan">
      <formula>0.85</formula>
    </cfRule>
  </conditionalFormatting>
  <conditionalFormatting sqref="E21">
    <cfRule type="expression" dxfId="2135" priority="52">
      <formula>AND(IF(OR($Q21=1,$Q21=2),1,0),IF($X21&lt;=20,1,0))</formula>
    </cfRule>
    <cfRule type="expression" dxfId="2134" priority="53">
      <formula>AND(IF($Q21=2,1,0),IF($X21&lt;30,1,0))</formula>
    </cfRule>
    <cfRule type="expression" dxfId="2133" priority="54">
      <formula>AND(IF($Q21=3,1,0),IF($X21&lt;30,1,0))</formula>
    </cfRule>
    <cfRule type="expression" dxfId="2132" priority="55">
      <formula>AND(IF($Q21=3,1,IF($Q21=4,1,0)),IF($F21&lt;=85,1,0))</formula>
    </cfRule>
  </conditionalFormatting>
  <conditionalFormatting sqref="X21">
    <cfRule type="expression" dxfId="2131" priority="48">
      <formula>AND(IF(OR($Q21=1,$Q21=2),1,0),IF($X21&lt;=20,1,0))</formula>
    </cfRule>
    <cfRule type="expression" dxfId="2130" priority="49">
      <formula>AND(IF($Q21=2,1,0),IF($X21&lt;30,1,0))</formula>
    </cfRule>
    <cfRule type="expression" dxfId="2129" priority="50">
      <formula>AND(IF($Q21=3,1,0),IF($X21&lt;30,1,0))</formula>
    </cfRule>
    <cfRule type="expression" dxfId="2128" priority="51">
      <formula>AND(IF($Q21=3,1,IF($Q21=4,1,0)),IF($F21&lt;=85,1,0))</formula>
    </cfRule>
  </conditionalFormatting>
  <conditionalFormatting sqref="AI21">
    <cfRule type="expression" dxfId="2127" priority="44">
      <formula>AND(IF(OR($Q21=1,$Q21=2),1,0),IF($X21&lt;=20,1,0))</formula>
    </cfRule>
    <cfRule type="expression" dxfId="2126" priority="45">
      <formula>AND(IF($Q21=2,1,0),IF($X21&lt;30,1,0))</formula>
    </cfRule>
    <cfRule type="expression" dxfId="2125" priority="46">
      <formula>AND(IF($Q21=3,1,0),IF($X21&lt;30,1,0))</formula>
    </cfRule>
    <cfRule type="expression" dxfId="2124" priority="47">
      <formula>AND(IF($Q21=3,1,IF($Q21=4,1,0)),IF($F21&lt;=85,1,0))</formula>
    </cfRule>
  </conditionalFormatting>
  <conditionalFormatting sqref="AV22">
    <cfRule type="expression" dxfId="2123" priority="42">
      <formula>AV22="X"</formula>
    </cfRule>
    <cfRule type="expression" dxfId="2122" priority="43">
      <formula>AV22="후보"</formula>
    </cfRule>
  </conditionalFormatting>
  <conditionalFormatting sqref="AC22">
    <cfRule type="cellIs" dxfId="2121" priority="39" operator="greaterThan">
      <formula>0.9</formula>
    </cfRule>
    <cfRule type="cellIs" dxfId="2120" priority="40" operator="greaterThan">
      <formula>0.85</formula>
    </cfRule>
  </conditionalFormatting>
  <conditionalFormatting sqref="N22">
    <cfRule type="cellIs" dxfId="2119" priority="37" operator="greaterThan">
      <formula>0.9</formula>
    </cfRule>
    <cfRule type="cellIs" dxfId="2118" priority="38" operator="greaterThan">
      <formula>0.85</formula>
    </cfRule>
  </conditionalFormatting>
  <conditionalFormatting sqref="E22">
    <cfRule type="expression" dxfId="2117" priority="33">
      <formula>AND(IF(OR($Q22=1,$Q22=2),1,0),IF($X22&lt;=20,1,0))</formula>
    </cfRule>
    <cfRule type="expression" dxfId="2116" priority="34">
      <formula>AND(IF($Q22=2,1,0),IF($X22&lt;30,1,0))</formula>
    </cfRule>
    <cfRule type="expression" dxfId="2115" priority="35">
      <formula>AND(IF($Q22=3,1,0),IF($X22&lt;30,1,0))</formula>
    </cfRule>
    <cfRule type="expression" dxfId="2114" priority="36">
      <formula>AND(IF($Q22=3,1,IF($Q22=4,1,0)),IF($F22&lt;=85,1,0))</formula>
    </cfRule>
  </conditionalFormatting>
  <conditionalFormatting sqref="X22">
    <cfRule type="expression" dxfId="2113" priority="29">
      <formula>AND(IF(OR($Q22=1,$Q22=2),1,0),IF($X22&lt;=20,1,0))</formula>
    </cfRule>
    <cfRule type="expression" dxfId="2112" priority="30">
      <formula>AND(IF($Q22=2,1,0),IF($X22&lt;30,1,0))</formula>
    </cfRule>
    <cfRule type="expression" dxfId="2111" priority="31">
      <formula>AND(IF($Q22=3,1,0),IF($X22&lt;30,1,0))</formula>
    </cfRule>
    <cfRule type="expression" dxfId="2110" priority="32">
      <formula>AND(IF($Q22=3,1,IF($Q22=4,1,0)),IF($F22&lt;=85,1,0))</formula>
    </cfRule>
  </conditionalFormatting>
  <conditionalFormatting sqref="AI22">
    <cfRule type="expression" dxfId="2109" priority="25">
      <formula>AND(IF(OR($Q22=1,$Q22=2),1,0),IF($X22&lt;=20,1,0))</formula>
    </cfRule>
    <cfRule type="expression" dxfId="2108" priority="26">
      <formula>AND(IF($Q22=2,1,0),IF($X22&lt;30,1,0))</formula>
    </cfRule>
    <cfRule type="expression" dxfId="2107" priority="27">
      <formula>AND(IF($Q22=3,1,0),IF($X22&lt;30,1,0))</formula>
    </cfRule>
    <cfRule type="expression" dxfId="2106" priority="28">
      <formula>AND(IF($Q22=3,1,IF($Q22=4,1,0)),IF($F22&lt;=85,1,0))</formula>
    </cfRule>
  </conditionalFormatting>
  <conditionalFormatting sqref="AV23">
    <cfRule type="expression" dxfId="2105" priority="23">
      <formula>AV23="X"</formula>
    </cfRule>
    <cfRule type="expression" dxfId="2104" priority="24">
      <formula>AV23="후보"</formula>
    </cfRule>
  </conditionalFormatting>
  <conditionalFormatting sqref="AC23 N23">
    <cfRule type="cellIs" dxfId="2103" priority="20" operator="greaterThan">
      <formula>0.9</formula>
    </cfRule>
    <cfRule type="cellIs" dxfId="2102" priority="21" operator="greaterThan">
      <formula>0.85</formula>
    </cfRule>
  </conditionalFormatting>
  <conditionalFormatting sqref="AV24">
    <cfRule type="expression" dxfId="2101" priority="18">
      <formula>AV24="X"</formula>
    </cfRule>
    <cfRule type="expression" dxfId="2100" priority="19">
      <formula>AV24="후보"</formula>
    </cfRule>
  </conditionalFormatting>
  <conditionalFormatting sqref="AC24">
    <cfRule type="cellIs" dxfId="2099" priority="15" operator="greaterThan">
      <formula>0.9</formula>
    </cfRule>
    <cfRule type="cellIs" dxfId="2098" priority="16" operator="greaterThan">
      <formula>0.85</formula>
    </cfRule>
  </conditionalFormatting>
  <conditionalFormatting sqref="N24">
    <cfRule type="cellIs" dxfId="2097" priority="13" operator="greaterThan">
      <formula>0.9</formula>
    </cfRule>
    <cfRule type="cellIs" dxfId="2096" priority="14" operator="greaterThan">
      <formula>0.85</formula>
    </cfRule>
  </conditionalFormatting>
  <conditionalFormatting sqref="E24">
    <cfRule type="expression" dxfId="2095" priority="9">
      <formula>AND(IF(OR($Q24=1,$Q24=2),1,0),IF($X24&lt;=20,1,0))</formula>
    </cfRule>
    <cfRule type="expression" dxfId="2094" priority="10">
      <formula>AND(IF($Q24=2,1,0),IF($X24&lt;30,1,0))</formula>
    </cfRule>
    <cfRule type="expression" dxfId="2093" priority="11">
      <formula>AND(IF($Q24=3,1,0),IF($X24&lt;30,1,0))</formula>
    </cfRule>
    <cfRule type="expression" dxfId="2092" priority="12">
      <formula>AND(IF($Q24=3,1,IF($Q24=4,1,0)),IF($F24&lt;=85,1,0))</formula>
    </cfRule>
  </conditionalFormatting>
  <conditionalFormatting sqref="X24">
    <cfRule type="expression" dxfId="2091" priority="5">
      <formula>AND(IF(OR($Q24=1,$Q24=2),1,0),IF($X24&lt;=20,1,0))</formula>
    </cfRule>
    <cfRule type="expression" dxfId="2090" priority="6">
      <formula>AND(IF($Q24=2,1,0),IF($X24&lt;30,1,0))</formula>
    </cfRule>
    <cfRule type="expression" dxfId="2089" priority="7">
      <formula>AND(IF($Q24=3,1,0),IF($X24&lt;30,1,0))</formula>
    </cfRule>
    <cfRule type="expression" dxfId="2088" priority="8">
      <formula>AND(IF($Q24=3,1,IF($Q24=4,1,0)),IF($F24&lt;=85,1,0))</formula>
    </cfRule>
  </conditionalFormatting>
  <conditionalFormatting sqref="AI24">
    <cfRule type="expression" dxfId="2087" priority="1">
      <formula>AND(IF(OR($Q24=1,$Q24=2),1,0),IF($X24&lt;=20,1,0))</formula>
    </cfRule>
    <cfRule type="expression" dxfId="2086" priority="2">
      <formula>AND(IF($Q24=2,1,0),IF($X24&lt;30,1,0))</formula>
    </cfRule>
    <cfRule type="expression" dxfId="2085" priority="3">
      <formula>AND(IF($Q24=3,1,0),IF($X24&lt;30,1,0))</formula>
    </cfRule>
    <cfRule type="expression" dxfId="2084" priority="4">
      <formula>AND(IF($Q24=3,1,IF($Q24=4,1,0)),IF($F24&lt;=85,1,0))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AV1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" sqref="A11:XFD11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이동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1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540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이동 남흥('91.12.,268^)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1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552</v>
      </c>
      <c r="B6" s="10" t="s">
        <v>911</v>
      </c>
      <c r="C6" s="107">
        <v>268</v>
      </c>
      <c r="D6" s="104">
        <v>89.3</v>
      </c>
      <c r="E6" s="106">
        <v>27</v>
      </c>
      <c r="F6" s="104">
        <v>77.2</v>
      </c>
      <c r="G6" s="17">
        <v>23</v>
      </c>
      <c r="H6" s="107">
        <v>108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1</v>
      </c>
      <c r="S6" s="75" t="s">
        <v>869</v>
      </c>
      <c r="T6" s="5">
        <v>89</v>
      </c>
      <c r="U6" s="9"/>
      <c r="W6" s="104">
        <f t="shared" ref="W6:X8" si="2">D6</f>
        <v>89.3</v>
      </c>
      <c r="X6" s="106">
        <f t="shared" si="2"/>
        <v>27</v>
      </c>
      <c r="Y6" s="102">
        <f t="shared" ref="Y6:Z8" si="3">H6</f>
        <v>108</v>
      </c>
      <c r="Z6" s="109">
        <f t="shared" si="3"/>
        <v>0</v>
      </c>
      <c r="AA6" s="109">
        <f>K6</f>
        <v>0</v>
      </c>
      <c r="AB6" s="109">
        <f t="shared" ref="AB6:AD8" si="4">M6</f>
        <v>0</v>
      </c>
      <c r="AC6" s="4" t="str">
        <f t="shared" si="4"/>
        <v/>
      </c>
      <c r="AD6" s="105">
        <f t="shared" si="4"/>
        <v>0</v>
      </c>
      <c r="AE6" s="75" t="str">
        <f>S6</f>
        <v>계</v>
      </c>
      <c r="AF6" s="75" t="str">
        <f>Q6&amp;"/"&amp;R6</f>
        <v>3/1</v>
      </c>
      <c r="AH6" s="20" t="str">
        <f t="shared" si="1"/>
        <v>남흥</v>
      </c>
      <c r="AI6" s="106">
        <f t="shared" si="0"/>
        <v>27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X</v>
      </c>
      <c r="AV6" s="75" t="str">
        <f>IF(AO6="","",IF(AND(AO6="O",AP6="O",AR6="O",AT6="O",AU6="O"),"후보","X"))</f>
        <v/>
      </c>
    </row>
    <row r="7" spans="1:48" x14ac:dyDescent="0.3">
      <c r="A7" s="9" t="s">
        <v>552</v>
      </c>
      <c r="B7" s="10" t="s">
        <v>911</v>
      </c>
      <c r="C7" s="107">
        <v>268</v>
      </c>
      <c r="D7" s="104">
        <v>99.2</v>
      </c>
      <c r="E7" s="106">
        <v>30</v>
      </c>
      <c r="F7" s="104">
        <v>85</v>
      </c>
      <c r="G7" s="17">
        <v>26</v>
      </c>
      <c r="H7" s="107">
        <v>150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3</v>
      </c>
      <c r="R7" s="75">
        <v>2</v>
      </c>
      <c r="S7" s="75" t="s">
        <v>869</v>
      </c>
      <c r="T7" s="5">
        <v>99</v>
      </c>
      <c r="U7" s="9"/>
      <c r="W7" s="104">
        <f t="shared" si="2"/>
        <v>99.2</v>
      </c>
      <c r="X7" s="106">
        <f t="shared" si="2"/>
        <v>30</v>
      </c>
      <c r="Y7" s="102">
        <f t="shared" si="3"/>
        <v>150</v>
      </c>
      <c r="Z7" s="109">
        <f t="shared" si="3"/>
        <v>0</v>
      </c>
      <c r="AA7" s="109">
        <f>K7</f>
        <v>0</v>
      </c>
      <c r="AB7" s="109">
        <f t="shared" si="4"/>
        <v>0</v>
      </c>
      <c r="AC7" s="4" t="str">
        <f t="shared" si="4"/>
        <v/>
      </c>
      <c r="AD7" s="105">
        <f t="shared" si="4"/>
        <v>0</v>
      </c>
      <c r="AE7" s="75" t="str">
        <f>S7</f>
        <v>계</v>
      </c>
      <c r="AF7" s="75" t="str">
        <f>Q7&amp;"/"&amp;R7</f>
        <v>3/2</v>
      </c>
      <c r="AH7" s="20" t="str">
        <f t="shared" si="1"/>
        <v>남흥</v>
      </c>
      <c r="AI7" s="106">
        <f t="shared" si="0"/>
        <v>30</v>
      </c>
      <c r="AJ7" s="75" t="str">
        <f>IF(AI7="","",$AJ$2)</f>
        <v>A-</v>
      </c>
      <c r="AK7" s="75" t="s">
        <v>14</v>
      </c>
      <c r="AL7" s="75" t="s">
        <v>870</v>
      </c>
      <c r="AM7" s="75" t="s">
        <v>871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O</v>
      </c>
      <c r="AU7" s="75" t="str">
        <f>IF(C7="","",IF(C7&gt;=$AU$1,"O","X"))</f>
        <v>X</v>
      </c>
      <c r="AV7" s="75" t="str">
        <f>IF(AO7="","",IF(AND(AO7="O",AP7="O",AR7="O",AT7="O",AU7="O"),"후보","X"))</f>
        <v/>
      </c>
    </row>
    <row r="8" spans="1:48" x14ac:dyDescent="0.3">
      <c r="A8" s="9" t="s">
        <v>552</v>
      </c>
      <c r="B8" s="10" t="s">
        <v>911</v>
      </c>
      <c r="C8" s="107">
        <v>268</v>
      </c>
      <c r="D8" s="104">
        <v>145.69999999999999</v>
      </c>
      <c r="E8" s="106">
        <v>44</v>
      </c>
      <c r="F8" s="104">
        <v>128.6</v>
      </c>
      <c r="G8" s="17">
        <v>39</v>
      </c>
      <c r="H8" s="107">
        <v>10</v>
      </c>
      <c r="I8" s="108"/>
      <c r="J8" s="108"/>
      <c r="K8" s="108"/>
      <c r="L8" s="108"/>
      <c r="M8" s="109">
        <f>I8-K8</f>
        <v>0</v>
      </c>
      <c r="N8" s="4" t="str">
        <f>IF(ISERROR(K8/I8),"",K8/I8)</f>
        <v/>
      </c>
      <c r="O8" s="105">
        <f>I8/E8</f>
        <v>0</v>
      </c>
      <c r="P8" s="105">
        <f>K8/E8</f>
        <v>0</v>
      </c>
      <c r="Q8" s="75">
        <v>4</v>
      </c>
      <c r="R8" s="75">
        <v>2</v>
      </c>
      <c r="S8" s="75" t="s">
        <v>869</v>
      </c>
      <c r="T8" s="5">
        <v>145</v>
      </c>
      <c r="U8" s="9"/>
      <c r="W8" s="104">
        <f t="shared" si="2"/>
        <v>145.69999999999999</v>
      </c>
      <c r="X8" s="106">
        <f t="shared" si="2"/>
        <v>44</v>
      </c>
      <c r="Y8" s="102">
        <f t="shared" si="3"/>
        <v>10</v>
      </c>
      <c r="Z8" s="109">
        <f t="shared" si="3"/>
        <v>0</v>
      </c>
      <c r="AA8" s="109">
        <f>K8</f>
        <v>0</v>
      </c>
      <c r="AB8" s="109">
        <f t="shared" si="4"/>
        <v>0</v>
      </c>
      <c r="AC8" s="4" t="str">
        <f t="shared" si="4"/>
        <v/>
      </c>
      <c r="AD8" s="105">
        <f t="shared" si="4"/>
        <v>0</v>
      </c>
      <c r="AE8" s="75" t="str">
        <f>S8</f>
        <v>계</v>
      </c>
      <c r="AF8" s="75" t="str">
        <f>Q8&amp;"/"&amp;R8</f>
        <v>4/2</v>
      </c>
      <c r="AH8" s="20" t="str">
        <f t="shared" si="1"/>
        <v>남흥</v>
      </c>
      <c r="AI8" s="106">
        <f t="shared" si="0"/>
        <v>44</v>
      </c>
      <c r="AJ8" s="75" t="str">
        <f>IF(AI8="","",$AJ$2)</f>
        <v>A-</v>
      </c>
      <c r="AK8" s="75" t="s">
        <v>14</v>
      </c>
      <c r="AL8" s="75" t="s">
        <v>870</v>
      </c>
      <c r="AM8" s="75" t="s">
        <v>871</v>
      </c>
      <c r="AN8" s="75" t="str">
        <f>IF(AI8="","",$AN$2)</f>
        <v>C</v>
      </c>
      <c r="AO8" s="75" t="str">
        <f>IF(N8="","",IF(N8&gt;=$AO$1/100,"O","X"))</f>
        <v/>
      </c>
      <c r="AP8" s="75" t="str">
        <f>IF(I8="","",IF(I8&lt;=$AP$1,"O","X"))</f>
        <v/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X</v>
      </c>
      <c r="AU8" s="75" t="str">
        <f>IF(C8="","",IF(C8&gt;=$AU$1,"O","X"))</f>
        <v>X</v>
      </c>
      <c r="AV8" s="75" t="str">
        <f>IF(AO8="","",IF(AND(AO8="O",AP8="O",AR8="O",AT8="O",AU8="O"),"후보","X"))</f>
        <v/>
      </c>
    </row>
    <row r="9" spans="1:48" x14ac:dyDescent="0.3">
      <c r="A9" s="9"/>
      <c r="B9" s="75"/>
      <c r="C9" s="6"/>
      <c r="D9" s="9"/>
      <c r="E9" s="14"/>
      <c r="F9" s="104"/>
      <c r="G9" s="9"/>
      <c r="H9" s="9"/>
      <c r="I9" s="9"/>
      <c r="J9" s="9"/>
      <c r="K9" s="9"/>
      <c r="L9" s="9"/>
      <c r="M9" s="9"/>
      <c r="N9" s="9"/>
      <c r="O9" s="105"/>
      <c r="P9" s="105"/>
      <c r="Q9" s="106"/>
      <c r="R9" s="106"/>
      <c r="S9" s="9"/>
      <c r="T9" s="48"/>
      <c r="U9" s="9"/>
      <c r="W9" s="70" t="str">
        <f>$A$4&amp;" "&amp;A10&amp;"("&amp;B10&amp;","&amp;C10&amp;"^)"</f>
        <v>이동 진해이동디에스아이존빌('08.10.,328^)</v>
      </c>
      <c r="X9" s="71"/>
      <c r="Y9" s="71"/>
      <c r="Z9" s="71"/>
      <c r="AA9" s="71"/>
      <c r="AB9" s="71"/>
      <c r="AC9" s="71"/>
      <c r="AD9" s="71"/>
      <c r="AE9" s="71"/>
      <c r="AF9" s="72"/>
      <c r="AH9" s="20" t="str">
        <f t="shared" si="1"/>
        <v/>
      </c>
      <c r="AI9" s="103" t="str">
        <f t="shared" si="0"/>
        <v/>
      </c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</row>
    <row r="10" spans="1:48" x14ac:dyDescent="0.3">
      <c r="A10" s="9" t="s">
        <v>566</v>
      </c>
      <c r="B10" s="10" t="s">
        <v>912</v>
      </c>
      <c r="C10" s="107">
        <v>328</v>
      </c>
      <c r="D10" s="104">
        <v>121.3</v>
      </c>
      <c r="E10" s="106">
        <v>37</v>
      </c>
      <c r="F10" s="104">
        <v>84.8</v>
      </c>
      <c r="G10" s="17">
        <v>26</v>
      </c>
      <c r="H10" s="107">
        <v>289</v>
      </c>
      <c r="I10" s="108">
        <v>36000</v>
      </c>
      <c r="J10" s="108" t="s">
        <v>873</v>
      </c>
      <c r="K10" s="108"/>
      <c r="L10" s="108"/>
      <c r="M10" s="109">
        <f>I10-K10</f>
        <v>36000</v>
      </c>
      <c r="N10" s="4">
        <f>IF(ISERROR(K10/I10),"",K10/I10)</f>
        <v>0</v>
      </c>
      <c r="O10" s="105">
        <f>I10/E10</f>
        <v>972.97297297297303</v>
      </c>
      <c r="P10" s="105">
        <f>K10/E10</f>
        <v>0</v>
      </c>
      <c r="Q10" s="75">
        <v>3</v>
      </c>
      <c r="R10" s="75">
        <v>2</v>
      </c>
      <c r="S10" s="75" t="s">
        <v>869</v>
      </c>
      <c r="T10" s="5" t="s">
        <v>568</v>
      </c>
      <c r="U10" s="9"/>
      <c r="W10" s="104">
        <f>D10</f>
        <v>121.3</v>
      </c>
      <c r="X10" s="106">
        <f>E10</f>
        <v>37</v>
      </c>
      <c r="Y10" s="102">
        <f>H10</f>
        <v>289</v>
      </c>
      <c r="Z10" s="109">
        <f>I10</f>
        <v>36000</v>
      </c>
      <c r="AA10" s="109">
        <f>K10</f>
        <v>0</v>
      </c>
      <c r="AB10" s="109">
        <f t="shared" ref="AB10:AD11" si="5">M10</f>
        <v>36000</v>
      </c>
      <c r="AC10" s="4">
        <f t="shared" si="5"/>
        <v>0</v>
      </c>
      <c r="AD10" s="105">
        <f t="shared" si="5"/>
        <v>972.97297297297303</v>
      </c>
      <c r="AE10" s="75" t="str">
        <f>S10</f>
        <v>계</v>
      </c>
      <c r="AF10" s="75" t="str">
        <f>Q10&amp;"/"&amp;R10</f>
        <v>3/2</v>
      </c>
      <c r="AH10" s="20" t="str">
        <f t="shared" si="1"/>
        <v>진해이동디에스아이존빌</v>
      </c>
      <c r="AI10" s="106">
        <f t="shared" si="0"/>
        <v>37</v>
      </c>
      <c r="AJ10" s="75" t="str">
        <f>IF(AI10="","",$AJ$2)</f>
        <v>A-</v>
      </c>
      <c r="AK10" s="75" t="s">
        <v>14</v>
      </c>
      <c r="AL10" s="75" t="s">
        <v>870</v>
      </c>
      <c r="AM10" s="75" t="s">
        <v>871</v>
      </c>
      <c r="AN10" s="75" t="str">
        <f>IF(AI10="","",$AN$2)</f>
        <v>C</v>
      </c>
      <c r="AO10" s="75" t="str">
        <f>IF(N10="","",IF(N10&gt;=$AO$1/100,"O","X"))</f>
        <v>X</v>
      </c>
      <c r="AP10" s="75" t="str">
        <f>IF(I10="","",IF(I10&lt;=$AP$1,"O","X"))</f>
        <v>O</v>
      </c>
      <c r="AQ10" s="75" t="str">
        <f>IF(O10="","",IF(O10&lt;=$AQ$1,"O","X"))</f>
        <v>O</v>
      </c>
      <c r="AR10" s="75" t="str">
        <f>IF(M10="","",IF(M10&lt;=$AR$1,"O","X"))</f>
        <v>X</v>
      </c>
      <c r="AS10" s="75" t="s">
        <v>2</v>
      </c>
      <c r="AT10" s="75" t="str">
        <f>IF(OR(F10="",AI10=""),"",IF(AND((F10&lt;=85),(AI10&gt;=15)),"O","X"))</f>
        <v>O</v>
      </c>
      <c r="AU10" s="75" t="str">
        <f>IF(C10="","",IF(C10&gt;=$AU$1,"O","X"))</f>
        <v>O</v>
      </c>
      <c r="AV10" s="75" t="str">
        <f>IF(AO10="","",IF(AND(AO10="O",AP10="O",AR10="O",AT10="O",AU10="O"),"후보","X"))</f>
        <v>X</v>
      </c>
    </row>
    <row r="11" spans="1:48" x14ac:dyDescent="0.3">
      <c r="A11" s="9" t="s">
        <v>566</v>
      </c>
      <c r="B11" s="10" t="s">
        <v>912</v>
      </c>
      <c r="C11" s="107">
        <v>328</v>
      </c>
      <c r="D11" s="104">
        <v>122.1</v>
      </c>
      <c r="E11" s="106">
        <v>37</v>
      </c>
      <c r="F11" s="104">
        <v>84.7</v>
      </c>
      <c r="G11" s="17">
        <v>26</v>
      </c>
      <c r="H11" s="107">
        <v>39</v>
      </c>
      <c r="I11" s="108">
        <v>36000</v>
      </c>
      <c r="J11" s="108" t="s">
        <v>868</v>
      </c>
      <c r="K11" s="108"/>
      <c r="L11" s="108"/>
      <c r="M11" s="109">
        <f>I11-K11</f>
        <v>36000</v>
      </c>
      <c r="N11" s="4">
        <f>IF(ISERROR(K11/I11),"",K11/I11)</f>
        <v>0</v>
      </c>
      <c r="O11" s="105">
        <f>I11/E11</f>
        <v>972.97297297297303</v>
      </c>
      <c r="P11" s="105">
        <f>K11/E11</f>
        <v>0</v>
      </c>
      <c r="Q11" s="75">
        <v>3</v>
      </c>
      <c r="R11" s="75">
        <v>2</v>
      </c>
      <c r="S11" s="75" t="s">
        <v>869</v>
      </c>
      <c r="T11" s="5" t="s">
        <v>572</v>
      </c>
      <c r="U11" s="9"/>
      <c r="W11" s="104">
        <f>D11</f>
        <v>122.1</v>
      </c>
      <c r="X11" s="106">
        <f>E11</f>
        <v>37</v>
      </c>
      <c r="Y11" s="102">
        <f>H11</f>
        <v>39</v>
      </c>
      <c r="Z11" s="109">
        <f>I11</f>
        <v>36000</v>
      </c>
      <c r="AA11" s="109">
        <f>K11</f>
        <v>0</v>
      </c>
      <c r="AB11" s="109">
        <f t="shared" si="5"/>
        <v>36000</v>
      </c>
      <c r="AC11" s="4">
        <f t="shared" si="5"/>
        <v>0</v>
      </c>
      <c r="AD11" s="105">
        <f t="shared" si="5"/>
        <v>972.97297297297303</v>
      </c>
      <c r="AE11" s="75" t="str">
        <f>S11</f>
        <v>계</v>
      </c>
      <c r="AF11" s="75" t="str">
        <f>Q11&amp;"/"&amp;R11</f>
        <v>3/2</v>
      </c>
      <c r="AH11" s="20" t="str">
        <f t="shared" si="1"/>
        <v>진해이동디에스아이존빌</v>
      </c>
      <c r="AI11" s="106">
        <f t="shared" si="0"/>
        <v>37</v>
      </c>
      <c r="AJ11" s="75" t="str">
        <f>IF(AI11="","",$AJ$2)</f>
        <v>A-</v>
      </c>
      <c r="AK11" s="75" t="s">
        <v>14</v>
      </c>
      <c r="AL11" s="75" t="s">
        <v>870</v>
      </c>
      <c r="AM11" s="75" t="s">
        <v>871</v>
      </c>
      <c r="AN11" s="75" t="str">
        <f>IF(AI11="","",$AN$2)</f>
        <v>C</v>
      </c>
      <c r="AO11" s="75" t="str">
        <f>IF(N11="","",IF(N11&gt;=$AO$1/100,"O","X"))</f>
        <v>X</v>
      </c>
      <c r="AP11" s="75" t="str">
        <f>IF(I11="","",IF(I11&lt;=$AP$1,"O","X"))</f>
        <v>O</v>
      </c>
      <c r="AQ11" s="75" t="str">
        <f>IF(O11="","",IF(O11&lt;=$AQ$1,"O","X"))</f>
        <v>O</v>
      </c>
      <c r="AR11" s="75" t="str">
        <f>IF(M11="","",IF(M11&lt;=$AR$1,"O","X"))</f>
        <v>X</v>
      </c>
      <c r="AS11" s="75" t="s">
        <v>2</v>
      </c>
      <c r="AT11" s="75" t="str">
        <f>IF(OR(F11="",AI11=""),"",IF(AND((F11&lt;=85),(AI11&gt;=15)),"O","X"))</f>
        <v>O</v>
      </c>
      <c r="AU11" s="75" t="str">
        <f>IF(C11="","",IF(C11&gt;=$AU$1,"O","X"))</f>
        <v>O</v>
      </c>
      <c r="AV11" s="75" t="str">
        <f>IF(AO11="","",IF(AND(AO11="O",AP11="O",AR11="O",AT11="O",AU11="O"),"후보","X"))</f>
        <v>X</v>
      </c>
    </row>
  </sheetData>
  <mergeCells count="1">
    <mergeCell ref="AJ1:AN1"/>
  </mergeCells>
  <phoneticPr fontId="2" type="noConversion"/>
  <conditionalFormatting sqref="AV4:AV6">
    <cfRule type="expression" dxfId="2083" priority="101">
      <formula>AV4="X"</formula>
    </cfRule>
    <cfRule type="expression" dxfId="2082" priority="102">
      <formula>AV4="후보"</formula>
    </cfRule>
  </conditionalFormatting>
  <conditionalFormatting sqref="AC1:AC2 AC4:AC6 N4:N5">
    <cfRule type="cellIs" dxfId="2081" priority="98" operator="greaterThan">
      <formula>0.9</formula>
    </cfRule>
    <cfRule type="cellIs" dxfId="2080" priority="99" operator="greaterThan">
      <formula>0.85</formula>
    </cfRule>
  </conditionalFormatting>
  <conditionalFormatting sqref="N1:N2">
    <cfRule type="cellIs" dxfId="2079" priority="96" operator="greaterThan">
      <formula>0.9</formula>
    </cfRule>
    <cfRule type="cellIs" dxfId="2078" priority="97" operator="greaterThan">
      <formula>0.85</formula>
    </cfRule>
  </conditionalFormatting>
  <conditionalFormatting sqref="N6">
    <cfRule type="cellIs" dxfId="2077" priority="94" operator="greaterThan">
      <formula>0.9</formula>
    </cfRule>
    <cfRule type="cellIs" dxfId="2076" priority="95" operator="greaterThan">
      <formula>0.85</formula>
    </cfRule>
  </conditionalFormatting>
  <conditionalFormatting sqref="E6">
    <cfRule type="expression" dxfId="2075" priority="90">
      <formula>AND(IF(OR($Q6=1,$Q6=2),1,0),IF($X6&lt;=20,1,0))</formula>
    </cfRule>
    <cfRule type="expression" dxfId="2074" priority="91">
      <formula>AND(IF($Q6=2,1,0),IF($X6&lt;30,1,0))</formula>
    </cfRule>
    <cfRule type="expression" dxfId="2073" priority="92">
      <formula>AND(IF($Q6=3,1,0),IF($X6&lt;30,1,0))</formula>
    </cfRule>
    <cfRule type="expression" dxfId="2072" priority="93">
      <formula>AND(IF($Q6=3,1,IF($Q6=4,1,0)),IF($F6&lt;=85,1,0))</formula>
    </cfRule>
  </conditionalFormatting>
  <conditionalFormatting sqref="X6">
    <cfRule type="expression" dxfId="2071" priority="86">
      <formula>AND(IF(OR($Q6=1,$Q6=2),1,0),IF($X6&lt;=20,1,0))</formula>
    </cfRule>
    <cfRule type="expression" dxfId="2070" priority="87">
      <formula>AND(IF($Q6=2,1,0),IF($X6&lt;30,1,0))</formula>
    </cfRule>
    <cfRule type="expression" dxfId="2069" priority="88">
      <formula>AND(IF($Q6=3,1,0),IF($X6&lt;30,1,0))</formula>
    </cfRule>
    <cfRule type="expression" dxfId="2068" priority="89">
      <formula>AND(IF($Q6=3,1,IF($Q6=4,1,0)),IF($F6&lt;=85,1,0))</formula>
    </cfRule>
  </conditionalFormatting>
  <conditionalFormatting sqref="AI6">
    <cfRule type="expression" dxfId="2067" priority="82">
      <formula>AND(IF(OR($Q6=1,$Q6=2),1,0),IF($X6&lt;=20,1,0))</formula>
    </cfRule>
    <cfRule type="expression" dxfId="2066" priority="83">
      <formula>AND(IF($Q6=2,1,0),IF($X6&lt;30,1,0))</formula>
    </cfRule>
    <cfRule type="expression" dxfId="2065" priority="84">
      <formula>AND(IF($Q6=3,1,0),IF($X6&lt;30,1,0))</formula>
    </cfRule>
    <cfRule type="expression" dxfId="2064" priority="85">
      <formula>AND(IF($Q6=3,1,IF($Q6=4,1,0)),IF($F6&lt;=85,1,0))</formula>
    </cfRule>
  </conditionalFormatting>
  <conditionalFormatting sqref="AV7">
    <cfRule type="expression" dxfId="2063" priority="80">
      <formula>AV7="X"</formula>
    </cfRule>
    <cfRule type="expression" dxfId="2062" priority="81">
      <formula>AV7="후보"</formula>
    </cfRule>
  </conditionalFormatting>
  <conditionalFormatting sqref="AC7">
    <cfRule type="cellIs" dxfId="2061" priority="77" operator="greaterThan">
      <formula>0.9</formula>
    </cfRule>
    <cfRule type="cellIs" dxfId="2060" priority="78" operator="greaterThan">
      <formula>0.85</formula>
    </cfRule>
  </conditionalFormatting>
  <conditionalFormatting sqref="N7">
    <cfRule type="cellIs" dxfId="2059" priority="75" operator="greaterThan">
      <formula>0.9</formula>
    </cfRule>
    <cfRule type="cellIs" dxfId="2058" priority="76" operator="greaterThan">
      <formula>0.85</formula>
    </cfRule>
  </conditionalFormatting>
  <conditionalFormatting sqref="E7">
    <cfRule type="expression" dxfId="2057" priority="71">
      <formula>AND(IF(OR($Q7=1,$Q7=2),1,0),IF($X7&lt;=20,1,0))</formula>
    </cfRule>
    <cfRule type="expression" dxfId="2056" priority="72">
      <formula>AND(IF($Q7=2,1,0),IF($X7&lt;30,1,0))</formula>
    </cfRule>
    <cfRule type="expression" dxfId="2055" priority="73">
      <formula>AND(IF($Q7=3,1,0),IF($X7&lt;30,1,0))</formula>
    </cfRule>
    <cfRule type="expression" dxfId="2054" priority="74">
      <formula>AND(IF($Q7=3,1,IF($Q7=4,1,0)),IF($F7&lt;=85,1,0))</formula>
    </cfRule>
  </conditionalFormatting>
  <conditionalFormatting sqref="X7">
    <cfRule type="expression" dxfId="2053" priority="67">
      <formula>AND(IF(OR($Q7=1,$Q7=2),1,0),IF($X7&lt;=20,1,0))</formula>
    </cfRule>
    <cfRule type="expression" dxfId="2052" priority="68">
      <formula>AND(IF($Q7=2,1,0),IF($X7&lt;30,1,0))</formula>
    </cfRule>
    <cfRule type="expression" dxfId="2051" priority="69">
      <formula>AND(IF($Q7=3,1,0),IF($X7&lt;30,1,0))</formula>
    </cfRule>
    <cfRule type="expression" dxfId="2050" priority="70">
      <formula>AND(IF($Q7=3,1,IF($Q7=4,1,0)),IF($F7&lt;=85,1,0))</formula>
    </cfRule>
  </conditionalFormatting>
  <conditionalFormatting sqref="AI7">
    <cfRule type="expression" dxfId="2049" priority="63">
      <formula>AND(IF(OR($Q7=1,$Q7=2),1,0),IF($X7&lt;=20,1,0))</formula>
    </cfRule>
    <cfRule type="expression" dxfId="2048" priority="64">
      <formula>AND(IF($Q7=2,1,0),IF($X7&lt;30,1,0))</formula>
    </cfRule>
    <cfRule type="expression" dxfId="2047" priority="65">
      <formula>AND(IF($Q7=3,1,0),IF($X7&lt;30,1,0))</formula>
    </cfRule>
    <cfRule type="expression" dxfId="2046" priority="66">
      <formula>AND(IF($Q7=3,1,IF($Q7=4,1,0)),IF($F7&lt;=85,1,0))</formula>
    </cfRule>
  </conditionalFormatting>
  <conditionalFormatting sqref="AV8">
    <cfRule type="expression" dxfId="2045" priority="61">
      <formula>AV8="X"</formula>
    </cfRule>
    <cfRule type="expression" dxfId="2044" priority="62">
      <formula>AV8="후보"</formula>
    </cfRule>
  </conditionalFormatting>
  <conditionalFormatting sqref="AC8">
    <cfRule type="cellIs" dxfId="2043" priority="58" operator="greaterThan">
      <formula>0.9</formula>
    </cfRule>
    <cfRule type="cellIs" dxfId="2042" priority="59" operator="greaterThan">
      <formula>0.85</formula>
    </cfRule>
  </conditionalFormatting>
  <conditionalFormatting sqref="N8">
    <cfRule type="cellIs" dxfId="2041" priority="56" operator="greaterThan">
      <formula>0.9</formula>
    </cfRule>
    <cfRule type="cellIs" dxfId="2040" priority="57" operator="greaterThan">
      <formula>0.85</formula>
    </cfRule>
  </conditionalFormatting>
  <conditionalFormatting sqref="E8">
    <cfRule type="expression" dxfId="2039" priority="52">
      <formula>AND(IF(OR($Q8=1,$Q8=2),1,0),IF($X8&lt;=20,1,0))</formula>
    </cfRule>
    <cfRule type="expression" dxfId="2038" priority="53">
      <formula>AND(IF($Q8=2,1,0),IF($X8&lt;30,1,0))</formula>
    </cfRule>
    <cfRule type="expression" dxfId="2037" priority="54">
      <formula>AND(IF($Q8=3,1,0),IF($X8&lt;30,1,0))</formula>
    </cfRule>
    <cfRule type="expression" dxfId="2036" priority="55">
      <formula>AND(IF($Q8=3,1,IF($Q8=4,1,0)),IF($F8&lt;=85,1,0))</formula>
    </cfRule>
  </conditionalFormatting>
  <conditionalFormatting sqref="X8">
    <cfRule type="expression" dxfId="2035" priority="48">
      <formula>AND(IF(OR($Q8=1,$Q8=2),1,0),IF($X8&lt;=20,1,0))</formula>
    </cfRule>
    <cfRule type="expression" dxfId="2034" priority="49">
      <formula>AND(IF($Q8=2,1,0),IF($X8&lt;30,1,0))</formula>
    </cfRule>
    <cfRule type="expression" dxfId="2033" priority="50">
      <formula>AND(IF($Q8=3,1,0),IF($X8&lt;30,1,0))</formula>
    </cfRule>
    <cfRule type="expression" dxfId="2032" priority="51">
      <formula>AND(IF($Q8=3,1,IF($Q8=4,1,0)),IF($F8&lt;=85,1,0))</formula>
    </cfRule>
  </conditionalFormatting>
  <conditionalFormatting sqref="AI8">
    <cfRule type="expression" dxfId="2031" priority="44">
      <formula>AND(IF(OR($Q8=1,$Q8=2),1,0),IF($X8&lt;=20,1,0))</formula>
    </cfRule>
    <cfRule type="expression" dxfId="2030" priority="45">
      <formula>AND(IF($Q8=2,1,0),IF($X8&lt;30,1,0))</formula>
    </cfRule>
    <cfRule type="expression" dxfId="2029" priority="46">
      <formula>AND(IF($Q8=3,1,0),IF($X8&lt;30,1,0))</formula>
    </cfRule>
    <cfRule type="expression" dxfId="2028" priority="47">
      <formula>AND(IF($Q8=3,1,IF($Q8=4,1,0)),IF($F8&lt;=85,1,0))</formula>
    </cfRule>
  </conditionalFormatting>
  <conditionalFormatting sqref="AV9">
    <cfRule type="expression" dxfId="2027" priority="42">
      <formula>AV9="X"</formula>
    </cfRule>
    <cfRule type="expression" dxfId="2026" priority="43">
      <formula>AV9="후보"</formula>
    </cfRule>
  </conditionalFormatting>
  <conditionalFormatting sqref="AC9 N9">
    <cfRule type="cellIs" dxfId="2025" priority="39" operator="greaterThan">
      <formula>0.9</formula>
    </cfRule>
    <cfRule type="cellIs" dxfId="2024" priority="40" operator="greaterThan">
      <formula>0.85</formula>
    </cfRule>
  </conditionalFormatting>
  <conditionalFormatting sqref="AV10">
    <cfRule type="expression" dxfId="2023" priority="37">
      <formula>AV10="X"</formula>
    </cfRule>
    <cfRule type="expression" dxfId="2022" priority="38">
      <formula>AV10="후보"</formula>
    </cfRule>
  </conditionalFormatting>
  <conditionalFormatting sqref="AC10">
    <cfRule type="cellIs" dxfId="2021" priority="34" operator="greaterThan">
      <formula>0.9</formula>
    </cfRule>
    <cfRule type="cellIs" dxfId="2020" priority="35" operator="greaterThan">
      <formula>0.85</formula>
    </cfRule>
  </conditionalFormatting>
  <conditionalFormatting sqref="N10">
    <cfRule type="cellIs" dxfId="2019" priority="32" operator="greaterThan">
      <formula>0.9</formula>
    </cfRule>
    <cfRule type="cellIs" dxfId="2018" priority="33" operator="greaterThan">
      <formula>0.85</formula>
    </cfRule>
  </conditionalFormatting>
  <conditionalFormatting sqref="E10">
    <cfRule type="expression" dxfId="2017" priority="28">
      <formula>AND(IF(OR($Q10=1,$Q10=2),1,0),IF($X10&lt;=20,1,0))</formula>
    </cfRule>
    <cfRule type="expression" dxfId="2016" priority="29">
      <formula>AND(IF($Q10=2,1,0),IF($X10&lt;30,1,0))</formula>
    </cfRule>
    <cfRule type="expression" dxfId="2015" priority="30">
      <formula>AND(IF($Q10=3,1,0),IF($X10&lt;30,1,0))</formula>
    </cfRule>
    <cfRule type="expression" dxfId="2014" priority="31">
      <formula>AND(IF($Q10=3,1,IF($Q10=4,1,0)),IF($F10&lt;=85,1,0))</formula>
    </cfRule>
  </conditionalFormatting>
  <conditionalFormatting sqref="X10">
    <cfRule type="expression" dxfId="2013" priority="24">
      <formula>AND(IF(OR($Q10=1,$Q10=2),1,0),IF($X10&lt;=20,1,0))</formula>
    </cfRule>
    <cfRule type="expression" dxfId="2012" priority="25">
      <formula>AND(IF($Q10=2,1,0),IF($X10&lt;30,1,0))</formula>
    </cfRule>
    <cfRule type="expression" dxfId="2011" priority="26">
      <formula>AND(IF($Q10=3,1,0),IF($X10&lt;30,1,0))</formula>
    </cfRule>
    <cfRule type="expression" dxfId="2010" priority="27">
      <formula>AND(IF($Q10=3,1,IF($Q10=4,1,0)),IF($F10&lt;=85,1,0))</formula>
    </cfRule>
  </conditionalFormatting>
  <conditionalFormatting sqref="AI10">
    <cfRule type="expression" dxfId="2009" priority="20">
      <formula>AND(IF(OR($Q10=1,$Q10=2),1,0),IF($X10&lt;=20,1,0))</formula>
    </cfRule>
    <cfRule type="expression" dxfId="2008" priority="21">
      <formula>AND(IF($Q10=2,1,0),IF($X10&lt;30,1,0))</formula>
    </cfRule>
    <cfRule type="expression" dxfId="2007" priority="22">
      <formula>AND(IF($Q10=3,1,0),IF($X10&lt;30,1,0))</formula>
    </cfRule>
    <cfRule type="expression" dxfId="2006" priority="23">
      <formula>AND(IF($Q10=3,1,IF($Q10=4,1,0)),IF($F10&lt;=85,1,0))</formula>
    </cfRule>
  </conditionalFormatting>
  <conditionalFormatting sqref="AV11">
    <cfRule type="expression" dxfId="2005" priority="18">
      <formula>AV11="X"</formula>
    </cfRule>
    <cfRule type="expression" dxfId="2004" priority="19">
      <formula>AV11="후보"</formula>
    </cfRule>
  </conditionalFormatting>
  <conditionalFormatting sqref="AC11">
    <cfRule type="cellIs" dxfId="2003" priority="15" operator="greaterThan">
      <formula>0.9</formula>
    </cfRule>
    <cfRule type="cellIs" dxfId="2002" priority="16" operator="greaterThan">
      <formula>0.85</formula>
    </cfRule>
  </conditionalFormatting>
  <conditionalFormatting sqref="N11">
    <cfRule type="cellIs" dxfId="2001" priority="13" operator="greaterThan">
      <formula>0.9</formula>
    </cfRule>
    <cfRule type="cellIs" dxfId="2000" priority="14" operator="greaterThan">
      <formula>0.85</formula>
    </cfRule>
  </conditionalFormatting>
  <conditionalFormatting sqref="E11">
    <cfRule type="expression" dxfId="1999" priority="9">
      <formula>AND(IF(OR($Q11=1,$Q11=2),1,0),IF($X11&lt;=20,1,0))</formula>
    </cfRule>
    <cfRule type="expression" dxfId="1998" priority="10">
      <formula>AND(IF($Q11=2,1,0),IF($X11&lt;30,1,0))</formula>
    </cfRule>
    <cfRule type="expression" dxfId="1997" priority="11">
      <formula>AND(IF($Q11=3,1,0),IF($X11&lt;30,1,0))</formula>
    </cfRule>
    <cfRule type="expression" dxfId="1996" priority="12">
      <formula>AND(IF($Q11=3,1,IF($Q11=4,1,0)),IF($F11&lt;=85,1,0))</formula>
    </cfRule>
  </conditionalFormatting>
  <conditionalFormatting sqref="X11">
    <cfRule type="expression" dxfId="1995" priority="5">
      <formula>AND(IF(OR($Q11=1,$Q11=2),1,0),IF($X11&lt;=20,1,0))</formula>
    </cfRule>
    <cfRule type="expression" dxfId="1994" priority="6">
      <formula>AND(IF($Q11=2,1,0),IF($X11&lt;30,1,0))</formula>
    </cfRule>
    <cfRule type="expression" dxfId="1993" priority="7">
      <formula>AND(IF($Q11=3,1,0),IF($X11&lt;30,1,0))</formula>
    </cfRule>
    <cfRule type="expression" dxfId="1992" priority="8">
      <formula>AND(IF($Q11=3,1,IF($Q11=4,1,0)),IF($F11&lt;=85,1,0))</formula>
    </cfRule>
  </conditionalFormatting>
  <conditionalFormatting sqref="AI11">
    <cfRule type="expression" dxfId="1991" priority="1">
      <formula>AND(IF(OR($Q11=1,$Q11=2),1,0),IF($X11&lt;=20,1,0))</formula>
    </cfRule>
    <cfRule type="expression" dxfId="1990" priority="2">
      <formula>AND(IF($Q11=2,1,0),IF($X11&lt;30,1,0))</formula>
    </cfRule>
    <cfRule type="expression" dxfId="1989" priority="3">
      <formula>AND(IF($Q11=3,1,0),IF($X11&lt;30,1,0))</formula>
    </cfRule>
    <cfRule type="expression" dxfId="1988" priority="4">
      <formula>AND(IF($Q11=3,1,IF($Q11=4,1,0)),IF($F11&lt;=85,1,0))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AV5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5" sqref="A55:XFD55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자은동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34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596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자은동 자은프라임('15.05.,1298^)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36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599</v>
      </c>
      <c r="B6" s="10" t="s">
        <v>913</v>
      </c>
      <c r="C6" s="107">
        <v>1298</v>
      </c>
      <c r="D6" s="104">
        <v>81.099999999999994</v>
      </c>
      <c r="E6" s="106">
        <v>25</v>
      </c>
      <c r="F6" s="104">
        <v>59.9</v>
      </c>
      <c r="G6" s="17">
        <v>18</v>
      </c>
      <c r="H6" s="107">
        <v>393</v>
      </c>
      <c r="I6" s="108">
        <v>27400</v>
      </c>
      <c r="J6" s="108" t="s">
        <v>868</v>
      </c>
      <c r="K6" s="108"/>
      <c r="L6" s="108"/>
      <c r="M6" s="109">
        <f t="shared" ref="M6:M14" si="2">I6-K6</f>
        <v>27400</v>
      </c>
      <c r="N6" s="4">
        <f t="shared" ref="N6:N14" si="3">IF(ISERROR(K6/I6),"",K6/I6)</f>
        <v>0</v>
      </c>
      <c r="O6" s="105">
        <f t="shared" ref="O6:O14" si="4">I6/E6</f>
        <v>1096</v>
      </c>
      <c r="P6" s="105">
        <f t="shared" ref="P6:P14" si="5">K6/E6</f>
        <v>0</v>
      </c>
      <c r="Q6" s="75">
        <v>3</v>
      </c>
      <c r="R6" s="75">
        <v>2</v>
      </c>
      <c r="S6" s="75" t="s">
        <v>869</v>
      </c>
      <c r="T6" s="5" t="s">
        <v>139</v>
      </c>
      <c r="U6" s="9"/>
      <c r="W6" s="104">
        <f t="shared" ref="W6:W14" si="6">D6</f>
        <v>81.099999999999994</v>
      </c>
      <c r="X6" s="106">
        <f t="shared" ref="X6:X14" si="7">E6</f>
        <v>25</v>
      </c>
      <c r="Y6" s="102">
        <f t="shared" ref="Y6:Y14" si="8">H6</f>
        <v>393</v>
      </c>
      <c r="Z6" s="109">
        <f t="shared" ref="Z6:Z14" si="9">I6</f>
        <v>27400</v>
      </c>
      <c r="AA6" s="109">
        <f t="shared" ref="AA6:AA14" si="10">K6</f>
        <v>0</v>
      </c>
      <c r="AB6" s="109">
        <f t="shared" ref="AB6:AB14" si="11">M6</f>
        <v>27400</v>
      </c>
      <c r="AC6" s="4">
        <f t="shared" ref="AC6:AC14" si="12">N6</f>
        <v>0</v>
      </c>
      <c r="AD6" s="105">
        <f t="shared" ref="AD6:AD14" si="13">O6</f>
        <v>1096</v>
      </c>
      <c r="AE6" s="75" t="str">
        <f t="shared" ref="AE6:AE14" si="14">S6</f>
        <v>계</v>
      </c>
      <c r="AF6" s="75" t="str">
        <f t="shared" ref="AF6:AF14" si="15">Q6&amp;"/"&amp;R6</f>
        <v>3/2</v>
      </c>
      <c r="AH6" s="20" t="str">
        <f t="shared" si="1"/>
        <v>자은프라임</v>
      </c>
      <c r="AI6" s="106">
        <f t="shared" si="0"/>
        <v>25</v>
      </c>
      <c r="AJ6" s="75" t="str">
        <f t="shared" ref="AJ6:AJ14" si="16">IF(AI6="","",$AJ$2)</f>
        <v>A-</v>
      </c>
      <c r="AK6" s="75" t="s">
        <v>14</v>
      </c>
      <c r="AL6" s="75" t="s">
        <v>870</v>
      </c>
      <c r="AM6" s="75" t="s">
        <v>871</v>
      </c>
      <c r="AN6" s="75" t="str">
        <f t="shared" ref="AN6:AN14" si="17">IF(AI6="","",$AN$2)</f>
        <v>C</v>
      </c>
      <c r="AO6" s="75" t="str">
        <f t="shared" ref="AO6:AO14" si="18">IF(N6="","",IF(N6&gt;=$AO$1/100,"O","X"))</f>
        <v>X</v>
      </c>
      <c r="AP6" s="75" t="str">
        <f t="shared" ref="AP6:AP14" si="19">IF(I6="","",IF(I6&lt;=$AP$1,"O","X"))</f>
        <v>O</v>
      </c>
      <c r="AQ6" s="75" t="str">
        <f t="shared" ref="AQ6:AQ14" si="20">IF(O6="","",IF(O6&lt;=$AQ$1,"O","X"))</f>
        <v>X</v>
      </c>
      <c r="AR6" s="75" t="str">
        <f t="shared" ref="AR6:AR14" si="21">IF(M6="","",IF(M6&lt;=$AR$1,"O","X"))</f>
        <v>X</v>
      </c>
      <c r="AS6" s="75" t="s">
        <v>2</v>
      </c>
      <c r="AT6" s="75" t="str">
        <f t="shared" ref="AT6:AT14" si="22">IF(OR(F6="",AI6=""),"",IF(AND((F6&lt;=85),(AI6&gt;=15)),"O","X"))</f>
        <v>O</v>
      </c>
      <c r="AU6" s="75" t="str">
        <f t="shared" ref="AU6:AU14" si="23">IF(C6="","",IF(C6&gt;=$AU$1,"O","X"))</f>
        <v>O</v>
      </c>
      <c r="AV6" s="75" t="str">
        <f t="shared" ref="AV6:AV14" si="24">IF(AO6="","",IF(AND(AO6="O",AP6="O",AR6="O",AT6="O",AU6="O"),"후보","X"))</f>
        <v>X</v>
      </c>
    </row>
    <row r="7" spans="1:48" x14ac:dyDescent="0.3">
      <c r="A7" s="9" t="s">
        <v>599</v>
      </c>
      <c r="B7" s="10" t="s">
        <v>913</v>
      </c>
      <c r="C7" s="107">
        <v>1298</v>
      </c>
      <c r="D7" s="104">
        <v>81.2</v>
      </c>
      <c r="E7" s="106">
        <v>25</v>
      </c>
      <c r="F7" s="104">
        <v>60</v>
      </c>
      <c r="G7" s="17">
        <v>18</v>
      </c>
      <c r="H7" s="107">
        <v>146</v>
      </c>
      <c r="I7" s="108">
        <v>27100</v>
      </c>
      <c r="J7" s="108" t="s">
        <v>868</v>
      </c>
      <c r="K7" s="108"/>
      <c r="L7" s="108"/>
      <c r="M7" s="109">
        <f t="shared" si="2"/>
        <v>27100</v>
      </c>
      <c r="N7" s="4">
        <f t="shared" si="3"/>
        <v>0</v>
      </c>
      <c r="O7" s="105">
        <f t="shared" si="4"/>
        <v>1084</v>
      </c>
      <c r="P7" s="105">
        <f t="shared" si="5"/>
        <v>0</v>
      </c>
      <c r="Q7" s="75">
        <v>3</v>
      </c>
      <c r="R7" s="75">
        <v>2</v>
      </c>
      <c r="S7" s="75" t="s">
        <v>869</v>
      </c>
      <c r="T7" s="5" t="s">
        <v>603</v>
      </c>
      <c r="U7" s="9"/>
      <c r="W7" s="104">
        <f t="shared" si="6"/>
        <v>81.2</v>
      </c>
      <c r="X7" s="106">
        <f t="shared" si="7"/>
        <v>25</v>
      </c>
      <c r="Y7" s="102">
        <f t="shared" si="8"/>
        <v>146</v>
      </c>
      <c r="Z7" s="109">
        <f t="shared" si="9"/>
        <v>27100</v>
      </c>
      <c r="AA7" s="109">
        <f t="shared" si="10"/>
        <v>0</v>
      </c>
      <c r="AB7" s="109">
        <f t="shared" si="11"/>
        <v>27100</v>
      </c>
      <c r="AC7" s="4">
        <f t="shared" si="12"/>
        <v>0</v>
      </c>
      <c r="AD7" s="105">
        <f t="shared" si="13"/>
        <v>1084</v>
      </c>
      <c r="AE7" s="75" t="str">
        <f t="shared" si="14"/>
        <v>계</v>
      </c>
      <c r="AF7" s="75" t="str">
        <f t="shared" si="15"/>
        <v>3/2</v>
      </c>
      <c r="AH7" s="20" t="str">
        <f t="shared" si="1"/>
        <v>자은프라임</v>
      </c>
      <c r="AI7" s="106">
        <f t="shared" si="0"/>
        <v>25</v>
      </c>
      <c r="AJ7" s="75" t="str">
        <f t="shared" si="16"/>
        <v>A-</v>
      </c>
      <c r="AK7" s="75" t="s">
        <v>14</v>
      </c>
      <c r="AL7" s="75" t="s">
        <v>870</v>
      </c>
      <c r="AM7" s="75" t="s">
        <v>871</v>
      </c>
      <c r="AN7" s="75" t="str">
        <f t="shared" si="17"/>
        <v>C</v>
      </c>
      <c r="AO7" s="75" t="str">
        <f t="shared" si="18"/>
        <v>X</v>
      </c>
      <c r="AP7" s="75" t="str">
        <f t="shared" si="19"/>
        <v>O</v>
      </c>
      <c r="AQ7" s="75" t="str">
        <f t="shared" si="20"/>
        <v>X</v>
      </c>
      <c r="AR7" s="75" t="str">
        <f t="shared" si="21"/>
        <v>X</v>
      </c>
      <c r="AS7" s="75" t="s">
        <v>2</v>
      </c>
      <c r="AT7" s="75" t="str">
        <f t="shared" si="22"/>
        <v>O</v>
      </c>
      <c r="AU7" s="75" t="str">
        <f t="shared" si="23"/>
        <v>O</v>
      </c>
      <c r="AV7" s="75" t="str">
        <f t="shared" si="24"/>
        <v>X</v>
      </c>
    </row>
    <row r="8" spans="1:48" x14ac:dyDescent="0.3">
      <c r="A8" s="9" t="s">
        <v>599</v>
      </c>
      <c r="B8" s="10" t="s">
        <v>913</v>
      </c>
      <c r="C8" s="107">
        <v>1298</v>
      </c>
      <c r="D8" s="104">
        <v>81</v>
      </c>
      <c r="E8" s="106">
        <v>25</v>
      </c>
      <c r="F8" s="104">
        <v>59.8</v>
      </c>
      <c r="G8" s="17">
        <v>18</v>
      </c>
      <c r="H8" s="107">
        <v>65</v>
      </c>
      <c r="I8" s="108">
        <v>28500</v>
      </c>
      <c r="J8" s="108" t="s">
        <v>873</v>
      </c>
      <c r="K8" s="108"/>
      <c r="L8" s="108"/>
      <c r="M8" s="109">
        <f t="shared" si="2"/>
        <v>28500</v>
      </c>
      <c r="N8" s="4">
        <f t="shared" si="3"/>
        <v>0</v>
      </c>
      <c r="O8" s="105">
        <f t="shared" si="4"/>
        <v>1140</v>
      </c>
      <c r="P8" s="105">
        <f t="shared" si="5"/>
        <v>0</v>
      </c>
      <c r="Q8" s="75">
        <v>3</v>
      </c>
      <c r="R8" s="75">
        <v>2</v>
      </c>
      <c r="S8" s="75" t="s">
        <v>869</v>
      </c>
      <c r="T8" s="5" t="s">
        <v>140</v>
      </c>
      <c r="U8" s="9"/>
      <c r="W8" s="104">
        <f t="shared" si="6"/>
        <v>81</v>
      </c>
      <c r="X8" s="106">
        <f t="shared" si="7"/>
        <v>25</v>
      </c>
      <c r="Y8" s="102">
        <f t="shared" si="8"/>
        <v>65</v>
      </c>
      <c r="Z8" s="109">
        <f t="shared" si="9"/>
        <v>28500</v>
      </c>
      <c r="AA8" s="109">
        <f t="shared" si="10"/>
        <v>0</v>
      </c>
      <c r="AB8" s="109">
        <f t="shared" si="11"/>
        <v>28500</v>
      </c>
      <c r="AC8" s="4">
        <f t="shared" si="12"/>
        <v>0</v>
      </c>
      <c r="AD8" s="105">
        <f t="shared" si="13"/>
        <v>1140</v>
      </c>
      <c r="AE8" s="75" t="str">
        <f t="shared" si="14"/>
        <v>계</v>
      </c>
      <c r="AF8" s="75" t="str">
        <f t="shared" si="15"/>
        <v>3/2</v>
      </c>
      <c r="AH8" s="20" t="str">
        <f t="shared" si="1"/>
        <v>자은프라임</v>
      </c>
      <c r="AI8" s="106">
        <f t="shared" si="0"/>
        <v>25</v>
      </c>
      <c r="AJ8" s="75" t="str">
        <f t="shared" si="16"/>
        <v>A-</v>
      </c>
      <c r="AK8" s="75" t="s">
        <v>14</v>
      </c>
      <c r="AL8" s="75" t="s">
        <v>870</v>
      </c>
      <c r="AM8" s="75" t="s">
        <v>871</v>
      </c>
      <c r="AN8" s="75" t="str">
        <f t="shared" si="17"/>
        <v>C</v>
      </c>
      <c r="AO8" s="75" t="str">
        <f t="shared" si="18"/>
        <v>X</v>
      </c>
      <c r="AP8" s="75" t="str">
        <f t="shared" si="19"/>
        <v>O</v>
      </c>
      <c r="AQ8" s="75" t="str">
        <f t="shared" si="20"/>
        <v>X</v>
      </c>
      <c r="AR8" s="75" t="str">
        <f t="shared" si="21"/>
        <v>X</v>
      </c>
      <c r="AS8" s="75" t="s">
        <v>2</v>
      </c>
      <c r="AT8" s="75" t="str">
        <f t="shared" si="22"/>
        <v>O</v>
      </c>
      <c r="AU8" s="75" t="str">
        <f t="shared" si="23"/>
        <v>O</v>
      </c>
      <c r="AV8" s="75" t="str">
        <f t="shared" si="24"/>
        <v>X</v>
      </c>
    </row>
    <row r="9" spans="1:48" x14ac:dyDescent="0.3">
      <c r="A9" s="9" t="s">
        <v>599</v>
      </c>
      <c r="B9" s="10" t="s">
        <v>913</v>
      </c>
      <c r="C9" s="107">
        <v>1298</v>
      </c>
      <c r="D9" s="104">
        <v>81.3</v>
      </c>
      <c r="E9" s="106">
        <v>25</v>
      </c>
      <c r="F9" s="104">
        <v>60</v>
      </c>
      <c r="G9" s="17">
        <v>18</v>
      </c>
      <c r="H9" s="107">
        <v>19</v>
      </c>
      <c r="I9" s="108"/>
      <c r="J9" s="108"/>
      <c r="K9" s="108"/>
      <c r="L9" s="108"/>
      <c r="M9" s="109">
        <f t="shared" si="2"/>
        <v>0</v>
      </c>
      <c r="N9" s="4" t="str">
        <f t="shared" si="3"/>
        <v/>
      </c>
      <c r="O9" s="105">
        <f t="shared" si="4"/>
        <v>0</v>
      </c>
      <c r="P9" s="105">
        <f t="shared" si="5"/>
        <v>0</v>
      </c>
      <c r="Q9" s="75">
        <v>3</v>
      </c>
      <c r="R9" s="75">
        <v>2</v>
      </c>
      <c r="S9" s="75" t="s">
        <v>869</v>
      </c>
      <c r="T9" s="5" t="s">
        <v>604</v>
      </c>
      <c r="U9" s="9"/>
      <c r="W9" s="104">
        <f t="shared" si="6"/>
        <v>81.3</v>
      </c>
      <c r="X9" s="106">
        <f t="shared" si="7"/>
        <v>25</v>
      </c>
      <c r="Y9" s="102">
        <f t="shared" si="8"/>
        <v>19</v>
      </c>
      <c r="Z9" s="109">
        <f t="shared" si="9"/>
        <v>0</v>
      </c>
      <c r="AA9" s="109">
        <f t="shared" si="10"/>
        <v>0</v>
      </c>
      <c r="AB9" s="109">
        <f t="shared" si="11"/>
        <v>0</v>
      </c>
      <c r="AC9" s="4" t="str">
        <f t="shared" si="12"/>
        <v/>
      </c>
      <c r="AD9" s="105">
        <f t="shared" si="13"/>
        <v>0</v>
      </c>
      <c r="AE9" s="75" t="str">
        <f t="shared" si="14"/>
        <v>계</v>
      </c>
      <c r="AF9" s="75" t="str">
        <f t="shared" si="15"/>
        <v>3/2</v>
      </c>
      <c r="AH9" s="20" t="str">
        <f t="shared" si="1"/>
        <v>자은프라임</v>
      </c>
      <c r="AI9" s="106">
        <f t="shared" si="0"/>
        <v>25</v>
      </c>
      <c r="AJ9" s="75" t="str">
        <f t="shared" si="16"/>
        <v>A-</v>
      </c>
      <c r="AK9" s="75" t="s">
        <v>14</v>
      </c>
      <c r="AL9" s="75" t="s">
        <v>870</v>
      </c>
      <c r="AM9" s="75" t="s">
        <v>871</v>
      </c>
      <c r="AN9" s="75" t="str">
        <f t="shared" si="17"/>
        <v>C</v>
      </c>
      <c r="AO9" s="75" t="str">
        <f t="shared" si="18"/>
        <v/>
      </c>
      <c r="AP9" s="75" t="str">
        <f t="shared" si="19"/>
        <v/>
      </c>
      <c r="AQ9" s="75" t="str">
        <f t="shared" si="20"/>
        <v>O</v>
      </c>
      <c r="AR9" s="75" t="str">
        <f t="shared" si="21"/>
        <v>O</v>
      </c>
      <c r="AS9" s="75" t="s">
        <v>2</v>
      </c>
      <c r="AT9" s="75" t="str">
        <f t="shared" si="22"/>
        <v>O</v>
      </c>
      <c r="AU9" s="75" t="str">
        <f t="shared" si="23"/>
        <v>O</v>
      </c>
      <c r="AV9" s="75" t="str">
        <f t="shared" si="24"/>
        <v/>
      </c>
    </row>
    <row r="10" spans="1:48" x14ac:dyDescent="0.3">
      <c r="A10" s="9" t="s">
        <v>599</v>
      </c>
      <c r="B10" s="10" t="s">
        <v>913</v>
      </c>
      <c r="C10" s="107">
        <v>1298</v>
      </c>
      <c r="D10" s="104">
        <v>101.6</v>
      </c>
      <c r="E10" s="106">
        <v>31</v>
      </c>
      <c r="F10" s="104">
        <v>75</v>
      </c>
      <c r="G10" s="17">
        <v>23</v>
      </c>
      <c r="H10" s="107">
        <v>159</v>
      </c>
      <c r="I10" s="108">
        <v>34000</v>
      </c>
      <c r="J10" s="108" t="s">
        <v>872</v>
      </c>
      <c r="K10" s="108">
        <v>27000</v>
      </c>
      <c r="L10" s="108" t="s">
        <v>914</v>
      </c>
      <c r="M10" s="109">
        <f t="shared" si="2"/>
        <v>7000</v>
      </c>
      <c r="N10" s="4">
        <f t="shared" si="3"/>
        <v>0.79411764705882348</v>
      </c>
      <c r="O10" s="105">
        <f t="shared" si="4"/>
        <v>1096.7741935483871</v>
      </c>
      <c r="P10" s="105">
        <f t="shared" si="5"/>
        <v>870.9677419354839</v>
      </c>
      <c r="Q10" s="75">
        <v>3</v>
      </c>
      <c r="R10" s="75">
        <v>2</v>
      </c>
      <c r="S10" s="75" t="s">
        <v>869</v>
      </c>
      <c r="T10" s="5" t="s">
        <v>281</v>
      </c>
      <c r="U10" s="9"/>
      <c r="W10" s="104">
        <f t="shared" si="6"/>
        <v>101.6</v>
      </c>
      <c r="X10" s="106">
        <f t="shared" si="7"/>
        <v>31</v>
      </c>
      <c r="Y10" s="102">
        <f t="shared" si="8"/>
        <v>159</v>
      </c>
      <c r="Z10" s="109">
        <f t="shared" si="9"/>
        <v>34000</v>
      </c>
      <c r="AA10" s="109">
        <f t="shared" si="10"/>
        <v>27000</v>
      </c>
      <c r="AB10" s="109">
        <f t="shared" si="11"/>
        <v>7000</v>
      </c>
      <c r="AC10" s="4">
        <f t="shared" si="12"/>
        <v>0.79411764705882348</v>
      </c>
      <c r="AD10" s="105">
        <f t="shared" si="13"/>
        <v>1096.7741935483871</v>
      </c>
      <c r="AE10" s="75" t="str">
        <f t="shared" si="14"/>
        <v>계</v>
      </c>
      <c r="AF10" s="75" t="str">
        <f t="shared" si="15"/>
        <v>3/2</v>
      </c>
      <c r="AH10" s="20" t="str">
        <f t="shared" si="1"/>
        <v>자은프라임</v>
      </c>
      <c r="AI10" s="106">
        <f t="shared" si="0"/>
        <v>31</v>
      </c>
      <c r="AJ10" s="75" t="str">
        <f t="shared" si="16"/>
        <v>A-</v>
      </c>
      <c r="AK10" s="75" t="s">
        <v>14</v>
      </c>
      <c r="AL10" s="75" t="s">
        <v>870</v>
      </c>
      <c r="AM10" s="75" t="s">
        <v>871</v>
      </c>
      <c r="AN10" s="75" t="str">
        <f t="shared" si="17"/>
        <v>C</v>
      </c>
      <c r="AO10" s="75" t="str">
        <f t="shared" si="18"/>
        <v>X</v>
      </c>
      <c r="AP10" s="75" t="str">
        <f t="shared" si="19"/>
        <v>O</v>
      </c>
      <c r="AQ10" s="75" t="str">
        <f t="shared" si="20"/>
        <v>X</v>
      </c>
      <c r="AR10" s="75" t="str">
        <f t="shared" si="21"/>
        <v>X</v>
      </c>
      <c r="AS10" s="75" t="s">
        <v>2</v>
      </c>
      <c r="AT10" s="75" t="str">
        <f t="shared" si="22"/>
        <v>O</v>
      </c>
      <c r="AU10" s="75" t="str">
        <f t="shared" si="23"/>
        <v>O</v>
      </c>
      <c r="AV10" s="75" t="str">
        <f t="shared" si="24"/>
        <v>X</v>
      </c>
    </row>
    <row r="11" spans="1:48" x14ac:dyDescent="0.3">
      <c r="A11" s="9" t="s">
        <v>599</v>
      </c>
      <c r="B11" s="10" t="s">
        <v>913</v>
      </c>
      <c r="C11" s="107">
        <v>1298</v>
      </c>
      <c r="D11" s="104">
        <v>101</v>
      </c>
      <c r="E11" s="106">
        <v>31</v>
      </c>
      <c r="F11" s="104">
        <v>74.599999999999994</v>
      </c>
      <c r="G11" s="17">
        <v>23</v>
      </c>
      <c r="H11" s="107">
        <v>41</v>
      </c>
      <c r="I11" s="108"/>
      <c r="J11" s="108"/>
      <c r="K11" s="108"/>
      <c r="L11" s="108"/>
      <c r="M11" s="109">
        <f t="shared" si="2"/>
        <v>0</v>
      </c>
      <c r="N11" s="4" t="str">
        <f t="shared" si="3"/>
        <v/>
      </c>
      <c r="O11" s="105">
        <f t="shared" si="4"/>
        <v>0</v>
      </c>
      <c r="P11" s="105">
        <f t="shared" si="5"/>
        <v>0</v>
      </c>
      <c r="Q11" s="75">
        <v>3</v>
      </c>
      <c r="R11" s="75">
        <v>2</v>
      </c>
      <c r="S11" s="75" t="s">
        <v>869</v>
      </c>
      <c r="T11" s="5" t="s">
        <v>244</v>
      </c>
      <c r="U11" s="9"/>
      <c r="W11" s="104">
        <f t="shared" si="6"/>
        <v>101</v>
      </c>
      <c r="X11" s="106">
        <f t="shared" si="7"/>
        <v>31</v>
      </c>
      <c r="Y11" s="102">
        <f t="shared" si="8"/>
        <v>41</v>
      </c>
      <c r="Z11" s="109">
        <f t="shared" si="9"/>
        <v>0</v>
      </c>
      <c r="AA11" s="109">
        <f t="shared" si="10"/>
        <v>0</v>
      </c>
      <c r="AB11" s="109">
        <f t="shared" si="11"/>
        <v>0</v>
      </c>
      <c r="AC11" s="4" t="str">
        <f t="shared" si="12"/>
        <v/>
      </c>
      <c r="AD11" s="105">
        <f t="shared" si="13"/>
        <v>0</v>
      </c>
      <c r="AE11" s="75" t="str">
        <f t="shared" si="14"/>
        <v>계</v>
      </c>
      <c r="AF11" s="75" t="str">
        <f t="shared" si="15"/>
        <v>3/2</v>
      </c>
      <c r="AH11" s="20" t="str">
        <f t="shared" si="1"/>
        <v>자은프라임</v>
      </c>
      <c r="AI11" s="106">
        <f t="shared" si="0"/>
        <v>31</v>
      </c>
      <c r="AJ11" s="75" t="str">
        <f t="shared" si="16"/>
        <v>A-</v>
      </c>
      <c r="AK11" s="75" t="s">
        <v>14</v>
      </c>
      <c r="AL11" s="75" t="s">
        <v>870</v>
      </c>
      <c r="AM11" s="75" t="s">
        <v>871</v>
      </c>
      <c r="AN11" s="75" t="str">
        <f t="shared" si="17"/>
        <v>C</v>
      </c>
      <c r="AO11" s="75" t="str">
        <f t="shared" si="18"/>
        <v/>
      </c>
      <c r="AP11" s="75" t="str">
        <f t="shared" si="19"/>
        <v/>
      </c>
      <c r="AQ11" s="75" t="str">
        <f t="shared" si="20"/>
        <v>O</v>
      </c>
      <c r="AR11" s="75" t="str">
        <f t="shared" si="21"/>
        <v>O</v>
      </c>
      <c r="AS11" s="75" t="s">
        <v>2</v>
      </c>
      <c r="AT11" s="75" t="str">
        <f t="shared" si="22"/>
        <v>O</v>
      </c>
      <c r="AU11" s="75" t="str">
        <f t="shared" si="23"/>
        <v>O</v>
      </c>
      <c r="AV11" s="75" t="str">
        <f t="shared" si="24"/>
        <v/>
      </c>
    </row>
    <row r="12" spans="1:48" x14ac:dyDescent="0.3">
      <c r="A12" s="9" t="s">
        <v>599</v>
      </c>
      <c r="B12" s="10" t="s">
        <v>913</v>
      </c>
      <c r="C12" s="107">
        <v>1298</v>
      </c>
      <c r="D12" s="104">
        <v>101.4</v>
      </c>
      <c r="E12" s="106">
        <v>31</v>
      </c>
      <c r="F12" s="104">
        <v>74.8</v>
      </c>
      <c r="G12" s="17">
        <v>23</v>
      </c>
      <c r="H12" s="107">
        <v>28</v>
      </c>
      <c r="I12" s="108"/>
      <c r="J12" s="108"/>
      <c r="K12" s="108"/>
      <c r="L12" s="108"/>
      <c r="M12" s="109">
        <f t="shared" si="2"/>
        <v>0</v>
      </c>
      <c r="N12" s="4" t="str">
        <f t="shared" si="3"/>
        <v/>
      </c>
      <c r="O12" s="105">
        <f t="shared" si="4"/>
        <v>0</v>
      </c>
      <c r="P12" s="105">
        <f t="shared" si="5"/>
        <v>0</v>
      </c>
      <c r="Q12" s="75">
        <v>3</v>
      </c>
      <c r="R12" s="75">
        <v>2</v>
      </c>
      <c r="S12" s="75" t="s">
        <v>869</v>
      </c>
      <c r="T12" s="5" t="s">
        <v>605</v>
      </c>
      <c r="U12" s="9"/>
      <c r="W12" s="104">
        <f t="shared" si="6"/>
        <v>101.4</v>
      </c>
      <c r="X12" s="106">
        <f t="shared" si="7"/>
        <v>31</v>
      </c>
      <c r="Y12" s="102">
        <f t="shared" si="8"/>
        <v>28</v>
      </c>
      <c r="Z12" s="109">
        <f t="shared" si="9"/>
        <v>0</v>
      </c>
      <c r="AA12" s="109">
        <f t="shared" si="10"/>
        <v>0</v>
      </c>
      <c r="AB12" s="109">
        <f t="shared" si="11"/>
        <v>0</v>
      </c>
      <c r="AC12" s="4" t="str">
        <f t="shared" si="12"/>
        <v/>
      </c>
      <c r="AD12" s="105">
        <f t="shared" si="13"/>
        <v>0</v>
      </c>
      <c r="AE12" s="75" t="str">
        <f t="shared" si="14"/>
        <v>계</v>
      </c>
      <c r="AF12" s="75" t="str">
        <f t="shared" si="15"/>
        <v>3/2</v>
      </c>
      <c r="AH12" s="20" t="str">
        <f t="shared" si="1"/>
        <v>자은프라임</v>
      </c>
      <c r="AI12" s="106">
        <f t="shared" si="0"/>
        <v>31</v>
      </c>
      <c r="AJ12" s="75" t="str">
        <f t="shared" si="16"/>
        <v>A-</v>
      </c>
      <c r="AK12" s="75" t="s">
        <v>14</v>
      </c>
      <c r="AL12" s="75" t="s">
        <v>870</v>
      </c>
      <c r="AM12" s="75" t="s">
        <v>871</v>
      </c>
      <c r="AN12" s="75" t="str">
        <f t="shared" si="17"/>
        <v>C</v>
      </c>
      <c r="AO12" s="75" t="str">
        <f t="shared" si="18"/>
        <v/>
      </c>
      <c r="AP12" s="75" t="str">
        <f t="shared" si="19"/>
        <v/>
      </c>
      <c r="AQ12" s="75" t="str">
        <f t="shared" si="20"/>
        <v>O</v>
      </c>
      <c r="AR12" s="75" t="str">
        <f t="shared" si="21"/>
        <v>O</v>
      </c>
      <c r="AS12" s="75" t="s">
        <v>2</v>
      </c>
      <c r="AT12" s="75" t="str">
        <f t="shared" si="22"/>
        <v>O</v>
      </c>
      <c r="AU12" s="75" t="str">
        <f t="shared" si="23"/>
        <v>O</v>
      </c>
      <c r="AV12" s="75" t="str">
        <f t="shared" si="24"/>
        <v/>
      </c>
    </row>
    <row r="13" spans="1:48" x14ac:dyDescent="0.3">
      <c r="A13" s="9" t="s">
        <v>599</v>
      </c>
      <c r="B13" s="10" t="s">
        <v>913</v>
      </c>
      <c r="C13" s="107">
        <v>1298</v>
      </c>
      <c r="D13" s="104">
        <v>115</v>
      </c>
      <c r="E13" s="106">
        <v>35</v>
      </c>
      <c r="F13" s="104">
        <v>84.9</v>
      </c>
      <c r="G13" s="17">
        <v>26</v>
      </c>
      <c r="H13" s="107">
        <v>336</v>
      </c>
      <c r="I13" s="108">
        <v>39000</v>
      </c>
      <c r="J13" s="108" t="s">
        <v>873</v>
      </c>
      <c r="K13" s="108"/>
      <c r="L13" s="108"/>
      <c r="M13" s="109">
        <f t="shared" si="2"/>
        <v>39000</v>
      </c>
      <c r="N13" s="4">
        <f t="shared" si="3"/>
        <v>0</v>
      </c>
      <c r="O13" s="105">
        <f t="shared" si="4"/>
        <v>1114.2857142857142</v>
      </c>
      <c r="P13" s="105">
        <f t="shared" si="5"/>
        <v>0</v>
      </c>
      <c r="Q13" s="75">
        <v>3</v>
      </c>
      <c r="R13" s="75">
        <v>2</v>
      </c>
      <c r="S13" s="75" t="s">
        <v>869</v>
      </c>
      <c r="T13" s="5" t="s">
        <v>606</v>
      </c>
      <c r="U13" s="9"/>
      <c r="W13" s="104">
        <f t="shared" si="6"/>
        <v>115</v>
      </c>
      <c r="X13" s="106">
        <f t="shared" si="7"/>
        <v>35</v>
      </c>
      <c r="Y13" s="102">
        <f t="shared" si="8"/>
        <v>336</v>
      </c>
      <c r="Z13" s="109">
        <f t="shared" si="9"/>
        <v>39000</v>
      </c>
      <c r="AA13" s="109">
        <f t="shared" si="10"/>
        <v>0</v>
      </c>
      <c r="AB13" s="109">
        <f t="shared" si="11"/>
        <v>39000</v>
      </c>
      <c r="AC13" s="4">
        <f t="shared" si="12"/>
        <v>0</v>
      </c>
      <c r="AD13" s="105">
        <f t="shared" si="13"/>
        <v>1114.2857142857142</v>
      </c>
      <c r="AE13" s="75" t="str">
        <f t="shared" si="14"/>
        <v>계</v>
      </c>
      <c r="AF13" s="75" t="str">
        <f t="shared" si="15"/>
        <v>3/2</v>
      </c>
      <c r="AH13" s="20" t="str">
        <f t="shared" si="1"/>
        <v>자은프라임</v>
      </c>
      <c r="AI13" s="106">
        <f t="shared" si="0"/>
        <v>35</v>
      </c>
      <c r="AJ13" s="75" t="str">
        <f t="shared" si="16"/>
        <v>A-</v>
      </c>
      <c r="AK13" s="75" t="s">
        <v>14</v>
      </c>
      <c r="AL13" s="75" t="s">
        <v>870</v>
      </c>
      <c r="AM13" s="75" t="s">
        <v>871</v>
      </c>
      <c r="AN13" s="75" t="str">
        <f t="shared" si="17"/>
        <v>C</v>
      </c>
      <c r="AO13" s="75" t="str">
        <f t="shared" si="18"/>
        <v>X</v>
      </c>
      <c r="AP13" s="75" t="str">
        <f t="shared" si="19"/>
        <v>O</v>
      </c>
      <c r="AQ13" s="75" t="str">
        <f t="shared" si="20"/>
        <v>X</v>
      </c>
      <c r="AR13" s="75" t="str">
        <f t="shared" si="21"/>
        <v>X</v>
      </c>
      <c r="AS13" s="75" t="s">
        <v>2</v>
      </c>
      <c r="AT13" s="75" t="str">
        <f t="shared" si="22"/>
        <v>O</v>
      </c>
      <c r="AU13" s="75" t="str">
        <f t="shared" si="23"/>
        <v>O</v>
      </c>
      <c r="AV13" s="75" t="str">
        <f t="shared" si="24"/>
        <v>X</v>
      </c>
    </row>
    <row r="14" spans="1:48" x14ac:dyDescent="0.3">
      <c r="A14" s="9" t="s">
        <v>599</v>
      </c>
      <c r="B14" s="10" t="s">
        <v>913</v>
      </c>
      <c r="C14" s="107">
        <v>1298</v>
      </c>
      <c r="D14" s="104">
        <v>115</v>
      </c>
      <c r="E14" s="106">
        <v>35</v>
      </c>
      <c r="F14" s="104">
        <v>84.9</v>
      </c>
      <c r="G14" s="17">
        <v>26</v>
      </c>
      <c r="H14" s="107">
        <v>111</v>
      </c>
      <c r="I14" s="108">
        <v>39000</v>
      </c>
      <c r="J14" s="108" t="s">
        <v>873</v>
      </c>
      <c r="K14" s="108"/>
      <c r="L14" s="108"/>
      <c r="M14" s="109">
        <f t="shared" si="2"/>
        <v>39000</v>
      </c>
      <c r="N14" s="4">
        <f t="shared" si="3"/>
        <v>0</v>
      </c>
      <c r="O14" s="105">
        <f t="shared" si="4"/>
        <v>1114.2857142857142</v>
      </c>
      <c r="P14" s="105">
        <f t="shared" si="5"/>
        <v>0</v>
      </c>
      <c r="Q14" s="75">
        <v>3</v>
      </c>
      <c r="R14" s="75">
        <v>2</v>
      </c>
      <c r="S14" s="75" t="s">
        <v>869</v>
      </c>
      <c r="T14" s="5" t="s">
        <v>607</v>
      </c>
      <c r="U14" s="9"/>
      <c r="W14" s="104">
        <f t="shared" si="6"/>
        <v>115</v>
      </c>
      <c r="X14" s="106">
        <f t="shared" si="7"/>
        <v>35</v>
      </c>
      <c r="Y14" s="102">
        <f t="shared" si="8"/>
        <v>111</v>
      </c>
      <c r="Z14" s="109">
        <f t="shared" si="9"/>
        <v>39000</v>
      </c>
      <c r="AA14" s="109">
        <f t="shared" si="10"/>
        <v>0</v>
      </c>
      <c r="AB14" s="109">
        <f t="shared" si="11"/>
        <v>39000</v>
      </c>
      <c r="AC14" s="4">
        <f t="shared" si="12"/>
        <v>0</v>
      </c>
      <c r="AD14" s="105">
        <f t="shared" si="13"/>
        <v>1114.2857142857142</v>
      </c>
      <c r="AE14" s="75" t="str">
        <f t="shared" si="14"/>
        <v>계</v>
      </c>
      <c r="AF14" s="75" t="str">
        <f t="shared" si="15"/>
        <v>3/2</v>
      </c>
      <c r="AH14" s="20" t="str">
        <f t="shared" si="1"/>
        <v>자은프라임</v>
      </c>
      <c r="AI14" s="106">
        <f t="shared" si="0"/>
        <v>35</v>
      </c>
      <c r="AJ14" s="75" t="str">
        <f t="shared" si="16"/>
        <v>A-</v>
      </c>
      <c r="AK14" s="75" t="s">
        <v>14</v>
      </c>
      <c r="AL14" s="75" t="s">
        <v>870</v>
      </c>
      <c r="AM14" s="75" t="s">
        <v>871</v>
      </c>
      <c r="AN14" s="75" t="str">
        <f t="shared" si="17"/>
        <v>C</v>
      </c>
      <c r="AO14" s="75" t="str">
        <f t="shared" si="18"/>
        <v>X</v>
      </c>
      <c r="AP14" s="75" t="str">
        <f t="shared" si="19"/>
        <v>O</v>
      </c>
      <c r="AQ14" s="75" t="str">
        <f t="shared" si="20"/>
        <v>X</v>
      </c>
      <c r="AR14" s="75" t="str">
        <f t="shared" si="21"/>
        <v>X</v>
      </c>
      <c r="AS14" s="75" t="s">
        <v>2</v>
      </c>
      <c r="AT14" s="75" t="str">
        <f t="shared" si="22"/>
        <v>O</v>
      </c>
      <c r="AU14" s="75" t="str">
        <f t="shared" si="23"/>
        <v>O</v>
      </c>
      <c r="AV14" s="75" t="str">
        <f t="shared" si="24"/>
        <v>X</v>
      </c>
    </row>
    <row r="15" spans="1:48" x14ac:dyDescent="0.3">
      <c r="A15" s="9"/>
      <c r="B15" s="75"/>
      <c r="C15" s="6"/>
      <c r="D15" s="9"/>
      <c r="E15" s="14"/>
      <c r="F15" s="104"/>
      <c r="G15" s="9"/>
      <c r="H15" s="9"/>
      <c r="I15" s="9"/>
      <c r="J15" s="9"/>
      <c r="K15" s="9"/>
      <c r="L15" s="9"/>
      <c r="M15" s="9"/>
      <c r="N15" s="9"/>
      <c r="O15" s="105"/>
      <c r="P15" s="105"/>
      <c r="Q15" s="106"/>
      <c r="R15" s="106"/>
      <c r="S15" s="9"/>
      <c r="T15" s="48"/>
      <c r="U15" s="9"/>
      <c r="W15" s="70" t="str">
        <f>$A$4&amp;" "&amp;A16&amp;"("&amp;B16&amp;","&amp;C16&amp;"^)"</f>
        <v>자은동 성원('95.09.,650^)</v>
      </c>
      <c r="X15" s="71"/>
      <c r="Y15" s="71"/>
      <c r="Z15" s="71"/>
      <c r="AA15" s="71"/>
      <c r="AB15" s="71"/>
      <c r="AC15" s="71"/>
      <c r="AD15" s="71"/>
      <c r="AE15" s="71"/>
      <c r="AF15" s="72"/>
      <c r="AH15" s="20" t="str">
        <f t="shared" si="1"/>
        <v/>
      </c>
      <c r="AI15" s="103" t="str">
        <f t="shared" si="0"/>
        <v/>
      </c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</row>
    <row r="16" spans="1:48" x14ac:dyDescent="0.3">
      <c r="A16" s="9" t="s">
        <v>613</v>
      </c>
      <c r="B16" s="10" t="s">
        <v>915</v>
      </c>
      <c r="C16" s="107">
        <v>650</v>
      </c>
      <c r="D16" s="104">
        <v>52.4</v>
      </c>
      <c r="E16" s="106">
        <v>16</v>
      </c>
      <c r="F16" s="104">
        <v>39.799999999999997</v>
      </c>
      <c r="G16" s="17">
        <v>12</v>
      </c>
      <c r="H16" s="107">
        <v>650</v>
      </c>
      <c r="I16" s="108">
        <v>10000</v>
      </c>
      <c r="J16" s="108" t="s">
        <v>878</v>
      </c>
      <c r="K16" s="108">
        <v>8000</v>
      </c>
      <c r="L16" s="108" t="s">
        <v>878</v>
      </c>
      <c r="M16" s="109">
        <f>I16-K16</f>
        <v>2000</v>
      </c>
      <c r="N16" s="4">
        <f>IF(ISERROR(K16/I16),"",K16/I16)</f>
        <v>0.8</v>
      </c>
      <c r="O16" s="105">
        <f>I16/E16</f>
        <v>625</v>
      </c>
      <c r="P16" s="105">
        <f>K16/E16</f>
        <v>500</v>
      </c>
      <c r="Q16" s="75">
        <v>2</v>
      </c>
      <c r="R16" s="75">
        <v>1</v>
      </c>
      <c r="S16" s="75" t="s">
        <v>903</v>
      </c>
      <c r="T16" s="5">
        <v>52</v>
      </c>
      <c r="U16" s="9"/>
      <c r="W16" s="104">
        <f>D16</f>
        <v>52.4</v>
      </c>
      <c r="X16" s="106">
        <f>E16</f>
        <v>16</v>
      </c>
      <c r="Y16" s="102">
        <f>H16</f>
        <v>650</v>
      </c>
      <c r="Z16" s="109">
        <f>I16</f>
        <v>10000</v>
      </c>
      <c r="AA16" s="109">
        <f>K16</f>
        <v>8000</v>
      </c>
      <c r="AB16" s="109">
        <f>M16</f>
        <v>2000</v>
      </c>
      <c r="AC16" s="4">
        <f>N16</f>
        <v>0.8</v>
      </c>
      <c r="AD16" s="105">
        <f>O16</f>
        <v>625</v>
      </c>
      <c r="AE16" s="75" t="str">
        <f>S16</f>
        <v>복</v>
      </c>
      <c r="AF16" s="75" t="str">
        <f>Q16&amp;"/"&amp;R16</f>
        <v>2/1</v>
      </c>
      <c r="AH16" s="20" t="str">
        <f t="shared" si="1"/>
        <v>성원</v>
      </c>
      <c r="AI16" s="106">
        <f t="shared" si="0"/>
        <v>16</v>
      </c>
      <c r="AJ16" s="75" t="str">
        <f>IF(AI16="","",$AJ$2)</f>
        <v>A-</v>
      </c>
      <c r="AK16" s="75" t="s">
        <v>14</v>
      </c>
      <c r="AL16" s="75" t="s">
        <v>870</v>
      </c>
      <c r="AM16" s="75" t="s">
        <v>871</v>
      </c>
      <c r="AN16" s="75" t="str">
        <f>IF(AI16="","",$AN$2)</f>
        <v>C</v>
      </c>
      <c r="AO16" s="75" t="str">
        <f>IF(N16="","",IF(N16&gt;=$AO$1/100,"O","X"))</f>
        <v>O</v>
      </c>
      <c r="AP16" s="75" t="str">
        <f>IF(I16="","",IF(I16&lt;=$AP$1,"O","X"))</f>
        <v>O</v>
      </c>
      <c r="AQ16" s="75" t="str">
        <f>IF(O16="","",IF(O16&lt;=$AQ$1,"O","X"))</f>
        <v>O</v>
      </c>
      <c r="AR16" s="75" t="str">
        <f>IF(M16="","",IF(M16&lt;=$AR$1,"O","X"))</f>
        <v>O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>후보</v>
      </c>
    </row>
    <row r="17" spans="1:48" x14ac:dyDescent="0.3">
      <c r="A17" s="9"/>
      <c r="B17" s="75"/>
      <c r="C17" s="6"/>
      <c r="D17" s="9"/>
      <c r="E17" s="14"/>
      <c r="F17" s="104"/>
      <c r="G17" s="9"/>
      <c r="H17" s="9"/>
      <c r="I17" s="9"/>
      <c r="J17" s="9"/>
      <c r="K17" s="9"/>
      <c r="L17" s="9"/>
      <c r="M17" s="9"/>
      <c r="N17" s="9"/>
      <c r="O17" s="105"/>
      <c r="P17" s="105"/>
      <c r="Q17" s="106"/>
      <c r="R17" s="106"/>
      <c r="S17" s="9"/>
      <c r="T17" s="48"/>
      <c r="U17" s="9"/>
      <c r="W17" s="70" t="str">
        <f>$A$4&amp;" "&amp;A18&amp;"("&amp;B18&amp;","&amp;C18&amp;"^)"</f>
        <v>자은동 창원자은에일린의뜰('17.10.,520^)</v>
      </c>
      <c r="X17" s="71"/>
      <c r="Y17" s="71"/>
      <c r="Z17" s="71"/>
      <c r="AA17" s="71"/>
      <c r="AB17" s="71"/>
      <c r="AC17" s="71"/>
      <c r="AD17" s="71"/>
      <c r="AE17" s="71"/>
      <c r="AF17" s="72"/>
      <c r="AH17" s="20" t="str">
        <f t="shared" si="1"/>
        <v/>
      </c>
      <c r="AI17" s="103" t="str">
        <f t="shared" si="0"/>
        <v/>
      </c>
      <c r="AJ17" s="75"/>
      <c r="AK17" s="75"/>
      <c r="AL17" s="75"/>
      <c r="AM17" s="75"/>
      <c r="AN17" s="75"/>
      <c r="AO17" s="75"/>
      <c r="AP17" s="75"/>
      <c r="AQ17" s="75"/>
      <c r="AR17" s="75"/>
      <c r="AS17" s="75"/>
      <c r="AT17" s="75"/>
      <c r="AU17" s="75"/>
      <c r="AV17" s="75"/>
    </row>
    <row r="18" spans="1:48" x14ac:dyDescent="0.3">
      <c r="A18" s="9" t="s">
        <v>618</v>
      </c>
      <c r="B18" s="10" t="s">
        <v>916</v>
      </c>
      <c r="C18" s="107">
        <v>520</v>
      </c>
      <c r="D18" s="104">
        <v>110.9</v>
      </c>
      <c r="E18" s="106">
        <v>34</v>
      </c>
      <c r="F18" s="104">
        <v>84.9</v>
      </c>
      <c r="G18" s="17">
        <v>26</v>
      </c>
      <c r="H18" s="107">
        <v>224</v>
      </c>
      <c r="I18" s="108"/>
      <c r="J18" s="108"/>
      <c r="K18" s="108"/>
      <c r="L18" s="108"/>
      <c r="M18" s="109">
        <f t="shared" ref="M18:M23" si="25">I18-K18</f>
        <v>0</v>
      </c>
      <c r="N18" s="4" t="str">
        <f t="shared" ref="N18:N23" si="26">IF(ISERROR(K18/I18),"",K18/I18)</f>
        <v/>
      </c>
      <c r="O18" s="105">
        <f t="shared" ref="O18:O23" si="27">I18/E18</f>
        <v>0</v>
      </c>
      <c r="P18" s="105">
        <f t="shared" ref="P18:P23" si="28">K18/E18</f>
        <v>0</v>
      </c>
      <c r="Q18" s="75">
        <v>3</v>
      </c>
      <c r="R18" s="75">
        <v>2</v>
      </c>
      <c r="S18" s="75" t="s">
        <v>869</v>
      </c>
      <c r="T18" s="5" t="s">
        <v>287</v>
      </c>
      <c r="U18" s="9"/>
      <c r="W18" s="104">
        <f t="shared" ref="W18:X23" si="29">D18</f>
        <v>110.9</v>
      </c>
      <c r="X18" s="106">
        <f t="shared" si="29"/>
        <v>34</v>
      </c>
      <c r="Y18" s="102">
        <f t="shared" ref="Y18:Z23" si="30">H18</f>
        <v>224</v>
      </c>
      <c r="Z18" s="109">
        <f t="shared" si="30"/>
        <v>0</v>
      </c>
      <c r="AA18" s="109">
        <f t="shared" ref="AA18:AA23" si="31">K18</f>
        <v>0</v>
      </c>
      <c r="AB18" s="109">
        <f t="shared" ref="AB18:AD23" si="32">M18</f>
        <v>0</v>
      </c>
      <c r="AC18" s="4" t="str">
        <f t="shared" si="32"/>
        <v/>
      </c>
      <c r="AD18" s="105">
        <f t="shared" si="32"/>
        <v>0</v>
      </c>
      <c r="AE18" s="75" t="str">
        <f t="shared" ref="AE18:AE23" si="33">S18</f>
        <v>계</v>
      </c>
      <c r="AF18" s="75" t="str">
        <f t="shared" ref="AF18:AF23" si="34">Q18&amp;"/"&amp;R18</f>
        <v>3/2</v>
      </c>
      <c r="AH18" s="20" t="str">
        <f t="shared" si="1"/>
        <v>창원자은에일린의뜰</v>
      </c>
      <c r="AI18" s="106">
        <f t="shared" si="0"/>
        <v>34</v>
      </c>
      <c r="AJ18" s="75" t="str">
        <f t="shared" ref="AJ18:AJ23" si="35">IF(AI18="","",$AJ$2)</f>
        <v>A-</v>
      </c>
      <c r="AK18" s="75" t="s">
        <v>14</v>
      </c>
      <c r="AL18" s="75" t="s">
        <v>870</v>
      </c>
      <c r="AM18" s="75" t="s">
        <v>871</v>
      </c>
      <c r="AN18" s="75" t="str">
        <f t="shared" ref="AN18:AN23" si="36">IF(AI18="","",$AN$2)</f>
        <v>C</v>
      </c>
      <c r="AO18" s="75" t="str">
        <f t="shared" ref="AO18:AO23" si="37">IF(N18="","",IF(N18&gt;=$AO$1/100,"O","X"))</f>
        <v/>
      </c>
      <c r="AP18" s="75" t="str">
        <f t="shared" ref="AP18:AP23" si="38">IF(I18="","",IF(I18&lt;=$AP$1,"O","X"))</f>
        <v/>
      </c>
      <c r="AQ18" s="75" t="str">
        <f t="shared" ref="AQ18:AQ23" si="39">IF(O18="","",IF(O18&lt;=$AQ$1,"O","X"))</f>
        <v>O</v>
      </c>
      <c r="AR18" s="75" t="str">
        <f t="shared" ref="AR18:AR23" si="40">IF(M18="","",IF(M18&lt;=$AR$1,"O","X"))</f>
        <v>O</v>
      </c>
      <c r="AS18" s="75" t="s">
        <v>2</v>
      </c>
      <c r="AT18" s="75" t="str">
        <f t="shared" ref="AT18:AT23" si="41">IF(OR(F18="",AI18=""),"",IF(AND((F18&lt;=85),(AI18&gt;=15)),"O","X"))</f>
        <v>O</v>
      </c>
      <c r="AU18" s="75" t="str">
        <f t="shared" ref="AU18:AU23" si="42">IF(C18="","",IF(C18&gt;=$AU$1,"O","X"))</f>
        <v>O</v>
      </c>
      <c r="AV18" s="75" t="str">
        <f t="shared" ref="AV18:AV23" si="43">IF(AO18="","",IF(AND(AO18="O",AP18="O",AR18="O",AT18="O",AU18="O"),"후보","X"))</f>
        <v/>
      </c>
    </row>
    <row r="19" spans="1:48" x14ac:dyDescent="0.3">
      <c r="A19" s="9" t="s">
        <v>618</v>
      </c>
      <c r="B19" s="10" t="s">
        <v>916</v>
      </c>
      <c r="C19" s="107">
        <v>520</v>
      </c>
      <c r="D19" s="104">
        <v>111</v>
      </c>
      <c r="E19" s="106">
        <v>34</v>
      </c>
      <c r="F19" s="104">
        <v>85</v>
      </c>
      <c r="G19" s="17">
        <v>26</v>
      </c>
      <c r="H19" s="107">
        <v>18</v>
      </c>
      <c r="I19" s="108">
        <v>42500</v>
      </c>
      <c r="J19" s="108" t="s">
        <v>907</v>
      </c>
      <c r="K19" s="108"/>
      <c r="L19" s="108"/>
      <c r="M19" s="109">
        <f t="shared" si="25"/>
        <v>42500</v>
      </c>
      <c r="N19" s="4">
        <f t="shared" si="26"/>
        <v>0</v>
      </c>
      <c r="O19" s="105">
        <f t="shared" si="27"/>
        <v>1250</v>
      </c>
      <c r="P19" s="105">
        <f t="shared" si="28"/>
        <v>0</v>
      </c>
      <c r="Q19" s="75">
        <v>3</v>
      </c>
      <c r="R19" s="75">
        <v>2</v>
      </c>
      <c r="S19" s="75" t="s">
        <v>869</v>
      </c>
      <c r="T19" s="5" t="s">
        <v>152</v>
      </c>
      <c r="U19" s="9"/>
      <c r="W19" s="104">
        <f t="shared" si="29"/>
        <v>111</v>
      </c>
      <c r="X19" s="106">
        <f t="shared" si="29"/>
        <v>34</v>
      </c>
      <c r="Y19" s="102">
        <f t="shared" si="30"/>
        <v>18</v>
      </c>
      <c r="Z19" s="109">
        <f t="shared" si="30"/>
        <v>42500</v>
      </c>
      <c r="AA19" s="109">
        <f t="shared" si="31"/>
        <v>0</v>
      </c>
      <c r="AB19" s="109">
        <f t="shared" si="32"/>
        <v>42500</v>
      </c>
      <c r="AC19" s="4">
        <f t="shared" si="32"/>
        <v>0</v>
      </c>
      <c r="AD19" s="105">
        <f t="shared" si="32"/>
        <v>1250</v>
      </c>
      <c r="AE19" s="75" t="str">
        <f t="shared" si="33"/>
        <v>계</v>
      </c>
      <c r="AF19" s="75" t="str">
        <f t="shared" si="34"/>
        <v>3/2</v>
      </c>
      <c r="AH19" s="20" t="str">
        <f t="shared" si="1"/>
        <v>창원자은에일린의뜰</v>
      </c>
      <c r="AI19" s="106">
        <f t="shared" si="0"/>
        <v>34</v>
      </c>
      <c r="AJ19" s="75" t="str">
        <f t="shared" si="35"/>
        <v>A-</v>
      </c>
      <c r="AK19" s="75" t="s">
        <v>14</v>
      </c>
      <c r="AL19" s="75" t="s">
        <v>870</v>
      </c>
      <c r="AM19" s="75" t="s">
        <v>871</v>
      </c>
      <c r="AN19" s="75" t="str">
        <f t="shared" si="36"/>
        <v>C</v>
      </c>
      <c r="AO19" s="75" t="str">
        <f t="shared" si="37"/>
        <v>X</v>
      </c>
      <c r="AP19" s="75" t="str">
        <f t="shared" si="38"/>
        <v>O</v>
      </c>
      <c r="AQ19" s="75" t="str">
        <f t="shared" si="39"/>
        <v>X</v>
      </c>
      <c r="AR19" s="75" t="str">
        <f t="shared" si="40"/>
        <v>X</v>
      </c>
      <c r="AS19" s="75" t="s">
        <v>2</v>
      </c>
      <c r="AT19" s="75" t="str">
        <f t="shared" si="41"/>
        <v>O</v>
      </c>
      <c r="AU19" s="75" t="str">
        <f t="shared" si="42"/>
        <v>O</v>
      </c>
      <c r="AV19" s="75" t="str">
        <f t="shared" si="43"/>
        <v>X</v>
      </c>
    </row>
    <row r="20" spans="1:48" x14ac:dyDescent="0.3">
      <c r="A20" s="9" t="s">
        <v>618</v>
      </c>
      <c r="B20" s="10" t="s">
        <v>916</v>
      </c>
      <c r="C20" s="107">
        <v>520</v>
      </c>
      <c r="D20" s="104">
        <v>111.4</v>
      </c>
      <c r="E20" s="106">
        <v>34</v>
      </c>
      <c r="F20" s="104">
        <v>84.8</v>
      </c>
      <c r="G20" s="17">
        <v>26</v>
      </c>
      <c r="H20" s="107">
        <v>48</v>
      </c>
      <c r="I20" s="108">
        <v>47000</v>
      </c>
      <c r="J20" s="108" t="s">
        <v>898</v>
      </c>
      <c r="K20" s="108"/>
      <c r="L20" s="108"/>
      <c r="M20" s="109">
        <f t="shared" si="25"/>
        <v>47000</v>
      </c>
      <c r="N20" s="4">
        <f t="shared" si="26"/>
        <v>0</v>
      </c>
      <c r="O20" s="105">
        <f t="shared" si="27"/>
        <v>1382.3529411764705</v>
      </c>
      <c r="P20" s="105">
        <f t="shared" si="28"/>
        <v>0</v>
      </c>
      <c r="Q20" s="75">
        <v>4</v>
      </c>
      <c r="R20" s="75">
        <v>2</v>
      </c>
      <c r="S20" s="75" t="s">
        <v>869</v>
      </c>
      <c r="T20" s="5" t="s">
        <v>154</v>
      </c>
      <c r="U20" s="9"/>
      <c r="W20" s="104">
        <f t="shared" si="29"/>
        <v>111.4</v>
      </c>
      <c r="X20" s="106">
        <f t="shared" si="29"/>
        <v>34</v>
      </c>
      <c r="Y20" s="102">
        <f t="shared" si="30"/>
        <v>48</v>
      </c>
      <c r="Z20" s="109">
        <f t="shared" si="30"/>
        <v>47000</v>
      </c>
      <c r="AA20" s="109">
        <f t="shared" si="31"/>
        <v>0</v>
      </c>
      <c r="AB20" s="109">
        <f t="shared" si="32"/>
        <v>47000</v>
      </c>
      <c r="AC20" s="4">
        <f t="shared" si="32"/>
        <v>0</v>
      </c>
      <c r="AD20" s="105">
        <f t="shared" si="32"/>
        <v>1382.3529411764705</v>
      </c>
      <c r="AE20" s="75" t="str">
        <f t="shared" si="33"/>
        <v>계</v>
      </c>
      <c r="AF20" s="75" t="str">
        <f t="shared" si="34"/>
        <v>4/2</v>
      </c>
      <c r="AH20" s="20" t="str">
        <f t="shared" si="1"/>
        <v>창원자은에일린의뜰</v>
      </c>
      <c r="AI20" s="106">
        <f t="shared" si="0"/>
        <v>34</v>
      </c>
      <c r="AJ20" s="75" t="str">
        <f t="shared" si="35"/>
        <v>A-</v>
      </c>
      <c r="AK20" s="75" t="s">
        <v>14</v>
      </c>
      <c r="AL20" s="75" t="s">
        <v>870</v>
      </c>
      <c r="AM20" s="75" t="s">
        <v>871</v>
      </c>
      <c r="AN20" s="75" t="str">
        <f t="shared" si="36"/>
        <v>C</v>
      </c>
      <c r="AO20" s="75" t="str">
        <f t="shared" si="37"/>
        <v>X</v>
      </c>
      <c r="AP20" s="75" t="str">
        <f t="shared" si="38"/>
        <v>X</v>
      </c>
      <c r="AQ20" s="75" t="str">
        <f t="shared" si="39"/>
        <v>X</v>
      </c>
      <c r="AR20" s="75" t="str">
        <f t="shared" si="40"/>
        <v>X</v>
      </c>
      <c r="AS20" s="75" t="s">
        <v>2</v>
      </c>
      <c r="AT20" s="75" t="str">
        <f t="shared" si="41"/>
        <v>O</v>
      </c>
      <c r="AU20" s="75" t="str">
        <f t="shared" si="42"/>
        <v>O</v>
      </c>
      <c r="AV20" s="75" t="str">
        <f t="shared" si="43"/>
        <v>X</v>
      </c>
    </row>
    <row r="21" spans="1:48" x14ac:dyDescent="0.3">
      <c r="A21" s="9" t="s">
        <v>618</v>
      </c>
      <c r="B21" s="10" t="s">
        <v>916</v>
      </c>
      <c r="C21" s="107">
        <v>520</v>
      </c>
      <c r="D21" s="104">
        <v>132</v>
      </c>
      <c r="E21" s="106">
        <v>40</v>
      </c>
      <c r="F21" s="104">
        <v>101.5</v>
      </c>
      <c r="G21" s="17">
        <v>31</v>
      </c>
      <c r="H21" s="107">
        <v>103</v>
      </c>
      <c r="I21" s="108">
        <v>60000</v>
      </c>
      <c r="J21" s="108" t="s">
        <v>873</v>
      </c>
      <c r="K21" s="108"/>
      <c r="L21" s="108"/>
      <c r="M21" s="109">
        <f t="shared" si="25"/>
        <v>60000</v>
      </c>
      <c r="N21" s="4">
        <f t="shared" si="26"/>
        <v>0</v>
      </c>
      <c r="O21" s="105">
        <f t="shared" si="27"/>
        <v>1500</v>
      </c>
      <c r="P21" s="105">
        <f t="shared" si="28"/>
        <v>0</v>
      </c>
      <c r="Q21" s="75">
        <v>4</v>
      </c>
      <c r="R21" s="75">
        <v>2</v>
      </c>
      <c r="S21" s="75" t="s">
        <v>869</v>
      </c>
      <c r="T21" s="5" t="s">
        <v>623</v>
      </c>
      <c r="U21" s="9"/>
      <c r="W21" s="104">
        <f t="shared" si="29"/>
        <v>132</v>
      </c>
      <c r="X21" s="106">
        <f t="shared" si="29"/>
        <v>40</v>
      </c>
      <c r="Y21" s="102">
        <f t="shared" si="30"/>
        <v>103</v>
      </c>
      <c r="Z21" s="109">
        <f t="shared" si="30"/>
        <v>60000</v>
      </c>
      <c r="AA21" s="109">
        <f t="shared" si="31"/>
        <v>0</v>
      </c>
      <c r="AB21" s="109">
        <f t="shared" si="32"/>
        <v>60000</v>
      </c>
      <c r="AC21" s="4">
        <f t="shared" si="32"/>
        <v>0</v>
      </c>
      <c r="AD21" s="105">
        <f t="shared" si="32"/>
        <v>1500</v>
      </c>
      <c r="AE21" s="75" t="str">
        <f t="shared" si="33"/>
        <v>계</v>
      </c>
      <c r="AF21" s="75" t="str">
        <f t="shared" si="34"/>
        <v>4/2</v>
      </c>
      <c r="AH21" s="20" t="str">
        <f t="shared" si="1"/>
        <v>창원자은에일린의뜰</v>
      </c>
      <c r="AI21" s="106">
        <f t="shared" si="0"/>
        <v>40</v>
      </c>
      <c r="AJ21" s="75" t="str">
        <f t="shared" si="35"/>
        <v>A-</v>
      </c>
      <c r="AK21" s="75" t="s">
        <v>14</v>
      </c>
      <c r="AL21" s="75" t="s">
        <v>870</v>
      </c>
      <c r="AM21" s="75" t="s">
        <v>871</v>
      </c>
      <c r="AN21" s="75" t="str">
        <f t="shared" si="36"/>
        <v>C</v>
      </c>
      <c r="AO21" s="75" t="str">
        <f t="shared" si="37"/>
        <v>X</v>
      </c>
      <c r="AP21" s="75" t="str">
        <f t="shared" si="38"/>
        <v>X</v>
      </c>
      <c r="AQ21" s="75" t="str">
        <f t="shared" si="39"/>
        <v>X</v>
      </c>
      <c r="AR21" s="75" t="str">
        <f t="shared" si="40"/>
        <v>X</v>
      </c>
      <c r="AS21" s="75" t="s">
        <v>2</v>
      </c>
      <c r="AT21" s="75" t="str">
        <f t="shared" si="41"/>
        <v>X</v>
      </c>
      <c r="AU21" s="75" t="str">
        <f t="shared" si="42"/>
        <v>O</v>
      </c>
      <c r="AV21" s="75" t="str">
        <f t="shared" si="43"/>
        <v>X</v>
      </c>
    </row>
    <row r="22" spans="1:48" x14ac:dyDescent="0.3">
      <c r="A22" s="9" t="s">
        <v>618</v>
      </c>
      <c r="B22" s="10" t="s">
        <v>916</v>
      </c>
      <c r="C22" s="107">
        <v>520</v>
      </c>
      <c r="D22" s="104">
        <v>132</v>
      </c>
      <c r="E22" s="106">
        <v>40</v>
      </c>
      <c r="F22" s="104">
        <v>101.3</v>
      </c>
      <c r="G22" s="17">
        <v>31</v>
      </c>
      <c r="H22" s="107">
        <v>41</v>
      </c>
      <c r="I22" s="108">
        <v>53000</v>
      </c>
      <c r="J22" s="108" t="s">
        <v>883</v>
      </c>
      <c r="K22" s="108"/>
      <c r="L22" s="108"/>
      <c r="M22" s="109">
        <f t="shared" si="25"/>
        <v>53000</v>
      </c>
      <c r="N22" s="4">
        <f t="shared" si="26"/>
        <v>0</v>
      </c>
      <c r="O22" s="105">
        <f t="shared" si="27"/>
        <v>1325</v>
      </c>
      <c r="P22" s="105">
        <f t="shared" si="28"/>
        <v>0</v>
      </c>
      <c r="Q22" s="75">
        <v>4</v>
      </c>
      <c r="R22" s="75">
        <v>2</v>
      </c>
      <c r="S22" s="75" t="s">
        <v>869</v>
      </c>
      <c r="T22" s="5" t="s">
        <v>624</v>
      </c>
      <c r="U22" s="9"/>
      <c r="W22" s="104">
        <f t="shared" si="29"/>
        <v>132</v>
      </c>
      <c r="X22" s="106">
        <f t="shared" si="29"/>
        <v>40</v>
      </c>
      <c r="Y22" s="102">
        <f t="shared" si="30"/>
        <v>41</v>
      </c>
      <c r="Z22" s="109">
        <f t="shared" si="30"/>
        <v>53000</v>
      </c>
      <c r="AA22" s="109">
        <f t="shared" si="31"/>
        <v>0</v>
      </c>
      <c r="AB22" s="109">
        <f t="shared" si="32"/>
        <v>53000</v>
      </c>
      <c r="AC22" s="4">
        <f t="shared" si="32"/>
        <v>0</v>
      </c>
      <c r="AD22" s="105">
        <f t="shared" si="32"/>
        <v>1325</v>
      </c>
      <c r="AE22" s="75" t="str">
        <f t="shared" si="33"/>
        <v>계</v>
      </c>
      <c r="AF22" s="75" t="str">
        <f t="shared" si="34"/>
        <v>4/2</v>
      </c>
      <c r="AH22" s="20" t="str">
        <f t="shared" si="1"/>
        <v>창원자은에일린의뜰</v>
      </c>
      <c r="AI22" s="106">
        <f t="shared" si="0"/>
        <v>40</v>
      </c>
      <c r="AJ22" s="75" t="str">
        <f t="shared" si="35"/>
        <v>A-</v>
      </c>
      <c r="AK22" s="75" t="s">
        <v>14</v>
      </c>
      <c r="AL22" s="75" t="s">
        <v>870</v>
      </c>
      <c r="AM22" s="75" t="s">
        <v>871</v>
      </c>
      <c r="AN22" s="75" t="str">
        <f t="shared" si="36"/>
        <v>C</v>
      </c>
      <c r="AO22" s="75" t="str">
        <f t="shared" si="37"/>
        <v>X</v>
      </c>
      <c r="AP22" s="75" t="str">
        <f t="shared" si="38"/>
        <v>X</v>
      </c>
      <c r="AQ22" s="75" t="str">
        <f t="shared" si="39"/>
        <v>X</v>
      </c>
      <c r="AR22" s="75" t="str">
        <f t="shared" si="40"/>
        <v>X</v>
      </c>
      <c r="AS22" s="75" t="s">
        <v>2</v>
      </c>
      <c r="AT22" s="75" t="str">
        <f t="shared" si="41"/>
        <v>X</v>
      </c>
      <c r="AU22" s="75" t="str">
        <f t="shared" si="42"/>
        <v>O</v>
      </c>
      <c r="AV22" s="75" t="str">
        <f t="shared" si="43"/>
        <v>X</v>
      </c>
    </row>
    <row r="23" spans="1:48" x14ac:dyDescent="0.3">
      <c r="A23" s="9" t="s">
        <v>618</v>
      </c>
      <c r="B23" s="10" t="s">
        <v>916</v>
      </c>
      <c r="C23" s="107">
        <v>520</v>
      </c>
      <c r="D23" s="104">
        <v>148.80000000000001</v>
      </c>
      <c r="E23" s="106">
        <v>45</v>
      </c>
      <c r="F23" s="104">
        <v>114.8</v>
      </c>
      <c r="G23" s="17">
        <v>35</v>
      </c>
      <c r="H23" s="107">
        <v>86</v>
      </c>
      <c r="I23" s="108">
        <v>60000</v>
      </c>
      <c r="J23" s="108" t="s">
        <v>873</v>
      </c>
      <c r="K23" s="108">
        <v>44000</v>
      </c>
      <c r="L23" s="108" t="s">
        <v>873</v>
      </c>
      <c r="M23" s="109">
        <f t="shared" si="25"/>
        <v>16000</v>
      </c>
      <c r="N23" s="4">
        <f t="shared" si="26"/>
        <v>0.73333333333333328</v>
      </c>
      <c r="O23" s="105">
        <f t="shared" si="27"/>
        <v>1333.3333333333333</v>
      </c>
      <c r="P23" s="105">
        <f t="shared" si="28"/>
        <v>977.77777777777783</v>
      </c>
      <c r="Q23" s="75">
        <v>4</v>
      </c>
      <c r="R23" s="75">
        <v>2</v>
      </c>
      <c r="S23" s="75" t="s">
        <v>869</v>
      </c>
      <c r="T23" s="5">
        <v>148</v>
      </c>
      <c r="U23" s="9"/>
      <c r="W23" s="104">
        <f t="shared" si="29"/>
        <v>148.80000000000001</v>
      </c>
      <c r="X23" s="106">
        <f t="shared" si="29"/>
        <v>45</v>
      </c>
      <c r="Y23" s="102">
        <f t="shared" si="30"/>
        <v>86</v>
      </c>
      <c r="Z23" s="109">
        <f t="shared" si="30"/>
        <v>60000</v>
      </c>
      <c r="AA23" s="109">
        <f t="shared" si="31"/>
        <v>44000</v>
      </c>
      <c r="AB23" s="109">
        <f t="shared" si="32"/>
        <v>16000</v>
      </c>
      <c r="AC23" s="4">
        <f t="shared" si="32"/>
        <v>0.73333333333333328</v>
      </c>
      <c r="AD23" s="105">
        <f t="shared" si="32"/>
        <v>1333.3333333333333</v>
      </c>
      <c r="AE23" s="75" t="str">
        <f t="shared" si="33"/>
        <v>계</v>
      </c>
      <c r="AF23" s="75" t="str">
        <f t="shared" si="34"/>
        <v>4/2</v>
      </c>
      <c r="AH23" s="20" t="str">
        <f t="shared" si="1"/>
        <v>창원자은에일린의뜰</v>
      </c>
      <c r="AI23" s="106">
        <f t="shared" si="0"/>
        <v>45</v>
      </c>
      <c r="AJ23" s="75" t="str">
        <f t="shared" si="35"/>
        <v>A-</v>
      </c>
      <c r="AK23" s="75" t="s">
        <v>14</v>
      </c>
      <c r="AL23" s="75" t="s">
        <v>870</v>
      </c>
      <c r="AM23" s="75" t="s">
        <v>871</v>
      </c>
      <c r="AN23" s="75" t="str">
        <f t="shared" si="36"/>
        <v>C</v>
      </c>
      <c r="AO23" s="75" t="str">
        <f t="shared" si="37"/>
        <v>X</v>
      </c>
      <c r="AP23" s="75" t="str">
        <f t="shared" si="38"/>
        <v>X</v>
      </c>
      <c r="AQ23" s="75" t="str">
        <f t="shared" si="39"/>
        <v>X</v>
      </c>
      <c r="AR23" s="75" t="str">
        <f t="shared" si="40"/>
        <v>X</v>
      </c>
      <c r="AS23" s="75" t="s">
        <v>2</v>
      </c>
      <c r="AT23" s="75" t="str">
        <f t="shared" si="41"/>
        <v>X</v>
      </c>
      <c r="AU23" s="75" t="str">
        <f t="shared" si="42"/>
        <v>O</v>
      </c>
      <c r="AV23" s="75" t="str">
        <f t="shared" si="43"/>
        <v>X</v>
      </c>
    </row>
    <row r="24" spans="1:48" x14ac:dyDescent="0.3">
      <c r="A24" s="9"/>
      <c r="B24" s="75"/>
      <c r="C24" s="6"/>
      <c r="D24" s="9"/>
      <c r="E24" s="14"/>
      <c r="F24" s="104"/>
      <c r="G24" s="9"/>
      <c r="H24" s="9"/>
      <c r="I24" s="9"/>
      <c r="J24" s="9"/>
      <c r="K24" s="9"/>
      <c r="L24" s="9"/>
      <c r="M24" s="9"/>
      <c r="N24" s="9"/>
      <c r="O24" s="105"/>
      <c r="P24" s="105"/>
      <c r="Q24" s="106"/>
      <c r="R24" s="106"/>
      <c r="S24" s="9"/>
      <c r="T24" s="48"/>
      <c r="U24" s="9"/>
      <c r="W24" s="70" t="str">
        <f>$A$4&amp;" "&amp;A25&amp;"("&amp;B25&amp;","&amp;C25&amp;"^)"</f>
        <v>자은동 대동빌라트1단지('96.12.,299^)</v>
      </c>
      <c r="X24" s="71"/>
      <c r="Y24" s="71"/>
      <c r="Z24" s="71"/>
      <c r="AA24" s="71"/>
      <c r="AB24" s="71"/>
      <c r="AC24" s="71"/>
      <c r="AD24" s="71"/>
      <c r="AE24" s="71"/>
      <c r="AF24" s="72"/>
      <c r="AH24" s="20" t="str">
        <f t="shared" si="1"/>
        <v/>
      </c>
      <c r="AI24" s="103" t="str">
        <f t="shared" si="0"/>
        <v/>
      </c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</row>
    <row r="25" spans="1:48" x14ac:dyDescent="0.3">
      <c r="A25" s="9" t="s">
        <v>625</v>
      </c>
      <c r="B25" s="10" t="s">
        <v>917</v>
      </c>
      <c r="C25" s="107">
        <v>299</v>
      </c>
      <c r="D25" s="104">
        <v>104</v>
      </c>
      <c r="E25" s="106">
        <v>31</v>
      </c>
      <c r="F25" s="104">
        <v>84.9</v>
      </c>
      <c r="G25" s="17">
        <v>26</v>
      </c>
      <c r="H25" s="107">
        <v>251</v>
      </c>
      <c r="I25" s="108"/>
      <c r="J25" s="108"/>
      <c r="K25" s="108"/>
      <c r="L25" s="108"/>
      <c r="M25" s="109">
        <f>I25-K25</f>
        <v>0</v>
      </c>
      <c r="N25" s="4" t="str">
        <f>IF(ISERROR(K25/I25),"",K25/I25)</f>
        <v/>
      </c>
      <c r="O25" s="105">
        <f>I25/E25</f>
        <v>0</v>
      </c>
      <c r="P25" s="105">
        <f>K25/E25</f>
        <v>0</v>
      </c>
      <c r="Q25" s="75">
        <v>3</v>
      </c>
      <c r="R25" s="75">
        <v>2</v>
      </c>
      <c r="S25" s="75" t="s">
        <v>869</v>
      </c>
      <c r="T25" s="5">
        <v>103</v>
      </c>
      <c r="U25" s="9"/>
      <c r="W25" s="104">
        <f>D25</f>
        <v>104</v>
      </c>
      <c r="X25" s="106">
        <f>E25</f>
        <v>31</v>
      </c>
      <c r="Y25" s="102">
        <f>H25</f>
        <v>251</v>
      </c>
      <c r="Z25" s="109">
        <f>I25</f>
        <v>0</v>
      </c>
      <c r="AA25" s="109">
        <f>K25</f>
        <v>0</v>
      </c>
      <c r="AB25" s="109">
        <f t="shared" ref="AB25:AD26" si="44">M25</f>
        <v>0</v>
      </c>
      <c r="AC25" s="4" t="str">
        <f t="shared" si="44"/>
        <v/>
      </c>
      <c r="AD25" s="105">
        <f t="shared" si="44"/>
        <v>0</v>
      </c>
      <c r="AE25" s="75" t="str">
        <f>S25</f>
        <v>계</v>
      </c>
      <c r="AF25" s="75" t="str">
        <f>Q25&amp;"/"&amp;R25</f>
        <v>3/2</v>
      </c>
      <c r="AH25" s="20" t="str">
        <f t="shared" si="1"/>
        <v>대동빌라트1단지</v>
      </c>
      <c r="AI25" s="106">
        <f t="shared" si="0"/>
        <v>31</v>
      </c>
      <c r="AJ25" s="75" t="str">
        <f>IF(AI25="","",$AJ$2)</f>
        <v>A-</v>
      </c>
      <c r="AK25" s="75" t="s">
        <v>14</v>
      </c>
      <c r="AL25" s="75" t="s">
        <v>870</v>
      </c>
      <c r="AM25" s="75" t="s">
        <v>871</v>
      </c>
      <c r="AN25" s="75" t="str">
        <f>IF(AI25="","",$AN$2)</f>
        <v>C</v>
      </c>
      <c r="AO25" s="75" t="str">
        <f>IF(N25="","",IF(N25&gt;=$AO$1/100,"O","X"))</f>
        <v/>
      </c>
      <c r="AP25" s="75" t="str">
        <f>IF(I25="","",IF(I25&lt;=$AP$1,"O","X"))</f>
        <v/>
      </c>
      <c r="AQ25" s="75" t="str">
        <f>IF(O25="","",IF(O25&lt;=$AQ$1,"O","X"))</f>
        <v>O</v>
      </c>
      <c r="AR25" s="75" t="str">
        <f>IF(M25="","",IF(M25&lt;=$AR$1,"O","X"))</f>
        <v>O</v>
      </c>
      <c r="AS25" s="75" t="s">
        <v>2</v>
      </c>
      <c r="AT25" s="75" t="str">
        <f>IF(OR(F25="",AI25=""),"",IF(AND((F25&lt;=85),(AI25&gt;=15)),"O","X"))</f>
        <v>O</v>
      </c>
      <c r="AU25" s="75" t="str">
        <f>IF(C25="","",IF(C25&gt;=$AU$1,"O","X"))</f>
        <v>X</v>
      </c>
      <c r="AV25" s="75" t="str">
        <f>IF(AO25="","",IF(AND(AO25="O",AP25="O",AR25="O",AT25="O",AU25="O"),"후보","X"))</f>
        <v/>
      </c>
    </row>
    <row r="26" spans="1:48" x14ac:dyDescent="0.3">
      <c r="A26" s="9" t="s">
        <v>625</v>
      </c>
      <c r="B26" s="10" t="s">
        <v>917</v>
      </c>
      <c r="C26" s="107">
        <v>299</v>
      </c>
      <c r="D26" s="104">
        <v>160.6</v>
      </c>
      <c r="E26" s="106">
        <v>49</v>
      </c>
      <c r="F26" s="104">
        <v>130.4</v>
      </c>
      <c r="G26" s="17">
        <v>39</v>
      </c>
      <c r="H26" s="107">
        <v>48</v>
      </c>
      <c r="I26" s="108"/>
      <c r="J26" s="108"/>
      <c r="K26" s="108"/>
      <c r="L26" s="108"/>
      <c r="M26" s="109">
        <f>I26-K26</f>
        <v>0</v>
      </c>
      <c r="N26" s="4" t="str">
        <f>IF(ISERROR(K26/I26),"",K26/I26)</f>
        <v/>
      </c>
      <c r="O26" s="105">
        <f>I26/E26</f>
        <v>0</v>
      </c>
      <c r="P26" s="105">
        <f>K26/E26</f>
        <v>0</v>
      </c>
      <c r="Q26" s="75">
        <v>4</v>
      </c>
      <c r="R26" s="75">
        <v>2</v>
      </c>
      <c r="S26" s="75" t="s">
        <v>869</v>
      </c>
      <c r="T26" s="5">
        <v>160</v>
      </c>
      <c r="U26" s="9"/>
      <c r="W26" s="104">
        <f>D26</f>
        <v>160.6</v>
      </c>
      <c r="X26" s="106">
        <f>E26</f>
        <v>49</v>
      </c>
      <c r="Y26" s="102">
        <f>H26</f>
        <v>48</v>
      </c>
      <c r="Z26" s="109">
        <f>I26</f>
        <v>0</v>
      </c>
      <c r="AA26" s="109">
        <f>K26</f>
        <v>0</v>
      </c>
      <c r="AB26" s="109">
        <f t="shared" si="44"/>
        <v>0</v>
      </c>
      <c r="AC26" s="4" t="str">
        <f t="shared" si="44"/>
        <v/>
      </c>
      <c r="AD26" s="105">
        <f t="shared" si="44"/>
        <v>0</v>
      </c>
      <c r="AE26" s="75" t="str">
        <f>S26</f>
        <v>계</v>
      </c>
      <c r="AF26" s="75" t="str">
        <f>Q26&amp;"/"&amp;R26</f>
        <v>4/2</v>
      </c>
      <c r="AH26" s="20" t="str">
        <f t="shared" si="1"/>
        <v>대동빌라트1단지</v>
      </c>
      <c r="AI26" s="106">
        <f t="shared" si="0"/>
        <v>49</v>
      </c>
      <c r="AJ26" s="75" t="str">
        <f>IF(AI26="","",$AJ$2)</f>
        <v>A-</v>
      </c>
      <c r="AK26" s="75" t="s">
        <v>14</v>
      </c>
      <c r="AL26" s="75" t="s">
        <v>870</v>
      </c>
      <c r="AM26" s="75" t="s">
        <v>871</v>
      </c>
      <c r="AN26" s="75" t="str">
        <f>IF(AI26="","",$AN$2)</f>
        <v>C</v>
      </c>
      <c r="AO26" s="75" t="str">
        <f>IF(N26="","",IF(N26&gt;=$AO$1/100,"O","X"))</f>
        <v/>
      </c>
      <c r="AP26" s="75" t="str">
        <f>IF(I26="","",IF(I26&lt;=$AP$1,"O","X"))</f>
        <v/>
      </c>
      <c r="AQ26" s="75" t="str">
        <f>IF(O26="","",IF(O26&lt;=$AQ$1,"O","X"))</f>
        <v>O</v>
      </c>
      <c r="AR26" s="75" t="str">
        <f>IF(M26="","",IF(M26&lt;=$AR$1,"O","X"))</f>
        <v>O</v>
      </c>
      <c r="AS26" s="75" t="s">
        <v>2</v>
      </c>
      <c r="AT26" s="75" t="str">
        <f>IF(OR(F26="",AI26=""),"",IF(AND((F26&lt;=85),(AI26&gt;=15)),"O","X"))</f>
        <v>X</v>
      </c>
      <c r="AU26" s="75" t="str">
        <f>IF(C26="","",IF(C26&gt;=$AU$1,"O","X"))</f>
        <v>X</v>
      </c>
      <c r="AV26" s="75" t="str">
        <f>IF(AO26="","",IF(AND(AO26="O",AP26="O",AR26="O",AT26="O",AU26="O"),"후보","X"))</f>
        <v/>
      </c>
    </row>
    <row r="27" spans="1:48" x14ac:dyDescent="0.3">
      <c r="A27" s="9"/>
      <c r="B27" s="75"/>
      <c r="C27" s="6"/>
      <c r="D27" s="9"/>
      <c r="E27" s="14"/>
      <c r="F27" s="104"/>
      <c r="G27" s="9"/>
      <c r="H27" s="9"/>
      <c r="I27" s="9"/>
      <c r="J27" s="9"/>
      <c r="K27" s="9"/>
      <c r="L27" s="9"/>
      <c r="M27" s="9"/>
      <c r="N27" s="9"/>
      <c r="O27" s="105"/>
      <c r="P27" s="105"/>
      <c r="Q27" s="106"/>
      <c r="R27" s="106"/>
      <c r="S27" s="9"/>
      <c r="T27" s="48"/>
      <c r="U27" s="9"/>
      <c r="W27" s="70" t="str">
        <f>$A$4&amp;" "&amp;A28&amp;"("&amp;B28&amp;","&amp;C28&amp;"^)"</f>
        <v>자은동 진해자은벚꽃주공('00.08.,600^)</v>
      </c>
      <c r="X27" s="71"/>
      <c r="Y27" s="71"/>
      <c r="Z27" s="71"/>
      <c r="AA27" s="71"/>
      <c r="AB27" s="71"/>
      <c r="AC27" s="71"/>
      <c r="AD27" s="71"/>
      <c r="AE27" s="71"/>
      <c r="AF27" s="72"/>
      <c r="AH27" s="20" t="str">
        <f t="shared" si="1"/>
        <v/>
      </c>
      <c r="AI27" s="103" t="str">
        <f t="shared" si="0"/>
        <v/>
      </c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</row>
    <row r="28" spans="1:48" x14ac:dyDescent="0.3">
      <c r="A28" s="9" t="s">
        <v>630</v>
      </c>
      <c r="B28" s="10" t="s">
        <v>918</v>
      </c>
      <c r="C28" s="107">
        <v>600</v>
      </c>
      <c r="D28" s="104">
        <v>80</v>
      </c>
      <c r="E28" s="106">
        <v>24</v>
      </c>
      <c r="F28" s="104">
        <v>59.7</v>
      </c>
      <c r="G28" s="17">
        <v>18</v>
      </c>
      <c r="H28" s="107">
        <v>216</v>
      </c>
      <c r="I28" s="108"/>
      <c r="J28" s="108"/>
      <c r="K28" s="108"/>
      <c r="L28" s="108"/>
      <c r="M28" s="109">
        <f t="shared" ref="M28:M35" si="45">I28-K28</f>
        <v>0</v>
      </c>
      <c r="N28" s="4" t="str">
        <f t="shared" ref="N28:N35" si="46">IF(ISERROR(K28/I28),"",K28/I28)</f>
        <v/>
      </c>
      <c r="O28" s="105">
        <f t="shared" ref="O28:O35" si="47">I28/E28</f>
        <v>0</v>
      </c>
      <c r="P28" s="105">
        <f t="shared" ref="P28:P35" si="48">K28/E28</f>
        <v>0</v>
      </c>
      <c r="Q28" s="75">
        <v>3</v>
      </c>
      <c r="R28" s="75">
        <v>1</v>
      </c>
      <c r="S28" s="75" t="s">
        <v>869</v>
      </c>
      <c r="T28" s="5" t="s">
        <v>632</v>
      </c>
      <c r="U28" s="9"/>
      <c r="W28" s="104">
        <f t="shared" ref="W28:X35" si="49">D28</f>
        <v>80</v>
      </c>
      <c r="X28" s="106">
        <f t="shared" si="49"/>
        <v>24</v>
      </c>
      <c r="Y28" s="102">
        <f t="shared" ref="Y28:Z35" si="50">H28</f>
        <v>216</v>
      </c>
      <c r="Z28" s="109">
        <f t="shared" si="50"/>
        <v>0</v>
      </c>
      <c r="AA28" s="109">
        <f t="shared" ref="AA28:AA35" si="51">K28</f>
        <v>0</v>
      </c>
      <c r="AB28" s="109">
        <f t="shared" ref="AB28:AD35" si="52">M28</f>
        <v>0</v>
      </c>
      <c r="AC28" s="4" t="str">
        <f t="shared" si="52"/>
        <v/>
      </c>
      <c r="AD28" s="105">
        <f t="shared" si="52"/>
        <v>0</v>
      </c>
      <c r="AE28" s="75" t="str">
        <f t="shared" ref="AE28:AE35" si="53">S28</f>
        <v>계</v>
      </c>
      <c r="AF28" s="75" t="str">
        <f t="shared" ref="AF28:AF35" si="54">Q28&amp;"/"&amp;R28</f>
        <v>3/1</v>
      </c>
      <c r="AH28" s="20" t="str">
        <f t="shared" si="1"/>
        <v>진해자은벚꽃주공</v>
      </c>
      <c r="AI28" s="106">
        <f t="shared" si="0"/>
        <v>24</v>
      </c>
      <c r="AJ28" s="75" t="str">
        <f t="shared" ref="AJ28:AJ35" si="55">IF(AI28="","",$AJ$2)</f>
        <v>A-</v>
      </c>
      <c r="AK28" s="75" t="s">
        <v>14</v>
      </c>
      <c r="AL28" s="75" t="s">
        <v>870</v>
      </c>
      <c r="AM28" s="75" t="s">
        <v>871</v>
      </c>
      <c r="AN28" s="75" t="str">
        <f t="shared" ref="AN28:AN35" si="56">IF(AI28="","",$AN$2)</f>
        <v>C</v>
      </c>
      <c r="AO28" s="75" t="str">
        <f t="shared" ref="AO28:AO35" si="57">IF(N28="","",IF(N28&gt;=$AO$1/100,"O","X"))</f>
        <v/>
      </c>
      <c r="AP28" s="75" t="str">
        <f t="shared" ref="AP28:AP35" si="58">IF(I28="","",IF(I28&lt;=$AP$1,"O","X"))</f>
        <v/>
      </c>
      <c r="AQ28" s="75" t="str">
        <f t="shared" ref="AQ28:AQ35" si="59">IF(O28="","",IF(O28&lt;=$AQ$1,"O","X"))</f>
        <v>O</v>
      </c>
      <c r="AR28" s="75" t="str">
        <f t="shared" ref="AR28:AR35" si="60">IF(M28="","",IF(M28&lt;=$AR$1,"O","X"))</f>
        <v>O</v>
      </c>
      <c r="AS28" s="75" t="s">
        <v>2</v>
      </c>
      <c r="AT28" s="75" t="str">
        <f t="shared" ref="AT28:AT35" si="61">IF(OR(F28="",AI28=""),"",IF(AND((F28&lt;=85),(AI28&gt;=15)),"O","X"))</f>
        <v>O</v>
      </c>
      <c r="AU28" s="75" t="str">
        <f t="shared" ref="AU28:AU35" si="62">IF(C28="","",IF(C28&gt;=$AU$1,"O","X"))</f>
        <v>O</v>
      </c>
      <c r="AV28" s="75" t="str">
        <f t="shared" ref="AV28:AV35" si="63">IF(AO28="","",IF(AND(AO28="O",AP28="O",AR28="O",AT28="O",AU28="O"),"후보","X"))</f>
        <v/>
      </c>
    </row>
    <row r="29" spans="1:48" x14ac:dyDescent="0.3">
      <c r="A29" s="9" t="s">
        <v>630</v>
      </c>
      <c r="B29" s="10" t="s">
        <v>918</v>
      </c>
      <c r="C29" s="107">
        <v>600</v>
      </c>
      <c r="D29" s="104">
        <v>80.400000000000006</v>
      </c>
      <c r="E29" s="106">
        <v>24</v>
      </c>
      <c r="F29" s="104">
        <v>60</v>
      </c>
      <c r="G29" s="17">
        <v>18</v>
      </c>
      <c r="H29" s="107">
        <v>24</v>
      </c>
      <c r="I29" s="108"/>
      <c r="J29" s="108"/>
      <c r="K29" s="108"/>
      <c r="L29" s="108"/>
      <c r="M29" s="109">
        <f t="shared" si="45"/>
        <v>0</v>
      </c>
      <c r="N29" s="4" t="str">
        <f t="shared" si="46"/>
        <v/>
      </c>
      <c r="O29" s="105">
        <f t="shared" si="47"/>
        <v>0</v>
      </c>
      <c r="P29" s="105">
        <f t="shared" si="48"/>
        <v>0</v>
      </c>
      <c r="Q29" s="75">
        <v>3</v>
      </c>
      <c r="R29" s="75">
        <v>1</v>
      </c>
      <c r="S29" s="75" t="s">
        <v>869</v>
      </c>
      <c r="T29" s="5" t="s">
        <v>636</v>
      </c>
      <c r="U29" s="9"/>
      <c r="W29" s="104">
        <f t="shared" si="49"/>
        <v>80.400000000000006</v>
      </c>
      <c r="X29" s="106">
        <f t="shared" si="49"/>
        <v>24</v>
      </c>
      <c r="Y29" s="102">
        <f t="shared" si="50"/>
        <v>24</v>
      </c>
      <c r="Z29" s="109">
        <f t="shared" si="50"/>
        <v>0</v>
      </c>
      <c r="AA29" s="109">
        <f t="shared" si="51"/>
        <v>0</v>
      </c>
      <c r="AB29" s="109">
        <f t="shared" si="52"/>
        <v>0</v>
      </c>
      <c r="AC29" s="4" t="str">
        <f t="shared" si="52"/>
        <v/>
      </c>
      <c r="AD29" s="105">
        <f t="shared" si="52"/>
        <v>0</v>
      </c>
      <c r="AE29" s="75" t="str">
        <f t="shared" si="53"/>
        <v>계</v>
      </c>
      <c r="AF29" s="75" t="str">
        <f t="shared" si="54"/>
        <v>3/1</v>
      </c>
      <c r="AH29" s="20" t="str">
        <f t="shared" si="1"/>
        <v>진해자은벚꽃주공</v>
      </c>
      <c r="AI29" s="106">
        <f t="shared" si="0"/>
        <v>24</v>
      </c>
      <c r="AJ29" s="75" t="str">
        <f t="shared" si="55"/>
        <v>A-</v>
      </c>
      <c r="AK29" s="75" t="s">
        <v>14</v>
      </c>
      <c r="AL29" s="75" t="s">
        <v>870</v>
      </c>
      <c r="AM29" s="75" t="s">
        <v>871</v>
      </c>
      <c r="AN29" s="75" t="str">
        <f t="shared" si="56"/>
        <v>C</v>
      </c>
      <c r="AO29" s="75" t="str">
        <f t="shared" si="57"/>
        <v/>
      </c>
      <c r="AP29" s="75" t="str">
        <f t="shared" si="58"/>
        <v/>
      </c>
      <c r="AQ29" s="75" t="str">
        <f t="shared" si="59"/>
        <v>O</v>
      </c>
      <c r="AR29" s="75" t="str">
        <f t="shared" si="60"/>
        <v>O</v>
      </c>
      <c r="AS29" s="75" t="s">
        <v>2</v>
      </c>
      <c r="AT29" s="75" t="str">
        <f t="shared" si="61"/>
        <v>O</v>
      </c>
      <c r="AU29" s="75" t="str">
        <f t="shared" si="62"/>
        <v>O</v>
      </c>
      <c r="AV29" s="75" t="str">
        <f t="shared" si="63"/>
        <v/>
      </c>
    </row>
    <row r="30" spans="1:48" x14ac:dyDescent="0.3">
      <c r="A30" s="9" t="s">
        <v>630</v>
      </c>
      <c r="B30" s="10" t="s">
        <v>918</v>
      </c>
      <c r="C30" s="107">
        <v>600</v>
      </c>
      <c r="D30" s="104">
        <v>101.3</v>
      </c>
      <c r="E30" s="106">
        <v>31</v>
      </c>
      <c r="F30" s="104">
        <v>75.599999999999994</v>
      </c>
      <c r="G30" s="17">
        <v>23</v>
      </c>
      <c r="H30" s="107">
        <v>72</v>
      </c>
      <c r="I30" s="108"/>
      <c r="J30" s="108"/>
      <c r="K30" s="108"/>
      <c r="L30" s="108"/>
      <c r="M30" s="109">
        <f t="shared" si="45"/>
        <v>0</v>
      </c>
      <c r="N30" s="4" t="str">
        <f t="shared" si="46"/>
        <v/>
      </c>
      <c r="O30" s="105">
        <f t="shared" si="47"/>
        <v>0</v>
      </c>
      <c r="P30" s="105">
        <f t="shared" si="48"/>
        <v>0</v>
      </c>
      <c r="Q30" s="75">
        <v>3</v>
      </c>
      <c r="R30" s="75">
        <v>2</v>
      </c>
      <c r="S30" s="75" t="s">
        <v>869</v>
      </c>
      <c r="T30" s="5" t="s">
        <v>281</v>
      </c>
      <c r="U30" s="9"/>
      <c r="W30" s="104">
        <f t="shared" si="49"/>
        <v>101.3</v>
      </c>
      <c r="X30" s="106">
        <f t="shared" si="49"/>
        <v>31</v>
      </c>
      <c r="Y30" s="102">
        <f t="shared" si="50"/>
        <v>72</v>
      </c>
      <c r="Z30" s="109">
        <f t="shared" si="50"/>
        <v>0</v>
      </c>
      <c r="AA30" s="109">
        <f t="shared" si="51"/>
        <v>0</v>
      </c>
      <c r="AB30" s="109">
        <f t="shared" si="52"/>
        <v>0</v>
      </c>
      <c r="AC30" s="4" t="str">
        <f t="shared" si="52"/>
        <v/>
      </c>
      <c r="AD30" s="105">
        <f t="shared" si="52"/>
        <v>0</v>
      </c>
      <c r="AE30" s="75" t="str">
        <f t="shared" si="53"/>
        <v>계</v>
      </c>
      <c r="AF30" s="75" t="str">
        <f t="shared" si="54"/>
        <v>3/2</v>
      </c>
      <c r="AH30" s="20" t="str">
        <f t="shared" si="1"/>
        <v>진해자은벚꽃주공</v>
      </c>
      <c r="AI30" s="106">
        <f t="shared" si="0"/>
        <v>31</v>
      </c>
      <c r="AJ30" s="75" t="str">
        <f t="shared" si="55"/>
        <v>A-</v>
      </c>
      <c r="AK30" s="75" t="s">
        <v>14</v>
      </c>
      <c r="AL30" s="75" t="s">
        <v>870</v>
      </c>
      <c r="AM30" s="75" t="s">
        <v>871</v>
      </c>
      <c r="AN30" s="75" t="str">
        <f t="shared" si="56"/>
        <v>C</v>
      </c>
      <c r="AO30" s="75" t="str">
        <f t="shared" si="57"/>
        <v/>
      </c>
      <c r="AP30" s="75" t="str">
        <f t="shared" si="58"/>
        <v/>
      </c>
      <c r="AQ30" s="75" t="str">
        <f t="shared" si="59"/>
        <v>O</v>
      </c>
      <c r="AR30" s="75" t="str">
        <f t="shared" si="60"/>
        <v>O</v>
      </c>
      <c r="AS30" s="75" t="s">
        <v>2</v>
      </c>
      <c r="AT30" s="75" t="str">
        <f t="shared" si="61"/>
        <v>O</v>
      </c>
      <c r="AU30" s="75" t="str">
        <f t="shared" si="62"/>
        <v>O</v>
      </c>
      <c r="AV30" s="75" t="str">
        <f t="shared" si="63"/>
        <v/>
      </c>
    </row>
    <row r="31" spans="1:48" x14ac:dyDescent="0.3">
      <c r="A31" s="9" t="s">
        <v>630</v>
      </c>
      <c r="B31" s="10" t="s">
        <v>918</v>
      </c>
      <c r="C31" s="107">
        <v>600</v>
      </c>
      <c r="D31" s="104">
        <v>101.3</v>
      </c>
      <c r="E31" s="106">
        <v>31</v>
      </c>
      <c r="F31" s="104">
        <v>75.599999999999994</v>
      </c>
      <c r="G31" s="17">
        <v>23</v>
      </c>
      <c r="H31" s="107">
        <v>60</v>
      </c>
      <c r="I31" s="108"/>
      <c r="J31" s="108"/>
      <c r="K31" s="108"/>
      <c r="L31" s="108"/>
      <c r="M31" s="109">
        <f t="shared" si="45"/>
        <v>0</v>
      </c>
      <c r="N31" s="4" t="str">
        <f t="shared" si="46"/>
        <v/>
      </c>
      <c r="O31" s="105">
        <f t="shared" si="47"/>
        <v>0</v>
      </c>
      <c r="P31" s="105">
        <f t="shared" si="48"/>
        <v>0</v>
      </c>
      <c r="Q31" s="75">
        <v>3</v>
      </c>
      <c r="R31" s="75">
        <v>2</v>
      </c>
      <c r="S31" s="75" t="s">
        <v>869</v>
      </c>
      <c r="T31" s="5" t="s">
        <v>244</v>
      </c>
      <c r="U31" s="9"/>
      <c r="W31" s="104">
        <f t="shared" si="49"/>
        <v>101.3</v>
      </c>
      <c r="X31" s="106">
        <f t="shared" si="49"/>
        <v>31</v>
      </c>
      <c r="Y31" s="102">
        <f t="shared" si="50"/>
        <v>60</v>
      </c>
      <c r="Z31" s="109">
        <f t="shared" si="50"/>
        <v>0</v>
      </c>
      <c r="AA31" s="109">
        <f t="shared" si="51"/>
        <v>0</v>
      </c>
      <c r="AB31" s="109">
        <f t="shared" si="52"/>
        <v>0</v>
      </c>
      <c r="AC31" s="4" t="str">
        <f t="shared" si="52"/>
        <v/>
      </c>
      <c r="AD31" s="105">
        <f t="shared" si="52"/>
        <v>0</v>
      </c>
      <c r="AE31" s="75" t="str">
        <f t="shared" si="53"/>
        <v>계</v>
      </c>
      <c r="AF31" s="75" t="str">
        <f t="shared" si="54"/>
        <v>3/2</v>
      </c>
      <c r="AH31" s="20" t="str">
        <f t="shared" si="1"/>
        <v>진해자은벚꽃주공</v>
      </c>
      <c r="AI31" s="106">
        <f t="shared" si="0"/>
        <v>31</v>
      </c>
      <c r="AJ31" s="75" t="str">
        <f t="shared" si="55"/>
        <v>A-</v>
      </c>
      <c r="AK31" s="75" t="s">
        <v>14</v>
      </c>
      <c r="AL31" s="75" t="s">
        <v>870</v>
      </c>
      <c r="AM31" s="75" t="s">
        <v>871</v>
      </c>
      <c r="AN31" s="75" t="str">
        <f t="shared" si="56"/>
        <v>C</v>
      </c>
      <c r="AO31" s="75" t="str">
        <f t="shared" si="57"/>
        <v/>
      </c>
      <c r="AP31" s="75" t="str">
        <f t="shared" si="58"/>
        <v/>
      </c>
      <c r="AQ31" s="75" t="str">
        <f t="shared" si="59"/>
        <v>O</v>
      </c>
      <c r="AR31" s="75" t="str">
        <f t="shared" si="60"/>
        <v>O</v>
      </c>
      <c r="AS31" s="75" t="s">
        <v>2</v>
      </c>
      <c r="AT31" s="75" t="str">
        <f t="shared" si="61"/>
        <v>O</v>
      </c>
      <c r="AU31" s="75" t="str">
        <f t="shared" si="62"/>
        <v>O</v>
      </c>
      <c r="AV31" s="75" t="str">
        <f t="shared" si="63"/>
        <v/>
      </c>
    </row>
    <row r="32" spans="1:48" x14ac:dyDescent="0.3">
      <c r="A32" s="9" t="s">
        <v>630</v>
      </c>
      <c r="B32" s="10" t="s">
        <v>918</v>
      </c>
      <c r="C32" s="107">
        <v>600</v>
      </c>
      <c r="D32" s="104">
        <v>101.6</v>
      </c>
      <c r="E32" s="106">
        <v>31</v>
      </c>
      <c r="F32" s="104">
        <v>75.8</v>
      </c>
      <c r="G32" s="17">
        <v>23</v>
      </c>
      <c r="H32" s="107">
        <v>48</v>
      </c>
      <c r="I32" s="108">
        <v>22000</v>
      </c>
      <c r="J32" s="108" t="s">
        <v>873</v>
      </c>
      <c r="K32" s="108"/>
      <c r="L32" s="108"/>
      <c r="M32" s="109">
        <f t="shared" si="45"/>
        <v>22000</v>
      </c>
      <c r="N32" s="4">
        <f t="shared" si="46"/>
        <v>0</v>
      </c>
      <c r="O32" s="105">
        <f t="shared" si="47"/>
        <v>709.67741935483866</v>
      </c>
      <c r="P32" s="105">
        <f t="shared" si="48"/>
        <v>0</v>
      </c>
      <c r="Q32" s="75">
        <v>3</v>
      </c>
      <c r="R32" s="75">
        <v>2</v>
      </c>
      <c r="S32" s="75" t="s">
        <v>869</v>
      </c>
      <c r="T32" s="5" t="s">
        <v>605</v>
      </c>
      <c r="U32" s="9"/>
      <c r="W32" s="104">
        <f t="shared" si="49"/>
        <v>101.6</v>
      </c>
      <c r="X32" s="106">
        <f t="shared" si="49"/>
        <v>31</v>
      </c>
      <c r="Y32" s="102">
        <f t="shared" si="50"/>
        <v>48</v>
      </c>
      <c r="Z32" s="109">
        <f t="shared" si="50"/>
        <v>22000</v>
      </c>
      <c r="AA32" s="109">
        <f t="shared" si="51"/>
        <v>0</v>
      </c>
      <c r="AB32" s="109">
        <f t="shared" si="52"/>
        <v>22000</v>
      </c>
      <c r="AC32" s="4">
        <f t="shared" si="52"/>
        <v>0</v>
      </c>
      <c r="AD32" s="105">
        <f t="shared" si="52"/>
        <v>709.67741935483866</v>
      </c>
      <c r="AE32" s="75" t="str">
        <f t="shared" si="53"/>
        <v>계</v>
      </c>
      <c r="AF32" s="75" t="str">
        <f t="shared" si="54"/>
        <v>3/2</v>
      </c>
      <c r="AH32" s="20" t="str">
        <f t="shared" si="1"/>
        <v>진해자은벚꽃주공</v>
      </c>
      <c r="AI32" s="106">
        <f t="shared" si="0"/>
        <v>31</v>
      </c>
      <c r="AJ32" s="75" t="str">
        <f t="shared" si="55"/>
        <v>A-</v>
      </c>
      <c r="AK32" s="75" t="s">
        <v>14</v>
      </c>
      <c r="AL32" s="75" t="s">
        <v>870</v>
      </c>
      <c r="AM32" s="75" t="s">
        <v>871</v>
      </c>
      <c r="AN32" s="75" t="str">
        <f t="shared" si="56"/>
        <v>C</v>
      </c>
      <c r="AO32" s="75" t="str">
        <f t="shared" si="57"/>
        <v>X</v>
      </c>
      <c r="AP32" s="75" t="str">
        <f t="shared" si="58"/>
        <v>O</v>
      </c>
      <c r="AQ32" s="75" t="str">
        <f t="shared" si="59"/>
        <v>O</v>
      </c>
      <c r="AR32" s="75" t="str">
        <f t="shared" si="60"/>
        <v>X</v>
      </c>
      <c r="AS32" s="75" t="s">
        <v>2</v>
      </c>
      <c r="AT32" s="75" t="str">
        <f t="shared" si="61"/>
        <v>O</v>
      </c>
      <c r="AU32" s="75" t="str">
        <f t="shared" si="62"/>
        <v>O</v>
      </c>
      <c r="AV32" s="75" t="str">
        <f t="shared" si="63"/>
        <v>X</v>
      </c>
    </row>
    <row r="33" spans="1:48" x14ac:dyDescent="0.3">
      <c r="A33" s="9" t="s">
        <v>630</v>
      </c>
      <c r="B33" s="10" t="s">
        <v>918</v>
      </c>
      <c r="C33" s="107">
        <v>600</v>
      </c>
      <c r="D33" s="104">
        <v>113.4</v>
      </c>
      <c r="E33" s="106">
        <v>34</v>
      </c>
      <c r="F33" s="104">
        <v>84.6</v>
      </c>
      <c r="G33" s="17">
        <v>26</v>
      </c>
      <c r="H33" s="107">
        <v>70</v>
      </c>
      <c r="I33" s="108"/>
      <c r="J33" s="108"/>
      <c r="K33" s="108"/>
      <c r="L33" s="108"/>
      <c r="M33" s="109">
        <f t="shared" si="45"/>
        <v>0</v>
      </c>
      <c r="N33" s="4" t="str">
        <f t="shared" si="46"/>
        <v/>
      </c>
      <c r="O33" s="105">
        <f t="shared" si="47"/>
        <v>0</v>
      </c>
      <c r="P33" s="105">
        <f t="shared" si="48"/>
        <v>0</v>
      </c>
      <c r="Q33" s="75">
        <v>3</v>
      </c>
      <c r="R33" s="75">
        <v>2</v>
      </c>
      <c r="S33" s="75" t="s">
        <v>869</v>
      </c>
      <c r="T33" s="5" t="s">
        <v>123</v>
      </c>
      <c r="U33" s="9"/>
      <c r="W33" s="104">
        <f t="shared" si="49"/>
        <v>113.4</v>
      </c>
      <c r="X33" s="106">
        <f t="shared" si="49"/>
        <v>34</v>
      </c>
      <c r="Y33" s="102">
        <f t="shared" si="50"/>
        <v>70</v>
      </c>
      <c r="Z33" s="109">
        <f t="shared" si="50"/>
        <v>0</v>
      </c>
      <c r="AA33" s="109">
        <f t="shared" si="51"/>
        <v>0</v>
      </c>
      <c r="AB33" s="109">
        <f t="shared" si="52"/>
        <v>0</v>
      </c>
      <c r="AC33" s="4" t="str">
        <f t="shared" si="52"/>
        <v/>
      </c>
      <c r="AD33" s="105">
        <f t="shared" si="52"/>
        <v>0</v>
      </c>
      <c r="AE33" s="75" t="str">
        <f t="shared" si="53"/>
        <v>계</v>
      </c>
      <c r="AF33" s="75" t="str">
        <f t="shared" si="54"/>
        <v>3/2</v>
      </c>
      <c r="AH33" s="20" t="str">
        <f t="shared" si="1"/>
        <v>진해자은벚꽃주공</v>
      </c>
      <c r="AI33" s="106">
        <f t="shared" si="0"/>
        <v>34</v>
      </c>
      <c r="AJ33" s="75" t="str">
        <f t="shared" si="55"/>
        <v>A-</v>
      </c>
      <c r="AK33" s="75" t="s">
        <v>14</v>
      </c>
      <c r="AL33" s="75" t="s">
        <v>870</v>
      </c>
      <c r="AM33" s="75" t="s">
        <v>871</v>
      </c>
      <c r="AN33" s="75" t="str">
        <f t="shared" si="56"/>
        <v>C</v>
      </c>
      <c r="AO33" s="75" t="str">
        <f t="shared" si="57"/>
        <v/>
      </c>
      <c r="AP33" s="75" t="str">
        <f t="shared" si="58"/>
        <v/>
      </c>
      <c r="AQ33" s="75" t="str">
        <f t="shared" si="59"/>
        <v>O</v>
      </c>
      <c r="AR33" s="75" t="str">
        <f t="shared" si="60"/>
        <v>O</v>
      </c>
      <c r="AS33" s="75" t="s">
        <v>2</v>
      </c>
      <c r="AT33" s="75" t="str">
        <f t="shared" si="61"/>
        <v>O</v>
      </c>
      <c r="AU33" s="75" t="str">
        <f t="shared" si="62"/>
        <v>O</v>
      </c>
      <c r="AV33" s="75" t="str">
        <f t="shared" si="63"/>
        <v/>
      </c>
    </row>
    <row r="34" spans="1:48" x14ac:dyDescent="0.3">
      <c r="A34" s="9" t="s">
        <v>630</v>
      </c>
      <c r="B34" s="10" t="s">
        <v>918</v>
      </c>
      <c r="C34" s="107">
        <v>600</v>
      </c>
      <c r="D34" s="104">
        <v>113.8</v>
      </c>
      <c r="E34" s="106">
        <v>34</v>
      </c>
      <c r="F34" s="104">
        <v>84.9</v>
      </c>
      <c r="G34" s="17">
        <v>26</v>
      </c>
      <c r="H34" s="107">
        <v>62</v>
      </c>
      <c r="I34" s="108"/>
      <c r="J34" s="108"/>
      <c r="K34" s="108"/>
      <c r="L34" s="108"/>
      <c r="M34" s="109">
        <f t="shared" si="45"/>
        <v>0</v>
      </c>
      <c r="N34" s="4" t="str">
        <f t="shared" si="46"/>
        <v/>
      </c>
      <c r="O34" s="105">
        <f t="shared" si="47"/>
        <v>0</v>
      </c>
      <c r="P34" s="105">
        <f t="shared" si="48"/>
        <v>0</v>
      </c>
      <c r="Q34" s="75">
        <v>3</v>
      </c>
      <c r="R34" s="75">
        <v>2</v>
      </c>
      <c r="S34" s="75" t="s">
        <v>869</v>
      </c>
      <c r="T34" s="5" t="s">
        <v>513</v>
      </c>
      <c r="U34" s="9"/>
      <c r="W34" s="104">
        <f t="shared" si="49"/>
        <v>113.8</v>
      </c>
      <c r="X34" s="106">
        <f t="shared" si="49"/>
        <v>34</v>
      </c>
      <c r="Y34" s="102">
        <f t="shared" si="50"/>
        <v>62</v>
      </c>
      <c r="Z34" s="109">
        <f t="shared" si="50"/>
        <v>0</v>
      </c>
      <c r="AA34" s="109">
        <f t="shared" si="51"/>
        <v>0</v>
      </c>
      <c r="AB34" s="109">
        <f t="shared" si="52"/>
        <v>0</v>
      </c>
      <c r="AC34" s="4" t="str">
        <f t="shared" si="52"/>
        <v/>
      </c>
      <c r="AD34" s="105">
        <f t="shared" si="52"/>
        <v>0</v>
      </c>
      <c r="AE34" s="75" t="str">
        <f t="shared" si="53"/>
        <v>계</v>
      </c>
      <c r="AF34" s="75" t="str">
        <f t="shared" si="54"/>
        <v>3/2</v>
      </c>
      <c r="AH34" s="20" t="str">
        <f t="shared" si="1"/>
        <v>진해자은벚꽃주공</v>
      </c>
      <c r="AI34" s="106">
        <f t="shared" si="0"/>
        <v>34</v>
      </c>
      <c r="AJ34" s="75" t="str">
        <f t="shared" si="55"/>
        <v>A-</v>
      </c>
      <c r="AK34" s="75" t="s">
        <v>14</v>
      </c>
      <c r="AL34" s="75" t="s">
        <v>870</v>
      </c>
      <c r="AM34" s="75" t="s">
        <v>871</v>
      </c>
      <c r="AN34" s="75" t="str">
        <f t="shared" si="56"/>
        <v>C</v>
      </c>
      <c r="AO34" s="75" t="str">
        <f t="shared" si="57"/>
        <v/>
      </c>
      <c r="AP34" s="75" t="str">
        <f t="shared" si="58"/>
        <v/>
      </c>
      <c r="AQ34" s="75" t="str">
        <f t="shared" si="59"/>
        <v>O</v>
      </c>
      <c r="AR34" s="75" t="str">
        <f t="shared" si="60"/>
        <v>O</v>
      </c>
      <c r="AS34" s="75" t="s">
        <v>2</v>
      </c>
      <c r="AT34" s="75" t="str">
        <f t="shared" si="61"/>
        <v>O</v>
      </c>
      <c r="AU34" s="75" t="str">
        <f t="shared" si="62"/>
        <v>O</v>
      </c>
      <c r="AV34" s="75" t="str">
        <f t="shared" si="63"/>
        <v/>
      </c>
    </row>
    <row r="35" spans="1:48" x14ac:dyDescent="0.3">
      <c r="A35" s="9" t="s">
        <v>630</v>
      </c>
      <c r="B35" s="10" t="s">
        <v>918</v>
      </c>
      <c r="C35" s="107">
        <v>600</v>
      </c>
      <c r="D35" s="104">
        <v>113.8</v>
      </c>
      <c r="E35" s="106">
        <v>34</v>
      </c>
      <c r="F35" s="104">
        <v>84.9</v>
      </c>
      <c r="G35" s="17">
        <v>26</v>
      </c>
      <c r="H35" s="107">
        <v>48</v>
      </c>
      <c r="I35" s="108"/>
      <c r="J35" s="108"/>
      <c r="K35" s="108"/>
      <c r="L35" s="108"/>
      <c r="M35" s="109">
        <f t="shared" si="45"/>
        <v>0</v>
      </c>
      <c r="N35" s="4" t="str">
        <f t="shared" si="46"/>
        <v/>
      </c>
      <c r="O35" s="105">
        <f t="shared" si="47"/>
        <v>0</v>
      </c>
      <c r="P35" s="105">
        <f t="shared" si="48"/>
        <v>0</v>
      </c>
      <c r="Q35" s="75">
        <v>3</v>
      </c>
      <c r="R35" s="75">
        <v>2</v>
      </c>
      <c r="S35" s="75" t="s">
        <v>869</v>
      </c>
      <c r="T35" s="5" t="s">
        <v>514</v>
      </c>
      <c r="U35" s="9"/>
      <c r="W35" s="104">
        <f t="shared" si="49"/>
        <v>113.8</v>
      </c>
      <c r="X35" s="106">
        <f t="shared" si="49"/>
        <v>34</v>
      </c>
      <c r="Y35" s="102">
        <f t="shared" si="50"/>
        <v>48</v>
      </c>
      <c r="Z35" s="109">
        <f t="shared" si="50"/>
        <v>0</v>
      </c>
      <c r="AA35" s="109">
        <f t="shared" si="51"/>
        <v>0</v>
      </c>
      <c r="AB35" s="109">
        <f t="shared" si="52"/>
        <v>0</v>
      </c>
      <c r="AC35" s="4" t="str">
        <f t="shared" si="52"/>
        <v/>
      </c>
      <c r="AD35" s="105">
        <f t="shared" si="52"/>
        <v>0</v>
      </c>
      <c r="AE35" s="75" t="str">
        <f t="shared" si="53"/>
        <v>계</v>
      </c>
      <c r="AF35" s="75" t="str">
        <f t="shared" si="54"/>
        <v>3/2</v>
      </c>
      <c r="AH35" s="20" t="str">
        <f t="shared" si="1"/>
        <v>진해자은벚꽃주공</v>
      </c>
      <c r="AI35" s="106">
        <f t="shared" ref="AI35:AI55" si="64">IF(E35="","",E35)</f>
        <v>34</v>
      </c>
      <c r="AJ35" s="75" t="str">
        <f t="shared" si="55"/>
        <v>A-</v>
      </c>
      <c r="AK35" s="75" t="s">
        <v>14</v>
      </c>
      <c r="AL35" s="75" t="s">
        <v>870</v>
      </c>
      <c r="AM35" s="75" t="s">
        <v>871</v>
      </c>
      <c r="AN35" s="75" t="str">
        <f t="shared" si="56"/>
        <v>C</v>
      </c>
      <c r="AO35" s="75" t="str">
        <f t="shared" si="57"/>
        <v/>
      </c>
      <c r="AP35" s="75" t="str">
        <f t="shared" si="58"/>
        <v/>
      </c>
      <c r="AQ35" s="75" t="str">
        <f t="shared" si="59"/>
        <v>O</v>
      </c>
      <c r="AR35" s="75" t="str">
        <f t="shared" si="60"/>
        <v>O</v>
      </c>
      <c r="AS35" s="75" t="s">
        <v>2</v>
      </c>
      <c r="AT35" s="75" t="str">
        <f t="shared" si="61"/>
        <v>O</v>
      </c>
      <c r="AU35" s="75" t="str">
        <f t="shared" si="62"/>
        <v>O</v>
      </c>
      <c r="AV35" s="75" t="str">
        <f t="shared" si="63"/>
        <v/>
      </c>
    </row>
    <row r="36" spans="1:48" x14ac:dyDescent="0.3">
      <c r="A36" s="9"/>
      <c r="B36" s="75"/>
      <c r="C36" s="6"/>
      <c r="D36" s="9"/>
      <c r="E36" s="14"/>
      <c r="F36" s="104"/>
      <c r="G36" s="9"/>
      <c r="H36" s="9"/>
      <c r="I36" s="9"/>
      <c r="J36" s="9"/>
      <c r="K36" s="9"/>
      <c r="L36" s="9"/>
      <c r="M36" s="9"/>
      <c r="N36" s="9"/>
      <c r="O36" s="105"/>
      <c r="P36" s="105"/>
      <c r="Q36" s="106"/>
      <c r="R36" s="106"/>
      <c r="S36" s="9"/>
      <c r="T36" s="48"/>
      <c r="U36" s="9"/>
      <c r="W36" s="70" t="str">
        <f>$A$4&amp;" "&amp;A37&amp;"("&amp;B37&amp;","&amp;C37&amp;"^)"</f>
        <v>자은동 자은월드메르디앙('08.01.,358^)</v>
      </c>
      <c r="X36" s="71"/>
      <c r="Y36" s="71"/>
      <c r="Z36" s="71"/>
      <c r="AA36" s="71"/>
      <c r="AB36" s="71"/>
      <c r="AC36" s="71"/>
      <c r="AD36" s="71"/>
      <c r="AE36" s="71"/>
      <c r="AF36" s="72"/>
      <c r="AH36" s="20" t="str">
        <f t="shared" si="1"/>
        <v/>
      </c>
      <c r="AI36" s="103" t="str">
        <f t="shared" si="64"/>
        <v/>
      </c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</row>
    <row r="37" spans="1:48" x14ac:dyDescent="0.3">
      <c r="A37" s="9" t="s">
        <v>637</v>
      </c>
      <c r="B37" s="10" t="s">
        <v>919</v>
      </c>
      <c r="C37" s="107">
        <v>358</v>
      </c>
      <c r="D37" s="104">
        <v>112.9</v>
      </c>
      <c r="E37" s="106">
        <v>34</v>
      </c>
      <c r="F37" s="104">
        <v>84.9</v>
      </c>
      <c r="G37" s="17">
        <v>26</v>
      </c>
      <c r="H37" s="107">
        <v>55</v>
      </c>
      <c r="I37" s="108">
        <v>30000</v>
      </c>
      <c r="J37" s="108" t="s">
        <v>868</v>
      </c>
      <c r="K37" s="108"/>
      <c r="L37" s="108"/>
      <c r="M37" s="109">
        <f>I37-K37</f>
        <v>30000</v>
      </c>
      <c r="N37" s="4">
        <f>IF(ISERROR(K37/I37),"",K37/I37)</f>
        <v>0</v>
      </c>
      <c r="O37" s="105">
        <f>I37/E37</f>
        <v>882.35294117647061</v>
      </c>
      <c r="P37" s="105">
        <f>K37/E37</f>
        <v>0</v>
      </c>
      <c r="Q37" s="75">
        <v>3</v>
      </c>
      <c r="R37" s="75">
        <v>2</v>
      </c>
      <c r="S37" s="75" t="s">
        <v>903</v>
      </c>
      <c r="T37" s="5" t="s">
        <v>122</v>
      </c>
      <c r="U37" s="9"/>
      <c r="W37" s="104">
        <f t="shared" ref="W37:X40" si="65">D37</f>
        <v>112.9</v>
      </c>
      <c r="X37" s="106">
        <f t="shared" si="65"/>
        <v>34</v>
      </c>
      <c r="Y37" s="102">
        <f t="shared" ref="Y37:Z40" si="66">H37</f>
        <v>55</v>
      </c>
      <c r="Z37" s="109">
        <f t="shared" si="66"/>
        <v>30000</v>
      </c>
      <c r="AA37" s="109">
        <f>K37</f>
        <v>0</v>
      </c>
      <c r="AB37" s="109">
        <f t="shared" ref="AB37:AD40" si="67">M37</f>
        <v>30000</v>
      </c>
      <c r="AC37" s="4">
        <f t="shared" si="67"/>
        <v>0</v>
      </c>
      <c r="AD37" s="105">
        <f t="shared" si="67"/>
        <v>882.35294117647061</v>
      </c>
      <c r="AE37" s="75" t="str">
        <f>S37</f>
        <v>복</v>
      </c>
      <c r="AF37" s="75" t="str">
        <f>Q37&amp;"/"&amp;R37</f>
        <v>3/2</v>
      </c>
      <c r="AH37" s="20" t="str">
        <f t="shared" ref="AH37:AH55" si="68">IF(A37="","",A37)</f>
        <v>자은월드메르디앙</v>
      </c>
      <c r="AI37" s="106">
        <f t="shared" si="64"/>
        <v>34</v>
      </c>
      <c r="AJ37" s="75" t="str">
        <f>IF(AI37="","",$AJ$2)</f>
        <v>A-</v>
      </c>
      <c r="AK37" s="75" t="s">
        <v>14</v>
      </c>
      <c r="AL37" s="75" t="s">
        <v>870</v>
      </c>
      <c r="AM37" s="75" t="s">
        <v>871</v>
      </c>
      <c r="AN37" s="75" t="str">
        <f>IF(AI37="","",$AN$2)</f>
        <v>C</v>
      </c>
      <c r="AO37" s="75" t="str">
        <f>IF(N37="","",IF(N37&gt;=$AO$1/100,"O","X"))</f>
        <v>X</v>
      </c>
      <c r="AP37" s="75" t="str">
        <f>IF(I37="","",IF(I37&lt;=$AP$1,"O","X"))</f>
        <v>O</v>
      </c>
      <c r="AQ37" s="75" t="str">
        <f>IF(O37="","",IF(O37&lt;=$AQ$1,"O","X"))</f>
        <v>O</v>
      </c>
      <c r="AR37" s="75" t="str">
        <f>IF(M37="","",IF(M37&lt;=$AR$1,"O","X"))</f>
        <v>X</v>
      </c>
      <c r="AS37" s="75" t="s">
        <v>2</v>
      </c>
      <c r="AT37" s="75" t="str">
        <f>IF(OR(F37="",AI37=""),"",IF(AND((F37&lt;=85),(AI37&gt;=15)),"O","X"))</f>
        <v>O</v>
      </c>
      <c r="AU37" s="75" t="str">
        <f>IF(C37="","",IF(C37&gt;=$AU$1,"O","X"))</f>
        <v>O</v>
      </c>
      <c r="AV37" s="75" t="str">
        <f>IF(AO37="","",IF(AND(AO37="O",AP37="O",AR37="O",AT37="O",AU37="O"),"후보","X"))</f>
        <v>X</v>
      </c>
    </row>
    <row r="38" spans="1:48" x14ac:dyDescent="0.3">
      <c r="A38" s="9" t="s">
        <v>637</v>
      </c>
      <c r="B38" s="10" t="s">
        <v>919</v>
      </c>
      <c r="C38" s="107">
        <v>358</v>
      </c>
      <c r="D38" s="104">
        <v>113.4</v>
      </c>
      <c r="E38" s="106">
        <v>34</v>
      </c>
      <c r="F38" s="104">
        <v>84.9</v>
      </c>
      <c r="G38" s="17">
        <v>26</v>
      </c>
      <c r="H38" s="107">
        <v>230</v>
      </c>
      <c r="I38" s="108">
        <v>30000</v>
      </c>
      <c r="J38" s="108" t="s">
        <v>868</v>
      </c>
      <c r="K38" s="108"/>
      <c r="L38" s="108"/>
      <c r="M38" s="109">
        <f>I38-K38</f>
        <v>30000</v>
      </c>
      <c r="N38" s="4">
        <f>IF(ISERROR(K38/I38),"",K38/I38)</f>
        <v>0</v>
      </c>
      <c r="O38" s="105">
        <f>I38/E38</f>
        <v>882.35294117647061</v>
      </c>
      <c r="P38" s="105">
        <f>K38/E38</f>
        <v>0</v>
      </c>
      <c r="Q38" s="75">
        <v>3</v>
      </c>
      <c r="R38" s="75">
        <v>2</v>
      </c>
      <c r="S38" s="75" t="s">
        <v>869</v>
      </c>
      <c r="T38" s="5" t="s">
        <v>123</v>
      </c>
      <c r="U38" s="9"/>
      <c r="W38" s="104">
        <f t="shared" si="65"/>
        <v>113.4</v>
      </c>
      <c r="X38" s="106">
        <f t="shared" si="65"/>
        <v>34</v>
      </c>
      <c r="Y38" s="102">
        <f t="shared" si="66"/>
        <v>230</v>
      </c>
      <c r="Z38" s="109">
        <f t="shared" si="66"/>
        <v>30000</v>
      </c>
      <c r="AA38" s="109">
        <f>K38</f>
        <v>0</v>
      </c>
      <c r="AB38" s="109">
        <f t="shared" si="67"/>
        <v>30000</v>
      </c>
      <c r="AC38" s="4">
        <f t="shared" si="67"/>
        <v>0</v>
      </c>
      <c r="AD38" s="105">
        <f t="shared" si="67"/>
        <v>882.35294117647061</v>
      </c>
      <c r="AE38" s="75" t="str">
        <f>S38</f>
        <v>계</v>
      </c>
      <c r="AF38" s="75" t="str">
        <f>Q38&amp;"/"&amp;R38</f>
        <v>3/2</v>
      </c>
      <c r="AH38" s="20" t="str">
        <f t="shared" si="68"/>
        <v>자은월드메르디앙</v>
      </c>
      <c r="AI38" s="106">
        <f t="shared" si="64"/>
        <v>34</v>
      </c>
      <c r="AJ38" s="75" t="str">
        <f>IF(AI38="","",$AJ$2)</f>
        <v>A-</v>
      </c>
      <c r="AK38" s="75" t="s">
        <v>14</v>
      </c>
      <c r="AL38" s="75" t="s">
        <v>870</v>
      </c>
      <c r="AM38" s="75" t="s">
        <v>871</v>
      </c>
      <c r="AN38" s="75" t="str">
        <f>IF(AI38="","",$AN$2)</f>
        <v>C</v>
      </c>
      <c r="AO38" s="75" t="str">
        <f>IF(N38="","",IF(N38&gt;=$AO$1/100,"O","X"))</f>
        <v>X</v>
      </c>
      <c r="AP38" s="75" t="str">
        <f>IF(I38="","",IF(I38&lt;=$AP$1,"O","X"))</f>
        <v>O</v>
      </c>
      <c r="AQ38" s="75" t="str">
        <f>IF(O38="","",IF(O38&lt;=$AQ$1,"O","X"))</f>
        <v>O</v>
      </c>
      <c r="AR38" s="75" t="str">
        <f>IF(M38="","",IF(M38&lt;=$AR$1,"O","X"))</f>
        <v>X</v>
      </c>
      <c r="AS38" s="75" t="s">
        <v>2</v>
      </c>
      <c r="AT38" s="75" t="str">
        <f>IF(OR(F38="",AI38=""),"",IF(AND((F38&lt;=85),(AI38&gt;=15)),"O","X"))</f>
        <v>O</v>
      </c>
      <c r="AU38" s="75" t="str">
        <f>IF(C38="","",IF(C38&gt;=$AU$1,"O","X"))</f>
        <v>O</v>
      </c>
      <c r="AV38" s="75" t="str">
        <f>IF(AO38="","",IF(AND(AO38="O",AP38="O",AR38="O",AT38="O",AU38="O"),"후보","X"))</f>
        <v>X</v>
      </c>
    </row>
    <row r="39" spans="1:48" x14ac:dyDescent="0.3">
      <c r="A39" s="9" t="s">
        <v>637</v>
      </c>
      <c r="B39" s="10" t="s">
        <v>919</v>
      </c>
      <c r="C39" s="107">
        <v>358</v>
      </c>
      <c r="D39" s="104">
        <v>114.2</v>
      </c>
      <c r="E39" s="106">
        <v>35</v>
      </c>
      <c r="F39" s="104">
        <v>85</v>
      </c>
      <c r="G39" s="17">
        <v>26</v>
      </c>
      <c r="H39" s="107">
        <v>13</v>
      </c>
      <c r="I39" s="108"/>
      <c r="J39" s="108"/>
      <c r="K39" s="108"/>
      <c r="L39" s="108"/>
      <c r="M39" s="109">
        <f>I39-K39</f>
        <v>0</v>
      </c>
      <c r="N39" s="4" t="str">
        <f>IF(ISERROR(K39/I39),"",K39/I39)</f>
        <v/>
      </c>
      <c r="O39" s="105">
        <f>I39/E39</f>
        <v>0</v>
      </c>
      <c r="P39" s="105">
        <f>K39/E39</f>
        <v>0</v>
      </c>
      <c r="Q39" s="75">
        <v>3</v>
      </c>
      <c r="R39" s="75">
        <v>2</v>
      </c>
      <c r="S39" s="75" t="s">
        <v>903</v>
      </c>
      <c r="T39" s="5" t="s">
        <v>642</v>
      </c>
      <c r="U39" s="9"/>
      <c r="W39" s="104">
        <f t="shared" si="65"/>
        <v>114.2</v>
      </c>
      <c r="X39" s="106">
        <f t="shared" si="65"/>
        <v>35</v>
      </c>
      <c r="Y39" s="102">
        <f t="shared" si="66"/>
        <v>13</v>
      </c>
      <c r="Z39" s="109">
        <f t="shared" si="66"/>
        <v>0</v>
      </c>
      <c r="AA39" s="109">
        <f>K39</f>
        <v>0</v>
      </c>
      <c r="AB39" s="109">
        <f t="shared" si="67"/>
        <v>0</v>
      </c>
      <c r="AC39" s="4" t="str">
        <f t="shared" si="67"/>
        <v/>
      </c>
      <c r="AD39" s="105">
        <f t="shared" si="67"/>
        <v>0</v>
      </c>
      <c r="AE39" s="75" t="str">
        <f>S39</f>
        <v>복</v>
      </c>
      <c r="AF39" s="75" t="str">
        <f>Q39&amp;"/"&amp;R39</f>
        <v>3/2</v>
      </c>
      <c r="AH39" s="20" t="str">
        <f t="shared" si="68"/>
        <v>자은월드메르디앙</v>
      </c>
      <c r="AI39" s="106">
        <f t="shared" si="64"/>
        <v>35</v>
      </c>
      <c r="AJ39" s="75" t="str">
        <f>IF(AI39="","",$AJ$2)</f>
        <v>A-</v>
      </c>
      <c r="AK39" s="75" t="s">
        <v>14</v>
      </c>
      <c r="AL39" s="75" t="s">
        <v>870</v>
      </c>
      <c r="AM39" s="75" t="s">
        <v>871</v>
      </c>
      <c r="AN39" s="75" t="str">
        <f>IF(AI39="","",$AN$2)</f>
        <v>C</v>
      </c>
      <c r="AO39" s="75" t="str">
        <f>IF(N39="","",IF(N39&gt;=$AO$1/100,"O","X"))</f>
        <v/>
      </c>
      <c r="AP39" s="75" t="str">
        <f>IF(I39="","",IF(I39&lt;=$AP$1,"O","X"))</f>
        <v/>
      </c>
      <c r="AQ39" s="75" t="str">
        <f>IF(O39="","",IF(O39&lt;=$AQ$1,"O","X"))</f>
        <v>O</v>
      </c>
      <c r="AR39" s="75" t="str">
        <f>IF(M39="","",IF(M39&lt;=$AR$1,"O","X"))</f>
        <v>O</v>
      </c>
      <c r="AS39" s="75" t="s">
        <v>2</v>
      </c>
      <c r="AT39" s="75" t="str">
        <f>IF(OR(F39="",AI39=""),"",IF(AND((F39&lt;=85),(AI39&gt;=15)),"O","X"))</f>
        <v>O</v>
      </c>
      <c r="AU39" s="75" t="str">
        <f>IF(C39="","",IF(C39&gt;=$AU$1,"O","X"))</f>
        <v>O</v>
      </c>
      <c r="AV39" s="75" t="str">
        <f>IF(AO39="","",IF(AND(AO39="O",AP39="O",AR39="O",AT39="O",AU39="O"),"후보","X"))</f>
        <v/>
      </c>
    </row>
    <row r="40" spans="1:48" x14ac:dyDescent="0.3">
      <c r="A40" s="9" t="s">
        <v>637</v>
      </c>
      <c r="B40" s="10" t="s">
        <v>919</v>
      </c>
      <c r="C40" s="107">
        <v>358</v>
      </c>
      <c r="D40" s="104">
        <v>158.69999999999999</v>
      </c>
      <c r="E40" s="106">
        <v>48</v>
      </c>
      <c r="F40" s="104">
        <v>126.2</v>
      </c>
      <c r="G40" s="17">
        <v>38</v>
      </c>
      <c r="H40" s="107">
        <v>60</v>
      </c>
      <c r="I40" s="108">
        <v>36000</v>
      </c>
      <c r="J40" s="108" t="s">
        <v>868</v>
      </c>
      <c r="K40" s="108"/>
      <c r="L40" s="108"/>
      <c r="M40" s="109">
        <f>I40-K40</f>
        <v>36000</v>
      </c>
      <c r="N40" s="4">
        <f>IF(ISERROR(K40/I40),"",K40/I40)</f>
        <v>0</v>
      </c>
      <c r="O40" s="105">
        <f>I40/E40</f>
        <v>750</v>
      </c>
      <c r="P40" s="105">
        <f>K40/E40</f>
        <v>0</v>
      </c>
      <c r="Q40" s="75">
        <v>4</v>
      </c>
      <c r="R40" s="75">
        <v>2</v>
      </c>
      <c r="S40" s="75" t="s">
        <v>869</v>
      </c>
      <c r="T40" s="5">
        <v>158</v>
      </c>
      <c r="U40" s="9"/>
      <c r="W40" s="104">
        <f t="shared" si="65"/>
        <v>158.69999999999999</v>
      </c>
      <c r="X40" s="106">
        <f t="shared" si="65"/>
        <v>48</v>
      </c>
      <c r="Y40" s="102">
        <f t="shared" si="66"/>
        <v>60</v>
      </c>
      <c r="Z40" s="109">
        <f t="shared" si="66"/>
        <v>36000</v>
      </c>
      <c r="AA40" s="109">
        <f>K40</f>
        <v>0</v>
      </c>
      <c r="AB40" s="109">
        <f t="shared" si="67"/>
        <v>36000</v>
      </c>
      <c r="AC40" s="4">
        <f t="shared" si="67"/>
        <v>0</v>
      </c>
      <c r="AD40" s="105">
        <f t="shared" si="67"/>
        <v>750</v>
      </c>
      <c r="AE40" s="75" t="str">
        <f>S40</f>
        <v>계</v>
      </c>
      <c r="AF40" s="75" t="str">
        <f>Q40&amp;"/"&amp;R40</f>
        <v>4/2</v>
      </c>
      <c r="AH40" s="20" t="str">
        <f t="shared" si="68"/>
        <v>자은월드메르디앙</v>
      </c>
      <c r="AI40" s="106">
        <f t="shared" si="64"/>
        <v>48</v>
      </c>
      <c r="AJ40" s="75" t="str">
        <f>IF(AI40="","",$AJ$2)</f>
        <v>A-</v>
      </c>
      <c r="AK40" s="75" t="s">
        <v>14</v>
      </c>
      <c r="AL40" s="75" t="s">
        <v>870</v>
      </c>
      <c r="AM40" s="75" t="s">
        <v>871</v>
      </c>
      <c r="AN40" s="75" t="str">
        <f>IF(AI40="","",$AN$2)</f>
        <v>C</v>
      </c>
      <c r="AO40" s="75" t="str">
        <f>IF(N40="","",IF(N40&gt;=$AO$1/100,"O","X"))</f>
        <v>X</v>
      </c>
      <c r="AP40" s="75" t="str">
        <f>IF(I40="","",IF(I40&lt;=$AP$1,"O","X"))</f>
        <v>O</v>
      </c>
      <c r="AQ40" s="75" t="str">
        <f>IF(O40="","",IF(O40&lt;=$AQ$1,"O","X"))</f>
        <v>O</v>
      </c>
      <c r="AR40" s="75" t="str">
        <f>IF(M40="","",IF(M40&lt;=$AR$1,"O","X"))</f>
        <v>X</v>
      </c>
      <c r="AS40" s="75" t="s">
        <v>2</v>
      </c>
      <c r="AT40" s="75" t="str">
        <f>IF(OR(F40="",AI40=""),"",IF(AND((F40&lt;=85),(AI40&gt;=15)),"O","X"))</f>
        <v>X</v>
      </c>
      <c r="AU40" s="75" t="str">
        <f>IF(C40="","",IF(C40&gt;=$AU$1,"O","X"))</f>
        <v>O</v>
      </c>
      <c r="AV40" s="75" t="str">
        <f>IF(AO40="","",IF(AND(AO40="O",AP40="O",AR40="O",AT40="O",AU40="O"),"후보","X"))</f>
        <v>X</v>
      </c>
    </row>
    <row r="41" spans="1:48" x14ac:dyDescent="0.3">
      <c r="A41" s="9"/>
      <c r="B41" s="75"/>
      <c r="C41" s="6"/>
      <c r="D41" s="9"/>
      <c r="E41" s="14"/>
      <c r="F41" s="104"/>
      <c r="G41" s="9"/>
      <c r="H41" s="9"/>
      <c r="I41" s="9"/>
      <c r="J41" s="9"/>
      <c r="K41" s="9"/>
      <c r="L41" s="9"/>
      <c r="M41" s="9"/>
      <c r="N41" s="9"/>
      <c r="O41" s="105"/>
      <c r="P41" s="105"/>
      <c r="Q41" s="106"/>
      <c r="R41" s="106"/>
      <c r="S41" s="9"/>
      <c r="T41" s="48"/>
      <c r="U41" s="9"/>
      <c r="W41" s="70" t="str">
        <f>$A$4&amp;" "&amp;A42&amp;"("&amp;B42&amp;","&amp;C42&amp;"^)"</f>
        <v>자은동 협성DS이아이존빌('14.06.,433^)</v>
      </c>
      <c r="X41" s="71"/>
      <c r="Y41" s="71"/>
      <c r="Z41" s="71"/>
      <c r="AA41" s="71"/>
      <c r="AB41" s="71"/>
      <c r="AC41" s="71"/>
      <c r="AD41" s="71"/>
      <c r="AE41" s="71"/>
      <c r="AF41" s="72"/>
      <c r="AH41" s="20" t="str">
        <f t="shared" si="68"/>
        <v/>
      </c>
      <c r="AI41" s="103" t="str">
        <f t="shared" si="64"/>
        <v/>
      </c>
      <c r="AJ41" s="75"/>
      <c r="AK41" s="75"/>
      <c r="AL41" s="75"/>
      <c r="AM41" s="75"/>
      <c r="AN41" s="75"/>
      <c r="AO41" s="75"/>
      <c r="AP41" s="75"/>
      <c r="AQ41" s="75"/>
      <c r="AR41" s="75"/>
      <c r="AS41" s="75"/>
      <c r="AT41" s="75"/>
      <c r="AU41" s="75"/>
      <c r="AV41" s="75"/>
    </row>
    <row r="42" spans="1:48" x14ac:dyDescent="0.3">
      <c r="A42" s="9" t="s">
        <v>652</v>
      </c>
      <c r="B42" s="10" t="s">
        <v>920</v>
      </c>
      <c r="C42" s="107">
        <v>433</v>
      </c>
      <c r="D42" s="104">
        <v>79.7</v>
      </c>
      <c r="E42" s="106">
        <v>24</v>
      </c>
      <c r="F42" s="104">
        <v>59.9</v>
      </c>
      <c r="G42" s="17">
        <v>18</v>
      </c>
      <c r="H42" s="107">
        <v>113</v>
      </c>
      <c r="I42" s="108">
        <v>26500</v>
      </c>
      <c r="J42" s="108" t="s">
        <v>868</v>
      </c>
      <c r="K42" s="108"/>
      <c r="L42" s="108"/>
      <c r="M42" s="109">
        <f>I42-K42</f>
        <v>26500</v>
      </c>
      <c r="N42" s="4">
        <f>IF(ISERROR(K42/I42),"",K42/I42)</f>
        <v>0</v>
      </c>
      <c r="O42" s="105">
        <f>I42/E42</f>
        <v>1104.1666666666667</v>
      </c>
      <c r="P42" s="105">
        <f>K42/E42</f>
        <v>0</v>
      </c>
      <c r="Q42" s="75">
        <v>3</v>
      </c>
      <c r="R42" s="75">
        <v>2</v>
      </c>
      <c r="S42" s="75" t="s">
        <v>869</v>
      </c>
      <c r="T42" s="5" t="s">
        <v>138</v>
      </c>
      <c r="U42" s="9"/>
      <c r="W42" s="104">
        <f t="shared" ref="W42:X45" si="69">D42</f>
        <v>79.7</v>
      </c>
      <c r="X42" s="106">
        <f t="shared" si="69"/>
        <v>24</v>
      </c>
      <c r="Y42" s="102">
        <f t="shared" ref="Y42:Z45" si="70">H42</f>
        <v>113</v>
      </c>
      <c r="Z42" s="109">
        <f t="shared" si="70"/>
        <v>26500</v>
      </c>
      <c r="AA42" s="109">
        <f>K42</f>
        <v>0</v>
      </c>
      <c r="AB42" s="109">
        <f t="shared" ref="AB42:AD45" si="71">M42</f>
        <v>26500</v>
      </c>
      <c r="AC42" s="4">
        <f t="shared" si="71"/>
        <v>0</v>
      </c>
      <c r="AD42" s="105">
        <f t="shared" si="71"/>
        <v>1104.1666666666667</v>
      </c>
      <c r="AE42" s="75" t="str">
        <f>S42</f>
        <v>계</v>
      </c>
      <c r="AF42" s="75" t="str">
        <f>Q42&amp;"/"&amp;R42</f>
        <v>3/2</v>
      </c>
      <c r="AH42" s="20" t="str">
        <f t="shared" si="68"/>
        <v>협성DS이아이존빌</v>
      </c>
      <c r="AI42" s="106">
        <f t="shared" si="64"/>
        <v>24</v>
      </c>
      <c r="AJ42" s="75" t="str">
        <f>IF(AI42="","",$AJ$2)</f>
        <v>A-</v>
      </c>
      <c r="AK42" s="75" t="s">
        <v>14</v>
      </c>
      <c r="AL42" s="75" t="s">
        <v>870</v>
      </c>
      <c r="AM42" s="75" t="s">
        <v>871</v>
      </c>
      <c r="AN42" s="75" t="str">
        <f>IF(AI42="","",$AN$2)</f>
        <v>C</v>
      </c>
      <c r="AO42" s="75" t="str">
        <f>IF(N42="","",IF(N42&gt;=$AO$1/100,"O","X"))</f>
        <v>X</v>
      </c>
      <c r="AP42" s="75" t="str">
        <f>IF(I42="","",IF(I42&lt;=$AP$1,"O","X"))</f>
        <v>O</v>
      </c>
      <c r="AQ42" s="75" t="str">
        <f>IF(O42="","",IF(O42&lt;=$AQ$1,"O","X"))</f>
        <v>X</v>
      </c>
      <c r="AR42" s="75" t="str">
        <f>IF(M42="","",IF(M42&lt;=$AR$1,"O","X"))</f>
        <v>X</v>
      </c>
      <c r="AS42" s="75" t="s">
        <v>2</v>
      </c>
      <c r="AT42" s="75" t="str">
        <f>IF(OR(F42="",AI42=""),"",IF(AND((F42&lt;=85),(AI42&gt;=15)),"O","X"))</f>
        <v>O</v>
      </c>
      <c r="AU42" s="75" t="str">
        <f>IF(C42="","",IF(C42&gt;=$AU$1,"O","X"))</f>
        <v>O</v>
      </c>
      <c r="AV42" s="75" t="str">
        <f>IF(AO42="","",IF(AND(AO42="O",AP42="O",AR42="O",AT42="O",AU42="O"),"후보","X"))</f>
        <v>X</v>
      </c>
    </row>
    <row r="43" spans="1:48" x14ac:dyDescent="0.3">
      <c r="A43" s="9" t="s">
        <v>652</v>
      </c>
      <c r="B43" s="10" t="s">
        <v>920</v>
      </c>
      <c r="C43" s="107">
        <v>433</v>
      </c>
      <c r="D43" s="104">
        <v>81</v>
      </c>
      <c r="E43" s="106">
        <v>24</v>
      </c>
      <c r="F43" s="104">
        <v>60</v>
      </c>
      <c r="G43" s="17">
        <v>18</v>
      </c>
      <c r="H43" s="107">
        <v>52</v>
      </c>
      <c r="I43" s="108">
        <v>27000</v>
      </c>
      <c r="J43" s="108" t="s">
        <v>873</v>
      </c>
      <c r="K43" s="108"/>
      <c r="L43" s="108"/>
      <c r="M43" s="109">
        <f>I43-K43</f>
        <v>27000</v>
      </c>
      <c r="N43" s="4">
        <f>IF(ISERROR(K43/I43),"",K43/I43)</f>
        <v>0</v>
      </c>
      <c r="O43" s="105">
        <f>I43/E43</f>
        <v>1125</v>
      </c>
      <c r="P43" s="105">
        <f>K43/E43</f>
        <v>0</v>
      </c>
      <c r="Q43" s="75">
        <v>3</v>
      </c>
      <c r="R43" s="75">
        <v>2</v>
      </c>
      <c r="S43" s="75" t="s">
        <v>869</v>
      </c>
      <c r="T43" s="5" t="s">
        <v>636</v>
      </c>
      <c r="U43" s="9"/>
      <c r="W43" s="104">
        <f t="shared" si="69"/>
        <v>81</v>
      </c>
      <c r="X43" s="106">
        <f t="shared" si="69"/>
        <v>24</v>
      </c>
      <c r="Y43" s="102">
        <f t="shared" si="70"/>
        <v>52</v>
      </c>
      <c r="Z43" s="109">
        <f t="shared" si="70"/>
        <v>27000</v>
      </c>
      <c r="AA43" s="109">
        <f>K43</f>
        <v>0</v>
      </c>
      <c r="AB43" s="109">
        <f t="shared" si="71"/>
        <v>27000</v>
      </c>
      <c r="AC43" s="4">
        <f t="shared" si="71"/>
        <v>0</v>
      </c>
      <c r="AD43" s="105">
        <f t="shared" si="71"/>
        <v>1125</v>
      </c>
      <c r="AE43" s="75" t="str">
        <f>S43</f>
        <v>계</v>
      </c>
      <c r="AF43" s="75" t="str">
        <f>Q43&amp;"/"&amp;R43</f>
        <v>3/2</v>
      </c>
      <c r="AH43" s="20" t="str">
        <f t="shared" si="68"/>
        <v>협성DS이아이존빌</v>
      </c>
      <c r="AI43" s="106">
        <f t="shared" si="64"/>
        <v>24</v>
      </c>
      <c r="AJ43" s="75" t="str">
        <f>IF(AI43="","",$AJ$2)</f>
        <v>A-</v>
      </c>
      <c r="AK43" s="75" t="s">
        <v>14</v>
      </c>
      <c r="AL43" s="75" t="s">
        <v>870</v>
      </c>
      <c r="AM43" s="75" t="s">
        <v>871</v>
      </c>
      <c r="AN43" s="75" t="str">
        <f>IF(AI43="","",$AN$2)</f>
        <v>C</v>
      </c>
      <c r="AO43" s="75" t="str">
        <f>IF(N43="","",IF(N43&gt;=$AO$1/100,"O","X"))</f>
        <v>X</v>
      </c>
      <c r="AP43" s="75" t="str">
        <f>IF(I43="","",IF(I43&lt;=$AP$1,"O","X"))</f>
        <v>O</v>
      </c>
      <c r="AQ43" s="75" t="str">
        <f>IF(O43="","",IF(O43&lt;=$AQ$1,"O","X"))</f>
        <v>X</v>
      </c>
      <c r="AR43" s="75" t="str">
        <f>IF(M43="","",IF(M43&lt;=$AR$1,"O","X"))</f>
        <v>X</v>
      </c>
      <c r="AS43" s="75" t="s">
        <v>2</v>
      </c>
      <c r="AT43" s="75" t="str">
        <f>IF(OR(F43="",AI43=""),"",IF(AND((F43&lt;=85),(AI43&gt;=15)),"O","X"))</f>
        <v>O</v>
      </c>
      <c r="AU43" s="75" t="str">
        <f>IF(C43="","",IF(C43&gt;=$AU$1,"O","X"))</f>
        <v>O</v>
      </c>
      <c r="AV43" s="75" t="str">
        <f>IF(AO43="","",IF(AND(AO43="O",AP43="O",AR43="O",AT43="O",AU43="O"),"후보","X"))</f>
        <v>X</v>
      </c>
    </row>
    <row r="44" spans="1:48" x14ac:dyDescent="0.3">
      <c r="A44" s="9" t="s">
        <v>652</v>
      </c>
      <c r="B44" s="10" t="s">
        <v>920</v>
      </c>
      <c r="C44" s="107">
        <v>433</v>
      </c>
      <c r="D44" s="104">
        <v>112.3</v>
      </c>
      <c r="E44" s="106">
        <v>34</v>
      </c>
      <c r="F44" s="104">
        <v>85</v>
      </c>
      <c r="G44" s="17">
        <v>26</v>
      </c>
      <c r="H44" s="107">
        <v>106</v>
      </c>
      <c r="I44" s="108">
        <v>37000</v>
      </c>
      <c r="J44" s="108" t="s">
        <v>868</v>
      </c>
      <c r="K44" s="108"/>
      <c r="L44" s="108"/>
      <c r="M44" s="109">
        <f>I44-K44</f>
        <v>37000</v>
      </c>
      <c r="N44" s="4">
        <f>IF(ISERROR(K44/I44),"",K44/I44)</f>
        <v>0</v>
      </c>
      <c r="O44" s="105">
        <f>I44/E44</f>
        <v>1088.2352941176471</v>
      </c>
      <c r="P44" s="105">
        <f>K44/E44</f>
        <v>0</v>
      </c>
      <c r="Q44" s="75">
        <v>3</v>
      </c>
      <c r="R44" s="75">
        <v>2</v>
      </c>
      <c r="S44" s="75" t="s">
        <v>869</v>
      </c>
      <c r="T44" s="5" t="s">
        <v>509</v>
      </c>
      <c r="U44" s="9"/>
      <c r="W44" s="104">
        <f t="shared" si="69"/>
        <v>112.3</v>
      </c>
      <c r="X44" s="106">
        <f t="shared" si="69"/>
        <v>34</v>
      </c>
      <c r="Y44" s="102">
        <f t="shared" si="70"/>
        <v>106</v>
      </c>
      <c r="Z44" s="109">
        <f t="shared" si="70"/>
        <v>37000</v>
      </c>
      <c r="AA44" s="109">
        <f>K44</f>
        <v>0</v>
      </c>
      <c r="AB44" s="109">
        <f t="shared" si="71"/>
        <v>37000</v>
      </c>
      <c r="AC44" s="4">
        <f t="shared" si="71"/>
        <v>0</v>
      </c>
      <c r="AD44" s="105">
        <f t="shared" si="71"/>
        <v>1088.2352941176471</v>
      </c>
      <c r="AE44" s="75" t="str">
        <f>S44</f>
        <v>계</v>
      </c>
      <c r="AF44" s="75" t="str">
        <f>Q44&amp;"/"&amp;R44</f>
        <v>3/2</v>
      </c>
      <c r="AH44" s="20" t="str">
        <f t="shared" si="68"/>
        <v>협성DS이아이존빌</v>
      </c>
      <c r="AI44" s="106">
        <f t="shared" si="64"/>
        <v>34</v>
      </c>
      <c r="AJ44" s="75" t="str">
        <f>IF(AI44="","",$AJ$2)</f>
        <v>A-</v>
      </c>
      <c r="AK44" s="75" t="s">
        <v>14</v>
      </c>
      <c r="AL44" s="75" t="s">
        <v>870</v>
      </c>
      <c r="AM44" s="75" t="s">
        <v>871</v>
      </c>
      <c r="AN44" s="75" t="str">
        <f>IF(AI44="","",$AN$2)</f>
        <v>C</v>
      </c>
      <c r="AO44" s="75" t="str">
        <f>IF(N44="","",IF(N44&gt;=$AO$1/100,"O","X"))</f>
        <v>X</v>
      </c>
      <c r="AP44" s="75" t="str">
        <f>IF(I44="","",IF(I44&lt;=$AP$1,"O","X"))</f>
        <v>O</v>
      </c>
      <c r="AQ44" s="75" t="str">
        <f>IF(O44="","",IF(O44&lt;=$AQ$1,"O","X"))</f>
        <v>X</v>
      </c>
      <c r="AR44" s="75" t="str">
        <f>IF(M44="","",IF(M44&lt;=$AR$1,"O","X"))</f>
        <v>X</v>
      </c>
      <c r="AS44" s="75" t="s">
        <v>2</v>
      </c>
      <c r="AT44" s="75" t="str">
        <f>IF(OR(F44="",AI44=""),"",IF(AND((F44&lt;=85),(AI44&gt;=15)),"O","X"))</f>
        <v>O</v>
      </c>
      <c r="AU44" s="75" t="str">
        <f>IF(C44="","",IF(C44&gt;=$AU$1,"O","X"))</f>
        <v>O</v>
      </c>
      <c r="AV44" s="75" t="str">
        <f>IF(AO44="","",IF(AND(AO44="O",AP44="O",AR44="O",AT44="O",AU44="O"),"후보","X"))</f>
        <v>X</v>
      </c>
    </row>
    <row r="45" spans="1:48" x14ac:dyDescent="0.3">
      <c r="A45" s="9" t="s">
        <v>652</v>
      </c>
      <c r="B45" s="10" t="s">
        <v>920</v>
      </c>
      <c r="C45" s="107">
        <v>433</v>
      </c>
      <c r="D45" s="104">
        <v>113.9</v>
      </c>
      <c r="E45" s="106">
        <v>34</v>
      </c>
      <c r="F45" s="104">
        <v>85</v>
      </c>
      <c r="G45" s="17">
        <v>26</v>
      </c>
      <c r="H45" s="107">
        <v>162</v>
      </c>
      <c r="I45" s="108">
        <v>37000</v>
      </c>
      <c r="J45" s="108" t="s">
        <v>868</v>
      </c>
      <c r="K45" s="108"/>
      <c r="L45" s="108"/>
      <c r="M45" s="109">
        <f>I45-K45</f>
        <v>37000</v>
      </c>
      <c r="N45" s="4">
        <f>IF(ISERROR(K45/I45),"",K45/I45)</f>
        <v>0</v>
      </c>
      <c r="O45" s="105">
        <f>I45/E45</f>
        <v>1088.2352941176471</v>
      </c>
      <c r="P45" s="105">
        <f>K45/E45</f>
        <v>0</v>
      </c>
      <c r="Q45" s="75">
        <v>3</v>
      </c>
      <c r="R45" s="75">
        <v>2</v>
      </c>
      <c r="S45" s="75" t="s">
        <v>869</v>
      </c>
      <c r="T45" s="5" t="s">
        <v>513</v>
      </c>
      <c r="U45" s="9"/>
      <c r="W45" s="104">
        <f t="shared" si="69"/>
        <v>113.9</v>
      </c>
      <c r="X45" s="106">
        <f t="shared" si="69"/>
        <v>34</v>
      </c>
      <c r="Y45" s="102">
        <f t="shared" si="70"/>
        <v>162</v>
      </c>
      <c r="Z45" s="109">
        <f t="shared" si="70"/>
        <v>37000</v>
      </c>
      <c r="AA45" s="109">
        <f>K45</f>
        <v>0</v>
      </c>
      <c r="AB45" s="109">
        <f t="shared" si="71"/>
        <v>37000</v>
      </c>
      <c r="AC45" s="4">
        <f t="shared" si="71"/>
        <v>0</v>
      </c>
      <c r="AD45" s="105">
        <f t="shared" si="71"/>
        <v>1088.2352941176471</v>
      </c>
      <c r="AE45" s="75" t="str">
        <f>S45</f>
        <v>계</v>
      </c>
      <c r="AF45" s="75" t="str">
        <f>Q45&amp;"/"&amp;R45</f>
        <v>3/2</v>
      </c>
      <c r="AH45" s="20" t="str">
        <f t="shared" si="68"/>
        <v>협성DS이아이존빌</v>
      </c>
      <c r="AI45" s="106">
        <f t="shared" si="64"/>
        <v>34</v>
      </c>
      <c r="AJ45" s="75" t="str">
        <f>IF(AI45="","",$AJ$2)</f>
        <v>A-</v>
      </c>
      <c r="AK45" s="75" t="s">
        <v>14</v>
      </c>
      <c r="AL45" s="75" t="s">
        <v>870</v>
      </c>
      <c r="AM45" s="75" t="s">
        <v>871</v>
      </c>
      <c r="AN45" s="75" t="str">
        <f>IF(AI45="","",$AN$2)</f>
        <v>C</v>
      </c>
      <c r="AO45" s="75" t="str">
        <f>IF(N45="","",IF(N45&gt;=$AO$1/100,"O","X"))</f>
        <v>X</v>
      </c>
      <c r="AP45" s="75" t="str">
        <f>IF(I45="","",IF(I45&lt;=$AP$1,"O","X"))</f>
        <v>O</v>
      </c>
      <c r="AQ45" s="75" t="str">
        <f>IF(O45="","",IF(O45&lt;=$AQ$1,"O","X"))</f>
        <v>X</v>
      </c>
      <c r="AR45" s="75" t="str">
        <f>IF(M45="","",IF(M45&lt;=$AR$1,"O","X"))</f>
        <v>X</v>
      </c>
      <c r="AS45" s="75" t="s">
        <v>2</v>
      </c>
      <c r="AT45" s="75" t="str">
        <f>IF(OR(F45="",AI45=""),"",IF(AND((F45&lt;=85),(AI45&gt;=15)),"O","X"))</f>
        <v>O</v>
      </c>
      <c r="AU45" s="75" t="str">
        <f>IF(C45="","",IF(C45&gt;=$AU$1,"O","X"))</f>
        <v>O</v>
      </c>
      <c r="AV45" s="75" t="str">
        <f>IF(AO45="","",IF(AND(AO45="O",AP45="O",AR45="O",AT45="O",AU45="O"),"후보","X"))</f>
        <v>X</v>
      </c>
    </row>
    <row r="46" spans="1:48" x14ac:dyDescent="0.3">
      <c r="A46" s="9"/>
      <c r="B46" s="75"/>
      <c r="C46" s="6"/>
      <c r="D46" s="9"/>
      <c r="E46" s="14"/>
      <c r="F46" s="104"/>
      <c r="G46" s="9"/>
      <c r="H46" s="9"/>
      <c r="I46" s="9"/>
      <c r="J46" s="9"/>
      <c r="K46" s="9"/>
      <c r="L46" s="9"/>
      <c r="M46" s="9"/>
      <c r="N46" s="9"/>
      <c r="O46" s="105"/>
      <c r="P46" s="105"/>
      <c r="Q46" s="106"/>
      <c r="R46" s="106"/>
      <c r="S46" s="9"/>
      <c r="T46" s="48"/>
      <c r="U46" s="9"/>
      <c r="W46" s="70" t="str">
        <f>$A$4&amp;" "&amp;A47&amp;"("&amp;B47&amp;","&amp;C47&amp;"^)"</f>
        <v>자은동 자은더샵('05.11.,442^)</v>
      </c>
      <c r="X46" s="71"/>
      <c r="Y46" s="71"/>
      <c r="Z46" s="71"/>
      <c r="AA46" s="71"/>
      <c r="AB46" s="71"/>
      <c r="AC46" s="71"/>
      <c r="AD46" s="71"/>
      <c r="AE46" s="71"/>
      <c r="AF46" s="72"/>
      <c r="AH46" s="20" t="str">
        <f t="shared" si="68"/>
        <v/>
      </c>
      <c r="AI46" s="103" t="str">
        <f t="shared" si="64"/>
        <v/>
      </c>
      <c r="AJ46" s="75"/>
      <c r="AK46" s="75"/>
      <c r="AL46" s="75"/>
      <c r="AM46" s="75"/>
      <c r="AN46" s="75"/>
      <c r="AO46" s="75"/>
      <c r="AP46" s="75"/>
      <c r="AQ46" s="75"/>
      <c r="AR46" s="75"/>
      <c r="AS46" s="75"/>
      <c r="AT46" s="75"/>
      <c r="AU46" s="75"/>
      <c r="AV46" s="75"/>
    </row>
    <row r="47" spans="1:48" x14ac:dyDescent="0.3">
      <c r="A47" s="9" t="s">
        <v>657</v>
      </c>
      <c r="B47" s="10" t="s">
        <v>879</v>
      </c>
      <c r="C47" s="107">
        <v>442</v>
      </c>
      <c r="D47" s="104">
        <v>99.7</v>
      </c>
      <c r="E47" s="106">
        <v>30</v>
      </c>
      <c r="F47" s="104">
        <v>74.2</v>
      </c>
      <c r="G47" s="17">
        <v>22</v>
      </c>
      <c r="H47" s="107">
        <v>58</v>
      </c>
      <c r="I47" s="108"/>
      <c r="J47" s="108"/>
      <c r="K47" s="108"/>
      <c r="L47" s="108"/>
      <c r="M47" s="109">
        <f>I47-K47</f>
        <v>0</v>
      </c>
      <c r="N47" s="4" t="str">
        <f>IF(ISERROR(K47/I47),"",K47/I47)</f>
        <v/>
      </c>
      <c r="O47" s="105">
        <f>I47/E47</f>
        <v>0</v>
      </c>
      <c r="P47" s="105">
        <f>K47/E47</f>
        <v>0</v>
      </c>
      <c r="Q47" s="75">
        <v>3</v>
      </c>
      <c r="R47" s="75">
        <v>2</v>
      </c>
      <c r="S47" s="75" t="s">
        <v>869</v>
      </c>
      <c r="T47" s="5">
        <v>99</v>
      </c>
      <c r="U47" s="9"/>
      <c r="W47" s="104">
        <f t="shared" ref="W47:X49" si="72">D47</f>
        <v>99.7</v>
      </c>
      <c r="X47" s="106">
        <f t="shared" si="72"/>
        <v>30</v>
      </c>
      <c r="Y47" s="102">
        <f t="shared" ref="Y47:Z49" si="73">H47</f>
        <v>58</v>
      </c>
      <c r="Z47" s="109">
        <f t="shared" si="73"/>
        <v>0</v>
      </c>
      <c r="AA47" s="109">
        <f>K47</f>
        <v>0</v>
      </c>
      <c r="AB47" s="109">
        <f t="shared" ref="AB47:AD49" si="74">M47</f>
        <v>0</v>
      </c>
      <c r="AC47" s="4" t="str">
        <f t="shared" si="74"/>
        <v/>
      </c>
      <c r="AD47" s="105">
        <f t="shared" si="74"/>
        <v>0</v>
      </c>
      <c r="AE47" s="75" t="str">
        <f>S47</f>
        <v>계</v>
      </c>
      <c r="AF47" s="75" t="str">
        <f>Q47&amp;"/"&amp;R47</f>
        <v>3/2</v>
      </c>
      <c r="AH47" s="20" t="str">
        <f t="shared" si="68"/>
        <v>자은더샵</v>
      </c>
      <c r="AI47" s="106">
        <f t="shared" si="64"/>
        <v>30</v>
      </c>
      <c r="AJ47" s="75" t="str">
        <f>IF(AI47="","",$AJ$2)</f>
        <v>A-</v>
      </c>
      <c r="AK47" s="75" t="s">
        <v>14</v>
      </c>
      <c r="AL47" s="75" t="s">
        <v>870</v>
      </c>
      <c r="AM47" s="75" t="s">
        <v>871</v>
      </c>
      <c r="AN47" s="75" t="str">
        <f>IF(AI47="","",$AN$2)</f>
        <v>C</v>
      </c>
      <c r="AO47" s="75" t="str">
        <f>IF(N47="","",IF(N47&gt;=$AO$1/100,"O","X"))</f>
        <v/>
      </c>
      <c r="AP47" s="75" t="str">
        <f>IF(I47="","",IF(I47&lt;=$AP$1,"O","X"))</f>
        <v/>
      </c>
      <c r="AQ47" s="75" t="str">
        <f>IF(O47="","",IF(O47&lt;=$AQ$1,"O","X"))</f>
        <v>O</v>
      </c>
      <c r="AR47" s="75" t="str">
        <f>IF(M47="","",IF(M47&lt;=$AR$1,"O","X"))</f>
        <v>O</v>
      </c>
      <c r="AS47" s="75" t="s">
        <v>2</v>
      </c>
      <c r="AT47" s="75" t="str">
        <f>IF(OR(F47="",AI47=""),"",IF(AND((F47&lt;=85),(AI47&gt;=15)),"O","X"))</f>
        <v>O</v>
      </c>
      <c r="AU47" s="75" t="str">
        <f>IF(C47="","",IF(C47&gt;=$AU$1,"O","X"))</f>
        <v>O</v>
      </c>
      <c r="AV47" s="75" t="str">
        <f>IF(AO47="","",IF(AND(AO47="O",AP47="O",AR47="O",AT47="O",AU47="O"),"후보","X"))</f>
        <v/>
      </c>
    </row>
    <row r="48" spans="1:48" x14ac:dyDescent="0.3">
      <c r="A48" s="9" t="s">
        <v>657</v>
      </c>
      <c r="B48" s="10" t="s">
        <v>879</v>
      </c>
      <c r="C48" s="107">
        <v>442</v>
      </c>
      <c r="D48" s="104">
        <v>110.1</v>
      </c>
      <c r="E48" s="106">
        <v>33</v>
      </c>
      <c r="F48" s="104">
        <v>84.4</v>
      </c>
      <c r="G48" s="17">
        <v>26</v>
      </c>
      <c r="H48" s="107">
        <v>326</v>
      </c>
      <c r="I48" s="108">
        <v>25000</v>
      </c>
      <c r="J48" s="108" t="s">
        <v>868</v>
      </c>
      <c r="K48" s="108"/>
      <c r="L48" s="108"/>
      <c r="M48" s="109">
        <f>I48-K48</f>
        <v>25000</v>
      </c>
      <c r="N48" s="4">
        <f>IF(ISERROR(K48/I48),"",K48/I48)</f>
        <v>0</v>
      </c>
      <c r="O48" s="105">
        <f>I48/E48</f>
        <v>757.57575757575762</v>
      </c>
      <c r="P48" s="105">
        <f>K48/E48</f>
        <v>0</v>
      </c>
      <c r="Q48" s="75">
        <v>3</v>
      </c>
      <c r="R48" s="75">
        <v>2</v>
      </c>
      <c r="S48" s="75" t="s">
        <v>869</v>
      </c>
      <c r="T48" s="5">
        <v>110</v>
      </c>
      <c r="U48" s="9"/>
      <c r="W48" s="104">
        <f t="shared" si="72"/>
        <v>110.1</v>
      </c>
      <c r="X48" s="106">
        <f t="shared" si="72"/>
        <v>33</v>
      </c>
      <c r="Y48" s="102">
        <f t="shared" si="73"/>
        <v>326</v>
      </c>
      <c r="Z48" s="109">
        <f t="shared" si="73"/>
        <v>25000</v>
      </c>
      <c r="AA48" s="109">
        <f>K48</f>
        <v>0</v>
      </c>
      <c r="AB48" s="109">
        <f t="shared" si="74"/>
        <v>25000</v>
      </c>
      <c r="AC48" s="4">
        <f t="shared" si="74"/>
        <v>0</v>
      </c>
      <c r="AD48" s="105">
        <f t="shared" si="74"/>
        <v>757.57575757575762</v>
      </c>
      <c r="AE48" s="75" t="str">
        <f>S48</f>
        <v>계</v>
      </c>
      <c r="AF48" s="75" t="str">
        <f>Q48&amp;"/"&amp;R48</f>
        <v>3/2</v>
      </c>
      <c r="AH48" s="20" t="str">
        <f t="shared" si="68"/>
        <v>자은더샵</v>
      </c>
      <c r="AI48" s="106">
        <f t="shared" si="64"/>
        <v>33</v>
      </c>
      <c r="AJ48" s="75" t="str">
        <f>IF(AI48="","",$AJ$2)</f>
        <v>A-</v>
      </c>
      <c r="AK48" s="75" t="s">
        <v>14</v>
      </c>
      <c r="AL48" s="75" t="s">
        <v>870</v>
      </c>
      <c r="AM48" s="75" t="s">
        <v>871</v>
      </c>
      <c r="AN48" s="75" t="str">
        <f>IF(AI48="","",$AN$2)</f>
        <v>C</v>
      </c>
      <c r="AO48" s="75" t="str">
        <f>IF(N48="","",IF(N48&gt;=$AO$1/100,"O","X"))</f>
        <v>X</v>
      </c>
      <c r="AP48" s="75" t="str">
        <f>IF(I48="","",IF(I48&lt;=$AP$1,"O","X"))</f>
        <v>O</v>
      </c>
      <c r="AQ48" s="75" t="str">
        <f>IF(O48="","",IF(O48&lt;=$AQ$1,"O","X"))</f>
        <v>O</v>
      </c>
      <c r="AR48" s="75" t="str">
        <f>IF(M48="","",IF(M48&lt;=$AR$1,"O","X"))</f>
        <v>X</v>
      </c>
      <c r="AS48" s="75" t="s">
        <v>2</v>
      </c>
      <c r="AT48" s="75" t="str">
        <f>IF(OR(F48="",AI48=""),"",IF(AND((F48&lt;=85),(AI48&gt;=15)),"O","X"))</f>
        <v>O</v>
      </c>
      <c r="AU48" s="75" t="str">
        <f>IF(C48="","",IF(C48&gt;=$AU$1,"O","X"))</f>
        <v>O</v>
      </c>
      <c r="AV48" s="75" t="str">
        <f>IF(AO48="","",IF(AND(AO48="O",AP48="O",AR48="O",AT48="O",AU48="O"),"후보","X"))</f>
        <v>X</v>
      </c>
    </row>
    <row r="49" spans="1:48" x14ac:dyDescent="0.3">
      <c r="A49" s="9" t="s">
        <v>657</v>
      </c>
      <c r="B49" s="10" t="s">
        <v>879</v>
      </c>
      <c r="C49" s="107">
        <v>442</v>
      </c>
      <c r="D49" s="104">
        <v>147.80000000000001</v>
      </c>
      <c r="E49" s="106">
        <v>45</v>
      </c>
      <c r="F49" s="104">
        <v>123.2</v>
      </c>
      <c r="G49" s="17">
        <v>37</v>
      </c>
      <c r="H49" s="107">
        <v>58</v>
      </c>
      <c r="I49" s="108">
        <v>35500</v>
      </c>
      <c r="J49" s="108" t="s">
        <v>883</v>
      </c>
      <c r="K49" s="108"/>
      <c r="L49" s="108"/>
      <c r="M49" s="109">
        <f>I49-K49</f>
        <v>35500</v>
      </c>
      <c r="N49" s="4">
        <f>IF(ISERROR(K49/I49),"",K49/I49)</f>
        <v>0</v>
      </c>
      <c r="O49" s="105">
        <f>I49/E49</f>
        <v>788.88888888888891</v>
      </c>
      <c r="P49" s="105">
        <f>K49/E49</f>
        <v>0</v>
      </c>
      <c r="Q49" s="75">
        <v>4</v>
      </c>
      <c r="R49" s="75">
        <v>2</v>
      </c>
      <c r="S49" s="75" t="s">
        <v>869</v>
      </c>
      <c r="T49" s="5">
        <v>147</v>
      </c>
      <c r="U49" s="9"/>
      <c r="W49" s="104">
        <f t="shared" si="72"/>
        <v>147.80000000000001</v>
      </c>
      <c r="X49" s="106">
        <f t="shared" si="72"/>
        <v>45</v>
      </c>
      <c r="Y49" s="102">
        <f t="shared" si="73"/>
        <v>58</v>
      </c>
      <c r="Z49" s="109">
        <f t="shared" si="73"/>
        <v>35500</v>
      </c>
      <c r="AA49" s="109">
        <f>K49</f>
        <v>0</v>
      </c>
      <c r="AB49" s="109">
        <f t="shared" si="74"/>
        <v>35500</v>
      </c>
      <c r="AC49" s="4">
        <f t="shared" si="74"/>
        <v>0</v>
      </c>
      <c r="AD49" s="105">
        <f t="shared" si="74"/>
        <v>788.88888888888891</v>
      </c>
      <c r="AE49" s="75" t="str">
        <f>S49</f>
        <v>계</v>
      </c>
      <c r="AF49" s="75" t="str">
        <f>Q49&amp;"/"&amp;R49</f>
        <v>4/2</v>
      </c>
      <c r="AH49" s="20" t="str">
        <f t="shared" si="68"/>
        <v>자은더샵</v>
      </c>
      <c r="AI49" s="106">
        <f t="shared" si="64"/>
        <v>45</v>
      </c>
      <c r="AJ49" s="75" t="str">
        <f>IF(AI49="","",$AJ$2)</f>
        <v>A-</v>
      </c>
      <c r="AK49" s="75" t="s">
        <v>14</v>
      </c>
      <c r="AL49" s="75" t="s">
        <v>870</v>
      </c>
      <c r="AM49" s="75" t="s">
        <v>871</v>
      </c>
      <c r="AN49" s="75" t="str">
        <f>IF(AI49="","",$AN$2)</f>
        <v>C</v>
      </c>
      <c r="AO49" s="75" t="str">
        <f>IF(N49="","",IF(N49&gt;=$AO$1/100,"O","X"))</f>
        <v>X</v>
      </c>
      <c r="AP49" s="75" t="str">
        <f>IF(I49="","",IF(I49&lt;=$AP$1,"O","X"))</f>
        <v>O</v>
      </c>
      <c r="AQ49" s="75" t="str">
        <f>IF(O49="","",IF(O49&lt;=$AQ$1,"O","X"))</f>
        <v>O</v>
      </c>
      <c r="AR49" s="75" t="str">
        <f>IF(M49="","",IF(M49&lt;=$AR$1,"O","X"))</f>
        <v>X</v>
      </c>
      <c r="AS49" s="75" t="s">
        <v>2</v>
      </c>
      <c r="AT49" s="75" t="str">
        <f>IF(OR(F49="",AI49=""),"",IF(AND((F49&lt;=85),(AI49&gt;=15)),"O","X"))</f>
        <v>X</v>
      </c>
      <c r="AU49" s="75" t="str">
        <f>IF(C49="","",IF(C49&gt;=$AU$1,"O","X"))</f>
        <v>O</v>
      </c>
      <c r="AV49" s="75" t="str">
        <f>IF(AO49="","",IF(AND(AO49="O",AP49="O",AR49="O",AT49="O",AU49="O"),"후보","X"))</f>
        <v>X</v>
      </c>
    </row>
    <row r="50" spans="1:48" x14ac:dyDescent="0.3">
      <c r="A50" s="9"/>
      <c r="B50" s="75"/>
      <c r="C50" s="6"/>
      <c r="D50" s="9"/>
      <c r="E50" s="14"/>
      <c r="F50" s="104"/>
      <c r="G50" s="9"/>
      <c r="H50" s="9"/>
      <c r="I50" s="9"/>
      <c r="J50" s="9"/>
      <c r="K50" s="9"/>
      <c r="L50" s="9"/>
      <c r="M50" s="9"/>
      <c r="N50" s="9"/>
      <c r="O50" s="105"/>
      <c r="P50" s="105"/>
      <c r="Q50" s="106"/>
      <c r="R50" s="106"/>
      <c r="S50" s="9"/>
      <c r="T50" s="48"/>
      <c r="U50" s="9"/>
      <c r="W50" s="70" t="str">
        <f>$A$4&amp;" "&amp;A51&amp;"("&amp;B51&amp;","&amp;C51&amp;"^)"</f>
        <v>자은동 자은중흥S-클래스('17.02.,767^)</v>
      </c>
      <c r="X50" s="71"/>
      <c r="Y50" s="71"/>
      <c r="Z50" s="71"/>
      <c r="AA50" s="71"/>
      <c r="AB50" s="71"/>
      <c r="AC50" s="71"/>
      <c r="AD50" s="71"/>
      <c r="AE50" s="71"/>
      <c r="AF50" s="72"/>
      <c r="AH50" s="20" t="str">
        <f t="shared" si="68"/>
        <v/>
      </c>
      <c r="AI50" s="103" t="str">
        <f t="shared" si="64"/>
        <v/>
      </c>
      <c r="AJ50" s="75"/>
      <c r="AK50" s="75"/>
      <c r="AL50" s="75"/>
      <c r="AM50" s="75"/>
      <c r="AN50" s="75"/>
      <c r="AO50" s="75"/>
      <c r="AP50" s="75"/>
      <c r="AQ50" s="75"/>
      <c r="AR50" s="75"/>
      <c r="AS50" s="75"/>
      <c r="AT50" s="75"/>
      <c r="AU50" s="75"/>
      <c r="AV50" s="75"/>
    </row>
    <row r="51" spans="1:48" x14ac:dyDescent="0.3">
      <c r="A51" s="9" t="s">
        <v>661</v>
      </c>
      <c r="B51" s="10" t="s">
        <v>867</v>
      </c>
      <c r="C51" s="107">
        <v>767</v>
      </c>
      <c r="D51" s="104">
        <v>100.9</v>
      </c>
      <c r="E51" s="106">
        <v>31</v>
      </c>
      <c r="F51" s="104">
        <v>76.2</v>
      </c>
      <c r="G51" s="17">
        <v>23</v>
      </c>
      <c r="H51" s="107">
        <v>212</v>
      </c>
      <c r="I51" s="108">
        <v>40500</v>
      </c>
      <c r="J51" s="108" t="s">
        <v>873</v>
      </c>
      <c r="K51" s="108">
        <v>32000</v>
      </c>
      <c r="L51" s="108" t="s">
        <v>921</v>
      </c>
      <c r="M51" s="109">
        <f>I51-K51</f>
        <v>8500</v>
      </c>
      <c r="N51" s="4">
        <f>IF(ISERROR(K51/I51),"",K51/I51)</f>
        <v>0.79012345679012341</v>
      </c>
      <c r="O51" s="105">
        <f>I51/E51</f>
        <v>1306.4516129032259</v>
      </c>
      <c r="P51" s="105">
        <f>K51/E51</f>
        <v>1032.258064516129</v>
      </c>
      <c r="Q51" s="75">
        <v>3</v>
      </c>
      <c r="R51" s="75">
        <v>2</v>
      </c>
      <c r="S51" s="75" t="s">
        <v>869</v>
      </c>
      <c r="T51" s="5">
        <v>100</v>
      </c>
      <c r="U51" s="9"/>
      <c r="W51" s="104">
        <f>D51</f>
        <v>100.9</v>
      </c>
      <c r="X51" s="106">
        <f>E51</f>
        <v>31</v>
      </c>
      <c r="Y51" s="102">
        <f>H51</f>
        <v>212</v>
      </c>
      <c r="Z51" s="109">
        <f>I51</f>
        <v>40500</v>
      </c>
      <c r="AA51" s="109">
        <f>K51</f>
        <v>32000</v>
      </c>
      <c r="AB51" s="109">
        <f t="shared" ref="AB51:AD52" si="75">M51</f>
        <v>8500</v>
      </c>
      <c r="AC51" s="4">
        <f t="shared" si="75"/>
        <v>0.79012345679012341</v>
      </c>
      <c r="AD51" s="105">
        <f t="shared" si="75"/>
        <v>1306.4516129032259</v>
      </c>
      <c r="AE51" s="75" t="str">
        <f>S51</f>
        <v>계</v>
      </c>
      <c r="AF51" s="75" t="str">
        <f>Q51&amp;"/"&amp;R51</f>
        <v>3/2</v>
      </c>
      <c r="AH51" s="20" t="str">
        <f t="shared" si="68"/>
        <v>자은중흥S-클래스</v>
      </c>
      <c r="AI51" s="106">
        <f t="shared" si="64"/>
        <v>31</v>
      </c>
      <c r="AJ51" s="75" t="str">
        <f>IF(AI51="","",$AJ$2)</f>
        <v>A-</v>
      </c>
      <c r="AK51" s="75" t="s">
        <v>14</v>
      </c>
      <c r="AL51" s="75" t="s">
        <v>870</v>
      </c>
      <c r="AM51" s="75" t="s">
        <v>871</v>
      </c>
      <c r="AN51" s="75" t="str">
        <f>IF(AI51="","",$AN$2)</f>
        <v>C</v>
      </c>
      <c r="AO51" s="75" t="str">
        <f>IF(N51="","",IF(N51&gt;=$AO$1/100,"O","X"))</f>
        <v>X</v>
      </c>
      <c r="AP51" s="75" t="str">
        <f>IF(I51="","",IF(I51&lt;=$AP$1,"O","X"))</f>
        <v>O</v>
      </c>
      <c r="AQ51" s="75" t="str">
        <f>IF(O51="","",IF(O51&lt;=$AQ$1,"O","X"))</f>
        <v>X</v>
      </c>
      <c r="AR51" s="75" t="str">
        <f>IF(M51="","",IF(M51&lt;=$AR$1,"O","X"))</f>
        <v>X</v>
      </c>
      <c r="AS51" s="75" t="s">
        <v>2</v>
      </c>
      <c r="AT51" s="75" t="str">
        <f>IF(OR(F51="",AI51=""),"",IF(AND((F51&lt;=85),(AI51&gt;=15)),"O","X"))</f>
        <v>O</v>
      </c>
      <c r="AU51" s="75" t="str">
        <f>IF(C51="","",IF(C51&gt;=$AU$1,"O","X"))</f>
        <v>O</v>
      </c>
      <c r="AV51" s="75" t="str">
        <f>IF(AO51="","",IF(AND(AO51="O",AP51="O",AR51="O",AT51="O",AU51="O"),"후보","X"))</f>
        <v>X</v>
      </c>
    </row>
    <row r="52" spans="1:48" x14ac:dyDescent="0.3">
      <c r="A52" s="9" t="s">
        <v>661</v>
      </c>
      <c r="B52" s="10" t="s">
        <v>867</v>
      </c>
      <c r="C52" s="107">
        <v>767</v>
      </c>
      <c r="D52" s="104">
        <v>112.4</v>
      </c>
      <c r="E52" s="106">
        <v>34</v>
      </c>
      <c r="F52" s="104">
        <v>84.9</v>
      </c>
      <c r="G52" s="17">
        <v>26</v>
      </c>
      <c r="H52" s="107">
        <v>555</v>
      </c>
      <c r="I52" s="108">
        <v>42000</v>
      </c>
      <c r="J52" s="108" t="s">
        <v>868</v>
      </c>
      <c r="K52" s="108">
        <v>35000</v>
      </c>
      <c r="L52" s="108" t="s">
        <v>907</v>
      </c>
      <c r="M52" s="109">
        <f>I52-K52</f>
        <v>7000</v>
      </c>
      <c r="N52" s="4">
        <f>IF(ISERROR(K52/I52),"",K52/I52)</f>
        <v>0.83333333333333337</v>
      </c>
      <c r="O52" s="105">
        <f>I52/E52</f>
        <v>1235.2941176470588</v>
      </c>
      <c r="P52" s="105">
        <f>K52/E52</f>
        <v>1029.4117647058824</v>
      </c>
      <c r="Q52" s="75">
        <v>3</v>
      </c>
      <c r="R52" s="75">
        <v>2</v>
      </c>
      <c r="S52" s="75" t="s">
        <v>869</v>
      </c>
      <c r="T52" s="5">
        <v>112</v>
      </c>
      <c r="U52" s="9"/>
      <c r="W52" s="104">
        <f>D52</f>
        <v>112.4</v>
      </c>
      <c r="X52" s="106">
        <f>E52</f>
        <v>34</v>
      </c>
      <c r="Y52" s="102">
        <f>H52</f>
        <v>555</v>
      </c>
      <c r="Z52" s="109">
        <f>I52</f>
        <v>42000</v>
      </c>
      <c r="AA52" s="109">
        <f>K52</f>
        <v>35000</v>
      </c>
      <c r="AB52" s="109">
        <f t="shared" si="75"/>
        <v>7000</v>
      </c>
      <c r="AC52" s="4">
        <f t="shared" si="75"/>
        <v>0.83333333333333337</v>
      </c>
      <c r="AD52" s="105">
        <f t="shared" si="75"/>
        <v>1235.2941176470588</v>
      </c>
      <c r="AE52" s="75" t="str">
        <f>S52</f>
        <v>계</v>
      </c>
      <c r="AF52" s="75" t="str">
        <f>Q52&amp;"/"&amp;R52</f>
        <v>3/2</v>
      </c>
      <c r="AH52" s="20" t="str">
        <f t="shared" si="68"/>
        <v>자은중흥S-클래스</v>
      </c>
      <c r="AI52" s="106">
        <f t="shared" si="64"/>
        <v>34</v>
      </c>
      <c r="AJ52" s="75" t="str">
        <f>IF(AI52="","",$AJ$2)</f>
        <v>A-</v>
      </c>
      <c r="AK52" s="75" t="s">
        <v>14</v>
      </c>
      <c r="AL52" s="75" t="s">
        <v>870</v>
      </c>
      <c r="AM52" s="75" t="s">
        <v>871</v>
      </c>
      <c r="AN52" s="75" t="str">
        <f>IF(AI52="","",$AN$2)</f>
        <v>C</v>
      </c>
      <c r="AO52" s="75" t="str">
        <f>IF(N52="","",IF(N52&gt;=$AO$1/100,"O","X"))</f>
        <v>O</v>
      </c>
      <c r="AP52" s="75" t="str">
        <f>IF(I52="","",IF(I52&lt;=$AP$1,"O","X"))</f>
        <v>O</v>
      </c>
      <c r="AQ52" s="75" t="str">
        <f>IF(O52="","",IF(O52&lt;=$AQ$1,"O","X"))</f>
        <v>X</v>
      </c>
      <c r="AR52" s="75" t="str">
        <f>IF(M52="","",IF(M52&lt;=$AR$1,"O","X"))</f>
        <v>X</v>
      </c>
      <c r="AS52" s="75" t="s">
        <v>2</v>
      </c>
      <c r="AT52" s="75" t="str">
        <f>IF(OR(F52="",AI52=""),"",IF(AND((F52&lt;=85),(AI52&gt;=15)),"O","X"))</f>
        <v>O</v>
      </c>
      <c r="AU52" s="75" t="str">
        <f>IF(C52="","",IF(C52&gt;=$AU$1,"O","X"))</f>
        <v>O</v>
      </c>
      <c r="AV52" s="75" t="str">
        <f>IF(AO52="","",IF(AND(AO52="O",AP52="O",AR52="O",AT52="O",AU52="O"),"후보","X"))</f>
        <v>X</v>
      </c>
    </row>
    <row r="53" spans="1:48" x14ac:dyDescent="0.3">
      <c r="A53" s="9"/>
      <c r="B53" s="75"/>
      <c r="C53" s="6"/>
      <c r="D53" s="9"/>
      <c r="E53" s="14"/>
      <c r="F53" s="104"/>
      <c r="G53" s="9"/>
      <c r="H53" s="9"/>
      <c r="I53" s="9"/>
      <c r="J53" s="9"/>
      <c r="K53" s="9"/>
      <c r="L53" s="9"/>
      <c r="M53" s="9"/>
      <c r="N53" s="9"/>
      <c r="O53" s="105"/>
      <c r="P53" s="105"/>
      <c r="Q53" s="106"/>
      <c r="R53" s="106"/>
      <c r="S53" s="9"/>
      <c r="T53" s="48"/>
      <c r="U53" s="9"/>
      <c r="W53" s="70" t="str">
        <f>$A$4&amp;" "&amp;A54&amp;"("&amp;B54&amp;","&amp;C54&amp;"^)"</f>
        <v>자은동 삼성('93.07.,370^)</v>
      </c>
      <c r="X53" s="71"/>
      <c r="Y53" s="71"/>
      <c r="Z53" s="71"/>
      <c r="AA53" s="71"/>
      <c r="AB53" s="71"/>
      <c r="AC53" s="71"/>
      <c r="AD53" s="71"/>
      <c r="AE53" s="71"/>
      <c r="AF53" s="72"/>
      <c r="AH53" s="20" t="str">
        <f t="shared" si="68"/>
        <v/>
      </c>
      <c r="AI53" s="103" t="str">
        <f t="shared" si="64"/>
        <v/>
      </c>
      <c r="AJ53" s="75"/>
      <c r="AK53" s="75"/>
      <c r="AL53" s="75"/>
      <c r="AM53" s="75"/>
      <c r="AN53" s="75"/>
      <c r="AO53" s="75"/>
      <c r="AP53" s="75"/>
      <c r="AQ53" s="75"/>
      <c r="AR53" s="75"/>
      <c r="AS53" s="75"/>
      <c r="AT53" s="75"/>
      <c r="AU53" s="75"/>
      <c r="AV53" s="75"/>
    </row>
    <row r="54" spans="1:48" x14ac:dyDescent="0.3">
      <c r="A54" s="9" t="s">
        <v>665</v>
      </c>
      <c r="B54" s="10" t="s">
        <v>922</v>
      </c>
      <c r="C54" s="107">
        <v>370</v>
      </c>
      <c r="D54" s="104">
        <v>68.5</v>
      </c>
      <c r="E54" s="106">
        <v>21</v>
      </c>
      <c r="F54" s="104">
        <v>49.1</v>
      </c>
      <c r="G54" s="17">
        <v>15</v>
      </c>
      <c r="H54" s="107">
        <v>100</v>
      </c>
      <c r="I54" s="108">
        <v>11000</v>
      </c>
      <c r="J54" s="108" t="s">
        <v>914</v>
      </c>
      <c r="K54" s="108"/>
      <c r="L54" s="108"/>
      <c r="M54" s="109">
        <f>I54-K54</f>
        <v>11000</v>
      </c>
      <c r="N54" s="4">
        <f>IF(ISERROR(K54/I54),"",K54/I54)</f>
        <v>0</v>
      </c>
      <c r="O54" s="105">
        <f>I54/E54</f>
        <v>523.80952380952385</v>
      </c>
      <c r="P54" s="105">
        <f>K54/E54</f>
        <v>0</v>
      </c>
      <c r="Q54" s="75">
        <v>2</v>
      </c>
      <c r="R54" s="75">
        <v>1</v>
      </c>
      <c r="S54" s="75" t="s">
        <v>869</v>
      </c>
      <c r="T54" s="5">
        <v>68</v>
      </c>
      <c r="U54" s="9"/>
      <c r="W54" s="104">
        <f>D54</f>
        <v>68.5</v>
      </c>
      <c r="X54" s="106">
        <f>E54</f>
        <v>21</v>
      </c>
      <c r="Y54" s="102">
        <f>H54</f>
        <v>100</v>
      </c>
      <c r="Z54" s="109">
        <f>I54</f>
        <v>11000</v>
      </c>
      <c r="AA54" s="109">
        <f>K54</f>
        <v>0</v>
      </c>
      <c r="AB54" s="109">
        <f t="shared" ref="AB54:AD55" si="76">M54</f>
        <v>11000</v>
      </c>
      <c r="AC54" s="4">
        <f t="shared" si="76"/>
        <v>0</v>
      </c>
      <c r="AD54" s="105">
        <f t="shared" si="76"/>
        <v>523.80952380952385</v>
      </c>
      <c r="AE54" s="75" t="str">
        <f>S54</f>
        <v>계</v>
      </c>
      <c r="AF54" s="75" t="str">
        <f>Q54&amp;"/"&amp;R54</f>
        <v>2/1</v>
      </c>
      <c r="AH54" s="20" t="str">
        <f t="shared" si="68"/>
        <v>삼성</v>
      </c>
      <c r="AI54" s="106">
        <f t="shared" si="64"/>
        <v>21</v>
      </c>
      <c r="AJ54" s="75" t="str">
        <f>IF(AI54="","",$AJ$2)</f>
        <v>A-</v>
      </c>
      <c r="AK54" s="75" t="s">
        <v>14</v>
      </c>
      <c r="AL54" s="75" t="s">
        <v>870</v>
      </c>
      <c r="AM54" s="75" t="s">
        <v>871</v>
      </c>
      <c r="AN54" s="75" t="str">
        <f>IF(AI54="","",$AN$2)</f>
        <v>C</v>
      </c>
      <c r="AO54" s="75" t="str">
        <f>IF(N54="","",IF(N54&gt;=$AO$1/100,"O","X"))</f>
        <v>X</v>
      </c>
      <c r="AP54" s="75" t="str">
        <f>IF(I54="","",IF(I54&lt;=$AP$1,"O","X"))</f>
        <v>O</v>
      </c>
      <c r="AQ54" s="75" t="str">
        <f>IF(O54="","",IF(O54&lt;=$AQ$1,"O","X"))</f>
        <v>O</v>
      </c>
      <c r="AR54" s="75" t="str">
        <f>IF(M54="","",IF(M54&lt;=$AR$1,"O","X"))</f>
        <v>X</v>
      </c>
      <c r="AS54" s="75" t="s">
        <v>2</v>
      </c>
      <c r="AT54" s="75" t="str">
        <f>IF(OR(F54="",AI54=""),"",IF(AND((F54&lt;=85),(AI54&gt;=15)),"O","X"))</f>
        <v>O</v>
      </c>
      <c r="AU54" s="75" t="str">
        <f>IF(C54="","",IF(C54&gt;=$AU$1,"O","X"))</f>
        <v>O</v>
      </c>
      <c r="AV54" s="75" t="str">
        <f>IF(AO54="","",IF(AND(AO54="O",AP54="O",AR54="O",AT54="O",AU54="O"),"후보","X"))</f>
        <v>X</v>
      </c>
    </row>
    <row r="55" spans="1:48" x14ac:dyDescent="0.3">
      <c r="A55" s="9" t="s">
        <v>665</v>
      </c>
      <c r="B55" s="10" t="s">
        <v>922</v>
      </c>
      <c r="C55" s="107">
        <v>370</v>
      </c>
      <c r="D55" s="104">
        <v>81.5</v>
      </c>
      <c r="E55" s="106">
        <v>25</v>
      </c>
      <c r="F55" s="104">
        <v>59.9</v>
      </c>
      <c r="G55" s="17">
        <v>18</v>
      </c>
      <c r="H55" s="107">
        <v>270</v>
      </c>
      <c r="I55" s="108">
        <v>13600</v>
      </c>
      <c r="J55" s="108" t="s">
        <v>883</v>
      </c>
      <c r="K55" s="108"/>
      <c r="L55" s="108"/>
      <c r="M55" s="109">
        <f>I55-K55</f>
        <v>13600</v>
      </c>
      <c r="N55" s="4">
        <f>IF(ISERROR(K55/I55),"",K55/I55)</f>
        <v>0</v>
      </c>
      <c r="O55" s="105">
        <f>I55/E55</f>
        <v>544</v>
      </c>
      <c r="P55" s="105">
        <f>K55/E55</f>
        <v>0</v>
      </c>
      <c r="Q55" s="75">
        <v>3</v>
      </c>
      <c r="R55" s="75">
        <v>1</v>
      </c>
      <c r="S55" s="75" t="s">
        <v>869</v>
      </c>
      <c r="T55" s="5">
        <v>81</v>
      </c>
      <c r="U55" s="9"/>
      <c r="W55" s="104">
        <f>D55</f>
        <v>81.5</v>
      </c>
      <c r="X55" s="106">
        <f>E55</f>
        <v>25</v>
      </c>
      <c r="Y55" s="102">
        <f>H55</f>
        <v>270</v>
      </c>
      <c r="Z55" s="109">
        <f>I55</f>
        <v>13600</v>
      </c>
      <c r="AA55" s="109">
        <f>K55</f>
        <v>0</v>
      </c>
      <c r="AB55" s="109">
        <f t="shared" si="76"/>
        <v>13600</v>
      </c>
      <c r="AC55" s="4">
        <f t="shared" si="76"/>
        <v>0</v>
      </c>
      <c r="AD55" s="105">
        <f t="shared" si="76"/>
        <v>544</v>
      </c>
      <c r="AE55" s="75" t="str">
        <f>S55</f>
        <v>계</v>
      </c>
      <c r="AF55" s="75" t="str">
        <f>Q55&amp;"/"&amp;R55</f>
        <v>3/1</v>
      </c>
      <c r="AH55" s="20" t="str">
        <f t="shared" si="68"/>
        <v>삼성</v>
      </c>
      <c r="AI55" s="106">
        <f t="shared" si="64"/>
        <v>25</v>
      </c>
      <c r="AJ55" s="75" t="str">
        <f>IF(AI55="","",$AJ$2)</f>
        <v>A-</v>
      </c>
      <c r="AK55" s="75" t="s">
        <v>14</v>
      </c>
      <c r="AL55" s="75" t="s">
        <v>870</v>
      </c>
      <c r="AM55" s="75" t="s">
        <v>871</v>
      </c>
      <c r="AN55" s="75" t="str">
        <f>IF(AI55="","",$AN$2)</f>
        <v>C</v>
      </c>
      <c r="AO55" s="75" t="str">
        <f>IF(N55="","",IF(N55&gt;=$AO$1/100,"O","X"))</f>
        <v>X</v>
      </c>
      <c r="AP55" s="75" t="str">
        <f>IF(I55="","",IF(I55&lt;=$AP$1,"O","X"))</f>
        <v>O</v>
      </c>
      <c r="AQ55" s="75" t="str">
        <f>IF(O55="","",IF(O55&lt;=$AQ$1,"O","X"))</f>
        <v>O</v>
      </c>
      <c r="AR55" s="75" t="str">
        <f>IF(M55="","",IF(M55&lt;=$AR$1,"O","X"))</f>
        <v>X</v>
      </c>
      <c r="AS55" s="75" t="s">
        <v>2</v>
      </c>
      <c r="AT55" s="75" t="str">
        <f>IF(OR(F55="",AI55=""),"",IF(AND((F55&lt;=85),(AI55&gt;=15)),"O","X"))</f>
        <v>O</v>
      </c>
      <c r="AU55" s="75" t="str">
        <f>IF(C55="","",IF(C55&gt;=$AU$1,"O","X"))</f>
        <v>O</v>
      </c>
      <c r="AV55" s="75" t="str">
        <f>IF(AO55="","",IF(AND(AO55="O",AP55="O",AR55="O",AT55="O",AU55="O"),"후보","X"))</f>
        <v>X</v>
      </c>
    </row>
  </sheetData>
  <mergeCells count="1">
    <mergeCell ref="AJ1:AN1"/>
  </mergeCells>
  <phoneticPr fontId="2" type="noConversion"/>
  <conditionalFormatting sqref="AV4:AV6">
    <cfRule type="expression" dxfId="1987" priority="825">
      <formula>AV4="X"</formula>
    </cfRule>
    <cfRule type="expression" dxfId="1986" priority="826">
      <formula>AV4="후보"</formula>
    </cfRule>
  </conditionalFormatting>
  <conditionalFormatting sqref="AC1:AC2 AC4:AC6 N4:N5">
    <cfRule type="cellIs" dxfId="1985" priority="822" operator="greaterThan">
      <formula>0.9</formula>
    </cfRule>
    <cfRule type="cellIs" dxfId="1984" priority="823" operator="greaterThan">
      <formula>0.85</formula>
    </cfRule>
  </conditionalFormatting>
  <conditionalFormatting sqref="N1:N2">
    <cfRule type="cellIs" dxfId="1983" priority="820" operator="greaterThan">
      <formula>0.9</formula>
    </cfRule>
    <cfRule type="cellIs" dxfId="1982" priority="821" operator="greaterThan">
      <formula>0.85</formula>
    </cfRule>
  </conditionalFormatting>
  <conditionalFormatting sqref="N6">
    <cfRule type="cellIs" dxfId="1981" priority="818" operator="greaterThan">
      <formula>0.9</formula>
    </cfRule>
    <cfRule type="cellIs" dxfId="1980" priority="819" operator="greaterThan">
      <formula>0.85</formula>
    </cfRule>
  </conditionalFormatting>
  <conditionalFormatting sqref="E6">
    <cfRule type="expression" dxfId="1979" priority="814">
      <formula>AND(IF(OR($Q6=1,$Q6=2),1,0),IF($X6&lt;=20,1,0))</formula>
    </cfRule>
    <cfRule type="expression" dxfId="1978" priority="815">
      <formula>AND(IF($Q6=2,1,0),IF($X6&lt;30,1,0))</formula>
    </cfRule>
    <cfRule type="expression" dxfId="1977" priority="816">
      <formula>AND(IF($Q6=3,1,0),IF($X6&lt;30,1,0))</formula>
    </cfRule>
    <cfRule type="expression" dxfId="1976" priority="817">
      <formula>AND(IF($Q6=3,1,IF($Q6=4,1,0)),IF($F6&lt;=85,1,0))</formula>
    </cfRule>
  </conditionalFormatting>
  <conditionalFormatting sqref="X6">
    <cfRule type="expression" dxfId="1975" priority="810">
      <formula>AND(IF(OR($Q6=1,$Q6=2),1,0),IF($X6&lt;=20,1,0))</formula>
    </cfRule>
    <cfRule type="expression" dxfId="1974" priority="811">
      <formula>AND(IF($Q6=2,1,0),IF($X6&lt;30,1,0))</formula>
    </cfRule>
    <cfRule type="expression" dxfId="1973" priority="812">
      <formula>AND(IF($Q6=3,1,0),IF($X6&lt;30,1,0))</formula>
    </cfRule>
    <cfRule type="expression" dxfId="1972" priority="813">
      <formula>AND(IF($Q6=3,1,IF($Q6=4,1,0)),IF($F6&lt;=85,1,0))</formula>
    </cfRule>
  </conditionalFormatting>
  <conditionalFormatting sqref="AI6">
    <cfRule type="expression" dxfId="1971" priority="806">
      <formula>AND(IF(OR($Q6=1,$Q6=2),1,0),IF($X6&lt;=20,1,0))</formula>
    </cfRule>
    <cfRule type="expression" dxfId="1970" priority="807">
      <formula>AND(IF($Q6=2,1,0),IF($X6&lt;30,1,0))</formula>
    </cfRule>
    <cfRule type="expression" dxfId="1969" priority="808">
      <formula>AND(IF($Q6=3,1,0),IF($X6&lt;30,1,0))</formula>
    </cfRule>
    <cfRule type="expression" dxfId="1968" priority="809">
      <formula>AND(IF($Q6=3,1,IF($Q6=4,1,0)),IF($F6&lt;=85,1,0))</formula>
    </cfRule>
  </conditionalFormatting>
  <conditionalFormatting sqref="AV7">
    <cfRule type="expression" dxfId="1967" priority="804">
      <formula>AV7="X"</formula>
    </cfRule>
    <cfRule type="expression" dxfId="1966" priority="805">
      <formula>AV7="후보"</formula>
    </cfRule>
  </conditionalFormatting>
  <conditionalFormatting sqref="AC7">
    <cfRule type="cellIs" dxfId="1965" priority="801" operator="greaterThan">
      <formula>0.9</formula>
    </cfRule>
    <cfRule type="cellIs" dxfId="1964" priority="802" operator="greaterThan">
      <formula>0.85</formula>
    </cfRule>
  </conditionalFormatting>
  <conditionalFormatting sqref="N7">
    <cfRule type="cellIs" dxfId="1963" priority="799" operator="greaterThan">
      <formula>0.9</formula>
    </cfRule>
    <cfRule type="cellIs" dxfId="1962" priority="800" operator="greaterThan">
      <formula>0.85</formula>
    </cfRule>
  </conditionalFormatting>
  <conditionalFormatting sqref="E7">
    <cfRule type="expression" dxfId="1961" priority="795">
      <formula>AND(IF(OR($Q7=1,$Q7=2),1,0),IF($X7&lt;=20,1,0))</formula>
    </cfRule>
    <cfRule type="expression" dxfId="1960" priority="796">
      <formula>AND(IF($Q7=2,1,0),IF($X7&lt;30,1,0))</formula>
    </cfRule>
    <cfRule type="expression" dxfId="1959" priority="797">
      <formula>AND(IF($Q7=3,1,0),IF($X7&lt;30,1,0))</formula>
    </cfRule>
    <cfRule type="expression" dxfId="1958" priority="798">
      <formula>AND(IF($Q7=3,1,IF($Q7=4,1,0)),IF($F7&lt;=85,1,0))</formula>
    </cfRule>
  </conditionalFormatting>
  <conditionalFormatting sqref="X7">
    <cfRule type="expression" dxfId="1957" priority="791">
      <formula>AND(IF(OR($Q7=1,$Q7=2),1,0),IF($X7&lt;=20,1,0))</formula>
    </cfRule>
    <cfRule type="expression" dxfId="1956" priority="792">
      <formula>AND(IF($Q7=2,1,0),IF($X7&lt;30,1,0))</formula>
    </cfRule>
    <cfRule type="expression" dxfId="1955" priority="793">
      <formula>AND(IF($Q7=3,1,0),IF($X7&lt;30,1,0))</formula>
    </cfRule>
    <cfRule type="expression" dxfId="1954" priority="794">
      <formula>AND(IF($Q7=3,1,IF($Q7=4,1,0)),IF($F7&lt;=85,1,0))</formula>
    </cfRule>
  </conditionalFormatting>
  <conditionalFormatting sqref="AI7">
    <cfRule type="expression" dxfId="1953" priority="787">
      <formula>AND(IF(OR($Q7=1,$Q7=2),1,0),IF($X7&lt;=20,1,0))</formula>
    </cfRule>
    <cfRule type="expression" dxfId="1952" priority="788">
      <formula>AND(IF($Q7=2,1,0),IF($X7&lt;30,1,0))</formula>
    </cfRule>
    <cfRule type="expression" dxfId="1951" priority="789">
      <formula>AND(IF($Q7=3,1,0),IF($X7&lt;30,1,0))</formula>
    </cfRule>
    <cfRule type="expression" dxfId="1950" priority="790">
      <formula>AND(IF($Q7=3,1,IF($Q7=4,1,0)),IF($F7&lt;=85,1,0))</formula>
    </cfRule>
  </conditionalFormatting>
  <conditionalFormatting sqref="AV8">
    <cfRule type="expression" dxfId="1949" priority="785">
      <formula>AV8="X"</formula>
    </cfRule>
    <cfRule type="expression" dxfId="1948" priority="786">
      <formula>AV8="후보"</formula>
    </cfRule>
  </conditionalFormatting>
  <conditionalFormatting sqref="AC8">
    <cfRule type="cellIs" dxfId="1947" priority="782" operator="greaterThan">
      <formula>0.9</formula>
    </cfRule>
    <cfRule type="cellIs" dxfId="1946" priority="783" operator="greaterThan">
      <formula>0.85</formula>
    </cfRule>
  </conditionalFormatting>
  <conditionalFormatting sqref="N8">
    <cfRule type="cellIs" dxfId="1945" priority="780" operator="greaterThan">
      <formula>0.9</formula>
    </cfRule>
    <cfRule type="cellIs" dxfId="1944" priority="781" operator="greaterThan">
      <formula>0.85</formula>
    </cfRule>
  </conditionalFormatting>
  <conditionalFormatting sqref="E8">
    <cfRule type="expression" dxfId="1943" priority="776">
      <formula>AND(IF(OR($Q8=1,$Q8=2),1,0),IF($X8&lt;=20,1,0))</formula>
    </cfRule>
    <cfRule type="expression" dxfId="1942" priority="777">
      <formula>AND(IF($Q8=2,1,0),IF($X8&lt;30,1,0))</formula>
    </cfRule>
    <cfRule type="expression" dxfId="1941" priority="778">
      <formula>AND(IF($Q8=3,1,0),IF($X8&lt;30,1,0))</formula>
    </cfRule>
    <cfRule type="expression" dxfId="1940" priority="779">
      <formula>AND(IF($Q8=3,1,IF($Q8=4,1,0)),IF($F8&lt;=85,1,0))</formula>
    </cfRule>
  </conditionalFormatting>
  <conditionalFormatting sqref="X8">
    <cfRule type="expression" dxfId="1939" priority="772">
      <formula>AND(IF(OR($Q8=1,$Q8=2),1,0),IF($X8&lt;=20,1,0))</formula>
    </cfRule>
    <cfRule type="expression" dxfId="1938" priority="773">
      <formula>AND(IF($Q8=2,1,0),IF($X8&lt;30,1,0))</formula>
    </cfRule>
    <cfRule type="expression" dxfId="1937" priority="774">
      <formula>AND(IF($Q8=3,1,0),IF($X8&lt;30,1,0))</formula>
    </cfRule>
    <cfRule type="expression" dxfId="1936" priority="775">
      <formula>AND(IF($Q8=3,1,IF($Q8=4,1,0)),IF($F8&lt;=85,1,0))</formula>
    </cfRule>
  </conditionalFormatting>
  <conditionalFormatting sqref="AI8">
    <cfRule type="expression" dxfId="1935" priority="768">
      <formula>AND(IF(OR($Q8=1,$Q8=2),1,0),IF($X8&lt;=20,1,0))</formula>
    </cfRule>
    <cfRule type="expression" dxfId="1934" priority="769">
      <formula>AND(IF($Q8=2,1,0),IF($X8&lt;30,1,0))</formula>
    </cfRule>
    <cfRule type="expression" dxfId="1933" priority="770">
      <formula>AND(IF($Q8=3,1,0),IF($X8&lt;30,1,0))</formula>
    </cfRule>
    <cfRule type="expression" dxfId="1932" priority="771">
      <formula>AND(IF($Q8=3,1,IF($Q8=4,1,0)),IF($F8&lt;=85,1,0))</formula>
    </cfRule>
  </conditionalFormatting>
  <conditionalFormatting sqref="AV9">
    <cfRule type="expression" dxfId="1931" priority="766">
      <formula>AV9="X"</formula>
    </cfRule>
    <cfRule type="expression" dxfId="1930" priority="767">
      <formula>AV9="후보"</formula>
    </cfRule>
  </conditionalFormatting>
  <conditionalFormatting sqref="AC9">
    <cfRule type="cellIs" dxfId="1929" priority="763" operator="greaterThan">
      <formula>0.9</formula>
    </cfRule>
    <cfRule type="cellIs" dxfId="1928" priority="764" operator="greaterThan">
      <formula>0.85</formula>
    </cfRule>
  </conditionalFormatting>
  <conditionalFormatting sqref="N9">
    <cfRule type="cellIs" dxfId="1927" priority="761" operator="greaterThan">
      <formula>0.9</formula>
    </cfRule>
    <cfRule type="cellIs" dxfId="1926" priority="762" operator="greaterThan">
      <formula>0.85</formula>
    </cfRule>
  </conditionalFormatting>
  <conditionalFormatting sqref="E9">
    <cfRule type="expression" dxfId="1925" priority="757">
      <formula>AND(IF(OR($Q9=1,$Q9=2),1,0),IF($X9&lt;=20,1,0))</formula>
    </cfRule>
    <cfRule type="expression" dxfId="1924" priority="758">
      <formula>AND(IF($Q9=2,1,0),IF($X9&lt;30,1,0))</formula>
    </cfRule>
    <cfRule type="expression" dxfId="1923" priority="759">
      <formula>AND(IF($Q9=3,1,0),IF($X9&lt;30,1,0))</formula>
    </cfRule>
    <cfRule type="expression" dxfId="1922" priority="760">
      <formula>AND(IF($Q9=3,1,IF($Q9=4,1,0)),IF($F9&lt;=85,1,0))</formula>
    </cfRule>
  </conditionalFormatting>
  <conditionalFormatting sqref="X9">
    <cfRule type="expression" dxfId="1921" priority="753">
      <formula>AND(IF(OR($Q9=1,$Q9=2),1,0),IF($X9&lt;=20,1,0))</formula>
    </cfRule>
    <cfRule type="expression" dxfId="1920" priority="754">
      <formula>AND(IF($Q9=2,1,0),IF($X9&lt;30,1,0))</formula>
    </cfRule>
    <cfRule type="expression" dxfId="1919" priority="755">
      <formula>AND(IF($Q9=3,1,0),IF($X9&lt;30,1,0))</formula>
    </cfRule>
    <cfRule type="expression" dxfId="1918" priority="756">
      <formula>AND(IF($Q9=3,1,IF($Q9=4,1,0)),IF($F9&lt;=85,1,0))</formula>
    </cfRule>
  </conditionalFormatting>
  <conditionalFormatting sqref="AI9">
    <cfRule type="expression" dxfId="1917" priority="749">
      <formula>AND(IF(OR($Q9=1,$Q9=2),1,0),IF($X9&lt;=20,1,0))</formula>
    </cfRule>
    <cfRule type="expression" dxfId="1916" priority="750">
      <formula>AND(IF($Q9=2,1,0),IF($X9&lt;30,1,0))</formula>
    </cfRule>
    <cfRule type="expression" dxfId="1915" priority="751">
      <formula>AND(IF($Q9=3,1,0),IF($X9&lt;30,1,0))</formula>
    </cfRule>
    <cfRule type="expression" dxfId="1914" priority="752">
      <formula>AND(IF($Q9=3,1,IF($Q9=4,1,0)),IF($F9&lt;=85,1,0))</formula>
    </cfRule>
  </conditionalFormatting>
  <conditionalFormatting sqref="AV10">
    <cfRule type="expression" dxfId="1913" priority="747">
      <formula>AV10="X"</formula>
    </cfRule>
    <cfRule type="expression" dxfId="1912" priority="748">
      <formula>AV10="후보"</formula>
    </cfRule>
  </conditionalFormatting>
  <conditionalFormatting sqref="AC10">
    <cfRule type="cellIs" dxfId="1911" priority="744" operator="greaterThan">
      <formula>0.9</formula>
    </cfRule>
    <cfRule type="cellIs" dxfId="1910" priority="745" operator="greaterThan">
      <formula>0.85</formula>
    </cfRule>
  </conditionalFormatting>
  <conditionalFormatting sqref="N10">
    <cfRule type="cellIs" dxfId="1909" priority="742" operator="greaterThan">
      <formula>0.9</formula>
    </cfRule>
    <cfRule type="cellIs" dxfId="1908" priority="743" operator="greaterThan">
      <formula>0.85</formula>
    </cfRule>
  </conditionalFormatting>
  <conditionalFormatting sqref="E10">
    <cfRule type="expression" dxfId="1907" priority="738">
      <formula>AND(IF(OR($Q10=1,$Q10=2),1,0),IF($X10&lt;=20,1,0))</formula>
    </cfRule>
    <cfRule type="expression" dxfId="1906" priority="739">
      <formula>AND(IF($Q10=2,1,0),IF($X10&lt;30,1,0))</formula>
    </cfRule>
    <cfRule type="expression" dxfId="1905" priority="740">
      <formula>AND(IF($Q10=3,1,0),IF($X10&lt;30,1,0))</formula>
    </cfRule>
    <cfRule type="expression" dxfId="1904" priority="741">
      <formula>AND(IF($Q10=3,1,IF($Q10=4,1,0)),IF($F10&lt;=85,1,0))</formula>
    </cfRule>
  </conditionalFormatting>
  <conditionalFormatting sqref="X10">
    <cfRule type="expression" dxfId="1903" priority="734">
      <formula>AND(IF(OR($Q10=1,$Q10=2),1,0),IF($X10&lt;=20,1,0))</formula>
    </cfRule>
    <cfRule type="expression" dxfId="1902" priority="735">
      <formula>AND(IF($Q10=2,1,0),IF($X10&lt;30,1,0))</formula>
    </cfRule>
    <cfRule type="expression" dxfId="1901" priority="736">
      <formula>AND(IF($Q10=3,1,0),IF($X10&lt;30,1,0))</formula>
    </cfRule>
    <cfRule type="expression" dxfId="1900" priority="737">
      <formula>AND(IF($Q10=3,1,IF($Q10=4,1,0)),IF($F10&lt;=85,1,0))</formula>
    </cfRule>
  </conditionalFormatting>
  <conditionalFormatting sqref="AI10">
    <cfRule type="expression" dxfId="1899" priority="730">
      <formula>AND(IF(OR($Q10=1,$Q10=2),1,0),IF($X10&lt;=20,1,0))</formula>
    </cfRule>
    <cfRule type="expression" dxfId="1898" priority="731">
      <formula>AND(IF($Q10=2,1,0),IF($X10&lt;30,1,0))</formula>
    </cfRule>
    <cfRule type="expression" dxfId="1897" priority="732">
      <formula>AND(IF($Q10=3,1,0),IF($X10&lt;30,1,0))</formula>
    </cfRule>
    <cfRule type="expression" dxfId="1896" priority="733">
      <formula>AND(IF($Q10=3,1,IF($Q10=4,1,0)),IF($F10&lt;=85,1,0))</formula>
    </cfRule>
  </conditionalFormatting>
  <conditionalFormatting sqref="AV11">
    <cfRule type="expression" dxfId="1895" priority="728">
      <formula>AV11="X"</formula>
    </cfRule>
    <cfRule type="expression" dxfId="1894" priority="729">
      <formula>AV11="후보"</formula>
    </cfRule>
  </conditionalFormatting>
  <conditionalFormatting sqref="AC11">
    <cfRule type="cellIs" dxfId="1893" priority="725" operator="greaterThan">
      <formula>0.9</formula>
    </cfRule>
    <cfRule type="cellIs" dxfId="1892" priority="726" operator="greaterThan">
      <formula>0.85</formula>
    </cfRule>
  </conditionalFormatting>
  <conditionalFormatting sqref="N11">
    <cfRule type="cellIs" dxfId="1891" priority="723" operator="greaterThan">
      <formula>0.9</formula>
    </cfRule>
    <cfRule type="cellIs" dxfId="1890" priority="724" operator="greaterThan">
      <formula>0.85</formula>
    </cfRule>
  </conditionalFormatting>
  <conditionalFormatting sqref="E11">
    <cfRule type="expression" dxfId="1889" priority="719">
      <formula>AND(IF(OR($Q11=1,$Q11=2),1,0),IF($X11&lt;=20,1,0))</formula>
    </cfRule>
    <cfRule type="expression" dxfId="1888" priority="720">
      <formula>AND(IF($Q11=2,1,0),IF($X11&lt;30,1,0))</formula>
    </cfRule>
    <cfRule type="expression" dxfId="1887" priority="721">
      <formula>AND(IF($Q11=3,1,0),IF($X11&lt;30,1,0))</formula>
    </cfRule>
    <cfRule type="expression" dxfId="1886" priority="722">
      <formula>AND(IF($Q11=3,1,IF($Q11=4,1,0)),IF($F11&lt;=85,1,0))</formula>
    </cfRule>
  </conditionalFormatting>
  <conditionalFormatting sqref="X11">
    <cfRule type="expression" dxfId="1885" priority="715">
      <formula>AND(IF(OR($Q11=1,$Q11=2),1,0),IF($X11&lt;=20,1,0))</formula>
    </cfRule>
    <cfRule type="expression" dxfId="1884" priority="716">
      <formula>AND(IF($Q11=2,1,0),IF($X11&lt;30,1,0))</formula>
    </cfRule>
    <cfRule type="expression" dxfId="1883" priority="717">
      <formula>AND(IF($Q11=3,1,0),IF($X11&lt;30,1,0))</formula>
    </cfRule>
    <cfRule type="expression" dxfId="1882" priority="718">
      <formula>AND(IF($Q11=3,1,IF($Q11=4,1,0)),IF($F11&lt;=85,1,0))</formula>
    </cfRule>
  </conditionalFormatting>
  <conditionalFormatting sqref="AI11">
    <cfRule type="expression" dxfId="1881" priority="711">
      <formula>AND(IF(OR($Q11=1,$Q11=2),1,0),IF($X11&lt;=20,1,0))</formula>
    </cfRule>
    <cfRule type="expression" dxfId="1880" priority="712">
      <formula>AND(IF($Q11=2,1,0),IF($X11&lt;30,1,0))</formula>
    </cfRule>
    <cfRule type="expression" dxfId="1879" priority="713">
      <formula>AND(IF($Q11=3,1,0),IF($X11&lt;30,1,0))</formula>
    </cfRule>
    <cfRule type="expression" dxfId="1878" priority="714">
      <formula>AND(IF($Q11=3,1,IF($Q11=4,1,0)),IF($F11&lt;=85,1,0))</formula>
    </cfRule>
  </conditionalFormatting>
  <conditionalFormatting sqref="AV12">
    <cfRule type="expression" dxfId="1877" priority="709">
      <formula>AV12="X"</formula>
    </cfRule>
    <cfRule type="expression" dxfId="1876" priority="710">
      <formula>AV12="후보"</formula>
    </cfRule>
  </conditionalFormatting>
  <conditionalFormatting sqref="AC12">
    <cfRule type="cellIs" dxfId="1875" priority="706" operator="greaterThan">
      <formula>0.9</formula>
    </cfRule>
    <cfRule type="cellIs" dxfId="1874" priority="707" operator="greaterThan">
      <formula>0.85</formula>
    </cfRule>
  </conditionalFormatting>
  <conditionalFormatting sqref="N12">
    <cfRule type="cellIs" dxfId="1873" priority="704" operator="greaterThan">
      <formula>0.9</formula>
    </cfRule>
    <cfRule type="cellIs" dxfId="1872" priority="705" operator="greaterThan">
      <formula>0.85</formula>
    </cfRule>
  </conditionalFormatting>
  <conditionalFormatting sqref="E12">
    <cfRule type="expression" dxfId="1871" priority="700">
      <formula>AND(IF(OR($Q12=1,$Q12=2),1,0),IF($X12&lt;=20,1,0))</formula>
    </cfRule>
    <cfRule type="expression" dxfId="1870" priority="701">
      <formula>AND(IF($Q12=2,1,0),IF($X12&lt;30,1,0))</formula>
    </cfRule>
    <cfRule type="expression" dxfId="1869" priority="702">
      <formula>AND(IF($Q12=3,1,0),IF($X12&lt;30,1,0))</formula>
    </cfRule>
    <cfRule type="expression" dxfId="1868" priority="703">
      <formula>AND(IF($Q12=3,1,IF($Q12=4,1,0)),IF($F12&lt;=85,1,0))</formula>
    </cfRule>
  </conditionalFormatting>
  <conditionalFormatting sqref="X12">
    <cfRule type="expression" dxfId="1867" priority="696">
      <formula>AND(IF(OR($Q12=1,$Q12=2),1,0),IF($X12&lt;=20,1,0))</formula>
    </cfRule>
    <cfRule type="expression" dxfId="1866" priority="697">
      <formula>AND(IF($Q12=2,1,0),IF($X12&lt;30,1,0))</formula>
    </cfRule>
    <cfRule type="expression" dxfId="1865" priority="698">
      <formula>AND(IF($Q12=3,1,0),IF($X12&lt;30,1,0))</formula>
    </cfRule>
    <cfRule type="expression" dxfId="1864" priority="699">
      <formula>AND(IF($Q12=3,1,IF($Q12=4,1,0)),IF($F12&lt;=85,1,0))</formula>
    </cfRule>
  </conditionalFormatting>
  <conditionalFormatting sqref="AI12">
    <cfRule type="expression" dxfId="1863" priority="692">
      <formula>AND(IF(OR($Q12=1,$Q12=2),1,0),IF($X12&lt;=20,1,0))</formula>
    </cfRule>
    <cfRule type="expression" dxfId="1862" priority="693">
      <formula>AND(IF($Q12=2,1,0),IF($X12&lt;30,1,0))</formula>
    </cfRule>
    <cfRule type="expression" dxfId="1861" priority="694">
      <formula>AND(IF($Q12=3,1,0),IF($X12&lt;30,1,0))</formula>
    </cfRule>
    <cfRule type="expression" dxfId="1860" priority="695">
      <formula>AND(IF($Q12=3,1,IF($Q12=4,1,0)),IF($F12&lt;=85,1,0))</formula>
    </cfRule>
  </conditionalFormatting>
  <conditionalFormatting sqref="AV13">
    <cfRule type="expression" dxfId="1859" priority="690">
      <formula>AV13="X"</formula>
    </cfRule>
    <cfRule type="expression" dxfId="1858" priority="691">
      <formula>AV13="후보"</formula>
    </cfRule>
  </conditionalFormatting>
  <conditionalFormatting sqref="AC13">
    <cfRule type="cellIs" dxfId="1857" priority="687" operator="greaterThan">
      <formula>0.9</formula>
    </cfRule>
    <cfRule type="cellIs" dxfId="1856" priority="688" operator="greaterThan">
      <formula>0.85</formula>
    </cfRule>
  </conditionalFormatting>
  <conditionalFormatting sqref="N13">
    <cfRule type="cellIs" dxfId="1855" priority="685" operator="greaterThan">
      <formula>0.9</formula>
    </cfRule>
    <cfRule type="cellIs" dxfId="1854" priority="686" operator="greaterThan">
      <formula>0.85</formula>
    </cfRule>
  </conditionalFormatting>
  <conditionalFormatting sqref="E13">
    <cfRule type="expression" dxfId="1853" priority="681">
      <formula>AND(IF(OR($Q13=1,$Q13=2),1,0),IF($X13&lt;=20,1,0))</formula>
    </cfRule>
    <cfRule type="expression" dxfId="1852" priority="682">
      <formula>AND(IF($Q13=2,1,0),IF($X13&lt;30,1,0))</formula>
    </cfRule>
    <cfRule type="expression" dxfId="1851" priority="683">
      <formula>AND(IF($Q13=3,1,0),IF($X13&lt;30,1,0))</formula>
    </cfRule>
    <cfRule type="expression" dxfId="1850" priority="684">
      <formula>AND(IF($Q13=3,1,IF($Q13=4,1,0)),IF($F13&lt;=85,1,0))</formula>
    </cfRule>
  </conditionalFormatting>
  <conditionalFormatting sqref="X13">
    <cfRule type="expression" dxfId="1849" priority="677">
      <formula>AND(IF(OR($Q13=1,$Q13=2),1,0),IF($X13&lt;=20,1,0))</formula>
    </cfRule>
    <cfRule type="expression" dxfId="1848" priority="678">
      <formula>AND(IF($Q13=2,1,0),IF($X13&lt;30,1,0))</formula>
    </cfRule>
    <cfRule type="expression" dxfId="1847" priority="679">
      <formula>AND(IF($Q13=3,1,0),IF($X13&lt;30,1,0))</formula>
    </cfRule>
    <cfRule type="expression" dxfId="1846" priority="680">
      <formula>AND(IF($Q13=3,1,IF($Q13=4,1,0)),IF($F13&lt;=85,1,0))</formula>
    </cfRule>
  </conditionalFormatting>
  <conditionalFormatting sqref="AI13">
    <cfRule type="expression" dxfId="1845" priority="673">
      <formula>AND(IF(OR($Q13=1,$Q13=2),1,0),IF($X13&lt;=20,1,0))</formula>
    </cfRule>
    <cfRule type="expression" dxfId="1844" priority="674">
      <formula>AND(IF($Q13=2,1,0),IF($X13&lt;30,1,0))</formula>
    </cfRule>
    <cfRule type="expression" dxfId="1843" priority="675">
      <formula>AND(IF($Q13=3,1,0),IF($X13&lt;30,1,0))</formula>
    </cfRule>
    <cfRule type="expression" dxfId="1842" priority="676">
      <formula>AND(IF($Q13=3,1,IF($Q13=4,1,0)),IF($F13&lt;=85,1,0))</formula>
    </cfRule>
  </conditionalFormatting>
  <conditionalFormatting sqref="AV14">
    <cfRule type="expression" dxfId="1841" priority="671">
      <formula>AV14="X"</formula>
    </cfRule>
    <cfRule type="expression" dxfId="1840" priority="672">
      <formula>AV14="후보"</formula>
    </cfRule>
  </conditionalFormatting>
  <conditionalFormatting sqref="AC14">
    <cfRule type="cellIs" dxfId="1839" priority="668" operator="greaterThan">
      <formula>0.9</formula>
    </cfRule>
    <cfRule type="cellIs" dxfId="1838" priority="669" operator="greaterThan">
      <formula>0.85</formula>
    </cfRule>
  </conditionalFormatting>
  <conditionalFormatting sqref="N14">
    <cfRule type="cellIs" dxfId="1837" priority="666" operator="greaterThan">
      <formula>0.9</formula>
    </cfRule>
    <cfRule type="cellIs" dxfId="1836" priority="667" operator="greaterThan">
      <formula>0.85</formula>
    </cfRule>
  </conditionalFormatting>
  <conditionalFormatting sqref="E14">
    <cfRule type="expression" dxfId="1835" priority="662">
      <formula>AND(IF(OR($Q14=1,$Q14=2),1,0),IF($X14&lt;=20,1,0))</formula>
    </cfRule>
    <cfRule type="expression" dxfId="1834" priority="663">
      <formula>AND(IF($Q14=2,1,0),IF($X14&lt;30,1,0))</formula>
    </cfRule>
    <cfRule type="expression" dxfId="1833" priority="664">
      <formula>AND(IF($Q14=3,1,0),IF($X14&lt;30,1,0))</formula>
    </cfRule>
    <cfRule type="expression" dxfId="1832" priority="665">
      <formula>AND(IF($Q14=3,1,IF($Q14=4,1,0)),IF($F14&lt;=85,1,0))</formula>
    </cfRule>
  </conditionalFormatting>
  <conditionalFormatting sqref="X14">
    <cfRule type="expression" dxfId="1831" priority="658">
      <formula>AND(IF(OR($Q14=1,$Q14=2),1,0),IF($X14&lt;=20,1,0))</formula>
    </cfRule>
    <cfRule type="expression" dxfId="1830" priority="659">
      <formula>AND(IF($Q14=2,1,0),IF($X14&lt;30,1,0))</formula>
    </cfRule>
    <cfRule type="expression" dxfId="1829" priority="660">
      <formula>AND(IF($Q14=3,1,0),IF($X14&lt;30,1,0))</formula>
    </cfRule>
    <cfRule type="expression" dxfId="1828" priority="661">
      <formula>AND(IF($Q14=3,1,IF($Q14=4,1,0)),IF($F14&lt;=85,1,0))</formula>
    </cfRule>
  </conditionalFormatting>
  <conditionalFormatting sqref="AI14">
    <cfRule type="expression" dxfId="1827" priority="654">
      <formula>AND(IF(OR($Q14=1,$Q14=2),1,0),IF($X14&lt;=20,1,0))</formula>
    </cfRule>
    <cfRule type="expression" dxfId="1826" priority="655">
      <formula>AND(IF($Q14=2,1,0),IF($X14&lt;30,1,0))</formula>
    </cfRule>
    <cfRule type="expression" dxfId="1825" priority="656">
      <formula>AND(IF($Q14=3,1,0),IF($X14&lt;30,1,0))</formula>
    </cfRule>
    <cfRule type="expression" dxfId="1824" priority="657">
      <formula>AND(IF($Q14=3,1,IF($Q14=4,1,0)),IF($F14&lt;=85,1,0))</formula>
    </cfRule>
  </conditionalFormatting>
  <conditionalFormatting sqref="AV15">
    <cfRule type="expression" dxfId="1823" priority="652">
      <formula>AV15="X"</formula>
    </cfRule>
    <cfRule type="expression" dxfId="1822" priority="653">
      <formula>AV15="후보"</formula>
    </cfRule>
  </conditionalFormatting>
  <conditionalFormatting sqref="AC15 N15">
    <cfRule type="cellIs" dxfId="1821" priority="649" operator="greaterThan">
      <formula>0.9</formula>
    </cfRule>
    <cfRule type="cellIs" dxfId="1820" priority="650" operator="greaterThan">
      <formula>0.85</formula>
    </cfRule>
  </conditionalFormatting>
  <conditionalFormatting sqref="AV16">
    <cfRule type="expression" dxfId="1819" priority="647">
      <formula>AV16="X"</formula>
    </cfRule>
    <cfRule type="expression" dxfId="1818" priority="648">
      <formula>AV16="후보"</formula>
    </cfRule>
  </conditionalFormatting>
  <conditionalFormatting sqref="AC16">
    <cfRule type="cellIs" dxfId="1817" priority="644" operator="greaterThan">
      <formula>0.9</formula>
    </cfRule>
    <cfRule type="cellIs" dxfId="1816" priority="645" operator="greaterThan">
      <formula>0.85</formula>
    </cfRule>
  </conditionalFormatting>
  <conditionalFormatting sqref="N16">
    <cfRule type="cellIs" dxfId="1815" priority="642" operator="greaterThan">
      <formula>0.9</formula>
    </cfRule>
    <cfRule type="cellIs" dxfId="1814" priority="643" operator="greaterThan">
      <formula>0.85</formula>
    </cfRule>
  </conditionalFormatting>
  <conditionalFormatting sqref="E16">
    <cfRule type="expression" dxfId="1813" priority="638">
      <formula>AND(IF(OR($Q16=1,$Q16=2),1,0),IF($X16&lt;=20,1,0))</formula>
    </cfRule>
    <cfRule type="expression" dxfId="1812" priority="639">
      <formula>AND(IF($Q16=2,1,0),IF($X16&lt;30,1,0))</formula>
    </cfRule>
    <cfRule type="expression" dxfId="1811" priority="640">
      <formula>AND(IF($Q16=3,1,0),IF($X16&lt;30,1,0))</formula>
    </cfRule>
    <cfRule type="expression" dxfId="1810" priority="641">
      <formula>AND(IF($Q16=3,1,IF($Q16=4,1,0)),IF($F16&lt;=85,1,0))</formula>
    </cfRule>
  </conditionalFormatting>
  <conditionalFormatting sqref="X16">
    <cfRule type="expression" dxfId="1809" priority="634">
      <formula>AND(IF(OR($Q16=1,$Q16=2),1,0),IF($X16&lt;=20,1,0))</formula>
    </cfRule>
    <cfRule type="expression" dxfId="1808" priority="635">
      <formula>AND(IF($Q16=2,1,0),IF($X16&lt;30,1,0))</formula>
    </cfRule>
    <cfRule type="expression" dxfId="1807" priority="636">
      <formula>AND(IF($Q16=3,1,0),IF($X16&lt;30,1,0))</formula>
    </cfRule>
    <cfRule type="expression" dxfId="1806" priority="637">
      <formula>AND(IF($Q16=3,1,IF($Q16=4,1,0)),IF($F16&lt;=85,1,0))</formula>
    </cfRule>
  </conditionalFormatting>
  <conditionalFormatting sqref="AI16">
    <cfRule type="expression" dxfId="1805" priority="630">
      <formula>AND(IF(OR($Q16=1,$Q16=2),1,0),IF($X16&lt;=20,1,0))</formula>
    </cfRule>
    <cfRule type="expression" dxfId="1804" priority="631">
      <formula>AND(IF($Q16=2,1,0),IF($X16&lt;30,1,0))</formula>
    </cfRule>
    <cfRule type="expression" dxfId="1803" priority="632">
      <formula>AND(IF($Q16=3,1,0),IF($X16&lt;30,1,0))</formula>
    </cfRule>
    <cfRule type="expression" dxfId="1802" priority="633">
      <formula>AND(IF($Q16=3,1,IF($Q16=4,1,0)),IF($F16&lt;=85,1,0))</formula>
    </cfRule>
  </conditionalFormatting>
  <conditionalFormatting sqref="AV17">
    <cfRule type="expression" dxfId="1801" priority="628">
      <formula>AV17="X"</formula>
    </cfRule>
    <cfRule type="expression" dxfId="1800" priority="629">
      <formula>AV17="후보"</formula>
    </cfRule>
  </conditionalFormatting>
  <conditionalFormatting sqref="AC17 N17">
    <cfRule type="cellIs" dxfId="1799" priority="625" operator="greaterThan">
      <formula>0.9</formula>
    </cfRule>
    <cfRule type="cellIs" dxfId="1798" priority="626" operator="greaterThan">
      <formula>0.85</formula>
    </cfRule>
  </conditionalFormatting>
  <conditionalFormatting sqref="AV18">
    <cfRule type="expression" dxfId="1797" priority="623">
      <formula>AV18="X"</formula>
    </cfRule>
    <cfRule type="expression" dxfId="1796" priority="624">
      <formula>AV18="후보"</formula>
    </cfRule>
  </conditionalFormatting>
  <conditionalFormatting sqref="AC18">
    <cfRule type="cellIs" dxfId="1795" priority="620" operator="greaterThan">
      <formula>0.9</formula>
    </cfRule>
    <cfRule type="cellIs" dxfId="1794" priority="621" operator="greaterThan">
      <formula>0.85</formula>
    </cfRule>
  </conditionalFormatting>
  <conditionalFormatting sqref="N18">
    <cfRule type="cellIs" dxfId="1793" priority="618" operator="greaterThan">
      <formula>0.9</formula>
    </cfRule>
    <cfRule type="cellIs" dxfId="1792" priority="619" operator="greaterThan">
      <formula>0.85</formula>
    </cfRule>
  </conditionalFormatting>
  <conditionalFormatting sqref="E18">
    <cfRule type="expression" dxfId="1791" priority="614">
      <formula>AND(IF(OR($Q18=1,$Q18=2),1,0),IF($X18&lt;=20,1,0))</formula>
    </cfRule>
    <cfRule type="expression" dxfId="1790" priority="615">
      <formula>AND(IF($Q18=2,1,0),IF($X18&lt;30,1,0))</formula>
    </cfRule>
    <cfRule type="expression" dxfId="1789" priority="616">
      <formula>AND(IF($Q18=3,1,0),IF($X18&lt;30,1,0))</formula>
    </cfRule>
    <cfRule type="expression" dxfId="1788" priority="617">
      <formula>AND(IF($Q18=3,1,IF($Q18=4,1,0)),IF($F18&lt;=85,1,0))</formula>
    </cfRule>
  </conditionalFormatting>
  <conditionalFormatting sqref="X18">
    <cfRule type="expression" dxfId="1787" priority="610">
      <formula>AND(IF(OR($Q18=1,$Q18=2),1,0),IF($X18&lt;=20,1,0))</formula>
    </cfRule>
    <cfRule type="expression" dxfId="1786" priority="611">
      <formula>AND(IF($Q18=2,1,0),IF($X18&lt;30,1,0))</formula>
    </cfRule>
    <cfRule type="expression" dxfId="1785" priority="612">
      <formula>AND(IF($Q18=3,1,0),IF($X18&lt;30,1,0))</formula>
    </cfRule>
    <cfRule type="expression" dxfId="1784" priority="613">
      <formula>AND(IF($Q18=3,1,IF($Q18=4,1,0)),IF($F18&lt;=85,1,0))</formula>
    </cfRule>
  </conditionalFormatting>
  <conditionalFormatting sqref="AI18">
    <cfRule type="expression" dxfId="1783" priority="606">
      <formula>AND(IF(OR($Q18=1,$Q18=2),1,0),IF($X18&lt;=20,1,0))</formula>
    </cfRule>
    <cfRule type="expression" dxfId="1782" priority="607">
      <formula>AND(IF($Q18=2,1,0),IF($X18&lt;30,1,0))</formula>
    </cfRule>
    <cfRule type="expression" dxfId="1781" priority="608">
      <formula>AND(IF($Q18=3,1,0),IF($X18&lt;30,1,0))</formula>
    </cfRule>
    <cfRule type="expression" dxfId="1780" priority="609">
      <formula>AND(IF($Q18=3,1,IF($Q18=4,1,0)),IF($F18&lt;=85,1,0))</formula>
    </cfRule>
  </conditionalFormatting>
  <conditionalFormatting sqref="AV19">
    <cfRule type="expression" dxfId="1779" priority="604">
      <formula>AV19="X"</formula>
    </cfRule>
    <cfRule type="expression" dxfId="1778" priority="605">
      <formula>AV19="후보"</formula>
    </cfRule>
  </conditionalFormatting>
  <conditionalFormatting sqref="AC19">
    <cfRule type="cellIs" dxfId="1777" priority="601" operator="greaterThan">
      <formula>0.9</formula>
    </cfRule>
    <cfRule type="cellIs" dxfId="1776" priority="602" operator="greaterThan">
      <formula>0.85</formula>
    </cfRule>
  </conditionalFormatting>
  <conditionalFormatting sqref="N19">
    <cfRule type="cellIs" dxfId="1775" priority="599" operator="greaterThan">
      <formula>0.9</formula>
    </cfRule>
    <cfRule type="cellIs" dxfId="1774" priority="600" operator="greaterThan">
      <formula>0.85</formula>
    </cfRule>
  </conditionalFormatting>
  <conditionalFormatting sqref="E19">
    <cfRule type="expression" dxfId="1773" priority="595">
      <formula>AND(IF(OR($Q19=1,$Q19=2),1,0),IF($X19&lt;=20,1,0))</formula>
    </cfRule>
    <cfRule type="expression" dxfId="1772" priority="596">
      <formula>AND(IF($Q19=2,1,0),IF($X19&lt;30,1,0))</formula>
    </cfRule>
    <cfRule type="expression" dxfId="1771" priority="597">
      <formula>AND(IF($Q19=3,1,0),IF($X19&lt;30,1,0))</formula>
    </cfRule>
    <cfRule type="expression" dxfId="1770" priority="598">
      <formula>AND(IF($Q19=3,1,IF($Q19=4,1,0)),IF($F19&lt;=85,1,0))</formula>
    </cfRule>
  </conditionalFormatting>
  <conditionalFormatting sqref="X19">
    <cfRule type="expression" dxfId="1769" priority="591">
      <formula>AND(IF(OR($Q19=1,$Q19=2),1,0),IF($X19&lt;=20,1,0))</formula>
    </cfRule>
    <cfRule type="expression" dxfId="1768" priority="592">
      <formula>AND(IF($Q19=2,1,0),IF($X19&lt;30,1,0))</formula>
    </cfRule>
    <cfRule type="expression" dxfId="1767" priority="593">
      <formula>AND(IF($Q19=3,1,0),IF($X19&lt;30,1,0))</formula>
    </cfRule>
    <cfRule type="expression" dxfId="1766" priority="594">
      <formula>AND(IF($Q19=3,1,IF($Q19=4,1,0)),IF($F19&lt;=85,1,0))</formula>
    </cfRule>
  </conditionalFormatting>
  <conditionalFormatting sqref="AI19">
    <cfRule type="expression" dxfId="1765" priority="587">
      <formula>AND(IF(OR($Q19=1,$Q19=2),1,0),IF($X19&lt;=20,1,0))</formula>
    </cfRule>
    <cfRule type="expression" dxfId="1764" priority="588">
      <formula>AND(IF($Q19=2,1,0),IF($X19&lt;30,1,0))</formula>
    </cfRule>
    <cfRule type="expression" dxfId="1763" priority="589">
      <formula>AND(IF($Q19=3,1,0),IF($X19&lt;30,1,0))</formula>
    </cfRule>
    <cfRule type="expression" dxfId="1762" priority="590">
      <formula>AND(IF($Q19=3,1,IF($Q19=4,1,0)),IF($F19&lt;=85,1,0))</formula>
    </cfRule>
  </conditionalFormatting>
  <conditionalFormatting sqref="AV20">
    <cfRule type="expression" dxfId="1761" priority="585">
      <formula>AV20="X"</formula>
    </cfRule>
    <cfRule type="expression" dxfId="1760" priority="586">
      <formula>AV20="후보"</formula>
    </cfRule>
  </conditionalFormatting>
  <conditionalFormatting sqref="AC20">
    <cfRule type="cellIs" dxfId="1759" priority="582" operator="greaterThan">
      <formula>0.9</formula>
    </cfRule>
    <cfRule type="cellIs" dxfId="1758" priority="583" operator="greaterThan">
      <formula>0.85</formula>
    </cfRule>
  </conditionalFormatting>
  <conditionalFormatting sqref="N20">
    <cfRule type="cellIs" dxfId="1757" priority="580" operator="greaterThan">
      <formula>0.9</formula>
    </cfRule>
    <cfRule type="cellIs" dxfId="1756" priority="581" operator="greaterThan">
      <formula>0.85</formula>
    </cfRule>
  </conditionalFormatting>
  <conditionalFormatting sqref="E20">
    <cfRule type="expression" dxfId="1755" priority="576">
      <formula>AND(IF(OR($Q20=1,$Q20=2),1,0),IF($X20&lt;=20,1,0))</formula>
    </cfRule>
    <cfRule type="expression" dxfId="1754" priority="577">
      <formula>AND(IF($Q20=2,1,0),IF($X20&lt;30,1,0))</formula>
    </cfRule>
    <cfRule type="expression" dxfId="1753" priority="578">
      <formula>AND(IF($Q20=3,1,0),IF($X20&lt;30,1,0))</formula>
    </cfRule>
    <cfRule type="expression" dxfId="1752" priority="579">
      <formula>AND(IF($Q20=3,1,IF($Q20=4,1,0)),IF($F20&lt;=85,1,0))</formula>
    </cfRule>
  </conditionalFormatting>
  <conditionalFormatting sqref="X20">
    <cfRule type="expression" dxfId="1751" priority="572">
      <formula>AND(IF(OR($Q20=1,$Q20=2),1,0),IF($X20&lt;=20,1,0))</formula>
    </cfRule>
    <cfRule type="expression" dxfId="1750" priority="573">
      <formula>AND(IF($Q20=2,1,0),IF($X20&lt;30,1,0))</formula>
    </cfRule>
    <cfRule type="expression" dxfId="1749" priority="574">
      <formula>AND(IF($Q20=3,1,0),IF($X20&lt;30,1,0))</formula>
    </cfRule>
    <cfRule type="expression" dxfId="1748" priority="575">
      <formula>AND(IF($Q20=3,1,IF($Q20=4,1,0)),IF($F20&lt;=85,1,0))</formula>
    </cfRule>
  </conditionalFormatting>
  <conditionalFormatting sqref="AI20">
    <cfRule type="expression" dxfId="1747" priority="568">
      <formula>AND(IF(OR($Q20=1,$Q20=2),1,0),IF($X20&lt;=20,1,0))</formula>
    </cfRule>
    <cfRule type="expression" dxfId="1746" priority="569">
      <formula>AND(IF($Q20=2,1,0),IF($X20&lt;30,1,0))</formula>
    </cfRule>
    <cfRule type="expression" dxfId="1745" priority="570">
      <formula>AND(IF($Q20=3,1,0),IF($X20&lt;30,1,0))</formula>
    </cfRule>
    <cfRule type="expression" dxfId="1744" priority="571">
      <formula>AND(IF($Q20=3,1,IF($Q20=4,1,0)),IF($F20&lt;=85,1,0))</formula>
    </cfRule>
  </conditionalFormatting>
  <conditionalFormatting sqref="AV21">
    <cfRule type="expression" dxfId="1743" priority="566">
      <formula>AV21="X"</formula>
    </cfRule>
    <cfRule type="expression" dxfId="1742" priority="567">
      <formula>AV21="후보"</formula>
    </cfRule>
  </conditionalFormatting>
  <conditionalFormatting sqref="AC21">
    <cfRule type="cellIs" dxfId="1741" priority="563" operator="greaterThan">
      <formula>0.9</formula>
    </cfRule>
    <cfRule type="cellIs" dxfId="1740" priority="564" operator="greaterThan">
      <formula>0.85</formula>
    </cfRule>
  </conditionalFormatting>
  <conditionalFormatting sqref="N21">
    <cfRule type="cellIs" dxfId="1739" priority="561" operator="greaterThan">
      <formula>0.9</formula>
    </cfRule>
    <cfRule type="cellIs" dxfId="1738" priority="562" operator="greaterThan">
      <formula>0.85</formula>
    </cfRule>
  </conditionalFormatting>
  <conditionalFormatting sqref="E21">
    <cfRule type="expression" dxfId="1737" priority="557">
      <formula>AND(IF(OR($Q21=1,$Q21=2),1,0),IF($X21&lt;=20,1,0))</formula>
    </cfRule>
    <cfRule type="expression" dxfId="1736" priority="558">
      <formula>AND(IF($Q21=2,1,0),IF($X21&lt;30,1,0))</formula>
    </cfRule>
    <cfRule type="expression" dxfId="1735" priority="559">
      <formula>AND(IF($Q21=3,1,0),IF($X21&lt;30,1,0))</formula>
    </cfRule>
    <cfRule type="expression" dxfId="1734" priority="560">
      <formula>AND(IF($Q21=3,1,IF($Q21=4,1,0)),IF($F21&lt;=85,1,0))</formula>
    </cfRule>
  </conditionalFormatting>
  <conditionalFormatting sqref="X21">
    <cfRule type="expression" dxfId="1733" priority="553">
      <formula>AND(IF(OR($Q21=1,$Q21=2),1,0),IF($X21&lt;=20,1,0))</formula>
    </cfRule>
    <cfRule type="expression" dxfId="1732" priority="554">
      <formula>AND(IF($Q21=2,1,0),IF($X21&lt;30,1,0))</formula>
    </cfRule>
    <cfRule type="expression" dxfId="1731" priority="555">
      <formula>AND(IF($Q21=3,1,0),IF($X21&lt;30,1,0))</formula>
    </cfRule>
    <cfRule type="expression" dxfId="1730" priority="556">
      <formula>AND(IF($Q21=3,1,IF($Q21=4,1,0)),IF($F21&lt;=85,1,0))</formula>
    </cfRule>
  </conditionalFormatting>
  <conditionalFormatting sqref="AI21">
    <cfRule type="expression" dxfId="1729" priority="549">
      <formula>AND(IF(OR($Q21=1,$Q21=2),1,0),IF($X21&lt;=20,1,0))</formula>
    </cfRule>
    <cfRule type="expression" dxfId="1728" priority="550">
      <formula>AND(IF($Q21=2,1,0),IF($X21&lt;30,1,0))</formula>
    </cfRule>
    <cfRule type="expression" dxfId="1727" priority="551">
      <formula>AND(IF($Q21=3,1,0),IF($X21&lt;30,1,0))</formula>
    </cfRule>
    <cfRule type="expression" dxfId="1726" priority="552">
      <formula>AND(IF($Q21=3,1,IF($Q21=4,1,0)),IF($F21&lt;=85,1,0))</formula>
    </cfRule>
  </conditionalFormatting>
  <conditionalFormatting sqref="AV22">
    <cfRule type="expression" dxfId="1725" priority="547">
      <formula>AV22="X"</formula>
    </cfRule>
    <cfRule type="expression" dxfId="1724" priority="548">
      <formula>AV22="후보"</formula>
    </cfRule>
  </conditionalFormatting>
  <conditionalFormatting sqref="AC22">
    <cfRule type="cellIs" dxfId="1723" priority="544" operator="greaterThan">
      <formula>0.9</formula>
    </cfRule>
    <cfRule type="cellIs" dxfId="1722" priority="545" operator="greaterThan">
      <formula>0.85</formula>
    </cfRule>
  </conditionalFormatting>
  <conditionalFormatting sqref="N22">
    <cfRule type="cellIs" dxfId="1721" priority="542" operator="greaterThan">
      <formula>0.9</formula>
    </cfRule>
    <cfRule type="cellIs" dxfId="1720" priority="543" operator="greaterThan">
      <formula>0.85</formula>
    </cfRule>
  </conditionalFormatting>
  <conditionalFormatting sqref="E22">
    <cfRule type="expression" dxfId="1719" priority="538">
      <formula>AND(IF(OR($Q22=1,$Q22=2),1,0),IF($X22&lt;=20,1,0))</formula>
    </cfRule>
    <cfRule type="expression" dxfId="1718" priority="539">
      <formula>AND(IF($Q22=2,1,0),IF($X22&lt;30,1,0))</formula>
    </cfRule>
    <cfRule type="expression" dxfId="1717" priority="540">
      <formula>AND(IF($Q22=3,1,0),IF($X22&lt;30,1,0))</formula>
    </cfRule>
    <cfRule type="expression" dxfId="1716" priority="541">
      <formula>AND(IF($Q22=3,1,IF($Q22=4,1,0)),IF($F22&lt;=85,1,0))</formula>
    </cfRule>
  </conditionalFormatting>
  <conditionalFormatting sqref="X22">
    <cfRule type="expression" dxfId="1715" priority="534">
      <formula>AND(IF(OR($Q22=1,$Q22=2),1,0),IF($X22&lt;=20,1,0))</formula>
    </cfRule>
    <cfRule type="expression" dxfId="1714" priority="535">
      <formula>AND(IF($Q22=2,1,0),IF($X22&lt;30,1,0))</formula>
    </cfRule>
    <cfRule type="expression" dxfId="1713" priority="536">
      <formula>AND(IF($Q22=3,1,0),IF($X22&lt;30,1,0))</formula>
    </cfRule>
    <cfRule type="expression" dxfId="1712" priority="537">
      <formula>AND(IF($Q22=3,1,IF($Q22=4,1,0)),IF($F22&lt;=85,1,0))</formula>
    </cfRule>
  </conditionalFormatting>
  <conditionalFormatting sqref="AI22">
    <cfRule type="expression" dxfId="1711" priority="530">
      <formula>AND(IF(OR($Q22=1,$Q22=2),1,0),IF($X22&lt;=20,1,0))</formula>
    </cfRule>
    <cfRule type="expression" dxfId="1710" priority="531">
      <formula>AND(IF($Q22=2,1,0),IF($X22&lt;30,1,0))</formula>
    </cfRule>
    <cfRule type="expression" dxfId="1709" priority="532">
      <formula>AND(IF($Q22=3,1,0),IF($X22&lt;30,1,0))</formula>
    </cfRule>
    <cfRule type="expression" dxfId="1708" priority="533">
      <formula>AND(IF($Q22=3,1,IF($Q22=4,1,0)),IF($F22&lt;=85,1,0))</formula>
    </cfRule>
  </conditionalFormatting>
  <conditionalFormatting sqref="AV23">
    <cfRule type="expression" dxfId="1707" priority="528">
      <formula>AV23="X"</formula>
    </cfRule>
    <cfRule type="expression" dxfId="1706" priority="529">
      <formula>AV23="후보"</formula>
    </cfRule>
  </conditionalFormatting>
  <conditionalFormatting sqref="AC23">
    <cfRule type="cellIs" dxfId="1705" priority="525" operator="greaterThan">
      <formula>0.9</formula>
    </cfRule>
    <cfRule type="cellIs" dxfId="1704" priority="526" operator="greaterThan">
      <formula>0.85</formula>
    </cfRule>
  </conditionalFormatting>
  <conditionalFormatting sqref="N23">
    <cfRule type="cellIs" dxfId="1703" priority="523" operator="greaterThan">
      <formula>0.9</formula>
    </cfRule>
    <cfRule type="cellIs" dxfId="1702" priority="524" operator="greaterThan">
      <formula>0.85</formula>
    </cfRule>
  </conditionalFormatting>
  <conditionalFormatting sqref="E23">
    <cfRule type="expression" dxfId="1701" priority="519">
      <formula>AND(IF(OR($Q23=1,$Q23=2),1,0),IF($X23&lt;=20,1,0))</formula>
    </cfRule>
    <cfRule type="expression" dxfId="1700" priority="520">
      <formula>AND(IF($Q23=2,1,0),IF($X23&lt;30,1,0))</formula>
    </cfRule>
    <cfRule type="expression" dxfId="1699" priority="521">
      <formula>AND(IF($Q23=3,1,0),IF($X23&lt;30,1,0))</formula>
    </cfRule>
    <cfRule type="expression" dxfId="1698" priority="522">
      <formula>AND(IF($Q23=3,1,IF($Q23=4,1,0)),IF($F23&lt;=85,1,0))</formula>
    </cfRule>
  </conditionalFormatting>
  <conditionalFormatting sqref="X23">
    <cfRule type="expression" dxfId="1697" priority="515">
      <formula>AND(IF(OR($Q23=1,$Q23=2),1,0),IF($X23&lt;=20,1,0))</formula>
    </cfRule>
    <cfRule type="expression" dxfId="1696" priority="516">
      <formula>AND(IF($Q23=2,1,0),IF($X23&lt;30,1,0))</formula>
    </cfRule>
    <cfRule type="expression" dxfId="1695" priority="517">
      <formula>AND(IF($Q23=3,1,0),IF($X23&lt;30,1,0))</formula>
    </cfRule>
    <cfRule type="expression" dxfId="1694" priority="518">
      <formula>AND(IF($Q23=3,1,IF($Q23=4,1,0)),IF($F23&lt;=85,1,0))</formula>
    </cfRule>
  </conditionalFormatting>
  <conditionalFormatting sqref="AI23">
    <cfRule type="expression" dxfId="1693" priority="511">
      <formula>AND(IF(OR($Q23=1,$Q23=2),1,0),IF($X23&lt;=20,1,0))</formula>
    </cfRule>
    <cfRule type="expression" dxfId="1692" priority="512">
      <formula>AND(IF($Q23=2,1,0),IF($X23&lt;30,1,0))</formula>
    </cfRule>
    <cfRule type="expression" dxfId="1691" priority="513">
      <formula>AND(IF($Q23=3,1,0),IF($X23&lt;30,1,0))</formula>
    </cfRule>
    <cfRule type="expression" dxfId="1690" priority="514">
      <formula>AND(IF($Q23=3,1,IF($Q23=4,1,0)),IF($F23&lt;=85,1,0))</formula>
    </cfRule>
  </conditionalFormatting>
  <conditionalFormatting sqref="AV24">
    <cfRule type="expression" dxfId="1689" priority="509">
      <formula>AV24="X"</formula>
    </cfRule>
    <cfRule type="expression" dxfId="1688" priority="510">
      <formula>AV24="후보"</formula>
    </cfRule>
  </conditionalFormatting>
  <conditionalFormatting sqref="AC24 N24">
    <cfRule type="cellIs" dxfId="1687" priority="506" operator="greaterThan">
      <formula>0.9</formula>
    </cfRule>
    <cfRule type="cellIs" dxfId="1686" priority="507" operator="greaterThan">
      <formula>0.85</formula>
    </cfRule>
  </conditionalFormatting>
  <conditionalFormatting sqref="AV25">
    <cfRule type="expression" dxfId="1685" priority="504">
      <formula>AV25="X"</formula>
    </cfRule>
    <cfRule type="expression" dxfId="1684" priority="505">
      <formula>AV25="후보"</formula>
    </cfRule>
  </conditionalFormatting>
  <conditionalFormatting sqref="AC25">
    <cfRule type="cellIs" dxfId="1683" priority="501" operator="greaterThan">
      <formula>0.9</formula>
    </cfRule>
    <cfRule type="cellIs" dxfId="1682" priority="502" operator="greaterThan">
      <formula>0.85</formula>
    </cfRule>
  </conditionalFormatting>
  <conditionalFormatting sqref="N25">
    <cfRule type="cellIs" dxfId="1681" priority="499" operator="greaterThan">
      <formula>0.9</formula>
    </cfRule>
    <cfRule type="cellIs" dxfId="1680" priority="500" operator="greaterThan">
      <formula>0.85</formula>
    </cfRule>
  </conditionalFormatting>
  <conditionalFormatting sqref="E25">
    <cfRule type="expression" dxfId="1679" priority="495">
      <formula>AND(IF(OR($Q25=1,$Q25=2),1,0),IF($X25&lt;=20,1,0))</formula>
    </cfRule>
    <cfRule type="expression" dxfId="1678" priority="496">
      <formula>AND(IF($Q25=2,1,0),IF($X25&lt;30,1,0))</formula>
    </cfRule>
    <cfRule type="expression" dxfId="1677" priority="497">
      <formula>AND(IF($Q25=3,1,0),IF($X25&lt;30,1,0))</formula>
    </cfRule>
    <cfRule type="expression" dxfId="1676" priority="498">
      <formula>AND(IF($Q25=3,1,IF($Q25=4,1,0)),IF($F25&lt;=85,1,0))</formula>
    </cfRule>
  </conditionalFormatting>
  <conditionalFormatting sqref="X25">
    <cfRule type="expression" dxfId="1675" priority="491">
      <formula>AND(IF(OR($Q25=1,$Q25=2),1,0),IF($X25&lt;=20,1,0))</formula>
    </cfRule>
    <cfRule type="expression" dxfId="1674" priority="492">
      <formula>AND(IF($Q25=2,1,0),IF($X25&lt;30,1,0))</formula>
    </cfRule>
    <cfRule type="expression" dxfId="1673" priority="493">
      <formula>AND(IF($Q25=3,1,0),IF($X25&lt;30,1,0))</formula>
    </cfRule>
    <cfRule type="expression" dxfId="1672" priority="494">
      <formula>AND(IF($Q25=3,1,IF($Q25=4,1,0)),IF($F25&lt;=85,1,0))</formula>
    </cfRule>
  </conditionalFormatting>
  <conditionalFormatting sqref="AI25">
    <cfRule type="expression" dxfId="1671" priority="487">
      <formula>AND(IF(OR($Q25=1,$Q25=2),1,0),IF($X25&lt;=20,1,0))</formula>
    </cfRule>
    <cfRule type="expression" dxfId="1670" priority="488">
      <formula>AND(IF($Q25=2,1,0),IF($X25&lt;30,1,0))</formula>
    </cfRule>
    <cfRule type="expression" dxfId="1669" priority="489">
      <formula>AND(IF($Q25=3,1,0),IF($X25&lt;30,1,0))</formula>
    </cfRule>
    <cfRule type="expression" dxfId="1668" priority="490">
      <formula>AND(IF($Q25=3,1,IF($Q25=4,1,0)),IF($F25&lt;=85,1,0))</formula>
    </cfRule>
  </conditionalFormatting>
  <conditionalFormatting sqref="AV26">
    <cfRule type="expression" dxfId="1667" priority="485">
      <formula>AV26="X"</formula>
    </cfRule>
    <cfRule type="expression" dxfId="1666" priority="486">
      <formula>AV26="후보"</formula>
    </cfRule>
  </conditionalFormatting>
  <conditionalFormatting sqref="AC26">
    <cfRule type="cellIs" dxfId="1665" priority="482" operator="greaterThan">
      <formula>0.9</formula>
    </cfRule>
    <cfRule type="cellIs" dxfId="1664" priority="483" operator="greaterThan">
      <formula>0.85</formula>
    </cfRule>
  </conditionalFormatting>
  <conditionalFormatting sqref="N26">
    <cfRule type="cellIs" dxfId="1663" priority="480" operator="greaterThan">
      <formula>0.9</formula>
    </cfRule>
    <cfRule type="cellIs" dxfId="1662" priority="481" operator="greaterThan">
      <formula>0.85</formula>
    </cfRule>
  </conditionalFormatting>
  <conditionalFormatting sqref="E26">
    <cfRule type="expression" dxfId="1661" priority="476">
      <formula>AND(IF(OR($Q26=1,$Q26=2),1,0),IF($X26&lt;=20,1,0))</formula>
    </cfRule>
    <cfRule type="expression" dxfId="1660" priority="477">
      <formula>AND(IF($Q26=2,1,0),IF($X26&lt;30,1,0))</formula>
    </cfRule>
    <cfRule type="expression" dxfId="1659" priority="478">
      <formula>AND(IF($Q26=3,1,0),IF($X26&lt;30,1,0))</formula>
    </cfRule>
    <cfRule type="expression" dxfId="1658" priority="479">
      <formula>AND(IF($Q26=3,1,IF($Q26=4,1,0)),IF($F26&lt;=85,1,0))</formula>
    </cfRule>
  </conditionalFormatting>
  <conditionalFormatting sqref="X26">
    <cfRule type="expression" dxfId="1657" priority="472">
      <formula>AND(IF(OR($Q26=1,$Q26=2),1,0),IF($X26&lt;=20,1,0))</formula>
    </cfRule>
    <cfRule type="expression" dxfId="1656" priority="473">
      <formula>AND(IF($Q26=2,1,0),IF($X26&lt;30,1,0))</formula>
    </cfRule>
    <cfRule type="expression" dxfId="1655" priority="474">
      <formula>AND(IF($Q26=3,1,0),IF($X26&lt;30,1,0))</formula>
    </cfRule>
    <cfRule type="expression" dxfId="1654" priority="475">
      <formula>AND(IF($Q26=3,1,IF($Q26=4,1,0)),IF($F26&lt;=85,1,0))</formula>
    </cfRule>
  </conditionalFormatting>
  <conditionalFormatting sqref="AI26">
    <cfRule type="expression" dxfId="1653" priority="468">
      <formula>AND(IF(OR($Q26=1,$Q26=2),1,0),IF($X26&lt;=20,1,0))</formula>
    </cfRule>
    <cfRule type="expression" dxfId="1652" priority="469">
      <formula>AND(IF($Q26=2,1,0),IF($X26&lt;30,1,0))</formula>
    </cfRule>
    <cfRule type="expression" dxfId="1651" priority="470">
      <formula>AND(IF($Q26=3,1,0),IF($X26&lt;30,1,0))</formula>
    </cfRule>
    <cfRule type="expression" dxfId="1650" priority="471">
      <formula>AND(IF($Q26=3,1,IF($Q26=4,1,0)),IF($F26&lt;=85,1,0))</formula>
    </cfRule>
  </conditionalFormatting>
  <conditionalFormatting sqref="AV27">
    <cfRule type="expression" dxfId="1649" priority="466">
      <formula>AV27="X"</formula>
    </cfRule>
    <cfRule type="expression" dxfId="1648" priority="467">
      <formula>AV27="후보"</formula>
    </cfRule>
  </conditionalFormatting>
  <conditionalFormatting sqref="AC27 N27">
    <cfRule type="cellIs" dxfId="1647" priority="463" operator="greaterThan">
      <formula>0.9</formula>
    </cfRule>
    <cfRule type="cellIs" dxfId="1646" priority="464" operator="greaterThan">
      <formula>0.85</formula>
    </cfRule>
  </conditionalFormatting>
  <conditionalFormatting sqref="AV28">
    <cfRule type="expression" dxfId="1645" priority="461">
      <formula>AV28="X"</formula>
    </cfRule>
    <cfRule type="expression" dxfId="1644" priority="462">
      <formula>AV28="후보"</formula>
    </cfRule>
  </conditionalFormatting>
  <conditionalFormatting sqref="AC28">
    <cfRule type="cellIs" dxfId="1643" priority="458" operator="greaterThan">
      <formula>0.9</formula>
    </cfRule>
    <cfRule type="cellIs" dxfId="1642" priority="459" operator="greaterThan">
      <formula>0.85</formula>
    </cfRule>
  </conditionalFormatting>
  <conditionalFormatting sqref="N28">
    <cfRule type="cellIs" dxfId="1641" priority="456" operator="greaterThan">
      <formula>0.9</formula>
    </cfRule>
    <cfRule type="cellIs" dxfId="1640" priority="457" operator="greaterThan">
      <formula>0.85</formula>
    </cfRule>
  </conditionalFormatting>
  <conditionalFormatting sqref="E28">
    <cfRule type="expression" dxfId="1639" priority="452">
      <formula>AND(IF(OR($Q28=1,$Q28=2),1,0),IF($X28&lt;=20,1,0))</formula>
    </cfRule>
    <cfRule type="expression" dxfId="1638" priority="453">
      <formula>AND(IF($Q28=2,1,0),IF($X28&lt;30,1,0))</formula>
    </cfRule>
    <cfRule type="expression" dxfId="1637" priority="454">
      <formula>AND(IF($Q28=3,1,0),IF($X28&lt;30,1,0))</formula>
    </cfRule>
    <cfRule type="expression" dxfId="1636" priority="455">
      <formula>AND(IF($Q28=3,1,IF($Q28=4,1,0)),IF($F28&lt;=85,1,0))</formula>
    </cfRule>
  </conditionalFormatting>
  <conditionalFormatting sqref="X28">
    <cfRule type="expression" dxfId="1635" priority="448">
      <formula>AND(IF(OR($Q28=1,$Q28=2),1,0),IF($X28&lt;=20,1,0))</formula>
    </cfRule>
    <cfRule type="expression" dxfId="1634" priority="449">
      <formula>AND(IF($Q28=2,1,0),IF($X28&lt;30,1,0))</formula>
    </cfRule>
    <cfRule type="expression" dxfId="1633" priority="450">
      <formula>AND(IF($Q28=3,1,0),IF($X28&lt;30,1,0))</formula>
    </cfRule>
    <cfRule type="expression" dxfId="1632" priority="451">
      <formula>AND(IF($Q28=3,1,IF($Q28=4,1,0)),IF($F28&lt;=85,1,0))</formula>
    </cfRule>
  </conditionalFormatting>
  <conditionalFormatting sqref="AI28">
    <cfRule type="expression" dxfId="1631" priority="444">
      <formula>AND(IF(OR($Q28=1,$Q28=2),1,0),IF($X28&lt;=20,1,0))</formula>
    </cfRule>
    <cfRule type="expression" dxfId="1630" priority="445">
      <formula>AND(IF($Q28=2,1,0),IF($X28&lt;30,1,0))</formula>
    </cfRule>
    <cfRule type="expression" dxfId="1629" priority="446">
      <formula>AND(IF($Q28=3,1,0),IF($X28&lt;30,1,0))</formula>
    </cfRule>
    <cfRule type="expression" dxfId="1628" priority="447">
      <formula>AND(IF($Q28=3,1,IF($Q28=4,1,0)),IF($F28&lt;=85,1,0))</formula>
    </cfRule>
  </conditionalFormatting>
  <conditionalFormatting sqref="AV29">
    <cfRule type="expression" dxfId="1627" priority="442">
      <formula>AV29="X"</formula>
    </cfRule>
    <cfRule type="expression" dxfId="1626" priority="443">
      <formula>AV29="후보"</formula>
    </cfRule>
  </conditionalFormatting>
  <conditionalFormatting sqref="AC29">
    <cfRule type="cellIs" dxfId="1625" priority="439" operator="greaterThan">
      <formula>0.9</formula>
    </cfRule>
    <cfRule type="cellIs" dxfId="1624" priority="440" operator="greaterThan">
      <formula>0.85</formula>
    </cfRule>
  </conditionalFormatting>
  <conditionalFormatting sqref="N29">
    <cfRule type="cellIs" dxfId="1623" priority="437" operator="greaterThan">
      <formula>0.9</formula>
    </cfRule>
    <cfRule type="cellIs" dxfId="1622" priority="438" operator="greaterThan">
      <formula>0.85</formula>
    </cfRule>
  </conditionalFormatting>
  <conditionalFormatting sqref="E29">
    <cfRule type="expression" dxfId="1621" priority="433">
      <formula>AND(IF(OR($Q29=1,$Q29=2),1,0),IF($X29&lt;=20,1,0))</formula>
    </cfRule>
    <cfRule type="expression" dxfId="1620" priority="434">
      <formula>AND(IF($Q29=2,1,0),IF($X29&lt;30,1,0))</formula>
    </cfRule>
    <cfRule type="expression" dxfId="1619" priority="435">
      <formula>AND(IF($Q29=3,1,0),IF($X29&lt;30,1,0))</formula>
    </cfRule>
    <cfRule type="expression" dxfId="1618" priority="436">
      <formula>AND(IF($Q29=3,1,IF($Q29=4,1,0)),IF($F29&lt;=85,1,0))</formula>
    </cfRule>
  </conditionalFormatting>
  <conditionalFormatting sqref="X29">
    <cfRule type="expression" dxfId="1617" priority="429">
      <formula>AND(IF(OR($Q29=1,$Q29=2),1,0),IF($X29&lt;=20,1,0))</formula>
    </cfRule>
    <cfRule type="expression" dxfId="1616" priority="430">
      <formula>AND(IF($Q29=2,1,0),IF($X29&lt;30,1,0))</formula>
    </cfRule>
    <cfRule type="expression" dxfId="1615" priority="431">
      <formula>AND(IF($Q29=3,1,0),IF($X29&lt;30,1,0))</formula>
    </cfRule>
    <cfRule type="expression" dxfId="1614" priority="432">
      <formula>AND(IF($Q29=3,1,IF($Q29=4,1,0)),IF($F29&lt;=85,1,0))</formula>
    </cfRule>
  </conditionalFormatting>
  <conditionalFormatting sqref="AI29">
    <cfRule type="expression" dxfId="1613" priority="425">
      <formula>AND(IF(OR($Q29=1,$Q29=2),1,0),IF($X29&lt;=20,1,0))</formula>
    </cfRule>
    <cfRule type="expression" dxfId="1612" priority="426">
      <formula>AND(IF($Q29=2,1,0),IF($X29&lt;30,1,0))</formula>
    </cfRule>
    <cfRule type="expression" dxfId="1611" priority="427">
      <formula>AND(IF($Q29=3,1,0),IF($X29&lt;30,1,0))</formula>
    </cfRule>
    <cfRule type="expression" dxfId="1610" priority="428">
      <formula>AND(IF($Q29=3,1,IF($Q29=4,1,0)),IF($F29&lt;=85,1,0))</formula>
    </cfRule>
  </conditionalFormatting>
  <conditionalFormatting sqref="AV30">
    <cfRule type="expression" dxfId="1609" priority="423">
      <formula>AV30="X"</formula>
    </cfRule>
    <cfRule type="expression" dxfId="1608" priority="424">
      <formula>AV30="후보"</formula>
    </cfRule>
  </conditionalFormatting>
  <conditionalFormatting sqref="AC30">
    <cfRule type="cellIs" dxfId="1607" priority="420" operator="greaterThan">
      <formula>0.9</formula>
    </cfRule>
    <cfRule type="cellIs" dxfId="1606" priority="421" operator="greaterThan">
      <formula>0.85</formula>
    </cfRule>
  </conditionalFormatting>
  <conditionalFormatting sqref="N30">
    <cfRule type="cellIs" dxfId="1605" priority="418" operator="greaterThan">
      <formula>0.9</formula>
    </cfRule>
    <cfRule type="cellIs" dxfId="1604" priority="419" operator="greaterThan">
      <formula>0.85</formula>
    </cfRule>
  </conditionalFormatting>
  <conditionalFormatting sqref="E30">
    <cfRule type="expression" dxfId="1603" priority="414">
      <formula>AND(IF(OR($Q30=1,$Q30=2),1,0),IF($X30&lt;=20,1,0))</formula>
    </cfRule>
    <cfRule type="expression" dxfId="1602" priority="415">
      <formula>AND(IF($Q30=2,1,0),IF($X30&lt;30,1,0))</formula>
    </cfRule>
    <cfRule type="expression" dxfId="1601" priority="416">
      <formula>AND(IF($Q30=3,1,0),IF($X30&lt;30,1,0))</formula>
    </cfRule>
    <cfRule type="expression" dxfId="1600" priority="417">
      <formula>AND(IF($Q30=3,1,IF($Q30=4,1,0)),IF($F30&lt;=85,1,0))</formula>
    </cfRule>
  </conditionalFormatting>
  <conditionalFormatting sqref="X30">
    <cfRule type="expression" dxfId="1599" priority="410">
      <formula>AND(IF(OR($Q30=1,$Q30=2),1,0),IF($X30&lt;=20,1,0))</formula>
    </cfRule>
    <cfRule type="expression" dxfId="1598" priority="411">
      <formula>AND(IF($Q30=2,1,0),IF($X30&lt;30,1,0))</formula>
    </cfRule>
    <cfRule type="expression" dxfId="1597" priority="412">
      <formula>AND(IF($Q30=3,1,0),IF($X30&lt;30,1,0))</formula>
    </cfRule>
    <cfRule type="expression" dxfId="1596" priority="413">
      <formula>AND(IF($Q30=3,1,IF($Q30=4,1,0)),IF($F30&lt;=85,1,0))</formula>
    </cfRule>
  </conditionalFormatting>
  <conditionalFormatting sqref="AI30">
    <cfRule type="expression" dxfId="1595" priority="406">
      <formula>AND(IF(OR($Q30=1,$Q30=2),1,0),IF($X30&lt;=20,1,0))</formula>
    </cfRule>
    <cfRule type="expression" dxfId="1594" priority="407">
      <formula>AND(IF($Q30=2,1,0),IF($X30&lt;30,1,0))</formula>
    </cfRule>
    <cfRule type="expression" dxfId="1593" priority="408">
      <formula>AND(IF($Q30=3,1,0),IF($X30&lt;30,1,0))</formula>
    </cfRule>
    <cfRule type="expression" dxfId="1592" priority="409">
      <formula>AND(IF($Q30=3,1,IF($Q30=4,1,0)),IF($F30&lt;=85,1,0))</formula>
    </cfRule>
  </conditionalFormatting>
  <conditionalFormatting sqref="AV31">
    <cfRule type="expression" dxfId="1591" priority="404">
      <formula>AV31="X"</formula>
    </cfRule>
    <cfRule type="expression" dxfId="1590" priority="405">
      <formula>AV31="후보"</formula>
    </cfRule>
  </conditionalFormatting>
  <conditionalFormatting sqref="AC31">
    <cfRule type="cellIs" dxfId="1589" priority="401" operator="greaterThan">
      <formula>0.9</formula>
    </cfRule>
    <cfRule type="cellIs" dxfId="1588" priority="402" operator="greaterThan">
      <formula>0.85</formula>
    </cfRule>
  </conditionalFormatting>
  <conditionalFormatting sqref="N31">
    <cfRule type="cellIs" dxfId="1587" priority="399" operator="greaterThan">
      <formula>0.9</formula>
    </cfRule>
    <cfRule type="cellIs" dxfId="1586" priority="400" operator="greaterThan">
      <formula>0.85</formula>
    </cfRule>
  </conditionalFormatting>
  <conditionalFormatting sqref="E31">
    <cfRule type="expression" dxfId="1585" priority="395">
      <formula>AND(IF(OR($Q31=1,$Q31=2),1,0),IF($X31&lt;=20,1,0))</formula>
    </cfRule>
    <cfRule type="expression" dxfId="1584" priority="396">
      <formula>AND(IF($Q31=2,1,0),IF($X31&lt;30,1,0))</formula>
    </cfRule>
    <cfRule type="expression" dxfId="1583" priority="397">
      <formula>AND(IF($Q31=3,1,0),IF($X31&lt;30,1,0))</formula>
    </cfRule>
    <cfRule type="expression" dxfId="1582" priority="398">
      <formula>AND(IF($Q31=3,1,IF($Q31=4,1,0)),IF($F31&lt;=85,1,0))</formula>
    </cfRule>
  </conditionalFormatting>
  <conditionalFormatting sqref="X31">
    <cfRule type="expression" dxfId="1581" priority="391">
      <formula>AND(IF(OR($Q31=1,$Q31=2),1,0),IF($X31&lt;=20,1,0))</formula>
    </cfRule>
    <cfRule type="expression" dxfId="1580" priority="392">
      <formula>AND(IF($Q31=2,1,0),IF($X31&lt;30,1,0))</formula>
    </cfRule>
    <cfRule type="expression" dxfId="1579" priority="393">
      <formula>AND(IF($Q31=3,1,0),IF($X31&lt;30,1,0))</formula>
    </cfRule>
    <cfRule type="expression" dxfId="1578" priority="394">
      <formula>AND(IF($Q31=3,1,IF($Q31=4,1,0)),IF($F31&lt;=85,1,0))</formula>
    </cfRule>
  </conditionalFormatting>
  <conditionalFormatting sqref="AI31">
    <cfRule type="expression" dxfId="1577" priority="387">
      <formula>AND(IF(OR($Q31=1,$Q31=2),1,0),IF($X31&lt;=20,1,0))</formula>
    </cfRule>
    <cfRule type="expression" dxfId="1576" priority="388">
      <formula>AND(IF($Q31=2,1,0),IF($X31&lt;30,1,0))</formula>
    </cfRule>
    <cfRule type="expression" dxfId="1575" priority="389">
      <formula>AND(IF($Q31=3,1,0),IF($X31&lt;30,1,0))</formula>
    </cfRule>
    <cfRule type="expression" dxfId="1574" priority="390">
      <formula>AND(IF($Q31=3,1,IF($Q31=4,1,0)),IF($F31&lt;=85,1,0))</formula>
    </cfRule>
  </conditionalFormatting>
  <conditionalFormatting sqref="AV32">
    <cfRule type="expression" dxfId="1573" priority="385">
      <formula>AV32="X"</formula>
    </cfRule>
    <cfRule type="expression" dxfId="1572" priority="386">
      <formula>AV32="후보"</formula>
    </cfRule>
  </conditionalFormatting>
  <conditionalFormatting sqref="AC32">
    <cfRule type="cellIs" dxfId="1571" priority="382" operator="greaterThan">
      <formula>0.9</formula>
    </cfRule>
    <cfRule type="cellIs" dxfId="1570" priority="383" operator="greaterThan">
      <formula>0.85</formula>
    </cfRule>
  </conditionalFormatting>
  <conditionalFormatting sqref="N32">
    <cfRule type="cellIs" dxfId="1569" priority="380" operator="greaterThan">
      <formula>0.9</formula>
    </cfRule>
    <cfRule type="cellIs" dxfId="1568" priority="381" operator="greaterThan">
      <formula>0.85</formula>
    </cfRule>
  </conditionalFormatting>
  <conditionalFormatting sqref="E32">
    <cfRule type="expression" dxfId="1567" priority="376">
      <formula>AND(IF(OR($Q32=1,$Q32=2),1,0),IF($X32&lt;=20,1,0))</formula>
    </cfRule>
    <cfRule type="expression" dxfId="1566" priority="377">
      <formula>AND(IF($Q32=2,1,0),IF($X32&lt;30,1,0))</formula>
    </cfRule>
    <cfRule type="expression" dxfId="1565" priority="378">
      <formula>AND(IF($Q32=3,1,0),IF($X32&lt;30,1,0))</formula>
    </cfRule>
    <cfRule type="expression" dxfId="1564" priority="379">
      <formula>AND(IF($Q32=3,1,IF($Q32=4,1,0)),IF($F32&lt;=85,1,0))</formula>
    </cfRule>
  </conditionalFormatting>
  <conditionalFormatting sqref="X32">
    <cfRule type="expression" dxfId="1563" priority="372">
      <formula>AND(IF(OR($Q32=1,$Q32=2),1,0),IF($X32&lt;=20,1,0))</formula>
    </cfRule>
    <cfRule type="expression" dxfId="1562" priority="373">
      <formula>AND(IF($Q32=2,1,0),IF($X32&lt;30,1,0))</formula>
    </cfRule>
    <cfRule type="expression" dxfId="1561" priority="374">
      <formula>AND(IF($Q32=3,1,0),IF($X32&lt;30,1,0))</formula>
    </cfRule>
    <cfRule type="expression" dxfId="1560" priority="375">
      <formula>AND(IF($Q32=3,1,IF($Q32=4,1,0)),IF($F32&lt;=85,1,0))</formula>
    </cfRule>
  </conditionalFormatting>
  <conditionalFormatting sqref="AI32">
    <cfRule type="expression" dxfId="1559" priority="368">
      <formula>AND(IF(OR($Q32=1,$Q32=2),1,0),IF($X32&lt;=20,1,0))</formula>
    </cfRule>
    <cfRule type="expression" dxfId="1558" priority="369">
      <formula>AND(IF($Q32=2,1,0),IF($X32&lt;30,1,0))</formula>
    </cfRule>
    <cfRule type="expression" dxfId="1557" priority="370">
      <formula>AND(IF($Q32=3,1,0),IF($X32&lt;30,1,0))</formula>
    </cfRule>
    <cfRule type="expression" dxfId="1556" priority="371">
      <formula>AND(IF($Q32=3,1,IF($Q32=4,1,0)),IF($F32&lt;=85,1,0))</formula>
    </cfRule>
  </conditionalFormatting>
  <conditionalFormatting sqref="AV33">
    <cfRule type="expression" dxfId="1555" priority="366">
      <formula>AV33="X"</formula>
    </cfRule>
    <cfRule type="expression" dxfId="1554" priority="367">
      <formula>AV33="후보"</formula>
    </cfRule>
  </conditionalFormatting>
  <conditionalFormatting sqref="AC33">
    <cfRule type="cellIs" dxfId="1553" priority="363" operator="greaterThan">
      <formula>0.9</formula>
    </cfRule>
    <cfRule type="cellIs" dxfId="1552" priority="364" operator="greaterThan">
      <formula>0.85</formula>
    </cfRule>
  </conditionalFormatting>
  <conditionalFormatting sqref="N33">
    <cfRule type="cellIs" dxfId="1551" priority="361" operator="greaterThan">
      <formula>0.9</formula>
    </cfRule>
    <cfRule type="cellIs" dxfId="1550" priority="362" operator="greaterThan">
      <formula>0.85</formula>
    </cfRule>
  </conditionalFormatting>
  <conditionalFormatting sqref="E33">
    <cfRule type="expression" dxfId="1549" priority="357">
      <formula>AND(IF(OR($Q33=1,$Q33=2),1,0),IF($X33&lt;=20,1,0))</formula>
    </cfRule>
    <cfRule type="expression" dxfId="1548" priority="358">
      <formula>AND(IF($Q33=2,1,0),IF($X33&lt;30,1,0))</formula>
    </cfRule>
    <cfRule type="expression" dxfId="1547" priority="359">
      <formula>AND(IF($Q33=3,1,0),IF($X33&lt;30,1,0))</formula>
    </cfRule>
    <cfRule type="expression" dxfId="1546" priority="360">
      <formula>AND(IF($Q33=3,1,IF($Q33=4,1,0)),IF($F33&lt;=85,1,0))</formula>
    </cfRule>
  </conditionalFormatting>
  <conditionalFormatting sqref="X33">
    <cfRule type="expression" dxfId="1545" priority="353">
      <formula>AND(IF(OR($Q33=1,$Q33=2),1,0),IF($X33&lt;=20,1,0))</formula>
    </cfRule>
    <cfRule type="expression" dxfId="1544" priority="354">
      <formula>AND(IF($Q33=2,1,0),IF($X33&lt;30,1,0))</formula>
    </cfRule>
    <cfRule type="expression" dxfId="1543" priority="355">
      <formula>AND(IF($Q33=3,1,0),IF($X33&lt;30,1,0))</formula>
    </cfRule>
    <cfRule type="expression" dxfId="1542" priority="356">
      <formula>AND(IF($Q33=3,1,IF($Q33=4,1,0)),IF($F33&lt;=85,1,0))</formula>
    </cfRule>
  </conditionalFormatting>
  <conditionalFormatting sqref="AI33">
    <cfRule type="expression" dxfId="1541" priority="349">
      <formula>AND(IF(OR($Q33=1,$Q33=2),1,0),IF($X33&lt;=20,1,0))</formula>
    </cfRule>
    <cfRule type="expression" dxfId="1540" priority="350">
      <formula>AND(IF($Q33=2,1,0),IF($X33&lt;30,1,0))</formula>
    </cfRule>
    <cfRule type="expression" dxfId="1539" priority="351">
      <formula>AND(IF($Q33=3,1,0),IF($X33&lt;30,1,0))</formula>
    </cfRule>
    <cfRule type="expression" dxfId="1538" priority="352">
      <formula>AND(IF($Q33=3,1,IF($Q33=4,1,0)),IF($F33&lt;=85,1,0))</formula>
    </cfRule>
  </conditionalFormatting>
  <conditionalFormatting sqref="AV34">
    <cfRule type="expression" dxfId="1537" priority="347">
      <formula>AV34="X"</formula>
    </cfRule>
    <cfRule type="expression" dxfId="1536" priority="348">
      <formula>AV34="후보"</formula>
    </cfRule>
  </conditionalFormatting>
  <conditionalFormatting sqref="AC34">
    <cfRule type="cellIs" dxfId="1535" priority="344" operator="greaterThan">
      <formula>0.9</formula>
    </cfRule>
    <cfRule type="cellIs" dxfId="1534" priority="345" operator="greaterThan">
      <formula>0.85</formula>
    </cfRule>
  </conditionalFormatting>
  <conditionalFormatting sqref="N34">
    <cfRule type="cellIs" dxfId="1533" priority="342" operator="greaterThan">
      <formula>0.9</formula>
    </cfRule>
    <cfRule type="cellIs" dxfId="1532" priority="343" operator="greaterThan">
      <formula>0.85</formula>
    </cfRule>
  </conditionalFormatting>
  <conditionalFormatting sqref="E34">
    <cfRule type="expression" dxfId="1531" priority="338">
      <formula>AND(IF(OR($Q34=1,$Q34=2),1,0),IF($X34&lt;=20,1,0))</formula>
    </cfRule>
    <cfRule type="expression" dxfId="1530" priority="339">
      <formula>AND(IF($Q34=2,1,0),IF($X34&lt;30,1,0))</formula>
    </cfRule>
    <cfRule type="expression" dxfId="1529" priority="340">
      <formula>AND(IF($Q34=3,1,0),IF($X34&lt;30,1,0))</formula>
    </cfRule>
    <cfRule type="expression" dxfId="1528" priority="341">
      <formula>AND(IF($Q34=3,1,IF($Q34=4,1,0)),IF($F34&lt;=85,1,0))</formula>
    </cfRule>
  </conditionalFormatting>
  <conditionalFormatting sqref="X34">
    <cfRule type="expression" dxfId="1527" priority="334">
      <formula>AND(IF(OR($Q34=1,$Q34=2),1,0),IF($X34&lt;=20,1,0))</formula>
    </cfRule>
    <cfRule type="expression" dxfId="1526" priority="335">
      <formula>AND(IF($Q34=2,1,0),IF($X34&lt;30,1,0))</formula>
    </cfRule>
    <cfRule type="expression" dxfId="1525" priority="336">
      <formula>AND(IF($Q34=3,1,0),IF($X34&lt;30,1,0))</formula>
    </cfRule>
    <cfRule type="expression" dxfId="1524" priority="337">
      <formula>AND(IF($Q34=3,1,IF($Q34=4,1,0)),IF($F34&lt;=85,1,0))</formula>
    </cfRule>
  </conditionalFormatting>
  <conditionalFormatting sqref="AI34">
    <cfRule type="expression" dxfId="1523" priority="330">
      <formula>AND(IF(OR($Q34=1,$Q34=2),1,0),IF($X34&lt;=20,1,0))</formula>
    </cfRule>
    <cfRule type="expression" dxfId="1522" priority="331">
      <formula>AND(IF($Q34=2,1,0),IF($X34&lt;30,1,0))</formula>
    </cfRule>
    <cfRule type="expression" dxfId="1521" priority="332">
      <formula>AND(IF($Q34=3,1,0),IF($X34&lt;30,1,0))</formula>
    </cfRule>
    <cfRule type="expression" dxfId="1520" priority="333">
      <formula>AND(IF($Q34=3,1,IF($Q34=4,1,0)),IF($F34&lt;=85,1,0))</formula>
    </cfRule>
  </conditionalFormatting>
  <conditionalFormatting sqref="AV35">
    <cfRule type="expression" dxfId="1519" priority="328">
      <formula>AV35="X"</formula>
    </cfRule>
    <cfRule type="expression" dxfId="1518" priority="329">
      <formula>AV35="후보"</formula>
    </cfRule>
  </conditionalFormatting>
  <conditionalFormatting sqref="AC35">
    <cfRule type="cellIs" dxfId="1517" priority="325" operator="greaterThan">
      <formula>0.9</formula>
    </cfRule>
    <cfRule type="cellIs" dxfId="1516" priority="326" operator="greaterThan">
      <formula>0.85</formula>
    </cfRule>
  </conditionalFormatting>
  <conditionalFormatting sqref="N35">
    <cfRule type="cellIs" dxfId="1515" priority="323" operator="greaterThan">
      <formula>0.9</formula>
    </cfRule>
    <cfRule type="cellIs" dxfId="1514" priority="324" operator="greaterThan">
      <formula>0.85</formula>
    </cfRule>
  </conditionalFormatting>
  <conditionalFormatting sqref="E35">
    <cfRule type="expression" dxfId="1513" priority="319">
      <formula>AND(IF(OR($Q35=1,$Q35=2),1,0),IF($X35&lt;=20,1,0))</formula>
    </cfRule>
    <cfRule type="expression" dxfId="1512" priority="320">
      <formula>AND(IF($Q35=2,1,0),IF($X35&lt;30,1,0))</formula>
    </cfRule>
    <cfRule type="expression" dxfId="1511" priority="321">
      <formula>AND(IF($Q35=3,1,0),IF($X35&lt;30,1,0))</formula>
    </cfRule>
    <cfRule type="expression" dxfId="1510" priority="322">
      <formula>AND(IF($Q35=3,1,IF($Q35=4,1,0)),IF($F35&lt;=85,1,0))</formula>
    </cfRule>
  </conditionalFormatting>
  <conditionalFormatting sqref="X35">
    <cfRule type="expression" dxfId="1509" priority="315">
      <formula>AND(IF(OR($Q35=1,$Q35=2),1,0),IF($X35&lt;=20,1,0))</formula>
    </cfRule>
    <cfRule type="expression" dxfId="1508" priority="316">
      <formula>AND(IF($Q35=2,1,0),IF($X35&lt;30,1,0))</formula>
    </cfRule>
    <cfRule type="expression" dxfId="1507" priority="317">
      <formula>AND(IF($Q35=3,1,0),IF($X35&lt;30,1,0))</formula>
    </cfRule>
    <cfRule type="expression" dxfId="1506" priority="318">
      <formula>AND(IF($Q35=3,1,IF($Q35=4,1,0)),IF($F35&lt;=85,1,0))</formula>
    </cfRule>
  </conditionalFormatting>
  <conditionalFormatting sqref="AI35">
    <cfRule type="expression" dxfId="1505" priority="311">
      <formula>AND(IF(OR($Q35=1,$Q35=2),1,0),IF($X35&lt;=20,1,0))</formula>
    </cfRule>
    <cfRule type="expression" dxfId="1504" priority="312">
      <formula>AND(IF($Q35=2,1,0),IF($X35&lt;30,1,0))</formula>
    </cfRule>
    <cfRule type="expression" dxfId="1503" priority="313">
      <formula>AND(IF($Q35=3,1,0),IF($X35&lt;30,1,0))</formula>
    </cfRule>
    <cfRule type="expression" dxfId="1502" priority="314">
      <formula>AND(IF($Q35=3,1,IF($Q35=4,1,0)),IF($F35&lt;=85,1,0))</formula>
    </cfRule>
  </conditionalFormatting>
  <conditionalFormatting sqref="AV36">
    <cfRule type="expression" dxfId="1501" priority="309">
      <formula>AV36="X"</formula>
    </cfRule>
    <cfRule type="expression" dxfId="1500" priority="310">
      <formula>AV36="후보"</formula>
    </cfRule>
  </conditionalFormatting>
  <conditionalFormatting sqref="AC36 N36">
    <cfRule type="cellIs" dxfId="1499" priority="306" operator="greaterThan">
      <formula>0.9</formula>
    </cfRule>
    <cfRule type="cellIs" dxfId="1498" priority="307" operator="greaterThan">
      <formula>0.85</formula>
    </cfRule>
  </conditionalFormatting>
  <conditionalFormatting sqref="AV37">
    <cfRule type="expression" dxfId="1497" priority="304">
      <formula>AV37="X"</formula>
    </cfRule>
    <cfRule type="expression" dxfId="1496" priority="305">
      <formula>AV37="후보"</formula>
    </cfRule>
  </conditionalFormatting>
  <conditionalFormatting sqref="AC37">
    <cfRule type="cellIs" dxfId="1495" priority="301" operator="greaterThan">
      <formula>0.9</formula>
    </cfRule>
    <cfRule type="cellIs" dxfId="1494" priority="302" operator="greaterThan">
      <formula>0.85</formula>
    </cfRule>
  </conditionalFormatting>
  <conditionalFormatting sqref="N37">
    <cfRule type="cellIs" dxfId="1493" priority="299" operator="greaterThan">
      <formula>0.9</formula>
    </cfRule>
    <cfRule type="cellIs" dxfId="1492" priority="300" operator="greaterThan">
      <formula>0.85</formula>
    </cfRule>
  </conditionalFormatting>
  <conditionalFormatting sqref="E37">
    <cfRule type="expression" dxfId="1491" priority="295">
      <formula>AND(IF(OR($Q37=1,$Q37=2),1,0),IF($X37&lt;=20,1,0))</formula>
    </cfRule>
    <cfRule type="expression" dxfId="1490" priority="296">
      <formula>AND(IF($Q37=2,1,0),IF($X37&lt;30,1,0))</formula>
    </cfRule>
    <cfRule type="expression" dxfId="1489" priority="297">
      <formula>AND(IF($Q37=3,1,0),IF($X37&lt;30,1,0))</formula>
    </cfRule>
    <cfRule type="expression" dxfId="1488" priority="298">
      <formula>AND(IF($Q37=3,1,IF($Q37=4,1,0)),IF($F37&lt;=85,1,0))</formula>
    </cfRule>
  </conditionalFormatting>
  <conditionalFormatting sqref="X37">
    <cfRule type="expression" dxfId="1487" priority="291">
      <formula>AND(IF(OR($Q37=1,$Q37=2),1,0),IF($X37&lt;=20,1,0))</formula>
    </cfRule>
    <cfRule type="expression" dxfId="1486" priority="292">
      <formula>AND(IF($Q37=2,1,0),IF($X37&lt;30,1,0))</formula>
    </cfRule>
    <cfRule type="expression" dxfId="1485" priority="293">
      <formula>AND(IF($Q37=3,1,0),IF($X37&lt;30,1,0))</formula>
    </cfRule>
    <cfRule type="expression" dxfId="1484" priority="294">
      <formula>AND(IF($Q37=3,1,IF($Q37=4,1,0)),IF($F37&lt;=85,1,0))</formula>
    </cfRule>
  </conditionalFormatting>
  <conditionalFormatting sqref="AI37">
    <cfRule type="expression" dxfId="1483" priority="287">
      <formula>AND(IF(OR($Q37=1,$Q37=2),1,0),IF($X37&lt;=20,1,0))</formula>
    </cfRule>
    <cfRule type="expression" dxfId="1482" priority="288">
      <formula>AND(IF($Q37=2,1,0),IF($X37&lt;30,1,0))</formula>
    </cfRule>
    <cfRule type="expression" dxfId="1481" priority="289">
      <formula>AND(IF($Q37=3,1,0),IF($X37&lt;30,1,0))</formula>
    </cfRule>
    <cfRule type="expression" dxfId="1480" priority="290">
      <formula>AND(IF($Q37=3,1,IF($Q37=4,1,0)),IF($F37&lt;=85,1,0))</formula>
    </cfRule>
  </conditionalFormatting>
  <conditionalFormatting sqref="AV38">
    <cfRule type="expression" dxfId="1479" priority="285">
      <formula>AV38="X"</formula>
    </cfRule>
    <cfRule type="expression" dxfId="1478" priority="286">
      <formula>AV38="후보"</formula>
    </cfRule>
  </conditionalFormatting>
  <conditionalFormatting sqref="AC38">
    <cfRule type="cellIs" dxfId="1477" priority="282" operator="greaterThan">
      <formula>0.9</formula>
    </cfRule>
    <cfRule type="cellIs" dxfId="1476" priority="283" operator="greaterThan">
      <formula>0.85</formula>
    </cfRule>
  </conditionalFormatting>
  <conditionalFormatting sqref="N38">
    <cfRule type="cellIs" dxfId="1475" priority="280" operator="greaterThan">
      <formula>0.9</formula>
    </cfRule>
    <cfRule type="cellIs" dxfId="1474" priority="281" operator="greaterThan">
      <formula>0.85</formula>
    </cfRule>
  </conditionalFormatting>
  <conditionalFormatting sqref="E38">
    <cfRule type="expression" dxfId="1473" priority="276">
      <formula>AND(IF(OR($Q38=1,$Q38=2),1,0),IF($X38&lt;=20,1,0))</formula>
    </cfRule>
    <cfRule type="expression" dxfId="1472" priority="277">
      <formula>AND(IF($Q38=2,1,0),IF($X38&lt;30,1,0))</formula>
    </cfRule>
    <cfRule type="expression" dxfId="1471" priority="278">
      <formula>AND(IF($Q38=3,1,0),IF($X38&lt;30,1,0))</formula>
    </cfRule>
    <cfRule type="expression" dxfId="1470" priority="279">
      <formula>AND(IF($Q38=3,1,IF($Q38=4,1,0)),IF($F38&lt;=85,1,0))</formula>
    </cfRule>
  </conditionalFormatting>
  <conditionalFormatting sqref="X38">
    <cfRule type="expression" dxfId="1469" priority="272">
      <formula>AND(IF(OR($Q38=1,$Q38=2),1,0),IF($X38&lt;=20,1,0))</formula>
    </cfRule>
    <cfRule type="expression" dxfId="1468" priority="273">
      <formula>AND(IF($Q38=2,1,0),IF($X38&lt;30,1,0))</formula>
    </cfRule>
    <cfRule type="expression" dxfId="1467" priority="274">
      <formula>AND(IF($Q38=3,1,0),IF($X38&lt;30,1,0))</formula>
    </cfRule>
    <cfRule type="expression" dxfId="1466" priority="275">
      <formula>AND(IF($Q38=3,1,IF($Q38=4,1,0)),IF($F38&lt;=85,1,0))</formula>
    </cfRule>
  </conditionalFormatting>
  <conditionalFormatting sqref="AI38">
    <cfRule type="expression" dxfId="1465" priority="268">
      <formula>AND(IF(OR($Q38=1,$Q38=2),1,0),IF($X38&lt;=20,1,0))</formula>
    </cfRule>
    <cfRule type="expression" dxfId="1464" priority="269">
      <formula>AND(IF($Q38=2,1,0),IF($X38&lt;30,1,0))</formula>
    </cfRule>
    <cfRule type="expression" dxfId="1463" priority="270">
      <formula>AND(IF($Q38=3,1,0),IF($X38&lt;30,1,0))</formula>
    </cfRule>
    <cfRule type="expression" dxfId="1462" priority="271">
      <formula>AND(IF($Q38=3,1,IF($Q38=4,1,0)),IF($F38&lt;=85,1,0))</formula>
    </cfRule>
  </conditionalFormatting>
  <conditionalFormatting sqref="AV39">
    <cfRule type="expression" dxfId="1461" priority="266">
      <formula>AV39="X"</formula>
    </cfRule>
    <cfRule type="expression" dxfId="1460" priority="267">
      <formula>AV39="후보"</formula>
    </cfRule>
  </conditionalFormatting>
  <conditionalFormatting sqref="AC39">
    <cfRule type="cellIs" dxfId="1459" priority="263" operator="greaterThan">
      <formula>0.9</formula>
    </cfRule>
    <cfRule type="cellIs" dxfId="1458" priority="264" operator="greaterThan">
      <formula>0.85</formula>
    </cfRule>
  </conditionalFormatting>
  <conditionalFormatting sqref="N39">
    <cfRule type="cellIs" dxfId="1457" priority="261" operator="greaterThan">
      <formula>0.9</formula>
    </cfRule>
    <cfRule type="cellIs" dxfId="1456" priority="262" operator="greaterThan">
      <formula>0.85</formula>
    </cfRule>
  </conditionalFormatting>
  <conditionalFormatting sqref="E39">
    <cfRule type="expression" dxfId="1455" priority="257">
      <formula>AND(IF(OR($Q39=1,$Q39=2),1,0),IF($X39&lt;=20,1,0))</formula>
    </cfRule>
    <cfRule type="expression" dxfId="1454" priority="258">
      <formula>AND(IF($Q39=2,1,0),IF($X39&lt;30,1,0))</formula>
    </cfRule>
    <cfRule type="expression" dxfId="1453" priority="259">
      <formula>AND(IF($Q39=3,1,0),IF($X39&lt;30,1,0))</formula>
    </cfRule>
    <cfRule type="expression" dxfId="1452" priority="260">
      <formula>AND(IF($Q39=3,1,IF($Q39=4,1,0)),IF($F39&lt;=85,1,0))</formula>
    </cfRule>
  </conditionalFormatting>
  <conditionalFormatting sqref="X39">
    <cfRule type="expression" dxfId="1451" priority="253">
      <formula>AND(IF(OR($Q39=1,$Q39=2),1,0),IF($X39&lt;=20,1,0))</formula>
    </cfRule>
    <cfRule type="expression" dxfId="1450" priority="254">
      <formula>AND(IF($Q39=2,1,0),IF($X39&lt;30,1,0))</formula>
    </cfRule>
    <cfRule type="expression" dxfId="1449" priority="255">
      <formula>AND(IF($Q39=3,1,0),IF($X39&lt;30,1,0))</formula>
    </cfRule>
    <cfRule type="expression" dxfId="1448" priority="256">
      <formula>AND(IF($Q39=3,1,IF($Q39=4,1,0)),IF($F39&lt;=85,1,0))</formula>
    </cfRule>
  </conditionalFormatting>
  <conditionalFormatting sqref="AI39">
    <cfRule type="expression" dxfId="1447" priority="249">
      <formula>AND(IF(OR($Q39=1,$Q39=2),1,0),IF($X39&lt;=20,1,0))</formula>
    </cfRule>
    <cfRule type="expression" dxfId="1446" priority="250">
      <formula>AND(IF($Q39=2,1,0),IF($X39&lt;30,1,0))</formula>
    </cfRule>
    <cfRule type="expression" dxfId="1445" priority="251">
      <formula>AND(IF($Q39=3,1,0),IF($X39&lt;30,1,0))</formula>
    </cfRule>
    <cfRule type="expression" dxfId="1444" priority="252">
      <formula>AND(IF($Q39=3,1,IF($Q39=4,1,0)),IF($F39&lt;=85,1,0))</formula>
    </cfRule>
  </conditionalFormatting>
  <conditionalFormatting sqref="AV40">
    <cfRule type="expression" dxfId="1443" priority="247">
      <formula>AV40="X"</formula>
    </cfRule>
    <cfRule type="expression" dxfId="1442" priority="248">
      <formula>AV40="후보"</formula>
    </cfRule>
  </conditionalFormatting>
  <conditionalFormatting sqref="AC40">
    <cfRule type="cellIs" dxfId="1441" priority="244" operator="greaterThan">
      <formula>0.9</formula>
    </cfRule>
    <cfRule type="cellIs" dxfId="1440" priority="245" operator="greaterThan">
      <formula>0.85</formula>
    </cfRule>
  </conditionalFormatting>
  <conditionalFormatting sqref="N40">
    <cfRule type="cellIs" dxfId="1439" priority="242" operator="greaterThan">
      <formula>0.9</formula>
    </cfRule>
    <cfRule type="cellIs" dxfId="1438" priority="243" operator="greaterThan">
      <formula>0.85</formula>
    </cfRule>
  </conditionalFormatting>
  <conditionalFormatting sqref="E40">
    <cfRule type="expression" dxfId="1437" priority="238">
      <formula>AND(IF(OR($Q40=1,$Q40=2),1,0),IF($X40&lt;=20,1,0))</formula>
    </cfRule>
    <cfRule type="expression" dxfId="1436" priority="239">
      <formula>AND(IF($Q40=2,1,0),IF($X40&lt;30,1,0))</formula>
    </cfRule>
    <cfRule type="expression" dxfId="1435" priority="240">
      <formula>AND(IF($Q40=3,1,0),IF($X40&lt;30,1,0))</formula>
    </cfRule>
    <cfRule type="expression" dxfId="1434" priority="241">
      <formula>AND(IF($Q40=3,1,IF($Q40=4,1,0)),IF($F40&lt;=85,1,0))</formula>
    </cfRule>
  </conditionalFormatting>
  <conditionalFormatting sqref="X40">
    <cfRule type="expression" dxfId="1433" priority="234">
      <formula>AND(IF(OR($Q40=1,$Q40=2),1,0),IF($X40&lt;=20,1,0))</formula>
    </cfRule>
    <cfRule type="expression" dxfId="1432" priority="235">
      <formula>AND(IF($Q40=2,1,0),IF($X40&lt;30,1,0))</formula>
    </cfRule>
    <cfRule type="expression" dxfId="1431" priority="236">
      <formula>AND(IF($Q40=3,1,0),IF($X40&lt;30,1,0))</formula>
    </cfRule>
    <cfRule type="expression" dxfId="1430" priority="237">
      <formula>AND(IF($Q40=3,1,IF($Q40=4,1,0)),IF($F40&lt;=85,1,0))</formula>
    </cfRule>
  </conditionalFormatting>
  <conditionalFormatting sqref="AI40">
    <cfRule type="expression" dxfId="1429" priority="230">
      <formula>AND(IF(OR($Q40=1,$Q40=2),1,0),IF($X40&lt;=20,1,0))</formula>
    </cfRule>
    <cfRule type="expression" dxfId="1428" priority="231">
      <formula>AND(IF($Q40=2,1,0),IF($X40&lt;30,1,0))</formula>
    </cfRule>
    <cfRule type="expression" dxfId="1427" priority="232">
      <formula>AND(IF($Q40=3,1,0),IF($X40&lt;30,1,0))</formula>
    </cfRule>
    <cfRule type="expression" dxfId="1426" priority="233">
      <formula>AND(IF($Q40=3,1,IF($Q40=4,1,0)),IF($F40&lt;=85,1,0))</formula>
    </cfRule>
  </conditionalFormatting>
  <conditionalFormatting sqref="AV41">
    <cfRule type="expression" dxfId="1425" priority="228">
      <formula>AV41="X"</formula>
    </cfRule>
    <cfRule type="expression" dxfId="1424" priority="229">
      <formula>AV41="후보"</formula>
    </cfRule>
  </conditionalFormatting>
  <conditionalFormatting sqref="AC41 N41">
    <cfRule type="cellIs" dxfId="1423" priority="225" operator="greaterThan">
      <formula>0.9</formula>
    </cfRule>
    <cfRule type="cellIs" dxfId="1422" priority="226" operator="greaterThan">
      <formula>0.85</formula>
    </cfRule>
  </conditionalFormatting>
  <conditionalFormatting sqref="AV42">
    <cfRule type="expression" dxfId="1421" priority="223">
      <formula>AV42="X"</formula>
    </cfRule>
    <cfRule type="expression" dxfId="1420" priority="224">
      <formula>AV42="후보"</formula>
    </cfRule>
  </conditionalFormatting>
  <conditionalFormatting sqref="AC42">
    <cfRule type="cellIs" dxfId="1419" priority="220" operator="greaterThan">
      <formula>0.9</formula>
    </cfRule>
    <cfRule type="cellIs" dxfId="1418" priority="221" operator="greaterThan">
      <formula>0.85</formula>
    </cfRule>
  </conditionalFormatting>
  <conditionalFormatting sqref="N42">
    <cfRule type="cellIs" dxfId="1417" priority="218" operator="greaterThan">
      <formula>0.9</formula>
    </cfRule>
    <cfRule type="cellIs" dxfId="1416" priority="219" operator="greaterThan">
      <formula>0.85</formula>
    </cfRule>
  </conditionalFormatting>
  <conditionalFormatting sqref="E42">
    <cfRule type="expression" dxfId="1415" priority="214">
      <formula>AND(IF(OR($Q42=1,$Q42=2),1,0),IF($X42&lt;=20,1,0))</formula>
    </cfRule>
    <cfRule type="expression" dxfId="1414" priority="215">
      <formula>AND(IF($Q42=2,1,0),IF($X42&lt;30,1,0))</formula>
    </cfRule>
    <cfRule type="expression" dxfId="1413" priority="216">
      <formula>AND(IF($Q42=3,1,0),IF($X42&lt;30,1,0))</formula>
    </cfRule>
    <cfRule type="expression" dxfId="1412" priority="217">
      <formula>AND(IF($Q42=3,1,IF($Q42=4,1,0)),IF($F42&lt;=85,1,0))</formula>
    </cfRule>
  </conditionalFormatting>
  <conditionalFormatting sqref="X42">
    <cfRule type="expression" dxfId="1411" priority="210">
      <formula>AND(IF(OR($Q42=1,$Q42=2),1,0),IF($X42&lt;=20,1,0))</formula>
    </cfRule>
    <cfRule type="expression" dxfId="1410" priority="211">
      <formula>AND(IF($Q42=2,1,0),IF($X42&lt;30,1,0))</formula>
    </cfRule>
    <cfRule type="expression" dxfId="1409" priority="212">
      <formula>AND(IF($Q42=3,1,0),IF($X42&lt;30,1,0))</formula>
    </cfRule>
    <cfRule type="expression" dxfId="1408" priority="213">
      <formula>AND(IF($Q42=3,1,IF($Q42=4,1,0)),IF($F42&lt;=85,1,0))</formula>
    </cfRule>
  </conditionalFormatting>
  <conditionalFormatting sqref="AI42">
    <cfRule type="expression" dxfId="1407" priority="206">
      <formula>AND(IF(OR($Q42=1,$Q42=2),1,0),IF($X42&lt;=20,1,0))</formula>
    </cfRule>
    <cfRule type="expression" dxfId="1406" priority="207">
      <formula>AND(IF($Q42=2,1,0),IF($X42&lt;30,1,0))</formula>
    </cfRule>
    <cfRule type="expression" dxfId="1405" priority="208">
      <formula>AND(IF($Q42=3,1,0),IF($X42&lt;30,1,0))</formula>
    </cfRule>
    <cfRule type="expression" dxfId="1404" priority="209">
      <formula>AND(IF($Q42=3,1,IF($Q42=4,1,0)),IF($F42&lt;=85,1,0))</formula>
    </cfRule>
  </conditionalFormatting>
  <conditionalFormatting sqref="AV43">
    <cfRule type="expression" dxfId="1403" priority="204">
      <formula>AV43="X"</formula>
    </cfRule>
    <cfRule type="expression" dxfId="1402" priority="205">
      <formula>AV43="후보"</formula>
    </cfRule>
  </conditionalFormatting>
  <conditionalFormatting sqref="AC43">
    <cfRule type="cellIs" dxfId="1401" priority="201" operator="greaterThan">
      <formula>0.9</formula>
    </cfRule>
    <cfRule type="cellIs" dxfId="1400" priority="202" operator="greaterThan">
      <formula>0.85</formula>
    </cfRule>
  </conditionalFormatting>
  <conditionalFormatting sqref="N43">
    <cfRule type="cellIs" dxfId="1399" priority="199" operator="greaterThan">
      <formula>0.9</formula>
    </cfRule>
    <cfRule type="cellIs" dxfId="1398" priority="200" operator="greaterThan">
      <formula>0.85</formula>
    </cfRule>
  </conditionalFormatting>
  <conditionalFormatting sqref="E43">
    <cfRule type="expression" dxfId="1397" priority="195">
      <formula>AND(IF(OR($Q43=1,$Q43=2),1,0),IF($X43&lt;=20,1,0))</formula>
    </cfRule>
    <cfRule type="expression" dxfId="1396" priority="196">
      <formula>AND(IF($Q43=2,1,0),IF($X43&lt;30,1,0))</formula>
    </cfRule>
    <cfRule type="expression" dxfId="1395" priority="197">
      <formula>AND(IF($Q43=3,1,0),IF($X43&lt;30,1,0))</formula>
    </cfRule>
    <cfRule type="expression" dxfId="1394" priority="198">
      <formula>AND(IF($Q43=3,1,IF($Q43=4,1,0)),IF($F43&lt;=85,1,0))</formula>
    </cfRule>
  </conditionalFormatting>
  <conditionalFormatting sqref="X43">
    <cfRule type="expression" dxfId="1393" priority="191">
      <formula>AND(IF(OR($Q43=1,$Q43=2),1,0),IF($X43&lt;=20,1,0))</formula>
    </cfRule>
    <cfRule type="expression" dxfId="1392" priority="192">
      <formula>AND(IF($Q43=2,1,0),IF($X43&lt;30,1,0))</formula>
    </cfRule>
    <cfRule type="expression" dxfId="1391" priority="193">
      <formula>AND(IF($Q43=3,1,0),IF($X43&lt;30,1,0))</formula>
    </cfRule>
    <cfRule type="expression" dxfId="1390" priority="194">
      <formula>AND(IF($Q43=3,1,IF($Q43=4,1,0)),IF($F43&lt;=85,1,0))</formula>
    </cfRule>
  </conditionalFormatting>
  <conditionalFormatting sqref="AI43">
    <cfRule type="expression" dxfId="1389" priority="187">
      <formula>AND(IF(OR($Q43=1,$Q43=2),1,0),IF($X43&lt;=20,1,0))</formula>
    </cfRule>
    <cfRule type="expression" dxfId="1388" priority="188">
      <formula>AND(IF($Q43=2,1,0),IF($X43&lt;30,1,0))</formula>
    </cfRule>
    <cfRule type="expression" dxfId="1387" priority="189">
      <formula>AND(IF($Q43=3,1,0),IF($X43&lt;30,1,0))</formula>
    </cfRule>
    <cfRule type="expression" dxfId="1386" priority="190">
      <formula>AND(IF($Q43=3,1,IF($Q43=4,1,0)),IF($F43&lt;=85,1,0))</formula>
    </cfRule>
  </conditionalFormatting>
  <conditionalFormatting sqref="AV44">
    <cfRule type="expression" dxfId="1385" priority="185">
      <formula>AV44="X"</formula>
    </cfRule>
    <cfRule type="expression" dxfId="1384" priority="186">
      <formula>AV44="후보"</formula>
    </cfRule>
  </conditionalFormatting>
  <conditionalFormatting sqref="AC44">
    <cfRule type="cellIs" dxfId="1383" priority="182" operator="greaterThan">
      <formula>0.9</formula>
    </cfRule>
    <cfRule type="cellIs" dxfId="1382" priority="183" operator="greaterThan">
      <formula>0.85</formula>
    </cfRule>
  </conditionalFormatting>
  <conditionalFormatting sqref="N44">
    <cfRule type="cellIs" dxfId="1381" priority="180" operator="greaterThan">
      <formula>0.9</formula>
    </cfRule>
    <cfRule type="cellIs" dxfId="1380" priority="181" operator="greaterThan">
      <formula>0.85</formula>
    </cfRule>
  </conditionalFormatting>
  <conditionalFormatting sqref="E44">
    <cfRule type="expression" dxfId="1379" priority="176">
      <formula>AND(IF(OR($Q44=1,$Q44=2),1,0),IF($X44&lt;=20,1,0))</formula>
    </cfRule>
    <cfRule type="expression" dxfId="1378" priority="177">
      <formula>AND(IF($Q44=2,1,0),IF($X44&lt;30,1,0))</formula>
    </cfRule>
    <cfRule type="expression" dxfId="1377" priority="178">
      <formula>AND(IF($Q44=3,1,0),IF($X44&lt;30,1,0))</formula>
    </cfRule>
    <cfRule type="expression" dxfId="1376" priority="179">
      <formula>AND(IF($Q44=3,1,IF($Q44=4,1,0)),IF($F44&lt;=85,1,0))</formula>
    </cfRule>
  </conditionalFormatting>
  <conditionalFormatting sqref="X44">
    <cfRule type="expression" dxfId="1375" priority="172">
      <formula>AND(IF(OR($Q44=1,$Q44=2),1,0),IF($X44&lt;=20,1,0))</formula>
    </cfRule>
    <cfRule type="expression" dxfId="1374" priority="173">
      <formula>AND(IF($Q44=2,1,0),IF($X44&lt;30,1,0))</formula>
    </cfRule>
    <cfRule type="expression" dxfId="1373" priority="174">
      <formula>AND(IF($Q44=3,1,0),IF($X44&lt;30,1,0))</formula>
    </cfRule>
    <cfRule type="expression" dxfId="1372" priority="175">
      <formula>AND(IF($Q44=3,1,IF($Q44=4,1,0)),IF($F44&lt;=85,1,0))</formula>
    </cfRule>
  </conditionalFormatting>
  <conditionalFormatting sqref="AI44">
    <cfRule type="expression" dxfId="1371" priority="168">
      <formula>AND(IF(OR($Q44=1,$Q44=2),1,0),IF($X44&lt;=20,1,0))</formula>
    </cfRule>
    <cfRule type="expression" dxfId="1370" priority="169">
      <formula>AND(IF($Q44=2,1,0),IF($X44&lt;30,1,0))</formula>
    </cfRule>
    <cfRule type="expression" dxfId="1369" priority="170">
      <formula>AND(IF($Q44=3,1,0),IF($X44&lt;30,1,0))</formula>
    </cfRule>
    <cfRule type="expression" dxfId="1368" priority="171">
      <formula>AND(IF($Q44=3,1,IF($Q44=4,1,0)),IF($F44&lt;=85,1,0))</formula>
    </cfRule>
  </conditionalFormatting>
  <conditionalFormatting sqref="AV45">
    <cfRule type="expression" dxfId="1367" priority="166">
      <formula>AV45="X"</formula>
    </cfRule>
    <cfRule type="expression" dxfId="1366" priority="167">
      <formula>AV45="후보"</formula>
    </cfRule>
  </conditionalFormatting>
  <conditionalFormatting sqref="AC45">
    <cfRule type="cellIs" dxfId="1365" priority="163" operator="greaterThan">
      <formula>0.9</formula>
    </cfRule>
    <cfRule type="cellIs" dxfId="1364" priority="164" operator="greaterThan">
      <formula>0.85</formula>
    </cfRule>
  </conditionalFormatting>
  <conditionalFormatting sqref="N45">
    <cfRule type="cellIs" dxfId="1363" priority="161" operator="greaterThan">
      <formula>0.9</formula>
    </cfRule>
    <cfRule type="cellIs" dxfId="1362" priority="162" operator="greaterThan">
      <formula>0.85</formula>
    </cfRule>
  </conditionalFormatting>
  <conditionalFormatting sqref="E45">
    <cfRule type="expression" dxfId="1361" priority="157">
      <formula>AND(IF(OR($Q45=1,$Q45=2),1,0),IF($X45&lt;=20,1,0))</formula>
    </cfRule>
    <cfRule type="expression" dxfId="1360" priority="158">
      <formula>AND(IF($Q45=2,1,0),IF($X45&lt;30,1,0))</formula>
    </cfRule>
    <cfRule type="expression" dxfId="1359" priority="159">
      <formula>AND(IF($Q45=3,1,0),IF($X45&lt;30,1,0))</formula>
    </cfRule>
    <cfRule type="expression" dxfId="1358" priority="160">
      <formula>AND(IF($Q45=3,1,IF($Q45=4,1,0)),IF($F45&lt;=85,1,0))</formula>
    </cfRule>
  </conditionalFormatting>
  <conditionalFormatting sqref="X45">
    <cfRule type="expression" dxfId="1357" priority="153">
      <formula>AND(IF(OR($Q45=1,$Q45=2),1,0),IF($X45&lt;=20,1,0))</formula>
    </cfRule>
    <cfRule type="expression" dxfId="1356" priority="154">
      <formula>AND(IF($Q45=2,1,0),IF($X45&lt;30,1,0))</formula>
    </cfRule>
    <cfRule type="expression" dxfId="1355" priority="155">
      <formula>AND(IF($Q45=3,1,0),IF($X45&lt;30,1,0))</formula>
    </cfRule>
    <cfRule type="expression" dxfId="1354" priority="156">
      <formula>AND(IF($Q45=3,1,IF($Q45=4,1,0)),IF($F45&lt;=85,1,0))</formula>
    </cfRule>
  </conditionalFormatting>
  <conditionalFormatting sqref="AI45">
    <cfRule type="expression" dxfId="1353" priority="149">
      <formula>AND(IF(OR($Q45=1,$Q45=2),1,0),IF($X45&lt;=20,1,0))</formula>
    </cfRule>
    <cfRule type="expression" dxfId="1352" priority="150">
      <formula>AND(IF($Q45=2,1,0),IF($X45&lt;30,1,0))</formula>
    </cfRule>
    <cfRule type="expression" dxfId="1351" priority="151">
      <formula>AND(IF($Q45=3,1,0),IF($X45&lt;30,1,0))</formula>
    </cfRule>
    <cfRule type="expression" dxfId="1350" priority="152">
      <formula>AND(IF($Q45=3,1,IF($Q45=4,1,0)),IF($F45&lt;=85,1,0))</formula>
    </cfRule>
  </conditionalFormatting>
  <conditionalFormatting sqref="AV46">
    <cfRule type="expression" dxfId="1349" priority="147">
      <formula>AV46="X"</formula>
    </cfRule>
    <cfRule type="expression" dxfId="1348" priority="148">
      <formula>AV46="후보"</formula>
    </cfRule>
  </conditionalFormatting>
  <conditionalFormatting sqref="AC46 N46">
    <cfRule type="cellIs" dxfId="1347" priority="144" operator="greaterThan">
      <formula>0.9</formula>
    </cfRule>
    <cfRule type="cellIs" dxfId="1346" priority="145" operator="greaterThan">
      <formula>0.85</formula>
    </cfRule>
  </conditionalFormatting>
  <conditionalFormatting sqref="AV47">
    <cfRule type="expression" dxfId="1345" priority="142">
      <formula>AV47="X"</formula>
    </cfRule>
    <cfRule type="expression" dxfId="1344" priority="143">
      <formula>AV47="후보"</formula>
    </cfRule>
  </conditionalFormatting>
  <conditionalFormatting sqref="AC47">
    <cfRule type="cellIs" dxfId="1343" priority="139" operator="greaterThan">
      <formula>0.9</formula>
    </cfRule>
    <cfRule type="cellIs" dxfId="1342" priority="140" operator="greaterThan">
      <formula>0.85</formula>
    </cfRule>
  </conditionalFormatting>
  <conditionalFormatting sqref="N47">
    <cfRule type="cellIs" dxfId="1341" priority="137" operator="greaterThan">
      <formula>0.9</formula>
    </cfRule>
    <cfRule type="cellIs" dxfId="1340" priority="138" operator="greaterThan">
      <formula>0.85</formula>
    </cfRule>
  </conditionalFormatting>
  <conditionalFormatting sqref="E47">
    <cfRule type="expression" dxfId="1339" priority="133">
      <formula>AND(IF(OR($Q47=1,$Q47=2),1,0),IF($X47&lt;=20,1,0))</formula>
    </cfRule>
    <cfRule type="expression" dxfId="1338" priority="134">
      <formula>AND(IF($Q47=2,1,0),IF($X47&lt;30,1,0))</formula>
    </cfRule>
    <cfRule type="expression" dxfId="1337" priority="135">
      <formula>AND(IF($Q47=3,1,0),IF($X47&lt;30,1,0))</formula>
    </cfRule>
    <cfRule type="expression" dxfId="1336" priority="136">
      <formula>AND(IF($Q47=3,1,IF($Q47=4,1,0)),IF($F47&lt;=85,1,0))</formula>
    </cfRule>
  </conditionalFormatting>
  <conditionalFormatting sqref="X47">
    <cfRule type="expression" dxfId="1335" priority="129">
      <formula>AND(IF(OR($Q47=1,$Q47=2),1,0),IF($X47&lt;=20,1,0))</formula>
    </cfRule>
    <cfRule type="expression" dxfId="1334" priority="130">
      <formula>AND(IF($Q47=2,1,0),IF($X47&lt;30,1,0))</formula>
    </cfRule>
    <cfRule type="expression" dxfId="1333" priority="131">
      <formula>AND(IF($Q47=3,1,0),IF($X47&lt;30,1,0))</formula>
    </cfRule>
    <cfRule type="expression" dxfId="1332" priority="132">
      <formula>AND(IF($Q47=3,1,IF($Q47=4,1,0)),IF($F47&lt;=85,1,0))</formula>
    </cfRule>
  </conditionalFormatting>
  <conditionalFormatting sqref="AI47">
    <cfRule type="expression" dxfId="1331" priority="125">
      <formula>AND(IF(OR($Q47=1,$Q47=2),1,0),IF($X47&lt;=20,1,0))</formula>
    </cfRule>
    <cfRule type="expression" dxfId="1330" priority="126">
      <formula>AND(IF($Q47=2,1,0),IF($X47&lt;30,1,0))</formula>
    </cfRule>
    <cfRule type="expression" dxfId="1329" priority="127">
      <formula>AND(IF($Q47=3,1,0),IF($X47&lt;30,1,0))</formula>
    </cfRule>
    <cfRule type="expression" dxfId="1328" priority="128">
      <formula>AND(IF($Q47=3,1,IF($Q47=4,1,0)),IF($F47&lt;=85,1,0))</formula>
    </cfRule>
  </conditionalFormatting>
  <conditionalFormatting sqref="AV48">
    <cfRule type="expression" dxfId="1327" priority="123">
      <formula>AV48="X"</formula>
    </cfRule>
    <cfRule type="expression" dxfId="1326" priority="124">
      <formula>AV48="후보"</formula>
    </cfRule>
  </conditionalFormatting>
  <conditionalFormatting sqref="AC48">
    <cfRule type="cellIs" dxfId="1325" priority="120" operator="greaterThan">
      <formula>0.9</formula>
    </cfRule>
    <cfRule type="cellIs" dxfId="1324" priority="121" operator="greaterThan">
      <formula>0.85</formula>
    </cfRule>
  </conditionalFormatting>
  <conditionalFormatting sqref="N48">
    <cfRule type="cellIs" dxfId="1323" priority="118" operator="greaterThan">
      <formula>0.9</formula>
    </cfRule>
    <cfRule type="cellIs" dxfId="1322" priority="119" operator="greaterThan">
      <formula>0.85</formula>
    </cfRule>
  </conditionalFormatting>
  <conditionalFormatting sqref="E48">
    <cfRule type="expression" dxfId="1321" priority="114">
      <formula>AND(IF(OR($Q48=1,$Q48=2),1,0),IF($X48&lt;=20,1,0))</formula>
    </cfRule>
    <cfRule type="expression" dxfId="1320" priority="115">
      <formula>AND(IF($Q48=2,1,0),IF($X48&lt;30,1,0))</formula>
    </cfRule>
    <cfRule type="expression" dxfId="1319" priority="116">
      <formula>AND(IF($Q48=3,1,0),IF($X48&lt;30,1,0))</formula>
    </cfRule>
    <cfRule type="expression" dxfId="1318" priority="117">
      <formula>AND(IF($Q48=3,1,IF($Q48=4,1,0)),IF($F48&lt;=85,1,0))</formula>
    </cfRule>
  </conditionalFormatting>
  <conditionalFormatting sqref="X48">
    <cfRule type="expression" dxfId="1317" priority="110">
      <formula>AND(IF(OR($Q48=1,$Q48=2),1,0),IF($X48&lt;=20,1,0))</formula>
    </cfRule>
    <cfRule type="expression" dxfId="1316" priority="111">
      <formula>AND(IF($Q48=2,1,0),IF($X48&lt;30,1,0))</formula>
    </cfRule>
    <cfRule type="expression" dxfId="1315" priority="112">
      <formula>AND(IF($Q48=3,1,0),IF($X48&lt;30,1,0))</formula>
    </cfRule>
    <cfRule type="expression" dxfId="1314" priority="113">
      <formula>AND(IF($Q48=3,1,IF($Q48=4,1,0)),IF($F48&lt;=85,1,0))</formula>
    </cfRule>
  </conditionalFormatting>
  <conditionalFormatting sqref="AI48">
    <cfRule type="expression" dxfId="1313" priority="106">
      <formula>AND(IF(OR($Q48=1,$Q48=2),1,0),IF($X48&lt;=20,1,0))</formula>
    </cfRule>
    <cfRule type="expression" dxfId="1312" priority="107">
      <formula>AND(IF($Q48=2,1,0),IF($X48&lt;30,1,0))</formula>
    </cfRule>
    <cfRule type="expression" dxfId="1311" priority="108">
      <formula>AND(IF($Q48=3,1,0),IF($X48&lt;30,1,0))</formula>
    </cfRule>
    <cfRule type="expression" dxfId="1310" priority="109">
      <formula>AND(IF($Q48=3,1,IF($Q48=4,1,0)),IF($F48&lt;=85,1,0))</formula>
    </cfRule>
  </conditionalFormatting>
  <conditionalFormatting sqref="AV49">
    <cfRule type="expression" dxfId="1309" priority="104">
      <formula>AV49="X"</formula>
    </cfRule>
    <cfRule type="expression" dxfId="1308" priority="105">
      <formula>AV49="후보"</formula>
    </cfRule>
  </conditionalFormatting>
  <conditionalFormatting sqref="AC49">
    <cfRule type="cellIs" dxfId="1307" priority="101" operator="greaterThan">
      <formula>0.9</formula>
    </cfRule>
    <cfRule type="cellIs" dxfId="1306" priority="102" operator="greaterThan">
      <formula>0.85</formula>
    </cfRule>
  </conditionalFormatting>
  <conditionalFormatting sqref="N49">
    <cfRule type="cellIs" dxfId="1305" priority="99" operator="greaterThan">
      <formula>0.9</formula>
    </cfRule>
    <cfRule type="cellIs" dxfId="1304" priority="100" operator="greaterThan">
      <formula>0.85</formula>
    </cfRule>
  </conditionalFormatting>
  <conditionalFormatting sqref="E49">
    <cfRule type="expression" dxfId="1303" priority="95">
      <formula>AND(IF(OR($Q49=1,$Q49=2),1,0),IF($X49&lt;=20,1,0))</formula>
    </cfRule>
    <cfRule type="expression" dxfId="1302" priority="96">
      <formula>AND(IF($Q49=2,1,0),IF($X49&lt;30,1,0))</formula>
    </cfRule>
    <cfRule type="expression" dxfId="1301" priority="97">
      <formula>AND(IF($Q49=3,1,0),IF($X49&lt;30,1,0))</formula>
    </cfRule>
    <cfRule type="expression" dxfId="1300" priority="98">
      <formula>AND(IF($Q49=3,1,IF($Q49=4,1,0)),IF($F49&lt;=85,1,0))</formula>
    </cfRule>
  </conditionalFormatting>
  <conditionalFormatting sqref="X49">
    <cfRule type="expression" dxfId="1299" priority="91">
      <formula>AND(IF(OR($Q49=1,$Q49=2),1,0),IF($X49&lt;=20,1,0))</formula>
    </cfRule>
    <cfRule type="expression" dxfId="1298" priority="92">
      <formula>AND(IF($Q49=2,1,0),IF($X49&lt;30,1,0))</formula>
    </cfRule>
    <cfRule type="expression" dxfId="1297" priority="93">
      <formula>AND(IF($Q49=3,1,0),IF($X49&lt;30,1,0))</formula>
    </cfRule>
    <cfRule type="expression" dxfId="1296" priority="94">
      <formula>AND(IF($Q49=3,1,IF($Q49=4,1,0)),IF($F49&lt;=85,1,0))</formula>
    </cfRule>
  </conditionalFormatting>
  <conditionalFormatting sqref="AI49">
    <cfRule type="expression" dxfId="1295" priority="87">
      <formula>AND(IF(OR($Q49=1,$Q49=2),1,0),IF($X49&lt;=20,1,0))</formula>
    </cfRule>
    <cfRule type="expression" dxfId="1294" priority="88">
      <formula>AND(IF($Q49=2,1,0),IF($X49&lt;30,1,0))</formula>
    </cfRule>
    <cfRule type="expression" dxfId="1293" priority="89">
      <formula>AND(IF($Q49=3,1,0),IF($X49&lt;30,1,0))</formula>
    </cfRule>
    <cfRule type="expression" dxfId="1292" priority="90">
      <formula>AND(IF($Q49=3,1,IF($Q49=4,1,0)),IF($F49&lt;=85,1,0))</formula>
    </cfRule>
  </conditionalFormatting>
  <conditionalFormatting sqref="AV50">
    <cfRule type="expression" dxfId="1291" priority="85">
      <formula>AV50="X"</formula>
    </cfRule>
    <cfRule type="expression" dxfId="1290" priority="86">
      <formula>AV50="후보"</formula>
    </cfRule>
  </conditionalFormatting>
  <conditionalFormatting sqref="AC50 N50">
    <cfRule type="cellIs" dxfId="1289" priority="82" operator="greaterThan">
      <formula>0.9</formula>
    </cfRule>
    <cfRule type="cellIs" dxfId="1288" priority="83" operator="greaterThan">
      <formula>0.85</formula>
    </cfRule>
  </conditionalFormatting>
  <conditionalFormatting sqref="AV51">
    <cfRule type="expression" dxfId="1287" priority="80">
      <formula>AV51="X"</formula>
    </cfRule>
    <cfRule type="expression" dxfId="1286" priority="81">
      <formula>AV51="후보"</formula>
    </cfRule>
  </conditionalFormatting>
  <conditionalFormatting sqref="AC51">
    <cfRule type="cellIs" dxfId="1285" priority="77" operator="greaterThan">
      <formula>0.9</formula>
    </cfRule>
    <cfRule type="cellIs" dxfId="1284" priority="78" operator="greaterThan">
      <formula>0.85</formula>
    </cfRule>
  </conditionalFormatting>
  <conditionalFormatting sqref="N51">
    <cfRule type="cellIs" dxfId="1283" priority="75" operator="greaterThan">
      <formula>0.9</formula>
    </cfRule>
    <cfRule type="cellIs" dxfId="1282" priority="76" operator="greaterThan">
      <formula>0.85</formula>
    </cfRule>
  </conditionalFormatting>
  <conditionalFormatting sqref="E51">
    <cfRule type="expression" dxfId="1281" priority="71">
      <formula>AND(IF(OR($Q51=1,$Q51=2),1,0),IF($X51&lt;=20,1,0))</formula>
    </cfRule>
    <cfRule type="expression" dxfId="1280" priority="72">
      <formula>AND(IF($Q51=2,1,0),IF($X51&lt;30,1,0))</formula>
    </cfRule>
    <cfRule type="expression" dxfId="1279" priority="73">
      <formula>AND(IF($Q51=3,1,0),IF($X51&lt;30,1,0))</formula>
    </cfRule>
    <cfRule type="expression" dxfId="1278" priority="74">
      <formula>AND(IF($Q51=3,1,IF($Q51=4,1,0)),IF($F51&lt;=85,1,0))</formula>
    </cfRule>
  </conditionalFormatting>
  <conditionalFormatting sqref="X51">
    <cfRule type="expression" dxfId="1277" priority="67">
      <formula>AND(IF(OR($Q51=1,$Q51=2),1,0),IF($X51&lt;=20,1,0))</formula>
    </cfRule>
    <cfRule type="expression" dxfId="1276" priority="68">
      <formula>AND(IF($Q51=2,1,0),IF($X51&lt;30,1,0))</formula>
    </cfRule>
    <cfRule type="expression" dxfId="1275" priority="69">
      <formula>AND(IF($Q51=3,1,0),IF($X51&lt;30,1,0))</formula>
    </cfRule>
    <cfRule type="expression" dxfId="1274" priority="70">
      <formula>AND(IF($Q51=3,1,IF($Q51=4,1,0)),IF($F51&lt;=85,1,0))</formula>
    </cfRule>
  </conditionalFormatting>
  <conditionalFormatting sqref="AI51">
    <cfRule type="expression" dxfId="1273" priority="63">
      <formula>AND(IF(OR($Q51=1,$Q51=2),1,0),IF($X51&lt;=20,1,0))</formula>
    </cfRule>
    <cfRule type="expression" dxfId="1272" priority="64">
      <formula>AND(IF($Q51=2,1,0),IF($X51&lt;30,1,0))</formula>
    </cfRule>
    <cfRule type="expression" dxfId="1271" priority="65">
      <formula>AND(IF($Q51=3,1,0),IF($X51&lt;30,1,0))</formula>
    </cfRule>
    <cfRule type="expression" dxfId="1270" priority="66">
      <formula>AND(IF($Q51=3,1,IF($Q51=4,1,0)),IF($F51&lt;=85,1,0))</formula>
    </cfRule>
  </conditionalFormatting>
  <conditionalFormatting sqref="AV52">
    <cfRule type="expression" dxfId="1269" priority="61">
      <formula>AV52="X"</formula>
    </cfRule>
    <cfRule type="expression" dxfId="1268" priority="62">
      <formula>AV52="후보"</formula>
    </cfRule>
  </conditionalFormatting>
  <conditionalFormatting sqref="AC52">
    <cfRule type="cellIs" dxfId="1267" priority="58" operator="greaterThan">
      <formula>0.9</formula>
    </cfRule>
    <cfRule type="cellIs" dxfId="1266" priority="59" operator="greaterThan">
      <formula>0.85</formula>
    </cfRule>
  </conditionalFormatting>
  <conditionalFormatting sqref="N52">
    <cfRule type="cellIs" dxfId="1265" priority="56" operator="greaterThan">
      <formula>0.9</formula>
    </cfRule>
    <cfRule type="cellIs" dxfId="1264" priority="57" operator="greaterThan">
      <formula>0.85</formula>
    </cfRule>
  </conditionalFormatting>
  <conditionalFormatting sqref="E52">
    <cfRule type="expression" dxfId="1263" priority="52">
      <formula>AND(IF(OR($Q52=1,$Q52=2),1,0),IF($X52&lt;=20,1,0))</formula>
    </cfRule>
    <cfRule type="expression" dxfId="1262" priority="53">
      <formula>AND(IF($Q52=2,1,0),IF($X52&lt;30,1,0))</formula>
    </cfRule>
    <cfRule type="expression" dxfId="1261" priority="54">
      <formula>AND(IF($Q52=3,1,0),IF($X52&lt;30,1,0))</formula>
    </cfRule>
    <cfRule type="expression" dxfId="1260" priority="55">
      <formula>AND(IF($Q52=3,1,IF($Q52=4,1,0)),IF($F52&lt;=85,1,0))</formula>
    </cfRule>
  </conditionalFormatting>
  <conditionalFormatting sqref="X52">
    <cfRule type="expression" dxfId="1259" priority="48">
      <formula>AND(IF(OR($Q52=1,$Q52=2),1,0),IF($X52&lt;=20,1,0))</formula>
    </cfRule>
    <cfRule type="expression" dxfId="1258" priority="49">
      <formula>AND(IF($Q52=2,1,0),IF($X52&lt;30,1,0))</formula>
    </cfRule>
    <cfRule type="expression" dxfId="1257" priority="50">
      <formula>AND(IF($Q52=3,1,0),IF($X52&lt;30,1,0))</formula>
    </cfRule>
    <cfRule type="expression" dxfId="1256" priority="51">
      <formula>AND(IF($Q52=3,1,IF($Q52=4,1,0)),IF($F52&lt;=85,1,0))</formula>
    </cfRule>
  </conditionalFormatting>
  <conditionalFormatting sqref="AI52">
    <cfRule type="expression" dxfId="1255" priority="44">
      <formula>AND(IF(OR($Q52=1,$Q52=2),1,0),IF($X52&lt;=20,1,0))</formula>
    </cfRule>
    <cfRule type="expression" dxfId="1254" priority="45">
      <formula>AND(IF($Q52=2,1,0),IF($X52&lt;30,1,0))</formula>
    </cfRule>
    <cfRule type="expression" dxfId="1253" priority="46">
      <formula>AND(IF($Q52=3,1,0),IF($X52&lt;30,1,0))</formula>
    </cfRule>
    <cfRule type="expression" dxfId="1252" priority="47">
      <formula>AND(IF($Q52=3,1,IF($Q52=4,1,0)),IF($F52&lt;=85,1,0))</formula>
    </cfRule>
  </conditionalFormatting>
  <conditionalFormatting sqref="AV53">
    <cfRule type="expression" dxfId="1251" priority="42">
      <formula>AV53="X"</formula>
    </cfRule>
    <cfRule type="expression" dxfId="1250" priority="43">
      <formula>AV53="후보"</formula>
    </cfRule>
  </conditionalFormatting>
  <conditionalFormatting sqref="AC53 N53">
    <cfRule type="cellIs" dxfId="1249" priority="39" operator="greaterThan">
      <formula>0.9</formula>
    </cfRule>
    <cfRule type="cellIs" dxfId="1248" priority="40" operator="greaterThan">
      <formula>0.85</formula>
    </cfRule>
  </conditionalFormatting>
  <conditionalFormatting sqref="AV54">
    <cfRule type="expression" dxfId="1247" priority="37">
      <formula>AV54="X"</formula>
    </cfRule>
    <cfRule type="expression" dxfId="1246" priority="38">
      <formula>AV54="후보"</formula>
    </cfRule>
  </conditionalFormatting>
  <conditionalFormatting sqref="AC54">
    <cfRule type="cellIs" dxfId="1245" priority="34" operator="greaterThan">
      <formula>0.9</formula>
    </cfRule>
    <cfRule type="cellIs" dxfId="1244" priority="35" operator="greaterThan">
      <formula>0.85</formula>
    </cfRule>
  </conditionalFormatting>
  <conditionalFormatting sqref="N54">
    <cfRule type="cellIs" dxfId="1243" priority="32" operator="greaterThan">
      <formula>0.9</formula>
    </cfRule>
    <cfRule type="cellIs" dxfId="1242" priority="33" operator="greaterThan">
      <formula>0.85</formula>
    </cfRule>
  </conditionalFormatting>
  <conditionalFormatting sqref="E54">
    <cfRule type="expression" dxfId="1241" priority="28">
      <formula>AND(IF(OR($Q54=1,$Q54=2),1,0),IF($X54&lt;=20,1,0))</formula>
    </cfRule>
    <cfRule type="expression" dxfId="1240" priority="29">
      <formula>AND(IF($Q54=2,1,0),IF($X54&lt;30,1,0))</formula>
    </cfRule>
    <cfRule type="expression" dxfId="1239" priority="30">
      <formula>AND(IF($Q54=3,1,0),IF($X54&lt;30,1,0))</formula>
    </cfRule>
    <cfRule type="expression" dxfId="1238" priority="31">
      <formula>AND(IF($Q54=3,1,IF($Q54=4,1,0)),IF($F54&lt;=85,1,0))</formula>
    </cfRule>
  </conditionalFormatting>
  <conditionalFormatting sqref="X54">
    <cfRule type="expression" dxfId="1237" priority="24">
      <formula>AND(IF(OR($Q54=1,$Q54=2),1,0),IF($X54&lt;=20,1,0))</formula>
    </cfRule>
    <cfRule type="expression" dxfId="1236" priority="25">
      <formula>AND(IF($Q54=2,1,0),IF($X54&lt;30,1,0))</formula>
    </cfRule>
    <cfRule type="expression" dxfId="1235" priority="26">
      <formula>AND(IF($Q54=3,1,0),IF($X54&lt;30,1,0))</formula>
    </cfRule>
    <cfRule type="expression" dxfId="1234" priority="27">
      <formula>AND(IF($Q54=3,1,IF($Q54=4,1,0)),IF($F54&lt;=85,1,0))</formula>
    </cfRule>
  </conditionalFormatting>
  <conditionalFormatting sqref="AI54">
    <cfRule type="expression" dxfId="1233" priority="20">
      <formula>AND(IF(OR($Q54=1,$Q54=2),1,0),IF($X54&lt;=20,1,0))</formula>
    </cfRule>
    <cfRule type="expression" dxfId="1232" priority="21">
      <formula>AND(IF($Q54=2,1,0),IF($X54&lt;30,1,0))</formula>
    </cfRule>
    <cfRule type="expression" dxfId="1231" priority="22">
      <formula>AND(IF($Q54=3,1,0),IF($X54&lt;30,1,0))</formula>
    </cfRule>
    <cfRule type="expression" dxfId="1230" priority="23">
      <formula>AND(IF($Q54=3,1,IF($Q54=4,1,0)),IF($F54&lt;=85,1,0))</formula>
    </cfRule>
  </conditionalFormatting>
  <conditionalFormatting sqref="AV55">
    <cfRule type="expression" dxfId="1229" priority="18">
      <formula>AV55="X"</formula>
    </cfRule>
    <cfRule type="expression" dxfId="1228" priority="19">
      <formula>AV55="후보"</formula>
    </cfRule>
  </conditionalFormatting>
  <conditionalFormatting sqref="AC55">
    <cfRule type="cellIs" dxfId="1227" priority="15" operator="greaterThan">
      <formula>0.9</formula>
    </cfRule>
    <cfRule type="cellIs" dxfId="1226" priority="16" operator="greaterThan">
      <formula>0.85</formula>
    </cfRule>
  </conditionalFormatting>
  <conditionalFormatting sqref="N55">
    <cfRule type="cellIs" dxfId="1225" priority="13" operator="greaterThan">
      <formula>0.9</formula>
    </cfRule>
    <cfRule type="cellIs" dxfId="1224" priority="14" operator="greaterThan">
      <formula>0.85</formula>
    </cfRule>
  </conditionalFormatting>
  <conditionalFormatting sqref="E55">
    <cfRule type="expression" dxfId="1223" priority="9">
      <formula>AND(IF(OR($Q55=1,$Q55=2),1,0),IF($X55&lt;=20,1,0))</formula>
    </cfRule>
    <cfRule type="expression" dxfId="1222" priority="10">
      <formula>AND(IF($Q55=2,1,0),IF($X55&lt;30,1,0))</formula>
    </cfRule>
    <cfRule type="expression" dxfId="1221" priority="11">
      <formula>AND(IF($Q55=3,1,0),IF($X55&lt;30,1,0))</formula>
    </cfRule>
    <cfRule type="expression" dxfId="1220" priority="12">
      <formula>AND(IF($Q55=3,1,IF($Q55=4,1,0)),IF($F55&lt;=85,1,0))</formula>
    </cfRule>
  </conditionalFormatting>
  <conditionalFormatting sqref="X55">
    <cfRule type="expression" dxfId="1219" priority="5">
      <formula>AND(IF(OR($Q55=1,$Q55=2),1,0),IF($X55&lt;=20,1,0))</formula>
    </cfRule>
    <cfRule type="expression" dxfId="1218" priority="6">
      <formula>AND(IF($Q55=2,1,0),IF($X55&lt;30,1,0))</formula>
    </cfRule>
    <cfRule type="expression" dxfId="1217" priority="7">
      <formula>AND(IF($Q55=3,1,0),IF($X55&lt;30,1,0))</formula>
    </cfRule>
    <cfRule type="expression" dxfId="1216" priority="8">
      <formula>AND(IF($Q55=3,1,IF($Q55=4,1,0)),IF($F55&lt;=85,1,0))</formula>
    </cfRule>
  </conditionalFormatting>
  <conditionalFormatting sqref="AI55">
    <cfRule type="expression" dxfId="1215" priority="1">
      <formula>AND(IF(OR($Q55=1,$Q55=2),1,0),IF($X55&lt;=20,1,0))</formula>
    </cfRule>
    <cfRule type="expression" dxfId="1214" priority="2">
      <formula>AND(IF($Q55=2,1,0),IF($X55&lt;30,1,0))</formula>
    </cfRule>
    <cfRule type="expression" dxfId="1213" priority="3">
      <formula>AND(IF($Q55=3,1,0),IF($X55&lt;30,1,0))</formula>
    </cfRule>
    <cfRule type="expression" dxfId="1212" priority="4">
      <formula>AND(IF($Q55=3,1,IF($Q55=4,1,0)),IF($F55&lt;=85,1,0))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장천동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26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676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장천동 창원한신휴플러스오션파크('16.05.,684^)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26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671</v>
      </c>
      <c r="B6" s="10" t="s">
        <v>923</v>
      </c>
      <c r="C6" s="107">
        <v>684</v>
      </c>
      <c r="D6" s="104">
        <v>89.7</v>
      </c>
      <c r="E6" s="106">
        <v>27</v>
      </c>
      <c r="F6" s="104">
        <v>69.8</v>
      </c>
      <c r="G6" s="17">
        <v>21</v>
      </c>
      <c r="H6" s="107">
        <v>101</v>
      </c>
      <c r="I6" s="108">
        <v>31500</v>
      </c>
      <c r="J6" s="108" t="s">
        <v>868</v>
      </c>
      <c r="K6" s="108"/>
      <c r="L6" s="108"/>
      <c r="M6" s="109">
        <f t="shared" ref="M6:M13" si="2">I6-K6</f>
        <v>31500</v>
      </c>
      <c r="N6" s="4">
        <f t="shared" ref="N6:N13" si="3">IF(ISERROR(K6/I6),"",K6/I6)</f>
        <v>0</v>
      </c>
      <c r="O6" s="105">
        <f t="shared" ref="O6:O13" si="4">I6/E6</f>
        <v>1166.6666666666667</v>
      </c>
      <c r="P6" s="105">
        <f t="shared" ref="P6:P13" si="5">K6/E6</f>
        <v>0</v>
      </c>
      <c r="Q6" s="75">
        <v>3</v>
      </c>
      <c r="R6" s="75">
        <v>2</v>
      </c>
      <c r="S6" s="75" t="s">
        <v>869</v>
      </c>
      <c r="T6" s="5" t="s">
        <v>673</v>
      </c>
      <c r="U6" s="9"/>
      <c r="W6" s="104">
        <f t="shared" ref="W6:X13" si="6">D6</f>
        <v>89.7</v>
      </c>
      <c r="X6" s="106">
        <f t="shared" si="6"/>
        <v>27</v>
      </c>
      <c r="Y6" s="102">
        <f t="shared" ref="Y6:Z13" si="7">H6</f>
        <v>101</v>
      </c>
      <c r="Z6" s="109">
        <f t="shared" si="7"/>
        <v>31500</v>
      </c>
      <c r="AA6" s="109">
        <f t="shared" ref="AA6:AA13" si="8">K6</f>
        <v>0</v>
      </c>
      <c r="AB6" s="109">
        <f t="shared" ref="AB6:AD13" si="9">M6</f>
        <v>31500</v>
      </c>
      <c r="AC6" s="4">
        <f t="shared" si="9"/>
        <v>0</v>
      </c>
      <c r="AD6" s="105">
        <f t="shared" si="9"/>
        <v>1166.6666666666667</v>
      </c>
      <c r="AE6" s="75" t="str">
        <f t="shared" ref="AE6:AE13" si="10">S6</f>
        <v>계</v>
      </c>
      <c r="AF6" s="75" t="str">
        <f t="shared" ref="AF6:AF13" si="11">Q6&amp;"/"&amp;R6</f>
        <v>3/2</v>
      </c>
      <c r="AH6" s="20" t="str">
        <f t="shared" si="1"/>
        <v>창원한신휴플러스오션파크</v>
      </c>
      <c r="AI6" s="106">
        <f t="shared" si="0"/>
        <v>27</v>
      </c>
      <c r="AJ6" s="75" t="str">
        <f t="shared" ref="AJ6:AJ13" si="12">IF(AI6="","",$AJ$2)</f>
        <v>A-</v>
      </c>
      <c r="AK6" s="75" t="s">
        <v>14</v>
      </c>
      <c r="AL6" s="75" t="s">
        <v>870</v>
      </c>
      <c r="AM6" s="75" t="s">
        <v>871</v>
      </c>
      <c r="AN6" s="75" t="str">
        <f t="shared" ref="AN6:AN13" si="13">IF(AI6="","",$AN$2)</f>
        <v>C</v>
      </c>
      <c r="AO6" s="75" t="str">
        <f t="shared" ref="AO6:AO13" si="14">IF(N6="","",IF(N6&gt;=$AO$1/100,"O","X"))</f>
        <v>X</v>
      </c>
      <c r="AP6" s="75" t="str">
        <f t="shared" ref="AP6:AP13" si="15">IF(I6="","",IF(I6&lt;=$AP$1,"O","X"))</f>
        <v>O</v>
      </c>
      <c r="AQ6" s="75" t="str">
        <f t="shared" ref="AQ6:AQ13" si="16">IF(O6="","",IF(O6&lt;=$AQ$1,"O","X"))</f>
        <v>X</v>
      </c>
      <c r="AR6" s="75" t="str">
        <f t="shared" ref="AR6:AR13" si="17">IF(M6="","",IF(M6&lt;=$AR$1,"O","X"))</f>
        <v>X</v>
      </c>
      <c r="AS6" s="75" t="s">
        <v>2</v>
      </c>
      <c r="AT6" s="75" t="str">
        <f t="shared" ref="AT6:AT13" si="18">IF(OR(F6="",AI6=""),"",IF(AND((F6&lt;=85),(AI6&gt;=15)),"O","X"))</f>
        <v>O</v>
      </c>
      <c r="AU6" s="75" t="str">
        <f t="shared" ref="AU6:AU13" si="19">IF(C6="","",IF(C6&gt;=$AU$1,"O","X"))</f>
        <v>O</v>
      </c>
      <c r="AV6" s="75" t="str">
        <f t="shared" ref="AV6:AV13" si="20">IF(AO6="","",IF(AND(AO6="O",AP6="O",AR6="O",AT6="O",AU6="O"),"후보","X"))</f>
        <v>X</v>
      </c>
    </row>
    <row r="7" spans="1:48" x14ac:dyDescent="0.3">
      <c r="A7" s="9" t="s">
        <v>671</v>
      </c>
      <c r="B7" s="10" t="s">
        <v>923</v>
      </c>
      <c r="C7" s="107">
        <v>684</v>
      </c>
      <c r="D7" s="104">
        <v>90.6</v>
      </c>
      <c r="E7" s="106">
        <v>27</v>
      </c>
      <c r="F7" s="104">
        <v>69.900000000000006</v>
      </c>
      <c r="G7" s="17">
        <v>21</v>
      </c>
      <c r="H7" s="107">
        <v>160</v>
      </c>
      <c r="I7" s="108">
        <v>33000</v>
      </c>
      <c r="J7" s="108" t="s">
        <v>868</v>
      </c>
      <c r="K7" s="108"/>
      <c r="L7" s="108"/>
      <c r="M7" s="109">
        <f t="shared" si="2"/>
        <v>33000</v>
      </c>
      <c r="N7" s="4">
        <f t="shared" si="3"/>
        <v>0</v>
      </c>
      <c r="O7" s="105">
        <f t="shared" si="4"/>
        <v>1222.2222222222222</v>
      </c>
      <c r="P7" s="105">
        <f t="shared" si="5"/>
        <v>0</v>
      </c>
      <c r="Q7" s="75">
        <v>3</v>
      </c>
      <c r="R7" s="75">
        <v>2</v>
      </c>
      <c r="S7" s="75" t="s">
        <v>869</v>
      </c>
      <c r="T7" s="5" t="s">
        <v>678</v>
      </c>
      <c r="U7" s="9"/>
      <c r="W7" s="104">
        <f t="shared" si="6"/>
        <v>90.6</v>
      </c>
      <c r="X7" s="106">
        <f t="shared" si="6"/>
        <v>27</v>
      </c>
      <c r="Y7" s="102">
        <f t="shared" si="7"/>
        <v>160</v>
      </c>
      <c r="Z7" s="109">
        <f t="shared" si="7"/>
        <v>33000</v>
      </c>
      <c r="AA7" s="109">
        <f t="shared" si="8"/>
        <v>0</v>
      </c>
      <c r="AB7" s="109">
        <f t="shared" si="9"/>
        <v>33000</v>
      </c>
      <c r="AC7" s="4">
        <f t="shared" si="9"/>
        <v>0</v>
      </c>
      <c r="AD7" s="105">
        <f t="shared" si="9"/>
        <v>1222.2222222222222</v>
      </c>
      <c r="AE7" s="75" t="str">
        <f t="shared" si="10"/>
        <v>계</v>
      </c>
      <c r="AF7" s="75" t="str">
        <f t="shared" si="11"/>
        <v>3/2</v>
      </c>
      <c r="AH7" s="20" t="str">
        <f t="shared" si="1"/>
        <v>창원한신휴플러스오션파크</v>
      </c>
      <c r="AI7" s="106">
        <f t="shared" si="0"/>
        <v>27</v>
      </c>
      <c r="AJ7" s="75" t="str">
        <f t="shared" si="12"/>
        <v>A-</v>
      </c>
      <c r="AK7" s="75" t="s">
        <v>14</v>
      </c>
      <c r="AL7" s="75" t="s">
        <v>870</v>
      </c>
      <c r="AM7" s="75" t="s">
        <v>871</v>
      </c>
      <c r="AN7" s="75" t="str">
        <f t="shared" si="13"/>
        <v>C</v>
      </c>
      <c r="AO7" s="75" t="str">
        <f t="shared" si="14"/>
        <v>X</v>
      </c>
      <c r="AP7" s="75" t="str">
        <f t="shared" si="15"/>
        <v>O</v>
      </c>
      <c r="AQ7" s="75" t="str">
        <f t="shared" si="16"/>
        <v>X</v>
      </c>
      <c r="AR7" s="75" t="str">
        <f t="shared" si="17"/>
        <v>X</v>
      </c>
      <c r="AS7" s="75" t="s">
        <v>2</v>
      </c>
      <c r="AT7" s="75" t="str">
        <f t="shared" si="18"/>
        <v>O</v>
      </c>
      <c r="AU7" s="75" t="str">
        <f t="shared" si="19"/>
        <v>O</v>
      </c>
      <c r="AV7" s="75" t="str">
        <f t="shared" si="20"/>
        <v>X</v>
      </c>
    </row>
    <row r="8" spans="1:48" x14ac:dyDescent="0.3">
      <c r="A8" s="9" t="s">
        <v>671</v>
      </c>
      <c r="B8" s="10" t="s">
        <v>923</v>
      </c>
      <c r="C8" s="107">
        <v>684</v>
      </c>
      <c r="D8" s="104">
        <v>109.7</v>
      </c>
      <c r="E8" s="106">
        <v>33</v>
      </c>
      <c r="F8" s="104">
        <v>84.5</v>
      </c>
      <c r="G8" s="17">
        <v>26</v>
      </c>
      <c r="H8" s="107">
        <v>217</v>
      </c>
      <c r="I8" s="108">
        <v>39500</v>
      </c>
      <c r="J8" s="108" t="s">
        <v>868</v>
      </c>
      <c r="K8" s="108"/>
      <c r="L8" s="108"/>
      <c r="M8" s="109">
        <f t="shared" si="2"/>
        <v>39500</v>
      </c>
      <c r="N8" s="4">
        <f t="shared" si="3"/>
        <v>0</v>
      </c>
      <c r="O8" s="105">
        <f t="shared" si="4"/>
        <v>1196.969696969697</v>
      </c>
      <c r="P8" s="105">
        <f t="shared" si="5"/>
        <v>0</v>
      </c>
      <c r="Q8" s="75">
        <v>3</v>
      </c>
      <c r="R8" s="75">
        <v>2</v>
      </c>
      <c r="S8" s="75" t="s">
        <v>869</v>
      </c>
      <c r="T8" s="5" t="s">
        <v>219</v>
      </c>
      <c r="U8" s="9"/>
      <c r="W8" s="104">
        <f t="shared" si="6"/>
        <v>109.7</v>
      </c>
      <c r="X8" s="106">
        <f t="shared" si="6"/>
        <v>33</v>
      </c>
      <c r="Y8" s="102">
        <f t="shared" si="7"/>
        <v>217</v>
      </c>
      <c r="Z8" s="109">
        <f t="shared" si="7"/>
        <v>39500</v>
      </c>
      <c r="AA8" s="109">
        <f t="shared" si="8"/>
        <v>0</v>
      </c>
      <c r="AB8" s="109">
        <f t="shared" si="9"/>
        <v>39500</v>
      </c>
      <c r="AC8" s="4">
        <f t="shared" si="9"/>
        <v>0</v>
      </c>
      <c r="AD8" s="105">
        <f t="shared" si="9"/>
        <v>1196.969696969697</v>
      </c>
      <c r="AE8" s="75" t="str">
        <f t="shared" si="10"/>
        <v>계</v>
      </c>
      <c r="AF8" s="75" t="str">
        <f t="shared" si="11"/>
        <v>3/2</v>
      </c>
      <c r="AH8" s="20" t="str">
        <f t="shared" si="1"/>
        <v>창원한신휴플러스오션파크</v>
      </c>
      <c r="AI8" s="106">
        <f t="shared" si="0"/>
        <v>33</v>
      </c>
      <c r="AJ8" s="75" t="str">
        <f t="shared" si="12"/>
        <v>A-</v>
      </c>
      <c r="AK8" s="75" t="s">
        <v>14</v>
      </c>
      <c r="AL8" s="75" t="s">
        <v>870</v>
      </c>
      <c r="AM8" s="75" t="s">
        <v>871</v>
      </c>
      <c r="AN8" s="75" t="str">
        <f t="shared" si="13"/>
        <v>C</v>
      </c>
      <c r="AO8" s="75" t="str">
        <f t="shared" si="14"/>
        <v>X</v>
      </c>
      <c r="AP8" s="75" t="str">
        <f t="shared" si="15"/>
        <v>O</v>
      </c>
      <c r="AQ8" s="75" t="str">
        <f t="shared" si="16"/>
        <v>X</v>
      </c>
      <c r="AR8" s="75" t="str">
        <f t="shared" si="17"/>
        <v>X</v>
      </c>
      <c r="AS8" s="75" t="s">
        <v>2</v>
      </c>
      <c r="AT8" s="75" t="str">
        <f t="shared" si="18"/>
        <v>O</v>
      </c>
      <c r="AU8" s="75" t="str">
        <f t="shared" si="19"/>
        <v>O</v>
      </c>
      <c r="AV8" s="75" t="str">
        <f t="shared" si="20"/>
        <v>X</v>
      </c>
    </row>
    <row r="9" spans="1:48" x14ac:dyDescent="0.3">
      <c r="A9" s="9" t="s">
        <v>671</v>
      </c>
      <c r="B9" s="10" t="s">
        <v>923</v>
      </c>
      <c r="C9" s="107">
        <v>684</v>
      </c>
      <c r="D9" s="104">
        <v>109.2</v>
      </c>
      <c r="E9" s="106">
        <v>33</v>
      </c>
      <c r="F9" s="104">
        <v>84.4</v>
      </c>
      <c r="G9" s="17">
        <v>26</v>
      </c>
      <c r="H9" s="107">
        <v>66</v>
      </c>
      <c r="I9" s="108">
        <v>39500</v>
      </c>
      <c r="J9" s="108" t="s">
        <v>873</v>
      </c>
      <c r="K9" s="108">
        <v>33000</v>
      </c>
      <c r="L9" s="108" t="s">
        <v>924</v>
      </c>
      <c r="M9" s="109">
        <f t="shared" si="2"/>
        <v>6500</v>
      </c>
      <c r="N9" s="4">
        <f t="shared" si="3"/>
        <v>0.83544303797468356</v>
      </c>
      <c r="O9" s="105">
        <f t="shared" si="4"/>
        <v>1196.969696969697</v>
      </c>
      <c r="P9" s="105">
        <f t="shared" si="5"/>
        <v>1000</v>
      </c>
      <c r="Q9" s="75">
        <v>3</v>
      </c>
      <c r="R9" s="75">
        <v>2</v>
      </c>
      <c r="S9" s="75" t="s">
        <v>869</v>
      </c>
      <c r="T9" s="5" t="s">
        <v>679</v>
      </c>
      <c r="U9" s="9"/>
      <c r="W9" s="104">
        <f t="shared" si="6"/>
        <v>109.2</v>
      </c>
      <c r="X9" s="106">
        <f t="shared" si="6"/>
        <v>33</v>
      </c>
      <c r="Y9" s="102">
        <f t="shared" si="7"/>
        <v>66</v>
      </c>
      <c r="Z9" s="109">
        <f t="shared" si="7"/>
        <v>39500</v>
      </c>
      <c r="AA9" s="109">
        <f t="shared" si="8"/>
        <v>33000</v>
      </c>
      <c r="AB9" s="109">
        <f t="shared" si="9"/>
        <v>6500</v>
      </c>
      <c r="AC9" s="4">
        <f t="shared" si="9"/>
        <v>0.83544303797468356</v>
      </c>
      <c r="AD9" s="105">
        <f t="shared" si="9"/>
        <v>1196.969696969697</v>
      </c>
      <c r="AE9" s="75" t="str">
        <f t="shared" si="10"/>
        <v>계</v>
      </c>
      <c r="AF9" s="75" t="str">
        <f t="shared" si="11"/>
        <v>3/2</v>
      </c>
      <c r="AH9" s="20" t="str">
        <f t="shared" si="1"/>
        <v>창원한신휴플러스오션파크</v>
      </c>
      <c r="AI9" s="106">
        <f t="shared" si="0"/>
        <v>33</v>
      </c>
      <c r="AJ9" s="75" t="str">
        <f t="shared" si="12"/>
        <v>A-</v>
      </c>
      <c r="AK9" s="75" t="s">
        <v>14</v>
      </c>
      <c r="AL9" s="75" t="s">
        <v>870</v>
      </c>
      <c r="AM9" s="75" t="s">
        <v>871</v>
      </c>
      <c r="AN9" s="75" t="str">
        <f t="shared" si="13"/>
        <v>C</v>
      </c>
      <c r="AO9" s="75" t="str">
        <f t="shared" si="14"/>
        <v>O</v>
      </c>
      <c r="AP9" s="75" t="str">
        <f t="shared" si="15"/>
        <v>O</v>
      </c>
      <c r="AQ9" s="75" t="str">
        <f t="shared" si="16"/>
        <v>X</v>
      </c>
      <c r="AR9" s="75" t="str">
        <f t="shared" si="17"/>
        <v>X</v>
      </c>
      <c r="AS9" s="75" t="s">
        <v>2</v>
      </c>
      <c r="AT9" s="75" t="str">
        <f t="shared" si="18"/>
        <v>O</v>
      </c>
      <c r="AU9" s="75" t="str">
        <f t="shared" si="19"/>
        <v>O</v>
      </c>
      <c r="AV9" s="75" t="str">
        <f t="shared" si="20"/>
        <v>X</v>
      </c>
    </row>
    <row r="10" spans="1:48" x14ac:dyDescent="0.3">
      <c r="A10" s="9" t="s">
        <v>671</v>
      </c>
      <c r="B10" s="10" t="s">
        <v>923</v>
      </c>
      <c r="C10" s="107">
        <v>684</v>
      </c>
      <c r="D10" s="104">
        <v>109.7</v>
      </c>
      <c r="E10" s="106">
        <v>33</v>
      </c>
      <c r="F10" s="104">
        <v>84.7</v>
      </c>
      <c r="G10" s="17">
        <v>26</v>
      </c>
      <c r="H10" s="107">
        <v>64</v>
      </c>
      <c r="I10" s="108">
        <v>40000</v>
      </c>
      <c r="J10" s="108" t="s">
        <v>868</v>
      </c>
      <c r="K10" s="108"/>
      <c r="L10" s="108"/>
      <c r="M10" s="109">
        <f t="shared" si="2"/>
        <v>40000</v>
      </c>
      <c r="N10" s="4">
        <f t="shared" si="3"/>
        <v>0</v>
      </c>
      <c r="O10" s="105">
        <f t="shared" si="4"/>
        <v>1212.121212121212</v>
      </c>
      <c r="P10" s="105">
        <f t="shared" si="5"/>
        <v>0</v>
      </c>
      <c r="Q10" s="75">
        <v>3</v>
      </c>
      <c r="R10" s="75">
        <v>2</v>
      </c>
      <c r="S10" s="75" t="s">
        <v>869</v>
      </c>
      <c r="T10" s="5" t="s">
        <v>680</v>
      </c>
      <c r="U10" s="9"/>
      <c r="W10" s="104">
        <f t="shared" si="6"/>
        <v>109.7</v>
      </c>
      <c r="X10" s="106">
        <f t="shared" si="6"/>
        <v>33</v>
      </c>
      <c r="Y10" s="102">
        <f t="shared" si="7"/>
        <v>64</v>
      </c>
      <c r="Z10" s="109">
        <f t="shared" si="7"/>
        <v>40000</v>
      </c>
      <c r="AA10" s="109">
        <f t="shared" si="8"/>
        <v>0</v>
      </c>
      <c r="AB10" s="109">
        <f t="shared" si="9"/>
        <v>40000</v>
      </c>
      <c r="AC10" s="4">
        <f t="shared" si="9"/>
        <v>0</v>
      </c>
      <c r="AD10" s="105">
        <f t="shared" si="9"/>
        <v>1212.121212121212</v>
      </c>
      <c r="AE10" s="75" t="str">
        <f t="shared" si="10"/>
        <v>계</v>
      </c>
      <c r="AF10" s="75" t="str">
        <f t="shared" si="11"/>
        <v>3/2</v>
      </c>
      <c r="AH10" s="20" t="str">
        <f t="shared" si="1"/>
        <v>창원한신휴플러스오션파크</v>
      </c>
      <c r="AI10" s="106">
        <f t="shared" si="0"/>
        <v>33</v>
      </c>
      <c r="AJ10" s="75" t="str">
        <f t="shared" si="12"/>
        <v>A-</v>
      </c>
      <c r="AK10" s="75" t="s">
        <v>14</v>
      </c>
      <c r="AL10" s="75" t="s">
        <v>870</v>
      </c>
      <c r="AM10" s="75" t="s">
        <v>871</v>
      </c>
      <c r="AN10" s="75" t="str">
        <f t="shared" si="13"/>
        <v>C</v>
      </c>
      <c r="AO10" s="75" t="str">
        <f t="shared" si="14"/>
        <v>X</v>
      </c>
      <c r="AP10" s="75" t="str">
        <f t="shared" si="15"/>
        <v>O</v>
      </c>
      <c r="AQ10" s="75" t="str">
        <f t="shared" si="16"/>
        <v>X</v>
      </c>
      <c r="AR10" s="75" t="str">
        <f t="shared" si="17"/>
        <v>X</v>
      </c>
      <c r="AS10" s="75" t="s">
        <v>2</v>
      </c>
      <c r="AT10" s="75" t="str">
        <f t="shared" si="18"/>
        <v>O</v>
      </c>
      <c r="AU10" s="75" t="str">
        <f t="shared" si="19"/>
        <v>O</v>
      </c>
      <c r="AV10" s="75" t="str">
        <f t="shared" si="20"/>
        <v>X</v>
      </c>
    </row>
    <row r="11" spans="1:48" x14ac:dyDescent="0.3">
      <c r="A11" s="9" t="s">
        <v>671</v>
      </c>
      <c r="B11" s="10" t="s">
        <v>923</v>
      </c>
      <c r="C11" s="107">
        <v>684</v>
      </c>
      <c r="D11" s="104">
        <v>109.5</v>
      </c>
      <c r="E11" s="106">
        <v>33</v>
      </c>
      <c r="F11" s="104">
        <v>85</v>
      </c>
      <c r="G11" s="17">
        <v>26</v>
      </c>
      <c r="H11" s="107">
        <v>44</v>
      </c>
      <c r="I11" s="108">
        <v>38500</v>
      </c>
      <c r="J11" s="108" t="s">
        <v>868</v>
      </c>
      <c r="K11" s="108">
        <v>32000</v>
      </c>
      <c r="L11" s="108" t="s">
        <v>868</v>
      </c>
      <c r="M11" s="109">
        <f t="shared" si="2"/>
        <v>6500</v>
      </c>
      <c r="N11" s="4">
        <f t="shared" si="3"/>
        <v>0.83116883116883122</v>
      </c>
      <c r="O11" s="105">
        <f t="shared" si="4"/>
        <v>1166.6666666666667</v>
      </c>
      <c r="P11" s="105">
        <f t="shared" si="5"/>
        <v>969.69696969696975</v>
      </c>
      <c r="Q11" s="75">
        <v>3</v>
      </c>
      <c r="R11" s="75">
        <v>2</v>
      </c>
      <c r="S11" s="75" t="s">
        <v>869</v>
      </c>
      <c r="T11" s="5" t="s">
        <v>681</v>
      </c>
      <c r="U11" s="9"/>
      <c r="W11" s="104">
        <f t="shared" si="6"/>
        <v>109.5</v>
      </c>
      <c r="X11" s="106">
        <f t="shared" si="6"/>
        <v>33</v>
      </c>
      <c r="Y11" s="102">
        <f t="shared" si="7"/>
        <v>44</v>
      </c>
      <c r="Z11" s="109">
        <f t="shared" si="7"/>
        <v>38500</v>
      </c>
      <c r="AA11" s="109">
        <f t="shared" si="8"/>
        <v>32000</v>
      </c>
      <c r="AB11" s="109">
        <f t="shared" si="9"/>
        <v>6500</v>
      </c>
      <c r="AC11" s="4">
        <f t="shared" si="9"/>
        <v>0.83116883116883122</v>
      </c>
      <c r="AD11" s="105">
        <f t="shared" si="9"/>
        <v>1166.6666666666667</v>
      </c>
      <c r="AE11" s="75" t="str">
        <f t="shared" si="10"/>
        <v>계</v>
      </c>
      <c r="AF11" s="75" t="str">
        <f t="shared" si="11"/>
        <v>3/2</v>
      </c>
      <c r="AH11" s="20" t="str">
        <f t="shared" si="1"/>
        <v>창원한신휴플러스오션파크</v>
      </c>
      <c r="AI11" s="106">
        <f t="shared" si="0"/>
        <v>33</v>
      </c>
      <c r="AJ11" s="75" t="str">
        <f t="shared" si="12"/>
        <v>A-</v>
      </c>
      <c r="AK11" s="75" t="s">
        <v>14</v>
      </c>
      <c r="AL11" s="75" t="s">
        <v>870</v>
      </c>
      <c r="AM11" s="75" t="s">
        <v>871</v>
      </c>
      <c r="AN11" s="75" t="str">
        <f t="shared" si="13"/>
        <v>C</v>
      </c>
      <c r="AO11" s="75" t="str">
        <f t="shared" si="14"/>
        <v>O</v>
      </c>
      <c r="AP11" s="75" t="str">
        <f t="shared" si="15"/>
        <v>O</v>
      </c>
      <c r="AQ11" s="75" t="str">
        <f t="shared" si="16"/>
        <v>X</v>
      </c>
      <c r="AR11" s="75" t="str">
        <f t="shared" si="17"/>
        <v>X</v>
      </c>
      <c r="AS11" s="75" t="s">
        <v>2</v>
      </c>
      <c r="AT11" s="75" t="str">
        <f t="shared" si="18"/>
        <v>O</v>
      </c>
      <c r="AU11" s="75" t="str">
        <f t="shared" si="19"/>
        <v>O</v>
      </c>
      <c r="AV11" s="75" t="str">
        <f t="shared" si="20"/>
        <v>X</v>
      </c>
    </row>
    <row r="12" spans="1:48" x14ac:dyDescent="0.3">
      <c r="A12" s="9" t="s">
        <v>671</v>
      </c>
      <c r="B12" s="10" t="s">
        <v>923</v>
      </c>
      <c r="C12" s="107">
        <v>684</v>
      </c>
      <c r="D12" s="104">
        <v>109.4</v>
      </c>
      <c r="E12" s="106">
        <v>33</v>
      </c>
      <c r="F12" s="104">
        <v>84.7</v>
      </c>
      <c r="G12" s="17">
        <v>26</v>
      </c>
      <c r="H12" s="107">
        <v>22</v>
      </c>
      <c r="I12" s="108"/>
      <c r="J12" s="108"/>
      <c r="K12" s="108"/>
      <c r="L12" s="108"/>
      <c r="M12" s="109">
        <f t="shared" si="2"/>
        <v>0</v>
      </c>
      <c r="N12" s="4" t="str">
        <f t="shared" si="3"/>
        <v/>
      </c>
      <c r="O12" s="105">
        <f t="shared" si="4"/>
        <v>0</v>
      </c>
      <c r="P12" s="105">
        <f t="shared" si="5"/>
        <v>0</v>
      </c>
      <c r="Q12" s="75">
        <v>3</v>
      </c>
      <c r="R12" s="75">
        <v>2</v>
      </c>
      <c r="S12" s="75" t="s">
        <v>869</v>
      </c>
      <c r="T12" s="5" t="s">
        <v>682</v>
      </c>
      <c r="U12" s="9"/>
      <c r="W12" s="104">
        <f t="shared" si="6"/>
        <v>109.4</v>
      </c>
      <c r="X12" s="106">
        <f t="shared" si="6"/>
        <v>33</v>
      </c>
      <c r="Y12" s="102">
        <f t="shared" si="7"/>
        <v>22</v>
      </c>
      <c r="Z12" s="109">
        <f t="shared" si="7"/>
        <v>0</v>
      </c>
      <c r="AA12" s="109">
        <f t="shared" si="8"/>
        <v>0</v>
      </c>
      <c r="AB12" s="109">
        <f t="shared" si="9"/>
        <v>0</v>
      </c>
      <c r="AC12" s="4" t="str">
        <f t="shared" si="9"/>
        <v/>
      </c>
      <c r="AD12" s="105">
        <f t="shared" si="9"/>
        <v>0</v>
      </c>
      <c r="AE12" s="75" t="str">
        <f t="shared" si="10"/>
        <v>계</v>
      </c>
      <c r="AF12" s="75" t="str">
        <f t="shared" si="11"/>
        <v>3/2</v>
      </c>
      <c r="AH12" s="20" t="str">
        <f t="shared" si="1"/>
        <v>창원한신휴플러스오션파크</v>
      </c>
      <c r="AI12" s="106">
        <f t="shared" si="0"/>
        <v>33</v>
      </c>
      <c r="AJ12" s="75" t="str">
        <f t="shared" si="12"/>
        <v>A-</v>
      </c>
      <c r="AK12" s="75" t="s">
        <v>14</v>
      </c>
      <c r="AL12" s="75" t="s">
        <v>870</v>
      </c>
      <c r="AM12" s="75" t="s">
        <v>871</v>
      </c>
      <c r="AN12" s="75" t="str">
        <f t="shared" si="13"/>
        <v>C</v>
      </c>
      <c r="AO12" s="75" t="str">
        <f t="shared" si="14"/>
        <v/>
      </c>
      <c r="AP12" s="75" t="str">
        <f t="shared" si="15"/>
        <v/>
      </c>
      <c r="AQ12" s="75" t="str">
        <f t="shared" si="16"/>
        <v>O</v>
      </c>
      <c r="AR12" s="75" t="str">
        <f t="shared" si="17"/>
        <v>O</v>
      </c>
      <c r="AS12" s="75" t="s">
        <v>2</v>
      </c>
      <c r="AT12" s="75" t="str">
        <f t="shared" si="18"/>
        <v>O</v>
      </c>
      <c r="AU12" s="75" t="str">
        <f t="shared" si="19"/>
        <v>O</v>
      </c>
      <c r="AV12" s="75" t="str">
        <f t="shared" si="20"/>
        <v/>
      </c>
    </row>
    <row r="13" spans="1:48" x14ac:dyDescent="0.3">
      <c r="A13" s="9" t="s">
        <v>671</v>
      </c>
      <c r="B13" s="10" t="s">
        <v>923</v>
      </c>
      <c r="C13" s="107">
        <v>684</v>
      </c>
      <c r="D13" s="104">
        <v>113.8</v>
      </c>
      <c r="E13" s="106">
        <v>34</v>
      </c>
      <c r="F13" s="104">
        <v>84.5</v>
      </c>
      <c r="G13" s="17">
        <v>26</v>
      </c>
      <c r="H13" s="107">
        <v>10</v>
      </c>
      <c r="I13" s="108"/>
      <c r="J13" s="108"/>
      <c r="K13" s="108"/>
      <c r="L13" s="108"/>
      <c r="M13" s="109">
        <f t="shared" si="2"/>
        <v>0</v>
      </c>
      <c r="N13" s="4" t="str">
        <f t="shared" si="3"/>
        <v/>
      </c>
      <c r="O13" s="105">
        <f t="shared" si="4"/>
        <v>0</v>
      </c>
      <c r="P13" s="105">
        <f t="shared" si="5"/>
        <v>0</v>
      </c>
      <c r="Q13" s="75">
        <v>3</v>
      </c>
      <c r="R13" s="75">
        <v>2</v>
      </c>
      <c r="S13" s="75" t="s">
        <v>869</v>
      </c>
      <c r="T13" s="5" t="s">
        <v>513</v>
      </c>
      <c r="U13" s="9"/>
      <c r="W13" s="104">
        <f t="shared" si="6"/>
        <v>113.8</v>
      </c>
      <c r="X13" s="106">
        <f t="shared" si="6"/>
        <v>34</v>
      </c>
      <c r="Y13" s="102">
        <f t="shared" si="7"/>
        <v>10</v>
      </c>
      <c r="Z13" s="109">
        <f t="shared" si="7"/>
        <v>0</v>
      </c>
      <c r="AA13" s="109">
        <f t="shared" si="8"/>
        <v>0</v>
      </c>
      <c r="AB13" s="109">
        <f t="shared" si="9"/>
        <v>0</v>
      </c>
      <c r="AC13" s="4" t="str">
        <f t="shared" si="9"/>
        <v/>
      </c>
      <c r="AD13" s="105">
        <f t="shared" si="9"/>
        <v>0</v>
      </c>
      <c r="AE13" s="75" t="str">
        <f t="shared" si="10"/>
        <v>계</v>
      </c>
      <c r="AF13" s="75" t="str">
        <f t="shared" si="11"/>
        <v>3/2</v>
      </c>
      <c r="AH13" s="20" t="str">
        <f t="shared" si="1"/>
        <v>창원한신휴플러스오션파크</v>
      </c>
      <c r="AI13" s="106">
        <f t="shared" si="0"/>
        <v>34</v>
      </c>
      <c r="AJ13" s="75" t="str">
        <f t="shared" si="12"/>
        <v>A-</v>
      </c>
      <c r="AK13" s="75" t="s">
        <v>14</v>
      </c>
      <c r="AL13" s="75" t="s">
        <v>870</v>
      </c>
      <c r="AM13" s="75" t="s">
        <v>871</v>
      </c>
      <c r="AN13" s="75" t="str">
        <f t="shared" si="13"/>
        <v>C</v>
      </c>
      <c r="AO13" s="75" t="str">
        <f t="shared" si="14"/>
        <v/>
      </c>
      <c r="AP13" s="75" t="str">
        <f t="shared" si="15"/>
        <v/>
      </c>
      <c r="AQ13" s="75" t="str">
        <f t="shared" si="16"/>
        <v>O</v>
      </c>
      <c r="AR13" s="75" t="str">
        <f t="shared" si="17"/>
        <v>O</v>
      </c>
      <c r="AS13" s="75" t="s">
        <v>2</v>
      </c>
      <c r="AT13" s="75" t="str">
        <f t="shared" si="18"/>
        <v>O</v>
      </c>
      <c r="AU13" s="75" t="str">
        <f t="shared" si="19"/>
        <v>O</v>
      </c>
      <c r="AV13" s="75" t="str">
        <f t="shared" si="20"/>
        <v/>
      </c>
    </row>
    <row r="14" spans="1:48" x14ac:dyDescent="0.3">
      <c r="A14" s="9"/>
      <c r="B14" s="75"/>
      <c r="C14" s="6"/>
      <c r="D14" s="9"/>
      <c r="E14" s="14"/>
      <c r="F14" s="104"/>
      <c r="G14" s="9"/>
      <c r="H14" s="9"/>
      <c r="I14" s="9"/>
      <c r="J14" s="9"/>
      <c r="K14" s="9"/>
      <c r="L14" s="9"/>
      <c r="M14" s="9"/>
      <c r="N14" s="9"/>
      <c r="O14" s="105"/>
      <c r="P14" s="105"/>
      <c r="Q14" s="106"/>
      <c r="R14" s="106"/>
      <c r="S14" s="9"/>
      <c r="T14" s="48"/>
      <c r="U14" s="9"/>
      <c r="W14" s="70" t="str">
        <f>$A$4&amp;" "&amp;A15&amp;"("&amp;B15&amp;","&amp;C15&amp;"^)"</f>
        <v>장천동 진해장천대동다숲('07.12.,1264^)</v>
      </c>
      <c r="X14" s="71"/>
      <c r="Y14" s="71"/>
      <c r="Z14" s="71"/>
      <c r="AA14" s="71"/>
      <c r="AB14" s="71"/>
      <c r="AC14" s="71"/>
      <c r="AD14" s="71"/>
      <c r="AE14" s="71"/>
      <c r="AF14" s="72"/>
      <c r="AH14" s="20" t="str">
        <f t="shared" si="1"/>
        <v/>
      </c>
      <c r="AI14" s="103" t="str">
        <f t="shared" si="0"/>
        <v/>
      </c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</row>
    <row r="15" spans="1:48" x14ac:dyDescent="0.3">
      <c r="A15" s="9" t="s">
        <v>683</v>
      </c>
      <c r="B15" s="10" t="s">
        <v>925</v>
      </c>
      <c r="C15" s="107">
        <v>1264</v>
      </c>
      <c r="D15" s="104">
        <v>85.8</v>
      </c>
      <c r="E15" s="106">
        <v>26</v>
      </c>
      <c r="F15" s="104">
        <v>60</v>
      </c>
      <c r="G15" s="17">
        <v>18</v>
      </c>
      <c r="H15" s="107">
        <v>120</v>
      </c>
      <c r="I15" s="108">
        <v>25500</v>
      </c>
      <c r="J15" s="108" t="s">
        <v>888</v>
      </c>
      <c r="K15" s="108">
        <v>22500</v>
      </c>
      <c r="L15" s="108" t="s">
        <v>873</v>
      </c>
      <c r="M15" s="109">
        <f t="shared" ref="M15:M22" si="21">I15-K15</f>
        <v>3000</v>
      </c>
      <c r="N15" s="4">
        <f t="shared" ref="N15:N22" si="22">IF(ISERROR(K15/I15),"",K15/I15)</f>
        <v>0.88235294117647056</v>
      </c>
      <c r="O15" s="105">
        <f t="shared" ref="O15:O22" si="23">I15/E15</f>
        <v>980.76923076923072</v>
      </c>
      <c r="P15" s="105">
        <f t="shared" ref="P15:P22" si="24">K15/E15</f>
        <v>865.38461538461536</v>
      </c>
      <c r="Q15" s="75">
        <v>3</v>
      </c>
      <c r="R15" s="75">
        <v>2</v>
      </c>
      <c r="S15" s="75" t="s">
        <v>869</v>
      </c>
      <c r="T15" s="5">
        <v>85</v>
      </c>
      <c r="U15" s="9"/>
      <c r="W15" s="104">
        <f t="shared" ref="W15:X22" si="25">D15</f>
        <v>85.8</v>
      </c>
      <c r="X15" s="106">
        <f t="shared" si="25"/>
        <v>26</v>
      </c>
      <c r="Y15" s="102">
        <f t="shared" ref="Y15:Z22" si="26">H15</f>
        <v>120</v>
      </c>
      <c r="Z15" s="109">
        <f t="shared" si="26"/>
        <v>25500</v>
      </c>
      <c r="AA15" s="109">
        <f t="shared" ref="AA15:AA22" si="27">K15</f>
        <v>22500</v>
      </c>
      <c r="AB15" s="109">
        <f t="shared" ref="AB15:AD22" si="28">M15</f>
        <v>3000</v>
      </c>
      <c r="AC15" s="4">
        <f t="shared" si="28"/>
        <v>0.88235294117647056</v>
      </c>
      <c r="AD15" s="105">
        <f t="shared" si="28"/>
        <v>980.76923076923072</v>
      </c>
      <c r="AE15" s="75" t="str">
        <f t="shared" ref="AE15:AE22" si="29">S15</f>
        <v>계</v>
      </c>
      <c r="AF15" s="75" t="str">
        <f t="shared" ref="AF15:AF22" si="30">Q15&amp;"/"&amp;R15</f>
        <v>3/2</v>
      </c>
      <c r="AH15" s="20" t="str">
        <f t="shared" si="1"/>
        <v>진해장천대동다숲</v>
      </c>
      <c r="AI15" s="106">
        <f t="shared" si="0"/>
        <v>26</v>
      </c>
      <c r="AJ15" s="75" t="str">
        <f t="shared" ref="AJ15:AJ22" si="31">IF(AI15="","",$AJ$2)</f>
        <v>A-</v>
      </c>
      <c r="AK15" s="75" t="s">
        <v>14</v>
      </c>
      <c r="AL15" s="75" t="s">
        <v>870</v>
      </c>
      <c r="AM15" s="75" t="s">
        <v>871</v>
      </c>
      <c r="AN15" s="75" t="str">
        <f t="shared" ref="AN15:AN22" si="32">IF(AI15="","",$AN$2)</f>
        <v>C</v>
      </c>
      <c r="AO15" s="75" t="str">
        <f t="shared" ref="AO15:AO22" si="33">IF(N15="","",IF(N15&gt;=$AO$1/100,"O","X"))</f>
        <v>O</v>
      </c>
      <c r="AP15" s="75" t="str">
        <f t="shared" ref="AP15:AP22" si="34">IF(I15="","",IF(I15&lt;=$AP$1,"O","X"))</f>
        <v>O</v>
      </c>
      <c r="AQ15" s="75" t="str">
        <f t="shared" ref="AQ15:AQ22" si="35">IF(O15="","",IF(O15&lt;=$AQ$1,"O","X"))</f>
        <v>O</v>
      </c>
      <c r="AR15" s="75" t="str">
        <f t="shared" ref="AR15:AR22" si="36">IF(M15="","",IF(M15&lt;=$AR$1,"O","X"))</f>
        <v>O</v>
      </c>
      <c r="AS15" s="75" t="s">
        <v>2</v>
      </c>
      <c r="AT15" s="75" t="str">
        <f t="shared" ref="AT15:AT22" si="37">IF(OR(F15="",AI15=""),"",IF(AND((F15&lt;=85),(AI15&gt;=15)),"O","X"))</f>
        <v>O</v>
      </c>
      <c r="AU15" s="75" t="str">
        <f t="shared" ref="AU15:AU22" si="38">IF(C15="","",IF(C15&gt;=$AU$1,"O","X"))</f>
        <v>O</v>
      </c>
      <c r="AV15" s="75" t="str">
        <f t="shared" ref="AV15:AV22" si="39">IF(AO15="","",IF(AND(AO15="O",AP15="O",AR15="O",AT15="O",AU15="O"),"후보","X"))</f>
        <v>후보</v>
      </c>
    </row>
    <row r="16" spans="1:48" x14ac:dyDescent="0.3">
      <c r="A16" s="9" t="s">
        <v>683</v>
      </c>
      <c r="B16" s="10" t="s">
        <v>925</v>
      </c>
      <c r="C16" s="107">
        <v>1264</v>
      </c>
      <c r="D16" s="104">
        <v>110.5</v>
      </c>
      <c r="E16" s="106">
        <v>33</v>
      </c>
      <c r="F16" s="104">
        <v>84.9</v>
      </c>
      <c r="G16" s="17">
        <v>26</v>
      </c>
      <c r="H16" s="107">
        <v>402</v>
      </c>
      <c r="I16" s="108">
        <v>32000</v>
      </c>
      <c r="J16" s="108" t="s">
        <v>868</v>
      </c>
      <c r="K16" s="108">
        <v>27500</v>
      </c>
      <c r="L16" s="108" t="s">
        <v>873</v>
      </c>
      <c r="M16" s="109">
        <f t="shared" si="21"/>
        <v>4500</v>
      </c>
      <c r="N16" s="4">
        <f t="shared" si="22"/>
        <v>0.859375</v>
      </c>
      <c r="O16" s="105">
        <f t="shared" si="23"/>
        <v>969.69696969696975</v>
      </c>
      <c r="P16" s="105">
        <f t="shared" si="24"/>
        <v>833.33333333333337</v>
      </c>
      <c r="Q16" s="75">
        <v>3</v>
      </c>
      <c r="R16" s="75">
        <v>2</v>
      </c>
      <c r="S16" s="75" t="s">
        <v>869</v>
      </c>
      <c r="T16" s="5">
        <v>110</v>
      </c>
      <c r="U16" s="9"/>
      <c r="W16" s="104">
        <f t="shared" si="25"/>
        <v>110.5</v>
      </c>
      <c r="X16" s="106">
        <f t="shared" si="25"/>
        <v>33</v>
      </c>
      <c r="Y16" s="102">
        <f t="shared" si="26"/>
        <v>402</v>
      </c>
      <c r="Z16" s="109">
        <f t="shared" si="26"/>
        <v>32000</v>
      </c>
      <c r="AA16" s="109">
        <f t="shared" si="27"/>
        <v>27500</v>
      </c>
      <c r="AB16" s="109">
        <f t="shared" si="28"/>
        <v>4500</v>
      </c>
      <c r="AC16" s="4">
        <f t="shared" si="28"/>
        <v>0.859375</v>
      </c>
      <c r="AD16" s="105">
        <f t="shared" si="28"/>
        <v>969.69696969696975</v>
      </c>
      <c r="AE16" s="75" t="str">
        <f t="shared" si="29"/>
        <v>계</v>
      </c>
      <c r="AF16" s="75" t="str">
        <f t="shared" si="30"/>
        <v>3/2</v>
      </c>
      <c r="AH16" s="20" t="str">
        <f t="shared" si="1"/>
        <v>진해장천대동다숲</v>
      </c>
      <c r="AI16" s="106">
        <f t="shared" si="0"/>
        <v>33</v>
      </c>
      <c r="AJ16" s="75" t="str">
        <f t="shared" si="31"/>
        <v>A-</v>
      </c>
      <c r="AK16" s="75" t="s">
        <v>14</v>
      </c>
      <c r="AL16" s="75" t="s">
        <v>870</v>
      </c>
      <c r="AM16" s="75" t="s">
        <v>871</v>
      </c>
      <c r="AN16" s="75" t="str">
        <f t="shared" si="32"/>
        <v>C</v>
      </c>
      <c r="AO16" s="75" t="str">
        <f t="shared" si="33"/>
        <v>O</v>
      </c>
      <c r="AP16" s="75" t="str">
        <f t="shared" si="34"/>
        <v>O</v>
      </c>
      <c r="AQ16" s="75" t="str">
        <f t="shared" si="35"/>
        <v>O</v>
      </c>
      <c r="AR16" s="75" t="str">
        <f t="shared" si="36"/>
        <v>O</v>
      </c>
      <c r="AS16" s="75" t="s">
        <v>2</v>
      </c>
      <c r="AT16" s="75" t="str">
        <f t="shared" si="37"/>
        <v>O</v>
      </c>
      <c r="AU16" s="75" t="str">
        <f t="shared" si="38"/>
        <v>O</v>
      </c>
      <c r="AV16" s="75" t="str">
        <f t="shared" si="39"/>
        <v>후보</v>
      </c>
    </row>
    <row r="17" spans="1:48" x14ac:dyDescent="0.3">
      <c r="A17" s="9" t="s">
        <v>683</v>
      </c>
      <c r="B17" s="10" t="s">
        <v>925</v>
      </c>
      <c r="C17" s="107">
        <v>1264</v>
      </c>
      <c r="D17" s="104">
        <v>111.3</v>
      </c>
      <c r="E17" s="106">
        <v>34</v>
      </c>
      <c r="F17" s="104">
        <v>84.8</v>
      </c>
      <c r="G17" s="17">
        <v>26</v>
      </c>
      <c r="H17" s="107">
        <v>251</v>
      </c>
      <c r="I17" s="108">
        <v>32500</v>
      </c>
      <c r="J17" s="108" t="s">
        <v>868</v>
      </c>
      <c r="K17" s="108"/>
      <c r="L17" s="108"/>
      <c r="M17" s="109">
        <f t="shared" si="21"/>
        <v>32500</v>
      </c>
      <c r="N17" s="4">
        <f t="shared" si="22"/>
        <v>0</v>
      </c>
      <c r="O17" s="105">
        <f t="shared" si="23"/>
        <v>955.88235294117646</v>
      </c>
      <c r="P17" s="105">
        <f t="shared" si="24"/>
        <v>0</v>
      </c>
      <c r="Q17" s="75">
        <v>3</v>
      </c>
      <c r="R17" s="75">
        <v>2</v>
      </c>
      <c r="S17" s="75" t="s">
        <v>869</v>
      </c>
      <c r="T17" s="5">
        <v>111</v>
      </c>
      <c r="U17" s="9"/>
      <c r="W17" s="104">
        <f t="shared" si="25"/>
        <v>111.3</v>
      </c>
      <c r="X17" s="106">
        <f t="shared" si="25"/>
        <v>34</v>
      </c>
      <c r="Y17" s="102">
        <f t="shared" si="26"/>
        <v>251</v>
      </c>
      <c r="Z17" s="109">
        <f t="shared" si="26"/>
        <v>32500</v>
      </c>
      <c r="AA17" s="109">
        <f t="shared" si="27"/>
        <v>0</v>
      </c>
      <c r="AB17" s="109">
        <f t="shared" si="28"/>
        <v>32500</v>
      </c>
      <c r="AC17" s="4">
        <f t="shared" si="28"/>
        <v>0</v>
      </c>
      <c r="AD17" s="105">
        <f t="shared" si="28"/>
        <v>955.88235294117646</v>
      </c>
      <c r="AE17" s="75" t="str">
        <f t="shared" si="29"/>
        <v>계</v>
      </c>
      <c r="AF17" s="75" t="str">
        <f t="shared" si="30"/>
        <v>3/2</v>
      </c>
      <c r="AH17" s="20" t="str">
        <f t="shared" si="1"/>
        <v>진해장천대동다숲</v>
      </c>
      <c r="AI17" s="106">
        <f t="shared" si="0"/>
        <v>34</v>
      </c>
      <c r="AJ17" s="75" t="str">
        <f t="shared" si="31"/>
        <v>A-</v>
      </c>
      <c r="AK17" s="75" t="s">
        <v>14</v>
      </c>
      <c r="AL17" s="75" t="s">
        <v>870</v>
      </c>
      <c r="AM17" s="75" t="s">
        <v>871</v>
      </c>
      <c r="AN17" s="75" t="str">
        <f t="shared" si="32"/>
        <v>C</v>
      </c>
      <c r="AO17" s="75" t="str">
        <f t="shared" si="33"/>
        <v>X</v>
      </c>
      <c r="AP17" s="75" t="str">
        <f t="shared" si="34"/>
        <v>O</v>
      </c>
      <c r="AQ17" s="75" t="str">
        <f t="shared" si="35"/>
        <v>O</v>
      </c>
      <c r="AR17" s="75" t="str">
        <f t="shared" si="36"/>
        <v>X</v>
      </c>
      <c r="AS17" s="75" t="s">
        <v>2</v>
      </c>
      <c r="AT17" s="75" t="str">
        <f t="shared" si="37"/>
        <v>O</v>
      </c>
      <c r="AU17" s="75" t="str">
        <f t="shared" si="38"/>
        <v>O</v>
      </c>
      <c r="AV17" s="75" t="str">
        <f t="shared" si="39"/>
        <v>X</v>
      </c>
    </row>
    <row r="18" spans="1:48" x14ac:dyDescent="0.3">
      <c r="A18" s="9" t="s">
        <v>683</v>
      </c>
      <c r="B18" s="10" t="s">
        <v>925</v>
      </c>
      <c r="C18" s="107">
        <v>1264</v>
      </c>
      <c r="D18" s="104">
        <v>117.9</v>
      </c>
      <c r="E18" s="106">
        <v>36</v>
      </c>
      <c r="F18" s="104">
        <v>85</v>
      </c>
      <c r="G18" s="17">
        <v>26</v>
      </c>
      <c r="H18" s="107">
        <v>253</v>
      </c>
      <c r="I18" s="108">
        <v>32000</v>
      </c>
      <c r="J18" s="108" t="s">
        <v>868</v>
      </c>
      <c r="K18" s="108"/>
      <c r="L18" s="108"/>
      <c r="M18" s="109">
        <f t="shared" si="21"/>
        <v>32000</v>
      </c>
      <c r="N18" s="4">
        <f t="shared" si="22"/>
        <v>0</v>
      </c>
      <c r="O18" s="105">
        <f t="shared" si="23"/>
        <v>888.88888888888891</v>
      </c>
      <c r="P18" s="105">
        <f t="shared" si="24"/>
        <v>0</v>
      </c>
      <c r="Q18" s="75">
        <v>3</v>
      </c>
      <c r="R18" s="75">
        <v>2</v>
      </c>
      <c r="S18" s="75" t="s">
        <v>869</v>
      </c>
      <c r="T18" s="5">
        <v>117</v>
      </c>
      <c r="U18" s="9"/>
      <c r="W18" s="104">
        <f t="shared" si="25"/>
        <v>117.9</v>
      </c>
      <c r="X18" s="106">
        <f t="shared" si="25"/>
        <v>36</v>
      </c>
      <c r="Y18" s="102">
        <f t="shared" si="26"/>
        <v>253</v>
      </c>
      <c r="Z18" s="109">
        <f t="shared" si="26"/>
        <v>32000</v>
      </c>
      <c r="AA18" s="109">
        <f t="shared" si="27"/>
        <v>0</v>
      </c>
      <c r="AB18" s="109">
        <f t="shared" si="28"/>
        <v>32000</v>
      </c>
      <c r="AC18" s="4">
        <f t="shared" si="28"/>
        <v>0</v>
      </c>
      <c r="AD18" s="105">
        <f t="shared" si="28"/>
        <v>888.88888888888891</v>
      </c>
      <c r="AE18" s="75" t="str">
        <f t="shared" si="29"/>
        <v>계</v>
      </c>
      <c r="AF18" s="75" t="str">
        <f t="shared" si="30"/>
        <v>3/2</v>
      </c>
      <c r="AH18" s="20" t="str">
        <f t="shared" si="1"/>
        <v>진해장천대동다숲</v>
      </c>
      <c r="AI18" s="106">
        <f t="shared" si="0"/>
        <v>36</v>
      </c>
      <c r="AJ18" s="75" t="str">
        <f t="shared" si="31"/>
        <v>A-</v>
      </c>
      <c r="AK18" s="75" t="s">
        <v>14</v>
      </c>
      <c r="AL18" s="75" t="s">
        <v>870</v>
      </c>
      <c r="AM18" s="75" t="s">
        <v>871</v>
      </c>
      <c r="AN18" s="75" t="str">
        <f t="shared" si="32"/>
        <v>C</v>
      </c>
      <c r="AO18" s="75" t="str">
        <f t="shared" si="33"/>
        <v>X</v>
      </c>
      <c r="AP18" s="75" t="str">
        <f t="shared" si="34"/>
        <v>O</v>
      </c>
      <c r="AQ18" s="75" t="str">
        <f t="shared" si="35"/>
        <v>O</v>
      </c>
      <c r="AR18" s="75" t="str">
        <f t="shared" si="36"/>
        <v>X</v>
      </c>
      <c r="AS18" s="75" t="s">
        <v>2</v>
      </c>
      <c r="AT18" s="75" t="str">
        <f t="shared" si="37"/>
        <v>O</v>
      </c>
      <c r="AU18" s="75" t="str">
        <f t="shared" si="38"/>
        <v>O</v>
      </c>
      <c r="AV18" s="75" t="str">
        <f t="shared" si="39"/>
        <v>X</v>
      </c>
    </row>
    <row r="19" spans="1:48" x14ac:dyDescent="0.3">
      <c r="A19" s="9" t="s">
        <v>683</v>
      </c>
      <c r="B19" s="10" t="s">
        <v>925</v>
      </c>
      <c r="C19" s="107">
        <v>1264</v>
      </c>
      <c r="D19" s="104">
        <v>156.19999999999999</v>
      </c>
      <c r="E19" s="106">
        <v>47</v>
      </c>
      <c r="F19" s="104">
        <v>122.1</v>
      </c>
      <c r="G19" s="17">
        <v>37</v>
      </c>
      <c r="H19" s="107">
        <v>90</v>
      </c>
      <c r="I19" s="108">
        <v>44000</v>
      </c>
      <c r="J19" s="108" t="s">
        <v>868</v>
      </c>
      <c r="K19" s="108"/>
      <c r="L19" s="108"/>
      <c r="M19" s="109">
        <f t="shared" si="21"/>
        <v>44000</v>
      </c>
      <c r="N19" s="4">
        <f t="shared" si="22"/>
        <v>0</v>
      </c>
      <c r="O19" s="105">
        <f t="shared" si="23"/>
        <v>936.17021276595744</v>
      </c>
      <c r="P19" s="105">
        <f t="shared" si="24"/>
        <v>0</v>
      </c>
      <c r="Q19" s="75">
        <v>4</v>
      </c>
      <c r="R19" s="75">
        <v>2</v>
      </c>
      <c r="S19" s="75" t="s">
        <v>869</v>
      </c>
      <c r="T19" s="5">
        <v>156</v>
      </c>
      <c r="U19" s="9"/>
      <c r="W19" s="104">
        <f t="shared" si="25"/>
        <v>156.19999999999999</v>
      </c>
      <c r="X19" s="106">
        <f t="shared" si="25"/>
        <v>47</v>
      </c>
      <c r="Y19" s="102">
        <f t="shared" si="26"/>
        <v>90</v>
      </c>
      <c r="Z19" s="109">
        <f t="shared" si="26"/>
        <v>44000</v>
      </c>
      <c r="AA19" s="109">
        <f t="shared" si="27"/>
        <v>0</v>
      </c>
      <c r="AB19" s="109">
        <f t="shared" si="28"/>
        <v>44000</v>
      </c>
      <c r="AC19" s="4">
        <f t="shared" si="28"/>
        <v>0</v>
      </c>
      <c r="AD19" s="105">
        <f t="shared" si="28"/>
        <v>936.17021276595744</v>
      </c>
      <c r="AE19" s="75" t="str">
        <f t="shared" si="29"/>
        <v>계</v>
      </c>
      <c r="AF19" s="75" t="str">
        <f t="shared" si="30"/>
        <v>4/2</v>
      </c>
      <c r="AH19" s="20" t="str">
        <f t="shared" si="1"/>
        <v>진해장천대동다숲</v>
      </c>
      <c r="AI19" s="106">
        <f t="shared" si="0"/>
        <v>47</v>
      </c>
      <c r="AJ19" s="75" t="str">
        <f t="shared" si="31"/>
        <v>A-</v>
      </c>
      <c r="AK19" s="75" t="s">
        <v>14</v>
      </c>
      <c r="AL19" s="75" t="s">
        <v>870</v>
      </c>
      <c r="AM19" s="75" t="s">
        <v>871</v>
      </c>
      <c r="AN19" s="75" t="str">
        <f t="shared" si="32"/>
        <v>C</v>
      </c>
      <c r="AO19" s="75" t="str">
        <f t="shared" si="33"/>
        <v>X</v>
      </c>
      <c r="AP19" s="75" t="str">
        <f t="shared" si="34"/>
        <v>O</v>
      </c>
      <c r="AQ19" s="75" t="str">
        <f t="shared" si="35"/>
        <v>O</v>
      </c>
      <c r="AR19" s="75" t="str">
        <f t="shared" si="36"/>
        <v>X</v>
      </c>
      <c r="AS19" s="75" t="s">
        <v>2</v>
      </c>
      <c r="AT19" s="75" t="str">
        <f t="shared" si="37"/>
        <v>X</v>
      </c>
      <c r="AU19" s="75" t="str">
        <f t="shared" si="38"/>
        <v>O</v>
      </c>
      <c r="AV19" s="75" t="str">
        <f t="shared" si="39"/>
        <v>X</v>
      </c>
    </row>
    <row r="20" spans="1:48" x14ac:dyDescent="0.3">
      <c r="A20" s="9" t="s">
        <v>683</v>
      </c>
      <c r="B20" s="10" t="s">
        <v>925</v>
      </c>
      <c r="C20" s="107">
        <v>1264</v>
      </c>
      <c r="D20" s="104">
        <v>184.1</v>
      </c>
      <c r="E20" s="106">
        <v>56</v>
      </c>
      <c r="F20" s="104">
        <v>141.4</v>
      </c>
      <c r="G20" s="17">
        <v>43</v>
      </c>
      <c r="H20" s="107">
        <v>90</v>
      </c>
      <c r="I20" s="108">
        <v>51000</v>
      </c>
      <c r="J20" s="108" t="s">
        <v>868</v>
      </c>
      <c r="K20" s="108"/>
      <c r="L20" s="108"/>
      <c r="M20" s="109">
        <f t="shared" si="21"/>
        <v>51000</v>
      </c>
      <c r="N20" s="4">
        <f t="shared" si="22"/>
        <v>0</v>
      </c>
      <c r="O20" s="105">
        <f t="shared" si="23"/>
        <v>910.71428571428567</v>
      </c>
      <c r="P20" s="105">
        <f t="shared" si="24"/>
        <v>0</v>
      </c>
      <c r="Q20" s="75">
        <v>4</v>
      </c>
      <c r="R20" s="75">
        <v>2</v>
      </c>
      <c r="S20" s="75" t="s">
        <v>869</v>
      </c>
      <c r="T20" s="5">
        <v>184</v>
      </c>
      <c r="U20" s="9"/>
      <c r="W20" s="104">
        <f t="shared" si="25"/>
        <v>184.1</v>
      </c>
      <c r="X20" s="106">
        <f t="shared" si="25"/>
        <v>56</v>
      </c>
      <c r="Y20" s="102">
        <f t="shared" si="26"/>
        <v>90</v>
      </c>
      <c r="Z20" s="109">
        <f t="shared" si="26"/>
        <v>51000</v>
      </c>
      <c r="AA20" s="109">
        <f t="shared" si="27"/>
        <v>0</v>
      </c>
      <c r="AB20" s="109">
        <f t="shared" si="28"/>
        <v>51000</v>
      </c>
      <c r="AC20" s="4">
        <f t="shared" si="28"/>
        <v>0</v>
      </c>
      <c r="AD20" s="105">
        <f t="shared" si="28"/>
        <v>910.71428571428567</v>
      </c>
      <c r="AE20" s="75" t="str">
        <f t="shared" si="29"/>
        <v>계</v>
      </c>
      <c r="AF20" s="75" t="str">
        <f t="shared" si="30"/>
        <v>4/2</v>
      </c>
      <c r="AH20" s="20" t="str">
        <f t="shared" si="1"/>
        <v>진해장천대동다숲</v>
      </c>
      <c r="AI20" s="106">
        <f t="shared" si="0"/>
        <v>56</v>
      </c>
      <c r="AJ20" s="75" t="str">
        <f t="shared" si="31"/>
        <v>A-</v>
      </c>
      <c r="AK20" s="75" t="s">
        <v>14</v>
      </c>
      <c r="AL20" s="75" t="s">
        <v>870</v>
      </c>
      <c r="AM20" s="75" t="s">
        <v>871</v>
      </c>
      <c r="AN20" s="75" t="str">
        <f t="shared" si="32"/>
        <v>C</v>
      </c>
      <c r="AO20" s="75" t="str">
        <f t="shared" si="33"/>
        <v>X</v>
      </c>
      <c r="AP20" s="75" t="str">
        <f t="shared" si="34"/>
        <v>X</v>
      </c>
      <c r="AQ20" s="75" t="str">
        <f t="shared" si="35"/>
        <v>O</v>
      </c>
      <c r="AR20" s="75" t="str">
        <f t="shared" si="36"/>
        <v>X</v>
      </c>
      <c r="AS20" s="75" t="s">
        <v>2</v>
      </c>
      <c r="AT20" s="75" t="str">
        <f t="shared" si="37"/>
        <v>X</v>
      </c>
      <c r="AU20" s="75" t="str">
        <f t="shared" si="38"/>
        <v>O</v>
      </c>
      <c r="AV20" s="75" t="str">
        <f t="shared" si="39"/>
        <v>X</v>
      </c>
    </row>
    <row r="21" spans="1:48" x14ac:dyDescent="0.3">
      <c r="A21" s="9" t="s">
        <v>683</v>
      </c>
      <c r="B21" s="10" t="s">
        <v>925</v>
      </c>
      <c r="C21" s="107">
        <v>1264</v>
      </c>
      <c r="D21" s="104">
        <v>213.6</v>
      </c>
      <c r="E21" s="106">
        <v>65</v>
      </c>
      <c r="F21" s="104">
        <v>177.8</v>
      </c>
      <c r="G21" s="17">
        <v>54</v>
      </c>
      <c r="H21" s="107">
        <v>28</v>
      </c>
      <c r="I21" s="108">
        <v>57000</v>
      </c>
      <c r="J21" s="108" t="s">
        <v>868</v>
      </c>
      <c r="K21" s="108"/>
      <c r="L21" s="108"/>
      <c r="M21" s="109">
        <f t="shared" si="21"/>
        <v>57000</v>
      </c>
      <c r="N21" s="4">
        <f t="shared" si="22"/>
        <v>0</v>
      </c>
      <c r="O21" s="105">
        <f t="shared" si="23"/>
        <v>876.92307692307691</v>
      </c>
      <c r="P21" s="105">
        <f t="shared" si="24"/>
        <v>0</v>
      </c>
      <c r="Q21" s="75">
        <v>5</v>
      </c>
      <c r="R21" s="75">
        <v>2</v>
      </c>
      <c r="S21" s="75" t="s">
        <v>869</v>
      </c>
      <c r="T21" s="5">
        <v>213</v>
      </c>
      <c r="U21" s="9"/>
      <c r="W21" s="104">
        <f t="shared" si="25"/>
        <v>213.6</v>
      </c>
      <c r="X21" s="106">
        <f t="shared" si="25"/>
        <v>65</v>
      </c>
      <c r="Y21" s="102">
        <f t="shared" si="26"/>
        <v>28</v>
      </c>
      <c r="Z21" s="109">
        <f t="shared" si="26"/>
        <v>57000</v>
      </c>
      <c r="AA21" s="109">
        <f t="shared" si="27"/>
        <v>0</v>
      </c>
      <c r="AB21" s="109">
        <f t="shared" si="28"/>
        <v>57000</v>
      </c>
      <c r="AC21" s="4">
        <f t="shared" si="28"/>
        <v>0</v>
      </c>
      <c r="AD21" s="105">
        <f t="shared" si="28"/>
        <v>876.92307692307691</v>
      </c>
      <c r="AE21" s="75" t="str">
        <f t="shared" si="29"/>
        <v>계</v>
      </c>
      <c r="AF21" s="75" t="str">
        <f t="shared" si="30"/>
        <v>5/2</v>
      </c>
      <c r="AH21" s="20" t="str">
        <f t="shared" si="1"/>
        <v>진해장천대동다숲</v>
      </c>
      <c r="AI21" s="106">
        <f t="shared" si="0"/>
        <v>65</v>
      </c>
      <c r="AJ21" s="75" t="str">
        <f t="shared" si="31"/>
        <v>A-</v>
      </c>
      <c r="AK21" s="75" t="s">
        <v>14</v>
      </c>
      <c r="AL21" s="75" t="s">
        <v>870</v>
      </c>
      <c r="AM21" s="75" t="s">
        <v>871</v>
      </c>
      <c r="AN21" s="75" t="str">
        <f t="shared" si="32"/>
        <v>C</v>
      </c>
      <c r="AO21" s="75" t="str">
        <f t="shared" si="33"/>
        <v>X</v>
      </c>
      <c r="AP21" s="75" t="str">
        <f t="shared" si="34"/>
        <v>X</v>
      </c>
      <c r="AQ21" s="75" t="str">
        <f t="shared" si="35"/>
        <v>O</v>
      </c>
      <c r="AR21" s="75" t="str">
        <f t="shared" si="36"/>
        <v>X</v>
      </c>
      <c r="AS21" s="75" t="s">
        <v>2</v>
      </c>
      <c r="AT21" s="75" t="str">
        <f t="shared" si="37"/>
        <v>X</v>
      </c>
      <c r="AU21" s="75" t="str">
        <f t="shared" si="38"/>
        <v>O</v>
      </c>
      <c r="AV21" s="75" t="str">
        <f t="shared" si="39"/>
        <v>X</v>
      </c>
    </row>
    <row r="22" spans="1:48" x14ac:dyDescent="0.3">
      <c r="A22" s="9" t="s">
        <v>683</v>
      </c>
      <c r="B22" s="10" t="s">
        <v>925</v>
      </c>
      <c r="C22" s="107">
        <v>1264</v>
      </c>
      <c r="D22" s="104">
        <v>263.39999999999998</v>
      </c>
      <c r="E22" s="106">
        <v>80</v>
      </c>
      <c r="F22" s="104">
        <v>225.5</v>
      </c>
      <c r="G22" s="17">
        <v>68</v>
      </c>
      <c r="H22" s="107">
        <v>30</v>
      </c>
      <c r="I22" s="108">
        <v>65000</v>
      </c>
      <c r="J22" s="108" t="s">
        <v>901</v>
      </c>
      <c r="K22" s="108"/>
      <c r="L22" s="108"/>
      <c r="M22" s="109">
        <f t="shared" si="21"/>
        <v>65000</v>
      </c>
      <c r="N22" s="4">
        <f t="shared" si="22"/>
        <v>0</v>
      </c>
      <c r="O22" s="105">
        <f t="shared" si="23"/>
        <v>812.5</v>
      </c>
      <c r="P22" s="105">
        <f t="shared" si="24"/>
        <v>0</v>
      </c>
      <c r="Q22" s="75">
        <v>5</v>
      </c>
      <c r="R22" s="75">
        <v>3</v>
      </c>
      <c r="S22" s="75" t="s">
        <v>869</v>
      </c>
      <c r="T22" s="5">
        <v>263</v>
      </c>
      <c r="U22" s="9"/>
      <c r="W22" s="104">
        <f t="shared" si="25"/>
        <v>263.39999999999998</v>
      </c>
      <c r="X22" s="106">
        <f t="shared" si="25"/>
        <v>80</v>
      </c>
      <c r="Y22" s="102">
        <f t="shared" si="26"/>
        <v>30</v>
      </c>
      <c r="Z22" s="109">
        <f t="shared" si="26"/>
        <v>65000</v>
      </c>
      <c r="AA22" s="109">
        <f t="shared" si="27"/>
        <v>0</v>
      </c>
      <c r="AB22" s="109">
        <f t="shared" si="28"/>
        <v>65000</v>
      </c>
      <c r="AC22" s="4">
        <f t="shared" si="28"/>
        <v>0</v>
      </c>
      <c r="AD22" s="105">
        <f t="shared" si="28"/>
        <v>812.5</v>
      </c>
      <c r="AE22" s="75" t="str">
        <f t="shared" si="29"/>
        <v>계</v>
      </c>
      <c r="AF22" s="75" t="str">
        <f t="shared" si="30"/>
        <v>5/3</v>
      </c>
      <c r="AH22" s="20" t="str">
        <f t="shared" si="1"/>
        <v>진해장천대동다숲</v>
      </c>
      <c r="AI22" s="106">
        <f t="shared" si="0"/>
        <v>80</v>
      </c>
      <c r="AJ22" s="75" t="str">
        <f t="shared" si="31"/>
        <v>A-</v>
      </c>
      <c r="AK22" s="75" t="s">
        <v>14</v>
      </c>
      <c r="AL22" s="75" t="s">
        <v>870</v>
      </c>
      <c r="AM22" s="75" t="s">
        <v>871</v>
      </c>
      <c r="AN22" s="75" t="str">
        <f t="shared" si="32"/>
        <v>C</v>
      </c>
      <c r="AO22" s="75" t="str">
        <f t="shared" si="33"/>
        <v>X</v>
      </c>
      <c r="AP22" s="75" t="str">
        <f t="shared" si="34"/>
        <v>X</v>
      </c>
      <c r="AQ22" s="75" t="str">
        <f t="shared" si="35"/>
        <v>O</v>
      </c>
      <c r="AR22" s="75" t="str">
        <f t="shared" si="36"/>
        <v>X</v>
      </c>
      <c r="AS22" s="75" t="s">
        <v>2</v>
      </c>
      <c r="AT22" s="75" t="str">
        <f t="shared" si="37"/>
        <v>X</v>
      </c>
      <c r="AU22" s="75" t="str">
        <f t="shared" si="38"/>
        <v>O</v>
      </c>
      <c r="AV22" s="75" t="str">
        <f t="shared" si="39"/>
        <v>X</v>
      </c>
    </row>
    <row r="23" spans="1:48" x14ac:dyDescent="0.3">
      <c r="A23" s="9"/>
      <c r="B23" s="75"/>
      <c r="C23" s="6"/>
      <c r="D23" s="9"/>
      <c r="E23" s="14"/>
      <c r="F23" s="104"/>
      <c r="G23" s="9"/>
      <c r="H23" s="9"/>
      <c r="I23" s="9"/>
      <c r="J23" s="9"/>
      <c r="K23" s="9"/>
      <c r="L23" s="9"/>
      <c r="M23" s="9"/>
      <c r="N23" s="9"/>
      <c r="O23" s="105"/>
      <c r="P23" s="105"/>
      <c r="Q23" s="106"/>
      <c r="R23" s="106"/>
      <c r="S23" s="9"/>
      <c r="T23" s="48"/>
      <c r="U23" s="9"/>
      <c r="W23" s="70" t="str">
        <f>$A$4&amp;" "&amp;A24&amp;"("&amp;B24&amp;","&amp;C24&amp;"^)"</f>
        <v>장천동 벽산e솔렌스힐('08.07.,282^)</v>
      </c>
      <c r="X23" s="71"/>
      <c r="Y23" s="71"/>
      <c r="Z23" s="71"/>
      <c r="AA23" s="71"/>
      <c r="AB23" s="71"/>
      <c r="AC23" s="71"/>
      <c r="AD23" s="71"/>
      <c r="AE23" s="71"/>
      <c r="AF23" s="72"/>
      <c r="AH23" s="20" t="str">
        <f t="shared" si="1"/>
        <v/>
      </c>
      <c r="AI23" s="103" t="str">
        <f t="shared" si="0"/>
        <v/>
      </c>
      <c r="AJ23" s="75"/>
      <c r="AK23" s="75"/>
      <c r="AL23" s="75"/>
      <c r="AM23" s="75"/>
      <c r="AN23" s="75"/>
      <c r="AO23" s="75"/>
      <c r="AP23" s="75"/>
      <c r="AQ23" s="75"/>
      <c r="AR23" s="75"/>
      <c r="AS23" s="75"/>
      <c r="AT23" s="75"/>
      <c r="AU23" s="75"/>
      <c r="AV23" s="75"/>
    </row>
    <row r="24" spans="1:48" x14ac:dyDescent="0.3">
      <c r="A24" s="9" t="s">
        <v>688</v>
      </c>
      <c r="B24" s="10" t="s">
        <v>926</v>
      </c>
      <c r="C24" s="107">
        <v>282</v>
      </c>
      <c r="D24" s="104">
        <v>109.7</v>
      </c>
      <c r="E24" s="106">
        <v>33</v>
      </c>
      <c r="F24" s="104">
        <v>84.9</v>
      </c>
      <c r="G24" s="17">
        <v>26</v>
      </c>
      <c r="H24" s="107">
        <v>147</v>
      </c>
      <c r="I24" s="108"/>
      <c r="J24" s="108"/>
      <c r="K24" s="108"/>
      <c r="L24" s="108"/>
      <c r="M24" s="109">
        <f>I24-K24</f>
        <v>0</v>
      </c>
      <c r="N24" s="4" t="str">
        <f>IF(ISERROR(K24/I24),"",K24/I24)</f>
        <v/>
      </c>
      <c r="O24" s="105">
        <f>I24/E24</f>
        <v>0</v>
      </c>
      <c r="P24" s="105">
        <f>K24/E24</f>
        <v>0</v>
      </c>
      <c r="Q24" s="75">
        <v>3</v>
      </c>
      <c r="R24" s="75">
        <v>2</v>
      </c>
      <c r="S24" s="75" t="s">
        <v>869</v>
      </c>
      <c r="T24" s="5">
        <v>109</v>
      </c>
      <c r="U24" s="9"/>
      <c r="W24" s="104">
        <f t="shared" ref="W24:X26" si="40">D24</f>
        <v>109.7</v>
      </c>
      <c r="X24" s="106">
        <f t="shared" si="40"/>
        <v>33</v>
      </c>
      <c r="Y24" s="102">
        <f t="shared" ref="Y24:Z26" si="41">H24</f>
        <v>147</v>
      </c>
      <c r="Z24" s="109">
        <f t="shared" si="41"/>
        <v>0</v>
      </c>
      <c r="AA24" s="109">
        <f>K24</f>
        <v>0</v>
      </c>
      <c r="AB24" s="109">
        <f t="shared" ref="AB24:AD26" si="42">M24</f>
        <v>0</v>
      </c>
      <c r="AC24" s="4" t="str">
        <f t="shared" si="42"/>
        <v/>
      </c>
      <c r="AD24" s="105">
        <f t="shared" si="42"/>
        <v>0</v>
      </c>
      <c r="AE24" s="75" t="str">
        <f>S24</f>
        <v>계</v>
      </c>
      <c r="AF24" s="75" t="str">
        <f>Q24&amp;"/"&amp;R24</f>
        <v>3/2</v>
      </c>
      <c r="AH24" s="20" t="str">
        <f t="shared" si="1"/>
        <v>벽산e솔렌스힐</v>
      </c>
      <c r="AI24" s="106">
        <f t="shared" si="0"/>
        <v>33</v>
      </c>
      <c r="AJ24" s="75" t="str">
        <f>IF(AI24="","",$AJ$2)</f>
        <v>A-</v>
      </c>
      <c r="AK24" s="75" t="s">
        <v>14</v>
      </c>
      <c r="AL24" s="75" t="s">
        <v>870</v>
      </c>
      <c r="AM24" s="75" t="s">
        <v>871</v>
      </c>
      <c r="AN24" s="75" t="str">
        <f>IF(AI24="","",$AN$2)</f>
        <v>C</v>
      </c>
      <c r="AO24" s="75" t="str">
        <f>IF(N24="","",IF(N24&gt;=$AO$1/100,"O","X"))</f>
        <v/>
      </c>
      <c r="AP24" s="75" t="str">
        <f>IF(I24="","",IF(I24&lt;=$AP$1,"O","X"))</f>
        <v/>
      </c>
      <c r="AQ24" s="75" t="str">
        <f>IF(O24="","",IF(O24&lt;=$AQ$1,"O","X"))</f>
        <v>O</v>
      </c>
      <c r="AR24" s="75" t="str">
        <f>IF(M24="","",IF(M24&lt;=$AR$1,"O","X"))</f>
        <v>O</v>
      </c>
      <c r="AS24" s="75" t="s">
        <v>2</v>
      </c>
      <c r="AT24" s="75" t="str">
        <f>IF(OR(F24="",AI24=""),"",IF(AND((F24&lt;=85),(AI24&gt;=15)),"O","X"))</f>
        <v>O</v>
      </c>
      <c r="AU24" s="75" t="str">
        <f>IF(C24="","",IF(C24&gt;=$AU$1,"O","X"))</f>
        <v>X</v>
      </c>
      <c r="AV24" s="75" t="str">
        <f>IF(AO24="","",IF(AND(AO24="O",AP24="O",AR24="O",AT24="O",AU24="O"),"후보","X"))</f>
        <v/>
      </c>
    </row>
    <row r="25" spans="1:48" x14ac:dyDescent="0.3">
      <c r="A25" s="9" t="s">
        <v>688</v>
      </c>
      <c r="B25" s="10" t="s">
        <v>926</v>
      </c>
      <c r="C25" s="107">
        <v>282</v>
      </c>
      <c r="D25" s="104">
        <v>151.19999999999999</v>
      </c>
      <c r="E25" s="106">
        <v>46</v>
      </c>
      <c r="F25" s="104">
        <v>120.7</v>
      </c>
      <c r="G25" s="17">
        <v>37</v>
      </c>
      <c r="H25" s="107">
        <v>45</v>
      </c>
      <c r="I25" s="108"/>
      <c r="J25" s="108"/>
      <c r="K25" s="108"/>
      <c r="L25" s="108"/>
      <c r="M25" s="109">
        <f>I25-K25</f>
        <v>0</v>
      </c>
      <c r="N25" s="4" t="str">
        <f>IF(ISERROR(K25/I25),"",K25/I25)</f>
        <v/>
      </c>
      <c r="O25" s="105">
        <f>I25/E25</f>
        <v>0</v>
      </c>
      <c r="P25" s="105">
        <f>K25/E25</f>
        <v>0</v>
      </c>
      <c r="Q25" s="75">
        <v>4</v>
      </c>
      <c r="R25" s="75">
        <v>2</v>
      </c>
      <c r="S25" s="75" t="s">
        <v>869</v>
      </c>
      <c r="T25" s="5">
        <v>151</v>
      </c>
      <c r="U25" s="9"/>
      <c r="W25" s="104">
        <f t="shared" si="40"/>
        <v>151.19999999999999</v>
      </c>
      <c r="X25" s="106">
        <f t="shared" si="40"/>
        <v>46</v>
      </c>
      <c r="Y25" s="102">
        <f t="shared" si="41"/>
        <v>45</v>
      </c>
      <c r="Z25" s="109">
        <f t="shared" si="41"/>
        <v>0</v>
      </c>
      <c r="AA25" s="109">
        <f>K25</f>
        <v>0</v>
      </c>
      <c r="AB25" s="109">
        <f t="shared" si="42"/>
        <v>0</v>
      </c>
      <c r="AC25" s="4" t="str">
        <f t="shared" si="42"/>
        <v/>
      </c>
      <c r="AD25" s="105">
        <f t="shared" si="42"/>
        <v>0</v>
      </c>
      <c r="AE25" s="75" t="str">
        <f>S25</f>
        <v>계</v>
      </c>
      <c r="AF25" s="75" t="str">
        <f>Q25&amp;"/"&amp;R25</f>
        <v>4/2</v>
      </c>
      <c r="AH25" s="20" t="str">
        <f t="shared" si="1"/>
        <v>벽산e솔렌스힐</v>
      </c>
      <c r="AI25" s="106">
        <f t="shared" si="0"/>
        <v>46</v>
      </c>
      <c r="AJ25" s="75" t="str">
        <f>IF(AI25="","",$AJ$2)</f>
        <v>A-</v>
      </c>
      <c r="AK25" s="75" t="s">
        <v>14</v>
      </c>
      <c r="AL25" s="75" t="s">
        <v>870</v>
      </c>
      <c r="AM25" s="75" t="s">
        <v>871</v>
      </c>
      <c r="AN25" s="75" t="str">
        <f>IF(AI25="","",$AN$2)</f>
        <v>C</v>
      </c>
      <c r="AO25" s="75" t="str">
        <f>IF(N25="","",IF(N25&gt;=$AO$1/100,"O","X"))</f>
        <v/>
      </c>
      <c r="AP25" s="75" t="str">
        <f>IF(I25="","",IF(I25&lt;=$AP$1,"O","X"))</f>
        <v/>
      </c>
      <c r="AQ25" s="75" t="str">
        <f>IF(O25="","",IF(O25&lt;=$AQ$1,"O","X"))</f>
        <v>O</v>
      </c>
      <c r="AR25" s="75" t="str">
        <f>IF(M25="","",IF(M25&lt;=$AR$1,"O","X"))</f>
        <v>O</v>
      </c>
      <c r="AS25" s="75" t="s">
        <v>2</v>
      </c>
      <c r="AT25" s="75" t="str">
        <f>IF(OR(F25="",AI25=""),"",IF(AND((F25&lt;=85),(AI25&gt;=15)),"O","X"))</f>
        <v>X</v>
      </c>
      <c r="AU25" s="75" t="str">
        <f>IF(C25="","",IF(C25&gt;=$AU$1,"O","X"))</f>
        <v>X</v>
      </c>
      <c r="AV25" s="75" t="str">
        <f>IF(AO25="","",IF(AND(AO25="O",AP25="O",AR25="O",AT25="O",AU25="O"),"후보","X"))</f>
        <v/>
      </c>
    </row>
    <row r="26" spans="1:48" x14ac:dyDescent="0.3">
      <c r="A26" s="9" t="s">
        <v>688</v>
      </c>
      <c r="B26" s="10" t="s">
        <v>926</v>
      </c>
      <c r="C26" s="107">
        <v>282</v>
      </c>
      <c r="D26" s="104">
        <v>174.5</v>
      </c>
      <c r="E26" s="106">
        <v>53</v>
      </c>
      <c r="F26" s="104">
        <v>140.5</v>
      </c>
      <c r="G26" s="17">
        <v>42</v>
      </c>
      <c r="H26" s="107">
        <v>90</v>
      </c>
      <c r="I26" s="108"/>
      <c r="J26" s="108"/>
      <c r="K26" s="108"/>
      <c r="L26" s="108"/>
      <c r="M26" s="109">
        <f>I26-K26</f>
        <v>0</v>
      </c>
      <c r="N26" s="4" t="str">
        <f>IF(ISERROR(K26/I26),"",K26/I26)</f>
        <v/>
      </c>
      <c r="O26" s="105">
        <f>I26/E26</f>
        <v>0</v>
      </c>
      <c r="P26" s="105">
        <f>K26/E26</f>
        <v>0</v>
      </c>
      <c r="Q26" s="75">
        <v>4</v>
      </c>
      <c r="R26" s="75">
        <v>2</v>
      </c>
      <c r="S26" s="75" t="s">
        <v>869</v>
      </c>
      <c r="T26" s="5">
        <v>174</v>
      </c>
      <c r="U26" s="9"/>
      <c r="W26" s="104">
        <f t="shared" si="40"/>
        <v>174.5</v>
      </c>
      <c r="X26" s="106">
        <f t="shared" si="40"/>
        <v>53</v>
      </c>
      <c r="Y26" s="102">
        <f t="shared" si="41"/>
        <v>90</v>
      </c>
      <c r="Z26" s="109">
        <f t="shared" si="41"/>
        <v>0</v>
      </c>
      <c r="AA26" s="109">
        <f>K26</f>
        <v>0</v>
      </c>
      <c r="AB26" s="109">
        <f t="shared" si="42"/>
        <v>0</v>
      </c>
      <c r="AC26" s="4" t="str">
        <f t="shared" si="42"/>
        <v/>
      </c>
      <c r="AD26" s="105">
        <f t="shared" si="42"/>
        <v>0</v>
      </c>
      <c r="AE26" s="75" t="str">
        <f>S26</f>
        <v>계</v>
      </c>
      <c r="AF26" s="75" t="str">
        <f>Q26&amp;"/"&amp;R26</f>
        <v>4/2</v>
      </c>
      <c r="AH26" s="20" t="str">
        <f t="shared" si="1"/>
        <v>벽산e솔렌스힐</v>
      </c>
      <c r="AI26" s="106">
        <f t="shared" si="0"/>
        <v>53</v>
      </c>
      <c r="AJ26" s="75" t="str">
        <f>IF(AI26="","",$AJ$2)</f>
        <v>A-</v>
      </c>
      <c r="AK26" s="75" t="s">
        <v>14</v>
      </c>
      <c r="AL26" s="75" t="s">
        <v>870</v>
      </c>
      <c r="AM26" s="75" t="s">
        <v>871</v>
      </c>
      <c r="AN26" s="75" t="str">
        <f>IF(AI26="","",$AN$2)</f>
        <v>C</v>
      </c>
      <c r="AO26" s="75" t="str">
        <f>IF(N26="","",IF(N26&gt;=$AO$1/100,"O","X"))</f>
        <v/>
      </c>
      <c r="AP26" s="75" t="str">
        <f>IF(I26="","",IF(I26&lt;=$AP$1,"O","X"))</f>
        <v/>
      </c>
      <c r="AQ26" s="75" t="str">
        <f>IF(O26="","",IF(O26&lt;=$AQ$1,"O","X"))</f>
        <v>O</v>
      </c>
      <c r="AR26" s="75" t="str">
        <f>IF(M26="","",IF(M26&lt;=$AR$1,"O","X"))</f>
        <v>O</v>
      </c>
      <c r="AS26" s="75" t="s">
        <v>2</v>
      </c>
      <c r="AT26" s="75" t="str">
        <f>IF(OR(F26="",AI26=""),"",IF(AND((F26&lt;=85),(AI26&gt;=15)),"O","X"))</f>
        <v>X</v>
      </c>
      <c r="AU26" s="75" t="str">
        <f>IF(C26="","",IF(C26&gt;=$AU$1,"O","X"))</f>
        <v>X</v>
      </c>
      <c r="AV26" s="75" t="str">
        <f>IF(AO26="","",IF(AND(AO26="O",AP26="O",AR26="O",AT26="O",AU26="O"),"후보","X"))</f>
        <v/>
      </c>
    </row>
  </sheetData>
  <mergeCells count="1">
    <mergeCell ref="AJ1:AN1"/>
  </mergeCells>
  <phoneticPr fontId="2" type="noConversion"/>
  <conditionalFormatting sqref="AV4:AV6">
    <cfRule type="expression" dxfId="1211" priority="372">
      <formula>AV4="X"</formula>
    </cfRule>
    <cfRule type="expression" dxfId="1210" priority="373">
      <formula>AV4="후보"</formula>
    </cfRule>
  </conditionalFormatting>
  <conditionalFormatting sqref="AC1:AC2 AC4:AC6 N4:N5">
    <cfRule type="cellIs" dxfId="1209" priority="369" operator="greaterThan">
      <formula>0.9</formula>
    </cfRule>
    <cfRule type="cellIs" dxfId="1208" priority="370" operator="greaterThan">
      <formula>0.85</formula>
    </cfRule>
  </conditionalFormatting>
  <conditionalFormatting sqref="N1:N2">
    <cfRule type="cellIs" dxfId="1207" priority="367" operator="greaterThan">
      <formula>0.9</formula>
    </cfRule>
    <cfRule type="cellIs" dxfId="1206" priority="368" operator="greaterThan">
      <formula>0.85</formula>
    </cfRule>
  </conditionalFormatting>
  <conditionalFormatting sqref="N6">
    <cfRule type="cellIs" dxfId="1205" priority="365" operator="greaterThan">
      <formula>0.9</formula>
    </cfRule>
    <cfRule type="cellIs" dxfId="1204" priority="366" operator="greaterThan">
      <formula>0.85</formula>
    </cfRule>
  </conditionalFormatting>
  <conditionalFormatting sqref="E6">
    <cfRule type="expression" dxfId="1203" priority="361">
      <formula>AND(IF(OR($Q6=1,$Q6=2),1,0),IF($X6&lt;=20,1,0))</formula>
    </cfRule>
    <cfRule type="expression" dxfId="1202" priority="362">
      <formula>AND(IF($Q6=2,1,0),IF($X6&lt;30,1,0))</formula>
    </cfRule>
    <cfRule type="expression" dxfId="1201" priority="363">
      <formula>AND(IF($Q6=3,1,0),IF($X6&lt;30,1,0))</formula>
    </cfRule>
    <cfRule type="expression" dxfId="1200" priority="364">
      <formula>AND(IF($Q6=3,1,IF($Q6=4,1,0)),IF($F6&lt;=85,1,0))</formula>
    </cfRule>
  </conditionalFormatting>
  <conditionalFormatting sqref="X6">
    <cfRule type="expression" dxfId="1199" priority="357">
      <formula>AND(IF(OR($Q6=1,$Q6=2),1,0),IF($X6&lt;=20,1,0))</formula>
    </cfRule>
    <cfRule type="expression" dxfId="1198" priority="358">
      <formula>AND(IF($Q6=2,1,0),IF($X6&lt;30,1,0))</formula>
    </cfRule>
    <cfRule type="expression" dxfId="1197" priority="359">
      <formula>AND(IF($Q6=3,1,0),IF($X6&lt;30,1,0))</formula>
    </cfRule>
    <cfRule type="expression" dxfId="1196" priority="360">
      <formula>AND(IF($Q6=3,1,IF($Q6=4,1,0)),IF($F6&lt;=85,1,0))</formula>
    </cfRule>
  </conditionalFormatting>
  <conditionalFormatting sqref="AI6">
    <cfRule type="expression" dxfId="1195" priority="353">
      <formula>AND(IF(OR($Q6=1,$Q6=2),1,0),IF($X6&lt;=20,1,0))</formula>
    </cfRule>
    <cfRule type="expression" dxfId="1194" priority="354">
      <formula>AND(IF($Q6=2,1,0),IF($X6&lt;30,1,0))</formula>
    </cfRule>
    <cfRule type="expression" dxfId="1193" priority="355">
      <formula>AND(IF($Q6=3,1,0),IF($X6&lt;30,1,0))</formula>
    </cfRule>
    <cfRule type="expression" dxfId="1192" priority="356">
      <formula>AND(IF($Q6=3,1,IF($Q6=4,1,0)),IF($F6&lt;=85,1,0))</formula>
    </cfRule>
  </conditionalFormatting>
  <conditionalFormatting sqref="AV7">
    <cfRule type="expression" dxfId="1191" priority="351">
      <formula>AV7="X"</formula>
    </cfRule>
    <cfRule type="expression" dxfId="1190" priority="352">
      <formula>AV7="후보"</formula>
    </cfRule>
  </conditionalFormatting>
  <conditionalFormatting sqref="AC7">
    <cfRule type="cellIs" dxfId="1189" priority="348" operator="greaterThan">
      <formula>0.9</formula>
    </cfRule>
    <cfRule type="cellIs" dxfId="1188" priority="349" operator="greaterThan">
      <formula>0.85</formula>
    </cfRule>
  </conditionalFormatting>
  <conditionalFormatting sqref="N7">
    <cfRule type="cellIs" dxfId="1187" priority="346" operator="greaterThan">
      <formula>0.9</formula>
    </cfRule>
    <cfRule type="cellIs" dxfId="1186" priority="347" operator="greaterThan">
      <formula>0.85</formula>
    </cfRule>
  </conditionalFormatting>
  <conditionalFormatting sqref="E7">
    <cfRule type="expression" dxfId="1185" priority="342">
      <formula>AND(IF(OR($Q7=1,$Q7=2),1,0),IF($X7&lt;=20,1,0))</formula>
    </cfRule>
    <cfRule type="expression" dxfId="1184" priority="343">
      <formula>AND(IF($Q7=2,1,0),IF($X7&lt;30,1,0))</formula>
    </cfRule>
    <cfRule type="expression" dxfId="1183" priority="344">
      <formula>AND(IF($Q7=3,1,0),IF($X7&lt;30,1,0))</formula>
    </cfRule>
    <cfRule type="expression" dxfId="1182" priority="345">
      <formula>AND(IF($Q7=3,1,IF($Q7=4,1,0)),IF($F7&lt;=85,1,0))</formula>
    </cfRule>
  </conditionalFormatting>
  <conditionalFormatting sqref="X7">
    <cfRule type="expression" dxfId="1181" priority="338">
      <formula>AND(IF(OR($Q7=1,$Q7=2),1,0),IF($X7&lt;=20,1,0))</formula>
    </cfRule>
    <cfRule type="expression" dxfId="1180" priority="339">
      <formula>AND(IF($Q7=2,1,0),IF($X7&lt;30,1,0))</formula>
    </cfRule>
    <cfRule type="expression" dxfId="1179" priority="340">
      <formula>AND(IF($Q7=3,1,0),IF($X7&lt;30,1,0))</formula>
    </cfRule>
    <cfRule type="expression" dxfId="1178" priority="341">
      <formula>AND(IF($Q7=3,1,IF($Q7=4,1,0)),IF($F7&lt;=85,1,0))</formula>
    </cfRule>
  </conditionalFormatting>
  <conditionalFormatting sqref="AI7">
    <cfRule type="expression" dxfId="1177" priority="334">
      <formula>AND(IF(OR($Q7=1,$Q7=2),1,0),IF($X7&lt;=20,1,0))</formula>
    </cfRule>
    <cfRule type="expression" dxfId="1176" priority="335">
      <formula>AND(IF($Q7=2,1,0),IF($X7&lt;30,1,0))</formula>
    </cfRule>
    <cfRule type="expression" dxfId="1175" priority="336">
      <formula>AND(IF($Q7=3,1,0),IF($X7&lt;30,1,0))</formula>
    </cfRule>
    <cfRule type="expression" dxfId="1174" priority="337">
      <formula>AND(IF($Q7=3,1,IF($Q7=4,1,0)),IF($F7&lt;=85,1,0))</formula>
    </cfRule>
  </conditionalFormatting>
  <conditionalFormatting sqref="AV8">
    <cfRule type="expression" dxfId="1173" priority="332">
      <formula>AV8="X"</formula>
    </cfRule>
    <cfRule type="expression" dxfId="1172" priority="333">
      <formula>AV8="후보"</formula>
    </cfRule>
  </conditionalFormatting>
  <conditionalFormatting sqref="AC8">
    <cfRule type="cellIs" dxfId="1171" priority="329" operator="greaterThan">
      <formula>0.9</formula>
    </cfRule>
    <cfRule type="cellIs" dxfId="1170" priority="330" operator="greaterThan">
      <formula>0.85</formula>
    </cfRule>
  </conditionalFormatting>
  <conditionalFormatting sqref="N8">
    <cfRule type="cellIs" dxfId="1169" priority="327" operator="greaterThan">
      <formula>0.9</formula>
    </cfRule>
    <cfRule type="cellIs" dxfId="1168" priority="328" operator="greaterThan">
      <formula>0.85</formula>
    </cfRule>
  </conditionalFormatting>
  <conditionalFormatting sqref="E8">
    <cfRule type="expression" dxfId="1167" priority="323">
      <formula>AND(IF(OR($Q8=1,$Q8=2),1,0),IF($X8&lt;=20,1,0))</formula>
    </cfRule>
    <cfRule type="expression" dxfId="1166" priority="324">
      <formula>AND(IF($Q8=2,1,0),IF($X8&lt;30,1,0))</formula>
    </cfRule>
    <cfRule type="expression" dxfId="1165" priority="325">
      <formula>AND(IF($Q8=3,1,0),IF($X8&lt;30,1,0))</formula>
    </cfRule>
    <cfRule type="expression" dxfId="1164" priority="326">
      <formula>AND(IF($Q8=3,1,IF($Q8=4,1,0)),IF($F8&lt;=85,1,0))</formula>
    </cfRule>
  </conditionalFormatting>
  <conditionalFormatting sqref="X8">
    <cfRule type="expression" dxfId="1163" priority="319">
      <formula>AND(IF(OR($Q8=1,$Q8=2),1,0),IF($X8&lt;=20,1,0))</formula>
    </cfRule>
    <cfRule type="expression" dxfId="1162" priority="320">
      <formula>AND(IF($Q8=2,1,0),IF($X8&lt;30,1,0))</formula>
    </cfRule>
    <cfRule type="expression" dxfId="1161" priority="321">
      <formula>AND(IF($Q8=3,1,0),IF($X8&lt;30,1,0))</formula>
    </cfRule>
    <cfRule type="expression" dxfId="1160" priority="322">
      <formula>AND(IF($Q8=3,1,IF($Q8=4,1,0)),IF($F8&lt;=85,1,0))</formula>
    </cfRule>
  </conditionalFormatting>
  <conditionalFormatting sqref="AI8">
    <cfRule type="expression" dxfId="1159" priority="315">
      <formula>AND(IF(OR($Q8=1,$Q8=2),1,0),IF($X8&lt;=20,1,0))</formula>
    </cfRule>
    <cfRule type="expression" dxfId="1158" priority="316">
      <formula>AND(IF($Q8=2,1,0),IF($X8&lt;30,1,0))</formula>
    </cfRule>
    <cfRule type="expression" dxfId="1157" priority="317">
      <formula>AND(IF($Q8=3,1,0),IF($X8&lt;30,1,0))</formula>
    </cfRule>
    <cfRule type="expression" dxfId="1156" priority="318">
      <formula>AND(IF($Q8=3,1,IF($Q8=4,1,0)),IF($F8&lt;=85,1,0))</formula>
    </cfRule>
  </conditionalFormatting>
  <conditionalFormatting sqref="AV9">
    <cfRule type="expression" dxfId="1155" priority="313">
      <formula>AV9="X"</formula>
    </cfRule>
    <cfRule type="expression" dxfId="1154" priority="314">
      <formula>AV9="후보"</formula>
    </cfRule>
  </conditionalFormatting>
  <conditionalFormatting sqref="AC9">
    <cfRule type="cellIs" dxfId="1153" priority="310" operator="greaterThan">
      <formula>0.9</formula>
    </cfRule>
    <cfRule type="cellIs" dxfId="1152" priority="311" operator="greaterThan">
      <formula>0.85</formula>
    </cfRule>
  </conditionalFormatting>
  <conditionalFormatting sqref="N9">
    <cfRule type="cellIs" dxfId="1151" priority="308" operator="greaterThan">
      <formula>0.9</formula>
    </cfRule>
    <cfRule type="cellIs" dxfId="1150" priority="309" operator="greaterThan">
      <formula>0.85</formula>
    </cfRule>
  </conditionalFormatting>
  <conditionalFormatting sqref="E9">
    <cfRule type="expression" dxfId="1149" priority="304">
      <formula>AND(IF(OR($Q9=1,$Q9=2),1,0),IF($X9&lt;=20,1,0))</formula>
    </cfRule>
    <cfRule type="expression" dxfId="1148" priority="305">
      <formula>AND(IF($Q9=2,1,0),IF($X9&lt;30,1,0))</formula>
    </cfRule>
    <cfRule type="expression" dxfId="1147" priority="306">
      <formula>AND(IF($Q9=3,1,0),IF($X9&lt;30,1,0))</formula>
    </cfRule>
    <cfRule type="expression" dxfId="1146" priority="307">
      <formula>AND(IF($Q9=3,1,IF($Q9=4,1,0)),IF($F9&lt;=85,1,0))</formula>
    </cfRule>
  </conditionalFormatting>
  <conditionalFormatting sqref="X9">
    <cfRule type="expression" dxfId="1145" priority="300">
      <formula>AND(IF(OR($Q9=1,$Q9=2),1,0),IF($X9&lt;=20,1,0))</formula>
    </cfRule>
    <cfRule type="expression" dxfId="1144" priority="301">
      <formula>AND(IF($Q9=2,1,0),IF($X9&lt;30,1,0))</formula>
    </cfRule>
    <cfRule type="expression" dxfId="1143" priority="302">
      <formula>AND(IF($Q9=3,1,0),IF($X9&lt;30,1,0))</formula>
    </cfRule>
    <cfRule type="expression" dxfId="1142" priority="303">
      <formula>AND(IF($Q9=3,1,IF($Q9=4,1,0)),IF($F9&lt;=85,1,0))</formula>
    </cfRule>
  </conditionalFormatting>
  <conditionalFormatting sqref="AI9">
    <cfRule type="expression" dxfId="1141" priority="296">
      <formula>AND(IF(OR($Q9=1,$Q9=2),1,0),IF($X9&lt;=20,1,0))</formula>
    </cfRule>
    <cfRule type="expression" dxfId="1140" priority="297">
      <formula>AND(IF($Q9=2,1,0),IF($X9&lt;30,1,0))</formula>
    </cfRule>
    <cfRule type="expression" dxfId="1139" priority="298">
      <formula>AND(IF($Q9=3,1,0),IF($X9&lt;30,1,0))</formula>
    </cfRule>
    <cfRule type="expression" dxfId="1138" priority="299">
      <formula>AND(IF($Q9=3,1,IF($Q9=4,1,0)),IF($F9&lt;=85,1,0))</formula>
    </cfRule>
  </conditionalFormatting>
  <conditionalFormatting sqref="AV10">
    <cfRule type="expression" dxfId="1137" priority="294">
      <formula>AV10="X"</formula>
    </cfRule>
    <cfRule type="expression" dxfId="1136" priority="295">
      <formula>AV10="후보"</formula>
    </cfRule>
  </conditionalFormatting>
  <conditionalFormatting sqref="AC10">
    <cfRule type="cellIs" dxfId="1135" priority="291" operator="greaterThan">
      <formula>0.9</formula>
    </cfRule>
    <cfRule type="cellIs" dxfId="1134" priority="292" operator="greaterThan">
      <formula>0.85</formula>
    </cfRule>
  </conditionalFormatting>
  <conditionalFormatting sqref="N10">
    <cfRule type="cellIs" dxfId="1133" priority="289" operator="greaterThan">
      <formula>0.9</formula>
    </cfRule>
    <cfRule type="cellIs" dxfId="1132" priority="290" operator="greaterThan">
      <formula>0.85</formula>
    </cfRule>
  </conditionalFormatting>
  <conditionalFormatting sqref="E10">
    <cfRule type="expression" dxfId="1131" priority="285">
      <formula>AND(IF(OR($Q10=1,$Q10=2),1,0),IF($X10&lt;=20,1,0))</formula>
    </cfRule>
    <cfRule type="expression" dxfId="1130" priority="286">
      <formula>AND(IF($Q10=2,1,0),IF($X10&lt;30,1,0))</formula>
    </cfRule>
    <cfRule type="expression" dxfId="1129" priority="287">
      <formula>AND(IF($Q10=3,1,0),IF($X10&lt;30,1,0))</formula>
    </cfRule>
    <cfRule type="expression" dxfId="1128" priority="288">
      <formula>AND(IF($Q10=3,1,IF($Q10=4,1,0)),IF($F10&lt;=85,1,0))</formula>
    </cfRule>
  </conditionalFormatting>
  <conditionalFormatting sqref="X10">
    <cfRule type="expression" dxfId="1127" priority="281">
      <formula>AND(IF(OR($Q10=1,$Q10=2),1,0),IF($X10&lt;=20,1,0))</formula>
    </cfRule>
    <cfRule type="expression" dxfId="1126" priority="282">
      <formula>AND(IF($Q10=2,1,0),IF($X10&lt;30,1,0))</formula>
    </cfRule>
    <cfRule type="expression" dxfId="1125" priority="283">
      <formula>AND(IF($Q10=3,1,0),IF($X10&lt;30,1,0))</formula>
    </cfRule>
    <cfRule type="expression" dxfId="1124" priority="284">
      <formula>AND(IF($Q10=3,1,IF($Q10=4,1,0)),IF($F10&lt;=85,1,0))</formula>
    </cfRule>
  </conditionalFormatting>
  <conditionalFormatting sqref="AI10">
    <cfRule type="expression" dxfId="1123" priority="277">
      <formula>AND(IF(OR($Q10=1,$Q10=2),1,0),IF($X10&lt;=20,1,0))</formula>
    </cfRule>
    <cfRule type="expression" dxfId="1122" priority="278">
      <formula>AND(IF($Q10=2,1,0),IF($X10&lt;30,1,0))</formula>
    </cfRule>
    <cfRule type="expression" dxfId="1121" priority="279">
      <formula>AND(IF($Q10=3,1,0),IF($X10&lt;30,1,0))</formula>
    </cfRule>
    <cfRule type="expression" dxfId="1120" priority="280">
      <formula>AND(IF($Q10=3,1,IF($Q10=4,1,0)),IF($F10&lt;=85,1,0))</formula>
    </cfRule>
  </conditionalFormatting>
  <conditionalFormatting sqref="AV11">
    <cfRule type="expression" dxfId="1119" priority="275">
      <formula>AV11="X"</formula>
    </cfRule>
    <cfRule type="expression" dxfId="1118" priority="276">
      <formula>AV11="후보"</formula>
    </cfRule>
  </conditionalFormatting>
  <conditionalFormatting sqref="AC11">
    <cfRule type="cellIs" dxfId="1117" priority="272" operator="greaterThan">
      <formula>0.9</formula>
    </cfRule>
    <cfRule type="cellIs" dxfId="1116" priority="273" operator="greaterThan">
      <formula>0.85</formula>
    </cfRule>
  </conditionalFormatting>
  <conditionalFormatting sqref="N11">
    <cfRule type="cellIs" dxfId="1115" priority="270" operator="greaterThan">
      <formula>0.9</formula>
    </cfRule>
    <cfRule type="cellIs" dxfId="1114" priority="271" operator="greaterThan">
      <formula>0.85</formula>
    </cfRule>
  </conditionalFormatting>
  <conditionalFormatting sqref="E11">
    <cfRule type="expression" dxfId="1113" priority="266">
      <formula>AND(IF(OR($Q11=1,$Q11=2),1,0),IF($X11&lt;=20,1,0))</formula>
    </cfRule>
    <cfRule type="expression" dxfId="1112" priority="267">
      <formula>AND(IF($Q11=2,1,0),IF($X11&lt;30,1,0))</formula>
    </cfRule>
    <cfRule type="expression" dxfId="1111" priority="268">
      <formula>AND(IF($Q11=3,1,0),IF($X11&lt;30,1,0))</formula>
    </cfRule>
    <cfRule type="expression" dxfId="1110" priority="269">
      <formula>AND(IF($Q11=3,1,IF($Q11=4,1,0)),IF($F11&lt;=85,1,0))</formula>
    </cfRule>
  </conditionalFormatting>
  <conditionalFormatting sqref="X11">
    <cfRule type="expression" dxfId="1109" priority="262">
      <formula>AND(IF(OR($Q11=1,$Q11=2),1,0),IF($X11&lt;=20,1,0))</formula>
    </cfRule>
    <cfRule type="expression" dxfId="1108" priority="263">
      <formula>AND(IF($Q11=2,1,0),IF($X11&lt;30,1,0))</formula>
    </cfRule>
    <cfRule type="expression" dxfId="1107" priority="264">
      <formula>AND(IF($Q11=3,1,0),IF($X11&lt;30,1,0))</formula>
    </cfRule>
    <cfRule type="expression" dxfId="1106" priority="265">
      <formula>AND(IF($Q11=3,1,IF($Q11=4,1,0)),IF($F11&lt;=85,1,0))</formula>
    </cfRule>
  </conditionalFormatting>
  <conditionalFormatting sqref="AI11">
    <cfRule type="expression" dxfId="1105" priority="258">
      <formula>AND(IF(OR($Q11=1,$Q11=2),1,0),IF($X11&lt;=20,1,0))</formula>
    </cfRule>
    <cfRule type="expression" dxfId="1104" priority="259">
      <formula>AND(IF($Q11=2,1,0),IF($X11&lt;30,1,0))</formula>
    </cfRule>
    <cfRule type="expression" dxfId="1103" priority="260">
      <formula>AND(IF($Q11=3,1,0),IF($X11&lt;30,1,0))</formula>
    </cfRule>
    <cfRule type="expression" dxfId="1102" priority="261">
      <formula>AND(IF($Q11=3,1,IF($Q11=4,1,0)),IF($F11&lt;=85,1,0))</formula>
    </cfRule>
  </conditionalFormatting>
  <conditionalFormatting sqref="AV12">
    <cfRule type="expression" dxfId="1101" priority="256">
      <formula>AV12="X"</formula>
    </cfRule>
    <cfRule type="expression" dxfId="1100" priority="257">
      <formula>AV12="후보"</formula>
    </cfRule>
  </conditionalFormatting>
  <conditionalFormatting sqref="AC12">
    <cfRule type="cellIs" dxfId="1099" priority="253" operator="greaterThan">
      <formula>0.9</formula>
    </cfRule>
    <cfRule type="cellIs" dxfId="1098" priority="254" operator="greaterThan">
      <formula>0.85</formula>
    </cfRule>
  </conditionalFormatting>
  <conditionalFormatting sqref="N12">
    <cfRule type="cellIs" dxfId="1097" priority="251" operator="greaterThan">
      <formula>0.9</formula>
    </cfRule>
    <cfRule type="cellIs" dxfId="1096" priority="252" operator="greaterThan">
      <formula>0.85</formula>
    </cfRule>
  </conditionalFormatting>
  <conditionalFormatting sqref="E12">
    <cfRule type="expression" dxfId="1095" priority="247">
      <formula>AND(IF(OR($Q12=1,$Q12=2),1,0),IF($X12&lt;=20,1,0))</formula>
    </cfRule>
    <cfRule type="expression" dxfId="1094" priority="248">
      <formula>AND(IF($Q12=2,1,0),IF($X12&lt;30,1,0))</formula>
    </cfRule>
    <cfRule type="expression" dxfId="1093" priority="249">
      <formula>AND(IF($Q12=3,1,0),IF($X12&lt;30,1,0))</formula>
    </cfRule>
    <cfRule type="expression" dxfId="1092" priority="250">
      <formula>AND(IF($Q12=3,1,IF($Q12=4,1,0)),IF($F12&lt;=85,1,0))</formula>
    </cfRule>
  </conditionalFormatting>
  <conditionalFormatting sqref="X12">
    <cfRule type="expression" dxfId="1091" priority="243">
      <formula>AND(IF(OR($Q12=1,$Q12=2),1,0),IF($X12&lt;=20,1,0))</formula>
    </cfRule>
    <cfRule type="expression" dxfId="1090" priority="244">
      <formula>AND(IF($Q12=2,1,0),IF($X12&lt;30,1,0))</formula>
    </cfRule>
    <cfRule type="expression" dxfId="1089" priority="245">
      <formula>AND(IF($Q12=3,1,0),IF($X12&lt;30,1,0))</formula>
    </cfRule>
    <cfRule type="expression" dxfId="1088" priority="246">
      <formula>AND(IF($Q12=3,1,IF($Q12=4,1,0)),IF($F12&lt;=85,1,0))</formula>
    </cfRule>
  </conditionalFormatting>
  <conditionalFormatting sqref="AI12">
    <cfRule type="expression" dxfId="1087" priority="239">
      <formula>AND(IF(OR($Q12=1,$Q12=2),1,0),IF($X12&lt;=20,1,0))</formula>
    </cfRule>
    <cfRule type="expression" dxfId="1086" priority="240">
      <formula>AND(IF($Q12=2,1,0),IF($X12&lt;30,1,0))</formula>
    </cfRule>
    <cfRule type="expression" dxfId="1085" priority="241">
      <formula>AND(IF($Q12=3,1,0),IF($X12&lt;30,1,0))</formula>
    </cfRule>
    <cfRule type="expression" dxfId="1084" priority="242">
      <formula>AND(IF($Q12=3,1,IF($Q12=4,1,0)),IF($F12&lt;=85,1,0))</formula>
    </cfRule>
  </conditionalFormatting>
  <conditionalFormatting sqref="AV13">
    <cfRule type="expression" dxfId="1083" priority="237">
      <formula>AV13="X"</formula>
    </cfRule>
    <cfRule type="expression" dxfId="1082" priority="238">
      <formula>AV13="후보"</formula>
    </cfRule>
  </conditionalFormatting>
  <conditionalFormatting sqref="AC13">
    <cfRule type="cellIs" dxfId="1081" priority="234" operator="greaterThan">
      <formula>0.9</formula>
    </cfRule>
    <cfRule type="cellIs" dxfId="1080" priority="235" operator="greaterThan">
      <formula>0.85</formula>
    </cfRule>
  </conditionalFormatting>
  <conditionalFormatting sqref="N13">
    <cfRule type="cellIs" dxfId="1079" priority="232" operator="greaterThan">
      <formula>0.9</formula>
    </cfRule>
    <cfRule type="cellIs" dxfId="1078" priority="233" operator="greaterThan">
      <formula>0.85</formula>
    </cfRule>
  </conditionalFormatting>
  <conditionalFormatting sqref="E13">
    <cfRule type="expression" dxfId="1077" priority="228">
      <formula>AND(IF(OR($Q13=1,$Q13=2),1,0),IF($X13&lt;=20,1,0))</formula>
    </cfRule>
    <cfRule type="expression" dxfId="1076" priority="229">
      <formula>AND(IF($Q13=2,1,0),IF($X13&lt;30,1,0))</formula>
    </cfRule>
    <cfRule type="expression" dxfId="1075" priority="230">
      <formula>AND(IF($Q13=3,1,0),IF($X13&lt;30,1,0))</formula>
    </cfRule>
    <cfRule type="expression" dxfId="1074" priority="231">
      <formula>AND(IF($Q13=3,1,IF($Q13=4,1,0)),IF($F13&lt;=85,1,0))</formula>
    </cfRule>
  </conditionalFormatting>
  <conditionalFormatting sqref="X13">
    <cfRule type="expression" dxfId="1073" priority="224">
      <formula>AND(IF(OR($Q13=1,$Q13=2),1,0),IF($X13&lt;=20,1,0))</formula>
    </cfRule>
    <cfRule type="expression" dxfId="1072" priority="225">
      <formula>AND(IF($Q13=2,1,0),IF($X13&lt;30,1,0))</formula>
    </cfRule>
    <cfRule type="expression" dxfId="1071" priority="226">
      <formula>AND(IF($Q13=3,1,0),IF($X13&lt;30,1,0))</formula>
    </cfRule>
    <cfRule type="expression" dxfId="1070" priority="227">
      <formula>AND(IF($Q13=3,1,IF($Q13=4,1,0)),IF($F13&lt;=85,1,0))</formula>
    </cfRule>
  </conditionalFormatting>
  <conditionalFormatting sqref="AI13">
    <cfRule type="expression" dxfId="1069" priority="220">
      <formula>AND(IF(OR($Q13=1,$Q13=2),1,0),IF($X13&lt;=20,1,0))</formula>
    </cfRule>
    <cfRule type="expression" dxfId="1068" priority="221">
      <formula>AND(IF($Q13=2,1,0),IF($X13&lt;30,1,0))</formula>
    </cfRule>
    <cfRule type="expression" dxfId="1067" priority="222">
      <formula>AND(IF($Q13=3,1,0),IF($X13&lt;30,1,0))</formula>
    </cfRule>
    <cfRule type="expression" dxfId="1066" priority="223">
      <formula>AND(IF($Q13=3,1,IF($Q13=4,1,0)),IF($F13&lt;=85,1,0))</formula>
    </cfRule>
  </conditionalFormatting>
  <conditionalFormatting sqref="AV14">
    <cfRule type="expression" dxfId="1065" priority="218">
      <formula>AV14="X"</formula>
    </cfRule>
    <cfRule type="expression" dxfId="1064" priority="219">
      <formula>AV14="후보"</formula>
    </cfRule>
  </conditionalFormatting>
  <conditionalFormatting sqref="AC14 N14">
    <cfRule type="cellIs" dxfId="1063" priority="215" operator="greaterThan">
      <formula>0.9</formula>
    </cfRule>
    <cfRule type="cellIs" dxfId="1062" priority="216" operator="greaterThan">
      <formula>0.85</formula>
    </cfRule>
  </conditionalFormatting>
  <conditionalFormatting sqref="AV15">
    <cfRule type="expression" dxfId="1061" priority="213">
      <formula>AV15="X"</formula>
    </cfRule>
    <cfRule type="expression" dxfId="1060" priority="214">
      <formula>AV15="후보"</formula>
    </cfRule>
  </conditionalFormatting>
  <conditionalFormatting sqref="AC15">
    <cfRule type="cellIs" dxfId="1059" priority="210" operator="greaterThan">
      <formula>0.9</formula>
    </cfRule>
    <cfRule type="cellIs" dxfId="1058" priority="211" operator="greaterThan">
      <formula>0.85</formula>
    </cfRule>
  </conditionalFormatting>
  <conditionalFormatting sqref="N15">
    <cfRule type="cellIs" dxfId="1057" priority="208" operator="greaterThan">
      <formula>0.9</formula>
    </cfRule>
    <cfRule type="cellIs" dxfId="1056" priority="209" operator="greaterThan">
      <formula>0.85</formula>
    </cfRule>
  </conditionalFormatting>
  <conditionalFormatting sqref="E15">
    <cfRule type="expression" dxfId="1055" priority="204">
      <formula>AND(IF(OR($Q15=1,$Q15=2),1,0),IF($X15&lt;=20,1,0))</formula>
    </cfRule>
    <cfRule type="expression" dxfId="1054" priority="205">
      <formula>AND(IF($Q15=2,1,0),IF($X15&lt;30,1,0))</formula>
    </cfRule>
    <cfRule type="expression" dxfId="1053" priority="206">
      <formula>AND(IF($Q15=3,1,0),IF($X15&lt;30,1,0))</formula>
    </cfRule>
    <cfRule type="expression" dxfId="1052" priority="207">
      <formula>AND(IF($Q15=3,1,IF($Q15=4,1,0)),IF($F15&lt;=85,1,0))</formula>
    </cfRule>
  </conditionalFormatting>
  <conditionalFormatting sqref="X15">
    <cfRule type="expression" dxfId="1051" priority="200">
      <formula>AND(IF(OR($Q15=1,$Q15=2),1,0),IF($X15&lt;=20,1,0))</formula>
    </cfRule>
    <cfRule type="expression" dxfId="1050" priority="201">
      <formula>AND(IF($Q15=2,1,0),IF($X15&lt;30,1,0))</formula>
    </cfRule>
    <cfRule type="expression" dxfId="1049" priority="202">
      <formula>AND(IF($Q15=3,1,0),IF($X15&lt;30,1,0))</formula>
    </cfRule>
    <cfRule type="expression" dxfId="1048" priority="203">
      <formula>AND(IF($Q15=3,1,IF($Q15=4,1,0)),IF($F15&lt;=85,1,0))</formula>
    </cfRule>
  </conditionalFormatting>
  <conditionalFormatting sqref="AI15">
    <cfRule type="expression" dxfId="1047" priority="196">
      <formula>AND(IF(OR($Q15=1,$Q15=2),1,0),IF($X15&lt;=20,1,0))</formula>
    </cfRule>
    <cfRule type="expression" dxfId="1046" priority="197">
      <formula>AND(IF($Q15=2,1,0),IF($X15&lt;30,1,0))</formula>
    </cfRule>
    <cfRule type="expression" dxfId="1045" priority="198">
      <formula>AND(IF($Q15=3,1,0),IF($X15&lt;30,1,0))</formula>
    </cfRule>
    <cfRule type="expression" dxfId="1044" priority="199">
      <formula>AND(IF($Q15=3,1,IF($Q15=4,1,0)),IF($F15&lt;=85,1,0))</formula>
    </cfRule>
  </conditionalFormatting>
  <conditionalFormatting sqref="AV16">
    <cfRule type="expression" dxfId="1043" priority="194">
      <formula>AV16="X"</formula>
    </cfRule>
    <cfRule type="expression" dxfId="1042" priority="195">
      <formula>AV16="후보"</formula>
    </cfRule>
  </conditionalFormatting>
  <conditionalFormatting sqref="AC16">
    <cfRule type="cellIs" dxfId="1041" priority="191" operator="greaterThan">
      <formula>0.9</formula>
    </cfRule>
    <cfRule type="cellIs" dxfId="1040" priority="192" operator="greaterThan">
      <formula>0.85</formula>
    </cfRule>
  </conditionalFormatting>
  <conditionalFormatting sqref="N16">
    <cfRule type="cellIs" dxfId="1039" priority="189" operator="greaterThan">
      <formula>0.9</formula>
    </cfRule>
    <cfRule type="cellIs" dxfId="1038" priority="190" operator="greaterThan">
      <formula>0.85</formula>
    </cfRule>
  </conditionalFormatting>
  <conditionalFormatting sqref="E16">
    <cfRule type="expression" dxfId="1037" priority="185">
      <formula>AND(IF(OR($Q16=1,$Q16=2),1,0),IF($X16&lt;=20,1,0))</formula>
    </cfRule>
    <cfRule type="expression" dxfId="1036" priority="186">
      <formula>AND(IF($Q16=2,1,0),IF($X16&lt;30,1,0))</formula>
    </cfRule>
    <cfRule type="expression" dxfId="1035" priority="187">
      <formula>AND(IF($Q16=3,1,0),IF($X16&lt;30,1,0))</formula>
    </cfRule>
    <cfRule type="expression" dxfId="1034" priority="188">
      <formula>AND(IF($Q16=3,1,IF($Q16=4,1,0)),IF($F16&lt;=85,1,0))</formula>
    </cfRule>
  </conditionalFormatting>
  <conditionalFormatting sqref="X16">
    <cfRule type="expression" dxfId="1033" priority="181">
      <formula>AND(IF(OR($Q16=1,$Q16=2),1,0),IF($X16&lt;=20,1,0))</formula>
    </cfRule>
    <cfRule type="expression" dxfId="1032" priority="182">
      <formula>AND(IF($Q16=2,1,0),IF($X16&lt;30,1,0))</formula>
    </cfRule>
    <cfRule type="expression" dxfId="1031" priority="183">
      <formula>AND(IF($Q16=3,1,0),IF($X16&lt;30,1,0))</formula>
    </cfRule>
    <cfRule type="expression" dxfId="1030" priority="184">
      <formula>AND(IF($Q16=3,1,IF($Q16=4,1,0)),IF($F16&lt;=85,1,0))</formula>
    </cfRule>
  </conditionalFormatting>
  <conditionalFormatting sqref="AI16">
    <cfRule type="expression" dxfId="1029" priority="177">
      <formula>AND(IF(OR($Q16=1,$Q16=2),1,0),IF($X16&lt;=20,1,0))</formula>
    </cfRule>
    <cfRule type="expression" dxfId="1028" priority="178">
      <formula>AND(IF($Q16=2,1,0),IF($X16&lt;30,1,0))</formula>
    </cfRule>
    <cfRule type="expression" dxfId="1027" priority="179">
      <formula>AND(IF($Q16=3,1,0),IF($X16&lt;30,1,0))</formula>
    </cfRule>
    <cfRule type="expression" dxfId="1026" priority="180">
      <formula>AND(IF($Q16=3,1,IF($Q16=4,1,0)),IF($F16&lt;=85,1,0))</formula>
    </cfRule>
  </conditionalFormatting>
  <conditionalFormatting sqref="AV17">
    <cfRule type="expression" dxfId="1025" priority="175">
      <formula>AV17="X"</formula>
    </cfRule>
    <cfRule type="expression" dxfId="1024" priority="176">
      <formula>AV17="후보"</formula>
    </cfRule>
  </conditionalFormatting>
  <conditionalFormatting sqref="AC17">
    <cfRule type="cellIs" dxfId="1023" priority="172" operator="greaterThan">
      <formula>0.9</formula>
    </cfRule>
    <cfRule type="cellIs" dxfId="1022" priority="173" operator="greaterThan">
      <formula>0.85</formula>
    </cfRule>
  </conditionalFormatting>
  <conditionalFormatting sqref="N17">
    <cfRule type="cellIs" dxfId="1021" priority="170" operator="greaterThan">
      <formula>0.9</formula>
    </cfRule>
    <cfRule type="cellIs" dxfId="1020" priority="171" operator="greaterThan">
      <formula>0.85</formula>
    </cfRule>
  </conditionalFormatting>
  <conditionalFormatting sqref="E17">
    <cfRule type="expression" dxfId="1019" priority="166">
      <formula>AND(IF(OR($Q17=1,$Q17=2),1,0),IF($X17&lt;=20,1,0))</formula>
    </cfRule>
    <cfRule type="expression" dxfId="1018" priority="167">
      <formula>AND(IF($Q17=2,1,0),IF($X17&lt;30,1,0))</formula>
    </cfRule>
    <cfRule type="expression" dxfId="1017" priority="168">
      <formula>AND(IF($Q17=3,1,0),IF($X17&lt;30,1,0))</formula>
    </cfRule>
    <cfRule type="expression" dxfId="1016" priority="169">
      <formula>AND(IF($Q17=3,1,IF($Q17=4,1,0)),IF($F17&lt;=85,1,0))</formula>
    </cfRule>
  </conditionalFormatting>
  <conditionalFormatting sqref="X17">
    <cfRule type="expression" dxfId="1015" priority="162">
      <formula>AND(IF(OR($Q17=1,$Q17=2),1,0),IF($X17&lt;=20,1,0))</formula>
    </cfRule>
    <cfRule type="expression" dxfId="1014" priority="163">
      <formula>AND(IF($Q17=2,1,0),IF($X17&lt;30,1,0))</formula>
    </cfRule>
    <cfRule type="expression" dxfId="1013" priority="164">
      <formula>AND(IF($Q17=3,1,0),IF($X17&lt;30,1,0))</formula>
    </cfRule>
    <cfRule type="expression" dxfId="1012" priority="165">
      <formula>AND(IF($Q17=3,1,IF($Q17=4,1,0)),IF($F17&lt;=85,1,0))</formula>
    </cfRule>
  </conditionalFormatting>
  <conditionalFormatting sqref="AI17">
    <cfRule type="expression" dxfId="1011" priority="158">
      <formula>AND(IF(OR($Q17=1,$Q17=2),1,0),IF($X17&lt;=20,1,0))</formula>
    </cfRule>
    <cfRule type="expression" dxfId="1010" priority="159">
      <formula>AND(IF($Q17=2,1,0),IF($X17&lt;30,1,0))</formula>
    </cfRule>
    <cfRule type="expression" dxfId="1009" priority="160">
      <formula>AND(IF($Q17=3,1,0),IF($X17&lt;30,1,0))</formula>
    </cfRule>
    <cfRule type="expression" dxfId="1008" priority="161">
      <formula>AND(IF($Q17=3,1,IF($Q17=4,1,0)),IF($F17&lt;=85,1,0))</formula>
    </cfRule>
  </conditionalFormatting>
  <conditionalFormatting sqref="AV18">
    <cfRule type="expression" dxfId="1007" priority="156">
      <formula>AV18="X"</formula>
    </cfRule>
    <cfRule type="expression" dxfId="1006" priority="157">
      <formula>AV18="후보"</formula>
    </cfRule>
  </conditionalFormatting>
  <conditionalFormatting sqref="AC18">
    <cfRule type="cellIs" dxfId="1005" priority="153" operator="greaterThan">
      <formula>0.9</formula>
    </cfRule>
    <cfRule type="cellIs" dxfId="1004" priority="154" operator="greaterThan">
      <formula>0.85</formula>
    </cfRule>
  </conditionalFormatting>
  <conditionalFormatting sqref="N18">
    <cfRule type="cellIs" dxfId="1003" priority="151" operator="greaterThan">
      <formula>0.9</formula>
    </cfRule>
    <cfRule type="cellIs" dxfId="1002" priority="152" operator="greaterThan">
      <formula>0.85</formula>
    </cfRule>
  </conditionalFormatting>
  <conditionalFormatting sqref="E18">
    <cfRule type="expression" dxfId="1001" priority="147">
      <formula>AND(IF(OR($Q18=1,$Q18=2),1,0),IF($X18&lt;=20,1,0))</formula>
    </cfRule>
    <cfRule type="expression" dxfId="1000" priority="148">
      <formula>AND(IF($Q18=2,1,0),IF($X18&lt;30,1,0))</formula>
    </cfRule>
    <cfRule type="expression" dxfId="999" priority="149">
      <formula>AND(IF($Q18=3,1,0),IF($X18&lt;30,1,0))</formula>
    </cfRule>
    <cfRule type="expression" dxfId="998" priority="150">
      <formula>AND(IF($Q18=3,1,IF($Q18=4,1,0)),IF($F18&lt;=85,1,0))</formula>
    </cfRule>
  </conditionalFormatting>
  <conditionalFormatting sqref="X18">
    <cfRule type="expression" dxfId="997" priority="143">
      <formula>AND(IF(OR($Q18=1,$Q18=2),1,0),IF($X18&lt;=20,1,0))</formula>
    </cfRule>
    <cfRule type="expression" dxfId="996" priority="144">
      <formula>AND(IF($Q18=2,1,0),IF($X18&lt;30,1,0))</formula>
    </cfRule>
    <cfRule type="expression" dxfId="995" priority="145">
      <formula>AND(IF($Q18=3,1,0),IF($X18&lt;30,1,0))</formula>
    </cfRule>
    <cfRule type="expression" dxfId="994" priority="146">
      <formula>AND(IF($Q18=3,1,IF($Q18=4,1,0)),IF($F18&lt;=85,1,0))</formula>
    </cfRule>
  </conditionalFormatting>
  <conditionalFormatting sqref="AI18">
    <cfRule type="expression" dxfId="993" priority="139">
      <formula>AND(IF(OR($Q18=1,$Q18=2),1,0),IF($X18&lt;=20,1,0))</formula>
    </cfRule>
    <cfRule type="expression" dxfId="992" priority="140">
      <formula>AND(IF($Q18=2,1,0),IF($X18&lt;30,1,0))</formula>
    </cfRule>
    <cfRule type="expression" dxfId="991" priority="141">
      <formula>AND(IF($Q18=3,1,0),IF($X18&lt;30,1,0))</formula>
    </cfRule>
    <cfRule type="expression" dxfId="990" priority="142">
      <formula>AND(IF($Q18=3,1,IF($Q18=4,1,0)),IF($F18&lt;=85,1,0))</formula>
    </cfRule>
  </conditionalFormatting>
  <conditionalFormatting sqref="AV19">
    <cfRule type="expression" dxfId="989" priority="137">
      <formula>AV19="X"</formula>
    </cfRule>
    <cfRule type="expression" dxfId="988" priority="138">
      <formula>AV19="후보"</formula>
    </cfRule>
  </conditionalFormatting>
  <conditionalFormatting sqref="AC19">
    <cfRule type="cellIs" dxfId="987" priority="134" operator="greaterThan">
      <formula>0.9</formula>
    </cfRule>
    <cfRule type="cellIs" dxfId="986" priority="135" operator="greaterThan">
      <formula>0.85</formula>
    </cfRule>
  </conditionalFormatting>
  <conditionalFormatting sqref="N19">
    <cfRule type="cellIs" dxfId="985" priority="132" operator="greaterThan">
      <formula>0.9</formula>
    </cfRule>
    <cfRule type="cellIs" dxfId="984" priority="133" operator="greaterThan">
      <formula>0.85</formula>
    </cfRule>
  </conditionalFormatting>
  <conditionalFormatting sqref="E19">
    <cfRule type="expression" dxfId="983" priority="128">
      <formula>AND(IF(OR($Q19=1,$Q19=2),1,0),IF($X19&lt;=20,1,0))</formula>
    </cfRule>
    <cfRule type="expression" dxfId="982" priority="129">
      <formula>AND(IF($Q19=2,1,0),IF($X19&lt;30,1,0))</formula>
    </cfRule>
    <cfRule type="expression" dxfId="981" priority="130">
      <formula>AND(IF($Q19=3,1,0),IF($X19&lt;30,1,0))</formula>
    </cfRule>
    <cfRule type="expression" dxfId="980" priority="131">
      <formula>AND(IF($Q19=3,1,IF($Q19=4,1,0)),IF($F19&lt;=85,1,0))</formula>
    </cfRule>
  </conditionalFormatting>
  <conditionalFormatting sqref="X19">
    <cfRule type="expression" dxfId="979" priority="124">
      <formula>AND(IF(OR($Q19=1,$Q19=2),1,0),IF($X19&lt;=20,1,0))</formula>
    </cfRule>
    <cfRule type="expression" dxfId="978" priority="125">
      <formula>AND(IF($Q19=2,1,0),IF($X19&lt;30,1,0))</formula>
    </cfRule>
    <cfRule type="expression" dxfId="977" priority="126">
      <formula>AND(IF($Q19=3,1,0),IF($X19&lt;30,1,0))</formula>
    </cfRule>
    <cfRule type="expression" dxfId="976" priority="127">
      <formula>AND(IF($Q19=3,1,IF($Q19=4,1,0)),IF($F19&lt;=85,1,0))</formula>
    </cfRule>
  </conditionalFormatting>
  <conditionalFormatting sqref="AI19">
    <cfRule type="expression" dxfId="975" priority="120">
      <formula>AND(IF(OR($Q19=1,$Q19=2),1,0),IF($X19&lt;=20,1,0))</formula>
    </cfRule>
    <cfRule type="expression" dxfId="974" priority="121">
      <formula>AND(IF($Q19=2,1,0),IF($X19&lt;30,1,0))</formula>
    </cfRule>
    <cfRule type="expression" dxfId="973" priority="122">
      <formula>AND(IF($Q19=3,1,0),IF($X19&lt;30,1,0))</formula>
    </cfRule>
    <cfRule type="expression" dxfId="972" priority="123">
      <formula>AND(IF($Q19=3,1,IF($Q19=4,1,0)),IF($F19&lt;=85,1,0))</formula>
    </cfRule>
  </conditionalFormatting>
  <conditionalFormatting sqref="AV20">
    <cfRule type="expression" dxfId="971" priority="118">
      <formula>AV20="X"</formula>
    </cfRule>
    <cfRule type="expression" dxfId="970" priority="119">
      <formula>AV20="후보"</formula>
    </cfRule>
  </conditionalFormatting>
  <conditionalFormatting sqref="AC20">
    <cfRule type="cellIs" dxfId="969" priority="115" operator="greaterThan">
      <formula>0.9</formula>
    </cfRule>
    <cfRule type="cellIs" dxfId="968" priority="116" operator="greaterThan">
      <formula>0.85</formula>
    </cfRule>
  </conditionalFormatting>
  <conditionalFormatting sqref="N20">
    <cfRule type="cellIs" dxfId="967" priority="113" operator="greaterThan">
      <formula>0.9</formula>
    </cfRule>
    <cfRule type="cellIs" dxfId="966" priority="114" operator="greaterThan">
      <formula>0.85</formula>
    </cfRule>
  </conditionalFormatting>
  <conditionalFormatting sqref="E20">
    <cfRule type="expression" dxfId="965" priority="109">
      <formula>AND(IF(OR($Q20=1,$Q20=2),1,0),IF($X20&lt;=20,1,0))</formula>
    </cfRule>
    <cfRule type="expression" dxfId="964" priority="110">
      <formula>AND(IF($Q20=2,1,0),IF($X20&lt;30,1,0))</formula>
    </cfRule>
    <cfRule type="expression" dxfId="963" priority="111">
      <formula>AND(IF($Q20=3,1,0),IF($X20&lt;30,1,0))</formula>
    </cfRule>
    <cfRule type="expression" dxfId="962" priority="112">
      <formula>AND(IF($Q20=3,1,IF($Q20=4,1,0)),IF($F20&lt;=85,1,0))</formula>
    </cfRule>
  </conditionalFormatting>
  <conditionalFormatting sqref="X20">
    <cfRule type="expression" dxfId="961" priority="105">
      <formula>AND(IF(OR($Q20=1,$Q20=2),1,0),IF($X20&lt;=20,1,0))</formula>
    </cfRule>
    <cfRule type="expression" dxfId="960" priority="106">
      <formula>AND(IF($Q20=2,1,0),IF($X20&lt;30,1,0))</formula>
    </cfRule>
    <cfRule type="expression" dxfId="959" priority="107">
      <formula>AND(IF($Q20=3,1,0),IF($X20&lt;30,1,0))</formula>
    </cfRule>
    <cfRule type="expression" dxfId="958" priority="108">
      <formula>AND(IF($Q20=3,1,IF($Q20=4,1,0)),IF($F20&lt;=85,1,0))</formula>
    </cfRule>
  </conditionalFormatting>
  <conditionalFormatting sqref="AI20">
    <cfRule type="expression" dxfId="957" priority="101">
      <formula>AND(IF(OR($Q20=1,$Q20=2),1,0),IF($X20&lt;=20,1,0))</formula>
    </cfRule>
    <cfRule type="expression" dxfId="956" priority="102">
      <formula>AND(IF($Q20=2,1,0),IF($X20&lt;30,1,0))</formula>
    </cfRule>
    <cfRule type="expression" dxfId="955" priority="103">
      <formula>AND(IF($Q20=3,1,0),IF($X20&lt;30,1,0))</formula>
    </cfRule>
    <cfRule type="expression" dxfId="954" priority="104">
      <formula>AND(IF($Q20=3,1,IF($Q20=4,1,0)),IF($F20&lt;=85,1,0))</formula>
    </cfRule>
  </conditionalFormatting>
  <conditionalFormatting sqref="AV21">
    <cfRule type="expression" dxfId="953" priority="99">
      <formula>AV21="X"</formula>
    </cfRule>
    <cfRule type="expression" dxfId="952" priority="100">
      <formula>AV21="후보"</formula>
    </cfRule>
  </conditionalFormatting>
  <conditionalFormatting sqref="AC21">
    <cfRule type="cellIs" dxfId="951" priority="96" operator="greaterThan">
      <formula>0.9</formula>
    </cfRule>
    <cfRule type="cellIs" dxfId="950" priority="97" operator="greaterThan">
      <formula>0.85</formula>
    </cfRule>
  </conditionalFormatting>
  <conditionalFormatting sqref="N21">
    <cfRule type="cellIs" dxfId="949" priority="94" operator="greaterThan">
      <formula>0.9</formula>
    </cfRule>
    <cfRule type="cellIs" dxfId="948" priority="95" operator="greaterThan">
      <formula>0.85</formula>
    </cfRule>
  </conditionalFormatting>
  <conditionalFormatting sqref="E21">
    <cfRule type="expression" dxfId="947" priority="90">
      <formula>AND(IF(OR($Q21=1,$Q21=2),1,0),IF($X21&lt;=20,1,0))</formula>
    </cfRule>
    <cfRule type="expression" dxfId="946" priority="91">
      <formula>AND(IF($Q21=2,1,0),IF($X21&lt;30,1,0))</formula>
    </cfRule>
    <cfRule type="expression" dxfId="945" priority="92">
      <formula>AND(IF($Q21=3,1,0),IF($X21&lt;30,1,0))</formula>
    </cfRule>
    <cfRule type="expression" dxfId="944" priority="93">
      <formula>AND(IF($Q21=3,1,IF($Q21=4,1,0)),IF($F21&lt;=85,1,0))</formula>
    </cfRule>
  </conditionalFormatting>
  <conditionalFormatting sqref="X21">
    <cfRule type="expression" dxfId="943" priority="86">
      <formula>AND(IF(OR($Q21=1,$Q21=2),1,0),IF($X21&lt;=20,1,0))</formula>
    </cfRule>
    <cfRule type="expression" dxfId="942" priority="87">
      <formula>AND(IF($Q21=2,1,0),IF($X21&lt;30,1,0))</formula>
    </cfRule>
    <cfRule type="expression" dxfId="941" priority="88">
      <formula>AND(IF($Q21=3,1,0),IF($X21&lt;30,1,0))</formula>
    </cfRule>
    <cfRule type="expression" dxfId="940" priority="89">
      <formula>AND(IF($Q21=3,1,IF($Q21=4,1,0)),IF($F21&lt;=85,1,0))</formula>
    </cfRule>
  </conditionalFormatting>
  <conditionalFormatting sqref="AI21">
    <cfRule type="expression" dxfId="939" priority="82">
      <formula>AND(IF(OR($Q21=1,$Q21=2),1,0),IF($X21&lt;=20,1,0))</formula>
    </cfRule>
    <cfRule type="expression" dxfId="938" priority="83">
      <formula>AND(IF($Q21=2,1,0),IF($X21&lt;30,1,0))</formula>
    </cfRule>
    <cfRule type="expression" dxfId="937" priority="84">
      <formula>AND(IF($Q21=3,1,0),IF($X21&lt;30,1,0))</formula>
    </cfRule>
    <cfRule type="expression" dxfId="936" priority="85">
      <formula>AND(IF($Q21=3,1,IF($Q21=4,1,0)),IF($F21&lt;=85,1,0))</formula>
    </cfRule>
  </conditionalFormatting>
  <conditionalFormatting sqref="AV22">
    <cfRule type="expression" dxfId="935" priority="80">
      <formula>AV22="X"</formula>
    </cfRule>
    <cfRule type="expression" dxfId="934" priority="81">
      <formula>AV22="후보"</formula>
    </cfRule>
  </conditionalFormatting>
  <conditionalFormatting sqref="AC22">
    <cfRule type="cellIs" dxfId="933" priority="77" operator="greaterThan">
      <formula>0.9</formula>
    </cfRule>
    <cfRule type="cellIs" dxfId="932" priority="78" operator="greaterThan">
      <formula>0.85</formula>
    </cfRule>
  </conditionalFormatting>
  <conditionalFormatting sqref="N22">
    <cfRule type="cellIs" dxfId="931" priority="75" operator="greaterThan">
      <formula>0.9</formula>
    </cfRule>
    <cfRule type="cellIs" dxfId="930" priority="76" operator="greaterThan">
      <formula>0.85</formula>
    </cfRule>
  </conditionalFormatting>
  <conditionalFormatting sqref="E22">
    <cfRule type="expression" dxfId="929" priority="71">
      <formula>AND(IF(OR($Q22=1,$Q22=2),1,0),IF($X22&lt;=20,1,0))</formula>
    </cfRule>
    <cfRule type="expression" dxfId="928" priority="72">
      <formula>AND(IF($Q22=2,1,0),IF($X22&lt;30,1,0))</formula>
    </cfRule>
    <cfRule type="expression" dxfId="927" priority="73">
      <formula>AND(IF($Q22=3,1,0),IF($X22&lt;30,1,0))</formula>
    </cfRule>
    <cfRule type="expression" dxfId="926" priority="74">
      <formula>AND(IF($Q22=3,1,IF($Q22=4,1,0)),IF($F22&lt;=85,1,0))</formula>
    </cfRule>
  </conditionalFormatting>
  <conditionalFormatting sqref="X22">
    <cfRule type="expression" dxfId="925" priority="67">
      <formula>AND(IF(OR($Q22=1,$Q22=2),1,0),IF($X22&lt;=20,1,0))</formula>
    </cfRule>
    <cfRule type="expression" dxfId="924" priority="68">
      <formula>AND(IF($Q22=2,1,0),IF($X22&lt;30,1,0))</formula>
    </cfRule>
    <cfRule type="expression" dxfId="923" priority="69">
      <formula>AND(IF($Q22=3,1,0),IF($X22&lt;30,1,0))</formula>
    </cfRule>
    <cfRule type="expression" dxfId="922" priority="70">
      <formula>AND(IF($Q22=3,1,IF($Q22=4,1,0)),IF($F22&lt;=85,1,0))</formula>
    </cfRule>
  </conditionalFormatting>
  <conditionalFormatting sqref="AI22">
    <cfRule type="expression" dxfId="921" priority="63">
      <formula>AND(IF(OR($Q22=1,$Q22=2),1,0),IF($X22&lt;=20,1,0))</formula>
    </cfRule>
    <cfRule type="expression" dxfId="920" priority="64">
      <formula>AND(IF($Q22=2,1,0),IF($X22&lt;30,1,0))</formula>
    </cfRule>
    <cfRule type="expression" dxfId="919" priority="65">
      <formula>AND(IF($Q22=3,1,0),IF($X22&lt;30,1,0))</formula>
    </cfRule>
    <cfRule type="expression" dxfId="918" priority="66">
      <formula>AND(IF($Q22=3,1,IF($Q22=4,1,0)),IF($F22&lt;=85,1,0))</formula>
    </cfRule>
  </conditionalFormatting>
  <conditionalFormatting sqref="AV23">
    <cfRule type="expression" dxfId="917" priority="61">
      <formula>AV23="X"</formula>
    </cfRule>
    <cfRule type="expression" dxfId="916" priority="62">
      <formula>AV23="후보"</formula>
    </cfRule>
  </conditionalFormatting>
  <conditionalFormatting sqref="AC23 N23">
    <cfRule type="cellIs" dxfId="915" priority="58" operator="greaterThan">
      <formula>0.9</formula>
    </cfRule>
    <cfRule type="cellIs" dxfId="914" priority="59" operator="greaterThan">
      <formula>0.85</formula>
    </cfRule>
  </conditionalFormatting>
  <conditionalFormatting sqref="AV24">
    <cfRule type="expression" dxfId="913" priority="56">
      <formula>AV24="X"</formula>
    </cfRule>
    <cfRule type="expression" dxfId="912" priority="57">
      <formula>AV24="후보"</formula>
    </cfRule>
  </conditionalFormatting>
  <conditionalFormatting sqref="AC24">
    <cfRule type="cellIs" dxfId="911" priority="53" operator="greaterThan">
      <formula>0.9</formula>
    </cfRule>
    <cfRule type="cellIs" dxfId="910" priority="54" operator="greaterThan">
      <formula>0.85</formula>
    </cfRule>
  </conditionalFormatting>
  <conditionalFormatting sqref="N24">
    <cfRule type="cellIs" dxfId="909" priority="51" operator="greaterThan">
      <formula>0.9</formula>
    </cfRule>
    <cfRule type="cellIs" dxfId="908" priority="52" operator="greaterThan">
      <formula>0.85</formula>
    </cfRule>
  </conditionalFormatting>
  <conditionalFormatting sqref="E24">
    <cfRule type="expression" dxfId="907" priority="47">
      <formula>AND(IF(OR($Q24=1,$Q24=2),1,0),IF($X24&lt;=20,1,0))</formula>
    </cfRule>
    <cfRule type="expression" dxfId="906" priority="48">
      <formula>AND(IF($Q24=2,1,0),IF($X24&lt;30,1,0))</formula>
    </cfRule>
    <cfRule type="expression" dxfId="905" priority="49">
      <formula>AND(IF($Q24=3,1,0),IF($X24&lt;30,1,0))</formula>
    </cfRule>
    <cfRule type="expression" dxfId="904" priority="50">
      <formula>AND(IF($Q24=3,1,IF($Q24=4,1,0)),IF($F24&lt;=85,1,0))</formula>
    </cfRule>
  </conditionalFormatting>
  <conditionalFormatting sqref="X24">
    <cfRule type="expression" dxfId="903" priority="43">
      <formula>AND(IF(OR($Q24=1,$Q24=2),1,0),IF($X24&lt;=20,1,0))</formula>
    </cfRule>
    <cfRule type="expression" dxfId="902" priority="44">
      <formula>AND(IF($Q24=2,1,0),IF($X24&lt;30,1,0))</formula>
    </cfRule>
    <cfRule type="expression" dxfId="901" priority="45">
      <formula>AND(IF($Q24=3,1,0),IF($X24&lt;30,1,0))</formula>
    </cfRule>
    <cfRule type="expression" dxfId="900" priority="46">
      <formula>AND(IF($Q24=3,1,IF($Q24=4,1,0)),IF($F24&lt;=85,1,0))</formula>
    </cfRule>
  </conditionalFormatting>
  <conditionalFormatting sqref="AI24">
    <cfRule type="expression" dxfId="899" priority="39">
      <formula>AND(IF(OR($Q24=1,$Q24=2),1,0),IF($X24&lt;=20,1,0))</formula>
    </cfRule>
    <cfRule type="expression" dxfId="898" priority="40">
      <formula>AND(IF($Q24=2,1,0),IF($X24&lt;30,1,0))</formula>
    </cfRule>
    <cfRule type="expression" dxfId="897" priority="41">
      <formula>AND(IF($Q24=3,1,0),IF($X24&lt;30,1,0))</formula>
    </cfRule>
    <cfRule type="expression" dxfId="896" priority="42">
      <formula>AND(IF($Q24=3,1,IF($Q24=4,1,0)),IF($F24&lt;=85,1,0))</formula>
    </cfRule>
  </conditionalFormatting>
  <conditionalFormatting sqref="AV25">
    <cfRule type="expression" dxfId="895" priority="37">
      <formula>AV25="X"</formula>
    </cfRule>
    <cfRule type="expression" dxfId="894" priority="38">
      <formula>AV25="후보"</formula>
    </cfRule>
  </conditionalFormatting>
  <conditionalFormatting sqref="AC25">
    <cfRule type="cellIs" dxfId="893" priority="34" operator="greaterThan">
      <formula>0.9</formula>
    </cfRule>
    <cfRule type="cellIs" dxfId="892" priority="35" operator="greaterThan">
      <formula>0.85</formula>
    </cfRule>
  </conditionalFormatting>
  <conditionalFormatting sqref="N25">
    <cfRule type="cellIs" dxfId="891" priority="32" operator="greaterThan">
      <formula>0.9</formula>
    </cfRule>
    <cfRule type="cellIs" dxfId="890" priority="33" operator="greaterThan">
      <formula>0.85</formula>
    </cfRule>
  </conditionalFormatting>
  <conditionalFormatting sqref="E25">
    <cfRule type="expression" dxfId="889" priority="28">
      <formula>AND(IF(OR($Q25=1,$Q25=2),1,0),IF($X25&lt;=20,1,0))</formula>
    </cfRule>
    <cfRule type="expression" dxfId="888" priority="29">
      <formula>AND(IF($Q25=2,1,0),IF($X25&lt;30,1,0))</formula>
    </cfRule>
    <cfRule type="expression" dxfId="887" priority="30">
      <formula>AND(IF($Q25=3,1,0),IF($X25&lt;30,1,0))</formula>
    </cfRule>
    <cfRule type="expression" dxfId="886" priority="31">
      <formula>AND(IF($Q25=3,1,IF($Q25=4,1,0)),IF($F25&lt;=85,1,0))</formula>
    </cfRule>
  </conditionalFormatting>
  <conditionalFormatting sqref="X25">
    <cfRule type="expression" dxfId="885" priority="24">
      <formula>AND(IF(OR($Q25=1,$Q25=2),1,0),IF($X25&lt;=20,1,0))</formula>
    </cfRule>
    <cfRule type="expression" dxfId="884" priority="25">
      <formula>AND(IF($Q25=2,1,0),IF($X25&lt;30,1,0))</formula>
    </cfRule>
    <cfRule type="expression" dxfId="883" priority="26">
      <formula>AND(IF($Q25=3,1,0),IF($X25&lt;30,1,0))</formula>
    </cfRule>
    <cfRule type="expression" dxfId="882" priority="27">
      <formula>AND(IF($Q25=3,1,IF($Q25=4,1,0)),IF($F25&lt;=85,1,0))</formula>
    </cfRule>
  </conditionalFormatting>
  <conditionalFormatting sqref="AI25">
    <cfRule type="expression" dxfId="881" priority="20">
      <formula>AND(IF(OR($Q25=1,$Q25=2),1,0),IF($X25&lt;=20,1,0))</formula>
    </cfRule>
    <cfRule type="expression" dxfId="880" priority="21">
      <formula>AND(IF($Q25=2,1,0),IF($X25&lt;30,1,0))</formula>
    </cfRule>
    <cfRule type="expression" dxfId="879" priority="22">
      <formula>AND(IF($Q25=3,1,0),IF($X25&lt;30,1,0))</formula>
    </cfRule>
    <cfRule type="expression" dxfId="878" priority="23">
      <formula>AND(IF($Q25=3,1,IF($Q25=4,1,0)),IF($F25&lt;=85,1,0))</formula>
    </cfRule>
  </conditionalFormatting>
  <conditionalFormatting sqref="AV26">
    <cfRule type="expression" dxfId="877" priority="18">
      <formula>AV26="X"</formula>
    </cfRule>
    <cfRule type="expression" dxfId="876" priority="19">
      <formula>AV26="후보"</formula>
    </cfRule>
  </conditionalFormatting>
  <conditionalFormatting sqref="AC26">
    <cfRule type="cellIs" dxfId="875" priority="15" operator="greaterThan">
      <formula>0.9</formula>
    </cfRule>
    <cfRule type="cellIs" dxfId="874" priority="16" operator="greaterThan">
      <formula>0.85</formula>
    </cfRule>
  </conditionalFormatting>
  <conditionalFormatting sqref="N26">
    <cfRule type="cellIs" dxfId="873" priority="13" operator="greaterThan">
      <formula>0.9</formula>
    </cfRule>
    <cfRule type="cellIs" dxfId="872" priority="14" operator="greaterThan">
      <formula>0.85</formula>
    </cfRule>
  </conditionalFormatting>
  <conditionalFormatting sqref="E26">
    <cfRule type="expression" dxfId="871" priority="9">
      <formula>AND(IF(OR($Q26=1,$Q26=2),1,0),IF($X26&lt;=20,1,0))</formula>
    </cfRule>
    <cfRule type="expression" dxfId="870" priority="10">
      <formula>AND(IF($Q26=2,1,0),IF($X26&lt;30,1,0))</formula>
    </cfRule>
    <cfRule type="expression" dxfId="869" priority="11">
      <formula>AND(IF($Q26=3,1,0),IF($X26&lt;30,1,0))</formula>
    </cfRule>
    <cfRule type="expression" dxfId="868" priority="12">
      <formula>AND(IF($Q26=3,1,IF($Q26=4,1,0)),IF($F26&lt;=85,1,0))</formula>
    </cfRule>
  </conditionalFormatting>
  <conditionalFormatting sqref="X26">
    <cfRule type="expression" dxfId="867" priority="5">
      <formula>AND(IF(OR($Q26=1,$Q26=2),1,0),IF($X26&lt;=20,1,0))</formula>
    </cfRule>
    <cfRule type="expression" dxfId="866" priority="6">
      <formula>AND(IF($Q26=2,1,0),IF($X26&lt;30,1,0))</formula>
    </cfRule>
    <cfRule type="expression" dxfId="865" priority="7">
      <formula>AND(IF($Q26=3,1,0),IF($X26&lt;30,1,0))</formula>
    </cfRule>
    <cfRule type="expression" dxfId="864" priority="8">
      <formula>AND(IF($Q26=3,1,IF($Q26=4,1,0)),IF($F26&lt;=85,1,0))</formula>
    </cfRule>
  </conditionalFormatting>
  <conditionalFormatting sqref="AI26">
    <cfRule type="expression" dxfId="863" priority="1">
      <formula>AND(IF(OR($Q26=1,$Q26=2),1,0),IF($X26&lt;=20,1,0))</formula>
    </cfRule>
    <cfRule type="expression" dxfId="862" priority="2">
      <formula>AND(IF($Q26=2,1,0),IF($X26&lt;30,1,0))</formula>
    </cfRule>
    <cfRule type="expression" dxfId="861" priority="3">
      <formula>AND(IF($Q26=3,1,0),IF($X26&lt;30,1,0))</formula>
    </cfRule>
    <cfRule type="expression" dxfId="860" priority="4">
      <formula>AND(IF($Q26=3,1,IF($Q26=4,1,0)),IF($F26&lt;=85,1,0))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청안동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17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709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청안동 부영2차('02.05.,440^)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17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706</v>
      </c>
      <c r="B6" s="10" t="s">
        <v>927</v>
      </c>
      <c r="C6" s="107">
        <v>440</v>
      </c>
      <c r="D6" s="104">
        <v>77.8</v>
      </c>
      <c r="E6" s="106">
        <v>24</v>
      </c>
      <c r="F6" s="104">
        <v>59.8</v>
      </c>
      <c r="G6" s="17">
        <v>18</v>
      </c>
      <c r="H6" s="107">
        <v>440</v>
      </c>
      <c r="I6" s="108">
        <v>12000</v>
      </c>
      <c r="J6" s="108" t="s">
        <v>897</v>
      </c>
      <c r="K6" s="108"/>
      <c r="L6" s="108"/>
      <c r="M6" s="109">
        <f>I6-K6</f>
        <v>12000</v>
      </c>
      <c r="N6" s="4">
        <f>IF(ISERROR(K6/I6),"",K6/I6)</f>
        <v>0</v>
      </c>
      <c r="O6" s="105">
        <f>I6/E6</f>
        <v>500</v>
      </c>
      <c r="P6" s="105">
        <f>K6/E6</f>
        <v>0</v>
      </c>
      <c r="Q6" s="75">
        <v>3</v>
      </c>
      <c r="R6" s="75">
        <v>2</v>
      </c>
      <c r="S6" s="75" t="s">
        <v>869</v>
      </c>
      <c r="T6" s="5">
        <v>77</v>
      </c>
      <c r="U6" s="9"/>
      <c r="W6" s="104">
        <f>D6</f>
        <v>77.8</v>
      </c>
      <c r="X6" s="106">
        <f>E6</f>
        <v>24</v>
      </c>
      <c r="Y6" s="102">
        <f>H6</f>
        <v>440</v>
      </c>
      <c r="Z6" s="109">
        <f>I6</f>
        <v>12000</v>
      </c>
      <c r="AA6" s="109">
        <f>K6</f>
        <v>0</v>
      </c>
      <c r="AB6" s="109">
        <f>M6</f>
        <v>12000</v>
      </c>
      <c r="AC6" s="4">
        <f>N6</f>
        <v>0</v>
      </c>
      <c r="AD6" s="105">
        <f>O6</f>
        <v>500</v>
      </c>
      <c r="AE6" s="75" t="str">
        <f>S6</f>
        <v>계</v>
      </c>
      <c r="AF6" s="75" t="str">
        <f>Q6&amp;"/"&amp;R6</f>
        <v>3/2</v>
      </c>
      <c r="AH6" s="20" t="str">
        <f t="shared" si="1"/>
        <v>부영2차</v>
      </c>
      <c r="AI6" s="106">
        <f t="shared" si="0"/>
        <v>24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>X</v>
      </c>
      <c r="AP6" s="75" t="str">
        <f>IF(I6="","",IF(I6&lt;=$AP$1,"O","X"))</f>
        <v>O</v>
      </c>
      <c r="AQ6" s="75" t="str">
        <f>IF(O6="","",IF(O6&lt;=$AQ$1,"O","X"))</f>
        <v>O</v>
      </c>
      <c r="AR6" s="75" t="str">
        <f>IF(M6="","",IF(M6&lt;=$AR$1,"O","X"))</f>
        <v>X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>X</v>
      </c>
    </row>
    <row r="7" spans="1:48" x14ac:dyDescent="0.3">
      <c r="A7" s="9"/>
      <c r="B7" s="75"/>
      <c r="C7" s="6"/>
      <c r="D7" s="9"/>
      <c r="E7" s="14"/>
      <c r="F7" s="104"/>
      <c r="G7" s="9"/>
      <c r="H7" s="9"/>
      <c r="I7" s="9"/>
      <c r="J7" s="9"/>
      <c r="K7" s="9"/>
      <c r="L7" s="9"/>
      <c r="M7" s="9"/>
      <c r="N7" s="9"/>
      <c r="O7" s="105"/>
      <c r="P7" s="105"/>
      <c r="Q7" s="106"/>
      <c r="R7" s="106"/>
      <c r="S7" s="9"/>
      <c r="T7" s="48"/>
      <c r="U7" s="9"/>
      <c r="W7" s="70" t="str">
        <f>$A$4&amp;" "&amp;A8&amp;"("&amp;B8&amp;","&amp;C8&amp;"^)"</f>
        <v>청안동 부영3차('03.02.,1275^)</v>
      </c>
      <c r="X7" s="71"/>
      <c r="Y7" s="71"/>
      <c r="Z7" s="71"/>
      <c r="AA7" s="71"/>
      <c r="AB7" s="71"/>
      <c r="AC7" s="71"/>
      <c r="AD7" s="71"/>
      <c r="AE7" s="71"/>
      <c r="AF7" s="72"/>
      <c r="AH7" s="20" t="str">
        <f t="shared" si="1"/>
        <v/>
      </c>
      <c r="AI7" s="103" t="str">
        <f t="shared" si="0"/>
        <v/>
      </c>
      <c r="AJ7" s="75"/>
      <c r="AK7" s="75"/>
      <c r="AL7" s="75"/>
      <c r="AM7" s="75"/>
      <c r="AN7" s="75"/>
      <c r="AO7" s="75"/>
      <c r="AP7" s="75"/>
      <c r="AQ7" s="75"/>
      <c r="AR7" s="75"/>
      <c r="AS7" s="75"/>
      <c r="AT7" s="75"/>
      <c r="AU7" s="75"/>
      <c r="AV7" s="75"/>
    </row>
    <row r="8" spans="1:48" x14ac:dyDescent="0.3">
      <c r="A8" s="9" t="s">
        <v>711</v>
      </c>
      <c r="B8" s="10" t="s">
        <v>928</v>
      </c>
      <c r="C8" s="107">
        <v>1275</v>
      </c>
      <c r="D8" s="104">
        <v>68</v>
      </c>
      <c r="E8" s="106">
        <v>21</v>
      </c>
      <c r="F8" s="104">
        <v>49.8</v>
      </c>
      <c r="G8" s="17">
        <v>15</v>
      </c>
      <c r="H8" s="107">
        <v>705</v>
      </c>
      <c r="I8" s="108">
        <v>8000</v>
      </c>
      <c r="J8" s="108" t="s">
        <v>885</v>
      </c>
      <c r="K8" s="108">
        <v>8000</v>
      </c>
      <c r="L8" s="108" t="s">
        <v>888</v>
      </c>
      <c r="M8" s="109">
        <f>I8-K8</f>
        <v>0</v>
      </c>
      <c r="N8" s="4">
        <f>IF(ISERROR(K8/I8),"",K8/I8)</f>
        <v>1</v>
      </c>
      <c r="O8" s="105">
        <f>I8/E8</f>
        <v>380.95238095238096</v>
      </c>
      <c r="P8" s="105">
        <f>K8/E8</f>
        <v>380.95238095238096</v>
      </c>
      <c r="Q8" s="75">
        <v>2</v>
      </c>
      <c r="R8" s="75">
        <v>1</v>
      </c>
      <c r="S8" s="75" t="s">
        <v>903</v>
      </c>
      <c r="T8" s="5">
        <v>67</v>
      </c>
      <c r="U8" s="9"/>
      <c r="W8" s="104">
        <f>D8</f>
        <v>68</v>
      </c>
      <c r="X8" s="106">
        <f>E8</f>
        <v>21</v>
      </c>
      <c r="Y8" s="102">
        <f>H8</f>
        <v>705</v>
      </c>
      <c r="Z8" s="109">
        <f>I8</f>
        <v>8000</v>
      </c>
      <c r="AA8" s="109">
        <f>K8</f>
        <v>8000</v>
      </c>
      <c r="AB8" s="109">
        <f t="shared" ref="AB8:AD9" si="2">M8</f>
        <v>0</v>
      </c>
      <c r="AC8" s="4">
        <f t="shared" si="2"/>
        <v>1</v>
      </c>
      <c r="AD8" s="105">
        <f t="shared" si="2"/>
        <v>380.95238095238096</v>
      </c>
      <c r="AE8" s="75" t="str">
        <f>S8</f>
        <v>복</v>
      </c>
      <c r="AF8" s="75" t="str">
        <f>Q8&amp;"/"&amp;R8</f>
        <v>2/1</v>
      </c>
      <c r="AH8" s="20" t="str">
        <f t="shared" si="1"/>
        <v>부영3차</v>
      </c>
      <c r="AI8" s="106">
        <f t="shared" si="0"/>
        <v>21</v>
      </c>
      <c r="AJ8" s="75" t="str">
        <f>IF(AI8="","",$AJ$2)</f>
        <v>A-</v>
      </c>
      <c r="AK8" s="75" t="s">
        <v>14</v>
      </c>
      <c r="AL8" s="75" t="s">
        <v>870</v>
      </c>
      <c r="AM8" s="75" t="s">
        <v>871</v>
      </c>
      <c r="AN8" s="75" t="str">
        <f>IF(AI8="","",$AN$2)</f>
        <v>C</v>
      </c>
      <c r="AO8" s="75" t="str">
        <f>IF(N8="","",IF(N8&gt;=$AO$1/100,"O","X"))</f>
        <v>O</v>
      </c>
      <c r="AP8" s="75" t="str">
        <f>IF(I8="","",IF(I8&lt;=$AP$1,"O","X"))</f>
        <v>O</v>
      </c>
      <c r="AQ8" s="75" t="str">
        <f>IF(O8="","",IF(O8&lt;=$AQ$1,"O","X"))</f>
        <v>O</v>
      </c>
      <c r="AR8" s="75" t="str">
        <f>IF(M8="","",IF(M8&lt;=$AR$1,"O","X"))</f>
        <v>O</v>
      </c>
      <c r="AS8" s="75" t="s">
        <v>2</v>
      </c>
      <c r="AT8" s="75" t="str">
        <f>IF(OR(F8="",AI8=""),"",IF(AND((F8&lt;=85),(AI8&gt;=15)),"O","X"))</f>
        <v>O</v>
      </c>
      <c r="AU8" s="75" t="str">
        <f>IF(C8="","",IF(C8&gt;=$AU$1,"O","X"))</f>
        <v>O</v>
      </c>
      <c r="AV8" s="75" t="str">
        <f>IF(AO8="","",IF(AND(AO8="O",AP8="O",AR8="O",AT8="O",AU8="O"),"후보","X"))</f>
        <v>후보</v>
      </c>
    </row>
    <row r="9" spans="1:48" x14ac:dyDescent="0.3">
      <c r="A9" s="9" t="s">
        <v>711</v>
      </c>
      <c r="B9" s="10" t="s">
        <v>928</v>
      </c>
      <c r="C9" s="107">
        <v>1275</v>
      </c>
      <c r="D9" s="104">
        <v>78.2</v>
      </c>
      <c r="E9" s="106">
        <v>24</v>
      </c>
      <c r="F9" s="104">
        <v>59.8</v>
      </c>
      <c r="G9" s="17">
        <v>18</v>
      </c>
      <c r="H9" s="107">
        <v>570</v>
      </c>
      <c r="I9" s="108">
        <v>13000</v>
      </c>
      <c r="J9" s="108" t="s">
        <v>898</v>
      </c>
      <c r="K9" s="108"/>
      <c r="L9" s="108"/>
      <c r="M9" s="109">
        <f>I9-K9</f>
        <v>13000</v>
      </c>
      <c r="N9" s="4">
        <f>IF(ISERROR(K9/I9),"",K9/I9)</f>
        <v>0</v>
      </c>
      <c r="O9" s="105">
        <f>I9/E9</f>
        <v>541.66666666666663</v>
      </c>
      <c r="P9" s="105">
        <f>K9/E9</f>
        <v>0</v>
      </c>
      <c r="Q9" s="75">
        <v>3</v>
      </c>
      <c r="R9" s="75">
        <v>2</v>
      </c>
      <c r="S9" s="75" t="s">
        <v>869</v>
      </c>
      <c r="T9" s="5">
        <v>78</v>
      </c>
      <c r="U9" s="9"/>
      <c r="W9" s="104">
        <f>D9</f>
        <v>78.2</v>
      </c>
      <c r="X9" s="106">
        <f>E9</f>
        <v>24</v>
      </c>
      <c r="Y9" s="102">
        <f>H9</f>
        <v>570</v>
      </c>
      <c r="Z9" s="109">
        <f>I9</f>
        <v>13000</v>
      </c>
      <c r="AA9" s="109">
        <f>K9</f>
        <v>0</v>
      </c>
      <c r="AB9" s="109">
        <f t="shared" si="2"/>
        <v>13000</v>
      </c>
      <c r="AC9" s="4">
        <f t="shared" si="2"/>
        <v>0</v>
      </c>
      <c r="AD9" s="105">
        <f t="shared" si="2"/>
        <v>541.66666666666663</v>
      </c>
      <c r="AE9" s="75" t="str">
        <f>S9</f>
        <v>계</v>
      </c>
      <c r="AF9" s="75" t="str">
        <f>Q9&amp;"/"&amp;R9</f>
        <v>3/2</v>
      </c>
      <c r="AH9" s="20" t="str">
        <f t="shared" si="1"/>
        <v>부영3차</v>
      </c>
      <c r="AI9" s="106">
        <f t="shared" si="0"/>
        <v>24</v>
      </c>
      <c r="AJ9" s="75" t="str">
        <f>IF(AI9="","",$AJ$2)</f>
        <v>A-</v>
      </c>
      <c r="AK9" s="75" t="s">
        <v>14</v>
      </c>
      <c r="AL9" s="75" t="s">
        <v>870</v>
      </c>
      <c r="AM9" s="75" t="s">
        <v>871</v>
      </c>
      <c r="AN9" s="75" t="str">
        <f>IF(AI9="","",$AN$2)</f>
        <v>C</v>
      </c>
      <c r="AO9" s="75" t="str">
        <f>IF(N9="","",IF(N9&gt;=$AO$1/100,"O","X"))</f>
        <v>X</v>
      </c>
      <c r="AP9" s="75" t="str">
        <f>IF(I9="","",IF(I9&lt;=$AP$1,"O","X"))</f>
        <v>O</v>
      </c>
      <c r="AQ9" s="75" t="str">
        <f>IF(O9="","",IF(O9&lt;=$AQ$1,"O","X"))</f>
        <v>O</v>
      </c>
      <c r="AR9" s="75" t="str">
        <f>IF(M9="","",IF(M9&lt;=$AR$1,"O","X"))</f>
        <v>X</v>
      </c>
      <c r="AS9" s="75" t="s">
        <v>2</v>
      </c>
      <c r="AT9" s="75" t="str">
        <f>IF(OR(F9="",AI9=""),"",IF(AND((F9&lt;=85),(AI9&gt;=15)),"O","X"))</f>
        <v>O</v>
      </c>
      <c r="AU9" s="75" t="str">
        <f>IF(C9="","",IF(C9&gt;=$AU$1,"O","X"))</f>
        <v>O</v>
      </c>
      <c r="AV9" s="75" t="str">
        <f>IF(AO9="","",IF(AND(AO9="O",AP9="O",AR9="O",AT9="O",AU9="O"),"후보","X"))</f>
        <v>X</v>
      </c>
    </row>
    <row r="10" spans="1:48" x14ac:dyDescent="0.3">
      <c r="A10" s="9"/>
      <c r="B10" s="75"/>
      <c r="C10" s="6"/>
      <c r="D10" s="9"/>
      <c r="E10" s="14"/>
      <c r="F10" s="104"/>
      <c r="G10" s="9"/>
      <c r="H10" s="9"/>
      <c r="I10" s="9"/>
      <c r="J10" s="9"/>
      <c r="K10" s="9"/>
      <c r="L10" s="9"/>
      <c r="M10" s="9"/>
      <c r="N10" s="9"/>
      <c r="O10" s="105"/>
      <c r="P10" s="105"/>
      <c r="Q10" s="106"/>
      <c r="R10" s="106"/>
      <c r="S10" s="9"/>
      <c r="T10" s="48"/>
      <c r="U10" s="9"/>
      <c r="W10" s="70" t="str">
        <f>$A$4&amp;" "&amp;A11&amp;"("&amp;B11&amp;","&amp;C11&amp;"^)"</f>
        <v>청안동 부영1차('02.01.,906^)</v>
      </c>
      <c r="X10" s="71"/>
      <c r="Y10" s="71"/>
      <c r="Z10" s="71"/>
      <c r="AA10" s="71"/>
      <c r="AB10" s="71"/>
      <c r="AC10" s="71"/>
      <c r="AD10" s="71"/>
      <c r="AE10" s="71"/>
      <c r="AF10" s="72"/>
      <c r="AH10" s="20" t="str">
        <f t="shared" si="1"/>
        <v/>
      </c>
      <c r="AI10" s="103" t="str">
        <f t="shared" si="0"/>
        <v/>
      </c>
      <c r="AJ10" s="75"/>
      <c r="AK10" s="75"/>
      <c r="AL10" s="75"/>
      <c r="AM10" s="75"/>
      <c r="AN10" s="75"/>
      <c r="AO10" s="75"/>
      <c r="AP10" s="75"/>
      <c r="AQ10" s="75"/>
      <c r="AR10" s="75"/>
      <c r="AS10" s="75"/>
      <c r="AT10" s="75"/>
      <c r="AU10" s="75"/>
      <c r="AV10" s="75"/>
    </row>
    <row r="11" spans="1:48" x14ac:dyDescent="0.3">
      <c r="A11" s="9" t="s">
        <v>716</v>
      </c>
      <c r="B11" s="10" t="s">
        <v>929</v>
      </c>
      <c r="C11" s="107">
        <v>906</v>
      </c>
      <c r="D11" s="104">
        <v>113.3</v>
      </c>
      <c r="E11" s="106">
        <v>34</v>
      </c>
      <c r="F11" s="104">
        <v>85</v>
      </c>
      <c r="G11" s="17">
        <v>26</v>
      </c>
      <c r="H11" s="107">
        <v>906</v>
      </c>
      <c r="I11" s="108"/>
      <c r="J11" s="108"/>
      <c r="K11" s="108"/>
      <c r="L11" s="108"/>
      <c r="M11" s="109">
        <f>I11-K11</f>
        <v>0</v>
      </c>
      <c r="N11" s="4" t="str">
        <f>IF(ISERROR(K11/I11),"",K11/I11)</f>
        <v/>
      </c>
      <c r="O11" s="105">
        <f>I11/E11</f>
        <v>0</v>
      </c>
      <c r="P11" s="105">
        <f>K11/E11</f>
        <v>0</v>
      </c>
      <c r="Q11" s="75">
        <v>3</v>
      </c>
      <c r="R11" s="75">
        <v>2</v>
      </c>
      <c r="S11" s="75" t="s">
        <v>869</v>
      </c>
      <c r="T11" s="5">
        <v>113</v>
      </c>
      <c r="U11" s="9"/>
      <c r="W11" s="104">
        <f>D11</f>
        <v>113.3</v>
      </c>
      <c r="X11" s="106">
        <f>E11</f>
        <v>34</v>
      </c>
      <c r="Y11" s="102">
        <f>H11</f>
        <v>906</v>
      </c>
      <c r="Z11" s="109">
        <f>I11</f>
        <v>0</v>
      </c>
      <c r="AA11" s="109">
        <f>K11</f>
        <v>0</v>
      </c>
      <c r="AB11" s="109">
        <f>M11</f>
        <v>0</v>
      </c>
      <c r="AC11" s="4" t="str">
        <f>N11</f>
        <v/>
      </c>
      <c r="AD11" s="105">
        <f>O11</f>
        <v>0</v>
      </c>
      <c r="AE11" s="75" t="str">
        <f>S11</f>
        <v>계</v>
      </c>
      <c r="AF11" s="75" t="str">
        <f>Q11&amp;"/"&amp;R11</f>
        <v>3/2</v>
      </c>
      <c r="AH11" s="20" t="str">
        <f t="shared" si="1"/>
        <v>부영1차</v>
      </c>
      <c r="AI11" s="106">
        <f t="shared" si="0"/>
        <v>34</v>
      </c>
      <c r="AJ11" s="75" t="str">
        <f>IF(AI11="","",$AJ$2)</f>
        <v>A-</v>
      </c>
      <c r="AK11" s="75" t="s">
        <v>14</v>
      </c>
      <c r="AL11" s="75" t="s">
        <v>870</v>
      </c>
      <c r="AM11" s="75" t="s">
        <v>871</v>
      </c>
      <c r="AN11" s="75" t="str">
        <f>IF(AI11="","",$AN$2)</f>
        <v>C</v>
      </c>
      <c r="AO11" s="75" t="str">
        <f>IF(N11="","",IF(N11&gt;=$AO$1/100,"O","X"))</f>
        <v/>
      </c>
      <c r="AP11" s="75" t="str">
        <f>IF(I11="","",IF(I11&lt;=$AP$1,"O","X"))</f>
        <v/>
      </c>
      <c r="AQ11" s="75" t="str">
        <f>IF(O11="","",IF(O11&lt;=$AQ$1,"O","X"))</f>
        <v>O</v>
      </c>
      <c r="AR11" s="75" t="str">
        <f>IF(M11="","",IF(M11&lt;=$AR$1,"O","X"))</f>
        <v>O</v>
      </c>
      <c r="AS11" s="75" t="s">
        <v>2</v>
      </c>
      <c r="AT11" s="75" t="str">
        <f>IF(OR(F11="",AI11=""),"",IF(AND((F11&lt;=85),(AI11&gt;=15)),"O","X"))</f>
        <v>O</v>
      </c>
      <c r="AU11" s="75" t="str">
        <f>IF(C11="","",IF(C11&gt;=$AU$1,"O","X"))</f>
        <v>O</v>
      </c>
      <c r="AV11" s="75" t="str">
        <f>IF(AO11="","",IF(AND(AO11="O",AP11="O",AR11="O",AT11="O",AU11="O"),"후보","X"))</f>
        <v/>
      </c>
    </row>
    <row r="12" spans="1:48" x14ac:dyDescent="0.3">
      <c r="A12" s="9"/>
      <c r="B12" s="75"/>
      <c r="C12" s="6"/>
      <c r="D12" s="9"/>
      <c r="E12" s="14"/>
      <c r="F12" s="104"/>
      <c r="G12" s="9"/>
      <c r="H12" s="9"/>
      <c r="I12" s="9"/>
      <c r="J12" s="9"/>
      <c r="K12" s="9"/>
      <c r="L12" s="9"/>
      <c r="M12" s="9"/>
      <c r="N12" s="9"/>
      <c r="O12" s="105"/>
      <c r="P12" s="105"/>
      <c r="Q12" s="106"/>
      <c r="R12" s="106"/>
      <c r="S12" s="9"/>
      <c r="T12" s="48"/>
      <c r="U12" s="9"/>
      <c r="W12" s="70" t="str">
        <f>$A$4&amp;" "&amp;A13&amp;"("&amp;B13&amp;","&amp;C13&amp;"^)"</f>
        <v>청안동 풍림('00.12.,1170^)</v>
      </c>
      <c r="X12" s="71"/>
      <c r="Y12" s="71"/>
      <c r="Z12" s="71"/>
      <c r="AA12" s="71"/>
      <c r="AB12" s="71"/>
      <c r="AC12" s="71"/>
      <c r="AD12" s="71"/>
      <c r="AE12" s="71"/>
      <c r="AF12" s="72"/>
      <c r="AH12" s="20" t="str">
        <f t="shared" si="1"/>
        <v/>
      </c>
      <c r="AI12" s="103" t="str">
        <f t="shared" si="0"/>
        <v/>
      </c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</row>
    <row r="13" spans="1:48" x14ac:dyDescent="0.3">
      <c r="A13" s="9" t="s">
        <v>721</v>
      </c>
      <c r="B13" s="10" t="s">
        <v>930</v>
      </c>
      <c r="C13" s="107">
        <v>1170</v>
      </c>
      <c r="D13" s="104">
        <v>76.900000000000006</v>
      </c>
      <c r="E13" s="106">
        <v>23</v>
      </c>
      <c r="F13" s="104">
        <v>60</v>
      </c>
      <c r="G13" s="17">
        <v>18</v>
      </c>
      <c r="H13" s="107">
        <v>1170</v>
      </c>
      <c r="I13" s="108">
        <v>12000</v>
      </c>
      <c r="J13" s="108" t="s">
        <v>873</v>
      </c>
      <c r="K13" s="108">
        <v>12000</v>
      </c>
      <c r="L13" s="108" t="s">
        <v>872</v>
      </c>
      <c r="M13" s="109">
        <f>I13-K13</f>
        <v>0</v>
      </c>
      <c r="N13" s="4">
        <f>IF(ISERROR(K13/I13),"",K13/I13)</f>
        <v>1</v>
      </c>
      <c r="O13" s="105">
        <f>I13/E13</f>
        <v>521.73913043478262</v>
      </c>
      <c r="P13" s="105">
        <f>K13/E13</f>
        <v>521.73913043478262</v>
      </c>
      <c r="Q13" s="75">
        <v>3</v>
      </c>
      <c r="R13" s="75">
        <v>2</v>
      </c>
      <c r="S13" s="75" t="s">
        <v>869</v>
      </c>
      <c r="T13" s="5">
        <v>76</v>
      </c>
      <c r="U13" s="9"/>
      <c r="W13" s="104">
        <f>D13</f>
        <v>76.900000000000006</v>
      </c>
      <c r="X13" s="106">
        <f>E13</f>
        <v>23</v>
      </c>
      <c r="Y13" s="102">
        <f>H13</f>
        <v>1170</v>
      </c>
      <c r="Z13" s="109">
        <f>I13</f>
        <v>12000</v>
      </c>
      <c r="AA13" s="109">
        <f>K13</f>
        <v>12000</v>
      </c>
      <c r="AB13" s="109">
        <f>M13</f>
        <v>0</v>
      </c>
      <c r="AC13" s="4">
        <f>N13</f>
        <v>1</v>
      </c>
      <c r="AD13" s="105">
        <f>O13</f>
        <v>521.73913043478262</v>
      </c>
      <c r="AE13" s="75" t="str">
        <f>S13</f>
        <v>계</v>
      </c>
      <c r="AF13" s="75" t="str">
        <f>Q13&amp;"/"&amp;R13</f>
        <v>3/2</v>
      </c>
      <c r="AH13" s="20" t="str">
        <f t="shared" si="1"/>
        <v>풍림</v>
      </c>
      <c r="AI13" s="106">
        <f t="shared" si="0"/>
        <v>23</v>
      </c>
      <c r="AJ13" s="75" t="str">
        <f>IF(AI13="","",$AJ$2)</f>
        <v>A-</v>
      </c>
      <c r="AK13" s="75" t="s">
        <v>14</v>
      </c>
      <c r="AL13" s="75" t="s">
        <v>870</v>
      </c>
      <c r="AM13" s="75" t="s">
        <v>871</v>
      </c>
      <c r="AN13" s="75" t="str">
        <f>IF(AI13="","",$AN$2)</f>
        <v>C</v>
      </c>
      <c r="AO13" s="75" t="str">
        <f>IF(N13="","",IF(N13&gt;=$AO$1/100,"O","X"))</f>
        <v>O</v>
      </c>
      <c r="AP13" s="75" t="str">
        <f>IF(I13="","",IF(I13&lt;=$AP$1,"O","X"))</f>
        <v>O</v>
      </c>
      <c r="AQ13" s="75" t="str">
        <f>IF(O13="","",IF(O13&lt;=$AQ$1,"O","X"))</f>
        <v>O</v>
      </c>
      <c r="AR13" s="75" t="str">
        <f>IF(M13="","",IF(M13&lt;=$AR$1,"O","X"))</f>
        <v>O</v>
      </c>
      <c r="AS13" s="75" t="s">
        <v>2</v>
      </c>
      <c r="AT13" s="75" t="str">
        <f>IF(OR(F13="",AI13=""),"",IF(AND((F13&lt;=85),(AI13&gt;=15)),"O","X"))</f>
        <v>O</v>
      </c>
      <c r="AU13" s="75" t="str">
        <f>IF(C13="","",IF(C13&gt;=$AU$1,"O","X"))</f>
        <v>O</v>
      </c>
      <c r="AV13" s="75" t="str">
        <f>IF(AO13="","",IF(AND(AO13="O",AP13="O",AR13="O",AT13="O",AU13="O"),"후보","X"))</f>
        <v>후보</v>
      </c>
    </row>
    <row r="14" spans="1:48" x14ac:dyDescent="0.3">
      <c r="A14" s="9"/>
      <c r="B14" s="75"/>
      <c r="C14" s="6"/>
      <c r="D14" s="9"/>
      <c r="E14" s="14"/>
      <c r="F14" s="104"/>
      <c r="G14" s="9"/>
      <c r="H14" s="9"/>
      <c r="I14" s="9"/>
      <c r="J14" s="9"/>
      <c r="K14" s="9"/>
      <c r="L14" s="9"/>
      <c r="M14" s="9"/>
      <c r="N14" s="9"/>
      <c r="O14" s="105"/>
      <c r="P14" s="105"/>
      <c r="Q14" s="106"/>
      <c r="R14" s="106"/>
      <c r="S14" s="9"/>
      <c r="T14" s="48"/>
      <c r="U14" s="9"/>
      <c r="W14" s="70" t="str">
        <f>$A$4&amp;" "&amp;A15&amp;"("&amp;B15&amp;","&amp;C15&amp;"^)"</f>
        <v>청안동 해인로즈빌('02.04.,1140^)</v>
      </c>
      <c r="X14" s="71"/>
      <c r="Y14" s="71"/>
      <c r="Z14" s="71"/>
      <c r="AA14" s="71"/>
      <c r="AB14" s="71"/>
      <c r="AC14" s="71"/>
      <c r="AD14" s="71"/>
      <c r="AE14" s="71"/>
      <c r="AF14" s="72"/>
      <c r="AH14" s="20" t="str">
        <f t="shared" si="1"/>
        <v/>
      </c>
      <c r="AI14" s="103" t="str">
        <f t="shared" si="0"/>
        <v/>
      </c>
      <c r="AJ14" s="75"/>
      <c r="AK14" s="75"/>
      <c r="AL14" s="75"/>
      <c r="AM14" s="75"/>
      <c r="AN14" s="75"/>
      <c r="AO14" s="75"/>
      <c r="AP14" s="75"/>
      <c r="AQ14" s="75"/>
      <c r="AR14" s="75"/>
      <c r="AS14" s="75"/>
      <c r="AT14" s="75"/>
      <c r="AU14" s="75"/>
      <c r="AV14" s="75"/>
    </row>
    <row r="15" spans="1:48" x14ac:dyDescent="0.3">
      <c r="A15" s="9" t="s">
        <v>726</v>
      </c>
      <c r="B15" s="10" t="s">
        <v>931</v>
      </c>
      <c r="C15" s="107">
        <v>1140</v>
      </c>
      <c r="D15" s="104">
        <v>77</v>
      </c>
      <c r="E15" s="106">
        <v>23</v>
      </c>
      <c r="F15" s="104">
        <v>59.8</v>
      </c>
      <c r="G15" s="17">
        <v>18</v>
      </c>
      <c r="H15" s="107">
        <v>210</v>
      </c>
      <c r="I15" s="108">
        <v>11000</v>
      </c>
      <c r="J15" s="108" t="s">
        <v>872</v>
      </c>
      <c r="K15" s="108">
        <v>13000</v>
      </c>
      <c r="L15" s="108" t="s">
        <v>868</v>
      </c>
      <c r="M15" s="109">
        <f>I15-K15</f>
        <v>-2000</v>
      </c>
      <c r="N15" s="4">
        <f>IF(ISERROR(K15/I15),"",K15/I15)</f>
        <v>1.1818181818181819</v>
      </c>
      <c r="O15" s="105">
        <f>I15/E15</f>
        <v>478.26086956521738</v>
      </c>
      <c r="P15" s="105">
        <f>K15/E15</f>
        <v>565.21739130434787</v>
      </c>
      <c r="Q15" s="75">
        <v>2</v>
      </c>
      <c r="R15" s="75">
        <v>1</v>
      </c>
      <c r="S15" s="75" t="s">
        <v>869</v>
      </c>
      <c r="T15" s="5" t="s">
        <v>728</v>
      </c>
      <c r="U15" s="9"/>
      <c r="W15" s="104">
        <f t="shared" ref="W15:X17" si="3">D15</f>
        <v>77</v>
      </c>
      <c r="X15" s="106">
        <f t="shared" si="3"/>
        <v>23</v>
      </c>
      <c r="Y15" s="102">
        <f t="shared" ref="Y15:Z17" si="4">H15</f>
        <v>210</v>
      </c>
      <c r="Z15" s="109">
        <f t="shared" si="4"/>
        <v>11000</v>
      </c>
      <c r="AA15" s="109">
        <f>K15</f>
        <v>13000</v>
      </c>
      <c r="AB15" s="109">
        <f t="shared" ref="AB15:AD17" si="5">M15</f>
        <v>-2000</v>
      </c>
      <c r="AC15" s="4">
        <f t="shared" si="5"/>
        <v>1.1818181818181819</v>
      </c>
      <c r="AD15" s="105">
        <f t="shared" si="5"/>
        <v>478.26086956521738</v>
      </c>
      <c r="AE15" s="75" t="str">
        <f>S15</f>
        <v>계</v>
      </c>
      <c r="AF15" s="75" t="str">
        <f>Q15&amp;"/"&amp;R15</f>
        <v>2/1</v>
      </c>
      <c r="AH15" s="20" t="str">
        <f t="shared" si="1"/>
        <v>해인로즈빌</v>
      </c>
      <c r="AI15" s="106">
        <f t="shared" si="0"/>
        <v>23</v>
      </c>
      <c r="AJ15" s="75" t="str">
        <f>IF(AI15="","",$AJ$2)</f>
        <v>A-</v>
      </c>
      <c r="AK15" s="75" t="s">
        <v>14</v>
      </c>
      <c r="AL15" s="75" t="s">
        <v>870</v>
      </c>
      <c r="AM15" s="75" t="s">
        <v>871</v>
      </c>
      <c r="AN15" s="75" t="str">
        <f>IF(AI15="","",$AN$2)</f>
        <v>C</v>
      </c>
      <c r="AO15" s="75" t="str">
        <f>IF(N15="","",IF(N15&gt;=$AO$1/100,"O","X"))</f>
        <v>O</v>
      </c>
      <c r="AP15" s="75" t="str">
        <f>IF(I15="","",IF(I15&lt;=$AP$1,"O","X"))</f>
        <v>O</v>
      </c>
      <c r="AQ15" s="75" t="str">
        <f>IF(O15="","",IF(O15&lt;=$AQ$1,"O","X"))</f>
        <v>O</v>
      </c>
      <c r="AR15" s="75" t="str">
        <f>IF(M15="","",IF(M15&lt;=$AR$1,"O","X"))</f>
        <v>O</v>
      </c>
      <c r="AS15" s="75" t="s">
        <v>2</v>
      </c>
      <c r="AT15" s="75" t="str">
        <f>IF(OR(F15="",AI15=""),"",IF(AND((F15&lt;=85),(AI15&gt;=15)),"O","X"))</f>
        <v>O</v>
      </c>
      <c r="AU15" s="75" t="str">
        <f>IF(C15="","",IF(C15&gt;=$AU$1,"O","X"))</f>
        <v>O</v>
      </c>
      <c r="AV15" s="75" t="str">
        <f>IF(AO15="","",IF(AND(AO15="O",AP15="O",AR15="O",AT15="O",AU15="O"),"후보","X"))</f>
        <v>후보</v>
      </c>
    </row>
    <row r="16" spans="1:48" x14ac:dyDescent="0.3">
      <c r="A16" s="9" t="s">
        <v>726</v>
      </c>
      <c r="B16" s="10" t="s">
        <v>931</v>
      </c>
      <c r="C16" s="107">
        <v>1140</v>
      </c>
      <c r="D16" s="104">
        <v>79</v>
      </c>
      <c r="E16" s="106">
        <v>24</v>
      </c>
      <c r="F16" s="104">
        <v>60</v>
      </c>
      <c r="G16" s="17">
        <v>18</v>
      </c>
      <c r="H16" s="107">
        <v>690</v>
      </c>
      <c r="I16" s="108">
        <v>12000</v>
      </c>
      <c r="J16" s="108" t="s">
        <v>897</v>
      </c>
      <c r="K16" s="108">
        <v>11000</v>
      </c>
      <c r="L16" s="108" t="s">
        <v>901</v>
      </c>
      <c r="M16" s="109">
        <f>I16-K16</f>
        <v>1000</v>
      </c>
      <c r="N16" s="4">
        <f>IF(ISERROR(K16/I16),"",K16/I16)</f>
        <v>0.91666666666666663</v>
      </c>
      <c r="O16" s="105">
        <f>I16/E16</f>
        <v>500</v>
      </c>
      <c r="P16" s="105">
        <f>K16/E16</f>
        <v>458.33333333333331</v>
      </c>
      <c r="Q16" s="75">
        <v>3</v>
      </c>
      <c r="R16" s="75">
        <v>2</v>
      </c>
      <c r="S16" s="75" t="s">
        <v>869</v>
      </c>
      <c r="T16" s="5" t="s">
        <v>732</v>
      </c>
      <c r="U16" s="9"/>
      <c r="W16" s="104">
        <f t="shared" si="3"/>
        <v>79</v>
      </c>
      <c r="X16" s="106">
        <f t="shared" si="3"/>
        <v>24</v>
      </c>
      <c r="Y16" s="102">
        <f t="shared" si="4"/>
        <v>690</v>
      </c>
      <c r="Z16" s="109">
        <f t="shared" si="4"/>
        <v>12000</v>
      </c>
      <c r="AA16" s="109">
        <f>K16</f>
        <v>11000</v>
      </c>
      <c r="AB16" s="109">
        <f t="shared" si="5"/>
        <v>1000</v>
      </c>
      <c r="AC16" s="4">
        <f t="shared" si="5"/>
        <v>0.91666666666666663</v>
      </c>
      <c r="AD16" s="105">
        <f t="shared" si="5"/>
        <v>500</v>
      </c>
      <c r="AE16" s="75" t="str">
        <f>S16</f>
        <v>계</v>
      </c>
      <c r="AF16" s="75" t="str">
        <f>Q16&amp;"/"&amp;R16</f>
        <v>3/2</v>
      </c>
      <c r="AH16" s="20" t="str">
        <f t="shared" si="1"/>
        <v>해인로즈빌</v>
      </c>
      <c r="AI16" s="106">
        <f t="shared" si="0"/>
        <v>24</v>
      </c>
      <c r="AJ16" s="75" t="str">
        <f>IF(AI16="","",$AJ$2)</f>
        <v>A-</v>
      </c>
      <c r="AK16" s="75" t="s">
        <v>14</v>
      </c>
      <c r="AL16" s="75" t="s">
        <v>870</v>
      </c>
      <c r="AM16" s="75" t="s">
        <v>871</v>
      </c>
      <c r="AN16" s="75" t="str">
        <f>IF(AI16="","",$AN$2)</f>
        <v>C</v>
      </c>
      <c r="AO16" s="75" t="str">
        <f>IF(N16="","",IF(N16&gt;=$AO$1/100,"O","X"))</f>
        <v>O</v>
      </c>
      <c r="AP16" s="75" t="str">
        <f>IF(I16="","",IF(I16&lt;=$AP$1,"O","X"))</f>
        <v>O</v>
      </c>
      <c r="AQ16" s="75" t="str">
        <f>IF(O16="","",IF(O16&lt;=$AQ$1,"O","X"))</f>
        <v>O</v>
      </c>
      <c r="AR16" s="75" t="str">
        <f>IF(M16="","",IF(M16&lt;=$AR$1,"O","X"))</f>
        <v>O</v>
      </c>
      <c r="AS16" s="75" t="s">
        <v>2</v>
      </c>
      <c r="AT16" s="75" t="str">
        <f>IF(OR(F16="",AI16=""),"",IF(AND((F16&lt;=85),(AI16&gt;=15)),"O","X"))</f>
        <v>O</v>
      </c>
      <c r="AU16" s="75" t="str">
        <f>IF(C16="","",IF(C16&gt;=$AU$1,"O","X"))</f>
        <v>O</v>
      </c>
      <c r="AV16" s="75" t="str">
        <f>IF(AO16="","",IF(AND(AO16="O",AP16="O",AR16="O",AT16="O",AU16="O"),"후보","X"))</f>
        <v>후보</v>
      </c>
    </row>
    <row r="17" spans="1:48" x14ac:dyDescent="0.3">
      <c r="A17" s="9" t="s">
        <v>726</v>
      </c>
      <c r="B17" s="10" t="s">
        <v>931</v>
      </c>
      <c r="C17" s="107">
        <v>1140</v>
      </c>
      <c r="D17" s="104">
        <v>78.900000000000006</v>
      </c>
      <c r="E17" s="106">
        <v>24</v>
      </c>
      <c r="F17" s="104">
        <v>59.9</v>
      </c>
      <c r="G17" s="17">
        <v>18</v>
      </c>
      <c r="H17" s="107">
        <v>240</v>
      </c>
      <c r="I17" s="108"/>
      <c r="J17" s="108"/>
      <c r="K17" s="108"/>
      <c r="L17" s="108"/>
      <c r="M17" s="109">
        <f>I17-K17</f>
        <v>0</v>
      </c>
      <c r="N17" s="4" t="str">
        <f>IF(ISERROR(K17/I17),"",K17/I17)</f>
        <v/>
      </c>
      <c r="O17" s="105">
        <f>I17/E17</f>
        <v>0</v>
      </c>
      <c r="P17" s="105">
        <f>K17/E17</f>
        <v>0</v>
      </c>
      <c r="Q17" s="75">
        <v>2</v>
      </c>
      <c r="R17" s="75">
        <v>1</v>
      </c>
      <c r="S17" s="75" t="s">
        <v>869</v>
      </c>
      <c r="T17" s="5" t="s">
        <v>214</v>
      </c>
      <c r="U17" s="9"/>
      <c r="W17" s="104">
        <f t="shared" si="3"/>
        <v>78.900000000000006</v>
      </c>
      <c r="X17" s="106">
        <f t="shared" si="3"/>
        <v>24</v>
      </c>
      <c r="Y17" s="102">
        <f t="shared" si="4"/>
        <v>240</v>
      </c>
      <c r="Z17" s="109">
        <f t="shared" si="4"/>
        <v>0</v>
      </c>
      <c r="AA17" s="109">
        <f>K17</f>
        <v>0</v>
      </c>
      <c r="AB17" s="109">
        <f t="shared" si="5"/>
        <v>0</v>
      </c>
      <c r="AC17" s="4" t="str">
        <f t="shared" si="5"/>
        <v/>
      </c>
      <c r="AD17" s="105">
        <f t="shared" si="5"/>
        <v>0</v>
      </c>
      <c r="AE17" s="75" t="str">
        <f>S17</f>
        <v>계</v>
      </c>
      <c r="AF17" s="75" t="str">
        <f>Q17&amp;"/"&amp;R17</f>
        <v>2/1</v>
      </c>
      <c r="AH17" s="20" t="str">
        <f t="shared" si="1"/>
        <v>해인로즈빌</v>
      </c>
      <c r="AI17" s="106">
        <f t="shared" si="0"/>
        <v>24</v>
      </c>
      <c r="AJ17" s="75" t="str">
        <f>IF(AI17="","",$AJ$2)</f>
        <v>A-</v>
      </c>
      <c r="AK17" s="75" t="s">
        <v>14</v>
      </c>
      <c r="AL17" s="75" t="s">
        <v>870</v>
      </c>
      <c r="AM17" s="75" t="s">
        <v>871</v>
      </c>
      <c r="AN17" s="75" t="str">
        <f>IF(AI17="","",$AN$2)</f>
        <v>C</v>
      </c>
      <c r="AO17" s="75" t="str">
        <f>IF(N17="","",IF(N17&gt;=$AO$1/100,"O","X"))</f>
        <v/>
      </c>
      <c r="AP17" s="75" t="str">
        <f>IF(I17="","",IF(I17&lt;=$AP$1,"O","X"))</f>
        <v/>
      </c>
      <c r="AQ17" s="75" t="str">
        <f>IF(O17="","",IF(O17&lt;=$AQ$1,"O","X"))</f>
        <v>O</v>
      </c>
      <c r="AR17" s="75" t="str">
        <f>IF(M17="","",IF(M17&lt;=$AR$1,"O","X"))</f>
        <v>O</v>
      </c>
      <c r="AS17" s="75" t="s">
        <v>2</v>
      </c>
      <c r="AT17" s="75" t="str">
        <f>IF(OR(F17="",AI17=""),"",IF(AND((F17&lt;=85),(AI17&gt;=15)),"O","X"))</f>
        <v>O</v>
      </c>
      <c r="AU17" s="75" t="str">
        <f>IF(C17="","",IF(C17&gt;=$AU$1,"O","X"))</f>
        <v>O</v>
      </c>
      <c r="AV17" s="75" t="str">
        <f>IF(AO17="","",IF(AND(AO17="O",AP17="O",AR17="O",AT17="O",AU17="O"),"후보","X"))</f>
        <v/>
      </c>
    </row>
  </sheetData>
  <mergeCells count="1">
    <mergeCell ref="AJ1:AN1"/>
  </mergeCells>
  <phoneticPr fontId="2" type="noConversion"/>
  <conditionalFormatting sqref="AV4:AV6">
    <cfRule type="expression" dxfId="859" priority="173">
      <formula>AV4="X"</formula>
    </cfRule>
    <cfRule type="expression" dxfId="858" priority="174">
      <formula>AV4="후보"</formula>
    </cfRule>
  </conditionalFormatting>
  <conditionalFormatting sqref="AC1:AC2 AC4:AC6 N4:N5">
    <cfRule type="cellIs" dxfId="857" priority="170" operator="greaterThan">
      <formula>0.9</formula>
    </cfRule>
    <cfRule type="cellIs" dxfId="856" priority="171" operator="greaterThan">
      <formula>0.85</formula>
    </cfRule>
  </conditionalFormatting>
  <conditionalFormatting sqref="N1:N2">
    <cfRule type="cellIs" dxfId="855" priority="168" operator="greaterThan">
      <formula>0.9</formula>
    </cfRule>
    <cfRule type="cellIs" dxfId="854" priority="169" operator="greaterThan">
      <formula>0.85</formula>
    </cfRule>
  </conditionalFormatting>
  <conditionalFormatting sqref="N6">
    <cfRule type="cellIs" dxfId="853" priority="166" operator="greaterThan">
      <formula>0.9</formula>
    </cfRule>
    <cfRule type="cellIs" dxfId="852" priority="167" operator="greaterThan">
      <formula>0.85</formula>
    </cfRule>
  </conditionalFormatting>
  <conditionalFormatting sqref="E6">
    <cfRule type="expression" dxfId="851" priority="162">
      <formula>AND(IF(OR($Q6=1,$Q6=2),1,0),IF($X6&lt;=20,1,0))</formula>
    </cfRule>
    <cfRule type="expression" dxfId="850" priority="163">
      <formula>AND(IF($Q6=2,1,0),IF($X6&lt;30,1,0))</formula>
    </cfRule>
    <cfRule type="expression" dxfId="849" priority="164">
      <formula>AND(IF($Q6=3,1,0),IF($X6&lt;30,1,0))</formula>
    </cfRule>
    <cfRule type="expression" dxfId="848" priority="165">
      <formula>AND(IF($Q6=3,1,IF($Q6=4,1,0)),IF($F6&lt;=85,1,0))</formula>
    </cfRule>
  </conditionalFormatting>
  <conditionalFormatting sqref="X6">
    <cfRule type="expression" dxfId="847" priority="158">
      <formula>AND(IF(OR($Q6=1,$Q6=2),1,0),IF($X6&lt;=20,1,0))</formula>
    </cfRule>
    <cfRule type="expression" dxfId="846" priority="159">
      <formula>AND(IF($Q6=2,1,0),IF($X6&lt;30,1,0))</formula>
    </cfRule>
    <cfRule type="expression" dxfId="845" priority="160">
      <formula>AND(IF($Q6=3,1,0),IF($X6&lt;30,1,0))</formula>
    </cfRule>
    <cfRule type="expression" dxfId="844" priority="161">
      <formula>AND(IF($Q6=3,1,IF($Q6=4,1,0)),IF($F6&lt;=85,1,0))</formula>
    </cfRule>
  </conditionalFormatting>
  <conditionalFormatting sqref="AI6">
    <cfRule type="expression" dxfId="843" priority="154">
      <formula>AND(IF(OR($Q6=1,$Q6=2),1,0),IF($X6&lt;=20,1,0))</formula>
    </cfRule>
    <cfRule type="expression" dxfId="842" priority="155">
      <formula>AND(IF($Q6=2,1,0),IF($X6&lt;30,1,0))</formula>
    </cfRule>
    <cfRule type="expression" dxfId="841" priority="156">
      <formula>AND(IF($Q6=3,1,0),IF($X6&lt;30,1,0))</formula>
    </cfRule>
    <cfRule type="expression" dxfId="840" priority="157">
      <formula>AND(IF($Q6=3,1,IF($Q6=4,1,0)),IF($F6&lt;=85,1,0))</formula>
    </cfRule>
  </conditionalFormatting>
  <conditionalFormatting sqref="AV7">
    <cfRule type="expression" dxfId="839" priority="152">
      <formula>AV7="X"</formula>
    </cfRule>
    <cfRule type="expression" dxfId="838" priority="153">
      <formula>AV7="후보"</formula>
    </cfRule>
  </conditionalFormatting>
  <conditionalFormatting sqref="AC7 N7">
    <cfRule type="cellIs" dxfId="837" priority="149" operator="greaterThan">
      <formula>0.9</formula>
    </cfRule>
    <cfRule type="cellIs" dxfId="836" priority="150" operator="greaterThan">
      <formula>0.85</formula>
    </cfRule>
  </conditionalFormatting>
  <conditionalFormatting sqref="AV8">
    <cfRule type="expression" dxfId="835" priority="147">
      <formula>AV8="X"</formula>
    </cfRule>
    <cfRule type="expression" dxfId="834" priority="148">
      <formula>AV8="후보"</formula>
    </cfRule>
  </conditionalFormatting>
  <conditionalFormatting sqref="AC8">
    <cfRule type="cellIs" dxfId="833" priority="144" operator="greaterThan">
      <formula>0.9</formula>
    </cfRule>
    <cfRule type="cellIs" dxfId="832" priority="145" operator="greaterThan">
      <formula>0.85</formula>
    </cfRule>
  </conditionalFormatting>
  <conditionalFormatting sqref="N8">
    <cfRule type="cellIs" dxfId="831" priority="142" operator="greaterThan">
      <formula>0.9</formula>
    </cfRule>
    <cfRule type="cellIs" dxfId="830" priority="143" operator="greaterThan">
      <formula>0.85</formula>
    </cfRule>
  </conditionalFormatting>
  <conditionalFormatting sqref="E8">
    <cfRule type="expression" dxfId="829" priority="138">
      <formula>AND(IF(OR($Q8=1,$Q8=2),1,0),IF($X8&lt;=20,1,0))</formula>
    </cfRule>
    <cfRule type="expression" dxfId="828" priority="139">
      <formula>AND(IF($Q8=2,1,0),IF($X8&lt;30,1,0))</formula>
    </cfRule>
    <cfRule type="expression" dxfId="827" priority="140">
      <formula>AND(IF($Q8=3,1,0),IF($X8&lt;30,1,0))</formula>
    </cfRule>
    <cfRule type="expression" dxfId="826" priority="141">
      <formula>AND(IF($Q8=3,1,IF($Q8=4,1,0)),IF($F8&lt;=85,1,0))</formula>
    </cfRule>
  </conditionalFormatting>
  <conditionalFormatting sqref="X8">
    <cfRule type="expression" dxfId="825" priority="134">
      <formula>AND(IF(OR($Q8=1,$Q8=2),1,0),IF($X8&lt;=20,1,0))</formula>
    </cfRule>
    <cfRule type="expression" dxfId="824" priority="135">
      <formula>AND(IF($Q8=2,1,0),IF($X8&lt;30,1,0))</formula>
    </cfRule>
    <cfRule type="expression" dxfId="823" priority="136">
      <formula>AND(IF($Q8=3,1,0),IF($X8&lt;30,1,0))</formula>
    </cfRule>
    <cfRule type="expression" dxfId="822" priority="137">
      <formula>AND(IF($Q8=3,1,IF($Q8=4,1,0)),IF($F8&lt;=85,1,0))</formula>
    </cfRule>
  </conditionalFormatting>
  <conditionalFormatting sqref="AI8">
    <cfRule type="expression" dxfId="821" priority="130">
      <formula>AND(IF(OR($Q8=1,$Q8=2),1,0),IF($X8&lt;=20,1,0))</formula>
    </cfRule>
    <cfRule type="expression" dxfId="820" priority="131">
      <formula>AND(IF($Q8=2,1,0),IF($X8&lt;30,1,0))</formula>
    </cfRule>
    <cfRule type="expression" dxfId="819" priority="132">
      <formula>AND(IF($Q8=3,1,0),IF($X8&lt;30,1,0))</formula>
    </cfRule>
    <cfRule type="expression" dxfId="818" priority="133">
      <formula>AND(IF($Q8=3,1,IF($Q8=4,1,0)),IF($F8&lt;=85,1,0))</formula>
    </cfRule>
  </conditionalFormatting>
  <conditionalFormatting sqref="AV9">
    <cfRule type="expression" dxfId="817" priority="128">
      <formula>AV9="X"</formula>
    </cfRule>
    <cfRule type="expression" dxfId="816" priority="129">
      <formula>AV9="후보"</formula>
    </cfRule>
  </conditionalFormatting>
  <conditionalFormatting sqref="AC9">
    <cfRule type="cellIs" dxfId="815" priority="125" operator="greaterThan">
      <formula>0.9</formula>
    </cfRule>
    <cfRule type="cellIs" dxfId="814" priority="126" operator="greaterThan">
      <formula>0.85</formula>
    </cfRule>
  </conditionalFormatting>
  <conditionalFormatting sqref="N9">
    <cfRule type="cellIs" dxfId="813" priority="123" operator="greaterThan">
      <formula>0.9</formula>
    </cfRule>
    <cfRule type="cellIs" dxfId="812" priority="124" operator="greaterThan">
      <formula>0.85</formula>
    </cfRule>
  </conditionalFormatting>
  <conditionalFormatting sqref="E9">
    <cfRule type="expression" dxfId="811" priority="119">
      <formula>AND(IF(OR($Q9=1,$Q9=2),1,0),IF($X9&lt;=20,1,0))</formula>
    </cfRule>
    <cfRule type="expression" dxfId="810" priority="120">
      <formula>AND(IF($Q9=2,1,0),IF($X9&lt;30,1,0))</formula>
    </cfRule>
    <cfRule type="expression" dxfId="809" priority="121">
      <formula>AND(IF($Q9=3,1,0),IF($X9&lt;30,1,0))</formula>
    </cfRule>
    <cfRule type="expression" dxfId="808" priority="122">
      <formula>AND(IF($Q9=3,1,IF($Q9=4,1,0)),IF($F9&lt;=85,1,0))</formula>
    </cfRule>
  </conditionalFormatting>
  <conditionalFormatting sqref="X9">
    <cfRule type="expression" dxfId="807" priority="115">
      <formula>AND(IF(OR($Q9=1,$Q9=2),1,0),IF($X9&lt;=20,1,0))</formula>
    </cfRule>
    <cfRule type="expression" dxfId="806" priority="116">
      <formula>AND(IF($Q9=2,1,0),IF($X9&lt;30,1,0))</formula>
    </cfRule>
    <cfRule type="expression" dxfId="805" priority="117">
      <formula>AND(IF($Q9=3,1,0),IF($X9&lt;30,1,0))</formula>
    </cfRule>
    <cfRule type="expression" dxfId="804" priority="118">
      <formula>AND(IF($Q9=3,1,IF($Q9=4,1,0)),IF($F9&lt;=85,1,0))</formula>
    </cfRule>
  </conditionalFormatting>
  <conditionalFormatting sqref="AI9">
    <cfRule type="expression" dxfId="803" priority="111">
      <formula>AND(IF(OR($Q9=1,$Q9=2),1,0),IF($X9&lt;=20,1,0))</formula>
    </cfRule>
    <cfRule type="expression" dxfId="802" priority="112">
      <formula>AND(IF($Q9=2,1,0),IF($X9&lt;30,1,0))</formula>
    </cfRule>
    <cfRule type="expression" dxfId="801" priority="113">
      <formula>AND(IF($Q9=3,1,0),IF($X9&lt;30,1,0))</formula>
    </cfRule>
    <cfRule type="expression" dxfId="800" priority="114">
      <formula>AND(IF($Q9=3,1,IF($Q9=4,1,0)),IF($F9&lt;=85,1,0))</formula>
    </cfRule>
  </conditionalFormatting>
  <conditionalFormatting sqref="AV10">
    <cfRule type="expression" dxfId="799" priority="109">
      <formula>AV10="X"</formula>
    </cfRule>
    <cfRule type="expression" dxfId="798" priority="110">
      <formula>AV10="후보"</formula>
    </cfRule>
  </conditionalFormatting>
  <conditionalFormatting sqref="AC10 N10">
    <cfRule type="cellIs" dxfId="797" priority="106" operator="greaterThan">
      <formula>0.9</formula>
    </cfRule>
    <cfRule type="cellIs" dxfId="796" priority="107" operator="greaterThan">
      <formula>0.85</formula>
    </cfRule>
  </conditionalFormatting>
  <conditionalFormatting sqref="AV11">
    <cfRule type="expression" dxfId="795" priority="104">
      <formula>AV11="X"</formula>
    </cfRule>
    <cfRule type="expression" dxfId="794" priority="105">
      <formula>AV11="후보"</formula>
    </cfRule>
  </conditionalFormatting>
  <conditionalFormatting sqref="AC11">
    <cfRule type="cellIs" dxfId="793" priority="101" operator="greaterThan">
      <formula>0.9</formula>
    </cfRule>
    <cfRule type="cellIs" dxfId="792" priority="102" operator="greaterThan">
      <formula>0.85</formula>
    </cfRule>
  </conditionalFormatting>
  <conditionalFormatting sqref="N11">
    <cfRule type="cellIs" dxfId="791" priority="99" operator="greaterThan">
      <formula>0.9</formula>
    </cfRule>
    <cfRule type="cellIs" dxfId="790" priority="100" operator="greaterThan">
      <formula>0.85</formula>
    </cfRule>
  </conditionalFormatting>
  <conditionalFormatting sqref="E11">
    <cfRule type="expression" dxfId="789" priority="95">
      <formula>AND(IF(OR($Q11=1,$Q11=2),1,0),IF($X11&lt;=20,1,0))</formula>
    </cfRule>
    <cfRule type="expression" dxfId="788" priority="96">
      <formula>AND(IF($Q11=2,1,0),IF($X11&lt;30,1,0))</formula>
    </cfRule>
    <cfRule type="expression" dxfId="787" priority="97">
      <formula>AND(IF($Q11=3,1,0),IF($X11&lt;30,1,0))</formula>
    </cfRule>
    <cfRule type="expression" dxfId="786" priority="98">
      <formula>AND(IF($Q11=3,1,IF($Q11=4,1,0)),IF($F11&lt;=85,1,0))</formula>
    </cfRule>
  </conditionalFormatting>
  <conditionalFormatting sqref="X11">
    <cfRule type="expression" dxfId="785" priority="91">
      <formula>AND(IF(OR($Q11=1,$Q11=2),1,0),IF($X11&lt;=20,1,0))</formula>
    </cfRule>
    <cfRule type="expression" dxfId="784" priority="92">
      <formula>AND(IF($Q11=2,1,0),IF($X11&lt;30,1,0))</formula>
    </cfRule>
    <cfRule type="expression" dxfId="783" priority="93">
      <formula>AND(IF($Q11=3,1,0),IF($X11&lt;30,1,0))</formula>
    </cfRule>
    <cfRule type="expression" dxfId="782" priority="94">
      <formula>AND(IF($Q11=3,1,IF($Q11=4,1,0)),IF($F11&lt;=85,1,0))</formula>
    </cfRule>
  </conditionalFormatting>
  <conditionalFormatting sqref="AI11">
    <cfRule type="expression" dxfId="781" priority="87">
      <formula>AND(IF(OR($Q11=1,$Q11=2),1,0),IF($X11&lt;=20,1,0))</formula>
    </cfRule>
    <cfRule type="expression" dxfId="780" priority="88">
      <formula>AND(IF($Q11=2,1,0),IF($X11&lt;30,1,0))</formula>
    </cfRule>
    <cfRule type="expression" dxfId="779" priority="89">
      <formula>AND(IF($Q11=3,1,0),IF($X11&lt;30,1,0))</formula>
    </cfRule>
    <cfRule type="expression" dxfId="778" priority="90">
      <formula>AND(IF($Q11=3,1,IF($Q11=4,1,0)),IF($F11&lt;=85,1,0))</formula>
    </cfRule>
  </conditionalFormatting>
  <conditionalFormatting sqref="AV12">
    <cfRule type="expression" dxfId="777" priority="85">
      <formula>AV12="X"</formula>
    </cfRule>
    <cfRule type="expression" dxfId="776" priority="86">
      <formula>AV12="후보"</formula>
    </cfRule>
  </conditionalFormatting>
  <conditionalFormatting sqref="AC12 N12">
    <cfRule type="cellIs" dxfId="775" priority="82" operator="greaterThan">
      <formula>0.9</formula>
    </cfRule>
    <cfRule type="cellIs" dxfId="774" priority="83" operator="greaterThan">
      <formula>0.85</formula>
    </cfRule>
  </conditionalFormatting>
  <conditionalFormatting sqref="AV13">
    <cfRule type="expression" dxfId="773" priority="80">
      <formula>AV13="X"</formula>
    </cfRule>
    <cfRule type="expression" dxfId="772" priority="81">
      <formula>AV13="후보"</formula>
    </cfRule>
  </conditionalFormatting>
  <conditionalFormatting sqref="AC13">
    <cfRule type="cellIs" dxfId="771" priority="77" operator="greaterThan">
      <formula>0.9</formula>
    </cfRule>
    <cfRule type="cellIs" dxfId="770" priority="78" operator="greaterThan">
      <formula>0.85</formula>
    </cfRule>
  </conditionalFormatting>
  <conditionalFormatting sqref="N13">
    <cfRule type="cellIs" dxfId="769" priority="75" operator="greaterThan">
      <formula>0.9</formula>
    </cfRule>
    <cfRule type="cellIs" dxfId="768" priority="76" operator="greaterThan">
      <formula>0.85</formula>
    </cfRule>
  </conditionalFormatting>
  <conditionalFormatting sqref="E13">
    <cfRule type="expression" dxfId="767" priority="71">
      <formula>AND(IF(OR($Q13=1,$Q13=2),1,0),IF($X13&lt;=20,1,0))</formula>
    </cfRule>
    <cfRule type="expression" dxfId="766" priority="72">
      <formula>AND(IF($Q13=2,1,0),IF($X13&lt;30,1,0))</formula>
    </cfRule>
    <cfRule type="expression" dxfId="765" priority="73">
      <formula>AND(IF($Q13=3,1,0),IF($X13&lt;30,1,0))</formula>
    </cfRule>
    <cfRule type="expression" dxfId="764" priority="74">
      <formula>AND(IF($Q13=3,1,IF($Q13=4,1,0)),IF($F13&lt;=85,1,0))</formula>
    </cfRule>
  </conditionalFormatting>
  <conditionalFormatting sqref="X13">
    <cfRule type="expression" dxfId="763" priority="67">
      <formula>AND(IF(OR($Q13=1,$Q13=2),1,0),IF($X13&lt;=20,1,0))</formula>
    </cfRule>
    <cfRule type="expression" dxfId="762" priority="68">
      <formula>AND(IF($Q13=2,1,0),IF($X13&lt;30,1,0))</formula>
    </cfRule>
    <cfRule type="expression" dxfId="761" priority="69">
      <formula>AND(IF($Q13=3,1,0),IF($X13&lt;30,1,0))</formula>
    </cfRule>
    <cfRule type="expression" dxfId="760" priority="70">
      <formula>AND(IF($Q13=3,1,IF($Q13=4,1,0)),IF($F13&lt;=85,1,0))</formula>
    </cfRule>
  </conditionalFormatting>
  <conditionalFormatting sqref="AI13">
    <cfRule type="expression" dxfId="759" priority="63">
      <formula>AND(IF(OR($Q13=1,$Q13=2),1,0),IF($X13&lt;=20,1,0))</formula>
    </cfRule>
    <cfRule type="expression" dxfId="758" priority="64">
      <formula>AND(IF($Q13=2,1,0),IF($X13&lt;30,1,0))</formula>
    </cfRule>
    <cfRule type="expression" dxfId="757" priority="65">
      <formula>AND(IF($Q13=3,1,0),IF($X13&lt;30,1,0))</formula>
    </cfRule>
    <cfRule type="expression" dxfId="756" priority="66">
      <formula>AND(IF($Q13=3,1,IF($Q13=4,1,0)),IF($F13&lt;=85,1,0))</formula>
    </cfRule>
  </conditionalFormatting>
  <conditionalFormatting sqref="AV14">
    <cfRule type="expression" dxfId="755" priority="61">
      <formula>AV14="X"</formula>
    </cfRule>
    <cfRule type="expression" dxfId="754" priority="62">
      <formula>AV14="후보"</formula>
    </cfRule>
  </conditionalFormatting>
  <conditionalFormatting sqref="AC14 N14">
    <cfRule type="cellIs" dxfId="753" priority="58" operator="greaterThan">
      <formula>0.9</formula>
    </cfRule>
    <cfRule type="cellIs" dxfId="752" priority="59" operator="greaterThan">
      <formula>0.85</formula>
    </cfRule>
  </conditionalFormatting>
  <conditionalFormatting sqref="AV15">
    <cfRule type="expression" dxfId="751" priority="56">
      <formula>AV15="X"</formula>
    </cfRule>
    <cfRule type="expression" dxfId="750" priority="57">
      <formula>AV15="후보"</formula>
    </cfRule>
  </conditionalFormatting>
  <conditionalFormatting sqref="AC15">
    <cfRule type="cellIs" dxfId="749" priority="53" operator="greaterThan">
      <formula>0.9</formula>
    </cfRule>
    <cfRule type="cellIs" dxfId="748" priority="54" operator="greaterThan">
      <formula>0.85</formula>
    </cfRule>
  </conditionalFormatting>
  <conditionalFormatting sqref="N15">
    <cfRule type="cellIs" dxfId="747" priority="51" operator="greaterThan">
      <formula>0.9</formula>
    </cfRule>
    <cfRule type="cellIs" dxfId="746" priority="52" operator="greaterThan">
      <formula>0.85</formula>
    </cfRule>
  </conditionalFormatting>
  <conditionalFormatting sqref="E15">
    <cfRule type="expression" dxfId="745" priority="47">
      <formula>AND(IF(OR($Q15=1,$Q15=2),1,0),IF($X15&lt;=20,1,0))</formula>
    </cfRule>
    <cfRule type="expression" dxfId="744" priority="48">
      <formula>AND(IF($Q15=2,1,0),IF($X15&lt;30,1,0))</formula>
    </cfRule>
    <cfRule type="expression" dxfId="743" priority="49">
      <formula>AND(IF($Q15=3,1,0),IF($X15&lt;30,1,0))</formula>
    </cfRule>
    <cfRule type="expression" dxfId="742" priority="50">
      <formula>AND(IF($Q15=3,1,IF($Q15=4,1,0)),IF($F15&lt;=85,1,0))</formula>
    </cfRule>
  </conditionalFormatting>
  <conditionalFormatting sqref="X15">
    <cfRule type="expression" dxfId="741" priority="43">
      <formula>AND(IF(OR($Q15=1,$Q15=2),1,0),IF($X15&lt;=20,1,0))</formula>
    </cfRule>
    <cfRule type="expression" dxfId="740" priority="44">
      <formula>AND(IF($Q15=2,1,0),IF($X15&lt;30,1,0))</formula>
    </cfRule>
    <cfRule type="expression" dxfId="739" priority="45">
      <formula>AND(IF($Q15=3,1,0),IF($X15&lt;30,1,0))</formula>
    </cfRule>
    <cfRule type="expression" dxfId="738" priority="46">
      <formula>AND(IF($Q15=3,1,IF($Q15=4,1,0)),IF($F15&lt;=85,1,0))</formula>
    </cfRule>
  </conditionalFormatting>
  <conditionalFormatting sqref="AI15">
    <cfRule type="expression" dxfId="737" priority="39">
      <formula>AND(IF(OR($Q15=1,$Q15=2),1,0),IF($X15&lt;=20,1,0))</formula>
    </cfRule>
    <cfRule type="expression" dxfId="736" priority="40">
      <formula>AND(IF($Q15=2,1,0),IF($X15&lt;30,1,0))</formula>
    </cfRule>
    <cfRule type="expression" dxfId="735" priority="41">
      <formula>AND(IF($Q15=3,1,0),IF($X15&lt;30,1,0))</formula>
    </cfRule>
    <cfRule type="expression" dxfId="734" priority="42">
      <formula>AND(IF($Q15=3,1,IF($Q15=4,1,0)),IF($F15&lt;=85,1,0))</formula>
    </cfRule>
  </conditionalFormatting>
  <conditionalFormatting sqref="AV16">
    <cfRule type="expression" dxfId="733" priority="37">
      <formula>AV16="X"</formula>
    </cfRule>
    <cfRule type="expression" dxfId="732" priority="38">
      <formula>AV16="후보"</formula>
    </cfRule>
  </conditionalFormatting>
  <conditionalFormatting sqref="AC16">
    <cfRule type="cellIs" dxfId="731" priority="34" operator="greaterThan">
      <formula>0.9</formula>
    </cfRule>
    <cfRule type="cellIs" dxfId="730" priority="35" operator="greaterThan">
      <formula>0.85</formula>
    </cfRule>
  </conditionalFormatting>
  <conditionalFormatting sqref="N16">
    <cfRule type="cellIs" dxfId="729" priority="32" operator="greaterThan">
      <formula>0.9</formula>
    </cfRule>
    <cfRule type="cellIs" dxfId="728" priority="33" operator="greaterThan">
      <formula>0.85</formula>
    </cfRule>
  </conditionalFormatting>
  <conditionalFormatting sqref="E16">
    <cfRule type="expression" dxfId="727" priority="28">
      <formula>AND(IF(OR($Q16=1,$Q16=2),1,0),IF($X16&lt;=20,1,0))</formula>
    </cfRule>
    <cfRule type="expression" dxfId="726" priority="29">
      <formula>AND(IF($Q16=2,1,0),IF($X16&lt;30,1,0))</formula>
    </cfRule>
    <cfRule type="expression" dxfId="725" priority="30">
      <formula>AND(IF($Q16=3,1,0),IF($X16&lt;30,1,0))</formula>
    </cfRule>
    <cfRule type="expression" dxfId="724" priority="31">
      <formula>AND(IF($Q16=3,1,IF($Q16=4,1,0)),IF($F16&lt;=85,1,0))</formula>
    </cfRule>
  </conditionalFormatting>
  <conditionalFormatting sqref="X16">
    <cfRule type="expression" dxfId="723" priority="24">
      <formula>AND(IF(OR($Q16=1,$Q16=2),1,0),IF($X16&lt;=20,1,0))</formula>
    </cfRule>
    <cfRule type="expression" dxfId="722" priority="25">
      <formula>AND(IF($Q16=2,1,0),IF($X16&lt;30,1,0))</formula>
    </cfRule>
    <cfRule type="expression" dxfId="721" priority="26">
      <formula>AND(IF($Q16=3,1,0),IF($X16&lt;30,1,0))</formula>
    </cfRule>
    <cfRule type="expression" dxfId="720" priority="27">
      <formula>AND(IF($Q16=3,1,IF($Q16=4,1,0)),IF($F16&lt;=85,1,0))</formula>
    </cfRule>
  </conditionalFormatting>
  <conditionalFormatting sqref="AI16">
    <cfRule type="expression" dxfId="719" priority="20">
      <formula>AND(IF(OR($Q16=1,$Q16=2),1,0),IF($X16&lt;=20,1,0))</formula>
    </cfRule>
    <cfRule type="expression" dxfId="718" priority="21">
      <formula>AND(IF($Q16=2,1,0),IF($X16&lt;30,1,0))</formula>
    </cfRule>
    <cfRule type="expression" dxfId="717" priority="22">
      <formula>AND(IF($Q16=3,1,0),IF($X16&lt;30,1,0))</formula>
    </cfRule>
    <cfRule type="expression" dxfId="716" priority="23">
      <formula>AND(IF($Q16=3,1,IF($Q16=4,1,0)),IF($F16&lt;=85,1,0))</formula>
    </cfRule>
  </conditionalFormatting>
  <conditionalFormatting sqref="AV17">
    <cfRule type="expression" dxfId="715" priority="18">
      <formula>AV17="X"</formula>
    </cfRule>
    <cfRule type="expression" dxfId="714" priority="19">
      <formula>AV17="후보"</formula>
    </cfRule>
  </conditionalFormatting>
  <conditionalFormatting sqref="AC17">
    <cfRule type="cellIs" dxfId="713" priority="15" operator="greaterThan">
      <formula>0.9</formula>
    </cfRule>
    <cfRule type="cellIs" dxfId="712" priority="16" operator="greaterThan">
      <formula>0.85</formula>
    </cfRule>
  </conditionalFormatting>
  <conditionalFormatting sqref="N17">
    <cfRule type="cellIs" dxfId="711" priority="13" operator="greaterThan">
      <formula>0.9</formula>
    </cfRule>
    <cfRule type="cellIs" dxfId="710" priority="14" operator="greaterThan">
      <formula>0.85</formula>
    </cfRule>
  </conditionalFormatting>
  <conditionalFormatting sqref="E17">
    <cfRule type="expression" dxfId="709" priority="9">
      <formula>AND(IF(OR($Q17=1,$Q17=2),1,0),IF($X17&lt;=20,1,0))</formula>
    </cfRule>
    <cfRule type="expression" dxfId="708" priority="10">
      <formula>AND(IF($Q17=2,1,0),IF($X17&lt;30,1,0))</formula>
    </cfRule>
    <cfRule type="expression" dxfId="707" priority="11">
      <formula>AND(IF($Q17=3,1,0),IF($X17&lt;30,1,0))</formula>
    </cfRule>
    <cfRule type="expression" dxfId="706" priority="12">
      <formula>AND(IF($Q17=3,1,IF($Q17=4,1,0)),IF($F17&lt;=85,1,0))</formula>
    </cfRule>
  </conditionalFormatting>
  <conditionalFormatting sqref="X17">
    <cfRule type="expression" dxfId="705" priority="5">
      <formula>AND(IF(OR($Q17=1,$Q17=2),1,0),IF($X17&lt;=20,1,0))</formula>
    </cfRule>
    <cfRule type="expression" dxfId="704" priority="6">
      <formula>AND(IF($Q17=2,1,0),IF($X17&lt;30,1,0))</formula>
    </cfRule>
    <cfRule type="expression" dxfId="703" priority="7">
      <formula>AND(IF($Q17=3,1,0),IF($X17&lt;30,1,0))</formula>
    </cfRule>
    <cfRule type="expression" dxfId="702" priority="8">
      <formula>AND(IF($Q17=3,1,IF($Q17=4,1,0)),IF($F17&lt;=85,1,0))</formula>
    </cfRule>
  </conditionalFormatting>
  <conditionalFormatting sqref="AI17">
    <cfRule type="expression" dxfId="701" priority="1">
      <formula>AND(IF(OR($Q17=1,$Q17=2),1,0),IF($X17&lt;=20,1,0))</formula>
    </cfRule>
    <cfRule type="expression" dxfId="700" priority="2">
      <formula>AND(IF($Q17=2,1,0),IF($X17&lt;30,1,0))</formula>
    </cfRule>
    <cfRule type="expression" dxfId="699" priority="3">
      <formula>AND(IF($Q17=3,1,0),IF($X17&lt;30,1,0))</formula>
    </cfRule>
    <cfRule type="expression" dxfId="698" priority="4">
      <formula>AND(IF($Q17=3,1,IF($Q17=4,1,0)),IF($F17&lt;=85,1,0))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I29" sqref="I29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풍호동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 t="shared" ref="AI3:AI48" si="0"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768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 t="shared" si="0"/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풍호동 경동윈츠빌('04.05.,248^)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 t="shared" ref="AH5:AH48" si="1">IF(A5="","",A5)</f>
        <v/>
      </c>
      <c r="AI5" s="103" t="str">
        <f t="shared" si="0"/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770</v>
      </c>
      <c r="B6" s="10" t="s">
        <v>932</v>
      </c>
      <c r="C6" s="107">
        <v>248</v>
      </c>
      <c r="D6" s="104">
        <v>109</v>
      </c>
      <c r="E6" s="106">
        <v>33</v>
      </c>
      <c r="F6" s="104">
        <v>84.4</v>
      </c>
      <c r="G6" s="17">
        <v>26</v>
      </c>
      <c r="H6" s="107">
        <v>160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869</v>
      </c>
      <c r="T6" s="5">
        <v>109</v>
      </c>
      <c r="U6" s="9"/>
      <c r="W6" s="104">
        <f>D6</f>
        <v>109</v>
      </c>
      <c r="X6" s="106">
        <f>E6</f>
        <v>33</v>
      </c>
      <c r="Y6" s="102">
        <f>H6</f>
        <v>160</v>
      </c>
      <c r="Z6" s="109">
        <f>I6</f>
        <v>0</v>
      </c>
      <c r="AA6" s="109">
        <f>K6</f>
        <v>0</v>
      </c>
      <c r="AB6" s="109">
        <f t="shared" ref="AB6:AD7" si="2">M6</f>
        <v>0</v>
      </c>
      <c r="AC6" s="4" t="str">
        <f t="shared" si="2"/>
        <v/>
      </c>
      <c r="AD6" s="105">
        <f t="shared" si="2"/>
        <v>0</v>
      </c>
      <c r="AE6" s="75" t="str">
        <f>S6</f>
        <v>계</v>
      </c>
      <c r="AF6" s="75" t="str">
        <f>Q6&amp;"/"&amp;R6</f>
        <v>3/2</v>
      </c>
      <c r="AH6" s="20" t="str">
        <f t="shared" si="1"/>
        <v>경동윈츠빌</v>
      </c>
      <c r="AI6" s="106">
        <f t="shared" si="0"/>
        <v>33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X</v>
      </c>
      <c r="AV6" s="75" t="str">
        <f>IF(AO6="","",IF(AND(AO6="O",AP6="O",AR6="O",AT6="O",AU6="O"),"후보","X"))</f>
        <v/>
      </c>
    </row>
    <row r="7" spans="1:48" x14ac:dyDescent="0.3">
      <c r="A7" s="9" t="s">
        <v>770</v>
      </c>
      <c r="B7" s="10" t="s">
        <v>932</v>
      </c>
      <c r="C7" s="107">
        <v>248</v>
      </c>
      <c r="D7" s="104">
        <v>139.5</v>
      </c>
      <c r="E7" s="106">
        <v>42</v>
      </c>
      <c r="F7" s="104">
        <v>115.9</v>
      </c>
      <c r="G7" s="17">
        <v>35</v>
      </c>
      <c r="H7" s="107">
        <v>88</v>
      </c>
      <c r="I7" s="108"/>
      <c r="J7" s="108"/>
      <c r="K7" s="108"/>
      <c r="L7" s="108"/>
      <c r="M7" s="109">
        <f>I7-K7</f>
        <v>0</v>
      </c>
      <c r="N7" s="4" t="str">
        <f>IF(ISERROR(K7/I7),"",K7/I7)</f>
        <v/>
      </c>
      <c r="O7" s="105">
        <f>I7/E7</f>
        <v>0</v>
      </c>
      <c r="P7" s="105">
        <f>K7/E7</f>
        <v>0</v>
      </c>
      <c r="Q7" s="75">
        <v>3</v>
      </c>
      <c r="R7" s="75">
        <v>2</v>
      </c>
      <c r="S7" s="75" t="s">
        <v>869</v>
      </c>
      <c r="T7" s="5">
        <v>139</v>
      </c>
      <c r="U7" s="9"/>
      <c r="W7" s="104">
        <f>D7</f>
        <v>139.5</v>
      </c>
      <c r="X7" s="106">
        <f>E7</f>
        <v>42</v>
      </c>
      <c r="Y7" s="102">
        <f>H7</f>
        <v>88</v>
      </c>
      <c r="Z7" s="109">
        <f>I7</f>
        <v>0</v>
      </c>
      <c r="AA7" s="109">
        <f>K7</f>
        <v>0</v>
      </c>
      <c r="AB7" s="109">
        <f t="shared" si="2"/>
        <v>0</v>
      </c>
      <c r="AC7" s="4" t="str">
        <f t="shared" si="2"/>
        <v/>
      </c>
      <c r="AD7" s="105">
        <f t="shared" si="2"/>
        <v>0</v>
      </c>
      <c r="AE7" s="75" t="str">
        <f>S7</f>
        <v>계</v>
      </c>
      <c r="AF7" s="75" t="str">
        <f>Q7&amp;"/"&amp;R7</f>
        <v>3/2</v>
      </c>
      <c r="AH7" s="20" t="str">
        <f t="shared" si="1"/>
        <v>경동윈츠빌</v>
      </c>
      <c r="AI7" s="106">
        <f t="shared" si="0"/>
        <v>42</v>
      </c>
      <c r="AJ7" s="75" t="str">
        <f>IF(AI7="","",$AJ$2)</f>
        <v>A-</v>
      </c>
      <c r="AK7" s="75" t="s">
        <v>14</v>
      </c>
      <c r="AL7" s="75" t="s">
        <v>870</v>
      </c>
      <c r="AM7" s="75" t="s">
        <v>871</v>
      </c>
      <c r="AN7" s="75" t="str">
        <f>IF(AI7="","",$AN$2)</f>
        <v>C</v>
      </c>
      <c r="AO7" s="75" t="str">
        <f>IF(N7="","",IF(N7&gt;=$AO$1/100,"O","X"))</f>
        <v/>
      </c>
      <c r="AP7" s="75" t="str">
        <f>IF(I7="","",IF(I7&lt;=$AP$1,"O","X"))</f>
        <v/>
      </c>
      <c r="AQ7" s="75" t="str">
        <f>IF(O7="","",IF(O7&lt;=$AQ$1,"O","X"))</f>
        <v>O</v>
      </c>
      <c r="AR7" s="75" t="str">
        <f>IF(M7="","",IF(M7&lt;=$AR$1,"O","X"))</f>
        <v>O</v>
      </c>
      <c r="AS7" s="75" t="s">
        <v>2</v>
      </c>
      <c r="AT7" s="75" t="str">
        <f>IF(OR(F7="",AI7=""),"",IF(AND((F7&lt;=85),(AI7&gt;=15)),"O","X"))</f>
        <v>X</v>
      </c>
      <c r="AU7" s="75" t="str">
        <f>IF(C7="","",IF(C7&gt;=$AU$1,"O","X"))</f>
        <v>X</v>
      </c>
      <c r="AV7" s="75" t="str">
        <f>IF(AO7="","",IF(AND(AO7="O",AP7="O",AR7="O",AT7="O",AU7="O"),"후보","X"))</f>
        <v/>
      </c>
    </row>
    <row r="8" spans="1:48" x14ac:dyDescent="0.3">
      <c r="A8" s="9"/>
      <c r="B8" s="75"/>
      <c r="C8" s="6"/>
      <c r="D8" s="9"/>
      <c r="E8" s="14"/>
      <c r="F8" s="104"/>
      <c r="G8" s="9"/>
      <c r="H8" s="9"/>
      <c r="I8" s="9"/>
      <c r="J8" s="9"/>
      <c r="K8" s="9"/>
      <c r="L8" s="9"/>
      <c r="M8" s="9"/>
      <c r="N8" s="9"/>
      <c r="O8" s="105"/>
      <c r="P8" s="105"/>
      <c r="Q8" s="106"/>
      <c r="R8" s="106"/>
      <c r="S8" s="9"/>
      <c r="T8" s="48"/>
      <c r="U8" s="9"/>
      <c r="W8" s="70" t="str">
        <f>$A$4&amp;" "&amp;A9&amp;"("&amp;B9&amp;","&amp;C9&amp;"^)"</f>
        <v>풍호동 창원마린푸르지오1단지('15.10.,1822^)</v>
      </c>
      <c r="X8" s="71"/>
      <c r="Y8" s="71"/>
      <c r="Z8" s="71"/>
      <c r="AA8" s="71"/>
      <c r="AB8" s="71"/>
      <c r="AC8" s="71"/>
      <c r="AD8" s="71"/>
      <c r="AE8" s="71"/>
      <c r="AF8" s="72"/>
      <c r="AH8" s="20" t="str">
        <f t="shared" si="1"/>
        <v/>
      </c>
      <c r="AI8" s="103" t="str">
        <f t="shared" si="0"/>
        <v/>
      </c>
      <c r="AJ8" s="75"/>
      <c r="AK8" s="75"/>
      <c r="AL8" s="75"/>
      <c r="AM8" s="75"/>
      <c r="AN8" s="75"/>
      <c r="AO8" s="75"/>
      <c r="AP8" s="75"/>
      <c r="AQ8" s="75"/>
      <c r="AR8" s="75"/>
      <c r="AS8" s="75"/>
      <c r="AT8" s="75"/>
      <c r="AU8" s="75"/>
      <c r="AV8" s="75"/>
    </row>
    <row r="9" spans="1:48" x14ac:dyDescent="0.3">
      <c r="A9" s="9" t="s">
        <v>775</v>
      </c>
      <c r="B9" s="10" t="s">
        <v>933</v>
      </c>
      <c r="C9" s="107">
        <v>1822</v>
      </c>
      <c r="D9" s="104">
        <v>81.400000000000006</v>
      </c>
      <c r="E9" s="106">
        <v>25</v>
      </c>
      <c r="F9" s="104">
        <v>60</v>
      </c>
      <c r="G9" s="17">
        <v>18</v>
      </c>
      <c r="H9" s="107">
        <v>124</v>
      </c>
      <c r="I9" s="108">
        <v>33000</v>
      </c>
      <c r="J9" s="108" t="s">
        <v>934</v>
      </c>
      <c r="K9" s="108"/>
      <c r="L9" s="108"/>
      <c r="M9" s="109">
        <f t="shared" ref="M9:M21" si="3">I9-K9</f>
        <v>33000</v>
      </c>
      <c r="N9" s="4">
        <f t="shared" ref="N9:N21" si="4">IF(ISERROR(K9/I9),"",K9/I9)</f>
        <v>0</v>
      </c>
      <c r="O9" s="105">
        <f t="shared" ref="O9:O21" si="5">I9/E9</f>
        <v>1320</v>
      </c>
      <c r="P9" s="105">
        <f t="shared" ref="P9:P21" si="6">K9/E9</f>
        <v>0</v>
      </c>
      <c r="Q9" s="75">
        <v>3</v>
      </c>
      <c r="R9" s="75">
        <v>2</v>
      </c>
      <c r="S9" s="75" t="s">
        <v>869</v>
      </c>
      <c r="T9" s="5">
        <v>81</v>
      </c>
      <c r="U9" s="9"/>
      <c r="W9" s="104">
        <f t="shared" ref="W9:W21" si="7">D9</f>
        <v>81.400000000000006</v>
      </c>
      <c r="X9" s="106">
        <f t="shared" ref="X9:X21" si="8">E9</f>
        <v>25</v>
      </c>
      <c r="Y9" s="102">
        <f t="shared" ref="Y9:Y21" si="9">H9</f>
        <v>124</v>
      </c>
      <c r="Z9" s="109">
        <f t="shared" ref="Z9:Z21" si="10">I9</f>
        <v>33000</v>
      </c>
      <c r="AA9" s="109">
        <f t="shared" ref="AA9:AA21" si="11">K9</f>
        <v>0</v>
      </c>
      <c r="AB9" s="109">
        <f t="shared" ref="AB9:AB21" si="12">M9</f>
        <v>33000</v>
      </c>
      <c r="AC9" s="4">
        <f t="shared" ref="AC9:AC21" si="13">N9</f>
        <v>0</v>
      </c>
      <c r="AD9" s="105">
        <f t="shared" ref="AD9:AD21" si="14">O9</f>
        <v>1320</v>
      </c>
      <c r="AE9" s="75" t="str">
        <f t="shared" ref="AE9:AE21" si="15">S9</f>
        <v>계</v>
      </c>
      <c r="AF9" s="75" t="str">
        <f t="shared" ref="AF9:AF21" si="16">Q9&amp;"/"&amp;R9</f>
        <v>3/2</v>
      </c>
      <c r="AH9" s="20" t="str">
        <f t="shared" si="1"/>
        <v>창원마린푸르지오1단지</v>
      </c>
      <c r="AI9" s="106">
        <f t="shared" si="0"/>
        <v>25</v>
      </c>
      <c r="AJ9" s="75" t="str">
        <f t="shared" ref="AJ9:AJ21" si="17">IF(AI9="","",$AJ$2)</f>
        <v>A-</v>
      </c>
      <c r="AK9" s="75" t="s">
        <v>14</v>
      </c>
      <c r="AL9" s="75" t="s">
        <v>870</v>
      </c>
      <c r="AM9" s="75" t="s">
        <v>871</v>
      </c>
      <c r="AN9" s="75" t="str">
        <f t="shared" ref="AN9:AN21" si="18">IF(AI9="","",$AN$2)</f>
        <v>C</v>
      </c>
      <c r="AO9" s="75" t="str">
        <f t="shared" ref="AO9:AO21" si="19">IF(N9="","",IF(N9&gt;=$AO$1/100,"O","X"))</f>
        <v>X</v>
      </c>
      <c r="AP9" s="75" t="str">
        <f t="shared" ref="AP9:AP21" si="20">IF(I9="","",IF(I9&lt;=$AP$1,"O","X"))</f>
        <v>O</v>
      </c>
      <c r="AQ9" s="75" t="str">
        <f t="shared" ref="AQ9:AQ21" si="21">IF(O9="","",IF(O9&lt;=$AQ$1,"O","X"))</f>
        <v>X</v>
      </c>
      <c r="AR9" s="75" t="str">
        <f t="shared" ref="AR9:AR21" si="22">IF(M9="","",IF(M9&lt;=$AR$1,"O","X"))</f>
        <v>X</v>
      </c>
      <c r="AS9" s="75" t="s">
        <v>2</v>
      </c>
      <c r="AT9" s="75" t="str">
        <f t="shared" ref="AT9:AT21" si="23">IF(OR(F9="",AI9=""),"",IF(AND((F9&lt;=85),(AI9&gt;=15)),"O","X"))</f>
        <v>O</v>
      </c>
      <c r="AU9" s="75" t="str">
        <f t="shared" ref="AU9:AU21" si="24">IF(C9="","",IF(C9&gt;=$AU$1,"O","X"))</f>
        <v>O</v>
      </c>
      <c r="AV9" s="75" t="str">
        <f t="shared" ref="AV9:AV21" si="25">IF(AO9="","",IF(AND(AO9="O",AP9="O",AR9="O",AT9="O",AU9="O"),"후보","X"))</f>
        <v>X</v>
      </c>
    </row>
    <row r="10" spans="1:48" x14ac:dyDescent="0.3">
      <c r="A10" s="9" t="s">
        <v>775</v>
      </c>
      <c r="B10" s="10" t="s">
        <v>933</v>
      </c>
      <c r="C10" s="107">
        <v>1822</v>
      </c>
      <c r="D10" s="104">
        <v>89.1</v>
      </c>
      <c r="E10" s="106">
        <v>27</v>
      </c>
      <c r="F10" s="104">
        <v>66</v>
      </c>
      <c r="G10" s="17">
        <v>20</v>
      </c>
      <c r="H10" s="107">
        <v>15</v>
      </c>
      <c r="I10" s="108"/>
      <c r="J10" s="108"/>
      <c r="K10" s="108"/>
      <c r="L10" s="108"/>
      <c r="M10" s="109">
        <f t="shared" si="3"/>
        <v>0</v>
      </c>
      <c r="N10" s="4" t="str">
        <f t="shared" si="4"/>
        <v/>
      </c>
      <c r="O10" s="105">
        <f t="shared" si="5"/>
        <v>0</v>
      </c>
      <c r="P10" s="105">
        <f t="shared" si="6"/>
        <v>0</v>
      </c>
      <c r="Q10" s="75">
        <v>3</v>
      </c>
      <c r="R10" s="75">
        <v>2</v>
      </c>
      <c r="S10" s="75" t="s">
        <v>869</v>
      </c>
      <c r="T10" s="5">
        <v>89</v>
      </c>
      <c r="U10" s="9"/>
      <c r="W10" s="104">
        <f t="shared" si="7"/>
        <v>89.1</v>
      </c>
      <c r="X10" s="106">
        <f t="shared" si="8"/>
        <v>27</v>
      </c>
      <c r="Y10" s="102">
        <f t="shared" si="9"/>
        <v>15</v>
      </c>
      <c r="Z10" s="109">
        <f t="shared" si="10"/>
        <v>0</v>
      </c>
      <c r="AA10" s="109">
        <f t="shared" si="11"/>
        <v>0</v>
      </c>
      <c r="AB10" s="109">
        <f t="shared" si="12"/>
        <v>0</v>
      </c>
      <c r="AC10" s="4" t="str">
        <f t="shared" si="13"/>
        <v/>
      </c>
      <c r="AD10" s="105">
        <f t="shared" si="14"/>
        <v>0</v>
      </c>
      <c r="AE10" s="75" t="str">
        <f t="shared" si="15"/>
        <v>계</v>
      </c>
      <c r="AF10" s="75" t="str">
        <f t="shared" si="16"/>
        <v>3/2</v>
      </c>
      <c r="AH10" s="20" t="str">
        <f t="shared" si="1"/>
        <v>창원마린푸르지오1단지</v>
      </c>
      <c r="AI10" s="106">
        <f t="shared" si="0"/>
        <v>27</v>
      </c>
      <c r="AJ10" s="75" t="str">
        <f t="shared" si="17"/>
        <v>A-</v>
      </c>
      <c r="AK10" s="75" t="s">
        <v>14</v>
      </c>
      <c r="AL10" s="75" t="s">
        <v>870</v>
      </c>
      <c r="AM10" s="75" t="s">
        <v>871</v>
      </c>
      <c r="AN10" s="75" t="str">
        <f t="shared" si="18"/>
        <v>C</v>
      </c>
      <c r="AO10" s="75" t="str">
        <f t="shared" si="19"/>
        <v/>
      </c>
      <c r="AP10" s="75" t="str">
        <f t="shared" si="20"/>
        <v/>
      </c>
      <c r="AQ10" s="75" t="str">
        <f t="shared" si="21"/>
        <v>O</v>
      </c>
      <c r="AR10" s="75" t="str">
        <f t="shared" si="22"/>
        <v>O</v>
      </c>
      <c r="AS10" s="75" t="s">
        <v>2</v>
      </c>
      <c r="AT10" s="75" t="str">
        <f t="shared" si="23"/>
        <v>O</v>
      </c>
      <c r="AU10" s="75" t="str">
        <f t="shared" si="24"/>
        <v>O</v>
      </c>
      <c r="AV10" s="75" t="str">
        <f t="shared" si="25"/>
        <v/>
      </c>
    </row>
    <row r="11" spans="1:48" x14ac:dyDescent="0.3">
      <c r="A11" s="9" t="s">
        <v>775</v>
      </c>
      <c r="B11" s="10" t="s">
        <v>933</v>
      </c>
      <c r="C11" s="107">
        <v>1822</v>
      </c>
      <c r="D11" s="104">
        <v>98</v>
      </c>
      <c r="E11" s="106">
        <v>30</v>
      </c>
      <c r="F11" s="104">
        <v>73</v>
      </c>
      <c r="G11" s="17">
        <v>22</v>
      </c>
      <c r="H11" s="107">
        <v>42</v>
      </c>
      <c r="I11" s="108">
        <v>36500</v>
      </c>
      <c r="J11" s="108" t="s">
        <v>878</v>
      </c>
      <c r="K11" s="108">
        <v>27000</v>
      </c>
      <c r="L11" s="108" t="s">
        <v>868</v>
      </c>
      <c r="M11" s="109">
        <f t="shared" si="3"/>
        <v>9500</v>
      </c>
      <c r="N11" s="4">
        <f t="shared" si="4"/>
        <v>0.73972602739726023</v>
      </c>
      <c r="O11" s="105">
        <f t="shared" si="5"/>
        <v>1216.6666666666667</v>
      </c>
      <c r="P11" s="105">
        <f t="shared" si="6"/>
        <v>900</v>
      </c>
      <c r="Q11" s="75">
        <v>3</v>
      </c>
      <c r="R11" s="75">
        <v>2</v>
      </c>
      <c r="S11" s="75" t="s">
        <v>869</v>
      </c>
      <c r="T11" s="5" t="s">
        <v>780</v>
      </c>
      <c r="U11" s="9"/>
      <c r="W11" s="104">
        <f t="shared" si="7"/>
        <v>98</v>
      </c>
      <c r="X11" s="106">
        <f t="shared" si="8"/>
        <v>30</v>
      </c>
      <c r="Y11" s="102">
        <f t="shared" si="9"/>
        <v>42</v>
      </c>
      <c r="Z11" s="109">
        <f t="shared" si="10"/>
        <v>36500</v>
      </c>
      <c r="AA11" s="109">
        <f t="shared" si="11"/>
        <v>27000</v>
      </c>
      <c r="AB11" s="109">
        <f t="shared" si="12"/>
        <v>9500</v>
      </c>
      <c r="AC11" s="4">
        <f t="shared" si="13"/>
        <v>0.73972602739726023</v>
      </c>
      <c r="AD11" s="105">
        <f t="shared" si="14"/>
        <v>1216.6666666666667</v>
      </c>
      <c r="AE11" s="75" t="str">
        <f t="shared" si="15"/>
        <v>계</v>
      </c>
      <c r="AF11" s="75" t="str">
        <f t="shared" si="16"/>
        <v>3/2</v>
      </c>
      <c r="AH11" s="20" t="str">
        <f t="shared" si="1"/>
        <v>창원마린푸르지오1단지</v>
      </c>
      <c r="AI11" s="106">
        <f t="shared" si="0"/>
        <v>30</v>
      </c>
      <c r="AJ11" s="75" t="str">
        <f t="shared" si="17"/>
        <v>A-</v>
      </c>
      <c r="AK11" s="75" t="s">
        <v>14</v>
      </c>
      <c r="AL11" s="75" t="s">
        <v>870</v>
      </c>
      <c r="AM11" s="75" t="s">
        <v>871</v>
      </c>
      <c r="AN11" s="75" t="str">
        <f t="shared" si="18"/>
        <v>C</v>
      </c>
      <c r="AO11" s="75" t="str">
        <f t="shared" si="19"/>
        <v>X</v>
      </c>
      <c r="AP11" s="75" t="str">
        <f t="shared" si="20"/>
        <v>O</v>
      </c>
      <c r="AQ11" s="75" t="str">
        <f t="shared" si="21"/>
        <v>X</v>
      </c>
      <c r="AR11" s="75" t="str">
        <f t="shared" si="22"/>
        <v>X</v>
      </c>
      <c r="AS11" s="75" t="s">
        <v>2</v>
      </c>
      <c r="AT11" s="75" t="str">
        <f t="shared" si="23"/>
        <v>O</v>
      </c>
      <c r="AU11" s="75" t="str">
        <f t="shared" si="24"/>
        <v>O</v>
      </c>
      <c r="AV11" s="75" t="str">
        <f t="shared" si="25"/>
        <v>X</v>
      </c>
    </row>
    <row r="12" spans="1:48" x14ac:dyDescent="0.3">
      <c r="A12" s="9" t="s">
        <v>775</v>
      </c>
      <c r="B12" s="10" t="s">
        <v>933</v>
      </c>
      <c r="C12" s="107">
        <v>1822</v>
      </c>
      <c r="D12" s="104">
        <v>98.3</v>
      </c>
      <c r="E12" s="106">
        <v>30</v>
      </c>
      <c r="F12" s="104">
        <v>73</v>
      </c>
      <c r="G12" s="17">
        <v>22</v>
      </c>
      <c r="H12" s="107">
        <v>201</v>
      </c>
      <c r="I12" s="108"/>
      <c r="J12" s="108"/>
      <c r="K12" s="108"/>
      <c r="L12" s="108"/>
      <c r="M12" s="109">
        <f t="shared" si="3"/>
        <v>0</v>
      </c>
      <c r="N12" s="4" t="str">
        <f t="shared" si="4"/>
        <v/>
      </c>
      <c r="O12" s="105">
        <f t="shared" si="5"/>
        <v>0</v>
      </c>
      <c r="P12" s="105">
        <f t="shared" si="6"/>
        <v>0</v>
      </c>
      <c r="Q12" s="75">
        <v>3</v>
      </c>
      <c r="R12" s="75">
        <v>2</v>
      </c>
      <c r="S12" s="75" t="s">
        <v>869</v>
      </c>
      <c r="T12" s="5" t="s">
        <v>119</v>
      </c>
      <c r="U12" s="9"/>
      <c r="W12" s="104">
        <f t="shared" si="7"/>
        <v>98.3</v>
      </c>
      <c r="X12" s="106">
        <f t="shared" si="8"/>
        <v>30</v>
      </c>
      <c r="Y12" s="102">
        <f t="shared" si="9"/>
        <v>201</v>
      </c>
      <c r="Z12" s="109">
        <f t="shared" si="10"/>
        <v>0</v>
      </c>
      <c r="AA12" s="109">
        <f t="shared" si="11"/>
        <v>0</v>
      </c>
      <c r="AB12" s="109">
        <f t="shared" si="12"/>
        <v>0</v>
      </c>
      <c r="AC12" s="4" t="str">
        <f t="shared" si="13"/>
        <v/>
      </c>
      <c r="AD12" s="105">
        <f t="shared" si="14"/>
        <v>0</v>
      </c>
      <c r="AE12" s="75" t="str">
        <f t="shared" si="15"/>
        <v>계</v>
      </c>
      <c r="AF12" s="75" t="str">
        <f t="shared" si="16"/>
        <v>3/2</v>
      </c>
      <c r="AH12" s="20" t="str">
        <f t="shared" si="1"/>
        <v>창원마린푸르지오1단지</v>
      </c>
      <c r="AI12" s="106">
        <f t="shared" si="0"/>
        <v>30</v>
      </c>
      <c r="AJ12" s="75" t="str">
        <f t="shared" si="17"/>
        <v>A-</v>
      </c>
      <c r="AK12" s="75" t="s">
        <v>14</v>
      </c>
      <c r="AL12" s="75" t="s">
        <v>870</v>
      </c>
      <c r="AM12" s="75" t="s">
        <v>871</v>
      </c>
      <c r="AN12" s="75" t="str">
        <f t="shared" si="18"/>
        <v>C</v>
      </c>
      <c r="AO12" s="75" t="str">
        <f t="shared" si="19"/>
        <v/>
      </c>
      <c r="AP12" s="75" t="str">
        <f t="shared" si="20"/>
        <v/>
      </c>
      <c r="AQ12" s="75" t="str">
        <f t="shared" si="21"/>
        <v>O</v>
      </c>
      <c r="AR12" s="75" t="str">
        <f t="shared" si="22"/>
        <v>O</v>
      </c>
      <c r="AS12" s="75" t="s">
        <v>2</v>
      </c>
      <c r="AT12" s="75" t="str">
        <f t="shared" si="23"/>
        <v>O</v>
      </c>
      <c r="AU12" s="75" t="str">
        <f t="shared" si="24"/>
        <v>O</v>
      </c>
      <c r="AV12" s="75" t="str">
        <f t="shared" si="25"/>
        <v/>
      </c>
    </row>
    <row r="13" spans="1:48" x14ac:dyDescent="0.3">
      <c r="A13" s="9" t="s">
        <v>775</v>
      </c>
      <c r="B13" s="10" t="s">
        <v>933</v>
      </c>
      <c r="C13" s="107">
        <v>1822</v>
      </c>
      <c r="D13" s="104">
        <v>98.7</v>
      </c>
      <c r="E13" s="106">
        <v>30</v>
      </c>
      <c r="F13" s="104">
        <v>73</v>
      </c>
      <c r="G13" s="17">
        <v>22</v>
      </c>
      <c r="H13" s="107">
        <v>92</v>
      </c>
      <c r="I13" s="108"/>
      <c r="J13" s="108"/>
      <c r="K13" s="108"/>
      <c r="L13" s="108"/>
      <c r="M13" s="109">
        <f t="shared" si="3"/>
        <v>0</v>
      </c>
      <c r="N13" s="4" t="str">
        <f t="shared" si="4"/>
        <v/>
      </c>
      <c r="O13" s="105">
        <f t="shared" si="5"/>
        <v>0</v>
      </c>
      <c r="P13" s="105">
        <f t="shared" si="6"/>
        <v>0</v>
      </c>
      <c r="Q13" s="75">
        <v>3</v>
      </c>
      <c r="R13" s="75">
        <v>2</v>
      </c>
      <c r="S13" s="75" t="s">
        <v>869</v>
      </c>
      <c r="T13" s="5" t="s">
        <v>118</v>
      </c>
      <c r="U13" s="9"/>
      <c r="W13" s="104">
        <f t="shared" si="7"/>
        <v>98.7</v>
      </c>
      <c r="X13" s="106">
        <f t="shared" si="8"/>
        <v>30</v>
      </c>
      <c r="Y13" s="102">
        <f t="shared" si="9"/>
        <v>92</v>
      </c>
      <c r="Z13" s="109">
        <f t="shared" si="10"/>
        <v>0</v>
      </c>
      <c r="AA13" s="109">
        <f t="shared" si="11"/>
        <v>0</v>
      </c>
      <c r="AB13" s="109">
        <f t="shared" si="12"/>
        <v>0</v>
      </c>
      <c r="AC13" s="4" t="str">
        <f t="shared" si="13"/>
        <v/>
      </c>
      <c r="AD13" s="105">
        <f t="shared" si="14"/>
        <v>0</v>
      </c>
      <c r="AE13" s="75" t="str">
        <f t="shared" si="15"/>
        <v>계</v>
      </c>
      <c r="AF13" s="75" t="str">
        <f t="shared" si="16"/>
        <v>3/2</v>
      </c>
      <c r="AH13" s="20" t="str">
        <f t="shared" si="1"/>
        <v>창원마린푸르지오1단지</v>
      </c>
      <c r="AI13" s="106">
        <f t="shared" si="0"/>
        <v>30</v>
      </c>
      <c r="AJ13" s="75" t="str">
        <f t="shared" si="17"/>
        <v>A-</v>
      </c>
      <c r="AK13" s="75" t="s">
        <v>14</v>
      </c>
      <c r="AL13" s="75" t="s">
        <v>870</v>
      </c>
      <c r="AM13" s="75" t="s">
        <v>871</v>
      </c>
      <c r="AN13" s="75" t="str">
        <f t="shared" si="18"/>
        <v>C</v>
      </c>
      <c r="AO13" s="75" t="str">
        <f t="shared" si="19"/>
        <v/>
      </c>
      <c r="AP13" s="75" t="str">
        <f t="shared" si="20"/>
        <v/>
      </c>
      <c r="AQ13" s="75" t="str">
        <f t="shared" si="21"/>
        <v>O</v>
      </c>
      <c r="AR13" s="75" t="str">
        <f t="shared" si="22"/>
        <v>O</v>
      </c>
      <c r="AS13" s="75" t="s">
        <v>2</v>
      </c>
      <c r="AT13" s="75" t="str">
        <f t="shared" si="23"/>
        <v>O</v>
      </c>
      <c r="AU13" s="75" t="str">
        <f t="shared" si="24"/>
        <v>O</v>
      </c>
      <c r="AV13" s="75" t="str">
        <f t="shared" si="25"/>
        <v/>
      </c>
    </row>
    <row r="14" spans="1:48" x14ac:dyDescent="0.3">
      <c r="A14" s="9" t="s">
        <v>775</v>
      </c>
      <c r="B14" s="10" t="s">
        <v>933</v>
      </c>
      <c r="C14" s="107">
        <v>1822</v>
      </c>
      <c r="D14" s="104">
        <v>98.1</v>
      </c>
      <c r="E14" s="106">
        <v>30</v>
      </c>
      <c r="F14" s="104">
        <v>73</v>
      </c>
      <c r="G14" s="17">
        <v>22</v>
      </c>
      <c r="H14" s="107">
        <v>48</v>
      </c>
      <c r="I14" s="108">
        <v>39500</v>
      </c>
      <c r="J14" s="108" t="s">
        <v>907</v>
      </c>
      <c r="K14" s="108"/>
      <c r="L14" s="108"/>
      <c r="M14" s="109">
        <f t="shared" si="3"/>
        <v>39500</v>
      </c>
      <c r="N14" s="4">
        <f t="shared" si="4"/>
        <v>0</v>
      </c>
      <c r="O14" s="105">
        <f t="shared" si="5"/>
        <v>1316.6666666666667</v>
      </c>
      <c r="P14" s="105">
        <f t="shared" si="6"/>
        <v>0</v>
      </c>
      <c r="Q14" s="75">
        <v>3</v>
      </c>
      <c r="R14" s="75">
        <v>2</v>
      </c>
      <c r="S14" s="75" t="s">
        <v>869</v>
      </c>
      <c r="T14" s="5" t="s">
        <v>781</v>
      </c>
      <c r="U14" s="9"/>
      <c r="W14" s="104">
        <f t="shared" si="7"/>
        <v>98.1</v>
      </c>
      <c r="X14" s="106">
        <f t="shared" si="8"/>
        <v>30</v>
      </c>
      <c r="Y14" s="102">
        <f t="shared" si="9"/>
        <v>48</v>
      </c>
      <c r="Z14" s="109">
        <f t="shared" si="10"/>
        <v>39500</v>
      </c>
      <c r="AA14" s="109">
        <f t="shared" si="11"/>
        <v>0</v>
      </c>
      <c r="AB14" s="109">
        <f t="shared" si="12"/>
        <v>39500</v>
      </c>
      <c r="AC14" s="4">
        <f t="shared" si="13"/>
        <v>0</v>
      </c>
      <c r="AD14" s="105">
        <f t="shared" si="14"/>
        <v>1316.6666666666667</v>
      </c>
      <c r="AE14" s="75" t="str">
        <f t="shared" si="15"/>
        <v>계</v>
      </c>
      <c r="AF14" s="75" t="str">
        <f t="shared" si="16"/>
        <v>3/2</v>
      </c>
      <c r="AH14" s="20" t="str">
        <f t="shared" si="1"/>
        <v>창원마린푸르지오1단지</v>
      </c>
      <c r="AI14" s="106">
        <f t="shared" si="0"/>
        <v>30</v>
      </c>
      <c r="AJ14" s="75" t="str">
        <f t="shared" si="17"/>
        <v>A-</v>
      </c>
      <c r="AK14" s="75" t="s">
        <v>14</v>
      </c>
      <c r="AL14" s="75" t="s">
        <v>870</v>
      </c>
      <c r="AM14" s="75" t="s">
        <v>871</v>
      </c>
      <c r="AN14" s="75" t="str">
        <f t="shared" si="18"/>
        <v>C</v>
      </c>
      <c r="AO14" s="75" t="str">
        <f t="shared" si="19"/>
        <v>X</v>
      </c>
      <c r="AP14" s="75" t="str">
        <f t="shared" si="20"/>
        <v>O</v>
      </c>
      <c r="AQ14" s="75" t="str">
        <f t="shared" si="21"/>
        <v>X</v>
      </c>
      <c r="AR14" s="75" t="str">
        <f t="shared" si="22"/>
        <v>X</v>
      </c>
      <c r="AS14" s="75" t="s">
        <v>2</v>
      </c>
      <c r="AT14" s="75" t="str">
        <f t="shared" si="23"/>
        <v>O</v>
      </c>
      <c r="AU14" s="75" t="str">
        <f t="shared" si="24"/>
        <v>O</v>
      </c>
      <c r="AV14" s="75" t="str">
        <f t="shared" si="25"/>
        <v>X</v>
      </c>
    </row>
    <row r="15" spans="1:48" x14ac:dyDescent="0.3">
      <c r="A15" s="9" t="s">
        <v>775</v>
      </c>
      <c r="B15" s="10" t="s">
        <v>933</v>
      </c>
      <c r="C15" s="107">
        <v>1822</v>
      </c>
      <c r="D15" s="104">
        <v>104.3</v>
      </c>
      <c r="E15" s="106">
        <v>32</v>
      </c>
      <c r="F15" s="104">
        <v>77.8</v>
      </c>
      <c r="G15" s="17">
        <v>24</v>
      </c>
      <c r="H15" s="107">
        <v>12</v>
      </c>
      <c r="I15" s="108"/>
      <c r="J15" s="108"/>
      <c r="K15" s="108"/>
      <c r="L15" s="108"/>
      <c r="M15" s="109">
        <f t="shared" si="3"/>
        <v>0</v>
      </c>
      <c r="N15" s="4" t="str">
        <f t="shared" si="4"/>
        <v/>
      </c>
      <c r="O15" s="105">
        <f t="shared" si="5"/>
        <v>0</v>
      </c>
      <c r="P15" s="105">
        <f t="shared" si="6"/>
        <v>0</v>
      </c>
      <c r="Q15" s="75">
        <v>3</v>
      </c>
      <c r="R15" s="75">
        <v>2</v>
      </c>
      <c r="S15" s="75" t="s">
        <v>869</v>
      </c>
      <c r="T15" s="5" t="s">
        <v>483</v>
      </c>
      <c r="U15" s="9"/>
      <c r="W15" s="104">
        <f t="shared" si="7"/>
        <v>104.3</v>
      </c>
      <c r="X15" s="106">
        <f t="shared" si="8"/>
        <v>32</v>
      </c>
      <c r="Y15" s="102">
        <f t="shared" si="9"/>
        <v>12</v>
      </c>
      <c r="Z15" s="109">
        <f t="shared" si="10"/>
        <v>0</v>
      </c>
      <c r="AA15" s="109">
        <f t="shared" si="11"/>
        <v>0</v>
      </c>
      <c r="AB15" s="109">
        <f t="shared" si="12"/>
        <v>0</v>
      </c>
      <c r="AC15" s="4" t="str">
        <f t="shared" si="13"/>
        <v/>
      </c>
      <c r="AD15" s="105">
        <f t="shared" si="14"/>
        <v>0</v>
      </c>
      <c r="AE15" s="75" t="str">
        <f t="shared" si="15"/>
        <v>계</v>
      </c>
      <c r="AF15" s="75" t="str">
        <f t="shared" si="16"/>
        <v>3/2</v>
      </c>
      <c r="AH15" s="20" t="str">
        <f t="shared" si="1"/>
        <v>창원마린푸르지오1단지</v>
      </c>
      <c r="AI15" s="106">
        <f t="shared" si="0"/>
        <v>32</v>
      </c>
      <c r="AJ15" s="75" t="str">
        <f t="shared" si="17"/>
        <v>A-</v>
      </c>
      <c r="AK15" s="75" t="s">
        <v>14</v>
      </c>
      <c r="AL15" s="75" t="s">
        <v>870</v>
      </c>
      <c r="AM15" s="75" t="s">
        <v>871</v>
      </c>
      <c r="AN15" s="75" t="str">
        <f t="shared" si="18"/>
        <v>C</v>
      </c>
      <c r="AO15" s="75" t="str">
        <f t="shared" si="19"/>
        <v/>
      </c>
      <c r="AP15" s="75" t="str">
        <f t="shared" si="20"/>
        <v/>
      </c>
      <c r="AQ15" s="75" t="str">
        <f t="shared" si="21"/>
        <v>O</v>
      </c>
      <c r="AR15" s="75" t="str">
        <f t="shared" si="22"/>
        <v>O</v>
      </c>
      <c r="AS15" s="75" t="s">
        <v>2</v>
      </c>
      <c r="AT15" s="75" t="str">
        <f t="shared" si="23"/>
        <v>O</v>
      </c>
      <c r="AU15" s="75" t="str">
        <f t="shared" si="24"/>
        <v>O</v>
      </c>
      <c r="AV15" s="75" t="str">
        <f t="shared" si="25"/>
        <v/>
      </c>
    </row>
    <row r="16" spans="1:48" x14ac:dyDescent="0.3">
      <c r="A16" s="9" t="s">
        <v>775</v>
      </c>
      <c r="B16" s="10" t="s">
        <v>933</v>
      </c>
      <c r="C16" s="107">
        <v>1822</v>
      </c>
      <c r="D16" s="104">
        <v>104.7</v>
      </c>
      <c r="E16" s="106">
        <v>32</v>
      </c>
      <c r="F16" s="104">
        <v>77.7</v>
      </c>
      <c r="G16" s="17">
        <v>24</v>
      </c>
      <c r="H16" s="107">
        <v>12</v>
      </c>
      <c r="I16" s="108"/>
      <c r="J16" s="108"/>
      <c r="K16" s="108"/>
      <c r="L16" s="108"/>
      <c r="M16" s="109">
        <f t="shared" si="3"/>
        <v>0</v>
      </c>
      <c r="N16" s="4" t="str">
        <f t="shared" si="4"/>
        <v/>
      </c>
      <c r="O16" s="105">
        <f t="shared" si="5"/>
        <v>0</v>
      </c>
      <c r="P16" s="105">
        <f t="shared" si="6"/>
        <v>0</v>
      </c>
      <c r="Q16" s="75">
        <v>3</v>
      </c>
      <c r="R16" s="75">
        <v>2</v>
      </c>
      <c r="S16" s="75" t="s">
        <v>869</v>
      </c>
      <c r="T16" s="5" t="s">
        <v>782</v>
      </c>
      <c r="U16" s="9"/>
      <c r="W16" s="104">
        <f t="shared" si="7"/>
        <v>104.7</v>
      </c>
      <c r="X16" s="106">
        <f t="shared" si="8"/>
        <v>32</v>
      </c>
      <c r="Y16" s="102">
        <f t="shared" si="9"/>
        <v>12</v>
      </c>
      <c r="Z16" s="109">
        <f t="shared" si="10"/>
        <v>0</v>
      </c>
      <c r="AA16" s="109">
        <f t="shared" si="11"/>
        <v>0</v>
      </c>
      <c r="AB16" s="109">
        <f t="shared" si="12"/>
        <v>0</v>
      </c>
      <c r="AC16" s="4" t="str">
        <f t="shared" si="13"/>
        <v/>
      </c>
      <c r="AD16" s="105">
        <f t="shared" si="14"/>
        <v>0</v>
      </c>
      <c r="AE16" s="75" t="str">
        <f t="shared" si="15"/>
        <v>계</v>
      </c>
      <c r="AF16" s="75" t="str">
        <f t="shared" si="16"/>
        <v>3/2</v>
      </c>
      <c r="AH16" s="20" t="str">
        <f t="shared" si="1"/>
        <v>창원마린푸르지오1단지</v>
      </c>
      <c r="AI16" s="106">
        <f t="shared" si="0"/>
        <v>32</v>
      </c>
      <c r="AJ16" s="75" t="str">
        <f t="shared" si="17"/>
        <v>A-</v>
      </c>
      <c r="AK16" s="75" t="s">
        <v>14</v>
      </c>
      <c r="AL16" s="75" t="s">
        <v>870</v>
      </c>
      <c r="AM16" s="75" t="s">
        <v>871</v>
      </c>
      <c r="AN16" s="75" t="str">
        <f t="shared" si="18"/>
        <v>C</v>
      </c>
      <c r="AO16" s="75" t="str">
        <f t="shared" si="19"/>
        <v/>
      </c>
      <c r="AP16" s="75" t="str">
        <f t="shared" si="20"/>
        <v/>
      </c>
      <c r="AQ16" s="75" t="str">
        <f t="shared" si="21"/>
        <v>O</v>
      </c>
      <c r="AR16" s="75" t="str">
        <f t="shared" si="22"/>
        <v>O</v>
      </c>
      <c r="AS16" s="75" t="s">
        <v>2</v>
      </c>
      <c r="AT16" s="75" t="str">
        <f t="shared" si="23"/>
        <v>O</v>
      </c>
      <c r="AU16" s="75" t="str">
        <f t="shared" si="24"/>
        <v>O</v>
      </c>
      <c r="AV16" s="75" t="str">
        <f t="shared" si="25"/>
        <v/>
      </c>
    </row>
    <row r="17" spans="1:48" x14ac:dyDescent="0.3">
      <c r="A17" s="9" t="s">
        <v>775</v>
      </c>
      <c r="B17" s="10" t="s">
        <v>933</v>
      </c>
      <c r="C17" s="107">
        <v>1822</v>
      </c>
      <c r="D17" s="104">
        <v>113.8</v>
      </c>
      <c r="E17" s="106">
        <v>34</v>
      </c>
      <c r="F17" s="104">
        <v>85</v>
      </c>
      <c r="G17" s="17">
        <v>26</v>
      </c>
      <c r="H17" s="107">
        <v>693</v>
      </c>
      <c r="I17" s="108">
        <v>46500</v>
      </c>
      <c r="J17" s="108" t="s">
        <v>878</v>
      </c>
      <c r="K17" s="108">
        <v>34000</v>
      </c>
      <c r="L17" s="108" t="s">
        <v>868</v>
      </c>
      <c r="M17" s="109">
        <f t="shared" si="3"/>
        <v>12500</v>
      </c>
      <c r="N17" s="4">
        <f t="shared" si="4"/>
        <v>0.73118279569892475</v>
      </c>
      <c r="O17" s="105">
        <f t="shared" si="5"/>
        <v>1367.6470588235295</v>
      </c>
      <c r="P17" s="105">
        <f t="shared" si="6"/>
        <v>1000</v>
      </c>
      <c r="Q17" s="75">
        <v>3</v>
      </c>
      <c r="R17" s="75">
        <v>2</v>
      </c>
      <c r="S17" s="75" t="s">
        <v>869</v>
      </c>
      <c r="T17" s="5" t="s">
        <v>123</v>
      </c>
      <c r="U17" s="9"/>
      <c r="W17" s="104">
        <f t="shared" si="7"/>
        <v>113.8</v>
      </c>
      <c r="X17" s="106">
        <f t="shared" si="8"/>
        <v>34</v>
      </c>
      <c r="Y17" s="102">
        <f t="shared" si="9"/>
        <v>693</v>
      </c>
      <c r="Z17" s="109">
        <f t="shared" si="10"/>
        <v>46500</v>
      </c>
      <c r="AA17" s="109">
        <f t="shared" si="11"/>
        <v>34000</v>
      </c>
      <c r="AB17" s="109">
        <f t="shared" si="12"/>
        <v>12500</v>
      </c>
      <c r="AC17" s="4">
        <f t="shared" si="13"/>
        <v>0.73118279569892475</v>
      </c>
      <c r="AD17" s="105">
        <f t="shared" si="14"/>
        <v>1367.6470588235295</v>
      </c>
      <c r="AE17" s="75" t="str">
        <f t="shared" si="15"/>
        <v>계</v>
      </c>
      <c r="AF17" s="75" t="str">
        <f t="shared" si="16"/>
        <v>3/2</v>
      </c>
      <c r="AH17" s="20" t="str">
        <f t="shared" si="1"/>
        <v>창원마린푸르지오1단지</v>
      </c>
      <c r="AI17" s="106">
        <f t="shared" si="0"/>
        <v>34</v>
      </c>
      <c r="AJ17" s="75" t="str">
        <f t="shared" si="17"/>
        <v>A-</v>
      </c>
      <c r="AK17" s="75" t="s">
        <v>14</v>
      </c>
      <c r="AL17" s="75" t="s">
        <v>870</v>
      </c>
      <c r="AM17" s="75" t="s">
        <v>871</v>
      </c>
      <c r="AN17" s="75" t="str">
        <f t="shared" si="18"/>
        <v>C</v>
      </c>
      <c r="AO17" s="75" t="str">
        <f t="shared" si="19"/>
        <v>X</v>
      </c>
      <c r="AP17" s="75" t="str">
        <f t="shared" si="20"/>
        <v>X</v>
      </c>
      <c r="AQ17" s="75" t="str">
        <f t="shared" si="21"/>
        <v>X</v>
      </c>
      <c r="AR17" s="75" t="str">
        <f t="shared" si="22"/>
        <v>X</v>
      </c>
      <c r="AS17" s="75" t="s">
        <v>2</v>
      </c>
      <c r="AT17" s="75" t="str">
        <f t="shared" si="23"/>
        <v>O</v>
      </c>
      <c r="AU17" s="75" t="str">
        <f t="shared" si="24"/>
        <v>O</v>
      </c>
      <c r="AV17" s="75" t="str">
        <f t="shared" si="25"/>
        <v>X</v>
      </c>
    </row>
    <row r="18" spans="1:48" x14ac:dyDescent="0.3">
      <c r="A18" s="9" t="s">
        <v>775</v>
      </c>
      <c r="B18" s="10" t="s">
        <v>933</v>
      </c>
      <c r="C18" s="107">
        <v>1822</v>
      </c>
      <c r="D18" s="104">
        <v>113.3</v>
      </c>
      <c r="E18" s="106">
        <v>34</v>
      </c>
      <c r="F18" s="104">
        <v>85</v>
      </c>
      <c r="G18" s="17">
        <v>26</v>
      </c>
      <c r="H18" s="107">
        <v>204</v>
      </c>
      <c r="I18" s="108">
        <v>47500</v>
      </c>
      <c r="J18" s="108" t="s">
        <v>868</v>
      </c>
      <c r="K18" s="108"/>
      <c r="L18" s="108"/>
      <c r="M18" s="109">
        <f t="shared" si="3"/>
        <v>47500</v>
      </c>
      <c r="N18" s="4">
        <f t="shared" si="4"/>
        <v>0</v>
      </c>
      <c r="O18" s="105">
        <f t="shared" si="5"/>
        <v>1397.0588235294117</v>
      </c>
      <c r="P18" s="105">
        <f t="shared" si="6"/>
        <v>0</v>
      </c>
      <c r="Q18" s="75">
        <v>3</v>
      </c>
      <c r="R18" s="75">
        <v>2</v>
      </c>
      <c r="S18" s="75" t="s">
        <v>869</v>
      </c>
      <c r="T18" s="5" t="s">
        <v>514</v>
      </c>
      <c r="U18" s="9"/>
      <c r="W18" s="104">
        <f t="shared" si="7"/>
        <v>113.3</v>
      </c>
      <c r="X18" s="106">
        <f t="shared" si="8"/>
        <v>34</v>
      </c>
      <c r="Y18" s="102">
        <f t="shared" si="9"/>
        <v>204</v>
      </c>
      <c r="Z18" s="109">
        <f t="shared" si="10"/>
        <v>47500</v>
      </c>
      <c r="AA18" s="109">
        <f t="shared" si="11"/>
        <v>0</v>
      </c>
      <c r="AB18" s="109">
        <f t="shared" si="12"/>
        <v>47500</v>
      </c>
      <c r="AC18" s="4">
        <f t="shared" si="13"/>
        <v>0</v>
      </c>
      <c r="AD18" s="105">
        <f t="shared" si="14"/>
        <v>1397.0588235294117</v>
      </c>
      <c r="AE18" s="75" t="str">
        <f t="shared" si="15"/>
        <v>계</v>
      </c>
      <c r="AF18" s="75" t="str">
        <f t="shared" si="16"/>
        <v>3/2</v>
      </c>
      <c r="AH18" s="20" t="str">
        <f t="shared" si="1"/>
        <v>창원마린푸르지오1단지</v>
      </c>
      <c r="AI18" s="106">
        <f t="shared" si="0"/>
        <v>34</v>
      </c>
      <c r="AJ18" s="75" t="str">
        <f t="shared" si="17"/>
        <v>A-</v>
      </c>
      <c r="AK18" s="75" t="s">
        <v>14</v>
      </c>
      <c r="AL18" s="75" t="s">
        <v>870</v>
      </c>
      <c r="AM18" s="75" t="s">
        <v>871</v>
      </c>
      <c r="AN18" s="75" t="str">
        <f t="shared" si="18"/>
        <v>C</v>
      </c>
      <c r="AO18" s="75" t="str">
        <f t="shared" si="19"/>
        <v>X</v>
      </c>
      <c r="AP18" s="75" t="str">
        <f t="shared" si="20"/>
        <v>X</v>
      </c>
      <c r="AQ18" s="75" t="str">
        <f t="shared" si="21"/>
        <v>X</v>
      </c>
      <c r="AR18" s="75" t="str">
        <f t="shared" si="22"/>
        <v>X</v>
      </c>
      <c r="AS18" s="75" t="s">
        <v>2</v>
      </c>
      <c r="AT18" s="75" t="str">
        <f t="shared" si="23"/>
        <v>O</v>
      </c>
      <c r="AU18" s="75" t="str">
        <f t="shared" si="24"/>
        <v>O</v>
      </c>
      <c r="AV18" s="75" t="str">
        <f t="shared" si="25"/>
        <v>X</v>
      </c>
    </row>
    <row r="19" spans="1:48" x14ac:dyDescent="0.3">
      <c r="A19" s="9" t="s">
        <v>775</v>
      </c>
      <c r="B19" s="10" t="s">
        <v>933</v>
      </c>
      <c r="C19" s="107">
        <v>1822</v>
      </c>
      <c r="D19" s="104">
        <v>114</v>
      </c>
      <c r="E19" s="106">
        <v>34</v>
      </c>
      <c r="F19" s="104">
        <v>85</v>
      </c>
      <c r="G19" s="17">
        <v>26</v>
      </c>
      <c r="H19" s="107">
        <v>201</v>
      </c>
      <c r="I19" s="108">
        <v>47800</v>
      </c>
      <c r="J19" s="108" t="s">
        <v>873</v>
      </c>
      <c r="K19" s="108"/>
      <c r="L19" s="108"/>
      <c r="M19" s="109">
        <f t="shared" si="3"/>
        <v>47800</v>
      </c>
      <c r="N19" s="4">
        <f t="shared" si="4"/>
        <v>0</v>
      </c>
      <c r="O19" s="105">
        <f t="shared" si="5"/>
        <v>1405.8823529411766</v>
      </c>
      <c r="P19" s="105">
        <f t="shared" si="6"/>
        <v>0</v>
      </c>
      <c r="Q19" s="75">
        <v>3</v>
      </c>
      <c r="R19" s="75">
        <v>2</v>
      </c>
      <c r="S19" s="75" t="s">
        <v>869</v>
      </c>
      <c r="T19" s="5" t="s">
        <v>783</v>
      </c>
      <c r="U19" s="9"/>
      <c r="W19" s="104">
        <f t="shared" si="7"/>
        <v>114</v>
      </c>
      <c r="X19" s="106">
        <f t="shared" si="8"/>
        <v>34</v>
      </c>
      <c r="Y19" s="102">
        <f t="shared" si="9"/>
        <v>201</v>
      </c>
      <c r="Z19" s="109">
        <f t="shared" si="10"/>
        <v>47800</v>
      </c>
      <c r="AA19" s="109">
        <f t="shared" si="11"/>
        <v>0</v>
      </c>
      <c r="AB19" s="109">
        <f t="shared" si="12"/>
        <v>47800</v>
      </c>
      <c r="AC19" s="4">
        <f t="shared" si="13"/>
        <v>0</v>
      </c>
      <c r="AD19" s="105">
        <f t="shared" si="14"/>
        <v>1405.8823529411766</v>
      </c>
      <c r="AE19" s="75" t="str">
        <f t="shared" si="15"/>
        <v>계</v>
      </c>
      <c r="AF19" s="75" t="str">
        <f t="shared" si="16"/>
        <v>3/2</v>
      </c>
      <c r="AH19" s="20" t="str">
        <f t="shared" si="1"/>
        <v>창원마린푸르지오1단지</v>
      </c>
      <c r="AI19" s="106">
        <f t="shared" si="0"/>
        <v>34</v>
      </c>
      <c r="AJ19" s="75" t="str">
        <f t="shared" si="17"/>
        <v>A-</v>
      </c>
      <c r="AK19" s="75" t="s">
        <v>14</v>
      </c>
      <c r="AL19" s="75" t="s">
        <v>870</v>
      </c>
      <c r="AM19" s="75" t="s">
        <v>871</v>
      </c>
      <c r="AN19" s="75" t="str">
        <f t="shared" si="18"/>
        <v>C</v>
      </c>
      <c r="AO19" s="75" t="str">
        <f t="shared" si="19"/>
        <v>X</v>
      </c>
      <c r="AP19" s="75" t="str">
        <f t="shared" si="20"/>
        <v>X</v>
      </c>
      <c r="AQ19" s="75" t="str">
        <f t="shared" si="21"/>
        <v>X</v>
      </c>
      <c r="AR19" s="75" t="str">
        <f t="shared" si="22"/>
        <v>X</v>
      </c>
      <c r="AS19" s="75" t="s">
        <v>2</v>
      </c>
      <c r="AT19" s="75" t="str">
        <f t="shared" si="23"/>
        <v>O</v>
      </c>
      <c r="AU19" s="75" t="str">
        <f t="shared" si="24"/>
        <v>O</v>
      </c>
      <c r="AV19" s="75" t="str">
        <f t="shared" si="25"/>
        <v>X</v>
      </c>
    </row>
    <row r="20" spans="1:48" x14ac:dyDescent="0.3">
      <c r="A20" s="9" t="s">
        <v>775</v>
      </c>
      <c r="B20" s="10" t="s">
        <v>933</v>
      </c>
      <c r="C20" s="107">
        <v>1822</v>
      </c>
      <c r="D20" s="104">
        <v>129.30000000000001</v>
      </c>
      <c r="E20" s="106">
        <v>39</v>
      </c>
      <c r="F20" s="104">
        <v>104</v>
      </c>
      <c r="G20" s="17">
        <v>31</v>
      </c>
      <c r="H20" s="107">
        <v>177</v>
      </c>
      <c r="I20" s="108"/>
      <c r="J20" s="108"/>
      <c r="K20" s="108"/>
      <c r="L20" s="108"/>
      <c r="M20" s="109">
        <f t="shared" si="3"/>
        <v>0</v>
      </c>
      <c r="N20" s="4" t="str">
        <f t="shared" si="4"/>
        <v/>
      </c>
      <c r="O20" s="105">
        <f t="shared" si="5"/>
        <v>0</v>
      </c>
      <c r="P20" s="105">
        <f t="shared" si="6"/>
        <v>0</v>
      </c>
      <c r="Q20" s="75">
        <v>4</v>
      </c>
      <c r="R20" s="75">
        <v>2</v>
      </c>
      <c r="S20" s="75" t="s">
        <v>869</v>
      </c>
      <c r="T20" s="5">
        <v>129</v>
      </c>
      <c r="U20" s="9"/>
      <c r="W20" s="104">
        <f t="shared" si="7"/>
        <v>129.30000000000001</v>
      </c>
      <c r="X20" s="106">
        <f t="shared" si="8"/>
        <v>39</v>
      </c>
      <c r="Y20" s="102">
        <f t="shared" si="9"/>
        <v>177</v>
      </c>
      <c r="Z20" s="109">
        <f t="shared" si="10"/>
        <v>0</v>
      </c>
      <c r="AA20" s="109">
        <f t="shared" si="11"/>
        <v>0</v>
      </c>
      <c r="AB20" s="109">
        <f t="shared" si="12"/>
        <v>0</v>
      </c>
      <c r="AC20" s="4" t="str">
        <f t="shared" si="13"/>
        <v/>
      </c>
      <c r="AD20" s="105">
        <f t="shared" si="14"/>
        <v>0</v>
      </c>
      <c r="AE20" s="75" t="str">
        <f t="shared" si="15"/>
        <v>계</v>
      </c>
      <c r="AF20" s="75" t="str">
        <f t="shared" si="16"/>
        <v>4/2</v>
      </c>
      <c r="AH20" s="20" t="str">
        <f t="shared" si="1"/>
        <v>창원마린푸르지오1단지</v>
      </c>
      <c r="AI20" s="106">
        <f t="shared" si="0"/>
        <v>39</v>
      </c>
      <c r="AJ20" s="75" t="str">
        <f t="shared" si="17"/>
        <v>A-</v>
      </c>
      <c r="AK20" s="75" t="s">
        <v>14</v>
      </c>
      <c r="AL20" s="75" t="s">
        <v>870</v>
      </c>
      <c r="AM20" s="75" t="s">
        <v>871</v>
      </c>
      <c r="AN20" s="75" t="str">
        <f t="shared" si="18"/>
        <v>C</v>
      </c>
      <c r="AO20" s="75" t="str">
        <f t="shared" si="19"/>
        <v/>
      </c>
      <c r="AP20" s="75" t="str">
        <f t="shared" si="20"/>
        <v/>
      </c>
      <c r="AQ20" s="75" t="str">
        <f t="shared" si="21"/>
        <v>O</v>
      </c>
      <c r="AR20" s="75" t="str">
        <f t="shared" si="22"/>
        <v>O</v>
      </c>
      <c r="AS20" s="75" t="s">
        <v>2</v>
      </c>
      <c r="AT20" s="75" t="str">
        <f t="shared" si="23"/>
        <v>X</v>
      </c>
      <c r="AU20" s="75" t="str">
        <f t="shared" si="24"/>
        <v>O</v>
      </c>
      <c r="AV20" s="75" t="str">
        <f t="shared" si="25"/>
        <v/>
      </c>
    </row>
    <row r="21" spans="1:48" x14ac:dyDescent="0.3">
      <c r="A21" s="9" t="s">
        <v>775</v>
      </c>
      <c r="B21" s="10" t="s">
        <v>933</v>
      </c>
      <c r="C21" s="107">
        <v>1822</v>
      </c>
      <c r="D21" s="104">
        <v>142.1</v>
      </c>
      <c r="E21" s="106">
        <v>43</v>
      </c>
      <c r="F21" s="104">
        <v>114.9</v>
      </c>
      <c r="G21" s="17">
        <v>35</v>
      </c>
      <c r="H21" s="107">
        <v>1</v>
      </c>
      <c r="I21" s="108"/>
      <c r="J21" s="108"/>
      <c r="K21" s="108"/>
      <c r="L21" s="108"/>
      <c r="M21" s="109">
        <f t="shared" si="3"/>
        <v>0</v>
      </c>
      <c r="N21" s="4" t="str">
        <f t="shared" si="4"/>
        <v/>
      </c>
      <c r="O21" s="105">
        <f t="shared" si="5"/>
        <v>0</v>
      </c>
      <c r="P21" s="105">
        <f t="shared" si="6"/>
        <v>0</v>
      </c>
      <c r="Q21" s="75">
        <v>4</v>
      </c>
      <c r="R21" s="75">
        <v>2</v>
      </c>
      <c r="S21" s="75" t="s">
        <v>869</v>
      </c>
      <c r="T21" s="5">
        <v>142</v>
      </c>
      <c r="U21" s="9"/>
      <c r="W21" s="104">
        <f t="shared" si="7"/>
        <v>142.1</v>
      </c>
      <c r="X21" s="106">
        <f t="shared" si="8"/>
        <v>43</v>
      </c>
      <c r="Y21" s="102">
        <f t="shared" si="9"/>
        <v>1</v>
      </c>
      <c r="Z21" s="109">
        <f t="shared" si="10"/>
        <v>0</v>
      </c>
      <c r="AA21" s="109">
        <f t="shared" si="11"/>
        <v>0</v>
      </c>
      <c r="AB21" s="109">
        <f t="shared" si="12"/>
        <v>0</v>
      </c>
      <c r="AC21" s="4" t="str">
        <f t="shared" si="13"/>
        <v/>
      </c>
      <c r="AD21" s="105">
        <f t="shared" si="14"/>
        <v>0</v>
      </c>
      <c r="AE21" s="75" t="str">
        <f t="shared" si="15"/>
        <v>계</v>
      </c>
      <c r="AF21" s="75" t="str">
        <f t="shared" si="16"/>
        <v>4/2</v>
      </c>
      <c r="AH21" s="20" t="str">
        <f t="shared" si="1"/>
        <v>창원마린푸르지오1단지</v>
      </c>
      <c r="AI21" s="106">
        <f t="shared" si="0"/>
        <v>43</v>
      </c>
      <c r="AJ21" s="75" t="str">
        <f t="shared" si="17"/>
        <v>A-</v>
      </c>
      <c r="AK21" s="75" t="s">
        <v>14</v>
      </c>
      <c r="AL21" s="75" t="s">
        <v>870</v>
      </c>
      <c r="AM21" s="75" t="s">
        <v>871</v>
      </c>
      <c r="AN21" s="75" t="str">
        <f t="shared" si="18"/>
        <v>C</v>
      </c>
      <c r="AO21" s="75" t="str">
        <f t="shared" si="19"/>
        <v/>
      </c>
      <c r="AP21" s="75" t="str">
        <f t="shared" si="20"/>
        <v/>
      </c>
      <c r="AQ21" s="75" t="str">
        <f t="shared" si="21"/>
        <v>O</v>
      </c>
      <c r="AR21" s="75" t="str">
        <f t="shared" si="22"/>
        <v>O</v>
      </c>
      <c r="AS21" s="75" t="s">
        <v>2</v>
      </c>
      <c r="AT21" s="75" t="str">
        <f t="shared" si="23"/>
        <v>X</v>
      </c>
      <c r="AU21" s="75" t="str">
        <f t="shared" si="24"/>
        <v>O</v>
      </c>
      <c r="AV21" s="75" t="str">
        <f t="shared" si="25"/>
        <v/>
      </c>
    </row>
    <row r="22" spans="1:48" x14ac:dyDescent="0.3">
      <c r="A22" s="9"/>
      <c r="B22" s="75"/>
      <c r="C22" s="6"/>
      <c r="D22" s="9"/>
      <c r="E22" s="14"/>
      <c r="F22" s="104"/>
      <c r="G22" s="9"/>
      <c r="H22" s="9"/>
      <c r="I22" s="9"/>
      <c r="J22" s="9"/>
      <c r="K22" s="9"/>
      <c r="L22" s="9"/>
      <c r="M22" s="9"/>
      <c r="N22" s="9"/>
      <c r="O22" s="105"/>
      <c r="P22" s="105"/>
      <c r="Q22" s="106"/>
      <c r="R22" s="106"/>
      <c r="S22" s="9"/>
      <c r="T22" s="48"/>
      <c r="U22" s="9"/>
      <c r="W22" s="70" t="str">
        <f>$A$4&amp;" "&amp;A23&amp;"("&amp;B23&amp;","&amp;C23&amp;"^)"</f>
        <v>풍호동 디에스아이존빌('02.01.,372^)</v>
      </c>
      <c r="X22" s="71"/>
      <c r="Y22" s="71"/>
      <c r="Z22" s="71"/>
      <c r="AA22" s="71"/>
      <c r="AB22" s="71"/>
      <c r="AC22" s="71"/>
      <c r="AD22" s="71"/>
      <c r="AE22" s="71"/>
      <c r="AF22" s="72"/>
      <c r="AH22" s="20" t="str">
        <f t="shared" si="1"/>
        <v/>
      </c>
      <c r="AI22" s="103" t="str">
        <f t="shared" si="0"/>
        <v/>
      </c>
      <c r="AJ22" s="75"/>
      <c r="AK22" s="75"/>
      <c r="AL22" s="75"/>
      <c r="AM22" s="75"/>
      <c r="AN22" s="75"/>
      <c r="AO22" s="75"/>
      <c r="AP22" s="75"/>
      <c r="AQ22" s="75"/>
      <c r="AR22" s="75"/>
      <c r="AS22" s="75"/>
      <c r="AT22" s="75"/>
      <c r="AU22" s="75"/>
      <c r="AV22" s="75"/>
    </row>
    <row r="23" spans="1:48" x14ac:dyDescent="0.3">
      <c r="A23" s="9" t="s">
        <v>800</v>
      </c>
      <c r="B23" s="10" t="s">
        <v>929</v>
      </c>
      <c r="C23" s="107">
        <v>372</v>
      </c>
      <c r="D23" s="104">
        <v>78.599999999999994</v>
      </c>
      <c r="E23" s="106">
        <v>24</v>
      </c>
      <c r="F23" s="104">
        <v>60</v>
      </c>
      <c r="G23" s="17">
        <v>18</v>
      </c>
      <c r="H23" s="107">
        <v>132</v>
      </c>
      <c r="I23" s="108">
        <v>17000</v>
      </c>
      <c r="J23" s="108" t="s">
        <v>878</v>
      </c>
      <c r="K23" s="108"/>
      <c r="L23" s="108"/>
      <c r="M23" s="109">
        <f>I23-K23</f>
        <v>17000</v>
      </c>
      <c r="N23" s="4">
        <f>IF(ISERROR(K23/I23),"",K23/I23)</f>
        <v>0</v>
      </c>
      <c r="O23" s="105">
        <f>I23/E23</f>
        <v>708.33333333333337</v>
      </c>
      <c r="P23" s="105">
        <f>K23/E23</f>
        <v>0</v>
      </c>
      <c r="Q23" s="75">
        <v>3</v>
      </c>
      <c r="R23" s="75">
        <v>2</v>
      </c>
      <c r="S23" s="75" t="s">
        <v>869</v>
      </c>
      <c r="T23" s="5">
        <v>78</v>
      </c>
      <c r="U23" s="9"/>
      <c r="W23" s="104">
        <f t="shared" ref="W23:X26" si="26">D23</f>
        <v>78.599999999999994</v>
      </c>
      <c r="X23" s="106">
        <f t="shared" si="26"/>
        <v>24</v>
      </c>
      <c r="Y23" s="102">
        <f t="shared" ref="Y23:Z26" si="27">H23</f>
        <v>132</v>
      </c>
      <c r="Z23" s="109">
        <f t="shared" si="27"/>
        <v>17000</v>
      </c>
      <c r="AA23" s="109">
        <f>K23</f>
        <v>0</v>
      </c>
      <c r="AB23" s="109">
        <f t="shared" ref="AB23:AD26" si="28">M23</f>
        <v>17000</v>
      </c>
      <c r="AC23" s="4">
        <f t="shared" si="28"/>
        <v>0</v>
      </c>
      <c r="AD23" s="105">
        <f t="shared" si="28"/>
        <v>708.33333333333337</v>
      </c>
      <c r="AE23" s="75" t="str">
        <f>S23</f>
        <v>계</v>
      </c>
      <c r="AF23" s="75" t="str">
        <f>Q23&amp;"/"&amp;R23</f>
        <v>3/2</v>
      </c>
      <c r="AH23" s="20" t="str">
        <f t="shared" si="1"/>
        <v>디에스아이존빌</v>
      </c>
      <c r="AI23" s="106">
        <f t="shared" si="0"/>
        <v>24</v>
      </c>
      <c r="AJ23" s="75" t="str">
        <f>IF(AI23="","",$AJ$2)</f>
        <v>A-</v>
      </c>
      <c r="AK23" s="75" t="s">
        <v>14</v>
      </c>
      <c r="AL23" s="75" t="s">
        <v>870</v>
      </c>
      <c r="AM23" s="75" t="s">
        <v>871</v>
      </c>
      <c r="AN23" s="75" t="str">
        <f>IF(AI23="","",$AN$2)</f>
        <v>C</v>
      </c>
      <c r="AO23" s="75" t="str">
        <f>IF(N23="","",IF(N23&gt;=$AO$1/100,"O","X"))</f>
        <v>X</v>
      </c>
      <c r="AP23" s="75" t="str">
        <f>IF(I23="","",IF(I23&lt;=$AP$1,"O","X"))</f>
        <v>O</v>
      </c>
      <c r="AQ23" s="75" t="str">
        <f>IF(O23="","",IF(O23&lt;=$AQ$1,"O","X"))</f>
        <v>O</v>
      </c>
      <c r="AR23" s="75" t="str">
        <f>IF(M23="","",IF(M23&lt;=$AR$1,"O","X"))</f>
        <v>X</v>
      </c>
      <c r="AS23" s="75" t="s">
        <v>2</v>
      </c>
      <c r="AT23" s="75" t="str">
        <f>IF(OR(F23="",AI23=""),"",IF(AND((F23&lt;=85),(AI23&gt;=15)),"O","X"))</f>
        <v>O</v>
      </c>
      <c r="AU23" s="75" t="str">
        <f>IF(C23="","",IF(C23&gt;=$AU$1,"O","X"))</f>
        <v>O</v>
      </c>
      <c r="AV23" s="75" t="str">
        <f>IF(AO23="","",IF(AND(AO23="O",AP23="O",AR23="O",AT23="O",AU23="O"),"후보","X"))</f>
        <v>X</v>
      </c>
    </row>
    <row r="24" spans="1:48" x14ac:dyDescent="0.3">
      <c r="A24" s="9" t="s">
        <v>800</v>
      </c>
      <c r="B24" s="10" t="s">
        <v>929</v>
      </c>
      <c r="C24" s="107">
        <v>372</v>
      </c>
      <c r="D24" s="104">
        <v>95.2</v>
      </c>
      <c r="E24" s="106">
        <v>29</v>
      </c>
      <c r="F24" s="104">
        <v>76.2</v>
      </c>
      <c r="G24" s="17">
        <v>23</v>
      </c>
      <c r="H24" s="107">
        <v>72</v>
      </c>
      <c r="I24" s="108">
        <v>23000</v>
      </c>
      <c r="J24" s="108" t="s">
        <v>878</v>
      </c>
      <c r="K24" s="108"/>
      <c r="L24" s="108"/>
      <c r="M24" s="109">
        <f>I24-K24</f>
        <v>23000</v>
      </c>
      <c r="N24" s="4">
        <f>IF(ISERROR(K24/I24),"",K24/I24)</f>
        <v>0</v>
      </c>
      <c r="O24" s="105">
        <f>I24/E24</f>
        <v>793.10344827586209</v>
      </c>
      <c r="P24" s="105">
        <f>K24/E24</f>
        <v>0</v>
      </c>
      <c r="Q24" s="75">
        <v>3</v>
      </c>
      <c r="R24" s="75">
        <v>2</v>
      </c>
      <c r="S24" s="75" t="s">
        <v>869</v>
      </c>
      <c r="T24" s="5">
        <v>95</v>
      </c>
      <c r="U24" s="9"/>
      <c r="W24" s="104">
        <f t="shared" si="26"/>
        <v>95.2</v>
      </c>
      <c r="X24" s="106">
        <f t="shared" si="26"/>
        <v>29</v>
      </c>
      <c r="Y24" s="102">
        <f t="shared" si="27"/>
        <v>72</v>
      </c>
      <c r="Z24" s="109">
        <f t="shared" si="27"/>
        <v>23000</v>
      </c>
      <c r="AA24" s="109">
        <f>K24</f>
        <v>0</v>
      </c>
      <c r="AB24" s="109">
        <f t="shared" si="28"/>
        <v>23000</v>
      </c>
      <c r="AC24" s="4">
        <f t="shared" si="28"/>
        <v>0</v>
      </c>
      <c r="AD24" s="105">
        <f t="shared" si="28"/>
        <v>793.10344827586209</v>
      </c>
      <c r="AE24" s="75" t="str">
        <f>S24</f>
        <v>계</v>
      </c>
      <c r="AF24" s="75" t="str">
        <f>Q24&amp;"/"&amp;R24</f>
        <v>3/2</v>
      </c>
      <c r="AH24" s="20" t="str">
        <f t="shared" si="1"/>
        <v>디에스아이존빌</v>
      </c>
      <c r="AI24" s="106">
        <f t="shared" si="0"/>
        <v>29</v>
      </c>
      <c r="AJ24" s="75" t="str">
        <f>IF(AI24="","",$AJ$2)</f>
        <v>A-</v>
      </c>
      <c r="AK24" s="75" t="s">
        <v>14</v>
      </c>
      <c r="AL24" s="75" t="s">
        <v>870</v>
      </c>
      <c r="AM24" s="75" t="s">
        <v>871</v>
      </c>
      <c r="AN24" s="75" t="str">
        <f>IF(AI24="","",$AN$2)</f>
        <v>C</v>
      </c>
      <c r="AO24" s="75" t="str">
        <f>IF(N24="","",IF(N24&gt;=$AO$1/100,"O","X"))</f>
        <v>X</v>
      </c>
      <c r="AP24" s="75" t="str">
        <f>IF(I24="","",IF(I24&lt;=$AP$1,"O","X"))</f>
        <v>O</v>
      </c>
      <c r="AQ24" s="75" t="str">
        <f>IF(O24="","",IF(O24&lt;=$AQ$1,"O","X"))</f>
        <v>O</v>
      </c>
      <c r="AR24" s="75" t="str">
        <f>IF(M24="","",IF(M24&lt;=$AR$1,"O","X"))</f>
        <v>X</v>
      </c>
      <c r="AS24" s="75" t="s">
        <v>2</v>
      </c>
      <c r="AT24" s="75" t="str">
        <f>IF(OR(F24="",AI24=""),"",IF(AND((F24&lt;=85),(AI24&gt;=15)),"O","X"))</f>
        <v>O</v>
      </c>
      <c r="AU24" s="75" t="str">
        <f>IF(C24="","",IF(C24&gt;=$AU$1,"O","X"))</f>
        <v>O</v>
      </c>
      <c r="AV24" s="75" t="str">
        <f>IF(AO24="","",IF(AND(AO24="O",AP24="O",AR24="O",AT24="O",AU24="O"),"후보","X"))</f>
        <v>X</v>
      </c>
    </row>
    <row r="25" spans="1:48" x14ac:dyDescent="0.3">
      <c r="A25" s="9" t="s">
        <v>800</v>
      </c>
      <c r="B25" s="10" t="s">
        <v>929</v>
      </c>
      <c r="C25" s="107">
        <v>372</v>
      </c>
      <c r="D25" s="104">
        <v>103.1</v>
      </c>
      <c r="E25" s="106">
        <v>31</v>
      </c>
      <c r="F25" s="104">
        <v>84.6</v>
      </c>
      <c r="G25" s="17">
        <v>26</v>
      </c>
      <c r="H25" s="107">
        <v>120</v>
      </c>
      <c r="I25" s="108">
        <v>21000</v>
      </c>
      <c r="J25" s="108" t="s">
        <v>868</v>
      </c>
      <c r="K25" s="108"/>
      <c r="L25" s="108"/>
      <c r="M25" s="109">
        <f>I25-K25</f>
        <v>21000</v>
      </c>
      <c r="N25" s="4">
        <f>IF(ISERROR(K25/I25),"",K25/I25)</f>
        <v>0</v>
      </c>
      <c r="O25" s="105">
        <f>I25/E25</f>
        <v>677.41935483870964</v>
      </c>
      <c r="P25" s="105">
        <f>K25/E25</f>
        <v>0</v>
      </c>
      <c r="Q25" s="75">
        <v>3</v>
      </c>
      <c r="R25" s="75">
        <v>2</v>
      </c>
      <c r="S25" s="75" t="s">
        <v>869</v>
      </c>
      <c r="T25" s="5">
        <v>103</v>
      </c>
      <c r="U25" s="9"/>
      <c r="W25" s="104">
        <f t="shared" si="26"/>
        <v>103.1</v>
      </c>
      <c r="X25" s="106">
        <f t="shared" si="26"/>
        <v>31</v>
      </c>
      <c r="Y25" s="102">
        <f t="shared" si="27"/>
        <v>120</v>
      </c>
      <c r="Z25" s="109">
        <f t="shared" si="27"/>
        <v>21000</v>
      </c>
      <c r="AA25" s="109">
        <f>K25</f>
        <v>0</v>
      </c>
      <c r="AB25" s="109">
        <f t="shared" si="28"/>
        <v>21000</v>
      </c>
      <c r="AC25" s="4">
        <f t="shared" si="28"/>
        <v>0</v>
      </c>
      <c r="AD25" s="105">
        <f t="shared" si="28"/>
        <v>677.41935483870964</v>
      </c>
      <c r="AE25" s="75" t="str">
        <f>S25</f>
        <v>계</v>
      </c>
      <c r="AF25" s="75" t="str">
        <f>Q25&amp;"/"&amp;R25</f>
        <v>3/2</v>
      </c>
      <c r="AH25" s="20" t="str">
        <f t="shared" si="1"/>
        <v>디에스아이존빌</v>
      </c>
      <c r="AI25" s="106">
        <f t="shared" si="0"/>
        <v>31</v>
      </c>
      <c r="AJ25" s="75" t="str">
        <f>IF(AI25="","",$AJ$2)</f>
        <v>A-</v>
      </c>
      <c r="AK25" s="75" t="s">
        <v>14</v>
      </c>
      <c r="AL25" s="75" t="s">
        <v>870</v>
      </c>
      <c r="AM25" s="75" t="s">
        <v>871</v>
      </c>
      <c r="AN25" s="75" t="str">
        <f>IF(AI25="","",$AN$2)</f>
        <v>C</v>
      </c>
      <c r="AO25" s="75" t="str">
        <f>IF(N25="","",IF(N25&gt;=$AO$1/100,"O","X"))</f>
        <v>X</v>
      </c>
      <c r="AP25" s="75" t="str">
        <f>IF(I25="","",IF(I25&lt;=$AP$1,"O","X"))</f>
        <v>O</v>
      </c>
      <c r="AQ25" s="75" t="str">
        <f>IF(O25="","",IF(O25&lt;=$AQ$1,"O","X"))</f>
        <v>O</v>
      </c>
      <c r="AR25" s="75" t="str">
        <f>IF(M25="","",IF(M25&lt;=$AR$1,"O","X"))</f>
        <v>X</v>
      </c>
      <c r="AS25" s="75" t="s">
        <v>2</v>
      </c>
      <c r="AT25" s="75" t="str">
        <f>IF(OR(F25="",AI25=""),"",IF(AND((F25&lt;=85),(AI25&gt;=15)),"O","X"))</f>
        <v>O</v>
      </c>
      <c r="AU25" s="75" t="str">
        <f>IF(C25="","",IF(C25&gt;=$AU$1,"O","X"))</f>
        <v>O</v>
      </c>
      <c r="AV25" s="75" t="str">
        <f>IF(AO25="","",IF(AND(AO25="O",AP25="O",AR25="O",AT25="O",AU25="O"),"후보","X"))</f>
        <v>X</v>
      </c>
    </row>
    <row r="26" spans="1:48" x14ac:dyDescent="0.3">
      <c r="A26" s="9" t="s">
        <v>800</v>
      </c>
      <c r="B26" s="10" t="s">
        <v>929</v>
      </c>
      <c r="C26" s="107">
        <v>372</v>
      </c>
      <c r="D26" s="104">
        <v>126.6</v>
      </c>
      <c r="E26" s="106">
        <v>38</v>
      </c>
      <c r="F26" s="104">
        <v>107.7</v>
      </c>
      <c r="G26" s="17">
        <v>33</v>
      </c>
      <c r="H26" s="107">
        <v>48</v>
      </c>
      <c r="I26" s="108"/>
      <c r="J26" s="108"/>
      <c r="K26" s="108"/>
      <c r="L26" s="108"/>
      <c r="M26" s="109">
        <f>I26-K26</f>
        <v>0</v>
      </c>
      <c r="N26" s="4" t="str">
        <f>IF(ISERROR(K26/I26),"",K26/I26)</f>
        <v/>
      </c>
      <c r="O26" s="105">
        <f>I26/E26</f>
        <v>0</v>
      </c>
      <c r="P26" s="105">
        <f>K26/E26</f>
        <v>0</v>
      </c>
      <c r="Q26" s="75">
        <v>4</v>
      </c>
      <c r="R26" s="75">
        <v>2</v>
      </c>
      <c r="S26" s="75" t="s">
        <v>869</v>
      </c>
      <c r="T26" s="5">
        <v>126</v>
      </c>
      <c r="U26" s="9"/>
      <c r="W26" s="104">
        <f t="shared" si="26"/>
        <v>126.6</v>
      </c>
      <c r="X26" s="106">
        <f t="shared" si="26"/>
        <v>38</v>
      </c>
      <c r="Y26" s="102">
        <f t="shared" si="27"/>
        <v>48</v>
      </c>
      <c r="Z26" s="109">
        <f t="shared" si="27"/>
        <v>0</v>
      </c>
      <c r="AA26" s="109">
        <f>K26</f>
        <v>0</v>
      </c>
      <c r="AB26" s="109">
        <f t="shared" si="28"/>
        <v>0</v>
      </c>
      <c r="AC26" s="4" t="str">
        <f t="shared" si="28"/>
        <v/>
      </c>
      <c r="AD26" s="105">
        <f t="shared" si="28"/>
        <v>0</v>
      </c>
      <c r="AE26" s="75" t="str">
        <f>S26</f>
        <v>계</v>
      </c>
      <c r="AF26" s="75" t="str">
        <f>Q26&amp;"/"&amp;R26</f>
        <v>4/2</v>
      </c>
      <c r="AH26" s="20" t="str">
        <f t="shared" si="1"/>
        <v>디에스아이존빌</v>
      </c>
      <c r="AI26" s="106">
        <f t="shared" si="0"/>
        <v>38</v>
      </c>
      <c r="AJ26" s="75" t="str">
        <f>IF(AI26="","",$AJ$2)</f>
        <v>A-</v>
      </c>
      <c r="AK26" s="75" t="s">
        <v>14</v>
      </c>
      <c r="AL26" s="75" t="s">
        <v>870</v>
      </c>
      <c r="AM26" s="75" t="s">
        <v>871</v>
      </c>
      <c r="AN26" s="75" t="str">
        <f>IF(AI26="","",$AN$2)</f>
        <v>C</v>
      </c>
      <c r="AO26" s="75" t="str">
        <f>IF(N26="","",IF(N26&gt;=$AO$1/100,"O","X"))</f>
        <v/>
      </c>
      <c r="AP26" s="75" t="str">
        <f>IF(I26="","",IF(I26&lt;=$AP$1,"O","X"))</f>
        <v/>
      </c>
      <c r="AQ26" s="75" t="str">
        <f>IF(O26="","",IF(O26&lt;=$AQ$1,"O","X"))</f>
        <v>O</v>
      </c>
      <c r="AR26" s="75" t="str">
        <f>IF(M26="","",IF(M26&lt;=$AR$1,"O","X"))</f>
        <v>O</v>
      </c>
      <c r="AS26" s="75" t="s">
        <v>2</v>
      </c>
      <c r="AT26" s="75" t="str">
        <f>IF(OR(F26="",AI26=""),"",IF(AND((F26&lt;=85),(AI26&gt;=15)),"O","X"))</f>
        <v>X</v>
      </c>
      <c r="AU26" s="75" t="str">
        <f>IF(C26="","",IF(C26&gt;=$AU$1,"O","X"))</f>
        <v>O</v>
      </c>
      <c r="AV26" s="75" t="str">
        <f>IF(AO26="","",IF(AND(AO26="O",AP26="O",AR26="O",AT26="O",AU26="O"),"후보","X"))</f>
        <v/>
      </c>
    </row>
    <row r="27" spans="1:48" x14ac:dyDescent="0.3">
      <c r="A27" s="9"/>
      <c r="B27" s="75"/>
      <c r="C27" s="6"/>
      <c r="D27" s="9"/>
      <c r="E27" s="14"/>
      <c r="F27" s="104"/>
      <c r="G27" s="9"/>
      <c r="H27" s="9"/>
      <c r="I27" s="9"/>
      <c r="J27" s="9"/>
      <c r="K27" s="9"/>
      <c r="L27" s="9"/>
      <c r="M27" s="9"/>
      <c r="N27" s="9"/>
      <c r="O27" s="105"/>
      <c r="P27" s="105"/>
      <c r="Q27" s="106"/>
      <c r="R27" s="106"/>
      <c r="S27" s="9"/>
      <c r="T27" s="48"/>
      <c r="U27" s="9"/>
      <c r="W27" s="70" t="str">
        <f>$A$4&amp;" "&amp;A28&amp;"("&amp;B28&amp;","&amp;C28&amp;"^)"</f>
        <v>풍호동 우성('93.12.,1763^)</v>
      </c>
      <c r="X27" s="71"/>
      <c r="Y27" s="71"/>
      <c r="Z27" s="71"/>
      <c r="AA27" s="71"/>
      <c r="AB27" s="71"/>
      <c r="AC27" s="71"/>
      <c r="AD27" s="71"/>
      <c r="AE27" s="71"/>
      <c r="AF27" s="72"/>
      <c r="AH27" s="20" t="str">
        <f t="shared" si="1"/>
        <v/>
      </c>
      <c r="AI27" s="103" t="str">
        <f t="shared" si="0"/>
        <v/>
      </c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</row>
    <row r="28" spans="1:48" x14ac:dyDescent="0.3">
      <c r="A28" s="9" t="s">
        <v>804</v>
      </c>
      <c r="B28" s="10" t="s">
        <v>935</v>
      </c>
      <c r="C28" s="107">
        <v>1763</v>
      </c>
      <c r="D28" s="104">
        <v>79.900000000000006</v>
      </c>
      <c r="E28" s="106">
        <v>24</v>
      </c>
      <c r="F28" s="104">
        <v>59.9</v>
      </c>
      <c r="G28" s="17">
        <v>18</v>
      </c>
      <c r="H28" s="107">
        <v>548</v>
      </c>
      <c r="I28" s="108">
        <v>13800</v>
      </c>
      <c r="J28" s="108" t="s">
        <v>878</v>
      </c>
      <c r="K28" s="108"/>
      <c r="L28" s="108"/>
      <c r="M28" s="109">
        <f t="shared" ref="M28:M33" si="29">I28-K28</f>
        <v>13800</v>
      </c>
      <c r="N28" s="4">
        <f t="shared" ref="N28:N33" si="30">IF(ISERROR(K28/I28),"",K28/I28)</f>
        <v>0</v>
      </c>
      <c r="O28" s="105">
        <f t="shared" ref="O28:O33" si="31">I28/E28</f>
        <v>575</v>
      </c>
      <c r="P28" s="105">
        <f t="shared" ref="P28:P33" si="32">K28/E28</f>
        <v>0</v>
      </c>
      <c r="Q28" s="75">
        <v>2</v>
      </c>
      <c r="R28" s="75">
        <v>1</v>
      </c>
      <c r="S28" s="75" t="s">
        <v>869</v>
      </c>
      <c r="T28" s="5">
        <v>79</v>
      </c>
      <c r="U28" s="9"/>
      <c r="W28" s="104">
        <f t="shared" ref="W28:X33" si="33">D28</f>
        <v>79.900000000000006</v>
      </c>
      <c r="X28" s="106">
        <f t="shared" si="33"/>
        <v>24</v>
      </c>
      <c r="Y28" s="102">
        <f t="shared" ref="Y28:Z33" si="34">H28</f>
        <v>548</v>
      </c>
      <c r="Z28" s="109">
        <f t="shared" si="34"/>
        <v>13800</v>
      </c>
      <c r="AA28" s="109">
        <f t="shared" ref="AA28:AA33" si="35">K28</f>
        <v>0</v>
      </c>
      <c r="AB28" s="109">
        <f t="shared" ref="AB28:AD33" si="36">M28</f>
        <v>13800</v>
      </c>
      <c r="AC28" s="4">
        <f t="shared" si="36"/>
        <v>0</v>
      </c>
      <c r="AD28" s="105">
        <f t="shared" si="36"/>
        <v>575</v>
      </c>
      <c r="AE28" s="75" t="str">
        <f t="shared" ref="AE28:AE33" si="37">S28</f>
        <v>계</v>
      </c>
      <c r="AF28" s="75" t="str">
        <f t="shared" ref="AF28:AF33" si="38">Q28&amp;"/"&amp;R28</f>
        <v>2/1</v>
      </c>
      <c r="AH28" s="20" t="str">
        <f t="shared" si="1"/>
        <v>우성</v>
      </c>
      <c r="AI28" s="106">
        <f t="shared" si="0"/>
        <v>24</v>
      </c>
      <c r="AJ28" s="75" t="str">
        <f t="shared" ref="AJ28:AJ33" si="39">IF(AI28="","",$AJ$2)</f>
        <v>A-</v>
      </c>
      <c r="AK28" s="75" t="s">
        <v>14</v>
      </c>
      <c r="AL28" s="75" t="s">
        <v>870</v>
      </c>
      <c r="AM28" s="75" t="s">
        <v>871</v>
      </c>
      <c r="AN28" s="75" t="str">
        <f t="shared" ref="AN28:AN33" si="40">IF(AI28="","",$AN$2)</f>
        <v>C</v>
      </c>
      <c r="AO28" s="75" t="str">
        <f t="shared" ref="AO28:AO33" si="41">IF(N28="","",IF(N28&gt;=$AO$1/100,"O","X"))</f>
        <v>X</v>
      </c>
      <c r="AP28" s="75" t="str">
        <f t="shared" ref="AP28:AP33" si="42">IF(I28="","",IF(I28&lt;=$AP$1,"O","X"))</f>
        <v>O</v>
      </c>
      <c r="AQ28" s="75" t="str">
        <f t="shared" ref="AQ28:AQ33" si="43">IF(O28="","",IF(O28&lt;=$AQ$1,"O","X"))</f>
        <v>O</v>
      </c>
      <c r="AR28" s="75" t="str">
        <f t="shared" ref="AR28:AR33" si="44">IF(M28="","",IF(M28&lt;=$AR$1,"O","X"))</f>
        <v>X</v>
      </c>
      <c r="AS28" s="75" t="s">
        <v>2</v>
      </c>
      <c r="AT28" s="75" t="str">
        <f t="shared" ref="AT28:AT33" si="45">IF(OR(F28="",AI28=""),"",IF(AND((F28&lt;=85),(AI28&gt;=15)),"O","X"))</f>
        <v>O</v>
      </c>
      <c r="AU28" s="75" t="str">
        <f t="shared" ref="AU28:AU33" si="46">IF(C28="","",IF(C28&gt;=$AU$1,"O","X"))</f>
        <v>O</v>
      </c>
      <c r="AV28" s="75" t="str">
        <f t="shared" ref="AV28:AV33" si="47">IF(AO28="","",IF(AND(AO28="O",AP28="O",AR28="O",AT28="O",AU28="O"),"후보","X"))</f>
        <v>X</v>
      </c>
    </row>
    <row r="29" spans="1:48" x14ac:dyDescent="0.3">
      <c r="A29" s="9" t="s">
        <v>804</v>
      </c>
      <c r="B29" s="10" t="s">
        <v>935</v>
      </c>
      <c r="C29" s="107">
        <v>1763</v>
      </c>
      <c r="D29" s="104">
        <v>86.7</v>
      </c>
      <c r="E29" s="106">
        <v>26</v>
      </c>
      <c r="F29" s="104">
        <v>69.599999999999994</v>
      </c>
      <c r="G29" s="17">
        <v>21</v>
      </c>
      <c r="H29" s="107">
        <v>114</v>
      </c>
      <c r="I29" s="108">
        <v>18500</v>
      </c>
      <c r="J29" s="108" t="s">
        <v>868</v>
      </c>
      <c r="K29" s="108"/>
      <c r="L29" s="108"/>
      <c r="M29" s="109">
        <f t="shared" si="29"/>
        <v>18500</v>
      </c>
      <c r="N29" s="4">
        <f t="shared" si="30"/>
        <v>0</v>
      </c>
      <c r="O29" s="105">
        <f t="shared" si="31"/>
        <v>711.53846153846155</v>
      </c>
      <c r="P29" s="105">
        <f t="shared" si="32"/>
        <v>0</v>
      </c>
      <c r="Q29" s="75">
        <v>3</v>
      </c>
      <c r="R29" s="75">
        <v>1</v>
      </c>
      <c r="S29" s="75" t="s">
        <v>869</v>
      </c>
      <c r="T29" s="5">
        <v>86</v>
      </c>
      <c r="U29" s="9"/>
      <c r="W29" s="104">
        <f t="shared" si="33"/>
        <v>86.7</v>
      </c>
      <c r="X29" s="106">
        <f t="shared" si="33"/>
        <v>26</v>
      </c>
      <c r="Y29" s="102">
        <f t="shared" si="34"/>
        <v>114</v>
      </c>
      <c r="Z29" s="109">
        <f t="shared" si="34"/>
        <v>18500</v>
      </c>
      <c r="AA29" s="109">
        <f t="shared" si="35"/>
        <v>0</v>
      </c>
      <c r="AB29" s="109">
        <f t="shared" si="36"/>
        <v>18500</v>
      </c>
      <c r="AC29" s="4">
        <f t="shared" si="36"/>
        <v>0</v>
      </c>
      <c r="AD29" s="105">
        <f t="shared" si="36"/>
        <v>711.53846153846155</v>
      </c>
      <c r="AE29" s="75" t="str">
        <f t="shared" si="37"/>
        <v>계</v>
      </c>
      <c r="AF29" s="75" t="str">
        <f t="shared" si="38"/>
        <v>3/1</v>
      </c>
      <c r="AH29" s="20" t="str">
        <f t="shared" si="1"/>
        <v>우성</v>
      </c>
      <c r="AI29" s="106">
        <f t="shared" si="0"/>
        <v>26</v>
      </c>
      <c r="AJ29" s="75" t="str">
        <f t="shared" si="39"/>
        <v>A-</v>
      </c>
      <c r="AK29" s="75" t="s">
        <v>14</v>
      </c>
      <c r="AL29" s="75" t="s">
        <v>870</v>
      </c>
      <c r="AM29" s="75" t="s">
        <v>871</v>
      </c>
      <c r="AN29" s="75" t="str">
        <f t="shared" si="40"/>
        <v>C</v>
      </c>
      <c r="AO29" s="75" t="str">
        <f t="shared" si="41"/>
        <v>X</v>
      </c>
      <c r="AP29" s="75" t="str">
        <f t="shared" si="42"/>
        <v>O</v>
      </c>
      <c r="AQ29" s="75" t="str">
        <f t="shared" si="43"/>
        <v>O</v>
      </c>
      <c r="AR29" s="75" t="str">
        <f t="shared" si="44"/>
        <v>X</v>
      </c>
      <c r="AS29" s="75" t="s">
        <v>2</v>
      </c>
      <c r="AT29" s="75" t="str">
        <f t="shared" si="45"/>
        <v>O</v>
      </c>
      <c r="AU29" s="75" t="str">
        <f t="shared" si="46"/>
        <v>O</v>
      </c>
      <c r="AV29" s="75" t="str">
        <f t="shared" si="47"/>
        <v>X</v>
      </c>
    </row>
    <row r="30" spans="1:48" x14ac:dyDescent="0.3">
      <c r="A30" s="9" t="s">
        <v>804</v>
      </c>
      <c r="B30" s="10" t="s">
        <v>935</v>
      </c>
      <c r="C30" s="107">
        <v>1763</v>
      </c>
      <c r="D30" s="104">
        <v>94.9</v>
      </c>
      <c r="E30" s="106">
        <v>29</v>
      </c>
      <c r="F30" s="104">
        <v>77.099999999999994</v>
      </c>
      <c r="G30" s="17">
        <v>23</v>
      </c>
      <c r="H30" s="107">
        <v>110</v>
      </c>
      <c r="I30" s="108"/>
      <c r="J30" s="108"/>
      <c r="K30" s="108"/>
      <c r="L30" s="108"/>
      <c r="M30" s="109">
        <f t="shared" si="29"/>
        <v>0</v>
      </c>
      <c r="N30" s="4" t="str">
        <f t="shared" si="30"/>
        <v/>
      </c>
      <c r="O30" s="105">
        <f t="shared" si="31"/>
        <v>0</v>
      </c>
      <c r="P30" s="105">
        <f t="shared" si="32"/>
        <v>0</v>
      </c>
      <c r="Q30" s="75">
        <v>3</v>
      </c>
      <c r="R30" s="75">
        <v>1</v>
      </c>
      <c r="S30" s="75" t="s">
        <v>869</v>
      </c>
      <c r="T30" s="5">
        <v>94</v>
      </c>
      <c r="U30" s="9"/>
      <c r="W30" s="104">
        <f t="shared" si="33"/>
        <v>94.9</v>
      </c>
      <c r="X30" s="106">
        <f t="shared" si="33"/>
        <v>29</v>
      </c>
      <c r="Y30" s="102">
        <f t="shared" si="34"/>
        <v>110</v>
      </c>
      <c r="Z30" s="109">
        <f t="shared" si="34"/>
        <v>0</v>
      </c>
      <c r="AA30" s="109">
        <f t="shared" si="35"/>
        <v>0</v>
      </c>
      <c r="AB30" s="109">
        <f t="shared" si="36"/>
        <v>0</v>
      </c>
      <c r="AC30" s="4" t="str">
        <f t="shared" si="36"/>
        <v/>
      </c>
      <c r="AD30" s="105">
        <f t="shared" si="36"/>
        <v>0</v>
      </c>
      <c r="AE30" s="75" t="str">
        <f t="shared" si="37"/>
        <v>계</v>
      </c>
      <c r="AF30" s="75" t="str">
        <f t="shared" si="38"/>
        <v>3/1</v>
      </c>
      <c r="AH30" s="20" t="str">
        <f t="shared" si="1"/>
        <v>우성</v>
      </c>
      <c r="AI30" s="106">
        <f t="shared" si="0"/>
        <v>29</v>
      </c>
      <c r="AJ30" s="75" t="str">
        <f t="shared" si="39"/>
        <v>A-</v>
      </c>
      <c r="AK30" s="75" t="s">
        <v>14</v>
      </c>
      <c r="AL30" s="75" t="s">
        <v>870</v>
      </c>
      <c r="AM30" s="75" t="s">
        <v>871</v>
      </c>
      <c r="AN30" s="75" t="str">
        <f t="shared" si="40"/>
        <v>C</v>
      </c>
      <c r="AO30" s="75" t="str">
        <f t="shared" si="41"/>
        <v/>
      </c>
      <c r="AP30" s="75" t="str">
        <f t="shared" si="42"/>
        <v/>
      </c>
      <c r="AQ30" s="75" t="str">
        <f t="shared" si="43"/>
        <v>O</v>
      </c>
      <c r="AR30" s="75" t="str">
        <f t="shared" si="44"/>
        <v>O</v>
      </c>
      <c r="AS30" s="75" t="s">
        <v>2</v>
      </c>
      <c r="AT30" s="75" t="str">
        <f t="shared" si="45"/>
        <v>O</v>
      </c>
      <c r="AU30" s="75" t="str">
        <f t="shared" si="46"/>
        <v>O</v>
      </c>
      <c r="AV30" s="75" t="str">
        <f t="shared" si="47"/>
        <v/>
      </c>
    </row>
    <row r="31" spans="1:48" x14ac:dyDescent="0.3">
      <c r="A31" s="9" t="s">
        <v>804</v>
      </c>
      <c r="B31" s="10" t="s">
        <v>935</v>
      </c>
      <c r="C31" s="107">
        <v>1763</v>
      </c>
      <c r="D31" s="104">
        <v>103.5</v>
      </c>
      <c r="E31" s="106">
        <v>31</v>
      </c>
      <c r="F31" s="104">
        <v>84.8</v>
      </c>
      <c r="G31" s="17">
        <v>26</v>
      </c>
      <c r="H31" s="107">
        <v>785</v>
      </c>
      <c r="I31" s="108">
        <v>21000</v>
      </c>
      <c r="J31" s="108" t="s">
        <v>914</v>
      </c>
      <c r="K31" s="108">
        <v>18000</v>
      </c>
      <c r="L31" s="108" t="s">
        <v>883</v>
      </c>
      <c r="M31" s="109">
        <f t="shared" si="29"/>
        <v>3000</v>
      </c>
      <c r="N31" s="4">
        <f t="shared" si="30"/>
        <v>0.8571428571428571</v>
      </c>
      <c r="O31" s="105">
        <f t="shared" si="31"/>
        <v>677.41935483870964</v>
      </c>
      <c r="P31" s="105">
        <f t="shared" si="32"/>
        <v>580.64516129032256</v>
      </c>
      <c r="Q31" s="75">
        <v>3</v>
      </c>
      <c r="R31" s="75">
        <v>2</v>
      </c>
      <c r="S31" s="75" t="s">
        <v>869</v>
      </c>
      <c r="T31" s="5">
        <v>103</v>
      </c>
      <c r="U31" s="9"/>
      <c r="W31" s="104">
        <f t="shared" si="33"/>
        <v>103.5</v>
      </c>
      <c r="X31" s="106">
        <f t="shared" si="33"/>
        <v>31</v>
      </c>
      <c r="Y31" s="102">
        <f t="shared" si="34"/>
        <v>785</v>
      </c>
      <c r="Z31" s="109">
        <f t="shared" si="34"/>
        <v>21000</v>
      </c>
      <c r="AA31" s="109">
        <f t="shared" si="35"/>
        <v>18000</v>
      </c>
      <c r="AB31" s="109">
        <f t="shared" si="36"/>
        <v>3000</v>
      </c>
      <c r="AC31" s="4">
        <f t="shared" si="36"/>
        <v>0.8571428571428571</v>
      </c>
      <c r="AD31" s="105">
        <f t="shared" si="36"/>
        <v>677.41935483870964</v>
      </c>
      <c r="AE31" s="75" t="str">
        <f t="shared" si="37"/>
        <v>계</v>
      </c>
      <c r="AF31" s="75" t="str">
        <f t="shared" si="38"/>
        <v>3/2</v>
      </c>
      <c r="AH31" s="20" t="str">
        <f t="shared" si="1"/>
        <v>우성</v>
      </c>
      <c r="AI31" s="106">
        <f t="shared" si="0"/>
        <v>31</v>
      </c>
      <c r="AJ31" s="75" t="str">
        <f t="shared" si="39"/>
        <v>A-</v>
      </c>
      <c r="AK31" s="75" t="s">
        <v>14</v>
      </c>
      <c r="AL31" s="75" t="s">
        <v>870</v>
      </c>
      <c r="AM31" s="75" t="s">
        <v>871</v>
      </c>
      <c r="AN31" s="75" t="str">
        <f t="shared" si="40"/>
        <v>C</v>
      </c>
      <c r="AO31" s="75" t="str">
        <f t="shared" si="41"/>
        <v>O</v>
      </c>
      <c r="AP31" s="75" t="str">
        <f t="shared" si="42"/>
        <v>O</v>
      </c>
      <c r="AQ31" s="75" t="str">
        <f t="shared" si="43"/>
        <v>O</v>
      </c>
      <c r="AR31" s="75" t="str">
        <f t="shared" si="44"/>
        <v>O</v>
      </c>
      <c r="AS31" s="75" t="s">
        <v>2</v>
      </c>
      <c r="AT31" s="75" t="str">
        <f t="shared" si="45"/>
        <v>O</v>
      </c>
      <c r="AU31" s="75" t="str">
        <f t="shared" si="46"/>
        <v>O</v>
      </c>
      <c r="AV31" s="75" t="str">
        <f t="shared" si="47"/>
        <v>후보</v>
      </c>
    </row>
    <row r="32" spans="1:48" x14ac:dyDescent="0.3">
      <c r="A32" s="9" t="s">
        <v>804</v>
      </c>
      <c r="B32" s="10" t="s">
        <v>935</v>
      </c>
      <c r="C32" s="107">
        <v>1763</v>
      </c>
      <c r="D32" s="104">
        <v>123</v>
      </c>
      <c r="E32" s="106">
        <v>37</v>
      </c>
      <c r="F32" s="104">
        <v>101.7</v>
      </c>
      <c r="G32" s="17">
        <v>31</v>
      </c>
      <c r="H32" s="107">
        <v>50</v>
      </c>
      <c r="I32" s="108"/>
      <c r="J32" s="108"/>
      <c r="K32" s="108"/>
      <c r="L32" s="108"/>
      <c r="M32" s="109">
        <f t="shared" si="29"/>
        <v>0</v>
      </c>
      <c r="N32" s="4" t="str">
        <f t="shared" si="30"/>
        <v/>
      </c>
      <c r="O32" s="105">
        <f t="shared" si="31"/>
        <v>0</v>
      </c>
      <c r="P32" s="105">
        <f t="shared" si="32"/>
        <v>0</v>
      </c>
      <c r="Q32" s="75">
        <v>4</v>
      </c>
      <c r="R32" s="75">
        <v>2</v>
      </c>
      <c r="S32" s="75" t="s">
        <v>869</v>
      </c>
      <c r="T32" s="5">
        <v>123</v>
      </c>
      <c r="U32" s="9"/>
      <c r="W32" s="104">
        <f t="shared" si="33"/>
        <v>123</v>
      </c>
      <c r="X32" s="106">
        <f t="shared" si="33"/>
        <v>37</v>
      </c>
      <c r="Y32" s="102">
        <f t="shared" si="34"/>
        <v>50</v>
      </c>
      <c r="Z32" s="109">
        <f t="shared" si="34"/>
        <v>0</v>
      </c>
      <c r="AA32" s="109">
        <f t="shared" si="35"/>
        <v>0</v>
      </c>
      <c r="AB32" s="109">
        <f t="shared" si="36"/>
        <v>0</v>
      </c>
      <c r="AC32" s="4" t="str">
        <f t="shared" si="36"/>
        <v/>
      </c>
      <c r="AD32" s="105">
        <f t="shared" si="36"/>
        <v>0</v>
      </c>
      <c r="AE32" s="75" t="str">
        <f t="shared" si="37"/>
        <v>계</v>
      </c>
      <c r="AF32" s="75" t="str">
        <f t="shared" si="38"/>
        <v>4/2</v>
      </c>
      <c r="AH32" s="20" t="str">
        <f t="shared" si="1"/>
        <v>우성</v>
      </c>
      <c r="AI32" s="106">
        <f t="shared" si="0"/>
        <v>37</v>
      </c>
      <c r="AJ32" s="75" t="str">
        <f t="shared" si="39"/>
        <v>A-</v>
      </c>
      <c r="AK32" s="75" t="s">
        <v>14</v>
      </c>
      <c r="AL32" s="75" t="s">
        <v>870</v>
      </c>
      <c r="AM32" s="75" t="s">
        <v>871</v>
      </c>
      <c r="AN32" s="75" t="str">
        <f t="shared" si="40"/>
        <v>C</v>
      </c>
      <c r="AO32" s="75" t="str">
        <f t="shared" si="41"/>
        <v/>
      </c>
      <c r="AP32" s="75" t="str">
        <f t="shared" si="42"/>
        <v/>
      </c>
      <c r="AQ32" s="75" t="str">
        <f t="shared" si="43"/>
        <v>O</v>
      </c>
      <c r="AR32" s="75" t="str">
        <f t="shared" si="44"/>
        <v>O</v>
      </c>
      <c r="AS32" s="75" t="s">
        <v>2</v>
      </c>
      <c r="AT32" s="75" t="str">
        <f t="shared" si="45"/>
        <v>X</v>
      </c>
      <c r="AU32" s="75" t="str">
        <f t="shared" si="46"/>
        <v>O</v>
      </c>
      <c r="AV32" s="75" t="str">
        <f t="shared" si="47"/>
        <v/>
      </c>
    </row>
    <row r="33" spans="1:48" x14ac:dyDescent="0.3">
      <c r="A33" s="9" t="s">
        <v>804</v>
      </c>
      <c r="B33" s="10" t="s">
        <v>935</v>
      </c>
      <c r="C33" s="107">
        <v>1763</v>
      </c>
      <c r="D33" s="104">
        <v>153.4</v>
      </c>
      <c r="E33" s="106">
        <v>46</v>
      </c>
      <c r="F33" s="104">
        <v>129.6</v>
      </c>
      <c r="G33" s="17">
        <v>39</v>
      </c>
      <c r="H33" s="107">
        <v>156</v>
      </c>
      <c r="I33" s="108"/>
      <c r="J33" s="108"/>
      <c r="K33" s="108"/>
      <c r="L33" s="108"/>
      <c r="M33" s="109">
        <f t="shared" si="29"/>
        <v>0</v>
      </c>
      <c r="N33" s="4" t="str">
        <f t="shared" si="30"/>
        <v/>
      </c>
      <c r="O33" s="105">
        <f t="shared" si="31"/>
        <v>0</v>
      </c>
      <c r="P33" s="105">
        <f t="shared" si="32"/>
        <v>0</v>
      </c>
      <c r="Q33" s="75">
        <v>4</v>
      </c>
      <c r="R33" s="75">
        <v>2</v>
      </c>
      <c r="S33" s="75" t="s">
        <v>869</v>
      </c>
      <c r="T33" s="5">
        <v>153</v>
      </c>
      <c r="U33" s="9"/>
      <c r="W33" s="104">
        <f t="shared" si="33"/>
        <v>153.4</v>
      </c>
      <c r="X33" s="106">
        <f t="shared" si="33"/>
        <v>46</v>
      </c>
      <c r="Y33" s="102">
        <f t="shared" si="34"/>
        <v>156</v>
      </c>
      <c r="Z33" s="109">
        <f t="shared" si="34"/>
        <v>0</v>
      </c>
      <c r="AA33" s="109">
        <f t="shared" si="35"/>
        <v>0</v>
      </c>
      <c r="AB33" s="109">
        <f t="shared" si="36"/>
        <v>0</v>
      </c>
      <c r="AC33" s="4" t="str">
        <f t="shared" si="36"/>
        <v/>
      </c>
      <c r="AD33" s="105">
        <f t="shared" si="36"/>
        <v>0</v>
      </c>
      <c r="AE33" s="75" t="str">
        <f t="shared" si="37"/>
        <v>계</v>
      </c>
      <c r="AF33" s="75" t="str">
        <f t="shared" si="38"/>
        <v>4/2</v>
      </c>
      <c r="AH33" s="20" t="str">
        <f t="shared" si="1"/>
        <v>우성</v>
      </c>
      <c r="AI33" s="106">
        <f t="shared" si="0"/>
        <v>46</v>
      </c>
      <c r="AJ33" s="75" t="str">
        <f t="shared" si="39"/>
        <v>A-</v>
      </c>
      <c r="AK33" s="75" t="s">
        <v>14</v>
      </c>
      <c r="AL33" s="75" t="s">
        <v>870</v>
      </c>
      <c r="AM33" s="75" t="s">
        <v>871</v>
      </c>
      <c r="AN33" s="75" t="str">
        <f t="shared" si="40"/>
        <v>C</v>
      </c>
      <c r="AO33" s="75" t="str">
        <f t="shared" si="41"/>
        <v/>
      </c>
      <c r="AP33" s="75" t="str">
        <f t="shared" si="42"/>
        <v/>
      </c>
      <c r="AQ33" s="75" t="str">
        <f t="shared" si="43"/>
        <v>O</v>
      </c>
      <c r="AR33" s="75" t="str">
        <f t="shared" si="44"/>
        <v>O</v>
      </c>
      <c r="AS33" s="75" t="s">
        <v>2</v>
      </c>
      <c r="AT33" s="75" t="str">
        <f t="shared" si="45"/>
        <v>X</v>
      </c>
      <c r="AU33" s="75" t="str">
        <f t="shared" si="46"/>
        <v>O</v>
      </c>
      <c r="AV33" s="75" t="str">
        <f t="shared" si="47"/>
        <v/>
      </c>
    </row>
    <row r="34" spans="1:48" x14ac:dyDescent="0.3">
      <c r="A34" s="9"/>
      <c r="B34" s="75"/>
      <c r="C34" s="6"/>
      <c r="D34" s="9"/>
      <c r="E34" s="14"/>
      <c r="F34" s="104"/>
      <c r="G34" s="9"/>
      <c r="H34" s="9"/>
      <c r="I34" s="9"/>
      <c r="J34" s="9"/>
      <c r="K34" s="9"/>
      <c r="L34" s="9"/>
      <c r="M34" s="9"/>
      <c r="N34" s="9"/>
      <c r="O34" s="105"/>
      <c r="P34" s="105"/>
      <c r="Q34" s="106"/>
      <c r="R34" s="106"/>
      <c r="S34" s="9"/>
      <c r="T34" s="48"/>
      <c r="U34" s="9"/>
      <c r="W34" s="70" t="str">
        <f>$A$4&amp;" "&amp;A35&amp;"("&amp;B35&amp;","&amp;C35&amp;"^)"</f>
        <v>풍호동 풍호시영('91.01.,460^)</v>
      </c>
      <c r="X34" s="71"/>
      <c r="Y34" s="71"/>
      <c r="Z34" s="71"/>
      <c r="AA34" s="71"/>
      <c r="AB34" s="71"/>
      <c r="AC34" s="71"/>
      <c r="AD34" s="71"/>
      <c r="AE34" s="71"/>
      <c r="AF34" s="72"/>
      <c r="AH34" s="20" t="str">
        <f t="shared" si="1"/>
        <v/>
      </c>
      <c r="AI34" s="103" t="str">
        <f t="shared" si="0"/>
        <v/>
      </c>
      <c r="AJ34" s="75"/>
      <c r="AK34" s="75"/>
      <c r="AL34" s="75"/>
      <c r="AM34" s="75"/>
      <c r="AN34" s="75"/>
      <c r="AO34" s="75"/>
      <c r="AP34" s="75"/>
      <c r="AQ34" s="75"/>
      <c r="AR34" s="75"/>
      <c r="AS34" s="75"/>
      <c r="AT34" s="75"/>
      <c r="AU34" s="75"/>
      <c r="AV34" s="75"/>
    </row>
    <row r="35" spans="1:48" x14ac:dyDescent="0.3">
      <c r="A35" s="9" t="s">
        <v>818</v>
      </c>
      <c r="B35" s="10" t="s">
        <v>936</v>
      </c>
      <c r="C35" s="107">
        <v>460</v>
      </c>
      <c r="D35" s="104">
        <v>58.8</v>
      </c>
      <c r="E35" s="106">
        <v>18</v>
      </c>
      <c r="F35" s="104">
        <v>49.8</v>
      </c>
      <c r="G35" s="17">
        <v>15</v>
      </c>
      <c r="H35" s="107">
        <v>460</v>
      </c>
      <c r="I35" s="108">
        <v>14000</v>
      </c>
      <c r="J35" s="108" t="s">
        <v>873</v>
      </c>
      <c r="K35" s="108">
        <v>9000</v>
      </c>
      <c r="L35" s="108" t="s">
        <v>878</v>
      </c>
      <c r="M35" s="109">
        <f>I35-K35</f>
        <v>5000</v>
      </c>
      <c r="N35" s="4">
        <f>IF(ISERROR(K35/I35),"",K35/I35)</f>
        <v>0.6428571428571429</v>
      </c>
      <c r="O35" s="105">
        <f>I35/E35</f>
        <v>777.77777777777783</v>
      </c>
      <c r="P35" s="105">
        <f>K35/E35</f>
        <v>500</v>
      </c>
      <c r="Q35" s="75">
        <v>2</v>
      </c>
      <c r="R35" s="75">
        <v>1</v>
      </c>
      <c r="S35" s="75" t="s">
        <v>869</v>
      </c>
      <c r="T35" s="5">
        <v>58</v>
      </c>
      <c r="U35" s="9"/>
      <c r="W35" s="104">
        <f>D35</f>
        <v>58.8</v>
      </c>
      <c r="X35" s="106">
        <f>E35</f>
        <v>18</v>
      </c>
      <c r="Y35" s="102">
        <f>H35</f>
        <v>460</v>
      </c>
      <c r="Z35" s="109">
        <f>I35</f>
        <v>14000</v>
      </c>
      <c r="AA35" s="109">
        <f>K35</f>
        <v>9000</v>
      </c>
      <c r="AB35" s="109">
        <f>M35</f>
        <v>5000</v>
      </c>
      <c r="AC35" s="4">
        <f>N35</f>
        <v>0.6428571428571429</v>
      </c>
      <c r="AD35" s="105">
        <f>O35</f>
        <v>777.77777777777783</v>
      </c>
      <c r="AE35" s="75" t="str">
        <f>S35</f>
        <v>계</v>
      </c>
      <c r="AF35" s="75" t="str">
        <f>Q35&amp;"/"&amp;R35</f>
        <v>2/1</v>
      </c>
      <c r="AH35" s="20" t="str">
        <f t="shared" si="1"/>
        <v>풍호시영</v>
      </c>
      <c r="AI35" s="106">
        <f t="shared" si="0"/>
        <v>18</v>
      </c>
      <c r="AJ35" s="75" t="str">
        <f>IF(AI35="","",$AJ$2)</f>
        <v>A-</v>
      </c>
      <c r="AK35" s="75" t="s">
        <v>14</v>
      </c>
      <c r="AL35" s="75" t="s">
        <v>870</v>
      </c>
      <c r="AM35" s="75" t="s">
        <v>871</v>
      </c>
      <c r="AN35" s="75" t="str">
        <f>IF(AI35="","",$AN$2)</f>
        <v>C</v>
      </c>
      <c r="AO35" s="75" t="str">
        <f>IF(N35="","",IF(N35&gt;=$AO$1/100,"O","X"))</f>
        <v>X</v>
      </c>
      <c r="AP35" s="75" t="str">
        <f>IF(I35="","",IF(I35&lt;=$AP$1,"O","X"))</f>
        <v>O</v>
      </c>
      <c r="AQ35" s="75" t="str">
        <f>IF(O35="","",IF(O35&lt;=$AQ$1,"O","X"))</f>
        <v>O</v>
      </c>
      <c r="AR35" s="75" t="str">
        <f>IF(M35="","",IF(M35&lt;=$AR$1,"O","X"))</f>
        <v>O</v>
      </c>
      <c r="AS35" s="75" t="s">
        <v>2</v>
      </c>
      <c r="AT35" s="75" t="str">
        <f>IF(OR(F35="",AI35=""),"",IF(AND((F35&lt;=85),(AI35&gt;=15)),"O","X"))</f>
        <v>O</v>
      </c>
      <c r="AU35" s="75" t="str">
        <f>IF(C35="","",IF(C35&gt;=$AU$1,"O","X"))</f>
        <v>O</v>
      </c>
      <c r="AV35" s="75" t="str">
        <f>IF(AO35="","",IF(AND(AO35="O",AP35="O",AR35="O",AT35="O",AU35="O"),"후보","X"))</f>
        <v>X</v>
      </c>
    </row>
    <row r="36" spans="1:48" x14ac:dyDescent="0.3">
      <c r="A36" s="9"/>
      <c r="B36" s="75"/>
      <c r="C36" s="6"/>
      <c r="D36" s="9"/>
      <c r="E36" s="14"/>
      <c r="F36" s="104"/>
      <c r="G36" s="9"/>
      <c r="H36" s="9"/>
      <c r="I36" s="9"/>
      <c r="J36" s="9"/>
      <c r="K36" s="9"/>
      <c r="L36" s="9"/>
      <c r="M36" s="9"/>
      <c r="N36" s="9"/>
      <c r="O36" s="105"/>
      <c r="P36" s="105"/>
      <c r="Q36" s="106"/>
      <c r="R36" s="106"/>
      <c r="S36" s="9"/>
      <c r="T36" s="48"/>
      <c r="U36" s="9"/>
      <c r="W36" s="70" t="str">
        <f>$A$4&amp;" "&amp;A37&amp;"("&amp;B37&amp;","&amp;C37&amp;"^)"</f>
        <v>풍호동 창원마린푸르지오2단지('15.10.,310^)</v>
      </c>
      <c r="X36" s="71"/>
      <c r="Y36" s="71"/>
      <c r="Z36" s="71"/>
      <c r="AA36" s="71"/>
      <c r="AB36" s="71"/>
      <c r="AC36" s="71"/>
      <c r="AD36" s="71"/>
      <c r="AE36" s="71"/>
      <c r="AF36" s="72"/>
      <c r="AH36" s="20" t="str">
        <f t="shared" si="1"/>
        <v/>
      </c>
      <c r="AI36" s="103" t="str">
        <f t="shared" si="0"/>
        <v/>
      </c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</row>
    <row r="37" spans="1:48" x14ac:dyDescent="0.3">
      <c r="A37" s="9" t="s">
        <v>832</v>
      </c>
      <c r="B37" s="10" t="s">
        <v>933</v>
      </c>
      <c r="C37" s="107">
        <v>310</v>
      </c>
      <c r="D37" s="104">
        <v>112.9</v>
      </c>
      <c r="E37" s="106">
        <v>34</v>
      </c>
      <c r="F37" s="104">
        <v>85</v>
      </c>
      <c r="G37" s="17">
        <v>26</v>
      </c>
      <c r="H37" s="107">
        <v>79</v>
      </c>
      <c r="I37" s="108">
        <v>45000</v>
      </c>
      <c r="J37" s="108" t="s">
        <v>896</v>
      </c>
      <c r="K37" s="108">
        <v>36000</v>
      </c>
      <c r="L37" s="108" t="s">
        <v>914</v>
      </c>
      <c r="M37" s="109">
        <f>I37-K37</f>
        <v>9000</v>
      </c>
      <c r="N37" s="4">
        <f>IF(ISERROR(K37/I37),"",K37/I37)</f>
        <v>0.8</v>
      </c>
      <c r="O37" s="105">
        <f>I37/E37</f>
        <v>1323.5294117647059</v>
      </c>
      <c r="P37" s="105">
        <f>K37/E37</f>
        <v>1058.8235294117646</v>
      </c>
      <c r="Q37" s="75">
        <v>3</v>
      </c>
      <c r="R37" s="75">
        <v>2</v>
      </c>
      <c r="S37" s="75" t="s">
        <v>869</v>
      </c>
      <c r="T37" s="5" t="s">
        <v>121</v>
      </c>
      <c r="U37" s="9"/>
      <c r="W37" s="104">
        <f t="shared" ref="W37:X39" si="48">D37</f>
        <v>112.9</v>
      </c>
      <c r="X37" s="106">
        <f t="shared" si="48"/>
        <v>34</v>
      </c>
      <c r="Y37" s="102">
        <f t="shared" ref="Y37:Z39" si="49">H37</f>
        <v>79</v>
      </c>
      <c r="Z37" s="109">
        <f t="shared" si="49"/>
        <v>45000</v>
      </c>
      <c r="AA37" s="109">
        <f>K37</f>
        <v>36000</v>
      </c>
      <c r="AB37" s="109">
        <f t="shared" ref="AB37:AD39" si="50">M37</f>
        <v>9000</v>
      </c>
      <c r="AC37" s="4">
        <f t="shared" si="50"/>
        <v>0.8</v>
      </c>
      <c r="AD37" s="105">
        <f t="shared" si="50"/>
        <v>1323.5294117647059</v>
      </c>
      <c r="AE37" s="75" t="str">
        <f>S37</f>
        <v>계</v>
      </c>
      <c r="AF37" s="75" t="str">
        <f>Q37&amp;"/"&amp;R37</f>
        <v>3/2</v>
      </c>
      <c r="AH37" s="20" t="str">
        <f t="shared" si="1"/>
        <v>창원마린푸르지오2단지</v>
      </c>
      <c r="AI37" s="106">
        <f t="shared" si="0"/>
        <v>34</v>
      </c>
      <c r="AJ37" s="75" t="str">
        <f>IF(AI37="","",$AJ$2)</f>
        <v>A-</v>
      </c>
      <c r="AK37" s="75" t="s">
        <v>14</v>
      </c>
      <c r="AL37" s="75" t="s">
        <v>870</v>
      </c>
      <c r="AM37" s="75" t="s">
        <v>871</v>
      </c>
      <c r="AN37" s="75" t="str">
        <f>IF(AI37="","",$AN$2)</f>
        <v>C</v>
      </c>
      <c r="AO37" s="75" t="str">
        <f>IF(N37="","",IF(N37&gt;=$AO$1/100,"O","X"))</f>
        <v>O</v>
      </c>
      <c r="AP37" s="75" t="str">
        <f>IF(I37="","",IF(I37&lt;=$AP$1,"O","X"))</f>
        <v>O</v>
      </c>
      <c r="AQ37" s="75" t="str">
        <f>IF(O37="","",IF(O37&lt;=$AQ$1,"O","X"))</f>
        <v>X</v>
      </c>
      <c r="AR37" s="75" t="str">
        <f>IF(M37="","",IF(M37&lt;=$AR$1,"O","X"))</f>
        <v>X</v>
      </c>
      <c r="AS37" s="75" t="s">
        <v>2</v>
      </c>
      <c r="AT37" s="75" t="str">
        <f>IF(OR(F37="",AI37=""),"",IF(AND((F37&lt;=85),(AI37&gt;=15)),"O","X"))</f>
        <v>O</v>
      </c>
      <c r="AU37" s="75" t="str">
        <f>IF(C37="","",IF(C37&gt;=$AU$1,"O","X"))</f>
        <v>O</v>
      </c>
      <c r="AV37" s="75" t="str">
        <f>IF(AO37="","",IF(AND(AO37="O",AP37="O",AR37="O",AT37="O",AU37="O"),"후보","X"))</f>
        <v>X</v>
      </c>
    </row>
    <row r="38" spans="1:48" x14ac:dyDescent="0.3">
      <c r="A38" s="9" t="s">
        <v>832</v>
      </c>
      <c r="B38" s="10" t="s">
        <v>933</v>
      </c>
      <c r="C38" s="107">
        <v>310</v>
      </c>
      <c r="D38" s="104">
        <v>112.9</v>
      </c>
      <c r="E38" s="106">
        <v>34</v>
      </c>
      <c r="F38" s="104">
        <v>85</v>
      </c>
      <c r="G38" s="17">
        <v>26</v>
      </c>
      <c r="H38" s="107">
        <v>78</v>
      </c>
      <c r="I38" s="108">
        <v>45000</v>
      </c>
      <c r="J38" s="108" t="s">
        <v>896</v>
      </c>
      <c r="K38" s="108">
        <v>36000</v>
      </c>
      <c r="L38" s="108" t="s">
        <v>914</v>
      </c>
      <c r="M38" s="109">
        <f>I38-K38</f>
        <v>9000</v>
      </c>
      <c r="N38" s="4">
        <f>IF(ISERROR(K38/I38),"",K38/I38)</f>
        <v>0.8</v>
      </c>
      <c r="O38" s="105">
        <f>I38/E38</f>
        <v>1323.5294117647059</v>
      </c>
      <c r="P38" s="105">
        <f>K38/E38</f>
        <v>1058.8235294117646</v>
      </c>
      <c r="Q38" s="75">
        <v>3</v>
      </c>
      <c r="R38" s="75">
        <v>2</v>
      </c>
      <c r="S38" s="75" t="s">
        <v>869</v>
      </c>
      <c r="T38" s="5" t="s">
        <v>509</v>
      </c>
      <c r="U38" s="9"/>
      <c r="W38" s="104">
        <f t="shared" si="48"/>
        <v>112.9</v>
      </c>
      <c r="X38" s="106">
        <f t="shared" si="48"/>
        <v>34</v>
      </c>
      <c r="Y38" s="102">
        <f t="shared" si="49"/>
        <v>78</v>
      </c>
      <c r="Z38" s="109">
        <f t="shared" si="49"/>
        <v>45000</v>
      </c>
      <c r="AA38" s="109">
        <f>K38</f>
        <v>36000</v>
      </c>
      <c r="AB38" s="109">
        <f t="shared" si="50"/>
        <v>9000</v>
      </c>
      <c r="AC38" s="4">
        <f t="shared" si="50"/>
        <v>0.8</v>
      </c>
      <c r="AD38" s="105">
        <f t="shared" si="50"/>
        <v>1323.5294117647059</v>
      </c>
      <c r="AE38" s="75" t="str">
        <f>S38</f>
        <v>계</v>
      </c>
      <c r="AF38" s="75" t="str">
        <f>Q38&amp;"/"&amp;R38</f>
        <v>3/2</v>
      </c>
      <c r="AH38" s="20" t="str">
        <f t="shared" si="1"/>
        <v>창원마린푸르지오2단지</v>
      </c>
      <c r="AI38" s="106">
        <f t="shared" si="0"/>
        <v>34</v>
      </c>
      <c r="AJ38" s="75" t="str">
        <f>IF(AI38="","",$AJ$2)</f>
        <v>A-</v>
      </c>
      <c r="AK38" s="75" t="s">
        <v>14</v>
      </c>
      <c r="AL38" s="75" t="s">
        <v>870</v>
      </c>
      <c r="AM38" s="75" t="s">
        <v>871</v>
      </c>
      <c r="AN38" s="75" t="str">
        <f>IF(AI38="","",$AN$2)</f>
        <v>C</v>
      </c>
      <c r="AO38" s="75" t="str">
        <f>IF(N38="","",IF(N38&gt;=$AO$1/100,"O","X"))</f>
        <v>O</v>
      </c>
      <c r="AP38" s="75" t="str">
        <f>IF(I38="","",IF(I38&lt;=$AP$1,"O","X"))</f>
        <v>O</v>
      </c>
      <c r="AQ38" s="75" t="str">
        <f>IF(O38="","",IF(O38&lt;=$AQ$1,"O","X"))</f>
        <v>X</v>
      </c>
      <c r="AR38" s="75" t="str">
        <f>IF(M38="","",IF(M38&lt;=$AR$1,"O","X"))</f>
        <v>X</v>
      </c>
      <c r="AS38" s="75" t="s">
        <v>2</v>
      </c>
      <c r="AT38" s="75" t="str">
        <f>IF(OR(F38="",AI38=""),"",IF(AND((F38&lt;=85),(AI38&gt;=15)),"O","X"))</f>
        <v>O</v>
      </c>
      <c r="AU38" s="75" t="str">
        <f>IF(C38="","",IF(C38&gt;=$AU$1,"O","X"))</f>
        <v>O</v>
      </c>
      <c r="AV38" s="75" t="str">
        <f>IF(AO38="","",IF(AND(AO38="O",AP38="O",AR38="O",AT38="O",AU38="O"),"후보","X"))</f>
        <v>X</v>
      </c>
    </row>
    <row r="39" spans="1:48" x14ac:dyDescent="0.3">
      <c r="A39" s="9" t="s">
        <v>832</v>
      </c>
      <c r="B39" s="10" t="s">
        <v>933</v>
      </c>
      <c r="C39" s="107">
        <v>310</v>
      </c>
      <c r="D39" s="104">
        <v>113.7</v>
      </c>
      <c r="E39" s="106">
        <v>34</v>
      </c>
      <c r="F39" s="104">
        <v>85</v>
      </c>
      <c r="G39" s="17">
        <v>26</v>
      </c>
      <c r="H39" s="107">
        <v>153</v>
      </c>
      <c r="I39" s="108">
        <v>45000</v>
      </c>
      <c r="J39" s="108" t="s">
        <v>868</v>
      </c>
      <c r="K39" s="108">
        <v>35000</v>
      </c>
      <c r="L39" s="108" t="s">
        <v>868</v>
      </c>
      <c r="M39" s="109">
        <f>I39-K39</f>
        <v>10000</v>
      </c>
      <c r="N39" s="4">
        <f>IF(ISERROR(K39/I39),"",K39/I39)</f>
        <v>0.77777777777777779</v>
      </c>
      <c r="O39" s="105">
        <f>I39/E39</f>
        <v>1323.5294117647059</v>
      </c>
      <c r="P39" s="105">
        <f>K39/E39</f>
        <v>1029.4117647058824</v>
      </c>
      <c r="Q39" s="75">
        <v>3</v>
      </c>
      <c r="R39" s="75">
        <v>2</v>
      </c>
      <c r="S39" s="75" t="s">
        <v>869</v>
      </c>
      <c r="T39" s="5" t="s">
        <v>513</v>
      </c>
      <c r="U39" s="9"/>
      <c r="W39" s="104">
        <f t="shared" si="48"/>
        <v>113.7</v>
      </c>
      <c r="X39" s="106">
        <f t="shared" si="48"/>
        <v>34</v>
      </c>
      <c r="Y39" s="102">
        <f t="shared" si="49"/>
        <v>153</v>
      </c>
      <c r="Z39" s="109">
        <f t="shared" si="49"/>
        <v>45000</v>
      </c>
      <c r="AA39" s="109">
        <f>K39</f>
        <v>35000</v>
      </c>
      <c r="AB39" s="109">
        <f t="shared" si="50"/>
        <v>10000</v>
      </c>
      <c r="AC39" s="4">
        <f t="shared" si="50"/>
        <v>0.77777777777777779</v>
      </c>
      <c r="AD39" s="105">
        <f t="shared" si="50"/>
        <v>1323.5294117647059</v>
      </c>
      <c r="AE39" s="75" t="str">
        <f>S39</f>
        <v>계</v>
      </c>
      <c r="AF39" s="75" t="str">
        <f>Q39&amp;"/"&amp;R39</f>
        <v>3/2</v>
      </c>
      <c r="AH39" s="20" t="str">
        <f t="shared" si="1"/>
        <v>창원마린푸르지오2단지</v>
      </c>
      <c r="AI39" s="106">
        <f t="shared" si="0"/>
        <v>34</v>
      </c>
      <c r="AJ39" s="75" t="str">
        <f>IF(AI39="","",$AJ$2)</f>
        <v>A-</v>
      </c>
      <c r="AK39" s="75" t="s">
        <v>14</v>
      </c>
      <c r="AL39" s="75" t="s">
        <v>870</v>
      </c>
      <c r="AM39" s="75" t="s">
        <v>871</v>
      </c>
      <c r="AN39" s="75" t="str">
        <f>IF(AI39="","",$AN$2)</f>
        <v>C</v>
      </c>
      <c r="AO39" s="75" t="str">
        <f>IF(N39="","",IF(N39&gt;=$AO$1/100,"O","X"))</f>
        <v>X</v>
      </c>
      <c r="AP39" s="75" t="str">
        <f>IF(I39="","",IF(I39&lt;=$AP$1,"O","X"))</f>
        <v>O</v>
      </c>
      <c r="AQ39" s="75" t="str">
        <f>IF(O39="","",IF(O39&lt;=$AQ$1,"O","X"))</f>
        <v>X</v>
      </c>
      <c r="AR39" s="75" t="str">
        <f>IF(M39="","",IF(M39&lt;=$AR$1,"O","X"))</f>
        <v>X</v>
      </c>
      <c r="AS39" s="75" t="s">
        <v>2</v>
      </c>
      <c r="AT39" s="75" t="str">
        <f>IF(OR(F39="",AI39=""),"",IF(AND((F39&lt;=85),(AI39&gt;=15)),"O","X"))</f>
        <v>O</v>
      </c>
      <c r="AU39" s="75" t="str">
        <f>IF(C39="","",IF(C39&gt;=$AU$1,"O","X"))</f>
        <v>O</v>
      </c>
      <c r="AV39" s="75" t="str">
        <f>IF(AO39="","",IF(AND(AO39="O",AP39="O",AR39="O",AT39="O",AU39="O"),"후보","X"))</f>
        <v>X</v>
      </c>
    </row>
    <row r="40" spans="1:48" x14ac:dyDescent="0.3">
      <c r="A40" s="9"/>
      <c r="B40" s="75"/>
      <c r="C40" s="6"/>
      <c r="D40" s="9"/>
      <c r="E40" s="14"/>
      <c r="F40" s="104"/>
      <c r="G40" s="9"/>
      <c r="H40" s="9"/>
      <c r="I40" s="9"/>
      <c r="J40" s="9"/>
      <c r="K40" s="9"/>
      <c r="L40" s="9"/>
      <c r="M40" s="9"/>
      <c r="N40" s="9"/>
      <c r="O40" s="105"/>
      <c r="P40" s="105"/>
      <c r="Q40" s="106"/>
      <c r="R40" s="106"/>
      <c r="S40" s="9"/>
      <c r="T40" s="48"/>
      <c r="U40" s="9"/>
      <c r="W40" s="70" t="str">
        <f>$A$4&amp;" "&amp;A41&amp;"("&amp;B41&amp;","&amp;C41&amp;"^)"</f>
        <v>풍호동 주공('90.08.,390^)</v>
      </c>
      <c r="X40" s="71"/>
      <c r="Y40" s="71"/>
      <c r="Z40" s="71"/>
      <c r="AA40" s="71"/>
      <c r="AB40" s="71"/>
      <c r="AC40" s="71"/>
      <c r="AD40" s="71"/>
      <c r="AE40" s="71"/>
      <c r="AF40" s="72"/>
      <c r="AH40" s="20" t="str">
        <f t="shared" si="1"/>
        <v/>
      </c>
      <c r="AI40" s="103" t="str">
        <f t="shared" si="0"/>
        <v/>
      </c>
      <c r="AJ40" s="75"/>
      <c r="AK40" s="75"/>
      <c r="AL40" s="75"/>
      <c r="AM40" s="75"/>
      <c r="AN40" s="75"/>
      <c r="AO40" s="75"/>
      <c r="AP40" s="75"/>
      <c r="AQ40" s="75"/>
      <c r="AR40" s="75"/>
      <c r="AS40" s="75"/>
      <c r="AT40" s="75"/>
      <c r="AU40" s="75"/>
      <c r="AV40" s="75"/>
    </row>
    <row r="41" spans="1:48" x14ac:dyDescent="0.3">
      <c r="A41" s="9" t="s">
        <v>432</v>
      </c>
      <c r="B41" s="10" t="s">
        <v>937</v>
      </c>
      <c r="C41" s="107">
        <v>390</v>
      </c>
      <c r="D41" s="104">
        <v>49.5</v>
      </c>
      <c r="E41" s="106">
        <v>15</v>
      </c>
      <c r="F41" s="104">
        <v>39.299999999999997</v>
      </c>
      <c r="G41" s="17">
        <v>12</v>
      </c>
      <c r="H41" s="107">
        <v>150</v>
      </c>
      <c r="I41" s="108">
        <v>9000</v>
      </c>
      <c r="J41" s="108" t="s">
        <v>873</v>
      </c>
      <c r="K41" s="108">
        <v>6800</v>
      </c>
      <c r="L41" s="108" t="s">
        <v>878</v>
      </c>
      <c r="M41" s="109">
        <f>I41-K41</f>
        <v>2200</v>
      </c>
      <c r="N41" s="4">
        <f>IF(ISERROR(K41/I41),"",K41/I41)</f>
        <v>0.75555555555555554</v>
      </c>
      <c r="O41" s="105">
        <f>I41/E41</f>
        <v>600</v>
      </c>
      <c r="P41" s="105">
        <f>K41/E41</f>
        <v>453.33333333333331</v>
      </c>
      <c r="Q41" s="75">
        <v>2</v>
      </c>
      <c r="R41" s="75">
        <v>1</v>
      </c>
      <c r="S41" s="75" t="s">
        <v>869</v>
      </c>
      <c r="T41" s="5">
        <v>49</v>
      </c>
      <c r="U41" s="9"/>
      <c r="W41" s="104">
        <f t="shared" ref="W41:X44" si="51">D41</f>
        <v>49.5</v>
      </c>
      <c r="X41" s="106">
        <f t="shared" si="51"/>
        <v>15</v>
      </c>
      <c r="Y41" s="102">
        <f t="shared" ref="Y41:Z44" si="52">H41</f>
        <v>150</v>
      </c>
      <c r="Z41" s="109">
        <f t="shared" si="52"/>
        <v>9000</v>
      </c>
      <c r="AA41" s="109">
        <f>K41</f>
        <v>6800</v>
      </c>
      <c r="AB41" s="109">
        <f t="shared" ref="AB41:AD44" si="53">M41</f>
        <v>2200</v>
      </c>
      <c r="AC41" s="4">
        <f t="shared" si="53"/>
        <v>0.75555555555555554</v>
      </c>
      <c r="AD41" s="105">
        <f t="shared" si="53"/>
        <v>600</v>
      </c>
      <c r="AE41" s="75" t="str">
        <f>S41</f>
        <v>계</v>
      </c>
      <c r="AF41" s="75" t="str">
        <f>Q41&amp;"/"&amp;R41</f>
        <v>2/1</v>
      </c>
      <c r="AH41" s="20" t="str">
        <f t="shared" si="1"/>
        <v>주공</v>
      </c>
      <c r="AI41" s="106">
        <f t="shared" si="0"/>
        <v>15</v>
      </c>
      <c r="AJ41" s="75" t="str">
        <f>IF(AI41="","",$AJ$2)</f>
        <v>A-</v>
      </c>
      <c r="AK41" s="75" t="s">
        <v>14</v>
      </c>
      <c r="AL41" s="75" t="s">
        <v>870</v>
      </c>
      <c r="AM41" s="75" t="s">
        <v>871</v>
      </c>
      <c r="AN41" s="75" t="str">
        <f>IF(AI41="","",$AN$2)</f>
        <v>C</v>
      </c>
      <c r="AO41" s="75" t="str">
        <f>IF(N41="","",IF(N41&gt;=$AO$1/100,"O","X"))</f>
        <v>X</v>
      </c>
      <c r="AP41" s="75" t="str">
        <f>IF(I41="","",IF(I41&lt;=$AP$1,"O","X"))</f>
        <v>O</v>
      </c>
      <c r="AQ41" s="75" t="str">
        <f>IF(O41="","",IF(O41&lt;=$AQ$1,"O","X"))</f>
        <v>O</v>
      </c>
      <c r="AR41" s="75" t="str">
        <f>IF(M41="","",IF(M41&lt;=$AR$1,"O","X"))</f>
        <v>O</v>
      </c>
      <c r="AS41" s="75" t="s">
        <v>2</v>
      </c>
      <c r="AT41" s="75" t="str">
        <f>IF(OR(F41="",AI41=""),"",IF(AND((F41&lt;=85),(AI41&gt;=15)),"O","X"))</f>
        <v>O</v>
      </c>
      <c r="AU41" s="75" t="str">
        <f>IF(C41="","",IF(C41&gt;=$AU$1,"O","X"))</f>
        <v>O</v>
      </c>
      <c r="AV41" s="75" t="str">
        <f>IF(AO41="","",IF(AND(AO41="O",AP41="O",AR41="O",AT41="O",AU41="O"),"후보","X"))</f>
        <v>X</v>
      </c>
    </row>
    <row r="42" spans="1:48" x14ac:dyDescent="0.3">
      <c r="A42" s="9" t="s">
        <v>432</v>
      </c>
      <c r="B42" s="10" t="s">
        <v>937</v>
      </c>
      <c r="C42" s="107">
        <v>390</v>
      </c>
      <c r="D42" s="104">
        <v>49.9</v>
      </c>
      <c r="E42" s="106">
        <v>15</v>
      </c>
      <c r="F42" s="104">
        <v>39.700000000000003</v>
      </c>
      <c r="G42" s="17">
        <v>12</v>
      </c>
      <c r="H42" s="107">
        <v>120</v>
      </c>
      <c r="I42" s="108">
        <v>9500</v>
      </c>
      <c r="J42" s="108" t="s">
        <v>873</v>
      </c>
      <c r="K42" s="108">
        <v>7000</v>
      </c>
      <c r="L42" s="108" t="s">
        <v>873</v>
      </c>
      <c r="M42" s="109">
        <f>I42-K42</f>
        <v>2500</v>
      </c>
      <c r="N42" s="4">
        <f>IF(ISERROR(K42/I42),"",K42/I42)</f>
        <v>0.73684210526315785</v>
      </c>
      <c r="O42" s="105">
        <f>I42/E42</f>
        <v>633.33333333333337</v>
      </c>
      <c r="P42" s="105">
        <f>K42/E42</f>
        <v>466.66666666666669</v>
      </c>
      <c r="Q42" s="75">
        <v>2</v>
      </c>
      <c r="R42" s="75">
        <v>1</v>
      </c>
      <c r="S42" s="75" t="s">
        <v>869</v>
      </c>
      <c r="T42" s="5" t="s">
        <v>840</v>
      </c>
      <c r="U42" s="9"/>
      <c r="W42" s="104">
        <f t="shared" si="51"/>
        <v>49.9</v>
      </c>
      <c r="X42" s="106">
        <f t="shared" si="51"/>
        <v>15</v>
      </c>
      <c r="Y42" s="102">
        <f t="shared" si="52"/>
        <v>120</v>
      </c>
      <c r="Z42" s="109">
        <f t="shared" si="52"/>
        <v>9500</v>
      </c>
      <c r="AA42" s="109">
        <f>K42</f>
        <v>7000</v>
      </c>
      <c r="AB42" s="109">
        <f t="shared" si="53"/>
        <v>2500</v>
      </c>
      <c r="AC42" s="4">
        <f t="shared" si="53"/>
        <v>0.73684210526315785</v>
      </c>
      <c r="AD42" s="105">
        <f t="shared" si="53"/>
        <v>633.33333333333337</v>
      </c>
      <c r="AE42" s="75" t="str">
        <f>S42</f>
        <v>계</v>
      </c>
      <c r="AF42" s="75" t="str">
        <f>Q42&amp;"/"&amp;R42</f>
        <v>2/1</v>
      </c>
      <c r="AH42" s="20" t="str">
        <f t="shared" si="1"/>
        <v>주공</v>
      </c>
      <c r="AI42" s="106">
        <f t="shared" si="0"/>
        <v>15</v>
      </c>
      <c r="AJ42" s="75" t="str">
        <f>IF(AI42="","",$AJ$2)</f>
        <v>A-</v>
      </c>
      <c r="AK42" s="75" t="s">
        <v>14</v>
      </c>
      <c r="AL42" s="75" t="s">
        <v>870</v>
      </c>
      <c r="AM42" s="75" t="s">
        <v>871</v>
      </c>
      <c r="AN42" s="75" t="str">
        <f>IF(AI42="","",$AN$2)</f>
        <v>C</v>
      </c>
      <c r="AO42" s="75" t="str">
        <f>IF(N42="","",IF(N42&gt;=$AO$1/100,"O","X"))</f>
        <v>X</v>
      </c>
      <c r="AP42" s="75" t="str">
        <f>IF(I42="","",IF(I42&lt;=$AP$1,"O","X"))</f>
        <v>O</v>
      </c>
      <c r="AQ42" s="75" t="str">
        <f>IF(O42="","",IF(O42&lt;=$AQ$1,"O","X"))</f>
        <v>O</v>
      </c>
      <c r="AR42" s="75" t="str">
        <f>IF(M42="","",IF(M42&lt;=$AR$1,"O","X"))</f>
        <v>O</v>
      </c>
      <c r="AS42" s="75" t="s">
        <v>2</v>
      </c>
      <c r="AT42" s="75" t="str">
        <f>IF(OR(F42="",AI42=""),"",IF(AND((F42&lt;=85),(AI42&gt;=15)),"O","X"))</f>
        <v>O</v>
      </c>
      <c r="AU42" s="75" t="str">
        <f>IF(C42="","",IF(C42&gt;=$AU$1,"O","X"))</f>
        <v>O</v>
      </c>
      <c r="AV42" s="75" t="str">
        <f>IF(AO42="","",IF(AND(AO42="O",AP42="O",AR42="O",AT42="O",AU42="O"),"후보","X"))</f>
        <v>X</v>
      </c>
    </row>
    <row r="43" spans="1:48" x14ac:dyDescent="0.3">
      <c r="A43" s="9" t="s">
        <v>432</v>
      </c>
      <c r="B43" s="10" t="s">
        <v>937</v>
      </c>
      <c r="C43" s="107">
        <v>390</v>
      </c>
      <c r="D43" s="104">
        <v>57.6</v>
      </c>
      <c r="E43" s="106">
        <v>17</v>
      </c>
      <c r="F43" s="104">
        <v>46.7</v>
      </c>
      <c r="G43" s="17">
        <v>14</v>
      </c>
      <c r="H43" s="107">
        <v>60</v>
      </c>
      <c r="I43" s="108"/>
      <c r="J43" s="108"/>
      <c r="K43" s="108"/>
      <c r="L43" s="108"/>
      <c r="M43" s="109">
        <f>I43-K43</f>
        <v>0</v>
      </c>
      <c r="N43" s="4" t="str">
        <f>IF(ISERROR(K43/I43),"",K43/I43)</f>
        <v/>
      </c>
      <c r="O43" s="105">
        <f>I43/E43</f>
        <v>0</v>
      </c>
      <c r="P43" s="105">
        <f>K43/E43</f>
        <v>0</v>
      </c>
      <c r="Q43" s="75">
        <v>2</v>
      </c>
      <c r="R43" s="75">
        <v>1</v>
      </c>
      <c r="S43" s="75" t="s">
        <v>869</v>
      </c>
      <c r="T43" s="5">
        <v>57</v>
      </c>
      <c r="U43" s="9"/>
      <c r="W43" s="104">
        <f t="shared" si="51"/>
        <v>57.6</v>
      </c>
      <c r="X43" s="106">
        <f t="shared" si="51"/>
        <v>17</v>
      </c>
      <c r="Y43" s="102">
        <f t="shared" si="52"/>
        <v>60</v>
      </c>
      <c r="Z43" s="109">
        <f t="shared" si="52"/>
        <v>0</v>
      </c>
      <c r="AA43" s="109">
        <f>K43</f>
        <v>0</v>
      </c>
      <c r="AB43" s="109">
        <f t="shared" si="53"/>
        <v>0</v>
      </c>
      <c r="AC43" s="4" t="str">
        <f t="shared" si="53"/>
        <v/>
      </c>
      <c r="AD43" s="105">
        <f t="shared" si="53"/>
        <v>0</v>
      </c>
      <c r="AE43" s="75" t="str">
        <f>S43</f>
        <v>계</v>
      </c>
      <c r="AF43" s="75" t="str">
        <f>Q43&amp;"/"&amp;R43</f>
        <v>2/1</v>
      </c>
      <c r="AH43" s="20" t="str">
        <f t="shared" si="1"/>
        <v>주공</v>
      </c>
      <c r="AI43" s="106">
        <f t="shared" si="0"/>
        <v>17</v>
      </c>
      <c r="AJ43" s="75" t="str">
        <f>IF(AI43="","",$AJ$2)</f>
        <v>A-</v>
      </c>
      <c r="AK43" s="75" t="s">
        <v>14</v>
      </c>
      <c r="AL43" s="75" t="s">
        <v>870</v>
      </c>
      <c r="AM43" s="75" t="s">
        <v>871</v>
      </c>
      <c r="AN43" s="75" t="str">
        <f>IF(AI43="","",$AN$2)</f>
        <v>C</v>
      </c>
      <c r="AO43" s="75" t="str">
        <f>IF(N43="","",IF(N43&gt;=$AO$1/100,"O","X"))</f>
        <v/>
      </c>
      <c r="AP43" s="75" t="str">
        <f>IF(I43="","",IF(I43&lt;=$AP$1,"O","X"))</f>
        <v/>
      </c>
      <c r="AQ43" s="75" t="str">
        <f>IF(O43="","",IF(O43&lt;=$AQ$1,"O","X"))</f>
        <v>O</v>
      </c>
      <c r="AR43" s="75" t="str">
        <f>IF(M43="","",IF(M43&lt;=$AR$1,"O","X"))</f>
        <v>O</v>
      </c>
      <c r="AS43" s="75" t="s">
        <v>2</v>
      </c>
      <c r="AT43" s="75" t="str">
        <f>IF(OR(F43="",AI43=""),"",IF(AND((F43&lt;=85),(AI43&gt;=15)),"O","X"))</f>
        <v>O</v>
      </c>
      <c r="AU43" s="75" t="str">
        <f>IF(C43="","",IF(C43&gt;=$AU$1,"O","X"))</f>
        <v>O</v>
      </c>
      <c r="AV43" s="75" t="str">
        <f>IF(AO43="","",IF(AND(AO43="O",AP43="O",AR43="O",AT43="O",AU43="O"),"후보","X"))</f>
        <v/>
      </c>
    </row>
    <row r="44" spans="1:48" x14ac:dyDescent="0.3">
      <c r="A44" s="9" t="s">
        <v>432</v>
      </c>
      <c r="B44" s="10" t="s">
        <v>937</v>
      </c>
      <c r="C44" s="107">
        <v>390</v>
      </c>
      <c r="D44" s="104">
        <v>57.9</v>
      </c>
      <c r="E44" s="106">
        <v>18</v>
      </c>
      <c r="F44" s="104">
        <v>47</v>
      </c>
      <c r="G44" s="17">
        <v>14</v>
      </c>
      <c r="H44" s="107">
        <v>60</v>
      </c>
      <c r="I44" s="108">
        <v>12500</v>
      </c>
      <c r="J44" s="108" t="s">
        <v>868</v>
      </c>
      <c r="K44" s="108">
        <v>7400</v>
      </c>
      <c r="L44" s="108" t="s">
        <v>873</v>
      </c>
      <c r="M44" s="109">
        <f>I44-K44</f>
        <v>5100</v>
      </c>
      <c r="N44" s="4">
        <f>IF(ISERROR(K44/I44),"",K44/I44)</f>
        <v>0.59199999999999997</v>
      </c>
      <c r="O44" s="105">
        <f>I44/E44</f>
        <v>694.44444444444446</v>
      </c>
      <c r="P44" s="105">
        <f>K44/E44</f>
        <v>411.11111111111109</v>
      </c>
      <c r="Q44" s="75">
        <v>2</v>
      </c>
      <c r="R44" s="75">
        <v>1</v>
      </c>
      <c r="S44" s="75" t="s">
        <v>869</v>
      </c>
      <c r="T44" s="5" t="s">
        <v>841</v>
      </c>
      <c r="U44" s="9"/>
      <c r="W44" s="104">
        <f t="shared" si="51"/>
        <v>57.9</v>
      </c>
      <c r="X44" s="106">
        <f t="shared" si="51"/>
        <v>18</v>
      </c>
      <c r="Y44" s="102">
        <f t="shared" si="52"/>
        <v>60</v>
      </c>
      <c r="Z44" s="109">
        <f t="shared" si="52"/>
        <v>12500</v>
      </c>
      <c r="AA44" s="109">
        <f>K44</f>
        <v>7400</v>
      </c>
      <c r="AB44" s="109">
        <f t="shared" si="53"/>
        <v>5100</v>
      </c>
      <c r="AC44" s="4">
        <f t="shared" si="53"/>
        <v>0.59199999999999997</v>
      </c>
      <c r="AD44" s="105">
        <f t="shared" si="53"/>
        <v>694.44444444444446</v>
      </c>
      <c r="AE44" s="75" t="str">
        <f>S44</f>
        <v>계</v>
      </c>
      <c r="AF44" s="75" t="str">
        <f>Q44&amp;"/"&amp;R44</f>
        <v>2/1</v>
      </c>
      <c r="AH44" s="20" t="str">
        <f t="shared" si="1"/>
        <v>주공</v>
      </c>
      <c r="AI44" s="106">
        <f t="shared" si="0"/>
        <v>18</v>
      </c>
      <c r="AJ44" s="75" t="str">
        <f>IF(AI44="","",$AJ$2)</f>
        <v>A-</v>
      </c>
      <c r="AK44" s="75" t="s">
        <v>14</v>
      </c>
      <c r="AL44" s="75" t="s">
        <v>870</v>
      </c>
      <c r="AM44" s="75" t="s">
        <v>871</v>
      </c>
      <c r="AN44" s="75" t="str">
        <f>IF(AI44="","",$AN$2)</f>
        <v>C</v>
      </c>
      <c r="AO44" s="75" t="str">
        <f>IF(N44="","",IF(N44&gt;=$AO$1/100,"O","X"))</f>
        <v>X</v>
      </c>
      <c r="AP44" s="75" t="str">
        <f>IF(I44="","",IF(I44&lt;=$AP$1,"O","X"))</f>
        <v>O</v>
      </c>
      <c r="AQ44" s="75" t="str">
        <f>IF(O44="","",IF(O44&lt;=$AQ$1,"O","X"))</f>
        <v>O</v>
      </c>
      <c r="AR44" s="75" t="str">
        <f>IF(M44="","",IF(M44&lt;=$AR$1,"O","X"))</f>
        <v>O</v>
      </c>
      <c r="AS44" s="75" t="s">
        <v>2</v>
      </c>
      <c r="AT44" s="75" t="str">
        <f>IF(OR(F44="",AI44=""),"",IF(AND((F44&lt;=85),(AI44&gt;=15)),"O","X"))</f>
        <v>O</v>
      </c>
      <c r="AU44" s="75" t="str">
        <f>IF(C44="","",IF(C44&gt;=$AU$1,"O","X"))</f>
        <v>O</v>
      </c>
      <c r="AV44" s="75" t="str">
        <f>IF(AO44="","",IF(AND(AO44="O",AP44="O",AR44="O",AT44="O",AU44="O"),"후보","X"))</f>
        <v>X</v>
      </c>
    </row>
    <row r="45" spans="1:48" x14ac:dyDescent="0.3">
      <c r="A45" s="9"/>
      <c r="B45" s="75"/>
      <c r="C45" s="6"/>
      <c r="D45" s="9"/>
      <c r="E45" s="14"/>
      <c r="F45" s="104"/>
      <c r="G45" s="9"/>
      <c r="H45" s="9"/>
      <c r="I45" s="9"/>
      <c r="J45" s="9"/>
      <c r="K45" s="9"/>
      <c r="L45" s="9"/>
      <c r="M45" s="9"/>
      <c r="N45" s="9"/>
      <c r="O45" s="105"/>
      <c r="P45" s="105"/>
      <c r="Q45" s="106"/>
      <c r="R45" s="106"/>
      <c r="S45" s="9"/>
      <c r="T45" s="48"/>
      <c r="U45" s="9"/>
      <c r="W45" s="70" t="str">
        <f>$A$4&amp;" "&amp;A46&amp;"("&amp;B46&amp;","&amp;C46&amp;"^)"</f>
        <v>풍호동 풍호한림리츠빌('05.06.,620^)</v>
      </c>
      <c r="X45" s="71"/>
      <c r="Y45" s="71"/>
      <c r="Z45" s="71"/>
      <c r="AA45" s="71"/>
      <c r="AB45" s="71"/>
      <c r="AC45" s="71"/>
      <c r="AD45" s="71"/>
      <c r="AE45" s="71"/>
      <c r="AF45" s="72"/>
      <c r="AH45" s="20" t="str">
        <f t="shared" si="1"/>
        <v/>
      </c>
      <c r="AI45" s="103" t="str">
        <f t="shared" si="0"/>
        <v/>
      </c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</row>
    <row r="46" spans="1:48" x14ac:dyDescent="0.3">
      <c r="A46" s="9" t="s">
        <v>842</v>
      </c>
      <c r="B46" s="10" t="s">
        <v>938</v>
      </c>
      <c r="C46" s="107">
        <v>620</v>
      </c>
      <c r="D46" s="104">
        <v>114.8</v>
      </c>
      <c r="E46" s="106">
        <v>35</v>
      </c>
      <c r="F46" s="104">
        <v>85</v>
      </c>
      <c r="G46" s="17">
        <v>26</v>
      </c>
      <c r="H46" s="107">
        <v>384</v>
      </c>
      <c r="I46" s="108">
        <v>30000</v>
      </c>
      <c r="J46" s="108" t="s">
        <v>868</v>
      </c>
      <c r="K46" s="108">
        <v>27000</v>
      </c>
      <c r="L46" s="108" t="s">
        <v>868</v>
      </c>
      <c r="M46" s="109">
        <f>I46-K46</f>
        <v>3000</v>
      </c>
      <c r="N46" s="4">
        <f>IF(ISERROR(K46/I46),"",K46/I46)</f>
        <v>0.9</v>
      </c>
      <c r="O46" s="105">
        <f>I46/E46</f>
        <v>857.14285714285711</v>
      </c>
      <c r="P46" s="105">
        <f>K46/E46</f>
        <v>771.42857142857144</v>
      </c>
      <c r="Q46" s="75">
        <v>3</v>
      </c>
      <c r="R46" s="75">
        <v>2</v>
      </c>
      <c r="S46" s="75" t="s">
        <v>869</v>
      </c>
      <c r="T46" s="5">
        <v>114</v>
      </c>
      <c r="U46" s="9"/>
      <c r="W46" s="104">
        <f t="shared" ref="W46:X48" si="54">D46</f>
        <v>114.8</v>
      </c>
      <c r="X46" s="106">
        <f t="shared" si="54"/>
        <v>35</v>
      </c>
      <c r="Y46" s="102">
        <f t="shared" ref="Y46:Z48" si="55">H46</f>
        <v>384</v>
      </c>
      <c r="Z46" s="109">
        <f t="shared" si="55"/>
        <v>30000</v>
      </c>
      <c r="AA46" s="109">
        <f>K46</f>
        <v>27000</v>
      </c>
      <c r="AB46" s="109">
        <f t="shared" ref="AB46:AD48" si="56">M46</f>
        <v>3000</v>
      </c>
      <c r="AC46" s="4">
        <f t="shared" si="56"/>
        <v>0.9</v>
      </c>
      <c r="AD46" s="105">
        <f t="shared" si="56"/>
        <v>857.14285714285711</v>
      </c>
      <c r="AE46" s="75" t="str">
        <f>S46</f>
        <v>계</v>
      </c>
      <c r="AF46" s="75" t="str">
        <f>Q46&amp;"/"&amp;R46</f>
        <v>3/2</v>
      </c>
      <c r="AH46" s="20" t="str">
        <f t="shared" si="1"/>
        <v>풍호한림리츠빌</v>
      </c>
      <c r="AI46" s="106">
        <f t="shared" si="0"/>
        <v>35</v>
      </c>
      <c r="AJ46" s="75" t="str">
        <f>IF(AI46="","",$AJ$2)</f>
        <v>A-</v>
      </c>
      <c r="AK46" s="75" t="s">
        <v>14</v>
      </c>
      <c r="AL46" s="75" t="s">
        <v>870</v>
      </c>
      <c r="AM46" s="75" t="s">
        <v>871</v>
      </c>
      <c r="AN46" s="75" t="str">
        <f>IF(AI46="","",$AN$2)</f>
        <v>C</v>
      </c>
      <c r="AO46" s="75" t="str">
        <f>IF(N46="","",IF(N46&gt;=$AO$1/100,"O","X"))</f>
        <v>O</v>
      </c>
      <c r="AP46" s="75" t="str">
        <f>IF(I46="","",IF(I46&lt;=$AP$1,"O","X"))</f>
        <v>O</v>
      </c>
      <c r="AQ46" s="75" t="str">
        <f>IF(O46="","",IF(O46&lt;=$AQ$1,"O","X"))</f>
        <v>O</v>
      </c>
      <c r="AR46" s="75" t="str">
        <f>IF(M46="","",IF(M46&lt;=$AR$1,"O","X"))</f>
        <v>O</v>
      </c>
      <c r="AS46" s="75" t="s">
        <v>2</v>
      </c>
      <c r="AT46" s="75" t="str">
        <f>IF(OR(F46="",AI46=""),"",IF(AND((F46&lt;=85),(AI46&gt;=15)),"O","X"))</f>
        <v>O</v>
      </c>
      <c r="AU46" s="75" t="str">
        <f>IF(C46="","",IF(C46&gt;=$AU$1,"O","X"))</f>
        <v>O</v>
      </c>
      <c r="AV46" s="75" t="str">
        <f>IF(AO46="","",IF(AND(AO46="O",AP46="O",AR46="O",AT46="O",AU46="O"),"후보","X"))</f>
        <v>후보</v>
      </c>
    </row>
    <row r="47" spans="1:48" x14ac:dyDescent="0.3">
      <c r="A47" s="9" t="s">
        <v>842</v>
      </c>
      <c r="B47" s="10" t="s">
        <v>938</v>
      </c>
      <c r="C47" s="107">
        <v>620</v>
      </c>
      <c r="D47" s="104">
        <v>159.80000000000001</v>
      </c>
      <c r="E47" s="106">
        <v>48</v>
      </c>
      <c r="F47" s="104">
        <v>131.6</v>
      </c>
      <c r="G47" s="17">
        <v>40</v>
      </c>
      <c r="H47" s="107">
        <v>180</v>
      </c>
      <c r="I47" s="108">
        <v>39500</v>
      </c>
      <c r="J47" s="108" t="s">
        <v>873</v>
      </c>
      <c r="K47" s="108"/>
      <c r="L47" s="108"/>
      <c r="M47" s="109">
        <f>I47-K47</f>
        <v>39500</v>
      </c>
      <c r="N47" s="4">
        <f>IF(ISERROR(K47/I47),"",K47/I47)</f>
        <v>0</v>
      </c>
      <c r="O47" s="105">
        <f>I47/E47</f>
        <v>822.91666666666663</v>
      </c>
      <c r="P47" s="105">
        <f>K47/E47</f>
        <v>0</v>
      </c>
      <c r="Q47" s="75">
        <v>4</v>
      </c>
      <c r="R47" s="75">
        <v>2</v>
      </c>
      <c r="S47" s="75" t="s">
        <v>869</v>
      </c>
      <c r="T47" s="5">
        <v>159</v>
      </c>
      <c r="U47" s="9"/>
      <c r="W47" s="104">
        <f t="shared" si="54"/>
        <v>159.80000000000001</v>
      </c>
      <c r="X47" s="106">
        <f t="shared" si="54"/>
        <v>48</v>
      </c>
      <c r="Y47" s="102">
        <f t="shared" si="55"/>
        <v>180</v>
      </c>
      <c r="Z47" s="109">
        <f t="shared" si="55"/>
        <v>39500</v>
      </c>
      <c r="AA47" s="109">
        <f>K47</f>
        <v>0</v>
      </c>
      <c r="AB47" s="109">
        <f t="shared" si="56"/>
        <v>39500</v>
      </c>
      <c r="AC47" s="4">
        <f t="shared" si="56"/>
        <v>0</v>
      </c>
      <c r="AD47" s="105">
        <f t="shared" si="56"/>
        <v>822.91666666666663</v>
      </c>
      <c r="AE47" s="75" t="str">
        <f>S47</f>
        <v>계</v>
      </c>
      <c r="AF47" s="75" t="str">
        <f>Q47&amp;"/"&amp;R47</f>
        <v>4/2</v>
      </c>
      <c r="AH47" s="20" t="str">
        <f t="shared" si="1"/>
        <v>풍호한림리츠빌</v>
      </c>
      <c r="AI47" s="106">
        <f t="shared" si="0"/>
        <v>48</v>
      </c>
      <c r="AJ47" s="75" t="str">
        <f>IF(AI47="","",$AJ$2)</f>
        <v>A-</v>
      </c>
      <c r="AK47" s="75" t="s">
        <v>14</v>
      </c>
      <c r="AL47" s="75" t="s">
        <v>870</v>
      </c>
      <c r="AM47" s="75" t="s">
        <v>871</v>
      </c>
      <c r="AN47" s="75" t="str">
        <f>IF(AI47="","",$AN$2)</f>
        <v>C</v>
      </c>
      <c r="AO47" s="75" t="str">
        <f>IF(N47="","",IF(N47&gt;=$AO$1/100,"O","X"))</f>
        <v>X</v>
      </c>
      <c r="AP47" s="75" t="str">
        <f>IF(I47="","",IF(I47&lt;=$AP$1,"O","X"))</f>
        <v>O</v>
      </c>
      <c r="AQ47" s="75" t="str">
        <f>IF(O47="","",IF(O47&lt;=$AQ$1,"O","X"))</f>
        <v>O</v>
      </c>
      <c r="AR47" s="75" t="str">
        <f>IF(M47="","",IF(M47&lt;=$AR$1,"O","X"))</f>
        <v>X</v>
      </c>
      <c r="AS47" s="75" t="s">
        <v>2</v>
      </c>
      <c r="AT47" s="75" t="str">
        <f>IF(OR(F47="",AI47=""),"",IF(AND((F47&lt;=85),(AI47&gt;=15)),"O","X"))</f>
        <v>X</v>
      </c>
      <c r="AU47" s="75" t="str">
        <f>IF(C47="","",IF(C47&gt;=$AU$1,"O","X"))</f>
        <v>O</v>
      </c>
      <c r="AV47" s="75" t="str">
        <f>IF(AO47="","",IF(AND(AO47="O",AP47="O",AR47="O",AT47="O",AU47="O"),"후보","X"))</f>
        <v>X</v>
      </c>
    </row>
    <row r="48" spans="1:48" x14ac:dyDescent="0.3">
      <c r="A48" s="9" t="s">
        <v>842</v>
      </c>
      <c r="B48" s="10" t="s">
        <v>938</v>
      </c>
      <c r="C48" s="107">
        <v>620</v>
      </c>
      <c r="D48" s="104">
        <v>219.5</v>
      </c>
      <c r="E48" s="106">
        <v>66</v>
      </c>
      <c r="F48" s="104">
        <v>189.6</v>
      </c>
      <c r="G48" s="17">
        <v>57</v>
      </c>
      <c r="H48" s="107">
        <v>56</v>
      </c>
      <c r="I48" s="108">
        <v>47000</v>
      </c>
      <c r="J48" s="108" t="s">
        <v>868</v>
      </c>
      <c r="K48" s="108"/>
      <c r="L48" s="108"/>
      <c r="M48" s="109">
        <f>I48-K48</f>
        <v>47000</v>
      </c>
      <c r="N48" s="4">
        <f>IF(ISERROR(K48/I48),"",K48/I48)</f>
        <v>0</v>
      </c>
      <c r="O48" s="105">
        <f>I48/E48</f>
        <v>712.12121212121212</v>
      </c>
      <c r="P48" s="105">
        <f>K48/E48</f>
        <v>0</v>
      </c>
      <c r="Q48" s="75">
        <v>5</v>
      </c>
      <c r="R48" s="75">
        <v>2</v>
      </c>
      <c r="S48" s="75" t="s">
        <v>869</v>
      </c>
      <c r="T48" s="5">
        <v>219</v>
      </c>
      <c r="U48" s="9"/>
      <c r="W48" s="104">
        <f t="shared" si="54"/>
        <v>219.5</v>
      </c>
      <c r="X48" s="106">
        <f t="shared" si="54"/>
        <v>66</v>
      </c>
      <c r="Y48" s="102">
        <f t="shared" si="55"/>
        <v>56</v>
      </c>
      <c r="Z48" s="109">
        <f t="shared" si="55"/>
        <v>47000</v>
      </c>
      <c r="AA48" s="109">
        <f>K48</f>
        <v>0</v>
      </c>
      <c r="AB48" s="109">
        <f t="shared" si="56"/>
        <v>47000</v>
      </c>
      <c r="AC48" s="4">
        <f t="shared" si="56"/>
        <v>0</v>
      </c>
      <c r="AD48" s="105">
        <f t="shared" si="56"/>
        <v>712.12121212121212</v>
      </c>
      <c r="AE48" s="75" t="str">
        <f>S48</f>
        <v>계</v>
      </c>
      <c r="AF48" s="75" t="str">
        <f>Q48&amp;"/"&amp;R48</f>
        <v>5/2</v>
      </c>
      <c r="AH48" s="20" t="str">
        <f t="shared" si="1"/>
        <v>풍호한림리츠빌</v>
      </c>
      <c r="AI48" s="106">
        <f t="shared" si="0"/>
        <v>66</v>
      </c>
      <c r="AJ48" s="75" t="str">
        <f>IF(AI48="","",$AJ$2)</f>
        <v>A-</v>
      </c>
      <c r="AK48" s="75" t="s">
        <v>14</v>
      </c>
      <c r="AL48" s="75" t="s">
        <v>870</v>
      </c>
      <c r="AM48" s="75" t="s">
        <v>871</v>
      </c>
      <c r="AN48" s="75" t="str">
        <f>IF(AI48="","",$AN$2)</f>
        <v>C</v>
      </c>
      <c r="AO48" s="75" t="str">
        <f>IF(N48="","",IF(N48&gt;=$AO$1/100,"O","X"))</f>
        <v>X</v>
      </c>
      <c r="AP48" s="75" t="str">
        <f>IF(I48="","",IF(I48&lt;=$AP$1,"O","X"))</f>
        <v>X</v>
      </c>
      <c r="AQ48" s="75" t="str">
        <f>IF(O48="","",IF(O48&lt;=$AQ$1,"O","X"))</f>
        <v>O</v>
      </c>
      <c r="AR48" s="75" t="str">
        <f>IF(M48="","",IF(M48&lt;=$AR$1,"O","X"))</f>
        <v>X</v>
      </c>
      <c r="AS48" s="75" t="s">
        <v>2</v>
      </c>
      <c r="AT48" s="75" t="str">
        <f>IF(OR(F48="",AI48=""),"",IF(AND((F48&lt;=85),(AI48&gt;=15)),"O","X"))</f>
        <v>X</v>
      </c>
      <c r="AU48" s="75" t="str">
        <f>IF(C48="","",IF(C48&gt;=$AU$1,"O","X"))</f>
        <v>O</v>
      </c>
      <c r="AV48" s="75" t="str">
        <f>IF(AO48="","",IF(AND(AO48="O",AP48="O",AR48="O",AT48="O",AU48="O"),"후보","X"))</f>
        <v>X</v>
      </c>
    </row>
  </sheetData>
  <mergeCells count="1">
    <mergeCell ref="AJ1:AN1"/>
  </mergeCells>
  <phoneticPr fontId="2" type="noConversion"/>
  <conditionalFormatting sqref="AV4:AV6">
    <cfRule type="expression" dxfId="697" priority="720">
      <formula>AV4="X"</formula>
    </cfRule>
    <cfRule type="expression" dxfId="696" priority="721">
      <formula>AV4="후보"</formula>
    </cfRule>
  </conditionalFormatting>
  <conditionalFormatting sqref="AC1:AC2 AC4:AC6 N4:N5">
    <cfRule type="cellIs" dxfId="695" priority="717" operator="greaterThan">
      <formula>0.9</formula>
    </cfRule>
    <cfRule type="cellIs" dxfId="694" priority="718" operator="greaterThan">
      <formula>0.85</formula>
    </cfRule>
  </conditionalFormatting>
  <conditionalFormatting sqref="N1:N2">
    <cfRule type="cellIs" dxfId="693" priority="715" operator="greaterThan">
      <formula>0.9</formula>
    </cfRule>
    <cfRule type="cellIs" dxfId="692" priority="716" operator="greaterThan">
      <formula>0.85</formula>
    </cfRule>
  </conditionalFormatting>
  <conditionalFormatting sqref="N6">
    <cfRule type="cellIs" dxfId="691" priority="713" operator="greaterThan">
      <formula>0.9</formula>
    </cfRule>
    <cfRule type="cellIs" dxfId="690" priority="714" operator="greaterThan">
      <formula>0.85</formula>
    </cfRule>
  </conditionalFormatting>
  <conditionalFormatting sqref="E6">
    <cfRule type="expression" dxfId="689" priority="709">
      <formula>AND(IF(OR($Q6=1,$Q6=2),1,0),IF($X6&lt;=20,1,0))</formula>
    </cfRule>
    <cfRule type="expression" dxfId="688" priority="710">
      <formula>AND(IF($Q6=2,1,0),IF($X6&lt;30,1,0))</formula>
    </cfRule>
    <cfRule type="expression" dxfId="687" priority="711">
      <formula>AND(IF($Q6=3,1,0),IF($X6&lt;30,1,0))</formula>
    </cfRule>
    <cfRule type="expression" dxfId="686" priority="712">
      <formula>AND(IF($Q6=3,1,IF($Q6=4,1,0)),IF($F6&lt;=85,1,0))</formula>
    </cfRule>
  </conditionalFormatting>
  <conditionalFormatting sqref="X6">
    <cfRule type="expression" dxfId="685" priority="705">
      <formula>AND(IF(OR($Q6=1,$Q6=2),1,0),IF($X6&lt;=20,1,0))</formula>
    </cfRule>
    <cfRule type="expression" dxfId="684" priority="706">
      <formula>AND(IF($Q6=2,1,0),IF($X6&lt;30,1,0))</formula>
    </cfRule>
    <cfRule type="expression" dxfId="683" priority="707">
      <formula>AND(IF($Q6=3,1,0),IF($X6&lt;30,1,0))</formula>
    </cfRule>
    <cfRule type="expression" dxfId="682" priority="708">
      <formula>AND(IF($Q6=3,1,IF($Q6=4,1,0)),IF($F6&lt;=85,1,0))</formula>
    </cfRule>
  </conditionalFormatting>
  <conditionalFormatting sqref="AI6">
    <cfRule type="expression" dxfId="681" priority="701">
      <formula>AND(IF(OR($Q6=1,$Q6=2),1,0),IF($X6&lt;=20,1,0))</formula>
    </cfRule>
    <cfRule type="expression" dxfId="680" priority="702">
      <formula>AND(IF($Q6=2,1,0),IF($X6&lt;30,1,0))</formula>
    </cfRule>
    <cfRule type="expression" dxfId="679" priority="703">
      <formula>AND(IF($Q6=3,1,0),IF($X6&lt;30,1,0))</formula>
    </cfRule>
    <cfRule type="expression" dxfId="678" priority="704">
      <formula>AND(IF($Q6=3,1,IF($Q6=4,1,0)),IF($F6&lt;=85,1,0))</formula>
    </cfRule>
  </conditionalFormatting>
  <conditionalFormatting sqref="AV7">
    <cfRule type="expression" dxfId="677" priority="699">
      <formula>AV7="X"</formula>
    </cfRule>
    <cfRule type="expression" dxfId="676" priority="700">
      <formula>AV7="후보"</formula>
    </cfRule>
  </conditionalFormatting>
  <conditionalFormatting sqref="AC7">
    <cfRule type="cellIs" dxfId="675" priority="696" operator="greaterThan">
      <formula>0.9</formula>
    </cfRule>
    <cfRule type="cellIs" dxfId="674" priority="697" operator="greaterThan">
      <formula>0.85</formula>
    </cfRule>
  </conditionalFormatting>
  <conditionalFormatting sqref="N7">
    <cfRule type="cellIs" dxfId="673" priority="694" operator="greaterThan">
      <formula>0.9</formula>
    </cfRule>
    <cfRule type="cellIs" dxfId="672" priority="695" operator="greaterThan">
      <formula>0.85</formula>
    </cfRule>
  </conditionalFormatting>
  <conditionalFormatting sqref="E7">
    <cfRule type="expression" dxfId="671" priority="690">
      <formula>AND(IF(OR($Q7=1,$Q7=2),1,0),IF($X7&lt;=20,1,0))</formula>
    </cfRule>
    <cfRule type="expression" dxfId="670" priority="691">
      <formula>AND(IF($Q7=2,1,0),IF($X7&lt;30,1,0))</formula>
    </cfRule>
    <cfRule type="expression" dxfId="669" priority="692">
      <formula>AND(IF($Q7=3,1,0),IF($X7&lt;30,1,0))</formula>
    </cfRule>
    <cfRule type="expression" dxfId="668" priority="693">
      <formula>AND(IF($Q7=3,1,IF($Q7=4,1,0)),IF($F7&lt;=85,1,0))</formula>
    </cfRule>
  </conditionalFormatting>
  <conditionalFormatting sqref="X7">
    <cfRule type="expression" dxfId="667" priority="686">
      <formula>AND(IF(OR($Q7=1,$Q7=2),1,0),IF($X7&lt;=20,1,0))</formula>
    </cfRule>
    <cfRule type="expression" dxfId="666" priority="687">
      <formula>AND(IF($Q7=2,1,0),IF($X7&lt;30,1,0))</formula>
    </cfRule>
    <cfRule type="expression" dxfId="665" priority="688">
      <formula>AND(IF($Q7=3,1,0),IF($X7&lt;30,1,0))</formula>
    </cfRule>
    <cfRule type="expression" dxfId="664" priority="689">
      <formula>AND(IF($Q7=3,1,IF($Q7=4,1,0)),IF($F7&lt;=85,1,0))</formula>
    </cfRule>
  </conditionalFormatting>
  <conditionalFormatting sqref="AI7">
    <cfRule type="expression" dxfId="663" priority="682">
      <formula>AND(IF(OR($Q7=1,$Q7=2),1,0),IF($X7&lt;=20,1,0))</formula>
    </cfRule>
    <cfRule type="expression" dxfId="662" priority="683">
      <formula>AND(IF($Q7=2,1,0),IF($X7&lt;30,1,0))</formula>
    </cfRule>
    <cfRule type="expression" dxfId="661" priority="684">
      <formula>AND(IF($Q7=3,1,0),IF($X7&lt;30,1,0))</formula>
    </cfRule>
    <cfRule type="expression" dxfId="660" priority="685">
      <formula>AND(IF($Q7=3,1,IF($Q7=4,1,0)),IF($F7&lt;=85,1,0))</formula>
    </cfRule>
  </conditionalFormatting>
  <conditionalFormatting sqref="AV8">
    <cfRule type="expression" dxfId="659" priority="680">
      <formula>AV8="X"</formula>
    </cfRule>
    <cfRule type="expression" dxfId="658" priority="681">
      <formula>AV8="후보"</formula>
    </cfRule>
  </conditionalFormatting>
  <conditionalFormatting sqref="AC8 N8">
    <cfRule type="cellIs" dxfId="657" priority="677" operator="greaterThan">
      <formula>0.9</formula>
    </cfRule>
    <cfRule type="cellIs" dxfId="656" priority="678" operator="greaterThan">
      <formula>0.85</formula>
    </cfRule>
  </conditionalFormatting>
  <conditionalFormatting sqref="AV9">
    <cfRule type="expression" dxfId="655" priority="675">
      <formula>AV9="X"</formula>
    </cfRule>
    <cfRule type="expression" dxfId="654" priority="676">
      <formula>AV9="후보"</formula>
    </cfRule>
  </conditionalFormatting>
  <conditionalFormatting sqref="AC9">
    <cfRule type="cellIs" dxfId="653" priority="672" operator="greaterThan">
      <formula>0.9</formula>
    </cfRule>
    <cfRule type="cellIs" dxfId="652" priority="673" operator="greaterThan">
      <formula>0.85</formula>
    </cfRule>
  </conditionalFormatting>
  <conditionalFormatting sqref="N9">
    <cfRule type="cellIs" dxfId="651" priority="670" operator="greaterThan">
      <formula>0.9</formula>
    </cfRule>
    <cfRule type="cellIs" dxfId="650" priority="671" operator="greaterThan">
      <formula>0.85</formula>
    </cfRule>
  </conditionalFormatting>
  <conditionalFormatting sqref="E9">
    <cfRule type="expression" dxfId="649" priority="666">
      <formula>AND(IF(OR($Q9=1,$Q9=2),1,0),IF($X9&lt;=20,1,0))</formula>
    </cfRule>
    <cfRule type="expression" dxfId="648" priority="667">
      <formula>AND(IF($Q9=2,1,0),IF($X9&lt;30,1,0))</formula>
    </cfRule>
    <cfRule type="expression" dxfId="647" priority="668">
      <formula>AND(IF($Q9=3,1,0),IF($X9&lt;30,1,0))</formula>
    </cfRule>
    <cfRule type="expression" dxfId="646" priority="669">
      <formula>AND(IF($Q9=3,1,IF($Q9=4,1,0)),IF($F9&lt;=85,1,0))</formula>
    </cfRule>
  </conditionalFormatting>
  <conditionalFormatting sqref="X9">
    <cfRule type="expression" dxfId="645" priority="662">
      <formula>AND(IF(OR($Q9=1,$Q9=2),1,0),IF($X9&lt;=20,1,0))</formula>
    </cfRule>
    <cfRule type="expression" dxfId="644" priority="663">
      <formula>AND(IF($Q9=2,1,0),IF($X9&lt;30,1,0))</formula>
    </cfRule>
    <cfRule type="expression" dxfId="643" priority="664">
      <formula>AND(IF($Q9=3,1,0),IF($X9&lt;30,1,0))</formula>
    </cfRule>
    <cfRule type="expression" dxfId="642" priority="665">
      <formula>AND(IF($Q9=3,1,IF($Q9=4,1,0)),IF($F9&lt;=85,1,0))</formula>
    </cfRule>
  </conditionalFormatting>
  <conditionalFormatting sqref="AI9">
    <cfRule type="expression" dxfId="641" priority="658">
      <formula>AND(IF(OR($Q9=1,$Q9=2),1,0),IF($X9&lt;=20,1,0))</formula>
    </cfRule>
    <cfRule type="expression" dxfId="640" priority="659">
      <formula>AND(IF($Q9=2,1,0),IF($X9&lt;30,1,0))</formula>
    </cfRule>
    <cfRule type="expression" dxfId="639" priority="660">
      <formula>AND(IF($Q9=3,1,0),IF($X9&lt;30,1,0))</formula>
    </cfRule>
    <cfRule type="expression" dxfId="638" priority="661">
      <formula>AND(IF($Q9=3,1,IF($Q9=4,1,0)),IF($F9&lt;=85,1,0))</formula>
    </cfRule>
  </conditionalFormatting>
  <conditionalFormatting sqref="AV10">
    <cfRule type="expression" dxfId="637" priority="656">
      <formula>AV10="X"</formula>
    </cfRule>
    <cfRule type="expression" dxfId="636" priority="657">
      <formula>AV10="후보"</formula>
    </cfRule>
  </conditionalFormatting>
  <conditionalFormatting sqref="AC10">
    <cfRule type="cellIs" dxfId="635" priority="653" operator="greaterThan">
      <formula>0.9</formula>
    </cfRule>
    <cfRule type="cellIs" dxfId="634" priority="654" operator="greaterThan">
      <formula>0.85</formula>
    </cfRule>
  </conditionalFormatting>
  <conditionalFormatting sqref="N10">
    <cfRule type="cellIs" dxfId="633" priority="651" operator="greaterThan">
      <formula>0.9</formula>
    </cfRule>
    <cfRule type="cellIs" dxfId="632" priority="652" operator="greaterThan">
      <formula>0.85</formula>
    </cfRule>
  </conditionalFormatting>
  <conditionalFormatting sqref="E10">
    <cfRule type="expression" dxfId="631" priority="647">
      <formula>AND(IF(OR($Q10=1,$Q10=2),1,0),IF($X10&lt;=20,1,0))</formula>
    </cfRule>
    <cfRule type="expression" dxfId="630" priority="648">
      <formula>AND(IF($Q10=2,1,0),IF($X10&lt;30,1,0))</formula>
    </cfRule>
    <cfRule type="expression" dxfId="629" priority="649">
      <formula>AND(IF($Q10=3,1,0),IF($X10&lt;30,1,0))</formula>
    </cfRule>
    <cfRule type="expression" dxfId="628" priority="650">
      <formula>AND(IF($Q10=3,1,IF($Q10=4,1,0)),IF($F10&lt;=85,1,0))</formula>
    </cfRule>
  </conditionalFormatting>
  <conditionalFormatting sqref="X10">
    <cfRule type="expression" dxfId="627" priority="643">
      <formula>AND(IF(OR($Q10=1,$Q10=2),1,0),IF($X10&lt;=20,1,0))</formula>
    </cfRule>
    <cfRule type="expression" dxfId="626" priority="644">
      <formula>AND(IF($Q10=2,1,0),IF($X10&lt;30,1,0))</formula>
    </cfRule>
    <cfRule type="expression" dxfId="625" priority="645">
      <formula>AND(IF($Q10=3,1,0),IF($X10&lt;30,1,0))</formula>
    </cfRule>
    <cfRule type="expression" dxfId="624" priority="646">
      <formula>AND(IF($Q10=3,1,IF($Q10=4,1,0)),IF($F10&lt;=85,1,0))</formula>
    </cfRule>
  </conditionalFormatting>
  <conditionalFormatting sqref="AI10">
    <cfRule type="expression" dxfId="623" priority="639">
      <formula>AND(IF(OR($Q10=1,$Q10=2),1,0),IF($X10&lt;=20,1,0))</formula>
    </cfRule>
    <cfRule type="expression" dxfId="622" priority="640">
      <formula>AND(IF($Q10=2,1,0),IF($X10&lt;30,1,0))</formula>
    </cfRule>
    <cfRule type="expression" dxfId="621" priority="641">
      <formula>AND(IF($Q10=3,1,0),IF($X10&lt;30,1,0))</formula>
    </cfRule>
    <cfRule type="expression" dxfId="620" priority="642">
      <formula>AND(IF($Q10=3,1,IF($Q10=4,1,0)),IF($F10&lt;=85,1,0))</formula>
    </cfRule>
  </conditionalFormatting>
  <conditionalFormatting sqref="AV11">
    <cfRule type="expression" dxfId="619" priority="637">
      <formula>AV11="X"</formula>
    </cfRule>
    <cfRule type="expression" dxfId="618" priority="638">
      <formula>AV11="후보"</formula>
    </cfRule>
  </conditionalFormatting>
  <conditionalFormatting sqref="AC11">
    <cfRule type="cellIs" dxfId="617" priority="634" operator="greaterThan">
      <formula>0.9</formula>
    </cfRule>
    <cfRule type="cellIs" dxfId="616" priority="635" operator="greaterThan">
      <formula>0.85</formula>
    </cfRule>
  </conditionalFormatting>
  <conditionalFormatting sqref="N11">
    <cfRule type="cellIs" dxfId="615" priority="632" operator="greaterThan">
      <formula>0.9</formula>
    </cfRule>
    <cfRule type="cellIs" dxfId="614" priority="633" operator="greaterThan">
      <formula>0.85</formula>
    </cfRule>
  </conditionalFormatting>
  <conditionalFormatting sqref="E11">
    <cfRule type="expression" dxfId="613" priority="628">
      <formula>AND(IF(OR($Q11=1,$Q11=2),1,0),IF($X11&lt;=20,1,0))</formula>
    </cfRule>
    <cfRule type="expression" dxfId="612" priority="629">
      <formula>AND(IF($Q11=2,1,0),IF($X11&lt;30,1,0))</formula>
    </cfRule>
    <cfRule type="expression" dxfId="611" priority="630">
      <formula>AND(IF($Q11=3,1,0),IF($X11&lt;30,1,0))</formula>
    </cfRule>
    <cfRule type="expression" dxfId="610" priority="631">
      <formula>AND(IF($Q11=3,1,IF($Q11=4,1,0)),IF($F11&lt;=85,1,0))</formula>
    </cfRule>
  </conditionalFormatting>
  <conditionalFormatting sqref="X11">
    <cfRule type="expression" dxfId="609" priority="624">
      <formula>AND(IF(OR($Q11=1,$Q11=2),1,0),IF($X11&lt;=20,1,0))</formula>
    </cfRule>
    <cfRule type="expression" dxfId="608" priority="625">
      <formula>AND(IF($Q11=2,1,0),IF($X11&lt;30,1,0))</formula>
    </cfRule>
    <cfRule type="expression" dxfId="607" priority="626">
      <formula>AND(IF($Q11=3,1,0),IF($X11&lt;30,1,0))</formula>
    </cfRule>
    <cfRule type="expression" dxfId="606" priority="627">
      <formula>AND(IF($Q11=3,1,IF($Q11=4,1,0)),IF($F11&lt;=85,1,0))</formula>
    </cfRule>
  </conditionalFormatting>
  <conditionalFormatting sqref="AI11">
    <cfRule type="expression" dxfId="605" priority="620">
      <formula>AND(IF(OR($Q11=1,$Q11=2),1,0),IF($X11&lt;=20,1,0))</formula>
    </cfRule>
    <cfRule type="expression" dxfId="604" priority="621">
      <formula>AND(IF($Q11=2,1,0),IF($X11&lt;30,1,0))</formula>
    </cfRule>
    <cfRule type="expression" dxfId="603" priority="622">
      <formula>AND(IF($Q11=3,1,0),IF($X11&lt;30,1,0))</formula>
    </cfRule>
    <cfRule type="expression" dxfId="602" priority="623">
      <formula>AND(IF($Q11=3,1,IF($Q11=4,1,0)),IF($F11&lt;=85,1,0))</formula>
    </cfRule>
  </conditionalFormatting>
  <conditionalFormatting sqref="AV12">
    <cfRule type="expression" dxfId="601" priority="618">
      <formula>AV12="X"</formula>
    </cfRule>
    <cfRule type="expression" dxfId="600" priority="619">
      <formula>AV12="후보"</formula>
    </cfRule>
  </conditionalFormatting>
  <conditionalFormatting sqref="AC12">
    <cfRule type="cellIs" dxfId="599" priority="615" operator="greaterThan">
      <formula>0.9</formula>
    </cfRule>
    <cfRule type="cellIs" dxfId="598" priority="616" operator="greaterThan">
      <formula>0.85</formula>
    </cfRule>
  </conditionalFormatting>
  <conditionalFormatting sqref="N12">
    <cfRule type="cellIs" dxfId="597" priority="613" operator="greaterThan">
      <formula>0.9</formula>
    </cfRule>
    <cfRule type="cellIs" dxfId="596" priority="614" operator="greaterThan">
      <formula>0.85</formula>
    </cfRule>
  </conditionalFormatting>
  <conditionalFormatting sqref="E12">
    <cfRule type="expression" dxfId="595" priority="609">
      <formula>AND(IF(OR($Q12=1,$Q12=2),1,0),IF($X12&lt;=20,1,0))</formula>
    </cfRule>
    <cfRule type="expression" dxfId="594" priority="610">
      <formula>AND(IF($Q12=2,1,0),IF($X12&lt;30,1,0))</formula>
    </cfRule>
    <cfRule type="expression" dxfId="593" priority="611">
      <formula>AND(IF($Q12=3,1,0),IF($X12&lt;30,1,0))</formula>
    </cfRule>
    <cfRule type="expression" dxfId="592" priority="612">
      <formula>AND(IF($Q12=3,1,IF($Q12=4,1,0)),IF($F12&lt;=85,1,0))</formula>
    </cfRule>
  </conditionalFormatting>
  <conditionalFormatting sqref="X12">
    <cfRule type="expression" dxfId="591" priority="605">
      <formula>AND(IF(OR($Q12=1,$Q12=2),1,0),IF($X12&lt;=20,1,0))</formula>
    </cfRule>
    <cfRule type="expression" dxfId="590" priority="606">
      <formula>AND(IF($Q12=2,1,0),IF($X12&lt;30,1,0))</formula>
    </cfRule>
    <cfRule type="expression" dxfId="589" priority="607">
      <formula>AND(IF($Q12=3,1,0),IF($X12&lt;30,1,0))</formula>
    </cfRule>
    <cfRule type="expression" dxfId="588" priority="608">
      <formula>AND(IF($Q12=3,1,IF($Q12=4,1,0)),IF($F12&lt;=85,1,0))</formula>
    </cfRule>
  </conditionalFormatting>
  <conditionalFormatting sqref="AI12">
    <cfRule type="expression" dxfId="587" priority="601">
      <formula>AND(IF(OR($Q12=1,$Q12=2),1,0),IF($X12&lt;=20,1,0))</formula>
    </cfRule>
    <cfRule type="expression" dxfId="586" priority="602">
      <formula>AND(IF($Q12=2,1,0),IF($X12&lt;30,1,0))</formula>
    </cfRule>
    <cfRule type="expression" dxfId="585" priority="603">
      <formula>AND(IF($Q12=3,1,0),IF($X12&lt;30,1,0))</formula>
    </cfRule>
    <cfRule type="expression" dxfId="584" priority="604">
      <formula>AND(IF($Q12=3,1,IF($Q12=4,1,0)),IF($F12&lt;=85,1,0))</formula>
    </cfRule>
  </conditionalFormatting>
  <conditionalFormatting sqref="AV13">
    <cfRule type="expression" dxfId="583" priority="599">
      <formula>AV13="X"</formula>
    </cfRule>
    <cfRule type="expression" dxfId="582" priority="600">
      <formula>AV13="후보"</formula>
    </cfRule>
  </conditionalFormatting>
  <conditionalFormatting sqref="AC13">
    <cfRule type="cellIs" dxfId="581" priority="596" operator="greaterThan">
      <formula>0.9</formula>
    </cfRule>
    <cfRule type="cellIs" dxfId="580" priority="597" operator="greaterThan">
      <formula>0.85</formula>
    </cfRule>
  </conditionalFormatting>
  <conditionalFormatting sqref="N13">
    <cfRule type="cellIs" dxfId="579" priority="594" operator="greaterThan">
      <formula>0.9</formula>
    </cfRule>
    <cfRule type="cellIs" dxfId="578" priority="595" operator="greaterThan">
      <formula>0.85</formula>
    </cfRule>
  </conditionalFormatting>
  <conditionalFormatting sqref="E13">
    <cfRule type="expression" dxfId="577" priority="590">
      <formula>AND(IF(OR($Q13=1,$Q13=2),1,0),IF($X13&lt;=20,1,0))</formula>
    </cfRule>
    <cfRule type="expression" dxfId="576" priority="591">
      <formula>AND(IF($Q13=2,1,0),IF($X13&lt;30,1,0))</formula>
    </cfRule>
    <cfRule type="expression" dxfId="575" priority="592">
      <formula>AND(IF($Q13=3,1,0),IF($X13&lt;30,1,0))</formula>
    </cfRule>
    <cfRule type="expression" dxfId="574" priority="593">
      <formula>AND(IF($Q13=3,1,IF($Q13=4,1,0)),IF($F13&lt;=85,1,0))</formula>
    </cfRule>
  </conditionalFormatting>
  <conditionalFormatting sqref="X13">
    <cfRule type="expression" dxfId="573" priority="586">
      <formula>AND(IF(OR($Q13=1,$Q13=2),1,0),IF($X13&lt;=20,1,0))</formula>
    </cfRule>
    <cfRule type="expression" dxfId="572" priority="587">
      <formula>AND(IF($Q13=2,1,0),IF($X13&lt;30,1,0))</formula>
    </cfRule>
    <cfRule type="expression" dxfId="571" priority="588">
      <formula>AND(IF($Q13=3,1,0),IF($X13&lt;30,1,0))</formula>
    </cfRule>
    <cfRule type="expression" dxfId="570" priority="589">
      <formula>AND(IF($Q13=3,1,IF($Q13=4,1,0)),IF($F13&lt;=85,1,0))</formula>
    </cfRule>
  </conditionalFormatting>
  <conditionalFormatting sqref="AI13">
    <cfRule type="expression" dxfId="569" priority="582">
      <formula>AND(IF(OR($Q13=1,$Q13=2),1,0),IF($X13&lt;=20,1,0))</formula>
    </cfRule>
    <cfRule type="expression" dxfId="568" priority="583">
      <formula>AND(IF($Q13=2,1,0),IF($X13&lt;30,1,0))</formula>
    </cfRule>
    <cfRule type="expression" dxfId="567" priority="584">
      <formula>AND(IF($Q13=3,1,0),IF($X13&lt;30,1,0))</formula>
    </cfRule>
    <cfRule type="expression" dxfId="566" priority="585">
      <formula>AND(IF($Q13=3,1,IF($Q13=4,1,0)),IF($F13&lt;=85,1,0))</formula>
    </cfRule>
  </conditionalFormatting>
  <conditionalFormatting sqref="AV14">
    <cfRule type="expression" dxfId="565" priority="580">
      <formula>AV14="X"</formula>
    </cfRule>
    <cfRule type="expression" dxfId="564" priority="581">
      <formula>AV14="후보"</formula>
    </cfRule>
  </conditionalFormatting>
  <conditionalFormatting sqref="AC14">
    <cfRule type="cellIs" dxfId="563" priority="577" operator="greaterThan">
      <formula>0.9</formula>
    </cfRule>
    <cfRule type="cellIs" dxfId="562" priority="578" operator="greaterThan">
      <formula>0.85</formula>
    </cfRule>
  </conditionalFormatting>
  <conditionalFormatting sqref="N14">
    <cfRule type="cellIs" dxfId="561" priority="575" operator="greaterThan">
      <formula>0.9</formula>
    </cfRule>
    <cfRule type="cellIs" dxfId="560" priority="576" operator="greaterThan">
      <formula>0.85</formula>
    </cfRule>
  </conditionalFormatting>
  <conditionalFormatting sqref="E14">
    <cfRule type="expression" dxfId="559" priority="571">
      <formula>AND(IF(OR($Q14=1,$Q14=2),1,0),IF($X14&lt;=20,1,0))</formula>
    </cfRule>
    <cfRule type="expression" dxfId="558" priority="572">
      <formula>AND(IF($Q14=2,1,0),IF($X14&lt;30,1,0))</formula>
    </cfRule>
    <cfRule type="expression" dxfId="557" priority="573">
      <formula>AND(IF($Q14=3,1,0),IF($X14&lt;30,1,0))</formula>
    </cfRule>
    <cfRule type="expression" dxfId="556" priority="574">
      <formula>AND(IF($Q14=3,1,IF($Q14=4,1,0)),IF($F14&lt;=85,1,0))</formula>
    </cfRule>
  </conditionalFormatting>
  <conditionalFormatting sqref="X14">
    <cfRule type="expression" dxfId="555" priority="567">
      <formula>AND(IF(OR($Q14=1,$Q14=2),1,0),IF($X14&lt;=20,1,0))</formula>
    </cfRule>
    <cfRule type="expression" dxfId="554" priority="568">
      <formula>AND(IF($Q14=2,1,0),IF($X14&lt;30,1,0))</formula>
    </cfRule>
    <cfRule type="expression" dxfId="553" priority="569">
      <formula>AND(IF($Q14=3,1,0),IF($X14&lt;30,1,0))</formula>
    </cfRule>
    <cfRule type="expression" dxfId="552" priority="570">
      <formula>AND(IF($Q14=3,1,IF($Q14=4,1,0)),IF($F14&lt;=85,1,0))</formula>
    </cfRule>
  </conditionalFormatting>
  <conditionalFormatting sqref="AI14">
    <cfRule type="expression" dxfId="551" priority="563">
      <formula>AND(IF(OR($Q14=1,$Q14=2),1,0),IF($X14&lt;=20,1,0))</formula>
    </cfRule>
    <cfRule type="expression" dxfId="550" priority="564">
      <formula>AND(IF($Q14=2,1,0),IF($X14&lt;30,1,0))</formula>
    </cfRule>
    <cfRule type="expression" dxfId="549" priority="565">
      <formula>AND(IF($Q14=3,1,0),IF($X14&lt;30,1,0))</formula>
    </cfRule>
    <cfRule type="expression" dxfId="548" priority="566">
      <formula>AND(IF($Q14=3,1,IF($Q14=4,1,0)),IF($F14&lt;=85,1,0))</formula>
    </cfRule>
  </conditionalFormatting>
  <conditionalFormatting sqref="AV15">
    <cfRule type="expression" dxfId="547" priority="561">
      <formula>AV15="X"</formula>
    </cfRule>
    <cfRule type="expression" dxfId="546" priority="562">
      <formula>AV15="후보"</formula>
    </cfRule>
  </conditionalFormatting>
  <conditionalFormatting sqref="AC15">
    <cfRule type="cellIs" dxfId="545" priority="558" operator="greaterThan">
      <formula>0.9</formula>
    </cfRule>
    <cfRule type="cellIs" dxfId="544" priority="559" operator="greaterThan">
      <formula>0.85</formula>
    </cfRule>
  </conditionalFormatting>
  <conditionalFormatting sqref="N15">
    <cfRule type="cellIs" dxfId="543" priority="556" operator="greaterThan">
      <formula>0.9</formula>
    </cfRule>
    <cfRule type="cellIs" dxfId="542" priority="557" operator="greaterThan">
      <formula>0.85</formula>
    </cfRule>
  </conditionalFormatting>
  <conditionalFormatting sqref="E15">
    <cfRule type="expression" dxfId="541" priority="552">
      <formula>AND(IF(OR($Q15=1,$Q15=2),1,0),IF($X15&lt;=20,1,0))</formula>
    </cfRule>
    <cfRule type="expression" dxfId="540" priority="553">
      <formula>AND(IF($Q15=2,1,0),IF($X15&lt;30,1,0))</formula>
    </cfRule>
    <cfRule type="expression" dxfId="539" priority="554">
      <formula>AND(IF($Q15=3,1,0),IF($X15&lt;30,1,0))</formula>
    </cfRule>
    <cfRule type="expression" dxfId="538" priority="555">
      <formula>AND(IF($Q15=3,1,IF($Q15=4,1,0)),IF($F15&lt;=85,1,0))</formula>
    </cfRule>
  </conditionalFormatting>
  <conditionalFormatting sqref="X15">
    <cfRule type="expression" dxfId="537" priority="548">
      <formula>AND(IF(OR($Q15=1,$Q15=2),1,0),IF($X15&lt;=20,1,0))</formula>
    </cfRule>
    <cfRule type="expression" dxfId="536" priority="549">
      <formula>AND(IF($Q15=2,1,0),IF($X15&lt;30,1,0))</formula>
    </cfRule>
    <cfRule type="expression" dxfId="535" priority="550">
      <formula>AND(IF($Q15=3,1,0),IF($X15&lt;30,1,0))</formula>
    </cfRule>
    <cfRule type="expression" dxfId="534" priority="551">
      <formula>AND(IF($Q15=3,1,IF($Q15=4,1,0)),IF($F15&lt;=85,1,0))</formula>
    </cfRule>
  </conditionalFormatting>
  <conditionalFormatting sqref="AI15">
    <cfRule type="expression" dxfId="533" priority="544">
      <formula>AND(IF(OR($Q15=1,$Q15=2),1,0),IF($X15&lt;=20,1,0))</formula>
    </cfRule>
    <cfRule type="expression" dxfId="532" priority="545">
      <formula>AND(IF($Q15=2,1,0),IF($X15&lt;30,1,0))</formula>
    </cfRule>
    <cfRule type="expression" dxfId="531" priority="546">
      <formula>AND(IF($Q15=3,1,0),IF($X15&lt;30,1,0))</formula>
    </cfRule>
    <cfRule type="expression" dxfId="530" priority="547">
      <formula>AND(IF($Q15=3,1,IF($Q15=4,1,0)),IF($F15&lt;=85,1,0))</formula>
    </cfRule>
  </conditionalFormatting>
  <conditionalFormatting sqref="AV16">
    <cfRule type="expression" dxfId="529" priority="542">
      <formula>AV16="X"</formula>
    </cfRule>
    <cfRule type="expression" dxfId="528" priority="543">
      <formula>AV16="후보"</formula>
    </cfRule>
  </conditionalFormatting>
  <conditionalFormatting sqref="AC16">
    <cfRule type="cellIs" dxfId="527" priority="539" operator="greaterThan">
      <formula>0.9</formula>
    </cfRule>
    <cfRule type="cellIs" dxfId="526" priority="540" operator="greaterThan">
      <formula>0.85</formula>
    </cfRule>
  </conditionalFormatting>
  <conditionalFormatting sqref="N16">
    <cfRule type="cellIs" dxfId="525" priority="537" operator="greaterThan">
      <formula>0.9</formula>
    </cfRule>
    <cfRule type="cellIs" dxfId="524" priority="538" operator="greaterThan">
      <formula>0.85</formula>
    </cfRule>
  </conditionalFormatting>
  <conditionalFormatting sqref="E16">
    <cfRule type="expression" dxfId="523" priority="533">
      <formula>AND(IF(OR($Q16=1,$Q16=2),1,0),IF($X16&lt;=20,1,0))</formula>
    </cfRule>
    <cfRule type="expression" dxfId="522" priority="534">
      <formula>AND(IF($Q16=2,1,0),IF($X16&lt;30,1,0))</formula>
    </cfRule>
    <cfRule type="expression" dxfId="521" priority="535">
      <formula>AND(IF($Q16=3,1,0),IF($X16&lt;30,1,0))</formula>
    </cfRule>
    <cfRule type="expression" dxfId="520" priority="536">
      <formula>AND(IF($Q16=3,1,IF($Q16=4,1,0)),IF($F16&lt;=85,1,0))</formula>
    </cfRule>
  </conditionalFormatting>
  <conditionalFormatting sqref="X16">
    <cfRule type="expression" dxfId="519" priority="529">
      <formula>AND(IF(OR($Q16=1,$Q16=2),1,0),IF($X16&lt;=20,1,0))</formula>
    </cfRule>
    <cfRule type="expression" dxfId="518" priority="530">
      <formula>AND(IF($Q16=2,1,0),IF($X16&lt;30,1,0))</formula>
    </cfRule>
    <cfRule type="expression" dxfId="517" priority="531">
      <formula>AND(IF($Q16=3,1,0),IF($X16&lt;30,1,0))</formula>
    </cfRule>
    <cfRule type="expression" dxfId="516" priority="532">
      <formula>AND(IF($Q16=3,1,IF($Q16=4,1,0)),IF($F16&lt;=85,1,0))</formula>
    </cfRule>
  </conditionalFormatting>
  <conditionalFormatting sqref="AI16">
    <cfRule type="expression" dxfId="515" priority="525">
      <formula>AND(IF(OR($Q16=1,$Q16=2),1,0),IF($X16&lt;=20,1,0))</formula>
    </cfRule>
    <cfRule type="expression" dxfId="514" priority="526">
      <formula>AND(IF($Q16=2,1,0),IF($X16&lt;30,1,0))</formula>
    </cfRule>
    <cfRule type="expression" dxfId="513" priority="527">
      <formula>AND(IF($Q16=3,1,0),IF($X16&lt;30,1,0))</formula>
    </cfRule>
    <cfRule type="expression" dxfId="512" priority="528">
      <formula>AND(IF($Q16=3,1,IF($Q16=4,1,0)),IF($F16&lt;=85,1,0))</formula>
    </cfRule>
  </conditionalFormatting>
  <conditionalFormatting sqref="AV17">
    <cfRule type="expression" dxfId="511" priority="523">
      <formula>AV17="X"</formula>
    </cfRule>
    <cfRule type="expression" dxfId="510" priority="524">
      <formula>AV17="후보"</formula>
    </cfRule>
  </conditionalFormatting>
  <conditionalFormatting sqref="AC17">
    <cfRule type="cellIs" dxfId="509" priority="520" operator="greaterThan">
      <formula>0.9</formula>
    </cfRule>
    <cfRule type="cellIs" dxfId="508" priority="521" operator="greaterThan">
      <formula>0.85</formula>
    </cfRule>
  </conditionalFormatting>
  <conditionalFormatting sqref="N17">
    <cfRule type="cellIs" dxfId="507" priority="518" operator="greaterThan">
      <formula>0.9</formula>
    </cfRule>
    <cfRule type="cellIs" dxfId="506" priority="519" operator="greaterThan">
      <formula>0.85</formula>
    </cfRule>
  </conditionalFormatting>
  <conditionalFormatting sqref="E17">
    <cfRule type="expression" dxfId="505" priority="514">
      <formula>AND(IF(OR($Q17=1,$Q17=2),1,0),IF($X17&lt;=20,1,0))</formula>
    </cfRule>
    <cfRule type="expression" dxfId="504" priority="515">
      <formula>AND(IF($Q17=2,1,0),IF($X17&lt;30,1,0))</formula>
    </cfRule>
    <cfRule type="expression" dxfId="503" priority="516">
      <formula>AND(IF($Q17=3,1,0),IF($X17&lt;30,1,0))</formula>
    </cfRule>
    <cfRule type="expression" dxfId="502" priority="517">
      <formula>AND(IF($Q17=3,1,IF($Q17=4,1,0)),IF($F17&lt;=85,1,0))</formula>
    </cfRule>
  </conditionalFormatting>
  <conditionalFormatting sqref="X17">
    <cfRule type="expression" dxfId="501" priority="510">
      <formula>AND(IF(OR($Q17=1,$Q17=2),1,0),IF($X17&lt;=20,1,0))</formula>
    </cfRule>
    <cfRule type="expression" dxfId="500" priority="511">
      <formula>AND(IF($Q17=2,1,0),IF($X17&lt;30,1,0))</formula>
    </cfRule>
    <cfRule type="expression" dxfId="499" priority="512">
      <formula>AND(IF($Q17=3,1,0),IF($X17&lt;30,1,0))</formula>
    </cfRule>
    <cfRule type="expression" dxfId="498" priority="513">
      <formula>AND(IF($Q17=3,1,IF($Q17=4,1,0)),IF($F17&lt;=85,1,0))</formula>
    </cfRule>
  </conditionalFormatting>
  <conditionalFormatting sqref="AI17">
    <cfRule type="expression" dxfId="497" priority="506">
      <formula>AND(IF(OR($Q17=1,$Q17=2),1,0),IF($X17&lt;=20,1,0))</formula>
    </cfRule>
    <cfRule type="expression" dxfId="496" priority="507">
      <formula>AND(IF($Q17=2,1,0),IF($X17&lt;30,1,0))</formula>
    </cfRule>
    <cfRule type="expression" dxfId="495" priority="508">
      <formula>AND(IF($Q17=3,1,0),IF($X17&lt;30,1,0))</formula>
    </cfRule>
    <cfRule type="expression" dxfId="494" priority="509">
      <formula>AND(IF($Q17=3,1,IF($Q17=4,1,0)),IF($F17&lt;=85,1,0))</formula>
    </cfRule>
  </conditionalFormatting>
  <conditionalFormatting sqref="AV18">
    <cfRule type="expression" dxfId="493" priority="504">
      <formula>AV18="X"</formula>
    </cfRule>
    <cfRule type="expression" dxfId="492" priority="505">
      <formula>AV18="후보"</formula>
    </cfRule>
  </conditionalFormatting>
  <conditionalFormatting sqref="AC18">
    <cfRule type="cellIs" dxfId="491" priority="501" operator="greaterThan">
      <formula>0.9</formula>
    </cfRule>
    <cfRule type="cellIs" dxfId="490" priority="502" operator="greaterThan">
      <formula>0.85</formula>
    </cfRule>
  </conditionalFormatting>
  <conditionalFormatting sqref="N18">
    <cfRule type="cellIs" dxfId="489" priority="499" operator="greaterThan">
      <formula>0.9</formula>
    </cfRule>
    <cfRule type="cellIs" dxfId="488" priority="500" operator="greaterThan">
      <formula>0.85</formula>
    </cfRule>
  </conditionalFormatting>
  <conditionalFormatting sqref="E18">
    <cfRule type="expression" dxfId="487" priority="495">
      <formula>AND(IF(OR($Q18=1,$Q18=2),1,0),IF($X18&lt;=20,1,0))</formula>
    </cfRule>
    <cfRule type="expression" dxfId="486" priority="496">
      <formula>AND(IF($Q18=2,1,0),IF($X18&lt;30,1,0))</formula>
    </cfRule>
    <cfRule type="expression" dxfId="485" priority="497">
      <formula>AND(IF($Q18=3,1,0),IF($X18&lt;30,1,0))</formula>
    </cfRule>
    <cfRule type="expression" dxfId="484" priority="498">
      <formula>AND(IF($Q18=3,1,IF($Q18=4,1,0)),IF($F18&lt;=85,1,0))</formula>
    </cfRule>
  </conditionalFormatting>
  <conditionalFormatting sqref="X18">
    <cfRule type="expression" dxfId="483" priority="491">
      <formula>AND(IF(OR($Q18=1,$Q18=2),1,0),IF($X18&lt;=20,1,0))</formula>
    </cfRule>
    <cfRule type="expression" dxfId="482" priority="492">
      <formula>AND(IF($Q18=2,1,0),IF($X18&lt;30,1,0))</formula>
    </cfRule>
    <cfRule type="expression" dxfId="481" priority="493">
      <formula>AND(IF($Q18=3,1,0),IF($X18&lt;30,1,0))</formula>
    </cfRule>
    <cfRule type="expression" dxfId="480" priority="494">
      <formula>AND(IF($Q18=3,1,IF($Q18=4,1,0)),IF($F18&lt;=85,1,0))</formula>
    </cfRule>
  </conditionalFormatting>
  <conditionalFormatting sqref="AI18">
    <cfRule type="expression" dxfId="479" priority="487">
      <formula>AND(IF(OR($Q18=1,$Q18=2),1,0),IF($X18&lt;=20,1,0))</formula>
    </cfRule>
    <cfRule type="expression" dxfId="478" priority="488">
      <formula>AND(IF($Q18=2,1,0),IF($X18&lt;30,1,0))</formula>
    </cfRule>
    <cfRule type="expression" dxfId="477" priority="489">
      <formula>AND(IF($Q18=3,1,0),IF($X18&lt;30,1,0))</formula>
    </cfRule>
    <cfRule type="expression" dxfId="476" priority="490">
      <formula>AND(IF($Q18=3,1,IF($Q18=4,1,0)),IF($F18&lt;=85,1,0))</formula>
    </cfRule>
  </conditionalFormatting>
  <conditionalFormatting sqref="AV19">
    <cfRule type="expression" dxfId="475" priority="485">
      <formula>AV19="X"</formula>
    </cfRule>
    <cfRule type="expression" dxfId="474" priority="486">
      <formula>AV19="후보"</formula>
    </cfRule>
  </conditionalFormatting>
  <conditionalFormatting sqref="AC19">
    <cfRule type="cellIs" dxfId="473" priority="482" operator="greaterThan">
      <formula>0.9</formula>
    </cfRule>
    <cfRule type="cellIs" dxfId="472" priority="483" operator="greaterThan">
      <formula>0.85</formula>
    </cfRule>
  </conditionalFormatting>
  <conditionalFormatting sqref="N19">
    <cfRule type="cellIs" dxfId="471" priority="480" operator="greaterThan">
      <formula>0.9</formula>
    </cfRule>
    <cfRule type="cellIs" dxfId="470" priority="481" operator="greaterThan">
      <formula>0.85</formula>
    </cfRule>
  </conditionalFormatting>
  <conditionalFormatting sqref="E19">
    <cfRule type="expression" dxfId="469" priority="476">
      <formula>AND(IF(OR($Q19=1,$Q19=2),1,0),IF($X19&lt;=20,1,0))</formula>
    </cfRule>
    <cfRule type="expression" dxfId="468" priority="477">
      <formula>AND(IF($Q19=2,1,0),IF($X19&lt;30,1,0))</formula>
    </cfRule>
    <cfRule type="expression" dxfId="467" priority="478">
      <formula>AND(IF($Q19=3,1,0),IF($X19&lt;30,1,0))</formula>
    </cfRule>
    <cfRule type="expression" dxfId="466" priority="479">
      <formula>AND(IF($Q19=3,1,IF($Q19=4,1,0)),IF($F19&lt;=85,1,0))</formula>
    </cfRule>
  </conditionalFormatting>
  <conditionalFormatting sqref="X19">
    <cfRule type="expression" dxfId="465" priority="472">
      <formula>AND(IF(OR($Q19=1,$Q19=2),1,0),IF($X19&lt;=20,1,0))</formula>
    </cfRule>
    <cfRule type="expression" dxfId="464" priority="473">
      <formula>AND(IF($Q19=2,1,0),IF($X19&lt;30,1,0))</formula>
    </cfRule>
    <cfRule type="expression" dxfId="463" priority="474">
      <formula>AND(IF($Q19=3,1,0),IF($X19&lt;30,1,0))</formula>
    </cfRule>
    <cfRule type="expression" dxfId="462" priority="475">
      <formula>AND(IF($Q19=3,1,IF($Q19=4,1,0)),IF($F19&lt;=85,1,0))</formula>
    </cfRule>
  </conditionalFormatting>
  <conditionalFormatting sqref="AI19">
    <cfRule type="expression" dxfId="461" priority="468">
      <formula>AND(IF(OR($Q19=1,$Q19=2),1,0),IF($X19&lt;=20,1,0))</formula>
    </cfRule>
    <cfRule type="expression" dxfId="460" priority="469">
      <formula>AND(IF($Q19=2,1,0),IF($X19&lt;30,1,0))</formula>
    </cfRule>
    <cfRule type="expression" dxfId="459" priority="470">
      <formula>AND(IF($Q19=3,1,0),IF($X19&lt;30,1,0))</formula>
    </cfRule>
    <cfRule type="expression" dxfId="458" priority="471">
      <formula>AND(IF($Q19=3,1,IF($Q19=4,1,0)),IF($F19&lt;=85,1,0))</formula>
    </cfRule>
  </conditionalFormatting>
  <conditionalFormatting sqref="AV20">
    <cfRule type="expression" dxfId="457" priority="466">
      <formula>AV20="X"</formula>
    </cfRule>
    <cfRule type="expression" dxfId="456" priority="467">
      <formula>AV20="후보"</formula>
    </cfRule>
  </conditionalFormatting>
  <conditionalFormatting sqref="AC20">
    <cfRule type="cellIs" dxfId="455" priority="463" operator="greaterThan">
      <formula>0.9</formula>
    </cfRule>
    <cfRule type="cellIs" dxfId="454" priority="464" operator="greaterThan">
      <formula>0.85</formula>
    </cfRule>
  </conditionalFormatting>
  <conditionalFormatting sqref="N20">
    <cfRule type="cellIs" dxfId="453" priority="461" operator="greaterThan">
      <formula>0.9</formula>
    </cfRule>
    <cfRule type="cellIs" dxfId="452" priority="462" operator="greaterThan">
      <formula>0.85</formula>
    </cfRule>
  </conditionalFormatting>
  <conditionalFormatting sqref="E20">
    <cfRule type="expression" dxfId="451" priority="457">
      <formula>AND(IF(OR($Q20=1,$Q20=2),1,0),IF($X20&lt;=20,1,0))</formula>
    </cfRule>
    <cfRule type="expression" dxfId="450" priority="458">
      <formula>AND(IF($Q20=2,1,0),IF($X20&lt;30,1,0))</formula>
    </cfRule>
    <cfRule type="expression" dxfId="449" priority="459">
      <formula>AND(IF($Q20=3,1,0),IF($X20&lt;30,1,0))</formula>
    </cfRule>
    <cfRule type="expression" dxfId="448" priority="460">
      <formula>AND(IF($Q20=3,1,IF($Q20=4,1,0)),IF($F20&lt;=85,1,0))</formula>
    </cfRule>
  </conditionalFormatting>
  <conditionalFormatting sqref="X20">
    <cfRule type="expression" dxfId="447" priority="453">
      <formula>AND(IF(OR($Q20=1,$Q20=2),1,0),IF($X20&lt;=20,1,0))</formula>
    </cfRule>
    <cfRule type="expression" dxfId="446" priority="454">
      <formula>AND(IF($Q20=2,1,0),IF($X20&lt;30,1,0))</formula>
    </cfRule>
    <cfRule type="expression" dxfId="445" priority="455">
      <formula>AND(IF($Q20=3,1,0),IF($X20&lt;30,1,0))</formula>
    </cfRule>
    <cfRule type="expression" dxfId="444" priority="456">
      <formula>AND(IF($Q20=3,1,IF($Q20=4,1,0)),IF($F20&lt;=85,1,0))</formula>
    </cfRule>
  </conditionalFormatting>
  <conditionalFormatting sqref="AI20">
    <cfRule type="expression" dxfId="443" priority="449">
      <formula>AND(IF(OR($Q20=1,$Q20=2),1,0),IF($X20&lt;=20,1,0))</formula>
    </cfRule>
    <cfRule type="expression" dxfId="442" priority="450">
      <formula>AND(IF($Q20=2,1,0),IF($X20&lt;30,1,0))</formula>
    </cfRule>
    <cfRule type="expression" dxfId="441" priority="451">
      <formula>AND(IF($Q20=3,1,0),IF($X20&lt;30,1,0))</formula>
    </cfRule>
    <cfRule type="expression" dxfId="440" priority="452">
      <formula>AND(IF($Q20=3,1,IF($Q20=4,1,0)),IF($F20&lt;=85,1,0))</formula>
    </cfRule>
  </conditionalFormatting>
  <conditionalFormatting sqref="AV21">
    <cfRule type="expression" dxfId="439" priority="447">
      <formula>AV21="X"</formula>
    </cfRule>
    <cfRule type="expression" dxfId="438" priority="448">
      <formula>AV21="후보"</formula>
    </cfRule>
  </conditionalFormatting>
  <conditionalFormatting sqref="AC21">
    <cfRule type="cellIs" dxfId="437" priority="444" operator="greaterThan">
      <formula>0.9</formula>
    </cfRule>
    <cfRule type="cellIs" dxfId="436" priority="445" operator="greaterThan">
      <formula>0.85</formula>
    </cfRule>
  </conditionalFormatting>
  <conditionalFormatting sqref="N21">
    <cfRule type="cellIs" dxfId="435" priority="442" operator="greaterThan">
      <formula>0.9</formula>
    </cfRule>
    <cfRule type="cellIs" dxfId="434" priority="443" operator="greaterThan">
      <formula>0.85</formula>
    </cfRule>
  </conditionalFormatting>
  <conditionalFormatting sqref="E21">
    <cfRule type="expression" dxfId="433" priority="438">
      <formula>AND(IF(OR($Q21=1,$Q21=2),1,0),IF($X21&lt;=20,1,0))</formula>
    </cfRule>
    <cfRule type="expression" dxfId="432" priority="439">
      <formula>AND(IF($Q21=2,1,0),IF($X21&lt;30,1,0))</formula>
    </cfRule>
    <cfRule type="expression" dxfId="431" priority="440">
      <formula>AND(IF($Q21=3,1,0),IF($X21&lt;30,1,0))</formula>
    </cfRule>
    <cfRule type="expression" dxfId="430" priority="441">
      <formula>AND(IF($Q21=3,1,IF($Q21=4,1,0)),IF($F21&lt;=85,1,0))</formula>
    </cfRule>
  </conditionalFormatting>
  <conditionalFormatting sqref="X21">
    <cfRule type="expression" dxfId="429" priority="434">
      <formula>AND(IF(OR($Q21=1,$Q21=2),1,0),IF($X21&lt;=20,1,0))</formula>
    </cfRule>
    <cfRule type="expression" dxfId="428" priority="435">
      <formula>AND(IF($Q21=2,1,0),IF($X21&lt;30,1,0))</formula>
    </cfRule>
    <cfRule type="expression" dxfId="427" priority="436">
      <formula>AND(IF($Q21=3,1,0),IF($X21&lt;30,1,0))</formula>
    </cfRule>
    <cfRule type="expression" dxfId="426" priority="437">
      <formula>AND(IF($Q21=3,1,IF($Q21=4,1,0)),IF($F21&lt;=85,1,0))</formula>
    </cfRule>
  </conditionalFormatting>
  <conditionalFormatting sqref="AI21">
    <cfRule type="expression" dxfId="425" priority="430">
      <formula>AND(IF(OR($Q21=1,$Q21=2),1,0),IF($X21&lt;=20,1,0))</formula>
    </cfRule>
    <cfRule type="expression" dxfId="424" priority="431">
      <formula>AND(IF($Q21=2,1,0),IF($X21&lt;30,1,0))</formula>
    </cfRule>
    <cfRule type="expression" dxfId="423" priority="432">
      <formula>AND(IF($Q21=3,1,0),IF($X21&lt;30,1,0))</formula>
    </cfRule>
    <cfRule type="expression" dxfId="422" priority="433">
      <formula>AND(IF($Q21=3,1,IF($Q21=4,1,0)),IF($F21&lt;=85,1,0))</formula>
    </cfRule>
  </conditionalFormatting>
  <conditionalFormatting sqref="AV22">
    <cfRule type="expression" dxfId="421" priority="428">
      <formula>AV22="X"</formula>
    </cfRule>
    <cfRule type="expression" dxfId="420" priority="429">
      <formula>AV22="후보"</formula>
    </cfRule>
  </conditionalFormatting>
  <conditionalFormatting sqref="AC22 N22">
    <cfRule type="cellIs" dxfId="419" priority="425" operator="greaterThan">
      <formula>0.9</formula>
    </cfRule>
    <cfRule type="cellIs" dxfId="418" priority="426" operator="greaterThan">
      <formula>0.85</formula>
    </cfRule>
  </conditionalFormatting>
  <conditionalFormatting sqref="AV23">
    <cfRule type="expression" dxfId="417" priority="423">
      <formula>AV23="X"</formula>
    </cfRule>
    <cfRule type="expression" dxfId="416" priority="424">
      <formula>AV23="후보"</formula>
    </cfRule>
  </conditionalFormatting>
  <conditionalFormatting sqref="AC23">
    <cfRule type="cellIs" dxfId="415" priority="420" operator="greaterThan">
      <formula>0.9</formula>
    </cfRule>
    <cfRule type="cellIs" dxfId="414" priority="421" operator="greaterThan">
      <formula>0.85</formula>
    </cfRule>
  </conditionalFormatting>
  <conditionalFormatting sqref="N23">
    <cfRule type="cellIs" dxfId="413" priority="418" operator="greaterThan">
      <formula>0.9</formula>
    </cfRule>
    <cfRule type="cellIs" dxfId="412" priority="419" operator="greaterThan">
      <formula>0.85</formula>
    </cfRule>
  </conditionalFormatting>
  <conditionalFormatting sqref="E23">
    <cfRule type="expression" dxfId="411" priority="414">
      <formula>AND(IF(OR($Q23=1,$Q23=2),1,0),IF($X23&lt;=20,1,0))</formula>
    </cfRule>
    <cfRule type="expression" dxfId="410" priority="415">
      <formula>AND(IF($Q23=2,1,0),IF($X23&lt;30,1,0))</formula>
    </cfRule>
    <cfRule type="expression" dxfId="409" priority="416">
      <formula>AND(IF($Q23=3,1,0),IF($X23&lt;30,1,0))</formula>
    </cfRule>
    <cfRule type="expression" dxfId="408" priority="417">
      <formula>AND(IF($Q23=3,1,IF($Q23=4,1,0)),IF($F23&lt;=85,1,0))</formula>
    </cfRule>
  </conditionalFormatting>
  <conditionalFormatting sqref="X23">
    <cfRule type="expression" dxfId="407" priority="410">
      <formula>AND(IF(OR($Q23=1,$Q23=2),1,0),IF($X23&lt;=20,1,0))</formula>
    </cfRule>
    <cfRule type="expression" dxfId="406" priority="411">
      <formula>AND(IF($Q23=2,1,0),IF($X23&lt;30,1,0))</formula>
    </cfRule>
    <cfRule type="expression" dxfId="405" priority="412">
      <formula>AND(IF($Q23=3,1,0),IF($X23&lt;30,1,0))</formula>
    </cfRule>
    <cfRule type="expression" dxfId="404" priority="413">
      <formula>AND(IF($Q23=3,1,IF($Q23=4,1,0)),IF($F23&lt;=85,1,0))</formula>
    </cfRule>
  </conditionalFormatting>
  <conditionalFormatting sqref="AI23">
    <cfRule type="expression" dxfId="403" priority="406">
      <formula>AND(IF(OR($Q23=1,$Q23=2),1,0),IF($X23&lt;=20,1,0))</formula>
    </cfRule>
    <cfRule type="expression" dxfId="402" priority="407">
      <formula>AND(IF($Q23=2,1,0),IF($X23&lt;30,1,0))</formula>
    </cfRule>
    <cfRule type="expression" dxfId="401" priority="408">
      <formula>AND(IF($Q23=3,1,0),IF($X23&lt;30,1,0))</formula>
    </cfRule>
    <cfRule type="expression" dxfId="400" priority="409">
      <formula>AND(IF($Q23=3,1,IF($Q23=4,1,0)),IF($F23&lt;=85,1,0))</formula>
    </cfRule>
  </conditionalFormatting>
  <conditionalFormatting sqref="AV24">
    <cfRule type="expression" dxfId="399" priority="404">
      <formula>AV24="X"</formula>
    </cfRule>
    <cfRule type="expression" dxfId="398" priority="405">
      <formula>AV24="후보"</formula>
    </cfRule>
  </conditionalFormatting>
  <conditionalFormatting sqref="AC24">
    <cfRule type="cellIs" dxfId="397" priority="401" operator="greaterThan">
      <formula>0.9</formula>
    </cfRule>
    <cfRule type="cellIs" dxfId="396" priority="402" operator="greaterThan">
      <formula>0.85</formula>
    </cfRule>
  </conditionalFormatting>
  <conditionalFormatting sqref="N24">
    <cfRule type="cellIs" dxfId="395" priority="399" operator="greaterThan">
      <formula>0.9</formula>
    </cfRule>
    <cfRule type="cellIs" dxfId="394" priority="400" operator="greaterThan">
      <formula>0.85</formula>
    </cfRule>
  </conditionalFormatting>
  <conditionalFormatting sqref="E24">
    <cfRule type="expression" dxfId="393" priority="395">
      <formula>AND(IF(OR($Q24=1,$Q24=2),1,0),IF($X24&lt;=20,1,0))</formula>
    </cfRule>
    <cfRule type="expression" dxfId="392" priority="396">
      <formula>AND(IF($Q24=2,1,0),IF($X24&lt;30,1,0))</formula>
    </cfRule>
    <cfRule type="expression" dxfId="391" priority="397">
      <formula>AND(IF($Q24=3,1,0),IF($X24&lt;30,1,0))</formula>
    </cfRule>
    <cfRule type="expression" dxfId="390" priority="398">
      <formula>AND(IF($Q24=3,1,IF($Q24=4,1,0)),IF($F24&lt;=85,1,0))</formula>
    </cfRule>
  </conditionalFormatting>
  <conditionalFormatting sqref="X24">
    <cfRule type="expression" dxfId="389" priority="391">
      <formula>AND(IF(OR($Q24=1,$Q24=2),1,0),IF($X24&lt;=20,1,0))</formula>
    </cfRule>
    <cfRule type="expression" dxfId="388" priority="392">
      <formula>AND(IF($Q24=2,1,0),IF($X24&lt;30,1,0))</formula>
    </cfRule>
    <cfRule type="expression" dxfId="387" priority="393">
      <formula>AND(IF($Q24=3,1,0),IF($X24&lt;30,1,0))</formula>
    </cfRule>
    <cfRule type="expression" dxfId="386" priority="394">
      <formula>AND(IF($Q24=3,1,IF($Q24=4,1,0)),IF($F24&lt;=85,1,0))</formula>
    </cfRule>
  </conditionalFormatting>
  <conditionalFormatting sqref="AI24">
    <cfRule type="expression" dxfId="385" priority="387">
      <formula>AND(IF(OR($Q24=1,$Q24=2),1,0),IF($X24&lt;=20,1,0))</formula>
    </cfRule>
    <cfRule type="expression" dxfId="384" priority="388">
      <formula>AND(IF($Q24=2,1,0),IF($X24&lt;30,1,0))</formula>
    </cfRule>
    <cfRule type="expression" dxfId="383" priority="389">
      <formula>AND(IF($Q24=3,1,0),IF($X24&lt;30,1,0))</formula>
    </cfRule>
    <cfRule type="expression" dxfId="382" priority="390">
      <formula>AND(IF($Q24=3,1,IF($Q24=4,1,0)),IF($F24&lt;=85,1,0))</formula>
    </cfRule>
  </conditionalFormatting>
  <conditionalFormatting sqref="AV25">
    <cfRule type="expression" dxfId="381" priority="385">
      <formula>AV25="X"</formula>
    </cfRule>
    <cfRule type="expression" dxfId="380" priority="386">
      <formula>AV25="후보"</formula>
    </cfRule>
  </conditionalFormatting>
  <conditionalFormatting sqref="AC25">
    <cfRule type="cellIs" dxfId="379" priority="382" operator="greaterThan">
      <formula>0.9</formula>
    </cfRule>
    <cfRule type="cellIs" dxfId="378" priority="383" operator="greaterThan">
      <formula>0.85</formula>
    </cfRule>
  </conditionalFormatting>
  <conditionalFormatting sqref="N25">
    <cfRule type="cellIs" dxfId="377" priority="380" operator="greaterThan">
      <formula>0.9</formula>
    </cfRule>
    <cfRule type="cellIs" dxfId="376" priority="381" operator="greaterThan">
      <formula>0.85</formula>
    </cfRule>
  </conditionalFormatting>
  <conditionalFormatting sqref="E25">
    <cfRule type="expression" dxfId="375" priority="376">
      <formula>AND(IF(OR($Q25=1,$Q25=2),1,0),IF($X25&lt;=20,1,0))</formula>
    </cfRule>
    <cfRule type="expression" dxfId="374" priority="377">
      <formula>AND(IF($Q25=2,1,0),IF($X25&lt;30,1,0))</formula>
    </cfRule>
    <cfRule type="expression" dxfId="373" priority="378">
      <formula>AND(IF($Q25=3,1,0),IF($X25&lt;30,1,0))</formula>
    </cfRule>
    <cfRule type="expression" dxfId="372" priority="379">
      <formula>AND(IF($Q25=3,1,IF($Q25=4,1,0)),IF($F25&lt;=85,1,0))</formula>
    </cfRule>
  </conditionalFormatting>
  <conditionalFormatting sqref="X25">
    <cfRule type="expression" dxfId="371" priority="372">
      <formula>AND(IF(OR($Q25=1,$Q25=2),1,0),IF($X25&lt;=20,1,0))</formula>
    </cfRule>
    <cfRule type="expression" dxfId="370" priority="373">
      <formula>AND(IF($Q25=2,1,0),IF($X25&lt;30,1,0))</formula>
    </cfRule>
    <cfRule type="expression" dxfId="369" priority="374">
      <formula>AND(IF($Q25=3,1,0),IF($X25&lt;30,1,0))</formula>
    </cfRule>
    <cfRule type="expression" dxfId="368" priority="375">
      <formula>AND(IF($Q25=3,1,IF($Q25=4,1,0)),IF($F25&lt;=85,1,0))</formula>
    </cfRule>
  </conditionalFormatting>
  <conditionalFormatting sqref="AI25">
    <cfRule type="expression" dxfId="367" priority="368">
      <formula>AND(IF(OR($Q25=1,$Q25=2),1,0),IF($X25&lt;=20,1,0))</formula>
    </cfRule>
    <cfRule type="expression" dxfId="366" priority="369">
      <formula>AND(IF($Q25=2,1,0),IF($X25&lt;30,1,0))</formula>
    </cfRule>
    <cfRule type="expression" dxfId="365" priority="370">
      <formula>AND(IF($Q25=3,1,0),IF($X25&lt;30,1,0))</formula>
    </cfRule>
    <cfRule type="expression" dxfId="364" priority="371">
      <formula>AND(IF($Q25=3,1,IF($Q25=4,1,0)),IF($F25&lt;=85,1,0))</formula>
    </cfRule>
  </conditionalFormatting>
  <conditionalFormatting sqref="AV26">
    <cfRule type="expression" dxfId="363" priority="366">
      <formula>AV26="X"</formula>
    </cfRule>
    <cfRule type="expression" dxfId="362" priority="367">
      <formula>AV26="후보"</formula>
    </cfRule>
  </conditionalFormatting>
  <conditionalFormatting sqref="AC26">
    <cfRule type="cellIs" dxfId="361" priority="363" operator="greaterThan">
      <formula>0.9</formula>
    </cfRule>
    <cfRule type="cellIs" dxfId="360" priority="364" operator="greaterThan">
      <formula>0.85</formula>
    </cfRule>
  </conditionalFormatting>
  <conditionalFormatting sqref="N26">
    <cfRule type="cellIs" dxfId="359" priority="361" operator="greaterThan">
      <formula>0.9</formula>
    </cfRule>
    <cfRule type="cellIs" dxfId="358" priority="362" operator="greaterThan">
      <formula>0.85</formula>
    </cfRule>
  </conditionalFormatting>
  <conditionalFormatting sqref="E26">
    <cfRule type="expression" dxfId="357" priority="357">
      <formula>AND(IF(OR($Q26=1,$Q26=2),1,0),IF($X26&lt;=20,1,0))</formula>
    </cfRule>
    <cfRule type="expression" dxfId="356" priority="358">
      <formula>AND(IF($Q26=2,1,0),IF($X26&lt;30,1,0))</formula>
    </cfRule>
    <cfRule type="expression" dxfId="355" priority="359">
      <formula>AND(IF($Q26=3,1,0),IF($X26&lt;30,1,0))</formula>
    </cfRule>
    <cfRule type="expression" dxfId="354" priority="360">
      <formula>AND(IF($Q26=3,1,IF($Q26=4,1,0)),IF($F26&lt;=85,1,0))</formula>
    </cfRule>
  </conditionalFormatting>
  <conditionalFormatting sqref="X26">
    <cfRule type="expression" dxfId="353" priority="353">
      <formula>AND(IF(OR($Q26=1,$Q26=2),1,0),IF($X26&lt;=20,1,0))</formula>
    </cfRule>
    <cfRule type="expression" dxfId="352" priority="354">
      <formula>AND(IF($Q26=2,1,0),IF($X26&lt;30,1,0))</formula>
    </cfRule>
    <cfRule type="expression" dxfId="351" priority="355">
      <formula>AND(IF($Q26=3,1,0),IF($X26&lt;30,1,0))</formula>
    </cfRule>
    <cfRule type="expression" dxfId="350" priority="356">
      <formula>AND(IF($Q26=3,1,IF($Q26=4,1,0)),IF($F26&lt;=85,1,0))</formula>
    </cfRule>
  </conditionalFormatting>
  <conditionalFormatting sqref="AI26">
    <cfRule type="expression" dxfId="349" priority="349">
      <formula>AND(IF(OR($Q26=1,$Q26=2),1,0),IF($X26&lt;=20,1,0))</formula>
    </cfRule>
    <cfRule type="expression" dxfId="348" priority="350">
      <formula>AND(IF($Q26=2,1,0),IF($X26&lt;30,1,0))</formula>
    </cfRule>
    <cfRule type="expression" dxfId="347" priority="351">
      <formula>AND(IF($Q26=3,1,0),IF($X26&lt;30,1,0))</formula>
    </cfRule>
    <cfRule type="expression" dxfId="346" priority="352">
      <formula>AND(IF($Q26=3,1,IF($Q26=4,1,0)),IF($F26&lt;=85,1,0))</formula>
    </cfRule>
  </conditionalFormatting>
  <conditionalFormatting sqref="AV27">
    <cfRule type="expression" dxfId="345" priority="347">
      <formula>AV27="X"</formula>
    </cfRule>
    <cfRule type="expression" dxfId="344" priority="348">
      <formula>AV27="후보"</formula>
    </cfRule>
  </conditionalFormatting>
  <conditionalFormatting sqref="AC27 N27">
    <cfRule type="cellIs" dxfId="343" priority="344" operator="greaterThan">
      <formula>0.9</formula>
    </cfRule>
    <cfRule type="cellIs" dxfId="342" priority="345" operator="greaterThan">
      <formula>0.85</formula>
    </cfRule>
  </conditionalFormatting>
  <conditionalFormatting sqref="AV28">
    <cfRule type="expression" dxfId="341" priority="342">
      <formula>AV28="X"</formula>
    </cfRule>
    <cfRule type="expression" dxfId="340" priority="343">
      <formula>AV28="후보"</formula>
    </cfRule>
  </conditionalFormatting>
  <conditionalFormatting sqref="AC28">
    <cfRule type="cellIs" dxfId="339" priority="339" operator="greaterThan">
      <formula>0.9</formula>
    </cfRule>
    <cfRule type="cellIs" dxfId="338" priority="340" operator="greaterThan">
      <formula>0.85</formula>
    </cfRule>
  </conditionalFormatting>
  <conditionalFormatting sqref="N28">
    <cfRule type="cellIs" dxfId="337" priority="337" operator="greaterThan">
      <formula>0.9</formula>
    </cfRule>
    <cfRule type="cellIs" dxfId="336" priority="338" operator="greaterThan">
      <formula>0.85</formula>
    </cfRule>
  </conditionalFormatting>
  <conditionalFormatting sqref="E28">
    <cfRule type="expression" dxfId="335" priority="333">
      <formula>AND(IF(OR($Q28=1,$Q28=2),1,0),IF($X28&lt;=20,1,0))</formula>
    </cfRule>
    <cfRule type="expression" dxfId="334" priority="334">
      <formula>AND(IF($Q28=2,1,0),IF($X28&lt;30,1,0))</formula>
    </cfRule>
    <cfRule type="expression" dxfId="333" priority="335">
      <formula>AND(IF($Q28=3,1,0),IF($X28&lt;30,1,0))</formula>
    </cfRule>
    <cfRule type="expression" dxfId="332" priority="336">
      <formula>AND(IF($Q28=3,1,IF($Q28=4,1,0)),IF($F28&lt;=85,1,0))</formula>
    </cfRule>
  </conditionalFormatting>
  <conditionalFormatting sqref="X28">
    <cfRule type="expression" dxfId="331" priority="329">
      <formula>AND(IF(OR($Q28=1,$Q28=2),1,0),IF($X28&lt;=20,1,0))</formula>
    </cfRule>
    <cfRule type="expression" dxfId="330" priority="330">
      <formula>AND(IF($Q28=2,1,0),IF($X28&lt;30,1,0))</formula>
    </cfRule>
    <cfRule type="expression" dxfId="329" priority="331">
      <formula>AND(IF($Q28=3,1,0),IF($X28&lt;30,1,0))</formula>
    </cfRule>
    <cfRule type="expression" dxfId="328" priority="332">
      <formula>AND(IF($Q28=3,1,IF($Q28=4,1,0)),IF($F28&lt;=85,1,0))</formula>
    </cfRule>
  </conditionalFormatting>
  <conditionalFormatting sqref="AI28">
    <cfRule type="expression" dxfId="327" priority="325">
      <formula>AND(IF(OR($Q28=1,$Q28=2),1,0),IF($X28&lt;=20,1,0))</formula>
    </cfRule>
    <cfRule type="expression" dxfId="326" priority="326">
      <formula>AND(IF($Q28=2,1,0),IF($X28&lt;30,1,0))</formula>
    </cfRule>
    <cfRule type="expression" dxfId="325" priority="327">
      <formula>AND(IF($Q28=3,1,0),IF($X28&lt;30,1,0))</formula>
    </cfRule>
    <cfRule type="expression" dxfId="324" priority="328">
      <formula>AND(IF($Q28=3,1,IF($Q28=4,1,0)),IF($F28&lt;=85,1,0))</formula>
    </cfRule>
  </conditionalFormatting>
  <conditionalFormatting sqref="AV29">
    <cfRule type="expression" dxfId="323" priority="323">
      <formula>AV29="X"</formula>
    </cfRule>
    <cfRule type="expression" dxfId="322" priority="324">
      <formula>AV29="후보"</formula>
    </cfRule>
  </conditionalFormatting>
  <conditionalFormatting sqref="AC29">
    <cfRule type="cellIs" dxfId="321" priority="320" operator="greaterThan">
      <formula>0.9</formula>
    </cfRule>
    <cfRule type="cellIs" dxfId="320" priority="321" operator="greaterThan">
      <formula>0.85</formula>
    </cfRule>
  </conditionalFormatting>
  <conditionalFormatting sqref="N29">
    <cfRule type="cellIs" dxfId="319" priority="318" operator="greaterThan">
      <formula>0.9</formula>
    </cfRule>
    <cfRule type="cellIs" dxfId="318" priority="319" operator="greaterThan">
      <formula>0.85</formula>
    </cfRule>
  </conditionalFormatting>
  <conditionalFormatting sqref="E29">
    <cfRule type="expression" dxfId="317" priority="314">
      <formula>AND(IF(OR($Q29=1,$Q29=2),1,0),IF($X29&lt;=20,1,0))</formula>
    </cfRule>
    <cfRule type="expression" dxfId="316" priority="315">
      <formula>AND(IF($Q29=2,1,0),IF($X29&lt;30,1,0))</formula>
    </cfRule>
    <cfRule type="expression" dxfId="315" priority="316">
      <formula>AND(IF($Q29=3,1,0),IF($X29&lt;30,1,0))</formula>
    </cfRule>
    <cfRule type="expression" dxfId="314" priority="317">
      <formula>AND(IF($Q29=3,1,IF($Q29=4,1,0)),IF($F29&lt;=85,1,0))</formula>
    </cfRule>
  </conditionalFormatting>
  <conditionalFormatting sqref="X29">
    <cfRule type="expression" dxfId="313" priority="310">
      <formula>AND(IF(OR($Q29=1,$Q29=2),1,0),IF($X29&lt;=20,1,0))</formula>
    </cfRule>
    <cfRule type="expression" dxfId="312" priority="311">
      <formula>AND(IF($Q29=2,1,0),IF($X29&lt;30,1,0))</formula>
    </cfRule>
    <cfRule type="expression" dxfId="311" priority="312">
      <formula>AND(IF($Q29=3,1,0),IF($X29&lt;30,1,0))</formula>
    </cfRule>
    <cfRule type="expression" dxfId="310" priority="313">
      <formula>AND(IF($Q29=3,1,IF($Q29=4,1,0)),IF($F29&lt;=85,1,0))</formula>
    </cfRule>
  </conditionalFormatting>
  <conditionalFormatting sqref="AI29">
    <cfRule type="expression" dxfId="309" priority="306">
      <formula>AND(IF(OR($Q29=1,$Q29=2),1,0),IF($X29&lt;=20,1,0))</formula>
    </cfRule>
    <cfRule type="expression" dxfId="308" priority="307">
      <formula>AND(IF($Q29=2,1,0),IF($X29&lt;30,1,0))</formula>
    </cfRule>
    <cfRule type="expression" dxfId="307" priority="308">
      <formula>AND(IF($Q29=3,1,0),IF($X29&lt;30,1,0))</formula>
    </cfRule>
    <cfRule type="expression" dxfId="306" priority="309">
      <formula>AND(IF($Q29=3,1,IF($Q29=4,1,0)),IF($F29&lt;=85,1,0))</formula>
    </cfRule>
  </conditionalFormatting>
  <conditionalFormatting sqref="AV30">
    <cfRule type="expression" dxfId="305" priority="304">
      <formula>AV30="X"</formula>
    </cfRule>
    <cfRule type="expression" dxfId="304" priority="305">
      <formula>AV30="후보"</formula>
    </cfRule>
  </conditionalFormatting>
  <conditionalFormatting sqref="AC30">
    <cfRule type="cellIs" dxfId="303" priority="301" operator="greaterThan">
      <formula>0.9</formula>
    </cfRule>
    <cfRule type="cellIs" dxfId="302" priority="302" operator="greaterThan">
      <formula>0.85</formula>
    </cfRule>
  </conditionalFormatting>
  <conditionalFormatting sqref="N30">
    <cfRule type="cellIs" dxfId="301" priority="299" operator="greaterThan">
      <formula>0.9</formula>
    </cfRule>
    <cfRule type="cellIs" dxfId="300" priority="300" operator="greaterThan">
      <formula>0.85</formula>
    </cfRule>
  </conditionalFormatting>
  <conditionalFormatting sqref="E30">
    <cfRule type="expression" dxfId="299" priority="295">
      <formula>AND(IF(OR($Q30=1,$Q30=2),1,0),IF($X30&lt;=20,1,0))</formula>
    </cfRule>
    <cfRule type="expression" dxfId="298" priority="296">
      <formula>AND(IF($Q30=2,1,0),IF($X30&lt;30,1,0))</formula>
    </cfRule>
    <cfRule type="expression" dxfId="297" priority="297">
      <formula>AND(IF($Q30=3,1,0),IF($X30&lt;30,1,0))</formula>
    </cfRule>
    <cfRule type="expression" dxfId="296" priority="298">
      <formula>AND(IF($Q30=3,1,IF($Q30=4,1,0)),IF($F30&lt;=85,1,0))</formula>
    </cfRule>
  </conditionalFormatting>
  <conditionalFormatting sqref="X30">
    <cfRule type="expression" dxfId="295" priority="291">
      <formula>AND(IF(OR($Q30=1,$Q30=2),1,0),IF($X30&lt;=20,1,0))</formula>
    </cfRule>
    <cfRule type="expression" dxfId="294" priority="292">
      <formula>AND(IF($Q30=2,1,0),IF($X30&lt;30,1,0))</formula>
    </cfRule>
    <cfRule type="expression" dxfId="293" priority="293">
      <formula>AND(IF($Q30=3,1,0),IF($X30&lt;30,1,0))</formula>
    </cfRule>
    <cfRule type="expression" dxfId="292" priority="294">
      <formula>AND(IF($Q30=3,1,IF($Q30=4,1,0)),IF($F30&lt;=85,1,0))</formula>
    </cfRule>
  </conditionalFormatting>
  <conditionalFormatting sqref="AI30">
    <cfRule type="expression" dxfId="291" priority="287">
      <formula>AND(IF(OR($Q30=1,$Q30=2),1,0),IF($X30&lt;=20,1,0))</formula>
    </cfRule>
    <cfRule type="expression" dxfId="290" priority="288">
      <formula>AND(IF($Q30=2,1,0),IF($X30&lt;30,1,0))</formula>
    </cfRule>
    <cfRule type="expression" dxfId="289" priority="289">
      <formula>AND(IF($Q30=3,1,0),IF($X30&lt;30,1,0))</formula>
    </cfRule>
    <cfRule type="expression" dxfId="288" priority="290">
      <formula>AND(IF($Q30=3,1,IF($Q30=4,1,0)),IF($F30&lt;=85,1,0))</formula>
    </cfRule>
  </conditionalFormatting>
  <conditionalFormatting sqref="AV31">
    <cfRule type="expression" dxfId="287" priority="285">
      <formula>AV31="X"</formula>
    </cfRule>
    <cfRule type="expression" dxfId="286" priority="286">
      <formula>AV31="후보"</formula>
    </cfRule>
  </conditionalFormatting>
  <conditionalFormatting sqref="AC31">
    <cfRule type="cellIs" dxfId="285" priority="282" operator="greaterThan">
      <formula>0.9</formula>
    </cfRule>
    <cfRule type="cellIs" dxfId="284" priority="283" operator="greaterThan">
      <formula>0.85</formula>
    </cfRule>
  </conditionalFormatting>
  <conditionalFormatting sqref="N31">
    <cfRule type="cellIs" dxfId="283" priority="280" operator="greaterThan">
      <formula>0.9</formula>
    </cfRule>
    <cfRule type="cellIs" dxfId="282" priority="281" operator="greaterThan">
      <formula>0.85</formula>
    </cfRule>
  </conditionalFormatting>
  <conditionalFormatting sqref="E31">
    <cfRule type="expression" dxfId="281" priority="276">
      <formula>AND(IF(OR($Q31=1,$Q31=2),1,0),IF($X31&lt;=20,1,0))</formula>
    </cfRule>
    <cfRule type="expression" dxfId="280" priority="277">
      <formula>AND(IF($Q31=2,1,0),IF($X31&lt;30,1,0))</formula>
    </cfRule>
    <cfRule type="expression" dxfId="279" priority="278">
      <formula>AND(IF($Q31=3,1,0),IF($X31&lt;30,1,0))</formula>
    </cfRule>
    <cfRule type="expression" dxfId="278" priority="279">
      <formula>AND(IF($Q31=3,1,IF($Q31=4,1,0)),IF($F31&lt;=85,1,0))</formula>
    </cfRule>
  </conditionalFormatting>
  <conditionalFormatting sqref="X31">
    <cfRule type="expression" dxfId="277" priority="272">
      <formula>AND(IF(OR($Q31=1,$Q31=2),1,0),IF($X31&lt;=20,1,0))</formula>
    </cfRule>
    <cfRule type="expression" dxfId="276" priority="273">
      <formula>AND(IF($Q31=2,1,0),IF($X31&lt;30,1,0))</formula>
    </cfRule>
    <cfRule type="expression" dxfId="275" priority="274">
      <formula>AND(IF($Q31=3,1,0),IF($X31&lt;30,1,0))</formula>
    </cfRule>
    <cfRule type="expression" dxfId="274" priority="275">
      <formula>AND(IF($Q31=3,1,IF($Q31=4,1,0)),IF($F31&lt;=85,1,0))</formula>
    </cfRule>
  </conditionalFormatting>
  <conditionalFormatting sqref="AI31">
    <cfRule type="expression" dxfId="273" priority="268">
      <formula>AND(IF(OR($Q31=1,$Q31=2),1,0),IF($X31&lt;=20,1,0))</formula>
    </cfRule>
    <cfRule type="expression" dxfId="272" priority="269">
      <formula>AND(IF($Q31=2,1,0),IF($X31&lt;30,1,0))</formula>
    </cfRule>
    <cfRule type="expression" dxfId="271" priority="270">
      <formula>AND(IF($Q31=3,1,0),IF($X31&lt;30,1,0))</formula>
    </cfRule>
    <cfRule type="expression" dxfId="270" priority="271">
      <formula>AND(IF($Q31=3,1,IF($Q31=4,1,0)),IF($F31&lt;=85,1,0))</formula>
    </cfRule>
  </conditionalFormatting>
  <conditionalFormatting sqref="AV32">
    <cfRule type="expression" dxfId="269" priority="266">
      <formula>AV32="X"</formula>
    </cfRule>
    <cfRule type="expression" dxfId="268" priority="267">
      <formula>AV32="후보"</formula>
    </cfRule>
  </conditionalFormatting>
  <conditionalFormatting sqref="AC32">
    <cfRule type="cellIs" dxfId="267" priority="263" operator="greaterThan">
      <formula>0.9</formula>
    </cfRule>
    <cfRule type="cellIs" dxfId="266" priority="264" operator="greaterThan">
      <formula>0.85</formula>
    </cfRule>
  </conditionalFormatting>
  <conditionalFormatting sqref="N32">
    <cfRule type="cellIs" dxfId="265" priority="261" operator="greaterThan">
      <formula>0.9</formula>
    </cfRule>
    <cfRule type="cellIs" dxfId="264" priority="262" operator="greaterThan">
      <formula>0.85</formula>
    </cfRule>
  </conditionalFormatting>
  <conditionalFormatting sqref="E32">
    <cfRule type="expression" dxfId="263" priority="257">
      <formula>AND(IF(OR($Q32=1,$Q32=2),1,0),IF($X32&lt;=20,1,0))</formula>
    </cfRule>
    <cfRule type="expression" dxfId="262" priority="258">
      <formula>AND(IF($Q32=2,1,0),IF($X32&lt;30,1,0))</formula>
    </cfRule>
    <cfRule type="expression" dxfId="261" priority="259">
      <formula>AND(IF($Q32=3,1,0),IF($X32&lt;30,1,0))</formula>
    </cfRule>
    <cfRule type="expression" dxfId="260" priority="260">
      <formula>AND(IF($Q32=3,1,IF($Q32=4,1,0)),IF($F32&lt;=85,1,0))</formula>
    </cfRule>
  </conditionalFormatting>
  <conditionalFormatting sqref="X32">
    <cfRule type="expression" dxfId="259" priority="253">
      <formula>AND(IF(OR($Q32=1,$Q32=2),1,0),IF($X32&lt;=20,1,0))</formula>
    </cfRule>
    <cfRule type="expression" dxfId="258" priority="254">
      <formula>AND(IF($Q32=2,1,0),IF($X32&lt;30,1,0))</formula>
    </cfRule>
    <cfRule type="expression" dxfId="257" priority="255">
      <formula>AND(IF($Q32=3,1,0),IF($X32&lt;30,1,0))</formula>
    </cfRule>
    <cfRule type="expression" dxfId="256" priority="256">
      <formula>AND(IF($Q32=3,1,IF($Q32=4,1,0)),IF($F32&lt;=85,1,0))</formula>
    </cfRule>
  </conditionalFormatting>
  <conditionalFormatting sqref="AI32">
    <cfRule type="expression" dxfId="255" priority="249">
      <formula>AND(IF(OR($Q32=1,$Q32=2),1,0),IF($X32&lt;=20,1,0))</formula>
    </cfRule>
    <cfRule type="expression" dxfId="254" priority="250">
      <formula>AND(IF($Q32=2,1,0),IF($X32&lt;30,1,0))</formula>
    </cfRule>
    <cfRule type="expression" dxfId="253" priority="251">
      <formula>AND(IF($Q32=3,1,0),IF($X32&lt;30,1,0))</formula>
    </cfRule>
    <cfRule type="expression" dxfId="252" priority="252">
      <formula>AND(IF($Q32=3,1,IF($Q32=4,1,0)),IF($F32&lt;=85,1,0))</formula>
    </cfRule>
  </conditionalFormatting>
  <conditionalFormatting sqref="AV33">
    <cfRule type="expression" dxfId="251" priority="247">
      <formula>AV33="X"</formula>
    </cfRule>
    <cfRule type="expression" dxfId="250" priority="248">
      <formula>AV33="후보"</formula>
    </cfRule>
  </conditionalFormatting>
  <conditionalFormatting sqref="AC33">
    <cfRule type="cellIs" dxfId="249" priority="244" operator="greaterThan">
      <formula>0.9</formula>
    </cfRule>
    <cfRule type="cellIs" dxfId="248" priority="245" operator="greaterThan">
      <formula>0.85</formula>
    </cfRule>
  </conditionalFormatting>
  <conditionalFormatting sqref="N33">
    <cfRule type="cellIs" dxfId="247" priority="242" operator="greaterThan">
      <formula>0.9</formula>
    </cfRule>
    <cfRule type="cellIs" dxfId="246" priority="243" operator="greaterThan">
      <formula>0.85</formula>
    </cfRule>
  </conditionalFormatting>
  <conditionalFormatting sqref="E33">
    <cfRule type="expression" dxfId="245" priority="238">
      <formula>AND(IF(OR($Q33=1,$Q33=2),1,0),IF($X33&lt;=20,1,0))</formula>
    </cfRule>
    <cfRule type="expression" dxfId="244" priority="239">
      <formula>AND(IF($Q33=2,1,0),IF($X33&lt;30,1,0))</formula>
    </cfRule>
    <cfRule type="expression" dxfId="243" priority="240">
      <formula>AND(IF($Q33=3,1,0),IF($X33&lt;30,1,0))</formula>
    </cfRule>
    <cfRule type="expression" dxfId="242" priority="241">
      <formula>AND(IF($Q33=3,1,IF($Q33=4,1,0)),IF($F33&lt;=85,1,0))</formula>
    </cfRule>
  </conditionalFormatting>
  <conditionalFormatting sqref="X33">
    <cfRule type="expression" dxfId="241" priority="234">
      <formula>AND(IF(OR($Q33=1,$Q33=2),1,0),IF($X33&lt;=20,1,0))</formula>
    </cfRule>
    <cfRule type="expression" dxfId="240" priority="235">
      <formula>AND(IF($Q33=2,1,0),IF($X33&lt;30,1,0))</formula>
    </cfRule>
    <cfRule type="expression" dxfId="239" priority="236">
      <formula>AND(IF($Q33=3,1,0),IF($X33&lt;30,1,0))</formula>
    </cfRule>
    <cfRule type="expression" dxfId="238" priority="237">
      <formula>AND(IF($Q33=3,1,IF($Q33=4,1,0)),IF($F33&lt;=85,1,0))</formula>
    </cfRule>
  </conditionalFormatting>
  <conditionalFormatting sqref="AI33">
    <cfRule type="expression" dxfId="237" priority="230">
      <formula>AND(IF(OR($Q33=1,$Q33=2),1,0),IF($X33&lt;=20,1,0))</formula>
    </cfRule>
    <cfRule type="expression" dxfId="236" priority="231">
      <formula>AND(IF($Q33=2,1,0),IF($X33&lt;30,1,0))</formula>
    </cfRule>
    <cfRule type="expression" dxfId="235" priority="232">
      <formula>AND(IF($Q33=3,1,0),IF($X33&lt;30,1,0))</formula>
    </cfRule>
    <cfRule type="expression" dxfId="234" priority="233">
      <formula>AND(IF($Q33=3,1,IF($Q33=4,1,0)),IF($F33&lt;=85,1,0))</formula>
    </cfRule>
  </conditionalFormatting>
  <conditionalFormatting sqref="AV34">
    <cfRule type="expression" dxfId="233" priority="228">
      <formula>AV34="X"</formula>
    </cfRule>
    <cfRule type="expression" dxfId="232" priority="229">
      <formula>AV34="후보"</formula>
    </cfRule>
  </conditionalFormatting>
  <conditionalFormatting sqref="AC34 N34">
    <cfRule type="cellIs" dxfId="231" priority="225" operator="greaterThan">
      <formula>0.9</formula>
    </cfRule>
    <cfRule type="cellIs" dxfId="230" priority="226" operator="greaterThan">
      <formula>0.85</formula>
    </cfRule>
  </conditionalFormatting>
  <conditionalFormatting sqref="AV35">
    <cfRule type="expression" dxfId="229" priority="223">
      <formula>AV35="X"</formula>
    </cfRule>
    <cfRule type="expression" dxfId="228" priority="224">
      <formula>AV35="후보"</formula>
    </cfRule>
  </conditionalFormatting>
  <conditionalFormatting sqref="AC35">
    <cfRule type="cellIs" dxfId="227" priority="220" operator="greaterThan">
      <formula>0.9</formula>
    </cfRule>
    <cfRule type="cellIs" dxfId="226" priority="221" operator="greaterThan">
      <formula>0.85</formula>
    </cfRule>
  </conditionalFormatting>
  <conditionalFormatting sqref="N35">
    <cfRule type="cellIs" dxfId="225" priority="218" operator="greaterThan">
      <formula>0.9</formula>
    </cfRule>
    <cfRule type="cellIs" dxfId="224" priority="219" operator="greaterThan">
      <formula>0.85</formula>
    </cfRule>
  </conditionalFormatting>
  <conditionalFormatting sqref="E35">
    <cfRule type="expression" dxfId="223" priority="214">
      <formula>AND(IF(OR($Q35=1,$Q35=2),1,0),IF($X35&lt;=20,1,0))</formula>
    </cfRule>
    <cfRule type="expression" dxfId="222" priority="215">
      <formula>AND(IF($Q35=2,1,0),IF($X35&lt;30,1,0))</formula>
    </cfRule>
    <cfRule type="expression" dxfId="221" priority="216">
      <formula>AND(IF($Q35=3,1,0),IF($X35&lt;30,1,0))</formula>
    </cfRule>
    <cfRule type="expression" dxfId="220" priority="217">
      <formula>AND(IF($Q35=3,1,IF($Q35=4,1,0)),IF($F35&lt;=85,1,0))</formula>
    </cfRule>
  </conditionalFormatting>
  <conditionalFormatting sqref="X35">
    <cfRule type="expression" dxfId="219" priority="210">
      <formula>AND(IF(OR($Q35=1,$Q35=2),1,0),IF($X35&lt;=20,1,0))</formula>
    </cfRule>
    <cfRule type="expression" dxfId="218" priority="211">
      <formula>AND(IF($Q35=2,1,0),IF($X35&lt;30,1,0))</formula>
    </cfRule>
    <cfRule type="expression" dxfId="217" priority="212">
      <formula>AND(IF($Q35=3,1,0),IF($X35&lt;30,1,0))</formula>
    </cfRule>
    <cfRule type="expression" dxfId="216" priority="213">
      <formula>AND(IF($Q35=3,1,IF($Q35=4,1,0)),IF($F35&lt;=85,1,0))</formula>
    </cfRule>
  </conditionalFormatting>
  <conditionalFormatting sqref="AI35">
    <cfRule type="expression" dxfId="215" priority="206">
      <formula>AND(IF(OR($Q35=1,$Q35=2),1,0),IF($X35&lt;=20,1,0))</formula>
    </cfRule>
    <cfRule type="expression" dxfId="214" priority="207">
      <formula>AND(IF($Q35=2,1,0),IF($X35&lt;30,1,0))</formula>
    </cfRule>
    <cfRule type="expression" dxfId="213" priority="208">
      <formula>AND(IF($Q35=3,1,0),IF($X35&lt;30,1,0))</formula>
    </cfRule>
    <cfRule type="expression" dxfId="212" priority="209">
      <formula>AND(IF($Q35=3,1,IF($Q35=4,1,0)),IF($F35&lt;=85,1,0))</formula>
    </cfRule>
  </conditionalFormatting>
  <conditionalFormatting sqref="AV36">
    <cfRule type="expression" dxfId="211" priority="204">
      <formula>AV36="X"</formula>
    </cfRule>
    <cfRule type="expression" dxfId="210" priority="205">
      <formula>AV36="후보"</formula>
    </cfRule>
  </conditionalFormatting>
  <conditionalFormatting sqref="AC36 N36">
    <cfRule type="cellIs" dxfId="209" priority="201" operator="greaterThan">
      <formula>0.9</formula>
    </cfRule>
    <cfRule type="cellIs" dxfId="208" priority="202" operator="greaterThan">
      <formula>0.85</formula>
    </cfRule>
  </conditionalFormatting>
  <conditionalFormatting sqref="AV37">
    <cfRule type="expression" dxfId="207" priority="199">
      <formula>AV37="X"</formula>
    </cfRule>
    <cfRule type="expression" dxfId="206" priority="200">
      <formula>AV37="후보"</formula>
    </cfRule>
  </conditionalFormatting>
  <conditionalFormatting sqref="AC37">
    <cfRule type="cellIs" dxfId="205" priority="196" operator="greaterThan">
      <formula>0.9</formula>
    </cfRule>
    <cfRule type="cellIs" dxfId="204" priority="197" operator="greaterThan">
      <formula>0.85</formula>
    </cfRule>
  </conditionalFormatting>
  <conditionalFormatting sqref="N37">
    <cfRule type="cellIs" dxfId="203" priority="194" operator="greaterThan">
      <formula>0.9</formula>
    </cfRule>
    <cfRule type="cellIs" dxfId="202" priority="195" operator="greaterThan">
      <formula>0.85</formula>
    </cfRule>
  </conditionalFormatting>
  <conditionalFormatting sqref="E37">
    <cfRule type="expression" dxfId="201" priority="190">
      <formula>AND(IF(OR($Q37=1,$Q37=2),1,0),IF($X37&lt;=20,1,0))</formula>
    </cfRule>
    <cfRule type="expression" dxfId="200" priority="191">
      <formula>AND(IF($Q37=2,1,0),IF($X37&lt;30,1,0))</formula>
    </cfRule>
    <cfRule type="expression" dxfId="199" priority="192">
      <formula>AND(IF($Q37=3,1,0),IF($X37&lt;30,1,0))</formula>
    </cfRule>
    <cfRule type="expression" dxfId="198" priority="193">
      <formula>AND(IF($Q37=3,1,IF($Q37=4,1,0)),IF($F37&lt;=85,1,0))</formula>
    </cfRule>
  </conditionalFormatting>
  <conditionalFormatting sqref="X37">
    <cfRule type="expression" dxfId="197" priority="186">
      <formula>AND(IF(OR($Q37=1,$Q37=2),1,0),IF($X37&lt;=20,1,0))</formula>
    </cfRule>
    <cfRule type="expression" dxfId="196" priority="187">
      <formula>AND(IF($Q37=2,1,0),IF($X37&lt;30,1,0))</formula>
    </cfRule>
    <cfRule type="expression" dxfId="195" priority="188">
      <formula>AND(IF($Q37=3,1,0),IF($X37&lt;30,1,0))</formula>
    </cfRule>
    <cfRule type="expression" dxfId="194" priority="189">
      <formula>AND(IF($Q37=3,1,IF($Q37=4,1,0)),IF($F37&lt;=85,1,0))</formula>
    </cfRule>
  </conditionalFormatting>
  <conditionalFormatting sqref="AI37">
    <cfRule type="expression" dxfId="193" priority="182">
      <formula>AND(IF(OR($Q37=1,$Q37=2),1,0),IF($X37&lt;=20,1,0))</formula>
    </cfRule>
    <cfRule type="expression" dxfId="192" priority="183">
      <formula>AND(IF($Q37=2,1,0),IF($X37&lt;30,1,0))</formula>
    </cfRule>
    <cfRule type="expression" dxfId="191" priority="184">
      <formula>AND(IF($Q37=3,1,0),IF($X37&lt;30,1,0))</formula>
    </cfRule>
    <cfRule type="expression" dxfId="190" priority="185">
      <formula>AND(IF($Q37=3,1,IF($Q37=4,1,0)),IF($F37&lt;=85,1,0))</formula>
    </cfRule>
  </conditionalFormatting>
  <conditionalFormatting sqref="AV38">
    <cfRule type="expression" dxfId="189" priority="180">
      <formula>AV38="X"</formula>
    </cfRule>
    <cfRule type="expression" dxfId="188" priority="181">
      <formula>AV38="후보"</formula>
    </cfRule>
  </conditionalFormatting>
  <conditionalFormatting sqref="AC38">
    <cfRule type="cellIs" dxfId="187" priority="177" operator="greaterThan">
      <formula>0.9</formula>
    </cfRule>
    <cfRule type="cellIs" dxfId="186" priority="178" operator="greaterThan">
      <formula>0.85</formula>
    </cfRule>
  </conditionalFormatting>
  <conditionalFormatting sqref="N38">
    <cfRule type="cellIs" dxfId="185" priority="175" operator="greaterThan">
      <formula>0.9</formula>
    </cfRule>
    <cfRule type="cellIs" dxfId="184" priority="176" operator="greaterThan">
      <formula>0.85</formula>
    </cfRule>
  </conditionalFormatting>
  <conditionalFormatting sqref="E38">
    <cfRule type="expression" dxfId="183" priority="171">
      <formula>AND(IF(OR($Q38=1,$Q38=2),1,0),IF($X38&lt;=20,1,0))</formula>
    </cfRule>
    <cfRule type="expression" dxfId="182" priority="172">
      <formula>AND(IF($Q38=2,1,0),IF($X38&lt;30,1,0))</formula>
    </cfRule>
    <cfRule type="expression" dxfId="181" priority="173">
      <formula>AND(IF($Q38=3,1,0),IF($X38&lt;30,1,0))</formula>
    </cfRule>
    <cfRule type="expression" dxfId="180" priority="174">
      <formula>AND(IF($Q38=3,1,IF($Q38=4,1,0)),IF($F38&lt;=85,1,0))</formula>
    </cfRule>
  </conditionalFormatting>
  <conditionalFormatting sqref="X38">
    <cfRule type="expression" dxfId="179" priority="167">
      <formula>AND(IF(OR($Q38=1,$Q38=2),1,0),IF($X38&lt;=20,1,0))</formula>
    </cfRule>
    <cfRule type="expression" dxfId="178" priority="168">
      <formula>AND(IF($Q38=2,1,0),IF($X38&lt;30,1,0))</formula>
    </cfRule>
    <cfRule type="expression" dxfId="177" priority="169">
      <formula>AND(IF($Q38=3,1,0),IF($X38&lt;30,1,0))</formula>
    </cfRule>
    <cfRule type="expression" dxfId="176" priority="170">
      <formula>AND(IF($Q38=3,1,IF($Q38=4,1,0)),IF($F38&lt;=85,1,0))</formula>
    </cfRule>
  </conditionalFormatting>
  <conditionalFormatting sqref="AI38">
    <cfRule type="expression" dxfId="175" priority="163">
      <formula>AND(IF(OR($Q38=1,$Q38=2),1,0),IF($X38&lt;=20,1,0))</formula>
    </cfRule>
    <cfRule type="expression" dxfId="174" priority="164">
      <formula>AND(IF($Q38=2,1,0),IF($X38&lt;30,1,0))</formula>
    </cfRule>
    <cfRule type="expression" dxfId="173" priority="165">
      <formula>AND(IF($Q38=3,1,0),IF($X38&lt;30,1,0))</formula>
    </cfRule>
    <cfRule type="expression" dxfId="172" priority="166">
      <formula>AND(IF($Q38=3,1,IF($Q38=4,1,0)),IF($F38&lt;=85,1,0))</formula>
    </cfRule>
  </conditionalFormatting>
  <conditionalFormatting sqref="AV39">
    <cfRule type="expression" dxfId="171" priority="161">
      <formula>AV39="X"</formula>
    </cfRule>
    <cfRule type="expression" dxfId="170" priority="162">
      <formula>AV39="후보"</formula>
    </cfRule>
  </conditionalFormatting>
  <conditionalFormatting sqref="AC39">
    <cfRule type="cellIs" dxfId="169" priority="158" operator="greaterThan">
      <formula>0.9</formula>
    </cfRule>
    <cfRule type="cellIs" dxfId="168" priority="159" operator="greaterThan">
      <formula>0.85</formula>
    </cfRule>
  </conditionalFormatting>
  <conditionalFormatting sqref="N39">
    <cfRule type="cellIs" dxfId="167" priority="156" operator="greaterThan">
      <formula>0.9</formula>
    </cfRule>
    <cfRule type="cellIs" dxfId="166" priority="157" operator="greaterThan">
      <formula>0.85</formula>
    </cfRule>
  </conditionalFormatting>
  <conditionalFormatting sqref="E39">
    <cfRule type="expression" dxfId="165" priority="152">
      <formula>AND(IF(OR($Q39=1,$Q39=2),1,0),IF($X39&lt;=20,1,0))</formula>
    </cfRule>
    <cfRule type="expression" dxfId="164" priority="153">
      <formula>AND(IF($Q39=2,1,0),IF($X39&lt;30,1,0))</formula>
    </cfRule>
    <cfRule type="expression" dxfId="163" priority="154">
      <formula>AND(IF($Q39=3,1,0),IF($X39&lt;30,1,0))</formula>
    </cfRule>
    <cfRule type="expression" dxfId="162" priority="155">
      <formula>AND(IF($Q39=3,1,IF($Q39=4,1,0)),IF($F39&lt;=85,1,0))</formula>
    </cfRule>
  </conditionalFormatting>
  <conditionalFormatting sqref="X39">
    <cfRule type="expression" dxfId="161" priority="148">
      <formula>AND(IF(OR($Q39=1,$Q39=2),1,0),IF($X39&lt;=20,1,0))</formula>
    </cfRule>
    <cfRule type="expression" dxfId="160" priority="149">
      <formula>AND(IF($Q39=2,1,0),IF($X39&lt;30,1,0))</formula>
    </cfRule>
    <cfRule type="expression" dxfId="159" priority="150">
      <formula>AND(IF($Q39=3,1,0),IF($X39&lt;30,1,0))</formula>
    </cfRule>
    <cfRule type="expression" dxfId="158" priority="151">
      <formula>AND(IF($Q39=3,1,IF($Q39=4,1,0)),IF($F39&lt;=85,1,0))</formula>
    </cfRule>
  </conditionalFormatting>
  <conditionalFormatting sqref="AI39">
    <cfRule type="expression" dxfId="157" priority="144">
      <formula>AND(IF(OR($Q39=1,$Q39=2),1,0),IF($X39&lt;=20,1,0))</formula>
    </cfRule>
    <cfRule type="expression" dxfId="156" priority="145">
      <formula>AND(IF($Q39=2,1,0),IF($X39&lt;30,1,0))</formula>
    </cfRule>
    <cfRule type="expression" dxfId="155" priority="146">
      <formula>AND(IF($Q39=3,1,0),IF($X39&lt;30,1,0))</formula>
    </cfRule>
    <cfRule type="expression" dxfId="154" priority="147">
      <formula>AND(IF($Q39=3,1,IF($Q39=4,1,0)),IF($F39&lt;=85,1,0))</formula>
    </cfRule>
  </conditionalFormatting>
  <conditionalFormatting sqref="AV40">
    <cfRule type="expression" dxfId="153" priority="142">
      <formula>AV40="X"</formula>
    </cfRule>
    <cfRule type="expression" dxfId="152" priority="143">
      <formula>AV40="후보"</formula>
    </cfRule>
  </conditionalFormatting>
  <conditionalFormatting sqref="AC40 N40">
    <cfRule type="cellIs" dxfId="151" priority="139" operator="greaterThan">
      <formula>0.9</formula>
    </cfRule>
    <cfRule type="cellIs" dxfId="150" priority="140" operator="greaterThan">
      <formula>0.85</formula>
    </cfRule>
  </conditionalFormatting>
  <conditionalFormatting sqref="AV41">
    <cfRule type="expression" dxfId="149" priority="137">
      <formula>AV41="X"</formula>
    </cfRule>
    <cfRule type="expression" dxfId="148" priority="138">
      <formula>AV41="후보"</formula>
    </cfRule>
  </conditionalFormatting>
  <conditionalFormatting sqref="AC41">
    <cfRule type="cellIs" dxfId="147" priority="134" operator="greaterThan">
      <formula>0.9</formula>
    </cfRule>
    <cfRule type="cellIs" dxfId="146" priority="135" operator="greaterThan">
      <formula>0.85</formula>
    </cfRule>
  </conditionalFormatting>
  <conditionalFormatting sqref="N41">
    <cfRule type="cellIs" dxfId="145" priority="132" operator="greaterThan">
      <formula>0.9</formula>
    </cfRule>
    <cfRule type="cellIs" dxfId="144" priority="133" operator="greaterThan">
      <formula>0.85</formula>
    </cfRule>
  </conditionalFormatting>
  <conditionalFormatting sqref="E41">
    <cfRule type="expression" dxfId="143" priority="128">
      <formula>AND(IF(OR($Q41=1,$Q41=2),1,0),IF($X41&lt;=20,1,0))</formula>
    </cfRule>
    <cfRule type="expression" dxfId="142" priority="129">
      <formula>AND(IF($Q41=2,1,0),IF($X41&lt;30,1,0))</formula>
    </cfRule>
    <cfRule type="expression" dxfId="141" priority="130">
      <formula>AND(IF($Q41=3,1,0),IF($X41&lt;30,1,0))</formula>
    </cfRule>
    <cfRule type="expression" dxfId="140" priority="131">
      <formula>AND(IF($Q41=3,1,IF($Q41=4,1,0)),IF($F41&lt;=85,1,0))</formula>
    </cfRule>
  </conditionalFormatting>
  <conditionalFormatting sqref="X41">
    <cfRule type="expression" dxfId="139" priority="124">
      <formula>AND(IF(OR($Q41=1,$Q41=2),1,0),IF($X41&lt;=20,1,0))</formula>
    </cfRule>
    <cfRule type="expression" dxfId="138" priority="125">
      <formula>AND(IF($Q41=2,1,0),IF($X41&lt;30,1,0))</formula>
    </cfRule>
    <cfRule type="expression" dxfId="137" priority="126">
      <formula>AND(IF($Q41=3,1,0),IF($X41&lt;30,1,0))</formula>
    </cfRule>
    <cfRule type="expression" dxfId="136" priority="127">
      <formula>AND(IF($Q41=3,1,IF($Q41=4,1,0)),IF($F41&lt;=85,1,0))</formula>
    </cfRule>
  </conditionalFormatting>
  <conditionalFormatting sqref="AI41">
    <cfRule type="expression" dxfId="135" priority="120">
      <formula>AND(IF(OR($Q41=1,$Q41=2),1,0),IF($X41&lt;=20,1,0))</formula>
    </cfRule>
    <cfRule type="expression" dxfId="134" priority="121">
      <formula>AND(IF($Q41=2,1,0),IF($X41&lt;30,1,0))</formula>
    </cfRule>
    <cfRule type="expression" dxfId="133" priority="122">
      <formula>AND(IF($Q41=3,1,0),IF($X41&lt;30,1,0))</formula>
    </cfRule>
    <cfRule type="expression" dxfId="132" priority="123">
      <formula>AND(IF($Q41=3,1,IF($Q41=4,1,0)),IF($F41&lt;=85,1,0))</formula>
    </cfRule>
  </conditionalFormatting>
  <conditionalFormatting sqref="AV42">
    <cfRule type="expression" dxfId="131" priority="118">
      <formula>AV42="X"</formula>
    </cfRule>
    <cfRule type="expression" dxfId="130" priority="119">
      <formula>AV42="후보"</formula>
    </cfRule>
  </conditionalFormatting>
  <conditionalFormatting sqref="AC42">
    <cfRule type="cellIs" dxfId="129" priority="115" operator="greaterThan">
      <formula>0.9</formula>
    </cfRule>
    <cfRule type="cellIs" dxfId="128" priority="116" operator="greaterThan">
      <formula>0.85</formula>
    </cfRule>
  </conditionalFormatting>
  <conditionalFormatting sqref="N42">
    <cfRule type="cellIs" dxfId="127" priority="113" operator="greaterThan">
      <formula>0.9</formula>
    </cfRule>
    <cfRule type="cellIs" dxfId="126" priority="114" operator="greaterThan">
      <formula>0.85</formula>
    </cfRule>
  </conditionalFormatting>
  <conditionalFormatting sqref="E42">
    <cfRule type="expression" dxfId="125" priority="109">
      <formula>AND(IF(OR($Q42=1,$Q42=2),1,0),IF($X42&lt;=20,1,0))</formula>
    </cfRule>
    <cfRule type="expression" dxfId="124" priority="110">
      <formula>AND(IF($Q42=2,1,0),IF($X42&lt;30,1,0))</formula>
    </cfRule>
    <cfRule type="expression" dxfId="123" priority="111">
      <formula>AND(IF($Q42=3,1,0),IF($X42&lt;30,1,0))</formula>
    </cfRule>
    <cfRule type="expression" dxfId="122" priority="112">
      <formula>AND(IF($Q42=3,1,IF($Q42=4,1,0)),IF($F42&lt;=85,1,0))</formula>
    </cfRule>
  </conditionalFormatting>
  <conditionalFormatting sqref="X42">
    <cfRule type="expression" dxfId="121" priority="105">
      <formula>AND(IF(OR($Q42=1,$Q42=2),1,0),IF($X42&lt;=20,1,0))</formula>
    </cfRule>
    <cfRule type="expression" dxfId="120" priority="106">
      <formula>AND(IF($Q42=2,1,0),IF($X42&lt;30,1,0))</formula>
    </cfRule>
    <cfRule type="expression" dxfId="119" priority="107">
      <formula>AND(IF($Q42=3,1,0),IF($X42&lt;30,1,0))</formula>
    </cfRule>
    <cfRule type="expression" dxfId="118" priority="108">
      <formula>AND(IF($Q42=3,1,IF($Q42=4,1,0)),IF($F42&lt;=85,1,0))</formula>
    </cfRule>
  </conditionalFormatting>
  <conditionalFormatting sqref="AI42">
    <cfRule type="expression" dxfId="117" priority="101">
      <formula>AND(IF(OR($Q42=1,$Q42=2),1,0),IF($X42&lt;=20,1,0))</formula>
    </cfRule>
    <cfRule type="expression" dxfId="116" priority="102">
      <formula>AND(IF($Q42=2,1,0),IF($X42&lt;30,1,0))</formula>
    </cfRule>
    <cfRule type="expression" dxfId="115" priority="103">
      <formula>AND(IF($Q42=3,1,0),IF($X42&lt;30,1,0))</formula>
    </cfRule>
    <cfRule type="expression" dxfId="114" priority="104">
      <formula>AND(IF($Q42=3,1,IF($Q42=4,1,0)),IF($F42&lt;=85,1,0))</formula>
    </cfRule>
  </conditionalFormatting>
  <conditionalFormatting sqref="AV43">
    <cfRule type="expression" dxfId="113" priority="99">
      <formula>AV43="X"</formula>
    </cfRule>
    <cfRule type="expression" dxfId="112" priority="100">
      <formula>AV43="후보"</formula>
    </cfRule>
  </conditionalFormatting>
  <conditionalFormatting sqref="AC43">
    <cfRule type="cellIs" dxfId="111" priority="96" operator="greaterThan">
      <formula>0.9</formula>
    </cfRule>
    <cfRule type="cellIs" dxfId="110" priority="97" operator="greaterThan">
      <formula>0.85</formula>
    </cfRule>
  </conditionalFormatting>
  <conditionalFormatting sqref="N43">
    <cfRule type="cellIs" dxfId="109" priority="94" operator="greaterThan">
      <formula>0.9</formula>
    </cfRule>
    <cfRule type="cellIs" dxfId="108" priority="95" operator="greaterThan">
      <formula>0.85</formula>
    </cfRule>
  </conditionalFormatting>
  <conditionalFormatting sqref="E43">
    <cfRule type="expression" dxfId="107" priority="90">
      <formula>AND(IF(OR($Q43=1,$Q43=2),1,0),IF($X43&lt;=20,1,0))</formula>
    </cfRule>
    <cfRule type="expression" dxfId="106" priority="91">
      <formula>AND(IF($Q43=2,1,0),IF($X43&lt;30,1,0))</formula>
    </cfRule>
    <cfRule type="expression" dxfId="105" priority="92">
      <formula>AND(IF($Q43=3,1,0),IF($X43&lt;30,1,0))</formula>
    </cfRule>
    <cfRule type="expression" dxfId="104" priority="93">
      <formula>AND(IF($Q43=3,1,IF($Q43=4,1,0)),IF($F43&lt;=85,1,0))</formula>
    </cfRule>
  </conditionalFormatting>
  <conditionalFormatting sqref="X43">
    <cfRule type="expression" dxfId="103" priority="86">
      <formula>AND(IF(OR($Q43=1,$Q43=2),1,0),IF($X43&lt;=20,1,0))</formula>
    </cfRule>
    <cfRule type="expression" dxfId="102" priority="87">
      <formula>AND(IF($Q43=2,1,0),IF($X43&lt;30,1,0))</formula>
    </cfRule>
    <cfRule type="expression" dxfId="101" priority="88">
      <formula>AND(IF($Q43=3,1,0),IF($X43&lt;30,1,0))</formula>
    </cfRule>
    <cfRule type="expression" dxfId="100" priority="89">
      <formula>AND(IF($Q43=3,1,IF($Q43=4,1,0)),IF($F43&lt;=85,1,0))</formula>
    </cfRule>
  </conditionalFormatting>
  <conditionalFormatting sqref="AI43">
    <cfRule type="expression" dxfId="99" priority="82">
      <formula>AND(IF(OR($Q43=1,$Q43=2),1,0),IF($X43&lt;=20,1,0))</formula>
    </cfRule>
    <cfRule type="expression" dxfId="98" priority="83">
      <formula>AND(IF($Q43=2,1,0),IF($X43&lt;30,1,0))</formula>
    </cfRule>
    <cfRule type="expression" dxfId="97" priority="84">
      <formula>AND(IF($Q43=3,1,0),IF($X43&lt;30,1,0))</formula>
    </cfRule>
    <cfRule type="expression" dxfId="96" priority="85">
      <formula>AND(IF($Q43=3,1,IF($Q43=4,1,0)),IF($F43&lt;=85,1,0))</formula>
    </cfRule>
  </conditionalFormatting>
  <conditionalFormatting sqref="AV44">
    <cfRule type="expression" dxfId="95" priority="80">
      <formula>AV44="X"</formula>
    </cfRule>
    <cfRule type="expression" dxfId="94" priority="81">
      <formula>AV44="후보"</formula>
    </cfRule>
  </conditionalFormatting>
  <conditionalFormatting sqref="AC44">
    <cfRule type="cellIs" dxfId="93" priority="77" operator="greaterThan">
      <formula>0.9</formula>
    </cfRule>
    <cfRule type="cellIs" dxfId="92" priority="78" operator="greaterThan">
      <formula>0.85</formula>
    </cfRule>
  </conditionalFormatting>
  <conditionalFormatting sqref="N44">
    <cfRule type="cellIs" dxfId="91" priority="75" operator="greaterThan">
      <formula>0.9</formula>
    </cfRule>
    <cfRule type="cellIs" dxfId="90" priority="76" operator="greaterThan">
      <formula>0.85</formula>
    </cfRule>
  </conditionalFormatting>
  <conditionalFormatting sqref="E44">
    <cfRule type="expression" dxfId="89" priority="71">
      <formula>AND(IF(OR($Q44=1,$Q44=2),1,0),IF($X44&lt;=20,1,0))</formula>
    </cfRule>
    <cfRule type="expression" dxfId="88" priority="72">
      <formula>AND(IF($Q44=2,1,0),IF($X44&lt;30,1,0))</formula>
    </cfRule>
    <cfRule type="expression" dxfId="87" priority="73">
      <formula>AND(IF($Q44=3,1,0),IF($X44&lt;30,1,0))</formula>
    </cfRule>
    <cfRule type="expression" dxfId="86" priority="74">
      <formula>AND(IF($Q44=3,1,IF($Q44=4,1,0)),IF($F44&lt;=85,1,0))</formula>
    </cfRule>
  </conditionalFormatting>
  <conditionalFormatting sqref="X44">
    <cfRule type="expression" dxfId="85" priority="67">
      <formula>AND(IF(OR($Q44=1,$Q44=2),1,0),IF($X44&lt;=20,1,0))</formula>
    </cfRule>
    <cfRule type="expression" dxfId="84" priority="68">
      <formula>AND(IF($Q44=2,1,0),IF($X44&lt;30,1,0))</formula>
    </cfRule>
    <cfRule type="expression" dxfId="83" priority="69">
      <formula>AND(IF($Q44=3,1,0),IF($X44&lt;30,1,0))</formula>
    </cfRule>
    <cfRule type="expression" dxfId="82" priority="70">
      <formula>AND(IF($Q44=3,1,IF($Q44=4,1,0)),IF($F44&lt;=85,1,0))</formula>
    </cfRule>
  </conditionalFormatting>
  <conditionalFormatting sqref="AI44">
    <cfRule type="expression" dxfId="81" priority="63">
      <formula>AND(IF(OR($Q44=1,$Q44=2),1,0),IF($X44&lt;=20,1,0))</formula>
    </cfRule>
    <cfRule type="expression" dxfId="80" priority="64">
      <formula>AND(IF($Q44=2,1,0),IF($X44&lt;30,1,0))</formula>
    </cfRule>
    <cfRule type="expression" dxfId="79" priority="65">
      <formula>AND(IF($Q44=3,1,0),IF($X44&lt;30,1,0))</formula>
    </cfRule>
    <cfRule type="expression" dxfId="78" priority="66">
      <formula>AND(IF($Q44=3,1,IF($Q44=4,1,0)),IF($F44&lt;=85,1,0))</formula>
    </cfRule>
  </conditionalFormatting>
  <conditionalFormatting sqref="AV45">
    <cfRule type="expression" dxfId="77" priority="61">
      <formula>AV45="X"</formula>
    </cfRule>
    <cfRule type="expression" dxfId="76" priority="62">
      <formula>AV45="후보"</formula>
    </cfRule>
  </conditionalFormatting>
  <conditionalFormatting sqref="AC45 N45">
    <cfRule type="cellIs" dxfId="75" priority="58" operator="greaterThan">
      <formula>0.9</formula>
    </cfRule>
    <cfRule type="cellIs" dxfId="74" priority="59" operator="greaterThan">
      <formula>0.85</formula>
    </cfRule>
  </conditionalFormatting>
  <conditionalFormatting sqref="AV46">
    <cfRule type="expression" dxfId="73" priority="56">
      <formula>AV46="X"</formula>
    </cfRule>
    <cfRule type="expression" dxfId="72" priority="57">
      <formula>AV46="후보"</formula>
    </cfRule>
  </conditionalFormatting>
  <conditionalFormatting sqref="AC46">
    <cfRule type="cellIs" dxfId="71" priority="53" operator="greaterThan">
      <formula>0.9</formula>
    </cfRule>
    <cfRule type="cellIs" dxfId="70" priority="54" operator="greaterThan">
      <formula>0.85</formula>
    </cfRule>
  </conditionalFormatting>
  <conditionalFormatting sqref="N46">
    <cfRule type="cellIs" dxfId="69" priority="51" operator="greaterThan">
      <formula>0.9</formula>
    </cfRule>
    <cfRule type="cellIs" dxfId="68" priority="52" operator="greaterThan">
      <formula>0.85</formula>
    </cfRule>
  </conditionalFormatting>
  <conditionalFormatting sqref="E46">
    <cfRule type="expression" dxfId="67" priority="47">
      <formula>AND(IF(OR($Q46=1,$Q46=2),1,0),IF($X46&lt;=20,1,0))</formula>
    </cfRule>
    <cfRule type="expression" dxfId="66" priority="48">
      <formula>AND(IF($Q46=2,1,0),IF($X46&lt;30,1,0))</formula>
    </cfRule>
    <cfRule type="expression" dxfId="65" priority="49">
      <formula>AND(IF($Q46=3,1,0),IF($X46&lt;30,1,0))</formula>
    </cfRule>
    <cfRule type="expression" dxfId="64" priority="50">
      <formula>AND(IF($Q46=3,1,IF($Q46=4,1,0)),IF($F46&lt;=85,1,0))</formula>
    </cfRule>
  </conditionalFormatting>
  <conditionalFormatting sqref="X46">
    <cfRule type="expression" dxfId="63" priority="43">
      <formula>AND(IF(OR($Q46=1,$Q46=2),1,0),IF($X46&lt;=20,1,0))</formula>
    </cfRule>
    <cfRule type="expression" dxfId="62" priority="44">
      <formula>AND(IF($Q46=2,1,0),IF($X46&lt;30,1,0))</formula>
    </cfRule>
    <cfRule type="expression" dxfId="61" priority="45">
      <formula>AND(IF($Q46=3,1,0),IF($X46&lt;30,1,0))</formula>
    </cfRule>
    <cfRule type="expression" dxfId="60" priority="46">
      <formula>AND(IF($Q46=3,1,IF($Q46=4,1,0)),IF($F46&lt;=85,1,0))</formula>
    </cfRule>
  </conditionalFormatting>
  <conditionalFormatting sqref="AI46">
    <cfRule type="expression" dxfId="59" priority="39">
      <formula>AND(IF(OR($Q46=1,$Q46=2),1,0),IF($X46&lt;=20,1,0))</formula>
    </cfRule>
    <cfRule type="expression" dxfId="58" priority="40">
      <formula>AND(IF($Q46=2,1,0),IF($X46&lt;30,1,0))</formula>
    </cfRule>
    <cfRule type="expression" dxfId="57" priority="41">
      <formula>AND(IF($Q46=3,1,0),IF($X46&lt;30,1,0))</formula>
    </cfRule>
    <cfRule type="expression" dxfId="56" priority="42">
      <formula>AND(IF($Q46=3,1,IF($Q46=4,1,0)),IF($F46&lt;=85,1,0))</formula>
    </cfRule>
  </conditionalFormatting>
  <conditionalFormatting sqref="AV47">
    <cfRule type="expression" dxfId="55" priority="37">
      <formula>AV47="X"</formula>
    </cfRule>
    <cfRule type="expression" dxfId="54" priority="38">
      <formula>AV47="후보"</formula>
    </cfRule>
  </conditionalFormatting>
  <conditionalFormatting sqref="AC47">
    <cfRule type="cellIs" dxfId="53" priority="34" operator="greaterThan">
      <formula>0.9</formula>
    </cfRule>
    <cfRule type="cellIs" dxfId="52" priority="35" operator="greaterThan">
      <formula>0.85</formula>
    </cfRule>
  </conditionalFormatting>
  <conditionalFormatting sqref="N47">
    <cfRule type="cellIs" dxfId="51" priority="32" operator="greaterThan">
      <formula>0.9</formula>
    </cfRule>
    <cfRule type="cellIs" dxfId="50" priority="33" operator="greaterThan">
      <formula>0.85</formula>
    </cfRule>
  </conditionalFormatting>
  <conditionalFormatting sqref="E47">
    <cfRule type="expression" dxfId="49" priority="28">
      <formula>AND(IF(OR($Q47=1,$Q47=2),1,0),IF($X47&lt;=20,1,0))</formula>
    </cfRule>
    <cfRule type="expression" dxfId="48" priority="29">
      <formula>AND(IF($Q47=2,1,0),IF($X47&lt;30,1,0))</formula>
    </cfRule>
    <cfRule type="expression" dxfId="47" priority="30">
      <formula>AND(IF($Q47=3,1,0),IF($X47&lt;30,1,0))</formula>
    </cfRule>
    <cfRule type="expression" dxfId="46" priority="31">
      <formula>AND(IF($Q47=3,1,IF($Q47=4,1,0)),IF($F47&lt;=85,1,0))</formula>
    </cfRule>
  </conditionalFormatting>
  <conditionalFormatting sqref="X47">
    <cfRule type="expression" dxfId="45" priority="24">
      <formula>AND(IF(OR($Q47=1,$Q47=2),1,0),IF($X47&lt;=20,1,0))</formula>
    </cfRule>
    <cfRule type="expression" dxfId="44" priority="25">
      <formula>AND(IF($Q47=2,1,0),IF($X47&lt;30,1,0))</formula>
    </cfRule>
    <cfRule type="expression" dxfId="43" priority="26">
      <formula>AND(IF($Q47=3,1,0),IF($X47&lt;30,1,0))</formula>
    </cfRule>
    <cfRule type="expression" dxfId="42" priority="27">
      <formula>AND(IF($Q47=3,1,IF($Q47=4,1,0)),IF($F47&lt;=85,1,0))</formula>
    </cfRule>
  </conditionalFormatting>
  <conditionalFormatting sqref="AI47">
    <cfRule type="expression" dxfId="41" priority="20">
      <formula>AND(IF(OR($Q47=1,$Q47=2),1,0),IF($X47&lt;=20,1,0))</formula>
    </cfRule>
    <cfRule type="expression" dxfId="40" priority="21">
      <formula>AND(IF($Q47=2,1,0),IF($X47&lt;30,1,0))</formula>
    </cfRule>
    <cfRule type="expression" dxfId="39" priority="22">
      <formula>AND(IF($Q47=3,1,0),IF($X47&lt;30,1,0))</formula>
    </cfRule>
    <cfRule type="expression" dxfId="38" priority="23">
      <formula>AND(IF($Q47=3,1,IF($Q47=4,1,0)),IF($F47&lt;=85,1,0))</formula>
    </cfRule>
  </conditionalFormatting>
  <conditionalFormatting sqref="AV48">
    <cfRule type="expression" dxfId="37" priority="18">
      <formula>AV48="X"</formula>
    </cfRule>
    <cfRule type="expression" dxfId="36" priority="19">
      <formula>AV48="후보"</formula>
    </cfRule>
  </conditionalFormatting>
  <conditionalFormatting sqref="AC48">
    <cfRule type="cellIs" dxfId="35" priority="15" operator="greaterThan">
      <formula>0.9</formula>
    </cfRule>
    <cfRule type="cellIs" dxfId="34" priority="16" operator="greaterThan">
      <formula>0.85</formula>
    </cfRule>
  </conditionalFormatting>
  <conditionalFormatting sqref="N48">
    <cfRule type="cellIs" dxfId="33" priority="13" operator="greaterThan">
      <formula>0.9</formula>
    </cfRule>
    <cfRule type="cellIs" dxfId="32" priority="14" operator="greaterThan">
      <formula>0.85</formula>
    </cfRule>
  </conditionalFormatting>
  <conditionalFormatting sqref="E48">
    <cfRule type="expression" dxfId="31" priority="9">
      <formula>AND(IF(OR($Q48=1,$Q48=2),1,0),IF($X48&lt;=20,1,0))</formula>
    </cfRule>
    <cfRule type="expression" dxfId="30" priority="10">
      <formula>AND(IF($Q48=2,1,0),IF($X48&lt;30,1,0))</formula>
    </cfRule>
    <cfRule type="expression" dxfId="29" priority="11">
      <formula>AND(IF($Q48=3,1,0),IF($X48&lt;30,1,0))</formula>
    </cfRule>
    <cfRule type="expression" dxfId="28" priority="12">
      <formula>AND(IF($Q48=3,1,IF($Q48=4,1,0)),IF($F48&lt;=85,1,0))</formula>
    </cfRule>
  </conditionalFormatting>
  <conditionalFormatting sqref="X48">
    <cfRule type="expression" dxfId="27" priority="5">
      <formula>AND(IF(OR($Q48=1,$Q48=2),1,0),IF($X48&lt;=20,1,0))</formula>
    </cfRule>
    <cfRule type="expression" dxfId="26" priority="6">
      <formula>AND(IF($Q48=2,1,0),IF($X48&lt;30,1,0))</formula>
    </cfRule>
    <cfRule type="expression" dxfId="25" priority="7">
      <formula>AND(IF($Q48=3,1,0),IF($X48&lt;30,1,0))</formula>
    </cfRule>
    <cfRule type="expression" dxfId="24" priority="8">
      <formula>AND(IF($Q48=3,1,IF($Q48=4,1,0)),IF($F48&lt;=85,1,0))</formula>
    </cfRule>
  </conditionalFormatting>
  <conditionalFormatting sqref="AI48">
    <cfRule type="expression" dxfId="23" priority="1">
      <formula>AND(IF(OR($Q48=1,$Q48=2),1,0),IF($X48&lt;=20,1,0))</formula>
    </cfRule>
    <cfRule type="expression" dxfId="22" priority="2">
      <formula>AND(IF($Q48=2,1,0),IF($X48&lt;30,1,0))</formula>
    </cfRule>
    <cfRule type="expression" dxfId="21" priority="3">
      <formula>AND(IF($Q48=3,1,0),IF($X48&lt;30,1,0))</formula>
    </cfRule>
    <cfRule type="expression" dxfId="20" priority="4">
      <formula>AND(IF($Q48=3,1,IF($Q48=4,1,0)),IF($F48&lt;=85,1,0))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defaultColWidth="9" defaultRowHeight="12" x14ac:dyDescent="0.3"/>
  <cols>
    <col min="1" max="1" width="22.5" style="38" bestFit="1" customWidth="1"/>
    <col min="2" max="2" width="5.875" style="2" bestFit="1" customWidth="1"/>
    <col min="3" max="3" width="6.625" style="1" bestFit="1" customWidth="1"/>
    <col min="4" max="4" width="5.625" style="38" bestFit="1" customWidth="1"/>
    <col min="5" max="5" width="4.625" style="38" bestFit="1" customWidth="1"/>
    <col min="6" max="6" width="5.625" style="38" bestFit="1" customWidth="1"/>
    <col min="7" max="7" width="4.625" style="38" bestFit="1" customWidth="1"/>
    <col min="8" max="8" width="6.625" style="1" bestFit="1" customWidth="1"/>
    <col min="9" max="9" width="7.75" style="38" bestFit="1" customWidth="1"/>
    <col min="10" max="10" width="4" style="38" bestFit="1" customWidth="1"/>
    <col min="11" max="11" width="6.875" style="38" bestFit="1" customWidth="1"/>
    <col min="12" max="12" width="4" style="38" bestFit="1" customWidth="1"/>
    <col min="13" max="13" width="6.875" style="38" bestFit="1" customWidth="1"/>
    <col min="14" max="14" width="4.625" style="38" bestFit="1" customWidth="1"/>
    <col min="15" max="16" width="7.625" style="38" bestFit="1" customWidth="1"/>
    <col min="17" max="18" width="3.25" style="3" bestFit="1" customWidth="1"/>
    <col min="19" max="19" width="3.25" style="2" bestFit="1" customWidth="1"/>
    <col min="20" max="20" width="10" style="3" customWidth="1"/>
    <col min="21" max="21" width="25" style="38" customWidth="1"/>
    <col min="22" max="22" width="2.25" style="38" customWidth="1"/>
    <col min="23" max="23" width="5.625" style="38" bestFit="1" customWidth="1"/>
    <col min="24" max="24" width="4.5" style="38" bestFit="1" customWidth="1"/>
    <col min="25" max="25" width="5.375" style="99" customWidth="1"/>
    <col min="26" max="26" width="7.75" style="38" bestFit="1" customWidth="1"/>
    <col min="27" max="27" width="7" style="38" bestFit="1" customWidth="1"/>
    <col min="28" max="28" width="6.875" style="38" bestFit="1" customWidth="1"/>
    <col min="29" max="29" width="4.625" style="38" bestFit="1" customWidth="1"/>
    <col min="30" max="30" width="7.625" style="38" bestFit="1" customWidth="1"/>
    <col min="31" max="31" width="3.25" style="2" bestFit="1" customWidth="1"/>
    <col min="32" max="32" width="4.625" style="3" bestFit="1" customWidth="1"/>
    <col min="33" max="33" width="2.25" style="38" customWidth="1"/>
    <col min="34" max="34" width="22.5" style="38" bestFit="1" customWidth="1"/>
    <col min="35" max="35" width="4.625" style="38" bestFit="1" customWidth="1"/>
    <col min="36" max="40" width="4.625" style="2" customWidth="1"/>
    <col min="41" max="41" width="9.125" style="38" bestFit="1" customWidth="1"/>
    <col min="42" max="42" width="7.625" style="38" bestFit="1" customWidth="1"/>
    <col min="43" max="44" width="9.125" style="38" bestFit="1" customWidth="1"/>
    <col min="45" max="45" width="6.125" style="38" bestFit="1" customWidth="1"/>
    <col min="46" max="46" width="8.625" style="38" bestFit="1" customWidth="1"/>
    <col min="47" max="47" width="9.125" style="38" bestFit="1" customWidth="1"/>
    <col min="48" max="48" width="7.625" style="2" bestFit="1" customWidth="1"/>
    <col min="49" max="49" width="9" style="38" customWidth="1"/>
    <col min="50" max="16384" width="9" style="38"/>
  </cols>
  <sheetData>
    <row r="1" spans="1:48" ht="17.25" customHeight="1" x14ac:dyDescent="0.3">
      <c r="A1" s="7" t="str">
        <f>단지추출!A1</f>
        <v>창원시 진해구</v>
      </c>
      <c r="I1" s="43" t="s">
        <v>865</v>
      </c>
      <c r="X1" s="38" t="s">
        <v>5</v>
      </c>
      <c r="Y1" s="38"/>
      <c r="AA1" s="40">
        <f>단지추출!AA1</f>
        <v>70000</v>
      </c>
      <c r="AH1" s="7" t="str">
        <f>A1</f>
        <v>창원시 진해구</v>
      </c>
      <c r="AJ1" s="121" t="str">
        <f>A1&amp;" 전체 등급"</f>
        <v>창원시 진해구 전체 등급</v>
      </c>
      <c r="AK1" s="122"/>
      <c r="AL1" s="122"/>
      <c r="AM1" s="122"/>
      <c r="AN1" s="123"/>
      <c r="AO1" s="22">
        <f>단지추출!AO1</f>
        <v>80</v>
      </c>
      <c r="AP1" s="22">
        <f>단지추출!AP1</f>
        <v>45000</v>
      </c>
      <c r="AQ1" s="22">
        <f>단지추출!AQ1</f>
        <v>1000</v>
      </c>
      <c r="AR1" s="22">
        <f>단지추출!AR1</f>
        <v>6000</v>
      </c>
      <c r="AS1" s="2"/>
      <c r="AT1" s="2"/>
      <c r="AU1" s="22">
        <f>단지추출!AU1</f>
        <v>300</v>
      </c>
    </row>
    <row r="2" spans="1:48" x14ac:dyDescent="0.3">
      <c r="A2" s="80">
        <f>단지추출!A2</f>
        <v>44197</v>
      </c>
      <c r="W2" s="39"/>
      <c r="X2" s="39" t="s">
        <v>11</v>
      </c>
      <c r="Y2" s="39"/>
      <c r="AA2" s="40">
        <f>단지추출!AA2</f>
        <v>10000</v>
      </c>
      <c r="AH2" s="18" t="str">
        <f>AH1 &amp;" " &amp;A4</f>
        <v>창원시 진해구 동명</v>
      </c>
      <c r="AI2" s="19"/>
      <c r="AJ2" s="32" t="str">
        <f>단지추출!AJ2</f>
        <v>A-</v>
      </c>
      <c r="AK2" s="32" t="str">
        <f>단지추출!AK2</f>
        <v>A</v>
      </c>
      <c r="AL2" s="32" t="str">
        <f>단지추출!AL2</f>
        <v>A</v>
      </c>
      <c r="AM2" s="32" t="str">
        <f>단지추출!AM2</f>
        <v>A</v>
      </c>
      <c r="AN2" s="32" t="str">
        <f>단지추출!AN2</f>
        <v>C</v>
      </c>
      <c r="AO2" s="67" t="s">
        <v>16</v>
      </c>
      <c r="AP2" s="68"/>
      <c r="AQ2" s="69"/>
      <c r="AR2" s="67" t="s">
        <v>17</v>
      </c>
      <c r="AS2" s="69"/>
      <c r="AT2" s="67" t="s">
        <v>18</v>
      </c>
      <c r="AU2" s="69"/>
      <c r="AV2" s="41"/>
    </row>
    <row r="3" spans="1:48" ht="26.25" customHeight="1" x14ac:dyDescent="0.3">
      <c r="A3" s="11" t="s">
        <v>21</v>
      </c>
      <c r="B3" s="11" t="s">
        <v>22</v>
      </c>
      <c r="C3" s="11" t="s">
        <v>23</v>
      </c>
      <c r="D3" s="11" t="s">
        <v>24</v>
      </c>
      <c r="E3" s="11" t="s">
        <v>25</v>
      </c>
      <c r="F3" s="11" t="s">
        <v>26</v>
      </c>
      <c r="G3" s="11" t="s">
        <v>27</v>
      </c>
      <c r="H3" s="12" t="s">
        <v>28</v>
      </c>
      <c r="I3" s="15" t="s">
        <v>29</v>
      </c>
      <c r="J3" s="15" t="s">
        <v>30</v>
      </c>
      <c r="K3" s="15" t="s">
        <v>31</v>
      </c>
      <c r="L3" s="15" t="s">
        <v>30</v>
      </c>
      <c r="M3" s="12" t="s">
        <v>866</v>
      </c>
      <c r="N3" s="11" t="s">
        <v>33</v>
      </c>
      <c r="O3" s="15" t="s">
        <v>34</v>
      </c>
      <c r="P3" s="15" t="s">
        <v>35</v>
      </c>
      <c r="Q3" s="13" t="s">
        <v>36</v>
      </c>
      <c r="R3" s="13" t="s">
        <v>37</v>
      </c>
      <c r="S3" s="11" t="s">
        <v>38</v>
      </c>
      <c r="T3" s="16" t="s">
        <v>39</v>
      </c>
      <c r="U3" s="12" t="s">
        <v>40</v>
      </c>
      <c r="W3" s="11" t="s">
        <v>24</v>
      </c>
      <c r="X3" s="11" t="s">
        <v>25</v>
      </c>
      <c r="Y3" s="100" t="s">
        <v>28</v>
      </c>
      <c r="Z3" s="12" t="s">
        <v>42</v>
      </c>
      <c r="AA3" s="12" t="s">
        <v>43</v>
      </c>
      <c r="AB3" s="12" t="s">
        <v>866</v>
      </c>
      <c r="AC3" s="11" t="s">
        <v>33</v>
      </c>
      <c r="AD3" s="12" t="s">
        <v>44</v>
      </c>
      <c r="AE3" s="11" t="s">
        <v>38</v>
      </c>
      <c r="AF3" s="13" t="s">
        <v>45</v>
      </c>
      <c r="AH3" s="11" t="str">
        <f>IF(A3="","",A3)</f>
        <v>단지명</v>
      </c>
      <c r="AI3" s="11" t="str">
        <f>IF(E3="","",E3)</f>
        <v>공급
면적</v>
      </c>
      <c r="AJ3" s="11" t="s">
        <v>46</v>
      </c>
      <c r="AK3" s="11" t="s">
        <v>47</v>
      </c>
      <c r="AL3" s="11" t="s">
        <v>48</v>
      </c>
      <c r="AM3" s="11" t="s">
        <v>49</v>
      </c>
      <c r="AN3" s="11" t="s">
        <v>50</v>
      </c>
      <c r="AO3" s="11" t="str">
        <f>"전세가율★
("&amp;AO1&amp;"%↑)"</f>
        <v>전세가율★
(80%↑)</v>
      </c>
      <c r="AP3" s="11" t="str">
        <f>"절대가★
("&amp;AP1/10000&amp;"억↓)"</f>
        <v>절대가★
(4.5억↓)</v>
      </c>
      <c r="AQ3" s="11" t="str">
        <f>"지역평단가
("&amp;AQ1&amp;"↓)"</f>
        <v>지역평단가
(1000↓)</v>
      </c>
      <c r="AR3" s="11" t="str">
        <f>"투자규모★
(갭"&amp;AR1/1000&amp;"천↓)"</f>
        <v>투자규모★
(갭6천↓)</v>
      </c>
      <c r="AS3" s="11" t="s">
        <v>55</v>
      </c>
      <c r="AT3" s="21" t="s">
        <v>56</v>
      </c>
      <c r="AU3" s="11" t="str">
        <f>"단지규모★
("&amp;AU1&amp;"^↑)"</f>
        <v>단지규모★
(300^↑)</v>
      </c>
      <c r="AV3" s="42" t="s">
        <v>19</v>
      </c>
    </row>
    <row r="4" spans="1:48" x14ac:dyDescent="0.3">
      <c r="A4" s="8" t="s">
        <v>939</v>
      </c>
      <c r="B4" s="75"/>
      <c r="C4" s="6"/>
      <c r="D4" s="9"/>
      <c r="E4" s="9"/>
      <c r="F4" s="9"/>
      <c r="G4" s="9"/>
      <c r="H4" s="6"/>
      <c r="I4" s="9"/>
      <c r="J4" s="9"/>
      <c r="K4" s="9"/>
      <c r="L4" s="9"/>
      <c r="M4" s="9"/>
      <c r="N4" s="9"/>
      <c r="O4" s="9"/>
      <c r="P4" s="9"/>
      <c r="Q4" s="101"/>
      <c r="R4" s="101"/>
      <c r="S4" s="75"/>
      <c r="T4" s="5"/>
      <c r="U4" s="9"/>
      <c r="W4" s="9"/>
      <c r="X4" s="9"/>
      <c r="Y4" s="102"/>
      <c r="Z4" s="9"/>
      <c r="AA4" s="9"/>
      <c r="AB4" s="9"/>
      <c r="AC4" s="9"/>
      <c r="AD4" s="9"/>
      <c r="AE4" s="75"/>
      <c r="AF4" s="5"/>
      <c r="AH4" s="20"/>
      <c r="AI4" s="103" t="str">
        <f>IF(E4="","",E4)</f>
        <v/>
      </c>
      <c r="AJ4" s="75"/>
      <c r="AK4" s="75"/>
      <c r="AL4" s="75"/>
      <c r="AM4" s="75"/>
      <c r="AN4" s="75"/>
      <c r="AO4" s="75"/>
      <c r="AP4" s="75"/>
      <c r="AQ4" s="75"/>
      <c r="AR4" s="75"/>
      <c r="AS4" s="75"/>
      <c r="AT4" s="75"/>
      <c r="AU4" s="75"/>
      <c r="AV4" s="75"/>
    </row>
    <row r="5" spans="1:48" x14ac:dyDescent="0.3">
      <c r="A5" s="9"/>
      <c r="B5" s="75"/>
      <c r="C5" s="6"/>
      <c r="D5" s="9"/>
      <c r="E5" s="14"/>
      <c r="F5" s="104"/>
      <c r="G5" s="9"/>
      <c r="H5" s="9"/>
      <c r="I5" s="9"/>
      <c r="J5" s="9"/>
      <c r="K5" s="9"/>
      <c r="L5" s="9"/>
      <c r="M5" s="9"/>
      <c r="N5" s="9"/>
      <c r="O5" s="105"/>
      <c r="P5" s="105"/>
      <c r="Q5" s="106"/>
      <c r="R5" s="106"/>
      <c r="S5" s="9"/>
      <c r="T5" s="48"/>
      <c r="U5" s="9"/>
      <c r="W5" s="70" t="str">
        <f>$A$4&amp;" "&amp;A6&amp;"("&amp;B6&amp;","&amp;C6&amp;"^)"</f>
        <v>동명 단지명('19.04,905^)</v>
      </c>
      <c r="X5" s="71"/>
      <c r="Y5" s="71"/>
      <c r="Z5" s="71"/>
      <c r="AA5" s="71"/>
      <c r="AB5" s="71"/>
      <c r="AC5" s="71"/>
      <c r="AD5" s="71"/>
      <c r="AE5" s="71"/>
      <c r="AF5" s="72"/>
      <c r="AH5" s="20" t="str">
        <f>IF(A5="","",A5)</f>
        <v/>
      </c>
      <c r="AI5" s="103" t="str">
        <f>IF(E5="","",E5)</f>
        <v/>
      </c>
      <c r="AJ5" s="75"/>
      <c r="AK5" s="75"/>
      <c r="AL5" s="75"/>
      <c r="AM5" s="75"/>
      <c r="AN5" s="75"/>
      <c r="AO5" s="75"/>
      <c r="AP5" s="75"/>
      <c r="AQ5" s="75"/>
      <c r="AR5" s="75"/>
      <c r="AS5" s="75"/>
      <c r="AT5" s="75"/>
      <c r="AU5" s="75"/>
      <c r="AV5" s="75"/>
    </row>
    <row r="6" spans="1:48" x14ac:dyDescent="0.3">
      <c r="A6" s="9" t="s">
        <v>21</v>
      </c>
      <c r="B6" s="10" t="s">
        <v>940</v>
      </c>
      <c r="C6" s="107">
        <v>905</v>
      </c>
      <c r="D6" s="104">
        <v>79.3</v>
      </c>
      <c r="E6" s="106">
        <v>24</v>
      </c>
      <c r="F6" s="104">
        <v>59.8</v>
      </c>
      <c r="G6" s="17">
        <v>18</v>
      </c>
      <c r="H6" s="107">
        <v>240</v>
      </c>
      <c r="I6" s="108"/>
      <c r="J6" s="108"/>
      <c r="K6" s="108"/>
      <c r="L6" s="108"/>
      <c r="M6" s="109">
        <f>I6-K6</f>
        <v>0</v>
      </c>
      <c r="N6" s="4" t="str">
        <f>IF(ISERROR(K6/I6),"",K6/I6)</f>
        <v/>
      </c>
      <c r="O6" s="105">
        <f>I6/E6</f>
        <v>0</v>
      </c>
      <c r="P6" s="105">
        <f>K6/E6</f>
        <v>0</v>
      </c>
      <c r="Q6" s="75">
        <v>3</v>
      </c>
      <c r="R6" s="75">
        <v>2</v>
      </c>
      <c r="S6" s="75" t="s">
        <v>869</v>
      </c>
      <c r="T6" s="5">
        <v>79</v>
      </c>
      <c r="U6" s="9"/>
      <c r="W6" s="104">
        <f>D6</f>
        <v>79.3</v>
      </c>
      <c r="X6" s="106">
        <f>E6</f>
        <v>24</v>
      </c>
      <c r="Y6" s="102">
        <f>H6</f>
        <v>240</v>
      </c>
      <c r="Z6" s="109">
        <f>I6</f>
        <v>0</v>
      </c>
      <c r="AA6" s="109">
        <f>K6</f>
        <v>0</v>
      </c>
      <c r="AB6" s="109">
        <f>M6</f>
        <v>0</v>
      </c>
      <c r="AC6" s="4" t="str">
        <f>N6</f>
        <v/>
      </c>
      <c r="AD6" s="105">
        <f>O6</f>
        <v>0</v>
      </c>
      <c r="AE6" s="75" t="str">
        <f>S6</f>
        <v>계</v>
      </c>
      <c r="AF6" s="75" t="str">
        <f>Q6&amp;"/"&amp;R6</f>
        <v>3/2</v>
      </c>
      <c r="AH6" s="20" t="str">
        <f>IF(A6="","",A6)</f>
        <v>단지명</v>
      </c>
      <c r="AI6" s="106">
        <f>IF(E6="","",E6)</f>
        <v>24</v>
      </c>
      <c r="AJ6" s="75" t="str">
        <f>IF(AI6="","",$AJ$2)</f>
        <v>A-</v>
      </c>
      <c r="AK6" s="75" t="s">
        <v>14</v>
      </c>
      <c r="AL6" s="75" t="s">
        <v>870</v>
      </c>
      <c r="AM6" s="75" t="s">
        <v>871</v>
      </c>
      <c r="AN6" s="75" t="str">
        <f>IF(AI6="","",$AN$2)</f>
        <v>C</v>
      </c>
      <c r="AO6" s="75" t="str">
        <f>IF(N6="","",IF(N6&gt;=$AO$1/100,"O","X"))</f>
        <v/>
      </c>
      <c r="AP6" s="75" t="str">
        <f>IF(I6="","",IF(I6&lt;=$AP$1,"O","X"))</f>
        <v/>
      </c>
      <c r="AQ6" s="75" t="str">
        <f>IF(O6="","",IF(O6&lt;=$AQ$1,"O","X"))</f>
        <v>O</v>
      </c>
      <c r="AR6" s="75" t="str">
        <f>IF(M6="","",IF(M6&lt;=$AR$1,"O","X"))</f>
        <v>O</v>
      </c>
      <c r="AS6" s="75" t="s">
        <v>2</v>
      </c>
      <c r="AT6" s="75" t="str">
        <f>IF(OR(F6="",AI6=""),"",IF(AND((F6&lt;=85),(AI6&gt;=15)),"O","X"))</f>
        <v>O</v>
      </c>
      <c r="AU6" s="75" t="str">
        <f>IF(C6="","",IF(C6&gt;=$AU$1,"O","X"))</f>
        <v>O</v>
      </c>
      <c r="AV6" s="75" t="str">
        <f>IF(AO6="","",IF(AND(AO6="O",AP6="O",AR6="O",AT6="O",AU6="O"),"후보","X"))</f>
        <v/>
      </c>
    </row>
  </sheetData>
  <mergeCells count="1">
    <mergeCell ref="AJ1:AN1"/>
  </mergeCells>
  <phoneticPr fontId="2" type="noConversion"/>
  <conditionalFormatting sqref="AV4:AV6">
    <cfRule type="expression" dxfId="19" priority="5349">
      <formula>AV4="X"</formula>
    </cfRule>
    <cfRule type="expression" dxfId="18" priority="5350">
      <formula>AV4="후보"</formula>
    </cfRule>
  </conditionalFormatting>
  <conditionalFormatting sqref="AC1:AC2 AC4:AC6 N4:N5">
    <cfRule type="cellIs" dxfId="17" priority="5346" operator="greaterThan">
      <formula>0.9</formula>
    </cfRule>
    <cfRule type="cellIs" dxfId="16" priority="5347" operator="greaterThan">
      <formula>0.85</formula>
    </cfRule>
  </conditionalFormatting>
  <conditionalFormatting sqref="N1:N2">
    <cfRule type="cellIs" dxfId="15" priority="5344" operator="greaterThan">
      <formula>0.9</formula>
    </cfRule>
    <cfRule type="cellIs" dxfId="14" priority="5345" operator="greaterThan">
      <formula>0.85</formula>
    </cfRule>
  </conditionalFormatting>
  <conditionalFormatting sqref="N6">
    <cfRule type="cellIs" dxfId="13" priority="17" operator="greaterThan">
      <formula>0.9</formula>
    </cfRule>
    <cfRule type="cellIs" dxfId="12" priority="18" operator="greaterThan">
      <formula>0.85</formula>
    </cfRule>
  </conditionalFormatting>
  <conditionalFormatting sqref="E6">
    <cfRule type="expression" dxfId="11" priority="9">
      <formula>AND(IF(OR($Q6=1,$Q6=2),1,0),IF($X6&lt;=20,1,0))</formula>
    </cfRule>
    <cfRule type="expression" dxfId="10" priority="10">
      <formula>AND(IF($Q6=2,1,0),IF($X6&lt;30,1,0))</formula>
    </cfRule>
    <cfRule type="expression" dxfId="9" priority="11">
      <formula>AND(IF($Q6=3,1,0),IF($X6&lt;30,1,0))</formula>
    </cfRule>
    <cfRule type="expression" dxfId="8" priority="12">
      <formula>AND(IF($Q6=3,1,IF($Q6=4,1,0)),IF($F6&lt;=85,1,0))</formula>
    </cfRule>
  </conditionalFormatting>
  <conditionalFormatting sqref="X6">
    <cfRule type="expression" dxfId="7" priority="5">
      <formula>AND(IF(OR($Q6=1,$Q6=2),1,0),IF($X6&lt;=20,1,0))</formula>
    </cfRule>
    <cfRule type="expression" dxfId="6" priority="6">
      <formula>AND(IF($Q6=2,1,0),IF($X6&lt;30,1,0))</formula>
    </cfRule>
    <cfRule type="expression" dxfId="5" priority="7">
      <formula>AND(IF($Q6=3,1,0),IF($X6&lt;30,1,0))</formula>
    </cfRule>
    <cfRule type="expression" dxfId="4" priority="8">
      <formula>AND(IF($Q6=3,1,IF($Q6=4,1,0)),IF($F6&lt;=85,1,0))</formula>
    </cfRule>
  </conditionalFormatting>
  <conditionalFormatting sqref="AI6">
    <cfRule type="expression" dxfId="3" priority="1">
      <formula>AND(IF(OR($Q6=1,$Q6=2),1,0),IF($X6&lt;=20,1,0))</formula>
    </cfRule>
    <cfRule type="expression" dxfId="2" priority="2">
      <formula>AND(IF($Q6=2,1,0),IF($X6&lt;30,1,0))</formula>
    </cfRule>
    <cfRule type="expression" dxfId="1" priority="3">
      <formula>AND(IF($Q6=3,1,0),IF($X6&lt;30,1,0))</formula>
    </cfRule>
    <cfRule type="expression" dxfId="0" priority="4">
      <formula>AND(IF($Q6=3,1,IF($Q6=4,1,0)),IF($F6&lt;=85,1,0))</formula>
    </cfRule>
  </conditionalFormatting>
  <printOptions horizontalCentered="1"/>
  <pageMargins left="0.19685039370078741" right="0.19685039370078741" top="0.19685039370078741" bottom="0.19685039370078741" header="0" footer="0"/>
  <pageSetup paperSize="9" scale="85" fitToHeight="0" orientation="landscape" horizontalDpi="4294967292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20</vt:i4>
      </vt:variant>
      <vt:variant>
        <vt:lpstr>이름이 지정된 범위</vt:lpstr>
      </vt:variant>
      <vt:variant>
        <vt:i4>34</vt:i4>
      </vt:variant>
    </vt:vector>
  </HeadingPairs>
  <TitlesOfParts>
    <vt:vector size="54" baseType="lpstr">
      <vt:lpstr>단지추출</vt:lpstr>
      <vt:lpstr>단지추출_가격표용</vt:lpstr>
      <vt:lpstr>동별가격표</vt:lpstr>
      <vt:lpstr>정보입력(KB)</vt:lpstr>
      <vt:lpstr>정보입력</vt:lpstr>
      <vt:lpstr>경화동</vt:lpstr>
      <vt:lpstr>남문동</vt:lpstr>
      <vt:lpstr>남양동</vt:lpstr>
      <vt:lpstr>두동</vt:lpstr>
      <vt:lpstr>마천동</vt:lpstr>
      <vt:lpstr>부흥동</vt:lpstr>
      <vt:lpstr>석동</vt:lpstr>
      <vt:lpstr>안골동</vt:lpstr>
      <vt:lpstr>용원동</vt:lpstr>
      <vt:lpstr>이동</vt:lpstr>
      <vt:lpstr>자은동</vt:lpstr>
      <vt:lpstr>장천동</vt:lpstr>
      <vt:lpstr>청안동</vt:lpstr>
      <vt:lpstr>풍호동</vt:lpstr>
      <vt:lpstr>양식</vt:lpstr>
      <vt:lpstr>경화동!Print_Area</vt:lpstr>
      <vt:lpstr>남문동!Print_Area</vt:lpstr>
      <vt:lpstr>남양동!Print_Area</vt:lpstr>
      <vt:lpstr>단지추출!Print_Area</vt:lpstr>
      <vt:lpstr>단지추출_가격표용!Print_Area</vt:lpstr>
      <vt:lpstr>두동!Print_Area</vt:lpstr>
      <vt:lpstr>마천동!Print_Area</vt:lpstr>
      <vt:lpstr>부흥동!Print_Area</vt:lpstr>
      <vt:lpstr>석동!Print_Area</vt:lpstr>
      <vt:lpstr>안골동!Print_Area</vt:lpstr>
      <vt:lpstr>양식!Print_Area</vt:lpstr>
      <vt:lpstr>용원동!Print_Area</vt:lpstr>
      <vt:lpstr>이동!Print_Area</vt:lpstr>
      <vt:lpstr>자은동!Print_Area</vt:lpstr>
      <vt:lpstr>장천동!Print_Area</vt:lpstr>
      <vt:lpstr>청안동!Print_Area</vt:lpstr>
      <vt:lpstr>풍호동!Print_Area</vt:lpstr>
      <vt:lpstr>경화동!Print_Titles</vt:lpstr>
      <vt:lpstr>남문동!Print_Titles</vt:lpstr>
      <vt:lpstr>남양동!Print_Titles</vt:lpstr>
      <vt:lpstr>단지추출!Print_Titles</vt:lpstr>
      <vt:lpstr>단지추출_가격표용!Print_Titles</vt:lpstr>
      <vt:lpstr>두동!Print_Titles</vt:lpstr>
      <vt:lpstr>마천동!Print_Titles</vt:lpstr>
      <vt:lpstr>부흥동!Print_Titles</vt:lpstr>
      <vt:lpstr>석동!Print_Titles</vt:lpstr>
      <vt:lpstr>안골동!Print_Titles</vt:lpstr>
      <vt:lpstr>양식!Print_Titles</vt:lpstr>
      <vt:lpstr>용원동!Print_Titles</vt:lpstr>
      <vt:lpstr>이동!Print_Titles</vt:lpstr>
      <vt:lpstr>자은동!Print_Titles</vt:lpstr>
      <vt:lpstr>장천동!Print_Titles</vt:lpstr>
      <vt:lpstr>청안동!Print_Titles</vt:lpstr>
      <vt:lpstr>풍호동!Print_Titles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엑셀시세표</dc:title>
  <dc:creator>유진아빠7</dc:creator>
  <cp:lastModifiedBy>MinsuKwon</cp:lastModifiedBy>
  <cp:lastPrinted>2018-04-28T10:52:41Z</cp:lastPrinted>
  <dcterms:created xsi:type="dcterms:W3CDTF">2017-12-04T07:49:55Z</dcterms:created>
  <dcterms:modified xsi:type="dcterms:W3CDTF">2022-08-01T14:21:36Z</dcterms:modified>
</cp:coreProperties>
</file>